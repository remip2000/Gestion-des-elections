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9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1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2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3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4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5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umnienacfr-my.sharepoint.com/personal/remi_barbero_alumni_enac_fr/Documents/Echange/Elections/Municipales 2026/"/>
    </mc:Choice>
  </mc:AlternateContent>
  <xr:revisionPtr revIDLastSave="383" documentId="8_{1E327353-B394-446F-A09B-DE8C7510EF91}" xr6:coauthVersionLast="47" xr6:coauthVersionMax="47" xr10:uidLastSave="{2F1A2EAF-4C44-4193-B48A-AD506EAD6D60}"/>
  <bookViews>
    <workbookView xWindow="-110" yWindow="-110" windowWidth="21820" windowHeight="14620" tabRatio="850" xr2:uid="{28D96937-7F1A-4454-97EC-737EE8B96C21}"/>
  </bookViews>
  <sheets>
    <sheet name="Synthèse" sheetId="1" r:id="rId1"/>
    <sheet name="Participation horaire" sheetId="916" r:id="rId2"/>
    <sheet name="Projection" sheetId="757" r:id="rId3"/>
    <sheet name="Bureau 1" sheetId="903" r:id="rId4"/>
    <sheet name="Bureau 2" sheetId="904" r:id="rId5"/>
    <sheet name="Bureau 3" sheetId="905" r:id="rId6"/>
    <sheet name="Bureau 4" sheetId="906" r:id="rId7"/>
    <sheet name="Bureau 5" sheetId="907" r:id="rId8"/>
    <sheet name="Bureau 6" sheetId="908" r:id="rId9"/>
    <sheet name="Bureau 7" sheetId="909" r:id="rId10"/>
    <sheet name="Bureau 8" sheetId="910" r:id="rId11"/>
    <sheet name="Bureau 9" sheetId="911" r:id="rId12"/>
    <sheet name="Bureau 10" sheetId="912" r:id="rId13"/>
    <sheet name="Bureau 11" sheetId="913" r:id="rId14"/>
    <sheet name="Bureau 12" sheetId="914" r:id="rId15"/>
    <sheet name="Feuille décompte" sheetId="915" r:id="rId16"/>
  </sheets>
  <externalReferences>
    <externalReference r:id="rId17"/>
    <externalReference r:id="rId18"/>
  </externalReferences>
  <definedNames>
    <definedName name="Table1" localSheetId="3">'Bureau 1'!$D$49:$M$59</definedName>
    <definedName name="Table1" localSheetId="12">'Bureau 10'!$D$49:$M$59</definedName>
    <definedName name="Table1" localSheetId="13">'Bureau 11'!$D$49:$M$59</definedName>
    <definedName name="Table1" localSheetId="14">'Bureau 12'!$D$49:$M$59</definedName>
    <definedName name="Table1" localSheetId="4">'Bureau 2'!$D$49:$M$59</definedName>
    <definedName name="Table1" localSheetId="5">'Bureau 3'!$D$49:$M$59</definedName>
    <definedName name="Table1" localSheetId="6">'Bureau 4'!$D$49:$M$59</definedName>
    <definedName name="Table1" localSheetId="7">'Bureau 5'!$D$49:$M$59</definedName>
    <definedName name="Table1" localSheetId="8">'Bureau 6'!$D$49:$M$59</definedName>
    <definedName name="Table1" localSheetId="9">'Bureau 7'!$D$49:$M$59</definedName>
    <definedName name="Table1" localSheetId="10">'Bureau 8'!$D$49:$M$59</definedName>
    <definedName name="Table1" localSheetId="11">'Bureau 9'!$D$49:$M$59</definedName>
    <definedName name="Table1" localSheetId="15">'Feuille décompte'!$B$3:$K$12</definedName>
    <definedName name="Table1">#REF!</definedName>
    <definedName name="Table2" localSheetId="3">'Bureau 1'!$D$67:$M$72</definedName>
    <definedName name="Table2" localSheetId="12">'Bureau 10'!$D$67:$M$72</definedName>
    <definedName name="Table2" localSheetId="13">'Bureau 11'!$D$67:$M$72</definedName>
    <definedName name="Table2" localSheetId="14">'Bureau 12'!$D$67:$M$72</definedName>
    <definedName name="Table2" localSheetId="4">'Bureau 2'!$D$67:$M$72</definedName>
    <definedName name="Table2" localSheetId="5">'Bureau 3'!$D$67:$M$72</definedName>
    <definedName name="Table2" localSheetId="6">'Bureau 4'!$D$67:$M$72</definedName>
    <definedName name="Table2" localSheetId="7">'Bureau 5'!$D$67:$M$72</definedName>
    <definedName name="Table2" localSheetId="8">'Bureau 6'!$D$67:$M$72</definedName>
    <definedName name="Table2" localSheetId="9">'Bureau 7'!$D$67:$M$72</definedName>
    <definedName name="Table2" localSheetId="10">'Bureau 8'!$D$67:$M$72</definedName>
    <definedName name="Table2" localSheetId="11">'Bureau 9'!$D$67:$M$72</definedName>
    <definedName name="Table2" localSheetId="15">'Feuille décompte'!$D$61:$M$66</definedName>
    <definedName name="Table2">#REF!</definedName>
    <definedName name="Table3" localSheetId="3">'Bureau 1'!$D$78:$M$80</definedName>
    <definedName name="Table3" localSheetId="12">'Bureau 10'!$D$78:$M$80</definedName>
    <definedName name="Table3" localSheetId="13">'Bureau 11'!$D$78:$M$80</definedName>
    <definedName name="Table3" localSheetId="14">'Bureau 12'!$D$78:$M$80</definedName>
    <definedName name="Table3" localSheetId="4">'Bureau 2'!$D$78:$M$80</definedName>
    <definedName name="Table3" localSheetId="5">'Bureau 3'!$D$78:$M$80</definedName>
    <definedName name="Table3" localSheetId="6">'Bureau 4'!$D$78:$M$80</definedName>
    <definedName name="Table3" localSheetId="7">'Bureau 5'!$D$78:$M$80</definedName>
    <definedName name="Table3" localSheetId="8">'Bureau 6'!$D$78:$M$80</definedName>
    <definedName name="Table3" localSheetId="9">'Bureau 7'!$D$78:$M$80</definedName>
    <definedName name="Table3" localSheetId="10">'Bureau 8'!$D$78:$M$80</definedName>
    <definedName name="Table3" localSheetId="11">'Bureau 9'!$D$78:$M$80</definedName>
    <definedName name="Table3" localSheetId="15">'Feuille décompte'!$D$72:$M$74</definedName>
    <definedName name="Table3">#REF!</definedName>
    <definedName name="_xlnm.Print_Area" localSheetId="0">Synthèse!$A$1:$R$16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0" i="916" l="1"/>
  <c r="AF50" i="916"/>
  <c r="AE50" i="916"/>
  <c r="AD50" i="916"/>
  <c r="AC50" i="916"/>
  <c r="AB50" i="916"/>
  <c r="AA50" i="916"/>
  <c r="Z50" i="916"/>
  <c r="Y50" i="916"/>
  <c r="X50" i="916"/>
  <c r="W50" i="916"/>
  <c r="V50" i="916"/>
  <c r="U50" i="916"/>
  <c r="S50" i="916" a="1"/>
  <c r="S50" i="916" s="1"/>
  <c r="R50" i="916" a="1"/>
  <c r="R50" i="916" s="1"/>
  <c r="Q50" i="916" a="1"/>
  <c r="Q50" i="916" s="1"/>
  <c r="P50" i="916" a="1"/>
  <c r="P50" i="916" s="1"/>
  <c r="O50" i="916" a="1"/>
  <c r="O50" i="916" s="1"/>
  <c r="N50" i="916" a="1"/>
  <c r="N50" i="916" s="1"/>
  <c r="M50" i="916" a="1"/>
  <c r="M50" i="916" s="1"/>
  <c r="L50" i="916"/>
  <c r="L50" i="916" a="1"/>
  <c r="K50" i="916" a="1"/>
  <c r="K50" i="916" s="1"/>
  <c r="J50" i="916" a="1"/>
  <c r="J50" i="916" s="1"/>
  <c r="I50" i="916" a="1"/>
  <c r="I50" i="916" s="1"/>
  <c r="H50" i="916"/>
  <c r="H50" i="916" a="1"/>
  <c r="G50" i="916" a="1"/>
  <c r="G50" i="916" s="1"/>
  <c r="AG49" i="916"/>
  <c r="AF49" i="916"/>
  <c r="AE49" i="916"/>
  <c r="AD49" i="916"/>
  <c r="AC49" i="916"/>
  <c r="AB49" i="916"/>
  <c r="AA49" i="916"/>
  <c r="Z49" i="916"/>
  <c r="Y49" i="916"/>
  <c r="X49" i="916"/>
  <c r="W49" i="916"/>
  <c r="V49" i="916"/>
  <c r="U49" i="916"/>
  <c r="S49" i="916"/>
  <c r="S49" i="916" a="1"/>
  <c r="R49" i="916"/>
  <c r="R49" i="916" a="1"/>
  <c r="Q49" i="916"/>
  <c r="Q49" i="916" a="1"/>
  <c r="P49" i="916"/>
  <c r="P49" i="916" a="1"/>
  <c r="O49" i="916"/>
  <c r="O49" i="916" a="1"/>
  <c r="N49" i="916"/>
  <c r="N49" i="916" a="1"/>
  <c r="M49" i="916"/>
  <c r="M49" i="916" a="1"/>
  <c r="L49" i="916"/>
  <c r="L49" i="916" a="1"/>
  <c r="K49" i="916" a="1"/>
  <c r="K49" i="916" s="1"/>
  <c r="J49" i="916"/>
  <c r="J49" i="916" a="1"/>
  <c r="I49" i="916" a="1"/>
  <c r="I49" i="916" s="1"/>
  <c r="H49" i="916"/>
  <c r="H49" i="916" a="1"/>
  <c r="G49" i="916" a="1"/>
  <c r="G49" i="916" s="1"/>
  <c r="AG48" i="916"/>
  <c r="AF48" i="916"/>
  <c r="AE48" i="916"/>
  <c r="AD48" i="916"/>
  <c r="AC48" i="916"/>
  <c r="AB48" i="916"/>
  <c r="AA48" i="916"/>
  <c r="Z48" i="916"/>
  <c r="Y48" i="916"/>
  <c r="X48" i="916"/>
  <c r="W48" i="916"/>
  <c r="V48" i="916"/>
  <c r="U48" i="916"/>
  <c r="AG47" i="916"/>
  <c r="AF47" i="916"/>
  <c r="AE47" i="916"/>
  <c r="AD47" i="916"/>
  <c r="AC47" i="916"/>
  <c r="AB47" i="916"/>
  <c r="AA47" i="916"/>
  <c r="Z47" i="916"/>
  <c r="Y47" i="916"/>
  <c r="X47" i="916"/>
  <c r="W47" i="916"/>
  <c r="V47" i="916"/>
  <c r="U47" i="916"/>
  <c r="AG46" i="916"/>
  <c r="AF46" i="916"/>
  <c r="AE46" i="916"/>
  <c r="AD46" i="916"/>
  <c r="AC46" i="916"/>
  <c r="AB46" i="916"/>
  <c r="AA46" i="916"/>
  <c r="Z46" i="916"/>
  <c r="Y46" i="916"/>
  <c r="X46" i="916"/>
  <c r="W46" i="916"/>
  <c r="V46" i="916"/>
  <c r="U46" i="916"/>
  <c r="AG45" i="916"/>
  <c r="AF45" i="916"/>
  <c r="AE45" i="916"/>
  <c r="AD45" i="916"/>
  <c r="AC45" i="916"/>
  <c r="AB45" i="916"/>
  <c r="AA45" i="916"/>
  <c r="Z45" i="916"/>
  <c r="Y45" i="916"/>
  <c r="X45" i="916"/>
  <c r="W45" i="916"/>
  <c r="V45" i="916"/>
  <c r="U45" i="916"/>
  <c r="AG44" i="916"/>
  <c r="AF44" i="916"/>
  <c r="AE44" i="916"/>
  <c r="AD44" i="916"/>
  <c r="AC44" i="916"/>
  <c r="AB44" i="916"/>
  <c r="AA44" i="916"/>
  <c r="Z44" i="916"/>
  <c r="Y44" i="916"/>
  <c r="X44" i="916"/>
  <c r="W44" i="916"/>
  <c r="V44" i="916"/>
  <c r="U44" i="916"/>
  <c r="AG43" i="916"/>
  <c r="AF43" i="916"/>
  <c r="AE43" i="916"/>
  <c r="AD43" i="916"/>
  <c r="AC43" i="916"/>
  <c r="AB43" i="916"/>
  <c r="AA43" i="916"/>
  <c r="Z43" i="916"/>
  <c r="Y43" i="916"/>
  <c r="X43" i="916"/>
  <c r="W43" i="916"/>
  <c r="V43" i="916"/>
  <c r="U43" i="916"/>
  <c r="AG42" i="916"/>
  <c r="AF42" i="916"/>
  <c r="AE42" i="916"/>
  <c r="AD42" i="916"/>
  <c r="AC42" i="916"/>
  <c r="AB42" i="916"/>
  <c r="AA42" i="916"/>
  <c r="Z42" i="916"/>
  <c r="Y42" i="916"/>
  <c r="X42" i="916"/>
  <c r="W42" i="916"/>
  <c r="V42" i="916"/>
  <c r="U42" i="916"/>
  <c r="AG41" i="916"/>
  <c r="AF41" i="916"/>
  <c r="AE41" i="916"/>
  <c r="AD41" i="916"/>
  <c r="AC41" i="916"/>
  <c r="AB41" i="916"/>
  <c r="AA41" i="916"/>
  <c r="Z41" i="916"/>
  <c r="Y41" i="916"/>
  <c r="X41" i="916"/>
  <c r="W41" i="916"/>
  <c r="V41" i="916"/>
  <c r="U41" i="916"/>
  <c r="AG40" i="916"/>
  <c r="AF40" i="916"/>
  <c r="AE40" i="916"/>
  <c r="AD40" i="916"/>
  <c r="AC40" i="916"/>
  <c r="AB40" i="916"/>
  <c r="AA40" i="916"/>
  <c r="Z40" i="916"/>
  <c r="Y40" i="916"/>
  <c r="X40" i="916"/>
  <c r="W40" i="916"/>
  <c r="V40" i="916"/>
  <c r="U40" i="916"/>
  <c r="AG39" i="916"/>
  <c r="AF39" i="916"/>
  <c r="AE39" i="916"/>
  <c r="AD39" i="916"/>
  <c r="AC39" i="916"/>
  <c r="AB39" i="916"/>
  <c r="AA39" i="916"/>
  <c r="Z39" i="916"/>
  <c r="Y39" i="916"/>
  <c r="X39" i="916"/>
  <c r="W39" i="916"/>
  <c r="V39" i="916"/>
  <c r="U39" i="916"/>
  <c r="B17" i="916"/>
  <c r="B16" i="916"/>
  <c r="B15" i="916"/>
  <c r="F13" i="916"/>
  <c r="B13" i="916"/>
  <c r="F12" i="916"/>
  <c r="B12" i="916"/>
  <c r="F11" i="916"/>
  <c r="B11" i="916"/>
  <c r="F10" i="916"/>
  <c r="B10" i="916"/>
  <c r="F9" i="916"/>
  <c r="B9" i="916"/>
  <c r="F8" i="916"/>
  <c r="B8" i="916"/>
  <c r="F7" i="916"/>
  <c r="B7" i="916"/>
  <c r="F6" i="916"/>
  <c r="B6" i="916"/>
  <c r="F5" i="916"/>
  <c r="B5" i="916"/>
  <c r="F4" i="916"/>
  <c r="B4" i="916"/>
  <c r="F3" i="916"/>
  <c r="B3" i="916"/>
  <c r="F2" i="916"/>
  <c r="B2" i="916"/>
  <c r="M63" i="916"/>
  <c r="R62" i="916"/>
  <c r="J62" i="916"/>
  <c r="P56" i="916"/>
  <c r="K60" i="916"/>
  <c r="L58" i="916"/>
  <c r="Q55" i="916"/>
  <c r="AA10" i="916" a="1"/>
  <c r="M57" i="916"/>
  <c r="O61" i="916"/>
  <c r="H56" i="916"/>
  <c r="U10" i="916" a="1"/>
  <c r="J65" i="916"/>
  <c r="P59" i="916"/>
  <c r="Q54" i="916"/>
  <c r="U9" i="916" a="1"/>
  <c r="P62" i="916"/>
  <c r="Q57" i="916"/>
  <c r="AC12" i="916" a="1"/>
  <c r="K7" i="916" a="1"/>
  <c r="G62" i="916"/>
  <c r="M56" i="916"/>
  <c r="AC11" i="916" a="1"/>
  <c r="O65" i="916"/>
  <c r="H60" i="916"/>
  <c r="I55" i="916"/>
  <c r="M10" i="916" a="1"/>
  <c r="P63" i="916"/>
  <c r="Q58" i="916"/>
  <c r="AA12" i="916" a="1"/>
  <c r="Y7" i="916" a="1"/>
  <c r="H61" i="916"/>
  <c r="I56" i="916"/>
  <c r="K10" i="916" a="1"/>
  <c r="N60" i="916"/>
  <c r="I3" i="916" a="1"/>
  <c r="W5" i="916" a="1"/>
  <c r="M8" i="916" a="1"/>
  <c r="Q2" i="916" a="1"/>
  <c r="K5" i="916" a="1"/>
  <c r="U3" i="916" a="1"/>
  <c r="K4" i="916" a="1"/>
  <c r="U12" i="916" a="1"/>
  <c r="W6" i="916" a="1"/>
  <c r="I2" i="916" a="1"/>
  <c r="M55" i="916"/>
  <c r="AA9" i="916" a="1"/>
  <c r="O64" i="916"/>
  <c r="H59" i="916"/>
  <c r="I54" i="916"/>
  <c r="AA8" i="916" a="1"/>
  <c r="H62" i="916"/>
  <c r="I57" i="916"/>
  <c r="M12" i="916" a="1"/>
  <c r="Q6" i="916" a="1"/>
  <c r="L61" i="916"/>
  <c r="R55" i="916"/>
  <c r="M11" i="916" a="1"/>
  <c r="G65" i="916"/>
  <c r="M59" i="916"/>
  <c r="N54" i="916"/>
  <c r="S9" i="916" a="1"/>
  <c r="H63" i="916"/>
  <c r="I58" i="916"/>
  <c r="K12" i="916" a="1"/>
  <c r="I7" i="916" a="1"/>
  <c r="M60" i="916"/>
  <c r="N55" i="916"/>
  <c r="Q9" i="916" a="1"/>
  <c r="O55" i="916"/>
  <c r="O2" i="916" a="1"/>
  <c r="G5" i="916" a="1"/>
  <c r="K6" i="916" a="1"/>
  <c r="Y5" i="916" a="1"/>
  <c r="Q4" i="916" a="1"/>
  <c r="G63" i="916"/>
  <c r="Q3" i="916" a="1"/>
  <c r="I6" i="916" a="1"/>
  <c r="M6" i="916" a="1"/>
  <c r="R56" i="916"/>
  <c r="Y3" i="916" a="1"/>
  <c r="AA5" i="916" a="1"/>
  <c r="AA4" i="916" a="1"/>
  <c r="G61" i="916"/>
  <c r="K65" i="916"/>
  <c r="L60" i="916"/>
  <c r="R54" i="916"/>
  <c r="K9" i="916" a="1"/>
  <c r="G64" i="916"/>
  <c r="M58" i="916"/>
  <c r="AC13" i="916" a="1"/>
  <c r="K8" i="916" a="1"/>
  <c r="M61" i="916"/>
  <c r="N56" i="916"/>
  <c r="S11" i="916" a="1"/>
  <c r="P65" i="916"/>
  <c r="Q60" i="916"/>
  <c r="J55" i="916"/>
  <c r="S10" i="916" a="1"/>
  <c r="L64" i="916"/>
  <c r="R58" i="916"/>
  <c r="AA13" i="916" a="1"/>
  <c r="Y8" i="916" a="1"/>
  <c r="M62" i="916"/>
  <c r="N57" i="916"/>
  <c r="Q11" i="916" a="1"/>
  <c r="L65" i="916"/>
  <c r="R59" i="916"/>
  <c r="K54" i="916"/>
  <c r="W8" i="916" a="1"/>
  <c r="S7" i="916" a="1"/>
  <c r="Y2" i="916" a="1"/>
  <c r="AC4" i="916" a="1"/>
  <c r="Q5" i="916" a="1"/>
  <c r="O4" i="916" a="1"/>
  <c r="W3" i="916" a="1"/>
  <c r="H58" i="916"/>
  <c r="W2" i="916" a="1"/>
  <c r="O5" i="916" a="1"/>
  <c r="S5" i="916" a="1"/>
  <c r="Q59" i="916"/>
  <c r="J54" i="916"/>
  <c r="Q8" i="916" a="1"/>
  <c r="L63" i="916"/>
  <c r="R57" i="916"/>
  <c r="M13" i="916" a="1"/>
  <c r="Q7" i="916" a="1"/>
  <c r="R60" i="916"/>
  <c r="K55" i="916"/>
  <c r="Y10" i="916" a="1"/>
  <c r="H65" i="916"/>
  <c r="I60" i="916"/>
  <c r="O54" i="916"/>
  <c r="Y9" i="916" a="1"/>
  <c r="Q63" i="916"/>
  <c r="J58" i="916"/>
  <c r="K13" i="916" a="1"/>
  <c r="I8" i="916" a="1"/>
  <c r="R61" i="916"/>
  <c r="K56" i="916"/>
  <c r="W10" i="916" a="1"/>
  <c r="Q64" i="916"/>
  <c r="J59" i="916"/>
  <c r="Y13" i="916" a="1"/>
  <c r="G8" i="916" a="1"/>
  <c r="G6" i="916" a="1"/>
  <c r="Q61" i="916"/>
  <c r="M4" i="916" a="1"/>
  <c r="W4" i="916" a="1"/>
  <c r="K2" i="916" a="1"/>
  <c r="G3" i="916" a="1"/>
  <c r="Q10" i="916" a="1"/>
  <c r="G2" i="916" a="1"/>
  <c r="U4" i="916" a="1"/>
  <c r="Y4" i="916" a="1"/>
  <c r="O3" i="916" a="1"/>
  <c r="K57" i="916"/>
  <c r="N61" i="916"/>
  <c r="I11" i="916" a="1"/>
  <c r="G59" i="916"/>
  <c r="U8" i="916" a="1"/>
  <c r="P57" i="916"/>
  <c r="U7" i="916" a="1"/>
  <c r="L56" i="916"/>
  <c r="N65" i="916"/>
  <c r="M54" i="916"/>
  <c r="K62" i="916"/>
  <c r="U11" i="916" a="1"/>
  <c r="S4" i="916" a="1"/>
  <c r="K59" i="916"/>
  <c r="AA11" i="916" a="1"/>
  <c r="U5" i="916" a="1"/>
  <c r="O13" i="916" a="1"/>
  <c r="U2" i="916" a="1"/>
  <c r="R65" i="916"/>
  <c r="O10" i="916" a="1"/>
  <c r="G13" i="916" a="1"/>
  <c r="O62" i="916"/>
  <c r="G12" i="916" a="1"/>
  <c r="P60" i="916"/>
  <c r="K64" i="916"/>
  <c r="U13" i="916" a="1"/>
  <c r="P61" i="916"/>
  <c r="M65" i="916"/>
  <c r="W9" i="916" a="1"/>
  <c r="S2" i="916" a="1"/>
  <c r="K11" i="916" a="1"/>
  <c r="AC8" i="916" a="1"/>
  <c r="S3" i="916" a="1"/>
  <c r="P64" i="916"/>
  <c r="H64" i="916"/>
  <c r="I59" i="916"/>
  <c r="S13" i="916" a="1"/>
  <c r="W7" i="916" a="1"/>
  <c r="Q62" i="916"/>
  <c r="J57" i="916"/>
  <c r="S12" i="916" a="1"/>
  <c r="Q65" i="916"/>
  <c r="J60" i="916"/>
  <c r="P54" i="916"/>
  <c r="I10" i="916" a="1"/>
  <c r="M64" i="916"/>
  <c r="N59" i="916"/>
  <c r="G54" i="916"/>
  <c r="I9" i="916" a="1"/>
  <c r="O57" i="916"/>
  <c r="Q12" i="916" a="1"/>
  <c r="O7" i="916" a="1"/>
  <c r="J61" i="916"/>
  <c r="P55" i="916"/>
  <c r="G10" i="916" a="1"/>
  <c r="O58" i="916"/>
  <c r="I13" i="916" a="1"/>
  <c r="AC7" i="916" a="1"/>
  <c r="AC5" i="916" a="1"/>
  <c r="Y6" i="916" a="1"/>
  <c r="AA2" i="916" a="1"/>
  <c r="G4" i="916" a="1"/>
  <c r="O63" i="916"/>
  <c r="AC2" i="916" a="1"/>
  <c r="G9" i="916" a="1"/>
  <c r="AA3" i="916" a="1"/>
  <c r="I61" i="916"/>
  <c r="I4" i="916" a="1"/>
  <c r="N58" i="916"/>
  <c r="Y12" i="916" a="1"/>
  <c r="G7" i="916" a="1"/>
  <c r="I62" i="916"/>
  <c r="O56" i="916"/>
  <c r="Y11" i="916" a="1"/>
  <c r="I65" i="916"/>
  <c r="O59" i="916"/>
  <c r="H54" i="916"/>
  <c r="O9" i="916" a="1"/>
  <c r="R63" i="916"/>
  <c r="K58" i="916"/>
  <c r="Q13" i="916" a="1"/>
  <c r="O8" i="916" a="1"/>
  <c r="N62" i="916"/>
  <c r="G57" i="916"/>
  <c r="W11" i="916" a="1"/>
  <c r="U6" i="916" a="1"/>
  <c r="O60" i="916"/>
  <c r="H55" i="916"/>
  <c r="AC9" i="916" a="1"/>
  <c r="N63" i="916"/>
  <c r="G58" i="916"/>
  <c r="O12" i="916" a="1"/>
  <c r="M7" i="916" a="1"/>
  <c r="M5" i="916" a="1"/>
  <c r="R64" i="916"/>
  <c r="J64" i="916"/>
  <c r="AC3" i="916" a="1"/>
  <c r="P58" i="916"/>
  <c r="M2" i="916" a="1"/>
  <c r="O6" i="916" a="1"/>
  <c r="I5" i="916" a="1"/>
  <c r="J56" i="916"/>
  <c r="I12" i="916" a="1"/>
  <c r="AC6" i="916" a="1"/>
  <c r="G56" i="916"/>
  <c r="N64" i="916"/>
  <c r="W13" i="916" a="1"/>
  <c r="J63" i="916"/>
  <c r="W12" i="916" a="1"/>
  <c r="K61" i="916"/>
  <c r="G11" i="916" a="1"/>
  <c r="G60" i="916"/>
  <c r="M9" i="916" a="1"/>
  <c r="L57" i="916"/>
  <c r="S6" i="916" a="1"/>
  <c r="G55" i="916"/>
  <c r="M3" i="916" a="1"/>
  <c r="K3" i="916" a="1"/>
  <c r="L62" i="916"/>
  <c r="O11" i="916" a="1"/>
  <c r="L55" i="916"/>
  <c r="K63" i="916"/>
  <c r="AA7" i="916" a="1"/>
  <c r="H57" i="916"/>
  <c r="AA6" i="916" a="1"/>
  <c r="AC10" i="916" a="1"/>
  <c r="L59" i="916"/>
  <c r="S8" i="916" a="1"/>
  <c r="Q56" i="916"/>
  <c r="L54" i="916"/>
  <c r="I2" i="916" l="1"/>
  <c r="S3" i="916"/>
  <c r="T3" i="916" s="1"/>
  <c r="H45" i="916" s="1" a="1"/>
  <c r="H45" i="916" s="1"/>
  <c r="U2" i="916"/>
  <c r="O3" i="916"/>
  <c r="P3" i="916" s="1"/>
  <c r="H43" i="916" s="1" a="1"/>
  <c r="H43" i="916" s="1"/>
  <c r="I4" i="916"/>
  <c r="J4" i="916" s="1"/>
  <c r="I40" i="916" s="1" a="1"/>
  <c r="I40" i="916" s="1"/>
  <c r="Y4" i="916"/>
  <c r="Z4" i="916" s="1"/>
  <c r="I48" i="916" s="1" a="1"/>
  <c r="I48" i="916" s="1"/>
  <c r="S5" i="916"/>
  <c r="T5" i="916" s="1"/>
  <c r="J45" i="916" s="1" a="1"/>
  <c r="J45" i="916" s="1"/>
  <c r="M6" i="916"/>
  <c r="N6" i="916" s="1"/>
  <c r="K42" i="916" s="1" a="1"/>
  <c r="K42" i="916" s="1"/>
  <c r="W6" i="916"/>
  <c r="X6" i="916" s="1"/>
  <c r="K47" i="916" s="1" a="1"/>
  <c r="K47" i="916" s="1"/>
  <c r="AC8" i="916"/>
  <c r="AD8" i="916" s="1"/>
  <c r="O13" i="916"/>
  <c r="P13" i="916" s="1"/>
  <c r="R43" i="916" s="1" a="1"/>
  <c r="R43" i="916" s="1"/>
  <c r="U4" i="916"/>
  <c r="V4" i="916" s="1"/>
  <c r="I46" i="916" s="1" a="1"/>
  <c r="I46" i="916" s="1"/>
  <c r="O5" i="916"/>
  <c r="P5" i="916" s="1"/>
  <c r="J43" i="916" s="1" a="1"/>
  <c r="J43" i="916" s="1"/>
  <c r="I6" i="916"/>
  <c r="J6" i="916" s="1"/>
  <c r="K40" i="916" s="1" a="1"/>
  <c r="K40" i="916" s="1"/>
  <c r="U12" i="916"/>
  <c r="V12" i="916" s="1"/>
  <c r="Q46" i="916" s="1" a="1"/>
  <c r="Q46" i="916" s="1"/>
  <c r="I5" i="916"/>
  <c r="J5" i="916" s="1"/>
  <c r="J40" i="916" s="1" a="1"/>
  <c r="J40" i="916" s="1"/>
  <c r="AA3" i="916"/>
  <c r="AB3" i="916" s="1"/>
  <c r="G2" i="916"/>
  <c r="W2" i="916"/>
  <c r="Q3" i="916"/>
  <c r="R3" i="916" s="1"/>
  <c r="H44" i="916" s="1" a="1"/>
  <c r="H44" i="916" s="1"/>
  <c r="K4" i="916"/>
  <c r="L4" i="916" s="1"/>
  <c r="I41" i="916" s="1" a="1"/>
  <c r="I41" i="916" s="1"/>
  <c r="AA4" i="916"/>
  <c r="AB4" i="916" s="1"/>
  <c r="U5" i="916"/>
  <c r="V5" i="916" s="1"/>
  <c r="J46" i="916" s="1" a="1"/>
  <c r="J46" i="916" s="1"/>
  <c r="O6" i="916"/>
  <c r="P6" i="916" s="1"/>
  <c r="K43" i="916" s="1" a="1"/>
  <c r="K43" i="916" s="1"/>
  <c r="G9" i="916"/>
  <c r="Q10" i="916"/>
  <c r="R10" i="916" s="1"/>
  <c r="O44" i="916" s="1" a="1"/>
  <c r="O44" i="916" s="1"/>
  <c r="U3" i="916"/>
  <c r="V3" i="916" s="1"/>
  <c r="H46" i="916" s="1" a="1"/>
  <c r="H46" i="916" s="1"/>
  <c r="K11" i="916"/>
  <c r="L11" i="916" s="1"/>
  <c r="P41" i="916" s="1" a="1"/>
  <c r="P41" i="916" s="1"/>
  <c r="K3" i="916"/>
  <c r="L3" i="916" s="1"/>
  <c r="H41" i="916" s="1" a="1"/>
  <c r="H41" i="916" s="1"/>
  <c r="M2" i="916"/>
  <c r="AC2" i="916"/>
  <c r="G3" i="916"/>
  <c r="W3" i="916"/>
  <c r="X3" i="916" s="1"/>
  <c r="H47" i="916" s="1" a="1"/>
  <c r="H47" i="916" s="1"/>
  <c r="Q4" i="916"/>
  <c r="R4" i="916" s="1"/>
  <c r="I44" i="916" s="1" a="1"/>
  <c r="I44" i="916" s="1"/>
  <c r="K5" i="916"/>
  <c r="L5" i="916" s="1"/>
  <c r="J41" i="916" s="1" a="1"/>
  <c r="J41" i="916" s="1"/>
  <c r="AA5" i="916"/>
  <c r="AB5" i="916" s="1"/>
  <c r="AA11" i="916"/>
  <c r="AB11" i="916" s="1"/>
  <c r="K2" i="916"/>
  <c r="O4" i="916"/>
  <c r="P4" i="916" s="1"/>
  <c r="I43" i="916" s="1" a="1"/>
  <c r="I43" i="916" s="1"/>
  <c r="Y5" i="916"/>
  <c r="Z5" i="916" s="1"/>
  <c r="J48" i="916" s="1" a="1"/>
  <c r="J48" i="916" s="1"/>
  <c r="Q2" i="916"/>
  <c r="S2" i="916"/>
  <c r="M3" i="916"/>
  <c r="N3" i="916" s="1"/>
  <c r="H42" i="916" s="1" a="1"/>
  <c r="H42" i="916" s="1"/>
  <c r="AC3" i="916"/>
  <c r="AD3" i="916" s="1"/>
  <c r="G4" i="916"/>
  <c r="W4" i="916"/>
  <c r="X4" i="916" s="1"/>
  <c r="I47" i="916" s="1" a="1"/>
  <c r="I47" i="916" s="1"/>
  <c r="Q5" i="916"/>
  <c r="R5" i="916" s="1"/>
  <c r="J44" i="916" s="1" a="1"/>
  <c r="J44" i="916" s="1"/>
  <c r="K6" i="916"/>
  <c r="L6" i="916" s="1"/>
  <c r="K41" i="916" s="1" a="1"/>
  <c r="K41" i="916" s="1"/>
  <c r="M8" i="916"/>
  <c r="N8" i="916" s="1"/>
  <c r="M42" i="916" s="1" a="1"/>
  <c r="M42" i="916" s="1"/>
  <c r="AA2" i="916"/>
  <c r="M4" i="916"/>
  <c r="N4" i="916" s="1"/>
  <c r="I42" i="916" s="1" a="1"/>
  <c r="I42" i="916" s="1"/>
  <c r="AC4" i="916"/>
  <c r="AD4" i="916" s="1"/>
  <c r="G5" i="916"/>
  <c r="W5" i="916"/>
  <c r="X5" i="916" s="1"/>
  <c r="J47" i="916" s="1" a="1"/>
  <c r="J47" i="916" s="1"/>
  <c r="W9" i="916"/>
  <c r="X9" i="916" s="1"/>
  <c r="N47" i="916" s="1" a="1"/>
  <c r="N47" i="916" s="1"/>
  <c r="S55" i="916"/>
  <c r="Y6" i="916"/>
  <c r="Z6" i="916" s="1"/>
  <c r="K48" i="916" s="1" a="1"/>
  <c r="K48" i="916" s="1"/>
  <c r="Y2" i="916"/>
  <c r="O2" i="916"/>
  <c r="I3" i="916"/>
  <c r="J3" i="916" s="1"/>
  <c r="H40" i="916" s="1" a="1"/>
  <c r="H40" i="916" s="1"/>
  <c r="Y3" i="916"/>
  <c r="Z3" i="916" s="1"/>
  <c r="H48" i="916" s="1" a="1"/>
  <c r="H48" i="916" s="1"/>
  <c r="S4" i="916"/>
  <c r="T4" i="916" s="1"/>
  <c r="I45" i="916" s="1" a="1"/>
  <c r="I45" i="916" s="1"/>
  <c r="M5" i="916"/>
  <c r="N5" i="916" s="1"/>
  <c r="J42" i="916" s="1" a="1"/>
  <c r="J42" i="916" s="1"/>
  <c r="AC5" i="916"/>
  <c r="AD5" i="916" s="1"/>
  <c r="G6" i="916"/>
  <c r="S7" i="916"/>
  <c r="T7" i="916" s="1"/>
  <c r="L45" i="916" s="1" a="1"/>
  <c r="L45" i="916" s="1"/>
  <c r="S6" i="916"/>
  <c r="T6" i="916" s="1"/>
  <c r="K45" i="916" s="1" a="1"/>
  <c r="K45" i="916" s="1"/>
  <c r="M7" i="916"/>
  <c r="N7" i="916" s="1"/>
  <c r="L42" i="916" s="1" a="1"/>
  <c r="L42" i="916" s="1"/>
  <c r="AC7" i="916"/>
  <c r="AD7" i="916" s="1"/>
  <c r="G8" i="916"/>
  <c r="W8" i="916"/>
  <c r="X8" i="916" s="1"/>
  <c r="M47" i="916" s="1" a="1"/>
  <c r="M47" i="916" s="1"/>
  <c r="Q9" i="916"/>
  <c r="R9" i="916" s="1"/>
  <c r="N44" i="916" s="1" a="1"/>
  <c r="N44" i="916" s="1"/>
  <c r="K10" i="916"/>
  <c r="L10" i="916" s="1"/>
  <c r="O41" i="916" s="1" a="1"/>
  <c r="O41" i="916" s="1"/>
  <c r="AA10" i="916"/>
  <c r="AB10" i="916" s="1"/>
  <c r="U11" i="916"/>
  <c r="V11" i="916" s="1"/>
  <c r="P46" i="916" s="1" a="1"/>
  <c r="P46" i="916" s="1"/>
  <c r="O12" i="916"/>
  <c r="P12" i="916" s="1"/>
  <c r="Q43" i="916" s="1" a="1"/>
  <c r="Q43" i="916" s="1"/>
  <c r="I13" i="916"/>
  <c r="J13" i="916" s="1"/>
  <c r="R40" i="916" s="1" a="1"/>
  <c r="R40" i="916" s="1"/>
  <c r="Y13" i="916"/>
  <c r="Z13" i="916" s="1"/>
  <c r="R48" i="916" s="1" a="1"/>
  <c r="R48" i="916" s="1"/>
  <c r="S58" i="916"/>
  <c r="I7" i="916"/>
  <c r="J7" i="916" s="1"/>
  <c r="L40" i="916" s="1" a="1"/>
  <c r="L40" i="916" s="1"/>
  <c r="Y7" i="916"/>
  <c r="Z7" i="916" s="1"/>
  <c r="L48" i="916" s="1" a="1"/>
  <c r="L48" i="916" s="1"/>
  <c r="S8" i="916"/>
  <c r="T8" i="916" s="1"/>
  <c r="M45" i="916" s="1" a="1"/>
  <c r="M45" i="916" s="1"/>
  <c r="M9" i="916"/>
  <c r="N9" i="916" s="1"/>
  <c r="N42" i="916" s="1" a="1"/>
  <c r="N42" i="916" s="1"/>
  <c r="AC9" i="916"/>
  <c r="AD9" i="916" s="1"/>
  <c r="G10" i="916"/>
  <c r="W10" i="916"/>
  <c r="X10" i="916" s="1"/>
  <c r="O47" i="916" s="1" a="1"/>
  <c r="O47" i="916" s="1"/>
  <c r="Q11" i="916"/>
  <c r="R11" i="916" s="1"/>
  <c r="P44" i="916" s="1" a="1"/>
  <c r="P44" i="916" s="1"/>
  <c r="K12" i="916"/>
  <c r="L12" i="916" s="1"/>
  <c r="Q41" i="916" s="1" a="1"/>
  <c r="Q41" i="916" s="1"/>
  <c r="AA12" i="916"/>
  <c r="AB12" i="916" s="1"/>
  <c r="U13" i="916"/>
  <c r="V13" i="916" s="1"/>
  <c r="R46" i="916" s="1" a="1"/>
  <c r="R46" i="916" s="1"/>
  <c r="S60" i="916"/>
  <c r="U6" i="916"/>
  <c r="V6" i="916" s="1"/>
  <c r="K46" i="916" s="1" a="1"/>
  <c r="K46" i="916" s="1"/>
  <c r="O7" i="916"/>
  <c r="P7" i="916" s="1"/>
  <c r="L43" i="916" s="1" a="1"/>
  <c r="L43" i="916" s="1"/>
  <c r="I8" i="916"/>
  <c r="J8" i="916" s="1"/>
  <c r="M40" i="916" s="1" a="1"/>
  <c r="M40" i="916" s="1"/>
  <c r="Y8" i="916"/>
  <c r="Z8" i="916" s="1"/>
  <c r="M48" i="916" s="1" a="1"/>
  <c r="M48" i="916" s="1"/>
  <c r="S9" i="916"/>
  <c r="T9" i="916" s="1"/>
  <c r="N45" i="916" s="1" a="1"/>
  <c r="N45" i="916" s="1"/>
  <c r="M10" i="916"/>
  <c r="N10" i="916" s="1"/>
  <c r="O42" i="916" s="1" a="1"/>
  <c r="O42" i="916" s="1"/>
  <c r="AC10" i="916"/>
  <c r="AD10" i="916" s="1"/>
  <c r="G11" i="916"/>
  <c r="W11" i="916"/>
  <c r="X11" i="916" s="1"/>
  <c r="P47" i="916" s="1" a="1"/>
  <c r="P47" i="916" s="1"/>
  <c r="Q12" i="916"/>
  <c r="R12" i="916" s="1"/>
  <c r="Q44" i="916" s="1" a="1"/>
  <c r="Q44" i="916" s="1"/>
  <c r="K13" i="916"/>
  <c r="L13" i="916" s="1"/>
  <c r="R41" i="916" s="1" a="1"/>
  <c r="R41" i="916" s="1"/>
  <c r="AA13" i="916"/>
  <c r="AB13" i="916" s="1"/>
  <c r="S57" i="916"/>
  <c r="S65" i="916"/>
  <c r="AA6" i="916"/>
  <c r="AB6" i="916" s="1"/>
  <c r="U7" i="916"/>
  <c r="V7" i="916" s="1"/>
  <c r="L46" i="916" s="1" a="1"/>
  <c r="L46" i="916" s="1"/>
  <c r="O8" i="916"/>
  <c r="P8" i="916" s="1"/>
  <c r="M43" i="916" s="1" a="1"/>
  <c r="M43" i="916" s="1"/>
  <c r="I9" i="916"/>
  <c r="J9" i="916" s="1"/>
  <c r="N40" i="916" s="1" a="1"/>
  <c r="N40" i="916" s="1"/>
  <c r="Y9" i="916"/>
  <c r="Z9" i="916" s="1"/>
  <c r="N48" i="916" s="1" a="1"/>
  <c r="N48" i="916" s="1"/>
  <c r="S10" i="916"/>
  <c r="T10" i="916" s="1"/>
  <c r="O45" i="916" s="1" a="1"/>
  <c r="O45" i="916" s="1"/>
  <c r="M11" i="916"/>
  <c r="N11" i="916" s="1"/>
  <c r="P42" i="916" s="1" a="1"/>
  <c r="P42" i="916" s="1"/>
  <c r="AC11" i="916"/>
  <c r="AD11" i="916" s="1"/>
  <c r="G12" i="916"/>
  <c r="W12" i="916"/>
  <c r="X12" i="916" s="1"/>
  <c r="Q47" i="916" s="1" a="1"/>
  <c r="Q47" i="916" s="1"/>
  <c r="Q13" i="916"/>
  <c r="R13" i="916" s="1"/>
  <c r="R44" i="916" s="1" a="1"/>
  <c r="R44" i="916" s="1"/>
  <c r="S54" i="916"/>
  <c r="S62" i="916"/>
  <c r="Q6" i="916"/>
  <c r="R6" i="916" s="1"/>
  <c r="K44" i="916" s="1" a="1"/>
  <c r="K44" i="916" s="1"/>
  <c r="K7" i="916"/>
  <c r="L7" i="916" s="1"/>
  <c r="L41" i="916" s="1" a="1"/>
  <c r="L41" i="916" s="1"/>
  <c r="AA7" i="916"/>
  <c r="AB7" i="916" s="1"/>
  <c r="U8" i="916"/>
  <c r="V8" i="916" s="1"/>
  <c r="M46" i="916" s="1" a="1"/>
  <c r="M46" i="916" s="1"/>
  <c r="O9" i="916"/>
  <c r="P9" i="916" s="1"/>
  <c r="N43" i="916" s="1" a="1"/>
  <c r="N43" i="916" s="1"/>
  <c r="I10" i="916"/>
  <c r="J10" i="916" s="1"/>
  <c r="O40" i="916" s="1" a="1"/>
  <c r="O40" i="916" s="1"/>
  <c r="Y10" i="916"/>
  <c r="Z10" i="916" s="1"/>
  <c r="O48" i="916" s="1" a="1"/>
  <c r="O48" i="916" s="1"/>
  <c r="S11" i="916"/>
  <c r="T11" i="916" s="1"/>
  <c r="P45" i="916" s="1" a="1"/>
  <c r="P45" i="916" s="1"/>
  <c r="M12" i="916"/>
  <c r="N12" i="916" s="1"/>
  <c r="Q42" i="916" s="1" a="1"/>
  <c r="Q42" i="916" s="1"/>
  <c r="AC12" i="916"/>
  <c r="AD12" i="916" s="1"/>
  <c r="G13" i="916"/>
  <c r="W13" i="916"/>
  <c r="X13" i="916" s="1"/>
  <c r="R47" i="916" s="1" a="1"/>
  <c r="R47" i="916" s="1"/>
  <c r="S59" i="916"/>
  <c r="Q7" i="916"/>
  <c r="R7" i="916" s="1"/>
  <c r="L44" i="916" s="1" a="1"/>
  <c r="L44" i="916" s="1"/>
  <c r="K8" i="916"/>
  <c r="L8" i="916" s="1"/>
  <c r="M41" i="916" s="1" a="1"/>
  <c r="M41" i="916" s="1"/>
  <c r="AA8" i="916"/>
  <c r="AB8" i="916" s="1"/>
  <c r="U9" i="916"/>
  <c r="V9" i="916" s="1"/>
  <c r="N46" i="916" s="1" a="1"/>
  <c r="N46" i="916" s="1"/>
  <c r="O10" i="916"/>
  <c r="P10" i="916" s="1"/>
  <c r="O43" i="916" s="1" a="1"/>
  <c r="O43" i="916" s="1"/>
  <c r="I11" i="916"/>
  <c r="J11" i="916" s="1"/>
  <c r="P40" i="916" s="1" a="1"/>
  <c r="P40" i="916" s="1"/>
  <c r="Y11" i="916"/>
  <c r="Z11" i="916" s="1"/>
  <c r="P48" i="916" s="1" a="1"/>
  <c r="P48" i="916" s="1"/>
  <c r="S12" i="916"/>
  <c r="T12" i="916" s="1"/>
  <c r="Q45" i="916" s="1" a="1"/>
  <c r="Q45" i="916" s="1"/>
  <c r="M13" i="916"/>
  <c r="N13" i="916" s="1"/>
  <c r="R42" i="916" s="1" a="1"/>
  <c r="R42" i="916" s="1"/>
  <c r="AC13" i="916"/>
  <c r="AD13" i="916" s="1"/>
  <c r="S56" i="916"/>
  <c r="AC6" i="916"/>
  <c r="AD6" i="916" s="1"/>
  <c r="G7" i="916"/>
  <c r="W7" i="916"/>
  <c r="X7" i="916" s="1"/>
  <c r="L47" i="916" s="1" a="1"/>
  <c r="L47" i="916" s="1"/>
  <c r="Q8" i="916"/>
  <c r="R8" i="916" s="1"/>
  <c r="M44" i="916" s="1" a="1"/>
  <c r="M44" i="916" s="1"/>
  <c r="K9" i="916"/>
  <c r="L9" i="916" s="1"/>
  <c r="N41" i="916" s="1" a="1"/>
  <c r="N41" i="916" s="1"/>
  <c r="AA9" i="916"/>
  <c r="AB9" i="916" s="1"/>
  <c r="U10" i="916"/>
  <c r="V10" i="916" s="1"/>
  <c r="O46" i="916" s="1" a="1"/>
  <c r="O46" i="916" s="1"/>
  <c r="O11" i="916"/>
  <c r="P11" i="916" s="1"/>
  <c r="P43" i="916" s="1" a="1"/>
  <c r="P43" i="916" s="1"/>
  <c r="I12" i="916"/>
  <c r="J12" i="916" s="1"/>
  <c r="Q40" i="916" s="1" a="1"/>
  <c r="Q40" i="916" s="1"/>
  <c r="Y12" i="916"/>
  <c r="Z12" i="916" s="1"/>
  <c r="Q48" i="916" s="1" a="1"/>
  <c r="Q48" i="916" s="1"/>
  <c r="S13" i="916"/>
  <c r="T13" i="916" s="1"/>
  <c r="R45" i="916" s="1" a="1"/>
  <c r="R45" i="916" s="1"/>
  <c r="S61" i="916"/>
  <c r="F14" i="916"/>
  <c r="AC14" i="916" l="1"/>
  <c r="AD14" i="916" s="1"/>
  <c r="AD2" i="916"/>
  <c r="C8" i="916"/>
  <c r="D8" i="916" s="1"/>
  <c r="E8" i="916" s="1"/>
  <c r="H8" i="916"/>
  <c r="M39" i="916" s="1" a="1"/>
  <c r="M39" i="916" s="1"/>
  <c r="K14" i="916"/>
  <c r="L14" i="916" s="1"/>
  <c r="S41" i="916" s="1" a="1"/>
  <c r="S41" i="916" s="1"/>
  <c r="L2" i="916"/>
  <c r="G41" i="916" s="1" a="1"/>
  <c r="G41" i="916" s="1"/>
  <c r="M14" i="916"/>
  <c r="N14" i="916" s="1"/>
  <c r="S42" i="916" s="1" a="1"/>
  <c r="S42" i="916" s="1"/>
  <c r="N2" i="916"/>
  <c r="G42" i="916" s="1" a="1"/>
  <c r="G42" i="916" s="1"/>
  <c r="C10" i="916"/>
  <c r="D10" i="916" s="1"/>
  <c r="E10" i="916" s="1"/>
  <c r="H10" i="916"/>
  <c r="O39" i="916" s="1" a="1"/>
  <c r="O39" i="916" s="1"/>
  <c r="C5" i="916"/>
  <c r="D5" i="916" s="1"/>
  <c r="E5" i="916" s="1"/>
  <c r="H5" i="916"/>
  <c r="J39" i="916" s="1" a="1"/>
  <c r="J39" i="916" s="1"/>
  <c r="H4" i="916"/>
  <c r="I39" i="916" s="1" a="1"/>
  <c r="I39" i="916" s="1"/>
  <c r="C4" i="916"/>
  <c r="D4" i="916" s="1"/>
  <c r="E4" i="916" s="1"/>
  <c r="C11" i="916"/>
  <c r="D11" i="916" s="1"/>
  <c r="E11" i="916" s="1"/>
  <c r="H11" i="916"/>
  <c r="P39" i="916" s="1" a="1"/>
  <c r="P39" i="916" s="1"/>
  <c r="O14" i="916"/>
  <c r="P14" i="916" s="1"/>
  <c r="S43" i="916" s="1" a="1"/>
  <c r="S43" i="916" s="1"/>
  <c r="P2" i="916"/>
  <c r="G43" i="916" s="1" a="1"/>
  <c r="G43" i="916" s="1"/>
  <c r="H12" i="916"/>
  <c r="Q39" i="916" s="1" a="1"/>
  <c r="Q39" i="916" s="1"/>
  <c r="C12" i="916"/>
  <c r="D12" i="916" s="1"/>
  <c r="E12" i="916" s="1"/>
  <c r="Y14" i="916"/>
  <c r="Z14" i="916" s="1"/>
  <c r="S48" i="916" s="1" a="1"/>
  <c r="S48" i="916" s="1"/>
  <c r="Z2" i="916"/>
  <c r="G48" i="916" s="1" a="1"/>
  <c r="G48" i="916" s="1"/>
  <c r="AA14" i="916"/>
  <c r="AB14" i="916" s="1"/>
  <c r="AB2" i="916"/>
  <c r="T2" i="916"/>
  <c r="G45" i="916" s="1" a="1"/>
  <c r="G45" i="916" s="1"/>
  <c r="S14" i="916"/>
  <c r="T14" i="916" s="1"/>
  <c r="S45" i="916" s="1" a="1"/>
  <c r="S45" i="916" s="1"/>
  <c r="W14" i="916"/>
  <c r="X14" i="916" s="1"/>
  <c r="S47" i="916" s="1" a="1"/>
  <c r="S47" i="916" s="1"/>
  <c r="X2" i="916"/>
  <c r="G47" i="916" s="1" a="1"/>
  <c r="G47" i="916" s="1"/>
  <c r="U14" i="916"/>
  <c r="V14" i="916" s="1"/>
  <c r="S46" i="916" s="1" a="1"/>
  <c r="S46" i="916" s="1"/>
  <c r="V2" i="916"/>
  <c r="G46" i="916" s="1" a="1"/>
  <c r="G46" i="916" s="1"/>
  <c r="C7" i="916"/>
  <c r="D7" i="916" s="1"/>
  <c r="E7" i="916" s="1"/>
  <c r="H7" i="916"/>
  <c r="L39" i="916" s="1" a="1"/>
  <c r="L39" i="916" s="1"/>
  <c r="H13" i="916"/>
  <c r="R39" i="916" s="1" a="1"/>
  <c r="R39" i="916" s="1"/>
  <c r="C13" i="916"/>
  <c r="D13" i="916" s="1"/>
  <c r="E13" i="916" s="1"/>
  <c r="H6" i="916"/>
  <c r="K39" i="916" s="1" a="1"/>
  <c r="K39" i="916" s="1"/>
  <c r="C6" i="916"/>
  <c r="D6" i="916" s="1"/>
  <c r="E6" i="916" s="1"/>
  <c r="Q14" i="916"/>
  <c r="R14" i="916" s="1"/>
  <c r="S44" i="916" s="1" a="1"/>
  <c r="S44" i="916" s="1"/>
  <c r="R2" i="916"/>
  <c r="G44" i="916" s="1" a="1"/>
  <c r="G44" i="916" s="1"/>
  <c r="G14" i="916"/>
  <c r="H14" i="916" s="1"/>
  <c r="S39" i="916" s="1" a="1"/>
  <c r="S39" i="916" s="1"/>
  <c r="C2" i="916"/>
  <c r="H2" i="916"/>
  <c r="G39" i="916" s="1" a="1"/>
  <c r="G39" i="916" s="1"/>
  <c r="H3" i="916"/>
  <c r="H39" i="916" s="1" a="1"/>
  <c r="H39" i="916" s="1"/>
  <c r="C3" i="916"/>
  <c r="D3" i="916" s="1"/>
  <c r="E3" i="916" s="1"/>
  <c r="C9" i="916"/>
  <c r="D9" i="916" s="1"/>
  <c r="E9" i="916" s="1"/>
  <c r="H9" i="916"/>
  <c r="N39" i="916" s="1" a="1"/>
  <c r="N39" i="916" s="1"/>
  <c r="I14" i="916"/>
  <c r="J14" i="916" s="1"/>
  <c r="S40" i="916" s="1" a="1"/>
  <c r="S40" i="916" s="1"/>
  <c r="J2" i="916"/>
  <c r="G40" i="916" s="1" a="1"/>
  <c r="G40" i="916" s="1"/>
  <c r="C14" i="916" l="1"/>
  <c r="D14" i="916" s="1"/>
  <c r="E14" i="916" s="1"/>
  <c r="D2" i="916"/>
  <c r="E2" i="916" s="1"/>
  <c r="G41" i="1" l="1"/>
  <c r="G40" i="1"/>
  <c r="B6" i="914"/>
  <c r="R5" i="914" s="1"/>
  <c r="B5" i="914"/>
  <c r="N80" i="914"/>
  <c r="N79" i="914"/>
  <c r="N78" i="914"/>
  <c r="N72" i="914"/>
  <c r="N71" i="914"/>
  <c r="N70" i="914"/>
  <c r="N69" i="914"/>
  <c r="N68" i="914"/>
  <c r="N59" i="914"/>
  <c r="N58" i="914"/>
  <c r="N57" i="914"/>
  <c r="N56" i="914"/>
  <c r="N55" i="914"/>
  <c r="N54" i="914"/>
  <c r="N53" i="914"/>
  <c r="N52" i="914"/>
  <c r="N51" i="914"/>
  <c r="N50" i="914"/>
  <c r="U15" i="914"/>
  <c r="R15" i="914"/>
  <c r="U14" i="914"/>
  <c r="R14" i="914"/>
  <c r="U13" i="914"/>
  <c r="R13" i="914"/>
  <c r="U12" i="914"/>
  <c r="R12" i="914"/>
  <c r="U11" i="914"/>
  <c r="R11" i="914"/>
  <c r="U10" i="914"/>
  <c r="R10" i="914"/>
  <c r="U9" i="914"/>
  <c r="R9" i="914"/>
  <c r="U8" i="914"/>
  <c r="R8" i="914"/>
  <c r="U7" i="914"/>
  <c r="R7" i="914"/>
  <c r="B7" i="914"/>
  <c r="D25" i="914" s="1"/>
  <c r="U6" i="914"/>
  <c r="R6" i="914"/>
  <c r="U5" i="914"/>
  <c r="U4" i="914"/>
  <c r="R4" i="914"/>
  <c r="B3" i="914"/>
  <c r="K2" i="914"/>
  <c r="K49" i="914" s="1"/>
  <c r="J2" i="914"/>
  <c r="J67" i="914" s="1"/>
  <c r="I2" i="914"/>
  <c r="I67" i="914" s="1"/>
  <c r="H2" i="914"/>
  <c r="H67" i="914" s="1"/>
  <c r="G2" i="914"/>
  <c r="G67" i="914" s="1"/>
  <c r="F2" i="914"/>
  <c r="F77" i="914" s="1"/>
  <c r="E2" i="914"/>
  <c r="E77" i="914" s="1"/>
  <c r="B2" i="914"/>
  <c r="B1" i="914"/>
  <c r="B6" i="913"/>
  <c r="R5" i="913" s="1"/>
  <c r="B5" i="913"/>
  <c r="N80" i="913"/>
  <c r="N79" i="913"/>
  <c r="N78" i="913"/>
  <c r="N72" i="913"/>
  <c r="N71" i="913"/>
  <c r="N70" i="913"/>
  <c r="N69" i="913"/>
  <c r="N68" i="913"/>
  <c r="N59" i="913"/>
  <c r="N58" i="913"/>
  <c r="N57" i="913"/>
  <c r="N56" i="913"/>
  <c r="N55" i="913"/>
  <c r="N54" i="913"/>
  <c r="N53" i="913"/>
  <c r="N52" i="913"/>
  <c r="N51" i="913"/>
  <c r="N50" i="913"/>
  <c r="U15" i="913"/>
  <c r="R15" i="913"/>
  <c r="U14" i="913"/>
  <c r="R14" i="913"/>
  <c r="U13" i="913"/>
  <c r="R13" i="913"/>
  <c r="U12" i="913"/>
  <c r="R12" i="913"/>
  <c r="U11" i="913"/>
  <c r="R11" i="913"/>
  <c r="U10" i="913"/>
  <c r="R10" i="913"/>
  <c r="U9" i="913"/>
  <c r="R9" i="913"/>
  <c r="U8" i="913"/>
  <c r="R8" i="913"/>
  <c r="U7" i="913"/>
  <c r="R7" i="913"/>
  <c r="B7" i="913"/>
  <c r="E24" i="913" s="1"/>
  <c r="U6" i="913"/>
  <c r="R6" i="913"/>
  <c r="U5" i="913"/>
  <c r="U4" i="913"/>
  <c r="R4" i="913"/>
  <c r="B3" i="913"/>
  <c r="K2" i="913"/>
  <c r="K49" i="913" s="1"/>
  <c r="J2" i="913"/>
  <c r="J67" i="913" s="1"/>
  <c r="I2" i="913"/>
  <c r="I67" i="913" s="1"/>
  <c r="H2" i="913"/>
  <c r="H67" i="913" s="1"/>
  <c r="G2" i="913"/>
  <c r="G77" i="913" s="1"/>
  <c r="F2" i="913"/>
  <c r="F77" i="913" s="1"/>
  <c r="E2" i="913"/>
  <c r="E77" i="913" s="1"/>
  <c r="B2" i="913"/>
  <c r="B1" i="913"/>
  <c r="B6" i="912"/>
  <c r="B5" i="912"/>
  <c r="N80" i="912"/>
  <c r="N79" i="912"/>
  <c r="N78" i="912"/>
  <c r="N72" i="912"/>
  <c r="N71" i="912"/>
  <c r="N70" i="912"/>
  <c r="N69" i="912"/>
  <c r="N68" i="912"/>
  <c r="N59" i="912"/>
  <c r="N58" i="912"/>
  <c r="N57" i="912"/>
  <c r="N56" i="912"/>
  <c r="N55" i="912"/>
  <c r="N54" i="912"/>
  <c r="N53" i="912"/>
  <c r="N52" i="912"/>
  <c r="N51" i="912"/>
  <c r="N50" i="912"/>
  <c r="U15" i="912"/>
  <c r="R15" i="912"/>
  <c r="U14" i="912"/>
  <c r="R14" i="912"/>
  <c r="U13" i="912"/>
  <c r="R13" i="912"/>
  <c r="U12" i="912"/>
  <c r="R12" i="912"/>
  <c r="U11" i="912"/>
  <c r="R11" i="912"/>
  <c r="U10" i="912"/>
  <c r="R10" i="912"/>
  <c r="U9" i="912"/>
  <c r="R9" i="912"/>
  <c r="U8" i="912"/>
  <c r="R8" i="912"/>
  <c r="U7" i="912"/>
  <c r="R7" i="912"/>
  <c r="B7" i="912"/>
  <c r="D25" i="912" s="1"/>
  <c r="U6" i="912"/>
  <c r="R6" i="912"/>
  <c r="U5" i="912"/>
  <c r="R5" i="912"/>
  <c r="U4" i="912"/>
  <c r="R4" i="912"/>
  <c r="B3" i="912"/>
  <c r="K2" i="912"/>
  <c r="K49" i="912" s="1"/>
  <c r="J2" i="912"/>
  <c r="J67" i="912" s="1"/>
  <c r="I2" i="912"/>
  <c r="I67" i="912" s="1"/>
  <c r="H2" i="912"/>
  <c r="H67" i="912" s="1"/>
  <c r="G2" i="912"/>
  <c r="G67" i="912" s="1"/>
  <c r="F2" i="912"/>
  <c r="F77" i="912" s="1"/>
  <c r="E2" i="912"/>
  <c r="E77" i="912" s="1"/>
  <c r="B2" i="912"/>
  <c r="B1" i="912"/>
  <c r="B6" i="911"/>
  <c r="D24" i="911" s="1"/>
  <c r="B5" i="911"/>
  <c r="N80" i="911"/>
  <c r="N79" i="911"/>
  <c r="N78" i="911"/>
  <c r="N72" i="911"/>
  <c r="N71" i="911"/>
  <c r="N70" i="911"/>
  <c r="N69" i="911"/>
  <c r="N68" i="911"/>
  <c r="N59" i="911"/>
  <c r="N58" i="911"/>
  <c r="N57" i="911"/>
  <c r="N56" i="911"/>
  <c r="N55" i="911"/>
  <c r="N54" i="911"/>
  <c r="N53" i="911"/>
  <c r="N52" i="911"/>
  <c r="N51" i="911"/>
  <c r="N50" i="911"/>
  <c r="U15" i="911"/>
  <c r="R15" i="911"/>
  <c r="U14" i="911"/>
  <c r="R14" i="911"/>
  <c r="U13" i="911"/>
  <c r="R13" i="911"/>
  <c r="U12" i="911"/>
  <c r="R12" i="911"/>
  <c r="U11" i="911"/>
  <c r="R11" i="911"/>
  <c r="U10" i="911"/>
  <c r="R10" i="911"/>
  <c r="U9" i="911"/>
  <c r="R9" i="911"/>
  <c r="U8" i="911"/>
  <c r="R8" i="911"/>
  <c r="U7" i="911"/>
  <c r="R7" i="911"/>
  <c r="B7" i="911"/>
  <c r="D25" i="911" s="1"/>
  <c r="U6" i="911"/>
  <c r="U5" i="911"/>
  <c r="U4" i="911"/>
  <c r="R4" i="911"/>
  <c r="B3" i="911"/>
  <c r="K2" i="911"/>
  <c r="K49" i="911" s="1"/>
  <c r="J2" i="911"/>
  <c r="J67" i="911" s="1"/>
  <c r="I2" i="911"/>
  <c r="I77" i="911" s="1"/>
  <c r="H2" i="911"/>
  <c r="H49" i="911" s="1"/>
  <c r="G2" i="911"/>
  <c r="G67" i="911" s="1"/>
  <c r="F2" i="911"/>
  <c r="F77" i="911" s="1"/>
  <c r="E2" i="911"/>
  <c r="E77" i="911" s="1"/>
  <c r="B2" i="911"/>
  <c r="B1" i="911"/>
  <c r="B6" i="910"/>
  <c r="R6" i="910" s="1"/>
  <c r="B5" i="910"/>
  <c r="N80" i="910"/>
  <c r="N79" i="910"/>
  <c r="N78" i="910"/>
  <c r="N72" i="910"/>
  <c r="N71" i="910"/>
  <c r="N70" i="910"/>
  <c r="N69" i="910"/>
  <c r="N68" i="910"/>
  <c r="N59" i="910"/>
  <c r="N58" i="910"/>
  <c r="N57" i="910"/>
  <c r="N56" i="910"/>
  <c r="N55" i="910"/>
  <c r="N54" i="910"/>
  <c r="N53" i="910"/>
  <c r="N52" i="910"/>
  <c r="N51" i="910"/>
  <c r="N50" i="910"/>
  <c r="U15" i="910"/>
  <c r="R15" i="910"/>
  <c r="U14" i="910"/>
  <c r="R14" i="910"/>
  <c r="U13" i="910"/>
  <c r="R13" i="910"/>
  <c r="U12" i="910"/>
  <c r="R12" i="910"/>
  <c r="U11" i="910"/>
  <c r="R11" i="910"/>
  <c r="U10" i="910"/>
  <c r="R10" i="910"/>
  <c r="U9" i="910"/>
  <c r="R9" i="910"/>
  <c r="U8" i="910"/>
  <c r="R8" i="910"/>
  <c r="U7" i="910"/>
  <c r="R7" i="910"/>
  <c r="B7" i="910"/>
  <c r="E24" i="910" s="1"/>
  <c r="U6" i="910"/>
  <c r="U5" i="910"/>
  <c r="U4" i="910"/>
  <c r="R4" i="910"/>
  <c r="B3" i="910"/>
  <c r="K2" i="910"/>
  <c r="K49" i="910" s="1"/>
  <c r="J2" i="910"/>
  <c r="J67" i="910" s="1"/>
  <c r="I2" i="910"/>
  <c r="I67" i="910" s="1"/>
  <c r="H2" i="910"/>
  <c r="H67" i="910" s="1"/>
  <c r="G2" i="910"/>
  <c r="G67" i="910" s="1"/>
  <c r="F2" i="910"/>
  <c r="F77" i="910" s="1"/>
  <c r="E2" i="910"/>
  <c r="E77" i="910" s="1"/>
  <c r="B2" i="910"/>
  <c r="B1" i="910"/>
  <c r="B6" i="909"/>
  <c r="B5" i="909"/>
  <c r="N80" i="909"/>
  <c r="N79" i="909"/>
  <c r="N78" i="909"/>
  <c r="N72" i="909"/>
  <c r="N71" i="909"/>
  <c r="N70" i="909"/>
  <c r="N69" i="909"/>
  <c r="N68" i="909"/>
  <c r="N59" i="909"/>
  <c r="N58" i="909"/>
  <c r="N57" i="909"/>
  <c r="N56" i="909"/>
  <c r="N55" i="909"/>
  <c r="N54" i="909"/>
  <c r="N53" i="909"/>
  <c r="N52" i="909"/>
  <c r="N51" i="909"/>
  <c r="N50" i="909"/>
  <c r="U15" i="909"/>
  <c r="R15" i="909"/>
  <c r="U14" i="909"/>
  <c r="R14" i="909"/>
  <c r="U13" i="909"/>
  <c r="R13" i="909"/>
  <c r="U12" i="909"/>
  <c r="R12" i="909"/>
  <c r="U11" i="909"/>
  <c r="R11" i="909"/>
  <c r="U10" i="909"/>
  <c r="R10" i="909"/>
  <c r="U9" i="909"/>
  <c r="R9" i="909"/>
  <c r="U8" i="909"/>
  <c r="R8" i="909"/>
  <c r="U7" i="909"/>
  <c r="R7" i="909"/>
  <c r="B7" i="909"/>
  <c r="D25" i="909" s="1"/>
  <c r="U6" i="909"/>
  <c r="R6" i="909"/>
  <c r="U5" i="909"/>
  <c r="R5" i="909"/>
  <c r="U4" i="909"/>
  <c r="R4" i="909"/>
  <c r="B3" i="909"/>
  <c r="K2" i="909"/>
  <c r="K49" i="909" s="1"/>
  <c r="J2" i="909"/>
  <c r="J67" i="909" s="1"/>
  <c r="I2" i="909"/>
  <c r="I67" i="909" s="1"/>
  <c r="H2" i="909"/>
  <c r="H67" i="909" s="1"/>
  <c r="G2" i="909"/>
  <c r="G77" i="909" s="1"/>
  <c r="F2" i="909"/>
  <c r="F77" i="909" s="1"/>
  <c r="E2" i="909"/>
  <c r="E77" i="909" s="1"/>
  <c r="B2" i="909"/>
  <c r="B1" i="909"/>
  <c r="B6" i="908"/>
  <c r="R6" i="908" s="1"/>
  <c r="B5" i="908"/>
  <c r="N80" i="908"/>
  <c r="N79" i="908"/>
  <c r="N78" i="908"/>
  <c r="N72" i="908"/>
  <c r="N71" i="908"/>
  <c r="N70" i="908"/>
  <c r="N69" i="908"/>
  <c r="N68" i="908"/>
  <c r="N59" i="908"/>
  <c r="N58" i="908"/>
  <c r="N57" i="908"/>
  <c r="N56" i="908"/>
  <c r="N55" i="908"/>
  <c r="N54" i="908"/>
  <c r="N53" i="908"/>
  <c r="N52" i="908"/>
  <c r="N51" i="908"/>
  <c r="N50" i="908"/>
  <c r="U15" i="908"/>
  <c r="R15" i="908"/>
  <c r="U14" i="908"/>
  <c r="R14" i="908"/>
  <c r="U13" i="908"/>
  <c r="R13" i="908"/>
  <c r="U12" i="908"/>
  <c r="R12" i="908"/>
  <c r="U11" i="908"/>
  <c r="R11" i="908"/>
  <c r="U10" i="908"/>
  <c r="R10" i="908"/>
  <c r="U9" i="908"/>
  <c r="R9" i="908"/>
  <c r="U8" i="908"/>
  <c r="R8" i="908"/>
  <c r="U7" i="908"/>
  <c r="R7" i="908"/>
  <c r="B7" i="908"/>
  <c r="E24" i="908" s="1"/>
  <c r="U6" i="908"/>
  <c r="U5" i="908"/>
  <c r="R5" i="908"/>
  <c r="U4" i="908"/>
  <c r="R4" i="908"/>
  <c r="B3" i="908"/>
  <c r="K2" i="908"/>
  <c r="K49" i="908" s="1"/>
  <c r="J2" i="908"/>
  <c r="J67" i="908" s="1"/>
  <c r="I2" i="908"/>
  <c r="I67" i="908" s="1"/>
  <c r="H2" i="908"/>
  <c r="H67" i="908" s="1"/>
  <c r="G2" i="908"/>
  <c r="G67" i="908" s="1"/>
  <c r="F2" i="908"/>
  <c r="F77" i="908" s="1"/>
  <c r="E2" i="908"/>
  <c r="E77" i="908" s="1"/>
  <c r="B2" i="908"/>
  <c r="B1" i="908"/>
  <c r="B6" i="907"/>
  <c r="D24" i="907" s="1"/>
  <c r="B5" i="907"/>
  <c r="N80" i="907"/>
  <c r="N79" i="907"/>
  <c r="N78" i="907"/>
  <c r="N72" i="907"/>
  <c r="N71" i="907"/>
  <c r="N70" i="907"/>
  <c r="N69" i="907"/>
  <c r="N68" i="907"/>
  <c r="N59" i="907"/>
  <c r="N58" i="907"/>
  <c r="N57" i="907"/>
  <c r="N56" i="907"/>
  <c r="N55" i="907"/>
  <c r="N54" i="907"/>
  <c r="N53" i="907"/>
  <c r="N52" i="907"/>
  <c r="N51" i="907"/>
  <c r="N50" i="907"/>
  <c r="U15" i="907"/>
  <c r="R15" i="907"/>
  <c r="U14" i="907"/>
  <c r="R14" i="907"/>
  <c r="U13" i="907"/>
  <c r="R13" i="907"/>
  <c r="U12" i="907"/>
  <c r="R12" i="907"/>
  <c r="U11" i="907"/>
  <c r="R11" i="907"/>
  <c r="U10" i="907"/>
  <c r="R10" i="907"/>
  <c r="U9" i="907"/>
  <c r="R9" i="907"/>
  <c r="U8" i="907"/>
  <c r="R8" i="907"/>
  <c r="U7" i="907"/>
  <c r="R7" i="907"/>
  <c r="B7" i="907"/>
  <c r="D25" i="907" s="1"/>
  <c r="U6" i="907"/>
  <c r="R6" i="907"/>
  <c r="U5" i="907"/>
  <c r="R5" i="907"/>
  <c r="U4" i="907"/>
  <c r="R4" i="907"/>
  <c r="B3" i="907"/>
  <c r="K2" i="907"/>
  <c r="K49" i="907" s="1"/>
  <c r="J2" i="907"/>
  <c r="J67" i="907" s="1"/>
  <c r="I2" i="907"/>
  <c r="I67" i="907" s="1"/>
  <c r="H2" i="907"/>
  <c r="H67" i="907" s="1"/>
  <c r="G2" i="907"/>
  <c r="G67" i="907" s="1"/>
  <c r="F2" i="907"/>
  <c r="F77" i="907" s="1"/>
  <c r="E2" i="907"/>
  <c r="E77" i="907" s="1"/>
  <c r="B2" i="907"/>
  <c r="B1" i="907"/>
  <c r="B6" i="906"/>
  <c r="R5" i="906" s="1"/>
  <c r="B5" i="906"/>
  <c r="N80" i="906"/>
  <c r="N79" i="906"/>
  <c r="N78" i="906"/>
  <c r="N72" i="906"/>
  <c r="N71" i="906"/>
  <c r="N70" i="906"/>
  <c r="N69" i="906"/>
  <c r="N68" i="906"/>
  <c r="N59" i="906"/>
  <c r="N58" i="906"/>
  <c r="N57" i="906"/>
  <c r="N56" i="906"/>
  <c r="N55" i="906"/>
  <c r="N54" i="906"/>
  <c r="N53" i="906"/>
  <c r="N52" i="906"/>
  <c r="N51" i="906"/>
  <c r="N50" i="906"/>
  <c r="U15" i="906"/>
  <c r="R15" i="906"/>
  <c r="U14" i="906"/>
  <c r="R14" i="906"/>
  <c r="U13" i="906"/>
  <c r="R13" i="906"/>
  <c r="U12" i="906"/>
  <c r="R12" i="906"/>
  <c r="U11" i="906"/>
  <c r="R11" i="906"/>
  <c r="U10" i="906"/>
  <c r="R10" i="906"/>
  <c r="U9" i="906"/>
  <c r="R9" i="906"/>
  <c r="U8" i="906"/>
  <c r="R8" i="906"/>
  <c r="U7" i="906"/>
  <c r="R7" i="906"/>
  <c r="B7" i="906"/>
  <c r="D25" i="906" s="1"/>
  <c r="U6" i="906"/>
  <c r="R6" i="906"/>
  <c r="U5" i="906"/>
  <c r="U4" i="906"/>
  <c r="R4" i="906"/>
  <c r="B3" i="906"/>
  <c r="K2" i="906"/>
  <c r="K49" i="906" s="1"/>
  <c r="J2" i="906"/>
  <c r="J67" i="906" s="1"/>
  <c r="I2" i="906"/>
  <c r="I67" i="906" s="1"/>
  <c r="H2" i="906"/>
  <c r="H67" i="906" s="1"/>
  <c r="G2" i="906"/>
  <c r="G67" i="906" s="1"/>
  <c r="F2" i="906"/>
  <c r="F77" i="906" s="1"/>
  <c r="E2" i="906"/>
  <c r="E77" i="906" s="1"/>
  <c r="B2" i="906"/>
  <c r="B1" i="906"/>
  <c r="B6" i="905"/>
  <c r="B5" i="905"/>
  <c r="N80" i="905"/>
  <c r="N79" i="905"/>
  <c r="N78" i="905"/>
  <c r="N72" i="905"/>
  <c r="N71" i="905"/>
  <c r="N70" i="905"/>
  <c r="N69" i="905"/>
  <c r="N68" i="905"/>
  <c r="N59" i="905"/>
  <c r="N58" i="905"/>
  <c r="N57" i="905"/>
  <c r="N56" i="905"/>
  <c r="N55" i="905"/>
  <c r="N54" i="905"/>
  <c r="N53" i="905"/>
  <c r="N52" i="905"/>
  <c r="N51" i="905"/>
  <c r="N50" i="905"/>
  <c r="U15" i="905"/>
  <c r="R15" i="905"/>
  <c r="U14" i="905"/>
  <c r="R14" i="905"/>
  <c r="U13" i="905"/>
  <c r="R13" i="905"/>
  <c r="U12" i="905"/>
  <c r="R12" i="905"/>
  <c r="U11" i="905"/>
  <c r="R11" i="905"/>
  <c r="U10" i="905"/>
  <c r="R10" i="905"/>
  <c r="U9" i="905"/>
  <c r="R9" i="905"/>
  <c r="U8" i="905"/>
  <c r="R8" i="905"/>
  <c r="U7" i="905"/>
  <c r="R7" i="905"/>
  <c r="B7" i="905"/>
  <c r="D25" i="905" s="1"/>
  <c r="U6" i="905"/>
  <c r="R6" i="905"/>
  <c r="U5" i="905"/>
  <c r="R5" i="905"/>
  <c r="U4" i="905"/>
  <c r="R4" i="905"/>
  <c r="B3" i="905"/>
  <c r="K2" i="905"/>
  <c r="K49" i="905" s="1"/>
  <c r="J2" i="905"/>
  <c r="J67" i="905" s="1"/>
  <c r="I2" i="905"/>
  <c r="I67" i="905" s="1"/>
  <c r="H2" i="905"/>
  <c r="H67" i="905" s="1"/>
  <c r="G2" i="905"/>
  <c r="G67" i="905" s="1"/>
  <c r="F2" i="905"/>
  <c r="F77" i="905" s="1"/>
  <c r="E2" i="905"/>
  <c r="E77" i="905" s="1"/>
  <c r="B2" i="905"/>
  <c r="B1" i="905"/>
  <c r="B6" i="904"/>
  <c r="D24" i="904" s="1"/>
  <c r="B5" i="904"/>
  <c r="N80" i="904"/>
  <c r="N79" i="904"/>
  <c r="N78" i="904"/>
  <c r="N72" i="904"/>
  <c r="N71" i="904"/>
  <c r="N70" i="904"/>
  <c r="N69" i="904"/>
  <c r="N68" i="904"/>
  <c r="N59" i="904"/>
  <c r="N58" i="904"/>
  <c r="N57" i="904"/>
  <c r="N56" i="904"/>
  <c r="N55" i="904"/>
  <c r="N54" i="904"/>
  <c r="N53" i="904"/>
  <c r="N52" i="904"/>
  <c r="N51" i="904"/>
  <c r="N50" i="904"/>
  <c r="U15" i="904"/>
  <c r="R15" i="904"/>
  <c r="U14" i="904"/>
  <c r="R14" i="904"/>
  <c r="U13" i="904"/>
  <c r="R13" i="904"/>
  <c r="U12" i="904"/>
  <c r="R12" i="904"/>
  <c r="U11" i="904"/>
  <c r="R11" i="904"/>
  <c r="U10" i="904"/>
  <c r="R10" i="904"/>
  <c r="U9" i="904"/>
  <c r="R9" i="904"/>
  <c r="U8" i="904"/>
  <c r="R8" i="904"/>
  <c r="U7" i="904"/>
  <c r="R7" i="904"/>
  <c r="B7" i="904"/>
  <c r="D25" i="904" s="1"/>
  <c r="U6" i="904"/>
  <c r="R6" i="904"/>
  <c r="U5" i="904"/>
  <c r="U4" i="904"/>
  <c r="R4" i="904"/>
  <c r="B3" i="904"/>
  <c r="K2" i="904"/>
  <c r="K49" i="904" s="1"/>
  <c r="J2" i="904"/>
  <c r="J67" i="904" s="1"/>
  <c r="I2" i="904"/>
  <c r="I67" i="904" s="1"/>
  <c r="H2" i="904"/>
  <c r="H49" i="904" s="1"/>
  <c r="G2" i="904"/>
  <c r="G67" i="904" s="1"/>
  <c r="F2" i="904"/>
  <c r="F77" i="904" s="1"/>
  <c r="E2" i="904"/>
  <c r="E77" i="904" s="1"/>
  <c r="B2" i="904"/>
  <c r="B1" i="904"/>
  <c r="B6" i="903"/>
  <c r="B5" i="903"/>
  <c r="N80" i="903"/>
  <c r="N79" i="903"/>
  <c r="N78" i="903"/>
  <c r="N72" i="903"/>
  <c r="N71" i="903"/>
  <c r="N70" i="903"/>
  <c r="N69" i="903"/>
  <c r="N68" i="903"/>
  <c r="N59" i="903"/>
  <c r="N58" i="903"/>
  <c r="N57" i="903"/>
  <c r="N56" i="903"/>
  <c r="N55" i="903"/>
  <c r="N54" i="903"/>
  <c r="N53" i="903"/>
  <c r="N52" i="903"/>
  <c r="N51" i="903"/>
  <c r="N50" i="903"/>
  <c r="U15" i="903"/>
  <c r="R15" i="903"/>
  <c r="U14" i="903"/>
  <c r="R14" i="903"/>
  <c r="U13" i="903"/>
  <c r="R13" i="903"/>
  <c r="U12" i="903"/>
  <c r="R12" i="903"/>
  <c r="U11" i="903"/>
  <c r="R11" i="903"/>
  <c r="U10" i="903"/>
  <c r="R10" i="903"/>
  <c r="U9" i="903"/>
  <c r="R9" i="903"/>
  <c r="U8" i="903"/>
  <c r="R8" i="903"/>
  <c r="U7" i="903"/>
  <c r="R7" i="903"/>
  <c r="B7" i="903"/>
  <c r="E24" i="903" s="1"/>
  <c r="U6" i="903"/>
  <c r="R6" i="903"/>
  <c r="U5" i="903"/>
  <c r="R5" i="903"/>
  <c r="U4" i="903"/>
  <c r="R4" i="903"/>
  <c r="B3" i="903"/>
  <c r="K2" i="903"/>
  <c r="K49" i="903" s="1"/>
  <c r="J2" i="903"/>
  <c r="J67" i="903" s="1"/>
  <c r="I2" i="903"/>
  <c r="I67" i="903" s="1"/>
  <c r="H2" i="903"/>
  <c r="H67" i="903" s="1"/>
  <c r="G2" i="903"/>
  <c r="G67" i="903" s="1"/>
  <c r="F2" i="903"/>
  <c r="F77" i="903" s="1"/>
  <c r="E2" i="903"/>
  <c r="E77" i="903" s="1"/>
  <c r="B2" i="903"/>
  <c r="B1" i="903"/>
  <c r="AH16" i="757"/>
  <c r="B16" i="757"/>
  <c r="I64" i="916"/>
  <c r="I63" i="916"/>
  <c r="S63" i="916" l="1"/>
  <c r="S64" i="916"/>
  <c r="D25" i="908"/>
  <c r="R5" i="911"/>
  <c r="R5" i="910"/>
  <c r="R6" i="911"/>
  <c r="R5" i="904"/>
  <c r="D25" i="910"/>
  <c r="E24" i="914"/>
  <c r="D5" i="914" s="1" a="1"/>
  <c r="D5" i="914" s="1"/>
  <c r="D25" i="913"/>
  <c r="K67" i="913"/>
  <c r="K67" i="909"/>
  <c r="J49" i="911"/>
  <c r="I49" i="911"/>
  <c r="H67" i="911"/>
  <c r="K67" i="904"/>
  <c r="K67" i="905"/>
  <c r="K67" i="906"/>
  <c r="K67" i="910"/>
  <c r="K67" i="911"/>
  <c r="K67" i="912"/>
  <c r="K67" i="914"/>
  <c r="I67" i="911"/>
  <c r="I49" i="904"/>
  <c r="H49" i="914"/>
  <c r="H49" i="910"/>
  <c r="H67" i="904"/>
  <c r="D25" i="903"/>
  <c r="D24" i="914"/>
  <c r="B9" i="914"/>
  <c r="E25" i="914"/>
  <c r="R3" i="914"/>
  <c r="E49" i="914"/>
  <c r="H77" i="914"/>
  <c r="F49" i="914"/>
  <c r="E67" i="914"/>
  <c r="I77" i="914"/>
  <c r="G77" i="914"/>
  <c r="G49" i="914"/>
  <c r="F67" i="914"/>
  <c r="J77" i="914"/>
  <c r="K77" i="914"/>
  <c r="I49" i="914"/>
  <c r="J49" i="914"/>
  <c r="D7" i="913" a="1"/>
  <c r="D7" i="913" s="1"/>
  <c r="D6" i="913" a="1"/>
  <c r="D6" i="913" s="1"/>
  <c r="D3" i="913" a="1"/>
  <c r="D3" i="913" s="1"/>
  <c r="D9" i="913" a="1"/>
  <c r="D9" i="913" s="1"/>
  <c r="D8" i="913" a="1"/>
  <c r="D8" i="913" s="1"/>
  <c r="D5" i="913" a="1"/>
  <c r="D5" i="913" s="1"/>
  <c r="D10" i="913" a="1"/>
  <c r="D10" i="913" s="1"/>
  <c r="D4" i="913" a="1"/>
  <c r="D4" i="913" s="1"/>
  <c r="D11" i="913" a="1"/>
  <c r="D11" i="913" s="1"/>
  <c r="D12" i="913" a="1"/>
  <c r="D12" i="913" s="1"/>
  <c r="D24" i="913"/>
  <c r="B9" i="913"/>
  <c r="R3" i="913"/>
  <c r="E25" i="913"/>
  <c r="E49" i="913"/>
  <c r="H77" i="913"/>
  <c r="F49" i="913"/>
  <c r="E67" i="913"/>
  <c r="I77" i="913"/>
  <c r="G49" i="913"/>
  <c r="F67" i="913"/>
  <c r="J77" i="913"/>
  <c r="H49" i="913"/>
  <c r="G67" i="913"/>
  <c r="K77" i="913"/>
  <c r="I49" i="913"/>
  <c r="J49" i="913"/>
  <c r="D24" i="912"/>
  <c r="E25" i="912"/>
  <c r="B9" i="912"/>
  <c r="R3" i="912"/>
  <c r="E49" i="912"/>
  <c r="H77" i="912"/>
  <c r="F49" i="912"/>
  <c r="E67" i="912"/>
  <c r="I77" i="912"/>
  <c r="G77" i="912"/>
  <c r="G49" i="912"/>
  <c r="F67" i="912"/>
  <c r="J77" i="912"/>
  <c r="H49" i="912"/>
  <c r="K77" i="912"/>
  <c r="I49" i="912"/>
  <c r="E24" i="912"/>
  <c r="J49" i="912"/>
  <c r="E25" i="911"/>
  <c r="D22" i="911" s="1"/>
  <c r="G77" i="911"/>
  <c r="E49" i="911"/>
  <c r="H77" i="911"/>
  <c r="F49" i="911"/>
  <c r="E67" i="911"/>
  <c r="R3" i="911"/>
  <c r="G49" i="911"/>
  <c r="F67" i="911"/>
  <c r="J77" i="911"/>
  <c r="B9" i="911"/>
  <c r="K77" i="911"/>
  <c r="E24" i="911"/>
  <c r="D7" i="910" a="1"/>
  <c r="D7" i="910" s="1"/>
  <c r="D6" i="910" a="1"/>
  <c r="D6" i="910" s="1"/>
  <c r="D3" i="910" a="1"/>
  <c r="D3" i="910" s="1"/>
  <c r="D9" i="910" a="1"/>
  <c r="D9" i="910" s="1"/>
  <c r="D8" i="910" a="1"/>
  <c r="D8" i="910" s="1"/>
  <c r="D5" i="910" a="1"/>
  <c r="D5" i="910" s="1"/>
  <c r="D4" i="910" a="1"/>
  <c r="D4" i="910" s="1"/>
  <c r="D10" i="910" a="1"/>
  <c r="D10" i="910" s="1"/>
  <c r="D12" i="910" a="1"/>
  <c r="D12" i="910" s="1"/>
  <c r="D11" i="910" a="1"/>
  <c r="D11" i="910" s="1"/>
  <c r="D24" i="910"/>
  <c r="B9" i="910"/>
  <c r="R3" i="910"/>
  <c r="E25" i="910"/>
  <c r="E49" i="910"/>
  <c r="H77" i="910"/>
  <c r="F49" i="910"/>
  <c r="E67" i="910"/>
  <c r="I77" i="910"/>
  <c r="G77" i="910"/>
  <c r="G49" i="910"/>
  <c r="F67" i="910"/>
  <c r="J77" i="910"/>
  <c r="K77" i="910"/>
  <c r="I49" i="910"/>
  <c r="J49" i="910"/>
  <c r="D24" i="909"/>
  <c r="B9" i="909"/>
  <c r="R3" i="909"/>
  <c r="E25" i="909"/>
  <c r="E49" i="909"/>
  <c r="H77" i="909"/>
  <c r="F49" i="909"/>
  <c r="E67" i="909"/>
  <c r="I77" i="909"/>
  <c r="G49" i="909"/>
  <c r="F67" i="909"/>
  <c r="J77" i="909"/>
  <c r="H49" i="909"/>
  <c r="G67" i="909"/>
  <c r="K77" i="909"/>
  <c r="I49" i="909"/>
  <c r="E24" i="909"/>
  <c r="J49" i="909"/>
  <c r="D24" i="908"/>
  <c r="B9" i="908"/>
  <c r="R3" i="908"/>
  <c r="E25" i="908"/>
  <c r="D7" i="908" a="1"/>
  <c r="D7" i="908" s="1"/>
  <c r="D6" i="908" a="1"/>
  <c r="D6" i="908" s="1"/>
  <c r="D3" i="908" a="1"/>
  <c r="D3" i="908" s="1"/>
  <c r="D9" i="908" a="1"/>
  <c r="D9" i="908" s="1"/>
  <c r="D8" i="908" a="1"/>
  <c r="D8" i="908" s="1"/>
  <c r="D5" i="908" a="1"/>
  <c r="D5" i="908" s="1"/>
  <c r="D10" i="908" a="1"/>
  <c r="D10" i="908" s="1"/>
  <c r="D4" i="908" a="1"/>
  <c r="D4" i="908" s="1"/>
  <c r="D11" i="908" a="1"/>
  <c r="D11" i="908" s="1"/>
  <c r="D12" i="908" a="1"/>
  <c r="D12" i="908" s="1"/>
  <c r="K67" i="908"/>
  <c r="G77" i="908"/>
  <c r="E49" i="908"/>
  <c r="H77" i="908"/>
  <c r="F49" i="908"/>
  <c r="E67" i="908"/>
  <c r="I77" i="908"/>
  <c r="G49" i="908"/>
  <c r="F67" i="908"/>
  <c r="J77" i="908"/>
  <c r="H49" i="908"/>
  <c r="K77" i="908"/>
  <c r="I49" i="908"/>
  <c r="J49" i="908"/>
  <c r="E25" i="907"/>
  <c r="K67" i="907"/>
  <c r="G77" i="907"/>
  <c r="E49" i="907"/>
  <c r="H77" i="907"/>
  <c r="F49" i="907"/>
  <c r="E67" i="907"/>
  <c r="I77" i="907"/>
  <c r="R3" i="907"/>
  <c r="G49" i="907"/>
  <c r="F67" i="907"/>
  <c r="J77" i="907"/>
  <c r="B9" i="907"/>
  <c r="H49" i="907"/>
  <c r="K77" i="907"/>
  <c r="I49" i="907"/>
  <c r="E24" i="907"/>
  <c r="J49" i="907"/>
  <c r="D24" i="906"/>
  <c r="B9" i="906"/>
  <c r="E25" i="906"/>
  <c r="R3" i="906"/>
  <c r="E49" i="906"/>
  <c r="H77" i="906"/>
  <c r="G77" i="906"/>
  <c r="F49" i="906"/>
  <c r="E67" i="906"/>
  <c r="I77" i="906"/>
  <c r="G49" i="906"/>
  <c r="F67" i="906"/>
  <c r="J77" i="906"/>
  <c r="H49" i="906"/>
  <c r="K77" i="906"/>
  <c r="I49" i="906"/>
  <c r="E24" i="906"/>
  <c r="J49" i="906"/>
  <c r="D24" i="905"/>
  <c r="B9" i="905"/>
  <c r="E25" i="905"/>
  <c r="R3" i="905"/>
  <c r="E49" i="905"/>
  <c r="H77" i="905"/>
  <c r="G77" i="905"/>
  <c r="F49" i="905"/>
  <c r="E67" i="905"/>
  <c r="I77" i="905"/>
  <c r="G49" i="905"/>
  <c r="F67" i="905"/>
  <c r="J77" i="905"/>
  <c r="H49" i="905"/>
  <c r="K77" i="905"/>
  <c r="I49" i="905"/>
  <c r="E24" i="905"/>
  <c r="J49" i="905"/>
  <c r="G77" i="904"/>
  <c r="E49" i="904"/>
  <c r="H77" i="904"/>
  <c r="F49" i="904"/>
  <c r="E67" i="904"/>
  <c r="I77" i="904"/>
  <c r="R3" i="904"/>
  <c r="G49" i="904"/>
  <c r="F67" i="904"/>
  <c r="J77" i="904"/>
  <c r="E25" i="904"/>
  <c r="B9" i="904"/>
  <c r="K77" i="904"/>
  <c r="E24" i="904"/>
  <c r="J49" i="904"/>
  <c r="D7" i="903" a="1"/>
  <c r="D7" i="903" s="1"/>
  <c r="D6" i="903" a="1"/>
  <c r="D6" i="903" s="1"/>
  <c r="D3" i="903" a="1"/>
  <c r="D3" i="903" s="1"/>
  <c r="D9" i="903" a="1"/>
  <c r="D9" i="903" s="1"/>
  <c r="D8" i="903" a="1"/>
  <c r="D8" i="903" s="1"/>
  <c r="D5" i="903" a="1"/>
  <c r="D5" i="903" s="1"/>
  <c r="D10" i="903" a="1"/>
  <c r="D10" i="903" s="1"/>
  <c r="D4" i="903" a="1"/>
  <c r="D4" i="903" s="1"/>
  <c r="D11" i="903" a="1"/>
  <c r="D11" i="903" s="1"/>
  <c r="D12" i="903" a="1"/>
  <c r="D12" i="903" s="1"/>
  <c r="D24" i="903"/>
  <c r="B9" i="903"/>
  <c r="R3" i="903"/>
  <c r="E25" i="903"/>
  <c r="K67" i="903"/>
  <c r="G77" i="903"/>
  <c r="E49" i="903"/>
  <c r="H77" i="903"/>
  <c r="F49" i="903"/>
  <c r="E67" i="903"/>
  <c r="I77" i="903"/>
  <c r="G49" i="903"/>
  <c r="F67" i="903"/>
  <c r="J77" i="903"/>
  <c r="H49" i="903"/>
  <c r="K77" i="903"/>
  <c r="I49" i="903"/>
  <c r="J49" i="903"/>
  <c r="I3" i="757"/>
  <c r="J3" i="757"/>
  <c r="K3" i="757"/>
  <c r="L3" i="757"/>
  <c r="M3" i="757"/>
  <c r="N3" i="757"/>
  <c r="H3" i="757"/>
  <c r="AB5" i="757"/>
  <c r="AB6" i="757"/>
  <c r="AB7" i="757"/>
  <c r="AB8" i="757"/>
  <c r="AB9" i="757"/>
  <c r="AB10" i="757"/>
  <c r="AB11" i="757"/>
  <c r="AB12" i="757"/>
  <c r="AB13" i="757"/>
  <c r="AB14" i="757"/>
  <c r="AB15" i="757"/>
  <c r="AB4" i="757"/>
  <c r="AA5" i="757"/>
  <c r="AA6" i="757"/>
  <c r="AA7" i="757"/>
  <c r="AA8" i="757"/>
  <c r="AA9" i="757"/>
  <c r="AA10" i="757"/>
  <c r="AA11" i="757"/>
  <c r="AA12" i="757"/>
  <c r="AA13" i="757"/>
  <c r="AA14" i="757"/>
  <c r="AA15" i="757"/>
  <c r="AA4" i="757"/>
  <c r="G23" i="757"/>
  <c r="G24" i="757"/>
  <c r="G25" i="757"/>
  <c r="G26" i="757"/>
  <c r="G27" i="757"/>
  <c r="G28" i="757"/>
  <c r="G29" i="757"/>
  <c r="G30" i="757"/>
  <c r="G31" i="757"/>
  <c r="G32" i="757"/>
  <c r="G33" i="757"/>
  <c r="G22" i="757"/>
  <c r="G5" i="757"/>
  <c r="G6" i="757"/>
  <c r="G7" i="757"/>
  <c r="G8" i="757"/>
  <c r="G9" i="757"/>
  <c r="G10" i="757"/>
  <c r="G11" i="757"/>
  <c r="G12" i="757"/>
  <c r="G13" i="757"/>
  <c r="G14" i="757"/>
  <c r="G15" i="757"/>
  <c r="G4" i="757"/>
  <c r="AI6" i="757"/>
  <c r="AI5" i="757"/>
  <c r="AI4" i="757"/>
  <c r="C6" i="757"/>
  <c r="C5" i="757"/>
  <c r="C4" i="757"/>
  <c r="F9" i="757" a="1"/>
  <c r="F7" i="757" a="1"/>
  <c r="F8" i="757" a="1"/>
  <c r="F11" i="757" a="1"/>
  <c r="F15" i="757" a="1"/>
  <c r="F13" i="757" a="1"/>
  <c r="F5" i="757" a="1"/>
  <c r="F10" i="757" a="1"/>
  <c r="F6" i="757" a="1"/>
  <c r="F4" i="757" a="1"/>
  <c r="F14" i="757" a="1"/>
  <c r="F12" i="757" a="1"/>
  <c r="D8" i="914" l="1" a="1"/>
  <c r="D8" i="914" s="1"/>
  <c r="K8" i="914" s="1" a="1"/>
  <c r="K8" i="914" s="1"/>
  <c r="D11" i="914" a="1"/>
  <c r="D11" i="914" s="1"/>
  <c r="G11" i="914" s="1" a="1"/>
  <c r="G11" i="914" s="1"/>
  <c r="D9" i="914" a="1"/>
  <c r="D9" i="914" s="1"/>
  <c r="D7" i="914" a="1"/>
  <c r="D7" i="914" s="1"/>
  <c r="D10" i="914" a="1"/>
  <c r="D10" i="914" s="1"/>
  <c r="D4" i="914" a="1"/>
  <c r="D4" i="914" s="1"/>
  <c r="D3" i="914" a="1"/>
  <c r="D3" i="914" s="1"/>
  <c r="D12" i="914" a="1"/>
  <c r="D12" i="914" s="1"/>
  <c r="D6" i="914" a="1"/>
  <c r="D6" i="914" s="1"/>
  <c r="D20" i="911"/>
  <c r="D22" i="914"/>
  <c r="D21" i="914"/>
  <c r="D20" i="914"/>
  <c r="D19" i="914"/>
  <c r="J11" i="913" a="1"/>
  <c r="J11" i="913" s="1"/>
  <c r="F11" i="913" a="1"/>
  <c r="F11" i="913" s="1"/>
  <c r="I11" i="913" a="1"/>
  <c r="I11" i="913" s="1"/>
  <c r="E11" i="913" a="1"/>
  <c r="E11" i="913" s="1"/>
  <c r="M11" i="913" a="1"/>
  <c r="M11" i="913" s="1"/>
  <c r="H11" i="913" a="1"/>
  <c r="H11" i="913" s="1"/>
  <c r="L11" i="913" a="1"/>
  <c r="L11" i="913" s="1"/>
  <c r="G11" i="913" a="1"/>
  <c r="G11" i="913" s="1"/>
  <c r="F10" i="913" a="1"/>
  <c r="F10" i="913" s="1"/>
  <c r="M10" i="913" a="1"/>
  <c r="M10" i="913" s="1"/>
  <c r="I10" i="913" a="1"/>
  <c r="I10" i="913" s="1"/>
  <c r="E10" i="913" a="1"/>
  <c r="E10" i="913" s="1"/>
  <c r="J10" i="913" a="1"/>
  <c r="J10" i="913" s="1"/>
  <c r="L10" i="913" a="1"/>
  <c r="L10" i="913" s="1"/>
  <c r="H10" i="913" a="1"/>
  <c r="H10" i="913" s="1"/>
  <c r="K10" i="913" a="1"/>
  <c r="K10" i="913" s="1"/>
  <c r="G10" i="913" a="1"/>
  <c r="G10" i="913" s="1"/>
  <c r="D22" i="913"/>
  <c r="D21" i="913"/>
  <c r="D20" i="913"/>
  <c r="D19" i="913"/>
  <c r="M9" i="913" a="1"/>
  <c r="M9" i="913" s="1"/>
  <c r="I9" i="913" a="1"/>
  <c r="I9" i="913" s="1"/>
  <c r="E9" i="913" a="1"/>
  <c r="E9" i="913" s="1"/>
  <c r="L9" i="913" a="1"/>
  <c r="L9" i="913" s="1"/>
  <c r="H9" i="913" a="1"/>
  <c r="H9" i="913" s="1"/>
  <c r="K9" i="913" a="1"/>
  <c r="K9" i="913" s="1"/>
  <c r="G9" i="913" a="1"/>
  <c r="G9" i="913" s="1"/>
  <c r="J9" i="913" a="1"/>
  <c r="J9" i="913" s="1"/>
  <c r="F9" i="913" a="1"/>
  <c r="F9" i="913" s="1"/>
  <c r="M8" i="913" a="1"/>
  <c r="M8" i="913" s="1"/>
  <c r="I8" i="913" a="1"/>
  <c r="I8" i="913" s="1"/>
  <c r="E8" i="913" a="1"/>
  <c r="E8" i="913" s="1"/>
  <c r="L8" i="913" a="1"/>
  <c r="L8" i="913" s="1"/>
  <c r="H8" i="913" a="1"/>
  <c r="H8" i="913" s="1"/>
  <c r="K8" i="913" a="1"/>
  <c r="K8" i="913" s="1"/>
  <c r="G8" i="913" a="1"/>
  <c r="G8" i="913" s="1"/>
  <c r="J8" i="913" a="1"/>
  <c r="J8" i="913" s="1"/>
  <c r="F8" i="913" a="1"/>
  <c r="F8" i="913" s="1"/>
  <c r="H12" i="913" a="1"/>
  <c r="H12" i="913" s="1"/>
  <c r="K12" i="913" a="1"/>
  <c r="K12" i="913" s="1"/>
  <c r="G12" i="913" a="1"/>
  <c r="G12" i="913" s="1"/>
  <c r="J12" i="913" a="1"/>
  <c r="J12" i="913" s="1"/>
  <c r="F12" i="913" a="1"/>
  <c r="F12" i="913" s="1"/>
  <c r="M12" i="913" a="1"/>
  <c r="M12" i="913" s="1"/>
  <c r="I12" i="913" a="1"/>
  <c r="I12" i="913" s="1"/>
  <c r="E12" i="913" a="1"/>
  <c r="E12" i="913" s="1"/>
  <c r="L12" i="913" a="1"/>
  <c r="L12" i="913" s="1"/>
  <c r="D22" i="912"/>
  <c r="D21" i="912"/>
  <c r="D20" i="912"/>
  <c r="D19" i="912"/>
  <c r="D7" i="912" a="1"/>
  <c r="D7" i="912" s="1"/>
  <c r="D6" i="912" a="1"/>
  <c r="D6" i="912" s="1"/>
  <c r="D3" i="912" a="1"/>
  <c r="D3" i="912" s="1"/>
  <c r="D9" i="912" a="1"/>
  <c r="D9" i="912" s="1"/>
  <c r="D8" i="912" a="1"/>
  <c r="D8" i="912" s="1"/>
  <c r="D5" i="912" a="1"/>
  <c r="D5" i="912" s="1"/>
  <c r="D10" i="912" a="1"/>
  <c r="D10" i="912" s="1"/>
  <c r="D4" i="912" a="1"/>
  <c r="D4" i="912" s="1"/>
  <c r="D11" i="912" a="1"/>
  <c r="D11" i="912" s="1"/>
  <c r="D12" i="912" a="1"/>
  <c r="D12" i="912" s="1"/>
  <c r="D19" i="911"/>
  <c r="D21" i="911"/>
  <c r="D7" i="911" a="1"/>
  <c r="D7" i="911" s="1"/>
  <c r="D6" i="911" a="1"/>
  <c r="D6" i="911" s="1"/>
  <c r="D3" i="911" a="1"/>
  <c r="D3" i="911" s="1"/>
  <c r="D9" i="911" a="1"/>
  <c r="D9" i="911" s="1"/>
  <c r="D8" i="911" a="1"/>
  <c r="D8" i="911" s="1"/>
  <c r="D5" i="911" a="1"/>
  <c r="D5" i="911" s="1"/>
  <c r="D10" i="911" a="1"/>
  <c r="D10" i="911" s="1"/>
  <c r="D4" i="911" a="1"/>
  <c r="D4" i="911" s="1"/>
  <c r="D12" i="911" a="1"/>
  <c r="D12" i="911" s="1"/>
  <c r="D11" i="911" a="1"/>
  <c r="D11" i="911" s="1"/>
  <c r="J11" i="910" a="1"/>
  <c r="J11" i="910" s="1"/>
  <c r="F11" i="910" a="1"/>
  <c r="F11" i="910" s="1"/>
  <c r="I11" i="910" a="1"/>
  <c r="I11" i="910" s="1"/>
  <c r="E11" i="910" a="1"/>
  <c r="E11" i="910" s="1"/>
  <c r="M11" i="910" a="1"/>
  <c r="M11" i="910" s="1"/>
  <c r="H11" i="910" a="1"/>
  <c r="H11" i="910" s="1"/>
  <c r="L11" i="910" a="1"/>
  <c r="L11" i="910" s="1"/>
  <c r="G11" i="910" a="1"/>
  <c r="G11" i="910" s="1"/>
  <c r="E7" i="910" a="1"/>
  <c r="E7" i="910" s="1"/>
  <c r="L7" i="910" a="1"/>
  <c r="L7" i="910" s="1"/>
  <c r="H7" i="910" a="1"/>
  <c r="H7" i="910" s="1"/>
  <c r="K7" i="910" a="1"/>
  <c r="K7" i="910" s="1"/>
  <c r="G7" i="910" a="1"/>
  <c r="G7" i="910" s="1"/>
  <c r="M7" i="910" a="1"/>
  <c r="M7" i="910" s="1"/>
  <c r="J7" i="910" a="1"/>
  <c r="J7" i="910" s="1"/>
  <c r="F7" i="910" a="1"/>
  <c r="F7" i="910" s="1"/>
  <c r="I7" i="910" a="1"/>
  <c r="I7" i="910" s="1"/>
  <c r="D22" i="910"/>
  <c r="D21" i="910"/>
  <c r="D20" i="910"/>
  <c r="D19" i="910"/>
  <c r="M10" i="910" a="1"/>
  <c r="M10" i="910" s="1"/>
  <c r="I10" i="910" a="1"/>
  <c r="I10" i="910" s="1"/>
  <c r="E10" i="910" a="1"/>
  <c r="E10" i="910" s="1"/>
  <c r="L10" i="910" a="1"/>
  <c r="L10" i="910" s="1"/>
  <c r="H10" i="910" a="1"/>
  <c r="H10" i="910" s="1"/>
  <c r="K10" i="910" a="1"/>
  <c r="K10" i="910" s="1"/>
  <c r="G10" i="910" a="1"/>
  <c r="G10" i="910" s="1"/>
  <c r="J10" i="910" a="1"/>
  <c r="J10" i="910" s="1"/>
  <c r="F10" i="910" a="1"/>
  <c r="F10" i="910" s="1"/>
  <c r="M8" i="910" a="1"/>
  <c r="M8" i="910" s="1"/>
  <c r="I8" i="910" a="1"/>
  <c r="I8" i="910" s="1"/>
  <c r="E8" i="910" a="1"/>
  <c r="E8" i="910" s="1"/>
  <c r="L8" i="910" a="1"/>
  <c r="L8" i="910" s="1"/>
  <c r="H8" i="910" a="1"/>
  <c r="H8" i="910" s="1"/>
  <c r="K8" i="910" a="1"/>
  <c r="K8" i="910" s="1"/>
  <c r="G8" i="910" a="1"/>
  <c r="G8" i="910" s="1"/>
  <c r="J8" i="910" a="1"/>
  <c r="J8" i="910" s="1"/>
  <c r="F8" i="910" a="1"/>
  <c r="F8" i="910" s="1"/>
  <c r="M9" i="910" a="1"/>
  <c r="M9" i="910" s="1"/>
  <c r="I9" i="910" a="1"/>
  <c r="I9" i="910" s="1"/>
  <c r="E9" i="910" a="1"/>
  <c r="E9" i="910" s="1"/>
  <c r="L9" i="910" a="1"/>
  <c r="L9" i="910" s="1"/>
  <c r="H9" i="910" a="1"/>
  <c r="H9" i="910" s="1"/>
  <c r="K9" i="910" a="1"/>
  <c r="K9" i="910" s="1"/>
  <c r="G9" i="910" a="1"/>
  <c r="G9" i="910" s="1"/>
  <c r="J9" i="910" a="1"/>
  <c r="J9" i="910" s="1"/>
  <c r="F9" i="910" a="1"/>
  <c r="F9" i="910" s="1"/>
  <c r="K12" i="910" a="1"/>
  <c r="K12" i="910" s="1"/>
  <c r="G12" i="910" a="1"/>
  <c r="G12" i="910" s="1"/>
  <c r="L12" i="910" a="1"/>
  <c r="L12" i="910" s="1"/>
  <c r="J12" i="910" a="1"/>
  <c r="J12" i="910" s="1"/>
  <c r="F12" i="910" a="1"/>
  <c r="F12" i="910" s="1"/>
  <c r="H12" i="910" a="1"/>
  <c r="H12" i="910" s="1"/>
  <c r="M12" i="910" a="1"/>
  <c r="M12" i="910" s="1"/>
  <c r="I12" i="910" a="1"/>
  <c r="I12" i="910" s="1"/>
  <c r="E12" i="910" a="1"/>
  <c r="E12" i="910" s="1"/>
  <c r="D7" i="909" a="1"/>
  <c r="D7" i="909" s="1"/>
  <c r="D6" i="909" a="1"/>
  <c r="D6" i="909" s="1"/>
  <c r="D3" i="909" a="1"/>
  <c r="D3" i="909" s="1"/>
  <c r="D9" i="909" a="1"/>
  <c r="D9" i="909" s="1"/>
  <c r="D8" i="909" a="1"/>
  <c r="D8" i="909" s="1"/>
  <c r="D5" i="909" a="1"/>
  <c r="D5" i="909" s="1"/>
  <c r="D10" i="909" a="1"/>
  <c r="D10" i="909" s="1"/>
  <c r="D4" i="909" a="1"/>
  <c r="D4" i="909" s="1"/>
  <c r="D11" i="909" a="1"/>
  <c r="D11" i="909" s="1"/>
  <c r="D12" i="909" a="1"/>
  <c r="D12" i="909" s="1"/>
  <c r="D22" i="909"/>
  <c r="D21" i="909"/>
  <c r="D20" i="909"/>
  <c r="D19" i="909"/>
  <c r="M9" i="908" a="1"/>
  <c r="M9" i="908" s="1"/>
  <c r="I9" i="908" a="1"/>
  <c r="I9" i="908" s="1"/>
  <c r="E9" i="908" a="1"/>
  <c r="E9" i="908" s="1"/>
  <c r="L9" i="908" a="1"/>
  <c r="L9" i="908" s="1"/>
  <c r="H9" i="908" a="1"/>
  <c r="H9" i="908" s="1"/>
  <c r="K9" i="908" a="1"/>
  <c r="K9" i="908" s="1"/>
  <c r="G9" i="908" a="1"/>
  <c r="G9" i="908" s="1"/>
  <c r="J9" i="908" a="1"/>
  <c r="J9" i="908" s="1"/>
  <c r="F9" i="908" a="1"/>
  <c r="F9" i="908" s="1"/>
  <c r="K12" i="908" a="1"/>
  <c r="K12" i="908" s="1"/>
  <c r="G12" i="908" a="1"/>
  <c r="G12" i="908" s="1"/>
  <c r="J12" i="908" a="1"/>
  <c r="J12" i="908" s="1"/>
  <c r="F12" i="908" a="1"/>
  <c r="F12" i="908" s="1"/>
  <c r="M12" i="908" a="1"/>
  <c r="M12" i="908" s="1"/>
  <c r="I12" i="908" a="1"/>
  <c r="I12" i="908" s="1"/>
  <c r="E12" i="908" a="1"/>
  <c r="E12" i="908" s="1"/>
  <c r="L12" i="908" a="1"/>
  <c r="L12" i="908" s="1"/>
  <c r="H12" i="908" a="1"/>
  <c r="H12" i="908" s="1"/>
  <c r="J11" i="908" a="1"/>
  <c r="J11" i="908" s="1"/>
  <c r="F11" i="908" a="1"/>
  <c r="F11" i="908" s="1"/>
  <c r="I11" i="908" a="1"/>
  <c r="I11" i="908" s="1"/>
  <c r="E11" i="908" a="1"/>
  <c r="E11" i="908" s="1"/>
  <c r="M11" i="908" a="1"/>
  <c r="M11" i="908" s="1"/>
  <c r="H11" i="908" a="1"/>
  <c r="H11" i="908" s="1"/>
  <c r="L11" i="908" a="1"/>
  <c r="L11" i="908" s="1"/>
  <c r="G11" i="908" a="1"/>
  <c r="G11" i="908" s="1"/>
  <c r="L7" i="908" a="1"/>
  <c r="L7" i="908" s="1"/>
  <c r="H7" i="908" a="1"/>
  <c r="H7" i="908" s="1"/>
  <c r="K7" i="908" a="1"/>
  <c r="K7" i="908" s="1"/>
  <c r="G7" i="908" a="1"/>
  <c r="G7" i="908" s="1"/>
  <c r="J7" i="908" a="1"/>
  <c r="J7" i="908" s="1"/>
  <c r="F7" i="908" a="1"/>
  <c r="F7" i="908" s="1"/>
  <c r="M7" i="908" a="1"/>
  <c r="M7" i="908" s="1"/>
  <c r="I7" i="908" a="1"/>
  <c r="I7" i="908" s="1"/>
  <c r="E7" i="908" a="1"/>
  <c r="E7" i="908" s="1"/>
  <c r="D22" i="908"/>
  <c r="D21" i="908"/>
  <c r="D20" i="908"/>
  <c r="D19" i="908"/>
  <c r="M10" i="908" a="1"/>
  <c r="M10" i="908" s="1"/>
  <c r="I10" i="908" a="1"/>
  <c r="I10" i="908" s="1"/>
  <c r="E10" i="908" a="1"/>
  <c r="E10" i="908" s="1"/>
  <c r="L10" i="908" a="1"/>
  <c r="L10" i="908" s="1"/>
  <c r="H10" i="908" a="1"/>
  <c r="H10" i="908" s="1"/>
  <c r="K10" i="908" a="1"/>
  <c r="K10" i="908" s="1"/>
  <c r="G10" i="908" a="1"/>
  <c r="G10" i="908" s="1"/>
  <c r="J10" i="908" a="1"/>
  <c r="J10" i="908" s="1"/>
  <c r="F10" i="908" a="1"/>
  <c r="F10" i="908" s="1"/>
  <c r="M8" i="908" a="1"/>
  <c r="M8" i="908" s="1"/>
  <c r="I8" i="908" a="1"/>
  <c r="I8" i="908" s="1"/>
  <c r="E8" i="908" a="1"/>
  <c r="E8" i="908" s="1"/>
  <c r="L8" i="908" a="1"/>
  <c r="L8" i="908" s="1"/>
  <c r="H8" i="908" a="1"/>
  <c r="H8" i="908" s="1"/>
  <c r="K8" i="908" a="1"/>
  <c r="K8" i="908" s="1"/>
  <c r="G8" i="908" a="1"/>
  <c r="G8" i="908" s="1"/>
  <c r="J8" i="908" a="1"/>
  <c r="J8" i="908" s="1"/>
  <c r="F8" i="908" a="1"/>
  <c r="F8" i="908" s="1"/>
  <c r="D22" i="907"/>
  <c r="D21" i="907"/>
  <c r="D20" i="907"/>
  <c r="D19" i="907"/>
  <c r="D7" i="907" a="1"/>
  <c r="D7" i="907" s="1"/>
  <c r="D6" i="907" a="1"/>
  <c r="D6" i="907" s="1"/>
  <c r="D3" i="907" a="1"/>
  <c r="D3" i="907" s="1"/>
  <c r="D9" i="907" a="1"/>
  <c r="D9" i="907" s="1"/>
  <c r="D8" i="907" a="1"/>
  <c r="D8" i="907" s="1"/>
  <c r="D5" i="907" a="1"/>
  <c r="D5" i="907" s="1"/>
  <c r="D10" i="907" a="1"/>
  <c r="D10" i="907" s="1"/>
  <c r="D4" i="907" a="1"/>
  <c r="D4" i="907" s="1"/>
  <c r="D11" i="907" a="1"/>
  <c r="D11" i="907" s="1"/>
  <c r="D12" i="907" a="1"/>
  <c r="D12" i="907" s="1"/>
  <c r="D22" i="906"/>
  <c r="D21" i="906"/>
  <c r="D20" i="906"/>
  <c r="D19" i="906"/>
  <c r="D7" i="906" a="1"/>
  <c r="D7" i="906" s="1"/>
  <c r="D6" i="906" a="1"/>
  <c r="D6" i="906" s="1"/>
  <c r="D3" i="906" a="1"/>
  <c r="D3" i="906" s="1"/>
  <c r="D9" i="906" a="1"/>
  <c r="D9" i="906" s="1"/>
  <c r="D8" i="906" a="1"/>
  <c r="D8" i="906" s="1"/>
  <c r="D5" i="906" a="1"/>
  <c r="D5" i="906" s="1"/>
  <c r="D10" i="906" a="1"/>
  <c r="D10" i="906" s="1"/>
  <c r="D4" i="906" a="1"/>
  <c r="D4" i="906" s="1"/>
  <c r="D11" i="906" a="1"/>
  <c r="D11" i="906" s="1"/>
  <c r="D12" i="906" a="1"/>
  <c r="D12" i="906" s="1"/>
  <c r="D7" i="905" a="1"/>
  <c r="D7" i="905" s="1"/>
  <c r="D6" i="905" a="1"/>
  <c r="D6" i="905" s="1"/>
  <c r="D3" i="905" a="1"/>
  <c r="D3" i="905" s="1"/>
  <c r="D9" i="905" a="1"/>
  <c r="D9" i="905" s="1"/>
  <c r="D8" i="905" a="1"/>
  <c r="D8" i="905" s="1"/>
  <c r="D5" i="905" a="1"/>
  <c r="D5" i="905" s="1"/>
  <c r="D10" i="905" a="1"/>
  <c r="D10" i="905" s="1"/>
  <c r="D4" i="905" a="1"/>
  <c r="D4" i="905" s="1"/>
  <c r="D11" i="905" a="1"/>
  <c r="D11" i="905" s="1"/>
  <c r="D12" i="905" a="1"/>
  <c r="D12" i="905" s="1"/>
  <c r="D22" i="905"/>
  <c r="D21" i="905"/>
  <c r="D20" i="905"/>
  <c r="D19" i="905"/>
  <c r="D7" i="904" a="1"/>
  <c r="D7" i="904" s="1"/>
  <c r="D6" i="904" a="1"/>
  <c r="D6" i="904" s="1"/>
  <c r="D3" i="904" a="1"/>
  <c r="D3" i="904" s="1"/>
  <c r="D5" i="904" a="1"/>
  <c r="D5" i="904" s="1"/>
  <c r="D9" i="904" a="1"/>
  <c r="D9" i="904" s="1"/>
  <c r="D8" i="904" a="1"/>
  <c r="D8" i="904" s="1"/>
  <c r="D10" i="904" a="1"/>
  <c r="D10" i="904" s="1"/>
  <c r="D4" i="904" a="1"/>
  <c r="D4" i="904" s="1"/>
  <c r="D11" i="904" a="1"/>
  <c r="D11" i="904" s="1"/>
  <c r="D12" i="904" a="1"/>
  <c r="D12" i="904" s="1"/>
  <c r="D22" i="904"/>
  <c r="D21" i="904"/>
  <c r="D20" i="904"/>
  <c r="D19" i="904"/>
  <c r="M10" i="903" a="1"/>
  <c r="M10" i="903" s="1"/>
  <c r="I10" i="903" a="1"/>
  <c r="I10" i="903" s="1"/>
  <c r="E10" i="903" a="1"/>
  <c r="E10" i="903" s="1"/>
  <c r="F10" i="903" a="1"/>
  <c r="F10" i="903" s="1"/>
  <c r="L10" i="903" a="1"/>
  <c r="L10" i="903" s="1"/>
  <c r="H10" i="903" a="1"/>
  <c r="H10" i="903" s="1"/>
  <c r="K10" i="903" a="1"/>
  <c r="K10" i="903" s="1"/>
  <c r="G10" i="903" a="1"/>
  <c r="G10" i="903" s="1"/>
  <c r="J10" i="903" a="1"/>
  <c r="J10" i="903" s="1"/>
  <c r="J11" i="903" a="1"/>
  <c r="J11" i="903" s="1"/>
  <c r="F11" i="903" a="1"/>
  <c r="F11" i="903" s="1"/>
  <c r="I11" i="903" a="1"/>
  <c r="I11" i="903" s="1"/>
  <c r="E11" i="903" a="1"/>
  <c r="E11" i="903" s="1"/>
  <c r="M11" i="903" a="1"/>
  <c r="M11" i="903" s="1"/>
  <c r="H11" i="903" a="1"/>
  <c r="H11" i="903" s="1"/>
  <c r="L11" i="903" a="1"/>
  <c r="L11" i="903" s="1"/>
  <c r="G11" i="903" a="1"/>
  <c r="G11" i="903" s="1"/>
  <c r="D22" i="903"/>
  <c r="D21" i="903"/>
  <c r="D20" i="903"/>
  <c r="D19" i="903"/>
  <c r="M8" i="903" a="1"/>
  <c r="M8" i="903" s="1"/>
  <c r="I8" i="903" a="1"/>
  <c r="I8" i="903" s="1"/>
  <c r="E8" i="903" a="1"/>
  <c r="E8" i="903" s="1"/>
  <c r="L8" i="903" a="1"/>
  <c r="L8" i="903" s="1"/>
  <c r="H8" i="903" a="1"/>
  <c r="H8" i="903" s="1"/>
  <c r="K8" i="903" a="1"/>
  <c r="K8" i="903" s="1"/>
  <c r="G8" i="903" a="1"/>
  <c r="G8" i="903" s="1"/>
  <c r="J8" i="903" a="1"/>
  <c r="J8" i="903" s="1"/>
  <c r="F8" i="903" a="1"/>
  <c r="F8" i="903" s="1"/>
  <c r="L7" i="903" a="1"/>
  <c r="L7" i="903" s="1"/>
  <c r="H7" i="903" a="1"/>
  <c r="H7" i="903" s="1"/>
  <c r="G7" i="903" a="1"/>
  <c r="G7" i="903" s="1"/>
  <c r="K7" i="903" a="1"/>
  <c r="K7" i="903" s="1"/>
  <c r="E7" i="903" a="1"/>
  <c r="E7" i="903" s="1"/>
  <c r="M7" i="903" a="1"/>
  <c r="M7" i="903" s="1"/>
  <c r="J7" i="903" a="1"/>
  <c r="J7" i="903" s="1"/>
  <c r="F7" i="903" a="1"/>
  <c r="F7" i="903" s="1"/>
  <c r="I7" i="903" a="1"/>
  <c r="I7" i="903" s="1"/>
  <c r="M9" i="903" a="1"/>
  <c r="M9" i="903" s="1"/>
  <c r="I9" i="903" a="1"/>
  <c r="I9" i="903" s="1"/>
  <c r="E9" i="903" a="1"/>
  <c r="E9" i="903" s="1"/>
  <c r="L9" i="903" a="1"/>
  <c r="L9" i="903" s="1"/>
  <c r="H9" i="903" a="1"/>
  <c r="H9" i="903" s="1"/>
  <c r="K9" i="903" a="1"/>
  <c r="K9" i="903" s="1"/>
  <c r="G9" i="903" a="1"/>
  <c r="G9" i="903" s="1"/>
  <c r="J9" i="903" a="1"/>
  <c r="J9" i="903" s="1"/>
  <c r="F9" i="903" a="1"/>
  <c r="F9" i="903" s="1"/>
  <c r="K12" i="903" a="1"/>
  <c r="K12" i="903" s="1"/>
  <c r="G12" i="903" a="1"/>
  <c r="G12" i="903" s="1"/>
  <c r="J12" i="903" a="1"/>
  <c r="J12" i="903" s="1"/>
  <c r="F12" i="903" a="1"/>
  <c r="F12" i="903" s="1"/>
  <c r="L12" i="903" a="1"/>
  <c r="L12" i="903" s="1"/>
  <c r="M12" i="903" a="1"/>
  <c r="M12" i="903" s="1"/>
  <c r="I12" i="903" a="1"/>
  <c r="I12" i="903" s="1"/>
  <c r="E12" i="903" a="1"/>
  <c r="E12" i="903" s="1"/>
  <c r="H12" i="903" a="1"/>
  <c r="H12" i="903" s="1"/>
  <c r="F8" i="757"/>
  <c r="F7" i="757"/>
  <c r="F6" i="757"/>
  <c r="F12" i="757"/>
  <c r="F15" i="757"/>
  <c r="F11" i="757"/>
  <c r="F14" i="757"/>
  <c r="F10" i="757"/>
  <c r="F13" i="757"/>
  <c r="F9" i="757"/>
  <c r="F5" i="757"/>
  <c r="F4" i="757"/>
  <c r="E34" i="757"/>
  <c r="L11" i="914" l="1" a="1"/>
  <c r="L11" i="914" s="1"/>
  <c r="H11" i="914" a="1"/>
  <c r="H11" i="914" s="1"/>
  <c r="M11" i="914" a="1"/>
  <c r="M11" i="914" s="1"/>
  <c r="E11" i="914" a="1"/>
  <c r="E11" i="914" s="1"/>
  <c r="I11" i="914" a="1"/>
  <c r="I11" i="914" s="1"/>
  <c r="F11" i="914" a="1"/>
  <c r="F11" i="914" s="1"/>
  <c r="J11" i="914" a="1"/>
  <c r="J11" i="914" s="1"/>
  <c r="H8" i="914" a="1"/>
  <c r="H8" i="914" s="1"/>
  <c r="L8" i="914" a="1"/>
  <c r="L8" i="914" s="1"/>
  <c r="E8" i="914" a="1"/>
  <c r="E8" i="914" s="1"/>
  <c r="I8" i="914" a="1"/>
  <c r="I8" i="914" s="1"/>
  <c r="F8" i="914" a="1"/>
  <c r="F8" i="914" s="1"/>
  <c r="M8" i="914" a="1"/>
  <c r="M8" i="914" s="1"/>
  <c r="J8" i="914" a="1"/>
  <c r="J8" i="914" s="1"/>
  <c r="G8" i="914" a="1"/>
  <c r="G8" i="914" s="1"/>
  <c r="H12" i="914" a="1"/>
  <c r="H12" i="914" s="1"/>
  <c r="M12" i="914" a="1"/>
  <c r="M12" i="914" s="1"/>
  <c r="I12" i="914" a="1"/>
  <c r="I12" i="914" s="1"/>
  <c r="J12" i="914" a="1"/>
  <c r="J12" i="914" s="1"/>
  <c r="K12" i="914" a="1"/>
  <c r="K12" i="914" s="1"/>
  <c r="E12" i="914" a="1"/>
  <c r="E12" i="914" s="1"/>
  <c r="G12" i="914" a="1"/>
  <c r="G12" i="914" s="1"/>
  <c r="F12" i="914" a="1"/>
  <c r="F12" i="914" s="1"/>
  <c r="L12" i="914" a="1"/>
  <c r="L12" i="914" s="1"/>
  <c r="H9" i="914" a="1"/>
  <c r="H9" i="914" s="1"/>
  <c r="K9" i="914" a="1"/>
  <c r="K9" i="914" s="1"/>
  <c r="I9" i="914" a="1"/>
  <c r="I9" i="914" s="1"/>
  <c r="G9" i="914" a="1"/>
  <c r="G9" i="914" s="1"/>
  <c r="J9" i="914" a="1"/>
  <c r="J9" i="914" s="1"/>
  <c r="M9" i="914" a="1"/>
  <c r="M9" i="914" s="1"/>
  <c r="F9" i="914" a="1"/>
  <c r="F9" i="914" s="1"/>
  <c r="E9" i="914" a="1"/>
  <c r="E9" i="914" s="1"/>
  <c r="L9" i="914" a="1"/>
  <c r="L9" i="914" s="1"/>
  <c r="L10" i="914" a="1"/>
  <c r="L10" i="914" s="1"/>
  <c r="H10" i="914" a="1"/>
  <c r="H10" i="914" s="1"/>
  <c r="F10" i="914" a="1"/>
  <c r="F10" i="914" s="1"/>
  <c r="M10" i="914" a="1"/>
  <c r="M10" i="914" s="1"/>
  <c r="K10" i="914" a="1"/>
  <c r="K10" i="914" s="1"/>
  <c r="G10" i="914" a="1"/>
  <c r="G10" i="914" s="1"/>
  <c r="J10" i="914" a="1"/>
  <c r="J10" i="914" s="1"/>
  <c r="I10" i="914" a="1"/>
  <c r="I10" i="914" s="1"/>
  <c r="E10" i="914" a="1"/>
  <c r="E10" i="914" s="1"/>
  <c r="I7" i="914" a="1"/>
  <c r="I7" i="914" s="1"/>
  <c r="K7" i="914" a="1"/>
  <c r="K7" i="914" s="1"/>
  <c r="G7" i="914" a="1"/>
  <c r="G7" i="914" s="1"/>
  <c r="J7" i="914" a="1"/>
  <c r="J7" i="914" s="1"/>
  <c r="M7" i="914" a="1"/>
  <c r="M7" i="914" s="1"/>
  <c r="E7" i="914" a="1"/>
  <c r="E7" i="914" s="1"/>
  <c r="L7" i="914" a="1"/>
  <c r="L7" i="914" s="1"/>
  <c r="F7" i="914" a="1"/>
  <c r="F7" i="914" s="1"/>
  <c r="H7" i="914" a="1"/>
  <c r="H7" i="914" s="1"/>
  <c r="N5" i="914"/>
  <c r="F13" i="913"/>
  <c r="F14" i="913" s="1"/>
  <c r="J13" i="913"/>
  <c r="J14" i="913" s="1"/>
  <c r="N6" i="913"/>
  <c r="E13" i="913"/>
  <c r="E14" i="913" s="1"/>
  <c r="N3" i="913"/>
  <c r="N7" i="913"/>
  <c r="G13" i="913"/>
  <c r="G14" i="913" s="1"/>
  <c r="N4" i="913"/>
  <c r="N8" i="913"/>
  <c r="K13" i="913"/>
  <c r="K14" i="913" s="1"/>
  <c r="N10" i="913"/>
  <c r="N11" i="913"/>
  <c r="M13" i="913"/>
  <c r="M14" i="913" s="1"/>
  <c r="N12" i="913"/>
  <c r="H13" i="913"/>
  <c r="H14" i="913" s="1"/>
  <c r="N9" i="913"/>
  <c r="I13" i="913"/>
  <c r="I14" i="913" s="1"/>
  <c r="L13" i="913"/>
  <c r="L14" i="913" s="1"/>
  <c r="N5" i="913"/>
  <c r="M9" i="912" a="1"/>
  <c r="M9" i="912" s="1"/>
  <c r="I9" i="912" a="1"/>
  <c r="I9" i="912" s="1"/>
  <c r="E9" i="912" a="1"/>
  <c r="E9" i="912" s="1"/>
  <c r="L9" i="912" a="1"/>
  <c r="L9" i="912" s="1"/>
  <c r="H9" i="912" a="1"/>
  <c r="H9" i="912" s="1"/>
  <c r="K9" i="912" a="1"/>
  <c r="K9" i="912" s="1"/>
  <c r="G9" i="912" a="1"/>
  <c r="G9" i="912" s="1"/>
  <c r="J9" i="912" a="1"/>
  <c r="J9" i="912" s="1"/>
  <c r="F9" i="912" a="1"/>
  <c r="F9" i="912" s="1"/>
  <c r="K12" i="912" a="1"/>
  <c r="K12" i="912" s="1"/>
  <c r="G12" i="912" a="1"/>
  <c r="G12" i="912" s="1"/>
  <c r="L12" i="912" a="1"/>
  <c r="L12" i="912" s="1"/>
  <c r="H12" i="912" a="1"/>
  <c r="H12" i="912" s="1"/>
  <c r="J12" i="912" a="1"/>
  <c r="J12" i="912" s="1"/>
  <c r="F12" i="912" a="1"/>
  <c r="F12" i="912" s="1"/>
  <c r="M12" i="912" a="1"/>
  <c r="M12" i="912" s="1"/>
  <c r="I12" i="912" a="1"/>
  <c r="I12" i="912" s="1"/>
  <c r="E12" i="912" a="1"/>
  <c r="E12" i="912" s="1"/>
  <c r="J11" i="912" a="1"/>
  <c r="J11" i="912" s="1"/>
  <c r="F11" i="912" a="1"/>
  <c r="F11" i="912" s="1"/>
  <c r="I11" i="912" a="1"/>
  <c r="I11" i="912" s="1"/>
  <c r="E11" i="912" a="1"/>
  <c r="E11" i="912" s="1"/>
  <c r="M11" i="912" a="1"/>
  <c r="M11" i="912" s="1"/>
  <c r="H11" i="912" a="1"/>
  <c r="H11" i="912" s="1"/>
  <c r="L11" i="912" a="1"/>
  <c r="L11" i="912" s="1"/>
  <c r="G11" i="912" a="1"/>
  <c r="G11" i="912" s="1"/>
  <c r="E7" i="912" a="1"/>
  <c r="E7" i="912" s="1"/>
  <c r="L7" i="912" a="1"/>
  <c r="L7" i="912" s="1"/>
  <c r="H7" i="912" a="1"/>
  <c r="H7" i="912" s="1"/>
  <c r="M7" i="912" a="1"/>
  <c r="M7" i="912" s="1"/>
  <c r="I7" i="912" a="1"/>
  <c r="I7" i="912" s="1"/>
  <c r="K7" i="912" a="1"/>
  <c r="K7" i="912" s="1"/>
  <c r="G7" i="912" a="1"/>
  <c r="G7" i="912" s="1"/>
  <c r="J7" i="912" a="1"/>
  <c r="J7" i="912" s="1"/>
  <c r="F7" i="912" a="1"/>
  <c r="F7" i="912" s="1"/>
  <c r="M10" i="912" a="1"/>
  <c r="M10" i="912" s="1"/>
  <c r="I10" i="912" a="1"/>
  <c r="I10" i="912" s="1"/>
  <c r="E10" i="912" a="1"/>
  <c r="E10" i="912" s="1"/>
  <c r="J10" i="912" a="1"/>
  <c r="J10" i="912" s="1"/>
  <c r="L10" i="912" a="1"/>
  <c r="L10" i="912" s="1"/>
  <c r="H10" i="912" a="1"/>
  <c r="H10" i="912" s="1"/>
  <c r="F10" i="912" a="1"/>
  <c r="F10" i="912" s="1"/>
  <c r="K10" i="912" a="1"/>
  <c r="K10" i="912" s="1"/>
  <c r="G10" i="912" a="1"/>
  <c r="G10" i="912" s="1"/>
  <c r="M8" i="912" a="1"/>
  <c r="M8" i="912" s="1"/>
  <c r="I8" i="912" a="1"/>
  <c r="I8" i="912" s="1"/>
  <c r="E8" i="912" a="1"/>
  <c r="E8" i="912" s="1"/>
  <c r="L8" i="912" a="1"/>
  <c r="L8" i="912" s="1"/>
  <c r="H8" i="912" a="1"/>
  <c r="H8" i="912" s="1"/>
  <c r="K8" i="912" a="1"/>
  <c r="K8" i="912" s="1"/>
  <c r="G8" i="912" a="1"/>
  <c r="G8" i="912" s="1"/>
  <c r="J8" i="912" a="1"/>
  <c r="J8" i="912" s="1"/>
  <c r="F8" i="912" a="1"/>
  <c r="F8" i="912" s="1"/>
  <c r="M10" i="911" a="1"/>
  <c r="M10" i="911" s="1"/>
  <c r="I10" i="911" a="1"/>
  <c r="I10" i="911" s="1"/>
  <c r="E10" i="911" a="1"/>
  <c r="E10" i="911" s="1"/>
  <c r="L10" i="911" a="1"/>
  <c r="L10" i="911" s="1"/>
  <c r="H10" i="911" a="1"/>
  <c r="H10" i="911" s="1"/>
  <c r="F10" i="911" a="1"/>
  <c r="F10" i="911" s="1"/>
  <c r="K10" i="911" a="1"/>
  <c r="K10" i="911" s="1"/>
  <c r="G10" i="911" a="1"/>
  <c r="G10" i="911" s="1"/>
  <c r="J10" i="911" a="1"/>
  <c r="J10" i="911" s="1"/>
  <c r="M8" i="911" a="1"/>
  <c r="M8" i="911" s="1"/>
  <c r="I8" i="911" a="1"/>
  <c r="I8" i="911" s="1"/>
  <c r="E8" i="911" a="1"/>
  <c r="E8" i="911" s="1"/>
  <c r="L8" i="911" a="1"/>
  <c r="L8" i="911" s="1"/>
  <c r="H8" i="911" a="1"/>
  <c r="H8" i="911" s="1"/>
  <c r="K8" i="911" a="1"/>
  <c r="K8" i="911" s="1"/>
  <c r="G8" i="911" a="1"/>
  <c r="G8" i="911" s="1"/>
  <c r="J8" i="911" a="1"/>
  <c r="J8" i="911" s="1"/>
  <c r="F8" i="911" a="1"/>
  <c r="F8" i="911" s="1"/>
  <c r="M9" i="911" a="1"/>
  <c r="M9" i="911" s="1"/>
  <c r="I9" i="911" a="1"/>
  <c r="I9" i="911" s="1"/>
  <c r="E9" i="911" a="1"/>
  <c r="E9" i="911" s="1"/>
  <c r="L9" i="911" a="1"/>
  <c r="L9" i="911" s="1"/>
  <c r="H9" i="911" a="1"/>
  <c r="H9" i="911" s="1"/>
  <c r="K9" i="911" a="1"/>
  <c r="K9" i="911" s="1"/>
  <c r="G9" i="911" a="1"/>
  <c r="G9" i="911" s="1"/>
  <c r="J9" i="911" a="1"/>
  <c r="J9" i="911" s="1"/>
  <c r="F9" i="911" a="1"/>
  <c r="F9" i="911" s="1"/>
  <c r="N6" i="910"/>
  <c r="J11" i="911" a="1"/>
  <c r="J11" i="911" s="1"/>
  <c r="F11" i="911" a="1"/>
  <c r="F11" i="911" s="1"/>
  <c r="I11" i="911" a="1"/>
  <c r="I11" i="911" s="1"/>
  <c r="E11" i="911" a="1"/>
  <c r="E11" i="911" s="1"/>
  <c r="M11" i="911" a="1"/>
  <c r="M11" i="911" s="1"/>
  <c r="H11" i="911" a="1"/>
  <c r="H11" i="911" s="1"/>
  <c r="L11" i="911" a="1"/>
  <c r="L11" i="911" s="1"/>
  <c r="G11" i="911" a="1"/>
  <c r="G11" i="911" s="1"/>
  <c r="K12" i="911" a="1"/>
  <c r="K12" i="911" s="1"/>
  <c r="G12" i="911" a="1"/>
  <c r="G12" i="911" s="1"/>
  <c r="J12" i="911" a="1"/>
  <c r="J12" i="911" s="1"/>
  <c r="F12" i="911" a="1"/>
  <c r="F12" i="911" s="1"/>
  <c r="H12" i="911" a="1"/>
  <c r="H12" i="911" s="1"/>
  <c r="M12" i="911" a="1"/>
  <c r="M12" i="911" s="1"/>
  <c r="I12" i="911" a="1"/>
  <c r="I12" i="911" s="1"/>
  <c r="E12" i="911" a="1"/>
  <c r="E12" i="911" s="1"/>
  <c r="L12" i="911" a="1"/>
  <c r="L12" i="911" s="1"/>
  <c r="L7" i="911" a="1"/>
  <c r="L7" i="911" s="1"/>
  <c r="H7" i="911" a="1"/>
  <c r="H7" i="911" s="1"/>
  <c r="K7" i="911" a="1"/>
  <c r="K7" i="911" s="1"/>
  <c r="G7" i="911" a="1"/>
  <c r="G7" i="911" s="1"/>
  <c r="I7" i="911" a="1"/>
  <c r="I7" i="911" s="1"/>
  <c r="E7" i="911" a="1"/>
  <c r="E7" i="911" s="1"/>
  <c r="J7" i="911" a="1"/>
  <c r="J7" i="911" s="1"/>
  <c r="F7" i="911" a="1"/>
  <c r="F7" i="911" s="1"/>
  <c r="M7" i="911" a="1"/>
  <c r="M7" i="911" s="1"/>
  <c r="J13" i="910"/>
  <c r="J14" i="910" s="1"/>
  <c r="E13" i="910"/>
  <c r="E14" i="910" s="1"/>
  <c r="N3" i="910"/>
  <c r="N9" i="910"/>
  <c r="I13" i="910"/>
  <c r="I14" i="910" s="1"/>
  <c r="N12" i="910"/>
  <c r="N8" i="910"/>
  <c r="N11" i="910"/>
  <c r="G13" i="910"/>
  <c r="G14" i="910" s="1"/>
  <c r="N10" i="910"/>
  <c r="N7" i="910"/>
  <c r="N4" i="910"/>
  <c r="K13" i="910"/>
  <c r="K14" i="910" s="1"/>
  <c r="N5" i="910"/>
  <c r="H13" i="910"/>
  <c r="H14" i="910" s="1"/>
  <c r="L13" i="910"/>
  <c r="L14" i="910" s="1"/>
  <c r="F13" i="910"/>
  <c r="F14" i="910" s="1"/>
  <c r="M13" i="910"/>
  <c r="M14" i="910" s="1"/>
  <c r="M10" i="909" a="1"/>
  <c r="M10" i="909" s="1"/>
  <c r="I10" i="909" a="1"/>
  <c r="I10" i="909" s="1"/>
  <c r="E10" i="909" a="1"/>
  <c r="E10" i="909" s="1"/>
  <c r="F10" i="909" a="1"/>
  <c r="F10" i="909" s="1"/>
  <c r="L10" i="909" a="1"/>
  <c r="L10" i="909" s="1"/>
  <c r="H10" i="909" a="1"/>
  <c r="H10" i="909" s="1"/>
  <c r="K10" i="909" a="1"/>
  <c r="K10" i="909" s="1"/>
  <c r="G10" i="909" a="1"/>
  <c r="G10" i="909" s="1"/>
  <c r="J10" i="909" a="1"/>
  <c r="J10" i="909" s="1"/>
  <c r="M8" i="909" a="1"/>
  <c r="M8" i="909" s="1"/>
  <c r="I8" i="909" a="1"/>
  <c r="I8" i="909" s="1"/>
  <c r="E8" i="909" a="1"/>
  <c r="E8" i="909" s="1"/>
  <c r="L8" i="909" a="1"/>
  <c r="L8" i="909" s="1"/>
  <c r="H8" i="909" a="1"/>
  <c r="H8" i="909" s="1"/>
  <c r="K8" i="909" a="1"/>
  <c r="K8" i="909" s="1"/>
  <c r="G8" i="909" a="1"/>
  <c r="G8" i="909" s="1"/>
  <c r="J8" i="909" a="1"/>
  <c r="J8" i="909" s="1"/>
  <c r="F8" i="909" a="1"/>
  <c r="F8" i="909" s="1"/>
  <c r="M9" i="909" a="1"/>
  <c r="M9" i="909" s="1"/>
  <c r="I9" i="909" a="1"/>
  <c r="I9" i="909" s="1"/>
  <c r="E9" i="909" a="1"/>
  <c r="E9" i="909" s="1"/>
  <c r="L9" i="909" a="1"/>
  <c r="L9" i="909" s="1"/>
  <c r="H9" i="909" a="1"/>
  <c r="H9" i="909" s="1"/>
  <c r="K9" i="909" a="1"/>
  <c r="K9" i="909" s="1"/>
  <c r="G9" i="909" a="1"/>
  <c r="G9" i="909" s="1"/>
  <c r="J9" i="909" a="1"/>
  <c r="J9" i="909" s="1"/>
  <c r="F9" i="909" a="1"/>
  <c r="F9" i="909" s="1"/>
  <c r="K12" i="909" a="1"/>
  <c r="K12" i="909" s="1"/>
  <c r="G12" i="909" a="1"/>
  <c r="G12" i="909" s="1"/>
  <c r="L12" i="909" a="1"/>
  <c r="L12" i="909" s="1"/>
  <c r="J12" i="909" a="1"/>
  <c r="J12" i="909" s="1"/>
  <c r="F12" i="909" a="1"/>
  <c r="F12" i="909" s="1"/>
  <c r="M12" i="909" a="1"/>
  <c r="M12" i="909" s="1"/>
  <c r="I12" i="909" a="1"/>
  <c r="I12" i="909" s="1"/>
  <c r="E12" i="909" a="1"/>
  <c r="E12" i="909" s="1"/>
  <c r="H12" i="909" a="1"/>
  <c r="H12" i="909" s="1"/>
  <c r="J11" i="909" a="1"/>
  <c r="J11" i="909" s="1"/>
  <c r="F11" i="909" a="1"/>
  <c r="F11" i="909" s="1"/>
  <c r="I11" i="909" a="1"/>
  <c r="I11" i="909" s="1"/>
  <c r="E11" i="909" a="1"/>
  <c r="E11" i="909" s="1"/>
  <c r="M11" i="909" a="1"/>
  <c r="M11" i="909" s="1"/>
  <c r="H11" i="909" a="1"/>
  <c r="H11" i="909" s="1"/>
  <c r="L11" i="909" a="1"/>
  <c r="L11" i="909" s="1"/>
  <c r="G11" i="909" a="1"/>
  <c r="G11" i="909" s="1"/>
  <c r="N7" i="908"/>
  <c r="N12" i="908"/>
  <c r="F13" i="908"/>
  <c r="F14" i="908" s="1"/>
  <c r="N8" i="908"/>
  <c r="J13" i="908"/>
  <c r="J14" i="908" s="1"/>
  <c r="N10" i="908"/>
  <c r="G13" i="908"/>
  <c r="G14" i="908" s="1"/>
  <c r="N6" i="908"/>
  <c r="K13" i="908"/>
  <c r="K14" i="908" s="1"/>
  <c r="H13" i="908"/>
  <c r="H14" i="908" s="1"/>
  <c r="N9" i="908"/>
  <c r="E13" i="908"/>
  <c r="E14" i="908" s="1"/>
  <c r="N3" i="908"/>
  <c r="L13" i="908"/>
  <c r="L14" i="908" s="1"/>
  <c r="N5" i="908"/>
  <c r="I13" i="908"/>
  <c r="I14" i="908" s="1"/>
  <c r="N4" i="908"/>
  <c r="N11" i="908"/>
  <c r="M13" i="908"/>
  <c r="M14" i="908" s="1"/>
  <c r="M9" i="907" a="1"/>
  <c r="M9" i="907" s="1"/>
  <c r="I9" i="907" a="1"/>
  <c r="I9" i="907" s="1"/>
  <c r="E9" i="907" a="1"/>
  <c r="E9" i="907" s="1"/>
  <c r="L9" i="907" a="1"/>
  <c r="L9" i="907" s="1"/>
  <c r="H9" i="907" a="1"/>
  <c r="H9" i="907" s="1"/>
  <c r="K9" i="907" a="1"/>
  <c r="K9" i="907" s="1"/>
  <c r="G9" i="907" a="1"/>
  <c r="G9" i="907" s="1"/>
  <c r="J9" i="907" a="1"/>
  <c r="J9" i="907" s="1"/>
  <c r="F9" i="907" a="1"/>
  <c r="F9" i="907" s="1"/>
  <c r="K12" i="907" a="1"/>
  <c r="K12" i="907" s="1"/>
  <c r="G12" i="907" a="1"/>
  <c r="G12" i="907" s="1"/>
  <c r="J12" i="907" a="1"/>
  <c r="J12" i="907" s="1"/>
  <c r="F12" i="907" a="1"/>
  <c r="F12" i="907" s="1"/>
  <c r="M12" i="907" a="1"/>
  <c r="M12" i="907" s="1"/>
  <c r="I12" i="907" a="1"/>
  <c r="I12" i="907" s="1"/>
  <c r="E12" i="907" a="1"/>
  <c r="E12" i="907" s="1"/>
  <c r="L12" i="907" a="1"/>
  <c r="L12" i="907" s="1"/>
  <c r="H12" i="907" a="1"/>
  <c r="H12" i="907" s="1"/>
  <c r="J11" i="907" a="1"/>
  <c r="J11" i="907" s="1"/>
  <c r="F11" i="907" a="1"/>
  <c r="F11" i="907" s="1"/>
  <c r="I11" i="907" a="1"/>
  <c r="I11" i="907" s="1"/>
  <c r="E11" i="907" a="1"/>
  <c r="E11" i="907" s="1"/>
  <c r="M11" i="907" a="1"/>
  <c r="M11" i="907" s="1"/>
  <c r="H11" i="907" a="1"/>
  <c r="H11" i="907" s="1"/>
  <c r="L11" i="907" a="1"/>
  <c r="L11" i="907" s="1"/>
  <c r="G11" i="907" a="1"/>
  <c r="G11" i="907" s="1"/>
  <c r="M10" i="907" a="1"/>
  <c r="M10" i="907" s="1"/>
  <c r="I10" i="907" a="1"/>
  <c r="I10" i="907" s="1"/>
  <c r="E10" i="907" a="1"/>
  <c r="E10" i="907" s="1"/>
  <c r="L10" i="907" a="1"/>
  <c r="L10" i="907" s="1"/>
  <c r="H10" i="907" a="1"/>
  <c r="H10" i="907" s="1"/>
  <c r="K10" i="907" a="1"/>
  <c r="K10" i="907" s="1"/>
  <c r="G10" i="907" a="1"/>
  <c r="G10" i="907" s="1"/>
  <c r="J10" i="907" a="1"/>
  <c r="J10" i="907" s="1"/>
  <c r="F10" i="907" a="1"/>
  <c r="F10" i="907" s="1"/>
  <c r="M8" i="907" a="1"/>
  <c r="M8" i="907" s="1"/>
  <c r="I8" i="907" a="1"/>
  <c r="I8" i="907" s="1"/>
  <c r="E8" i="907" a="1"/>
  <c r="E8" i="907" s="1"/>
  <c r="L8" i="907" a="1"/>
  <c r="L8" i="907" s="1"/>
  <c r="H8" i="907" a="1"/>
  <c r="H8" i="907" s="1"/>
  <c r="K8" i="907" a="1"/>
  <c r="K8" i="907" s="1"/>
  <c r="G8" i="907" a="1"/>
  <c r="G8" i="907" s="1"/>
  <c r="J8" i="907" a="1"/>
  <c r="J8" i="907" s="1"/>
  <c r="F8" i="907" a="1"/>
  <c r="F8" i="907" s="1"/>
  <c r="M9" i="906" a="1"/>
  <c r="M9" i="906" s="1"/>
  <c r="I9" i="906" a="1"/>
  <c r="I9" i="906" s="1"/>
  <c r="E9" i="906" a="1"/>
  <c r="E9" i="906" s="1"/>
  <c r="L9" i="906" a="1"/>
  <c r="L9" i="906" s="1"/>
  <c r="H9" i="906" a="1"/>
  <c r="H9" i="906" s="1"/>
  <c r="K9" i="906" a="1"/>
  <c r="K9" i="906" s="1"/>
  <c r="G9" i="906" a="1"/>
  <c r="G9" i="906" s="1"/>
  <c r="J9" i="906" a="1"/>
  <c r="J9" i="906" s="1"/>
  <c r="F9" i="906" a="1"/>
  <c r="F9" i="906" s="1"/>
  <c r="J11" i="906" a="1"/>
  <c r="J11" i="906" s="1"/>
  <c r="F11" i="906" a="1"/>
  <c r="F11" i="906" s="1"/>
  <c r="I11" i="906" a="1"/>
  <c r="I11" i="906" s="1"/>
  <c r="E11" i="906" a="1"/>
  <c r="E11" i="906" s="1"/>
  <c r="M11" i="906" a="1"/>
  <c r="M11" i="906" s="1"/>
  <c r="H11" i="906" a="1"/>
  <c r="H11" i="906" s="1"/>
  <c r="L11" i="906" a="1"/>
  <c r="L11" i="906" s="1"/>
  <c r="G11" i="906" a="1"/>
  <c r="G11" i="906" s="1"/>
  <c r="L7" i="906" a="1"/>
  <c r="L7" i="906" s="1"/>
  <c r="H7" i="906" a="1"/>
  <c r="H7" i="906" s="1"/>
  <c r="M7" i="906" a="1"/>
  <c r="M7" i="906" s="1"/>
  <c r="K7" i="906" a="1"/>
  <c r="K7" i="906" s="1"/>
  <c r="G7" i="906" a="1"/>
  <c r="G7" i="906" s="1"/>
  <c r="E7" i="906" a="1"/>
  <c r="E7" i="906" s="1"/>
  <c r="J7" i="906" a="1"/>
  <c r="J7" i="906" s="1"/>
  <c r="F7" i="906" a="1"/>
  <c r="F7" i="906" s="1"/>
  <c r="I7" i="906" a="1"/>
  <c r="I7" i="906" s="1"/>
  <c r="K12" i="906" a="1"/>
  <c r="K12" i="906" s="1"/>
  <c r="G12" i="906" a="1"/>
  <c r="G12" i="906" s="1"/>
  <c r="J12" i="906" a="1"/>
  <c r="J12" i="906" s="1"/>
  <c r="F12" i="906" a="1"/>
  <c r="F12" i="906" s="1"/>
  <c r="H12" i="906" a="1"/>
  <c r="H12" i="906" s="1"/>
  <c r="L12" i="906" a="1"/>
  <c r="L12" i="906" s="1"/>
  <c r="M12" i="906" a="1"/>
  <c r="M12" i="906" s="1"/>
  <c r="I12" i="906" a="1"/>
  <c r="I12" i="906" s="1"/>
  <c r="E12" i="906" a="1"/>
  <c r="E12" i="906" s="1"/>
  <c r="F10" i="906" a="1"/>
  <c r="F10" i="906" s="1"/>
  <c r="M10" i="906" a="1"/>
  <c r="M10" i="906" s="1"/>
  <c r="I10" i="906" a="1"/>
  <c r="I10" i="906" s="1"/>
  <c r="E10" i="906" a="1"/>
  <c r="E10" i="906" s="1"/>
  <c r="J10" i="906" a="1"/>
  <c r="J10" i="906" s="1"/>
  <c r="L10" i="906" a="1"/>
  <c r="L10" i="906" s="1"/>
  <c r="H10" i="906" a="1"/>
  <c r="H10" i="906" s="1"/>
  <c r="K10" i="906" a="1"/>
  <c r="K10" i="906" s="1"/>
  <c r="G10" i="906" a="1"/>
  <c r="G10" i="906" s="1"/>
  <c r="M8" i="906" a="1"/>
  <c r="M8" i="906" s="1"/>
  <c r="I8" i="906" a="1"/>
  <c r="I8" i="906" s="1"/>
  <c r="E8" i="906" a="1"/>
  <c r="E8" i="906" s="1"/>
  <c r="L8" i="906" a="1"/>
  <c r="L8" i="906" s="1"/>
  <c r="H8" i="906" a="1"/>
  <c r="H8" i="906" s="1"/>
  <c r="K8" i="906" a="1"/>
  <c r="K8" i="906" s="1"/>
  <c r="G8" i="906" a="1"/>
  <c r="G8" i="906" s="1"/>
  <c r="J8" i="906" a="1"/>
  <c r="J8" i="906" s="1"/>
  <c r="F8" i="906" a="1"/>
  <c r="F8" i="906" s="1"/>
  <c r="M10" i="905" a="1"/>
  <c r="M10" i="905" s="1"/>
  <c r="I10" i="905" a="1"/>
  <c r="I10" i="905" s="1"/>
  <c r="E10" i="905" a="1"/>
  <c r="E10" i="905" s="1"/>
  <c r="L10" i="905" a="1"/>
  <c r="L10" i="905" s="1"/>
  <c r="H10" i="905" a="1"/>
  <c r="H10" i="905" s="1"/>
  <c r="J10" i="905" a="1"/>
  <c r="J10" i="905" s="1"/>
  <c r="K10" i="905" a="1"/>
  <c r="K10" i="905" s="1"/>
  <c r="G10" i="905" a="1"/>
  <c r="G10" i="905" s="1"/>
  <c r="F10" i="905" a="1"/>
  <c r="F10" i="905" s="1"/>
  <c r="M8" i="905" a="1"/>
  <c r="M8" i="905" s="1"/>
  <c r="I8" i="905" a="1"/>
  <c r="I8" i="905" s="1"/>
  <c r="E8" i="905" a="1"/>
  <c r="E8" i="905" s="1"/>
  <c r="L8" i="905" a="1"/>
  <c r="L8" i="905" s="1"/>
  <c r="H8" i="905" a="1"/>
  <c r="H8" i="905" s="1"/>
  <c r="K8" i="905" a="1"/>
  <c r="K8" i="905" s="1"/>
  <c r="G8" i="905" a="1"/>
  <c r="G8" i="905" s="1"/>
  <c r="J8" i="905" a="1"/>
  <c r="J8" i="905" s="1"/>
  <c r="F8" i="905" a="1"/>
  <c r="F8" i="905" s="1"/>
  <c r="M9" i="905" a="1"/>
  <c r="M9" i="905" s="1"/>
  <c r="I9" i="905" a="1"/>
  <c r="I9" i="905" s="1"/>
  <c r="E9" i="905" a="1"/>
  <c r="E9" i="905" s="1"/>
  <c r="L9" i="905" a="1"/>
  <c r="L9" i="905" s="1"/>
  <c r="H9" i="905" a="1"/>
  <c r="H9" i="905" s="1"/>
  <c r="K9" i="905" a="1"/>
  <c r="K9" i="905" s="1"/>
  <c r="G9" i="905" a="1"/>
  <c r="G9" i="905" s="1"/>
  <c r="J9" i="905" a="1"/>
  <c r="J9" i="905" s="1"/>
  <c r="F9" i="905" a="1"/>
  <c r="F9" i="905" s="1"/>
  <c r="K12" i="905" a="1"/>
  <c r="K12" i="905" s="1"/>
  <c r="G12" i="905" a="1"/>
  <c r="G12" i="905" s="1"/>
  <c r="J12" i="905" a="1"/>
  <c r="J12" i="905" s="1"/>
  <c r="F12" i="905" a="1"/>
  <c r="F12" i="905" s="1"/>
  <c r="L12" i="905" a="1"/>
  <c r="L12" i="905" s="1"/>
  <c r="H12" i="905" a="1"/>
  <c r="H12" i="905" s="1"/>
  <c r="M12" i="905" a="1"/>
  <c r="M12" i="905" s="1"/>
  <c r="I12" i="905" a="1"/>
  <c r="I12" i="905" s="1"/>
  <c r="E12" i="905" a="1"/>
  <c r="E12" i="905" s="1"/>
  <c r="J11" i="905" a="1"/>
  <c r="J11" i="905" s="1"/>
  <c r="F11" i="905" a="1"/>
  <c r="F11" i="905" s="1"/>
  <c r="I11" i="905" a="1"/>
  <c r="I11" i="905" s="1"/>
  <c r="E11" i="905" a="1"/>
  <c r="E11" i="905" s="1"/>
  <c r="M11" i="905" a="1"/>
  <c r="M11" i="905" s="1"/>
  <c r="H11" i="905" a="1"/>
  <c r="H11" i="905" s="1"/>
  <c r="L11" i="905" a="1"/>
  <c r="L11" i="905" s="1"/>
  <c r="G11" i="905" a="1"/>
  <c r="G11" i="905" s="1"/>
  <c r="M10" i="904" a="1"/>
  <c r="M10" i="904" s="1"/>
  <c r="I10" i="904" a="1"/>
  <c r="I10" i="904" s="1"/>
  <c r="E10" i="904" a="1"/>
  <c r="E10" i="904" s="1"/>
  <c r="L10" i="904" a="1"/>
  <c r="L10" i="904" s="1"/>
  <c r="H10" i="904" a="1"/>
  <c r="H10" i="904" s="1"/>
  <c r="K10" i="904" a="1"/>
  <c r="K10" i="904" s="1"/>
  <c r="G10" i="904" a="1"/>
  <c r="G10" i="904" s="1"/>
  <c r="J10" i="904" a="1"/>
  <c r="J10" i="904" s="1"/>
  <c r="F10" i="904" a="1"/>
  <c r="F10" i="904" s="1"/>
  <c r="M8" i="904" a="1"/>
  <c r="M8" i="904" s="1"/>
  <c r="I8" i="904" a="1"/>
  <c r="I8" i="904" s="1"/>
  <c r="E8" i="904" a="1"/>
  <c r="E8" i="904" s="1"/>
  <c r="L8" i="904" a="1"/>
  <c r="L8" i="904" s="1"/>
  <c r="H8" i="904" a="1"/>
  <c r="H8" i="904" s="1"/>
  <c r="K8" i="904" a="1"/>
  <c r="K8" i="904" s="1"/>
  <c r="G8" i="904" a="1"/>
  <c r="G8" i="904" s="1"/>
  <c r="J8" i="904" a="1"/>
  <c r="J8" i="904" s="1"/>
  <c r="F8" i="904" a="1"/>
  <c r="F8" i="904" s="1"/>
  <c r="J11" i="904" a="1"/>
  <c r="J11" i="904" s="1"/>
  <c r="F11" i="904" a="1"/>
  <c r="F11" i="904" s="1"/>
  <c r="E11" i="904" a="1"/>
  <c r="E11" i="904" s="1"/>
  <c r="I11" i="904" a="1"/>
  <c r="I11" i="904" s="1"/>
  <c r="M11" i="904" a="1"/>
  <c r="M11" i="904" s="1"/>
  <c r="H11" i="904" a="1"/>
  <c r="H11" i="904" s="1"/>
  <c r="L11" i="904" a="1"/>
  <c r="L11" i="904" s="1"/>
  <c r="G11" i="904" a="1"/>
  <c r="G11" i="904" s="1"/>
  <c r="M9" i="904" a="1"/>
  <c r="M9" i="904" s="1"/>
  <c r="I9" i="904" a="1"/>
  <c r="I9" i="904" s="1"/>
  <c r="E9" i="904" a="1"/>
  <c r="E9" i="904" s="1"/>
  <c r="H9" i="904" a="1"/>
  <c r="H9" i="904" s="1"/>
  <c r="L9" i="904" a="1"/>
  <c r="L9" i="904" s="1"/>
  <c r="K9" i="904" a="1"/>
  <c r="K9" i="904" s="1"/>
  <c r="G9" i="904" a="1"/>
  <c r="G9" i="904" s="1"/>
  <c r="J9" i="904" a="1"/>
  <c r="J9" i="904" s="1"/>
  <c r="F9" i="904" a="1"/>
  <c r="F9" i="904" s="1"/>
  <c r="K12" i="904" a="1"/>
  <c r="K12" i="904" s="1"/>
  <c r="G12" i="904" a="1"/>
  <c r="G12" i="904" s="1"/>
  <c r="J12" i="904" a="1"/>
  <c r="J12" i="904" s="1"/>
  <c r="F12" i="904" a="1"/>
  <c r="F12" i="904" s="1"/>
  <c r="H12" i="904" a="1"/>
  <c r="H12" i="904" s="1"/>
  <c r="M12" i="904" a="1"/>
  <c r="M12" i="904" s="1"/>
  <c r="I12" i="904" a="1"/>
  <c r="I12" i="904" s="1"/>
  <c r="E12" i="904" a="1"/>
  <c r="E12" i="904" s="1"/>
  <c r="L12" i="904" a="1"/>
  <c r="L12" i="904" s="1"/>
  <c r="J13" i="903"/>
  <c r="J14" i="903" s="1"/>
  <c r="E13" i="903"/>
  <c r="E14" i="903" s="1"/>
  <c r="N3" i="903"/>
  <c r="I13" i="903"/>
  <c r="I14" i="903" s="1"/>
  <c r="N11" i="903"/>
  <c r="M13" i="903"/>
  <c r="M14" i="903" s="1"/>
  <c r="N9" i="903"/>
  <c r="G13" i="903"/>
  <c r="G14" i="903" s="1"/>
  <c r="N7" i="903"/>
  <c r="N5" i="903"/>
  <c r="K13" i="903"/>
  <c r="K14" i="903" s="1"/>
  <c r="N12" i="903"/>
  <c r="H13" i="903"/>
  <c r="H14" i="903" s="1"/>
  <c r="N4" i="903"/>
  <c r="N10" i="903"/>
  <c r="N6" i="903"/>
  <c r="F13" i="903"/>
  <c r="F14" i="903" s="1"/>
  <c r="L13" i="903"/>
  <c r="L14" i="903" s="1"/>
  <c r="N8" i="903"/>
  <c r="F22" i="757"/>
  <c r="N8" i="914" l="1"/>
  <c r="N11" i="914"/>
  <c r="L13" i="914"/>
  <c r="L14" i="914" s="1"/>
  <c r="J13" i="914"/>
  <c r="J14" i="914" s="1"/>
  <c r="F13" i="914"/>
  <c r="F14" i="914" s="1"/>
  <c r="I13" i="914"/>
  <c r="I14" i="914" s="1"/>
  <c r="K13" i="914"/>
  <c r="K14" i="914" s="1"/>
  <c r="G13" i="914"/>
  <c r="G14" i="914" s="1"/>
  <c r="N3" i="914"/>
  <c r="H13" i="914"/>
  <c r="H14" i="914" s="1"/>
  <c r="M13" i="914"/>
  <c r="M14" i="914" s="1"/>
  <c r="N12" i="914"/>
  <c r="N7" i="914"/>
  <c r="E13" i="914"/>
  <c r="E14" i="914" s="1"/>
  <c r="N4" i="914"/>
  <c r="N9" i="914"/>
  <c r="N10" i="914"/>
  <c r="N6" i="914"/>
  <c r="N13" i="913"/>
  <c r="N14" i="913" s="1"/>
  <c r="N11" i="912"/>
  <c r="H13" i="912"/>
  <c r="H14" i="912" s="1"/>
  <c r="J13" i="912"/>
  <c r="J14" i="912" s="1"/>
  <c r="E13" i="912"/>
  <c r="E14" i="912" s="1"/>
  <c r="N3" i="912"/>
  <c r="N6" i="912"/>
  <c r="G13" i="912"/>
  <c r="G14" i="912" s="1"/>
  <c r="N7" i="912"/>
  <c r="K13" i="912"/>
  <c r="K14" i="912" s="1"/>
  <c r="M13" i="912"/>
  <c r="M14" i="912" s="1"/>
  <c r="N8" i="912"/>
  <c r="N12" i="912"/>
  <c r="N9" i="912"/>
  <c r="N5" i="912"/>
  <c r="I13" i="912"/>
  <c r="I14" i="912" s="1"/>
  <c r="L13" i="912"/>
  <c r="L14" i="912" s="1"/>
  <c r="N10" i="912"/>
  <c r="N4" i="912"/>
  <c r="F13" i="912"/>
  <c r="F14" i="912" s="1"/>
  <c r="K13" i="911"/>
  <c r="K14" i="911" s="1"/>
  <c r="N12" i="911"/>
  <c r="N7" i="911"/>
  <c r="L13" i="911"/>
  <c r="L14" i="911" s="1"/>
  <c r="N9" i="911"/>
  <c r="I13" i="911"/>
  <c r="I14" i="911" s="1"/>
  <c r="H13" i="911"/>
  <c r="H14" i="911" s="1"/>
  <c r="N8" i="911"/>
  <c r="F13" i="911"/>
  <c r="F14" i="911" s="1"/>
  <c r="N5" i="911"/>
  <c r="N6" i="911"/>
  <c r="J13" i="911"/>
  <c r="J14" i="911" s="1"/>
  <c r="N10" i="911"/>
  <c r="N11" i="911"/>
  <c r="E13" i="911"/>
  <c r="E14" i="911" s="1"/>
  <c r="N3" i="911"/>
  <c r="N4" i="911"/>
  <c r="M13" i="911"/>
  <c r="M14" i="911" s="1"/>
  <c r="G13" i="911"/>
  <c r="G14" i="911" s="1"/>
  <c r="N13" i="910"/>
  <c r="N14" i="910" s="1"/>
  <c r="N6" i="909"/>
  <c r="I13" i="909"/>
  <c r="I14" i="909" s="1"/>
  <c r="N7" i="909"/>
  <c r="H13" i="909"/>
  <c r="H14" i="909" s="1"/>
  <c r="N9" i="909"/>
  <c r="N12" i="909"/>
  <c r="E13" i="909"/>
  <c r="E14" i="909" s="1"/>
  <c r="N3" i="909"/>
  <c r="L13" i="909"/>
  <c r="L14" i="909" s="1"/>
  <c r="N8" i="909"/>
  <c r="F13" i="909"/>
  <c r="F14" i="909" s="1"/>
  <c r="N5" i="909"/>
  <c r="N11" i="909"/>
  <c r="J13" i="909"/>
  <c r="J14" i="909" s="1"/>
  <c r="N10" i="909"/>
  <c r="M13" i="909"/>
  <c r="M14" i="909" s="1"/>
  <c r="N4" i="909"/>
  <c r="G13" i="909"/>
  <c r="G14" i="909" s="1"/>
  <c r="K13" i="909"/>
  <c r="K14" i="909" s="1"/>
  <c r="N13" i="908"/>
  <c r="N14" i="908" s="1"/>
  <c r="N4" i="907"/>
  <c r="F13" i="907"/>
  <c r="F14" i="907" s="1"/>
  <c r="M13" i="907"/>
  <c r="M14" i="907" s="1"/>
  <c r="J13" i="907"/>
  <c r="J14" i="907" s="1"/>
  <c r="N7" i="907"/>
  <c r="G13" i="907"/>
  <c r="G14" i="907" s="1"/>
  <c r="N6" i="907"/>
  <c r="K13" i="907"/>
  <c r="K14" i="907" s="1"/>
  <c r="N8" i="907"/>
  <c r="H13" i="907"/>
  <c r="H14" i="907" s="1"/>
  <c r="N9" i="907"/>
  <c r="N5" i="907"/>
  <c r="E13" i="907"/>
  <c r="E14" i="907" s="1"/>
  <c r="N3" i="907"/>
  <c r="L13" i="907"/>
  <c r="L14" i="907" s="1"/>
  <c r="N10" i="907"/>
  <c r="N11" i="907"/>
  <c r="N12" i="907"/>
  <c r="I13" i="907"/>
  <c r="I14" i="907" s="1"/>
  <c r="N5" i="906"/>
  <c r="N10" i="906"/>
  <c r="J13" i="906"/>
  <c r="J14" i="906" s="1"/>
  <c r="N4" i="906"/>
  <c r="N11" i="906"/>
  <c r="K13" i="906"/>
  <c r="K14" i="906" s="1"/>
  <c r="N12" i="906"/>
  <c r="M13" i="906"/>
  <c r="M14" i="906" s="1"/>
  <c r="G13" i="906"/>
  <c r="G14" i="906" s="1"/>
  <c r="H13" i="906"/>
  <c r="H14" i="906" s="1"/>
  <c r="N8" i="906"/>
  <c r="N6" i="906"/>
  <c r="L13" i="906"/>
  <c r="L14" i="906" s="1"/>
  <c r="N9" i="906"/>
  <c r="E13" i="906"/>
  <c r="E14" i="906" s="1"/>
  <c r="N3" i="906"/>
  <c r="I13" i="906"/>
  <c r="I14" i="906" s="1"/>
  <c r="N7" i="906"/>
  <c r="F13" i="906"/>
  <c r="F14" i="906" s="1"/>
  <c r="N6" i="905"/>
  <c r="H13" i="905"/>
  <c r="H14" i="905" s="1"/>
  <c r="N12" i="905"/>
  <c r="L13" i="905"/>
  <c r="L14" i="905" s="1"/>
  <c r="N9" i="905"/>
  <c r="N7" i="905"/>
  <c r="F13" i="905"/>
  <c r="F14" i="905" s="1"/>
  <c r="I13" i="905"/>
  <c r="I14" i="905" s="1"/>
  <c r="N8" i="905"/>
  <c r="J13" i="905"/>
  <c r="J14" i="905" s="1"/>
  <c r="N5" i="905"/>
  <c r="N11" i="905"/>
  <c r="E13" i="905"/>
  <c r="E14" i="905" s="1"/>
  <c r="N3" i="905"/>
  <c r="N10" i="905"/>
  <c r="G13" i="905"/>
  <c r="G14" i="905" s="1"/>
  <c r="N4" i="905"/>
  <c r="K13" i="905"/>
  <c r="K14" i="905" s="1"/>
  <c r="N6" i="904"/>
  <c r="M13" i="905"/>
  <c r="M14" i="905" s="1"/>
  <c r="K13" i="904"/>
  <c r="K14" i="904" s="1"/>
  <c r="H13" i="904"/>
  <c r="H14" i="904" s="1"/>
  <c r="N5" i="904"/>
  <c r="N12" i="904"/>
  <c r="E13" i="904"/>
  <c r="E14" i="904" s="1"/>
  <c r="N3" i="904"/>
  <c r="L13" i="904"/>
  <c r="L14" i="904" s="1"/>
  <c r="N9" i="904"/>
  <c r="N11" i="904"/>
  <c r="F13" i="904"/>
  <c r="F14" i="904" s="1"/>
  <c r="N8" i="904"/>
  <c r="J13" i="904"/>
  <c r="J14" i="904" s="1"/>
  <c r="N10" i="904"/>
  <c r="N7" i="904"/>
  <c r="M13" i="904"/>
  <c r="M14" i="904" s="1"/>
  <c r="N4" i="904"/>
  <c r="I13" i="904"/>
  <c r="I14" i="904" s="1"/>
  <c r="G13" i="904"/>
  <c r="G14" i="904" s="1"/>
  <c r="N13" i="903"/>
  <c r="N14" i="903" s="1"/>
  <c r="F29" i="757"/>
  <c r="F25" i="757"/>
  <c r="F26" i="757"/>
  <c r="F33" i="757"/>
  <c r="F32" i="757"/>
  <c r="F28" i="757"/>
  <c r="F24" i="757"/>
  <c r="F30" i="757"/>
  <c r="F31" i="757"/>
  <c r="F27" i="757"/>
  <c r="F23" i="757"/>
  <c r="N13" i="914" l="1"/>
  <c r="N14" i="914" s="1"/>
  <c r="N13" i="912"/>
  <c r="N14" i="912" s="1"/>
  <c r="N13" i="911"/>
  <c r="N14" i="911" s="1"/>
  <c r="N13" i="909"/>
  <c r="N14" i="909" s="1"/>
  <c r="N13" i="907"/>
  <c r="N14" i="907" s="1"/>
  <c r="N13" i="906"/>
  <c r="N14" i="906" s="1"/>
  <c r="N13" i="905"/>
  <c r="N14" i="905" s="1"/>
  <c r="N13" i="904"/>
  <c r="N14" i="904" s="1"/>
  <c r="G4" i="1"/>
  <c r="R9" i="1"/>
  <c r="R8" i="1"/>
  <c r="R14" i="1"/>
  <c r="R10" i="1"/>
  <c r="R12" i="1"/>
  <c r="R11" i="1"/>
  <c r="R3" i="1"/>
  <c r="R6" i="1"/>
  <c r="R13" i="1"/>
  <c r="R4" i="1"/>
  <c r="R7" i="1"/>
  <c r="R5" i="1"/>
  <c r="N8" i="757" l="1"/>
  <c r="N7" i="757"/>
  <c r="N11" i="757"/>
  <c r="N9" i="757"/>
  <c r="N10" i="757"/>
  <c r="N13" i="757"/>
  <c r="N14" i="757"/>
  <c r="N12" i="757"/>
  <c r="N5" i="757"/>
  <c r="N6" i="757"/>
  <c r="N15" i="757"/>
  <c r="N4" i="757"/>
  <c r="N21" i="757"/>
  <c r="Q14" i="1"/>
  <c r="Q13" i="1"/>
  <c r="Q9" i="1"/>
  <c r="Q6" i="1"/>
  <c r="Q5" i="1"/>
  <c r="Q12" i="1"/>
  <c r="Q10" i="1"/>
  <c r="Q7" i="1"/>
  <c r="Q8" i="1"/>
  <c r="Q11" i="1"/>
  <c r="Q4" i="1"/>
  <c r="M10" i="757" l="1"/>
  <c r="M5" i="757"/>
  <c r="M11" i="757"/>
  <c r="M12" i="757"/>
  <c r="M13" i="757"/>
  <c r="M15" i="757"/>
  <c r="M6" i="757"/>
  <c r="M7" i="757"/>
  <c r="M14" i="757"/>
  <c r="M9" i="757"/>
  <c r="M8" i="757"/>
  <c r="C15" i="1" l="1" a="1"/>
  <c r="C15" i="1" s="1"/>
  <c r="G34" i="757" l="1"/>
  <c r="G16" i="757"/>
  <c r="AB16" i="757"/>
  <c r="G8" i="1"/>
  <c r="H5" i="1"/>
  <c r="G11" i="1"/>
  <c r="G13" i="1"/>
  <c r="H8" i="1"/>
  <c r="G12" i="1"/>
  <c r="H11" i="1"/>
  <c r="H6" i="1"/>
  <c r="G10" i="1"/>
  <c r="G14" i="1"/>
  <c r="H9" i="1"/>
  <c r="G9" i="1"/>
  <c r="H13" i="1"/>
  <c r="H7" i="1"/>
  <c r="H12" i="1"/>
  <c r="G6" i="1"/>
  <c r="G3" i="1"/>
  <c r="H3" i="1"/>
  <c r="H4" i="1"/>
  <c r="G5" i="1"/>
  <c r="H10" i="1"/>
  <c r="G7" i="1"/>
  <c r="H14" i="1"/>
  <c r="P8" i="757" l="1"/>
  <c r="O10" i="757"/>
  <c r="P14" i="757"/>
  <c r="O6" i="757"/>
  <c r="P10" i="757"/>
  <c r="O15" i="757"/>
  <c r="P15" i="757"/>
  <c r="O8" i="757"/>
  <c r="P12" i="757"/>
  <c r="O5" i="757"/>
  <c r="O12" i="757"/>
  <c r="P7" i="757"/>
  <c r="P5" i="757"/>
  <c r="P11" i="757"/>
  <c r="O14" i="757"/>
  <c r="O9" i="757"/>
  <c r="P13" i="757"/>
  <c r="P9" i="757"/>
  <c r="O13" i="757"/>
  <c r="O11" i="757"/>
  <c r="P6" i="757"/>
  <c r="O7" i="757"/>
  <c r="P4" i="757"/>
  <c r="O4" i="757"/>
  <c r="P10" i="1"/>
  <c r="O9" i="1"/>
  <c r="P9" i="1"/>
  <c r="N13" i="1"/>
  <c r="D10" i="1" a="1"/>
  <c r="O6" i="1"/>
  <c r="D6" i="1" a="1"/>
  <c r="O11" i="1"/>
  <c r="M11" i="1"/>
  <c r="M10" i="1"/>
  <c r="D11" i="1" a="1"/>
  <c r="E8" i="1" a="1"/>
  <c r="N8" i="1"/>
  <c r="N7" i="1"/>
  <c r="O13" i="1"/>
  <c r="L4" i="1"/>
  <c r="E6" i="1" a="1"/>
  <c r="L6" i="1"/>
  <c r="L10" i="1"/>
  <c r="P4" i="1"/>
  <c r="M9" i="1"/>
  <c r="L8" i="1"/>
  <c r="L9" i="1"/>
  <c r="N5" i="1"/>
  <c r="D4" i="1" a="1"/>
  <c r="O14" i="1"/>
  <c r="O7" i="1"/>
  <c r="M6" i="1"/>
  <c r="P13" i="1"/>
  <c r="N6" i="1"/>
  <c r="P14" i="1"/>
  <c r="L12" i="1"/>
  <c r="L7" i="1"/>
  <c r="O8" i="1"/>
  <c r="D8" i="1" a="1"/>
  <c r="D9" i="1" a="1"/>
  <c r="N14" i="1"/>
  <c r="L11" i="1"/>
  <c r="L14" i="1"/>
  <c r="D14" i="1" a="1"/>
  <c r="P5" i="1"/>
  <c r="E9" i="1" a="1"/>
  <c r="P7" i="1"/>
  <c r="N12" i="1"/>
  <c r="O4" i="1"/>
  <c r="N9" i="1"/>
  <c r="O10" i="1"/>
  <c r="E10" i="1" a="1"/>
  <c r="P6" i="1"/>
  <c r="M4" i="1"/>
  <c r="E12" i="1" a="1"/>
  <c r="D7" i="1" a="1"/>
  <c r="P12" i="1"/>
  <c r="M12" i="1"/>
  <c r="M14" i="1"/>
  <c r="E11" i="1" a="1"/>
  <c r="E14" i="1" a="1"/>
  <c r="L13" i="1"/>
  <c r="M13" i="1"/>
  <c r="M5" i="1"/>
  <c r="O5" i="1"/>
  <c r="L5" i="1"/>
  <c r="P8" i="1"/>
  <c r="E5" i="1" a="1"/>
  <c r="D3" i="1" a="1"/>
  <c r="D12" i="1" a="1"/>
  <c r="E13" i="1" a="1"/>
  <c r="D5" i="1" a="1"/>
  <c r="M8" i="1"/>
  <c r="O12" i="1"/>
  <c r="E4" i="1" a="1"/>
  <c r="N4" i="1"/>
  <c r="N10" i="1"/>
  <c r="E7" i="1" a="1"/>
  <c r="D13" i="1" a="1"/>
  <c r="E3" i="1" a="1"/>
  <c r="M7" i="1"/>
  <c r="N11" i="1"/>
  <c r="P11" i="1"/>
  <c r="I5" i="757" l="1"/>
  <c r="I15" i="757"/>
  <c r="J12" i="757"/>
  <c r="L8" i="757"/>
  <c r="J5" i="757"/>
  <c r="J15" i="757"/>
  <c r="J10" i="757"/>
  <c r="L10" i="757"/>
  <c r="L7" i="757"/>
  <c r="K9" i="757"/>
  <c r="L6" i="757"/>
  <c r="I11" i="757"/>
  <c r="I8" i="757"/>
  <c r="K10" i="757"/>
  <c r="K7" i="757"/>
  <c r="I6" i="757"/>
  <c r="L11" i="757"/>
  <c r="K14" i="757"/>
  <c r="I12" i="757"/>
  <c r="K12" i="757"/>
  <c r="I10" i="757"/>
  <c r="I9" i="757"/>
  <c r="K11" i="757"/>
  <c r="I7" i="757"/>
  <c r="J8" i="757"/>
  <c r="L14" i="757"/>
  <c r="L5" i="757"/>
  <c r="I14" i="757"/>
  <c r="L9" i="757"/>
  <c r="J7" i="757"/>
  <c r="K5" i="757"/>
  <c r="L13" i="757"/>
  <c r="K6" i="757"/>
  <c r="J13" i="757"/>
  <c r="J6" i="757"/>
  <c r="K8" i="757"/>
  <c r="J14" i="757"/>
  <c r="J11" i="757"/>
  <c r="J9" i="757"/>
  <c r="L12" i="757"/>
  <c r="I13" i="757"/>
  <c r="L15" i="757"/>
  <c r="K15" i="757"/>
  <c r="K13" i="757"/>
  <c r="H5" i="757"/>
  <c r="H10" i="757"/>
  <c r="H14" i="757"/>
  <c r="H13" i="757"/>
  <c r="H12" i="757"/>
  <c r="H15" i="757"/>
  <c r="H11" i="757"/>
  <c r="H9" i="757"/>
  <c r="H8" i="757"/>
  <c r="H6" i="757"/>
  <c r="H7" i="757"/>
  <c r="S12" i="1" a="1"/>
  <c r="S12" i="1" s="1"/>
  <c r="D3" i="1"/>
  <c r="D5" i="1"/>
  <c r="E11" i="1"/>
  <c r="AC12" i="757" s="1"/>
  <c r="E9" i="1"/>
  <c r="AC10" i="757" s="1"/>
  <c r="D4" i="1"/>
  <c r="D6" i="1"/>
  <c r="E14" i="1"/>
  <c r="AC15" i="757" s="1"/>
  <c r="D9" i="1"/>
  <c r="D13" i="1"/>
  <c r="D10" i="1"/>
  <c r="E6" i="1"/>
  <c r="AC7" i="757" s="1"/>
  <c r="E13" i="1"/>
  <c r="AC14" i="757" s="1"/>
  <c r="E4" i="1"/>
  <c r="AC5" i="757" s="1"/>
  <c r="E12" i="1"/>
  <c r="AC13" i="757" s="1"/>
  <c r="E10" i="1"/>
  <c r="AC11" i="757" s="1"/>
  <c r="E3" i="1"/>
  <c r="D7" i="1"/>
  <c r="D8" i="1"/>
  <c r="D11" i="1"/>
  <c r="D14" i="1"/>
  <c r="E5" i="1"/>
  <c r="AC6" i="757" s="1"/>
  <c r="E8" i="1"/>
  <c r="AC9" i="757" s="1"/>
  <c r="D12" i="1"/>
  <c r="E7" i="1"/>
  <c r="AC8" i="757" s="1"/>
  <c r="M3" i="1"/>
  <c r="N3" i="1"/>
  <c r="L3" i="1"/>
  <c r="P3" i="1"/>
  <c r="O3" i="1"/>
  <c r="Q3" i="1"/>
  <c r="L4" i="757" l="1"/>
  <c r="K4" i="757"/>
  <c r="I4" i="757"/>
  <c r="M4" i="757"/>
  <c r="J4" i="757"/>
  <c r="H4" i="757"/>
  <c r="AD9" i="757"/>
  <c r="AD11" i="757"/>
  <c r="AD15" i="757"/>
  <c r="AE6" i="757"/>
  <c r="AD13" i="757"/>
  <c r="AD5" i="757"/>
  <c r="AD14" i="757"/>
  <c r="AE10" i="757"/>
  <c r="AD8" i="757"/>
  <c r="AD7" i="757"/>
  <c r="AD12" i="757"/>
  <c r="AC4" i="757"/>
  <c r="AE4" i="757" s="1"/>
  <c r="K21" i="757"/>
  <c r="M21" i="757"/>
  <c r="J21" i="757"/>
  <c r="L21" i="757"/>
  <c r="I21" i="757"/>
  <c r="H21" i="757"/>
  <c r="AE11" i="757"/>
  <c r="AE15" i="757"/>
  <c r="AE13" i="757"/>
  <c r="AE5" i="757"/>
  <c r="AE7" i="757"/>
  <c r="AE12" i="757"/>
  <c r="AE14" i="757"/>
  <c r="AE8" i="757"/>
  <c r="Q15" i="757" l="1" a="1"/>
  <c r="Q15" i="757" s="1"/>
  <c r="Q8" i="757" a="1"/>
  <c r="Q8" i="757" s="1"/>
  <c r="M26" i="757" s="1"/>
  <c r="Q5" i="757" a="1"/>
  <c r="Q5" i="757" s="1"/>
  <c r="M23" i="757" s="1"/>
  <c r="Q9" i="757" a="1"/>
  <c r="Q9" i="757" s="1"/>
  <c r="Q13" i="757" a="1"/>
  <c r="Q13" i="757" s="1"/>
  <c r="I31" i="757" s="1"/>
  <c r="Q12" i="757" a="1"/>
  <c r="Q12" i="757" s="1"/>
  <c r="H30" i="757" s="1"/>
  <c r="Q10" i="757" a="1"/>
  <c r="Q10" i="757" s="1"/>
  <c r="Q14" i="757" a="1"/>
  <c r="Q14" i="757" s="1"/>
  <c r="K32" i="757" s="1"/>
  <c r="Q11" i="757" a="1"/>
  <c r="Q11" i="757" s="1"/>
  <c r="M29" i="757" s="1"/>
  <c r="Q6" i="757" a="1"/>
  <c r="Q6" i="757" s="1"/>
  <c r="N24" i="757" s="1"/>
  <c r="Q7" i="757" a="1"/>
  <c r="Q7" i="757" s="1"/>
  <c r="I25" i="757" s="1"/>
  <c r="AD4" i="757"/>
  <c r="AE9" i="757"/>
  <c r="AD10" i="757"/>
  <c r="AD6" i="757"/>
  <c r="Q15" i="1" a="1"/>
  <c r="Q15" i="1" s="1"/>
  <c r="M16" i="757" s="1"/>
  <c r="L31" i="757" l="1"/>
  <c r="L30" i="757"/>
  <c r="N31" i="757"/>
  <c r="I23" i="757"/>
  <c r="M31" i="757"/>
  <c r="H23" i="757"/>
  <c r="L23" i="757"/>
  <c r="K31" i="757"/>
  <c r="J23" i="757"/>
  <c r="J31" i="757"/>
  <c r="J30" i="757"/>
  <c r="N23" i="757"/>
  <c r="H31" i="757"/>
  <c r="J25" i="757"/>
  <c r="K23" i="757"/>
  <c r="N30" i="757"/>
  <c r="M30" i="757"/>
  <c r="I24" i="757"/>
  <c r="K30" i="757"/>
  <c r="I30" i="757"/>
  <c r="K29" i="757"/>
  <c r="M32" i="757"/>
  <c r="L29" i="757"/>
  <c r="L32" i="757"/>
  <c r="J29" i="757"/>
  <c r="H29" i="757"/>
  <c r="I29" i="757"/>
  <c r="N29" i="757"/>
  <c r="H24" i="757"/>
  <c r="M24" i="757"/>
  <c r="L24" i="757"/>
  <c r="J24" i="757"/>
  <c r="H25" i="757"/>
  <c r="I26" i="757"/>
  <c r="N25" i="757"/>
  <c r="I32" i="757"/>
  <c r="J26" i="757"/>
  <c r="J32" i="757"/>
  <c r="H26" i="757"/>
  <c r="M25" i="757"/>
  <c r="K24" i="757"/>
  <c r="L26" i="757"/>
  <c r="K26" i="757"/>
  <c r="N26" i="757"/>
  <c r="L25" i="757"/>
  <c r="H32" i="757"/>
  <c r="K25" i="757"/>
  <c r="N32" i="757"/>
  <c r="R15" i="1" a="1"/>
  <c r="R15" i="1" s="1"/>
  <c r="N16" i="757" s="1"/>
  <c r="S6" i="1" a="1"/>
  <c r="S6" i="1" s="1"/>
  <c r="S10" i="1" l="1" a="1"/>
  <c r="S10" i="1" s="1"/>
  <c r="S11" i="1" a="1"/>
  <c r="S11" i="1" s="1"/>
  <c r="S8" i="1" a="1"/>
  <c r="S8" i="1" s="1"/>
  <c r="S13" i="1" a="1"/>
  <c r="S13" i="1" s="1"/>
  <c r="S14" i="1" a="1"/>
  <c r="S14" i="1" s="1"/>
  <c r="S9" i="1" a="1"/>
  <c r="S9" i="1" s="1"/>
  <c r="S7" i="1" a="1"/>
  <c r="S7" i="1" s="1"/>
  <c r="S5" i="1" a="1"/>
  <c r="S5" i="1" s="1"/>
  <c r="S4" i="1" a="1"/>
  <c r="S4" i="1" s="1"/>
  <c r="N15" i="1" a="1"/>
  <c r="N15" i="1" s="1"/>
  <c r="J16" i="757" s="1"/>
  <c r="M15" i="1" a="1"/>
  <c r="M15" i="1" s="1"/>
  <c r="I16" i="757" s="1"/>
  <c r="O15" i="1" a="1"/>
  <c r="O15" i="1" s="1"/>
  <c r="K16" i="757" s="1"/>
  <c r="P15" i="1" a="1"/>
  <c r="P15" i="1" s="1"/>
  <c r="L16" i="757" s="1"/>
  <c r="D15" i="1" a="1"/>
  <c r="D15" i="1" s="1"/>
  <c r="G15" i="1" a="1"/>
  <c r="G15" i="1" s="1"/>
  <c r="O16" i="757" s="1"/>
  <c r="H15" i="1" a="1"/>
  <c r="H15" i="1" s="1"/>
  <c r="P16" i="757" s="1"/>
  <c r="E15" i="1" a="1"/>
  <c r="E15" i="1" s="1"/>
  <c r="AC16" i="757" s="1"/>
  <c r="J7" i="1"/>
  <c r="F7" i="1"/>
  <c r="J5" i="1"/>
  <c r="F5" i="1"/>
  <c r="J9" i="1"/>
  <c r="F9" i="1"/>
  <c r="J13" i="1"/>
  <c r="F13" i="1"/>
  <c r="F6" i="1"/>
  <c r="J6" i="1"/>
  <c r="F4" i="1"/>
  <c r="J4" i="1"/>
  <c r="F14" i="1"/>
  <c r="J14" i="1"/>
  <c r="F8" i="1"/>
  <c r="J8" i="1"/>
  <c r="F10" i="1"/>
  <c r="J10" i="1"/>
  <c r="F12" i="1"/>
  <c r="J12" i="1"/>
  <c r="J11" i="1"/>
  <c r="F11" i="1"/>
  <c r="F3" i="1"/>
  <c r="J3" i="1"/>
  <c r="I8" i="1"/>
  <c r="I4" i="1"/>
  <c r="I10" i="1"/>
  <c r="I14" i="1"/>
  <c r="I12" i="1"/>
  <c r="I11" i="1"/>
  <c r="I7" i="1"/>
  <c r="I6" i="1"/>
  <c r="I5" i="1"/>
  <c r="I9" i="1"/>
  <c r="I13" i="1"/>
  <c r="I3" i="1"/>
  <c r="AD16" i="757" l="1"/>
  <c r="AE16" i="757"/>
  <c r="J15" i="1"/>
  <c r="J16" i="1" s="1"/>
  <c r="F15" i="1" a="1"/>
  <c r="F15" i="1" s="1"/>
  <c r="F16" i="1" s="1"/>
  <c r="K14" i="1"/>
  <c r="K8" i="1"/>
  <c r="K4" i="1"/>
  <c r="K7" i="1"/>
  <c r="K6" i="1"/>
  <c r="K11" i="1"/>
  <c r="K13" i="1"/>
  <c r="K9" i="1"/>
  <c r="K12" i="1"/>
  <c r="K10" i="1"/>
  <c r="K5" i="1"/>
  <c r="K3" i="1"/>
  <c r="I15" i="1" a="1"/>
  <c r="I15" i="1" s="1"/>
  <c r="K15" i="1" a="1"/>
  <c r="K15" i="1" s="1"/>
  <c r="H16" i="1"/>
  <c r="G16" i="1"/>
  <c r="E16" i="1"/>
  <c r="D16" i="1"/>
  <c r="I27" i="757" l="1"/>
  <c r="M27" i="757"/>
  <c r="J27" i="757"/>
  <c r="L27" i="757"/>
  <c r="K27" i="757"/>
  <c r="H27" i="757"/>
  <c r="N27" i="757"/>
  <c r="R16" i="1"/>
  <c r="K16" i="1"/>
  <c r="Q16" i="1"/>
  <c r="P16" i="1"/>
  <c r="M16" i="1"/>
  <c r="O16" i="1"/>
  <c r="N16" i="1"/>
  <c r="I16" i="1"/>
  <c r="L15" i="1" l="1" a="1"/>
  <c r="L15" i="1" s="1"/>
  <c r="H16" i="757" s="1"/>
  <c r="S3" i="1" a="1"/>
  <c r="S3" i="1" s="1"/>
  <c r="Q4" i="757" l="1" a="1"/>
  <c r="Q4" i="757" s="1"/>
  <c r="I22" i="757" s="1"/>
  <c r="Q16" i="757" a="1"/>
  <c r="Q16" i="757" s="1"/>
  <c r="H18" i="757" s="1"/>
  <c r="L16" i="1"/>
  <c r="S15" i="1" a="1"/>
  <c r="S15" i="1" s="1"/>
  <c r="M22" i="757" l="1"/>
  <c r="J22" i="757"/>
  <c r="H22" i="757"/>
  <c r="K22" i="757"/>
  <c r="N22" i="757"/>
  <c r="L22" i="757"/>
  <c r="S16" i="1"/>
  <c r="I33" i="757"/>
  <c r="N33" i="757"/>
  <c r="H33" i="757"/>
  <c r="K33" i="757"/>
  <c r="L33" i="757"/>
  <c r="J33" i="757"/>
  <c r="M33" i="757"/>
  <c r="J28" i="757"/>
  <c r="H28" i="757"/>
  <c r="M28" i="757"/>
  <c r="L28" i="757"/>
  <c r="K28" i="757"/>
  <c r="N28" i="757"/>
  <c r="I28" i="757"/>
  <c r="H34" i="757" l="1"/>
  <c r="L34" i="757"/>
  <c r="N34" i="757"/>
  <c r="K34" i="757"/>
  <c r="J34" i="757"/>
  <c r="M34" i="757"/>
  <c r="I34" i="75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<sst xmlns="http://schemas.openxmlformats.org/spreadsheetml/2006/main" count="1358" uniqueCount="124">
  <si>
    <t>Inscrits</t>
  </si>
  <si>
    <t>Emargements</t>
  </si>
  <si>
    <t>Votants</t>
  </si>
  <si>
    <t>Blancs</t>
  </si>
  <si>
    <t>Nuls</t>
  </si>
  <si>
    <t>Exprimés</t>
  </si>
  <si>
    <t>Participation</t>
  </si>
  <si>
    <t>Vérification</t>
  </si>
  <si>
    <t>Total exprimé</t>
  </si>
  <si>
    <t>TOTAL</t>
  </si>
  <si>
    <t>%</t>
  </si>
  <si>
    <t>Date</t>
  </si>
  <si>
    <t>Election</t>
  </si>
  <si>
    <t>Ville</t>
  </si>
  <si>
    <t>Cogolin</t>
  </si>
  <si>
    <t>Bureaux</t>
  </si>
  <si>
    <t>Total</t>
  </si>
  <si>
    <t>Abstention</t>
  </si>
  <si>
    <t xml:space="preserve">Les cases grisées sont </t>
  </si>
  <si>
    <t>calculées automatiquement</t>
  </si>
  <si>
    <t>Ne pas éditer</t>
  </si>
  <si>
    <t>Heure</t>
  </si>
  <si>
    <t>Municipales 1er tour</t>
  </si>
  <si>
    <t>Bureau n°</t>
  </si>
  <si>
    <t>Nom</t>
  </si>
  <si>
    <t>Seules les cases bleu clair</t>
  </si>
  <si>
    <t>sont à remplir</t>
  </si>
  <si>
    <t>Gymnase B</t>
  </si>
  <si>
    <t>COSEC</t>
  </si>
  <si>
    <t>CMM</t>
  </si>
  <si>
    <t>Base nautique</t>
  </si>
  <si>
    <t>Votants %</t>
  </si>
  <si>
    <t>08h00</t>
  </si>
  <si>
    <t>09h00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</si>
  <si>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</si>
  <si>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</si>
  <si>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</si>
  <si>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</si>
  <si>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</si>
  <si>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</si>
  <si>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</si>
  <si>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</si>
  <si>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</si>
  <si>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</si>
  <si>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</si>
  <si>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8h-9h</t>
  </si>
  <si>
    <t>9h-10h</t>
  </si>
  <si>
    <t>10h-11h</t>
  </si>
  <si>
    <t>12h-13h</t>
  </si>
  <si>
    <t>13h-14h</t>
  </si>
  <si>
    <t>14h-15h</t>
  </si>
  <si>
    <t>15h-16h</t>
  </si>
  <si>
    <t>16h-17h</t>
  </si>
  <si>
    <t>17h-18h</t>
  </si>
  <si>
    <t>11h-12h</t>
  </si>
  <si>
    <t>18h-19h</t>
  </si>
  <si>
    <t>19h-20h</t>
  </si>
  <si>
    <t>Votants cumulés</t>
  </si>
  <si>
    <t>Votants sur la période</t>
  </si>
  <si>
    <t>Période horaire</t>
  </si>
  <si>
    <t>Seules les cases bleu clair sont à remplir</t>
  </si>
  <si>
    <t>Les cases grisées sont calculées automatiquement Ne pas éditer</t>
  </si>
  <si>
    <t>Tour actuel</t>
  </si>
  <si>
    <t>Tour précédent</t>
  </si>
  <si>
    <t>Table</t>
  </si>
  <si>
    <t>Valeurs du tour précédent</t>
  </si>
  <si>
    <r>
      <t xml:space="preserve">Ce tableur </t>
    </r>
    <r>
      <rPr>
        <i/>
        <u/>
        <sz val="14"/>
        <color rgb="FF000000"/>
        <rFont val="Calibri"/>
        <family val="2"/>
      </rPr>
      <t>ne remplace pas</t>
    </r>
    <r>
      <rPr>
        <i/>
        <sz val="14"/>
        <color rgb="FF000000"/>
        <rFont val="Calibri"/>
        <family val="2"/>
      </rPr>
      <t xml:space="preserve"> les notes papier, il est un complément mais il ne fait pas foi.</t>
    </r>
  </si>
  <si>
    <t>TABLE 1</t>
  </si>
  <si>
    <t>TABLE 2</t>
  </si>
  <si>
    <t/>
  </si>
  <si>
    <t>N° Centaine</t>
  </si>
  <si>
    <t>Enveloppe  de centaine</t>
  </si>
  <si>
    <t>TABLE 3</t>
  </si>
  <si>
    <t>Bureau 1</t>
  </si>
  <si>
    <t>Bureau 2</t>
  </si>
  <si>
    <t>Bureau 3</t>
  </si>
  <si>
    <t>Bureau 4</t>
  </si>
  <si>
    <t>Bureau 5</t>
  </si>
  <si>
    <t>Bureau 6</t>
  </si>
  <si>
    <t>Bureau 7</t>
  </si>
  <si>
    <t>Bureau 8</t>
  </si>
  <si>
    <t>Bureau 9</t>
  </si>
  <si>
    <t>Bureau 10</t>
  </si>
  <si>
    <t>Bureau 11</t>
  </si>
  <si>
    <t>Bureau 12</t>
  </si>
  <si>
    <t>N°</t>
  </si>
  <si>
    <t>Abstention (%)</t>
  </si>
  <si>
    <t>Sous-totaux enveloppes ouvertes</t>
  </si>
  <si>
    <t>Sous-totaux centaines</t>
  </si>
  <si>
    <t>Ecole Chabaud</t>
  </si>
  <si>
    <t>Dépouillement</t>
  </si>
  <si>
    <t>Total dépouillé</t>
  </si>
  <si>
    <t>Astuces de projection :</t>
  </si>
  <si>
    <t>Ctrl + F1</t>
  </si>
  <si>
    <t>Masquer le ruban</t>
  </si>
  <si>
    <t>Affichage / Quadrillage</t>
  </si>
  <si>
    <t>Affichage / Barre de formule</t>
  </si>
  <si>
    <t>Affichage / En-têtes</t>
  </si>
  <si>
    <t>Révision / Protéger la feuille</t>
  </si>
  <si>
    <t>Affichage / Nouvelle fenêtre : Feuille Projection sur écran du public</t>
  </si>
  <si>
    <t>Agrandir la barre de défilement horizontal au max à gauche pour masquer les onglets</t>
  </si>
  <si>
    <t>Sélectionner une case en dehors de l'affichage afin de ne pas voir la cellule sélectionnée entourée en vert</t>
  </si>
  <si>
    <t>Dernière mise à jour :</t>
  </si>
  <si>
    <t>Résultats cumulatifs de chaque centaine dépouillée par la table 1</t>
  </si>
  <si>
    <t>Résultats cumulatifs de chaque centaine dépouillée par la table 2</t>
  </si>
  <si>
    <t>Résultats cumulatifs de chaque centaine dépouillée par la table 3</t>
  </si>
  <si>
    <t>Résultats relatifs aux centaines dépouillées</t>
  </si>
  <si>
    <t>Mme Christiane 
LARDAT</t>
  </si>
  <si>
    <t>M. Francis 
LAPRADE</t>
  </si>
  <si>
    <t>M. Pierre-Yves 
TIERCE</t>
  </si>
  <si>
    <t>M. Philippe 
VALLET</t>
  </si>
  <si>
    <t>Mme Isabelle 
FARNET RISSO</t>
  </si>
  <si>
    <t>Mme Véronique 
LANSADE</t>
  </si>
  <si>
    <t>M. Pascal 
CORDÉ</t>
  </si>
  <si>
    <t xml:space="preserve">Résultats de chaque centaine dépouillée par la table </t>
  </si>
  <si>
    <t xml:space="preserve">TABLE n°    </t>
  </si>
  <si>
    <t xml:space="preserve">     -        =     </t>
  </si>
  <si>
    <t xml:space="preserve">             / 100</t>
  </si>
  <si>
    <t xml:space="preserve">             / 200</t>
  </si>
  <si>
    <t xml:space="preserve">             / 300</t>
  </si>
  <si>
    <t xml:space="preserve">             / 400</t>
  </si>
  <si>
    <t xml:space="preserve">             / 500</t>
  </si>
  <si>
    <t>Nb Candidats</t>
  </si>
  <si>
    <t>Nb Bureaux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</si>
</sst>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dd\ mmmm\ yyyy"/>
    <numFmt numFmtId="165" formatCode="[$-F400]h:mm:ss\ AM/PM"/>
    <numFmt numFmtId="166" formatCode="0.0%"/>
    <numFmt numFmtId="167" formatCode="hh&quot;h&quot;"/>
  </numFmts>
  <fonts count="87" x14ac:knownFonts="1">
    <font>
      <sz val="10"/>
      <color rgb="FF000000"/>
      <name val="Arial"/>
      <scheme val="minor"/>
    </font>
    <font>
      <b/>
      <sz val="10"/>
      <color rgb="FF000000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0"/>
      <color rgb="FF666666"/>
      <name val="Calibri"/>
      <family val="2"/>
    </font>
    <font>
      <b/>
      <i/>
      <sz val="10"/>
      <color rgb="FF666666"/>
      <name val="Calibri"/>
      <family val="2"/>
    </font>
    <font>
      <sz val="10"/>
      <color theme="1"/>
      <name val="Calibri"/>
      <family val="2"/>
    </font>
    <font>
      <i/>
      <sz val="10"/>
      <color rgb="FF666666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i/>
      <sz val="12"/>
      <color rgb="FF666666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0"/>
      <color theme="1"/>
      <name val="Calibri"/>
      <family val="2"/>
    </font>
    <font>
      <sz val="10"/>
      <color rgb="FF1F1F1F"/>
      <name val="Calibri"/>
      <family val="2"/>
    </font>
    <font>
      <sz val="10"/>
      <color theme="1"/>
      <name val="Arial"/>
      <family val="2"/>
    </font>
    <font>
      <b/>
      <sz val="10"/>
      <color rgb="FF999999"/>
      <name val="Calibri"/>
      <family val="2"/>
    </font>
    <font>
      <sz val="10"/>
      <color rgb="FF718C00"/>
      <name val="Calibri"/>
      <family val="2"/>
    </font>
    <font>
      <sz val="10"/>
      <color rgb="FF999999"/>
      <name val="Calibri"/>
      <family val="2"/>
    </font>
    <font>
      <sz val="12"/>
      <color rgb="FF999999"/>
      <name val="Calibri"/>
      <family val="2"/>
    </font>
    <font>
      <sz val="10"/>
      <color theme="1"/>
      <name val="Arial"/>
      <family val="2"/>
      <scheme val="minor"/>
    </font>
    <font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color theme="0" tint="-0.34998626667073579"/>
      <name val="Calibri"/>
      <family val="2"/>
    </font>
    <font>
      <sz val="10"/>
      <color theme="0" tint="-0.34998626667073579"/>
      <name val="Arial"/>
      <family val="2"/>
      <scheme val="minor"/>
    </font>
    <font>
      <i/>
      <sz val="14"/>
      <color theme="1"/>
      <name val="Calibri"/>
      <family val="2"/>
    </font>
    <font>
      <sz val="10"/>
      <color theme="0" tint="-0.499984740745262"/>
      <name val="Calibri"/>
      <family val="2"/>
    </font>
    <font>
      <sz val="12"/>
      <color theme="0" tint="-0.499984740745262"/>
      <name val="Calibri"/>
      <family val="2"/>
    </font>
    <font>
      <b/>
      <sz val="12"/>
      <color theme="1"/>
      <name val="Calibri"/>
      <family val="2"/>
    </font>
    <font>
      <sz val="8"/>
      <color theme="1"/>
      <name val="Calibri"/>
      <family val="2"/>
    </font>
    <font>
      <b/>
      <sz val="11"/>
      <color rgb="FF000000"/>
      <name val="Arial"/>
      <family val="2"/>
      <scheme val="minor"/>
    </font>
    <font>
      <sz val="10"/>
      <color theme="0"/>
      <name val="Calibri"/>
      <family val="2"/>
    </font>
    <font>
      <sz val="10"/>
      <color theme="1" tint="0.499984740745262"/>
      <name val="Calibri"/>
      <family val="2"/>
    </font>
    <font>
      <sz val="14"/>
      <color rgb="FF000000"/>
      <name val="Arial"/>
      <family val="2"/>
      <scheme val="minor"/>
    </font>
    <font>
      <b/>
      <sz val="18"/>
      <color theme="1"/>
      <name val="Calibri"/>
      <family val="2"/>
    </font>
    <font>
      <b/>
      <sz val="1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theme="4" tint="-0.249977111117893"/>
      <name val="Arial"/>
      <family val="2"/>
      <scheme val="minor"/>
    </font>
    <font>
      <sz val="12"/>
      <color theme="4" tint="-0.249977111117893"/>
      <name val="Arial"/>
      <family val="2"/>
      <scheme val="minor"/>
    </font>
    <font>
      <i/>
      <sz val="9"/>
      <color rgb="FF666666"/>
      <name val="Calibri"/>
      <family val="2"/>
    </font>
    <font>
      <i/>
      <sz val="14"/>
      <color rgb="FF000000"/>
      <name val="Calibri"/>
      <family val="2"/>
    </font>
    <font>
      <i/>
      <u/>
      <sz val="14"/>
      <color rgb="FF000000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i/>
      <sz val="12"/>
      <color theme="0" tint="-0.499984740745262"/>
      <name val="Calibri"/>
      <family val="2"/>
    </font>
    <font>
      <i/>
      <sz val="12"/>
      <color theme="0" tint="-0.499984740745262"/>
      <name val="Calibri"/>
      <family val="2"/>
    </font>
    <font>
      <sz val="10"/>
      <color theme="1"/>
      <name val="Marianne"/>
      <family val="3"/>
    </font>
    <font>
      <b/>
      <sz val="10"/>
      <color theme="1"/>
      <name val="Marianne"/>
      <family val="3"/>
    </font>
    <font>
      <sz val="10"/>
      <color rgb="FF000000"/>
      <name val="Marianne"/>
      <family val="3"/>
    </font>
    <font>
      <b/>
      <sz val="10"/>
      <color rgb="FF666666"/>
      <name val="Marianne"/>
      <family val="3"/>
    </font>
    <font>
      <b/>
      <sz val="10"/>
      <name val="Marianne"/>
      <family val="3"/>
    </font>
    <font>
      <b/>
      <sz val="10"/>
      <color rgb="FF000000"/>
      <name val="Marianne"/>
      <family val="3"/>
    </font>
    <font>
      <sz val="10"/>
      <color rgb="FF718C00"/>
      <name val="Marianne"/>
      <family val="3"/>
    </font>
    <font>
      <b/>
      <sz val="16"/>
      <name val="Marianne"/>
      <family val="3"/>
    </font>
    <font>
      <sz val="12"/>
      <color rgb="FF000000"/>
      <name val="Arial"/>
      <family val="2"/>
    </font>
    <font>
      <b/>
      <sz val="14"/>
      <color rgb="FF000000"/>
      <name val="Marianne"/>
      <family val="3"/>
    </font>
    <font>
      <b/>
      <sz val="16"/>
      <color rgb="FF000000"/>
      <name val="Marianne"/>
      <family val="3"/>
    </font>
    <font>
      <b/>
      <sz val="12"/>
      <name val="Marianne"/>
      <family val="3"/>
    </font>
    <font>
      <sz val="14"/>
      <name val="Marianne"/>
      <family val="3"/>
    </font>
    <font>
      <b/>
      <sz val="14"/>
      <name val="Marianne"/>
      <family val="3"/>
    </font>
    <font>
      <sz val="12"/>
      <color rgb="FF000000"/>
      <name val="Marianne"/>
      <family val="3"/>
    </font>
    <font>
      <sz val="12"/>
      <color theme="1"/>
      <name val="Marianne"/>
      <family val="3"/>
    </font>
    <font>
      <sz val="14"/>
      <color rgb="FF000000"/>
      <name val="Marianne"/>
      <family val="3"/>
    </font>
    <font>
      <i/>
      <sz val="12"/>
      <color theme="0" tint="-0.499984740745262"/>
      <name val="Marianne"/>
      <family val="3"/>
    </font>
    <font>
      <i/>
      <sz val="12"/>
      <color rgb="FF666666"/>
      <name val="Marianne"/>
      <family val="3"/>
    </font>
    <font>
      <sz val="20"/>
      <color rgb="FF000000"/>
      <name val="Marianne"/>
      <family val="3"/>
    </font>
    <font>
      <b/>
      <sz val="16"/>
      <color theme="1"/>
      <name val="Marianne"/>
      <family val="3"/>
    </font>
    <font>
      <i/>
      <sz val="16"/>
      <color rgb="FF666666"/>
      <name val="Marianne"/>
      <family val="3"/>
    </font>
    <font>
      <i/>
      <sz val="12"/>
      <color theme="1" tint="0.14999847407452621"/>
      <name val="Marianne"/>
      <family val="3"/>
    </font>
    <font>
      <sz val="11"/>
      <name val="Arial"/>
      <family val="2"/>
      <scheme val="minor"/>
    </font>
    <font>
      <b/>
      <sz val="14"/>
      <name val="Arial"/>
      <family val="2"/>
      <scheme val="minor"/>
    </font>
    <font>
      <sz val="8"/>
      <name val="Arial"/>
      <family val="2"/>
      <scheme val="minor"/>
    </font>
    <font>
      <i/>
      <sz val="11"/>
      <color rgb="FF666666"/>
      <name val="Calibri"/>
      <family val="2"/>
    </font>
    <font>
      <b/>
      <sz val="12"/>
      <color rgb="FF000000"/>
      <name val="Arial"/>
      <family val="2"/>
      <scheme val="minor"/>
    </font>
    <font>
      <b/>
      <sz val="12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 tint="0.249977111117893"/>
      <name val="Arial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theme="0" tint="-0.14999847407452621"/>
        <bgColor rgb="FFEFEF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4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14999847407452621"/>
        <bgColor rgb="FFEFEFE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2" tint="-0.249977111117893"/>
        <bgColor rgb="FFEAD1DC"/>
      </patternFill>
    </fill>
    <fill>
      <patternFill patternType="solid">
        <fgColor theme="2" tint="-0.14999847407452621"/>
        <bgColor rgb="FFF9CB9C"/>
      </patternFill>
    </fill>
    <fill>
      <patternFill patternType="solid">
        <fgColor theme="7" tint="0.79998168889431442"/>
        <bgColor rgb="FFF9CB9C"/>
      </patternFill>
    </fill>
    <fill>
      <patternFill patternType="solid">
        <fgColor rgb="FFE1C1D1"/>
        <bgColor rgb="FFF9C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DAF1F3"/>
        <bgColor rgb="FFB7B7B7"/>
      </patternFill>
    </fill>
    <fill>
      <patternFill patternType="solid">
        <fgColor theme="0" tint="-0.14999847407452621"/>
        <bgColor rgb="FFB7B7B7"/>
      </patternFill>
    </fill>
    <fill>
      <patternFill patternType="solid">
        <fgColor rgb="FFE6EEEE"/>
        <bgColor rgb="FFB7B7B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0.249977111117893"/>
        <bgColor rgb="FFEFEFEF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0" tint="-0.14999847407452621"/>
        <bgColor rgb="FFF9CB9C"/>
      </patternFill>
    </fill>
    <fill>
      <patternFill patternType="solid">
        <fgColor theme="0" tint="-0.14999847407452621"/>
        <bgColor rgb="FFB6D7A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rgb="FFEAD1DC"/>
      </patternFill>
    </fill>
    <fill>
      <patternFill patternType="solid">
        <fgColor theme="4"/>
        <bgColor rgb="FFB7B7B7"/>
      </patternFill>
    </fill>
    <fill>
      <patternFill patternType="solid">
        <fgColor theme="5"/>
        <bgColor rgb="FFB7B7B7"/>
      </patternFill>
    </fill>
    <fill>
      <patternFill patternType="solid">
        <fgColor theme="6"/>
        <bgColor rgb="FFB7B7B7"/>
      </patternFill>
    </fill>
    <fill>
      <patternFill patternType="solid">
        <fgColor theme="7"/>
        <bgColor rgb="FFB7B7B7"/>
      </patternFill>
    </fill>
    <fill>
      <patternFill patternType="solid">
        <fgColor theme="8"/>
        <bgColor rgb="FFB7B7B7"/>
      </patternFill>
    </fill>
    <fill>
      <patternFill patternType="solid">
        <fgColor theme="9"/>
        <bgColor rgb="FFB7B7B7"/>
      </patternFill>
    </fill>
    <fill>
      <patternFill patternType="solid">
        <fgColor theme="1"/>
        <bgColor rgb="FFB7B7B7"/>
      </patternFill>
    </fill>
    <fill>
      <patternFill patternType="solid">
        <fgColor theme="4" tint="0.39997558519241921"/>
        <bgColor rgb="FFB7B7B7"/>
      </patternFill>
    </fill>
    <fill>
      <patternFill patternType="solid">
        <fgColor theme="5" tint="0.39997558519241921"/>
        <bgColor rgb="FFB7B7B7"/>
      </patternFill>
    </fill>
    <fill>
      <patternFill patternType="solid">
        <fgColor theme="6" tint="0.39997558519241921"/>
        <bgColor rgb="FFB7B7B7"/>
      </patternFill>
    </fill>
    <fill>
      <patternFill patternType="solid">
        <fgColor theme="7" tint="0.39997558519241921"/>
        <bgColor rgb="FFB7B7B7"/>
      </patternFill>
    </fill>
    <fill>
      <patternFill patternType="solid">
        <fgColor theme="8" tint="0.39997558519241921"/>
        <bgColor rgb="FFB7B7B7"/>
      </patternFill>
    </fill>
    <fill>
      <patternFill patternType="solid">
        <fgColor theme="9" tint="0.39997558519241921"/>
        <bgColor rgb="FFB7B7B7"/>
      </patternFill>
    </fill>
    <fill>
      <patternFill patternType="solid">
        <fgColor theme="1" tint="0.249977111117893"/>
        <bgColor rgb="FFB7B7B7"/>
      </patternFill>
    </fill>
    <fill>
      <patternFill patternType="solid">
        <fgColor theme="9" tint="0.79998168889431442"/>
        <bgColor rgb="FFF4CCCC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rgb="FFFCE5CD"/>
      </patternFill>
    </fill>
    <fill>
      <patternFill patternType="solid">
        <fgColor rgb="FFB3CEFB"/>
        <bgColor indexed="64"/>
      </patternFill>
    </fill>
    <fill>
      <patternFill patternType="solid">
        <fgColor rgb="FFFEF2C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E7FD"/>
        <bgColor indexed="64"/>
      </patternFill>
    </fill>
    <fill>
      <patternFill patternType="solid">
        <fgColor rgb="FFFBDAD7"/>
        <bgColor indexed="64"/>
      </patternFill>
    </fill>
    <fill>
      <patternFill patternType="solid">
        <fgColor rgb="FFD1F1DA"/>
        <bgColor indexed="64"/>
      </patternFill>
    </fill>
    <fill>
      <patternFill patternType="solid">
        <fgColor rgb="FFBFBFBF"/>
        <bgColor rgb="FFD9D9D9"/>
      </patternFill>
    </fill>
    <fill>
      <patternFill patternType="solid">
        <fgColor rgb="FFBFBFBF"/>
        <bgColor indexed="64"/>
      </patternFill>
    </fill>
    <fill>
      <patternFill patternType="solid">
        <fgColor rgb="FFFFE1CC"/>
        <bgColor indexed="64"/>
      </patternFill>
    </fill>
    <fill>
      <patternFill patternType="solid">
        <fgColor theme="4" tint="0.79998168889431442"/>
        <bgColor rgb="FFD9EAD3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0" tint="-0.249977111117893"/>
        <bgColor rgb="FFD9EAD3"/>
      </patternFill>
    </fill>
    <fill>
      <patternFill patternType="solid">
        <fgColor rgb="FFDAF1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  <fill>
      <patternFill patternType="solid">
        <fgColor theme="9" tint="0.59999389629810485"/>
        <bgColor rgb="FFF4CCCC"/>
      </patternFill>
    </fill>
  </fills>
  <borders count="24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rgb="FFEFEFEF"/>
      </right>
      <top style="medium">
        <color rgb="FFCCCCCC"/>
      </top>
      <bottom style="medium">
        <color rgb="FFCCCCCC"/>
      </bottom>
      <diagonal/>
    </border>
    <border>
      <left style="medium">
        <color rgb="FFD9D9D9"/>
      </left>
      <right/>
      <top style="medium">
        <color rgb="FFCCCCCC"/>
      </top>
      <bottom style="medium">
        <color rgb="FFCCCCCC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 style="medium">
        <color rgb="FFD9D9D9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EFEFEF"/>
      </left>
      <right/>
      <top style="thin">
        <color rgb="FFEFEFEF"/>
      </top>
      <bottom/>
      <diagonal/>
    </border>
    <border>
      <left/>
      <right style="thin">
        <color rgb="FFEFEFEF"/>
      </right>
      <top style="medium">
        <color rgb="FFD9D9D9"/>
      </top>
      <bottom style="medium">
        <color rgb="FFD9D9D9"/>
      </bottom>
      <diagonal/>
    </border>
    <border>
      <left style="thin">
        <color rgb="FFEFEFEF"/>
      </left>
      <right/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thin">
        <color rgb="FFEFEFEF"/>
      </right>
      <top style="medium">
        <color rgb="FFD9D9D9"/>
      </top>
      <bottom style="medium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9900FF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rgb="FF000000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rgb="FF000000"/>
      </right>
      <top/>
      <bottom style="thin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double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4" tint="0.39997558519241921"/>
      </right>
      <top style="medium">
        <color indexed="64"/>
      </top>
      <bottom/>
      <diagonal/>
    </border>
    <border>
      <left style="medium">
        <color indexed="64"/>
      </left>
      <right style="thin">
        <color theme="4" tint="0.39997558519241921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theme="4" tint="0.39997558519241921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theme="0" tint="-0.499984740745262"/>
      </right>
      <top/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indexed="64"/>
      </top>
      <bottom/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indexed="64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theme="0" tint="-0.499984740745262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medium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000000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0" tint="-0.499984740745262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double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0" tint="-0.499984740745262"/>
      </left>
      <right/>
      <top style="medium">
        <color indexed="64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 tint="-0.499984740745262"/>
      </right>
      <top/>
      <bottom style="thin">
        <color indexed="64"/>
      </bottom>
      <diagonal/>
    </border>
    <border>
      <left style="medium">
        <color theme="0" tint="-0.499984740745262"/>
      </left>
      <right/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thin">
        <color indexed="64"/>
      </top>
      <bottom style="medium">
        <color theme="0" tint="-0.499984740745262"/>
      </bottom>
      <diagonal/>
    </border>
  </borders>
  <cellStyleXfs count="4">
    <xf numFmtId="0" fontId="0" fillId="0" borderId="0"/>
    <xf numFmtId="9" fontId="24" fillId="0" borderId="0" applyFont="0" applyFill="0" applyBorder="0" applyAlignment="0" applyProtection="0"/>
    <xf numFmtId="44" fontId="85" fillId="0" borderId="0" applyFont="0" applyFill="0" applyBorder="0" applyAlignment="0" applyProtection="0"/>
    <xf numFmtId="0" fontId="24" fillId="0" borderId="0"/>
  </cellStyleXfs>
  <cellXfs count="667">
    <xf numFmtId="0" fontId="0" fillId="0" borderId="0" xfId="0"/>
    <xf numFmtId="0" fontId="6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0" fontId="16" fillId="0" borderId="0" xfId="0" applyNumberFormat="1" applyFont="1"/>
    <xf numFmtId="0" fontId="6" fillId="0" borderId="0" xfId="0" applyFont="1" applyAlignment="1">
      <alignment horizontal="center"/>
    </xf>
    <xf numFmtId="0" fontId="17" fillId="0" borderId="0" xfId="0" applyFont="1"/>
    <xf numFmtId="10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9" fontId="19" fillId="2" borderId="36" xfId="1" applyFont="1" applyFill="1" applyBorder="1"/>
    <xf numFmtId="9" fontId="19" fillId="2" borderId="37" xfId="1" applyFont="1" applyFill="1" applyBorder="1"/>
    <xf numFmtId="0" fontId="27" fillId="16" borderId="0" xfId="0" applyFont="1" applyFill="1"/>
    <xf numFmtId="0" fontId="6" fillId="16" borderId="0" xfId="0" applyFont="1" applyFill="1" applyAlignment="1">
      <alignment horizontal="right"/>
    </xf>
    <xf numFmtId="0" fontId="10" fillId="14" borderId="0" xfId="0" applyFont="1" applyFill="1"/>
    <xf numFmtId="0" fontId="6" fillId="15" borderId="0" xfId="0" applyFont="1" applyFill="1" applyAlignment="1">
      <alignment horizontal="right"/>
    </xf>
    <xf numFmtId="0" fontId="16" fillId="14" borderId="0" xfId="0" applyFont="1" applyFill="1"/>
    <xf numFmtId="3" fontId="9" fillId="19" borderId="46" xfId="0" applyNumberFormat="1" applyFont="1" applyFill="1" applyBorder="1" applyAlignment="1">
      <alignment horizontal="right"/>
    </xf>
    <xf numFmtId="3" fontId="9" fillId="19" borderId="56" xfId="0" applyNumberFormat="1" applyFont="1" applyFill="1" applyBorder="1" applyAlignment="1">
      <alignment horizontal="right"/>
    </xf>
    <xf numFmtId="10" fontId="9" fillId="14" borderId="50" xfId="0" applyNumberFormat="1" applyFont="1" applyFill="1" applyBorder="1"/>
    <xf numFmtId="10" fontId="9" fillId="14" borderId="57" xfId="0" applyNumberFormat="1" applyFont="1" applyFill="1" applyBorder="1"/>
    <xf numFmtId="10" fontId="9" fillId="14" borderId="51" xfId="0" applyNumberFormat="1" applyFont="1" applyFill="1" applyBorder="1"/>
    <xf numFmtId="10" fontId="9" fillId="8" borderId="59" xfId="0" applyNumberFormat="1" applyFont="1" applyFill="1" applyBorder="1"/>
    <xf numFmtId="10" fontId="9" fillId="14" borderId="59" xfId="0" applyNumberFormat="1" applyFont="1" applyFill="1" applyBorder="1"/>
    <xf numFmtId="0" fontId="8" fillId="2" borderId="68" xfId="0" applyFont="1" applyFill="1" applyBorder="1" applyAlignment="1">
      <alignment horizontal="center"/>
    </xf>
    <xf numFmtId="3" fontId="9" fillId="19" borderId="65" xfId="0" applyNumberFormat="1" applyFont="1" applyFill="1" applyBorder="1" applyAlignment="1">
      <alignment horizontal="right"/>
    </xf>
    <xf numFmtId="10" fontId="30" fillId="5" borderId="78" xfId="0" applyNumberFormat="1" applyFont="1" applyFill="1" applyBorder="1"/>
    <xf numFmtId="10" fontId="30" fillId="5" borderId="79" xfId="0" applyNumberFormat="1" applyFont="1" applyFill="1" applyBorder="1"/>
    <xf numFmtId="9" fontId="19" fillId="2" borderId="75" xfId="1" applyFont="1" applyFill="1" applyBorder="1"/>
    <xf numFmtId="9" fontId="19" fillId="2" borderId="38" xfId="1" applyFont="1" applyFill="1" applyBorder="1"/>
    <xf numFmtId="3" fontId="9" fillId="31" borderId="66" xfId="0" applyNumberFormat="1" applyFont="1" applyFill="1" applyBorder="1" applyAlignment="1">
      <alignment horizontal="right"/>
    </xf>
    <xf numFmtId="10" fontId="9" fillId="32" borderId="59" xfId="0" applyNumberFormat="1" applyFont="1" applyFill="1" applyBorder="1"/>
    <xf numFmtId="10" fontId="8" fillId="2" borderId="67" xfId="0" applyNumberFormat="1" applyFont="1" applyFill="1" applyBorder="1" applyAlignment="1">
      <alignment horizontal="center"/>
    </xf>
    <xf numFmtId="0" fontId="29" fillId="5" borderId="47" xfId="0" applyFont="1" applyFill="1" applyBorder="1" applyAlignment="1">
      <alignment horizontal="right"/>
    </xf>
    <xf numFmtId="10" fontId="9" fillId="7" borderId="50" xfId="0" applyNumberFormat="1" applyFont="1" applyFill="1" applyBorder="1"/>
    <xf numFmtId="10" fontId="30" fillId="5" borderId="57" xfId="0" applyNumberFormat="1" applyFont="1" applyFill="1" applyBorder="1"/>
    <xf numFmtId="3" fontId="9" fillId="19" borderId="58" xfId="0" applyNumberFormat="1" applyFont="1" applyFill="1" applyBorder="1" applyAlignment="1">
      <alignment horizontal="right"/>
    </xf>
    <xf numFmtId="3" fontId="9" fillId="20" borderId="65" xfId="0" applyNumberFormat="1" applyFont="1" applyFill="1" applyBorder="1" applyAlignment="1">
      <alignment horizontal="right"/>
    </xf>
    <xf numFmtId="3" fontId="9" fillId="21" borderId="66" xfId="0" applyNumberFormat="1" applyFont="1" applyFill="1" applyBorder="1" applyAlignment="1">
      <alignment horizontal="right"/>
    </xf>
    <xf numFmtId="0" fontId="27" fillId="13" borderId="46" xfId="0" applyFont="1" applyFill="1" applyBorder="1"/>
    <xf numFmtId="0" fontId="27" fillId="13" borderId="48" xfId="0" applyFont="1" applyFill="1" applyBorder="1"/>
    <xf numFmtId="0" fontId="27" fillId="13" borderId="50" xfId="0" applyFont="1" applyFill="1" applyBorder="1"/>
    <xf numFmtId="10" fontId="34" fillId="11" borderId="113" xfId="1" applyNumberFormat="1" applyFont="1" applyFill="1" applyBorder="1" applyAlignment="1">
      <alignment horizontal="center"/>
    </xf>
    <xf numFmtId="10" fontId="34" fillId="11" borderId="93" xfId="1" applyNumberFormat="1" applyFont="1" applyFill="1" applyBorder="1" applyAlignment="1">
      <alignment horizontal="center"/>
    </xf>
    <xf numFmtId="10" fontId="34" fillId="11" borderId="119" xfId="1" applyNumberFormat="1" applyFont="1" applyFill="1" applyBorder="1" applyAlignment="1">
      <alignment horizontal="center"/>
    </xf>
    <xf numFmtId="10" fontId="34" fillId="11" borderId="120" xfId="1" applyNumberFormat="1" applyFont="1" applyFill="1" applyBorder="1" applyAlignment="1">
      <alignment horizontal="center"/>
    </xf>
    <xf numFmtId="10" fontId="35" fillId="13" borderId="123" xfId="1" applyNumberFormat="1" applyFont="1" applyFill="1" applyBorder="1" applyAlignment="1">
      <alignment horizontal="right"/>
    </xf>
    <xf numFmtId="10" fontId="35" fillId="13" borderId="124" xfId="1" applyNumberFormat="1" applyFont="1" applyFill="1" applyBorder="1" applyAlignment="1">
      <alignment horizontal="right"/>
    </xf>
    <xf numFmtId="10" fontId="34" fillId="11" borderId="65" xfId="1" applyNumberFormat="1" applyFont="1" applyFill="1" applyBorder="1" applyAlignment="1">
      <alignment horizontal="center"/>
    </xf>
    <xf numFmtId="10" fontId="34" fillId="11" borderId="106" xfId="1" applyNumberFormat="1" applyFont="1" applyFill="1" applyBorder="1" applyAlignment="1">
      <alignment horizontal="center"/>
    </xf>
    <xf numFmtId="10" fontId="34" fillId="11" borderId="92" xfId="1" applyNumberFormat="1" applyFont="1" applyFill="1" applyBorder="1" applyAlignment="1">
      <alignment horizontal="center"/>
    </xf>
    <xf numFmtId="10" fontId="34" fillId="11" borderId="48" xfId="1" applyNumberFormat="1" applyFont="1" applyFill="1" applyBorder="1" applyAlignment="1">
      <alignment horizontal="center"/>
    </xf>
    <xf numFmtId="10" fontId="34" fillId="11" borderId="34" xfId="1" applyNumberFormat="1" applyFont="1" applyFill="1" applyBorder="1" applyAlignment="1">
      <alignment horizontal="center"/>
    </xf>
    <xf numFmtId="10" fontId="34" fillId="11" borderId="49" xfId="1" applyNumberFormat="1" applyFont="1" applyFill="1" applyBorder="1" applyAlignment="1">
      <alignment horizontal="center"/>
    </xf>
    <xf numFmtId="10" fontId="34" fillId="11" borderId="81" xfId="1" applyNumberFormat="1" applyFont="1" applyFill="1" applyBorder="1" applyAlignment="1">
      <alignment horizontal="center"/>
    </xf>
    <xf numFmtId="10" fontId="34" fillId="11" borderId="96" xfId="1" applyNumberFormat="1" applyFont="1" applyFill="1" applyBorder="1" applyAlignment="1">
      <alignment horizontal="center"/>
    </xf>
    <xf numFmtId="10" fontId="34" fillId="11" borderId="54" xfId="1" applyNumberFormat="1" applyFont="1" applyFill="1" applyBorder="1" applyAlignment="1">
      <alignment horizontal="center"/>
    </xf>
    <xf numFmtId="10" fontId="35" fillId="13" borderId="122" xfId="1" applyNumberFormat="1" applyFont="1" applyFill="1" applyBorder="1" applyAlignment="1">
      <alignment horizontal="right"/>
    </xf>
    <xf numFmtId="10" fontId="35" fillId="13" borderId="111" xfId="1" applyNumberFormat="1" applyFont="1" applyFill="1" applyBorder="1" applyAlignment="1">
      <alignment horizontal="right"/>
    </xf>
    <xf numFmtId="10" fontId="35" fillId="13" borderId="112" xfId="1" applyNumberFormat="1" applyFont="1" applyFill="1" applyBorder="1" applyAlignment="1">
      <alignment horizontal="right"/>
    </xf>
    <xf numFmtId="0" fontId="28" fillId="16" borderId="60" xfId="0" applyFont="1" applyFill="1" applyBorder="1" applyAlignment="1" applyProtection="1">
      <alignment horizontal="center" vertical="center"/>
      <protection locked="0"/>
    </xf>
    <xf numFmtId="0" fontId="28" fillId="16" borderId="64" xfId="0" applyFont="1" applyFill="1" applyBorder="1" applyAlignment="1" applyProtection="1">
      <alignment horizontal="center" vertical="center"/>
      <protection locked="0"/>
    </xf>
    <xf numFmtId="3" fontId="28" fillId="16" borderId="48" xfId="0" applyNumberFormat="1" applyFont="1" applyFill="1" applyBorder="1" applyAlignment="1" applyProtection="1">
      <alignment horizontal="center" vertical="center"/>
      <protection locked="0"/>
    </xf>
    <xf numFmtId="3" fontId="28" fillId="16" borderId="49" xfId="0" applyNumberFormat="1" applyFont="1" applyFill="1" applyBorder="1" applyAlignment="1" applyProtection="1">
      <alignment horizontal="center" vertical="center"/>
      <protection locked="0"/>
    </xf>
    <xf numFmtId="3" fontId="28" fillId="16" borderId="81" xfId="0" applyNumberFormat="1" applyFont="1" applyFill="1" applyBorder="1" applyAlignment="1" applyProtection="1">
      <alignment horizontal="center" vertical="center"/>
      <protection locked="0"/>
    </xf>
    <xf numFmtId="3" fontId="28" fillId="16" borderId="54" xfId="0" applyNumberFormat="1" applyFont="1" applyFill="1" applyBorder="1" applyAlignment="1" applyProtection="1">
      <alignment horizontal="center" vertical="center"/>
      <protection locked="0"/>
    </xf>
    <xf numFmtId="0" fontId="11" fillId="14" borderId="46" xfId="0" applyFont="1" applyFill="1" applyBorder="1" applyAlignment="1" applyProtection="1">
      <alignment horizontal="right"/>
      <protection locked="0"/>
    </xf>
    <xf numFmtId="0" fontId="11" fillId="14" borderId="56" xfId="0" applyFont="1" applyFill="1" applyBorder="1" applyAlignment="1" applyProtection="1">
      <alignment horizontal="right"/>
      <protection locked="0"/>
    </xf>
    <xf numFmtId="3" fontId="26" fillId="14" borderId="46" xfId="0" applyNumberFormat="1" applyFont="1" applyFill="1" applyBorder="1" applyAlignment="1" applyProtection="1">
      <alignment horizontal="right"/>
      <protection locked="0"/>
    </xf>
    <xf numFmtId="3" fontId="26" fillId="14" borderId="47" xfId="0" applyNumberFormat="1" applyFont="1" applyFill="1" applyBorder="1" applyAlignment="1" applyProtection="1">
      <alignment horizontal="right"/>
      <protection locked="0"/>
    </xf>
    <xf numFmtId="3" fontId="41" fillId="13" borderId="49" xfId="0" applyNumberFormat="1" applyFont="1" applyFill="1" applyBorder="1" applyAlignment="1">
      <alignment horizontal="center" vertical="center"/>
    </xf>
    <xf numFmtId="3" fontId="41" fillId="22" borderId="49" xfId="0" applyNumberFormat="1" applyFont="1" applyFill="1" applyBorder="1" applyAlignment="1" applyProtection="1">
      <alignment horizontal="center" vertical="center"/>
      <protection locked="0"/>
    </xf>
    <xf numFmtId="3" fontId="41" fillId="13" borderId="51" xfId="0" applyNumberFormat="1" applyFont="1" applyFill="1" applyBorder="1" applyAlignment="1">
      <alignment horizontal="center" vertical="center"/>
    </xf>
    <xf numFmtId="0" fontId="24" fillId="0" borderId="0" xfId="0" applyFont="1"/>
    <xf numFmtId="0" fontId="28" fillId="16" borderId="46" xfId="0" applyFont="1" applyFill="1" applyBorder="1" applyAlignment="1" applyProtection="1">
      <alignment horizontal="center" vertical="center"/>
      <protection locked="0"/>
    </xf>
    <xf numFmtId="0" fontId="28" fillId="16" borderId="80" xfId="0" applyFont="1" applyFill="1" applyBorder="1" applyAlignment="1" applyProtection="1">
      <alignment horizontal="center" vertical="center"/>
      <protection locked="0"/>
    </xf>
    <xf numFmtId="0" fontId="28" fillId="16" borderId="48" xfId="0" applyFont="1" applyFill="1" applyBorder="1" applyAlignment="1" applyProtection="1">
      <alignment horizontal="center" vertical="center"/>
      <protection locked="0"/>
    </xf>
    <xf numFmtId="0" fontId="28" fillId="16" borderId="94" xfId="0" applyFont="1" applyFill="1" applyBorder="1" applyAlignment="1" applyProtection="1">
      <alignment horizontal="center" vertical="center"/>
      <protection locked="0"/>
    </xf>
    <xf numFmtId="3" fontId="28" fillId="16" borderId="50" xfId="0" applyNumberFormat="1" applyFont="1" applyFill="1" applyBorder="1" applyAlignment="1" applyProtection="1">
      <alignment horizontal="center" vertical="center"/>
      <protection locked="0"/>
    </xf>
    <xf numFmtId="3" fontId="28" fillId="16" borderId="51" xfId="0" applyNumberFormat="1" applyFont="1" applyFill="1" applyBorder="1" applyAlignment="1" applyProtection="1">
      <alignment horizontal="center" vertical="center"/>
      <protection locked="0"/>
    </xf>
    <xf numFmtId="0" fontId="0" fillId="16" borderId="64" xfId="0" applyFill="1" applyBorder="1" applyAlignment="1" applyProtection="1">
      <alignment horizontal="center" vertical="center"/>
      <protection locked="0"/>
    </xf>
    <xf numFmtId="0" fontId="0" fillId="16" borderId="34" xfId="0" applyFill="1" applyBorder="1" applyAlignment="1" applyProtection="1">
      <alignment horizontal="center" vertical="center"/>
      <protection locked="0"/>
    </xf>
    <xf numFmtId="0" fontId="0" fillId="16" borderId="49" xfId="0" applyFill="1" applyBorder="1" applyAlignment="1" applyProtection="1">
      <alignment horizontal="center" vertical="center"/>
      <protection locked="0"/>
    </xf>
    <xf numFmtId="0" fontId="0" fillId="16" borderId="48" xfId="0" applyFill="1" applyBorder="1" applyAlignment="1" applyProtection="1">
      <alignment horizontal="center" vertical="center"/>
      <protection locked="0"/>
    </xf>
    <xf numFmtId="0" fontId="0" fillId="16" borderId="61" xfId="0" applyFill="1" applyBorder="1" applyAlignment="1" applyProtection="1">
      <alignment horizontal="center" vertical="center"/>
      <protection locked="0"/>
    </xf>
    <xf numFmtId="0" fontId="0" fillId="16" borderId="57" xfId="0" applyFill="1" applyBorder="1" applyAlignment="1" applyProtection="1">
      <alignment horizontal="center" vertical="center"/>
      <protection locked="0"/>
    </xf>
    <xf numFmtId="0" fontId="0" fillId="16" borderId="51" xfId="0" applyFill="1" applyBorder="1" applyAlignment="1" applyProtection="1">
      <alignment horizontal="center" vertical="center"/>
      <protection locked="0"/>
    </xf>
    <xf numFmtId="0" fontId="0" fillId="16" borderId="50" xfId="0" applyFill="1" applyBorder="1" applyAlignment="1" applyProtection="1">
      <alignment horizontal="center" vertical="center"/>
      <protection locked="0"/>
    </xf>
    <xf numFmtId="0" fontId="41" fillId="13" borderId="49" xfId="0" applyFont="1" applyFill="1" applyBorder="1" applyAlignment="1">
      <alignment horizontal="center" vertical="center"/>
    </xf>
    <xf numFmtId="10" fontId="9" fillId="51" borderId="77" xfId="0" applyNumberFormat="1" applyFont="1" applyFill="1" applyBorder="1"/>
    <xf numFmtId="0" fontId="45" fillId="0" borderId="0" xfId="0" applyFont="1"/>
    <xf numFmtId="0" fontId="24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44" fillId="13" borderId="3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6" borderId="60" xfId="0" applyFill="1" applyBorder="1" applyAlignment="1" applyProtection="1">
      <alignment horizontal="center" vertical="center"/>
      <protection locked="0"/>
    </xf>
    <xf numFmtId="0" fontId="0" fillId="16" borderId="56" xfId="0" applyFill="1" applyBorder="1" applyAlignment="1" applyProtection="1">
      <alignment horizontal="center" vertical="center"/>
      <protection locked="0"/>
    </xf>
    <xf numFmtId="0" fontId="0" fillId="16" borderId="47" xfId="0" applyFill="1" applyBorder="1" applyAlignment="1" applyProtection="1">
      <alignment horizontal="center" vertical="center"/>
      <protection locked="0"/>
    </xf>
    <xf numFmtId="0" fontId="0" fillId="16" borderId="46" xfId="0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0" fillId="53" borderId="37" xfId="0" applyFill="1" applyBorder="1" applyAlignment="1" applyProtection="1">
      <alignment horizontal="center" vertical="center"/>
      <protection locked="0"/>
    </xf>
    <xf numFmtId="0" fontId="0" fillId="53" borderId="38" xfId="0" applyFill="1" applyBorder="1" applyAlignment="1" applyProtection="1">
      <alignment horizontal="center" vertical="center"/>
      <protection locked="0"/>
    </xf>
    <xf numFmtId="0" fontId="0" fillId="53" borderId="36" xfId="0" applyFill="1" applyBorder="1" applyAlignment="1" applyProtection="1">
      <alignment horizontal="center" vertical="center"/>
      <protection locked="0"/>
    </xf>
    <xf numFmtId="0" fontId="27" fillId="13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3" fontId="9" fillId="31" borderId="6" xfId="0" applyNumberFormat="1" applyFont="1" applyFill="1" applyBorder="1" applyAlignment="1">
      <alignment horizontal="right"/>
    </xf>
    <xf numFmtId="0" fontId="1" fillId="50" borderId="0" xfId="0" applyFont="1" applyFill="1" applyAlignment="1">
      <alignment vertical="center"/>
    </xf>
    <xf numFmtId="0" fontId="2" fillId="13" borderId="0" xfId="0" applyFont="1" applyFill="1"/>
    <xf numFmtId="0" fontId="1" fillId="50" borderId="140" xfId="0" applyFont="1" applyFill="1" applyBorder="1" applyAlignment="1">
      <alignment horizontal="center"/>
    </xf>
    <xf numFmtId="0" fontId="1" fillId="50" borderId="90" xfId="0" applyFont="1" applyFill="1" applyBorder="1" applyAlignment="1">
      <alignment horizontal="center"/>
    </xf>
    <xf numFmtId="0" fontId="29" fillId="5" borderId="7" xfId="0" applyFont="1" applyFill="1" applyBorder="1" applyAlignment="1">
      <alignment horizontal="right"/>
    </xf>
    <xf numFmtId="0" fontId="29" fillId="5" borderId="6" xfId="0" applyFont="1" applyFill="1" applyBorder="1" applyAlignment="1">
      <alignment horizontal="right"/>
    </xf>
    <xf numFmtId="0" fontId="29" fillId="5" borderId="106" xfId="0" applyFont="1" applyFill="1" applyBorder="1" applyAlignment="1">
      <alignment horizontal="right"/>
    </xf>
    <xf numFmtId="0" fontId="29" fillId="5" borderId="142" xfId="0" applyFont="1" applyFill="1" applyBorder="1" applyAlignment="1">
      <alignment horizontal="right"/>
    </xf>
    <xf numFmtId="10" fontId="30" fillId="5" borderId="143" xfId="0" applyNumberFormat="1" applyFont="1" applyFill="1" applyBorder="1"/>
    <xf numFmtId="0" fontId="1" fillId="50" borderId="144" xfId="0" applyFont="1" applyFill="1" applyBorder="1" applyAlignment="1">
      <alignment horizontal="center"/>
    </xf>
    <xf numFmtId="0" fontId="51" fillId="50" borderId="145" xfId="0" applyFont="1" applyFill="1" applyBorder="1" applyAlignment="1">
      <alignment horizontal="center" vertical="center"/>
    </xf>
    <xf numFmtId="0" fontId="51" fillId="50" borderId="95" xfId="0" applyFont="1" applyFill="1" applyBorder="1" applyAlignment="1">
      <alignment horizontal="center" vertical="center"/>
    </xf>
    <xf numFmtId="0" fontId="51" fillId="50" borderId="146" xfId="0" applyFont="1" applyFill="1" applyBorder="1" applyAlignment="1">
      <alignment horizontal="center" vertical="center"/>
    </xf>
    <xf numFmtId="0" fontId="51" fillId="50" borderId="147" xfId="0" applyFont="1" applyFill="1" applyBorder="1" applyAlignment="1">
      <alignment horizontal="center" vertical="center"/>
    </xf>
    <xf numFmtId="0" fontId="51" fillId="50" borderId="72" xfId="0" applyFont="1" applyFill="1" applyBorder="1" applyAlignment="1">
      <alignment horizontal="center" vertical="center"/>
    </xf>
    <xf numFmtId="0" fontId="51" fillId="50" borderId="148" xfId="0" applyFont="1" applyFill="1" applyBorder="1" applyAlignment="1">
      <alignment horizontal="center" vertical="center"/>
    </xf>
    <xf numFmtId="3" fontId="6" fillId="11" borderId="72" xfId="0" applyNumberFormat="1" applyFont="1" applyFill="1" applyBorder="1" applyAlignment="1">
      <alignment horizontal="center"/>
    </xf>
    <xf numFmtId="3" fontId="6" fillId="11" borderId="146" xfId="0" applyNumberFormat="1" applyFont="1" applyFill="1" applyBorder="1" applyAlignment="1">
      <alignment horizontal="center"/>
    </xf>
    <xf numFmtId="3" fontId="6" fillId="14" borderId="146" xfId="0" applyNumberFormat="1" applyFont="1" applyFill="1" applyBorder="1" applyAlignment="1">
      <alignment horizontal="center"/>
    </xf>
    <xf numFmtId="3" fontId="6" fillId="11" borderId="95" xfId="0" applyNumberFormat="1" applyFont="1" applyFill="1" applyBorder="1" applyAlignment="1">
      <alignment horizontal="center"/>
    </xf>
    <xf numFmtId="3" fontId="6" fillId="14" borderId="95" xfId="0" applyNumberFormat="1" applyFont="1" applyFill="1" applyBorder="1" applyAlignment="1">
      <alignment horizontal="center" vertical="center"/>
    </xf>
    <xf numFmtId="10" fontId="6" fillId="14" borderId="72" xfId="0" applyNumberFormat="1" applyFont="1" applyFill="1" applyBorder="1" applyAlignment="1">
      <alignment horizontal="center"/>
    </xf>
    <xf numFmtId="10" fontId="6" fillId="14" borderId="149" xfId="1" applyNumberFormat="1" applyFont="1" applyFill="1" applyBorder="1" applyAlignment="1">
      <alignment horizontal="center"/>
    </xf>
    <xf numFmtId="3" fontId="6" fillId="11" borderId="105" xfId="0" applyNumberFormat="1" applyFont="1" applyFill="1" applyBorder="1" applyAlignment="1">
      <alignment horizontal="center"/>
    </xf>
    <xf numFmtId="3" fontId="6" fillId="11" borderId="138" xfId="0" applyNumberFormat="1" applyFont="1" applyFill="1" applyBorder="1" applyAlignment="1">
      <alignment horizontal="center"/>
    </xf>
    <xf numFmtId="3" fontId="6" fillId="14" borderId="138" xfId="0" applyNumberFormat="1" applyFont="1" applyFill="1" applyBorder="1" applyAlignment="1">
      <alignment horizontal="center"/>
    </xf>
    <xf numFmtId="3" fontId="6" fillId="11" borderId="150" xfId="0" applyNumberFormat="1" applyFont="1" applyFill="1" applyBorder="1" applyAlignment="1">
      <alignment horizontal="center"/>
    </xf>
    <xf numFmtId="3" fontId="6" fillId="11" borderId="19" xfId="0" applyNumberFormat="1" applyFont="1" applyFill="1" applyBorder="1" applyAlignment="1">
      <alignment horizontal="center"/>
    </xf>
    <xf numFmtId="3" fontId="6" fillId="14" borderId="19" xfId="0" applyNumberFormat="1" applyFont="1" applyFill="1" applyBorder="1" applyAlignment="1">
      <alignment horizontal="center" vertical="center"/>
    </xf>
    <xf numFmtId="10" fontId="6" fillId="14" borderId="105" xfId="0" applyNumberFormat="1" applyFont="1" applyFill="1" applyBorder="1" applyAlignment="1">
      <alignment horizontal="center"/>
    </xf>
    <xf numFmtId="10" fontId="6" fillId="14" borderId="151" xfId="1" applyNumberFormat="1" applyFont="1" applyFill="1" applyBorder="1" applyAlignment="1">
      <alignment horizontal="center"/>
    </xf>
    <xf numFmtId="3" fontId="6" fillId="11" borderId="53" xfId="0" applyNumberFormat="1" applyFont="1" applyFill="1" applyBorder="1" applyAlignment="1">
      <alignment horizontal="center"/>
    </xf>
    <xf numFmtId="3" fontId="6" fillId="11" borderId="59" xfId="0" applyNumberFormat="1" applyFont="1" applyFill="1" applyBorder="1" applyAlignment="1">
      <alignment horizontal="center"/>
    </xf>
    <xf numFmtId="3" fontId="6" fillId="14" borderId="59" xfId="0" applyNumberFormat="1" applyFont="1" applyFill="1" applyBorder="1" applyAlignment="1">
      <alignment horizontal="center"/>
    </xf>
    <xf numFmtId="3" fontId="6" fillId="11" borderId="152" xfId="0" applyNumberFormat="1" applyFont="1" applyFill="1" applyBorder="1" applyAlignment="1">
      <alignment horizontal="center"/>
    </xf>
    <xf numFmtId="3" fontId="6" fillId="11" borderId="9" xfId="0" applyNumberFormat="1" applyFont="1" applyFill="1" applyBorder="1" applyAlignment="1">
      <alignment horizontal="center"/>
    </xf>
    <xf numFmtId="3" fontId="6" fillId="14" borderId="153" xfId="0" applyNumberFormat="1" applyFont="1" applyFill="1" applyBorder="1" applyAlignment="1">
      <alignment horizontal="center" vertical="center"/>
    </xf>
    <xf numFmtId="10" fontId="6" fillId="14" borderId="53" xfId="0" applyNumberFormat="1" applyFont="1" applyFill="1" applyBorder="1" applyAlignment="1">
      <alignment horizontal="center"/>
    </xf>
    <xf numFmtId="10" fontId="6" fillId="14" borderId="141" xfId="1" applyNumberFormat="1" applyFont="1" applyFill="1" applyBorder="1" applyAlignment="1">
      <alignment horizontal="center"/>
    </xf>
    <xf numFmtId="0" fontId="50" fillId="13" borderId="146" xfId="0" applyFont="1" applyFill="1" applyBorder="1" applyAlignment="1">
      <alignment horizontal="center" vertical="center"/>
    </xf>
    <xf numFmtId="0" fontId="50" fillId="13" borderId="139" xfId="0" applyFont="1" applyFill="1" applyBorder="1" applyAlignment="1">
      <alignment horizontal="center" vertical="center"/>
    </xf>
    <xf numFmtId="0" fontId="6" fillId="17" borderId="95" xfId="0" applyFont="1" applyFill="1" applyBorder="1" applyAlignment="1">
      <alignment horizontal="center"/>
    </xf>
    <xf numFmtId="3" fontId="6" fillId="49" borderId="154" xfId="0" applyNumberFormat="1" applyFont="1" applyFill="1" applyBorder="1" applyAlignment="1">
      <alignment horizontal="center" vertical="center"/>
    </xf>
    <xf numFmtId="0" fontId="6" fillId="17" borderId="19" xfId="0" applyFont="1" applyFill="1" applyBorder="1" applyAlignment="1">
      <alignment horizontal="center"/>
    </xf>
    <xf numFmtId="3" fontId="6" fillId="49" borderId="155" xfId="0" applyNumberFormat="1" applyFont="1" applyFill="1" applyBorder="1" applyAlignment="1">
      <alignment horizontal="center" vertical="center"/>
    </xf>
    <xf numFmtId="0" fontId="6" fillId="17" borderId="156" xfId="0" applyFont="1" applyFill="1" applyBorder="1" applyAlignment="1">
      <alignment horizontal="center"/>
    </xf>
    <xf numFmtId="3" fontId="6" fillId="49" borderId="157" xfId="0" applyNumberFormat="1" applyFont="1" applyFill="1" applyBorder="1" applyAlignment="1">
      <alignment horizontal="center" vertical="center"/>
    </xf>
    <xf numFmtId="0" fontId="6" fillId="15" borderId="158" xfId="0" applyFont="1" applyFill="1" applyBorder="1" applyAlignment="1">
      <alignment horizontal="center"/>
    </xf>
    <xf numFmtId="0" fontId="6" fillId="15" borderId="95" xfId="0" applyFont="1" applyFill="1" applyBorder="1" applyAlignment="1">
      <alignment horizontal="center"/>
    </xf>
    <xf numFmtId="0" fontId="6" fillId="15" borderId="146" xfId="0" applyFont="1" applyFill="1" applyBorder="1" applyAlignment="1">
      <alignment horizontal="center"/>
    </xf>
    <xf numFmtId="0" fontId="6" fillId="15" borderId="160" xfId="0" applyFont="1" applyFill="1" applyBorder="1" applyAlignment="1">
      <alignment horizontal="center"/>
    </xf>
    <xf numFmtId="0" fontId="6" fillId="15" borderId="19" xfId="0" applyFont="1" applyFill="1" applyBorder="1" applyAlignment="1">
      <alignment horizontal="center"/>
    </xf>
    <xf numFmtId="0" fontId="6" fillId="15" borderId="138" xfId="0" applyFont="1" applyFill="1" applyBorder="1" applyAlignment="1">
      <alignment horizontal="center"/>
    </xf>
    <xf numFmtId="0" fontId="6" fillId="15" borderId="161" xfId="0" applyFont="1" applyFill="1" applyBorder="1" applyAlignment="1">
      <alignment horizontal="center"/>
    </xf>
    <xf numFmtId="0" fontId="6" fillId="15" borderId="132" xfId="0" applyFont="1" applyFill="1" applyBorder="1" applyAlignment="1">
      <alignment horizontal="center"/>
    </xf>
    <xf numFmtId="0" fontId="6" fillId="15" borderId="59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7" fillId="4" borderId="162" xfId="0" applyFont="1" applyFill="1" applyBorder="1" applyAlignment="1">
      <alignment horizontal="center" vertical="center"/>
    </xf>
    <xf numFmtId="0" fontId="52" fillId="16" borderId="64" xfId="0" applyFont="1" applyFill="1" applyBorder="1" applyAlignment="1" applyProtection="1">
      <alignment horizontal="center" vertical="center"/>
      <protection locked="0"/>
    </xf>
    <xf numFmtId="0" fontId="52" fillId="16" borderId="34" xfId="0" applyFont="1" applyFill="1" applyBorder="1" applyAlignment="1" applyProtection="1">
      <alignment horizontal="center" vertical="center"/>
      <protection locked="0"/>
    </xf>
    <xf numFmtId="0" fontId="52" fillId="16" borderId="49" xfId="0" applyFont="1" applyFill="1" applyBorder="1" applyAlignment="1" applyProtection="1">
      <alignment horizontal="center" vertical="center"/>
      <protection locked="0"/>
    </xf>
    <xf numFmtId="0" fontId="52" fillId="16" borderId="48" xfId="0" applyFont="1" applyFill="1" applyBorder="1" applyAlignment="1" applyProtection="1">
      <alignment horizontal="center" vertical="center"/>
      <protection locked="0"/>
    </xf>
    <xf numFmtId="165" fontId="0" fillId="11" borderId="70" xfId="0" applyNumberFormat="1" applyFill="1" applyBorder="1" applyAlignment="1">
      <alignment horizontal="center" vertical="center"/>
    </xf>
    <xf numFmtId="165" fontId="0" fillId="11" borderId="52" xfId="0" applyNumberFormat="1" applyFill="1" applyBorder="1" applyAlignment="1">
      <alignment horizontal="center" vertical="center"/>
    </xf>
    <xf numFmtId="165" fontId="0" fillId="11" borderId="53" xfId="0" applyNumberFormat="1" applyFill="1" applyBorder="1" applyAlignment="1">
      <alignment horizontal="center" vertical="center"/>
    </xf>
    <xf numFmtId="0" fontId="0" fillId="0" borderId="163" xfId="0" applyBorder="1"/>
    <xf numFmtId="0" fontId="52" fillId="11" borderId="63" xfId="0" applyFont="1" applyFill="1" applyBorder="1" applyAlignment="1">
      <alignment horizontal="center" vertical="center" wrapText="1"/>
    </xf>
    <xf numFmtId="0" fontId="7" fillId="4" borderId="164" xfId="0" applyFont="1" applyFill="1" applyBorder="1" applyAlignment="1">
      <alignment horizontal="center"/>
    </xf>
    <xf numFmtId="0" fontId="5" fillId="2" borderId="82" xfId="0" applyFont="1" applyFill="1" applyBorder="1" applyAlignment="1">
      <alignment horizontal="center" vertical="center"/>
    </xf>
    <xf numFmtId="0" fontId="7" fillId="4" borderId="165" xfId="0" applyFont="1" applyFill="1" applyBorder="1" applyAlignment="1">
      <alignment horizontal="center"/>
    </xf>
    <xf numFmtId="0" fontId="4" fillId="2" borderId="166" xfId="0" applyFont="1" applyFill="1" applyBorder="1" applyAlignment="1">
      <alignment horizontal="center"/>
    </xf>
    <xf numFmtId="0" fontId="55" fillId="5" borderId="167" xfId="0" applyFont="1" applyFill="1" applyBorder="1" applyAlignment="1">
      <alignment horizontal="right"/>
    </xf>
    <xf numFmtId="10" fontId="54" fillId="5" borderId="168" xfId="0" applyNumberFormat="1" applyFont="1" applyFill="1" applyBorder="1"/>
    <xf numFmtId="0" fontId="6" fillId="50" borderId="8" xfId="0" applyFont="1" applyFill="1" applyBorder="1" applyAlignment="1">
      <alignment vertical="center"/>
    </xf>
    <xf numFmtId="0" fontId="6" fillId="50" borderId="10" xfId="0" applyFont="1" applyFill="1" applyBorder="1" applyAlignment="1">
      <alignment vertical="center"/>
    </xf>
    <xf numFmtId="0" fontId="6" fillId="50" borderId="12" xfId="0" applyFont="1" applyFill="1" applyBorder="1" applyAlignment="1">
      <alignment vertical="center"/>
    </xf>
    <xf numFmtId="164" fontId="15" fillId="17" borderId="71" xfId="0" applyNumberFormat="1" applyFont="1" applyFill="1" applyBorder="1" applyAlignment="1" applyProtection="1">
      <alignment horizontal="center" vertical="center"/>
      <protection locked="0"/>
    </xf>
    <xf numFmtId="0" fontId="13" fillId="17" borderId="14" xfId="0" applyFont="1" applyFill="1" applyBorder="1" applyAlignment="1" applyProtection="1">
      <alignment horizontal="center" vertical="center"/>
      <protection locked="0"/>
    </xf>
    <xf numFmtId="0" fontId="15" fillId="17" borderId="13" xfId="0" applyFont="1" applyFill="1" applyBorder="1" applyAlignment="1" applyProtection="1">
      <alignment horizontal="center" vertical="center"/>
      <protection locked="0"/>
    </xf>
    <xf numFmtId="0" fontId="50" fillId="13" borderId="72" xfId="0" applyFont="1" applyFill="1" applyBorder="1" applyAlignment="1">
      <alignment horizontal="center" vertical="center"/>
    </xf>
    <xf numFmtId="0" fontId="6" fillId="50" borderId="72" xfId="0" applyFont="1" applyFill="1" applyBorder="1" applyAlignment="1">
      <alignment horizontal="center"/>
    </xf>
    <xf numFmtId="0" fontId="6" fillId="50" borderId="150" xfId="0" applyFont="1" applyFill="1" applyBorder="1" applyAlignment="1">
      <alignment horizontal="center"/>
    </xf>
    <xf numFmtId="0" fontId="6" fillId="50" borderId="169" xfId="0" applyFont="1" applyFill="1" applyBorder="1" applyAlignment="1">
      <alignment horizontal="center"/>
    </xf>
    <xf numFmtId="0" fontId="6" fillId="15" borderId="54" xfId="0" applyFont="1" applyFill="1" applyBorder="1" applyAlignment="1">
      <alignment horizontal="center"/>
    </xf>
    <xf numFmtId="0" fontId="6" fillId="15" borderId="51" xfId="0" applyFont="1" applyFill="1" applyBorder="1" applyAlignment="1">
      <alignment horizontal="center"/>
    </xf>
    <xf numFmtId="0" fontId="6" fillId="25" borderId="72" xfId="0" applyFont="1" applyFill="1" applyBorder="1" applyAlignment="1">
      <alignment horizontal="center" vertical="center"/>
    </xf>
    <xf numFmtId="10" fontId="22" fillId="11" borderId="112" xfId="1" applyNumberFormat="1" applyFont="1" applyFill="1" applyBorder="1" applyAlignment="1">
      <alignment horizontal="center" vertical="center"/>
    </xf>
    <xf numFmtId="10" fontId="22" fillId="11" borderId="54" xfId="1" applyNumberFormat="1" applyFont="1" applyFill="1" applyBorder="1" applyAlignment="1">
      <alignment horizontal="center" vertical="center"/>
    </xf>
    <xf numFmtId="10" fontId="32" fillId="11" borderId="171" xfId="1" applyNumberFormat="1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 vertical="center"/>
    </xf>
    <xf numFmtId="0" fontId="28" fillId="2" borderId="37" xfId="0" applyFont="1" applyFill="1" applyBorder="1" applyAlignment="1">
      <alignment horizontal="center" vertical="center"/>
    </xf>
    <xf numFmtId="0" fontId="28" fillId="2" borderId="38" xfId="0" applyFont="1" applyFill="1" applyBorder="1" applyAlignment="1">
      <alignment horizontal="center" vertical="center"/>
    </xf>
    <xf numFmtId="0" fontId="28" fillId="23" borderId="35" xfId="0" applyFont="1" applyFill="1" applyBorder="1" applyAlignment="1">
      <alignment horizontal="center" vertical="center" wrapText="1"/>
    </xf>
    <xf numFmtId="0" fontId="52" fillId="53" borderId="37" xfId="0" applyFont="1" applyFill="1" applyBorder="1" applyAlignment="1" applyProtection="1">
      <alignment horizontal="center" vertical="center"/>
      <protection locked="0"/>
    </xf>
    <xf numFmtId="0" fontId="52" fillId="11" borderId="35" xfId="0" applyFont="1" applyFill="1" applyBorder="1" applyAlignment="1">
      <alignment horizontal="center" vertical="center"/>
    </xf>
    <xf numFmtId="0" fontId="52" fillId="53" borderId="38" xfId="0" applyFont="1" applyFill="1" applyBorder="1" applyAlignment="1" applyProtection="1">
      <alignment horizontal="center" vertical="center"/>
      <protection locked="0"/>
    </xf>
    <xf numFmtId="0" fontId="52" fillId="16" borderId="61" xfId="0" applyFont="1" applyFill="1" applyBorder="1" applyAlignment="1" applyProtection="1">
      <alignment horizontal="center" vertical="center"/>
      <protection locked="0"/>
    </xf>
    <xf numFmtId="0" fontId="52" fillId="16" borderId="57" xfId="0" applyFont="1" applyFill="1" applyBorder="1" applyAlignment="1" applyProtection="1">
      <alignment horizontal="center" vertical="center"/>
      <protection locked="0"/>
    </xf>
    <xf numFmtId="0" fontId="52" fillId="16" borderId="51" xfId="0" applyFont="1" applyFill="1" applyBorder="1" applyAlignment="1" applyProtection="1">
      <alignment horizontal="center" vertical="center"/>
      <protection locked="0"/>
    </xf>
    <xf numFmtId="0" fontId="52" fillId="16" borderId="50" xfId="0" applyFont="1" applyFill="1" applyBorder="1" applyAlignment="1" applyProtection="1">
      <alignment horizontal="center" vertical="center"/>
      <protection locked="0"/>
    </xf>
    <xf numFmtId="0" fontId="51" fillId="25" borderId="72" xfId="0" applyFont="1" applyFill="1" applyBorder="1" applyAlignment="1">
      <alignment horizontal="center" vertical="center" wrapText="1"/>
    </xf>
    <xf numFmtId="0" fontId="53" fillId="11" borderId="55" xfId="0" applyFont="1" applyFill="1" applyBorder="1" applyAlignment="1">
      <alignment horizontal="center" vertical="center"/>
    </xf>
    <xf numFmtId="0" fontId="53" fillId="11" borderId="55" xfId="0" applyFont="1" applyFill="1" applyBorder="1" applyAlignment="1">
      <alignment horizontal="center" vertical="center" wrapText="1"/>
    </xf>
    <xf numFmtId="0" fontId="0" fillId="11" borderId="47" xfId="0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/>
    </xf>
    <xf numFmtId="0" fontId="32" fillId="11" borderId="174" xfId="0" applyFont="1" applyFill="1" applyBorder="1" applyAlignment="1">
      <alignment horizontal="center" vertical="center"/>
    </xf>
    <xf numFmtId="0" fontId="0" fillId="0" borderId="173" xfId="0" applyBorder="1"/>
    <xf numFmtId="10" fontId="32" fillId="11" borderId="175" xfId="1" applyNumberFormat="1" applyFont="1" applyFill="1" applyBorder="1" applyAlignment="1">
      <alignment horizontal="center" vertical="center"/>
    </xf>
    <xf numFmtId="0" fontId="32" fillId="11" borderId="176" xfId="0" applyFont="1" applyFill="1" applyBorder="1" applyAlignment="1">
      <alignment horizontal="center" vertical="center"/>
    </xf>
    <xf numFmtId="165" fontId="32" fillId="11" borderId="177" xfId="0" applyNumberFormat="1" applyFont="1" applyFill="1" applyBorder="1" applyAlignment="1">
      <alignment horizontal="center" vertical="center"/>
    </xf>
    <xf numFmtId="165" fontId="32" fillId="11" borderId="178" xfId="0" applyNumberFormat="1" applyFont="1" applyFill="1" applyBorder="1" applyAlignment="1">
      <alignment horizontal="center" vertical="center"/>
    </xf>
    <xf numFmtId="0" fontId="7" fillId="2" borderId="179" xfId="0" applyFont="1" applyFill="1" applyBorder="1" applyAlignment="1">
      <alignment horizontal="center"/>
    </xf>
    <xf numFmtId="0" fontId="7" fillId="4" borderId="180" xfId="0" applyFont="1" applyFill="1" applyBorder="1" applyAlignment="1">
      <alignment horizontal="center" vertical="center"/>
    </xf>
    <xf numFmtId="0" fontId="47" fillId="2" borderId="179" xfId="0" applyFont="1" applyFill="1" applyBorder="1" applyAlignment="1">
      <alignment horizontal="center" vertical="center" wrapText="1"/>
    </xf>
    <xf numFmtId="0" fontId="47" fillId="2" borderId="162" xfId="0" applyFont="1" applyFill="1" applyBorder="1" applyAlignment="1">
      <alignment horizontal="center" vertical="center" wrapText="1"/>
    </xf>
    <xf numFmtId="0" fontId="7" fillId="4" borderId="181" xfId="0" applyFont="1" applyFill="1" applyBorder="1" applyAlignment="1">
      <alignment horizontal="center" vertical="center"/>
    </xf>
    <xf numFmtId="0" fontId="7" fillId="4" borderId="182" xfId="0" applyFont="1" applyFill="1" applyBorder="1" applyAlignment="1">
      <alignment horizontal="center" vertical="center"/>
    </xf>
    <xf numFmtId="0" fontId="7" fillId="2" borderId="183" xfId="0" applyFont="1" applyFill="1" applyBorder="1" applyAlignment="1">
      <alignment horizontal="center"/>
    </xf>
    <xf numFmtId="0" fontId="47" fillId="2" borderId="181" xfId="0" applyFont="1" applyFill="1" applyBorder="1" applyAlignment="1">
      <alignment horizontal="center" vertical="center" wrapText="1"/>
    </xf>
    <xf numFmtId="0" fontId="7" fillId="2" borderId="185" xfId="0" applyFont="1" applyFill="1" applyBorder="1" applyAlignment="1">
      <alignment horizontal="center"/>
    </xf>
    <xf numFmtId="0" fontId="47" fillId="2" borderId="184" xfId="0" applyFont="1" applyFill="1" applyBorder="1" applyAlignment="1">
      <alignment horizontal="center" vertical="center" wrapText="1"/>
    </xf>
    <xf numFmtId="0" fontId="51" fillId="57" borderId="137" xfId="0" applyFont="1" applyFill="1" applyBorder="1" applyAlignment="1">
      <alignment horizontal="center" vertical="center" wrapText="1"/>
    </xf>
    <xf numFmtId="0" fontId="51" fillId="58" borderId="137" xfId="0" applyFont="1" applyFill="1" applyBorder="1" applyAlignment="1">
      <alignment horizontal="center" vertical="center" wrapText="1"/>
    </xf>
    <xf numFmtId="0" fontId="51" fillId="59" borderId="159" xfId="0" applyFont="1" applyFill="1" applyBorder="1" applyAlignment="1">
      <alignment horizontal="center" vertical="center" wrapText="1"/>
    </xf>
    <xf numFmtId="0" fontId="51" fillId="22" borderId="158" xfId="0" applyFont="1" applyFill="1" applyBorder="1" applyAlignment="1">
      <alignment horizontal="center" vertical="center" wrapText="1"/>
    </xf>
    <xf numFmtId="0" fontId="51" fillId="53" borderId="95" xfId="0" applyFont="1" applyFill="1" applyBorder="1" applyAlignment="1">
      <alignment horizontal="center" vertical="center" wrapText="1"/>
    </xf>
    <xf numFmtId="0" fontId="51" fillId="61" borderId="137" xfId="0" applyFont="1" applyFill="1" applyBorder="1" applyAlignment="1">
      <alignment horizontal="center" vertical="center" wrapText="1"/>
    </xf>
    <xf numFmtId="0" fontId="51" fillId="62" borderId="137" xfId="0" applyFont="1" applyFill="1" applyBorder="1" applyAlignment="1">
      <alignment horizontal="center" vertical="center" wrapText="1"/>
    </xf>
    <xf numFmtId="0" fontId="51" fillId="63" borderId="137" xfId="0" applyFont="1" applyFill="1" applyBorder="1" applyAlignment="1">
      <alignment horizontal="center" vertical="center" wrapText="1"/>
    </xf>
    <xf numFmtId="0" fontId="51" fillId="64" borderId="69" xfId="0" applyFont="1" applyFill="1" applyBorder="1" applyAlignment="1">
      <alignment horizontal="center" vertical="center"/>
    </xf>
    <xf numFmtId="0" fontId="51" fillId="64" borderId="108" xfId="0" applyFont="1" applyFill="1" applyBorder="1" applyAlignment="1">
      <alignment horizontal="center" vertical="center"/>
    </xf>
    <xf numFmtId="0" fontId="53" fillId="65" borderId="69" xfId="0" applyFont="1" applyFill="1" applyBorder="1" applyAlignment="1">
      <alignment horizontal="center" vertical="center" wrapText="1"/>
    </xf>
    <xf numFmtId="0" fontId="53" fillId="65" borderId="108" xfId="0" applyFont="1" applyFill="1" applyBorder="1" applyAlignment="1">
      <alignment horizontal="center" vertical="center" wrapText="1"/>
    </xf>
    <xf numFmtId="0" fontId="6" fillId="24" borderId="105" xfId="0" applyFont="1" applyFill="1" applyBorder="1" applyAlignment="1" applyProtection="1">
      <alignment horizontal="center" vertical="center"/>
      <protection locked="0"/>
    </xf>
    <xf numFmtId="0" fontId="31" fillId="26" borderId="170" xfId="0" applyFont="1" applyFill="1" applyBorder="1" applyAlignment="1" applyProtection="1">
      <alignment horizontal="center" vertical="center"/>
      <protection locked="0"/>
    </xf>
    <xf numFmtId="0" fontId="31" fillId="26" borderId="172" xfId="0" applyFont="1" applyFill="1" applyBorder="1" applyAlignment="1" applyProtection="1">
      <alignment horizontal="center" vertical="center"/>
      <protection locked="0"/>
    </xf>
    <xf numFmtId="0" fontId="51" fillId="55" borderId="112" xfId="0" applyFont="1" applyFill="1" applyBorder="1" applyAlignment="1">
      <alignment horizontal="center" vertical="center" wrapText="1"/>
    </xf>
    <xf numFmtId="0" fontId="51" fillId="60" borderId="95" xfId="0" applyFont="1" applyFill="1" applyBorder="1" applyAlignment="1">
      <alignment horizontal="center" vertical="center" wrapText="1"/>
    </xf>
    <xf numFmtId="0" fontId="51" fillId="52" borderId="95" xfId="0" applyFont="1" applyFill="1" applyBorder="1" applyAlignment="1">
      <alignment horizontal="center" vertical="center" wrapText="1"/>
    </xf>
    <xf numFmtId="0" fontId="51" fillId="66" borderId="137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24" fillId="13" borderId="34" xfId="0" applyFont="1" applyFill="1" applyBorder="1"/>
    <xf numFmtId="0" fontId="0" fillId="13" borderId="34" xfId="0" applyFill="1" applyBorder="1"/>
    <xf numFmtId="0" fontId="12" fillId="4" borderId="166" xfId="0" applyFont="1" applyFill="1" applyBorder="1" applyAlignment="1">
      <alignment horizontal="right"/>
    </xf>
    <xf numFmtId="10" fontId="54" fillId="14" borderId="192" xfId="0" applyNumberFormat="1" applyFont="1" applyFill="1" applyBorder="1"/>
    <xf numFmtId="0" fontId="6" fillId="50" borderId="98" xfId="0" applyFont="1" applyFill="1" applyBorder="1" applyAlignment="1">
      <alignment vertical="center"/>
    </xf>
    <xf numFmtId="0" fontId="6" fillId="50" borderId="99" xfId="0" applyFont="1" applyFill="1" applyBorder="1" applyAlignment="1">
      <alignment vertical="center"/>
    </xf>
    <xf numFmtId="0" fontId="6" fillId="50" borderId="196" xfId="0" applyFont="1" applyFill="1" applyBorder="1" applyAlignment="1">
      <alignment vertical="center"/>
    </xf>
    <xf numFmtId="164" fontId="15" fillId="50" borderId="103" xfId="0" applyNumberFormat="1" applyFont="1" applyFill="1" applyBorder="1" applyAlignment="1">
      <alignment horizontal="center" vertical="center"/>
    </xf>
    <xf numFmtId="0" fontId="13" fillId="50" borderId="104" xfId="0" applyFont="1" applyFill="1" applyBorder="1" applyAlignment="1">
      <alignment horizontal="center" vertical="center"/>
    </xf>
    <xf numFmtId="0" fontId="15" fillId="50" borderId="197" xfId="0" applyFont="1" applyFill="1" applyBorder="1" applyAlignment="1">
      <alignment horizontal="center" vertical="center"/>
    </xf>
    <xf numFmtId="0" fontId="0" fillId="0" borderId="200" xfId="0" applyBorder="1"/>
    <xf numFmtId="0" fontId="51" fillId="25" borderId="76" xfId="0" applyFont="1" applyFill="1" applyBorder="1" applyAlignment="1">
      <alignment horizontal="center" vertical="center"/>
    </xf>
    <xf numFmtId="165" fontId="6" fillId="25" borderId="76" xfId="0" applyNumberFormat="1" applyFont="1" applyFill="1" applyBorder="1" applyAlignment="1">
      <alignment horizontal="center" vertical="center"/>
    </xf>
    <xf numFmtId="165" fontId="6" fillId="25" borderId="195" xfId="0" applyNumberFormat="1" applyFont="1" applyFill="1" applyBorder="1" applyAlignment="1">
      <alignment horizontal="center" vertical="center"/>
    </xf>
    <xf numFmtId="165" fontId="31" fillId="25" borderId="202" xfId="0" applyNumberFormat="1" applyFont="1" applyFill="1" applyBorder="1" applyAlignment="1">
      <alignment horizontal="center" vertical="center"/>
    </xf>
    <xf numFmtId="165" fontId="31" fillId="25" borderId="190" xfId="0" applyNumberFormat="1" applyFont="1" applyFill="1" applyBorder="1" applyAlignment="1">
      <alignment horizontal="center" vertical="center"/>
    </xf>
    <xf numFmtId="0" fontId="0" fillId="0" borderId="201" xfId="0" applyBorder="1"/>
    <xf numFmtId="0" fontId="46" fillId="0" borderId="201" xfId="0" applyFont="1" applyBorder="1" applyAlignment="1">
      <alignment vertical="top" wrapText="1"/>
    </xf>
    <xf numFmtId="0" fontId="0" fillId="0" borderId="203" xfId="0" applyBorder="1"/>
    <xf numFmtId="0" fontId="42" fillId="11" borderId="47" xfId="0" applyFont="1" applyFill="1" applyBorder="1" applyAlignment="1">
      <alignment horizontal="center" vertical="center"/>
    </xf>
    <xf numFmtId="0" fontId="43" fillId="11" borderId="49" xfId="0" applyFont="1" applyFill="1" applyBorder="1" applyAlignment="1">
      <alignment horizontal="center" vertical="center"/>
    </xf>
    <xf numFmtId="0" fontId="56" fillId="50" borderId="98" xfId="0" applyFont="1" applyFill="1" applyBorder="1" applyAlignment="1">
      <alignment vertical="center"/>
    </xf>
    <xf numFmtId="164" fontId="57" fillId="23" borderId="103" xfId="0" applyNumberFormat="1" applyFont="1" applyFill="1" applyBorder="1" applyAlignment="1">
      <alignment horizontal="center" vertical="center"/>
    </xf>
    <xf numFmtId="164" fontId="57" fillId="0" borderId="0" xfId="0" applyNumberFormat="1" applyFont="1" applyAlignment="1" applyProtection="1">
      <alignment horizontal="center" vertical="center"/>
      <protection locked="0"/>
    </xf>
    <xf numFmtId="0" fontId="58" fillId="0" borderId="0" xfId="0" applyFont="1"/>
    <xf numFmtId="0" fontId="56" fillId="50" borderId="99" xfId="0" applyFont="1" applyFill="1" applyBorder="1" applyAlignment="1">
      <alignment vertical="center"/>
    </xf>
    <xf numFmtId="0" fontId="57" fillId="23" borderId="104" xfId="0" applyFont="1" applyFill="1" applyBorder="1" applyAlignment="1">
      <alignment horizontal="center" vertical="center"/>
    </xf>
    <xf numFmtId="0" fontId="57" fillId="0" borderId="0" xfId="0" applyFont="1" applyAlignment="1" applyProtection="1">
      <alignment horizontal="center" vertical="center"/>
      <protection locked="0"/>
    </xf>
    <xf numFmtId="0" fontId="59" fillId="0" borderId="0" xfId="0" applyFont="1" applyAlignment="1">
      <alignment horizontal="center"/>
    </xf>
    <xf numFmtId="0" fontId="56" fillId="50" borderId="196" xfId="0" applyFont="1" applyFill="1" applyBorder="1" applyAlignment="1">
      <alignment vertical="center"/>
    </xf>
    <xf numFmtId="0" fontId="57" fillId="23" borderId="197" xfId="0" applyFont="1" applyFill="1" applyBorder="1" applyAlignment="1">
      <alignment horizontal="center" vertical="center"/>
    </xf>
    <xf numFmtId="0" fontId="60" fillId="22" borderId="72" xfId="0" applyFont="1" applyFill="1" applyBorder="1" applyAlignment="1">
      <alignment horizontal="center" vertical="center" wrapText="1"/>
    </xf>
    <xf numFmtId="0" fontId="60" fillId="53" borderId="95" xfId="0" applyFont="1" applyFill="1" applyBorder="1" applyAlignment="1">
      <alignment horizontal="center" vertical="center" wrapText="1"/>
    </xf>
    <xf numFmtId="0" fontId="60" fillId="54" borderId="95" xfId="0" applyFont="1" applyFill="1" applyBorder="1" applyAlignment="1">
      <alignment horizontal="center" vertical="center" wrapText="1"/>
    </xf>
    <xf numFmtId="0" fontId="60" fillId="52" borderId="95" xfId="0" applyFont="1" applyFill="1" applyBorder="1" applyAlignment="1">
      <alignment horizontal="center" vertical="center" wrapText="1"/>
    </xf>
    <xf numFmtId="0" fontId="60" fillId="60" borderId="95" xfId="0" applyFont="1" applyFill="1" applyBorder="1" applyAlignment="1">
      <alignment horizontal="center" vertical="center" wrapText="1"/>
    </xf>
    <xf numFmtId="0" fontId="60" fillId="55" borderId="112" xfId="0" applyFont="1" applyFill="1" applyBorder="1" applyAlignment="1">
      <alignment horizontal="center" vertical="center" wrapText="1"/>
    </xf>
    <xf numFmtId="3" fontId="58" fillId="18" borderId="47" xfId="0" applyNumberFormat="1" applyFont="1" applyFill="1" applyBorder="1" applyAlignment="1">
      <alignment horizontal="center"/>
    </xf>
    <xf numFmtId="9" fontId="62" fillId="23" borderId="193" xfId="1" applyFont="1" applyFill="1" applyBorder="1"/>
    <xf numFmtId="0" fontId="58" fillId="18" borderId="49" xfId="0" applyFont="1" applyFill="1" applyBorder="1" applyAlignment="1">
      <alignment horizontal="center"/>
    </xf>
    <xf numFmtId="0" fontId="58" fillId="18" borderId="51" xfId="0" applyFont="1" applyFill="1" applyBorder="1" applyAlignment="1">
      <alignment horizontal="center"/>
    </xf>
    <xf numFmtId="9" fontId="62" fillId="23" borderId="75" xfId="1" applyFont="1" applyFill="1" applyBorder="1"/>
    <xf numFmtId="0" fontId="61" fillId="0" borderId="0" xfId="0" applyFont="1" applyAlignment="1">
      <alignment horizontal="center"/>
    </xf>
    <xf numFmtId="0" fontId="61" fillId="50" borderId="43" xfId="0" applyFont="1" applyFill="1" applyBorder="1" applyAlignment="1">
      <alignment horizontal="center"/>
    </xf>
    <xf numFmtId="0" fontId="61" fillId="50" borderId="140" xfId="0" applyFont="1" applyFill="1" applyBorder="1" applyAlignment="1">
      <alignment horizontal="center"/>
    </xf>
    <xf numFmtId="0" fontId="61" fillId="50" borderId="90" xfId="0" applyFont="1" applyFill="1" applyBorder="1" applyAlignment="1">
      <alignment horizontal="center"/>
    </xf>
    <xf numFmtId="0" fontId="61" fillId="50" borderId="91" xfId="0" applyFont="1" applyFill="1" applyBorder="1" applyAlignment="1">
      <alignment horizontal="center"/>
    </xf>
    <xf numFmtId="0" fontId="61" fillId="30" borderId="108" xfId="0" applyFont="1" applyFill="1" applyBorder="1" applyAlignment="1">
      <alignment horizontal="center" vertical="center"/>
    </xf>
    <xf numFmtId="0" fontId="60" fillId="59" borderId="159" xfId="0" applyFont="1" applyFill="1" applyBorder="1" applyAlignment="1">
      <alignment horizontal="center" vertical="center" wrapText="1"/>
    </xf>
    <xf numFmtId="0" fontId="58" fillId="18" borderId="98" xfId="0" applyFont="1" applyFill="1" applyBorder="1" applyAlignment="1">
      <alignment horizontal="center"/>
    </xf>
    <xf numFmtId="0" fontId="58" fillId="18" borderId="186" xfId="0" applyFont="1" applyFill="1" applyBorder="1" applyAlignment="1">
      <alignment horizontal="center"/>
    </xf>
    <xf numFmtId="10" fontId="56" fillId="15" borderId="72" xfId="1" applyNumberFormat="1" applyFont="1" applyFill="1" applyBorder="1" applyAlignment="1">
      <alignment horizontal="center"/>
    </xf>
    <xf numFmtId="10" fontId="56" fillId="15" borderId="95" xfId="1" applyNumberFormat="1" applyFont="1" applyFill="1" applyBorder="1" applyAlignment="1">
      <alignment horizontal="center"/>
    </xf>
    <xf numFmtId="10" fontId="56" fillId="15" borderId="146" xfId="1" applyNumberFormat="1" applyFont="1" applyFill="1" applyBorder="1" applyAlignment="1">
      <alignment horizontal="center"/>
    </xf>
    <xf numFmtId="10" fontId="56" fillId="15" borderId="112" xfId="1" applyNumberFormat="1" applyFont="1" applyFill="1" applyBorder="1" applyAlignment="1">
      <alignment horizontal="center"/>
    </xf>
    <xf numFmtId="0" fontId="58" fillId="18" borderId="187" xfId="0" applyFont="1" applyFill="1" applyBorder="1" applyAlignment="1">
      <alignment horizontal="center"/>
    </xf>
    <xf numFmtId="0" fontId="58" fillId="18" borderId="6" xfId="0" applyFont="1" applyFill="1" applyBorder="1" applyAlignment="1">
      <alignment horizontal="center"/>
    </xf>
    <xf numFmtId="10" fontId="56" fillId="15" borderId="150" xfId="1" applyNumberFormat="1" applyFont="1" applyFill="1" applyBorder="1" applyAlignment="1">
      <alignment horizontal="center"/>
    </xf>
    <xf numFmtId="10" fontId="56" fillId="15" borderId="19" xfId="1" applyNumberFormat="1" applyFont="1" applyFill="1" applyBorder="1" applyAlignment="1">
      <alignment horizontal="center"/>
    </xf>
    <xf numFmtId="10" fontId="56" fillId="15" borderId="138" xfId="1" applyNumberFormat="1" applyFont="1" applyFill="1" applyBorder="1" applyAlignment="1">
      <alignment horizontal="center"/>
    </xf>
    <xf numFmtId="10" fontId="56" fillId="15" borderId="54" xfId="1" applyNumberFormat="1" applyFont="1" applyFill="1" applyBorder="1" applyAlignment="1">
      <alignment horizontal="center"/>
    </xf>
    <xf numFmtId="0" fontId="58" fillId="18" borderId="188" xfId="0" applyFont="1" applyFill="1" applyBorder="1" applyAlignment="1">
      <alignment horizontal="center"/>
    </xf>
    <xf numFmtId="0" fontId="58" fillId="18" borderId="79" xfId="0" applyFont="1" applyFill="1" applyBorder="1" applyAlignment="1">
      <alignment horizontal="center"/>
    </xf>
    <xf numFmtId="10" fontId="56" fillId="15" borderId="189" xfId="1" applyNumberFormat="1" applyFont="1" applyFill="1" applyBorder="1" applyAlignment="1">
      <alignment horizontal="center"/>
    </xf>
    <xf numFmtId="10" fontId="56" fillId="15" borderId="132" xfId="1" applyNumberFormat="1" applyFont="1" applyFill="1" applyBorder="1" applyAlignment="1">
      <alignment horizontal="center"/>
    </xf>
    <xf numFmtId="10" fontId="56" fillId="15" borderId="59" xfId="1" applyNumberFormat="1" applyFont="1" applyFill="1" applyBorder="1" applyAlignment="1">
      <alignment horizontal="center"/>
    </xf>
    <xf numFmtId="10" fontId="56" fillId="15" borderId="51" xfId="1" applyNumberFormat="1" applyFont="1" applyFill="1" applyBorder="1" applyAlignment="1">
      <alignment horizontal="center"/>
    </xf>
    <xf numFmtId="0" fontId="61" fillId="18" borderId="108" xfId="0" applyFont="1" applyFill="1" applyBorder="1" applyAlignment="1">
      <alignment horizontal="center"/>
    </xf>
    <xf numFmtId="10" fontId="57" fillId="15" borderId="189" xfId="1" applyNumberFormat="1" applyFont="1" applyFill="1" applyBorder="1" applyAlignment="1">
      <alignment horizontal="center"/>
    </xf>
    <xf numFmtId="10" fontId="57" fillId="15" borderId="132" xfId="1" applyNumberFormat="1" applyFont="1" applyFill="1" applyBorder="1" applyAlignment="1">
      <alignment horizontal="center"/>
    </xf>
    <xf numFmtId="10" fontId="57" fillId="15" borderId="59" xfId="1" applyNumberFormat="1" applyFont="1" applyFill="1" applyBorder="1" applyAlignment="1">
      <alignment horizontal="center"/>
    </xf>
    <xf numFmtId="10" fontId="57" fillId="15" borderId="51" xfId="1" applyNumberFormat="1" applyFont="1" applyFill="1" applyBorder="1" applyAlignment="1">
      <alignment horizontal="center"/>
    </xf>
    <xf numFmtId="0" fontId="61" fillId="0" borderId="0" xfId="0" applyFont="1"/>
    <xf numFmtId="0" fontId="7" fillId="4" borderId="225" xfId="0" applyFont="1" applyFill="1" applyBorder="1" applyAlignment="1">
      <alignment horizontal="center"/>
    </xf>
    <xf numFmtId="0" fontId="6" fillId="15" borderId="47" xfId="0" applyFont="1" applyFill="1" applyBorder="1" applyAlignment="1">
      <alignment horizontal="center"/>
    </xf>
    <xf numFmtId="0" fontId="65" fillId="30" borderId="110" xfId="0" applyFont="1" applyFill="1" applyBorder="1" applyAlignment="1">
      <alignment horizontal="center" vertical="center"/>
    </xf>
    <xf numFmtId="0" fontId="70" fillId="34" borderId="8" xfId="0" applyFont="1" applyFill="1" applyBorder="1" applyAlignment="1">
      <alignment horizontal="center"/>
    </xf>
    <xf numFmtId="0" fontId="70" fillId="34" borderId="6" xfId="0" applyFont="1" applyFill="1" applyBorder="1" applyAlignment="1">
      <alignment horizontal="center"/>
    </xf>
    <xf numFmtId="3" fontId="70" fillId="13" borderId="193" xfId="0" applyNumberFormat="1" applyFont="1" applyFill="1" applyBorder="1" applyAlignment="1">
      <alignment horizontal="center" vertical="center" wrapText="1"/>
    </xf>
    <xf numFmtId="3" fontId="71" fillId="11" borderId="46" xfId="0" applyNumberFormat="1" applyFont="1" applyFill="1" applyBorder="1" applyAlignment="1">
      <alignment horizontal="center"/>
    </xf>
    <xf numFmtId="166" fontId="71" fillId="11" borderId="47" xfId="1" applyNumberFormat="1" applyFont="1" applyFill="1" applyBorder="1" applyAlignment="1">
      <alignment horizontal="center"/>
    </xf>
    <xf numFmtId="3" fontId="70" fillId="13" borderId="37" xfId="0" applyNumberFormat="1" applyFont="1" applyFill="1" applyBorder="1" applyAlignment="1">
      <alignment horizontal="center" vertical="center" wrapText="1"/>
    </xf>
    <xf numFmtId="3" fontId="71" fillId="11" borderId="48" xfId="0" applyNumberFormat="1" applyFont="1" applyFill="1" applyBorder="1" applyAlignment="1">
      <alignment horizontal="center"/>
    </xf>
    <xf numFmtId="166" fontId="71" fillId="11" borderId="49" xfId="1" applyNumberFormat="1" applyFont="1" applyFill="1" applyBorder="1" applyAlignment="1">
      <alignment horizontal="center"/>
    </xf>
    <xf numFmtId="0" fontId="70" fillId="34" borderId="5" xfId="0" applyFont="1" applyFill="1" applyBorder="1" applyAlignment="1">
      <alignment horizontal="center"/>
    </xf>
    <xf numFmtId="3" fontId="70" fillId="13" borderId="42" xfId="0" applyNumberFormat="1" applyFont="1" applyFill="1" applyBorder="1" applyAlignment="1">
      <alignment horizontal="center" vertical="center" wrapText="1"/>
    </xf>
    <xf numFmtId="3" fontId="71" fillId="11" borderId="50" xfId="0" applyNumberFormat="1" applyFont="1" applyFill="1" applyBorder="1" applyAlignment="1">
      <alignment horizontal="center"/>
    </xf>
    <xf numFmtId="166" fontId="71" fillId="11" borderId="51" xfId="1" applyNumberFormat="1" applyFont="1" applyFill="1" applyBorder="1" applyAlignment="1">
      <alignment horizontal="center"/>
    </xf>
    <xf numFmtId="0" fontId="72" fillId="30" borderId="108" xfId="0" applyFont="1" applyFill="1" applyBorder="1" applyAlignment="1">
      <alignment horizontal="center" vertical="center"/>
    </xf>
    <xf numFmtId="0" fontId="70" fillId="18" borderId="198" xfId="0" applyFont="1" applyFill="1" applyBorder="1" applyAlignment="1">
      <alignment horizontal="center"/>
    </xf>
    <xf numFmtId="0" fontId="70" fillId="18" borderId="56" xfId="0" applyFont="1" applyFill="1" applyBorder="1" applyAlignment="1">
      <alignment horizontal="center"/>
    </xf>
    <xf numFmtId="3" fontId="70" fillId="18" borderId="47" xfId="0" applyNumberFormat="1" applyFont="1" applyFill="1" applyBorder="1" applyAlignment="1">
      <alignment horizontal="center"/>
    </xf>
    <xf numFmtId="0" fontId="71" fillId="15" borderId="72" xfId="0" applyFont="1" applyFill="1" applyBorder="1" applyAlignment="1">
      <alignment horizontal="center"/>
    </xf>
    <xf numFmtId="0" fontId="71" fillId="15" borderId="95" xfId="0" applyFont="1" applyFill="1" applyBorder="1" applyAlignment="1">
      <alignment horizontal="center"/>
    </xf>
    <xf numFmtId="0" fontId="71" fillId="15" borderId="146" xfId="0" applyFont="1" applyFill="1" applyBorder="1" applyAlignment="1">
      <alignment horizontal="center"/>
    </xf>
    <xf numFmtId="0" fontId="71" fillId="15" borderId="112" xfId="0" applyFont="1" applyFill="1" applyBorder="1" applyAlignment="1">
      <alignment horizontal="center"/>
    </xf>
    <xf numFmtId="3" fontId="73" fillId="12" borderId="211" xfId="0" applyNumberFormat="1" applyFont="1" applyFill="1" applyBorder="1" applyAlignment="1">
      <alignment horizontal="center"/>
    </xf>
    <xf numFmtId="3" fontId="73" fillId="12" borderId="206" xfId="0" applyNumberFormat="1" applyFont="1" applyFill="1" applyBorder="1" applyAlignment="1">
      <alignment horizontal="center"/>
    </xf>
    <xf numFmtId="0" fontId="73" fillId="12" borderId="208" xfId="0" applyFont="1" applyFill="1" applyBorder="1" applyAlignment="1">
      <alignment horizontal="center"/>
    </xf>
    <xf numFmtId="0" fontId="70" fillId="18" borderId="68" xfId="0" applyFont="1" applyFill="1" applyBorder="1" applyAlignment="1">
      <alignment horizontal="center"/>
    </xf>
    <xf numFmtId="0" fontId="70" fillId="18" borderId="34" xfId="0" applyFont="1" applyFill="1" applyBorder="1" applyAlignment="1">
      <alignment horizontal="center"/>
    </xf>
    <xf numFmtId="0" fontId="70" fillId="18" borderId="49" xfId="0" applyFont="1" applyFill="1" applyBorder="1" applyAlignment="1">
      <alignment horizontal="center"/>
    </xf>
    <xf numFmtId="0" fontId="71" fillId="15" borderId="150" xfId="0" applyFont="1" applyFill="1" applyBorder="1" applyAlignment="1">
      <alignment horizontal="center"/>
    </xf>
    <xf numFmtId="0" fontId="71" fillId="15" borderId="19" xfId="0" applyFont="1" applyFill="1" applyBorder="1" applyAlignment="1">
      <alignment horizontal="center"/>
    </xf>
    <xf numFmtId="0" fontId="71" fillId="15" borderId="138" xfId="0" applyFont="1" applyFill="1" applyBorder="1" applyAlignment="1">
      <alignment horizontal="center"/>
    </xf>
    <xf numFmtId="0" fontId="71" fillId="15" borderId="54" xfId="0" applyFont="1" applyFill="1" applyBorder="1" applyAlignment="1">
      <alignment horizontal="center"/>
    </xf>
    <xf numFmtId="0" fontId="74" fillId="12" borderId="212" xfId="0" applyFont="1" applyFill="1" applyBorder="1" applyAlignment="1">
      <alignment horizontal="center"/>
    </xf>
    <xf numFmtId="0" fontId="74" fillId="12" borderId="207" xfId="0" applyFont="1" applyFill="1" applyBorder="1" applyAlignment="1">
      <alignment horizontal="center"/>
    </xf>
    <xf numFmtId="0" fontId="74" fillId="12" borderId="209" xfId="0" applyFont="1" applyFill="1" applyBorder="1" applyAlignment="1">
      <alignment horizontal="center"/>
    </xf>
    <xf numFmtId="0" fontId="70" fillId="18" borderId="67" xfId="0" applyFont="1" applyFill="1" applyBorder="1" applyAlignment="1">
      <alignment horizontal="center"/>
    </xf>
    <xf numFmtId="0" fontId="70" fillId="18" borderId="57" xfId="0" applyFont="1" applyFill="1" applyBorder="1" applyAlignment="1">
      <alignment horizontal="center"/>
    </xf>
    <xf numFmtId="0" fontId="70" fillId="18" borderId="51" xfId="0" applyFont="1" applyFill="1" applyBorder="1" applyAlignment="1">
      <alignment horizontal="center"/>
    </xf>
    <xf numFmtId="0" fontId="74" fillId="12" borderId="213" xfId="0" applyFont="1" applyFill="1" applyBorder="1" applyAlignment="1">
      <alignment horizontal="center"/>
    </xf>
    <xf numFmtId="0" fontId="74" fillId="12" borderId="214" xfId="0" applyFont="1" applyFill="1" applyBorder="1" applyAlignment="1">
      <alignment horizontal="center"/>
    </xf>
    <xf numFmtId="0" fontId="74" fillId="12" borderId="216" xfId="0" applyFont="1" applyFill="1" applyBorder="1" applyAlignment="1">
      <alignment horizontal="center"/>
    </xf>
    <xf numFmtId="0" fontId="66" fillId="18" borderId="217" xfId="0" applyFont="1" applyFill="1" applyBorder="1" applyAlignment="1">
      <alignment horizontal="center" vertical="center"/>
    </xf>
    <xf numFmtId="0" fontId="76" fillId="15" borderId="218" xfId="0" applyFont="1" applyFill="1" applyBorder="1" applyAlignment="1">
      <alignment horizontal="center" vertical="center"/>
    </xf>
    <xf numFmtId="0" fontId="76" fillId="15" borderId="219" xfId="0" applyFont="1" applyFill="1" applyBorder="1" applyAlignment="1">
      <alignment horizontal="center" vertical="center"/>
    </xf>
    <xf numFmtId="0" fontId="76" fillId="15" borderId="220" xfId="0" applyFont="1" applyFill="1" applyBorder="1" applyAlignment="1">
      <alignment horizontal="center" vertical="center"/>
    </xf>
    <xf numFmtId="0" fontId="76" fillId="15" borderId="221" xfId="0" applyFont="1" applyFill="1" applyBorder="1" applyAlignment="1">
      <alignment horizontal="center" vertical="center"/>
    </xf>
    <xf numFmtId="0" fontId="77" fillId="12" borderId="210" xfId="0" applyFont="1" applyFill="1" applyBorder="1" applyAlignment="1">
      <alignment horizontal="center" vertical="center"/>
    </xf>
    <xf numFmtId="0" fontId="77" fillId="12" borderId="205" xfId="0" applyFont="1" applyFill="1" applyBorder="1" applyAlignment="1">
      <alignment horizontal="center" vertical="center"/>
    </xf>
    <xf numFmtId="0" fontId="77" fillId="12" borderId="204" xfId="0" applyFont="1" applyFill="1" applyBorder="1" applyAlignment="1">
      <alignment horizontal="center" vertical="center"/>
    </xf>
    <xf numFmtId="0" fontId="70" fillId="50" borderId="43" xfId="0" applyFont="1" applyFill="1" applyBorder="1" applyAlignment="1">
      <alignment horizontal="center"/>
    </xf>
    <xf numFmtId="0" fontId="70" fillId="50" borderId="140" xfId="0" applyFont="1" applyFill="1" applyBorder="1" applyAlignment="1">
      <alignment horizontal="center"/>
    </xf>
    <xf numFmtId="0" fontId="70" fillId="50" borderId="90" xfId="0" applyFont="1" applyFill="1" applyBorder="1" applyAlignment="1">
      <alignment horizontal="center"/>
    </xf>
    <xf numFmtId="0" fontId="70" fillId="50" borderId="91" xfId="0" applyFont="1" applyFill="1" applyBorder="1" applyAlignment="1">
      <alignment horizontal="center"/>
    </xf>
    <xf numFmtId="0" fontId="78" fillId="50" borderId="204" xfId="0" applyFont="1" applyFill="1" applyBorder="1" applyAlignment="1">
      <alignment horizontal="center" vertical="center" wrapText="1"/>
    </xf>
    <xf numFmtId="3" fontId="66" fillId="69" borderId="43" xfId="0" applyNumberFormat="1" applyFont="1" applyFill="1" applyBorder="1" applyAlignment="1">
      <alignment horizontal="center" vertical="center"/>
    </xf>
    <xf numFmtId="3" fontId="66" fillId="68" borderId="102" xfId="0" applyNumberFormat="1" applyFont="1" applyFill="1" applyBorder="1" applyAlignment="1">
      <alignment horizontal="center" vertical="center"/>
    </xf>
    <xf numFmtId="10" fontId="66" fillId="67" borderId="35" xfId="1" applyNumberFormat="1" applyFont="1" applyFill="1" applyBorder="1" applyAlignment="1">
      <alignment horizontal="center" vertical="center"/>
    </xf>
    <xf numFmtId="0" fontId="51" fillId="16" borderId="95" xfId="0" applyFont="1" applyFill="1" applyBorder="1" applyAlignment="1">
      <alignment horizontal="center" vertical="center" wrapText="1"/>
    </xf>
    <xf numFmtId="0" fontId="51" fillId="70" borderId="137" xfId="0" applyFont="1" applyFill="1" applyBorder="1" applyAlignment="1">
      <alignment horizontal="center" vertical="center" wrapText="1"/>
    </xf>
    <xf numFmtId="0" fontId="67" fillId="61" borderId="72" xfId="0" applyFont="1" applyFill="1" applyBorder="1" applyAlignment="1">
      <alignment horizontal="center" vertical="center" wrapText="1"/>
    </xf>
    <xf numFmtId="0" fontId="67" fillId="70" borderId="95" xfId="0" applyFont="1" applyFill="1" applyBorder="1" applyAlignment="1">
      <alignment horizontal="center" vertical="center" wrapText="1"/>
    </xf>
    <xf numFmtId="0" fontId="67" fillId="57" borderId="95" xfId="0" applyFont="1" applyFill="1" applyBorder="1" applyAlignment="1">
      <alignment horizontal="center" vertical="center" wrapText="1"/>
    </xf>
    <xf numFmtId="0" fontId="67" fillId="63" borderId="95" xfId="0" applyFont="1" applyFill="1" applyBorder="1" applyAlignment="1">
      <alignment horizontal="center" vertical="center" wrapText="1"/>
    </xf>
    <xf numFmtId="0" fontId="67" fillId="62" borderId="146" xfId="0" applyFont="1" applyFill="1" applyBorder="1" applyAlignment="1">
      <alignment horizontal="center" vertical="center" wrapText="1"/>
    </xf>
    <xf numFmtId="0" fontId="67" fillId="58" borderId="112" xfId="0" applyFont="1" applyFill="1" applyBorder="1" applyAlignment="1">
      <alignment horizontal="center" vertical="center" wrapText="1"/>
    </xf>
    <xf numFmtId="0" fontId="78" fillId="64" borderId="210" xfId="0" applyFont="1" applyFill="1" applyBorder="1" applyAlignment="1">
      <alignment horizontal="center" vertical="center"/>
    </xf>
    <xf numFmtId="0" fontId="78" fillId="64" borderId="215" xfId="0" applyFont="1" applyFill="1" applyBorder="1" applyAlignment="1">
      <alignment horizontal="center" vertical="center"/>
    </xf>
    <xf numFmtId="0" fontId="67" fillId="66" borderId="95" xfId="0" applyFont="1" applyFill="1" applyBorder="1" applyAlignment="1">
      <alignment horizontal="center" vertical="center" wrapText="1"/>
    </xf>
    <xf numFmtId="0" fontId="52" fillId="53" borderId="35" xfId="0" applyFont="1" applyFill="1" applyBorder="1" applyAlignment="1" applyProtection="1">
      <alignment horizontal="center" vertical="center"/>
      <protection locked="0"/>
    </xf>
    <xf numFmtId="0" fontId="52" fillId="71" borderId="96" xfId="0" applyFont="1" applyFill="1" applyBorder="1" applyAlignment="1" applyProtection="1">
      <alignment horizontal="center" vertical="center"/>
      <protection locked="0"/>
    </xf>
    <xf numFmtId="0" fontId="52" fillId="71" borderId="54" xfId="0" applyFont="1" applyFill="1" applyBorder="1" applyAlignment="1" applyProtection="1">
      <alignment horizontal="center" vertical="center"/>
      <protection locked="0"/>
    </xf>
    <xf numFmtId="0" fontId="52" fillId="71" borderId="81" xfId="0" applyFont="1" applyFill="1" applyBorder="1" applyAlignment="1" applyProtection="1">
      <alignment horizontal="center" vertical="center"/>
      <protection locked="0"/>
    </xf>
    <xf numFmtId="0" fontId="52" fillId="71" borderId="57" xfId="0" applyFont="1" applyFill="1" applyBorder="1" applyAlignment="1" applyProtection="1">
      <alignment horizontal="center" vertical="center"/>
      <protection locked="0"/>
    </xf>
    <xf numFmtId="0" fontId="52" fillId="71" borderId="51" xfId="0" applyFont="1" applyFill="1" applyBorder="1" applyAlignment="1" applyProtection="1">
      <alignment horizontal="center" vertical="center"/>
      <protection locked="0"/>
    </xf>
    <xf numFmtId="0" fontId="52" fillId="71" borderId="50" xfId="0" applyFont="1" applyFill="1" applyBorder="1" applyAlignment="1" applyProtection="1">
      <alignment horizontal="center" vertical="center"/>
      <protection locked="0"/>
    </xf>
    <xf numFmtId="0" fontId="52" fillId="71" borderId="138" xfId="0" applyFont="1" applyFill="1" applyBorder="1" applyAlignment="1" applyProtection="1">
      <alignment horizontal="center" vertical="center"/>
      <protection locked="0"/>
    </xf>
    <xf numFmtId="0" fontId="52" fillId="71" borderId="59" xfId="0" applyFont="1" applyFill="1" applyBorder="1" applyAlignment="1" applyProtection="1">
      <alignment horizontal="center" vertical="center"/>
      <protection locked="0"/>
    </xf>
    <xf numFmtId="0" fontId="80" fillId="16" borderId="46" xfId="0" applyFont="1" applyFill="1" applyBorder="1" applyAlignment="1" applyProtection="1">
      <alignment horizontal="center" vertical="center"/>
      <protection locked="0"/>
    </xf>
    <xf numFmtId="0" fontId="52" fillId="54" borderId="232" xfId="0" applyFont="1" applyFill="1" applyBorder="1" applyAlignment="1" applyProtection="1">
      <alignment horizontal="center" vertical="center"/>
      <protection locked="0"/>
    </xf>
    <xf numFmtId="0" fontId="52" fillId="71" borderId="233" xfId="0" applyFont="1" applyFill="1" applyBorder="1" applyAlignment="1" applyProtection="1">
      <alignment horizontal="center" vertical="center"/>
      <protection locked="0"/>
    </xf>
    <xf numFmtId="0" fontId="52" fillId="71" borderId="111" xfId="0" applyFont="1" applyFill="1" applyBorder="1" applyAlignment="1" applyProtection="1">
      <alignment horizontal="center" vertical="center"/>
      <protection locked="0"/>
    </xf>
    <xf numFmtId="0" fontId="52" fillId="71" borderId="146" xfId="0" applyFont="1" applyFill="1" applyBorder="1" applyAlignment="1" applyProtection="1">
      <alignment horizontal="center" vertical="center"/>
      <protection locked="0"/>
    </xf>
    <xf numFmtId="0" fontId="52" fillId="71" borderId="122" xfId="0" applyFont="1" applyFill="1" applyBorder="1" applyAlignment="1" applyProtection="1">
      <alignment horizontal="center" vertical="center"/>
      <protection locked="0"/>
    </xf>
    <xf numFmtId="0" fontId="52" fillId="71" borderId="112" xfId="0" applyFont="1" applyFill="1" applyBorder="1" applyAlignment="1" applyProtection="1">
      <alignment horizontal="center" vertical="center"/>
      <protection locked="0"/>
    </xf>
    <xf numFmtId="0" fontId="80" fillId="16" borderId="56" xfId="0" applyFont="1" applyFill="1" applyBorder="1" applyAlignment="1" applyProtection="1">
      <alignment horizontal="center" vertical="center"/>
      <protection locked="0"/>
    </xf>
    <xf numFmtId="0" fontId="80" fillId="16" borderId="47" xfId="0" applyFont="1" applyFill="1" applyBorder="1" applyAlignment="1" applyProtection="1">
      <alignment horizontal="center" vertical="center"/>
      <protection locked="0"/>
    </xf>
    <xf numFmtId="0" fontId="80" fillId="16" borderId="65" xfId="0" applyFont="1" applyFill="1" applyBorder="1" applyAlignment="1" applyProtection="1">
      <alignment horizontal="center" vertical="center"/>
      <protection locked="0"/>
    </xf>
    <xf numFmtId="0" fontId="80" fillId="16" borderId="106" xfId="0" applyFont="1" applyFill="1" applyBorder="1" applyAlignment="1" applyProtection="1">
      <alignment horizontal="center" vertical="center"/>
      <protection locked="0"/>
    </xf>
    <xf numFmtId="0" fontId="80" fillId="16" borderId="92" xfId="0" applyFont="1" applyFill="1" applyBorder="1" applyAlignment="1" applyProtection="1">
      <alignment horizontal="center" vertical="center"/>
      <protection locked="0"/>
    </xf>
    <xf numFmtId="0" fontId="80" fillId="16" borderId="58" xfId="0" applyFont="1" applyFill="1" applyBorder="1" applyAlignment="1" applyProtection="1">
      <alignment horizontal="center" vertical="center"/>
      <protection locked="0"/>
    </xf>
    <xf numFmtId="0" fontId="80" fillId="16" borderId="66" xfId="0" applyFont="1" applyFill="1" applyBorder="1" applyAlignment="1" applyProtection="1">
      <alignment horizontal="center" vertical="center"/>
      <protection locked="0"/>
    </xf>
    <xf numFmtId="0" fontId="7" fillId="72" borderId="35" xfId="0" applyFont="1" applyFill="1" applyBorder="1" applyAlignment="1">
      <alignment horizontal="center" vertical="center"/>
    </xf>
    <xf numFmtId="0" fontId="5" fillId="73" borderId="35" xfId="0" applyFont="1" applyFill="1" applyBorder="1" applyAlignment="1">
      <alignment horizontal="center" vertical="center"/>
    </xf>
    <xf numFmtId="0" fontId="38" fillId="13" borderId="35" xfId="0" applyFont="1" applyFill="1" applyBorder="1" applyAlignment="1">
      <alignment horizontal="center" vertical="center"/>
    </xf>
    <xf numFmtId="0" fontId="79" fillId="11" borderId="35" xfId="0" applyFont="1" applyFill="1" applyBorder="1" applyAlignment="1">
      <alignment horizontal="center" vertical="center"/>
    </xf>
    <xf numFmtId="0" fontId="82" fillId="2" borderId="231" xfId="0" applyFont="1" applyFill="1" applyBorder="1" applyAlignment="1">
      <alignment horizontal="center" vertical="center" wrapText="1"/>
    </xf>
    <xf numFmtId="0" fontId="12" fillId="2" borderId="179" xfId="0" applyFont="1" applyFill="1" applyBorder="1" applyAlignment="1">
      <alignment horizontal="center" vertical="center"/>
    </xf>
    <xf numFmtId="0" fontId="30" fillId="61" borderId="137" xfId="0" applyFont="1" applyFill="1" applyBorder="1" applyAlignment="1">
      <alignment horizontal="center" vertical="center" wrapText="1"/>
    </xf>
    <xf numFmtId="0" fontId="30" fillId="70" borderId="137" xfId="0" applyFont="1" applyFill="1" applyBorder="1" applyAlignment="1">
      <alignment horizontal="center" vertical="center" wrapText="1"/>
    </xf>
    <xf numFmtId="0" fontId="30" fillId="57" borderId="137" xfId="0" applyFont="1" applyFill="1" applyBorder="1" applyAlignment="1">
      <alignment horizontal="center" vertical="center" wrapText="1"/>
    </xf>
    <xf numFmtId="0" fontId="30" fillId="66" borderId="137" xfId="0" applyFont="1" applyFill="1" applyBorder="1" applyAlignment="1">
      <alignment horizontal="center" vertical="center" wrapText="1"/>
    </xf>
    <xf numFmtId="0" fontId="30" fillId="63" borderId="137" xfId="0" applyFont="1" applyFill="1" applyBorder="1" applyAlignment="1">
      <alignment horizontal="center" vertical="center" wrapText="1"/>
    </xf>
    <xf numFmtId="0" fontId="30" fillId="62" borderId="137" xfId="0" applyFont="1" applyFill="1" applyBorder="1" applyAlignment="1">
      <alignment horizontal="center" vertical="center" wrapText="1"/>
    </xf>
    <xf numFmtId="0" fontId="30" fillId="58" borderId="137" xfId="0" applyFont="1" applyFill="1" applyBorder="1" applyAlignment="1">
      <alignment horizontal="center" vertical="center" wrapText="1"/>
    </xf>
    <xf numFmtId="0" fontId="84" fillId="65" borderId="69" xfId="0" applyFont="1" applyFill="1" applyBorder="1" applyAlignment="1">
      <alignment horizontal="center" vertical="center" wrapText="1"/>
    </xf>
    <xf numFmtId="0" fontId="84" fillId="65" borderId="108" xfId="0" applyFont="1" applyFill="1" applyBorder="1" applyAlignment="1">
      <alignment horizontal="center" vertical="center" wrapText="1"/>
    </xf>
    <xf numFmtId="0" fontId="5" fillId="73" borderId="63" xfId="0" applyFont="1" applyFill="1" applyBorder="1" applyAlignment="1">
      <alignment horizontal="center" vertical="center"/>
    </xf>
    <xf numFmtId="0" fontId="80" fillId="16" borderId="69" xfId="0" applyFont="1" applyFill="1" applyBorder="1" applyAlignment="1" applyProtection="1">
      <alignment horizontal="center" vertical="center"/>
      <protection locked="0"/>
    </xf>
    <xf numFmtId="0" fontId="80" fillId="16" borderId="107" xfId="0" applyFont="1" applyFill="1" applyBorder="1" applyAlignment="1" applyProtection="1">
      <alignment horizontal="center" vertical="center"/>
      <protection locked="0"/>
    </xf>
    <xf numFmtId="0" fontId="80" fillId="16" borderId="217" xfId="0" applyFont="1" applyFill="1" applyBorder="1" applyAlignment="1" applyProtection="1">
      <alignment horizontal="center" vertical="center"/>
      <protection locked="0"/>
    </xf>
    <xf numFmtId="0" fontId="80" fillId="16" borderId="108" xfId="0" applyFont="1" applyFill="1" applyBorder="1" applyAlignment="1" applyProtection="1">
      <alignment horizontal="center" vertical="center"/>
      <protection locked="0"/>
    </xf>
    <xf numFmtId="2" fontId="0" fillId="0" borderId="0" xfId="2" applyNumberFormat="1" applyFont="1"/>
    <xf numFmtId="0" fontId="24" fillId="13" borderId="46" xfId="0" applyFont="1" applyFill="1" applyBorder="1"/>
    <xf numFmtId="0" fontId="0" fillId="11" borderId="47" xfId="0" applyFill="1" applyBorder="1" applyAlignment="1">
      <alignment horizontal="center"/>
    </xf>
    <xf numFmtId="0" fontId="24" fillId="13" borderId="50" xfId="0" applyFont="1" applyFill="1" applyBorder="1"/>
    <xf numFmtId="0" fontId="0" fillId="11" borderId="51" xfId="0" applyFill="1" applyBorder="1" applyAlignment="1">
      <alignment horizontal="center"/>
    </xf>
    <xf numFmtId="0" fontId="1" fillId="30" borderId="83" xfId="3" applyFont="1" applyFill="1" applyBorder="1" applyAlignment="1">
      <alignment horizontal="center" vertical="center"/>
    </xf>
    <xf numFmtId="0" fontId="34" fillId="13" borderId="115" xfId="3" applyFont="1" applyFill="1" applyBorder="1" applyAlignment="1">
      <alignment horizontal="center"/>
    </xf>
    <xf numFmtId="0" fontId="34" fillId="13" borderId="69" xfId="3" applyFont="1" applyFill="1" applyBorder="1" applyAlignment="1">
      <alignment horizontal="center"/>
    </xf>
    <xf numFmtId="0" fontId="34" fillId="13" borderId="107" xfId="3" applyFont="1" applyFill="1" applyBorder="1" applyAlignment="1">
      <alignment horizontal="center"/>
    </xf>
    <xf numFmtId="0" fontId="34" fillId="13" borderId="108" xfId="3" applyFont="1" applyFill="1" applyBorder="1" applyAlignment="1">
      <alignment horizontal="center"/>
    </xf>
    <xf numFmtId="0" fontId="34" fillId="13" borderId="118" xfId="3" applyFont="1" applyFill="1" applyBorder="1" applyAlignment="1">
      <alignment horizontal="center"/>
    </xf>
    <xf numFmtId="0" fontId="34" fillId="13" borderId="114" xfId="3" applyFont="1" applyFill="1" applyBorder="1" applyAlignment="1">
      <alignment horizontal="center"/>
    </xf>
    <xf numFmtId="0" fontId="24" fillId="0" borderId="0" xfId="3"/>
    <xf numFmtId="0" fontId="3" fillId="18" borderId="8" xfId="3" applyFont="1" applyFill="1" applyBorder="1" applyAlignment="1">
      <alignment horizontal="center"/>
    </xf>
    <xf numFmtId="0" fontId="3" fillId="18" borderId="6" xfId="3" applyFont="1" applyFill="1" applyBorder="1" applyAlignment="1">
      <alignment horizontal="center"/>
    </xf>
    <xf numFmtId="3" fontId="3" fillId="11" borderId="36" xfId="3" applyNumberFormat="1" applyFont="1" applyFill="1" applyBorder="1" applyAlignment="1">
      <alignment horizontal="center" vertical="center" wrapText="1"/>
    </xf>
    <xf numFmtId="10" fontId="3" fillId="10" borderId="39" xfId="3" applyNumberFormat="1" applyFont="1" applyFill="1" applyBorder="1" applyAlignment="1">
      <alignment horizontal="center" vertical="center"/>
    </xf>
    <xf numFmtId="3" fontId="3" fillId="12" borderId="84" xfId="3" applyNumberFormat="1" applyFont="1" applyFill="1" applyBorder="1" applyAlignment="1">
      <alignment horizontal="center"/>
    </xf>
    <xf numFmtId="3" fontId="3" fillId="11" borderId="17" xfId="3" applyNumberFormat="1" applyFont="1" applyFill="1" applyBorder="1" applyAlignment="1">
      <alignment horizontal="center" vertical="center"/>
    </xf>
    <xf numFmtId="10" fontId="3" fillId="10" borderId="11" xfId="3" applyNumberFormat="1" applyFont="1" applyFill="1" applyBorder="1" applyAlignment="1">
      <alignment horizontal="center" vertical="center"/>
    </xf>
    <xf numFmtId="3" fontId="3" fillId="11" borderId="16" xfId="3" applyNumberFormat="1" applyFont="1" applyFill="1" applyBorder="1" applyAlignment="1">
      <alignment horizontal="center" vertical="center"/>
    </xf>
    <xf numFmtId="10" fontId="3" fillId="10" borderId="15" xfId="3" applyNumberFormat="1" applyFont="1" applyFill="1" applyBorder="1" applyAlignment="1">
      <alignment horizontal="center" vertical="center"/>
    </xf>
    <xf numFmtId="0" fontId="3" fillId="11" borderId="46" xfId="3" applyFont="1" applyFill="1" applyBorder="1" applyAlignment="1">
      <alignment horizontal="center" vertical="center"/>
    </xf>
    <xf numFmtId="10" fontId="3" fillId="10" borderId="84" xfId="3" applyNumberFormat="1" applyFont="1" applyFill="1" applyBorder="1" applyAlignment="1">
      <alignment horizontal="center" vertical="center"/>
    </xf>
    <xf numFmtId="0" fontId="3" fillId="11" borderId="17" xfId="3" applyFont="1" applyFill="1" applyBorder="1" applyAlignment="1">
      <alignment horizontal="center" vertical="center"/>
    </xf>
    <xf numFmtId="0" fontId="3" fillId="11" borderId="101" xfId="3" applyFont="1" applyFill="1" applyBorder="1" applyAlignment="1">
      <alignment horizontal="center" vertical="center"/>
    </xf>
    <xf numFmtId="10" fontId="3" fillId="10" borderId="6" xfId="3" applyNumberFormat="1" applyFont="1" applyFill="1" applyBorder="1" applyAlignment="1">
      <alignment horizontal="center" vertical="center"/>
    </xf>
    <xf numFmtId="0" fontId="3" fillId="11" borderId="98" xfId="3" applyFont="1" applyFill="1" applyBorder="1" applyAlignment="1">
      <alignment horizontal="center" vertical="center"/>
    </xf>
    <xf numFmtId="10" fontId="3" fillId="10" borderId="103" xfId="3" applyNumberFormat="1" applyFont="1" applyFill="1" applyBorder="1" applyAlignment="1">
      <alignment horizontal="center" vertical="center"/>
    </xf>
    <xf numFmtId="0" fontId="20" fillId="27" borderId="25" xfId="3" applyFont="1" applyFill="1" applyBorder="1" applyAlignment="1">
      <alignment horizontal="center" vertical="center"/>
    </xf>
    <xf numFmtId="10" fontId="20" fillId="28" borderId="26" xfId="3" applyNumberFormat="1" applyFont="1" applyFill="1" applyBorder="1" applyAlignment="1">
      <alignment horizontal="center" vertical="center"/>
    </xf>
    <xf numFmtId="0" fontId="20" fillId="27" borderId="27" xfId="3" applyFont="1" applyFill="1" applyBorder="1" applyAlignment="1">
      <alignment horizontal="center" vertical="center"/>
    </xf>
    <xf numFmtId="10" fontId="20" fillId="5" borderId="26" xfId="3" applyNumberFormat="1" applyFont="1" applyFill="1" applyBorder="1" applyAlignment="1">
      <alignment horizontal="center" vertical="center"/>
    </xf>
    <xf numFmtId="0" fontId="34" fillId="34" borderId="116" xfId="3" applyFont="1" applyFill="1" applyBorder="1" applyAlignment="1">
      <alignment horizontal="center"/>
    </xf>
    <xf numFmtId="3" fontId="3" fillId="11" borderId="37" xfId="3" applyNumberFormat="1" applyFont="1" applyFill="1" applyBorder="1" applyAlignment="1">
      <alignment horizontal="center" vertical="center" wrapText="1"/>
    </xf>
    <xf numFmtId="10" fontId="3" fillId="10" borderId="18" xfId="3" applyNumberFormat="1" applyFont="1" applyFill="1" applyBorder="1" applyAlignment="1">
      <alignment horizontal="center" vertical="center"/>
    </xf>
    <xf numFmtId="3" fontId="3" fillId="12" borderId="73" xfId="3" applyNumberFormat="1" applyFont="1" applyFill="1" applyBorder="1" applyAlignment="1">
      <alignment horizontal="center"/>
    </xf>
    <xf numFmtId="10" fontId="3" fillId="10" borderId="14" xfId="3" applyNumberFormat="1" applyFont="1" applyFill="1" applyBorder="1" applyAlignment="1">
      <alignment horizontal="center" vertical="center"/>
    </xf>
    <xf numFmtId="10" fontId="3" fillId="10" borderId="9" xfId="3" applyNumberFormat="1" applyFont="1" applyFill="1" applyBorder="1" applyAlignment="1">
      <alignment horizontal="center" vertical="center"/>
    </xf>
    <xf numFmtId="0" fontId="3" fillId="11" borderId="48" xfId="3" applyFont="1" applyFill="1" applyBorder="1" applyAlignment="1">
      <alignment horizontal="center" vertical="center"/>
    </xf>
    <xf numFmtId="10" fontId="3" fillId="10" borderId="85" xfId="3" applyNumberFormat="1" applyFont="1" applyFill="1" applyBorder="1" applyAlignment="1">
      <alignment horizontal="center" vertical="center"/>
    </xf>
    <xf numFmtId="0" fontId="3" fillId="11" borderId="99" xfId="3" applyFont="1" applyFill="1" applyBorder="1" applyAlignment="1">
      <alignment horizontal="center" vertical="center"/>
    </xf>
    <xf numFmtId="10" fontId="3" fillId="10" borderId="104" xfId="3" applyNumberFormat="1" applyFont="1" applyFill="1" applyBorder="1" applyAlignment="1">
      <alignment horizontal="center" vertical="center"/>
    </xf>
    <xf numFmtId="10" fontId="20" fillId="28" borderId="28" xfId="3" applyNumberFormat="1" applyFont="1" applyFill="1" applyBorder="1" applyAlignment="1">
      <alignment horizontal="center" vertical="center"/>
    </xf>
    <xf numFmtId="10" fontId="20" fillId="5" borderId="28" xfId="3" applyNumberFormat="1" applyFont="1" applyFill="1" applyBorder="1" applyAlignment="1">
      <alignment horizontal="center" vertical="center"/>
    </xf>
    <xf numFmtId="0" fontId="3" fillId="18" borderId="5" xfId="3" applyFont="1" applyFill="1" applyBorder="1" applyAlignment="1">
      <alignment horizontal="center"/>
    </xf>
    <xf numFmtId="3" fontId="3" fillId="11" borderId="42" xfId="3" applyNumberFormat="1" applyFont="1" applyFill="1" applyBorder="1" applyAlignment="1">
      <alignment horizontal="center" vertical="center" wrapText="1"/>
    </xf>
    <xf numFmtId="10" fontId="3" fillId="10" borderId="40" xfId="3" applyNumberFormat="1" applyFont="1" applyFill="1" applyBorder="1" applyAlignment="1">
      <alignment horizontal="center" vertical="center"/>
    </xf>
    <xf numFmtId="3" fontId="3" fillId="12" borderId="75" xfId="3" applyNumberFormat="1" applyFont="1" applyFill="1" applyBorder="1" applyAlignment="1">
      <alignment horizontal="center"/>
    </xf>
    <xf numFmtId="10" fontId="3" fillId="10" borderId="29" xfId="3" applyNumberFormat="1" applyFont="1" applyFill="1" applyBorder="1" applyAlignment="1">
      <alignment horizontal="center" vertical="center"/>
    </xf>
    <xf numFmtId="10" fontId="3" fillId="10" borderId="19" xfId="3" applyNumberFormat="1" applyFont="1" applyFill="1" applyBorder="1" applyAlignment="1">
      <alignment horizontal="center" vertical="center"/>
    </xf>
    <xf numFmtId="0" fontId="3" fillId="11" borderId="74" xfId="3" applyFont="1" applyFill="1" applyBorder="1" applyAlignment="1">
      <alignment horizontal="center" vertical="center"/>
    </xf>
    <xf numFmtId="10" fontId="3" fillId="10" borderId="86" xfId="3" applyNumberFormat="1" applyFont="1" applyFill="1" applyBorder="1" applyAlignment="1">
      <alignment horizontal="center" vertical="center"/>
    </xf>
    <xf numFmtId="0" fontId="3" fillId="11" borderId="81" xfId="3" applyFont="1" applyFill="1" applyBorder="1" applyAlignment="1">
      <alignment horizontal="center" vertical="center"/>
    </xf>
    <xf numFmtId="10" fontId="3" fillId="10" borderId="87" xfId="3" applyNumberFormat="1" applyFont="1" applyFill="1" applyBorder="1" applyAlignment="1">
      <alignment horizontal="center" vertical="center"/>
    </xf>
    <xf numFmtId="0" fontId="3" fillId="11" borderId="100" xfId="3" applyFont="1" applyFill="1" applyBorder="1" applyAlignment="1">
      <alignment horizontal="center" vertical="center"/>
    </xf>
    <xf numFmtId="10" fontId="20" fillId="28" borderId="30" xfId="3" applyNumberFormat="1" applyFont="1" applyFill="1" applyBorder="1" applyAlignment="1">
      <alignment horizontal="center" vertical="center"/>
    </xf>
    <xf numFmtId="10" fontId="20" fillId="5" borderId="30" xfId="3" applyNumberFormat="1" applyFont="1" applyFill="1" applyBorder="1" applyAlignment="1">
      <alignment horizontal="center" vertical="center"/>
    </xf>
    <xf numFmtId="0" fontId="34" fillId="34" borderId="117" xfId="3" applyFont="1" applyFill="1" applyBorder="1" applyAlignment="1">
      <alignment horizontal="center"/>
    </xf>
    <xf numFmtId="3" fontId="9" fillId="3" borderId="43" xfId="3" applyNumberFormat="1" applyFont="1" applyFill="1" applyBorder="1" applyAlignment="1">
      <alignment horizontal="right"/>
    </xf>
    <xf numFmtId="10" fontId="9" fillId="9" borderId="44" xfId="3" applyNumberFormat="1" applyFont="1" applyFill="1" applyBorder="1" applyAlignment="1">
      <alignment horizontal="right"/>
    </xf>
    <xf numFmtId="3" fontId="9" fillId="56" borderId="4" xfId="3" applyNumberFormat="1" applyFont="1" applyFill="1" applyBorder="1" applyAlignment="1">
      <alignment horizontal="right"/>
    </xf>
    <xf numFmtId="3" fontId="14" fillId="29" borderId="43" xfId="3" applyNumberFormat="1" applyFont="1" applyFill="1" applyBorder="1" applyAlignment="1">
      <alignment horizontal="right"/>
    </xf>
    <xf numFmtId="10" fontId="3" fillId="29" borderId="44" xfId="3" applyNumberFormat="1" applyFont="1" applyFill="1" applyBorder="1" applyAlignment="1">
      <alignment horizontal="center" vertical="center"/>
    </xf>
    <xf numFmtId="3" fontId="14" fillId="29" borderId="88" xfId="3" applyNumberFormat="1" applyFont="1" applyFill="1" applyBorder="1" applyAlignment="1">
      <alignment horizontal="right"/>
    </xf>
    <xf numFmtId="10" fontId="3" fillId="29" borderId="89" xfId="3" applyNumberFormat="1" applyFont="1" applyFill="1" applyBorder="1" applyAlignment="1">
      <alignment horizontal="center" vertical="center"/>
    </xf>
    <xf numFmtId="0" fontId="14" fillId="29" borderId="88" xfId="3" applyFont="1" applyFill="1" applyBorder="1" applyAlignment="1">
      <alignment horizontal="right"/>
    </xf>
    <xf numFmtId="10" fontId="3" fillId="29" borderId="90" xfId="3" applyNumberFormat="1" applyFont="1" applyFill="1" applyBorder="1" applyAlignment="1">
      <alignment horizontal="center" vertical="center"/>
    </xf>
    <xf numFmtId="0" fontId="14" fillId="29" borderId="43" xfId="3" applyFont="1" applyFill="1" applyBorder="1" applyAlignment="1">
      <alignment horizontal="right"/>
    </xf>
    <xf numFmtId="10" fontId="3" fillId="29" borderId="91" xfId="3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right"/>
    </xf>
    <xf numFmtId="10" fontId="20" fillId="5" borderId="32" xfId="3" applyNumberFormat="1" applyFont="1" applyFill="1" applyBorder="1" applyAlignment="1">
      <alignment horizontal="center" vertical="center"/>
    </xf>
    <xf numFmtId="0" fontId="21" fillId="5" borderId="33" xfId="3" applyFont="1" applyFill="1" applyBorder="1" applyAlignment="1">
      <alignment horizontal="right"/>
    </xf>
    <xf numFmtId="0" fontId="35" fillId="13" borderId="121" xfId="3" applyFont="1" applyFill="1" applyBorder="1" applyAlignment="1">
      <alignment horizontal="right"/>
    </xf>
    <xf numFmtId="0" fontId="6" fillId="50" borderId="98" xfId="3" applyFont="1" applyFill="1" applyBorder="1" applyAlignment="1">
      <alignment vertical="center"/>
    </xf>
    <xf numFmtId="164" fontId="13" fillId="23" borderId="103" xfId="3" applyNumberFormat="1" applyFont="1" applyFill="1" applyBorder="1" applyAlignment="1">
      <alignment horizontal="center" vertical="center"/>
    </xf>
    <xf numFmtId="0" fontId="6" fillId="0" borderId="0" xfId="3" applyFont="1"/>
    <xf numFmtId="0" fontId="20" fillId="0" borderId="0" xfId="3" applyFont="1"/>
    <xf numFmtId="0" fontId="6" fillId="50" borderId="99" xfId="3" applyFont="1" applyFill="1" applyBorder="1" applyAlignment="1">
      <alignment vertical="center"/>
    </xf>
    <xf numFmtId="0" fontId="13" fillId="23" borderId="104" xfId="3" applyFont="1" applyFill="1" applyBorder="1" applyAlignment="1">
      <alignment horizontal="center" vertical="center"/>
    </xf>
    <xf numFmtId="0" fontId="6" fillId="50" borderId="196" xfId="3" applyFont="1" applyFill="1" applyBorder="1" applyAlignment="1">
      <alignment vertical="center"/>
    </xf>
    <xf numFmtId="0" fontId="13" fillId="23" borderId="197" xfId="3" applyFont="1" applyFill="1" applyBorder="1" applyAlignment="1">
      <alignment horizontal="center" vertical="center"/>
    </xf>
    <xf numFmtId="0" fontId="36" fillId="0" borderId="0" xfId="3" applyFont="1" applyAlignment="1">
      <alignment vertical="center"/>
    </xf>
    <xf numFmtId="9" fontId="6" fillId="0" borderId="0" xfId="3" applyNumberFormat="1" applyFont="1"/>
    <xf numFmtId="0" fontId="23" fillId="0" borderId="0" xfId="3" applyFont="1"/>
    <xf numFmtId="0" fontId="6" fillId="5" borderId="0" xfId="3" applyFont="1" applyFill="1"/>
    <xf numFmtId="0" fontId="16" fillId="5" borderId="0" xfId="3" applyFont="1" applyFill="1"/>
    <xf numFmtId="0" fontId="6" fillId="0" borderId="0" xfId="3" applyFont="1" applyProtection="1">
      <protection hidden="1"/>
    </xf>
    <xf numFmtId="0" fontId="6" fillId="0" borderId="136" xfId="3" applyFont="1" applyBorder="1" applyProtection="1">
      <protection hidden="1"/>
    </xf>
    <xf numFmtId="0" fontId="6" fillId="6" borderId="35" xfId="3" applyFont="1" applyFill="1" applyBorder="1" applyProtection="1">
      <protection hidden="1"/>
    </xf>
    <xf numFmtId="0" fontId="37" fillId="35" borderId="129" xfId="3" applyFont="1" applyFill="1" applyBorder="1" applyProtection="1">
      <protection hidden="1"/>
    </xf>
    <xf numFmtId="0" fontId="37" fillId="36" borderId="130" xfId="3" applyFont="1" applyFill="1" applyBorder="1" applyProtection="1">
      <protection hidden="1"/>
    </xf>
    <xf numFmtId="0" fontId="37" fillId="37" borderId="130" xfId="3" applyFont="1" applyFill="1" applyBorder="1" applyProtection="1">
      <protection hidden="1"/>
    </xf>
    <xf numFmtId="0" fontId="37" fillId="38" borderId="130" xfId="3" applyFont="1" applyFill="1" applyBorder="1" applyProtection="1">
      <protection hidden="1"/>
    </xf>
    <xf numFmtId="0" fontId="37" fillId="39" borderId="130" xfId="3" applyFont="1" applyFill="1" applyBorder="1" applyProtection="1">
      <protection hidden="1"/>
    </xf>
    <xf numFmtId="0" fontId="37" fillId="40" borderId="130" xfId="3" applyFont="1" applyFill="1" applyBorder="1" applyProtection="1">
      <protection hidden="1"/>
    </xf>
    <xf numFmtId="0" fontId="37" fillId="35" borderId="130" xfId="3" applyFont="1" applyFill="1" applyBorder="1" applyProtection="1">
      <protection hidden="1"/>
    </xf>
    <xf numFmtId="0" fontId="39" fillId="41" borderId="90" xfId="3" applyFont="1" applyFill="1" applyBorder="1" applyProtection="1">
      <protection hidden="1"/>
    </xf>
    <xf numFmtId="0" fontId="6" fillId="6" borderId="131" xfId="3" applyFont="1" applyFill="1" applyBorder="1" applyProtection="1">
      <protection hidden="1"/>
    </xf>
    <xf numFmtId="0" fontId="37" fillId="42" borderId="144" xfId="3" applyFont="1" applyFill="1" applyBorder="1" applyProtection="1">
      <protection hidden="1"/>
    </xf>
    <xf numFmtId="0" fontId="37" fillId="43" borderId="130" xfId="3" applyFont="1" applyFill="1" applyBorder="1" applyProtection="1">
      <protection hidden="1"/>
    </xf>
    <xf numFmtId="0" fontId="37" fillId="44" borderId="130" xfId="3" applyFont="1" applyFill="1" applyBorder="1" applyProtection="1">
      <protection hidden="1"/>
    </xf>
    <xf numFmtId="0" fontId="37" fillId="45" borderId="130" xfId="3" applyFont="1" applyFill="1" applyBorder="1" applyProtection="1">
      <protection hidden="1"/>
    </xf>
    <xf numFmtId="0" fontId="37" fillId="46" borderId="130" xfId="3" applyFont="1" applyFill="1" applyBorder="1" applyProtection="1">
      <protection hidden="1"/>
    </xf>
    <xf numFmtId="0" fontId="37" fillId="47" borderId="130" xfId="3" applyFont="1" applyFill="1" applyBorder="1" applyProtection="1">
      <protection hidden="1"/>
    </xf>
    <xf numFmtId="0" fontId="37" fillId="42" borderId="130" xfId="3" applyFont="1" applyFill="1" applyBorder="1" applyProtection="1">
      <protection hidden="1"/>
    </xf>
    <xf numFmtId="0" fontId="39" fillId="48" borderId="91" xfId="3" applyFont="1" applyFill="1" applyBorder="1" applyProtection="1">
      <protection hidden="1"/>
    </xf>
    <xf numFmtId="0" fontId="6" fillId="6" borderId="128" xfId="3" applyFont="1" applyFill="1" applyBorder="1" applyProtection="1">
      <protection hidden="1"/>
    </xf>
    <xf numFmtId="0" fontId="6" fillId="6" borderId="7" xfId="3" applyFont="1" applyFill="1" applyBorder="1" applyProtection="1">
      <protection hidden="1"/>
    </xf>
    <xf numFmtId="0" fontId="6" fillId="6" borderId="125" xfId="3" applyFont="1" applyFill="1" applyBorder="1" applyProtection="1">
      <protection hidden="1"/>
    </xf>
    <xf numFmtId="0" fontId="6" fillId="6" borderId="15" xfId="3" applyFont="1" applyFill="1" applyBorder="1" applyProtection="1">
      <protection hidden="1"/>
    </xf>
    <xf numFmtId="0" fontId="6" fillId="6" borderId="133" xfId="3" applyFont="1" applyFill="1" applyBorder="1" applyProtection="1">
      <protection hidden="1"/>
    </xf>
    <xf numFmtId="0" fontId="6" fillId="6" borderId="142" xfId="3" applyFont="1" applyFill="1" applyBorder="1" applyProtection="1">
      <protection hidden="1"/>
    </xf>
    <xf numFmtId="0" fontId="6" fillId="6" borderId="227" xfId="3" applyFont="1" applyFill="1" applyBorder="1" applyProtection="1">
      <protection hidden="1"/>
    </xf>
    <xf numFmtId="0" fontId="6" fillId="6" borderId="62" xfId="3" applyFont="1" applyFill="1" applyBorder="1" applyProtection="1">
      <protection hidden="1"/>
    </xf>
    <xf numFmtId="10" fontId="6" fillId="6" borderId="17" xfId="3" applyNumberFormat="1" applyFont="1" applyFill="1" applyBorder="1" applyProtection="1">
      <protection hidden="1"/>
    </xf>
    <xf numFmtId="10" fontId="6" fillId="6" borderId="16" xfId="3" applyNumberFormat="1" applyFont="1" applyFill="1" applyBorder="1" applyProtection="1">
      <protection hidden="1"/>
    </xf>
    <xf numFmtId="10" fontId="6" fillId="6" borderId="9" xfId="3" applyNumberFormat="1" applyFont="1" applyFill="1" applyBorder="1" applyProtection="1">
      <protection hidden="1"/>
    </xf>
    <xf numFmtId="0" fontId="6" fillId="6" borderId="134" xfId="3" applyFont="1" applyFill="1" applyBorder="1" applyProtection="1">
      <protection hidden="1"/>
    </xf>
    <xf numFmtId="10" fontId="6" fillId="6" borderId="228" xfId="3" applyNumberFormat="1" applyFont="1" applyFill="1" applyBorder="1" applyProtection="1">
      <protection hidden="1"/>
    </xf>
    <xf numFmtId="10" fontId="6" fillId="6" borderId="104" xfId="3" applyNumberFormat="1" applyFont="1" applyFill="1" applyBorder="1" applyProtection="1">
      <protection hidden="1"/>
    </xf>
    <xf numFmtId="0" fontId="40" fillId="6" borderId="62" xfId="3" applyFont="1" applyFill="1" applyBorder="1" applyProtection="1">
      <protection hidden="1"/>
    </xf>
    <xf numFmtId="10" fontId="40" fillId="6" borderId="17" xfId="3" applyNumberFormat="1" applyFont="1" applyFill="1" applyBorder="1" applyProtection="1">
      <protection hidden="1"/>
    </xf>
    <xf numFmtId="10" fontId="40" fillId="6" borderId="16" xfId="3" applyNumberFormat="1" applyFont="1" applyFill="1" applyBorder="1" applyProtection="1">
      <protection hidden="1"/>
    </xf>
    <xf numFmtId="10" fontId="34" fillId="6" borderId="9" xfId="3" applyNumberFormat="1" applyFont="1" applyFill="1" applyBorder="1" applyProtection="1">
      <protection hidden="1"/>
    </xf>
    <xf numFmtId="0" fontId="40" fillId="6" borderId="134" xfId="3" applyFont="1" applyFill="1" applyBorder="1" applyProtection="1">
      <protection hidden="1"/>
    </xf>
    <xf numFmtId="10" fontId="40" fillId="6" borderId="228" xfId="3" applyNumberFormat="1" applyFont="1" applyFill="1" applyBorder="1" applyProtection="1">
      <protection hidden="1"/>
    </xf>
    <xf numFmtId="10" fontId="40" fillId="6" borderId="104" xfId="3" applyNumberFormat="1" applyFont="1" applyFill="1" applyBorder="1" applyProtection="1">
      <protection hidden="1"/>
    </xf>
    <xf numFmtId="0" fontId="40" fillId="6" borderId="127" xfId="3" applyFont="1" applyFill="1" applyBorder="1" applyProtection="1">
      <protection hidden="1"/>
    </xf>
    <xf numFmtId="10" fontId="40" fillId="6" borderId="97" xfId="3" applyNumberFormat="1" applyFont="1" applyFill="1" applyBorder="1" applyProtection="1">
      <protection hidden="1"/>
    </xf>
    <xf numFmtId="10" fontId="40" fillId="6" borderId="126" xfId="3" applyNumberFormat="1" applyFont="1" applyFill="1" applyBorder="1" applyProtection="1">
      <protection hidden="1"/>
    </xf>
    <xf numFmtId="10" fontId="34" fillId="6" borderId="230" xfId="3" applyNumberFormat="1" applyFont="1" applyFill="1" applyBorder="1" applyProtection="1">
      <protection hidden="1"/>
    </xf>
    <xf numFmtId="0" fontId="40" fillId="6" borderId="135" xfId="3" applyFont="1" applyFill="1" applyBorder="1" applyProtection="1">
      <protection hidden="1"/>
    </xf>
    <xf numFmtId="10" fontId="40" fillId="6" borderId="229" xfId="3" applyNumberFormat="1" applyFont="1" applyFill="1" applyBorder="1" applyProtection="1">
      <protection hidden="1"/>
    </xf>
    <xf numFmtId="0" fontId="6" fillId="6" borderId="102" xfId="3" applyFont="1" applyFill="1" applyBorder="1" applyProtection="1">
      <protection hidden="1"/>
    </xf>
    <xf numFmtId="0" fontId="37" fillId="35" borderId="234" xfId="3" applyFont="1" applyFill="1" applyBorder="1" applyProtection="1">
      <protection hidden="1"/>
    </xf>
    <xf numFmtId="0" fontId="37" fillId="36" borderId="235" xfId="3" applyFont="1" applyFill="1" applyBorder="1" applyProtection="1">
      <protection hidden="1"/>
    </xf>
    <xf numFmtId="0" fontId="37" fillId="37" borderId="235" xfId="3" applyFont="1" applyFill="1" applyBorder="1" applyProtection="1">
      <protection hidden="1"/>
    </xf>
    <xf numFmtId="0" fontId="37" fillId="38" borderId="235" xfId="3" applyFont="1" applyFill="1" applyBorder="1" applyProtection="1">
      <protection hidden="1"/>
    </xf>
    <xf numFmtId="0" fontId="37" fillId="39" borderId="235" xfId="3" applyFont="1" applyFill="1" applyBorder="1" applyProtection="1">
      <protection hidden="1"/>
    </xf>
    <xf numFmtId="0" fontId="37" fillId="40" borderId="235" xfId="3" applyFont="1" applyFill="1" applyBorder="1" applyProtection="1">
      <protection hidden="1"/>
    </xf>
    <xf numFmtId="0" fontId="37" fillId="35" borderId="235" xfId="3" applyFont="1" applyFill="1" applyBorder="1" applyProtection="1">
      <protection hidden="1"/>
    </xf>
    <xf numFmtId="0" fontId="39" fillId="41" borderId="236" xfId="3" applyFont="1" applyFill="1" applyBorder="1" applyProtection="1">
      <protection hidden="1"/>
    </xf>
    <xf numFmtId="165" fontId="24" fillId="13" borderId="70" xfId="3" applyNumberFormat="1" applyFill="1" applyBorder="1" applyAlignment="1">
      <alignment horizontal="center" vertical="center"/>
    </xf>
    <xf numFmtId="0" fontId="24" fillId="13" borderId="46" xfId="3" applyFill="1" applyBorder="1"/>
    <xf numFmtId="0" fontId="24" fillId="13" borderId="60" xfId="3" applyFill="1" applyBorder="1"/>
    <xf numFmtId="0" fontId="24" fillId="13" borderId="56" xfId="3" applyFill="1" applyBorder="1"/>
    <xf numFmtId="0" fontId="24" fillId="13" borderId="47" xfId="3" applyFill="1" applyBorder="1"/>
    <xf numFmtId="165" fontId="24" fillId="13" borderId="52" xfId="3" applyNumberFormat="1" applyFill="1" applyBorder="1" applyAlignment="1">
      <alignment horizontal="center" vertical="center"/>
    </xf>
    <xf numFmtId="0" fontId="24" fillId="13" borderId="48" xfId="3" applyFill="1" applyBorder="1"/>
    <xf numFmtId="0" fontId="24" fillId="13" borderId="64" xfId="3" applyFill="1" applyBorder="1"/>
    <xf numFmtId="0" fontId="24" fillId="13" borderId="34" xfId="3" applyFill="1" applyBorder="1"/>
    <xf numFmtId="0" fontId="24" fillId="13" borderId="49" xfId="3" applyFill="1" applyBorder="1"/>
    <xf numFmtId="165" fontId="24" fillId="13" borderId="53" xfId="3" applyNumberFormat="1" applyFill="1" applyBorder="1" applyAlignment="1">
      <alignment horizontal="center" vertical="center"/>
    </xf>
    <xf numFmtId="0" fontId="24" fillId="13" borderId="50" xfId="3" applyFill="1" applyBorder="1"/>
    <xf numFmtId="0" fontId="24" fillId="13" borderId="61" xfId="3" applyFill="1" applyBorder="1"/>
    <xf numFmtId="0" fontId="24" fillId="13" borderId="57" xfId="3" applyFill="1" applyBorder="1"/>
    <xf numFmtId="0" fontId="24" fillId="13" borderId="51" xfId="3" applyFill="1" applyBorder="1"/>
    <xf numFmtId="165" fontId="86" fillId="13" borderId="237" xfId="3" applyNumberFormat="1" applyFont="1" applyFill="1" applyBorder="1" applyAlignment="1">
      <alignment horizontal="center" vertical="center"/>
    </xf>
    <xf numFmtId="0" fontId="86" fillId="13" borderId="238" xfId="3" applyFont="1" applyFill="1" applyBorder="1"/>
    <xf numFmtId="0" fontId="86" fillId="13" borderId="106" xfId="3" applyFont="1" applyFill="1" applyBorder="1"/>
    <xf numFmtId="0" fontId="86" fillId="13" borderId="239" xfId="3" applyFont="1" applyFill="1" applyBorder="1"/>
    <xf numFmtId="165" fontId="86" fillId="13" borderId="240" xfId="3" applyNumberFormat="1" applyFont="1" applyFill="1" applyBorder="1" applyAlignment="1">
      <alignment horizontal="center" vertical="center"/>
    </xf>
    <xf numFmtId="0" fontId="86" fillId="13" borderId="241" xfId="3" applyFont="1" applyFill="1" applyBorder="1"/>
    <xf numFmtId="0" fontId="86" fillId="13" borderId="242" xfId="3" applyFont="1" applyFill="1" applyBorder="1"/>
    <xf numFmtId="0" fontId="86" fillId="13" borderId="243" xfId="3" applyFont="1" applyFill="1" applyBorder="1"/>
    <xf numFmtId="0" fontId="8" fillId="50" borderId="68" xfId="0" applyFont="1" applyFill="1" applyBorder="1" applyAlignment="1">
      <alignment horizontal="center"/>
    </xf>
    <xf numFmtId="0" fontId="2" fillId="13" borderId="73" xfId="0" applyFont="1" applyFill="1" applyBorder="1"/>
    <xf numFmtId="10" fontId="8" fillId="50" borderId="67" xfId="0" applyNumberFormat="1" applyFont="1" applyFill="1" applyBorder="1" applyAlignment="1">
      <alignment horizontal="center"/>
    </xf>
    <xf numFmtId="0" fontId="2" fillId="13" borderId="75" xfId="0" applyFont="1" applyFill="1" applyBorder="1"/>
    <xf numFmtId="0" fontId="13" fillId="33" borderId="102" xfId="3" applyFont="1" applyFill="1" applyBorder="1" applyAlignment="1" applyProtection="1">
      <alignment horizontal="center"/>
      <protection hidden="1"/>
    </xf>
    <xf numFmtId="0" fontId="13" fillId="33" borderId="110" xfId="3" applyFont="1" applyFill="1" applyBorder="1" applyAlignment="1" applyProtection="1">
      <alignment horizontal="center"/>
      <protection hidden="1"/>
    </xf>
    <xf numFmtId="0" fontId="13" fillId="33" borderId="115" xfId="3" applyFont="1" applyFill="1" applyBorder="1" applyAlignment="1" applyProtection="1">
      <alignment horizontal="center"/>
      <protection hidden="1"/>
    </xf>
    <xf numFmtId="0" fontId="13" fillId="33" borderId="45" xfId="3" applyFont="1" applyFill="1" applyBorder="1" applyAlignment="1" applyProtection="1">
      <alignment horizontal="center"/>
      <protection hidden="1"/>
    </xf>
    <xf numFmtId="0" fontId="13" fillId="33" borderId="69" xfId="3" applyFont="1" applyFill="1" applyBorder="1" applyAlignment="1" applyProtection="1">
      <alignment horizontal="center"/>
      <protection hidden="1"/>
    </xf>
    <xf numFmtId="0" fontId="13" fillId="33" borderId="107" xfId="3" applyFont="1" applyFill="1" applyBorder="1" applyAlignment="1" applyProtection="1">
      <alignment horizontal="center"/>
      <protection hidden="1"/>
    </xf>
    <xf numFmtId="0" fontId="13" fillId="33" borderId="108" xfId="3" applyFont="1" applyFill="1" applyBorder="1" applyAlignment="1" applyProtection="1">
      <alignment horizontal="center"/>
      <protection hidden="1"/>
    </xf>
    <xf numFmtId="0" fontId="18" fillId="29" borderId="22" xfId="3" applyFont="1" applyFill="1" applyBorder="1" applyAlignment="1">
      <alignment horizontal="center" vertical="center"/>
    </xf>
    <xf numFmtId="0" fontId="2" fillId="13" borderId="23" xfId="3" applyFont="1" applyFill="1" applyBorder="1"/>
    <xf numFmtId="0" fontId="18" fillId="29" borderId="24" xfId="3" applyFont="1" applyFill="1" applyBorder="1" applyAlignment="1">
      <alignment horizontal="center" vertical="center"/>
    </xf>
    <xf numFmtId="0" fontId="2" fillId="13" borderId="109" xfId="3" applyFont="1" applyFill="1" applyBorder="1"/>
    <xf numFmtId="0" fontId="1" fillId="2" borderId="20" xfId="3" applyFont="1" applyFill="1" applyBorder="1" applyAlignment="1">
      <alignment horizontal="center"/>
    </xf>
    <xf numFmtId="0" fontId="2" fillId="0" borderId="41" xfId="3" applyFont="1" applyBorder="1"/>
    <xf numFmtId="0" fontId="30" fillId="33" borderId="102" xfId="3" applyFont="1" applyFill="1" applyBorder="1" applyAlignment="1">
      <alignment horizontal="center"/>
    </xf>
    <xf numFmtId="0" fontId="30" fillId="33" borderId="110" xfId="3" applyFont="1" applyFill="1" applyBorder="1" applyAlignment="1">
      <alignment horizontal="center"/>
    </xf>
    <xf numFmtId="0" fontId="30" fillId="33" borderId="45" xfId="3" applyFont="1" applyFill="1" applyBorder="1" applyAlignment="1">
      <alignment horizontal="center"/>
    </xf>
    <xf numFmtId="0" fontId="38" fillId="0" borderId="0" xfId="3" applyFont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1" fillId="30" borderId="20" xfId="3" applyFont="1" applyFill="1" applyBorder="1" applyAlignment="1">
      <alignment horizontal="center" vertical="center"/>
    </xf>
    <xf numFmtId="0" fontId="2" fillId="13" borderId="21" xfId="3" applyFont="1" applyFill="1" applyBorder="1"/>
    <xf numFmtId="0" fontId="1" fillId="30" borderId="1" xfId="3" applyFont="1" applyFill="1" applyBorder="1" applyAlignment="1">
      <alignment horizontal="center" vertical="center"/>
    </xf>
    <xf numFmtId="0" fontId="2" fillId="13" borderId="2" xfId="3" applyFont="1" applyFill="1" applyBorder="1"/>
    <xf numFmtId="0" fontId="1" fillId="30" borderId="102" xfId="3" applyFont="1" applyFill="1" applyBorder="1" applyAlignment="1">
      <alignment horizontal="center" vertical="center"/>
    </xf>
    <xf numFmtId="0" fontId="2" fillId="13" borderId="45" xfId="3" applyFont="1" applyFill="1" applyBorder="1"/>
    <xf numFmtId="0" fontId="1" fillId="30" borderId="2" xfId="3" applyFont="1" applyFill="1" applyBorder="1" applyAlignment="1">
      <alignment horizontal="center" vertical="center"/>
    </xf>
    <xf numFmtId="0" fontId="2" fillId="13" borderId="3" xfId="3" applyFont="1" applyFill="1" applyBorder="1"/>
    <xf numFmtId="0" fontId="70" fillId="0" borderId="0" xfId="0" applyFont="1" applyAlignment="1">
      <alignment horizontal="center"/>
    </xf>
    <xf numFmtId="167" fontId="75" fillId="0" borderId="0" xfId="0" applyNumberFormat="1" applyFont="1" applyAlignment="1">
      <alignment horizontal="center" vertical="center"/>
    </xf>
    <xf numFmtId="0" fontId="65" fillId="30" borderId="102" xfId="0" applyFont="1" applyFill="1" applyBorder="1" applyAlignment="1">
      <alignment horizontal="center" vertical="center"/>
    </xf>
    <xf numFmtId="0" fontId="68" fillId="13" borderId="194" xfId="0" applyFont="1" applyFill="1" applyBorder="1"/>
    <xf numFmtId="0" fontId="69" fillId="50" borderId="102" xfId="0" applyFont="1" applyFill="1" applyBorder="1" applyAlignment="1">
      <alignment horizontal="center" vertical="center"/>
    </xf>
    <xf numFmtId="0" fontId="69" fillId="50" borderId="110" xfId="0" applyFont="1" applyFill="1" applyBorder="1" applyAlignment="1">
      <alignment horizontal="center" vertical="center"/>
    </xf>
    <xf numFmtId="0" fontId="69" fillId="50" borderId="45" xfId="0" applyFont="1" applyFill="1" applyBorder="1" applyAlignment="1">
      <alignment horizontal="center" vertical="center"/>
    </xf>
    <xf numFmtId="0" fontId="72" fillId="30" borderId="1" xfId="0" applyFont="1" applyFill="1" applyBorder="1" applyAlignment="1">
      <alignment horizontal="center" vertical="center"/>
    </xf>
    <xf numFmtId="0" fontId="72" fillId="30" borderId="2" xfId="0" applyFont="1" applyFill="1" applyBorder="1" applyAlignment="1">
      <alignment horizontal="center" vertical="center"/>
    </xf>
    <xf numFmtId="0" fontId="66" fillId="18" borderId="67" xfId="0" applyFont="1" applyFill="1" applyBorder="1" applyAlignment="1">
      <alignment horizontal="center" vertical="center"/>
    </xf>
    <xf numFmtId="0" fontId="66" fillId="18" borderId="79" xfId="0" applyFont="1" applyFill="1" applyBorder="1" applyAlignment="1">
      <alignment horizontal="center" vertical="center"/>
    </xf>
    <xf numFmtId="0" fontId="61" fillId="30" borderId="191" xfId="0" applyFont="1" applyFill="1" applyBorder="1" applyAlignment="1">
      <alignment horizontal="center" vertical="center"/>
    </xf>
    <xf numFmtId="0" fontId="61" fillId="30" borderId="199" xfId="0" applyFont="1" applyFill="1" applyBorder="1" applyAlignment="1">
      <alignment horizontal="center" vertical="center"/>
    </xf>
    <xf numFmtId="0" fontId="65" fillId="50" borderId="20" xfId="0" applyFont="1" applyFill="1" applyBorder="1" applyAlignment="1">
      <alignment horizontal="center" vertical="center"/>
    </xf>
    <xf numFmtId="0" fontId="65" fillId="50" borderId="226" xfId="0" applyFont="1" applyFill="1" applyBorder="1" applyAlignment="1">
      <alignment horizontal="center" vertical="center"/>
    </xf>
    <xf numFmtId="165" fontId="75" fillId="0" borderId="0" xfId="0" applyNumberFormat="1" applyFont="1" applyAlignment="1">
      <alignment horizontal="center" vertical="center"/>
    </xf>
    <xf numFmtId="0" fontId="61" fillId="18" borderId="102" xfId="0" applyFont="1" applyFill="1" applyBorder="1" applyAlignment="1">
      <alignment horizontal="center"/>
    </xf>
    <xf numFmtId="0" fontId="61" fillId="18" borderId="110" xfId="0" applyFont="1" applyFill="1" applyBorder="1" applyAlignment="1">
      <alignment horizontal="center"/>
    </xf>
    <xf numFmtId="166" fontId="63" fillId="0" borderId="218" xfId="1" applyNumberFormat="1" applyFont="1" applyBorder="1" applyAlignment="1">
      <alignment horizontal="center" vertical="center"/>
    </xf>
    <xf numFmtId="166" fontId="63" fillId="0" borderId="222" xfId="1" applyNumberFormat="1" applyFont="1" applyBorder="1" applyAlignment="1">
      <alignment horizontal="center" vertical="center"/>
    </xf>
    <xf numFmtId="166" fontId="63" fillId="0" borderId="223" xfId="1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224" xfId="0" applyFont="1" applyBorder="1" applyAlignment="1">
      <alignment horizontal="center" vertical="center"/>
    </xf>
    <xf numFmtId="0" fontId="44" fillId="11" borderId="102" xfId="0" applyFont="1" applyFill="1" applyBorder="1" applyAlignment="1">
      <alignment horizontal="center" vertical="center"/>
    </xf>
    <xf numFmtId="0" fontId="44" fillId="11" borderId="110" xfId="0" applyFont="1" applyFill="1" applyBorder="1" applyAlignment="1">
      <alignment horizontal="center" vertical="center"/>
    </xf>
    <xf numFmtId="0" fontId="44" fillId="11" borderId="45" xfId="0" applyFont="1" applyFill="1" applyBorder="1" applyAlignment="1">
      <alignment horizontal="center" vertical="center"/>
    </xf>
    <xf numFmtId="0" fontId="36" fillId="11" borderId="102" xfId="0" applyFont="1" applyFill="1" applyBorder="1" applyAlignment="1">
      <alignment horizontal="center" vertical="center"/>
    </xf>
    <xf numFmtId="0" fontId="36" fillId="11" borderId="110" xfId="0" applyFont="1" applyFill="1" applyBorder="1" applyAlignment="1">
      <alignment horizontal="center" vertical="center"/>
    </xf>
    <xf numFmtId="0" fontId="36" fillId="11" borderId="45" xfId="0" applyFont="1" applyFill="1" applyBorder="1" applyAlignment="1">
      <alignment horizontal="center" vertical="center"/>
    </xf>
    <xf numFmtId="0" fontId="33" fillId="16" borderId="76" xfId="0" applyFont="1" applyFill="1" applyBorder="1" applyAlignment="1">
      <alignment horizontal="center" vertical="center" wrapText="1"/>
    </xf>
    <xf numFmtId="0" fontId="33" fillId="16" borderId="0" xfId="0" applyFont="1" applyFill="1" applyAlignment="1">
      <alignment horizontal="center" vertical="center" wrapText="1"/>
    </xf>
    <xf numFmtId="0" fontId="33" fillId="14" borderId="0" xfId="0" applyFont="1" applyFill="1" applyAlignment="1">
      <alignment horizontal="center" vertical="center" wrapText="1"/>
    </xf>
    <xf numFmtId="0" fontId="48" fillId="55" borderId="0" xfId="0" applyFont="1" applyFill="1" applyAlignment="1">
      <alignment horizontal="center" vertical="center" wrapText="1"/>
    </xf>
    <xf numFmtId="0" fontId="52" fillId="53" borderId="72" xfId="0" applyFont="1" applyFill="1" applyBorder="1" applyAlignment="1" applyProtection="1">
      <alignment horizontal="center" vertical="center"/>
      <protection locked="0"/>
    </xf>
    <xf numFmtId="0" fontId="52" fillId="53" borderId="67" xfId="0" applyFont="1" applyFill="1" applyBorder="1" applyAlignment="1" applyProtection="1">
      <alignment horizontal="center" vertical="center"/>
      <protection locked="0"/>
    </xf>
    <xf numFmtId="0" fontId="83" fillId="11" borderId="102" xfId="0" applyFont="1" applyFill="1" applyBorder="1" applyAlignment="1">
      <alignment horizontal="center" vertical="center"/>
    </xf>
    <xf numFmtId="0" fontId="83" fillId="11" borderId="110" xfId="0" applyFont="1" applyFill="1" applyBorder="1" applyAlignment="1">
      <alignment horizontal="center" vertical="center"/>
    </xf>
    <xf numFmtId="0" fontId="83" fillId="11" borderId="45" xfId="0" applyFont="1" applyFill="1" applyBorder="1" applyAlignment="1">
      <alignment horizontal="center" vertical="center"/>
    </xf>
    <xf numFmtId="0" fontId="52" fillId="54" borderId="232" xfId="0" applyFont="1" applyFill="1" applyBorder="1" applyAlignment="1" applyProtection="1">
      <alignment horizontal="center" vertical="center"/>
      <protection locked="0"/>
    </xf>
  </cellXfs>
  <cellStyles count="4">
    <cellStyle name="Monétaire" xfId="2" builtinId="4"/>
    <cellStyle name="Normal" xfId="0" builtinId="0"/>
    <cellStyle name="Normal 2" xfId="3" xr:uid="{EF0D057B-295B-40FD-8C04-4AD765B5D9C6}"/>
    <cellStyle name="Pourcentage" xfId="1" builtinId="5"/>
  </cellStyles>
  <dxfs count="376"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ont>
        <color theme="1" tint="0.499984740745262"/>
      </font>
      <fill>
        <patternFill patternType="solid">
          <fgColor rgb="FFFFF2CC"/>
          <bgColor rgb="FFFFF2CC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ont>
        <color theme="1" tint="0.499984740745262"/>
      </font>
      <fill>
        <patternFill>
          <bgColor theme="8" tint="0.59996337778862885"/>
        </patternFill>
      </fill>
    </dxf>
    <dxf>
      <font>
        <color theme="1" tint="0.499984740745262"/>
      </font>
      <fill>
        <patternFill>
          <bgColor theme="7" tint="0.79998168889431442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 tint="0.499984740745262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rgb="FFDAF1F3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3999450666829432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>
          <bgColor rgb="FF66FF3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CCFFFF"/>
      <color rgb="FFFFCCFF"/>
      <color rgb="FFE1C1D1"/>
      <color rgb="FFFFFFFF"/>
      <color rgb="FFCCD6E6"/>
      <color rgb="FFC4D7EE"/>
      <color rgb="FFE6EAF0"/>
      <color rgb="FF66FF33"/>
      <color rgb="FFE6EEEE"/>
      <color rgb="FFDAF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lang="fr-FR" b="0">
                <a:solidFill>
                  <a:srgbClr val="000000"/>
                </a:solidFill>
                <a:latin typeface="+mn-lt"/>
              </a:rPr>
              <a:t>Votes exprimés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92D050"/>
            </a:solidFill>
            <a:ln cmpd="sng">
              <a:solidFill>
                <a:srgbClr val="92D05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D9E7FD"/>
              </a:solidFill>
              <a:ln cmpd="sng">
                <a:solidFill>
                  <a:srgbClr val="D9E7F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760-4393-B926-AF1160C079E1}"/>
              </c:ext>
            </c:extLst>
          </c:dPt>
          <c:dPt>
            <c:idx val="1"/>
            <c:invertIfNegative val="1"/>
            <c:bubble3D val="0"/>
            <c:spPr>
              <a:solidFill>
                <a:srgbClr val="DAF1F3"/>
              </a:solidFill>
              <a:ln cmpd="sng">
                <a:solidFill>
                  <a:srgbClr val="DAF1F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760-4393-B926-AF1160C079E1}"/>
              </c:ext>
            </c:extLst>
          </c:dPt>
          <c:dPt>
            <c:idx val="2"/>
            <c:invertIfNegative val="1"/>
            <c:bubble3D val="0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760-4393-B926-AF1160C079E1}"/>
              </c:ext>
            </c:extLst>
          </c:dPt>
          <c:dPt>
            <c:idx val="3"/>
            <c:invertIfNegative val="1"/>
            <c:bubble3D val="0"/>
            <c:spPr>
              <a:solidFill>
                <a:srgbClr val="FFE1CC"/>
              </a:solidFill>
              <a:ln cmpd="sng">
                <a:solidFill>
                  <a:srgbClr val="FFE1CC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760-4393-B926-AF1160C079E1}"/>
              </c:ext>
            </c:extLst>
          </c:dPt>
          <c:dPt>
            <c:idx val="4"/>
            <c:invertIfNegative val="1"/>
            <c:bubble3D val="0"/>
            <c:spPr>
              <a:solidFill>
                <a:srgbClr val="D1F1DA"/>
              </a:solidFill>
              <a:ln cmpd="sng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760-4393-B926-AF1160C079E1}"/>
              </c:ext>
            </c:extLst>
          </c:dPt>
          <c:dPt>
            <c:idx val="5"/>
            <c:invertIfNegative val="1"/>
            <c:bubble3D val="0"/>
            <c:spPr>
              <a:solidFill>
                <a:srgbClr val="FBDAD7"/>
              </a:solidFill>
              <a:ln cmpd="sng">
                <a:solidFill>
                  <a:srgbClr val="FBDAD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760-4393-B926-AF1160C079E1}"/>
              </c:ext>
            </c:extLst>
          </c:dPt>
          <c:dPt>
            <c:idx val="6"/>
            <c:invertIfNegative val="1"/>
            <c:bubble3D val="0"/>
            <c:spPr>
              <a:solidFill>
                <a:srgbClr val="FEF2CD"/>
              </a:solidFill>
              <a:ln cmpd="sng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9D69-473A-8EC0-98BCBEC8387C}"/>
              </c:ext>
            </c:extLst>
          </c:dPt>
          <c:dPt>
            <c:idx val="7"/>
            <c:invertIfNegative val="1"/>
            <c:bubble3D val="0"/>
            <c:spPr>
              <a:solidFill>
                <a:srgbClr val="F28E86"/>
              </a:solidFill>
              <a:ln cmpd="sng">
                <a:solidFill>
                  <a:srgbClr val="F28E8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D69-473A-8EC0-98BCBEC8387C}"/>
              </c:ext>
            </c:extLst>
          </c:dPt>
          <c:dPt>
            <c:idx val="8"/>
            <c:invertIfNegative val="1"/>
            <c:bubble3D val="0"/>
            <c:spPr>
              <a:solidFill>
                <a:srgbClr val="C22114"/>
              </a:solidFill>
              <a:ln cmpd="sng">
                <a:solidFill>
                  <a:srgbClr val="C2211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D69-473A-8EC0-98BCBEC8387C}"/>
              </c:ext>
            </c:extLst>
          </c:dPt>
          <c:dPt>
            <c:idx val="9"/>
            <c:invertIfNegative val="1"/>
            <c:bubble3D val="0"/>
            <c:spPr>
              <a:solidFill>
                <a:srgbClr val="81160E"/>
              </a:solidFill>
              <a:ln cmpd="sng">
                <a:solidFill>
                  <a:srgbClr val="81160E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D69-473A-8EC0-98BCBEC8387C}"/>
              </c:ext>
            </c:extLst>
          </c:dPt>
          <c:dPt>
            <c:idx val="10"/>
            <c:invertIfNegative val="1"/>
            <c:bubble3D val="0"/>
            <c:spPr>
              <a:solidFill>
                <a:srgbClr val="FEF2CD"/>
              </a:solidFill>
              <a:ln cmpd="sng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AC5C-4A2A-BFCA-CB41D856AAFC}"/>
              </c:ext>
            </c:extLst>
          </c:dPt>
          <c:dPt>
            <c:idx val="11"/>
            <c:invertIfNegative val="1"/>
            <c:bubble3D val="0"/>
            <c:spPr>
              <a:solidFill>
                <a:srgbClr val="FDE49B"/>
              </a:solidFill>
              <a:ln cmpd="sng">
                <a:solidFill>
                  <a:srgbClr val="FDE49B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C514-4C24-B867-D570729FAC98}"/>
              </c:ext>
            </c:extLst>
          </c:dPt>
          <c:dPt>
            <c:idx val="12"/>
            <c:invertIfNegative val="1"/>
            <c:bubble3D val="0"/>
            <c:spPr>
              <a:solidFill>
                <a:srgbClr val="FDD868"/>
              </a:solidFill>
              <a:ln cmpd="sng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C514-4C24-B867-D570729FAC98}"/>
              </c:ext>
            </c:extLst>
          </c:dPt>
          <c:dPt>
            <c:idx val="13"/>
            <c:invertIfNegative val="1"/>
            <c:bubble3D val="0"/>
            <c:spPr>
              <a:solidFill>
                <a:srgbClr val="BC8E03"/>
              </a:solidFill>
              <a:ln cmpd="sng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C514-4C24-B867-D570729FAC98}"/>
              </c:ext>
            </c:extLst>
          </c:dPt>
          <c:dPt>
            <c:idx val="14"/>
            <c:invertIfNegative val="1"/>
            <c:bubble3D val="0"/>
            <c:spPr>
              <a:solidFill>
                <a:srgbClr val="7D5F02"/>
              </a:solidFill>
              <a:ln cmpd="sng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C514-4C24-B867-D570729FAC98}"/>
              </c:ext>
            </c:extLst>
          </c:dPt>
          <c:dPt>
            <c:idx val="15"/>
            <c:invertIfNegative val="1"/>
            <c:bubble3D val="0"/>
            <c:spPr>
              <a:solidFill>
                <a:srgbClr val="D1F1DA"/>
              </a:solidFill>
              <a:ln cmpd="sng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C514-4C24-B867-D570729FAC98}"/>
              </c:ext>
            </c:extLst>
          </c:dPt>
          <c:dPt>
            <c:idx val="16"/>
            <c:invertIfNegative val="1"/>
            <c:bubble3D val="0"/>
            <c:spPr>
              <a:solidFill>
                <a:srgbClr val="A6E3B7"/>
              </a:solidFill>
              <a:ln cmpd="sng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C514-4C24-B867-D570729FAC98}"/>
              </c:ext>
            </c:extLst>
          </c:dPt>
          <c:dPt>
            <c:idx val="17"/>
            <c:invertIfNegative val="1"/>
            <c:bubble3D val="0"/>
            <c:spPr>
              <a:solidFill>
                <a:srgbClr val="7AD694"/>
              </a:solidFill>
              <a:ln cmpd="sng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C514-4C24-B867-D570729FAC98}"/>
              </c:ext>
            </c:extLst>
          </c:dPt>
          <c:dPt>
            <c:idx val="18"/>
            <c:invertIfNegative val="1"/>
            <c:bubble3D val="0"/>
            <c:spPr>
              <a:solidFill>
                <a:srgbClr val="277E40"/>
              </a:solidFill>
              <a:ln cmpd="sng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C514-4C24-B867-D570729FAC98}"/>
              </c:ext>
            </c:extLst>
          </c:dPt>
          <c:dPt>
            <c:idx val="19"/>
            <c:invertIfNegative val="1"/>
            <c:bubble3D val="0"/>
            <c:spPr>
              <a:solidFill>
                <a:srgbClr val="1A5529"/>
              </a:solidFill>
              <a:ln cmpd="sng">
                <a:solidFill>
                  <a:srgbClr val="1A5529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C514-4C24-B867-D570729FAC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Synthèse!$L$2:$R$2</c:f>
              <c:strCache>
                <c:ptCount val="7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</c:strCache>
            </c:strRef>
          </c:cat>
          <c:val>
            <c:numRef>
              <c:f>Synthèse!$L$16:$R$16</c:f>
              <c:numCache>
                <c:formatCode>0.00%</c:formatCode>
                <c:ptCount val="7"/>
                <c:pt idx="0">
                  <c:v>6.8605683836589701E-2</c:v>
                </c:pt>
                <c:pt idx="1">
                  <c:v>3.4635879218472471E-2</c:v>
                </c:pt>
                <c:pt idx="2">
                  <c:v>0.2919626998223801</c:v>
                </c:pt>
                <c:pt idx="3">
                  <c:v>0.18761101243339254</c:v>
                </c:pt>
                <c:pt idx="4">
                  <c:v>0.33880994671403197</c:v>
                </c:pt>
                <c:pt idx="5">
                  <c:v>4.6625222024866783E-2</c:v>
                </c:pt>
                <c:pt idx="6">
                  <c:v>3.1749555950266427E-2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92D05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Synthèse!#REF!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D760-4393-B926-AF1160C07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sz="1600" b="0" i="0" u="none" strike="noStrike" kern="1200" baseline="0">
                <a:solidFill>
                  <a:srgbClr val="757575"/>
                </a:solidFill>
              </a:rPr>
              <a:t>Taux de participation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6483239154321079E-2"/>
          <c:y val="6.5015479876160992E-2"/>
          <c:w val="0.83989080979742214"/>
          <c:h val="0.84373223470905145"/>
        </c:manualLayout>
      </c:layout>
      <c:lineChart>
        <c:grouping val="standard"/>
        <c:varyColors val="1"/>
        <c:ser>
          <c:idx val="11"/>
          <c:order val="0"/>
          <c:tx>
            <c:v>Bureau 12</c:v>
          </c:tx>
          <c:spPr>
            <a:ln w="25400" cap="rnd" cmpd="sng" algn="ctr">
              <a:solidFill>
                <a:srgbClr val="46BDC6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horaire'!$R$38:$R$50</c15:sqref>
                  </c15:fullRef>
                </c:ext>
              </c:extLst>
              <c:f>'Participation horaire'!$R$38:$R$48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3.5294117647058823E-2</c:v>
                </c:pt>
                <c:pt idx="2">
                  <c:v>7.2058823529411759E-2</c:v>
                </c:pt>
                <c:pt idx="3">
                  <c:v>0.14117647058823529</c:v>
                </c:pt>
                <c:pt idx="4">
                  <c:v>0.21029411764705883</c:v>
                </c:pt>
                <c:pt idx="5">
                  <c:v>0.2676470588235294</c:v>
                </c:pt>
                <c:pt idx="6">
                  <c:v>0.31911764705882351</c:v>
                </c:pt>
                <c:pt idx="7">
                  <c:v>0.36911764705882355</c:v>
                </c:pt>
                <c:pt idx="8">
                  <c:v>0.42205882352941176</c:v>
                </c:pt>
                <c:pt idx="9">
                  <c:v>0.47205882352941175</c:v>
                </c:pt>
                <c:pt idx="10">
                  <c:v>0.47941176470588237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6-4AF4-9831-1B1440521A8B}"/>
            </c:ext>
          </c:extLst>
        </c:ser>
        <c:ser>
          <c:idx val="10"/>
          <c:order val="1"/>
          <c:tx>
            <c:v>Bureau 11</c:v>
          </c:tx>
          <c:spPr>
            <a:ln w="25400" cap="rnd" cmpd="sng" algn="ctr">
              <a:solidFill>
                <a:srgbClr val="FF6D0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horaire'!$Q$38:$Q$50</c15:sqref>
                  </c15:fullRef>
                </c:ext>
              </c:extLst>
              <c:f>'Participation horaire'!$Q$38:$Q$48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6.8017366136034735E-2</c:v>
                </c:pt>
                <c:pt idx="2">
                  <c:v>0.13892908827785819</c:v>
                </c:pt>
                <c:pt idx="3">
                  <c:v>0.22865412445730826</c:v>
                </c:pt>
                <c:pt idx="4">
                  <c:v>0.31114327062228653</c:v>
                </c:pt>
                <c:pt idx="5">
                  <c:v>0.38205499276410998</c:v>
                </c:pt>
                <c:pt idx="6">
                  <c:v>0.43270622286541244</c:v>
                </c:pt>
                <c:pt idx="7">
                  <c:v>0.48046309696092621</c:v>
                </c:pt>
                <c:pt idx="8">
                  <c:v>0.55282199710564395</c:v>
                </c:pt>
                <c:pt idx="9">
                  <c:v>0.57597684515195369</c:v>
                </c:pt>
                <c:pt idx="10">
                  <c:v>0.60202604920405212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6-4AF4-9831-1B1440521A8B}"/>
            </c:ext>
          </c:extLst>
        </c:ser>
        <c:ser>
          <c:idx val="9"/>
          <c:order val="2"/>
          <c:tx>
            <c:v>Bureau 10</c:v>
          </c:tx>
          <c:spPr>
            <a:ln w="25400" cap="rnd" cmpd="sng" algn="ctr">
              <a:solidFill>
                <a:srgbClr val="34A853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horaire'!$P$38:$P$50</c15:sqref>
                  </c15:fullRef>
                </c:ext>
              </c:extLst>
              <c:f>'Participation horaire'!$P$38:$P$48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4.4334975369458129E-2</c:v>
                </c:pt>
                <c:pt idx="2">
                  <c:v>0.11494252873563218</c:v>
                </c:pt>
                <c:pt idx="3">
                  <c:v>0.22988505747126436</c:v>
                </c:pt>
                <c:pt idx="4">
                  <c:v>0.34482758620689657</c:v>
                </c:pt>
                <c:pt idx="5">
                  <c:v>0.39408866995073893</c:v>
                </c:pt>
                <c:pt idx="6">
                  <c:v>0.44663382594417078</c:v>
                </c:pt>
                <c:pt idx="7">
                  <c:v>0.49261083743842365</c:v>
                </c:pt>
                <c:pt idx="8">
                  <c:v>0.54187192118226601</c:v>
                </c:pt>
                <c:pt idx="9">
                  <c:v>0.56486042692939242</c:v>
                </c:pt>
                <c:pt idx="10">
                  <c:v>0.58620689655172409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26-4AF4-9831-1B1440521A8B}"/>
            </c:ext>
          </c:extLst>
        </c:ser>
        <c:ser>
          <c:idx val="8"/>
          <c:order val="3"/>
          <c:tx>
            <c:v>Bureau 9</c:v>
          </c:tx>
          <c:spPr>
            <a:ln w="25400" cap="rnd" cmpd="sng" algn="ctr">
              <a:solidFill>
                <a:srgbClr val="FBBC0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horaire'!$O$38:$O$50</c15:sqref>
                  </c15:fullRef>
                </c:ext>
              </c:extLst>
              <c:f>'Participation horaire'!$O$38:$O$48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3.1029619181946404E-2</c:v>
                </c:pt>
                <c:pt idx="2">
                  <c:v>8.3215796897038077E-2</c:v>
                </c:pt>
                <c:pt idx="3">
                  <c:v>0.14809590973201692</c:v>
                </c:pt>
                <c:pt idx="4">
                  <c:v>0.23272214386459802</c:v>
                </c:pt>
                <c:pt idx="5">
                  <c:v>0.27080394922425954</c:v>
                </c:pt>
                <c:pt idx="6">
                  <c:v>0.32440056417489421</c:v>
                </c:pt>
                <c:pt idx="7">
                  <c:v>0.38081805359661497</c:v>
                </c:pt>
                <c:pt idx="8">
                  <c:v>0.4132581100141044</c:v>
                </c:pt>
                <c:pt idx="9">
                  <c:v>0.4400564174894217</c:v>
                </c:pt>
                <c:pt idx="10">
                  <c:v>0.4696755994358251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26-4AF4-9831-1B1440521A8B}"/>
            </c:ext>
          </c:extLst>
        </c:ser>
        <c:ser>
          <c:idx val="7"/>
          <c:order val="4"/>
          <c:tx>
            <c:v>Bureau 8</c:v>
          </c:tx>
          <c:spPr>
            <a:ln w="25400" cap="rnd" cmpd="sng" algn="ctr">
              <a:solidFill>
                <a:srgbClr val="EA4335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horaire'!$N$38:$N$50</c15:sqref>
                  </c15:fullRef>
                </c:ext>
              </c:extLst>
              <c:f>'Participation horaire'!$N$38:$N$48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5.5727554179566562E-2</c:v>
                </c:pt>
                <c:pt idx="2">
                  <c:v>0.11145510835913312</c:v>
                </c:pt>
                <c:pt idx="3">
                  <c:v>0.23065015479876161</c:v>
                </c:pt>
                <c:pt idx="4">
                  <c:v>0.32972136222910214</c:v>
                </c:pt>
                <c:pt idx="5">
                  <c:v>0.4024767801857585</c:v>
                </c:pt>
                <c:pt idx="6">
                  <c:v>0.46439628482972134</c:v>
                </c:pt>
                <c:pt idx="7">
                  <c:v>0.50309597523219818</c:v>
                </c:pt>
                <c:pt idx="8">
                  <c:v>0.54179566563467496</c:v>
                </c:pt>
                <c:pt idx="9">
                  <c:v>0.55882352941176472</c:v>
                </c:pt>
                <c:pt idx="10">
                  <c:v>0.58668730650154799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26-4AF4-9831-1B1440521A8B}"/>
            </c:ext>
          </c:extLst>
        </c:ser>
        <c:ser>
          <c:idx val="6"/>
          <c:order val="5"/>
          <c:tx>
            <c:v>Bureau 7</c:v>
          </c:tx>
          <c:spPr>
            <a:ln w="25400" cap="rnd" cmpd="sng" algn="ctr">
              <a:solidFill>
                <a:srgbClr val="4285F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horaire'!$M$38:$M$50</c15:sqref>
                  </c15:fullRef>
                </c:ext>
              </c:extLst>
              <c:f>'Participation horaire'!$M$38:$M$48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2.7359781121751026E-2</c:v>
                </c:pt>
                <c:pt idx="2">
                  <c:v>0.10259917920656635</c:v>
                </c:pt>
                <c:pt idx="3">
                  <c:v>0.20519835841313269</c:v>
                </c:pt>
                <c:pt idx="4">
                  <c:v>0.33105335157318744</c:v>
                </c:pt>
                <c:pt idx="5">
                  <c:v>0.38850889192886456</c:v>
                </c:pt>
                <c:pt idx="6">
                  <c:v>0.42407660738714092</c:v>
                </c:pt>
                <c:pt idx="7">
                  <c:v>0.48426812585499318</c:v>
                </c:pt>
                <c:pt idx="8">
                  <c:v>0.54993160054719559</c:v>
                </c:pt>
                <c:pt idx="9">
                  <c:v>0.57455540355677159</c:v>
                </c:pt>
                <c:pt idx="10">
                  <c:v>0.60054719562243497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26-4AF4-9831-1B1440521A8B}"/>
            </c:ext>
          </c:extLst>
        </c:ser>
        <c:ser>
          <c:idx val="5"/>
          <c:order val="6"/>
          <c:tx>
            <c:v>Bureau 6</c:v>
          </c:tx>
          <c:spPr>
            <a:ln w="25400" cap="rnd" cmpd="sng" algn="ctr">
              <a:solidFill>
                <a:srgbClr val="46BDC6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horaire'!$L$38:$L$50</c15:sqref>
                  </c15:fullRef>
                </c:ext>
              </c:extLst>
              <c:f>'Participation horaire'!$L$38:$L$48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4.2253521126760563E-2</c:v>
                </c:pt>
                <c:pt idx="2">
                  <c:v>0.12535211267605634</c:v>
                </c:pt>
                <c:pt idx="3">
                  <c:v>0.19718309859154928</c:v>
                </c:pt>
                <c:pt idx="4">
                  <c:v>0.26760563380281688</c:v>
                </c:pt>
                <c:pt idx="5">
                  <c:v>0.33380281690140845</c:v>
                </c:pt>
                <c:pt idx="6">
                  <c:v>0.38732394366197181</c:v>
                </c:pt>
                <c:pt idx="7">
                  <c:v>0.42957746478873238</c:v>
                </c:pt>
                <c:pt idx="8">
                  <c:v>0.47323943661971829</c:v>
                </c:pt>
                <c:pt idx="9">
                  <c:v>0.5</c:v>
                </c:pt>
                <c:pt idx="10">
                  <c:v>0.5169014084507042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26-4AF4-9831-1B1440521A8B}"/>
            </c:ext>
          </c:extLst>
        </c:ser>
        <c:ser>
          <c:idx val="4"/>
          <c:order val="7"/>
          <c:tx>
            <c:v>Bureau 5</c:v>
          </c:tx>
          <c:spPr>
            <a:ln w="25400" cap="rnd" cmpd="sng" algn="ctr">
              <a:solidFill>
                <a:srgbClr val="FF6D01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horaire'!$K$38:$K$50</c15:sqref>
                  </c15:fullRef>
                </c:ext>
              </c:extLst>
              <c:f>'Participation horaire'!$K$38:$K$48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5.2781740370898715E-2</c:v>
                </c:pt>
                <c:pt idx="2">
                  <c:v>0.13266761768901569</c:v>
                </c:pt>
                <c:pt idx="3">
                  <c:v>0.22824536376604851</c:v>
                </c:pt>
                <c:pt idx="4">
                  <c:v>0.34236804564907275</c:v>
                </c:pt>
                <c:pt idx="5">
                  <c:v>0.4136947218259629</c:v>
                </c:pt>
                <c:pt idx="6">
                  <c:v>0.46362339514978601</c:v>
                </c:pt>
                <c:pt idx="7">
                  <c:v>0.53495007132667616</c:v>
                </c:pt>
                <c:pt idx="8">
                  <c:v>0.59914407988587737</c:v>
                </c:pt>
                <c:pt idx="9">
                  <c:v>0.6205420827389444</c:v>
                </c:pt>
                <c:pt idx="10">
                  <c:v>0.64479315263908699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26-4AF4-9831-1B1440521A8B}"/>
            </c:ext>
          </c:extLst>
        </c:ser>
        <c:ser>
          <c:idx val="3"/>
          <c:order val="8"/>
          <c:tx>
            <c:v>Bureau 4</c:v>
          </c:tx>
          <c:spPr>
            <a:ln w="25400" cap="rnd" cmpd="sng" algn="ctr">
              <a:solidFill>
                <a:srgbClr val="34A853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horaire'!$J$38:$J$50</c15:sqref>
                  </c15:fullRef>
                </c:ext>
              </c:extLst>
              <c:f>'Participation horaire'!$J$38:$J$48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4.8600883652430045E-2</c:v>
                </c:pt>
                <c:pt idx="2">
                  <c:v>0.10014727540500737</c:v>
                </c:pt>
                <c:pt idx="3">
                  <c:v>0.203240058910162</c:v>
                </c:pt>
                <c:pt idx="4">
                  <c:v>0.2768777614138439</c:v>
                </c:pt>
                <c:pt idx="5">
                  <c:v>0.3328424153166421</c:v>
                </c:pt>
                <c:pt idx="6">
                  <c:v>0.39175257731958762</c:v>
                </c:pt>
                <c:pt idx="7">
                  <c:v>0.45066273932253315</c:v>
                </c:pt>
                <c:pt idx="8">
                  <c:v>0.49484536082474229</c:v>
                </c:pt>
                <c:pt idx="9">
                  <c:v>0.51693667157584688</c:v>
                </c:pt>
                <c:pt idx="10">
                  <c:v>0.53460972017673047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26-4AF4-9831-1B1440521A8B}"/>
            </c:ext>
          </c:extLst>
        </c:ser>
        <c:ser>
          <c:idx val="2"/>
          <c:order val="9"/>
          <c:tx>
            <c:v>Bureau 3</c:v>
          </c:tx>
          <c:spPr>
            <a:ln w="25400" cap="rnd" cmpd="sng" algn="ctr">
              <a:solidFill>
                <a:srgbClr val="FBBC0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horaire'!$I$38:$I$50</c15:sqref>
                  </c15:fullRef>
                </c:ext>
              </c:extLst>
              <c:f>'Participation horaire'!$I$38:$I$48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5.6100981767180924E-2</c:v>
                </c:pt>
                <c:pt idx="2">
                  <c:v>0.15427769985974754</c:v>
                </c:pt>
                <c:pt idx="3">
                  <c:v>0.26647966339410939</c:v>
                </c:pt>
                <c:pt idx="4">
                  <c:v>0.37868162692847124</c:v>
                </c:pt>
                <c:pt idx="5">
                  <c:v>0.43478260869565216</c:v>
                </c:pt>
                <c:pt idx="6">
                  <c:v>0.50490883590462832</c:v>
                </c:pt>
                <c:pt idx="7">
                  <c:v>0.57503506311360453</c:v>
                </c:pt>
                <c:pt idx="8">
                  <c:v>0.61711079943899017</c:v>
                </c:pt>
                <c:pt idx="9">
                  <c:v>0.65918653576437591</c:v>
                </c:pt>
                <c:pt idx="10">
                  <c:v>0.67882187938288918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26-4AF4-9831-1B1440521A8B}"/>
            </c:ext>
          </c:extLst>
        </c:ser>
        <c:ser>
          <c:idx val="1"/>
          <c:order val="10"/>
          <c:tx>
            <c:v>Bureau 2</c:v>
          </c:tx>
          <c:spPr>
            <a:ln w="25400" cap="rnd" cmpd="sng" algn="ctr">
              <a:solidFill>
                <a:srgbClr val="EA4335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horaire'!$H$38:$H$50</c15:sqref>
                  </c15:fullRef>
                </c:ext>
              </c:extLst>
              <c:f>'Participation horaire'!$H$38:$H$48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6.0810810810810814E-2</c:v>
                </c:pt>
                <c:pt idx="2">
                  <c:v>0.10810810810810811</c:v>
                </c:pt>
                <c:pt idx="3">
                  <c:v>0.1891891891891892</c:v>
                </c:pt>
                <c:pt idx="4">
                  <c:v>0.3108108108108108</c:v>
                </c:pt>
                <c:pt idx="5">
                  <c:v>0.36216216216216218</c:v>
                </c:pt>
                <c:pt idx="6">
                  <c:v>0.41891891891891891</c:v>
                </c:pt>
                <c:pt idx="7">
                  <c:v>0.48648648648648651</c:v>
                </c:pt>
                <c:pt idx="8">
                  <c:v>0.52702702702702697</c:v>
                </c:pt>
                <c:pt idx="9">
                  <c:v>0.56081081081081086</c:v>
                </c:pt>
                <c:pt idx="10">
                  <c:v>0.59864864864864864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826-4AF4-9831-1B1440521A8B}"/>
            </c:ext>
          </c:extLst>
        </c:ser>
        <c:ser>
          <c:idx val="12"/>
          <c:order val="11"/>
          <c:tx>
            <c:v>Total</c:v>
          </c:tx>
          <c:spPr>
            <a:ln w="50800" cap="rnd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circle"/>
            <c:size val="7"/>
            <c:spPr>
              <a:solidFill>
                <a:srgbClr val="000000"/>
              </a:solidFill>
              <a:ln w="31750" cap="rnd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horaire'!$S$38:$S$50</c15:sqref>
                  </c15:fullRef>
                </c:ext>
              </c:extLst>
              <c:f>'Participation horaire'!$S$38:$S$48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4.8272482234746387E-2</c:v>
                </c:pt>
                <c:pt idx="2">
                  <c:v>0.11504533202646411</c:v>
                </c:pt>
                <c:pt idx="3">
                  <c:v>0.20779220779220781</c:v>
                </c:pt>
                <c:pt idx="4">
                  <c:v>0.30531732418524871</c:v>
                </c:pt>
                <c:pt idx="5">
                  <c:v>0.36290124969370252</c:v>
                </c:pt>
                <c:pt idx="6">
                  <c:v>0.4164420485175202</c:v>
                </c:pt>
                <c:pt idx="7">
                  <c:v>0.47096299926488605</c:v>
                </c:pt>
                <c:pt idx="8">
                  <c:v>0.5204606714040676</c:v>
                </c:pt>
                <c:pt idx="9">
                  <c:v>0.54949767213918155</c:v>
                </c:pt>
                <c:pt idx="10">
                  <c:v>0.57363391325655477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826-4AF4-9831-1B1440521A8B}"/>
            </c:ext>
          </c:extLst>
        </c:ser>
        <c:ser>
          <c:idx val="0"/>
          <c:order val="12"/>
          <c:tx>
            <c:v>Bureau 1</c:v>
          </c:tx>
          <c:spPr>
            <a:ln w="25400" cap="rnd" cmpd="sng" algn="ctr">
              <a:solidFill>
                <a:srgbClr val="4285F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'Participation horaire'!$F$38:$F$50</c15:sqref>
                  </c15:fullRef>
                </c:ext>
              </c:extLst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'Participation horaire'!$G$38:$G$50</c15:sqref>
                  </c15:fullRef>
                </c:ext>
              </c:extLst>
              <c:f>'Participation horaire'!$G$38:$G$48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5.9674502712477394E-2</c:v>
                </c:pt>
                <c:pt idx="2">
                  <c:v>0.1410488245931284</c:v>
                </c:pt>
                <c:pt idx="3">
                  <c:v>0.23508137432188064</c:v>
                </c:pt>
                <c:pt idx="4">
                  <c:v>0.33634719710669075</c:v>
                </c:pt>
                <c:pt idx="5">
                  <c:v>0.37793851717902349</c:v>
                </c:pt>
                <c:pt idx="6">
                  <c:v>0.42495479204339964</c:v>
                </c:pt>
                <c:pt idx="7">
                  <c:v>0.46292947558770342</c:v>
                </c:pt>
                <c:pt idx="8">
                  <c:v>0.50994575045207957</c:v>
                </c:pt>
                <c:pt idx="9">
                  <c:v>0.54792043399638335</c:v>
                </c:pt>
                <c:pt idx="10">
                  <c:v>0.58408679927667273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826-4AF4-9831-1B1440521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  <c:extLst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Affluence horaire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6483239154321079E-2"/>
          <c:y val="6.5015479876160992E-2"/>
          <c:w val="0.83989080979742214"/>
          <c:h val="0.8437322347090514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'Participation horaire'!$G$53</c:f>
              <c:strCache>
                <c:ptCount val="1"/>
                <c:pt idx="0">
                  <c:v>Bureau 1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4445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horaire'!$G$54:$G$63</c:f>
              <c:numCache>
                <c:formatCode>General</c:formatCode>
                <c:ptCount val="10"/>
                <c:pt idx="0">
                  <c:v>33</c:v>
                </c:pt>
                <c:pt idx="1">
                  <c:v>45</c:v>
                </c:pt>
                <c:pt idx="2">
                  <c:v>52</c:v>
                </c:pt>
                <c:pt idx="3">
                  <c:v>56</c:v>
                </c:pt>
                <c:pt idx="4">
                  <c:v>23</c:v>
                </c:pt>
                <c:pt idx="5">
                  <c:v>26</c:v>
                </c:pt>
                <c:pt idx="6">
                  <c:v>21</c:v>
                </c:pt>
                <c:pt idx="7">
                  <c:v>26</c:v>
                </c:pt>
                <c:pt idx="8">
                  <c:v>21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3-425D-93CB-248F40B37B56}"/>
            </c:ext>
          </c:extLst>
        </c:ser>
        <c:ser>
          <c:idx val="12"/>
          <c:order val="1"/>
          <c:tx>
            <c:strRef>
              <c:f>'Participation horaire'!$H$53</c:f>
              <c:strCache>
                <c:ptCount val="1"/>
                <c:pt idx="0">
                  <c:v>Bureau 2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dPt>
            <c:idx val="9"/>
            <c:invertIfNegative val="0"/>
            <c:bubble3D val="0"/>
            <c:spPr>
              <a:solidFill>
                <a:schemeClr val="accent2">
                  <a:alpha val="50000"/>
                </a:schemeClr>
              </a:solidFill>
              <a:ln w="25400" cap="rnd" cmpd="sng" algn="ctr">
                <a:noFill/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2-DDB3-425D-93CB-248F40B37B56}"/>
              </c:ext>
            </c:extLst>
          </c:dPt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horaire'!$H$54:$H$63</c:f>
              <c:numCache>
                <c:formatCode>General</c:formatCode>
                <c:ptCount val="10"/>
                <c:pt idx="0">
                  <c:v>45</c:v>
                </c:pt>
                <c:pt idx="1">
                  <c:v>35</c:v>
                </c:pt>
                <c:pt idx="2">
                  <c:v>60</c:v>
                </c:pt>
                <c:pt idx="3">
                  <c:v>90</c:v>
                </c:pt>
                <c:pt idx="4">
                  <c:v>38</c:v>
                </c:pt>
                <c:pt idx="5">
                  <c:v>42</c:v>
                </c:pt>
                <c:pt idx="6">
                  <c:v>50</c:v>
                </c:pt>
                <c:pt idx="7">
                  <c:v>30</c:v>
                </c:pt>
                <c:pt idx="8">
                  <c:v>25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B3-425D-93CB-248F40B37B56}"/>
            </c:ext>
          </c:extLst>
        </c:ser>
        <c:ser>
          <c:idx val="11"/>
          <c:order val="2"/>
          <c:tx>
            <c:strRef>
              <c:f>'Participation horaire'!$I$53</c:f>
              <c:strCache>
                <c:ptCount val="1"/>
                <c:pt idx="0">
                  <c:v>Bureau 3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horaire'!$I$54:$I$63</c:f>
              <c:numCache>
                <c:formatCode>General</c:formatCode>
                <c:ptCount val="10"/>
                <c:pt idx="0">
                  <c:v>40</c:v>
                </c:pt>
                <c:pt idx="1">
                  <c:v>70</c:v>
                </c:pt>
                <c:pt idx="2">
                  <c:v>80</c:v>
                </c:pt>
                <c:pt idx="3">
                  <c:v>80</c:v>
                </c:pt>
                <c:pt idx="4">
                  <c:v>40</c:v>
                </c:pt>
                <c:pt idx="5">
                  <c:v>50</c:v>
                </c:pt>
                <c:pt idx="6">
                  <c:v>50</c:v>
                </c:pt>
                <c:pt idx="7">
                  <c:v>30</c:v>
                </c:pt>
                <c:pt idx="8">
                  <c:v>30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B3-425D-93CB-248F40B37B56}"/>
            </c:ext>
          </c:extLst>
        </c:ser>
        <c:ser>
          <c:idx val="10"/>
          <c:order val="3"/>
          <c:tx>
            <c:strRef>
              <c:f>'Participation horaire'!$J$53</c:f>
              <c:strCache>
                <c:ptCount val="1"/>
                <c:pt idx="0">
                  <c:v>Bureau 4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horaire'!$J$54:$J$63</c:f>
              <c:numCache>
                <c:formatCode>General</c:formatCode>
                <c:ptCount val="10"/>
                <c:pt idx="0">
                  <c:v>33</c:v>
                </c:pt>
                <c:pt idx="1">
                  <c:v>35</c:v>
                </c:pt>
                <c:pt idx="2">
                  <c:v>70</c:v>
                </c:pt>
                <c:pt idx="3">
                  <c:v>50</c:v>
                </c:pt>
                <c:pt idx="4">
                  <c:v>38</c:v>
                </c:pt>
                <c:pt idx="5">
                  <c:v>40</c:v>
                </c:pt>
                <c:pt idx="6">
                  <c:v>40</c:v>
                </c:pt>
                <c:pt idx="7">
                  <c:v>30</c:v>
                </c:pt>
                <c:pt idx="8">
                  <c:v>15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B3-425D-93CB-248F40B37B56}"/>
            </c:ext>
          </c:extLst>
        </c:ser>
        <c:ser>
          <c:idx val="9"/>
          <c:order val="4"/>
          <c:tx>
            <c:strRef>
              <c:f>'Participation horaire'!$K$53</c:f>
              <c:strCache>
                <c:ptCount val="1"/>
                <c:pt idx="0">
                  <c:v>Bureau 5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horaire'!$K$54:$K$63</c:f>
              <c:numCache>
                <c:formatCode>General</c:formatCode>
                <c:ptCount val="10"/>
                <c:pt idx="0">
                  <c:v>37</c:v>
                </c:pt>
                <c:pt idx="1">
                  <c:v>56</c:v>
                </c:pt>
                <c:pt idx="2">
                  <c:v>67</c:v>
                </c:pt>
                <c:pt idx="3">
                  <c:v>80</c:v>
                </c:pt>
                <c:pt idx="4">
                  <c:v>50</c:v>
                </c:pt>
                <c:pt idx="5">
                  <c:v>35</c:v>
                </c:pt>
                <c:pt idx="6">
                  <c:v>50</c:v>
                </c:pt>
                <c:pt idx="7">
                  <c:v>45</c:v>
                </c:pt>
                <c:pt idx="8">
                  <c:v>15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B3-425D-93CB-248F40B37B56}"/>
            </c:ext>
          </c:extLst>
        </c:ser>
        <c:ser>
          <c:idx val="8"/>
          <c:order val="5"/>
          <c:tx>
            <c:strRef>
              <c:f>'Participation horaire'!$L$53</c:f>
              <c:strCache>
                <c:ptCount val="1"/>
                <c:pt idx="0">
                  <c:v>Bureau 6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horaire'!$L$54:$L$63</c:f>
              <c:numCache>
                <c:formatCode>General</c:formatCode>
                <c:ptCount val="10"/>
                <c:pt idx="0">
                  <c:v>30</c:v>
                </c:pt>
                <c:pt idx="1">
                  <c:v>59</c:v>
                </c:pt>
                <c:pt idx="2">
                  <c:v>51</c:v>
                </c:pt>
                <c:pt idx="3">
                  <c:v>50</c:v>
                </c:pt>
                <c:pt idx="4">
                  <c:v>47</c:v>
                </c:pt>
                <c:pt idx="5">
                  <c:v>38</c:v>
                </c:pt>
                <c:pt idx="6">
                  <c:v>30</c:v>
                </c:pt>
                <c:pt idx="7">
                  <c:v>31</c:v>
                </c:pt>
                <c:pt idx="8">
                  <c:v>19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B3-425D-93CB-248F40B37B56}"/>
            </c:ext>
          </c:extLst>
        </c:ser>
        <c:ser>
          <c:idx val="7"/>
          <c:order val="6"/>
          <c:tx>
            <c:strRef>
              <c:f>'Participation horaire'!$M$53</c:f>
              <c:strCache>
                <c:ptCount val="1"/>
                <c:pt idx="0">
                  <c:v>Bureau 7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horaire'!$M$54:$M$63</c:f>
              <c:numCache>
                <c:formatCode>General</c:formatCode>
                <c:ptCount val="10"/>
                <c:pt idx="0">
                  <c:v>20</c:v>
                </c:pt>
                <c:pt idx="1">
                  <c:v>55</c:v>
                </c:pt>
                <c:pt idx="2">
                  <c:v>75</c:v>
                </c:pt>
                <c:pt idx="3">
                  <c:v>92</c:v>
                </c:pt>
                <c:pt idx="4">
                  <c:v>42</c:v>
                </c:pt>
                <c:pt idx="5">
                  <c:v>26</c:v>
                </c:pt>
                <c:pt idx="6">
                  <c:v>44</c:v>
                </c:pt>
                <c:pt idx="7">
                  <c:v>48</c:v>
                </c:pt>
                <c:pt idx="8">
                  <c:v>18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B3-425D-93CB-248F40B37B56}"/>
            </c:ext>
          </c:extLst>
        </c:ser>
        <c:ser>
          <c:idx val="6"/>
          <c:order val="7"/>
          <c:tx>
            <c:strRef>
              <c:f>'Participation horaire'!$N$53</c:f>
              <c:strCache>
                <c:ptCount val="1"/>
                <c:pt idx="0">
                  <c:v>Bureau 8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horaire'!$N$54:$N$63</c:f>
              <c:numCache>
                <c:formatCode>General</c:formatCode>
                <c:ptCount val="10"/>
                <c:pt idx="0">
                  <c:v>36</c:v>
                </c:pt>
                <c:pt idx="1">
                  <c:v>36</c:v>
                </c:pt>
                <c:pt idx="2">
                  <c:v>77</c:v>
                </c:pt>
                <c:pt idx="3">
                  <c:v>64</c:v>
                </c:pt>
                <c:pt idx="4">
                  <c:v>47</c:v>
                </c:pt>
                <c:pt idx="5">
                  <c:v>40</c:v>
                </c:pt>
                <c:pt idx="6">
                  <c:v>25</c:v>
                </c:pt>
                <c:pt idx="7">
                  <c:v>25</c:v>
                </c:pt>
                <c:pt idx="8">
                  <c:v>11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B3-425D-93CB-248F40B37B56}"/>
            </c:ext>
          </c:extLst>
        </c:ser>
        <c:ser>
          <c:idx val="5"/>
          <c:order val="8"/>
          <c:tx>
            <c:strRef>
              <c:f>'Participation horaire'!$O$53</c:f>
              <c:strCache>
                <c:ptCount val="1"/>
                <c:pt idx="0">
                  <c:v>Bureau 9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horaire'!$O$54:$O$63</c:f>
              <c:numCache>
                <c:formatCode>General</c:formatCode>
                <c:ptCount val="10"/>
                <c:pt idx="0">
                  <c:v>22</c:v>
                </c:pt>
                <c:pt idx="1">
                  <c:v>37</c:v>
                </c:pt>
                <c:pt idx="2">
                  <c:v>46</c:v>
                </c:pt>
                <c:pt idx="3">
                  <c:v>60</c:v>
                </c:pt>
                <c:pt idx="4">
                  <c:v>27</c:v>
                </c:pt>
                <c:pt idx="5">
                  <c:v>38</c:v>
                </c:pt>
                <c:pt idx="6">
                  <c:v>40</c:v>
                </c:pt>
                <c:pt idx="7">
                  <c:v>23</c:v>
                </c:pt>
                <c:pt idx="8">
                  <c:v>19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B3-425D-93CB-248F40B37B56}"/>
            </c:ext>
          </c:extLst>
        </c:ser>
        <c:ser>
          <c:idx val="4"/>
          <c:order val="9"/>
          <c:tx>
            <c:strRef>
              <c:f>'Participation horaire'!$P$53</c:f>
              <c:strCache>
                <c:ptCount val="1"/>
                <c:pt idx="0">
                  <c:v>Bureau 10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horaire'!$P$54:$P$63</c:f>
              <c:numCache>
                <c:formatCode>General</c:formatCode>
                <c:ptCount val="10"/>
                <c:pt idx="0">
                  <c:v>27</c:v>
                </c:pt>
                <c:pt idx="1">
                  <c:v>43</c:v>
                </c:pt>
                <c:pt idx="2">
                  <c:v>70</c:v>
                </c:pt>
                <c:pt idx="3">
                  <c:v>70</c:v>
                </c:pt>
                <c:pt idx="4">
                  <c:v>30</c:v>
                </c:pt>
                <c:pt idx="5">
                  <c:v>32</c:v>
                </c:pt>
                <c:pt idx="6">
                  <c:v>28</c:v>
                </c:pt>
                <c:pt idx="7">
                  <c:v>30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DB3-425D-93CB-248F40B37B56}"/>
            </c:ext>
          </c:extLst>
        </c:ser>
        <c:ser>
          <c:idx val="3"/>
          <c:order val="10"/>
          <c:tx>
            <c:strRef>
              <c:f>'Participation horaire'!$Q$53</c:f>
              <c:strCache>
                <c:ptCount val="1"/>
                <c:pt idx="0">
                  <c:v>Bureau 11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horaire'!$Q$54:$Q$63</c:f>
              <c:numCache>
                <c:formatCode>General</c:formatCode>
                <c:ptCount val="10"/>
                <c:pt idx="0">
                  <c:v>47</c:v>
                </c:pt>
                <c:pt idx="1">
                  <c:v>49</c:v>
                </c:pt>
                <c:pt idx="2">
                  <c:v>62</c:v>
                </c:pt>
                <c:pt idx="3">
                  <c:v>57</c:v>
                </c:pt>
                <c:pt idx="4">
                  <c:v>49</c:v>
                </c:pt>
                <c:pt idx="5">
                  <c:v>35</c:v>
                </c:pt>
                <c:pt idx="6">
                  <c:v>33</c:v>
                </c:pt>
                <c:pt idx="7">
                  <c:v>50</c:v>
                </c:pt>
                <c:pt idx="8">
                  <c:v>16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B3-425D-93CB-248F40B37B56}"/>
            </c:ext>
          </c:extLst>
        </c:ser>
        <c:ser>
          <c:idx val="2"/>
          <c:order val="11"/>
          <c:tx>
            <c:strRef>
              <c:f>'Participation horaire'!$R$53</c:f>
              <c:strCache>
                <c:ptCount val="1"/>
                <c:pt idx="0">
                  <c:v>Bureau 12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 w="25400" cap="rnd" cmpd="sng" algn="ctr">
              <a:noFill/>
              <a:prstDash val="solid"/>
              <a:round/>
              <a:headEnd type="none" w="med" len="med"/>
              <a:tailEnd type="none" w="med" len="med"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horaire'!$R$54:$R$63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47</c:v>
                </c:pt>
                <c:pt idx="3">
                  <c:v>47</c:v>
                </c:pt>
                <c:pt idx="4">
                  <c:v>39</c:v>
                </c:pt>
                <c:pt idx="5">
                  <c:v>35</c:v>
                </c:pt>
                <c:pt idx="6">
                  <c:v>34</c:v>
                </c:pt>
                <c:pt idx="7">
                  <c:v>36</c:v>
                </c:pt>
                <c:pt idx="8">
                  <c:v>34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DB3-425D-93CB-248F40B37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lineChart>
        <c:grouping val="standard"/>
        <c:varyColors val="1"/>
        <c:ser>
          <c:idx val="1"/>
          <c:order val="12"/>
          <c:tx>
            <c:strRef>
              <c:f>'Participation horaire'!$S$53</c:f>
              <c:strCache>
                <c:ptCount val="1"/>
                <c:pt idx="0">
                  <c:v>Total</c:v>
                </c:pt>
              </c:strCache>
            </c:strRef>
          </c:tx>
          <c:spPr>
            <a:ln w="44450"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horaire'!$S$54:$S$63</c:f>
              <c:numCache>
                <c:formatCode>General</c:formatCode>
                <c:ptCount val="10"/>
                <c:pt idx="0">
                  <c:v>394</c:v>
                </c:pt>
                <c:pt idx="1">
                  <c:v>545</c:v>
                </c:pt>
                <c:pt idx="2">
                  <c:v>757</c:v>
                </c:pt>
                <c:pt idx="3">
                  <c:v>796</c:v>
                </c:pt>
                <c:pt idx="4">
                  <c:v>470</c:v>
                </c:pt>
                <c:pt idx="5">
                  <c:v>437</c:v>
                </c:pt>
                <c:pt idx="6">
                  <c:v>445</c:v>
                </c:pt>
                <c:pt idx="7">
                  <c:v>404</c:v>
                </c:pt>
                <c:pt idx="8">
                  <c:v>237</c:v>
                </c:pt>
                <c:pt idx="9">
                  <c:v>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B3-425D-93CB-248F40B37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0817904"/>
        <c:axId val="330814544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  <c:valAx>
        <c:axId val="3308145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30817904"/>
        <c:crosses val="max"/>
        <c:crossBetween val="between"/>
      </c:valAx>
      <c:catAx>
        <c:axId val="330817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0814544"/>
        <c:crosses val="autoZero"/>
        <c:auto val="1"/>
        <c:lblAlgn val="ctr"/>
        <c:lblOffset val="100"/>
        <c:noMultiLvlLbl val="0"/>
      </c:catAx>
    </c:plotArea>
    <c:legend>
      <c:legendPos val="r"/>
      <c:overlay val="0"/>
      <c:spPr>
        <a:ln>
          <a:solidFill>
            <a:srgbClr val="000000">
              <a:alpha val="50000"/>
            </a:srgbClr>
          </a:solidFill>
        </a:ln>
      </c:spPr>
    </c:legend>
    <c:plotVisOnly val="1"/>
    <c:dispBlanksAs val="zero"/>
    <c:showDLblsOverMax val="1"/>
    <c:extLst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b="0"/>
              <a:t>Total des votes exprimés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92D050"/>
            </a:solidFill>
            <a:ln cmpd="sng">
              <a:solidFill>
                <a:srgbClr val="92D05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D9E7FD"/>
              </a:solidFill>
              <a:ln cmpd="sng">
                <a:solidFill>
                  <a:srgbClr val="D9E7F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67F-4B32-9431-FF4402D00F1A}"/>
              </c:ext>
            </c:extLst>
          </c:dPt>
          <c:dPt>
            <c:idx val="1"/>
            <c:invertIfNegative val="1"/>
            <c:bubble3D val="0"/>
            <c:spPr>
              <a:solidFill>
                <a:srgbClr val="DAF1F3"/>
              </a:solidFill>
              <a:ln cmpd="sng">
                <a:solidFill>
                  <a:srgbClr val="DAF1F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67F-4B32-9431-FF4402D00F1A}"/>
              </c:ext>
            </c:extLst>
          </c:dPt>
          <c:dPt>
            <c:idx val="2"/>
            <c:invertIfNegative val="1"/>
            <c:bubble3D val="0"/>
            <c:spPr>
              <a:solidFill>
                <a:srgbClr val="B3CEFB"/>
              </a:solidFill>
              <a:ln cmpd="sng">
                <a:solidFill>
                  <a:srgbClr val="B3CEFB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67F-4B32-9431-FF4402D00F1A}"/>
              </c:ext>
            </c:extLst>
          </c:dPt>
          <c:dPt>
            <c:idx val="3"/>
            <c:invertIfNegative val="1"/>
            <c:bubble3D val="0"/>
            <c:spPr>
              <a:solidFill>
                <a:srgbClr val="FFE1CC"/>
              </a:solidFill>
              <a:ln cmpd="sng">
                <a:solidFill>
                  <a:srgbClr val="FFE1CC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67F-4B32-9431-FF4402D00F1A}"/>
              </c:ext>
            </c:extLst>
          </c:dPt>
          <c:dPt>
            <c:idx val="4"/>
            <c:invertIfNegative val="1"/>
            <c:bubble3D val="0"/>
            <c:spPr>
              <a:solidFill>
                <a:srgbClr val="D1F1DA"/>
              </a:solidFill>
              <a:ln cmpd="sng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67F-4B32-9431-FF4402D00F1A}"/>
              </c:ext>
            </c:extLst>
          </c:dPt>
          <c:dPt>
            <c:idx val="5"/>
            <c:invertIfNegative val="1"/>
            <c:bubble3D val="0"/>
            <c:spPr>
              <a:solidFill>
                <a:srgbClr val="FBDAD7"/>
              </a:solidFill>
              <a:ln cmpd="sng">
                <a:solidFill>
                  <a:srgbClr val="FBDAD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67F-4B32-9431-FF4402D00F1A}"/>
              </c:ext>
            </c:extLst>
          </c:dPt>
          <c:dPt>
            <c:idx val="6"/>
            <c:invertIfNegative val="1"/>
            <c:bubble3D val="0"/>
            <c:spPr>
              <a:solidFill>
                <a:srgbClr val="FEF2CD"/>
              </a:solidFill>
              <a:ln cmpd="sng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67F-4B32-9431-FF4402D00F1A}"/>
              </c:ext>
            </c:extLst>
          </c:dPt>
          <c:dPt>
            <c:idx val="7"/>
            <c:invertIfNegative val="1"/>
            <c:bubble3D val="0"/>
            <c:spPr>
              <a:solidFill>
                <a:srgbClr val="F28E86"/>
              </a:solidFill>
              <a:ln cmpd="sng">
                <a:solidFill>
                  <a:srgbClr val="F28E86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67F-4B32-9431-FF4402D00F1A}"/>
              </c:ext>
            </c:extLst>
          </c:dPt>
          <c:dPt>
            <c:idx val="8"/>
            <c:invertIfNegative val="1"/>
            <c:bubble3D val="0"/>
            <c:spPr>
              <a:solidFill>
                <a:srgbClr val="C22114"/>
              </a:solidFill>
              <a:ln cmpd="sng">
                <a:solidFill>
                  <a:srgbClr val="C22114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D67F-4B32-9431-FF4402D00F1A}"/>
              </c:ext>
            </c:extLst>
          </c:dPt>
          <c:dPt>
            <c:idx val="9"/>
            <c:invertIfNegative val="1"/>
            <c:bubble3D val="0"/>
            <c:spPr>
              <a:solidFill>
                <a:srgbClr val="81160E"/>
              </a:solidFill>
              <a:ln cmpd="sng">
                <a:solidFill>
                  <a:srgbClr val="81160E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D67F-4B32-9431-FF4402D00F1A}"/>
              </c:ext>
            </c:extLst>
          </c:dPt>
          <c:dPt>
            <c:idx val="10"/>
            <c:invertIfNegative val="1"/>
            <c:bubble3D val="0"/>
            <c:spPr>
              <a:solidFill>
                <a:srgbClr val="FEF2CD"/>
              </a:solidFill>
              <a:ln cmpd="sng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D67F-4B32-9431-FF4402D00F1A}"/>
              </c:ext>
            </c:extLst>
          </c:dPt>
          <c:dPt>
            <c:idx val="11"/>
            <c:invertIfNegative val="1"/>
            <c:bubble3D val="0"/>
            <c:spPr>
              <a:solidFill>
                <a:srgbClr val="FDE49B"/>
              </a:solidFill>
              <a:ln cmpd="sng">
                <a:solidFill>
                  <a:srgbClr val="FDE49B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D67F-4B32-9431-FF4402D00F1A}"/>
              </c:ext>
            </c:extLst>
          </c:dPt>
          <c:dPt>
            <c:idx val="12"/>
            <c:invertIfNegative val="1"/>
            <c:bubble3D val="0"/>
            <c:spPr>
              <a:solidFill>
                <a:srgbClr val="FDD868"/>
              </a:solidFill>
              <a:ln cmpd="sng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D67F-4B32-9431-FF4402D00F1A}"/>
              </c:ext>
            </c:extLst>
          </c:dPt>
          <c:dPt>
            <c:idx val="13"/>
            <c:invertIfNegative val="1"/>
            <c:bubble3D val="0"/>
            <c:spPr>
              <a:solidFill>
                <a:srgbClr val="BC8E03"/>
              </a:solidFill>
              <a:ln cmpd="sng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D67F-4B32-9431-FF4402D00F1A}"/>
              </c:ext>
            </c:extLst>
          </c:dPt>
          <c:dPt>
            <c:idx val="14"/>
            <c:invertIfNegative val="1"/>
            <c:bubble3D val="0"/>
            <c:spPr>
              <a:solidFill>
                <a:srgbClr val="7D5F02"/>
              </a:solidFill>
              <a:ln cmpd="sng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D67F-4B32-9431-FF4402D00F1A}"/>
              </c:ext>
            </c:extLst>
          </c:dPt>
          <c:dPt>
            <c:idx val="15"/>
            <c:invertIfNegative val="1"/>
            <c:bubble3D val="0"/>
            <c:spPr>
              <a:solidFill>
                <a:srgbClr val="D1F1DA"/>
              </a:solidFill>
              <a:ln cmpd="sng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D67F-4B32-9431-FF4402D00F1A}"/>
              </c:ext>
            </c:extLst>
          </c:dPt>
          <c:dPt>
            <c:idx val="16"/>
            <c:invertIfNegative val="1"/>
            <c:bubble3D val="0"/>
            <c:spPr>
              <a:solidFill>
                <a:srgbClr val="A6E3B7"/>
              </a:solidFill>
              <a:ln cmpd="sng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D67F-4B32-9431-FF4402D00F1A}"/>
              </c:ext>
            </c:extLst>
          </c:dPt>
          <c:dPt>
            <c:idx val="17"/>
            <c:invertIfNegative val="1"/>
            <c:bubble3D val="0"/>
            <c:spPr>
              <a:solidFill>
                <a:srgbClr val="7AD694"/>
              </a:solidFill>
              <a:ln cmpd="sng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D67F-4B32-9431-FF4402D00F1A}"/>
              </c:ext>
            </c:extLst>
          </c:dPt>
          <c:dPt>
            <c:idx val="18"/>
            <c:invertIfNegative val="1"/>
            <c:bubble3D val="0"/>
            <c:spPr>
              <a:solidFill>
                <a:srgbClr val="277E40"/>
              </a:solidFill>
              <a:ln cmpd="sng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D67F-4B32-9431-FF4402D00F1A}"/>
              </c:ext>
            </c:extLst>
          </c:dPt>
          <c:dPt>
            <c:idx val="19"/>
            <c:invertIfNegative val="1"/>
            <c:bubble3D val="0"/>
            <c:spPr>
              <a:solidFill>
                <a:srgbClr val="1A5529"/>
              </a:solidFill>
              <a:ln cmpd="sng">
                <a:solidFill>
                  <a:srgbClr val="1A5529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D67F-4B32-9431-FF4402D00F1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Synthèse!$L$2:$R$2</c:f>
              <c:strCache>
                <c:ptCount val="7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</c:strCache>
            </c:strRef>
          </c:cat>
          <c:val>
            <c:numRef>
              <c:f>Synthèse!$L$16:$R$16</c:f>
              <c:numCache>
                <c:formatCode>0.00%</c:formatCode>
                <c:ptCount val="7"/>
                <c:pt idx="0">
                  <c:v>6.8605683836589701E-2</c:v>
                </c:pt>
                <c:pt idx="1">
                  <c:v>3.4635879218472471E-2</c:v>
                </c:pt>
                <c:pt idx="2">
                  <c:v>0.2919626998223801</c:v>
                </c:pt>
                <c:pt idx="3">
                  <c:v>0.18761101243339254</c:v>
                </c:pt>
                <c:pt idx="4">
                  <c:v>0.33880994671403197</c:v>
                </c:pt>
                <c:pt idx="5">
                  <c:v>4.6625222024866783E-2</c:v>
                </c:pt>
                <c:pt idx="6">
                  <c:v>3.1749555950266427E-2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92D05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Synthèse!#REF!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28-D67F-4B32-9431-FF4402D00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crossAx val="2046569049"/>
        <c:crosses val="autoZero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txPr>
    <a:bodyPr/>
    <a:lstStyle/>
    <a:p>
      <a:pPr>
        <a:defRPr>
          <a:latin typeface="Marianne" panose="02000000000000000000" pitchFamily="50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 b="0"/>
              <a:t>Participation par bureau durant la journée</a:t>
            </a:r>
          </a:p>
        </c:rich>
      </c:tx>
      <c:layout>
        <c:manualLayout>
          <c:xMode val="edge"/>
          <c:yMode val="edge"/>
          <c:x val="0.21509076669613614"/>
          <c:y val="0.1757575218387123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6483239154321079E-2"/>
          <c:y val="0.10097475533105395"/>
          <c:w val="0.83989080979742214"/>
          <c:h val="0.80777299530896007"/>
        </c:manualLayout>
      </c:layout>
      <c:lineChart>
        <c:grouping val="standard"/>
        <c:varyColors val="1"/>
        <c:ser>
          <c:idx val="12"/>
          <c:order val="0"/>
          <c:tx>
            <c:strRef>
              <c:f>'Participation horaire'!$G$37</c:f>
              <c:strCache>
                <c:ptCount val="1"/>
                <c:pt idx="0">
                  <c:v>Bureau 1</c:v>
                </c:pt>
              </c:strCache>
            </c:strRef>
          </c:tx>
          <c:spPr>
            <a:ln w="34925" cap="rnd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circle"/>
            <c:size val="7"/>
            <c:spPr>
              <a:solidFill>
                <a:srgbClr val="000000"/>
              </a:solidFill>
              <a:ln w="31750" cap="rnd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horaire'!$G$38:$G$48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5.9674502712477394E-2</c:v>
                </c:pt>
                <c:pt idx="2">
                  <c:v>0.1410488245931284</c:v>
                </c:pt>
                <c:pt idx="3">
                  <c:v>0.23508137432188064</c:v>
                </c:pt>
                <c:pt idx="4">
                  <c:v>0.33634719710669075</c:v>
                </c:pt>
                <c:pt idx="5">
                  <c:v>0.37793851717902349</c:v>
                </c:pt>
                <c:pt idx="6">
                  <c:v>0.42495479204339964</c:v>
                </c:pt>
                <c:pt idx="7">
                  <c:v>0.46292947558770342</c:v>
                </c:pt>
                <c:pt idx="8">
                  <c:v>0.50994575045207957</c:v>
                </c:pt>
                <c:pt idx="9">
                  <c:v>0.54792043399638335</c:v>
                </c:pt>
                <c:pt idx="10">
                  <c:v>0.58408679927667273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3-453C-8FEA-EA6F406B7B39}"/>
            </c:ext>
          </c:extLst>
        </c:ser>
        <c:ser>
          <c:idx val="11"/>
          <c:order val="1"/>
          <c:tx>
            <c:strRef>
              <c:f>'Participation horaire'!$H$37</c:f>
              <c:strCache>
                <c:ptCount val="1"/>
                <c:pt idx="0">
                  <c:v>Bureau 2</c:v>
                </c:pt>
              </c:strCache>
            </c:strRef>
          </c:tx>
          <c:spPr>
            <a:ln w="19050" cap="rnd" cmpd="sng" algn="ctr">
              <a:solidFill>
                <a:srgbClr val="46BDC6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horaire'!$H$38:$H$48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6.0810810810810814E-2</c:v>
                </c:pt>
                <c:pt idx="2">
                  <c:v>0.10810810810810811</c:v>
                </c:pt>
                <c:pt idx="3">
                  <c:v>0.1891891891891892</c:v>
                </c:pt>
                <c:pt idx="4">
                  <c:v>0.3108108108108108</c:v>
                </c:pt>
                <c:pt idx="5">
                  <c:v>0.36216216216216218</c:v>
                </c:pt>
                <c:pt idx="6">
                  <c:v>0.41891891891891891</c:v>
                </c:pt>
                <c:pt idx="7">
                  <c:v>0.48648648648648651</c:v>
                </c:pt>
                <c:pt idx="8">
                  <c:v>0.52702702702702697</c:v>
                </c:pt>
                <c:pt idx="9">
                  <c:v>0.56081081081081086</c:v>
                </c:pt>
                <c:pt idx="10">
                  <c:v>0.59864864864864864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3-453C-8FEA-EA6F406B7B39}"/>
            </c:ext>
          </c:extLst>
        </c:ser>
        <c:ser>
          <c:idx val="10"/>
          <c:order val="2"/>
          <c:tx>
            <c:strRef>
              <c:f>'Participation horaire'!$I$37</c:f>
              <c:strCache>
                <c:ptCount val="1"/>
                <c:pt idx="0">
                  <c:v>Bureau 3</c:v>
                </c:pt>
              </c:strCache>
            </c:strRef>
          </c:tx>
          <c:spPr>
            <a:ln w="19050" cap="rnd" cmpd="sng" algn="ctr">
              <a:solidFill>
                <a:srgbClr val="FF6D01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horaire'!$I$38:$I$48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5.6100981767180924E-2</c:v>
                </c:pt>
                <c:pt idx="2">
                  <c:v>0.15427769985974754</c:v>
                </c:pt>
                <c:pt idx="3">
                  <c:v>0.26647966339410939</c:v>
                </c:pt>
                <c:pt idx="4">
                  <c:v>0.37868162692847124</c:v>
                </c:pt>
                <c:pt idx="5">
                  <c:v>0.43478260869565216</c:v>
                </c:pt>
                <c:pt idx="6">
                  <c:v>0.50490883590462832</c:v>
                </c:pt>
                <c:pt idx="7">
                  <c:v>0.57503506311360453</c:v>
                </c:pt>
                <c:pt idx="8">
                  <c:v>0.61711079943899017</c:v>
                </c:pt>
                <c:pt idx="9">
                  <c:v>0.65918653576437591</c:v>
                </c:pt>
                <c:pt idx="10">
                  <c:v>0.67882187938288918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3C-8FEA-EA6F406B7B39}"/>
            </c:ext>
          </c:extLst>
        </c:ser>
        <c:ser>
          <c:idx val="9"/>
          <c:order val="3"/>
          <c:tx>
            <c:strRef>
              <c:f>'Participation horaire'!$J$37</c:f>
              <c:strCache>
                <c:ptCount val="1"/>
                <c:pt idx="0">
                  <c:v>Bureau 4</c:v>
                </c:pt>
              </c:strCache>
            </c:strRef>
          </c:tx>
          <c:spPr>
            <a:ln w="19050" cap="rnd" cmpd="sng" algn="ctr">
              <a:solidFill>
                <a:srgbClr val="34A853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horaire'!$J$38:$J$48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4.8600883652430045E-2</c:v>
                </c:pt>
                <c:pt idx="2">
                  <c:v>0.10014727540500737</c:v>
                </c:pt>
                <c:pt idx="3">
                  <c:v>0.203240058910162</c:v>
                </c:pt>
                <c:pt idx="4">
                  <c:v>0.2768777614138439</c:v>
                </c:pt>
                <c:pt idx="5">
                  <c:v>0.3328424153166421</c:v>
                </c:pt>
                <c:pt idx="6">
                  <c:v>0.39175257731958762</c:v>
                </c:pt>
                <c:pt idx="7">
                  <c:v>0.45066273932253315</c:v>
                </c:pt>
                <c:pt idx="8">
                  <c:v>0.49484536082474229</c:v>
                </c:pt>
                <c:pt idx="9">
                  <c:v>0.51693667157584688</c:v>
                </c:pt>
                <c:pt idx="10">
                  <c:v>0.53460972017673047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53-453C-8FEA-EA6F406B7B39}"/>
            </c:ext>
          </c:extLst>
        </c:ser>
        <c:ser>
          <c:idx val="8"/>
          <c:order val="4"/>
          <c:tx>
            <c:strRef>
              <c:f>'Participation horaire'!$K$37</c:f>
              <c:strCache>
                <c:ptCount val="1"/>
                <c:pt idx="0">
                  <c:v>Bureau 5</c:v>
                </c:pt>
              </c:strCache>
            </c:strRef>
          </c:tx>
          <c:spPr>
            <a:ln w="19050" cap="rnd" cmpd="sng" algn="ctr">
              <a:solidFill>
                <a:srgbClr val="FBBC04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horaire'!$K$38:$K$48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5.2781740370898715E-2</c:v>
                </c:pt>
                <c:pt idx="2">
                  <c:v>0.13266761768901569</c:v>
                </c:pt>
                <c:pt idx="3">
                  <c:v>0.22824536376604851</c:v>
                </c:pt>
                <c:pt idx="4">
                  <c:v>0.34236804564907275</c:v>
                </c:pt>
                <c:pt idx="5">
                  <c:v>0.4136947218259629</c:v>
                </c:pt>
                <c:pt idx="6">
                  <c:v>0.46362339514978601</c:v>
                </c:pt>
                <c:pt idx="7">
                  <c:v>0.53495007132667616</c:v>
                </c:pt>
                <c:pt idx="8">
                  <c:v>0.59914407988587737</c:v>
                </c:pt>
                <c:pt idx="9">
                  <c:v>0.6205420827389444</c:v>
                </c:pt>
                <c:pt idx="10">
                  <c:v>0.64479315263908699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53-453C-8FEA-EA6F406B7B39}"/>
            </c:ext>
          </c:extLst>
        </c:ser>
        <c:ser>
          <c:idx val="7"/>
          <c:order val="5"/>
          <c:tx>
            <c:strRef>
              <c:f>'Participation horaire'!$L$37</c:f>
              <c:strCache>
                <c:ptCount val="1"/>
                <c:pt idx="0">
                  <c:v>Bureau 6</c:v>
                </c:pt>
              </c:strCache>
            </c:strRef>
          </c:tx>
          <c:spPr>
            <a:ln w="19050" cap="rnd" cmpd="sng" algn="ctr">
              <a:solidFill>
                <a:srgbClr val="EA4335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horaire'!$L$38:$L$48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4.2253521126760563E-2</c:v>
                </c:pt>
                <c:pt idx="2">
                  <c:v>0.12535211267605634</c:v>
                </c:pt>
                <c:pt idx="3">
                  <c:v>0.19718309859154928</c:v>
                </c:pt>
                <c:pt idx="4">
                  <c:v>0.26760563380281688</c:v>
                </c:pt>
                <c:pt idx="5">
                  <c:v>0.33380281690140845</c:v>
                </c:pt>
                <c:pt idx="6">
                  <c:v>0.38732394366197181</c:v>
                </c:pt>
                <c:pt idx="7">
                  <c:v>0.42957746478873238</c:v>
                </c:pt>
                <c:pt idx="8">
                  <c:v>0.47323943661971829</c:v>
                </c:pt>
                <c:pt idx="9">
                  <c:v>0.5</c:v>
                </c:pt>
                <c:pt idx="10">
                  <c:v>0.5169014084507042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53-453C-8FEA-EA6F406B7B39}"/>
            </c:ext>
          </c:extLst>
        </c:ser>
        <c:ser>
          <c:idx val="6"/>
          <c:order val="6"/>
          <c:tx>
            <c:strRef>
              <c:f>'Participation horaire'!$M$37</c:f>
              <c:strCache>
                <c:ptCount val="1"/>
                <c:pt idx="0">
                  <c:v>Bureau 7</c:v>
                </c:pt>
              </c:strCache>
            </c:strRef>
          </c:tx>
          <c:spPr>
            <a:ln w="19050" cap="rnd" cmpd="sng" algn="ctr">
              <a:solidFill>
                <a:srgbClr val="4285F4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horaire'!$M$38:$M$48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2.7359781121751026E-2</c:v>
                </c:pt>
                <c:pt idx="2">
                  <c:v>0.10259917920656635</c:v>
                </c:pt>
                <c:pt idx="3">
                  <c:v>0.20519835841313269</c:v>
                </c:pt>
                <c:pt idx="4">
                  <c:v>0.33105335157318744</c:v>
                </c:pt>
                <c:pt idx="5">
                  <c:v>0.38850889192886456</c:v>
                </c:pt>
                <c:pt idx="6">
                  <c:v>0.42407660738714092</c:v>
                </c:pt>
                <c:pt idx="7">
                  <c:v>0.48426812585499318</c:v>
                </c:pt>
                <c:pt idx="8">
                  <c:v>0.54993160054719559</c:v>
                </c:pt>
                <c:pt idx="9">
                  <c:v>0.57455540355677159</c:v>
                </c:pt>
                <c:pt idx="10">
                  <c:v>0.60054719562243497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53-453C-8FEA-EA6F406B7B39}"/>
            </c:ext>
          </c:extLst>
        </c:ser>
        <c:ser>
          <c:idx val="5"/>
          <c:order val="7"/>
          <c:tx>
            <c:strRef>
              <c:f>'Participation horaire'!$N$37</c:f>
              <c:strCache>
                <c:ptCount val="1"/>
                <c:pt idx="0">
                  <c:v>Bureau 8</c:v>
                </c:pt>
              </c:strCache>
            </c:strRef>
          </c:tx>
          <c:spPr>
            <a:ln w="19050" cap="rnd" cmpd="sng" algn="ctr">
              <a:solidFill>
                <a:srgbClr val="46BDC6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horaire'!$N$38:$N$48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5.5727554179566562E-2</c:v>
                </c:pt>
                <c:pt idx="2">
                  <c:v>0.11145510835913312</c:v>
                </c:pt>
                <c:pt idx="3">
                  <c:v>0.23065015479876161</c:v>
                </c:pt>
                <c:pt idx="4">
                  <c:v>0.32972136222910214</c:v>
                </c:pt>
                <c:pt idx="5">
                  <c:v>0.4024767801857585</c:v>
                </c:pt>
                <c:pt idx="6">
                  <c:v>0.46439628482972134</c:v>
                </c:pt>
                <c:pt idx="7">
                  <c:v>0.50309597523219818</c:v>
                </c:pt>
                <c:pt idx="8">
                  <c:v>0.54179566563467496</c:v>
                </c:pt>
                <c:pt idx="9">
                  <c:v>0.55882352941176472</c:v>
                </c:pt>
                <c:pt idx="10">
                  <c:v>0.58668730650154799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53-453C-8FEA-EA6F406B7B39}"/>
            </c:ext>
          </c:extLst>
        </c:ser>
        <c:ser>
          <c:idx val="4"/>
          <c:order val="8"/>
          <c:tx>
            <c:strRef>
              <c:f>'Participation horaire'!$O$37</c:f>
              <c:strCache>
                <c:ptCount val="1"/>
                <c:pt idx="0">
                  <c:v>Bureau 9</c:v>
                </c:pt>
              </c:strCache>
            </c:strRef>
          </c:tx>
          <c:spPr>
            <a:ln w="19050" cap="rnd" cmpd="sng" algn="ctr">
              <a:solidFill>
                <a:srgbClr val="FF6D01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horaire'!$O$38:$O$48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3.1029619181946404E-2</c:v>
                </c:pt>
                <c:pt idx="2">
                  <c:v>8.3215796897038077E-2</c:v>
                </c:pt>
                <c:pt idx="3">
                  <c:v>0.14809590973201692</c:v>
                </c:pt>
                <c:pt idx="4">
                  <c:v>0.23272214386459802</c:v>
                </c:pt>
                <c:pt idx="5">
                  <c:v>0.27080394922425954</c:v>
                </c:pt>
                <c:pt idx="6">
                  <c:v>0.32440056417489421</c:v>
                </c:pt>
                <c:pt idx="7">
                  <c:v>0.38081805359661497</c:v>
                </c:pt>
                <c:pt idx="8">
                  <c:v>0.4132581100141044</c:v>
                </c:pt>
                <c:pt idx="9">
                  <c:v>0.4400564174894217</c:v>
                </c:pt>
                <c:pt idx="10">
                  <c:v>0.4696755994358251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53-453C-8FEA-EA6F406B7B39}"/>
            </c:ext>
          </c:extLst>
        </c:ser>
        <c:ser>
          <c:idx val="3"/>
          <c:order val="9"/>
          <c:tx>
            <c:strRef>
              <c:f>'Participation horaire'!$P$37</c:f>
              <c:strCache>
                <c:ptCount val="1"/>
                <c:pt idx="0">
                  <c:v>Bureau 10</c:v>
                </c:pt>
              </c:strCache>
            </c:strRef>
          </c:tx>
          <c:spPr>
            <a:ln w="19050" cap="rnd" cmpd="sng" algn="ctr">
              <a:solidFill>
                <a:srgbClr val="34A853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horaire'!$P$38:$P$48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4.4334975369458129E-2</c:v>
                </c:pt>
                <c:pt idx="2">
                  <c:v>0.11494252873563218</c:v>
                </c:pt>
                <c:pt idx="3">
                  <c:v>0.22988505747126436</c:v>
                </c:pt>
                <c:pt idx="4">
                  <c:v>0.34482758620689657</c:v>
                </c:pt>
                <c:pt idx="5">
                  <c:v>0.39408866995073893</c:v>
                </c:pt>
                <c:pt idx="6">
                  <c:v>0.44663382594417078</c:v>
                </c:pt>
                <c:pt idx="7">
                  <c:v>0.49261083743842365</c:v>
                </c:pt>
                <c:pt idx="8">
                  <c:v>0.54187192118226601</c:v>
                </c:pt>
                <c:pt idx="9">
                  <c:v>0.56486042692939242</c:v>
                </c:pt>
                <c:pt idx="10">
                  <c:v>0.58620689655172409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F53-453C-8FEA-EA6F406B7B39}"/>
            </c:ext>
          </c:extLst>
        </c:ser>
        <c:ser>
          <c:idx val="2"/>
          <c:order val="10"/>
          <c:tx>
            <c:strRef>
              <c:f>'Participation horaire'!$Q$37</c:f>
              <c:strCache>
                <c:ptCount val="1"/>
                <c:pt idx="0">
                  <c:v>Bureau 11</c:v>
                </c:pt>
              </c:strCache>
            </c:strRef>
          </c:tx>
          <c:spPr>
            <a:ln w="19050" cap="rnd" cmpd="sng" algn="ctr">
              <a:solidFill>
                <a:srgbClr val="FBBC04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horaire'!$Q$38:$Q$48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6.8017366136034735E-2</c:v>
                </c:pt>
                <c:pt idx="2">
                  <c:v>0.13892908827785819</c:v>
                </c:pt>
                <c:pt idx="3">
                  <c:v>0.22865412445730826</c:v>
                </c:pt>
                <c:pt idx="4">
                  <c:v>0.31114327062228653</c:v>
                </c:pt>
                <c:pt idx="5">
                  <c:v>0.38205499276410998</c:v>
                </c:pt>
                <c:pt idx="6">
                  <c:v>0.43270622286541244</c:v>
                </c:pt>
                <c:pt idx="7">
                  <c:v>0.48046309696092621</c:v>
                </c:pt>
                <c:pt idx="8">
                  <c:v>0.55282199710564395</c:v>
                </c:pt>
                <c:pt idx="9">
                  <c:v>0.57597684515195369</c:v>
                </c:pt>
                <c:pt idx="10">
                  <c:v>0.60202604920405212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53-453C-8FEA-EA6F406B7B39}"/>
            </c:ext>
          </c:extLst>
        </c:ser>
        <c:ser>
          <c:idx val="1"/>
          <c:order val="11"/>
          <c:tx>
            <c:strRef>
              <c:f>'Participation horaire'!$R$37</c:f>
              <c:strCache>
                <c:ptCount val="1"/>
                <c:pt idx="0">
                  <c:v>Bureau 12</c:v>
                </c:pt>
              </c:strCache>
            </c:strRef>
          </c:tx>
          <c:spPr>
            <a:ln w="19050" cap="rnd" cmpd="sng" algn="ctr">
              <a:solidFill>
                <a:srgbClr val="EA4335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horaire'!$R$38:$R$48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3.5294117647058823E-2</c:v>
                </c:pt>
                <c:pt idx="2">
                  <c:v>7.2058823529411759E-2</c:v>
                </c:pt>
                <c:pt idx="3">
                  <c:v>0.14117647058823529</c:v>
                </c:pt>
                <c:pt idx="4">
                  <c:v>0.21029411764705883</c:v>
                </c:pt>
                <c:pt idx="5">
                  <c:v>0.2676470588235294</c:v>
                </c:pt>
                <c:pt idx="6">
                  <c:v>0.31911764705882351</c:v>
                </c:pt>
                <c:pt idx="7">
                  <c:v>0.36911764705882355</c:v>
                </c:pt>
                <c:pt idx="8">
                  <c:v>0.42205882352941176</c:v>
                </c:pt>
                <c:pt idx="9">
                  <c:v>0.47205882352941175</c:v>
                </c:pt>
                <c:pt idx="10">
                  <c:v>0.47941176470588237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F53-453C-8FEA-EA6F406B7B39}"/>
            </c:ext>
          </c:extLst>
        </c:ser>
        <c:ser>
          <c:idx val="0"/>
          <c:order val="12"/>
          <c:tx>
            <c:strRef>
              <c:f>'Participation horaire'!$S$37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rgbClr val="4285F4">
                  <a:alpha val="5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strRef>
              <c:f>'Participation horaire'!$F$38:$F$48</c:f>
              <c:strCache>
                <c:ptCount val="11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</c:strCache>
            </c:strRef>
          </c:cat>
          <c:val>
            <c:numRef>
              <c:f>'Participation horaire'!$S$38:$S$48</c:f>
              <c:numCache>
                <c:formatCode>0.00%</c:formatCode>
                <c:ptCount val="11"/>
                <c:pt idx="0" formatCode="General">
                  <c:v>0</c:v>
                </c:pt>
                <c:pt idx="1">
                  <c:v>4.8272482234746387E-2</c:v>
                </c:pt>
                <c:pt idx="2">
                  <c:v>0.11504533202646411</c:v>
                </c:pt>
                <c:pt idx="3">
                  <c:v>0.20779220779220781</c:v>
                </c:pt>
                <c:pt idx="4">
                  <c:v>0.30531732418524871</c:v>
                </c:pt>
                <c:pt idx="5">
                  <c:v>0.36290124969370252</c:v>
                </c:pt>
                <c:pt idx="6">
                  <c:v>0.4164420485175202</c:v>
                </c:pt>
                <c:pt idx="7">
                  <c:v>0.47096299926488605</c:v>
                </c:pt>
                <c:pt idx="8">
                  <c:v>0.5204606714040676</c:v>
                </c:pt>
                <c:pt idx="9">
                  <c:v>0.54949767213918155</c:v>
                </c:pt>
                <c:pt idx="10">
                  <c:v>0.57363391325655477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53-453C-8FEA-EA6F406B7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solidFill/>
          </a:ln>
        </c:spPr>
        <c:crossAx val="160015510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  <c:extLst/>
  </c:chart>
  <c:spPr>
    <a:solidFill>
      <a:srgbClr val="EFEFEF"/>
    </a:solidFill>
  </c:spPr>
  <c:txPr>
    <a:bodyPr/>
    <a:lstStyle/>
    <a:p>
      <a:pPr>
        <a:defRPr>
          <a:latin typeface="Marianne" panose="02000000000000000000" pitchFamily="50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 b="0"/>
            </a:pPr>
            <a:r>
              <a:rPr lang="fr-FR" sz="2400" b="0"/>
              <a:t>Affluence horaire</a:t>
            </a:r>
          </a:p>
        </c:rich>
      </c:tx>
      <c:layout>
        <c:manualLayout>
          <c:xMode val="edge"/>
          <c:yMode val="edge"/>
          <c:x val="0.53143596916609681"/>
          <c:y val="3.976892007670025E-2"/>
        </c:manualLayout>
      </c:layout>
      <c:overlay val="0"/>
      <c:spPr>
        <a:solidFill>
          <a:schemeClr val="bg1">
            <a:alpha val="50000"/>
          </a:schemeClr>
        </a:solidFill>
      </c:spPr>
    </c:title>
    <c:autoTitleDeleted val="0"/>
    <c:plotArea>
      <c:layout>
        <c:manualLayout>
          <c:layoutTarget val="inner"/>
          <c:xMode val="edge"/>
          <c:yMode val="edge"/>
          <c:x val="8.0143239525911653E-2"/>
          <c:y val="3.7805991968525417E-2"/>
          <c:w val="0.80082893764493035"/>
          <c:h val="0.84643590052551532"/>
        </c:manualLayout>
      </c:layout>
      <c:barChart>
        <c:barDir val="col"/>
        <c:grouping val="clustered"/>
        <c:varyColors val="1"/>
        <c:ser>
          <c:idx val="13"/>
          <c:order val="0"/>
          <c:tx>
            <c:strRef>
              <c:f>'Participation horaire'!$G$53</c:f>
              <c:strCache>
                <c:ptCount val="1"/>
                <c:pt idx="0">
                  <c:v>Bureau 1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 w="31750">
              <a:noFill/>
              <a:prstDash val="dash"/>
            </a:ln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3DD-49B6-8824-54E824C8D535}"/>
              </c:ext>
            </c:extLst>
          </c:dPt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horaire'!$G$54:$G$63</c:f>
              <c:numCache>
                <c:formatCode>General</c:formatCode>
                <c:ptCount val="10"/>
                <c:pt idx="0">
                  <c:v>33</c:v>
                </c:pt>
                <c:pt idx="1">
                  <c:v>45</c:v>
                </c:pt>
                <c:pt idx="2">
                  <c:v>52</c:v>
                </c:pt>
                <c:pt idx="3">
                  <c:v>56</c:v>
                </c:pt>
                <c:pt idx="4">
                  <c:v>23</c:v>
                </c:pt>
                <c:pt idx="5">
                  <c:v>26</c:v>
                </c:pt>
                <c:pt idx="6">
                  <c:v>21</c:v>
                </c:pt>
                <c:pt idx="7">
                  <c:v>26</c:v>
                </c:pt>
                <c:pt idx="8">
                  <c:v>21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D-49B6-8824-54E824C8D535}"/>
            </c:ext>
          </c:extLst>
        </c:ser>
        <c:ser>
          <c:idx val="0"/>
          <c:order val="1"/>
          <c:tx>
            <c:strRef>
              <c:f>'Participation horaire'!$H$53</c:f>
              <c:strCache>
                <c:ptCount val="1"/>
                <c:pt idx="0">
                  <c:v>Bureau 2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horaire'!$H$54:$H$63</c:f>
              <c:numCache>
                <c:formatCode>General</c:formatCode>
                <c:ptCount val="10"/>
                <c:pt idx="0">
                  <c:v>45</c:v>
                </c:pt>
                <c:pt idx="1">
                  <c:v>35</c:v>
                </c:pt>
                <c:pt idx="2">
                  <c:v>60</c:v>
                </c:pt>
                <c:pt idx="3">
                  <c:v>90</c:v>
                </c:pt>
                <c:pt idx="4">
                  <c:v>38</c:v>
                </c:pt>
                <c:pt idx="5">
                  <c:v>42</c:v>
                </c:pt>
                <c:pt idx="6">
                  <c:v>50</c:v>
                </c:pt>
                <c:pt idx="7">
                  <c:v>30</c:v>
                </c:pt>
                <c:pt idx="8">
                  <c:v>25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DD-49B6-8824-54E824C8D535}"/>
            </c:ext>
          </c:extLst>
        </c:ser>
        <c:ser>
          <c:idx val="1"/>
          <c:order val="2"/>
          <c:tx>
            <c:strRef>
              <c:f>'Participation horaire'!$I$53</c:f>
              <c:strCache>
                <c:ptCount val="1"/>
                <c:pt idx="0">
                  <c:v>Bureau 3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horaire'!$I$54:$I$63</c:f>
              <c:numCache>
                <c:formatCode>General</c:formatCode>
                <c:ptCount val="10"/>
                <c:pt idx="0">
                  <c:v>40</c:v>
                </c:pt>
                <c:pt idx="1">
                  <c:v>70</c:v>
                </c:pt>
                <c:pt idx="2">
                  <c:v>80</c:v>
                </c:pt>
                <c:pt idx="3">
                  <c:v>80</c:v>
                </c:pt>
                <c:pt idx="4">
                  <c:v>40</c:v>
                </c:pt>
                <c:pt idx="5">
                  <c:v>50</c:v>
                </c:pt>
                <c:pt idx="6">
                  <c:v>50</c:v>
                </c:pt>
                <c:pt idx="7">
                  <c:v>30</c:v>
                </c:pt>
                <c:pt idx="8">
                  <c:v>30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DD-49B6-8824-54E824C8D535}"/>
            </c:ext>
          </c:extLst>
        </c:ser>
        <c:ser>
          <c:idx val="2"/>
          <c:order val="3"/>
          <c:tx>
            <c:strRef>
              <c:f>'Participation horaire'!$J$53</c:f>
              <c:strCache>
                <c:ptCount val="1"/>
                <c:pt idx="0">
                  <c:v>Bureau 4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horaire'!$J$54:$J$63</c:f>
              <c:numCache>
                <c:formatCode>General</c:formatCode>
                <c:ptCount val="10"/>
                <c:pt idx="0">
                  <c:v>33</c:v>
                </c:pt>
                <c:pt idx="1">
                  <c:v>35</c:v>
                </c:pt>
                <c:pt idx="2">
                  <c:v>70</c:v>
                </c:pt>
                <c:pt idx="3">
                  <c:v>50</c:v>
                </c:pt>
                <c:pt idx="4">
                  <c:v>38</c:v>
                </c:pt>
                <c:pt idx="5">
                  <c:v>40</c:v>
                </c:pt>
                <c:pt idx="6">
                  <c:v>40</c:v>
                </c:pt>
                <c:pt idx="7">
                  <c:v>30</c:v>
                </c:pt>
                <c:pt idx="8">
                  <c:v>15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DD-49B6-8824-54E824C8D535}"/>
            </c:ext>
          </c:extLst>
        </c:ser>
        <c:ser>
          <c:idx val="3"/>
          <c:order val="4"/>
          <c:tx>
            <c:strRef>
              <c:f>'Participation horaire'!$K$53</c:f>
              <c:strCache>
                <c:ptCount val="1"/>
                <c:pt idx="0">
                  <c:v>Bureau 5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horaire'!$K$54:$K$63</c:f>
              <c:numCache>
                <c:formatCode>General</c:formatCode>
                <c:ptCount val="10"/>
                <c:pt idx="0">
                  <c:v>37</c:v>
                </c:pt>
                <c:pt idx="1">
                  <c:v>56</c:v>
                </c:pt>
                <c:pt idx="2">
                  <c:v>67</c:v>
                </c:pt>
                <c:pt idx="3">
                  <c:v>80</c:v>
                </c:pt>
                <c:pt idx="4">
                  <c:v>50</c:v>
                </c:pt>
                <c:pt idx="5">
                  <c:v>35</c:v>
                </c:pt>
                <c:pt idx="6">
                  <c:v>50</c:v>
                </c:pt>
                <c:pt idx="7">
                  <c:v>45</c:v>
                </c:pt>
                <c:pt idx="8">
                  <c:v>15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DD-49B6-8824-54E824C8D535}"/>
            </c:ext>
          </c:extLst>
        </c:ser>
        <c:ser>
          <c:idx val="4"/>
          <c:order val="5"/>
          <c:tx>
            <c:strRef>
              <c:f>'Participation horaire'!$L$53</c:f>
              <c:strCache>
                <c:ptCount val="1"/>
                <c:pt idx="0">
                  <c:v>Bureau 6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horaire'!$L$54:$L$63</c:f>
              <c:numCache>
                <c:formatCode>General</c:formatCode>
                <c:ptCount val="10"/>
                <c:pt idx="0">
                  <c:v>30</c:v>
                </c:pt>
                <c:pt idx="1">
                  <c:v>59</c:v>
                </c:pt>
                <c:pt idx="2">
                  <c:v>51</c:v>
                </c:pt>
                <c:pt idx="3">
                  <c:v>50</c:v>
                </c:pt>
                <c:pt idx="4">
                  <c:v>47</c:v>
                </c:pt>
                <c:pt idx="5">
                  <c:v>38</c:v>
                </c:pt>
                <c:pt idx="6">
                  <c:v>30</c:v>
                </c:pt>
                <c:pt idx="7">
                  <c:v>31</c:v>
                </c:pt>
                <c:pt idx="8">
                  <c:v>19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DD-49B6-8824-54E824C8D535}"/>
            </c:ext>
          </c:extLst>
        </c:ser>
        <c:ser>
          <c:idx val="5"/>
          <c:order val="6"/>
          <c:tx>
            <c:strRef>
              <c:f>'Participation horaire'!$M$53</c:f>
              <c:strCache>
                <c:ptCount val="1"/>
                <c:pt idx="0">
                  <c:v>Bureau 7</c:v>
                </c:pt>
              </c:strCache>
            </c:strRef>
          </c:tx>
          <c:spPr>
            <a:solidFill>
              <a:schemeClr val="accent5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horaire'!$M$54:$M$63</c:f>
              <c:numCache>
                <c:formatCode>General</c:formatCode>
                <c:ptCount val="10"/>
                <c:pt idx="0">
                  <c:v>20</c:v>
                </c:pt>
                <c:pt idx="1">
                  <c:v>55</c:v>
                </c:pt>
                <c:pt idx="2">
                  <c:v>75</c:v>
                </c:pt>
                <c:pt idx="3">
                  <c:v>92</c:v>
                </c:pt>
                <c:pt idx="4">
                  <c:v>42</c:v>
                </c:pt>
                <c:pt idx="5">
                  <c:v>26</c:v>
                </c:pt>
                <c:pt idx="6">
                  <c:v>44</c:v>
                </c:pt>
                <c:pt idx="7">
                  <c:v>48</c:v>
                </c:pt>
                <c:pt idx="8">
                  <c:v>18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DD-49B6-8824-54E824C8D535}"/>
            </c:ext>
          </c:extLst>
        </c:ser>
        <c:ser>
          <c:idx val="6"/>
          <c:order val="7"/>
          <c:tx>
            <c:strRef>
              <c:f>'Participation horaire'!$N$53</c:f>
              <c:strCache>
                <c:ptCount val="1"/>
                <c:pt idx="0">
                  <c:v>Bureau 8</c:v>
                </c:pt>
              </c:strCache>
            </c:strRef>
          </c:tx>
          <c:spPr>
            <a:solidFill>
              <a:schemeClr val="accent6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horaire'!$N$54:$N$63</c:f>
              <c:numCache>
                <c:formatCode>General</c:formatCode>
                <c:ptCount val="10"/>
                <c:pt idx="0">
                  <c:v>36</c:v>
                </c:pt>
                <c:pt idx="1">
                  <c:v>36</c:v>
                </c:pt>
                <c:pt idx="2">
                  <c:v>77</c:v>
                </c:pt>
                <c:pt idx="3">
                  <c:v>64</c:v>
                </c:pt>
                <c:pt idx="4">
                  <c:v>47</c:v>
                </c:pt>
                <c:pt idx="5">
                  <c:v>40</c:v>
                </c:pt>
                <c:pt idx="6">
                  <c:v>25</c:v>
                </c:pt>
                <c:pt idx="7">
                  <c:v>25</c:v>
                </c:pt>
                <c:pt idx="8">
                  <c:v>11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3DD-49B6-8824-54E824C8D535}"/>
            </c:ext>
          </c:extLst>
        </c:ser>
        <c:ser>
          <c:idx val="7"/>
          <c:order val="8"/>
          <c:tx>
            <c:strRef>
              <c:f>'Participation horaire'!$O$53</c:f>
              <c:strCache>
                <c:ptCount val="1"/>
                <c:pt idx="0">
                  <c:v>Bureau 9</c:v>
                </c:pt>
              </c:strCache>
            </c:strRef>
          </c:tx>
          <c:spPr>
            <a:solidFill>
              <a:schemeClr val="accent1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horaire'!$O$54:$O$63</c:f>
              <c:numCache>
                <c:formatCode>General</c:formatCode>
                <c:ptCount val="10"/>
                <c:pt idx="0">
                  <c:v>22</c:v>
                </c:pt>
                <c:pt idx="1">
                  <c:v>37</c:v>
                </c:pt>
                <c:pt idx="2">
                  <c:v>46</c:v>
                </c:pt>
                <c:pt idx="3">
                  <c:v>60</c:v>
                </c:pt>
                <c:pt idx="4">
                  <c:v>27</c:v>
                </c:pt>
                <c:pt idx="5">
                  <c:v>38</c:v>
                </c:pt>
                <c:pt idx="6">
                  <c:v>40</c:v>
                </c:pt>
                <c:pt idx="7">
                  <c:v>23</c:v>
                </c:pt>
                <c:pt idx="8">
                  <c:v>19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DD-49B6-8824-54E824C8D535}"/>
            </c:ext>
          </c:extLst>
        </c:ser>
        <c:ser>
          <c:idx val="8"/>
          <c:order val="9"/>
          <c:tx>
            <c:strRef>
              <c:f>'Participation horaire'!$P$53</c:f>
              <c:strCache>
                <c:ptCount val="1"/>
                <c:pt idx="0">
                  <c:v>Bureau 10</c:v>
                </c:pt>
              </c:strCache>
            </c:strRef>
          </c:tx>
          <c:spPr>
            <a:solidFill>
              <a:schemeClr val="accent2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horaire'!$P$54:$P$63</c:f>
              <c:numCache>
                <c:formatCode>General</c:formatCode>
                <c:ptCount val="10"/>
                <c:pt idx="0">
                  <c:v>27</c:v>
                </c:pt>
                <c:pt idx="1">
                  <c:v>43</c:v>
                </c:pt>
                <c:pt idx="2">
                  <c:v>70</c:v>
                </c:pt>
                <c:pt idx="3">
                  <c:v>70</c:v>
                </c:pt>
                <c:pt idx="4">
                  <c:v>30</c:v>
                </c:pt>
                <c:pt idx="5">
                  <c:v>32</c:v>
                </c:pt>
                <c:pt idx="6">
                  <c:v>28</c:v>
                </c:pt>
                <c:pt idx="7">
                  <c:v>30</c:v>
                </c:pt>
                <c:pt idx="8">
                  <c:v>14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3DD-49B6-8824-54E824C8D535}"/>
            </c:ext>
          </c:extLst>
        </c:ser>
        <c:ser>
          <c:idx val="9"/>
          <c:order val="10"/>
          <c:tx>
            <c:strRef>
              <c:f>'Participation horaire'!$Q$53</c:f>
              <c:strCache>
                <c:ptCount val="1"/>
                <c:pt idx="0">
                  <c:v>Bureau 11</c:v>
                </c:pt>
              </c:strCache>
            </c:strRef>
          </c:tx>
          <c:spPr>
            <a:solidFill>
              <a:schemeClr val="accent3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horaire'!$Q$54:$Q$63</c:f>
              <c:numCache>
                <c:formatCode>General</c:formatCode>
                <c:ptCount val="10"/>
                <c:pt idx="0">
                  <c:v>47</c:v>
                </c:pt>
                <c:pt idx="1">
                  <c:v>49</c:v>
                </c:pt>
                <c:pt idx="2">
                  <c:v>62</c:v>
                </c:pt>
                <c:pt idx="3">
                  <c:v>57</c:v>
                </c:pt>
                <c:pt idx="4">
                  <c:v>49</c:v>
                </c:pt>
                <c:pt idx="5">
                  <c:v>35</c:v>
                </c:pt>
                <c:pt idx="6">
                  <c:v>33</c:v>
                </c:pt>
                <c:pt idx="7">
                  <c:v>50</c:v>
                </c:pt>
                <c:pt idx="8">
                  <c:v>16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3DD-49B6-8824-54E824C8D535}"/>
            </c:ext>
          </c:extLst>
        </c:ser>
        <c:ser>
          <c:idx val="10"/>
          <c:order val="11"/>
          <c:tx>
            <c:strRef>
              <c:f>'Participation horaire'!$R$53</c:f>
              <c:strCache>
                <c:ptCount val="1"/>
                <c:pt idx="0">
                  <c:v>Bureau 12</c:v>
                </c:pt>
              </c:strCache>
            </c:strRef>
          </c:tx>
          <c:spPr>
            <a:solidFill>
              <a:schemeClr val="accent4">
                <a:alpha val="50000"/>
              </a:schemeClr>
            </a:solidFill>
            <a:ln>
              <a:noFill/>
            </a:ln>
          </c:spPr>
          <c:invertIfNegative val="0"/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horaire'!$R$54:$R$63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47</c:v>
                </c:pt>
                <c:pt idx="3">
                  <c:v>47</c:v>
                </c:pt>
                <c:pt idx="4">
                  <c:v>39</c:v>
                </c:pt>
                <c:pt idx="5">
                  <c:v>35</c:v>
                </c:pt>
                <c:pt idx="6">
                  <c:v>34</c:v>
                </c:pt>
                <c:pt idx="7">
                  <c:v>36</c:v>
                </c:pt>
                <c:pt idx="8">
                  <c:v>34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3DD-49B6-8824-54E824C8D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1600155108"/>
        <c:axId val="555101647"/>
      </c:barChart>
      <c:barChart>
        <c:barDir val="col"/>
        <c:grouping val="clustered"/>
        <c:varyColors val="1"/>
        <c:ser>
          <c:idx val="11"/>
          <c:order val="12"/>
          <c:tx>
            <c:strRef>
              <c:f>'Participation horaire'!$S$53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alpha val="80000"/>
              </a:schemeClr>
            </a:solidFill>
            <a:ln>
              <a:solidFill>
                <a:srgbClr val="CCCCC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'Participation horaire'!$F$54:$F$63</c:f>
              <c:strCache>
                <c:ptCount val="10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</c:strCache>
            </c:strRef>
          </c:cat>
          <c:val>
            <c:numRef>
              <c:f>'Participation horaire'!$S$54:$S$63</c:f>
              <c:numCache>
                <c:formatCode>General</c:formatCode>
                <c:ptCount val="10"/>
                <c:pt idx="0">
                  <c:v>394</c:v>
                </c:pt>
                <c:pt idx="1">
                  <c:v>545</c:v>
                </c:pt>
                <c:pt idx="2">
                  <c:v>757</c:v>
                </c:pt>
                <c:pt idx="3">
                  <c:v>796</c:v>
                </c:pt>
                <c:pt idx="4">
                  <c:v>470</c:v>
                </c:pt>
                <c:pt idx="5">
                  <c:v>437</c:v>
                </c:pt>
                <c:pt idx="6">
                  <c:v>445</c:v>
                </c:pt>
                <c:pt idx="7">
                  <c:v>404</c:v>
                </c:pt>
                <c:pt idx="8">
                  <c:v>237</c:v>
                </c:pt>
                <c:pt idx="9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3DD-49B6-8824-54E824C8D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5"/>
        <c:axId val="1838690223"/>
        <c:axId val="1838698383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 anchor="ctr" anchorCtr="0"/>
          <a:lstStyle/>
          <a:p>
            <a:pPr>
              <a:defRPr sz="1400"/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fr-FR"/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>
              <a:defRPr sz="1600"/>
            </a:pPr>
            <a:endParaRPr lang="fr-FR"/>
          </a:p>
        </c:txPr>
        <c:crossAx val="1600155108"/>
        <c:crosses val="autoZero"/>
        <c:crossBetween val="between"/>
      </c:valAx>
      <c:valAx>
        <c:axId val="18386983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fr-FR"/>
          </a:p>
        </c:txPr>
        <c:crossAx val="1838690223"/>
        <c:crosses val="max"/>
        <c:crossBetween val="between"/>
      </c:valAx>
      <c:catAx>
        <c:axId val="1838690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98383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91422072599475579"/>
          <c:y val="0.1716568299642581"/>
          <c:w val="8.151670361593151E-2"/>
          <c:h val="0.68174106223070241"/>
        </c:manualLayout>
      </c:layout>
      <c:overlay val="0"/>
      <c:spPr>
        <a:ln>
          <a:noFill/>
        </a:ln>
      </c:spPr>
      <c:txPr>
        <a:bodyPr/>
        <a:lstStyle/>
        <a:p>
          <a:pPr>
            <a:defRPr sz="1100"/>
          </a:pPr>
          <a:endParaRPr lang="fr-FR"/>
        </a:p>
      </c:txPr>
    </c:legend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txPr>
    <a:bodyPr/>
    <a:lstStyle/>
    <a:p>
      <a:pPr>
        <a:defRPr sz="1400">
          <a:latin typeface="Marianne" panose="02000000000000000000" pitchFamily="50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1 - Ecole Chabaud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1'!$D$13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9D-4B59-A5D3-93018C0363E3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9D-4B59-A5D3-93018C0363E3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9D-4B59-A5D3-93018C0363E3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9D-4B59-A5D3-93018C0363E3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09D-4B59-A5D3-93018C0363E3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809D-4B59-A5D3-93018C0363E3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809D-4B59-A5D3-93018C0363E3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809D-4B59-A5D3-93018C0363E3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809D-4B59-A5D3-93018C0363E3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809D-4B59-A5D3-93018C0363E3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809D-4B59-A5D3-93018C0363E3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809D-4B59-A5D3-93018C0363E3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809D-4B59-A5D3-93018C0363E3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809D-4B59-A5D3-93018C0363E3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809D-4B59-A5D3-93018C0363E3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809D-4B59-A5D3-93018C0363E3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809D-4B59-A5D3-93018C0363E3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809D-4B59-A5D3-93018C0363E3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809D-4B59-A5D3-93018C0363E3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809D-4B59-A5D3-93018C0363E3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809D-4B59-A5D3-93018C0363E3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809D-4B59-A5D3-93018C0363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1'!$E$2:$M$2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1'!$E$14:$M$14</c:f>
              <c:numCache>
                <c:formatCode>0.00%</c:formatCode>
                <c:ptCount val="9"/>
                <c:pt idx="0">
                  <c:v>9.5975232198142413E-2</c:v>
                </c:pt>
                <c:pt idx="1">
                  <c:v>1.8575851393188854E-2</c:v>
                </c:pt>
                <c:pt idx="2">
                  <c:v>0.34674922600619196</c:v>
                </c:pt>
                <c:pt idx="3">
                  <c:v>0.11145510835913312</c:v>
                </c:pt>
                <c:pt idx="4">
                  <c:v>0.29102167182662536</c:v>
                </c:pt>
                <c:pt idx="5">
                  <c:v>3.0959752321981424E-2</c:v>
                </c:pt>
                <c:pt idx="6">
                  <c:v>6.8111455108359129E-2</c:v>
                </c:pt>
                <c:pt idx="7">
                  <c:v>2.4767801857585141E-2</c:v>
                </c:pt>
                <c:pt idx="8">
                  <c:v>1.238390092879257E-2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809D-4B59-A5D3-93018C036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1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1'!$R$2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7DA-4114-AD64-96E94573A399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7DA-4114-AD64-96E94573A399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7DA-4114-AD64-96E94573A399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7DA-4114-AD64-96E94573A399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7DA-4114-AD64-96E94573A399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7DA-4114-AD64-96E94573A399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7DA-4114-AD64-96E94573A399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7DA-4114-AD64-96E94573A399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7DA-4114-AD64-96E94573A399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7DA-4114-AD64-96E94573A399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27DA-4114-AD64-96E94573A399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27DA-4114-AD64-96E94573A399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27DA-4114-AD64-96E94573A39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1'!$R$3:$R$15</c:f>
              <c:numCache>
                <c:formatCode>0.00%</c:formatCode>
                <c:ptCount val="13"/>
                <c:pt idx="0">
                  <c:v>0</c:v>
                </c:pt>
                <c:pt idx="1">
                  <c:v>5.9674502712477394E-2</c:v>
                </c:pt>
                <c:pt idx="2">
                  <c:v>0.1410488245931284</c:v>
                </c:pt>
                <c:pt idx="3">
                  <c:v>0.23508137432188064</c:v>
                </c:pt>
                <c:pt idx="4">
                  <c:v>0.33634719710669075</c:v>
                </c:pt>
                <c:pt idx="5">
                  <c:v>0.37793851717902349</c:v>
                </c:pt>
                <c:pt idx="6">
                  <c:v>0.42495479204339964</c:v>
                </c:pt>
                <c:pt idx="7">
                  <c:v>0.46292947558770342</c:v>
                </c:pt>
                <c:pt idx="8">
                  <c:v>0.50994575045207957</c:v>
                </c:pt>
                <c:pt idx="9">
                  <c:v>0.54792043399638335</c:v>
                </c:pt>
                <c:pt idx="10">
                  <c:v>0.58408679927667273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DA-4114-AD64-96E94573A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1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1'!$U$2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884-45A7-B90F-9187A77CCF3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884-45A7-B90F-9187A77CCF36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884-45A7-B90F-9187A77CCF3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884-45A7-B90F-9187A77CCF36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884-45A7-B90F-9187A77CCF36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884-45A7-B90F-9187A77CCF36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884-45A7-B90F-9187A77CCF36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884-45A7-B90F-9187A77CCF36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884-45A7-B90F-9187A77CCF36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884-45A7-B90F-9187A77CCF36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1884-45A7-B90F-9187A77CCF36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1884-45A7-B90F-9187A77CCF36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1884-45A7-B90F-9187A77CCF36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1'!$U$4:$U$15</c:f>
              <c:numCache>
                <c:formatCode>General</c:formatCode>
                <c:ptCount val="12"/>
                <c:pt idx="0">
                  <c:v>33</c:v>
                </c:pt>
                <c:pt idx="1">
                  <c:v>45</c:v>
                </c:pt>
                <c:pt idx="2">
                  <c:v>52</c:v>
                </c:pt>
                <c:pt idx="3">
                  <c:v>56</c:v>
                </c:pt>
                <c:pt idx="4">
                  <c:v>23</c:v>
                </c:pt>
                <c:pt idx="5">
                  <c:v>26</c:v>
                </c:pt>
                <c:pt idx="6">
                  <c:v>21</c:v>
                </c:pt>
                <c:pt idx="7">
                  <c:v>26</c:v>
                </c:pt>
                <c:pt idx="8">
                  <c:v>21</c:v>
                </c:pt>
                <c:pt idx="9">
                  <c:v>20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884-45A7-B90F-9187A77CC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2 - Gymnase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2'!$D$13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B2-4BCF-A3F6-568B95FF5C0C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B2-4BCF-A3F6-568B95FF5C0C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BB2-4BCF-A3F6-568B95FF5C0C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BB2-4BCF-A3F6-568B95FF5C0C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5BB2-4BCF-A3F6-568B95FF5C0C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5BB2-4BCF-A3F6-568B95FF5C0C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5BB2-4BCF-A3F6-568B95FF5C0C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5BB2-4BCF-A3F6-568B95FF5C0C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5BB2-4BCF-A3F6-568B95FF5C0C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5BB2-4BCF-A3F6-568B95FF5C0C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5BB2-4BCF-A3F6-568B95FF5C0C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5BB2-4BCF-A3F6-568B95FF5C0C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5BB2-4BCF-A3F6-568B95FF5C0C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5BB2-4BCF-A3F6-568B95FF5C0C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5BB2-4BCF-A3F6-568B95FF5C0C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5BB2-4BCF-A3F6-568B95FF5C0C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5BB2-4BCF-A3F6-568B95FF5C0C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5BB2-4BCF-A3F6-568B95FF5C0C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5BB2-4BCF-A3F6-568B95FF5C0C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5BB2-4BCF-A3F6-568B95FF5C0C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5BB2-4BCF-A3F6-568B95FF5C0C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5BB2-4BCF-A3F6-568B95FF5C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2'!$E$2:$M$2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2'!$E$14:$M$14</c:f>
              <c:numCache>
                <c:formatCode>0.00%</c:formatCode>
                <c:ptCount val="9"/>
                <c:pt idx="0">
                  <c:v>6.5462753950338598E-2</c:v>
                </c:pt>
                <c:pt idx="1">
                  <c:v>4.2889390519187359E-2</c:v>
                </c:pt>
                <c:pt idx="2">
                  <c:v>0.29119638826185101</c:v>
                </c:pt>
                <c:pt idx="3">
                  <c:v>0.17607223476297967</c:v>
                </c:pt>
                <c:pt idx="4">
                  <c:v>0.30925507900677202</c:v>
                </c:pt>
                <c:pt idx="5">
                  <c:v>4.5146726862302484E-2</c:v>
                </c:pt>
                <c:pt idx="6">
                  <c:v>2.2573363431151242E-2</c:v>
                </c:pt>
                <c:pt idx="7">
                  <c:v>2.0316027088036117E-2</c:v>
                </c:pt>
                <c:pt idx="8">
                  <c:v>2.7088036117381489E-2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BB2-4BCF-A3F6-568B95FF5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2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2'!$R$2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512-4567-B020-AB1F8C166B8D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512-4567-B020-AB1F8C166B8D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512-4567-B020-AB1F8C166B8D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512-4567-B020-AB1F8C166B8D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512-4567-B020-AB1F8C166B8D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512-4567-B020-AB1F8C166B8D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512-4567-B020-AB1F8C166B8D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512-4567-B020-AB1F8C166B8D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512-4567-B020-AB1F8C166B8D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512-4567-B020-AB1F8C166B8D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0512-4567-B020-AB1F8C166B8D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512-4567-B020-AB1F8C166B8D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512-4567-B020-AB1F8C166B8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2'!$P$3:$P$15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2'!$R$3:$R$15</c:f>
              <c:numCache>
                <c:formatCode>0.00%</c:formatCode>
                <c:ptCount val="13"/>
                <c:pt idx="0">
                  <c:v>0</c:v>
                </c:pt>
                <c:pt idx="1">
                  <c:v>6.0810810810810814E-2</c:v>
                </c:pt>
                <c:pt idx="2">
                  <c:v>0.10810810810810811</c:v>
                </c:pt>
                <c:pt idx="3">
                  <c:v>0.1891891891891892</c:v>
                </c:pt>
                <c:pt idx="4">
                  <c:v>0.3108108108108108</c:v>
                </c:pt>
                <c:pt idx="5">
                  <c:v>0.36216216216216218</c:v>
                </c:pt>
                <c:pt idx="6">
                  <c:v>0.41891891891891891</c:v>
                </c:pt>
                <c:pt idx="7">
                  <c:v>0.48648648648648651</c:v>
                </c:pt>
                <c:pt idx="8">
                  <c:v>0.52702702702702697</c:v>
                </c:pt>
                <c:pt idx="9">
                  <c:v>0.56081081081081086</c:v>
                </c:pt>
                <c:pt idx="10">
                  <c:v>0.59864864864864864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12-4567-B020-AB1F8C166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2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2'!$U$2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6D1-440D-8D69-18464FD67343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6D1-440D-8D69-18464FD67343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6D1-440D-8D69-18464FD67343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6D1-440D-8D69-18464FD67343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6D1-440D-8D69-18464FD67343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6D1-440D-8D69-18464FD67343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E6D1-440D-8D69-18464FD67343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6D1-440D-8D69-18464FD67343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E6D1-440D-8D69-18464FD67343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6D1-440D-8D69-18464FD67343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E6D1-440D-8D69-18464FD67343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6D1-440D-8D69-18464FD67343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E6D1-440D-8D69-18464FD67343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2'!$T$4:$T$15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2'!$U$4:$U$15</c:f>
              <c:numCache>
                <c:formatCode>General</c:formatCode>
                <c:ptCount val="12"/>
                <c:pt idx="0">
                  <c:v>45</c:v>
                </c:pt>
                <c:pt idx="1">
                  <c:v>35</c:v>
                </c:pt>
                <c:pt idx="2">
                  <c:v>60</c:v>
                </c:pt>
                <c:pt idx="3">
                  <c:v>90</c:v>
                </c:pt>
                <c:pt idx="4">
                  <c:v>38</c:v>
                </c:pt>
                <c:pt idx="5">
                  <c:v>42</c:v>
                </c:pt>
                <c:pt idx="6">
                  <c:v>50</c:v>
                </c:pt>
                <c:pt idx="7">
                  <c:v>30</c:v>
                </c:pt>
                <c:pt idx="8">
                  <c:v>25</c:v>
                </c:pt>
                <c:pt idx="9">
                  <c:v>28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D1-440D-8D69-18464FD67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3 - Gymnase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3'!$D$13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2F-4A61-9103-A30121F81526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2F-4A61-9103-A30121F81526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2F-4A61-9103-A30121F81526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C2F-4A61-9103-A30121F81526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C2F-4A61-9103-A30121F81526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C2F-4A61-9103-A30121F81526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2F-4A61-9103-A30121F81526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C2F-4A61-9103-A30121F81526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C2F-4A61-9103-A30121F81526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C2F-4A61-9103-A30121F81526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C2F-4A61-9103-A30121F81526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C2F-4A61-9103-A30121F81526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C2F-4A61-9103-A30121F81526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C2F-4A61-9103-A30121F81526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C2F-4A61-9103-A30121F81526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C2F-4A61-9103-A30121F81526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C2F-4A61-9103-A30121F81526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1C2F-4A61-9103-A30121F81526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1C2F-4A61-9103-A30121F81526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1C2F-4A61-9103-A30121F81526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1C2F-4A61-9103-A30121F81526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1C2F-4A61-9103-A30121F815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3'!$E$2:$M$2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3'!$E$14:$M$14</c:f>
              <c:numCache>
                <c:formatCode>0.00%</c:formatCode>
                <c:ptCount val="9"/>
                <c:pt idx="0">
                  <c:v>7.6446280991735532E-2</c:v>
                </c:pt>
                <c:pt idx="1">
                  <c:v>1.859504132231405E-2</c:v>
                </c:pt>
                <c:pt idx="2">
                  <c:v>0.28305785123966942</c:v>
                </c:pt>
                <c:pt idx="3">
                  <c:v>0.15702479338842976</c:v>
                </c:pt>
                <c:pt idx="4">
                  <c:v>0.38842975206611569</c:v>
                </c:pt>
                <c:pt idx="5">
                  <c:v>2.0661157024793389E-2</c:v>
                </c:pt>
                <c:pt idx="6">
                  <c:v>1.6528925619834711E-2</c:v>
                </c:pt>
                <c:pt idx="7">
                  <c:v>2.2727272727272728E-2</c:v>
                </c:pt>
                <c:pt idx="8">
                  <c:v>1.6528925619834711E-2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C2F-4A61-9103-A30121F81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3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3'!$R$2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E3B-40C2-9087-03755106F7B4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E3B-40C2-9087-03755106F7B4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E3B-40C2-9087-03755106F7B4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E3B-40C2-9087-03755106F7B4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E3B-40C2-9087-03755106F7B4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E3B-40C2-9087-03755106F7B4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E3B-40C2-9087-03755106F7B4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E3B-40C2-9087-03755106F7B4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E3B-40C2-9087-03755106F7B4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E3B-40C2-9087-03755106F7B4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1E3B-40C2-9087-03755106F7B4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1E3B-40C2-9087-03755106F7B4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1E3B-40C2-9087-03755106F7B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3'!$P$3:$P$15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3'!$R$3:$R$15</c:f>
              <c:numCache>
                <c:formatCode>0.00%</c:formatCode>
                <c:ptCount val="13"/>
                <c:pt idx="0">
                  <c:v>0</c:v>
                </c:pt>
                <c:pt idx="1">
                  <c:v>5.6100981767180924E-2</c:v>
                </c:pt>
                <c:pt idx="2">
                  <c:v>0.15427769985974754</c:v>
                </c:pt>
                <c:pt idx="3">
                  <c:v>0.26647966339410939</c:v>
                </c:pt>
                <c:pt idx="4">
                  <c:v>0.37868162692847124</c:v>
                </c:pt>
                <c:pt idx="5">
                  <c:v>0.43478260869565216</c:v>
                </c:pt>
                <c:pt idx="6">
                  <c:v>0.50490883590462832</c:v>
                </c:pt>
                <c:pt idx="7">
                  <c:v>0.57503506311360453</c:v>
                </c:pt>
                <c:pt idx="8">
                  <c:v>0.61711079943899017</c:v>
                </c:pt>
                <c:pt idx="9">
                  <c:v>0.65918653576437591</c:v>
                </c:pt>
                <c:pt idx="10">
                  <c:v>0.67882187938288918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E3B-40C2-9087-03755106F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3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3'!$U$2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569-4E63-A09E-92B35D8042F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569-4E63-A09E-92B35D8042F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569-4E63-A09E-92B35D8042F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569-4E63-A09E-92B35D8042F0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1569-4E63-A09E-92B35D8042F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569-4E63-A09E-92B35D8042F0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569-4E63-A09E-92B35D8042F0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569-4E63-A09E-92B35D8042F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1569-4E63-A09E-92B35D8042F0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569-4E63-A09E-92B35D8042F0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1569-4E63-A09E-92B35D8042F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1569-4E63-A09E-92B35D8042F0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1569-4E63-A09E-92B35D8042F0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3'!$T$4:$T$15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3'!$U$4:$U$15</c:f>
              <c:numCache>
                <c:formatCode>General</c:formatCode>
                <c:ptCount val="12"/>
                <c:pt idx="0">
                  <c:v>40</c:v>
                </c:pt>
                <c:pt idx="1">
                  <c:v>70</c:v>
                </c:pt>
                <c:pt idx="2">
                  <c:v>80</c:v>
                </c:pt>
                <c:pt idx="3">
                  <c:v>80</c:v>
                </c:pt>
                <c:pt idx="4">
                  <c:v>40</c:v>
                </c:pt>
                <c:pt idx="5">
                  <c:v>50</c:v>
                </c:pt>
                <c:pt idx="6">
                  <c:v>50</c:v>
                </c:pt>
                <c:pt idx="7">
                  <c:v>30</c:v>
                </c:pt>
                <c:pt idx="8">
                  <c:v>30</c:v>
                </c:pt>
                <c:pt idx="9">
                  <c:v>14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569-4E63-A09E-92B35D804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4 - Gymnase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4'!$D$13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C9-48EC-8E45-D0E330D40FE3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C9-48EC-8E45-D0E330D40FE3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C9-48EC-8E45-D0E330D40FE3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C9-48EC-8E45-D0E330D40FE3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C9-48EC-8E45-D0E330D40FE3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7C9-48EC-8E45-D0E330D40FE3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7C9-48EC-8E45-D0E330D40FE3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7C9-48EC-8E45-D0E330D40FE3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7C9-48EC-8E45-D0E330D40FE3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7C9-48EC-8E45-D0E330D40FE3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7C9-48EC-8E45-D0E330D40FE3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7C9-48EC-8E45-D0E330D40FE3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B7C9-48EC-8E45-D0E330D40FE3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B7C9-48EC-8E45-D0E330D40FE3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B7C9-48EC-8E45-D0E330D40FE3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B7C9-48EC-8E45-D0E330D40FE3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B7C9-48EC-8E45-D0E330D40FE3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B7C9-48EC-8E45-D0E330D40FE3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B7C9-48EC-8E45-D0E330D40FE3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B7C9-48EC-8E45-D0E330D40FE3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B7C9-48EC-8E45-D0E330D40FE3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B7C9-48EC-8E45-D0E330D40F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4'!$E$2:$M$2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4'!$E$14:$M$14</c:f>
              <c:numCache>
                <c:formatCode>0.00%</c:formatCode>
                <c:ptCount val="9"/>
                <c:pt idx="0">
                  <c:v>7.7134986225895319E-2</c:v>
                </c:pt>
                <c:pt idx="1">
                  <c:v>4.1322314049586778E-2</c:v>
                </c:pt>
                <c:pt idx="2">
                  <c:v>0.2231404958677686</c:v>
                </c:pt>
                <c:pt idx="3">
                  <c:v>0.16804407713498623</c:v>
                </c:pt>
                <c:pt idx="4">
                  <c:v>0.37190082644628097</c:v>
                </c:pt>
                <c:pt idx="5">
                  <c:v>4.1322314049586778E-2</c:v>
                </c:pt>
                <c:pt idx="6">
                  <c:v>3.8567493112947659E-2</c:v>
                </c:pt>
                <c:pt idx="7">
                  <c:v>1.1019283746556474E-2</c:v>
                </c:pt>
                <c:pt idx="8">
                  <c:v>2.7548209366391185E-2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7C9-48EC-8E45-D0E330D40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4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4'!$R$2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A505-43F2-AD54-06DBA35A3DEF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505-43F2-AD54-06DBA35A3DEF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505-43F2-AD54-06DBA35A3DEF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505-43F2-AD54-06DBA35A3DEF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505-43F2-AD54-06DBA35A3DEF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505-43F2-AD54-06DBA35A3DEF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A505-43F2-AD54-06DBA35A3DEF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505-43F2-AD54-06DBA35A3DEF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A505-43F2-AD54-06DBA35A3DEF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505-43F2-AD54-06DBA35A3DE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A505-43F2-AD54-06DBA35A3DEF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A505-43F2-AD54-06DBA35A3DEF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A505-43F2-AD54-06DBA35A3DE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4'!$P$3:$P$15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4'!$R$3:$R$15</c:f>
              <c:numCache>
                <c:formatCode>0.00%</c:formatCode>
                <c:ptCount val="13"/>
                <c:pt idx="0">
                  <c:v>0</c:v>
                </c:pt>
                <c:pt idx="1">
                  <c:v>4.8600883652430045E-2</c:v>
                </c:pt>
                <c:pt idx="2">
                  <c:v>0.10014727540500737</c:v>
                </c:pt>
                <c:pt idx="3">
                  <c:v>0.203240058910162</c:v>
                </c:pt>
                <c:pt idx="4">
                  <c:v>0.2768777614138439</c:v>
                </c:pt>
                <c:pt idx="5">
                  <c:v>0.3328424153166421</c:v>
                </c:pt>
                <c:pt idx="6">
                  <c:v>0.39175257731958762</c:v>
                </c:pt>
                <c:pt idx="7">
                  <c:v>0.45066273932253315</c:v>
                </c:pt>
                <c:pt idx="8">
                  <c:v>0.49484536082474229</c:v>
                </c:pt>
                <c:pt idx="9">
                  <c:v>0.51693667157584688</c:v>
                </c:pt>
                <c:pt idx="10">
                  <c:v>0.53460972017673047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505-43F2-AD54-06DBA35A3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4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4'!$U$2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4A-400B-A9BC-C01AF8306F41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54A-400B-A9BC-C01AF8306F41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54A-400B-A9BC-C01AF8306F41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54A-400B-A9BC-C01AF8306F41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54A-400B-A9BC-C01AF8306F41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54A-400B-A9BC-C01AF8306F41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854A-400B-A9BC-C01AF8306F41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54A-400B-A9BC-C01AF8306F41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854A-400B-A9BC-C01AF8306F41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54A-400B-A9BC-C01AF8306F41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54A-400B-A9BC-C01AF8306F41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854A-400B-A9BC-C01AF8306F41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854A-400B-A9BC-C01AF8306F4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4'!$T$4:$T$15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4'!$U$4:$U$15</c:f>
              <c:numCache>
                <c:formatCode>General</c:formatCode>
                <c:ptCount val="12"/>
                <c:pt idx="0">
                  <c:v>33</c:v>
                </c:pt>
                <c:pt idx="1">
                  <c:v>35</c:v>
                </c:pt>
                <c:pt idx="2">
                  <c:v>70</c:v>
                </c:pt>
                <c:pt idx="3">
                  <c:v>50</c:v>
                </c:pt>
                <c:pt idx="4">
                  <c:v>38</c:v>
                </c:pt>
                <c:pt idx="5">
                  <c:v>40</c:v>
                </c:pt>
                <c:pt idx="6">
                  <c:v>40</c:v>
                </c:pt>
                <c:pt idx="7">
                  <c:v>30</c:v>
                </c:pt>
                <c:pt idx="8">
                  <c:v>15</c:v>
                </c:pt>
                <c:pt idx="9">
                  <c:v>12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54A-400B-A9BC-C01AF8306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5 - COSEC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5'!$D$13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87-498A-BCBB-C5F659A87C62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87-498A-BCBB-C5F659A87C62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87-498A-BCBB-C5F659A87C62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A87-498A-BCBB-C5F659A87C62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A87-498A-BCBB-C5F659A87C62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87-498A-BCBB-C5F659A87C62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7A87-498A-BCBB-C5F659A87C62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7A87-498A-BCBB-C5F659A87C62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7A87-498A-BCBB-C5F659A87C62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7A87-498A-BCBB-C5F659A87C62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7A87-498A-BCBB-C5F659A87C62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7A87-498A-BCBB-C5F659A87C62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7A87-498A-BCBB-C5F659A87C62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7A87-498A-BCBB-C5F659A87C62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7A87-498A-BCBB-C5F659A87C62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7A87-498A-BCBB-C5F659A87C62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7A87-498A-BCBB-C5F659A87C62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7A87-498A-BCBB-C5F659A87C62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7A87-498A-BCBB-C5F659A87C62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7A87-498A-BCBB-C5F659A87C62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7A87-498A-BCBB-C5F659A87C62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7A87-498A-BCBB-C5F659A87C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5'!$E$2:$M$2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5'!$E$14:$M$14</c:f>
              <c:numCache>
                <c:formatCode>0.00%</c:formatCode>
                <c:ptCount val="9"/>
                <c:pt idx="0">
                  <c:v>5.9734513274336286E-2</c:v>
                </c:pt>
                <c:pt idx="1">
                  <c:v>4.6460176991150445E-2</c:v>
                </c:pt>
                <c:pt idx="2">
                  <c:v>0.27654867256637167</c:v>
                </c:pt>
                <c:pt idx="3">
                  <c:v>0.1836283185840708</c:v>
                </c:pt>
                <c:pt idx="4">
                  <c:v>0.34955752212389379</c:v>
                </c:pt>
                <c:pt idx="5">
                  <c:v>2.4336283185840708E-2</c:v>
                </c:pt>
                <c:pt idx="6">
                  <c:v>2.4336283185840708E-2</c:v>
                </c:pt>
                <c:pt idx="7">
                  <c:v>1.9911504424778761E-2</c:v>
                </c:pt>
                <c:pt idx="8">
                  <c:v>1.5486725663716814E-2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A87-498A-BCBB-C5F659A87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5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5'!$R$2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568-488F-8676-19AF6A054B7A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568-488F-8676-19AF6A054B7A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568-488F-8676-19AF6A054B7A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568-488F-8676-19AF6A054B7A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568-488F-8676-19AF6A054B7A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568-488F-8676-19AF6A054B7A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568-488F-8676-19AF6A054B7A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568-488F-8676-19AF6A054B7A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568-488F-8676-19AF6A054B7A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568-488F-8676-19AF6A054B7A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0568-488F-8676-19AF6A054B7A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568-488F-8676-19AF6A054B7A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568-488F-8676-19AF6A054B7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5'!$P$3:$P$15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5'!$R$3:$R$15</c:f>
              <c:numCache>
                <c:formatCode>0.00%</c:formatCode>
                <c:ptCount val="13"/>
                <c:pt idx="0">
                  <c:v>0</c:v>
                </c:pt>
                <c:pt idx="1">
                  <c:v>5.2781740370898715E-2</c:v>
                </c:pt>
                <c:pt idx="2">
                  <c:v>0.13266761768901569</c:v>
                </c:pt>
                <c:pt idx="3">
                  <c:v>0.22824536376604851</c:v>
                </c:pt>
                <c:pt idx="4">
                  <c:v>0.34236804564907275</c:v>
                </c:pt>
                <c:pt idx="5">
                  <c:v>0.4136947218259629</c:v>
                </c:pt>
                <c:pt idx="6">
                  <c:v>0.46362339514978601</c:v>
                </c:pt>
                <c:pt idx="7">
                  <c:v>0.53495007132667616</c:v>
                </c:pt>
                <c:pt idx="8">
                  <c:v>0.59914407988587737</c:v>
                </c:pt>
                <c:pt idx="9">
                  <c:v>0.6205420827389444</c:v>
                </c:pt>
                <c:pt idx="10">
                  <c:v>0.64479315263908699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68-488F-8676-19AF6A054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5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5'!$U$2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EC5F-4290-9CF0-42DCDD6D65C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C5F-4290-9CF0-42DCDD6D65C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C5F-4290-9CF0-42DCDD6D65CE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C5F-4290-9CF0-42DCDD6D65CE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C5F-4290-9CF0-42DCDD6D65CE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C5F-4290-9CF0-42DCDD6D65CE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EC5F-4290-9CF0-42DCDD6D65CE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C5F-4290-9CF0-42DCDD6D65C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EC5F-4290-9CF0-42DCDD6D65CE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C5F-4290-9CF0-42DCDD6D65CE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EC5F-4290-9CF0-42DCDD6D65CE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C5F-4290-9CF0-42DCDD6D65CE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EC5F-4290-9CF0-42DCDD6D65CE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5'!$T$4:$T$15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5'!$U$4:$U$15</c:f>
              <c:numCache>
                <c:formatCode>General</c:formatCode>
                <c:ptCount val="12"/>
                <c:pt idx="0">
                  <c:v>37</c:v>
                </c:pt>
                <c:pt idx="1">
                  <c:v>56</c:v>
                </c:pt>
                <c:pt idx="2">
                  <c:v>67</c:v>
                </c:pt>
                <c:pt idx="3">
                  <c:v>80</c:v>
                </c:pt>
                <c:pt idx="4">
                  <c:v>50</c:v>
                </c:pt>
                <c:pt idx="5">
                  <c:v>35</c:v>
                </c:pt>
                <c:pt idx="6">
                  <c:v>50</c:v>
                </c:pt>
                <c:pt idx="7">
                  <c:v>45</c:v>
                </c:pt>
                <c:pt idx="8">
                  <c:v>15</c:v>
                </c:pt>
                <c:pt idx="9">
                  <c:v>17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5F-4290-9CF0-42DCDD6D6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6 - COSEC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6'!$D$13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E2-413B-828B-CB2019285B4F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E2-413B-828B-CB2019285B4F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C2E2-413B-828B-CB2019285B4F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C2E2-413B-828B-CB2019285B4F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C2E2-413B-828B-CB2019285B4F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C2E2-413B-828B-CB2019285B4F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C2E2-413B-828B-CB2019285B4F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C2E2-413B-828B-CB2019285B4F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C2E2-413B-828B-CB2019285B4F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C2E2-413B-828B-CB2019285B4F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C2E2-413B-828B-CB2019285B4F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C2E2-413B-828B-CB2019285B4F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C2E2-413B-828B-CB2019285B4F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C2E2-413B-828B-CB2019285B4F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C2E2-413B-828B-CB2019285B4F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C2E2-413B-828B-CB2019285B4F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C2E2-413B-828B-CB2019285B4F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C2E2-413B-828B-CB2019285B4F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C2E2-413B-828B-CB2019285B4F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C2E2-413B-828B-CB2019285B4F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C2E2-413B-828B-CB2019285B4F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C2E2-413B-828B-CB2019285B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6'!$E$2:$M$2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6'!$E$14:$M$14</c:f>
              <c:numCache>
                <c:formatCode>0.00%</c:formatCode>
                <c:ptCount val="9"/>
                <c:pt idx="0">
                  <c:v>4.0871934604904632E-2</c:v>
                </c:pt>
                <c:pt idx="1">
                  <c:v>3.2697547683923703E-2</c:v>
                </c:pt>
                <c:pt idx="2">
                  <c:v>0.34332425068119893</c:v>
                </c:pt>
                <c:pt idx="3">
                  <c:v>0.16621253405994552</c:v>
                </c:pt>
                <c:pt idx="4">
                  <c:v>0.32697547683923706</c:v>
                </c:pt>
                <c:pt idx="5">
                  <c:v>2.4523160762942781E-2</c:v>
                </c:pt>
                <c:pt idx="6">
                  <c:v>3.8147138964577658E-2</c:v>
                </c:pt>
                <c:pt idx="7">
                  <c:v>2.4523160762942781E-2</c:v>
                </c:pt>
                <c:pt idx="8">
                  <c:v>2.7247956403269754E-3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2E2-413B-828B-CB2019285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6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6'!$R$2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B98-4DF9-9AA7-602A7FEE4DDD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B98-4DF9-9AA7-602A7FEE4DDD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B98-4DF9-9AA7-602A7FEE4DDD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B98-4DF9-9AA7-602A7FEE4DDD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B98-4DF9-9AA7-602A7FEE4DDD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B98-4DF9-9AA7-602A7FEE4DDD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8B98-4DF9-9AA7-602A7FEE4DDD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B98-4DF9-9AA7-602A7FEE4DDD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8B98-4DF9-9AA7-602A7FEE4DDD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B98-4DF9-9AA7-602A7FEE4DDD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B98-4DF9-9AA7-602A7FEE4DDD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8B98-4DF9-9AA7-602A7FEE4DDD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8B98-4DF9-9AA7-602A7FEE4DD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6'!$P$3:$P$15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6'!$R$3:$R$15</c:f>
              <c:numCache>
                <c:formatCode>0.00%</c:formatCode>
                <c:ptCount val="13"/>
                <c:pt idx="0">
                  <c:v>0</c:v>
                </c:pt>
                <c:pt idx="1">
                  <c:v>4.2253521126760563E-2</c:v>
                </c:pt>
                <c:pt idx="2">
                  <c:v>0.12535211267605634</c:v>
                </c:pt>
                <c:pt idx="3">
                  <c:v>0.19718309859154928</c:v>
                </c:pt>
                <c:pt idx="4">
                  <c:v>0.26760563380281688</c:v>
                </c:pt>
                <c:pt idx="5">
                  <c:v>0.33380281690140845</c:v>
                </c:pt>
                <c:pt idx="6">
                  <c:v>0.38732394366197181</c:v>
                </c:pt>
                <c:pt idx="7">
                  <c:v>0.42957746478873238</c:v>
                </c:pt>
                <c:pt idx="8">
                  <c:v>0.47323943661971829</c:v>
                </c:pt>
                <c:pt idx="9">
                  <c:v>0.5</c:v>
                </c:pt>
                <c:pt idx="10">
                  <c:v>0.5169014084507042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98-4DF9-9AA7-602A7FEE4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6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6'!$U$2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9B7-4219-A608-FF6D1D56919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9B7-4219-A608-FF6D1D56919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9B7-4219-A608-FF6D1D56919B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9B7-4219-A608-FF6D1D56919B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9B7-4219-A608-FF6D1D56919B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9B7-4219-A608-FF6D1D56919B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9B7-4219-A608-FF6D1D56919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9B7-4219-A608-FF6D1D56919B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9B7-4219-A608-FF6D1D56919B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9B7-4219-A608-FF6D1D56919B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F9B7-4219-A608-FF6D1D56919B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F9B7-4219-A608-FF6D1D56919B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F9B7-4219-A608-FF6D1D56919B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6'!$T$4:$T$15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6'!$U$4:$U$15</c:f>
              <c:numCache>
                <c:formatCode>General</c:formatCode>
                <c:ptCount val="12"/>
                <c:pt idx="0">
                  <c:v>30</c:v>
                </c:pt>
                <c:pt idx="1">
                  <c:v>59</c:v>
                </c:pt>
                <c:pt idx="2">
                  <c:v>51</c:v>
                </c:pt>
                <c:pt idx="3">
                  <c:v>50</c:v>
                </c:pt>
                <c:pt idx="4">
                  <c:v>47</c:v>
                </c:pt>
                <c:pt idx="5">
                  <c:v>38</c:v>
                </c:pt>
                <c:pt idx="6">
                  <c:v>30</c:v>
                </c:pt>
                <c:pt idx="7">
                  <c:v>31</c:v>
                </c:pt>
                <c:pt idx="8">
                  <c:v>19</c:v>
                </c:pt>
                <c:pt idx="9">
                  <c:v>12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9B7-4219-A608-FF6D1D569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7 - COSEC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7'!$D$13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20-4E7C-BD1B-48021D30338B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20-4E7C-BD1B-48021D30338B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20-4E7C-BD1B-48021D30338B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20-4E7C-BD1B-48021D30338B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4A20-4E7C-BD1B-48021D30338B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4A20-4E7C-BD1B-48021D30338B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4A20-4E7C-BD1B-48021D30338B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4A20-4E7C-BD1B-48021D30338B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4A20-4E7C-BD1B-48021D30338B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4A20-4E7C-BD1B-48021D30338B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4A20-4E7C-BD1B-48021D30338B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4A20-4E7C-BD1B-48021D30338B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4A20-4E7C-BD1B-48021D30338B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4A20-4E7C-BD1B-48021D30338B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4A20-4E7C-BD1B-48021D30338B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4A20-4E7C-BD1B-48021D30338B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4A20-4E7C-BD1B-48021D30338B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4A20-4E7C-BD1B-48021D30338B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4A20-4E7C-BD1B-48021D30338B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4A20-4E7C-BD1B-48021D30338B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4A20-4E7C-BD1B-48021D30338B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4A20-4E7C-BD1B-48021D3033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7'!$E$2:$M$2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7'!$E$14:$M$14</c:f>
              <c:numCache>
                <c:formatCode>0.00%</c:formatCode>
                <c:ptCount val="9"/>
                <c:pt idx="0">
                  <c:v>4.5558086560364468E-2</c:v>
                </c:pt>
                <c:pt idx="1">
                  <c:v>2.7334851936218679E-2</c:v>
                </c:pt>
                <c:pt idx="2">
                  <c:v>0.27562642369020501</c:v>
                </c:pt>
                <c:pt idx="3">
                  <c:v>0.15717539863325741</c:v>
                </c:pt>
                <c:pt idx="4">
                  <c:v>0.38268792710706151</c:v>
                </c:pt>
                <c:pt idx="5">
                  <c:v>5.011389521640091E-2</c:v>
                </c:pt>
                <c:pt idx="6">
                  <c:v>2.9612756264236904E-2</c:v>
                </c:pt>
                <c:pt idx="7">
                  <c:v>2.7334851936218679E-2</c:v>
                </c:pt>
                <c:pt idx="8">
                  <c:v>4.5558086560364463E-3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A20-4E7C-BD1B-48021D303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7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7'!$R$2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7AF-4D2D-A059-22C87F15D469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7AF-4D2D-A059-22C87F15D469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7AF-4D2D-A059-22C87F15D469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7AF-4D2D-A059-22C87F15D469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7AF-4D2D-A059-22C87F15D469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7AF-4D2D-A059-22C87F15D469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7AF-4D2D-A059-22C87F15D469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7AF-4D2D-A059-22C87F15D469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D7AF-4D2D-A059-22C87F15D469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7AF-4D2D-A059-22C87F15D469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D7AF-4D2D-A059-22C87F15D469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D7AF-4D2D-A059-22C87F15D469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D7AF-4D2D-A059-22C87F15D46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7'!$P$3:$P$15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7'!$R$3:$R$15</c:f>
              <c:numCache>
                <c:formatCode>0.00%</c:formatCode>
                <c:ptCount val="13"/>
                <c:pt idx="0">
                  <c:v>0</c:v>
                </c:pt>
                <c:pt idx="1">
                  <c:v>2.7359781121751026E-2</c:v>
                </c:pt>
                <c:pt idx="2">
                  <c:v>0.10259917920656635</c:v>
                </c:pt>
                <c:pt idx="3">
                  <c:v>0.20519835841313269</c:v>
                </c:pt>
                <c:pt idx="4">
                  <c:v>0.33105335157318744</c:v>
                </c:pt>
                <c:pt idx="5">
                  <c:v>0.38850889192886456</c:v>
                </c:pt>
                <c:pt idx="6">
                  <c:v>0.42407660738714092</c:v>
                </c:pt>
                <c:pt idx="7">
                  <c:v>0.48426812585499318</c:v>
                </c:pt>
                <c:pt idx="8">
                  <c:v>0.54993160054719559</c:v>
                </c:pt>
                <c:pt idx="9">
                  <c:v>0.57455540355677159</c:v>
                </c:pt>
                <c:pt idx="10">
                  <c:v>0.60054719562243497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7AF-4D2D-A059-22C87F15D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7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7'!$U$2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83B-41C0-B8E2-77B6E6AE162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83B-41C0-B8E2-77B6E6AE162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883B-41C0-B8E2-77B6E6AE1629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83B-41C0-B8E2-77B6E6AE1629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883B-41C0-B8E2-77B6E6AE1629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83B-41C0-B8E2-77B6E6AE1629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883B-41C0-B8E2-77B6E6AE1629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83B-41C0-B8E2-77B6E6AE1629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883B-41C0-B8E2-77B6E6AE1629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883B-41C0-B8E2-77B6E6AE1629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883B-41C0-B8E2-77B6E6AE1629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883B-41C0-B8E2-77B6E6AE1629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883B-41C0-B8E2-77B6E6AE1629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7'!$T$4:$T$15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7'!$U$4:$U$15</c:f>
              <c:numCache>
                <c:formatCode>General</c:formatCode>
                <c:ptCount val="12"/>
                <c:pt idx="0">
                  <c:v>20</c:v>
                </c:pt>
                <c:pt idx="1">
                  <c:v>55</c:v>
                </c:pt>
                <c:pt idx="2">
                  <c:v>75</c:v>
                </c:pt>
                <c:pt idx="3">
                  <c:v>92</c:v>
                </c:pt>
                <c:pt idx="4">
                  <c:v>42</c:v>
                </c:pt>
                <c:pt idx="5">
                  <c:v>26</c:v>
                </c:pt>
                <c:pt idx="6">
                  <c:v>44</c:v>
                </c:pt>
                <c:pt idx="7">
                  <c:v>48</c:v>
                </c:pt>
                <c:pt idx="8">
                  <c:v>18</c:v>
                </c:pt>
                <c:pt idx="9">
                  <c:v>19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83B-41C0-B8E2-77B6E6AE1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8 - COSEC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8'!$D$13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E6-4E13-856B-945951D86E40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E6-4E13-856B-945951D86E40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E6-4E13-856B-945951D86E40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E6-4E13-856B-945951D86E40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9CE6-4E13-856B-945951D86E40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E6-4E13-856B-945951D86E40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9CE6-4E13-856B-945951D86E40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9CE6-4E13-856B-945951D86E40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9CE6-4E13-856B-945951D86E40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9CE6-4E13-856B-945951D86E40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9CE6-4E13-856B-945951D86E40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9CE6-4E13-856B-945951D86E40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CE6-4E13-856B-945951D86E40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CE6-4E13-856B-945951D86E40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9CE6-4E13-856B-945951D86E40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CE6-4E13-856B-945951D86E40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9CE6-4E13-856B-945951D86E40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CE6-4E13-856B-945951D86E40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9CE6-4E13-856B-945951D86E40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9CE6-4E13-856B-945951D86E40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9CE6-4E13-856B-945951D86E40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9CE6-4E13-856B-945951D86E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8'!$E$2:$M$2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8'!$E$14:$M$14</c:f>
              <c:numCache>
                <c:formatCode>0.00%</c:formatCode>
                <c:ptCount val="9"/>
                <c:pt idx="0">
                  <c:v>8.9709762532981532E-2</c:v>
                </c:pt>
                <c:pt idx="1">
                  <c:v>4.221635883905013E-2</c:v>
                </c:pt>
                <c:pt idx="2">
                  <c:v>0.26385224274406333</c:v>
                </c:pt>
                <c:pt idx="3">
                  <c:v>0.17678100263852242</c:v>
                </c:pt>
                <c:pt idx="4">
                  <c:v>0.32453825857519791</c:v>
                </c:pt>
                <c:pt idx="5">
                  <c:v>4.4854881266490766E-2</c:v>
                </c:pt>
                <c:pt idx="6">
                  <c:v>2.1108179419525065E-2</c:v>
                </c:pt>
                <c:pt idx="7">
                  <c:v>1.5831134564643801E-2</c:v>
                </c:pt>
                <c:pt idx="8">
                  <c:v>2.1108179419525065E-2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CE6-4E13-856B-945951D86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8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8'!$R$2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944-45B2-9614-AB0E6A875008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944-45B2-9614-AB0E6A875008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944-45B2-9614-AB0E6A875008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944-45B2-9614-AB0E6A875008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944-45B2-9614-AB0E6A875008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944-45B2-9614-AB0E6A875008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944-45B2-9614-AB0E6A875008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944-45B2-9614-AB0E6A875008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944-45B2-9614-AB0E6A875008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944-45B2-9614-AB0E6A875008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C944-45B2-9614-AB0E6A875008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944-45B2-9614-AB0E6A875008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C944-45B2-9614-AB0E6A87500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8'!$P$3:$P$15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8'!$R$3:$R$15</c:f>
              <c:numCache>
                <c:formatCode>0.00%</c:formatCode>
                <c:ptCount val="13"/>
                <c:pt idx="0">
                  <c:v>0</c:v>
                </c:pt>
                <c:pt idx="1">
                  <c:v>5.5727554179566562E-2</c:v>
                </c:pt>
                <c:pt idx="2">
                  <c:v>0.11145510835913312</c:v>
                </c:pt>
                <c:pt idx="3">
                  <c:v>0.23065015479876161</c:v>
                </c:pt>
                <c:pt idx="4">
                  <c:v>0.32972136222910214</c:v>
                </c:pt>
                <c:pt idx="5">
                  <c:v>0.4024767801857585</c:v>
                </c:pt>
                <c:pt idx="6">
                  <c:v>0.46439628482972134</c:v>
                </c:pt>
                <c:pt idx="7">
                  <c:v>0.50309597523219818</c:v>
                </c:pt>
                <c:pt idx="8">
                  <c:v>0.54179566563467496</c:v>
                </c:pt>
                <c:pt idx="9">
                  <c:v>0.55882352941176472</c:v>
                </c:pt>
                <c:pt idx="10">
                  <c:v>0.58668730650154799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44-45B2-9614-AB0E6A875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8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8'!$U$2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979-408A-B24C-8A551EDADFE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979-408A-B24C-8A551EDADFE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979-408A-B24C-8A551EDADFE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979-408A-B24C-8A551EDADFE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979-408A-B24C-8A551EDADFE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979-408A-B24C-8A551EDADFE2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979-408A-B24C-8A551EDADFE2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979-408A-B24C-8A551EDADFE2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3979-408A-B24C-8A551EDADFE2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979-408A-B24C-8A551EDADFE2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979-408A-B24C-8A551EDADFE2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979-408A-B24C-8A551EDADFE2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3979-408A-B24C-8A551EDADFE2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8'!$T$4:$T$15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8'!$U$4:$U$15</c:f>
              <c:numCache>
                <c:formatCode>General</c:formatCode>
                <c:ptCount val="12"/>
                <c:pt idx="0">
                  <c:v>36</c:v>
                </c:pt>
                <c:pt idx="1">
                  <c:v>36</c:v>
                </c:pt>
                <c:pt idx="2">
                  <c:v>77</c:v>
                </c:pt>
                <c:pt idx="3">
                  <c:v>64</c:v>
                </c:pt>
                <c:pt idx="4">
                  <c:v>47</c:v>
                </c:pt>
                <c:pt idx="5">
                  <c:v>40</c:v>
                </c:pt>
                <c:pt idx="6">
                  <c:v>25</c:v>
                </c:pt>
                <c:pt idx="7">
                  <c:v>25</c:v>
                </c:pt>
                <c:pt idx="8">
                  <c:v>11</c:v>
                </c:pt>
                <c:pt idx="9">
                  <c:v>18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979-408A-B24C-8A551EDAD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9 - CMM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9'!$D$13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82-4E31-8212-5A99D61C8022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82-4E31-8212-5A99D61C8022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82-4E31-8212-5A99D61C8022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3F82-4E31-8212-5A99D61C8022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3F82-4E31-8212-5A99D61C8022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3F82-4E31-8212-5A99D61C8022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3F82-4E31-8212-5A99D61C8022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3F82-4E31-8212-5A99D61C8022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3F82-4E31-8212-5A99D61C8022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3F82-4E31-8212-5A99D61C8022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3F82-4E31-8212-5A99D61C8022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3F82-4E31-8212-5A99D61C8022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3F82-4E31-8212-5A99D61C8022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3F82-4E31-8212-5A99D61C8022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3F82-4E31-8212-5A99D61C8022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3F82-4E31-8212-5A99D61C8022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3F82-4E31-8212-5A99D61C8022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3F82-4E31-8212-5A99D61C8022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3F82-4E31-8212-5A99D61C8022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3F82-4E31-8212-5A99D61C8022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3F82-4E31-8212-5A99D61C8022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3F82-4E31-8212-5A99D61C80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9'!$E$2:$M$2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9'!$E$14:$M$14</c:f>
              <c:numCache>
                <c:formatCode>0.00%</c:formatCode>
                <c:ptCount val="9"/>
                <c:pt idx="0">
                  <c:v>6.9069069069069067E-2</c:v>
                </c:pt>
                <c:pt idx="1">
                  <c:v>3.6036036036036036E-2</c:v>
                </c:pt>
                <c:pt idx="2">
                  <c:v>0.25825825825825827</c:v>
                </c:pt>
                <c:pt idx="3">
                  <c:v>0.18018018018018017</c:v>
                </c:pt>
                <c:pt idx="4">
                  <c:v>0.31231231231231232</c:v>
                </c:pt>
                <c:pt idx="5">
                  <c:v>6.6066066066066062E-2</c:v>
                </c:pt>
                <c:pt idx="6">
                  <c:v>3.3033033033033031E-2</c:v>
                </c:pt>
                <c:pt idx="7">
                  <c:v>2.1021021021021023E-2</c:v>
                </c:pt>
                <c:pt idx="8">
                  <c:v>2.4024024024024024E-2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3F82-4E31-8212-5A99D61C8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9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9'!$R$2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351-4321-B49C-1ABFC147402F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351-4321-B49C-1ABFC147402F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351-4321-B49C-1ABFC147402F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351-4321-B49C-1ABFC147402F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351-4321-B49C-1ABFC147402F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351-4321-B49C-1ABFC147402F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351-4321-B49C-1ABFC147402F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351-4321-B49C-1ABFC147402F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3351-4321-B49C-1ABFC147402F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51-4321-B49C-1ABFC147402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51-4321-B49C-1ABFC147402F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351-4321-B49C-1ABFC147402F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3351-4321-B49C-1ABFC147402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9'!$P$3:$P$15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9'!$R$3:$R$15</c:f>
              <c:numCache>
                <c:formatCode>0.00%</c:formatCode>
                <c:ptCount val="13"/>
                <c:pt idx="0">
                  <c:v>0</c:v>
                </c:pt>
                <c:pt idx="1">
                  <c:v>3.1029619181946404E-2</c:v>
                </c:pt>
                <c:pt idx="2">
                  <c:v>8.3215796897038077E-2</c:v>
                </c:pt>
                <c:pt idx="3">
                  <c:v>0.14809590973201692</c:v>
                </c:pt>
                <c:pt idx="4">
                  <c:v>0.23272214386459802</c:v>
                </c:pt>
                <c:pt idx="5">
                  <c:v>0.27080394922425954</c:v>
                </c:pt>
                <c:pt idx="6">
                  <c:v>0.32440056417489421</c:v>
                </c:pt>
                <c:pt idx="7">
                  <c:v>0.38081805359661497</c:v>
                </c:pt>
                <c:pt idx="8">
                  <c:v>0.4132581100141044</c:v>
                </c:pt>
                <c:pt idx="9">
                  <c:v>0.4400564174894217</c:v>
                </c:pt>
                <c:pt idx="10">
                  <c:v>0.4696755994358251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351-4321-B49C-1ABFC1474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9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9'!$U$2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B75-4661-91D3-A75C1DE1194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75-4661-91D3-A75C1DE1194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B75-4661-91D3-A75C1DE11945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75-4661-91D3-A75C1DE11945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B75-4661-91D3-A75C1DE11945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75-4661-91D3-A75C1DE11945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B75-4661-91D3-A75C1DE11945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75-4661-91D3-A75C1DE11945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B75-4661-91D3-A75C1DE11945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B75-4661-91D3-A75C1DE11945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FB75-4661-91D3-A75C1DE11945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FB75-4661-91D3-A75C1DE11945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FB75-4661-91D3-A75C1DE11945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9'!$T$4:$T$15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9'!$U$4:$U$15</c:f>
              <c:numCache>
                <c:formatCode>General</c:formatCode>
                <c:ptCount val="12"/>
                <c:pt idx="0">
                  <c:v>22</c:v>
                </c:pt>
                <c:pt idx="1">
                  <c:v>37</c:v>
                </c:pt>
                <c:pt idx="2">
                  <c:v>46</c:v>
                </c:pt>
                <c:pt idx="3">
                  <c:v>60</c:v>
                </c:pt>
                <c:pt idx="4">
                  <c:v>27</c:v>
                </c:pt>
                <c:pt idx="5">
                  <c:v>38</c:v>
                </c:pt>
                <c:pt idx="6">
                  <c:v>40</c:v>
                </c:pt>
                <c:pt idx="7">
                  <c:v>23</c:v>
                </c:pt>
                <c:pt idx="8">
                  <c:v>19</c:v>
                </c:pt>
                <c:pt idx="9">
                  <c:v>21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B75-4661-91D3-A75C1DE11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10 - CMM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10'!$D$13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D02-4657-931A-C8D18FF084E3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D02-4657-931A-C8D18FF084E3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ED02-4657-931A-C8D18FF084E3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D02-4657-931A-C8D18FF084E3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D02-4657-931A-C8D18FF084E3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ED02-4657-931A-C8D18FF084E3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ED02-4657-931A-C8D18FF084E3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ED02-4657-931A-C8D18FF084E3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ED02-4657-931A-C8D18FF084E3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ED02-4657-931A-C8D18FF084E3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ED02-4657-931A-C8D18FF084E3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ED02-4657-931A-C8D18FF084E3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ED02-4657-931A-C8D18FF084E3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ED02-4657-931A-C8D18FF084E3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ED02-4657-931A-C8D18FF084E3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ED02-4657-931A-C8D18FF084E3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ED02-4657-931A-C8D18FF084E3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ED02-4657-931A-C8D18FF084E3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ED02-4657-931A-C8D18FF084E3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ED02-4657-931A-C8D18FF084E3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ED02-4657-931A-C8D18FF084E3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ED02-4657-931A-C8D18FF084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10'!$E$2:$M$2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10'!$E$14:$M$14</c:f>
              <c:numCache>
                <c:formatCode>0.00%</c:formatCode>
                <c:ptCount val="9"/>
                <c:pt idx="0">
                  <c:v>6.1624649859943981E-2</c:v>
                </c:pt>
                <c:pt idx="1">
                  <c:v>1.9607843137254902E-2</c:v>
                </c:pt>
                <c:pt idx="2">
                  <c:v>0.27731092436974791</c:v>
                </c:pt>
                <c:pt idx="3">
                  <c:v>0.22408963585434175</c:v>
                </c:pt>
                <c:pt idx="4">
                  <c:v>0.3081232492997199</c:v>
                </c:pt>
                <c:pt idx="5">
                  <c:v>2.5210084033613446E-2</c:v>
                </c:pt>
                <c:pt idx="6">
                  <c:v>3.081232492997199E-2</c:v>
                </c:pt>
                <c:pt idx="7">
                  <c:v>2.8011204481792718E-2</c:v>
                </c:pt>
                <c:pt idx="8">
                  <c:v>2.5210084033613446E-2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D02-4657-931A-C8D18FF08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10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10'!$R$2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3EB-41DD-AFCE-5A1A03DD445A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3EB-41DD-AFCE-5A1A03DD445A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3EB-41DD-AFCE-5A1A03DD445A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3EB-41DD-AFCE-5A1A03DD445A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3EB-41DD-AFCE-5A1A03DD445A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3EB-41DD-AFCE-5A1A03DD445A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33EB-41DD-AFCE-5A1A03DD445A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3EB-41DD-AFCE-5A1A03DD445A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33EB-41DD-AFCE-5A1A03DD445A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EB-41DD-AFCE-5A1A03DD445A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EB-41DD-AFCE-5A1A03DD445A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3EB-41DD-AFCE-5A1A03DD445A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33EB-41DD-AFCE-5A1A03DD445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10'!$P$3:$P$15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10'!$R$3:$R$15</c:f>
              <c:numCache>
                <c:formatCode>0.00%</c:formatCode>
                <c:ptCount val="13"/>
                <c:pt idx="0">
                  <c:v>0</c:v>
                </c:pt>
                <c:pt idx="1">
                  <c:v>4.4334975369458129E-2</c:v>
                </c:pt>
                <c:pt idx="2">
                  <c:v>0.11494252873563218</c:v>
                </c:pt>
                <c:pt idx="3">
                  <c:v>0.22988505747126436</c:v>
                </c:pt>
                <c:pt idx="4">
                  <c:v>0.34482758620689657</c:v>
                </c:pt>
                <c:pt idx="5">
                  <c:v>0.39408866995073893</c:v>
                </c:pt>
                <c:pt idx="6">
                  <c:v>0.44663382594417078</c:v>
                </c:pt>
                <c:pt idx="7">
                  <c:v>0.49261083743842365</c:v>
                </c:pt>
                <c:pt idx="8">
                  <c:v>0.54187192118226601</c:v>
                </c:pt>
                <c:pt idx="9">
                  <c:v>0.56486042692939242</c:v>
                </c:pt>
                <c:pt idx="10">
                  <c:v>0.58620689655172409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3EB-41DD-AFCE-5A1A03DD4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10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10'!$U$2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782-4778-BDCC-B854CDB2921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782-4778-BDCC-B854CDB2921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782-4778-BDCC-B854CDB29218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782-4778-BDCC-B854CDB29218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782-4778-BDCC-B854CDB29218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782-4778-BDCC-B854CDB29218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782-4778-BDCC-B854CDB29218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782-4778-BDCC-B854CDB29218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782-4778-BDCC-B854CDB29218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782-4778-BDCC-B854CDB29218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0782-4778-BDCC-B854CDB29218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782-4778-BDCC-B854CDB29218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782-4778-BDCC-B854CDB29218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10'!$T$4:$T$15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10'!$U$4:$U$15</c:f>
              <c:numCache>
                <c:formatCode>General</c:formatCode>
                <c:ptCount val="12"/>
                <c:pt idx="0">
                  <c:v>27</c:v>
                </c:pt>
                <c:pt idx="1">
                  <c:v>43</c:v>
                </c:pt>
                <c:pt idx="2">
                  <c:v>70</c:v>
                </c:pt>
                <c:pt idx="3">
                  <c:v>70</c:v>
                </c:pt>
                <c:pt idx="4">
                  <c:v>30</c:v>
                </c:pt>
                <c:pt idx="5">
                  <c:v>32</c:v>
                </c:pt>
                <c:pt idx="6">
                  <c:v>28</c:v>
                </c:pt>
                <c:pt idx="7">
                  <c:v>30</c:v>
                </c:pt>
                <c:pt idx="8">
                  <c:v>14</c:v>
                </c:pt>
                <c:pt idx="9">
                  <c:v>13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782-4778-BDCC-B854CDB29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11 - CMM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11'!$D$13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86-4979-A24F-EC72773367A9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86-4979-A24F-EC72773367A9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7E86-4979-A24F-EC72773367A9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7E86-4979-A24F-EC72773367A9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7E86-4979-A24F-EC72773367A9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7E86-4979-A24F-EC72773367A9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7E86-4979-A24F-EC72773367A9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7E86-4979-A24F-EC72773367A9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7E86-4979-A24F-EC72773367A9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7E86-4979-A24F-EC72773367A9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7E86-4979-A24F-EC72773367A9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7E86-4979-A24F-EC72773367A9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7E86-4979-A24F-EC72773367A9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7E86-4979-A24F-EC72773367A9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7E86-4979-A24F-EC72773367A9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7E86-4979-A24F-EC72773367A9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7E86-4979-A24F-EC72773367A9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7E86-4979-A24F-EC72773367A9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7E86-4979-A24F-EC72773367A9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7E86-4979-A24F-EC72773367A9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7E86-4979-A24F-EC72773367A9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7E86-4979-A24F-EC72773367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11'!$E$2:$M$2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11'!$E$14:$M$14</c:f>
              <c:numCache>
                <c:formatCode>0.00%</c:formatCode>
                <c:ptCount val="9"/>
                <c:pt idx="0">
                  <c:v>6.7307692307692304E-2</c:v>
                </c:pt>
                <c:pt idx="1">
                  <c:v>3.6057692307692304E-2</c:v>
                </c:pt>
                <c:pt idx="2">
                  <c:v>0.32932692307692307</c:v>
                </c:pt>
                <c:pt idx="3">
                  <c:v>0.21394230769230768</c:v>
                </c:pt>
                <c:pt idx="4">
                  <c:v>0.26442307692307693</c:v>
                </c:pt>
                <c:pt idx="5">
                  <c:v>3.3653846153846152E-2</c:v>
                </c:pt>
                <c:pt idx="6">
                  <c:v>2.403846153846154E-2</c:v>
                </c:pt>
                <c:pt idx="7">
                  <c:v>7.2115384615384619E-3</c:v>
                </c:pt>
                <c:pt idx="8">
                  <c:v>2.403846153846154E-2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E86-4979-A24F-EC7277336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11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11'!$R$2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696-41A2-933F-D9E6DC3167BC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696-41A2-933F-D9E6DC3167BC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696-41A2-933F-D9E6DC3167BC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696-41A2-933F-D9E6DC3167BC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C696-41A2-933F-D9E6DC3167BC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C696-41A2-933F-D9E6DC3167BC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696-41A2-933F-D9E6DC3167BC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696-41A2-933F-D9E6DC3167BC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696-41A2-933F-D9E6DC3167BC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C696-41A2-933F-D9E6DC3167BC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C696-41A2-933F-D9E6DC3167BC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696-41A2-933F-D9E6DC3167BC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C696-41A2-933F-D9E6DC3167B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11'!$P$3:$P$15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11'!$R$3:$R$15</c:f>
              <c:numCache>
                <c:formatCode>0.00%</c:formatCode>
                <c:ptCount val="13"/>
                <c:pt idx="0">
                  <c:v>0</c:v>
                </c:pt>
                <c:pt idx="1">
                  <c:v>6.8017366136034735E-2</c:v>
                </c:pt>
                <c:pt idx="2">
                  <c:v>0.13892908827785819</c:v>
                </c:pt>
                <c:pt idx="3">
                  <c:v>0.22865412445730826</c:v>
                </c:pt>
                <c:pt idx="4">
                  <c:v>0.31114327062228653</c:v>
                </c:pt>
                <c:pt idx="5">
                  <c:v>0.38205499276410998</c:v>
                </c:pt>
                <c:pt idx="6">
                  <c:v>0.43270622286541244</c:v>
                </c:pt>
                <c:pt idx="7">
                  <c:v>0.48046309696092621</c:v>
                </c:pt>
                <c:pt idx="8">
                  <c:v>0.55282199710564395</c:v>
                </c:pt>
                <c:pt idx="9">
                  <c:v>0.57597684515195369</c:v>
                </c:pt>
                <c:pt idx="10">
                  <c:v>0.60202604920405212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96-41A2-933F-D9E6DC316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11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11'!$U$2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E91-4AD2-9B86-3ACB060F1B1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E91-4AD2-9B86-3ACB060F1B1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E91-4AD2-9B86-3ACB060F1B1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E91-4AD2-9B86-3ACB060F1B10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E91-4AD2-9B86-3ACB060F1B1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E91-4AD2-9B86-3ACB060F1B10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E91-4AD2-9B86-3ACB060F1B10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E91-4AD2-9B86-3ACB060F1B10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4E91-4AD2-9B86-3ACB060F1B10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E91-4AD2-9B86-3ACB060F1B10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4E91-4AD2-9B86-3ACB060F1B10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E91-4AD2-9B86-3ACB060F1B10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E91-4AD2-9B86-3ACB060F1B10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11'!$T$4:$T$15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11'!$U$4:$U$15</c:f>
              <c:numCache>
                <c:formatCode>General</c:formatCode>
                <c:ptCount val="12"/>
                <c:pt idx="0">
                  <c:v>47</c:v>
                </c:pt>
                <c:pt idx="1">
                  <c:v>49</c:v>
                </c:pt>
                <c:pt idx="2">
                  <c:v>62</c:v>
                </c:pt>
                <c:pt idx="3">
                  <c:v>57</c:v>
                </c:pt>
                <c:pt idx="4">
                  <c:v>49</c:v>
                </c:pt>
                <c:pt idx="5">
                  <c:v>35</c:v>
                </c:pt>
                <c:pt idx="6">
                  <c:v>33</c:v>
                </c:pt>
                <c:pt idx="7">
                  <c:v>50</c:v>
                </c:pt>
                <c:pt idx="8">
                  <c:v>16</c:v>
                </c:pt>
                <c:pt idx="9">
                  <c:v>18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E91-4AD2-9B86-3ACB060F1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/>
              <a:t>Dépouillement du bureau 12 - Base nautique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219169328074967E-2"/>
          <c:y val="0.14095238095238094"/>
          <c:w val="0.94820203504283329"/>
          <c:h val="0.7018926203458233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'Bureau 12'!$D$13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63500" cap="flat">
              <a:solidFill>
                <a:schemeClr val="accent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D9E7FD"/>
              </a:solidFill>
              <a:ln w="63500" cap="flat" cmpd="sng" algn="ctr">
                <a:solidFill>
                  <a:srgbClr val="D9E7F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44-4614-BEBF-329F6EB38A9C}"/>
              </c:ext>
            </c:extLst>
          </c:dPt>
          <c:dPt>
            <c:idx val="1"/>
            <c:invertIfNegative val="0"/>
            <c:bubble3D val="0"/>
            <c:spPr>
              <a:solidFill>
                <a:srgbClr val="DAF1F3"/>
              </a:solidFill>
              <a:ln w="63500" cap="flat" cmpd="sng" algn="ctr">
                <a:solidFill>
                  <a:srgbClr val="DAF1F3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44-4614-BEBF-329F6EB38A9C}"/>
              </c:ext>
            </c:extLst>
          </c:dPt>
          <c:dPt>
            <c:idx val="2"/>
            <c:invertIfNegative val="0"/>
            <c:bubble3D val="0"/>
            <c:spPr>
              <a:solidFill>
                <a:srgbClr val="B3CEFB"/>
              </a:solidFill>
              <a:ln w="63500" cap="flat" cmpd="sng" algn="ctr">
                <a:solidFill>
                  <a:srgbClr val="B3CEF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5-1B44-4614-BEBF-329F6EB38A9C}"/>
              </c:ext>
            </c:extLst>
          </c:dPt>
          <c:dPt>
            <c:idx val="3"/>
            <c:invertIfNegative val="0"/>
            <c:bubble3D val="0"/>
            <c:spPr>
              <a:solidFill>
                <a:srgbClr val="FFE1CC"/>
              </a:solidFill>
              <a:ln w="63500" cap="flat" cmpd="sng" algn="ctr">
                <a:solidFill>
                  <a:srgbClr val="FFE1CC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7-1B44-4614-BEBF-329F6EB38A9C}"/>
              </c:ext>
            </c:extLst>
          </c:dPt>
          <c:dPt>
            <c:idx val="4"/>
            <c:invertIfNegative val="0"/>
            <c:bubble3D val="0"/>
            <c:spPr>
              <a:solidFill>
                <a:srgbClr val="D1F1DA"/>
              </a:solidFill>
              <a:ln w="63500" cap="flat" cmpd="sng" algn="ctr">
                <a:solidFill>
                  <a:srgbClr val="D1F1DA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9-1B44-4614-BEBF-329F6EB38A9C}"/>
              </c:ext>
            </c:extLst>
          </c:dPt>
          <c:dPt>
            <c:idx val="5"/>
            <c:invertIfNegative val="0"/>
            <c:bubble3D val="0"/>
            <c:spPr>
              <a:solidFill>
                <a:srgbClr val="FBDAD7"/>
              </a:solidFill>
              <a:ln w="63500" cap="flat" cmpd="sng" algn="ctr">
                <a:solidFill>
                  <a:srgbClr val="FBDAD7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B-1B44-4614-BEBF-329F6EB38A9C}"/>
              </c:ext>
            </c:extLst>
          </c:dPt>
          <c:dPt>
            <c:idx val="6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D-1B44-4614-BEBF-329F6EB38A9C}"/>
              </c:ext>
            </c:extLst>
          </c:dPt>
          <c:dPt>
            <c:idx val="7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B44-4614-BEBF-329F6EB38A9C}"/>
              </c:ext>
            </c:extLst>
          </c:dPt>
          <c:dPt>
            <c:idx val="8"/>
            <c:invertIfNegative val="0"/>
            <c:bubble3D val="0"/>
            <c:spPr>
              <a:solidFill>
                <a:srgbClr val="BFBFBF"/>
              </a:solidFill>
              <a:ln w="63500" cap="flat" cmpd="sng" algn="ctr">
                <a:solidFill>
                  <a:srgbClr val="BFBFBF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B44-4614-BEBF-329F6EB38A9C}"/>
              </c:ext>
            </c:extLst>
          </c:dPt>
          <c:dPt>
            <c:idx val="9"/>
            <c:invertIfNegative val="0"/>
            <c:bubble3D val="0"/>
            <c:spPr>
              <a:solidFill>
                <a:srgbClr val="81160E"/>
              </a:solidFill>
              <a:ln w="63500" cap="flat" cmpd="sng" algn="ctr">
                <a:solidFill>
                  <a:srgbClr val="81160E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B44-4614-BEBF-329F6EB38A9C}"/>
              </c:ext>
            </c:extLst>
          </c:dPt>
          <c:dPt>
            <c:idx val="10"/>
            <c:invertIfNegative val="0"/>
            <c:bubble3D val="0"/>
            <c:spPr>
              <a:solidFill>
                <a:srgbClr val="FEF2CD"/>
              </a:solidFill>
              <a:ln w="63500" cap="flat" cmpd="sng" algn="ctr">
                <a:solidFill>
                  <a:srgbClr val="FEF2CD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B44-4614-BEBF-329F6EB38A9C}"/>
              </c:ext>
            </c:extLst>
          </c:dPt>
          <c:dPt>
            <c:idx val="11"/>
            <c:invertIfNegative val="0"/>
            <c:bubble3D val="0"/>
            <c:spPr>
              <a:solidFill>
                <a:srgbClr val="FDE49B"/>
              </a:solidFill>
              <a:ln w="63500" cap="flat" cmpd="sng" algn="ctr">
                <a:solidFill>
                  <a:srgbClr val="FDE49B"/>
                </a:solidFill>
                <a:miter lim="800000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B44-4614-BEBF-329F6EB38A9C}"/>
              </c:ext>
            </c:extLst>
          </c:dPt>
          <c:dPt>
            <c:idx val="12"/>
            <c:invertIfNegative val="0"/>
            <c:bubble3D val="0"/>
            <c:spPr>
              <a:solidFill>
                <a:srgbClr val="FDD868"/>
              </a:solidFill>
              <a:ln w="63500" cap="flat">
                <a:solidFill>
                  <a:srgbClr val="FDD868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1B44-4614-BEBF-329F6EB38A9C}"/>
              </c:ext>
            </c:extLst>
          </c:dPt>
          <c:dPt>
            <c:idx val="13"/>
            <c:invertIfNegative val="0"/>
            <c:bubble3D val="0"/>
            <c:spPr>
              <a:solidFill>
                <a:srgbClr val="BC8E03"/>
              </a:solidFill>
              <a:ln w="63500" cap="flat">
                <a:solidFill>
                  <a:srgbClr val="BC8E03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1B44-4614-BEBF-329F6EB38A9C}"/>
              </c:ext>
            </c:extLst>
          </c:dPt>
          <c:dPt>
            <c:idx val="14"/>
            <c:invertIfNegative val="0"/>
            <c:bubble3D val="0"/>
            <c:spPr>
              <a:solidFill>
                <a:srgbClr val="7D5F02"/>
              </a:solidFill>
              <a:ln w="63500" cap="flat">
                <a:solidFill>
                  <a:srgbClr val="7D5F02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1B44-4614-BEBF-329F6EB38A9C}"/>
              </c:ext>
            </c:extLst>
          </c:dPt>
          <c:dPt>
            <c:idx val="15"/>
            <c:invertIfNegative val="0"/>
            <c:bubble3D val="0"/>
            <c:spPr>
              <a:solidFill>
                <a:srgbClr val="D1F1DA"/>
              </a:solidFill>
              <a:ln w="63500" cap="flat">
                <a:solidFill>
                  <a:srgbClr val="D1F1DA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B44-4614-BEBF-329F6EB38A9C}"/>
              </c:ext>
            </c:extLst>
          </c:dPt>
          <c:dPt>
            <c:idx val="16"/>
            <c:invertIfNegative val="0"/>
            <c:bubble3D val="0"/>
            <c:spPr>
              <a:solidFill>
                <a:srgbClr val="A6E3B7"/>
              </a:solidFill>
              <a:ln w="63500" cap="flat">
                <a:solidFill>
                  <a:srgbClr val="A6E3B7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1B44-4614-BEBF-329F6EB38A9C}"/>
              </c:ext>
            </c:extLst>
          </c:dPt>
          <c:dPt>
            <c:idx val="17"/>
            <c:invertIfNegative val="0"/>
            <c:bubble3D val="0"/>
            <c:spPr>
              <a:solidFill>
                <a:srgbClr val="7AD694"/>
              </a:solidFill>
              <a:ln w="63500" cap="flat">
                <a:solidFill>
                  <a:srgbClr val="7AD694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1B44-4614-BEBF-329F6EB38A9C}"/>
              </c:ext>
            </c:extLst>
          </c:dPt>
          <c:dPt>
            <c:idx val="18"/>
            <c:invertIfNegative val="0"/>
            <c:bubble3D val="0"/>
            <c:spPr>
              <a:solidFill>
                <a:srgbClr val="277E40"/>
              </a:solidFill>
              <a:ln w="63500" cap="flat">
                <a:solidFill>
                  <a:srgbClr val="277E4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1B44-4614-BEBF-329F6EB38A9C}"/>
              </c:ext>
            </c:extLst>
          </c:dPt>
          <c:dPt>
            <c:idx val="19"/>
            <c:invertIfNegative val="0"/>
            <c:bubble3D val="0"/>
            <c:spPr>
              <a:solidFill>
                <a:srgbClr val="FEF2CD"/>
              </a:solidFill>
              <a:ln w="63500" cap="flat">
                <a:solidFill>
                  <a:srgbClr val="FEF2CD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1B44-4614-BEBF-329F6EB38A9C}"/>
              </c:ext>
            </c:extLst>
          </c:dPt>
          <c:dPt>
            <c:idx val="20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1B44-4614-BEBF-329F6EB38A9C}"/>
              </c:ext>
            </c:extLst>
          </c:dPt>
          <c:dPt>
            <c:idx val="21"/>
            <c:invertIfNegative val="0"/>
            <c:bubble3D val="0"/>
            <c:spPr>
              <a:solidFill>
                <a:srgbClr val="BFBFBF"/>
              </a:solidFill>
              <a:ln w="63500" cap="flat">
                <a:solidFill>
                  <a:srgbClr val="BFBFBF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1B44-4614-BEBF-329F6EB38A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'Bureau 12'!$E$2:$M$2</c:f>
              <c:strCache>
                <c:ptCount val="9"/>
                <c:pt idx="0">
                  <c:v>Mme Christiane 
LARDAT</c:v>
                </c:pt>
                <c:pt idx="1">
                  <c:v>M. Francis 
LAPRADE</c:v>
                </c:pt>
                <c:pt idx="2">
                  <c:v>M. Pierre-Yves 
TIERCE</c:v>
                </c:pt>
                <c:pt idx="3">
                  <c:v>M. Philippe 
VALLET</c:v>
                </c:pt>
                <c:pt idx="4">
                  <c:v>Mme Isabelle 
FARNET RISSO</c:v>
                </c:pt>
                <c:pt idx="5">
                  <c:v>Mme Véronique 
LANSADE</c:v>
                </c:pt>
                <c:pt idx="6">
                  <c:v>M. Pascal 
CORDÉ</c:v>
                </c:pt>
                <c:pt idx="7">
                  <c:v>Blancs</c:v>
                </c:pt>
                <c:pt idx="8">
                  <c:v>Nuls</c:v>
                </c:pt>
              </c:strCache>
            </c:strRef>
          </c:cat>
          <c:val>
            <c:numRef>
              <c:f>'Bureau 12'!$E$14:$M$14</c:f>
              <c:numCache>
                <c:formatCode>0.00%</c:formatCode>
                <c:ptCount val="9"/>
                <c:pt idx="0">
                  <c:v>4.6012269938650305E-2</c:v>
                </c:pt>
                <c:pt idx="1">
                  <c:v>3.6809815950920248E-2</c:v>
                </c:pt>
                <c:pt idx="2">
                  <c:v>0.19018404907975461</c:v>
                </c:pt>
                <c:pt idx="3">
                  <c:v>0.2607361963190184</c:v>
                </c:pt>
                <c:pt idx="4">
                  <c:v>0.24233128834355827</c:v>
                </c:pt>
                <c:pt idx="5">
                  <c:v>0.15644171779141106</c:v>
                </c:pt>
                <c:pt idx="6">
                  <c:v>3.3742331288343558E-2</c:v>
                </c:pt>
                <c:pt idx="7">
                  <c:v>2.7607361963190184E-2</c:v>
                </c:pt>
                <c:pt idx="8">
                  <c:v>6.1349693251533744E-3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B44-4614-BEBF-329F6EB38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46569049"/>
        <c:axId val="2087855260"/>
      </c:barChart>
      <c:catAx>
        <c:axId val="204656904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7855260"/>
        <c:crosses val="autoZero"/>
        <c:auto val="1"/>
        <c:lblAlgn val="ctr"/>
        <c:lblOffset val="100"/>
        <c:noMultiLvlLbl val="1"/>
      </c:catAx>
      <c:valAx>
        <c:axId val="20878552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6569049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Taux de participation du bureau 12 durant la journée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12"/>
          <c:order val="0"/>
          <c:tx>
            <c:strRef>
              <c:f>'Bureau 12'!$R$2</c:f>
              <c:strCache>
                <c:ptCount val="1"/>
                <c:pt idx="0">
                  <c:v>Votants %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cmpd="sng">
                <a:solidFill>
                  <a:schemeClr val="bg1">
                    <a:lumMod val="50000"/>
                  </a:schemeClr>
                </a:solidFill>
              </a:ln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FE76-4219-8A9F-3843CC16B14A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E76-4219-8A9F-3843CC16B14A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FE76-4219-8A9F-3843CC16B14A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E76-4219-8A9F-3843CC16B14A}"/>
                </c:ext>
              </c:extLst>
            </c:dLbl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FE76-4219-8A9F-3843CC16B14A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E76-4219-8A9F-3843CC16B14A}"/>
                </c:ext>
              </c:extLst>
            </c:dLbl>
            <c:dLbl>
              <c:idx val="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FE76-4219-8A9F-3843CC16B14A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E76-4219-8A9F-3843CC16B14A}"/>
                </c:ext>
              </c:extLst>
            </c:dLbl>
            <c:dLbl>
              <c:idx val="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E76-4219-8A9F-3843CC16B14A}"/>
                </c:ext>
              </c:extLst>
            </c:dLbl>
            <c:dLbl>
              <c:idx val="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E76-4219-8A9F-3843CC16B14A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FE76-4219-8A9F-3843CC16B14A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FE76-4219-8A9F-3843CC16B14A}"/>
                </c:ext>
              </c:extLst>
            </c:dLbl>
            <c:dLbl>
              <c:idx val="1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FE76-4219-8A9F-3843CC16B14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12'!$P$3:$P$15</c:f>
              <c:strCache>
                <c:ptCount val="13"/>
                <c:pt idx="0">
                  <c:v>08h00</c:v>
                </c:pt>
                <c:pt idx="1">
                  <c:v>09h00</c:v>
                </c:pt>
                <c:pt idx="2">
                  <c:v>10h00</c:v>
                </c:pt>
                <c:pt idx="3">
                  <c:v>11h00</c:v>
                </c:pt>
                <c:pt idx="4">
                  <c:v>12h00</c:v>
                </c:pt>
                <c:pt idx="5">
                  <c:v>13h00</c:v>
                </c:pt>
                <c:pt idx="6">
                  <c:v>14h00</c:v>
                </c:pt>
                <c:pt idx="7">
                  <c:v>15h00</c:v>
                </c:pt>
                <c:pt idx="8">
                  <c:v>16h00</c:v>
                </c:pt>
                <c:pt idx="9">
                  <c:v>17h00</c:v>
                </c:pt>
                <c:pt idx="10">
                  <c:v>18h00</c:v>
                </c:pt>
                <c:pt idx="11">
                  <c:v>19h00</c:v>
                </c:pt>
                <c:pt idx="12">
                  <c:v>20h00</c:v>
                </c:pt>
              </c:strCache>
            </c:strRef>
          </c:cat>
          <c:val>
            <c:numRef>
              <c:f>'Bureau 12'!$R$3:$R$15</c:f>
              <c:numCache>
                <c:formatCode>0.00%</c:formatCode>
                <c:ptCount val="13"/>
                <c:pt idx="0">
                  <c:v>0</c:v>
                </c:pt>
                <c:pt idx="1">
                  <c:v>3.5294117647058823E-2</c:v>
                </c:pt>
                <c:pt idx="2">
                  <c:v>7.2058823529411759E-2</c:v>
                </c:pt>
                <c:pt idx="3">
                  <c:v>0.14117647058823529</c:v>
                </c:pt>
                <c:pt idx="4">
                  <c:v>0.21029411764705883</c:v>
                </c:pt>
                <c:pt idx="5">
                  <c:v>0.2676470588235294</c:v>
                </c:pt>
                <c:pt idx="6">
                  <c:v>0.31911764705882351</c:v>
                </c:pt>
                <c:pt idx="7">
                  <c:v>0.36911764705882355</c:v>
                </c:pt>
                <c:pt idx="8">
                  <c:v>0.42205882352941176</c:v>
                </c:pt>
                <c:pt idx="9">
                  <c:v>0.47205882352941175</c:v>
                </c:pt>
                <c:pt idx="10">
                  <c:v>0.47941176470588237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E76-4219-8A9F-3843CC16B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155108"/>
        <c:axId val="555101647"/>
      </c:line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tickMarkSkip val="1"/>
        <c:noMultiLvlLbl val="1"/>
      </c:catAx>
      <c:valAx>
        <c:axId val="555101647"/>
        <c:scaling>
          <c:orientation val="minMax"/>
          <c:max val="1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0%" sourceLinked="0"/>
        <c:majorTickMark val="none"/>
        <c:minorTickMark val="none"/>
        <c:tickLblPos val="low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max"/>
        <c:crossBetween val="between"/>
      </c:valAx>
    </c:plotArea>
    <c:plotVisOnly val="1"/>
    <c:dispBlanksAs val="zero"/>
    <c:showDLblsOverMax val="1"/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sz="1800" b="0" i="0" u="none" strike="noStrike" kern="1200" baseline="0">
                <a:solidFill>
                  <a:srgbClr val="757575"/>
                </a:solidFill>
              </a:rPr>
              <a:t>Participation horaire du Bureau 12 durant la journée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2"/>
          <c:order val="0"/>
          <c:tx>
            <c:strRef>
              <c:f>'Bureau 12'!$U$2</c:f>
              <c:strCache>
                <c:ptCount val="1"/>
                <c:pt idx="0">
                  <c:v>Votants sur la période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28B-402F-A586-0C06FF8215F1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28B-402F-A586-0C06FF8215F1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28B-402F-A586-0C06FF8215F1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28B-402F-A586-0C06FF8215F1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B28B-402F-A586-0C06FF8215F1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28B-402F-A586-0C06FF8215F1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B28B-402F-A586-0C06FF8215F1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28B-402F-A586-0C06FF8215F1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427293064876954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B28B-402F-A586-0C06FF8215F1}"/>
                </c:ext>
              </c:extLst>
            </c:dLbl>
            <c:dLbl>
              <c:idx val="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B28B-402F-A586-0C06FF8215F1}"/>
                </c:ext>
              </c:extLst>
            </c:dLbl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378076062639818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B28B-402F-A586-0C06FF8215F1}"/>
                </c:ext>
              </c:extLst>
            </c:dLbl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28B-402F-A586-0C06FF8215F1}"/>
                </c:ext>
              </c:extLst>
            </c:dLbl>
            <c:dLbl>
              <c:idx val="1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476510067114097E-2"/>
                      <c:h val="4.76190476190476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B28B-402F-A586-0C06FF8215F1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vertOverflow="overflow" horzOverflow="overflow">
                <a:noAutofit/>
              </a:bodyPr>
              <a:lstStyle/>
              <a:p>
                <a:pPr lvl="0">
                  <a:defRPr/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'Bureau 12'!$T$4:$T$15</c:f>
              <c:strCache>
                <c:ptCount val="12"/>
                <c:pt idx="0">
                  <c:v>8h-9h</c:v>
                </c:pt>
                <c:pt idx="1">
                  <c:v>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  <c:pt idx="7">
                  <c:v>15h-16h</c:v>
                </c:pt>
                <c:pt idx="8">
                  <c:v>16h-17h</c:v>
                </c:pt>
                <c:pt idx="9">
                  <c:v>17h-18h</c:v>
                </c:pt>
                <c:pt idx="10">
                  <c:v>18h-19h</c:v>
                </c:pt>
                <c:pt idx="11">
                  <c:v>19h-20h</c:v>
                </c:pt>
              </c:strCache>
            </c:strRef>
          </c:cat>
          <c:val>
            <c:numRef>
              <c:f>'Bureau 12'!$U$4:$U$15</c:f>
              <c:numCache>
                <c:formatCode>General</c:formatCode>
                <c:ptCount val="12"/>
                <c:pt idx="0">
                  <c:v>24</c:v>
                </c:pt>
                <c:pt idx="1">
                  <c:v>25</c:v>
                </c:pt>
                <c:pt idx="2">
                  <c:v>47</c:v>
                </c:pt>
                <c:pt idx="3">
                  <c:v>47</c:v>
                </c:pt>
                <c:pt idx="4">
                  <c:v>39</c:v>
                </c:pt>
                <c:pt idx="5">
                  <c:v>35</c:v>
                </c:pt>
                <c:pt idx="6">
                  <c:v>34</c:v>
                </c:pt>
                <c:pt idx="7">
                  <c:v>36</c:v>
                </c:pt>
                <c:pt idx="8">
                  <c:v>34</c:v>
                </c:pt>
                <c:pt idx="9">
                  <c:v>5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28B-402F-A586-0C06FF821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155108"/>
        <c:axId val="555101647"/>
      </c:barChart>
      <c:catAx>
        <c:axId val="1600155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 rot="-2700000" vert="horz" anchor="ctr" anchorCtr="1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5101647"/>
        <c:crosses val="autoZero"/>
        <c:auto val="1"/>
        <c:lblAlgn val="ctr"/>
        <c:lblOffset val="100"/>
        <c:noMultiLvlLbl val="1"/>
      </c:catAx>
      <c:valAx>
        <c:axId val="55510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spPr>
          <a:ln>
            <a:solidFill/>
          </a:ln>
        </c:spPr>
        <c:txPr>
          <a:bodyPr rot="0" vert="horz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0155108"/>
        <c:crosses val="autoZero"/>
        <c:crossBetween val="between"/>
      </c:valAx>
    </c:plotArea>
    <c:plotVisOnly val="1"/>
    <c:dispBlanksAs val="zero"/>
    <c:showDLblsOverMax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FEFEF"/>
    </a:solid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151023</xdr:colOff>
      <xdr:row>17</xdr:row>
      <xdr:rowOff>138225</xdr:rowOff>
    </xdr:from>
    <xdr:ext cx="12210311" cy="5562600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390280</xdr:colOff>
      <xdr:row>15</xdr:row>
      <xdr:rowOff>120650</xdr:rowOff>
    </xdr:from>
    <xdr:ext cx="15419828" cy="6030005"/>
    <xdr:graphicFrame macro="">
      <xdr:nvGraphicFramePr>
        <xdr:cNvPr id="2" name="Chart 3" title="Graphique">
          <a:extLst>
            <a:ext uri="{FF2B5EF4-FFF2-40B4-BE49-F238E27FC236}">
              <a16:creationId xmlns:a16="http://schemas.microsoft.com/office/drawing/2014/main" id="{F7AF7058-D38E-43FB-8A69-62B886CA9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476250</xdr:colOff>
          <xdr:row>4</xdr:row>
          <xdr:rowOff>133350</xdr:rowOff>
        </xdr:from>
        <xdr:to>
          <xdr:col>38</xdr:col>
          <xdr:colOff>82550</xdr:colOff>
          <xdr:row>8</xdr:row>
          <xdr:rowOff>69850</xdr:rowOff>
        </xdr:to>
        <xdr:sp macro="" textlink="">
          <xdr:nvSpPr>
            <xdr:cNvPr id="17409" name="Butto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1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fr-FR" sz="12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Importer la participation du tour précédent</a:t>
              </a:r>
            </a:p>
          </xdr:txBody>
        </xdr:sp>
        <xdr:clientData fLocksWithSheet="0" fPrintsWithSheet="0"/>
      </xdr:twoCellAnchor>
    </mc:Choice>
    <mc:Fallback/>
  </mc:AlternateContent>
  <xdr:oneCellAnchor>
    <xdr:from>
      <xdr:col>2</xdr:col>
      <xdr:colOff>374438</xdr:colOff>
      <xdr:row>50</xdr:row>
      <xdr:rowOff>186071</xdr:rowOff>
    </xdr:from>
    <xdr:ext cx="15435931" cy="6021473"/>
    <xdr:graphicFrame macro="">
      <xdr:nvGraphicFramePr>
        <xdr:cNvPr id="3" name="GraphAffluence" title="Graphique">
          <a:extLst>
            <a:ext uri="{FF2B5EF4-FFF2-40B4-BE49-F238E27FC236}">
              <a16:creationId xmlns:a16="http://schemas.microsoft.com/office/drawing/2014/main" id="{082F3D85-0F81-4C00-9BF7-93CC20B0C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323848</xdr:colOff>
      <xdr:row>18</xdr:row>
      <xdr:rowOff>110184</xdr:rowOff>
    </xdr:from>
    <xdr:ext cx="15087602" cy="3614837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C06C0DAA-701A-4012-9D82-F9C1F8FFC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24</xdr:col>
      <xdr:colOff>241808</xdr:colOff>
      <xdr:row>17</xdr:row>
      <xdr:rowOff>260020</xdr:rowOff>
    </xdr:from>
    <xdr:ext cx="11395975" cy="4046484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D74882AA-B210-4925-9253-A7D5D1047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1</xdr:col>
      <xdr:colOff>381000</xdr:colOff>
      <xdr:row>7</xdr:row>
      <xdr:rowOff>47625</xdr:rowOff>
    </xdr:from>
    <xdr:to>
      <xdr:col>2</xdr:col>
      <xdr:colOff>847725</xdr:colOff>
      <xdr:row>12</xdr:row>
      <xdr:rowOff>152403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2374987-1987-F10F-3F26-B20F4C304E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6275" y="1876425"/>
          <a:ext cx="1019175" cy="1295403"/>
        </a:xfrm>
        <a:prstGeom prst="rect">
          <a:avLst/>
        </a:prstGeom>
      </xdr:spPr>
    </xdr:pic>
    <xdr:clientData/>
  </xdr:twoCellAnchor>
  <xdr:twoCellAnchor editAs="oneCell">
    <xdr:from>
      <xdr:col>33</xdr:col>
      <xdr:colOff>542925</xdr:colOff>
      <xdr:row>6</xdr:row>
      <xdr:rowOff>28575</xdr:rowOff>
    </xdr:from>
    <xdr:to>
      <xdr:col>34</xdr:col>
      <xdr:colOff>800100</xdr:colOff>
      <xdr:row>11</xdr:row>
      <xdr:rowOff>133353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E26C7D7-D4B6-4B96-9BC2-B8EED56B3F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0022800" y="1657350"/>
          <a:ext cx="1019175" cy="1295403"/>
        </a:xfrm>
        <a:prstGeom prst="rect">
          <a:avLst/>
        </a:prstGeom>
      </xdr:spPr>
    </xdr:pic>
    <xdr:clientData/>
  </xdr:twoCellAnchor>
  <xdr:oneCellAnchor>
    <xdr:from>
      <xdr:col>24</xdr:col>
      <xdr:colOff>226786</xdr:colOff>
      <xdr:row>36</xdr:row>
      <xdr:rowOff>172357</xdr:rowOff>
    </xdr:from>
    <xdr:ext cx="11493499" cy="5361214"/>
    <xdr:graphicFrame macro="">
      <xdr:nvGraphicFramePr>
        <xdr:cNvPr id="4" name="GraphAffluence" title="Graphique">
          <a:extLst>
            <a:ext uri="{FF2B5EF4-FFF2-40B4-BE49-F238E27FC236}">
              <a16:creationId xmlns:a16="http://schemas.microsoft.com/office/drawing/2014/main" id="{2A749BBA-BCA6-4104-A5F0-F3767BB36DAA}"/>
            </a:ext>
            <a:ext uri="{147F2762-F138-4A5C-976F-8EAC2B608ADB}">
              <a16:predDERef xmlns:a16="http://schemas.microsoft.com/office/drawing/2014/main" pred="{8E26C7D7-D4B6-4B96-9BC2-B8EED56B3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3FEE8813-5435-46BE-BC9C-C9968B1D1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60900DF1-0A7E-49CF-AD7A-270458F01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3C8A348D-9482-4131-8604-88DC3D2ED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AEB4A235-F548-420A-899C-9533A546D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E407F484-0BFD-4E66-8ED6-5556DA344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6066810B-C6F6-492D-92C6-26B187869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E83AF760-AF6D-48E1-8DB4-D44E6AF47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1137A096-481C-4EFE-B38D-A69AD8B80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CC05AFAB-726B-4272-8A2D-F58C8AD5B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511B37FF-303A-4DC2-A1B4-D10A3CFAF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9E474FA4-6813-4920-9EC7-015A49448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15B7BAB4-5AF9-484F-8829-9D29C61D4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24B75972-D51E-4622-A318-1CD030253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107AB6FD-4ACB-43BB-93A6-5183FF058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83B0D8E2-25E2-4A6B-94D5-B8BD4B295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0418C724-8C95-40F8-8B81-420E4D044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B74863EA-58C5-4EE3-AF89-43513D071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11E8AF79-6179-4B76-9123-2C339494B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4679F32A-A669-4F61-84CA-471AC5F1D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33823424-8B52-4A12-8211-ECF590135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15C9DDF2-33E3-4017-8053-A918D9CA4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FEF1C2DB-AA72-4DBB-BBAB-6DBBADA260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55732306-A56F-47BA-B999-E500E7B07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39D2C935-C0D2-4F9B-B044-6C06B79F2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F9C4320F-6933-4A7B-B204-2C2178040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E8F906F5-A1C1-437A-85B5-A452900C6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E0CCD582-60AC-4007-9870-D5021E843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9F79189E-7747-4961-B61E-6922ABE90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546E1BF3-FBDE-4B3B-ABCB-E73C53E82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860ECD0B-B1F4-4E50-B2F4-C45437F14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81DE3906-D4C1-4BC2-A7DF-0FBB964A8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50BD129A-19AA-4A8A-B921-E00DFFA70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C275C803-22C7-486A-85C3-6617B765B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188878</xdr:colOff>
      <xdr:row>16</xdr:row>
      <xdr:rowOff>911</xdr:rowOff>
    </xdr:from>
    <xdr:ext cx="10050498" cy="4523464"/>
    <xdr:graphicFrame macro="">
      <xdr:nvGraphicFramePr>
        <xdr:cNvPr id="2" name="GraphDepouillement" title="Graphique">
          <a:extLst>
            <a:ext uri="{FF2B5EF4-FFF2-40B4-BE49-F238E27FC236}">
              <a16:creationId xmlns:a16="http://schemas.microsoft.com/office/drawing/2014/main" id="{7E63C78B-05AC-4C49-BDCC-2667964F5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95250</xdr:colOff>
      <xdr:row>15</xdr:row>
      <xdr:rowOff>99219</xdr:rowOff>
    </xdr:from>
    <xdr:ext cx="7096125" cy="3867150"/>
    <xdr:graphicFrame macro="">
      <xdr:nvGraphicFramePr>
        <xdr:cNvPr id="3" name="GraphParticipation" title="Graphique">
          <a:extLst>
            <a:ext uri="{FF2B5EF4-FFF2-40B4-BE49-F238E27FC236}">
              <a16:creationId xmlns:a16="http://schemas.microsoft.com/office/drawing/2014/main" id="{D378D4C8-FB82-4080-957A-5F608564E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59531</xdr:colOff>
      <xdr:row>38</xdr:row>
      <xdr:rowOff>160451</xdr:rowOff>
    </xdr:from>
    <xdr:ext cx="7096125" cy="3867150"/>
    <xdr:graphicFrame macro="">
      <xdr:nvGraphicFramePr>
        <xdr:cNvPr id="4" name="GraphHoraire" title="Graphique">
          <a:extLst>
            <a:ext uri="{FF2B5EF4-FFF2-40B4-BE49-F238E27FC236}">
              <a16:creationId xmlns:a16="http://schemas.microsoft.com/office/drawing/2014/main" id="{65A3C27A-737F-4E3A-8ECB-928518340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umnienacfr-my.sharepoint.com/personal/remi_barbero_alumni_enac_fr/Documents/Echange/Elections/Municipales%202026/Elections%20municipales%20Cogolin%20-%20Tour%201%20-%2015%20mars%202026%20-%20Bibou.xlsx" TargetMode="External"/><Relationship Id="rId1" Type="http://schemas.openxmlformats.org/officeDocument/2006/relationships/externalLinkPath" Target="Elections%20municipales%20Cogolin%20-%20Tour%201%20-%2015%20mars%202026%20-%20Bibou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umnienacfr-my.sharepoint.com/personal/remi_barbero_alumni_enac_fr/Documents/Echange/Elections/Municipales%202026/Elections%20municipales%20Cogolin%20-%20Tour%202%20-%2022%20mars%202026.xlsx" TargetMode="External"/><Relationship Id="rId1" Type="http://schemas.openxmlformats.org/officeDocument/2006/relationships/externalLinkPath" Target="Elections%20municipales%20Cogolin%20-%20Tour%202%20-%2022%20mar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èse"/>
      <sheetName val="Participation horaire"/>
      <sheetName val="Feuille décompte"/>
      <sheetName val="Projection"/>
    </sheetNames>
    <sheetDataSet>
      <sheetData sheetId="0" refreshError="1"/>
      <sheetData sheetId="1">
        <row r="38">
          <cell r="F38" t="str">
            <v>08h00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</row>
        <row r="39">
          <cell r="F39" t="str">
            <v>09h00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F40" t="str">
            <v>10h00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F41" t="str">
            <v>11h00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F42" t="str">
            <v>12h00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F43" t="str">
            <v>13h00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F44" t="str">
            <v>14h00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F45" t="str">
            <v>15h00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F46" t="str">
            <v>16h00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F47" t="str">
            <v>17h00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F48" t="str">
            <v>18h00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F49" t="str">
            <v>19h00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F50" t="str">
            <v>20h00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nthèse"/>
      <sheetName val="Participation horaire"/>
      <sheetName val="Bureau 1"/>
      <sheetName val="Bureau 2"/>
      <sheetName val="Bureau 3"/>
      <sheetName val="Bureau 4"/>
      <sheetName val="Bureau 5"/>
      <sheetName val="Bureau 6"/>
      <sheetName val="Bureau 7"/>
      <sheetName val="Bureau 8"/>
      <sheetName val="Bureau 9"/>
      <sheetName val="Bureau 10"/>
      <sheetName val="Bureau 11"/>
      <sheetName val="Bureau 12"/>
      <sheetName val="Projection"/>
      <sheetName val="Sièges"/>
      <sheetName val="Feuille décompte"/>
    </sheetNames>
    <sheetDataSet>
      <sheetData sheetId="0"/>
      <sheetData sheetId="1">
        <row r="54">
          <cell r="F54" t="str">
            <v>8h-9h</v>
          </cell>
          <cell r="S54">
            <v>458</v>
          </cell>
          <cell r="AG54">
            <v>394</v>
          </cell>
        </row>
        <row r="55">
          <cell r="F55" t="str">
            <v>9h-10h</v>
          </cell>
          <cell r="S55">
            <v>598</v>
          </cell>
          <cell r="AG55">
            <v>545</v>
          </cell>
        </row>
        <row r="56">
          <cell r="F56" t="str">
            <v>10h-11h</v>
          </cell>
          <cell r="S56">
            <v>793</v>
          </cell>
          <cell r="AG56">
            <v>757</v>
          </cell>
        </row>
        <row r="57">
          <cell r="F57" t="str">
            <v>11h-12h</v>
          </cell>
          <cell r="S57">
            <v>751</v>
          </cell>
          <cell r="AG57">
            <v>796</v>
          </cell>
        </row>
        <row r="58">
          <cell r="F58" t="str">
            <v>12h-13h</v>
          </cell>
          <cell r="S58">
            <v>543</v>
          </cell>
          <cell r="AG58">
            <v>470</v>
          </cell>
        </row>
        <row r="59">
          <cell r="F59" t="str">
            <v>13h-14h</v>
          </cell>
          <cell r="S59">
            <v>301</v>
          </cell>
          <cell r="AG59">
            <v>437</v>
          </cell>
        </row>
        <row r="60">
          <cell r="F60" t="str">
            <v>14h-15h</v>
          </cell>
          <cell r="S60">
            <v>345</v>
          </cell>
          <cell r="AG60">
            <v>445</v>
          </cell>
        </row>
        <row r="61">
          <cell r="F61" t="str">
            <v>15h-16h</v>
          </cell>
          <cell r="S61">
            <v>331</v>
          </cell>
          <cell r="AG61">
            <v>404</v>
          </cell>
        </row>
        <row r="62">
          <cell r="F62" t="str">
            <v>16h-17h</v>
          </cell>
          <cell r="S62">
            <v>325</v>
          </cell>
          <cell r="AG62">
            <v>237</v>
          </cell>
        </row>
        <row r="63">
          <cell r="F63" t="str">
            <v>17h-18h</v>
          </cell>
          <cell r="S63">
            <v>206</v>
          </cell>
          <cell r="AG63">
            <v>198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4" tint="-0.499984740745262"/>
    <outlinePr summaryBelow="0" summaryRight="0"/>
    <pageSetUpPr fitToPage="1"/>
  </sheetPr>
  <dimension ref="A1:S41"/>
  <sheetViews>
    <sheetView tabSelected="1" workbookViewId="0">
      <selection activeCell="I33" sqref="I33"/>
    </sheetView>
  </sheetViews>
  <sheetFormatPr baseColWidth="10" defaultColWidth="12.54296875" defaultRowHeight="15.75" customHeight="1" x14ac:dyDescent="0.25"/>
  <cols>
    <col min="1" max="1" width="7.453125" customWidth="1"/>
    <col min="2" max="2" width="17.7265625" customWidth="1"/>
    <col min="3" max="3" width="10" customWidth="1"/>
    <col min="4" max="4" width="14.26953125" customWidth="1"/>
    <col min="5" max="5" width="10.26953125" customWidth="1"/>
    <col min="6" max="6" width="11.54296875" customWidth="1"/>
    <col min="7" max="7" width="8.26953125" customWidth="1"/>
    <col min="8" max="8" width="9.453125" customWidth="1"/>
    <col min="9" max="9" width="10.453125" customWidth="1"/>
    <col min="10" max="10" width="13" customWidth="1"/>
    <col min="11" max="11" width="14.7265625" customWidth="1"/>
    <col min="12" max="18" width="17.26953125" customWidth="1"/>
  </cols>
  <sheetData>
    <row r="1" spans="1:19" ht="13.5" thickBot="1" x14ac:dyDescent="0.35">
      <c r="A1" s="105"/>
      <c r="B1" s="106"/>
      <c r="C1" s="105"/>
      <c r="D1" s="105"/>
      <c r="E1" s="105"/>
      <c r="F1" s="105"/>
      <c r="G1" s="105"/>
      <c r="H1" s="105"/>
      <c r="I1" s="105"/>
      <c r="J1" s="105"/>
      <c r="K1" s="105"/>
      <c r="L1" s="114">
        <v>1</v>
      </c>
      <c r="M1" s="107">
        <v>2</v>
      </c>
      <c r="N1" s="107">
        <v>3</v>
      </c>
      <c r="O1" s="107">
        <v>4</v>
      </c>
      <c r="P1" s="107">
        <v>5</v>
      </c>
      <c r="Q1" s="108">
        <v>6</v>
      </c>
      <c r="R1" s="108">
        <v>7</v>
      </c>
      <c r="S1" s="175" t="s">
        <v>7</v>
      </c>
    </row>
    <row r="2" spans="1:19" ht="32.25" customHeight="1" thickBot="1" x14ac:dyDescent="0.3">
      <c r="A2" s="184" t="s">
        <v>85</v>
      </c>
      <c r="B2" s="144" t="s">
        <v>24</v>
      </c>
      <c r="C2" s="145" t="s">
        <v>0</v>
      </c>
      <c r="D2" s="115" t="s">
        <v>1</v>
      </c>
      <c r="E2" s="116" t="s">
        <v>2</v>
      </c>
      <c r="F2" s="117" t="s">
        <v>17</v>
      </c>
      <c r="G2" s="118" t="s">
        <v>3</v>
      </c>
      <c r="H2" s="116" t="s">
        <v>4</v>
      </c>
      <c r="I2" s="116" t="s">
        <v>5</v>
      </c>
      <c r="J2" s="119" t="s">
        <v>6</v>
      </c>
      <c r="K2" s="120" t="s">
        <v>86</v>
      </c>
      <c r="L2" s="230" t="s">
        <v>107</v>
      </c>
      <c r="M2" s="378" t="s">
        <v>108</v>
      </c>
      <c r="N2" s="231" t="s">
        <v>109</v>
      </c>
      <c r="O2" s="244" t="s">
        <v>110</v>
      </c>
      <c r="P2" s="243" t="s">
        <v>111</v>
      </c>
      <c r="Q2" s="229" t="s">
        <v>112</v>
      </c>
      <c r="R2" s="242" t="s">
        <v>113</v>
      </c>
      <c r="S2" s="173" t="s">
        <v>8</v>
      </c>
    </row>
    <row r="3" spans="1:19" ht="13" x14ac:dyDescent="0.3">
      <c r="A3" s="185">
        <v>1</v>
      </c>
      <c r="B3" s="146" t="s">
        <v>89</v>
      </c>
      <c r="C3" s="147">
        <v>553</v>
      </c>
      <c r="D3" s="121" cm="1">
        <f t="array" aca="1" ref="D3" ca="1">INDIRECT("'Bureau " &amp; ROW()-2 &amp; "'!$B$8")</f>
        <v>323</v>
      </c>
      <c r="E3" s="122" cm="1">
        <f t="array" aca="1" ref="E3" ca="1">INDIRECT("'Bureau " &amp; ROW()-2 &amp; "'!$B$7")</f>
        <v>323</v>
      </c>
      <c r="F3" s="123">
        <f t="shared" ref="F3:F14" ca="1" si="0">C3-E3</f>
        <v>230</v>
      </c>
      <c r="G3" s="121">
        <f ca="1">INDEX(INDIRECT("'Bureau "&amp;(ROW()-2)&amp;"'!13:13"),1,MATCH("Blancs",INDIRECT("'Bureau "&amp;(ROW()-2)&amp;"'!2:2"),0))</f>
        <v>8</v>
      </c>
      <c r="H3" s="124">
        <f ca="1">INDEX(INDIRECT("'Bureau "&amp;(ROW()-2)&amp;"'!13:13"),1,MATCH("Nuls",INDIRECT("'Bureau "&amp;(ROW()-2)&amp;"'!2:2"),0))</f>
        <v>4</v>
      </c>
      <c r="I3" s="125">
        <f t="shared" ref="I3:I14" ca="1" si="1">E3-G3-H3</f>
        <v>311</v>
      </c>
      <c r="J3" s="126">
        <f t="shared" ref="J3:J14" ca="1" si="2">E3/C3</f>
        <v>0.58408679927667273</v>
      </c>
      <c r="K3" s="127">
        <f t="shared" ref="K3:K14" ca="1" si="3">F3/C3</f>
        <v>0.41591320072332733</v>
      </c>
      <c r="L3" s="152">
        <f t="shared" ref="L3:L14" ca="1" si="4">INDEX(INDIRECT("'Bureau " &amp; ROW()-2 &amp; "'!E:E"), MATCH("TOTAL", INDIRECT("'Bureau " &amp; ROW() -2&amp; "'!D:D"), 0))</f>
        <v>31</v>
      </c>
      <c r="M3" s="153">
        <f t="shared" ref="M3:M14" ca="1" si="5">INDEX(INDIRECT("'Bureau " &amp; ROW()-2 &amp; "'!F:F"), MATCH("TOTAL", INDIRECT("'Bureau " &amp; ROW() -2&amp; "'!D:D"), 0))</f>
        <v>6</v>
      </c>
      <c r="N3" s="153">
        <f t="shared" ref="N3:N14" ca="1" si="6">INDEX(INDIRECT("'Bureau " &amp; ROW()-2 &amp; "'!G:G"), MATCH("TOTAL", INDIRECT("'Bureau " &amp; ROW() -2&amp; "'!D:D"), 0))</f>
        <v>112</v>
      </c>
      <c r="O3" s="153">
        <f t="shared" ref="O3:O14" ca="1" si="7">INDEX(INDIRECT("'Bureau " &amp; ROW()-2 &amp; "'!H:H"), MATCH("TOTAL", INDIRECT("'Bureau " &amp; ROW() -2&amp; "'!D:D"), 0))</f>
        <v>36</v>
      </c>
      <c r="P3" s="153">
        <f t="shared" ref="P3:P14" ca="1" si="8">INDEX(INDIRECT("'Bureau " &amp; ROW()-2 &amp; "'!I:I"), MATCH("TOTAL", INDIRECT("'Bureau " &amp; ROW() -2&amp; "'!D:D"), 0))</f>
        <v>94</v>
      </c>
      <c r="Q3" s="154">
        <f t="shared" ref="Q3:Q14" ca="1" si="9">INDEX(INDIRECT("'Bureau " &amp; ROW()-2 &amp; "'!J:J"), MATCH("TOTAL", INDIRECT("'Bureau " &amp; ROW() -2&amp; "'!D:D"), 0))</f>
        <v>10</v>
      </c>
      <c r="R3" s="321">
        <f ca="1">INDEX(INDIRECT("'Bureau " &amp; ROW()-2 &amp; "'!K:K"), MATCH("TOTAL", INDIRECT("'Bureau " &amp; ROW() -2&amp; "'!D:D"), 0))</f>
        <v>22</v>
      </c>
      <c r="S3" s="320" cm="1">
        <f t="array" aca="1" ref="S3" ca="1">SUM(IFERROR(L3:R3,0))</f>
        <v>311</v>
      </c>
    </row>
    <row r="4" spans="1:19" ht="13" x14ac:dyDescent="0.3">
      <c r="A4" s="186">
        <v>2</v>
      </c>
      <c r="B4" s="148" t="s">
        <v>27</v>
      </c>
      <c r="C4" s="149">
        <v>740</v>
      </c>
      <c r="D4" s="128" cm="1">
        <f t="array" aca="1" ref="D4" ca="1">INDIRECT("'Bureau " &amp; ROW()-2 &amp; "'!$B$8")</f>
        <v>443</v>
      </c>
      <c r="E4" s="129" cm="1">
        <f t="array" aca="1" ref="E4" ca="1">INDIRECT("'Bureau " &amp; ROW()-2 &amp; "'!$B$7")</f>
        <v>443</v>
      </c>
      <c r="F4" s="130">
        <f t="shared" ca="1" si="0"/>
        <v>297</v>
      </c>
      <c r="G4" s="131">
        <f ca="1">INDEX(INDIRECT("'Bureau "&amp;(ROW()-2)&amp;"'!13:13"),1,MATCH("Blancs",INDIRECT("'Bureau "&amp;(ROW()-2)&amp;"'!2:2"),0))</f>
        <v>9</v>
      </c>
      <c r="H4" s="132">
        <f t="shared" ref="H4:H14" ca="1" si="10">INDEX(INDIRECT("'Bureau "&amp;(ROW()-2)&amp;"'!13:13"),1,MATCH("Nuls",INDIRECT("'Bureau "&amp;(ROW()-2)&amp;"'!2:2"),0))</f>
        <v>12</v>
      </c>
      <c r="I4" s="133">
        <f t="shared" ca="1" si="1"/>
        <v>422</v>
      </c>
      <c r="J4" s="134">
        <f t="shared" ca="1" si="2"/>
        <v>0.59864864864864864</v>
      </c>
      <c r="K4" s="135">
        <f t="shared" ca="1" si="3"/>
        <v>0.40135135135135136</v>
      </c>
      <c r="L4" s="155">
        <f t="shared" ca="1" si="4"/>
        <v>29</v>
      </c>
      <c r="M4" s="156">
        <f t="shared" ca="1" si="5"/>
        <v>19</v>
      </c>
      <c r="N4" s="156">
        <f t="shared" ca="1" si="6"/>
        <v>129</v>
      </c>
      <c r="O4" s="156">
        <f t="shared" ca="1" si="7"/>
        <v>78</v>
      </c>
      <c r="P4" s="156">
        <f t="shared" ca="1" si="8"/>
        <v>137</v>
      </c>
      <c r="Q4" s="157">
        <f t="shared" ca="1" si="9"/>
        <v>20</v>
      </c>
      <c r="R4" s="188">
        <f t="shared" ref="R4:R14" ca="1" si="11">INDEX(INDIRECT("'Bureau " &amp; ROW()-2 &amp; "'!K:K"), MATCH("TOTAL", INDIRECT("'Bureau " &amp; ROW() -2&amp; "'!D:D"), 0))</f>
        <v>10</v>
      </c>
      <c r="S4" s="172" cm="1">
        <f t="array" aca="1" ref="S4" ca="1">SUM(IFERROR(L4:R4,0))</f>
        <v>422</v>
      </c>
    </row>
    <row r="5" spans="1:19" ht="13" x14ac:dyDescent="0.3">
      <c r="A5" s="186">
        <v>3</v>
      </c>
      <c r="B5" s="148" t="s">
        <v>27</v>
      </c>
      <c r="C5" s="149">
        <v>713</v>
      </c>
      <c r="D5" s="128" cm="1">
        <f t="array" aca="1" ref="D5" ca="1">INDIRECT("'Bureau " &amp; ROW()-2 &amp; "'!$B$8")</f>
        <v>484</v>
      </c>
      <c r="E5" s="129" cm="1">
        <f t="array" aca="1" ref="E5" ca="1">INDIRECT("'Bureau " &amp; ROW()-2 &amp; "'!$B$7")</f>
        <v>484</v>
      </c>
      <c r="F5" s="130">
        <f t="shared" ca="1" si="0"/>
        <v>229</v>
      </c>
      <c r="G5" s="131">
        <f t="shared" ref="G5:G14" ca="1" si="12">INDEX(INDIRECT("'Bureau "&amp;(ROW()-2)&amp;"'!13:13"),1,MATCH("Blancs",INDIRECT("'Bureau "&amp;(ROW()-2)&amp;"'!2:2"),0))</f>
        <v>11</v>
      </c>
      <c r="H5" s="132">
        <f t="shared" ca="1" si="10"/>
        <v>8</v>
      </c>
      <c r="I5" s="133">
        <f t="shared" ca="1" si="1"/>
        <v>465</v>
      </c>
      <c r="J5" s="134">
        <f t="shared" ca="1" si="2"/>
        <v>0.67882187938288918</v>
      </c>
      <c r="K5" s="135">
        <f t="shared" ca="1" si="3"/>
        <v>0.32117812061711082</v>
      </c>
      <c r="L5" s="155">
        <f t="shared" ca="1" si="4"/>
        <v>37</v>
      </c>
      <c r="M5" s="156">
        <f t="shared" ca="1" si="5"/>
        <v>9</v>
      </c>
      <c r="N5" s="156">
        <f t="shared" ca="1" si="6"/>
        <v>137</v>
      </c>
      <c r="O5" s="156">
        <f t="shared" ca="1" si="7"/>
        <v>76</v>
      </c>
      <c r="P5" s="156">
        <f t="shared" ca="1" si="8"/>
        <v>188</v>
      </c>
      <c r="Q5" s="157">
        <f t="shared" ca="1" si="9"/>
        <v>10</v>
      </c>
      <c r="R5" s="188">
        <f t="shared" ca="1" si="11"/>
        <v>8</v>
      </c>
      <c r="S5" s="172" cm="1">
        <f t="array" aca="1" ref="S5" ca="1">SUM(IFERROR(L5:R5,0))</f>
        <v>465</v>
      </c>
    </row>
    <row r="6" spans="1:19" ht="13" x14ac:dyDescent="0.3">
      <c r="A6" s="186">
        <v>4</v>
      </c>
      <c r="B6" s="148" t="s">
        <v>27</v>
      </c>
      <c r="C6" s="149">
        <v>679</v>
      </c>
      <c r="D6" s="128" cm="1">
        <f t="array" aca="1" ref="D6" ca="1">INDIRECT("'Bureau " &amp; ROW()-2 &amp; "'!$B$8")</f>
        <v>363</v>
      </c>
      <c r="E6" s="129" cm="1">
        <f t="array" aca="1" ref="E6" ca="1">INDIRECT("'Bureau " &amp; ROW()-2 &amp; "'!$B$7")</f>
        <v>363</v>
      </c>
      <c r="F6" s="130">
        <f t="shared" ca="1" si="0"/>
        <v>316</v>
      </c>
      <c r="G6" s="131">
        <f t="shared" ca="1" si="12"/>
        <v>4</v>
      </c>
      <c r="H6" s="132">
        <f t="shared" ca="1" si="10"/>
        <v>10</v>
      </c>
      <c r="I6" s="133">
        <f t="shared" ca="1" si="1"/>
        <v>349</v>
      </c>
      <c r="J6" s="134">
        <f t="shared" ca="1" si="2"/>
        <v>0.53460972017673047</v>
      </c>
      <c r="K6" s="135">
        <f t="shared" ca="1" si="3"/>
        <v>0.46539027982326953</v>
      </c>
      <c r="L6" s="155">
        <f t="shared" ca="1" si="4"/>
        <v>28</v>
      </c>
      <c r="M6" s="156">
        <f t="shared" ca="1" si="5"/>
        <v>15</v>
      </c>
      <c r="N6" s="156">
        <f t="shared" ca="1" si="6"/>
        <v>81</v>
      </c>
      <c r="O6" s="156">
        <f t="shared" ca="1" si="7"/>
        <v>61</v>
      </c>
      <c r="P6" s="156">
        <f t="shared" ca="1" si="8"/>
        <v>135</v>
      </c>
      <c r="Q6" s="157">
        <f t="shared" ca="1" si="9"/>
        <v>15</v>
      </c>
      <c r="R6" s="188">
        <f t="shared" ca="1" si="11"/>
        <v>14</v>
      </c>
      <c r="S6" s="172" cm="1">
        <f t="array" aca="1" ref="S6" ca="1">SUM(IFERROR(L6:R6,0))</f>
        <v>349</v>
      </c>
    </row>
    <row r="7" spans="1:19" ht="13" x14ac:dyDescent="0.3">
      <c r="A7" s="186">
        <v>5</v>
      </c>
      <c r="B7" s="148" t="s">
        <v>28</v>
      </c>
      <c r="C7" s="149">
        <v>701</v>
      </c>
      <c r="D7" s="128" cm="1">
        <f t="array" aca="1" ref="D7" ca="1">INDIRECT("'Bureau " &amp; ROW()-2 &amp; "'!$B$8")</f>
        <v>452</v>
      </c>
      <c r="E7" s="129" cm="1">
        <f t="array" aca="1" ref="E7" ca="1">INDIRECT("'Bureau " &amp; ROW()-2 &amp; "'!$B$7")</f>
        <v>452</v>
      </c>
      <c r="F7" s="130">
        <f t="shared" ca="1" si="0"/>
        <v>249</v>
      </c>
      <c r="G7" s="131">
        <f t="shared" ca="1" si="12"/>
        <v>9</v>
      </c>
      <c r="H7" s="132">
        <f t="shared" ca="1" si="10"/>
        <v>7</v>
      </c>
      <c r="I7" s="133">
        <f t="shared" ca="1" si="1"/>
        <v>436</v>
      </c>
      <c r="J7" s="134">
        <f t="shared" ca="1" si="2"/>
        <v>0.64479315263908699</v>
      </c>
      <c r="K7" s="135">
        <f t="shared" ca="1" si="3"/>
        <v>0.35520684736091296</v>
      </c>
      <c r="L7" s="155">
        <f t="shared" ca="1" si="4"/>
        <v>27</v>
      </c>
      <c r="M7" s="156">
        <f t="shared" ca="1" si="5"/>
        <v>21</v>
      </c>
      <c r="N7" s="156">
        <f t="shared" ca="1" si="6"/>
        <v>125</v>
      </c>
      <c r="O7" s="156">
        <f t="shared" ca="1" si="7"/>
        <v>83</v>
      </c>
      <c r="P7" s="156">
        <f t="shared" ca="1" si="8"/>
        <v>158</v>
      </c>
      <c r="Q7" s="157">
        <f t="shared" ca="1" si="9"/>
        <v>11</v>
      </c>
      <c r="R7" s="188">
        <f t="shared" ca="1" si="11"/>
        <v>11</v>
      </c>
      <c r="S7" s="172" cm="1">
        <f t="array" aca="1" ref="S7" ca="1">SUM(IFERROR(L7:R7,0))</f>
        <v>436</v>
      </c>
    </row>
    <row r="8" spans="1:19" ht="13" x14ac:dyDescent="0.3">
      <c r="A8" s="186">
        <v>6</v>
      </c>
      <c r="B8" s="148" t="s">
        <v>28</v>
      </c>
      <c r="C8" s="149">
        <v>710</v>
      </c>
      <c r="D8" s="128" cm="1">
        <f t="array" aca="1" ref="D8" ca="1">INDIRECT("'Bureau " &amp; ROW()-2 &amp; "'!$B$8")</f>
        <v>367</v>
      </c>
      <c r="E8" s="129" cm="1">
        <f t="array" aca="1" ref="E8" ca="1">INDIRECT("'Bureau " &amp; ROW()-2 &amp; "'!$B$7")</f>
        <v>367</v>
      </c>
      <c r="F8" s="130">
        <f t="shared" ca="1" si="0"/>
        <v>343</v>
      </c>
      <c r="G8" s="131">
        <f t="shared" ca="1" si="12"/>
        <v>9</v>
      </c>
      <c r="H8" s="132">
        <f t="shared" ca="1" si="10"/>
        <v>1</v>
      </c>
      <c r="I8" s="133">
        <f t="shared" ca="1" si="1"/>
        <v>357</v>
      </c>
      <c r="J8" s="134">
        <f t="shared" ca="1" si="2"/>
        <v>0.5169014084507042</v>
      </c>
      <c r="K8" s="135">
        <f t="shared" ca="1" si="3"/>
        <v>0.4830985915492958</v>
      </c>
      <c r="L8" s="155">
        <f t="shared" ca="1" si="4"/>
        <v>15</v>
      </c>
      <c r="M8" s="156">
        <f t="shared" ca="1" si="5"/>
        <v>12</v>
      </c>
      <c r="N8" s="156">
        <f t="shared" ca="1" si="6"/>
        <v>126</v>
      </c>
      <c r="O8" s="156">
        <f t="shared" ca="1" si="7"/>
        <v>61</v>
      </c>
      <c r="P8" s="156">
        <f t="shared" ca="1" si="8"/>
        <v>120</v>
      </c>
      <c r="Q8" s="157">
        <f t="shared" ca="1" si="9"/>
        <v>9</v>
      </c>
      <c r="R8" s="188">
        <f t="shared" ca="1" si="11"/>
        <v>14</v>
      </c>
      <c r="S8" s="172" cm="1">
        <f t="array" aca="1" ref="S8" ca="1">SUM(IFERROR(L8:R8,0))</f>
        <v>357</v>
      </c>
    </row>
    <row r="9" spans="1:19" ht="13" x14ac:dyDescent="0.3">
      <c r="A9" s="186">
        <v>7</v>
      </c>
      <c r="B9" s="148" t="s">
        <v>28</v>
      </c>
      <c r="C9" s="149">
        <v>731</v>
      </c>
      <c r="D9" s="128" cm="1">
        <f t="array" aca="1" ref="D9" ca="1">INDIRECT("'Bureau " &amp; ROW()-2 &amp; "'!$B$8")</f>
        <v>439</v>
      </c>
      <c r="E9" s="129" cm="1">
        <f t="array" aca="1" ref="E9" ca="1">INDIRECT("'Bureau " &amp; ROW()-2 &amp; "'!$B$7")</f>
        <v>439</v>
      </c>
      <c r="F9" s="130">
        <f t="shared" ca="1" si="0"/>
        <v>292</v>
      </c>
      <c r="G9" s="131">
        <f t="shared" ca="1" si="12"/>
        <v>12</v>
      </c>
      <c r="H9" s="132">
        <f t="shared" ca="1" si="10"/>
        <v>2</v>
      </c>
      <c r="I9" s="133">
        <f t="shared" ca="1" si="1"/>
        <v>425</v>
      </c>
      <c r="J9" s="134">
        <f t="shared" ca="1" si="2"/>
        <v>0.60054719562243497</v>
      </c>
      <c r="K9" s="135">
        <f t="shared" ca="1" si="3"/>
        <v>0.39945280437756497</v>
      </c>
      <c r="L9" s="155">
        <f t="shared" ca="1" si="4"/>
        <v>20</v>
      </c>
      <c r="M9" s="156">
        <f t="shared" ca="1" si="5"/>
        <v>12</v>
      </c>
      <c r="N9" s="156">
        <f t="shared" ca="1" si="6"/>
        <v>121</v>
      </c>
      <c r="O9" s="156">
        <f t="shared" ca="1" si="7"/>
        <v>69</v>
      </c>
      <c r="P9" s="156">
        <f t="shared" ca="1" si="8"/>
        <v>168</v>
      </c>
      <c r="Q9" s="157">
        <f t="shared" ca="1" si="9"/>
        <v>22</v>
      </c>
      <c r="R9" s="188">
        <f t="shared" ca="1" si="11"/>
        <v>13</v>
      </c>
      <c r="S9" s="172" cm="1">
        <f t="array" aca="1" ref="S9" ca="1">SUM(IFERROR(L9:R9,0))</f>
        <v>425</v>
      </c>
    </row>
    <row r="10" spans="1:19" ht="13" x14ac:dyDescent="0.3">
      <c r="A10" s="186">
        <v>8</v>
      </c>
      <c r="B10" s="148" t="s">
        <v>28</v>
      </c>
      <c r="C10" s="149">
        <v>646</v>
      </c>
      <c r="D10" s="128" cm="1">
        <f t="array" aca="1" ref="D10" ca="1">INDIRECT("'Bureau " &amp; ROW()-2 &amp; "'!$B$8")</f>
        <v>379</v>
      </c>
      <c r="E10" s="129" cm="1">
        <f t="array" aca="1" ref="E10" ca="1">INDIRECT("'Bureau " &amp; ROW()-2 &amp; "'!$B$7")</f>
        <v>379</v>
      </c>
      <c r="F10" s="130">
        <f t="shared" ca="1" si="0"/>
        <v>267</v>
      </c>
      <c r="G10" s="131">
        <f t="shared" ca="1" si="12"/>
        <v>6</v>
      </c>
      <c r="H10" s="132">
        <f t="shared" ca="1" si="10"/>
        <v>8</v>
      </c>
      <c r="I10" s="133">
        <f t="shared" ca="1" si="1"/>
        <v>365</v>
      </c>
      <c r="J10" s="134">
        <f t="shared" ca="1" si="2"/>
        <v>0.58668730650154799</v>
      </c>
      <c r="K10" s="135">
        <f t="shared" ca="1" si="3"/>
        <v>0.41331269349845201</v>
      </c>
      <c r="L10" s="155">
        <f t="shared" ca="1" si="4"/>
        <v>34</v>
      </c>
      <c r="M10" s="156">
        <f t="shared" ca="1" si="5"/>
        <v>16</v>
      </c>
      <c r="N10" s="156">
        <f t="shared" ca="1" si="6"/>
        <v>100</v>
      </c>
      <c r="O10" s="156">
        <f t="shared" ca="1" si="7"/>
        <v>67</v>
      </c>
      <c r="P10" s="156">
        <f t="shared" ca="1" si="8"/>
        <v>123</v>
      </c>
      <c r="Q10" s="157">
        <f t="shared" ca="1" si="9"/>
        <v>17</v>
      </c>
      <c r="R10" s="188">
        <f t="shared" ca="1" si="11"/>
        <v>8</v>
      </c>
      <c r="S10" s="172" cm="1">
        <f t="array" aca="1" ref="S10" ca="1">SUM(IFERROR(L10:R10,0))</f>
        <v>365</v>
      </c>
    </row>
    <row r="11" spans="1:19" ht="13" x14ac:dyDescent="0.3">
      <c r="A11" s="186">
        <v>9</v>
      </c>
      <c r="B11" s="148" t="s">
        <v>29</v>
      </c>
      <c r="C11" s="149">
        <v>709</v>
      </c>
      <c r="D11" s="128" cm="1">
        <f t="array" aca="1" ref="D11" ca="1">INDIRECT("'Bureau " &amp; ROW()-2 &amp; "'!$B$8")</f>
        <v>333</v>
      </c>
      <c r="E11" s="129" cm="1">
        <f t="array" aca="1" ref="E11" ca="1">INDIRECT("'Bureau " &amp; ROW()-2 &amp; "'!$B$7")</f>
        <v>333</v>
      </c>
      <c r="F11" s="130">
        <f t="shared" ca="1" si="0"/>
        <v>376</v>
      </c>
      <c r="G11" s="131">
        <f t="shared" ca="1" si="12"/>
        <v>7</v>
      </c>
      <c r="H11" s="132">
        <f t="shared" ca="1" si="10"/>
        <v>8</v>
      </c>
      <c r="I11" s="133">
        <f t="shared" ca="1" si="1"/>
        <v>318</v>
      </c>
      <c r="J11" s="134">
        <f t="shared" ca="1" si="2"/>
        <v>0.4696755994358251</v>
      </c>
      <c r="K11" s="135">
        <f t="shared" ca="1" si="3"/>
        <v>0.53032440056417485</v>
      </c>
      <c r="L11" s="155">
        <f t="shared" ca="1" si="4"/>
        <v>23</v>
      </c>
      <c r="M11" s="156">
        <f t="shared" ca="1" si="5"/>
        <v>12</v>
      </c>
      <c r="N11" s="156">
        <f t="shared" ca="1" si="6"/>
        <v>86</v>
      </c>
      <c r="O11" s="156">
        <f t="shared" ca="1" si="7"/>
        <v>60</v>
      </c>
      <c r="P11" s="156">
        <f t="shared" ca="1" si="8"/>
        <v>104</v>
      </c>
      <c r="Q11" s="157">
        <f t="shared" ca="1" si="9"/>
        <v>22</v>
      </c>
      <c r="R11" s="188">
        <f t="shared" ca="1" si="11"/>
        <v>11</v>
      </c>
      <c r="S11" s="172" cm="1">
        <f t="array" aca="1" ref="S11" ca="1">SUM(IFERROR(L11:R11,0))</f>
        <v>318</v>
      </c>
    </row>
    <row r="12" spans="1:19" ht="13" x14ac:dyDescent="0.3">
      <c r="A12" s="186">
        <v>10</v>
      </c>
      <c r="B12" s="148" t="s">
        <v>29</v>
      </c>
      <c r="C12" s="149">
        <v>609</v>
      </c>
      <c r="D12" s="128" cm="1">
        <f t="array" aca="1" ref="D12" ca="1">INDIRECT("'Bureau " &amp; ROW()-2 &amp; "'!$B$8")</f>
        <v>357</v>
      </c>
      <c r="E12" s="129" cm="1">
        <f t="array" aca="1" ref="E12" ca="1">INDIRECT("'Bureau " &amp; ROW()-2 &amp; "'!$B$7")</f>
        <v>357</v>
      </c>
      <c r="F12" s="130">
        <f t="shared" ca="1" si="0"/>
        <v>252</v>
      </c>
      <c r="G12" s="131">
        <f t="shared" ca="1" si="12"/>
        <v>10</v>
      </c>
      <c r="H12" s="132">
        <f t="shared" ca="1" si="10"/>
        <v>9</v>
      </c>
      <c r="I12" s="133">
        <f t="shared" ca="1" si="1"/>
        <v>338</v>
      </c>
      <c r="J12" s="134">
        <f t="shared" ca="1" si="2"/>
        <v>0.58620689655172409</v>
      </c>
      <c r="K12" s="135">
        <f t="shared" ca="1" si="3"/>
        <v>0.41379310344827586</v>
      </c>
      <c r="L12" s="155">
        <f t="shared" ca="1" si="4"/>
        <v>22</v>
      </c>
      <c r="M12" s="156">
        <f t="shared" ca="1" si="5"/>
        <v>7</v>
      </c>
      <c r="N12" s="156">
        <f t="shared" ca="1" si="6"/>
        <v>99</v>
      </c>
      <c r="O12" s="156">
        <f t="shared" ca="1" si="7"/>
        <v>80</v>
      </c>
      <c r="P12" s="156">
        <f t="shared" ca="1" si="8"/>
        <v>110</v>
      </c>
      <c r="Q12" s="157">
        <f t="shared" ca="1" si="9"/>
        <v>9</v>
      </c>
      <c r="R12" s="188">
        <f t="shared" ca="1" si="11"/>
        <v>11</v>
      </c>
      <c r="S12" s="172" cm="1">
        <f t="array" aca="1" ref="S12" ca="1">SUM(IFERROR(L12:R12,0))</f>
        <v>338</v>
      </c>
    </row>
    <row r="13" spans="1:19" ht="13" x14ac:dyDescent="0.3">
      <c r="A13" s="186">
        <v>11</v>
      </c>
      <c r="B13" s="148" t="s">
        <v>29</v>
      </c>
      <c r="C13" s="149">
        <v>691</v>
      </c>
      <c r="D13" s="128" cm="1">
        <f t="array" aca="1" ref="D13" ca="1">INDIRECT("'Bureau " &amp; ROW()-2 &amp; "'!$B$8")</f>
        <v>416</v>
      </c>
      <c r="E13" s="129" cm="1">
        <f t="array" aca="1" ref="E13" ca="1">INDIRECT("'Bureau " &amp; ROW()-2 &amp; "'!$B$7")</f>
        <v>416</v>
      </c>
      <c r="F13" s="130">
        <f t="shared" ca="1" si="0"/>
        <v>275</v>
      </c>
      <c r="G13" s="131">
        <f t="shared" ca="1" si="12"/>
        <v>3</v>
      </c>
      <c r="H13" s="132">
        <f t="shared" ca="1" si="10"/>
        <v>10</v>
      </c>
      <c r="I13" s="133">
        <f t="shared" ca="1" si="1"/>
        <v>403</v>
      </c>
      <c r="J13" s="134">
        <f t="shared" ca="1" si="2"/>
        <v>0.60202604920405212</v>
      </c>
      <c r="K13" s="135">
        <f t="shared" ca="1" si="3"/>
        <v>0.39797395079594788</v>
      </c>
      <c r="L13" s="155">
        <f t="shared" ca="1" si="4"/>
        <v>28</v>
      </c>
      <c r="M13" s="156">
        <f t="shared" ca="1" si="5"/>
        <v>15</v>
      </c>
      <c r="N13" s="156">
        <f t="shared" ca="1" si="6"/>
        <v>137</v>
      </c>
      <c r="O13" s="156">
        <f t="shared" ca="1" si="7"/>
        <v>89</v>
      </c>
      <c r="P13" s="156">
        <f t="shared" ca="1" si="8"/>
        <v>110</v>
      </c>
      <c r="Q13" s="157">
        <f t="shared" ca="1" si="9"/>
        <v>14</v>
      </c>
      <c r="R13" s="188">
        <f t="shared" ca="1" si="11"/>
        <v>10</v>
      </c>
      <c r="S13" s="172" cm="1">
        <f t="array" aca="1" ref="S13" ca="1">SUM(IFERROR(L13:R13,0))</f>
        <v>403</v>
      </c>
    </row>
    <row r="14" spans="1:19" ht="13.5" thickBot="1" x14ac:dyDescent="0.35">
      <c r="A14" s="187">
        <v>12</v>
      </c>
      <c r="B14" s="150" t="s">
        <v>30</v>
      </c>
      <c r="C14" s="151">
        <v>680</v>
      </c>
      <c r="D14" s="136" cm="1">
        <f t="array" aca="1" ref="D14" ca="1">INDIRECT("'Bureau " &amp; ROW()-2 &amp; "'!$B$8")</f>
        <v>325</v>
      </c>
      <c r="E14" s="137" cm="1">
        <f t="array" aca="1" ref="E14" ca="1">INDIRECT("'Bureau " &amp; ROW()-2 &amp; "'!$B$7")</f>
        <v>326</v>
      </c>
      <c r="F14" s="138">
        <f t="shared" ca="1" si="0"/>
        <v>354</v>
      </c>
      <c r="G14" s="139">
        <f t="shared" ca="1" si="12"/>
        <v>9</v>
      </c>
      <c r="H14" s="140">
        <f t="shared" ca="1" si="10"/>
        <v>2</v>
      </c>
      <c r="I14" s="141">
        <f t="shared" ca="1" si="1"/>
        <v>315</v>
      </c>
      <c r="J14" s="142">
        <f t="shared" ca="1" si="2"/>
        <v>0.47941176470588237</v>
      </c>
      <c r="K14" s="143">
        <f t="shared" ca="1" si="3"/>
        <v>0.52058823529411768</v>
      </c>
      <c r="L14" s="158">
        <f t="shared" ca="1" si="4"/>
        <v>15</v>
      </c>
      <c r="M14" s="159">
        <f t="shared" ca="1" si="5"/>
        <v>12</v>
      </c>
      <c r="N14" s="159">
        <f t="shared" ca="1" si="6"/>
        <v>62</v>
      </c>
      <c r="O14" s="159">
        <f t="shared" ca="1" si="7"/>
        <v>85</v>
      </c>
      <c r="P14" s="159">
        <f t="shared" ca="1" si="8"/>
        <v>79</v>
      </c>
      <c r="Q14" s="160">
        <f t="shared" ca="1" si="9"/>
        <v>51</v>
      </c>
      <c r="R14" s="189">
        <f t="shared" ca="1" si="11"/>
        <v>11</v>
      </c>
      <c r="S14" s="174" cm="1">
        <f t="array" aca="1" ref="S14" ca="1">SUM(IFERROR(L14:R14,0))</f>
        <v>315</v>
      </c>
    </row>
    <row r="15" spans="1:19" ht="15.75" customHeight="1" x14ac:dyDescent="0.35">
      <c r="A15" s="598" t="s">
        <v>9</v>
      </c>
      <c r="B15" s="599"/>
      <c r="C15" s="104" cm="1">
        <f t="array" ref="C15">SUM(IFERROR(C3:C14,0))</f>
        <v>8162</v>
      </c>
      <c r="D15" s="24" cm="1">
        <f t="array" aca="1" ref="D15" ca="1">SUM(IFERROR(D3:D14,0))</f>
        <v>4681</v>
      </c>
      <c r="E15" s="29" cm="1">
        <f t="array" aca="1" ref="E15" ca="1">SUM(IFERROR(E3:E14,0))</f>
        <v>4682</v>
      </c>
      <c r="F15" s="29" cm="1">
        <f t="array" aca="1" ref="F15" ca="1">SUM(IFERROR(F3:F14,0))</f>
        <v>3480</v>
      </c>
      <c r="G15" s="16" cm="1">
        <f t="array" aca="1" ref="G15" ca="1">SUM(IFERROR(G3:G14,0))</f>
        <v>97</v>
      </c>
      <c r="H15" s="17" cm="1">
        <f t="array" aca="1" ref="H15" ca="1">SUM(IFERROR(H3:H14,0))</f>
        <v>81</v>
      </c>
      <c r="I15" s="35" cm="1">
        <f t="array" aca="1" ref="I15" ca="1">SUM(IFERROR(I3:I14,0))</f>
        <v>4504</v>
      </c>
      <c r="J15" s="36">
        <f ca="1">E15</f>
        <v>4682</v>
      </c>
      <c r="K15" s="37" cm="1">
        <f t="array" aca="1" ref="K15" ca="1">SUM(IFERROR(F3:F14,0))</f>
        <v>3480</v>
      </c>
      <c r="L15" s="112" cm="1">
        <f t="array" aca="1" ref="L15" ca="1">SUM(IFERROR(L3:L14,0))</f>
        <v>309</v>
      </c>
      <c r="M15" s="109" cm="1">
        <f t="array" aca="1" ref="M15" ca="1">SUM(IFERROR(M3:M14,0))</f>
        <v>156</v>
      </c>
      <c r="N15" s="109" cm="1">
        <f t="array" aca="1" ref="N15" ca="1">SUM(IFERROR(N3:N14,0))</f>
        <v>1315</v>
      </c>
      <c r="O15" s="109" cm="1">
        <f t="array" aca="1" ref="O15" ca="1">SUM(IFERROR(O3:O14,0))</f>
        <v>845</v>
      </c>
      <c r="P15" s="110" cm="1">
        <f t="array" aca="1" ref="P15" ca="1">SUM(IFERROR(P3:P14,0))</f>
        <v>1526</v>
      </c>
      <c r="Q15" s="111" cm="1">
        <f t="array" aca="1" ref="Q15" ca="1">SUM(IFERROR(Q3:Q14,0))</f>
        <v>210</v>
      </c>
      <c r="R15" s="32" cm="1">
        <f t="array" aca="1" ref="R15" ca="1">SUM(IFERROR(R3:R14,0))</f>
        <v>143</v>
      </c>
      <c r="S15" s="176" cm="1">
        <f t="array" aca="1" ref="S15" ca="1">SUM(IFERROR(S3:S14,0))</f>
        <v>4504</v>
      </c>
    </row>
    <row r="16" spans="1:19" ht="15.75" customHeight="1" thickBot="1" x14ac:dyDescent="0.4">
      <c r="A16" s="600" t="s">
        <v>10</v>
      </c>
      <c r="B16" s="601"/>
      <c r="C16" s="88"/>
      <c r="D16" s="18">
        <f t="shared" ref="D16:K16" ca="1" si="13">D15/$C15</f>
        <v>0.5735113942661112</v>
      </c>
      <c r="E16" s="30">
        <f t="shared" ca="1" si="13"/>
        <v>0.57363391325655477</v>
      </c>
      <c r="F16" s="30">
        <f t="shared" ca="1" si="13"/>
        <v>0.42636608674344523</v>
      </c>
      <c r="G16" s="18">
        <f t="shared" ca="1" si="13"/>
        <v>1.1884342073021319E-2</v>
      </c>
      <c r="H16" s="19">
        <f t="shared" ca="1" si="13"/>
        <v>9.9240382259250179E-3</v>
      </c>
      <c r="I16" s="22">
        <f t="shared" ca="1" si="13"/>
        <v>0.55182553295760839</v>
      </c>
      <c r="J16" s="33">
        <f t="shared" ca="1" si="13"/>
        <v>0.57363391325655477</v>
      </c>
      <c r="K16" s="21">
        <f t="shared" ca="1" si="13"/>
        <v>0.42636608674344523</v>
      </c>
      <c r="L16" s="113">
        <f t="shared" ref="L16:S16" ca="1" si="14">IFERROR(L15/$I15,0)</f>
        <v>6.8605683836589701E-2</v>
      </c>
      <c r="M16" s="25">
        <f t="shared" ca="1" si="14"/>
        <v>3.4635879218472471E-2</v>
      </c>
      <c r="N16" s="25">
        <f t="shared" ca="1" si="14"/>
        <v>0.2919626998223801</v>
      </c>
      <c r="O16" s="25">
        <f t="shared" ca="1" si="14"/>
        <v>0.18761101243339254</v>
      </c>
      <c r="P16" s="26">
        <f t="shared" ca="1" si="14"/>
        <v>0.33880994671403197</v>
      </c>
      <c r="Q16" s="34">
        <f t="shared" ca="1" si="14"/>
        <v>4.6625222024866783E-2</v>
      </c>
      <c r="R16" s="34">
        <f t="shared" ca="1" si="14"/>
        <v>3.1749555950266427E-2</v>
      </c>
      <c r="S16" s="177">
        <f t="shared" ca="1" si="14"/>
        <v>1</v>
      </c>
    </row>
    <row r="17" spans="1:19" ht="20.25" customHeight="1" x14ac:dyDescent="0.3">
      <c r="A17" s="178" t="s">
        <v>11</v>
      </c>
      <c r="B17" s="181">
        <v>46096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0.25" customHeight="1" x14ac:dyDescent="0.3">
      <c r="A18" s="179" t="s">
        <v>12</v>
      </c>
      <c r="B18" s="182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1" customHeight="1" thickBot="1" x14ac:dyDescent="0.35">
      <c r="A19" s="180" t="s">
        <v>13</v>
      </c>
      <c r="B19" s="183" t="s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3" x14ac:dyDescent="0.3">
      <c r="A20" s="1"/>
      <c r="B20" s="1"/>
      <c r="C20" s="2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3" x14ac:dyDescent="0.3">
      <c r="A21" s="1"/>
      <c r="B21" s="1"/>
      <c r="C21" s="4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3" x14ac:dyDescent="0.3">
      <c r="A22" s="1"/>
      <c r="B22" s="1"/>
      <c r="C22" s="5"/>
      <c r="D22" s="3"/>
      <c r="E22" s="6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3" x14ac:dyDescent="0.3">
      <c r="A23" s="1"/>
      <c r="B23" s="1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3" x14ac:dyDescent="0.3">
      <c r="A24" s="11" t="s">
        <v>25</v>
      </c>
      <c r="B24" s="1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3" x14ac:dyDescent="0.3">
      <c r="A25" s="11" t="s">
        <v>26</v>
      </c>
      <c r="B25" s="1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3" x14ac:dyDescent="0.3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3" x14ac:dyDescent="0.3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3" x14ac:dyDescent="0.3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3" x14ac:dyDescent="0.3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3" x14ac:dyDescent="0.3">
      <c r="A30" s="13" t="s">
        <v>18</v>
      </c>
      <c r="B30" s="1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3" x14ac:dyDescent="0.3">
      <c r="A31" s="15" t="s">
        <v>19</v>
      </c>
      <c r="B31" s="1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3" x14ac:dyDescent="0.3">
      <c r="A32" s="13" t="s">
        <v>20</v>
      </c>
      <c r="B32" s="1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9" spans="6:7" ht="15.75" customHeight="1" thickBot="1" x14ac:dyDescent="0.3"/>
    <row r="40" spans="6:7" ht="15.75" customHeight="1" x14ac:dyDescent="0.25">
      <c r="F40" s="433" t="s">
        <v>122</v>
      </c>
      <c r="G40" s="434">
        <f>MATCH("Total exprimé",2:2,0)-12</f>
        <v>7</v>
      </c>
    </row>
    <row r="41" spans="6:7" ht="15.75" customHeight="1" thickBot="1" x14ac:dyDescent="0.3">
      <c r="F41" s="435" t="s">
        <v>123</v>
      </c>
      <c r="G41" s="436" t="e">
        <f>MATCH("TOTAL",B:B,0)-3</f>
        <v>#N/A</v>
      </c>
    </row>
  </sheetData>
  <mergeCells count="2">
    <mergeCell ref="A15:B15"/>
    <mergeCell ref="A16:B16"/>
  </mergeCells>
  <phoneticPr fontId="25" type="noConversion"/>
  <conditionalFormatting sqref="D16:S16">
    <cfRule type="cellIs" dxfId="375" priority="22" operator="greaterThan">
      <formula>"100%"</formula>
    </cfRule>
  </conditionalFormatting>
  <conditionalFormatting sqref="F3:F14 K3:K14">
    <cfRule type="cellIs" dxfId="374" priority="27" operator="lessThan">
      <formula>0</formula>
    </cfRule>
  </conditionalFormatting>
  <conditionalFormatting sqref="J3:J14">
    <cfRule type="cellIs" dxfId="373" priority="28" operator="notBetween">
      <formula>0</formula>
      <formula>"100%"</formula>
    </cfRule>
  </conditionalFormatting>
  <conditionalFormatting sqref="L16:R16">
    <cfRule type="cellIs" dxfId="372" priority="1" operator="greaterThan">
      <formula>0.5</formula>
    </cfRule>
    <cfRule type="cellIs" dxfId="371" priority="2" operator="greaterThan">
      <formula>0.05</formula>
    </cfRule>
    <cfRule type="cellIs" dxfId="370" priority="3" operator="lessThanOrEqual">
      <formula>0.05</formula>
    </cfRule>
  </conditionalFormatting>
  <conditionalFormatting sqref="L3:S16">
    <cfRule type="cellIs" dxfId="369" priority="6" operator="lessThan">
      <formula>0</formula>
    </cfRule>
  </conditionalFormatting>
  <conditionalFormatting sqref="S3:S14">
    <cfRule type="cellIs" dxfId="368" priority="8" operator="equal">
      <formula>I3</formula>
    </cfRule>
  </conditionalFormatting>
  <conditionalFormatting sqref="S3:S16">
    <cfRule type="cellIs" dxfId="367" priority="4" operator="equal">
      <formula>0</formula>
    </cfRule>
  </conditionalFormatting>
  <conditionalFormatting sqref="S15">
    <cfRule type="cellIs" dxfId="366" priority="5" operator="equal">
      <formula>$I$15</formula>
    </cfRule>
    <cfRule type="cellIs" dxfId="365" priority="7" operator="lessThan">
      <formula>E14</formula>
    </cfRule>
  </conditionalFormatting>
  <conditionalFormatting sqref="S16">
    <cfRule type="cellIs" dxfId="364" priority="21" operator="equal">
      <formula>1</formula>
    </cfRule>
    <cfRule type="cellIs" dxfId="363" priority="26" operator="lessThan">
      <formula>1</formula>
    </cfRule>
  </conditionalFormatting>
  <pageMargins left="0.25" right="0.25" top="0.75" bottom="0.75" header="0.3" footer="0.3"/>
  <pageSetup paperSize="9" scale="59" orientation="landscape" verticalDpi="598" r:id="rId1"/>
  <ignoredErrors>
    <ignoredError sqref="J15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EBD3-4CAA-47BF-80DF-E871A40A7DC4}">
  <sheetPr>
    <tabColor theme="4" tint="0.39997558519241921"/>
    <outlinePr summaryBelow="0" summaryRight="0"/>
  </sheetPr>
  <dimension ref="A1:AQ65"/>
  <sheetViews>
    <sheetView showGridLines="0" topLeftCell="A18" zoomScale="70" zoomScaleNormal="70" workbookViewId="0">
      <selection activeCell="D65" sqref="D65"/>
    </sheetView>
  </sheetViews>
  <sheetFormatPr baseColWidth="10" defaultColWidth="13.7265625" defaultRowHeight="15.75" customHeight="1" x14ac:dyDescent="0.25"/>
  <cols>
    <col min="1" max="1" width="6.7265625" style="444" customWidth="1"/>
    <col min="2" max="2" width="23" style="444" bestFit="1" customWidth="1"/>
    <col min="3" max="3" width="7.26953125" style="444" customWidth="1"/>
    <col min="4" max="4" width="8.26953125" style="444" customWidth="1"/>
    <col min="5" max="5" width="11.7265625" style="444" customWidth="1"/>
    <col min="6" max="6" width="8.54296875" style="444" customWidth="1"/>
    <col min="7" max="7" width="9.90625" style="444" bestFit="1" customWidth="1"/>
    <col min="8" max="30" width="6.7265625" style="444" customWidth="1"/>
    <col min="31" max="31" width="10.26953125" style="444" customWidth="1"/>
    <col min="32" max="42" width="13.7265625" style="444"/>
    <col min="43" max="43" width="16.453125" style="444" customWidth="1"/>
    <col min="44" max="16384" width="13.7265625" style="444"/>
  </cols>
  <sheetData>
    <row r="1" spans="1:43" ht="13.5" thickBot="1" x14ac:dyDescent="0.35">
      <c r="A1" s="620" t="s">
        <v>15</v>
      </c>
      <c r="B1" s="621"/>
      <c r="C1" s="626" t="s">
        <v>2</v>
      </c>
      <c r="D1" s="623"/>
      <c r="E1" s="627"/>
      <c r="F1" s="437" t="s">
        <v>0</v>
      </c>
      <c r="G1" s="620" t="s">
        <v>33</v>
      </c>
      <c r="H1" s="621"/>
      <c r="I1" s="620" t="s">
        <v>34</v>
      </c>
      <c r="J1" s="621"/>
      <c r="K1" s="620" t="s">
        <v>35</v>
      </c>
      <c r="L1" s="621"/>
      <c r="M1" s="622" t="s">
        <v>36</v>
      </c>
      <c r="N1" s="627"/>
      <c r="O1" s="620" t="s">
        <v>37</v>
      </c>
      <c r="P1" s="621"/>
      <c r="Q1" s="622" t="s">
        <v>38</v>
      </c>
      <c r="R1" s="623"/>
      <c r="S1" s="624" t="s">
        <v>39</v>
      </c>
      <c r="T1" s="625"/>
      <c r="U1" s="626" t="s">
        <v>40</v>
      </c>
      <c r="V1" s="627"/>
      <c r="W1" s="620" t="s">
        <v>41</v>
      </c>
      <c r="X1" s="621"/>
      <c r="Y1" s="622" t="s">
        <v>42</v>
      </c>
      <c r="Z1" s="627"/>
      <c r="AA1" s="609" t="s">
        <v>43</v>
      </c>
      <c r="AB1" s="610"/>
      <c r="AC1" s="611" t="s">
        <v>44</v>
      </c>
      <c r="AD1" s="612"/>
      <c r="AE1" s="438" t="s">
        <v>15</v>
      </c>
      <c r="AF1" s="439" t="s">
        <v>33</v>
      </c>
      <c r="AG1" s="440" t="s">
        <v>34</v>
      </c>
      <c r="AH1" s="440" t="s">
        <v>35</v>
      </c>
      <c r="AI1" s="440" t="s">
        <v>36</v>
      </c>
      <c r="AJ1" s="440" t="s">
        <v>37</v>
      </c>
      <c r="AK1" s="440" t="s">
        <v>38</v>
      </c>
      <c r="AL1" s="440" t="s">
        <v>39</v>
      </c>
      <c r="AM1" s="440" t="s">
        <v>40</v>
      </c>
      <c r="AN1" s="440" t="s">
        <v>41</v>
      </c>
      <c r="AO1" s="441" t="s">
        <v>42</v>
      </c>
      <c r="AP1" s="442" t="s">
        <v>43</v>
      </c>
      <c r="AQ1" s="443" t="s">
        <v>44</v>
      </c>
    </row>
    <row r="2" spans="1:43" ht="15.75" customHeight="1" x14ac:dyDescent="0.3">
      <c r="A2" s="445">
        <v>1</v>
      </c>
      <c r="B2" s="446" t="str">
        <f>Synthèse!B3</f>
        <v>Ecole Chabaud</v>
      </c>
      <c r="C2" s="447">
        <f t="shared" ref="C2:C13" ca="1" si="0">MAX(G2,I2,K2,M2,O2,Q2,S2,U2,W2,Y2,AA2,AC2)</f>
        <v>323</v>
      </c>
      <c r="D2" s="448">
        <f t="shared" ref="D2:D14" ca="1" si="1">C2/$F2</f>
        <v>0.58408679927667273</v>
      </c>
      <c r="E2" s="9">
        <f t="shared" ref="E2:E14" ca="1" si="2">D2</f>
        <v>0.58408679927667273</v>
      </c>
      <c r="F2" s="449">
        <f>Synthèse!C3</f>
        <v>553</v>
      </c>
      <c r="G2" s="450" cm="1">
        <f t="array" aca="1" ref="G2" ca="1">INDIRECT("'Bureau " &amp; ROW()-1 &amp; "'!$Q4")</f>
        <v>33</v>
      </c>
      <c r="H2" s="451">
        <f t="shared" ref="H2:H14" ca="1" si="3">G2/$F2</f>
        <v>5.9674502712477394E-2</v>
      </c>
      <c r="I2" s="452" cm="1">
        <f t="array" aca="1" ref="I2" ca="1">INDIRECT("'Bureau " &amp; ROW()-1 &amp; "'!$Q5")</f>
        <v>78</v>
      </c>
      <c r="J2" s="451">
        <f t="shared" ref="J2:J14" ca="1" si="4">I2/$F2</f>
        <v>0.1410488245931284</v>
      </c>
      <c r="K2" s="452" cm="1">
        <f t="array" aca="1" ref="K2" ca="1">INDIRECT("'Bureau " &amp; ROW()-1 &amp; "'!$Q6")</f>
        <v>130</v>
      </c>
      <c r="L2" s="453">
        <f t="shared" ref="L2:L14" ca="1" si="5">K2/$F2</f>
        <v>0.23508137432188064</v>
      </c>
      <c r="M2" s="454" cm="1">
        <f t="array" aca="1" ref="M2" ca="1">INDIRECT("'Bureau " &amp; ROW()-1 &amp; "'!$Q7")</f>
        <v>186</v>
      </c>
      <c r="N2" s="455">
        <f t="shared" ref="N2:N14" ca="1" si="6">M2/$F2</f>
        <v>0.33634719710669075</v>
      </c>
      <c r="O2" s="456" cm="1">
        <f t="array" aca="1" ref="O2" ca="1">INDIRECT("'Bureau " &amp; ROW()-1 &amp; "'!$Q8")</f>
        <v>209</v>
      </c>
      <c r="P2" s="453">
        <f t="shared" ref="P2:P14" ca="1" si="7">O2/$F2</f>
        <v>0.37793851717902349</v>
      </c>
      <c r="Q2" s="454" cm="1">
        <f t="array" aca="1" ref="Q2" ca="1">INDIRECT("'Bureau " &amp; ROW()-1 &amp; "'!$Q9")</f>
        <v>235</v>
      </c>
      <c r="R2" s="455">
        <f t="shared" ref="R2:R14" ca="1" si="8">Q2/$F2</f>
        <v>0.42495479204339964</v>
      </c>
      <c r="S2" s="457" cm="1">
        <f t="array" aca="1" ref="S2" ca="1">INDIRECT("'Bureau " &amp; ROW()-1 &amp; "'!$Q10")</f>
        <v>256</v>
      </c>
      <c r="T2" s="458">
        <f t="shared" ref="T2:T14" ca="1" si="9">S2/$F2</f>
        <v>0.46292947558770342</v>
      </c>
      <c r="U2" s="454" cm="1">
        <f t="array" aca="1" ref="U2" ca="1">INDIRECT("'Bureau " &amp; ROW()-1 &amp; "'!$Q11")</f>
        <v>282</v>
      </c>
      <c r="V2" s="455">
        <f t="shared" ref="V2:V14" ca="1" si="10">U2/$F2</f>
        <v>0.50994575045207957</v>
      </c>
      <c r="W2" s="456" cm="1">
        <f t="array" aca="1" ref="W2" ca="1">INDIRECT("'Bureau " &amp; ROW()-1 &amp; "'!$Q12")</f>
        <v>303</v>
      </c>
      <c r="X2" s="453">
        <f t="shared" ref="X2:X14" ca="1" si="11">W2/$F2</f>
        <v>0.54792043399638335</v>
      </c>
      <c r="Y2" s="459" cm="1">
        <f t="array" aca="1" ref="Y2" ca="1">INDIRECT("'Bureau " &amp; ROW()-1 &amp; "'!$Q13")</f>
        <v>323</v>
      </c>
      <c r="Z2" s="460">
        <f t="shared" ref="Z2:Z14" ca="1" si="12">Y2/$F2</f>
        <v>0.58408679927667273</v>
      </c>
      <c r="AA2" s="461" cm="1">
        <f t="array" aca="1" ref="AA2" ca="1">INDIRECT("'Bureau " &amp; ROW()-1 &amp; "'!$Q14")</f>
        <v>0</v>
      </c>
      <c r="AB2" s="462">
        <f t="shared" ref="AB2:AB14" ca="1" si="13">AA2/$F2</f>
        <v>0</v>
      </c>
      <c r="AC2" s="463" cm="1">
        <f t="array" aca="1" ref="AC2" ca="1">INDIRECT("'Bureau " &amp; ROW()-1 &amp; "'!$Q15")</f>
        <v>0</v>
      </c>
      <c r="AD2" s="464">
        <f t="shared" ref="AD2:AD14" ca="1" si="14">AC2/$F2</f>
        <v>0</v>
      </c>
      <c r="AE2" s="465">
        <v>1</v>
      </c>
      <c r="AF2" s="47"/>
      <c r="AG2" s="48"/>
      <c r="AH2" s="48"/>
      <c r="AI2" s="48"/>
      <c r="AJ2" s="48"/>
      <c r="AK2" s="48"/>
      <c r="AL2" s="48"/>
      <c r="AM2" s="48"/>
      <c r="AN2" s="48"/>
      <c r="AO2" s="49"/>
      <c r="AP2" s="43"/>
      <c r="AQ2" s="42"/>
    </row>
    <row r="3" spans="1:43" ht="15.75" customHeight="1" x14ac:dyDescent="0.3">
      <c r="A3" s="445">
        <v>2</v>
      </c>
      <c r="B3" s="446" t="str">
        <f>Synthèse!B4</f>
        <v>Gymnase B</v>
      </c>
      <c r="C3" s="466">
        <f t="shared" ca="1" si="0"/>
        <v>443</v>
      </c>
      <c r="D3" s="467">
        <f t="shared" ca="1" si="1"/>
        <v>0.59864864864864864</v>
      </c>
      <c r="E3" s="10">
        <f t="shared" ca="1" si="2"/>
        <v>0.59864864864864864</v>
      </c>
      <c r="F3" s="468">
        <f>Synthèse!C4</f>
        <v>740</v>
      </c>
      <c r="G3" s="450" cm="1">
        <f t="array" aca="1" ref="G3" ca="1">INDIRECT("'Bureau " &amp; ROW()-1 &amp; "'!$Q4")</f>
        <v>45</v>
      </c>
      <c r="H3" s="469">
        <f t="shared" ca="1" si="3"/>
        <v>6.0810810810810814E-2</v>
      </c>
      <c r="I3" s="452" cm="1">
        <f t="array" aca="1" ref="I3" ca="1">INDIRECT("'Bureau " &amp; ROW()-1 &amp; "'!$Q5")</f>
        <v>80</v>
      </c>
      <c r="J3" s="469">
        <f t="shared" ca="1" si="4"/>
        <v>0.10810810810810811</v>
      </c>
      <c r="K3" s="452" cm="1">
        <f t="array" aca="1" ref="K3" ca="1">INDIRECT("'Bureau " &amp; ROW()-1 &amp; "'!$Q6")</f>
        <v>140</v>
      </c>
      <c r="L3" s="470">
        <f t="shared" ca="1" si="5"/>
        <v>0.1891891891891892</v>
      </c>
      <c r="M3" s="471" cm="1">
        <f t="array" aca="1" ref="M3" ca="1">INDIRECT("'Bureau " &amp; ROW()-1 &amp; "'!$Q7")</f>
        <v>230</v>
      </c>
      <c r="N3" s="472">
        <f t="shared" ca="1" si="6"/>
        <v>0.3108108108108108</v>
      </c>
      <c r="O3" s="456" cm="1">
        <f t="array" aca="1" ref="O3" ca="1">INDIRECT("'Bureau " &amp; ROW()-1 &amp; "'!$Q8")</f>
        <v>268</v>
      </c>
      <c r="P3" s="470">
        <f t="shared" ca="1" si="7"/>
        <v>0.36216216216216218</v>
      </c>
      <c r="Q3" s="471" cm="1">
        <f t="array" aca="1" ref="Q3" ca="1">INDIRECT("'Bureau " &amp; ROW()-1 &amp; "'!$Q9")</f>
        <v>310</v>
      </c>
      <c r="R3" s="472">
        <f t="shared" ca="1" si="8"/>
        <v>0.41891891891891891</v>
      </c>
      <c r="S3" s="457" cm="1">
        <f t="array" aca="1" ref="S3" ca="1">INDIRECT("'Bureau " &amp; ROW()-1 &amp; "'!$Q10")</f>
        <v>360</v>
      </c>
      <c r="T3" s="467">
        <f t="shared" ca="1" si="9"/>
        <v>0.48648648648648651</v>
      </c>
      <c r="U3" s="471" cm="1">
        <f t="array" aca="1" ref="U3" ca="1">INDIRECT("'Bureau " &amp; ROW()-1 &amp; "'!$Q11")</f>
        <v>390</v>
      </c>
      <c r="V3" s="472">
        <f t="shared" ca="1" si="10"/>
        <v>0.52702702702702697</v>
      </c>
      <c r="W3" s="456" cm="1">
        <f t="array" aca="1" ref="W3" ca="1">INDIRECT("'Bureau " &amp; ROW()-1 &amp; "'!$Q12")</f>
        <v>415</v>
      </c>
      <c r="X3" s="470">
        <f t="shared" ca="1" si="11"/>
        <v>0.56081081081081086</v>
      </c>
      <c r="Y3" s="473" cm="1">
        <f t="array" aca="1" ref="Y3" ca="1">INDIRECT("'Bureau " &amp; ROW()-1 &amp; "'!$Q13")</f>
        <v>443</v>
      </c>
      <c r="Z3" s="474">
        <f t="shared" ca="1" si="12"/>
        <v>0.59864864864864864</v>
      </c>
      <c r="AA3" s="461" cm="1">
        <f t="array" aca="1" ref="AA3" ca="1">INDIRECT("'Bureau " &amp; ROW()-1 &amp; "'!$Q14")</f>
        <v>0</v>
      </c>
      <c r="AB3" s="475">
        <f t="shared" ca="1" si="13"/>
        <v>0</v>
      </c>
      <c r="AC3" s="463" cm="1">
        <f t="array" aca="1" ref="AC3" ca="1">INDIRECT("'Bureau " &amp; ROW()-1 &amp; "'!$Q15")</f>
        <v>0</v>
      </c>
      <c r="AD3" s="476">
        <f t="shared" ca="1" si="14"/>
        <v>0</v>
      </c>
      <c r="AE3" s="465">
        <v>2</v>
      </c>
      <c r="AF3" s="50"/>
      <c r="AG3" s="51"/>
      <c r="AH3" s="51"/>
      <c r="AI3" s="51"/>
      <c r="AJ3" s="51"/>
      <c r="AK3" s="51"/>
      <c r="AL3" s="51"/>
      <c r="AM3" s="51"/>
      <c r="AN3" s="51"/>
      <c r="AO3" s="52"/>
      <c r="AP3" s="44"/>
      <c r="AQ3" s="41"/>
    </row>
    <row r="4" spans="1:43" ht="15.75" customHeight="1" x14ac:dyDescent="0.3">
      <c r="A4" s="445">
        <v>3</v>
      </c>
      <c r="B4" s="446" t="str">
        <f>Synthèse!B5</f>
        <v>Gymnase B</v>
      </c>
      <c r="C4" s="466">
        <f t="shared" ca="1" si="0"/>
        <v>484</v>
      </c>
      <c r="D4" s="467">
        <f t="shared" ca="1" si="1"/>
        <v>0.67882187938288918</v>
      </c>
      <c r="E4" s="10">
        <f t="shared" ca="1" si="2"/>
        <v>0.67882187938288918</v>
      </c>
      <c r="F4" s="468">
        <f>Synthèse!C5</f>
        <v>713</v>
      </c>
      <c r="G4" s="450" cm="1">
        <f t="array" aca="1" ref="G4" ca="1">INDIRECT("'Bureau " &amp; ROW()-1 &amp; "'!$Q4")</f>
        <v>40</v>
      </c>
      <c r="H4" s="469">
        <f t="shared" ca="1" si="3"/>
        <v>5.6100981767180924E-2</v>
      </c>
      <c r="I4" s="452" cm="1">
        <f t="array" aca="1" ref="I4" ca="1">INDIRECT("'Bureau " &amp; ROW()-1 &amp; "'!$Q5")</f>
        <v>110</v>
      </c>
      <c r="J4" s="469">
        <f t="shared" ca="1" si="4"/>
        <v>0.15427769985974754</v>
      </c>
      <c r="K4" s="452" cm="1">
        <f t="array" aca="1" ref="K4" ca="1">INDIRECT("'Bureau " &amp; ROW()-1 &amp; "'!$Q6")</f>
        <v>190</v>
      </c>
      <c r="L4" s="470">
        <f t="shared" ca="1" si="5"/>
        <v>0.26647966339410939</v>
      </c>
      <c r="M4" s="471" cm="1">
        <f t="array" aca="1" ref="M4" ca="1">INDIRECT("'Bureau " &amp; ROW()-1 &amp; "'!$Q7")</f>
        <v>270</v>
      </c>
      <c r="N4" s="472">
        <f t="shared" ca="1" si="6"/>
        <v>0.37868162692847124</v>
      </c>
      <c r="O4" s="456" cm="1">
        <f t="array" aca="1" ref="O4" ca="1">INDIRECT("'Bureau " &amp; ROW()-1 &amp; "'!$Q8")</f>
        <v>310</v>
      </c>
      <c r="P4" s="470">
        <f t="shared" ca="1" si="7"/>
        <v>0.43478260869565216</v>
      </c>
      <c r="Q4" s="471" cm="1">
        <f t="array" aca="1" ref="Q4" ca="1">INDIRECT("'Bureau " &amp; ROW()-1 &amp; "'!$Q9")</f>
        <v>360</v>
      </c>
      <c r="R4" s="472">
        <f t="shared" ca="1" si="8"/>
        <v>0.50490883590462832</v>
      </c>
      <c r="S4" s="457" cm="1">
        <f t="array" aca="1" ref="S4" ca="1">INDIRECT("'Bureau " &amp; ROW()-1 &amp; "'!$Q10")</f>
        <v>410</v>
      </c>
      <c r="T4" s="467">
        <f t="shared" ca="1" si="9"/>
        <v>0.57503506311360453</v>
      </c>
      <c r="U4" s="471" cm="1">
        <f t="array" aca="1" ref="U4" ca="1">INDIRECT("'Bureau " &amp; ROW()-1 &amp; "'!$Q11")</f>
        <v>440</v>
      </c>
      <c r="V4" s="472">
        <f t="shared" ca="1" si="10"/>
        <v>0.61711079943899017</v>
      </c>
      <c r="W4" s="456" cm="1">
        <f t="array" aca="1" ref="W4" ca="1">INDIRECT("'Bureau " &amp; ROW()-1 &amp; "'!$Q12")</f>
        <v>470</v>
      </c>
      <c r="X4" s="470">
        <f t="shared" ca="1" si="11"/>
        <v>0.65918653576437591</v>
      </c>
      <c r="Y4" s="473" cm="1">
        <f t="array" aca="1" ref="Y4" ca="1">INDIRECT("'Bureau " &amp; ROW()-1 &amp; "'!$Q13")</f>
        <v>484</v>
      </c>
      <c r="Z4" s="474">
        <f t="shared" ca="1" si="12"/>
        <v>0.67882187938288918</v>
      </c>
      <c r="AA4" s="461" cm="1">
        <f t="array" aca="1" ref="AA4" ca="1">INDIRECT("'Bureau " &amp; ROW()-1 &amp; "'!$Q14")</f>
        <v>0</v>
      </c>
      <c r="AB4" s="475">
        <f t="shared" ca="1" si="13"/>
        <v>0</v>
      </c>
      <c r="AC4" s="463" cm="1">
        <f t="array" aca="1" ref="AC4" ca="1">INDIRECT("'Bureau " &amp; ROW()-1 &amp; "'!$Q15")</f>
        <v>0</v>
      </c>
      <c r="AD4" s="476">
        <f t="shared" ca="1" si="14"/>
        <v>0</v>
      </c>
      <c r="AE4" s="465">
        <v>3</v>
      </c>
      <c r="AF4" s="50"/>
      <c r="AG4" s="51"/>
      <c r="AH4" s="51"/>
      <c r="AI4" s="51"/>
      <c r="AJ4" s="51"/>
      <c r="AK4" s="51"/>
      <c r="AL4" s="51"/>
      <c r="AM4" s="51"/>
      <c r="AN4" s="51"/>
      <c r="AO4" s="52"/>
      <c r="AP4" s="44"/>
      <c r="AQ4" s="41"/>
    </row>
    <row r="5" spans="1:43" ht="15.75" customHeight="1" x14ac:dyDescent="0.3">
      <c r="A5" s="445">
        <v>4</v>
      </c>
      <c r="B5" s="446" t="str">
        <f>Synthèse!B6</f>
        <v>Gymnase B</v>
      </c>
      <c r="C5" s="466">
        <f t="shared" ca="1" si="0"/>
        <v>363</v>
      </c>
      <c r="D5" s="467">
        <f t="shared" ca="1" si="1"/>
        <v>0.53460972017673047</v>
      </c>
      <c r="E5" s="10">
        <f t="shared" ca="1" si="2"/>
        <v>0.53460972017673047</v>
      </c>
      <c r="F5" s="468">
        <f>Synthèse!C6</f>
        <v>679</v>
      </c>
      <c r="G5" s="450" cm="1">
        <f t="array" aca="1" ref="G5" ca="1">INDIRECT("'Bureau " &amp; ROW()-1 &amp; "'!$Q4")</f>
        <v>33</v>
      </c>
      <c r="H5" s="469">
        <f t="shared" ca="1" si="3"/>
        <v>4.8600883652430045E-2</v>
      </c>
      <c r="I5" s="452" cm="1">
        <f t="array" aca="1" ref="I5" ca="1">INDIRECT("'Bureau " &amp; ROW()-1 &amp; "'!$Q5")</f>
        <v>68</v>
      </c>
      <c r="J5" s="469">
        <f t="shared" ca="1" si="4"/>
        <v>0.10014727540500737</v>
      </c>
      <c r="K5" s="452" cm="1">
        <f t="array" aca="1" ref="K5" ca="1">INDIRECT("'Bureau " &amp; ROW()-1 &amp; "'!$Q6")</f>
        <v>138</v>
      </c>
      <c r="L5" s="470">
        <f t="shared" ca="1" si="5"/>
        <v>0.203240058910162</v>
      </c>
      <c r="M5" s="471" cm="1">
        <f t="array" aca="1" ref="M5" ca="1">INDIRECT("'Bureau " &amp; ROW()-1 &amp; "'!$Q7")</f>
        <v>188</v>
      </c>
      <c r="N5" s="472">
        <f t="shared" ca="1" si="6"/>
        <v>0.2768777614138439</v>
      </c>
      <c r="O5" s="456" cm="1">
        <f t="array" aca="1" ref="O5" ca="1">INDIRECT("'Bureau " &amp; ROW()-1 &amp; "'!$Q8")</f>
        <v>226</v>
      </c>
      <c r="P5" s="470">
        <f t="shared" ca="1" si="7"/>
        <v>0.3328424153166421</v>
      </c>
      <c r="Q5" s="471" cm="1">
        <f t="array" aca="1" ref="Q5" ca="1">INDIRECT("'Bureau " &amp; ROW()-1 &amp; "'!$Q9")</f>
        <v>266</v>
      </c>
      <c r="R5" s="472">
        <f t="shared" ca="1" si="8"/>
        <v>0.39175257731958762</v>
      </c>
      <c r="S5" s="457" cm="1">
        <f t="array" aca="1" ref="S5" ca="1">INDIRECT("'Bureau " &amp; ROW()-1 &amp; "'!$Q10")</f>
        <v>306</v>
      </c>
      <c r="T5" s="467">
        <f t="shared" ca="1" si="9"/>
        <v>0.45066273932253315</v>
      </c>
      <c r="U5" s="471" cm="1">
        <f t="array" aca="1" ref="U5" ca="1">INDIRECT("'Bureau " &amp; ROW()-1 &amp; "'!$Q11")</f>
        <v>336</v>
      </c>
      <c r="V5" s="472">
        <f t="shared" ca="1" si="10"/>
        <v>0.49484536082474229</v>
      </c>
      <c r="W5" s="456" cm="1">
        <f t="array" aca="1" ref="W5" ca="1">INDIRECT("'Bureau " &amp; ROW()-1 &amp; "'!$Q12")</f>
        <v>351</v>
      </c>
      <c r="X5" s="470">
        <f t="shared" ca="1" si="11"/>
        <v>0.51693667157584688</v>
      </c>
      <c r="Y5" s="473" cm="1">
        <f t="array" aca="1" ref="Y5" ca="1">INDIRECT("'Bureau " &amp; ROW()-1 &amp; "'!$Q13")</f>
        <v>363</v>
      </c>
      <c r="Z5" s="474">
        <f t="shared" ca="1" si="12"/>
        <v>0.53460972017673047</v>
      </c>
      <c r="AA5" s="461" cm="1">
        <f t="array" aca="1" ref="AA5" ca="1">INDIRECT("'Bureau " &amp; ROW()-1 &amp; "'!$Q14")</f>
        <v>0</v>
      </c>
      <c r="AB5" s="475">
        <f t="shared" ca="1" si="13"/>
        <v>0</v>
      </c>
      <c r="AC5" s="463" cm="1">
        <f t="array" aca="1" ref="AC5" ca="1">INDIRECT("'Bureau " &amp; ROW()-1 &amp; "'!$Q15")</f>
        <v>0</v>
      </c>
      <c r="AD5" s="476">
        <f t="shared" ca="1" si="14"/>
        <v>0</v>
      </c>
      <c r="AE5" s="465">
        <v>4</v>
      </c>
      <c r="AF5" s="50"/>
      <c r="AG5" s="51"/>
      <c r="AH5" s="51"/>
      <c r="AI5" s="51"/>
      <c r="AJ5" s="51"/>
      <c r="AK5" s="51"/>
      <c r="AL5" s="51"/>
      <c r="AM5" s="51"/>
      <c r="AN5" s="51"/>
      <c r="AO5" s="52"/>
      <c r="AP5" s="44"/>
      <c r="AQ5" s="41"/>
    </row>
    <row r="6" spans="1:43" ht="15.75" customHeight="1" x14ac:dyDescent="0.3">
      <c r="A6" s="445">
        <v>5</v>
      </c>
      <c r="B6" s="446" t="str">
        <f>Synthèse!B7</f>
        <v>COSEC</v>
      </c>
      <c r="C6" s="466">
        <f t="shared" ca="1" si="0"/>
        <v>452</v>
      </c>
      <c r="D6" s="467">
        <f t="shared" ca="1" si="1"/>
        <v>0.64479315263908699</v>
      </c>
      <c r="E6" s="10">
        <f t="shared" ca="1" si="2"/>
        <v>0.64479315263908699</v>
      </c>
      <c r="F6" s="468">
        <f>Synthèse!C7</f>
        <v>701</v>
      </c>
      <c r="G6" s="450" cm="1">
        <f t="array" aca="1" ref="G6" ca="1">INDIRECT("'Bureau " &amp; ROW()-1 &amp; "'!$Q4")</f>
        <v>37</v>
      </c>
      <c r="H6" s="469">
        <f t="shared" ca="1" si="3"/>
        <v>5.2781740370898715E-2</v>
      </c>
      <c r="I6" s="452" cm="1">
        <f t="array" aca="1" ref="I6" ca="1">INDIRECT("'Bureau " &amp; ROW()-1 &amp; "'!$Q5")</f>
        <v>93</v>
      </c>
      <c r="J6" s="469">
        <f t="shared" ca="1" si="4"/>
        <v>0.13266761768901569</v>
      </c>
      <c r="K6" s="452" cm="1">
        <f t="array" aca="1" ref="K6" ca="1">INDIRECT("'Bureau " &amp; ROW()-1 &amp; "'!$Q6")</f>
        <v>160</v>
      </c>
      <c r="L6" s="470">
        <f t="shared" ca="1" si="5"/>
        <v>0.22824536376604851</v>
      </c>
      <c r="M6" s="471" cm="1">
        <f t="array" aca="1" ref="M6" ca="1">INDIRECT("'Bureau " &amp; ROW()-1 &amp; "'!$Q7")</f>
        <v>240</v>
      </c>
      <c r="N6" s="472">
        <f t="shared" ca="1" si="6"/>
        <v>0.34236804564907275</v>
      </c>
      <c r="O6" s="456" cm="1">
        <f t="array" aca="1" ref="O6" ca="1">INDIRECT("'Bureau " &amp; ROW()-1 &amp; "'!$Q8")</f>
        <v>290</v>
      </c>
      <c r="P6" s="470">
        <f t="shared" ca="1" si="7"/>
        <v>0.4136947218259629</v>
      </c>
      <c r="Q6" s="471" cm="1">
        <f t="array" aca="1" ref="Q6" ca="1">INDIRECT("'Bureau " &amp; ROW()-1 &amp; "'!$Q9")</f>
        <v>325</v>
      </c>
      <c r="R6" s="472">
        <f t="shared" ca="1" si="8"/>
        <v>0.46362339514978601</v>
      </c>
      <c r="S6" s="457" cm="1">
        <f t="array" aca="1" ref="S6" ca="1">INDIRECT("'Bureau " &amp; ROW()-1 &amp; "'!$Q10")</f>
        <v>375</v>
      </c>
      <c r="T6" s="467">
        <f t="shared" ca="1" si="9"/>
        <v>0.53495007132667616</v>
      </c>
      <c r="U6" s="471" cm="1">
        <f t="array" aca="1" ref="U6" ca="1">INDIRECT("'Bureau " &amp; ROW()-1 &amp; "'!$Q11")</f>
        <v>420</v>
      </c>
      <c r="V6" s="472">
        <f t="shared" ca="1" si="10"/>
        <v>0.59914407988587737</v>
      </c>
      <c r="W6" s="456" cm="1">
        <f t="array" aca="1" ref="W6" ca="1">INDIRECT("'Bureau " &amp; ROW()-1 &amp; "'!$Q12")</f>
        <v>435</v>
      </c>
      <c r="X6" s="470">
        <f t="shared" ca="1" si="11"/>
        <v>0.6205420827389444</v>
      </c>
      <c r="Y6" s="473" cm="1">
        <f t="array" aca="1" ref="Y6" ca="1">INDIRECT("'Bureau " &amp; ROW()-1 &amp; "'!$Q13")</f>
        <v>452</v>
      </c>
      <c r="Z6" s="474">
        <f t="shared" ca="1" si="12"/>
        <v>0.64479315263908699</v>
      </c>
      <c r="AA6" s="461" cm="1">
        <f t="array" aca="1" ref="AA6" ca="1">INDIRECT("'Bureau " &amp; ROW()-1 &amp; "'!$Q14")</f>
        <v>0</v>
      </c>
      <c r="AB6" s="475">
        <f t="shared" ca="1" si="13"/>
        <v>0</v>
      </c>
      <c r="AC6" s="463" cm="1">
        <f t="array" aca="1" ref="AC6" ca="1">INDIRECT("'Bureau " &amp; ROW()-1 &amp; "'!$Q15")</f>
        <v>0</v>
      </c>
      <c r="AD6" s="476">
        <f t="shared" ca="1" si="14"/>
        <v>0</v>
      </c>
      <c r="AE6" s="465">
        <v>5</v>
      </c>
      <c r="AF6" s="50"/>
      <c r="AG6" s="51"/>
      <c r="AH6" s="51"/>
      <c r="AI6" s="51"/>
      <c r="AJ6" s="51"/>
      <c r="AK6" s="51"/>
      <c r="AL6" s="51"/>
      <c r="AM6" s="51"/>
      <c r="AN6" s="51"/>
      <c r="AO6" s="52"/>
      <c r="AP6" s="44"/>
      <c r="AQ6" s="41"/>
    </row>
    <row r="7" spans="1:43" ht="15.75" customHeight="1" x14ac:dyDescent="0.3">
      <c r="A7" s="445">
        <v>6</v>
      </c>
      <c r="B7" s="446" t="str">
        <f>Synthèse!B8</f>
        <v>COSEC</v>
      </c>
      <c r="C7" s="466">
        <f t="shared" ca="1" si="0"/>
        <v>367</v>
      </c>
      <c r="D7" s="467">
        <f t="shared" ca="1" si="1"/>
        <v>0.5169014084507042</v>
      </c>
      <c r="E7" s="10">
        <f t="shared" ca="1" si="2"/>
        <v>0.5169014084507042</v>
      </c>
      <c r="F7" s="468">
        <f>Synthèse!C8</f>
        <v>710</v>
      </c>
      <c r="G7" s="450" cm="1">
        <f t="array" aca="1" ref="G7" ca="1">INDIRECT("'Bureau " &amp; ROW()-1 &amp; "'!$Q4")</f>
        <v>30</v>
      </c>
      <c r="H7" s="469">
        <f t="shared" ca="1" si="3"/>
        <v>4.2253521126760563E-2</v>
      </c>
      <c r="I7" s="452" cm="1">
        <f t="array" aca="1" ref="I7" ca="1">INDIRECT("'Bureau " &amp; ROW()-1 &amp; "'!$Q5")</f>
        <v>89</v>
      </c>
      <c r="J7" s="469">
        <f t="shared" ca="1" si="4"/>
        <v>0.12535211267605634</v>
      </c>
      <c r="K7" s="452" cm="1">
        <f t="array" aca="1" ref="K7" ca="1">INDIRECT("'Bureau " &amp; ROW()-1 &amp; "'!$Q6")</f>
        <v>140</v>
      </c>
      <c r="L7" s="470">
        <f t="shared" ca="1" si="5"/>
        <v>0.19718309859154928</v>
      </c>
      <c r="M7" s="471" cm="1">
        <f t="array" aca="1" ref="M7" ca="1">INDIRECT("'Bureau " &amp; ROW()-1 &amp; "'!$Q7")</f>
        <v>190</v>
      </c>
      <c r="N7" s="472">
        <f t="shared" ca="1" si="6"/>
        <v>0.26760563380281688</v>
      </c>
      <c r="O7" s="456" cm="1">
        <f t="array" aca="1" ref="O7" ca="1">INDIRECT("'Bureau " &amp; ROW()-1 &amp; "'!$Q8")</f>
        <v>237</v>
      </c>
      <c r="P7" s="470">
        <f t="shared" ca="1" si="7"/>
        <v>0.33380281690140845</v>
      </c>
      <c r="Q7" s="471" cm="1">
        <f t="array" aca="1" ref="Q7" ca="1">INDIRECT("'Bureau " &amp; ROW()-1 &amp; "'!$Q9")</f>
        <v>275</v>
      </c>
      <c r="R7" s="472">
        <f t="shared" ca="1" si="8"/>
        <v>0.38732394366197181</v>
      </c>
      <c r="S7" s="457" cm="1">
        <f t="array" aca="1" ref="S7" ca="1">INDIRECT("'Bureau " &amp; ROW()-1 &amp; "'!$Q10")</f>
        <v>305</v>
      </c>
      <c r="T7" s="467">
        <f t="shared" ca="1" si="9"/>
        <v>0.42957746478873238</v>
      </c>
      <c r="U7" s="471" cm="1">
        <f t="array" aca="1" ref="U7" ca="1">INDIRECT("'Bureau " &amp; ROW()-1 &amp; "'!$Q11")</f>
        <v>336</v>
      </c>
      <c r="V7" s="472">
        <f t="shared" ca="1" si="10"/>
        <v>0.47323943661971829</v>
      </c>
      <c r="W7" s="456" cm="1">
        <f t="array" aca="1" ref="W7" ca="1">INDIRECT("'Bureau " &amp; ROW()-1 &amp; "'!$Q12")</f>
        <v>355</v>
      </c>
      <c r="X7" s="470">
        <f t="shared" ca="1" si="11"/>
        <v>0.5</v>
      </c>
      <c r="Y7" s="473" cm="1">
        <f t="array" aca="1" ref="Y7" ca="1">INDIRECT("'Bureau " &amp; ROW()-1 &amp; "'!$Q13")</f>
        <v>367</v>
      </c>
      <c r="Z7" s="474">
        <f t="shared" ca="1" si="12"/>
        <v>0.5169014084507042</v>
      </c>
      <c r="AA7" s="461" cm="1">
        <f t="array" aca="1" ref="AA7" ca="1">INDIRECT("'Bureau " &amp; ROW()-1 &amp; "'!$Q14")</f>
        <v>0</v>
      </c>
      <c r="AB7" s="475">
        <f t="shared" ca="1" si="13"/>
        <v>0</v>
      </c>
      <c r="AC7" s="463" cm="1">
        <f t="array" aca="1" ref="AC7" ca="1">INDIRECT("'Bureau " &amp; ROW()-1 &amp; "'!$Q15")</f>
        <v>0</v>
      </c>
      <c r="AD7" s="476">
        <f t="shared" ca="1" si="14"/>
        <v>0</v>
      </c>
      <c r="AE7" s="465">
        <v>6</v>
      </c>
      <c r="AF7" s="50"/>
      <c r="AG7" s="51"/>
      <c r="AH7" s="51"/>
      <c r="AI7" s="51"/>
      <c r="AJ7" s="51"/>
      <c r="AK7" s="51"/>
      <c r="AL7" s="51"/>
      <c r="AM7" s="51"/>
      <c r="AN7" s="51"/>
      <c r="AO7" s="52"/>
      <c r="AP7" s="44"/>
      <c r="AQ7" s="41"/>
    </row>
    <row r="8" spans="1:43" ht="15.75" customHeight="1" x14ac:dyDescent="0.3">
      <c r="A8" s="445">
        <v>7</v>
      </c>
      <c r="B8" s="446" t="str">
        <f>Synthèse!B9</f>
        <v>COSEC</v>
      </c>
      <c r="C8" s="466">
        <f t="shared" ca="1" si="0"/>
        <v>439</v>
      </c>
      <c r="D8" s="467">
        <f t="shared" ca="1" si="1"/>
        <v>0.60054719562243497</v>
      </c>
      <c r="E8" s="10">
        <f t="shared" ca="1" si="2"/>
        <v>0.60054719562243497</v>
      </c>
      <c r="F8" s="468">
        <f>Synthèse!C9</f>
        <v>731</v>
      </c>
      <c r="G8" s="450" cm="1">
        <f t="array" aca="1" ref="G8" ca="1">INDIRECT("'Bureau " &amp; ROW()-1 &amp; "'!$Q4")</f>
        <v>20</v>
      </c>
      <c r="H8" s="469">
        <f t="shared" ca="1" si="3"/>
        <v>2.7359781121751026E-2</v>
      </c>
      <c r="I8" s="452" cm="1">
        <f t="array" aca="1" ref="I8" ca="1">INDIRECT("'Bureau " &amp; ROW()-1 &amp; "'!$Q5")</f>
        <v>75</v>
      </c>
      <c r="J8" s="469">
        <f t="shared" ca="1" si="4"/>
        <v>0.10259917920656635</v>
      </c>
      <c r="K8" s="452" cm="1">
        <f t="array" aca="1" ref="K8" ca="1">INDIRECT("'Bureau " &amp; ROW()-1 &amp; "'!$Q6")</f>
        <v>150</v>
      </c>
      <c r="L8" s="470">
        <f t="shared" ca="1" si="5"/>
        <v>0.20519835841313269</v>
      </c>
      <c r="M8" s="471" cm="1">
        <f t="array" aca="1" ref="M8" ca="1">INDIRECT("'Bureau " &amp; ROW()-1 &amp; "'!$Q7")</f>
        <v>242</v>
      </c>
      <c r="N8" s="472">
        <f t="shared" ca="1" si="6"/>
        <v>0.33105335157318744</v>
      </c>
      <c r="O8" s="456" cm="1">
        <f t="array" aca="1" ref="O8" ca="1">INDIRECT("'Bureau " &amp; ROW()-1 &amp; "'!$Q8")</f>
        <v>284</v>
      </c>
      <c r="P8" s="470">
        <f t="shared" ca="1" si="7"/>
        <v>0.38850889192886456</v>
      </c>
      <c r="Q8" s="471" cm="1">
        <f t="array" aca="1" ref="Q8" ca="1">INDIRECT("'Bureau " &amp; ROW()-1 &amp; "'!$Q9")</f>
        <v>310</v>
      </c>
      <c r="R8" s="472">
        <f t="shared" ca="1" si="8"/>
        <v>0.42407660738714092</v>
      </c>
      <c r="S8" s="457" cm="1">
        <f t="array" aca="1" ref="S8" ca="1">INDIRECT("'Bureau " &amp; ROW()-1 &amp; "'!$Q10")</f>
        <v>354</v>
      </c>
      <c r="T8" s="467">
        <f t="shared" ca="1" si="9"/>
        <v>0.48426812585499318</v>
      </c>
      <c r="U8" s="471" cm="1">
        <f t="array" aca="1" ref="U8" ca="1">INDIRECT("'Bureau " &amp; ROW()-1 &amp; "'!$Q11")</f>
        <v>402</v>
      </c>
      <c r="V8" s="472">
        <f t="shared" ca="1" si="10"/>
        <v>0.54993160054719559</v>
      </c>
      <c r="W8" s="456" cm="1">
        <f t="array" aca="1" ref="W8" ca="1">INDIRECT("'Bureau " &amp; ROW()-1 &amp; "'!$Q12")</f>
        <v>420</v>
      </c>
      <c r="X8" s="470">
        <f t="shared" ca="1" si="11"/>
        <v>0.57455540355677159</v>
      </c>
      <c r="Y8" s="473" cm="1">
        <f t="array" aca="1" ref="Y8" ca="1">INDIRECT("'Bureau " &amp; ROW()-1 &amp; "'!$Q13")</f>
        <v>439</v>
      </c>
      <c r="Z8" s="474">
        <f t="shared" ca="1" si="12"/>
        <v>0.60054719562243497</v>
      </c>
      <c r="AA8" s="461" cm="1">
        <f t="array" aca="1" ref="AA8" ca="1">INDIRECT("'Bureau " &amp; ROW()-1 &amp; "'!$Q14")</f>
        <v>0</v>
      </c>
      <c r="AB8" s="475">
        <f t="shared" ca="1" si="13"/>
        <v>0</v>
      </c>
      <c r="AC8" s="463" cm="1">
        <f t="array" aca="1" ref="AC8" ca="1">INDIRECT("'Bureau " &amp; ROW()-1 &amp; "'!$Q15")</f>
        <v>0</v>
      </c>
      <c r="AD8" s="476">
        <f t="shared" ca="1" si="14"/>
        <v>0</v>
      </c>
      <c r="AE8" s="465">
        <v>7</v>
      </c>
      <c r="AF8" s="50"/>
      <c r="AG8" s="51"/>
      <c r="AH8" s="51"/>
      <c r="AI8" s="51"/>
      <c r="AJ8" s="51"/>
      <c r="AK8" s="51"/>
      <c r="AL8" s="51"/>
      <c r="AM8" s="51"/>
      <c r="AN8" s="51"/>
      <c r="AO8" s="52"/>
      <c r="AP8" s="44"/>
      <c r="AQ8" s="41"/>
    </row>
    <row r="9" spans="1:43" ht="15.75" customHeight="1" x14ac:dyDescent="0.3">
      <c r="A9" s="445">
        <v>8</v>
      </c>
      <c r="B9" s="446" t="str">
        <f>Synthèse!B10</f>
        <v>COSEC</v>
      </c>
      <c r="C9" s="466">
        <f t="shared" ca="1" si="0"/>
        <v>379</v>
      </c>
      <c r="D9" s="467">
        <f t="shared" ca="1" si="1"/>
        <v>0.58668730650154799</v>
      </c>
      <c r="E9" s="10">
        <f t="shared" ca="1" si="2"/>
        <v>0.58668730650154799</v>
      </c>
      <c r="F9" s="468">
        <f>Synthèse!C10</f>
        <v>646</v>
      </c>
      <c r="G9" s="450" cm="1">
        <f t="array" aca="1" ref="G9" ca="1">INDIRECT("'Bureau " &amp; ROW()-1 &amp; "'!$Q4")</f>
        <v>36</v>
      </c>
      <c r="H9" s="469">
        <f t="shared" ca="1" si="3"/>
        <v>5.5727554179566562E-2</v>
      </c>
      <c r="I9" s="452" cm="1">
        <f t="array" aca="1" ref="I9" ca="1">INDIRECT("'Bureau " &amp; ROW()-1 &amp; "'!$Q5")</f>
        <v>72</v>
      </c>
      <c r="J9" s="469">
        <f t="shared" ca="1" si="4"/>
        <v>0.11145510835913312</v>
      </c>
      <c r="K9" s="452" cm="1">
        <f t="array" aca="1" ref="K9" ca="1">INDIRECT("'Bureau " &amp; ROW()-1 &amp; "'!$Q6")</f>
        <v>149</v>
      </c>
      <c r="L9" s="470">
        <f t="shared" ca="1" si="5"/>
        <v>0.23065015479876161</v>
      </c>
      <c r="M9" s="471" cm="1">
        <f t="array" aca="1" ref="M9" ca="1">INDIRECT("'Bureau " &amp; ROW()-1 &amp; "'!$Q7")</f>
        <v>213</v>
      </c>
      <c r="N9" s="472">
        <f t="shared" ca="1" si="6"/>
        <v>0.32972136222910214</v>
      </c>
      <c r="O9" s="456" cm="1">
        <f t="array" aca="1" ref="O9" ca="1">INDIRECT("'Bureau " &amp; ROW()-1 &amp; "'!$Q8")</f>
        <v>260</v>
      </c>
      <c r="P9" s="470">
        <f t="shared" ca="1" si="7"/>
        <v>0.4024767801857585</v>
      </c>
      <c r="Q9" s="471" cm="1">
        <f t="array" aca="1" ref="Q9" ca="1">INDIRECT("'Bureau " &amp; ROW()-1 &amp; "'!$Q9")</f>
        <v>300</v>
      </c>
      <c r="R9" s="472">
        <f t="shared" ca="1" si="8"/>
        <v>0.46439628482972134</v>
      </c>
      <c r="S9" s="457" cm="1">
        <f t="array" aca="1" ref="S9" ca="1">INDIRECT("'Bureau " &amp; ROW()-1 &amp; "'!$Q10")</f>
        <v>325</v>
      </c>
      <c r="T9" s="467">
        <f t="shared" ca="1" si="9"/>
        <v>0.50309597523219818</v>
      </c>
      <c r="U9" s="471" cm="1">
        <f t="array" aca="1" ref="U9" ca="1">INDIRECT("'Bureau " &amp; ROW()-1 &amp; "'!$Q11")</f>
        <v>350</v>
      </c>
      <c r="V9" s="472">
        <f t="shared" ca="1" si="10"/>
        <v>0.54179566563467496</v>
      </c>
      <c r="W9" s="456" cm="1">
        <f t="array" aca="1" ref="W9" ca="1">INDIRECT("'Bureau " &amp; ROW()-1 &amp; "'!$Q12")</f>
        <v>361</v>
      </c>
      <c r="X9" s="470">
        <f t="shared" ca="1" si="11"/>
        <v>0.55882352941176472</v>
      </c>
      <c r="Y9" s="473" cm="1">
        <f t="array" aca="1" ref="Y9" ca="1">INDIRECT("'Bureau " &amp; ROW()-1 &amp; "'!$Q13")</f>
        <v>379</v>
      </c>
      <c r="Z9" s="474">
        <f t="shared" ca="1" si="12"/>
        <v>0.58668730650154799</v>
      </c>
      <c r="AA9" s="461" cm="1">
        <f t="array" aca="1" ref="AA9" ca="1">INDIRECT("'Bureau " &amp; ROW()-1 &amp; "'!$Q14")</f>
        <v>0</v>
      </c>
      <c r="AB9" s="475">
        <f t="shared" ca="1" si="13"/>
        <v>0</v>
      </c>
      <c r="AC9" s="463" cm="1">
        <f t="array" aca="1" ref="AC9" ca="1">INDIRECT("'Bureau " &amp; ROW()-1 &amp; "'!$Q15")</f>
        <v>0</v>
      </c>
      <c r="AD9" s="476">
        <f t="shared" ca="1" si="14"/>
        <v>0</v>
      </c>
      <c r="AE9" s="465">
        <v>8</v>
      </c>
      <c r="AF9" s="50"/>
      <c r="AG9" s="51"/>
      <c r="AH9" s="51"/>
      <c r="AI9" s="51"/>
      <c r="AJ9" s="51"/>
      <c r="AK9" s="51"/>
      <c r="AL9" s="51"/>
      <c r="AM9" s="51"/>
      <c r="AN9" s="51"/>
      <c r="AO9" s="52"/>
      <c r="AP9" s="44"/>
      <c r="AQ9" s="41"/>
    </row>
    <row r="10" spans="1:43" ht="15.75" customHeight="1" x14ac:dyDescent="0.3">
      <c r="A10" s="445">
        <v>9</v>
      </c>
      <c r="B10" s="446" t="str">
        <f>Synthèse!B11</f>
        <v>CMM</v>
      </c>
      <c r="C10" s="466">
        <f t="shared" ca="1" si="0"/>
        <v>333</v>
      </c>
      <c r="D10" s="467">
        <f t="shared" ca="1" si="1"/>
        <v>0.4696755994358251</v>
      </c>
      <c r="E10" s="10">
        <f t="shared" ca="1" si="2"/>
        <v>0.4696755994358251</v>
      </c>
      <c r="F10" s="468">
        <f>Synthèse!C11</f>
        <v>709</v>
      </c>
      <c r="G10" s="450" cm="1">
        <f t="array" aca="1" ref="G10" ca="1">INDIRECT("'Bureau " &amp; ROW()-1 &amp; "'!$Q4")</f>
        <v>22</v>
      </c>
      <c r="H10" s="469">
        <f t="shared" ca="1" si="3"/>
        <v>3.1029619181946404E-2</v>
      </c>
      <c r="I10" s="452" cm="1">
        <f t="array" aca="1" ref="I10" ca="1">INDIRECT("'Bureau " &amp; ROW()-1 &amp; "'!$Q5")</f>
        <v>59</v>
      </c>
      <c r="J10" s="469">
        <f t="shared" ca="1" si="4"/>
        <v>8.3215796897038077E-2</v>
      </c>
      <c r="K10" s="452" cm="1">
        <f t="array" aca="1" ref="K10" ca="1">INDIRECT("'Bureau " &amp; ROW()-1 &amp; "'!$Q6")</f>
        <v>105</v>
      </c>
      <c r="L10" s="470">
        <f t="shared" ca="1" si="5"/>
        <v>0.14809590973201692</v>
      </c>
      <c r="M10" s="471" cm="1">
        <f t="array" aca="1" ref="M10" ca="1">INDIRECT("'Bureau " &amp; ROW()-1 &amp; "'!$Q7")</f>
        <v>165</v>
      </c>
      <c r="N10" s="472">
        <f t="shared" ca="1" si="6"/>
        <v>0.23272214386459802</v>
      </c>
      <c r="O10" s="456" cm="1">
        <f t="array" aca="1" ref="O10" ca="1">INDIRECT("'Bureau " &amp; ROW()-1 &amp; "'!$Q8")</f>
        <v>192</v>
      </c>
      <c r="P10" s="470">
        <f t="shared" ca="1" si="7"/>
        <v>0.27080394922425954</v>
      </c>
      <c r="Q10" s="471" cm="1">
        <f t="array" aca="1" ref="Q10" ca="1">INDIRECT("'Bureau " &amp; ROW()-1 &amp; "'!$Q9")</f>
        <v>230</v>
      </c>
      <c r="R10" s="472">
        <f t="shared" ca="1" si="8"/>
        <v>0.32440056417489421</v>
      </c>
      <c r="S10" s="457" cm="1">
        <f t="array" aca="1" ref="S10" ca="1">INDIRECT("'Bureau " &amp; ROW()-1 &amp; "'!$Q10")</f>
        <v>270</v>
      </c>
      <c r="T10" s="467">
        <f t="shared" ca="1" si="9"/>
        <v>0.38081805359661497</v>
      </c>
      <c r="U10" s="471" cm="1">
        <f t="array" aca="1" ref="U10" ca="1">INDIRECT("'Bureau " &amp; ROW()-1 &amp; "'!$Q11")</f>
        <v>293</v>
      </c>
      <c r="V10" s="472">
        <f t="shared" ca="1" si="10"/>
        <v>0.4132581100141044</v>
      </c>
      <c r="W10" s="456" cm="1">
        <f t="array" aca="1" ref="W10" ca="1">INDIRECT("'Bureau " &amp; ROW()-1 &amp; "'!$Q12")</f>
        <v>312</v>
      </c>
      <c r="X10" s="470">
        <f t="shared" ca="1" si="11"/>
        <v>0.4400564174894217</v>
      </c>
      <c r="Y10" s="473" cm="1">
        <f t="array" aca="1" ref="Y10" ca="1">INDIRECT("'Bureau " &amp; ROW()-1 &amp; "'!$Q13")</f>
        <v>333</v>
      </c>
      <c r="Z10" s="474">
        <f t="shared" ca="1" si="12"/>
        <v>0.4696755994358251</v>
      </c>
      <c r="AA10" s="461" cm="1">
        <f t="array" aca="1" ref="AA10" ca="1">INDIRECT("'Bureau " &amp; ROW()-1 &amp; "'!$Q14")</f>
        <v>0</v>
      </c>
      <c r="AB10" s="475">
        <f t="shared" ca="1" si="13"/>
        <v>0</v>
      </c>
      <c r="AC10" s="463" cm="1">
        <f t="array" aca="1" ref="AC10" ca="1">INDIRECT("'Bureau " &amp; ROW()-1 &amp; "'!$Q15")</f>
        <v>0</v>
      </c>
      <c r="AD10" s="476">
        <f t="shared" ca="1" si="14"/>
        <v>0</v>
      </c>
      <c r="AE10" s="465">
        <v>9</v>
      </c>
      <c r="AF10" s="50"/>
      <c r="AG10" s="51"/>
      <c r="AH10" s="51"/>
      <c r="AI10" s="51"/>
      <c r="AJ10" s="51"/>
      <c r="AK10" s="51"/>
      <c r="AL10" s="51"/>
      <c r="AM10" s="51"/>
      <c r="AN10" s="51"/>
      <c r="AO10" s="52"/>
      <c r="AP10" s="44"/>
      <c r="AQ10" s="41"/>
    </row>
    <row r="11" spans="1:43" ht="15.75" customHeight="1" x14ac:dyDescent="0.3">
      <c r="A11" s="445">
        <v>10</v>
      </c>
      <c r="B11" s="446" t="str">
        <f>Synthèse!B12</f>
        <v>CMM</v>
      </c>
      <c r="C11" s="466">
        <f t="shared" ca="1" si="0"/>
        <v>357</v>
      </c>
      <c r="D11" s="467">
        <f t="shared" ca="1" si="1"/>
        <v>0.58620689655172409</v>
      </c>
      <c r="E11" s="10">
        <f t="shared" ca="1" si="2"/>
        <v>0.58620689655172409</v>
      </c>
      <c r="F11" s="468">
        <f>Synthèse!C12</f>
        <v>609</v>
      </c>
      <c r="G11" s="450" cm="1">
        <f t="array" aca="1" ref="G11" ca="1">INDIRECT("'Bureau " &amp; ROW()-1 &amp; "'!$Q4")</f>
        <v>27</v>
      </c>
      <c r="H11" s="469">
        <f t="shared" ca="1" si="3"/>
        <v>4.4334975369458129E-2</v>
      </c>
      <c r="I11" s="452" cm="1">
        <f t="array" aca="1" ref="I11" ca="1">INDIRECT("'Bureau " &amp; ROW()-1 &amp; "'!$Q5")</f>
        <v>70</v>
      </c>
      <c r="J11" s="469">
        <f t="shared" ca="1" si="4"/>
        <v>0.11494252873563218</v>
      </c>
      <c r="K11" s="452" cm="1">
        <f t="array" aca="1" ref="K11" ca="1">INDIRECT("'Bureau " &amp; ROW()-1 &amp; "'!$Q6")</f>
        <v>140</v>
      </c>
      <c r="L11" s="470">
        <f t="shared" ca="1" si="5"/>
        <v>0.22988505747126436</v>
      </c>
      <c r="M11" s="471" cm="1">
        <f t="array" aca="1" ref="M11" ca="1">INDIRECT("'Bureau " &amp; ROW()-1 &amp; "'!$Q7")</f>
        <v>210</v>
      </c>
      <c r="N11" s="472">
        <f t="shared" ca="1" si="6"/>
        <v>0.34482758620689657</v>
      </c>
      <c r="O11" s="456" cm="1">
        <f t="array" aca="1" ref="O11" ca="1">INDIRECT("'Bureau " &amp; ROW()-1 &amp; "'!$Q8")</f>
        <v>240</v>
      </c>
      <c r="P11" s="470">
        <f t="shared" ca="1" si="7"/>
        <v>0.39408866995073893</v>
      </c>
      <c r="Q11" s="471" cm="1">
        <f t="array" aca="1" ref="Q11" ca="1">INDIRECT("'Bureau " &amp; ROW()-1 &amp; "'!$Q9")</f>
        <v>272</v>
      </c>
      <c r="R11" s="472">
        <f t="shared" ca="1" si="8"/>
        <v>0.44663382594417078</v>
      </c>
      <c r="S11" s="457" cm="1">
        <f t="array" aca="1" ref="S11" ca="1">INDIRECT("'Bureau " &amp; ROW()-1 &amp; "'!$Q10")</f>
        <v>300</v>
      </c>
      <c r="T11" s="467">
        <f t="shared" ca="1" si="9"/>
        <v>0.49261083743842365</v>
      </c>
      <c r="U11" s="471" cm="1">
        <f t="array" aca="1" ref="U11" ca="1">INDIRECT("'Bureau " &amp; ROW()-1 &amp; "'!$Q11")</f>
        <v>330</v>
      </c>
      <c r="V11" s="472">
        <f t="shared" ca="1" si="10"/>
        <v>0.54187192118226601</v>
      </c>
      <c r="W11" s="456" cm="1">
        <f t="array" aca="1" ref="W11" ca="1">INDIRECT("'Bureau " &amp; ROW()-1 &amp; "'!$Q12")</f>
        <v>344</v>
      </c>
      <c r="X11" s="470">
        <f t="shared" ca="1" si="11"/>
        <v>0.56486042692939242</v>
      </c>
      <c r="Y11" s="473" cm="1">
        <f t="array" aca="1" ref="Y11" ca="1">INDIRECT("'Bureau " &amp; ROW()-1 &amp; "'!$Q13")</f>
        <v>357</v>
      </c>
      <c r="Z11" s="474">
        <f t="shared" ca="1" si="12"/>
        <v>0.58620689655172409</v>
      </c>
      <c r="AA11" s="461" cm="1">
        <f t="array" aca="1" ref="AA11" ca="1">INDIRECT("'Bureau " &amp; ROW()-1 &amp; "'!$Q14")</f>
        <v>0</v>
      </c>
      <c r="AB11" s="475">
        <f t="shared" ca="1" si="13"/>
        <v>0</v>
      </c>
      <c r="AC11" s="463" cm="1">
        <f t="array" aca="1" ref="AC11" ca="1">INDIRECT("'Bureau " &amp; ROW()-1 &amp; "'!$Q15")</f>
        <v>0</v>
      </c>
      <c r="AD11" s="476">
        <f t="shared" ca="1" si="14"/>
        <v>0</v>
      </c>
      <c r="AE11" s="465">
        <v>10</v>
      </c>
      <c r="AF11" s="50"/>
      <c r="AG11" s="51"/>
      <c r="AH11" s="51"/>
      <c r="AI11" s="51"/>
      <c r="AJ11" s="51"/>
      <c r="AK11" s="51"/>
      <c r="AL11" s="51"/>
      <c r="AM11" s="51"/>
      <c r="AN11" s="51"/>
      <c r="AO11" s="52"/>
      <c r="AP11" s="44"/>
      <c r="AQ11" s="41"/>
    </row>
    <row r="12" spans="1:43" ht="15.75" customHeight="1" x14ac:dyDescent="0.3">
      <c r="A12" s="445">
        <v>11</v>
      </c>
      <c r="B12" s="446" t="str">
        <f>Synthèse!B13</f>
        <v>CMM</v>
      </c>
      <c r="C12" s="466">
        <f t="shared" ca="1" si="0"/>
        <v>416</v>
      </c>
      <c r="D12" s="467">
        <f t="shared" ca="1" si="1"/>
        <v>0.60202604920405212</v>
      </c>
      <c r="E12" s="10">
        <f t="shared" ca="1" si="2"/>
        <v>0.60202604920405212</v>
      </c>
      <c r="F12" s="468">
        <f>Synthèse!C13</f>
        <v>691</v>
      </c>
      <c r="G12" s="450" cm="1">
        <f t="array" aca="1" ref="G12" ca="1">INDIRECT("'Bureau " &amp; ROW()-1 &amp; "'!$Q4")</f>
        <v>47</v>
      </c>
      <c r="H12" s="469">
        <f t="shared" ca="1" si="3"/>
        <v>6.8017366136034735E-2</v>
      </c>
      <c r="I12" s="452" cm="1">
        <f t="array" aca="1" ref="I12" ca="1">INDIRECT("'Bureau " &amp; ROW()-1 &amp; "'!$Q5")</f>
        <v>96</v>
      </c>
      <c r="J12" s="469">
        <f t="shared" ca="1" si="4"/>
        <v>0.13892908827785819</v>
      </c>
      <c r="K12" s="452" cm="1">
        <f t="array" aca="1" ref="K12" ca="1">INDIRECT("'Bureau " &amp; ROW()-1 &amp; "'!$Q6")</f>
        <v>158</v>
      </c>
      <c r="L12" s="470">
        <f t="shared" ca="1" si="5"/>
        <v>0.22865412445730826</v>
      </c>
      <c r="M12" s="471" cm="1">
        <f t="array" aca="1" ref="M12" ca="1">INDIRECT("'Bureau " &amp; ROW()-1 &amp; "'!$Q7")</f>
        <v>215</v>
      </c>
      <c r="N12" s="472">
        <f t="shared" ca="1" si="6"/>
        <v>0.31114327062228653</v>
      </c>
      <c r="O12" s="456" cm="1">
        <f t="array" aca="1" ref="O12" ca="1">INDIRECT("'Bureau " &amp; ROW()-1 &amp; "'!$Q8")</f>
        <v>264</v>
      </c>
      <c r="P12" s="470">
        <f t="shared" ca="1" si="7"/>
        <v>0.38205499276410998</v>
      </c>
      <c r="Q12" s="471" cm="1">
        <f t="array" aca="1" ref="Q12" ca="1">INDIRECT("'Bureau " &amp; ROW()-1 &amp; "'!$Q9")</f>
        <v>299</v>
      </c>
      <c r="R12" s="472">
        <f t="shared" ca="1" si="8"/>
        <v>0.43270622286541244</v>
      </c>
      <c r="S12" s="457" cm="1">
        <f t="array" aca="1" ref="S12" ca="1">INDIRECT("'Bureau " &amp; ROW()-1 &amp; "'!$Q10")</f>
        <v>332</v>
      </c>
      <c r="T12" s="467">
        <f t="shared" ca="1" si="9"/>
        <v>0.48046309696092621</v>
      </c>
      <c r="U12" s="471" cm="1">
        <f t="array" aca="1" ref="U12" ca="1">INDIRECT("'Bureau " &amp; ROW()-1 &amp; "'!$Q11")</f>
        <v>382</v>
      </c>
      <c r="V12" s="472">
        <f t="shared" ca="1" si="10"/>
        <v>0.55282199710564395</v>
      </c>
      <c r="W12" s="456" cm="1">
        <f t="array" aca="1" ref="W12" ca="1">INDIRECT("'Bureau " &amp; ROW()-1 &amp; "'!$Q12")</f>
        <v>398</v>
      </c>
      <c r="X12" s="470">
        <f t="shared" ca="1" si="11"/>
        <v>0.57597684515195369</v>
      </c>
      <c r="Y12" s="473" cm="1">
        <f t="array" aca="1" ref="Y12" ca="1">INDIRECT("'Bureau " &amp; ROW()-1 &amp; "'!$Q13")</f>
        <v>416</v>
      </c>
      <c r="Z12" s="474">
        <f t="shared" ca="1" si="12"/>
        <v>0.60202604920405212</v>
      </c>
      <c r="AA12" s="461" cm="1">
        <f t="array" aca="1" ref="AA12" ca="1">INDIRECT("'Bureau " &amp; ROW()-1 &amp; "'!$Q14")</f>
        <v>0</v>
      </c>
      <c r="AB12" s="475">
        <f t="shared" ca="1" si="13"/>
        <v>0</v>
      </c>
      <c r="AC12" s="463" cm="1">
        <f t="array" aca="1" ref="AC12" ca="1">INDIRECT("'Bureau " &amp; ROW()-1 &amp; "'!$Q15")</f>
        <v>0</v>
      </c>
      <c r="AD12" s="476">
        <f t="shared" ca="1" si="14"/>
        <v>0</v>
      </c>
      <c r="AE12" s="465">
        <v>11</v>
      </c>
      <c r="AF12" s="50"/>
      <c r="AG12" s="51"/>
      <c r="AH12" s="51"/>
      <c r="AI12" s="51"/>
      <c r="AJ12" s="51"/>
      <c r="AK12" s="51"/>
      <c r="AL12" s="51"/>
      <c r="AM12" s="51"/>
      <c r="AN12" s="51"/>
      <c r="AO12" s="52"/>
      <c r="AP12" s="44"/>
      <c r="AQ12" s="41"/>
    </row>
    <row r="13" spans="1:43" ht="15.75" customHeight="1" thickBot="1" x14ac:dyDescent="0.35">
      <c r="A13" s="477">
        <v>12</v>
      </c>
      <c r="B13" s="446" t="str">
        <f>Synthèse!B14</f>
        <v>Base nautique</v>
      </c>
      <c r="C13" s="478">
        <f t="shared" ca="1" si="0"/>
        <v>326</v>
      </c>
      <c r="D13" s="479">
        <f t="shared" ca="1" si="1"/>
        <v>0.47941176470588237</v>
      </c>
      <c r="E13" s="28">
        <f t="shared" ca="1" si="2"/>
        <v>0.47941176470588237</v>
      </c>
      <c r="F13" s="480">
        <f>Synthèse!C14</f>
        <v>680</v>
      </c>
      <c r="G13" s="450" cm="1">
        <f t="array" aca="1" ref="G13" ca="1">INDIRECT("'Bureau " &amp; ROW()-1 &amp; "'!$Q4")</f>
        <v>24</v>
      </c>
      <c r="H13" s="481">
        <f t="shared" ca="1" si="3"/>
        <v>3.5294117647058823E-2</v>
      </c>
      <c r="I13" s="452" cm="1">
        <f t="array" aca="1" ref="I13" ca="1">INDIRECT("'Bureau " &amp; ROW()-1 &amp; "'!$Q5")</f>
        <v>49</v>
      </c>
      <c r="J13" s="481">
        <f t="shared" ca="1" si="4"/>
        <v>7.2058823529411759E-2</v>
      </c>
      <c r="K13" s="452" cm="1">
        <f t="array" aca="1" ref="K13" ca="1">INDIRECT("'Bureau " &amp; ROW()-1 &amp; "'!$Q6")</f>
        <v>96</v>
      </c>
      <c r="L13" s="482">
        <f t="shared" ca="1" si="5"/>
        <v>0.14117647058823529</v>
      </c>
      <c r="M13" s="483" cm="1">
        <f t="array" aca="1" ref="M13" ca="1">INDIRECT("'Bureau " &amp; ROW()-1 &amp; "'!$Q7")</f>
        <v>143</v>
      </c>
      <c r="N13" s="484">
        <f t="shared" ca="1" si="6"/>
        <v>0.21029411764705883</v>
      </c>
      <c r="O13" s="456" cm="1">
        <f t="array" aca="1" ref="O13" ca="1">INDIRECT("'Bureau " &amp; ROW()-1 &amp; "'!$Q8")</f>
        <v>182</v>
      </c>
      <c r="P13" s="482">
        <f t="shared" ca="1" si="7"/>
        <v>0.2676470588235294</v>
      </c>
      <c r="Q13" s="485" cm="1">
        <f t="array" aca="1" ref="Q13" ca="1">INDIRECT("'Bureau " &amp; ROW()-1 &amp; "'!$Q9")</f>
        <v>217</v>
      </c>
      <c r="R13" s="486">
        <f t="shared" ca="1" si="8"/>
        <v>0.31911764705882351</v>
      </c>
      <c r="S13" s="457" cm="1">
        <f t="array" aca="1" ref="S13" ca="1">INDIRECT("'Bureau " &amp; ROW()-1 &amp; "'!$Q10")</f>
        <v>251</v>
      </c>
      <c r="T13" s="479">
        <f t="shared" ca="1" si="9"/>
        <v>0.36911764705882355</v>
      </c>
      <c r="U13" s="483" cm="1">
        <f t="array" aca="1" ref="U13" ca="1">INDIRECT("'Bureau " &amp; ROW()-1 &amp; "'!$Q11")</f>
        <v>287</v>
      </c>
      <c r="V13" s="484">
        <f t="shared" ca="1" si="10"/>
        <v>0.42205882352941176</v>
      </c>
      <c r="W13" s="456" cm="1">
        <f t="array" aca="1" ref="W13" ca="1">INDIRECT("'Bureau " &amp; ROW()-1 &amp; "'!$Q12")</f>
        <v>321</v>
      </c>
      <c r="X13" s="482">
        <f t="shared" ca="1" si="11"/>
        <v>0.47205882352941175</v>
      </c>
      <c r="Y13" s="487" cm="1">
        <f t="array" aca="1" ref="Y13" ca="1">INDIRECT("'Bureau " &amp; ROW()-1 &amp; "'!$Q13")</f>
        <v>326</v>
      </c>
      <c r="Z13" s="484">
        <f t="shared" ca="1" si="12"/>
        <v>0.47941176470588237</v>
      </c>
      <c r="AA13" s="461" cm="1">
        <f t="array" aca="1" ref="AA13" ca="1">INDIRECT("'Bureau " &amp; ROW()-1 &amp; "'!$Q14")</f>
        <v>0</v>
      </c>
      <c r="AB13" s="488">
        <f t="shared" ca="1" si="13"/>
        <v>0</v>
      </c>
      <c r="AC13" s="463" cm="1">
        <f t="array" aca="1" ref="AC13" ca="1">INDIRECT("'Bureau " &amp; ROW()-1 &amp; "'!$Q15")</f>
        <v>0</v>
      </c>
      <c r="AD13" s="489">
        <f t="shared" ca="1" si="14"/>
        <v>0</v>
      </c>
      <c r="AE13" s="490">
        <v>12</v>
      </c>
      <c r="AF13" s="53"/>
      <c r="AG13" s="54"/>
      <c r="AH13" s="54"/>
      <c r="AI13" s="54"/>
      <c r="AJ13" s="54"/>
      <c r="AK13" s="54"/>
      <c r="AL13" s="54"/>
      <c r="AM13" s="54"/>
      <c r="AN13" s="54"/>
      <c r="AO13" s="55"/>
      <c r="AP13" s="44"/>
      <c r="AQ13" s="41"/>
    </row>
    <row r="14" spans="1:43" ht="15.75" customHeight="1" thickBot="1" x14ac:dyDescent="0.4">
      <c r="A14" s="613" t="s">
        <v>9</v>
      </c>
      <c r="B14" s="614"/>
      <c r="C14" s="491">
        <f ca="1">SUM(C2:C13)</f>
        <v>4682</v>
      </c>
      <c r="D14" s="492">
        <f t="shared" ca="1" si="1"/>
        <v>0.57363391325655477</v>
      </c>
      <c r="E14" s="27">
        <f t="shared" ca="1" si="2"/>
        <v>0.57363391325655477</v>
      </c>
      <c r="F14" s="493">
        <f>SUM(F2:F13)</f>
        <v>8162</v>
      </c>
      <c r="G14" s="494">
        <f ca="1">SUM(G2:G13)</f>
        <v>394</v>
      </c>
      <c r="H14" s="495">
        <f t="shared" ca="1" si="3"/>
        <v>4.8272482234746387E-2</v>
      </c>
      <c r="I14" s="496">
        <f ca="1">SUM(I2:I13)</f>
        <v>939</v>
      </c>
      <c r="J14" s="495">
        <f t="shared" ca="1" si="4"/>
        <v>0.11504533202646411</v>
      </c>
      <c r="K14" s="496">
        <f ca="1">SUM(K2:K13)</f>
        <v>1696</v>
      </c>
      <c r="L14" s="497">
        <f t="shared" ca="1" si="5"/>
        <v>0.20779220779220781</v>
      </c>
      <c r="M14" s="498">
        <f ca="1">SUM(M2:M13)</f>
        <v>2492</v>
      </c>
      <c r="N14" s="497">
        <f t="shared" ca="1" si="6"/>
        <v>0.30531732418524871</v>
      </c>
      <c r="O14" s="498">
        <f ca="1">SUM(O2:O13)</f>
        <v>2962</v>
      </c>
      <c r="P14" s="497">
        <f t="shared" ca="1" si="7"/>
        <v>0.36290124969370252</v>
      </c>
      <c r="Q14" s="498">
        <f ca="1">SUM(Q2:Q13)</f>
        <v>3399</v>
      </c>
      <c r="R14" s="497">
        <f t="shared" ca="1" si="8"/>
        <v>0.4164420485175202</v>
      </c>
      <c r="S14" s="498">
        <f ca="1">SUM(S2:S13)</f>
        <v>3844</v>
      </c>
      <c r="T14" s="497">
        <f t="shared" ca="1" si="9"/>
        <v>0.47096299926488605</v>
      </c>
      <c r="U14" s="498">
        <f ca="1">SUM(U2:U13)</f>
        <v>4248</v>
      </c>
      <c r="V14" s="497">
        <f t="shared" ca="1" si="10"/>
        <v>0.5204606714040676</v>
      </c>
      <c r="W14" s="498">
        <f ca="1">SUM(W2:W13)</f>
        <v>4485</v>
      </c>
      <c r="X14" s="499">
        <f t="shared" ca="1" si="11"/>
        <v>0.54949767213918155</v>
      </c>
      <c r="Y14" s="500">
        <f ca="1">SUM(Y2:Y13)</f>
        <v>4682</v>
      </c>
      <c r="Z14" s="501">
        <f t="shared" ca="1" si="12"/>
        <v>0.57363391325655477</v>
      </c>
      <c r="AA14" s="502">
        <f ca="1">SUM(AA2:AA13)</f>
        <v>0</v>
      </c>
      <c r="AB14" s="503">
        <f t="shared" ca="1" si="13"/>
        <v>0</v>
      </c>
      <c r="AC14" s="504">
        <f ca="1">SUM(AC2:AC13)</f>
        <v>0</v>
      </c>
      <c r="AD14" s="503">
        <f t="shared" ca="1" si="14"/>
        <v>0</v>
      </c>
      <c r="AE14" s="505" t="s">
        <v>16</v>
      </c>
      <c r="AF14" s="56"/>
      <c r="AG14" s="57"/>
      <c r="AH14" s="57"/>
      <c r="AI14" s="57"/>
      <c r="AJ14" s="57"/>
      <c r="AK14" s="57"/>
      <c r="AL14" s="57"/>
      <c r="AM14" s="57"/>
      <c r="AN14" s="57"/>
      <c r="AO14" s="58"/>
      <c r="AP14" s="45"/>
      <c r="AQ14" s="46"/>
    </row>
    <row r="15" spans="1:43" ht="16" thickBot="1" x14ac:dyDescent="0.4">
      <c r="A15" s="506" t="s">
        <v>11</v>
      </c>
      <c r="B15" s="507">
        <f>Synthèse!$B$17</f>
        <v>46096</v>
      </c>
      <c r="C15" s="508"/>
      <c r="D15" s="508"/>
      <c r="E15" s="508"/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8"/>
      <c r="Q15" s="508"/>
      <c r="R15" s="508"/>
      <c r="S15" s="508"/>
      <c r="T15" s="508"/>
      <c r="U15" s="508"/>
      <c r="V15" s="508"/>
      <c r="W15" s="508"/>
      <c r="X15" s="508"/>
      <c r="Y15" s="508"/>
      <c r="Z15" s="508"/>
      <c r="AA15" s="509"/>
      <c r="AB15" s="509"/>
      <c r="AC15" s="509"/>
      <c r="AD15" s="509"/>
      <c r="AE15" s="615" t="s">
        <v>65</v>
      </c>
      <c r="AF15" s="616"/>
      <c r="AG15" s="616"/>
      <c r="AH15" s="616"/>
      <c r="AI15" s="616"/>
      <c r="AJ15" s="616"/>
      <c r="AK15" s="616"/>
      <c r="AL15" s="616"/>
      <c r="AM15" s="616"/>
      <c r="AN15" s="616"/>
      <c r="AO15" s="616"/>
      <c r="AP15" s="616"/>
      <c r="AQ15" s="617"/>
    </row>
    <row r="16" spans="1:43" ht="15" customHeight="1" x14ac:dyDescent="0.3">
      <c r="A16" s="510" t="s">
        <v>12</v>
      </c>
      <c r="B16" s="511" t="str">
        <f>Synthèse!$B$18</f>
        <v>Municipales 1er tour</v>
      </c>
      <c r="C16" s="508"/>
      <c r="D16" s="508"/>
      <c r="E16" s="508"/>
      <c r="F16" s="508"/>
      <c r="G16" s="508"/>
      <c r="H16" s="508"/>
      <c r="I16" s="508"/>
      <c r="J16" s="508"/>
      <c r="K16" s="508"/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  <c r="AA16" s="509"/>
      <c r="AB16" s="509"/>
      <c r="AC16" s="509"/>
      <c r="AD16" s="509"/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  <c r="AP16" s="508"/>
      <c r="AQ16" s="508"/>
    </row>
    <row r="17" spans="1:43" ht="17.25" customHeight="1" thickBot="1" x14ac:dyDescent="0.35">
      <c r="A17" s="512" t="s">
        <v>13</v>
      </c>
      <c r="B17" s="513" t="str">
        <f>Synthèse!$B$19</f>
        <v>Cogolin</v>
      </c>
      <c r="C17" s="508"/>
      <c r="D17" s="508"/>
      <c r="E17" s="508"/>
      <c r="F17" s="508"/>
      <c r="G17" s="508"/>
      <c r="H17" s="508"/>
      <c r="I17" s="508"/>
      <c r="J17" s="508"/>
      <c r="K17" s="508"/>
      <c r="L17" s="508"/>
      <c r="M17" s="508"/>
      <c r="N17" s="508"/>
      <c r="O17" s="508"/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  <c r="AA17" s="509"/>
      <c r="AC17" s="509"/>
      <c r="AD17" s="509"/>
      <c r="AE17" s="508"/>
      <c r="AF17" s="508"/>
      <c r="AG17" s="508"/>
      <c r="AH17" s="508"/>
      <c r="AI17" s="508"/>
      <c r="AJ17" s="508"/>
      <c r="AK17" s="508"/>
      <c r="AL17" s="508"/>
      <c r="AM17" s="508"/>
      <c r="AN17" s="508"/>
      <c r="AO17" s="508"/>
      <c r="AP17" s="508"/>
      <c r="AQ17" s="508"/>
    </row>
    <row r="18" spans="1:43" ht="13" x14ac:dyDescent="0.3">
      <c r="A18" s="508"/>
      <c r="B18" s="508"/>
      <c r="C18" s="508"/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  <c r="AA18" s="509"/>
      <c r="AB18" s="509"/>
      <c r="AC18" s="509"/>
      <c r="AD18" s="509"/>
      <c r="AE18" s="508"/>
      <c r="AF18" s="508"/>
      <c r="AG18" s="508"/>
      <c r="AH18" s="508"/>
      <c r="AI18" s="508"/>
      <c r="AJ18" s="508"/>
      <c r="AK18" s="508"/>
      <c r="AL18" s="508"/>
      <c r="AM18" s="508"/>
      <c r="AN18" s="508"/>
      <c r="AO18" s="508"/>
      <c r="AP18" s="508"/>
      <c r="AQ18" s="508"/>
    </row>
    <row r="19" spans="1:43" ht="13" x14ac:dyDescent="0.3">
      <c r="A19" s="508"/>
      <c r="B19" s="508"/>
      <c r="C19" s="508"/>
      <c r="D19" s="508"/>
      <c r="E19" s="508"/>
      <c r="F19" s="508"/>
      <c r="G19" s="508"/>
      <c r="H19" s="508"/>
      <c r="I19" s="508"/>
      <c r="J19" s="508"/>
      <c r="K19" s="508"/>
      <c r="L19" s="508"/>
      <c r="M19" s="508"/>
      <c r="N19" s="508"/>
      <c r="O19" s="508"/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508"/>
      <c r="AA19" s="509"/>
      <c r="AB19" s="509"/>
      <c r="AC19" s="509"/>
      <c r="AD19" s="509"/>
      <c r="AE19" s="508"/>
      <c r="AF19" s="508"/>
      <c r="AG19" s="508"/>
      <c r="AH19" s="508"/>
      <c r="AI19" s="508"/>
      <c r="AJ19" s="508"/>
      <c r="AK19" s="508"/>
      <c r="AL19" s="508"/>
      <c r="AM19" s="508"/>
      <c r="AN19" s="508"/>
      <c r="AO19" s="508"/>
      <c r="AP19" s="508"/>
      <c r="AQ19" s="508"/>
    </row>
    <row r="20" spans="1:43" ht="13" x14ac:dyDescent="0.3">
      <c r="A20" s="508"/>
      <c r="B20" s="508"/>
      <c r="C20" s="508"/>
      <c r="D20" s="508"/>
      <c r="E20" s="508"/>
      <c r="F20" s="508"/>
      <c r="G20" s="508"/>
      <c r="H20" s="508"/>
      <c r="I20" s="508"/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508"/>
      <c r="AA20" s="509"/>
      <c r="AB20" s="509"/>
      <c r="AC20" s="509"/>
      <c r="AD20" s="509"/>
      <c r="AE20" s="508"/>
      <c r="AF20" s="508"/>
      <c r="AG20" s="508"/>
      <c r="AH20" s="508"/>
      <c r="AI20" s="508"/>
      <c r="AJ20" s="508"/>
      <c r="AK20" s="508"/>
      <c r="AL20" s="508"/>
      <c r="AM20" s="508"/>
      <c r="AN20" s="508"/>
      <c r="AO20" s="508"/>
      <c r="AP20" s="508"/>
      <c r="AQ20" s="508"/>
    </row>
    <row r="21" spans="1:43" ht="20.25" customHeight="1" x14ac:dyDescent="0.3">
      <c r="A21" s="508"/>
      <c r="B21" s="508"/>
      <c r="C21" s="508"/>
      <c r="D21" s="508"/>
      <c r="E21" s="508"/>
      <c r="F21" s="508"/>
      <c r="G21" s="508"/>
      <c r="H21" s="508"/>
      <c r="I21" s="508"/>
      <c r="J21" s="508"/>
      <c r="K21" s="508"/>
      <c r="L21" s="508"/>
      <c r="M21" s="508"/>
      <c r="N21" s="508"/>
      <c r="O21" s="508"/>
      <c r="P21" s="508"/>
      <c r="Q21" s="508"/>
      <c r="R21" s="508"/>
      <c r="S21" s="508"/>
      <c r="T21" s="508"/>
      <c r="U21" s="508"/>
      <c r="V21" s="508"/>
      <c r="W21" s="508"/>
      <c r="X21" s="508"/>
      <c r="Y21" s="508"/>
      <c r="Z21" s="508"/>
      <c r="AA21" s="509"/>
      <c r="AB21" s="509"/>
      <c r="AC21" s="509"/>
      <c r="AD21" s="509"/>
      <c r="AE21" s="508"/>
      <c r="AF21" s="508"/>
      <c r="AG21" s="508"/>
      <c r="AH21" s="618"/>
      <c r="AI21" s="618"/>
      <c r="AJ21" s="619"/>
      <c r="AK21" s="619"/>
      <c r="AL21" s="514"/>
      <c r="AO21" s="508"/>
      <c r="AP21" s="508"/>
      <c r="AQ21" s="508"/>
    </row>
    <row r="22" spans="1:43" ht="13" x14ac:dyDescent="0.3">
      <c r="A22" s="508"/>
      <c r="B22" s="508"/>
      <c r="C22" s="508"/>
      <c r="D22" s="508"/>
      <c r="E22" s="508"/>
      <c r="F22" s="508"/>
      <c r="G22" s="508"/>
      <c r="H22" s="508"/>
      <c r="I22" s="508"/>
      <c r="J22" s="508"/>
      <c r="K22" s="508"/>
      <c r="L22" s="508"/>
      <c r="M22" s="508"/>
      <c r="N22" s="508"/>
      <c r="O22" s="508"/>
      <c r="P22" s="508"/>
      <c r="Q22" s="508"/>
      <c r="R22" s="508"/>
      <c r="S22" s="508"/>
      <c r="T22" s="508"/>
      <c r="U22" s="508"/>
      <c r="V22" s="508"/>
      <c r="W22" s="508"/>
      <c r="X22" s="508"/>
      <c r="Y22" s="508"/>
      <c r="Z22" s="508"/>
      <c r="AA22" s="509"/>
      <c r="AB22" s="509"/>
      <c r="AC22" s="509"/>
      <c r="AD22" s="509"/>
      <c r="AE22" s="508"/>
      <c r="AF22" s="508"/>
      <c r="AG22" s="508"/>
      <c r="AH22" s="508"/>
      <c r="AI22" s="508"/>
      <c r="AJ22" s="508"/>
      <c r="AK22" s="508"/>
      <c r="AL22" s="508"/>
      <c r="AO22" s="508"/>
      <c r="AP22" s="508"/>
      <c r="AQ22" s="508"/>
    </row>
    <row r="23" spans="1:43" ht="13" x14ac:dyDescent="0.3">
      <c r="A23" s="508"/>
      <c r="B23" s="508"/>
      <c r="C23" s="508"/>
      <c r="D23" s="508"/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8"/>
      <c r="Q23" s="508"/>
      <c r="R23" s="508"/>
      <c r="S23" s="508"/>
      <c r="T23" s="508"/>
      <c r="U23" s="508"/>
      <c r="V23" s="508"/>
      <c r="W23" s="508"/>
      <c r="X23" s="508"/>
      <c r="Y23" s="508"/>
      <c r="Z23" s="508"/>
      <c r="AA23" s="509"/>
      <c r="AB23" s="509"/>
      <c r="AC23" s="509"/>
      <c r="AD23" s="509"/>
      <c r="AE23" s="508"/>
      <c r="AF23" s="508"/>
      <c r="AG23" s="508"/>
      <c r="AH23" s="508"/>
      <c r="AI23" s="508"/>
      <c r="AJ23" s="508"/>
      <c r="AK23" s="508"/>
      <c r="AL23" s="508"/>
      <c r="AO23" s="508"/>
      <c r="AP23" s="508"/>
      <c r="AQ23" s="508"/>
    </row>
    <row r="24" spans="1:43" ht="13" x14ac:dyDescent="0.3">
      <c r="A24" s="508"/>
      <c r="B24" s="508"/>
      <c r="C24" s="515"/>
      <c r="D24" s="516"/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508"/>
      <c r="AA24" s="509"/>
      <c r="AB24" s="509"/>
      <c r="AC24" s="509"/>
      <c r="AD24" s="509"/>
      <c r="AE24" s="508"/>
      <c r="AF24" s="508"/>
      <c r="AG24" s="508"/>
      <c r="AH24" s="508"/>
      <c r="AI24" s="508"/>
      <c r="AJ24" s="508"/>
      <c r="AK24" s="508"/>
      <c r="AL24" s="508"/>
      <c r="AO24" s="508"/>
      <c r="AP24" s="508"/>
      <c r="AQ24" s="508"/>
    </row>
    <row r="25" spans="1:43" ht="13" x14ac:dyDescent="0.3">
      <c r="A25" s="508"/>
      <c r="B25" s="508"/>
      <c r="C25" s="515"/>
      <c r="D25" s="516"/>
      <c r="E25" s="508"/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8"/>
      <c r="Q25" s="508"/>
      <c r="R25" s="508"/>
      <c r="S25" s="508"/>
      <c r="T25" s="508"/>
      <c r="U25" s="508"/>
      <c r="V25" s="508"/>
      <c r="W25" s="508"/>
      <c r="X25" s="508"/>
      <c r="Y25" s="508"/>
      <c r="Z25" s="508"/>
      <c r="AA25" s="509"/>
      <c r="AB25" s="509"/>
      <c r="AC25" s="509"/>
      <c r="AD25" s="509"/>
      <c r="AE25" s="508"/>
      <c r="AF25" s="508"/>
      <c r="AG25" s="508"/>
      <c r="AH25" s="508"/>
      <c r="AI25" s="508"/>
      <c r="AJ25" s="508"/>
      <c r="AK25" s="508"/>
      <c r="AL25" s="508"/>
      <c r="AO25" s="508"/>
      <c r="AP25" s="508"/>
      <c r="AQ25" s="508"/>
    </row>
    <row r="26" spans="1:43" ht="13" x14ac:dyDescent="0.3">
      <c r="A26" s="508"/>
      <c r="B26" s="508"/>
      <c r="C26" s="515"/>
      <c r="D26" s="516"/>
      <c r="E26" s="508"/>
      <c r="F26" s="508"/>
      <c r="G26" s="508"/>
      <c r="H26" s="508"/>
      <c r="I26" s="508"/>
      <c r="J26" s="508"/>
      <c r="K26" s="508"/>
      <c r="L26" s="508"/>
      <c r="M26" s="508"/>
      <c r="N26" s="508"/>
      <c r="O26" s="508"/>
      <c r="P26" s="508"/>
      <c r="Q26" s="508"/>
      <c r="R26" s="508"/>
      <c r="S26" s="508"/>
      <c r="T26" s="508"/>
      <c r="U26" s="508"/>
      <c r="V26" s="508"/>
      <c r="W26" s="508"/>
      <c r="X26" s="508"/>
      <c r="Y26" s="508"/>
      <c r="Z26" s="508"/>
      <c r="AA26" s="509"/>
      <c r="AB26" s="509"/>
      <c r="AC26" s="509"/>
      <c r="AD26" s="509"/>
      <c r="AE26" s="508"/>
      <c r="AF26" s="508"/>
      <c r="AG26" s="508"/>
      <c r="AH26" s="508"/>
      <c r="AI26" s="508"/>
      <c r="AJ26" s="508"/>
      <c r="AK26" s="508"/>
      <c r="AL26" s="508"/>
      <c r="AO26" s="508"/>
      <c r="AP26" s="508"/>
      <c r="AQ26" s="508"/>
    </row>
    <row r="27" spans="1:43" ht="13" x14ac:dyDescent="0.3">
      <c r="A27" s="508"/>
      <c r="B27" s="508"/>
      <c r="C27" s="515"/>
      <c r="D27" s="516"/>
      <c r="E27" s="508"/>
      <c r="F27" s="508"/>
      <c r="G27" s="508"/>
      <c r="H27" s="508"/>
      <c r="I27" s="508"/>
      <c r="J27" s="508"/>
      <c r="K27" s="508"/>
      <c r="L27" s="508"/>
      <c r="M27" s="508"/>
      <c r="N27" s="508"/>
      <c r="O27" s="508"/>
      <c r="P27" s="508"/>
      <c r="Q27" s="508"/>
      <c r="R27" s="508"/>
      <c r="S27" s="508"/>
      <c r="T27" s="508"/>
      <c r="U27" s="508"/>
      <c r="V27" s="508"/>
      <c r="W27" s="508"/>
      <c r="X27" s="508"/>
      <c r="Y27" s="508"/>
      <c r="Z27" s="508"/>
      <c r="AA27" s="509"/>
      <c r="AB27" s="509"/>
      <c r="AC27" s="509"/>
      <c r="AD27" s="509"/>
      <c r="AE27" s="508"/>
      <c r="AF27" s="508"/>
      <c r="AG27" s="508"/>
      <c r="AH27" s="508"/>
      <c r="AI27" s="508"/>
      <c r="AJ27" s="508"/>
      <c r="AK27" s="508"/>
      <c r="AL27" s="508"/>
      <c r="AO27" s="508"/>
      <c r="AP27" s="508"/>
      <c r="AQ27" s="508"/>
    </row>
    <row r="28" spans="1:43" ht="15.75" customHeight="1" x14ac:dyDescent="0.3">
      <c r="A28" s="508"/>
      <c r="B28" s="508"/>
      <c r="C28" s="508"/>
      <c r="D28" s="508"/>
      <c r="E28" s="508"/>
      <c r="F28" s="508"/>
      <c r="G28" s="508"/>
      <c r="H28" s="508"/>
      <c r="I28" s="508"/>
      <c r="J28" s="508"/>
      <c r="K28" s="508"/>
      <c r="L28" s="508"/>
      <c r="M28" s="508"/>
      <c r="N28" s="508"/>
      <c r="O28" s="508"/>
      <c r="P28" s="508"/>
      <c r="Q28" s="508"/>
      <c r="R28" s="508"/>
      <c r="S28" s="508"/>
      <c r="T28" s="508"/>
      <c r="U28" s="508"/>
      <c r="V28" s="508"/>
      <c r="W28" s="508"/>
      <c r="X28" s="508"/>
      <c r="Y28" s="508"/>
      <c r="Z28" s="508"/>
      <c r="AA28" s="509"/>
      <c r="AB28" s="509"/>
      <c r="AC28" s="509"/>
      <c r="AD28" s="509"/>
      <c r="AE28" s="508"/>
      <c r="AF28" s="508"/>
      <c r="AG28" s="508"/>
      <c r="AH28" s="508"/>
      <c r="AI28" s="508"/>
      <c r="AJ28" s="508"/>
      <c r="AK28" s="508"/>
      <c r="AL28" s="508"/>
      <c r="AO28" s="508"/>
      <c r="AP28" s="508"/>
      <c r="AQ28" s="508"/>
    </row>
    <row r="29" spans="1:43" ht="13" x14ac:dyDescent="0.3">
      <c r="A29" s="508"/>
      <c r="B29" s="517" t="s">
        <v>18</v>
      </c>
      <c r="C29" s="508"/>
      <c r="D29" s="508"/>
      <c r="E29" s="508"/>
      <c r="F29" s="508"/>
      <c r="G29" s="508"/>
      <c r="H29" s="508"/>
      <c r="I29" s="508"/>
      <c r="J29" s="508"/>
      <c r="K29" s="508"/>
      <c r="L29" s="508"/>
      <c r="M29" s="508"/>
      <c r="N29" s="508"/>
      <c r="O29" s="508"/>
      <c r="P29" s="508"/>
      <c r="Q29" s="508"/>
      <c r="R29" s="508"/>
      <c r="S29" s="508"/>
      <c r="T29" s="508"/>
      <c r="U29" s="508"/>
      <c r="V29" s="508"/>
      <c r="W29" s="508"/>
      <c r="X29" s="508"/>
      <c r="Y29" s="508"/>
      <c r="Z29" s="508"/>
      <c r="AA29" s="509"/>
      <c r="AB29" s="509"/>
      <c r="AC29" s="509"/>
      <c r="AD29" s="509"/>
      <c r="AE29" s="508"/>
      <c r="AF29" s="508"/>
      <c r="AG29" s="508"/>
      <c r="AH29" s="508"/>
      <c r="AI29" s="508"/>
      <c r="AJ29" s="508"/>
      <c r="AK29" s="508"/>
      <c r="AL29" s="508"/>
      <c r="AO29" s="508"/>
      <c r="AP29" s="508"/>
      <c r="AQ29" s="508"/>
    </row>
    <row r="30" spans="1:43" ht="13" x14ac:dyDescent="0.3">
      <c r="A30" s="508"/>
      <c r="B30" s="518" t="s">
        <v>19</v>
      </c>
      <c r="C30" s="508"/>
      <c r="D30" s="508"/>
      <c r="E30" s="508"/>
      <c r="F30" s="508"/>
      <c r="G30" s="508"/>
      <c r="H30" s="508"/>
      <c r="I30" s="508"/>
      <c r="J30" s="508"/>
      <c r="K30" s="508"/>
      <c r="L30" s="508"/>
      <c r="M30" s="508"/>
      <c r="N30" s="508"/>
      <c r="O30" s="508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508"/>
      <c r="AA30" s="509"/>
      <c r="AB30" s="509"/>
      <c r="AC30" s="509"/>
      <c r="AD30" s="509"/>
      <c r="AE30" s="508"/>
      <c r="AF30" s="508"/>
      <c r="AG30" s="508"/>
      <c r="AH30" s="508"/>
      <c r="AI30" s="508"/>
      <c r="AJ30" s="508"/>
      <c r="AK30" s="508"/>
      <c r="AL30" s="508"/>
      <c r="AO30" s="508"/>
      <c r="AP30" s="508"/>
      <c r="AQ30" s="508"/>
    </row>
    <row r="31" spans="1:43" ht="13" x14ac:dyDescent="0.3">
      <c r="A31" s="508"/>
      <c r="B31" s="517" t="s">
        <v>20</v>
      </c>
      <c r="C31" s="508"/>
      <c r="D31" s="508"/>
      <c r="E31" s="508"/>
      <c r="F31" s="508"/>
      <c r="G31" s="508"/>
      <c r="H31" s="508"/>
      <c r="I31" s="508"/>
      <c r="J31" s="508"/>
      <c r="K31" s="508"/>
      <c r="L31" s="508"/>
      <c r="M31" s="508"/>
      <c r="N31" s="508"/>
      <c r="O31" s="508"/>
      <c r="P31" s="508"/>
      <c r="Q31" s="508"/>
      <c r="R31" s="508"/>
      <c r="S31" s="508"/>
      <c r="T31" s="508"/>
      <c r="U31" s="508"/>
      <c r="V31" s="508"/>
      <c r="W31" s="508"/>
      <c r="X31" s="508"/>
      <c r="Y31" s="508"/>
      <c r="Z31" s="508"/>
      <c r="AA31" s="509"/>
      <c r="AB31" s="509"/>
      <c r="AC31" s="509"/>
      <c r="AD31" s="509"/>
      <c r="AE31" s="508"/>
      <c r="AF31" s="508"/>
      <c r="AG31" s="508"/>
      <c r="AH31" s="508"/>
      <c r="AI31" s="508"/>
      <c r="AJ31" s="508"/>
      <c r="AK31" s="508"/>
      <c r="AL31" s="508"/>
      <c r="AO31" s="508"/>
      <c r="AP31" s="508"/>
      <c r="AQ31" s="508"/>
    </row>
    <row r="35" spans="6:33" ht="15.75" customHeight="1" thickBot="1" x14ac:dyDescent="0.3"/>
    <row r="36" spans="6:33" ht="13.5" thickBot="1" x14ac:dyDescent="0.35">
      <c r="F36" s="519"/>
      <c r="G36" s="602" t="s">
        <v>62</v>
      </c>
      <c r="H36" s="603"/>
      <c r="I36" s="603"/>
      <c r="J36" s="603"/>
      <c r="K36" s="603"/>
      <c r="L36" s="603"/>
      <c r="M36" s="603"/>
      <c r="N36" s="603"/>
      <c r="O36" s="603"/>
      <c r="P36" s="603"/>
      <c r="Q36" s="603"/>
      <c r="R36" s="603"/>
      <c r="S36" s="603"/>
      <c r="T36" s="520"/>
      <c r="U36" s="604" t="s">
        <v>63</v>
      </c>
      <c r="V36" s="603"/>
      <c r="W36" s="603"/>
      <c r="X36" s="603"/>
      <c r="Y36" s="603"/>
      <c r="Z36" s="603"/>
      <c r="AA36" s="603"/>
      <c r="AB36" s="603"/>
      <c r="AC36" s="603"/>
      <c r="AD36" s="603"/>
      <c r="AE36" s="603"/>
      <c r="AF36" s="603"/>
      <c r="AG36" s="605"/>
    </row>
    <row r="37" spans="6:33" ht="13.5" thickBot="1" x14ac:dyDescent="0.35">
      <c r="F37" s="521" t="s">
        <v>21</v>
      </c>
      <c r="G37" s="522" t="s">
        <v>73</v>
      </c>
      <c r="H37" s="523" t="s">
        <v>74</v>
      </c>
      <c r="I37" s="524" t="s">
        <v>75</v>
      </c>
      <c r="J37" s="525" t="s">
        <v>76</v>
      </c>
      <c r="K37" s="526" t="s">
        <v>77</v>
      </c>
      <c r="L37" s="527" t="s">
        <v>78</v>
      </c>
      <c r="M37" s="528" t="s">
        <v>79</v>
      </c>
      <c r="N37" s="523" t="s">
        <v>80</v>
      </c>
      <c r="O37" s="524" t="s">
        <v>81</v>
      </c>
      <c r="P37" s="525" t="s">
        <v>82</v>
      </c>
      <c r="Q37" s="526" t="s">
        <v>83</v>
      </c>
      <c r="R37" s="527" t="s">
        <v>84</v>
      </c>
      <c r="S37" s="529" t="s">
        <v>16</v>
      </c>
      <c r="T37" s="530" t="s">
        <v>21</v>
      </c>
      <c r="U37" s="531" t="s">
        <v>73</v>
      </c>
      <c r="V37" s="532" t="s">
        <v>74</v>
      </c>
      <c r="W37" s="533" t="s">
        <v>75</v>
      </c>
      <c r="X37" s="534" t="s">
        <v>76</v>
      </c>
      <c r="Y37" s="535" t="s">
        <v>77</v>
      </c>
      <c r="Z37" s="536" t="s">
        <v>78</v>
      </c>
      <c r="AA37" s="537" t="s">
        <v>79</v>
      </c>
      <c r="AB37" s="532" t="s">
        <v>80</v>
      </c>
      <c r="AC37" s="533" t="s">
        <v>81</v>
      </c>
      <c r="AD37" s="534" t="s">
        <v>82</v>
      </c>
      <c r="AE37" s="535" t="s">
        <v>83</v>
      </c>
      <c r="AF37" s="536" t="s">
        <v>84</v>
      </c>
      <c r="AG37" s="538" t="s">
        <v>16</v>
      </c>
    </row>
    <row r="38" spans="6:33" ht="13" x14ac:dyDescent="0.3">
      <c r="F38" s="539" t="s">
        <v>32</v>
      </c>
      <c r="G38" s="540">
        <v>0</v>
      </c>
      <c r="H38" s="541">
        <v>0</v>
      </c>
      <c r="I38" s="541">
        <v>0</v>
      </c>
      <c r="J38" s="541">
        <v>0</v>
      </c>
      <c r="K38" s="541">
        <v>0</v>
      </c>
      <c r="L38" s="541">
        <v>0</v>
      </c>
      <c r="M38" s="541">
        <v>0</v>
      </c>
      <c r="N38" s="541">
        <v>0</v>
      </c>
      <c r="O38" s="541">
        <v>0</v>
      </c>
      <c r="P38" s="541">
        <v>0</v>
      </c>
      <c r="Q38" s="541">
        <v>0</v>
      </c>
      <c r="R38" s="541">
        <v>0</v>
      </c>
      <c r="S38" s="542">
        <v>0</v>
      </c>
      <c r="T38" s="543" t="s">
        <v>32</v>
      </c>
      <c r="U38" s="544">
        <v>0</v>
      </c>
      <c r="V38" s="541">
        <v>0</v>
      </c>
      <c r="W38" s="541">
        <v>0</v>
      </c>
      <c r="X38" s="541">
        <v>0</v>
      </c>
      <c r="Y38" s="541">
        <v>0</v>
      </c>
      <c r="Z38" s="541">
        <v>0</v>
      </c>
      <c r="AA38" s="541">
        <v>0</v>
      </c>
      <c r="AB38" s="541">
        <v>0</v>
      </c>
      <c r="AC38" s="541">
        <v>0</v>
      </c>
      <c r="AD38" s="541">
        <v>0</v>
      </c>
      <c r="AE38" s="541">
        <v>0</v>
      </c>
      <c r="AF38" s="541">
        <v>0</v>
      </c>
      <c r="AG38" s="545">
        <v>0</v>
      </c>
    </row>
    <row r="39" spans="6:33" ht="13" x14ac:dyDescent="0.3">
      <c r="F39" s="546" t="s">
        <v>33</v>
      </c>
      <c r="G39" s="547" cm="1">
        <f t="array" aca="1" ref="G39" ca="1">IF(
   INDEX($H$2:$Z$14, COLUMN(A1), 2*ROW(A1)-1)&gt;0,
   INDEX($H$2:$Z$14, COLUMN(A1), 2*ROW(A1)-1),
   NA()
)</f>
        <v>5.9674502712477394E-2</v>
      </c>
      <c r="H39" s="548" cm="1">
        <f t="array" aca="1" ref="H39" ca="1">IF(
   INDEX($H$2:$Z$14, COLUMN(B1), 2*ROW(B1)-1)&gt;0,
   INDEX($H$2:$Z$14, COLUMN(B1), 2*ROW(B1)-1),
   NA()
)</f>
        <v>6.0810810810810814E-2</v>
      </c>
      <c r="I39" s="548" cm="1">
        <f t="array" aca="1" ref="I39" ca="1">IF(
   INDEX($H$2:$Z$14, COLUMN(C1), 2*ROW(C1)-1)&gt;0,
   INDEX($H$2:$Z$14, COLUMN(C1), 2*ROW(C1)-1),
   NA()
)</f>
        <v>5.6100981767180924E-2</v>
      </c>
      <c r="J39" s="548" cm="1">
        <f t="array" aca="1" ref="J39" ca="1">IF(
   INDEX($H$2:$Z$14, COLUMN(D1), 2*ROW(D1)-1)&gt;0,
   INDEX($H$2:$Z$14, COLUMN(D1), 2*ROW(D1)-1),
   NA()
)</f>
        <v>4.8600883652430045E-2</v>
      </c>
      <c r="K39" s="548" cm="1">
        <f t="array" aca="1" ref="K39" ca="1">IF(
   INDEX($H$2:$Z$14, COLUMN(E1), 2*ROW(E1)-1)&gt;0,
   INDEX($H$2:$Z$14, COLUMN(E1), 2*ROW(E1)-1),
   NA()
)</f>
        <v>5.2781740370898715E-2</v>
      </c>
      <c r="L39" s="548" cm="1">
        <f t="array" aca="1" ref="L39" ca="1">IF(
   INDEX($H$2:$Z$14, COLUMN(F1), 2*ROW(F1)-1)&gt;0,
   INDEX($H$2:$Z$14, COLUMN(F1), 2*ROW(F1)-1),
   NA()
)</f>
        <v>4.2253521126760563E-2</v>
      </c>
      <c r="M39" s="548" cm="1">
        <f t="array" aca="1" ref="M39" ca="1">IF(
   INDEX($H$2:$Z$14, COLUMN(G1), 2*ROW(G1)-1)&gt;0,
   INDEX($H$2:$Z$14, COLUMN(G1), 2*ROW(G1)-1),
   NA()
)</f>
        <v>2.7359781121751026E-2</v>
      </c>
      <c r="N39" s="548" cm="1">
        <f t="array" aca="1" ref="N39" ca="1">IF(
   INDEX($H$2:$Z$14, COLUMN(H1), 2*ROW(H1)-1)&gt;0,
   INDEX($H$2:$Z$14, COLUMN(H1), 2*ROW(H1)-1),
   NA()
)</f>
        <v>5.5727554179566562E-2</v>
      </c>
      <c r="O39" s="548" cm="1">
        <f t="array" aca="1" ref="O39" ca="1">IF(
   INDEX($H$2:$Z$14, COLUMN(I1), 2*ROW(I1)-1)&gt;0,
   INDEX($H$2:$Z$14, COLUMN(I1), 2*ROW(I1)-1),
   NA()
)</f>
        <v>3.1029619181946404E-2</v>
      </c>
      <c r="P39" s="548" cm="1">
        <f t="array" aca="1" ref="P39" ca="1">IF(
   INDEX($H$2:$Z$14, COLUMN(J1), 2*ROW(J1)-1)&gt;0,
   INDEX($H$2:$Z$14, COLUMN(J1), 2*ROW(J1)-1),
   NA()
)</f>
        <v>4.4334975369458129E-2</v>
      </c>
      <c r="Q39" s="548" cm="1">
        <f t="array" aca="1" ref="Q39" ca="1">IF(
   INDEX($H$2:$Z$14, COLUMN(K1), 2*ROW(K1)-1)&gt;0,
   INDEX($H$2:$Z$14, COLUMN(K1), 2*ROW(K1)-1),
   NA()
)</f>
        <v>6.8017366136034735E-2</v>
      </c>
      <c r="R39" s="548" cm="1">
        <f t="array" aca="1" ref="R39" ca="1">IF(
   INDEX($H$2:$Z$14, COLUMN(L1), 2*ROW(L1)-1)&gt;0,
   INDEX($H$2:$Z$14, COLUMN(L1), 2*ROW(L1)-1),
   NA()
)</f>
        <v>3.5294117647058823E-2</v>
      </c>
      <c r="S39" s="549" cm="1">
        <f t="array" aca="1" ref="S39" ca="1">IF(
   INDEX($H$2:$Z$14, COLUMN(M1), 2*ROW(M1)-1)&gt;0,
   INDEX($H$2:$Z$14, COLUMN(M1), 2*ROW(M1)-1),
   NA()
)</f>
        <v>4.8272482234746387E-2</v>
      </c>
      <c r="T39" s="550" t="s">
        <v>33</v>
      </c>
      <c r="U39" s="551">
        <f>AF2</f>
        <v>0</v>
      </c>
      <c r="V39" s="548">
        <f>AF3</f>
        <v>0</v>
      </c>
      <c r="W39" s="548">
        <f>AF4</f>
        <v>0</v>
      </c>
      <c r="X39" s="548">
        <f>AF5</f>
        <v>0</v>
      </c>
      <c r="Y39" s="548">
        <f>AF6</f>
        <v>0</v>
      </c>
      <c r="Z39" s="548">
        <f>AF7</f>
        <v>0</v>
      </c>
      <c r="AA39" s="548">
        <f>AF8</f>
        <v>0</v>
      </c>
      <c r="AB39" s="548">
        <f>AF9</f>
        <v>0</v>
      </c>
      <c r="AC39" s="548">
        <f>AF10</f>
        <v>0</v>
      </c>
      <c r="AD39" s="548">
        <f>AF11</f>
        <v>0</v>
      </c>
      <c r="AE39" s="548">
        <f>AF12</f>
        <v>0</v>
      </c>
      <c r="AF39" s="548">
        <f>AF13</f>
        <v>0</v>
      </c>
      <c r="AG39" s="552">
        <f>AF14</f>
        <v>0</v>
      </c>
    </row>
    <row r="40" spans="6:33" ht="13" x14ac:dyDescent="0.3">
      <c r="F40" s="546" t="s">
        <v>34</v>
      </c>
      <c r="G40" s="547" cm="1">
        <f t="array" aca="1" ref="G40" ca="1">IF(
   INDEX($H$2:$Z$14, COLUMN(A2), 2*ROW(A2)-1)&gt;0,
   INDEX($H$2:$Z$14, COLUMN(A2), 2*ROW(A2)-1),
   NA()
)</f>
        <v>0.1410488245931284</v>
      </c>
      <c r="H40" s="548" cm="1">
        <f t="array" aca="1" ref="H40" ca="1">IF(
   INDEX($H$2:$Z$14, COLUMN(B2), 2*ROW(B2)-1)&gt;0,
   INDEX($H$2:$Z$14, COLUMN(B2), 2*ROW(B2)-1),
   NA()
)</f>
        <v>0.10810810810810811</v>
      </c>
      <c r="I40" s="548" cm="1">
        <f t="array" aca="1" ref="I40" ca="1">IF(
   INDEX($H$2:$Z$14, COLUMN(C2), 2*ROW(C2)-1)&gt;0,
   INDEX($H$2:$Z$14, COLUMN(C2), 2*ROW(C2)-1),
   NA()
)</f>
        <v>0.15427769985974754</v>
      </c>
      <c r="J40" s="548" cm="1">
        <f t="array" aca="1" ref="J40" ca="1">IF(
   INDEX($H$2:$Z$14, COLUMN(D2), 2*ROW(D2)-1)&gt;0,
   INDEX($H$2:$Z$14, COLUMN(D2), 2*ROW(D2)-1),
   NA()
)</f>
        <v>0.10014727540500737</v>
      </c>
      <c r="K40" s="548" cm="1">
        <f t="array" aca="1" ref="K40" ca="1">IF(
   INDEX($H$2:$Z$14, COLUMN(E2), 2*ROW(E2)-1)&gt;0,
   INDEX($H$2:$Z$14, COLUMN(E2), 2*ROW(E2)-1),
   NA()
)</f>
        <v>0.13266761768901569</v>
      </c>
      <c r="L40" s="548" cm="1">
        <f t="array" aca="1" ref="L40" ca="1">IF(
   INDEX($H$2:$Z$14, COLUMN(F2), 2*ROW(F2)-1)&gt;0,
   INDEX($H$2:$Z$14, COLUMN(F2), 2*ROW(F2)-1),
   NA()
)</f>
        <v>0.12535211267605634</v>
      </c>
      <c r="M40" s="548" cm="1">
        <f t="array" aca="1" ref="M40" ca="1">IF(
   INDEX($H$2:$Z$14, COLUMN(G2), 2*ROW(G2)-1)&gt;0,
   INDEX($H$2:$Z$14, COLUMN(G2), 2*ROW(G2)-1),
   NA()
)</f>
        <v>0.10259917920656635</v>
      </c>
      <c r="N40" s="548" cm="1">
        <f t="array" aca="1" ref="N40" ca="1">IF(
   INDEX($H$2:$Z$14, COLUMN(H2), 2*ROW(H2)-1)&gt;0,
   INDEX($H$2:$Z$14, COLUMN(H2), 2*ROW(H2)-1),
   NA()
)</f>
        <v>0.11145510835913312</v>
      </c>
      <c r="O40" s="548" cm="1">
        <f t="array" aca="1" ref="O40" ca="1">IF(
   INDEX($H$2:$Z$14, COLUMN(I2), 2*ROW(I2)-1)&gt;0,
   INDEX($H$2:$Z$14, COLUMN(I2), 2*ROW(I2)-1),
   NA()
)</f>
        <v>8.3215796897038077E-2</v>
      </c>
      <c r="P40" s="548" cm="1">
        <f t="array" aca="1" ref="P40" ca="1">IF(
   INDEX($H$2:$Z$14, COLUMN(J2), 2*ROW(J2)-1)&gt;0,
   INDEX($H$2:$Z$14, COLUMN(J2), 2*ROW(J2)-1),
   NA()
)</f>
        <v>0.11494252873563218</v>
      </c>
      <c r="Q40" s="548" cm="1">
        <f t="array" aca="1" ref="Q40" ca="1">IF(
   INDEX($H$2:$Z$14, COLUMN(K2), 2*ROW(K2)-1)&gt;0,
   INDEX($H$2:$Z$14, COLUMN(K2), 2*ROW(K2)-1),
   NA()
)</f>
        <v>0.13892908827785819</v>
      </c>
      <c r="R40" s="548" cm="1">
        <f t="array" aca="1" ref="R40" ca="1">IF(
   INDEX($H$2:$Z$14, COLUMN(L2), 2*ROW(L2)-1)&gt;0,
   INDEX($H$2:$Z$14, COLUMN(L2), 2*ROW(L2)-1),
   NA()
)</f>
        <v>7.2058823529411759E-2</v>
      </c>
      <c r="S40" s="549" cm="1">
        <f t="array" aca="1" ref="S40" ca="1">IF(
   INDEX($H$2:$Z$14, COLUMN(M2), 2*ROW(M2)-1)&gt;0,
   INDEX($H$2:$Z$14, COLUMN(M2), 2*ROW(M2)-1),
   NA()
)</f>
        <v>0.11504533202646411</v>
      </c>
      <c r="T40" s="550" t="s">
        <v>34</v>
      </c>
      <c r="U40" s="551">
        <f>AG2</f>
        <v>0</v>
      </c>
      <c r="V40" s="548">
        <f>AG3</f>
        <v>0</v>
      </c>
      <c r="W40" s="548">
        <f>AG4</f>
        <v>0</v>
      </c>
      <c r="X40" s="548">
        <f>AG5</f>
        <v>0</v>
      </c>
      <c r="Y40" s="548">
        <f>AG6</f>
        <v>0</v>
      </c>
      <c r="Z40" s="548">
        <f>AG7</f>
        <v>0</v>
      </c>
      <c r="AA40" s="548">
        <f>AG8</f>
        <v>0</v>
      </c>
      <c r="AB40" s="548">
        <f>AG9</f>
        <v>0</v>
      </c>
      <c r="AC40" s="548">
        <f>AG10</f>
        <v>0</v>
      </c>
      <c r="AD40" s="548">
        <f>AG11</f>
        <v>0</v>
      </c>
      <c r="AE40" s="548">
        <f>AG12</f>
        <v>0</v>
      </c>
      <c r="AF40" s="548">
        <f>AG13</f>
        <v>0</v>
      </c>
      <c r="AG40" s="552">
        <f>AG14</f>
        <v>0</v>
      </c>
    </row>
    <row r="41" spans="6:33" ht="13" x14ac:dyDescent="0.3">
      <c r="F41" s="546" t="s">
        <v>35</v>
      </c>
      <c r="G41" s="547" cm="1">
        <f t="array" aca="1" ref="G41" ca="1">IF(
   INDEX($H$2:$Z$14, COLUMN(A3), 2*ROW(A3)-1)&gt;0,
   INDEX($H$2:$Z$14, COLUMN(A3), 2*ROW(A3)-1),
   NA()
)</f>
        <v>0.23508137432188064</v>
      </c>
      <c r="H41" s="548" cm="1">
        <f t="array" aca="1" ref="H41" ca="1">IF(
   INDEX($H$2:$Z$14, COLUMN(B3), 2*ROW(B3)-1)&gt;0,
   INDEX($H$2:$Z$14, COLUMN(B3), 2*ROW(B3)-1),
   NA()
)</f>
        <v>0.1891891891891892</v>
      </c>
      <c r="I41" s="548" cm="1">
        <f t="array" aca="1" ref="I41" ca="1">IF(
   INDEX($H$2:$Z$14, COLUMN(C3), 2*ROW(C3)-1)&gt;0,
   INDEX($H$2:$Z$14, COLUMN(C3), 2*ROW(C3)-1),
   NA()
)</f>
        <v>0.26647966339410939</v>
      </c>
      <c r="J41" s="548" cm="1">
        <f t="array" aca="1" ref="J41" ca="1">IF(
   INDEX($H$2:$Z$14, COLUMN(D3), 2*ROW(D3)-1)&gt;0,
   INDEX($H$2:$Z$14, COLUMN(D3), 2*ROW(D3)-1),
   NA()
)</f>
        <v>0.203240058910162</v>
      </c>
      <c r="K41" s="548" cm="1">
        <f t="array" aca="1" ref="K41" ca="1">IF(
   INDEX($H$2:$Z$14, COLUMN(E3), 2*ROW(E3)-1)&gt;0,
   INDEX($H$2:$Z$14, COLUMN(E3), 2*ROW(E3)-1),
   NA()
)</f>
        <v>0.22824536376604851</v>
      </c>
      <c r="L41" s="548" cm="1">
        <f t="array" aca="1" ref="L41" ca="1">IF(
   INDEX($H$2:$Z$14, COLUMN(F3), 2*ROW(F3)-1)&gt;0,
   INDEX($H$2:$Z$14, COLUMN(F3), 2*ROW(F3)-1),
   NA()
)</f>
        <v>0.19718309859154928</v>
      </c>
      <c r="M41" s="548" cm="1">
        <f t="array" aca="1" ref="M41" ca="1">IF(
   INDEX($H$2:$Z$14, COLUMN(G3), 2*ROW(G3)-1)&gt;0,
   INDEX($H$2:$Z$14, COLUMN(G3), 2*ROW(G3)-1),
   NA()
)</f>
        <v>0.20519835841313269</v>
      </c>
      <c r="N41" s="548" cm="1">
        <f t="array" aca="1" ref="N41" ca="1">IF(
   INDEX($H$2:$Z$14, COLUMN(H3), 2*ROW(H3)-1)&gt;0,
   INDEX($H$2:$Z$14, COLUMN(H3), 2*ROW(H3)-1),
   NA()
)</f>
        <v>0.23065015479876161</v>
      </c>
      <c r="O41" s="548" cm="1">
        <f t="array" aca="1" ref="O41" ca="1">IF(
   INDEX($H$2:$Z$14, COLUMN(I3), 2*ROW(I3)-1)&gt;0,
   INDEX($H$2:$Z$14, COLUMN(I3), 2*ROW(I3)-1),
   NA()
)</f>
        <v>0.14809590973201692</v>
      </c>
      <c r="P41" s="548" cm="1">
        <f t="array" aca="1" ref="P41" ca="1">IF(
   INDEX($H$2:$Z$14, COLUMN(J3), 2*ROW(J3)-1)&gt;0,
   INDEX($H$2:$Z$14, COLUMN(J3), 2*ROW(J3)-1),
   NA()
)</f>
        <v>0.22988505747126436</v>
      </c>
      <c r="Q41" s="548" cm="1">
        <f t="array" aca="1" ref="Q41" ca="1">IF(
   INDEX($H$2:$Z$14, COLUMN(K3), 2*ROW(K3)-1)&gt;0,
   INDEX($H$2:$Z$14, COLUMN(K3), 2*ROW(K3)-1),
   NA()
)</f>
        <v>0.22865412445730826</v>
      </c>
      <c r="R41" s="548" cm="1">
        <f t="array" aca="1" ref="R41" ca="1">IF(
   INDEX($H$2:$Z$14, COLUMN(L3), 2*ROW(L3)-1)&gt;0,
   INDEX($H$2:$Z$14, COLUMN(L3), 2*ROW(L3)-1),
   NA()
)</f>
        <v>0.14117647058823529</v>
      </c>
      <c r="S41" s="549" cm="1">
        <f t="array" aca="1" ref="S41" ca="1">IF(
   INDEX($H$2:$Z$14, COLUMN(M3), 2*ROW(M3)-1)&gt;0,
   INDEX($H$2:$Z$14, COLUMN(M3), 2*ROW(M3)-1),
   NA()
)</f>
        <v>0.20779220779220781</v>
      </c>
      <c r="T41" s="550" t="s">
        <v>35</v>
      </c>
      <c r="U41" s="551">
        <f>AH2</f>
        <v>0</v>
      </c>
      <c r="V41" s="548">
        <f>AH3</f>
        <v>0</v>
      </c>
      <c r="W41" s="548">
        <f>AH4</f>
        <v>0</v>
      </c>
      <c r="X41" s="548">
        <f>AH5</f>
        <v>0</v>
      </c>
      <c r="Y41" s="548">
        <f>AH6</f>
        <v>0</v>
      </c>
      <c r="Z41" s="548">
        <f>AH7</f>
        <v>0</v>
      </c>
      <c r="AA41" s="548">
        <f>AH8</f>
        <v>0</v>
      </c>
      <c r="AB41" s="548">
        <f>AH9</f>
        <v>0</v>
      </c>
      <c r="AC41" s="548">
        <f>AH10</f>
        <v>0</v>
      </c>
      <c r="AD41" s="548">
        <f>AH11</f>
        <v>0</v>
      </c>
      <c r="AE41" s="548">
        <f>AH12</f>
        <v>0</v>
      </c>
      <c r="AF41" s="548">
        <f>AH13</f>
        <v>0</v>
      </c>
      <c r="AG41" s="552">
        <f>AH14</f>
        <v>0</v>
      </c>
    </row>
    <row r="42" spans="6:33" ht="13" x14ac:dyDescent="0.3">
      <c r="F42" s="546" t="s">
        <v>36</v>
      </c>
      <c r="G42" s="547" cm="1">
        <f t="array" aca="1" ref="G42" ca="1">IF(
   INDEX($H$2:$Z$14, COLUMN(A4), 2*ROW(A4)-1)&gt;0,
   INDEX($H$2:$Z$14, COLUMN(A4), 2*ROW(A4)-1),
   NA()
)</f>
        <v>0.33634719710669075</v>
      </c>
      <c r="H42" s="548" cm="1">
        <f t="array" aca="1" ref="H42" ca="1">IF(
   INDEX($H$2:$Z$14, COLUMN(B4), 2*ROW(B4)-1)&gt;0,
   INDEX($H$2:$Z$14, COLUMN(B4), 2*ROW(B4)-1),
   NA()
)</f>
        <v>0.3108108108108108</v>
      </c>
      <c r="I42" s="548" cm="1">
        <f t="array" aca="1" ref="I42" ca="1">IF(
   INDEX($H$2:$Z$14, COLUMN(C4), 2*ROW(C4)-1)&gt;0,
   INDEX($H$2:$Z$14, COLUMN(C4), 2*ROW(C4)-1),
   NA()
)</f>
        <v>0.37868162692847124</v>
      </c>
      <c r="J42" s="548" cm="1">
        <f t="array" aca="1" ref="J42" ca="1">IF(
   INDEX($H$2:$Z$14, COLUMN(D4), 2*ROW(D4)-1)&gt;0,
   INDEX($H$2:$Z$14, COLUMN(D4), 2*ROW(D4)-1),
   NA()
)</f>
        <v>0.2768777614138439</v>
      </c>
      <c r="K42" s="548" cm="1">
        <f t="array" aca="1" ref="K42" ca="1">IF(
   INDEX($H$2:$Z$14, COLUMN(E4), 2*ROW(E4)-1)&gt;0,
   INDEX($H$2:$Z$14, COLUMN(E4), 2*ROW(E4)-1),
   NA()
)</f>
        <v>0.34236804564907275</v>
      </c>
      <c r="L42" s="548" cm="1">
        <f t="array" aca="1" ref="L42" ca="1">IF(
   INDEX($H$2:$Z$14, COLUMN(F4), 2*ROW(F4)-1)&gt;0,
   INDEX($H$2:$Z$14, COLUMN(F4), 2*ROW(F4)-1),
   NA()
)</f>
        <v>0.26760563380281688</v>
      </c>
      <c r="M42" s="548" cm="1">
        <f t="array" aca="1" ref="M42" ca="1">IF(
   INDEX($H$2:$Z$14, COLUMN(G4), 2*ROW(G4)-1)&gt;0,
   INDEX($H$2:$Z$14, COLUMN(G4), 2*ROW(G4)-1),
   NA()
)</f>
        <v>0.33105335157318744</v>
      </c>
      <c r="N42" s="548" cm="1">
        <f t="array" aca="1" ref="N42" ca="1">IF(
   INDEX($H$2:$Z$14, COLUMN(H4), 2*ROW(H4)-1)&gt;0,
   INDEX($H$2:$Z$14, COLUMN(H4), 2*ROW(H4)-1),
   NA()
)</f>
        <v>0.32972136222910214</v>
      </c>
      <c r="O42" s="548" cm="1">
        <f t="array" aca="1" ref="O42" ca="1">IF(
   INDEX($H$2:$Z$14, COLUMN(I4), 2*ROW(I4)-1)&gt;0,
   INDEX($H$2:$Z$14, COLUMN(I4), 2*ROW(I4)-1),
   NA()
)</f>
        <v>0.23272214386459802</v>
      </c>
      <c r="P42" s="548" cm="1">
        <f t="array" aca="1" ref="P42" ca="1">IF(
   INDEX($H$2:$Z$14, COLUMN(J4), 2*ROW(J4)-1)&gt;0,
   INDEX($H$2:$Z$14, COLUMN(J4), 2*ROW(J4)-1),
   NA()
)</f>
        <v>0.34482758620689657</v>
      </c>
      <c r="Q42" s="548" cm="1">
        <f t="array" aca="1" ref="Q42" ca="1">IF(
   INDEX($H$2:$Z$14, COLUMN(K4), 2*ROW(K4)-1)&gt;0,
   INDEX($H$2:$Z$14, COLUMN(K4), 2*ROW(K4)-1),
   NA()
)</f>
        <v>0.31114327062228653</v>
      </c>
      <c r="R42" s="548" cm="1">
        <f t="array" aca="1" ref="R42" ca="1">IF(
   INDEX($H$2:$Z$14, COLUMN(L4), 2*ROW(L4)-1)&gt;0,
   INDEX($H$2:$Z$14, COLUMN(L4), 2*ROW(L4)-1),
   NA()
)</f>
        <v>0.21029411764705883</v>
      </c>
      <c r="S42" s="549" cm="1">
        <f t="array" aca="1" ref="S42" ca="1">IF(
   INDEX($H$2:$Z$14, COLUMN(M4), 2*ROW(M4)-1)&gt;0,
   INDEX($H$2:$Z$14, COLUMN(M4), 2*ROW(M4)-1),
   NA()
)</f>
        <v>0.30531732418524871</v>
      </c>
      <c r="T42" s="550" t="s">
        <v>36</v>
      </c>
      <c r="U42" s="551">
        <f>AI2</f>
        <v>0</v>
      </c>
      <c r="V42" s="548">
        <f>AI3</f>
        <v>0</v>
      </c>
      <c r="W42" s="548">
        <f>AI4</f>
        <v>0</v>
      </c>
      <c r="X42" s="548">
        <f>AI5</f>
        <v>0</v>
      </c>
      <c r="Y42" s="548">
        <f>AI6</f>
        <v>0</v>
      </c>
      <c r="Z42" s="548">
        <f>AI7</f>
        <v>0</v>
      </c>
      <c r="AA42" s="548">
        <f>AI8</f>
        <v>0</v>
      </c>
      <c r="AB42" s="548">
        <f>AI9</f>
        <v>0</v>
      </c>
      <c r="AC42" s="548">
        <f>AI10</f>
        <v>0</v>
      </c>
      <c r="AD42" s="548">
        <f>AI11</f>
        <v>0</v>
      </c>
      <c r="AE42" s="548">
        <f>AI12</f>
        <v>0</v>
      </c>
      <c r="AF42" s="548">
        <f>AI13</f>
        <v>0</v>
      </c>
      <c r="AG42" s="552">
        <f>AI14</f>
        <v>0</v>
      </c>
    </row>
    <row r="43" spans="6:33" ht="13" x14ac:dyDescent="0.3">
      <c r="F43" s="546" t="s">
        <v>37</v>
      </c>
      <c r="G43" s="547" cm="1">
        <f t="array" aca="1" ref="G43" ca="1">IF(
   INDEX($H$2:$Z$14, COLUMN(A5), 2*ROW(A5)-1)&gt;0,
   INDEX($H$2:$Z$14, COLUMN(A5), 2*ROW(A5)-1),
   NA()
)</f>
        <v>0.37793851717902349</v>
      </c>
      <c r="H43" s="548" cm="1">
        <f t="array" aca="1" ref="H43" ca="1">IF(
   INDEX($H$2:$Z$14, COLUMN(B5), 2*ROW(B5)-1)&gt;0,
   INDEX($H$2:$Z$14, COLUMN(B5), 2*ROW(B5)-1),
   NA()
)</f>
        <v>0.36216216216216218</v>
      </c>
      <c r="I43" s="548" cm="1">
        <f t="array" aca="1" ref="I43" ca="1">IF(
   INDEX($H$2:$Z$14, COLUMN(C5), 2*ROW(C5)-1)&gt;0,
   INDEX($H$2:$Z$14, COLUMN(C5), 2*ROW(C5)-1),
   NA()
)</f>
        <v>0.43478260869565216</v>
      </c>
      <c r="J43" s="548" cm="1">
        <f t="array" aca="1" ref="J43" ca="1">IF(
   INDEX($H$2:$Z$14, COLUMN(D5), 2*ROW(D5)-1)&gt;0,
   INDEX($H$2:$Z$14, COLUMN(D5), 2*ROW(D5)-1),
   NA()
)</f>
        <v>0.3328424153166421</v>
      </c>
      <c r="K43" s="548" cm="1">
        <f t="array" aca="1" ref="K43" ca="1">IF(
   INDEX($H$2:$Z$14, COLUMN(E5), 2*ROW(E5)-1)&gt;0,
   INDEX($H$2:$Z$14, COLUMN(E5), 2*ROW(E5)-1),
   NA()
)</f>
        <v>0.4136947218259629</v>
      </c>
      <c r="L43" s="548" cm="1">
        <f t="array" aca="1" ref="L43" ca="1">IF(
   INDEX($H$2:$Z$14, COLUMN(F5), 2*ROW(F5)-1)&gt;0,
   INDEX($H$2:$Z$14, COLUMN(F5), 2*ROW(F5)-1),
   NA()
)</f>
        <v>0.33380281690140845</v>
      </c>
      <c r="M43" s="548" cm="1">
        <f t="array" aca="1" ref="M43" ca="1">IF(
   INDEX($H$2:$Z$14, COLUMN(G5), 2*ROW(G5)-1)&gt;0,
   INDEX($H$2:$Z$14, COLUMN(G5), 2*ROW(G5)-1),
   NA()
)</f>
        <v>0.38850889192886456</v>
      </c>
      <c r="N43" s="548" cm="1">
        <f t="array" aca="1" ref="N43" ca="1">IF(
   INDEX($H$2:$Z$14, COLUMN(H5), 2*ROW(H5)-1)&gt;0,
   INDEX($H$2:$Z$14, COLUMN(H5), 2*ROW(H5)-1),
   NA()
)</f>
        <v>0.4024767801857585</v>
      </c>
      <c r="O43" s="548" cm="1">
        <f t="array" aca="1" ref="O43" ca="1">IF(
   INDEX($H$2:$Z$14, COLUMN(I5), 2*ROW(I5)-1)&gt;0,
   INDEX($H$2:$Z$14, COLUMN(I5), 2*ROW(I5)-1),
   NA()
)</f>
        <v>0.27080394922425954</v>
      </c>
      <c r="P43" s="548" cm="1">
        <f t="array" aca="1" ref="P43" ca="1">IF(
   INDEX($H$2:$Z$14, COLUMN(J5), 2*ROW(J5)-1)&gt;0,
   INDEX($H$2:$Z$14, COLUMN(J5), 2*ROW(J5)-1),
   NA()
)</f>
        <v>0.39408866995073893</v>
      </c>
      <c r="Q43" s="548" cm="1">
        <f t="array" aca="1" ref="Q43" ca="1">IF(
   INDEX($H$2:$Z$14, COLUMN(K5), 2*ROW(K5)-1)&gt;0,
   INDEX($H$2:$Z$14, COLUMN(K5), 2*ROW(K5)-1),
   NA()
)</f>
        <v>0.38205499276410998</v>
      </c>
      <c r="R43" s="548" cm="1">
        <f t="array" aca="1" ref="R43" ca="1">IF(
   INDEX($H$2:$Z$14, COLUMN(L5), 2*ROW(L5)-1)&gt;0,
   INDEX($H$2:$Z$14, COLUMN(L5), 2*ROW(L5)-1),
   NA()
)</f>
        <v>0.2676470588235294</v>
      </c>
      <c r="S43" s="549" cm="1">
        <f t="array" aca="1" ref="S43" ca="1">IF(
   INDEX($H$2:$Z$14, COLUMN(M5), 2*ROW(M5)-1)&gt;0,
   INDEX($H$2:$Z$14, COLUMN(M5), 2*ROW(M5)-1),
   NA()
)</f>
        <v>0.36290124969370252</v>
      </c>
      <c r="T43" s="550" t="s">
        <v>37</v>
      </c>
      <c r="U43" s="551">
        <f>AJ2</f>
        <v>0</v>
      </c>
      <c r="V43" s="548">
        <f>AJ3</f>
        <v>0</v>
      </c>
      <c r="W43" s="548">
        <f>AJ4</f>
        <v>0</v>
      </c>
      <c r="X43" s="548">
        <f>AJ5</f>
        <v>0</v>
      </c>
      <c r="Y43" s="548">
        <f>AJ6</f>
        <v>0</v>
      </c>
      <c r="Z43" s="548">
        <f>AJ7</f>
        <v>0</v>
      </c>
      <c r="AA43" s="548">
        <f>AJ8</f>
        <v>0</v>
      </c>
      <c r="AB43" s="548">
        <f>AJ9</f>
        <v>0</v>
      </c>
      <c r="AC43" s="548">
        <f>AJ10</f>
        <v>0</v>
      </c>
      <c r="AD43" s="548">
        <f>AJ11</f>
        <v>0</v>
      </c>
      <c r="AE43" s="548">
        <f>AJ12</f>
        <v>0</v>
      </c>
      <c r="AF43" s="548">
        <f>AJ13</f>
        <v>0</v>
      </c>
      <c r="AG43" s="552">
        <f>AJ14</f>
        <v>0</v>
      </c>
    </row>
    <row r="44" spans="6:33" ht="13" x14ac:dyDescent="0.3">
      <c r="F44" s="546" t="s">
        <v>38</v>
      </c>
      <c r="G44" s="547" cm="1">
        <f t="array" aca="1" ref="G44" ca="1">IF(
   INDEX($H$2:$Z$14, COLUMN(A6), 2*ROW(A6)-1)&gt;0,
   INDEX($H$2:$Z$14, COLUMN(A6), 2*ROW(A6)-1),
   NA()
)</f>
        <v>0.42495479204339964</v>
      </c>
      <c r="H44" s="548" cm="1">
        <f t="array" aca="1" ref="H44" ca="1">IF(
   INDEX($H$2:$Z$14, COLUMN(B6), 2*ROW(B6)-1)&gt;0,
   INDEX($H$2:$Z$14, COLUMN(B6), 2*ROW(B6)-1),
   NA()
)</f>
        <v>0.41891891891891891</v>
      </c>
      <c r="I44" s="548" cm="1">
        <f t="array" aca="1" ref="I44" ca="1">IF(
   INDEX($H$2:$Z$14, COLUMN(C6), 2*ROW(C6)-1)&gt;0,
   INDEX($H$2:$Z$14, COLUMN(C6), 2*ROW(C6)-1),
   NA()
)</f>
        <v>0.50490883590462832</v>
      </c>
      <c r="J44" s="548" cm="1">
        <f t="array" aca="1" ref="J44" ca="1">IF(
   INDEX($H$2:$Z$14, COLUMN(D6), 2*ROW(D6)-1)&gt;0,
   INDEX($H$2:$Z$14, COLUMN(D6), 2*ROW(D6)-1),
   NA()
)</f>
        <v>0.39175257731958762</v>
      </c>
      <c r="K44" s="548" cm="1">
        <f t="array" aca="1" ref="K44" ca="1">IF(
   INDEX($H$2:$Z$14, COLUMN(E6), 2*ROW(E6)-1)&gt;0,
   INDEX($H$2:$Z$14, COLUMN(E6), 2*ROW(E6)-1),
   NA()
)</f>
        <v>0.46362339514978601</v>
      </c>
      <c r="L44" s="548" cm="1">
        <f t="array" aca="1" ref="L44" ca="1">IF(
   INDEX($H$2:$Z$14, COLUMN(F6), 2*ROW(F6)-1)&gt;0,
   INDEX($H$2:$Z$14, COLUMN(F6), 2*ROW(F6)-1),
   NA()
)</f>
        <v>0.38732394366197181</v>
      </c>
      <c r="M44" s="548" cm="1">
        <f t="array" aca="1" ref="M44" ca="1">IF(
   INDEX($H$2:$Z$14, COLUMN(G6), 2*ROW(G6)-1)&gt;0,
   INDEX($H$2:$Z$14, COLUMN(G6), 2*ROW(G6)-1),
   NA()
)</f>
        <v>0.42407660738714092</v>
      </c>
      <c r="N44" s="548" cm="1">
        <f t="array" aca="1" ref="N44" ca="1">IF(
   INDEX($H$2:$Z$14, COLUMN(H6), 2*ROW(H6)-1)&gt;0,
   INDEX($H$2:$Z$14, COLUMN(H6), 2*ROW(H6)-1),
   NA()
)</f>
        <v>0.46439628482972134</v>
      </c>
      <c r="O44" s="548" cm="1">
        <f t="array" aca="1" ref="O44" ca="1">IF(
   INDEX($H$2:$Z$14, COLUMN(I6), 2*ROW(I6)-1)&gt;0,
   INDEX($H$2:$Z$14, COLUMN(I6), 2*ROW(I6)-1),
   NA()
)</f>
        <v>0.32440056417489421</v>
      </c>
      <c r="P44" s="548" cm="1">
        <f t="array" aca="1" ref="P44" ca="1">IF(
   INDEX($H$2:$Z$14, COLUMN(J6), 2*ROW(J6)-1)&gt;0,
   INDEX($H$2:$Z$14, COLUMN(J6), 2*ROW(J6)-1),
   NA()
)</f>
        <v>0.44663382594417078</v>
      </c>
      <c r="Q44" s="548" cm="1">
        <f t="array" aca="1" ref="Q44" ca="1">IF(
   INDEX($H$2:$Z$14, COLUMN(K6), 2*ROW(K6)-1)&gt;0,
   INDEX($H$2:$Z$14, COLUMN(K6), 2*ROW(K6)-1),
   NA()
)</f>
        <v>0.43270622286541244</v>
      </c>
      <c r="R44" s="548" cm="1">
        <f t="array" aca="1" ref="R44" ca="1">IF(
   INDEX($H$2:$Z$14, COLUMN(L6), 2*ROW(L6)-1)&gt;0,
   INDEX($H$2:$Z$14, COLUMN(L6), 2*ROW(L6)-1),
   NA()
)</f>
        <v>0.31911764705882351</v>
      </c>
      <c r="S44" s="549" cm="1">
        <f t="array" aca="1" ref="S44" ca="1">IF(
   INDEX($H$2:$Z$14, COLUMN(M6), 2*ROW(M6)-1)&gt;0,
   INDEX($H$2:$Z$14, COLUMN(M6), 2*ROW(M6)-1),
   NA()
)</f>
        <v>0.4164420485175202</v>
      </c>
      <c r="T44" s="550" t="s">
        <v>38</v>
      </c>
      <c r="U44" s="551">
        <f>AK2</f>
        <v>0</v>
      </c>
      <c r="V44" s="548">
        <f>AK3</f>
        <v>0</v>
      </c>
      <c r="W44" s="548">
        <f>AK4</f>
        <v>0</v>
      </c>
      <c r="X44" s="548">
        <f>AK5</f>
        <v>0</v>
      </c>
      <c r="Y44" s="548">
        <f>AK6</f>
        <v>0</v>
      </c>
      <c r="Z44" s="548">
        <f>AK7</f>
        <v>0</v>
      </c>
      <c r="AA44" s="548">
        <f>AK8</f>
        <v>0</v>
      </c>
      <c r="AB44" s="548">
        <f>AK9</f>
        <v>0</v>
      </c>
      <c r="AC44" s="548">
        <f>AK10</f>
        <v>0</v>
      </c>
      <c r="AD44" s="548">
        <f>AK11</f>
        <v>0</v>
      </c>
      <c r="AE44" s="548">
        <f>AK12</f>
        <v>0</v>
      </c>
      <c r="AF44" s="548">
        <f>AK13</f>
        <v>0</v>
      </c>
      <c r="AG44" s="552">
        <f>AK14</f>
        <v>0</v>
      </c>
    </row>
    <row r="45" spans="6:33" ht="13" x14ac:dyDescent="0.3">
      <c r="F45" s="546" t="s">
        <v>39</v>
      </c>
      <c r="G45" s="547" cm="1">
        <f t="array" aca="1" ref="G45" ca="1">IF(
   INDEX($H$2:$Z$14, COLUMN(A7), 2*ROW(A7)-1)&gt;0,
   INDEX($H$2:$Z$14, COLUMN(A7), 2*ROW(A7)-1),
   NA()
)</f>
        <v>0.46292947558770342</v>
      </c>
      <c r="H45" s="548" cm="1">
        <f t="array" aca="1" ref="H45" ca="1">IF(
   INDEX($H$2:$Z$14, COLUMN(B7), 2*ROW(B7)-1)&gt;0,
   INDEX($H$2:$Z$14, COLUMN(B7), 2*ROW(B7)-1),
   NA()
)</f>
        <v>0.48648648648648651</v>
      </c>
      <c r="I45" s="548" cm="1">
        <f t="array" aca="1" ref="I45" ca="1">IF(
   INDEX($H$2:$Z$14, COLUMN(C7), 2*ROW(C7)-1)&gt;0,
   INDEX($H$2:$Z$14, COLUMN(C7), 2*ROW(C7)-1),
   NA()
)</f>
        <v>0.57503506311360453</v>
      </c>
      <c r="J45" s="548" cm="1">
        <f t="array" aca="1" ref="J45" ca="1">IF(
   INDEX($H$2:$Z$14, COLUMN(D7), 2*ROW(D7)-1)&gt;0,
   INDEX($H$2:$Z$14, COLUMN(D7), 2*ROW(D7)-1),
   NA()
)</f>
        <v>0.45066273932253315</v>
      </c>
      <c r="K45" s="548" cm="1">
        <f t="array" aca="1" ref="K45" ca="1">IF(
   INDEX($H$2:$Z$14, COLUMN(E7), 2*ROW(E7)-1)&gt;0,
   INDEX($H$2:$Z$14, COLUMN(E7), 2*ROW(E7)-1),
   NA()
)</f>
        <v>0.53495007132667616</v>
      </c>
      <c r="L45" s="548" cm="1">
        <f t="array" aca="1" ref="L45" ca="1">IF(
   INDEX($H$2:$Z$14, COLUMN(F7), 2*ROW(F7)-1)&gt;0,
   INDEX($H$2:$Z$14, COLUMN(F7), 2*ROW(F7)-1),
   NA()
)</f>
        <v>0.42957746478873238</v>
      </c>
      <c r="M45" s="548" cm="1">
        <f t="array" aca="1" ref="M45" ca="1">IF(
   INDEX($H$2:$Z$14, COLUMN(G7), 2*ROW(G7)-1)&gt;0,
   INDEX($H$2:$Z$14, COLUMN(G7), 2*ROW(G7)-1),
   NA()
)</f>
        <v>0.48426812585499318</v>
      </c>
      <c r="N45" s="548" cm="1">
        <f t="array" aca="1" ref="N45" ca="1">IF(
   INDEX($H$2:$Z$14, COLUMN(H7), 2*ROW(H7)-1)&gt;0,
   INDEX($H$2:$Z$14, COLUMN(H7), 2*ROW(H7)-1),
   NA()
)</f>
        <v>0.50309597523219818</v>
      </c>
      <c r="O45" s="548" cm="1">
        <f t="array" aca="1" ref="O45" ca="1">IF(
   INDEX($H$2:$Z$14, COLUMN(I7), 2*ROW(I7)-1)&gt;0,
   INDEX($H$2:$Z$14, COLUMN(I7), 2*ROW(I7)-1),
   NA()
)</f>
        <v>0.38081805359661497</v>
      </c>
      <c r="P45" s="548" cm="1">
        <f t="array" aca="1" ref="P45" ca="1">IF(
   INDEX($H$2:$Z$14, COLUMN(J7), 2*ROW(J7)-1)&gt;0,
   INDEX($H$2:$Z$14, COLUMN(J7), 2*ROW(J7)-1),
   NA()
)</f>
        <v>0.49261083743842365</v>
      </c>
      <c r="Q45" s="548" cm="1">
        <f t="array" aca="1" ref="Q45" ca="1">IF(
   INDEX($H$2:$Z$14, COLUMN(K7), 2*ROW(K7)-1)&gt;0,
   INDEX($H$2:$Z$14, COLUMN(K7), 2*ROW(K7)-1),
   NA()
)</f>
        <v>0.48046309696092621</v>
      </c>
      <c r="R45" s="548" cm="1">
        <f t="array" aca="1" ref="R45" ca="1">IF(
   INDEX($H$2:$Z$14, COLUMN(L7), 2*ROW(L7)-1)&gt;0,
   INDEX($H$2:$Z$14, COLUMN(L7), 2*ROW(L7)-1),
   NA()
)</f>
        <v>0.36911764705882355</v>
      </c>
      <c r="S45" s="549" cm="1">
        <f t="array" aca="1" ref="S45" ca="1">IF(
   INDEX($H$2:$Z$14, COLUMN(M7), 2*ROW(M7)-1)&gt;0,
   INDEX($H$2:$Z$14, COLUMN(M7), 2*ROW(M7)-1),
   NA()
)</f>
        <v>0.47096299926488605</v>
      </c>
      <c r="T45" s="550" t="s">
        <v>39</v>
      </c>
      <c r="U45" s="551">
        <f>AL2</f>
        <v>0</v>
      </c>
      <c r="V45" s="548">
        <f>AL3</f>
        <v>0</v>
      </c>
      <c r="W45" s="548">
        <f>AL4</f>
        <v>0</v>
      </c>
      <c r="X45" s="548">
        <f>AL5</f>
        <v>0</v>
      </c>
      <c r="Y45" s="548">
        <f>AL6</f>
        <v>0</v>
      </c>
      <c r="Z45" s="548">
        <f>AL7</f>
        <v>0</v>
      </c>
      <c r="AA45" s="548">
        <f>AL8</f>
        <v>0</v>
      </c>
      <c r="AB45" s="548">
        <f>AL9</f>
        <v>0</v>
      </c>
      <c r="AC45" s="548">
        <f>AL10</f>
        <v>0</v>
      </c>
      <c r="AD45" s="548">
        <f>AL11</f>
        <v>0</v>
      </c>
      <c r="AE45" s="548">
        <f>AL12</f>
        <v>0</v>
      </c>
      <c r="AF45" s="548">
        <f>AL13</f>
        <v>0</v>
      </c>
      <c r="AG45" s="552">
        <f>AL14</f>
        <v>0</v>
      </c>
    </row>
    <row r="46" spans="6:33" ht="13" x14ac:dyDescent="0.3">
      <c r="F46" s="546" t="s">
        <v>40</v>
      </c>
      <c r="G46" s="547" cm="1">
        <f t="array" aca="1" ref="G46" ca="1">IF(
   INDEX($H$2:$Z$14, COLUMN(A8), 2*ROW(A8)-1)&gt;0,
   INDEX($H$2:$Z$14, COLUMN(A8), 2*ROW(A8)-1),
   NA()
)</f>
        <v>0.50994575045207957</v>
      </c>
      <c r="H46" s="548" cm="1">
        <f t="array" aca="1" ref="H46" ca="1">IF(
   INDEX($H$2:$Z$14, COLUMN(B8), 2*ROW(B8)-1)&gt;0,
   INDEX($H$2:$Z$14, COLUMN(B8), 2*ROW(B8)-1),
   NA()
)</f>
        <v>0.52702702702702697</v>
      </c>
      <c r="I46" s="548" cm="1">
        <f t="array" aca="1" ref="I46" ca="1">IF(
   INDEX($H$2:$Z$14, COLUMN(C8), 2*ROW(C8)-1)&gt;0,
   INDEX($H$2:$Z$14, COLUMN(C8), 2*ROW(C8)-1),
   NA()
)</f>
        <v>0.61711079943899017</v>
      </c>
      <c r="J46" s="548" cm="1">
        <f t="array" aca="1" ref="J46" ca="1">IF(
   INDEX($H$2:$Z$14, COLUMN(D8), 2*ROW(D8)-1)&gt;0,
   INDEX($H$2:$Z$14, COLUMN(D8), 2*ROW(D8)-1),
   NA()
)</f>
        <v>0.49484536082474229</v>
      </c>
      <c r="K46" s="548" cm="1">
        <f t="array" aca="1" ref="K46" ca="1">IF(
   INDEX($H$2:$Z$14, COLUMN(E8), 2*ROW(E8)-1)&gt;0,
   INDEX($H$2:$Z$14, COLUMN(E8), 2*ROW(E8)-1),
   NA()
)</f>
        <v>0.59914407988587737</v>
      </c>
      <c r="L46" s="548" cm="1">
        <f t="array" aca="1" ref="L46" ca="1">IF(
   INDEX($H$2:$Z$14, COLUMN(F8), 2*ROW(F8)-1)&gt;0,
   INDEX($H$2:$Z$14, COLUMN(F8), 2*ROW(F8)-1),
   NA()
)</f>
        <v>0.47323943661971829</v>
      </c>
      <c r="M46" s="548" cm="1">
        <f t="array" aca="1" ref="M46" ca="1">IF(
   INDEX($H$2:$Z$14, COLUMN(G8), 2*ROW(G8)-1)&gt;0,
   INDEX($H$2:$Z$14, COLUMN(G8), 2*ROW(G8)-1),
   NA()
)</f>
        <v>0.54993160054719559</v>
      </c>
      <c r="N46" s="548" cm="1">
        <f t="array" aca="1" ref="N46" ca="1">IF(
   INDEX($H$2:$Z$14, COLUMN(H8), 2*ROW(H8)-1)&gt;0,
   INDEX($H$2:$Z$14, COLUMN(H8), 2*ROW(H8)-1),
   NA()
)</f>
        <v>0.54179566563467496</v>
      </c>
      <c r="O46" s="548" cm="1">
        <f t="array" aca="1" ref="O46" ca="1">IF(
   INDEX($H$2:$Z$14, COLUMN(I8), 2*ROW(I8)-1)&gt;0,
   INDEX($H$2:$Z$14, COLUMN(I8), 2*ROW(I8)-1),
   NA()
)</f>
        <v>0.4132581100141044</v>
      </c>
      <c r="P46" s="548" cm="1">
        <f t="array" aca="1" ref="P46" ca="1">IF(
   INDEX($H$2:$Z$14, COLUMN(J8), 2*ROW(J8)-1)&gt;0,
   INDEX($H$2:$Z$14, COLUMN(J8), 2*ROW(J8)-1),
   NA()
)</f>
        <v>0.54187192118226601</v>
      </c>
      <c r="Q46" s="548" cm="1">
        <f t="array" aca="1" ref="Q46" ca="1">IF(
   INDEX($H$2:$Z$14, COLUMN(K8), 2*ROW(K8)-1)&gt;0,
   INDEX($H$2:$Z$14, COLUMN(K8), 2*ROW(K8)-1),
   NA()
)</f>
        <v>0.55282199710564395</v>
      </c>
      <c r="R46" s="548" cm="1">
        <f t="array" aca="1" ref="R46" ca="1">IF(
   INDEX($H$2:$Z$14, COLUMN(L8), 2*ROW(L8)-1)&gt;0,
   INDEX($H$2:$Z$14, COLUMN(L8), 2*ROW(L8)-1),
   NA()
)</f>
        <v>0.42205882352941176</v>
      </c>
      <c r="S46" s="549" cm="1">
        <f t="array" aca="1" ref="S46" ca="1">IF(
   INDEX($H$2:$Z$14, COLUMN(M8), 2*ROW(M8)-1)&gt;0,
   INDEX($H$2:$Z$14, COLUMN(M8), 2*ROW(M8)-1),
   NA()
)</f>
        <v>0.5204606714040676</v>
      </c>
      <c r="T46" s="550" t="s">
        <v>40</v>
      </c>
      <c r="U46" s="551">
        <f>AM2</f>
        <v>0</v>
      </c>
      <c r="V46" s="548">
        <f>AM3</f>
        <v>0</v>
      </c>
      <c r="W46" s="548">
        <f>AM4</f>
        <v>0</v>
      </c>
      <c r="X46" s="548">
        <f>AM5</f>
        <v>0</v>
      </c>
      <c r="Y46" s="548">
        <f>AM6</f>
        <v>0</v>
      </c>
      <c r="Z46" s="548">
        <f>AM7</f>
        <v>0</v>
      </c>
      <c r="AA46" s="548">
        <f>AM8</f>
        <v>0</v>
      </c>
      <c r="AB46" s="548">
        <f>AM9</f>
        <v>0</v>
      </c>
      <c r="AC46" s="548">
        <f>AM10</f>
        <v>0</v>
      </c>
      <c r="AD46" s="548">
        <f>AM11</f>
        <v>0</v>
      </c>
      <c r="AE46" s="548">
        <f>AM12</f>
        <v>0</v>
      </c>
      <c r="AF46" s="548">
        <f>AM13</f>
        <v>0</v>
      </c>
      <c r="AG46" s="552">
        <f>AM14</f>
        <v>0</v>
      </c>
    </row>
    <row r="47" spans="6:33" ht="13" x14ac:dyDescent="0.3">
      <c r="F47" s="546" t="s">
        <v>41</v>
      </c>
      <c r="G47" s="547" cm="1">
        <f t="array" aca="1" ref="G47" ca="1">IF(
   INDEX($H$2:$Z$14, COLUMN(A9), 2*ROW(A9)-1)&gt;0,
   INDEX($H$2:$Z$14, COLUMN(A9), 2*ROW(A9)-1),
   NA()
)</f>
        <v>0.54792043399638335</v>
      </c>
      <c r="H47" s="548" cm="1">
        <f t="array" aca="1" ref="H47" ca="1">IF(
   INDEX($H$2:$Z$14, COLUMN(B9), 2*ROW(B9)-1)&gt;0,
   INDEX($H$2:$Z$14, COLUMN(B9), 2*ROW(B9)-1),
   NA()
)</f>
        <v>0.56081081081081086</v>
      </c>
      <c r="I47" s="548" cm="1">
        <f t="array" aca="1" ref="I47" ca="1">IF(
   INDEX($H$2:$Z$14, COLUMN(C9), 2*ROW(C9)-1)&gt;0,
   INDEX($H$2:$Z$14, COLUMN(C9), 2*ROW(C9)-1),
   NA()
)</f>
        <v>0.65918653576437591</v>
      </c>
      <c r="J47" s="548" cm="1">
        <f t="array" aca="1" ref="J47" ca="1">IF(
   INDEX($H$2:$Z$14, COLUMN(D9), 2*ROW(D9)-1)&gt;0,
   INDEX($H$2:$Z$14, COLUMN(D9), 2*ROW(D9)-1),
   NA()
)</f>
        <v>0.51693667157584688</v>
      </c>
      <c r="K47" s="548" cm="1">
        <f t="array" aca="1" ref="K47" ca="1">IF(
   INDEX($H$2:$Z$14, COLUMN(E9), 2*ROW(E9)-1)&gt;0,
   INDEX($H$2:$Z$14, COLUMN(E9), 2*ROW(E9)-1),
   NA()
)</f>
        <v>0.6205420827389444</v>
      </c>
      <c r="L47" s="548" cm="1">
        <f t="array" aca="1" ref="L47" ca="1">IF(
   INDEX($H$2:$Z$14, COLUMN(F9), 2*ROW(F9)-1)&gt;0,
   INDEX($H$2:$Z$14, COLUMN(F9), 2*ROW(F9)-1),
   NA()
)</f>
        <v>0.5</v>
      </c>
      <c r="M47" s="548" cm="1">
        <f t="array" aca="1" ref="M47" ca="1">IF(
   INDEX($H$2:$Z$14, COLUMN(G9), 2*ROW(G9)-1)&gt;0,
   INDEX($H$2:$Z$14, COLUMN(G9), 2*ROW(G9)-1),
   NA()
)</f>
        <v>0.57455540355677159</v>
      </c>
      <c r="N47" s="548" cm="1">
        <f t="array" aca="1" ref="N47" ca="1">IF(
   INDEX($H$2:$Z$14, COLUMN(H9), 2*ROW(H9)-1)&gt;0,
   INDEX($H$2:$Z$14, COLUMN(H9), 2*ROW(H9)-1),
   NA()
)</f>
        <v>0.55882352941176472</v>
      </c>
      <c r="O47" s="548" cm="1">
        <f t="array" aca="1" ref="O47" ca="1">IF(
   INDEX($H$2:$Z$14, COLUMN(I9), 2*ROW(I9)-1)&gt;0,
   INDEX($H$2:$Z$14, COLUMN(I9), 2*ROW(I9)-1),
   NA()
)</f>
        <v>0.4400564174894217</v>
      </c>
      <c r="P47" s="548" cm="1">
        <f t="array" aca="1" ref="P47" ca="1">IF(
   INDEX($H$2:$Z$14, COLUMN(J9), 2*ROW(J9)-1)&gt;0,
   INDEX($H$2:$Z$14, COLUMN(J9), 2*ROW(J9)-1),
   NA()
)</f>
        <v>0.56486042692939242</v>
      </c>
      <c r="Q47" s="548" cm="1">
        <f t="array" aca="1" ref="Q47" ca="1">IF(
   INDEX($H$2:$Z$14, COLUMN(K9), 2*ROW(K9)-1)&gt;0,
   INDEX($H$2:$Z$14, COLUMN(K9), 2*ROW(K9)-1),
   NA()
)</f>
        <v>0.57597684515195369</v>
      </c>
      <c r="R47" s="548" cm="1">
        <f t="array" aca="1" ref="R47" ca="1">IF(
   INDEX($H$2:$Z$14, COLUMN(L9), 2*ROW(L9)-1)&gt;0,
   INDEX($H$2:$Z$14, COLUMN(L9), 2*ROW(L9)-1),
   NA()
)</f>
        <v>0.47205882352941175</v>
      </c>
      <c r="S47" s="549" cm="1">
        <f t="array" aca="1" ref="S47" ca="1">IF(
   INDEX($H$2:$Z$14, COLUMN(M9), 2*ROW(M9)-1)&gt;0,
   INDEX($H$2:$Z$14, COLUMN(M9), 2*ROW(M9)-1),
   NA()
)</f>
        <v>0.54949767213918155</v>
      </c>
      <c r="T47" s="550" t="s">
        <v>41</v>
      </c>
      <c r="U47" s="551">
        <f>AN2</f>
        <v>0</v>
      </c>
      <c r="V47" s="548">
        <f>AN3</f>
        <v>0</v>
      </c>
      <c r="W47" s="548">
        <f>AN4</f>
        <v>0</v>
      </c>
      <c r="X47" s="548">
        <f>AN5</f>
        <v>0</v>
      </c>
      <c r="Y47" s="548">
        <f>AN6</f>
        <v>0</v>
      </c>
      <c r="Z47" s="548">
        <f>AN7</f>
        <v>0</v>
      </c>
      <c r="AA47" s="548">
        <f>AN8</f>
        <v>0</v>
      </c>
      <c r="AB47" s="548">
        <f>AN9</f>
        <v>0</v>
      </c>
      <c r="AC47" s="548">
        <f>AN10</f>
        <v>0</v>
      </c>
      <c r="AD47" s="548">
        <f>AN11</f>
        <v>0</v>
      </c>
      <c r="AE47" s="548">
        <f>AN12</f>
        <v>0</v>
      </c>
      <c r="AF47" s="548">
        <f>AN13</f>
        <v>0</v>
      </c>
      <c r="AG47" s="552">
        <f>AN14</f>
        <v>0</v>
      </c>
    </row>
    <row r="48" spans="6:33" ht="13" x14ac:dyDescent="0.3">
      <c r="F48" s="546" t="s">
        <v>42</v>
      </c>
      <c r="G48" s="547" cm="1">
        <f t="array" aca="1" ref="G48" ca="1">IF(
   INDEX($H$2:$Z$14, COLUMN(A10), 2*ROW(A10)-1)&gt;0,
   INDEX($H$2:$Z$14, COLUMN(A10), 2*ROW(A10)-1),
   NA()
)</f>
        <v>0.58408679927667273</v>
      </c>
      <c r="H48" s="548" cm="1">
        <f t="array" aca="1" ref="H48" ca="1">IF(
   INDEX($H$2:$Z$14, COLUMN(B10), 2*ROW(B10)-1)&gt;0,
   INDEX($H$2:$Z$14, COLUMN(B10), 2*ROW(B10)-1),
   NA()
)</f>
        <v>0.59864864864864864</v>
      </c>
      <c r="I48" s="548" cm="1">
        <f t="array" aca="1" ref="I48" ca="1">IF(
   INDEX($H$2:$Z$14, COLUMN(C10), 2*ROW(C10)-1)&gt;0,
   INDEX($H$2:$Z$14, COLUMN(C10), 2*ROW(C10)-1),
   NA()
)</f>
        <v>0.67882187938288918</v>
      </c>
      <c r="J48" s="548" cm="1">
        <f t="array" aca="1" ref="J48" ca="1">IF(
   INDEX($H$2:$Z$14, COLUMN(D10), 2*ROW(D10)-1)&gt;0,
   INDEX($H$2:$Z$14, COLUMN(D10), 2*ROW(D10)-1),
   NA()
)</f>
        <v>0.53460972017673047</v>
      </c>
      <c r="K48" s="548" cm="1">
        <f t="array" aca="1" ref="K48" ca="1">IF(
   INDEX($H$2:$Z$14, COLUMN(E10), 2*ROW(E10)-1)&gt;0,
   INDEX($H$2:$Z$14, COLUMN(E10), 2*ROW(E10)-1),
   NA()
)</f>
        <v>0.64479315263908699</v>
      </c>
      <c r="L48" s="548" cm="1">
        <f t="array" aca="1" ref="L48" ca="1">IF(
   INDEX($H$2:$Z$14, COLUMN(F10), 2*ROW(F10)-1)&gt;0,
   INDEX($H$2:$Z$14, COLUMN(F10), 2*ROW(F10)-1),
   NA()
)</f>
        <v>0.5169014084507042</v>
      </c>
      <c r="M48" s="548" cm="1">
        <f t="array" aca="1" ref="M48" ca="1">IF(
   INDEX($H$2:$Z$14, COLUMN(G10), 2*ROW(G10)-1)&gt;0,
   INDEX($H$2:$Z$14, COLUMN(G10), 2*ROW(G10)-1),
   NA()
)</f>
        <v>0.60054719562243497</v>
      </c>
      <c r="N48" s="548" cm="1">
        <f t="array" aca="1" ref="N48" ca="1">IF(
   INDEX($H$2:$Z$14, COLUMN(H10), 2*ROW(H10)-1)&gt;0,
   INDEX($H$2:$Z$14, COLUMN(H10), 2*ROW(H10)-1),
   NA()
)</f>
        <v>0.58668730650154799</v>
      </c>
      <c r="O48" s="548" cm="1">
        <f t="array" aca="1" ref="O48" ca="1">IF(
   INDEX($H$2:$Z$14, COLUMN(I10), 2*ROW(I10)-1)&gt;0,
   INDEX($H$2:$Z$14, COLUMN(I10), 2*ROW(I10)-1),
   NA()
)</f>
        <v>0.4696755994358251</v>
      </c>
      <c r="P48" s="548" cm="1">
        <f t="array" aca="1" ref="P48" ca="1">IF(
   INDEX($H$2:$Z$14, COLUMN(J10), 2*ROW(J10)-1)&gt;0,
   INDEX($H$2:$Z$14, COLUMN(J10), 2*ROW(J10)-1),
   NA()
)</f>
        <v>0.58620689655172409</v>
      </c>
      <c r="Q48" s="548" cm="1">
        <f t="array" aca="1" ref="Q48" ca="1">IF(
   INDEX($H$2:$Z$14, COLUMN(K10), 2*ROW(K10)-1)&gt;0,
   INDEX($H$2:$Z$14, COLUMN(K10), 2*ROW(K10)-1),
   NA()
)</f>
        <v>0.60202604920405212</v>
      </c>
      <c r="R48" s="548" cm="1">
        <f t="array" aca="1" ref="R48" ca="1">IF(
   INDEX($H$2:$Z$14, COLUMN(L10), 2*ROW(L10)-1)&gt;0,
   INDEX($H$2:$Z$14, COLUMN(L10), 2*ROW(L10)-1),
   NA()
)</f>
        <v>0.47941176470588237</v>
      </c>
      <c r="S48" s="549" cm="1">
        <f t="array" aca="1" ref="S48" ca="1">IF(
   INDEX($H$2:$Z$14, COLUMN(M10), 2*ROW(M10)-1)&gt;0,
   INDEX($H$2:$Z$14, COLUMN(M10), 2*ROW(M10)-1),
   NA()
)</f>
        <v>0.57363391325655477</v>
      </c>
      <c r="T48" s="550" t="s">
        <v>42</v>
      </c>
      <c r="U48" s="551">
        <f>AO2</f>
        <v>0</v>
      </c>
      <c r="V48" s="548">
        <f>AO3</f>
        <v>0</v>
      </c>
      <c r="W48" s="548">
        <f>AO4</f>
        <v>0</v>
      </c>
      <c r="X48" s="548">
        <f>AO5</f>
        <v>0</v>
      </c>
      <c r="Y48" s="548">
        <f>AO6</f>
        <v>0</v>
      </c>
      <c r="Z48" s="548">
        <f>AO7</f>
        <v>0</v>
      </c>
      <c r="AA48" s="548">
        <f>AO8</f>
        <v>0</v>
      </c>
      <c r="AB48" s="548">
        <f>AO9</f>
        <v>0</v>
      </c>
      <c r="AC48" s="548">
        <f>AO10</f>
        <v>0</v>
      </c>
      <c r="AD48" s="548">
        <f>AO11</f>
        <v>0</v>
      </c>
      <c r="AE48" s="548">
        <f>AO12</f>
        <v>0</v>
      </c>
      <c r="AF48" s="548">
        <f>AO13</f>
        <v>0</v>
      </c>
      <c r="AG48" s="552">
        <f>AO14</f>
        <v>0</v>
      </c>
    </row>
    <row r="49" spans="6:33" ht="13" x14ac:dyDescent="0.3">
      <c r="F49" s="553" t="s">
        <v>43</v>
      </c>
      <c r="G49" s="554" t="e" cm="1">
        <f t="array" ref="G49">IF(
   INDEX($H$2:$Z$14, COLUMN(A11), 2*ROW(A11)-1)&gt;0,
   INDEX($H$2:$Z$14, COLUMN(A11), 2*ROW(A11)-1),
   NA()
)</f>
        <v>#REF!</v>
      </c>
      <c r="H49" s="555" t="e" cm="1">
        <f t="array" ref="H49">IF(
   INDEX($H$2:$Z$14, COLUMN(B11), 2*ROW(B11)-1)&gt;0,
   INDEX($H$2:$Z$14, COLUMN(B11), 2*ROW(B11)-1),
   NA()
)</f>
        <v>#REF!</v>
      </c>
      <c r="I49" s="555" t="e" cm="1">
        <f t="array" ref="I49">IF(
   INDEX($H$2:$Z$14, COLUMN(C11), 2*ROW(C11)-1)&gt;0,
   INDEX($H$2:$Z$14, COLUMN(C11), 2*ROW(C11)-1),
   NA()
)</f>
        <v>#REF!</v>
      </c>
      <c r="J49" s="555" t="e" cm="1">
        <f t="array" ref="J49">IF(
   INDEX($H$2:$Z$14, COLUMN(D11), 2*ROW(D11)-1)&gt;0,
   INDEX($H$2:$Z$14, COLUMN(D11), 2*ROW(D11)-1),
   NA()
)</f>
        <v>#REF!</v>
      </c>
      <c r="K49" s="555" t="e" cm="1">
        <f t="array" ref="K49">IF(
   INDEX($H$2:$Z$14, COLUMN(E11), 2*ROW(E11)-1)&gt;0,
   INDEX($H$2:$Z$14, COLUMN(E11), 2*ROW(E11)-1),
   NA()
)</f>
        <v>#REF!</v>
      </c>
      <c r="L49" s="555" t="e" cm="1">
        <f t="array" ref="L49">IF(
   INDEX($H$2:$Z$14, COLUMN(F11), 2*ROW(F11)-1)&gt;0,
   INDEX($H$2:$Z$14, COLUMN(F11), 2*ROW(F11)-1),
   NA()
)</f>
        <v>#REF!</v>
      </c>
      <c r="M49" s="555" t="e" cm="1">
        <f t="array" ref="M49">IF(
   INDEX($H$2:$Z$14, COLUMN(G11), 2*ROW(G11)-1)&gt;0,
   INDEX($H$2:$Z$14, COLUMN(G11), 2*ROW(G11)-1),
   NA()
)</f>
        <v>#REF!</v>
      </c>
      <c r="N49" s="555" t="e" cm="1">
        <f t="array" ref="N49">IF(
   INDEX($H$2:$Z$14, COLUMN(H11), 2*ROW(H11)-1)&gt;0,
   INDEX($H$2:$Z$14, COLUMN(H11), 2*ROW(H11)-1),
   NA()
)</f>
        <v>#REF!</v>
      </c>
      <c r="O49" s="555" t="e" cm="1">
        <f t="array" ref="O49">IF(
   INDEX($H$2:$Z$14, COLUMN(I11), 2*ROW(I11)-1)&gt;0,
   INDEX($H$2:$Z$14, COLUMN(I11), 2*ROW(I11)-1),
   NA()
)</f>
        <v>#REF!</v>
      </c>
      <c r="P49" s="555" t="e" cm="1">
        <f t="array" ref="P49">IF(
   INDEX($H$2:$Z$14, COLUMN(J11), 2*ROW(J11)-1)&gt;0,
   INDEX($H$2:$Z$14, COLUMN(J11), 2*ROW(J11)-1),
   NA()
)</f>
        <v>#REF!</v>
      </c>
      <c r="Q49" s="555" t="e" cm="1">
        <f t="array" ref="Q49">IF(
   INDEX($H$2:$Z$14, COLUMN(K11), 2*ROW(K11)-1)&gt;0,
   INDEX($H$2:$Z$14, COLUMN(K11), 2*ROW(K11)-1),
   NA()
)</f>
        <v>#REF!</v>
      </c>
      <c r="R49" s="555" t="e" cm="1">
        <f t="array" ref="R49">IF(
   INDEX($H$2:$Z$14, COLUMN(L11), 2*ROW(L11)-1)&gt;0,
   INDEX($H$2:$Z$14, COLUMN(L11), 2*ROW(L11)-1),
   NA()
)</f>
        <v>#REF!</v>
      </c>
      <c r="S49" s="556" t="e" cm="1">
        <f t="array" ref="S49">IF(
   INDEX($H$2:$Z$14, COLUMN(M11), 2*ROW(M11)-1)&gt;0,
   INDEX($H$2:$Z$14, COLUMN(M11), 2*ROW(M11)-1),
   NA()
)</f>
        <v>#REF!</v>
      </c>
      <c r="T49" s="557" t="s">
        <v>43</v>
      </c>
      <c r="U49" s="558">
        <f>AP2</f>
        <v>0</v>
      </c>
      <c r="V49" s="555">
        <f>AP3</f>
        <v>0</v>
      </c>
      <c r="W49" s="555">
        <f>AP4</f>
        <v>0</v>
      </c>
      <c r="X49" s="555">
        <f>AP5</f>
        <v>0</v>
      </c>
      <c r="Y49" s="555">
        <f>AP6</f>
        <v>0</v>
      </c>
      <c r="Z49" s="555">
        <f>AP7</f>
        <v>0</v>
      </c>
      <c r="AA49" s="555">
        <f>AP8</f>
        <v>0</v>
      </c>
      <c r="AB49" s="555">
        <f>AP9</f>
        <v>0</v>
      </c>
      <c r="AC49" s="555">
        <f>AP10</f>
        <v>0</v>
      </c>
      <c r="AD49" s="555">
        <f>AP11</f>
        <v>0</v>
      </c>
      <c r="AE49" s="555">
        <f>AP12</f>
        <v>0</v>
      </c>
      <c r="AF49" s="555">
        <f>AP13</f>
        <v>0</v>
      </c>
      <c r="AG49" s="559">
        <f>AP14</f>
        <v>0</v>
      </c>
    </row>
    <row r="50" spans="6:33" ht="13.5" thickBot="1" x14ac:dyDescent="0.35">
      <c r="F50" s="560" t="s">
        <v>44</v>
      </c>
      <c r="G50" s="561" t="e" cm="1">
        <f t="array" ref="G50">IF(
   INDEX($H$2:$Z$14, COLUMN(A12), 2*ROW(A12)-1)&gt;0,
   INDEX($H$2:$Z$14, COLUMN(A12), 2*ROW(A12)-1),
   NA()
)</f>
        <v>#REF!</v>
      </c>
      <c r="H50" s="562" t="e" cm="1">
        <f t="array" ref="H50">IF(
   INDEX($H$2:$Z$14, COLUMN(B12), 2*ROW(B12)-1)&gt;0,
   INDEX($H$2:$Z$14, COLUMN(B12), 2*ROW(B12)-1),
   NA()
)</f>
        <v>#REF!</v>
      </c>
      <c r="I50" s="562" t="e" cm="1">
        <f t="array" ref="I50">IF(
   INDEX($H$2:$Z$14, COLUMN(C12), 2*ROW(C12)-1)&gt;0,
   INDEX($H$2:$Z$14, COLUMN(C12), 2*ROW(C12)-1),
   NA()
)</f>
        <v>#REF!</v>
      </c>
      <c r="J50" s="562" t="e" cm="1">
        <f t="array" ref="J50">IF(
   INDEX($H$2:$Z$14, COLUMN(D12), 2*ROW(D12)-1)&gt;0,
   INDEX($H$2:$Z$14, COLUMN(D12), 2*ROW(D12)-1),
   NA()
)</f>
        <v>#REF!</v>
      </c>
      <c r="K50" s="562" t="e" cm="1">
        <f t="array" ref="K50">IF(
   INDEX($H$2:$Z$14, COLUMN(E12), 2*ROW(E12)-1)&gt;0,
   INDEX($H$2:$Z$14, COLUMN(E12), 2*ROW(E12)-1),
   NA()
)</f>
        <v>#REF!</v>
      </c>
      <c r="L50" s="562" t="e" cm="1">
        <f t="array" ref="L50">IF(
   INDEX($H$2:$Z$14, COLUMN(F12), 2*ROW(F12)-1)&gt;0,
   INDEX($H$2:$Z$14, COLUMN(F12), 2*ROW(F12)-1),
   NA()
)</f>
        <v>#REF!</v>
      </c>
      <c r="M50" s="562" t="e" cm="1">
        <f t="array" ref="M50">IF(
   INDEX($H$2:$Z$14, COLUMN(G12), 2*ROW(G12)-1)&gt;0,
   INDEX($H$2:$Z$14, COLUMN(G12), 2*ROW(G12)-1),
   NA()
)</f>
        <v>#REF!</v>
      </c>
      <c r="N50" s="562" t="e" cm="1">
        <f t="array" ref="N50">IF(
   INDEX($H$2:$Z$14, COLUMN(H12), 2*ROW(H12)-1)&gt;0,
   INDEX($H$2:$Z$14, COLUMN(H12), 2*ROW(H12)-1),
   NA()
)</f>
        <v>#REF!</v>
      </c>
      <c r="O50" s="562" t="e" cm="1">
        <f t="array" ref="O50">IF(
   INDEX($H$2:$Z$14, COLUMN(I12), 2*ROW(I12)-1)&gt;0,
   INDEX($H$2:$Z$14, COLUMN(I12), 2*ROW(I12)-1),
   NA()
)</f>
        <v>#REF!</v>
      </c>
      <c r="P50" s="562" t="e" cm="1">
        <f t="array" ref="P50">IF(
   INDEX($H$2:$Z$14, COLUMN(J12), 2*ROW(J12)-1)&gt;0,
   INDEX($H$2:$Z$14, COLUMN(J12), 2*ROW(J12)-1),
   NA()
)</f>
        <v>#REF!</v>
      </c>
      <c r="Q50" s="562" t="e" cm="1">
        <f t="array" ref="Q50">IF(
   INDEX($H$2:$Z$14, COLUMN(K12), 2*ROW(K12)-1)&gt;0,
   INDEX($H$2:$Z$14, COLUMN(K12), 2*ROW(K12)-1),
   NA()
)</f>
        <v>#REF!</v>
      </c>
      <c r="R50" s="562" t="e" cm="1">
        <f t="array" ref="R50">IF(
   INDEX($H$2:$Z$14, COLUMN(L12), 2*ROW(L12)-1)&gt;0,
   INDEX($H$2:$Z$14, COLUMN(L12), 2*ROW(L12)-1),
   NA()
)</f>
        <v>#REF!</v>
      </c>
      <c r="S50" s="563" t="e" cm="1">
        <f t="array" ref="S50">IF(
   INDEX($H$2:$Z$14, COLUMN(M12), 2*ROW(M12)-1)&gt;0,
   INDEX($H$2:$Z$14, COLUMN(M12), 2*ROW(M12)-1),
   NA()
)</f>
        <v>#REF!</v>
      </c>
      <c r="T50" s="564" t="s">
        <v>44</v>
      </c>
      <c r="U50" s="561">
        <f>AQ2</f>
        <v>0</v>
      </c>
      <c r="V50" s="562">
        <f>AQ3</f>
        <v>0</v>
      </c>
      <c r="W50" s="562">
        <f>AQ4</f>
        <v>0</v>
      </c>
      <c r="X50" s="562">
        <f>AQ5</f>
        <v>0</v>
      </c>
      <c r="Y50" s="562">
        <f>AQ6</f>
        <v>0</v>
      </c>
      <c r="Z50" s="562">
        <f>AQ7</f>
        <v>0</v>
      </c>
      <c r="AA50" s="562">
        <f>AQ8</f>
        <v>0</v>
      </c>
      <c r="AB50" s="562">
        <f>AQ9</f>
        <v>0</v>
      </c>
      <c r="AC50" s="562">
        <f>AQ10</f>
        <v>0</v>
      </c>
      <c r="AD50" s="562">
        <f>AQ11</f>
        <v>0</v>
      </c>
      <c r="AE50" s="562">
        <f>AQ12</f>
        <v>0</v>
      </c>
      <c r="AF50" s="562">
        <f>AQ13</f>
        <v>0</v>
      </c>
      <c r="AG50" s="565">
        <f>AQ14</f>
        <v>0</v>
      </c>
    </row>
    <row r="51" spans="6:33" ht="15.75" customHeight="1" thickBot="1" x14ac:dyDescent="0.3"/>
    <row r="52" spans="6:33" ht="15.75" customHeight="1" thickBot="1" x14ac:dyDescent="0.35">
      <c r="F52" s="519"/>
      <c r="G52" s="606" t="s">
        <v>62</v>
      </c>
      <c r="H52" s="607"/>
      <c r="I52" s="607"/>
      <c r="J52" s="607"/>
      <c r="K52" s="607"/>
      <c r="L52" s="607"/>
      <c r="M52" s="607"/>
      <c r="N52" s="607"/>
      <c r="O52" s="607"/>
      <c r="P52" s="607"/>
      <c r="Q52" s="607"/>
      <c r="R52" s="607"/>
      <c r="S52" s="608"/>
    </row>
    <row r="53" spans="6:33" ht="15.75" customHeight="1" thickBot="1" x14ac:dyDescent="0.35">
      <c r="F53" s="566" t="s">
        <v>21</v>
      </c>
      <c r="G53" s="567" t="s">
        <v>73</v>
      </c>
      <c r="H53" s="568" t="s">
        <v>74</v>
      </c>
      <c r="I53" s="569" t="s">
        <v>75</v>
      </c>
      <c r="J53" s="570" t="s">
        <v>76</v>
      </c>
      <c r="K53" s="571" t="s">
        <v>77</v>
      </c>
      <c r="L53" s="572" t="s">
        <v>78</v>
      </c>
      <c r="M53" s="573" t="s">
        <v>79</v>
      </c>
      <c r="N53" s="568" t="s">
        <v>80</v>
      </c>
      <c r="O53" s="569" t="s">
        <v>81</v>
      </c>
      <c r="P53" s="570" t="s">
        <v>82</v>
      </c>
      <c r="Q53" s="571" t="s">
        <v>83</v>
      </c>
      <c r="R53" s="572" t="s">
        <v>84</v>
      </c>
      <c r="S53" s="574" t="s">
        <v>16</v>
      </c>
    </row>
    <row r="54" spans="6:33" ht="15.75" customHeight="1" x14ac:dyDescent="0.25">
      <c r="F54" s="575" t="s">
        <v>45</v>
      </c>
      <c r="G54" s="576">
        <f ca="1">INDIRECT("'Bureau 1'!" &amp; ADDRESS(ROW()-50,Synthèse!$G$40+14,4))</f>
        <v>33</v>
      </c>
      <c r="H54" s="577">
        <f ca="1">INDIRECT("'Bureau 2'!" &amp; ADDRESS(ROW()-50,Synthèse!$G$40+14,4))</f>
        <v>45</v>
      </c>
      <c r="I54" s="578">
        <f ca="1">INDIRECT("'Bureau 3'!" &amp; ADDRESS(ROW()-50,Synthèse!$G$40+14,4))</f>
        <v>40</v>
      </c>
      <c r="J54" s="578">
        <f ca="1">INDIRECT("'Bureau 4'!" &amp; ADDRESS(ROW()-50,Synthèse!$G$40+14,4))</f>
        <v>33</v>
      </c>
      <c r="K54" s="578">
        <f ca="1">INDIRECT("'Bureau 5'!" &amp; ADDRESS(ROW()-50,Synthèse!$G$40+14,4))</f>
        <v>37</v>
      </c>
      <c r="L54" s="578">
        <f ca="1">INDIRECT("'Bureau 6'!" &amp; ADDRESS(ROW()-50,Synthèse!$G$40+14,4))</f>
        <v>30</v>
      </c>
      <c r="M54" s="578">
        <f ca="1">INDIRECT("'Bureau 7'!" &amp; ADDRESS(ROW()-50,Synthèse!$G$40+14,4))</f>
        <v>20</v>
      </c>
      <c r="N54" s="578">
        <f ca="1">INDIRECT("'Bureau 8'!" &amp; ADDRESS(ROW()-50,Synthèse!$G$40+14,4))</f>
        <v>36</v>
      </c>
      <c r="O54" s="578">
        <f ca="1">INDIRECT("'Bureau 9'!" &amp; ADDRESS(ROW()-50,Synthèse!$G$40+14,4))</f>
        <v>22</v>
      </c>
      <c r="P54" s="578">
        <f ca="1">INDIRECT("'Bureau 10'!" &amp; ADDRESS(ROW()-50,Synthèse!$G$40+14,4))</f>
        <v>27</v>
      </c>
      <c r="Q54" s="578">
        <f ca="1">INDIRECT("'Bureau 11'!" &amp; ADDRESS(ROW()-50,Synthèse!$G$40+14,4))</f>
        <v>47</v>
      </c>
      <c r="R54" s="578">
        <f ca="1">INDIRECT("'Bureau 12'!" &amp; ADDRESS(ROW()-50,Synthèse!$G$40+14,4))</f>
        <v>24</v>
      </c>
      <c r="S54" s="579">
        <f t="shared" ref="S54:S65" ca="1" si="15">SUMIF(G54:R54, "&lt;&gt;#N/A")</f>
        <v>394</v>
      </c>
    </row>
    <row r="55" spans="6:33" ht="15.75" customHeight="1" x14ac:dyDescent="0.25">
      <c r="F55" s="580" t="s">
        <v>46</v>
      </c>
      <c r="G55" s="581">
        <f ca="1">INDIRECT("'Bureau 1'!" &amp; ADDRESS(ROW()-50,Synthèse!$G$40+14,4))</f>
        <v>45</v>
      </c>
      <c r="H55" s="582">
        <f ca="1">INDIRECT("'Bureau 2'!" &amp; ADDRESS(ROW()-50,Synthèse!$G$40+14,4))</f>
        <v>35</v>
      </c>
      <c r="I55" s="583">
        <f ca="1">INDIRECT("'Bureau 3'!" &amp; ADDRESS(ROW()-50,Synthèse!$G$40+14,4))</f>
        <v>70</v>
      </c>
      <c r="J55" s="583">
        <f ca="1">INDIRECT("'Bureau 4'!" &amp; ADDRESS(ROW()-50,Synthèse!$G$40+14,4))</f>
        <v>35</v>
      </c>
      <c r="K55" s="583">
        <f ca="1">INDIRECT("'Bureau 5'!" &amp; ADDRESS(ROW()-50,Synthèse!$G$40+14,4))</f>
        <v>56</v>
      </c>
      <c r="L55" s="583">
        <f ca="1">INDIRECT("'Bureau 6'!" &amp; ADDRESS(ROW()-50,Synthèse!$G$40+14,4))</f>
        <v>59</v>
      </c>
      <c r="M55" s="583">
        <f ca="1">INDIRECT("'Bureau 7'!" &amp; ADDRESS(ROW()-50,Synthèse!$G$40+14,4))</f>
        <v>55</v>
      </c>
      <c r="N55" s="583">
        <f ca="1">INDIRECT("'Bureau 8'!" &amp; ADDRESS(ROW()-50,Synthèse!$G$40+14,4))</f>
        <v>36</v>
      </c>
      <c r="O55" s="583">
        <f ca="1">INDIRECT("'Bureau 9'!" &amp; ADDRESS(ROW()-50,Synthèse!$G$40+14,4))</f>
        <v>37</v>
      </c>
      <c r="P55" s="583">
        <f ca="1">INDIRECT("'Bureau 10'!" &amp; ADDRESS(ROW()-50,Synthèse!$G$40+14,4))</f>
        <v>43</v>
      </c>
      <c r="Q55" s="583">
        <f ca="1">INDIRECT("'Bureau 11'!" &amp; ADDRESS(ROW()-50,Synthèse!$G$40+14,4))</f>
        <v>49</v>
      </c>
      <c r="R55" s="583">
        <f ca="1">INDIRECT("'Bureau 12'!" &amp; ADDRESS(ROW()-50,Synthèse!$G$40+14,4))</f>
        <v>25</v>
      </c>
      <c r="S55" s="584">
        <f t="shared" ca="1" si="15"/>
        <v>545</v>
      </c>
    </row>
    <row r="56" spans="6:33" ht="15.75" customHeight="1" x14ac:dyDescent="0.25">
      <c r="F56" s="580" t="s">
        <v>47</v>
      </c>
      <c r="G56" s="581">
        <f ca="1">INDIRECT("'Bureau 1'!" &amp; ADDRESS(ROW()-50,Synthèse!$G$40+14,4))</f>
        <v>52</v>
      </c>
      <c r="H56" s="582">
        <f ca="1">INDIRECT("'Bureau 2'!" &amp; ADDRESS(ROW()-50,Synthèse!$G$40+14,4))</f>
        <v>60</v>
      </c>
      <c r="I56" s="583">
        <f ca="1">INDIRECT("'Bureau 3'!" &amp; ADDRESS(ROW()-50,Synthèse!$G$40+14,4))</f>
        <v>80</v>
      </c>
      <c r="J56" s="583">
        <f ca="1">INDIRECT("'Bureau 4'!" &amp; ADDRESS(ROW()-50,Synthèse!$G$40+14,4))</f>
        <v>70</v>
      </c>
      <c r="K56" s="583">
        <f ca="1">INDIRECT("'Bureau 5'!" &amp; ADDRESS(ROW()-50,Synthèse!$G$40+14,4))</f>
        <v>67</v>
      </c>
      <c r="L56" s="583">
        <f ca="1">INDIRECT("'Bureau 6'!" &amp; ADDRESS(ROW()-50,Synthèse!$G$40+14,4))</f>
        <v>51</v>
      </c>
      <c r="M56" s="583">
        <f ca="1">INDIRECT("'Bureau 7'!" &amp; ADDRESS(ROW()-50,Synthèse!$G$40+14,4))</f>
        <v>75</v>
      </c>
      <c r="N56" s="583">
        <f ca="1">INDIRECT("'Bureau 8'!" &amp; ADDRESS(ROW()-50,Synthèse!$G$40+14,4))</f>
        <v>77</v>
      </c>
      <c r="O56" s="583">
        <f ca="1">INDIRECT("'Bureau 9'!" &amp; ADDRESS(ROW()-50,Synthèse!$G$40+14,4))</f>
        <v>46</v>
      </c>
      <c r="P56" s="583">
        <f ca="1">INDIRECT("'Bureau 10'!" &amp; ADDRESS(ROW()-50,Synthèse!$G$40+14,4))</f>
        <v>70</v>
      </c>
      <c r="Q56" s="583">
        <f ca="1">INDIRECT("'Bureau 11'!" &amp; ADDRESS(ROW()-50,Synthèse!$G$40+14,4))</f>
        <v>62</v>
      </c>
      <c r="R56" s="583">
        <f ca="1">INDIRECT("'Bureau 12'!" &amp; ADDRESS(ROW()-50,Synthèse!$G$40+14,4))</f>
        <v>47</v>
      </c>
      <c r="S56" s="584">
        <f t="shared" ca="1" si="15"/>
        <v>757</v>
      </c>
    </row>
    <row r="57" spans="6:33" ht="15.75" customHeight="1" x14ac:dyDescent="0.25">
      <c r="F57" s="580" t="s">
        <v>54</v>
      </c>
      <c r="G57" s="581">
        <f ca="1">INDIRECT("'Bureau 1'!" &amp; ADDRESS(ROW()-50,Synthèse!$G$40+14,4))</f>
        <v>56</v>
      </c>
      <c r="H57" s="582">
        <f ca="1">INDIRECT("'Bureau 2'!" &amp; ADDRESS(ROW()-50,Synthèse!$G$40+14,4))</f>
        <v>90</v>
      </c>
      <c r="I57" s="583">
        <f ca="1">INDIRECT("'Bureau 3'!" &amp; ADDRESS(ROW()-50,Synthèse!$G$40+14,4))</f>
        <v>80</v>
      </c>
      <c r="J57" s="583">
        <f ca="1">INDIRECT("'Bureau 4'!" &amp; ADDRESS(ROW()-50,Synthèse!$G$40+14,4))</f>
        <v>50</v>
      </c>
      <c r="K57" s="583">
        <f ca="1">INDIRECT("'Bureau 5'!" &amp; ADDRESS(ROW()-50,Synthèse!$G$40+14,4))</f>
        <v>80</v>
      </c>
      <c r="L57" s="583">
        <f ca="1">INDIRECT("'Bureau 6'!" &amp; ADDRESS(ROW()-50,Synthèse!$G$40+14,4))</f>
        <v>50</v>
      </c>
      <c r="M57" s="583">
        <f ca="1">INDIRECT("'Bureau 7'!" &amp; ADDRESS(ROW()-50,Synthèse!$G$40+14,4))</f>
        <v>92</v>
      </c>
      <c r="N57" s="583">
        <f ca="1">INDIRECT("'Bureau 8'!" &amp; ADDRESS(ROW()-50,Synthèse!$G$40+14,4))</f>
        <v>64</v>
      </c>
      <c r="O57" s="583">
        <f ca="1">INDIRECT("'Bureau 9'!" &amp; ADDRESS(ROW()-50,Synthèse!$G$40+14,4))</f>
        <v>60</v>
      </c>
      <c r="P57" s="583">
        <f ca="1">INDIRECT("'Bureau 10'!" &amp; ADDRESS(ROW()-50,Synthèse!$G$40+14,4))</f>
        <v>70</v>
      </c>
      <c r="Q57" s="583">
        <f ca="1">INDIRECT("'Bureau 11'!" &amp; ADDRESS(ROW()-50,Synthèse!$G$40+14,4))</f>
        <v>57</v>
      </c>
      <c r="R57" s="583">
        <f ca="1">INDIRECT("'Bureau 12'!" &amp; ADDRESS(ROW()-50,Synthèse!$G$40+14,4))</f>
        <v>47</v>
      </c>
      <c r="S57" s="584">
        <f t="shared" ca="1" si="15"/>
        <v>796</v>
      </c>
    </row>
    <row r="58" spans="6:33" ht="15.75" customHeight="1" x14ac:dyDescent="0.25">
      <c r="F58" s="580" t="s">
        <v>48</v>
      </c>
      <c r="G58" s="581">
        <f ca="1">INDIRECT("'Bureau 1'!" &amp; ADDRESS(ROW()-50,Synthèse!$G$40+14,4))</f>
        <v>23</v>
      </c>
      <c r="H58" s="582">
        <f ca="1">INDIRECT("'Bureau 2'!" &amp; ADDRESS(ROW()-50,Synthèse!$G$40+14,4))</f>
        <v>38</v>
      </c>
      <c r="I58" s="583">
        <f ca="1">INDIRECT("'Bureau 3'!" &amp; ADDRESS(ROW()-50,Synthèse!$G$40+14,4))</f>
        <v>40</v>
      </c>
      <c r="J58" s="583">
        <f ca="1">INDIRECT("'Bureau 4'!" &amp; ADDRESS(ROW()-50,Synthèse!$G$40+14,4))</f>
        <v>38</v>
      </c>
      <c r="K58" s="583">
        <f ca="1">INDIRECT("'Bureau 5'!" &amp; ADDRESS(ROW()-50,Synthèse!$G$40+14,4))</f>
        <v>50</v>
      </c>
      <c r="L58" s="583">
        <f ca="1">INDIRECT("'Bureau 6'!" &amp; ADDRESS(ROW()-50,Synthèse!$G$40+14,4))</f>
        <v>47</v>
      </c>
      <c r="M58" s="583">
        <f ca="1">INDIRECT("'Bureau 7'!" &amp; ADDRESS(ROW()-50,Synthèse!$G$40+14,4))</f>
        <v>42</v>
      </c>
      <c r="N58" s="583">
        <f ca="1">INDIRECT("'Bureau 8'!" &amp; ADDRESS(ROW()-50,Synthèse!$G$40+14,4))</f>
        <v>47</v>
      </c>
      <c r="O58" s="583">
        <f ca="1">INDIRECT("'Bureau 9'!" &amp; ADDRESS(ROW()-50,Synthèse!$G$40+14,4))</f>
        <v>27</v>
      </c>
      <c r="P58" s="583">
        <f ca="1">INDIRECT("'Bureau 10'!" &amp; ADDRESS(ROW()-50,Synthèse!$G$40+14,4))</f>
        <v>30</v>
      </c>
      <c r="Q58" s="583">
        <f ca="1">INDIRECT("'Bureau 11'!" &amp; ADDRESS(ROW()-50,Synthèse!$G$40+14,4))</f>
        <v>49</v>
      </c>
      <c r="R58" s="583">
        <f ca="1">INDIRECT("'Bureau 12'!" &amp; ADDRESS(ROW()-50,Synthèse!$G$40+14,4))</f>
        <v>39</v>
      </c>
      <c r="S58" s="584">
        <f t="shared" ca="1" si="15"/>
        <v>470</v>
      </c>
    </row>
    <row r="59" spans="6:33" ht="15.75" customHeight="1" x14ac:dyDescent="0.25">
      <c r="F59" s="580" t="s">
        <v>49</v>
      </c>
      <c r="G59" s="581">
        <f ca="1">INDIRECT("'Bureau 1'!" &amp; ADDRESS(ROW()-50,Synthèse!$G$40+14,4))</f>
        <v>26</v>
      </c>
      <c r="H59" s="582">
        <f ca="1">INDIRECT("'Bureau 2'!" &amp; ADDRESS(ROW()-50,Synthèse!$G$40+14,4))</f>
        <v>42</v>
      </c>
      <c r="I59" s="583">
        <f ca="1">INDIRECT("'Bureau 3'!" &amp; ADDRESS(ROW()-50,Synthèse!$G$40+14,4))</f>
        <v>50</v>
      </c>
      <c r="J59" s="583">
        <f ca="1">INDIRECT("'Bureau 4'!" &amp; ADDRESS(ROW()-50,Synthèse!$G$40+14,4))</f>
        <v>40</v>
      </c>
      <c r="K59" s="583">
        <f ca="1">INDIRECT("'Bureau 5'!" &amp; ADDRESS(ROW()-50,Synthèse!$G$40+14,4))</f>
        <v>35</v>
      </c>
      <c r="L59" s="583">
        <f ca="1">INDIRECT("'Bureau 6'!" &amp; ADDRESS(ROW()-50,Synthèse!$G$40+14,4))</f>
        <v>38</v>
      </c>
      <c r="M59" s="583">
        <f ca="1">INDIRECT("'Bureau 7'!" &amp; ADDRESS(ROW()-50,Synthèse!$G$40+14,4))</f>
        <v>26</v>
      </c>
      <c r="N59" s="583">
        <f ca="1">INDIRECT("'Bureau 8'!" &amp; ADDRESS(ROW()-50,Synthèse!$G$40+14,4))</f>
        <v>40</v>
      </c>
      <c r="O59" s="583">
        <f ca="1">INDIRECT("'Bureau 9'!" &amp; ADDRESS(ROW()-50,Synthèse!$G$40+14,4))</f>
        <v>38</v>
      </c>
      <c r="P59" s="583">
        <f ca="1">INDIRECT("'Bureau 10'!" &amp; ADDRESS(ROW()-50,Synthèse!$G$40+14,4))</f>
        <v>32</v>
      </c>
      <c r="Q59" s="583">
        <f ca="1">INDIRECT("'Bureau 11'!" &amp; ADDRESS(ROW()-50,Synthèse!$G$40+14,4))</f>
        <v>35</v>
      </c>
      <c r="R59" s="583">
        <f ca="1">INDIRECT("'Bureau 12'!" &amp; ADDRESS(ROW()-50,Synthèse!$G$40+14,4))</f>
        <v>35</v>
      </c>
      <c r="S59" s="584">
        <f t="shared" ca="1" si="15"/>
        <v>437</v>
      </c>
    </row>
    <row r="60" spans="6:33" ht="15.75" customHeight="1" x14ac:dyDescent="0.25">
      <c r="F60" s="580" t="s">
        <v>50</v>
      </c>
      <c r="G60" s="581">
        <f ca="1">INDIRECT("'Bureau 1'!" &amp; ADDRESS(ROW()-50,Synthèse!$G$40+14,4))</f>
        <v>21</v>
      </c>
      <c r="H60" s="582">
        <f ca="1">INDIRECT("'Bureau 2'!" &amp; ADDRESS(ROW()-50,Synthèse!$G$40+14,4))</f>
        <v>50</v>
      </c>
      <c r="I60" s="583">
        <f ca="1">INDIRECT("'Bureau 3'!" &amp; ADDRESS(ROW()-50,Synthèse!$G$40+14,4))</f>
        <v>50</v>
      </c>
      <c r="J60" s="583">
        <f ca="1">INDIRECT("'Bureau 4'!" &amp; ADDRESS(ROW()-50,Synthèse!$G$40+14,4))</f>
        <v>40</v>
      </c>
      <c r="K60" s="583">
        <f ca="1">INDIRECT("'Bureau 5'!" &amp; ADDRESS(ROW()-50,Synthèse!$G$40+14,4))</f>
        <v>50</v>
      </c>
      <c r="L60" s="583">
        <f ca="1">INDIRECT("'Bureau 6'!" &amp; ADDRESS(ROW()-50,Synthèse!$G$40+14,4))</f>
        <v>30</v>
      </c>
      <c r="M60" s="583">
        <f ca="1">INDIRECT("'Bureau 7'!" &amp; ADDRESS(ROW()-50,Synthèse!$G$40+14,4))</f>
        <v>44</v>
      </c>
      <c r="N60" s="583">
        <f ca="1">INDIRECT("'Bureau 8'!" &amp; ADDRESS(ROW()-50,Synthèse!$G$40+14,4))</f>
        <v>25</v>
      </c>
      <c r="O60" s="583">
        <f ca="1">INDIRECT("'Bureau 9'!" &amp; ADDRESS(ROW()-50,Synthèse!$G$40+14,4))</f>
        <v>40</v>
      </c>
      <c r="P60" s="583">
        <f ca="1">INDIRECT("'Bureau 10'!" &amp; ADDRESS(ROW()-50,Synthèse!$G$40+14,4))</f>
        <v>28</v>
      </c>
      <c r="Q60" s="583">
        <f ca="1">INDIRECT("'Bureau 11'!" &amp; ADDRESS(ROW()-50,Synthèse!$G$40+14,4))</f>
        <v>33</v>
      </c>
      <c r="R60" s="583">
        <f ca="1">INDIRECT("'Bureau 12'!" &amp; ADDRESS(ROW()-50,Synthèse!$G$40+14,4))</f>
        <v>34</v>
      </c>
      <c r="S60" s="584">
        <f t="shared" ca="1" si="15"/>
        <v>445</v>
      </c>
    </row>
    <row r="61" spans="6:33" ht="15.75" customHeight="1" x14ac:dyDescent="0.25">
      <c r="F61" s="580" t="s">
        <v>51</v>
      </c>
      <c r="G61" s="581">
        <f ca="1">INDIRECT("'Bureau 1'!" &amp; ADDRESS(ROW()-50,Synthèse!$G$40+14,4))</f>
        <v>26</v>
      </c>
      <c r="H61" s="582">
        <f ca="1">INDIRECT("'Bureau 2'!" &amp; ADDRESS(ROW()-50,Synthèse!$G$40+14,4))</f>
        <v>30</v>
      </c>
      <c r="I61" s="583">
        <f ca="1">INDIRECT("'Bureau 3'!" &amp; ADDRESS(ROW()-50,Synthèse!$G$40+14,4))</f>
        <v>30</v>
      </c>
      <c r="J61" s="583">
        <f ca="1">INDIRECT("'Bureau 4'!" &amp; ADDRESS(ROW()-50,Synthèse!$G$40+14,4))</f>
        <v>30</v>
      </c>
      <c r="K61" s="583">
        <f ca="1">INDIRECT("'Bureau 5'!" &amp; ADDRESS(ROW()-50,Synthèse!$G$40+14,4))</f>
        <v>45</v>
      </c>
      <c r="L61" s="583">
        <f ca="1">INDIRECT("'Bureau 6'!" &amp; ADDRESS(ROW()-50,Synthèse!$G$40+14,4))</f>
        <v>31</v>
      </c>
      <c r="M61" s="583">
        <f ca="1">INDIRECT("'Bureau 7'!" &amp; ADDRESS(ROW()-50,Synthèse!$G$40+14,4))</f>
        <v>48</v>
      </c>
      <c r="N61" s="583">
        <f ca="1">INDIRECT("'Bureau 8'!" &amp; ADDRESS(ROW()-50,Synthèse!$G$40+14,4))</f>
        <v>25</v>
      </c>
      <c r="O61" s="583">
        <f ca="1">INDIRECT("'Bureau 9'!" &amp; ADDRESS(ROW()-50,Synthèse!$G$40+14,4))</f>
        <v>23</v>
      </c>
      <c r="P61" s="583">
        <f ca="1">INDIRECT("'Bureau 10'!" &amp; ADDRESS(ROW()-50,Synthèse!$G$40+14,4))</f>
        <v>30</v>
      </c>
      <c r="Q61" s="583">
        <f ca="1">INDIRECT("'Bureau 11'!" &amp; ADDRESS(ROW()-50,Synthèse!$G$40+14,4))</f>
        <v>50</v>
      </c>
      <c r="R61" s="583">
        <f ca="1">INDIRECT("'Bureau 12'!" &amp; ADDRESS(ROW()-50,Synthèse!$G$40+14,4))</f>
        <v>36</v>
      </c>
      <c r="S61" s="584">
        <f t="shared" ca="1" si="15"/>
        <v>404</v>
      </c>
    </row>
    <row r="62" spans="6:33" ht="15.75" customHeight="1" x14ac:dyDescent="0.25">
      <c r="F62" s="580" t="s">
        <v>52</v>
      </c>
      <c r="G62" s="581">
        <f ca="1">INDIRECT("'Bureau 1'!" &amp; ADDRESS(ROW()-50,Synthèse!$G$40+14,4))</f>
        <v>21</v>
      </c>
      <c r="H62" s="582">
        <f ca="1">INDIRECT("'Bureau 2'!" &amp; ADDRESS(ROW()-50,Synthèse!$G$40+14,4))</f>
        <v>25</v>
      </c>
      <c r="I62" s="583">
        <f ca="1">INDIRECT("'Bureau 3'!" &amp; ADDRESS(ROW()-50,Synthèse!$G$40+14,4))</f>
        <v>30</v>
      </c>
      <c r="J62" s="583">
        <f ca="1">INDIRECT("'Bureau 4'!" &amp; ADDRESS(ROW()-50,Synthèse!$G$40+14,4))</f>
        <v>15</v>
      </c>
      <c r="K62" s="583">
        <f ca="1">INDIRECT("'Bureau 5'!" &amp; ADDRESS(ROW()-50,Synthèse!$G$40+14,4))</f>
        <v>15</v>
      </c>
      <c r="L62" s="583">
        <f ca="1">INDIRECT("'Bureau 6'!" &amp; ADDRESS(ROW()-50,Synthèse!$G$40+14,4))</f>
        <v>19</v>
      </c>
      <c r="M62" s="583">
        <f ca="1">INDIRECT("'Bureau 7'!" &amp; ADDRESS(ROW()-50,Synthèse!$G$40+14,4))</f>
        <v>18</v>
      </c>
      <c r="N62" s="583">
        <f ca="1">INDIRECT("'Bureau 8'!" &amp; ADDRESS(ROW()-50,Synthèse!$G$40+14,4))</f>
        <v>11</v>
      </c>
      <c r="O62" s="583">
        <f ca="1">INDIRECT("'Bureau 9'!" &amp; ADDRESS(ROW()-50,Synthèse!$G$40+14,4))</f>
        <v>19</v>
      </c>
      <c r="P62" s="583">
        <f ca="1">INDIRECT("'Bureau 10'!" &amp; ADDRESS(ROW()-50,Synthèse!$G$40+14,4))</f>
        <v>14</v>
      </c>
      <c r="Q62" s="583">
        <f ca="1">INDIRECT("'Bureau 11'!" &amp; ADDRESS(ROW()-50,Synthèse!$G$40+14,4))</f>
        <v>16</v>
      </c>
      <c r="R62" s="583">
        <f ca="1">INDIRECT("'Bureau 12'!" &amp; ADDRESS(ROW()-50,Synthèse!$G$40+14,4))</f>
        <v>34</v>
      </c>
      <c r="S62" s="584">
        <f t="shared" ca="1" si="15"/>
        <v>237</v>
      </c>
    </row>
    <row r="63" spans="6:33" ht="15.75" customHeight="1" thickBot="1" x14ac:dyDescent="0.3">
      <c r="F63" s="585" t="s">
        <v>53</v>
      </c>
      <c r="G63" s="586">
        <f ca="1">INDIRECT("'Bureau 1'!" &amp; ADDRESS(ROW()-50,Synthèse!$G$40+14,4))</f>
        <v>20</v>
      </c>
      <c r="H63" s="587">
        <f ca="1">INDIRECT("'Bureau 2'!" &amp; ADDRESS(ROW()-50,Synthèse!$G$40+14,4))</f>
        <v>28</v>
      </c>
      <c r="I63" s="588">
        <f ca="1">INDIRECT("'Bureau 3'!" &amp; ADDRESS(ROW()-50,Synthèse!$G$40+14,4))</f>
        <v>14</v>
      </c>
      <c r="J63" s="588">
        <f ca="1">INDIRECT("'Bureau 4'!" &amp; ADDRESS(ROW()-50,Synthèse!$G$40+14,4))</f>
        <v>12</v>
      </c>
      <c r="K63" s="588">
        <f ca="1">INDIRECT("'Bureau 5'!" &amp; ADDRESS(ROW()-50,Synthèse!$G$40+14,4))</f>
        <v>17</v>
      </c>
      <c r="L63" s="588">
        <f ca="1">INDIRECT("'Bureau 6'!" &amp; ADDRESS(ROW()-50,Synthèse!$G$40+14,4))</f>
        <v>12</v>
      </c>
      <c r="M63" s="588">
        <f ca="1">INDIRECT("'Bureau 7'!" &amp; ADDRESS(ROW()-50,Synthèse!$G$40+14,4))</f>
        <v>19</v>
      </c>
      <c r="N63" s="588">
        <f ca="1">INDIRECT("'Bureau 8'!" &amp; ADDRESS(ROW()-50,Synthèse!$G$40+14,4))</f>
        <v>18</v>
      </c>
      <c r="O63" s="588">
        <f ca="1">INDIRECT("'Bureau 9'!" &amp; ADDRESS(ROW()-50,Synthèse!$G$40+14,4))</f>
        <v>21</v>
      </c>
      <c r="P63" s="588">
        <f ca="1">INDIRECT("'Bureau 10'!" &amp; ADDRESS(ROW()-50,Synthèse!$G$40+14,4))</f>
        <v>13</v>
      </c>
      <c r="Q63" s="588">
        <f ca="1">INDIRECT("'Bureau 11'!" &amp; ADDRESS(ROW()-50,Synthèse!$G$40+14,4))</f>
        <v>18</v>
      </c>
      <c r="R63" s="588">
        <f ca="1">INDIRECT("'Bureau 12'!" &amp; ADDRESS(ROW()-50,Synthèse!$G$40+14,4))</f>
        <v>5</v>
      </c>
      <c r="S63" s="589">
        <f t="shared" ca="1" si="15"/>
        <v>197</v>
      </c>
    </row>
    <row r="64" spans="6:33" ht="15.75" customHeight="1" x14ac:dyDescent="0.25">
      <c r="F64" s="590" t="s">
        <v>55</v>
      </c>
      <c r="G64" s="591" t="e">
        <f ca="1">INDIRECT("'Bureau 1'!" &amp; ADDRESS(ROW()-50,Synthèse!$G$40+14,4))</f>
        <v>#N/A</v>
      </c>
      <c r="H64" s="592" t="e">
        <f ca="1">INDIRECT("'Bureau 2'!" &amp; ADDRESS(ROW()-50,Synthèse!$G$40+14,4))</f>
        <v>#N/A</v>
      </c>
      <c r="I64" s="592" t="e">
        <f ca="1">INDIRECT("'Bureau 3'!" &amp; ADDRESS(ROW()-50,Synthèse!$G$40+14,4))</f>
        <v>#N/A</v>
      </c>
      <c r="J64" s="592" t="e">
        <f ca="1">INDIRECT("'Bureau 4'!" &amp; ADDRESS(ROW()-50,Synthèse!$G$40+14,4))</f>
        <v>#N/A</v>
      </c>
      <c r="K64" s="592" t="e">
        <f ca="1">INDIRECT("'Bureau 5'!" &amp; ADDRESS(ROW()-50,Synthèse!$G$40+14,4))</f>
        <v>#N/A</v>
      </c>
      <c r="L64" s="592" t="e">
        <f ca="1">INDIRECT("'Bureau 6'!" &amp; ADDRESS(ROW()-50,Synthèse!$G$40+14,4))</f>
        <v>#N/A</v>
      </c>
      <c r="M64" s="592" t="e">
        <f ca="1">INDIRECT("'Bureau 7'!" &amp; ADDRESS(ROW()-50,Synthèse!$G$40+14,4))</f>
        <v>#N/A</v>
      </c>
      <c r="N64" s="592" t="e">
        <f ca="1">INDIRECT("'Bureau 8'!" &amp; ADDRESS(ROW()-50,Synthèse!$G$40+14,4))</f>
        <v>#N/A</v>
      </c>
      <c r="O64" s="592" t="e">
        <f ca="1">INDIRECT("'Bureau 9'!" &amp; ADDRESS(ROW()-50,Synthèse!$G$40+14,4))</f>
        <v>#N/A</v>
      </c>
      <c r="P64" s="592" t="e">
        <f ca="1">INDIRECT("'Bureau 10'!" &amp; ADDRESS(ROW()-50,Synthèse!$G$40+14,4))</f>
        <v>#N/A</v>
      </c>
      <c r="Q64" s="592" t="e">
        <f ca="1">INDIRECT("'Bureau 11'!" &amp; ADDRESS(ROW()-50,Synthèse!$G$40+14,4))</f>
        <v>#N/A</v>
      </c>
      <c r="R64" s="592" t="e">
        <f ca="1">INDIRECT("'Bureau 12'!" &amp; ADDRESS(ROW()-50,Synthèse!$G$40+14,4))</f>
        <v>#N/A</v>
      </c>
      <c r="S64" s="593">
        <f t="shared" ca="1" si="15"/>
        <v>0</v>
      </c>
    </row>
    <row r="65" spans="6:19" ht="15.75" customHeight="1" thickBot="1" x14ac:dyDescent="0.3">
      <c r="F65" s="594" t="s">
        <v>56</v>
      </c>
      <c r="G65" s="595" t="e">
        <f ca="1">INDIRECT("'Bureau 1'!" &amp; ADDRESS(ROW()-50,Synthèse!$G$40+14,4))</f>
        <v>#N/A</v>
      </c>
      <c r="H65" s="596" t="e">
        <f ca="1">INDIRECT("'Bureau 2'!" &amp; ADDRESS(ROW()-50,Synthèse!$G$40+14,4))</f>
        <v>#N/A</v>
      </c>
      <c r="I65" s="596" t="e">
        <f ca="1">INDIRECT("'Bureau 3'!" &amp; ADDRESS(ROW()-50,Synthèse!$G$40+14,4))</f>
        <v>#N/A</v>
      </c>
      <c r="J65" s="596" t="e">
        <f ca="1">INDIRECT("'Bureau 4'!" &amp; ADDRESS(ROW()-50,Synthèse!$G$40+14,4))</f>
        <v>#N/A</v>
      </c>
      <c r="K65" s="596" t="e">
        <f ca="1">INDIRECT("'Bureau 5'!" &amp; ADDRESS(ROW()-50,Synthèse!$G$40+14,4))</f>
        <v>#N/A</v>
      </c>
      <c r="L65" s="596" t="e">
        <f ca="1">INDIRECT("'Bureau 6'!" &amp; ADDRESS(ROW()-50,Synthèse!$G$40+14,4))</f>
        <v>#N/A</v>
      </c>
      <c r="M65" s="596" t="e">
        <f ca="1">INDIRECT("'Bureau 7'!" &amp; ADDRESS(ROW()-50,Synthèse!$G$40+14,4))</f>
        <v>#N/A</v>
      </c>
      <c r="N65" s="596" t="e">
        <f ca="1">INDIRECT("'Bureau 8'!" &amp; ADDRESS(ROW()-50,Synthèse!$G$40+14,4))</f>
        <v>#N/A</v>
      </c>
      <c r="O65" s="596" t="e">
        <f ca="1">INDIRECT("'Bureau 9'!" &amp; ADDRESS(ROW()-50,Synthèse!$G$40+14,4))</f>
        <v>#N/A</v>
      </c>
      <c r="P65" s="596" t="e">
        <f ca="1">INDIRECT("'Bureau 10'!" &amp; ADDRESS(ROW()-50,Synthèse!$G$40+14,4))</f>
        <v>#N/A</v>
      </c>
      <c r="Q65" s="596" t="e">
        <f ca="1">INDIRECT("'Bureau 11'!" &amp; ADDRESS(ROW()-50,Synthèse!$G$40+14,4))</f>
        <v>#N/A</v>
      </c>
      <c r="R65" s="596" t="e">
        <f ca="1">INDIRECT("'Bureau 12'!" &amp; ADDRESS(ROW()-50,Synthèse!$G$40+14,4))</f>
        <v>#N/A</v>
      </c>
      <c r="S65" s="597">
        <f t="shared" ca="1" si="15"/>
        <v>0</v>
      </c>
    </row>
  </sheetData>
  <mergeCells count="21">
    <mergeCell ref="A14:B14"/>
    <mergeCell ref="AE15:AQ15"/>
    <mergeCell ref="AH21:AI21"/>
    <mergeCell ref="AJ21:AK21"/>
    <mergeCell ref="O1:P1"/>
    <mergeCell ref="Q1:R1"/>
    <mergeCell ref="S1:T1"/>
    <mergeCell ref="U1:V1"/>
    <mergeCell ref="W1:X1"/>
    <mergeCell ref="Y1:Z1"/>
    <mergeCell ref="A1:B1"/>
    <mergeCell ref="C1:E1"/>
    <mergeCell ref="G1:H1"/>
    <mergeCell ref="I1:J1"/>
    <mergeCell ref="K1:L1"/>
    <mergeCell ref="M1:N1"/>
    <mergeCell ref="G36:S36"/>
    <mergeCell ref="U36:AG36"/>
    <mergeCell ref="G52:S52"/>
    <mergeCell ref="AA1:AB1"/>
    <mergeCell ref="AC1:AD1"/>
  </mergeCells>
  <conditionalFormatting sqref="D2:D14 H2:H14 J2:J14 L2:L14 N2:N14 P2:P14 R2:R14 T2:T14 V2:V14 X2:X14 Z2:Z14 AB2:AB14 AD2:AD14">
    <cfRule type="cellIs" dxfId="362" priority="1" operator="greaterThan">
      <formula>1</formula>
    </cfRule>
  </conditionalFormatting>
  <conditionalFormatting sqref="E2:E13">
    <cfRule type="dataBar" priority="2">
      <dataBar showValue="0"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{E9652AE3-1034-4DA5-9EC6-5FC91D83FB53}</x14:id>
        </ext>
      </extLst>
    </cfRule>
  </conditionalFormatting>
  <conditionalFormatting sqref="E14">
    <cfRule type="dataBar" priority="3">
      <dataBar showValue="0">
        <cfvo type="num" val="0"/>
        <cfvo type="num" val="1"/>
        <color theme="4" tint="-0.499984740745262"/>
      </dataBar>
      <extLst>
        <ext xmlns:x14="http://schemas.microsoft.com/office/spreadsheetml/2009/9/main" uri="{B025F937-C7B1-47D3-B67F-A62EFF666E3E}">
          <x14:id>{37BEF290-F81F-4E37-82D4-66E122DB2AC3}</x14:id>
        </ext>
      </extLst>
    </cfRule>
  </conditionalFormatting>
  <conditionalFormatting sqref="I2:AD14">
    <cfRule type="expression" dxfId="361" priority="4">
      <formula>AND(MOD(COLUMN(), 2)=1, I2&lt;G2, NOT(ISBLANK(I2)), NOT(I2=0))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Button 1">
              <controlPr locked="0" defaultSize="0" print="0" autoFill="0" autoPict="0" macro="[0]!ImporterParticipationHorairePremierTour">
                <anchor moveWithCells="1">
                  <from>
                    <xdr:col>34</xdr:col>
                    <xdr:colOff>476250</xdr:colOff>
                    <xdr:row>4</xdr:row>
                    <xdr:rowOff>133350</xdr:rowOff>
                  </from>
                  <to>
                    <xdr:col>38</xdr:col>
                    <xdr:colOff>82550</xdr:colOff>
                    <xdr:row>8</xdr:row>
                    <xdr:rowOff>69850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652AE3-1034-4DA5-9EC6-5FC91D83FB5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E2:E13</xm:sqref>
        </x14:conditionalFormatting>
        <x14:conditionalFormatting xmlns:xm="http://schemas.microsoft.com/office/excel/2006/main">
          <x14:cfRule type="dataBar" id="{37BEF290-F81F-4E37-82D4-66E122DB2AC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F87B-92E3-4351-B77E-891CFFB443E4}">
  <sheetPr codeName="Feuil2">
    <tabColor theme="6" tint="0.79998168889431442"/>
  </sheetPr>
  <dimension ref="B1:AI61"/>
  <sheetViews>
    <sheetView showGridLines="0" showRowColHeaders="0" topLeftCell="R1" zoomScale="70" zoomScaleNormal="70" workbookViewId="0">
      <selection activeCell="AQ63" sqref="AQ6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53125" defaultRowHeight="16" x14ac:dyDescent="0.45"/>
  <cols>
    <col min="1" max="1" width="4.453125" style="271" customWidth="1"/>
    <col min="2" max="2" width="8.26953125" style="271" bestFit="1" customWidth="1"/>
    <col min="3" max="3" width="22.453125" style="271" customWidth="1"/>
    <col min="4" max="4" width="6.7265625" style="271" customWidth="1"/>
    <col min="5" max="5" width="6.26953125" style="271" customWidth="1"/>
    <col min="6" max="6" width="26.54296875" style="271" customWidth="1"/>
    <col min="7" max="7" width="14.7265625" style="271" customWidth="1"/>
    <col min="8" max="14" width="20.7265625" style="271" customWidth="1"/>
    <col min="15" max="16" width="11.453125" style="271"/>
    <col min="17" max="17" width="15.54296875" style="271" customWidth="1"/>
    <col min="18" max="26" width="11.453125" style="271"/>
    <col min="27" max="27" width="19.54296875" style="271" customWidth="1"/>
    <col min="28" max="28" width="12" style="271" customWidth="1"/>
    <col min="29" max="29" width="11" style="271" customWidth="1"/>
    <col min="30" max="30" width="13.26953125" style="271" customWidth="1"/>
    <col min="31" max="31" width="20" style="271" customWidth="1"/>
    <col min="32" max="34" width="11.453125" style="271"/>
    <col min="35" max="35" width="20.7265625" style="271" customWidth="1"/>
    <col min="36" max="36" width="20.26953125" style="271" customWidth="1"/>
    <col min="37" max="37" width="11.453125" style="271" customWidth="1"/>
    <col min="38" max="16384" width="11.453125" style="271"/>
  </cols>
  <sheetData>
    <row r="1" spans="2:35" ht="16.5" thickBot="1" x14ac:dyDescent="0.5">
      <c r="D1" s="270"/>
    </row>
    <row r="2" spans="2:35" ht="19" thickBot="1" x14ac:dyDescent="0.55000000000000004">
      <c r="D2" s="274"/>
      <c r="H2" s="370">
        <v>1</v>
      </c>
      <c r="I2" s="371">
        <v>2</v>
      </c>
      <c r="J2" s="371">
        <v>3</v>
      </c>
      <c r="K2" s="371">
        <v>4</v>
      </c>
      <c r="L2" s="371">
        <v>5</v>
      </c>
      <c r="M2" s="372">
        <v>6</v>
      </c>
      <c r="N2" s="373">
        <v>7</v>
      </c>
      <c r="O2" s="275"/>
      <c r="P2" s="275"/>
      <c r="Q2" s="275"/>
    </row>
    <row r="3" spans="2:35" ht="46.5" customHeight="1" thickBot="1" x14ac:dyDescent="0.65">
      <c r="D3" s="274"/>
      <c r="E3" s="635" t="s">
        <v>15</v>
      </c>
      <c r="F3" s="636"/>
      <c r="G3" s="335" t="s">
        <v>0</v>
      </c>
      <c r="H3" s="380" t="str">
        <f>Synthèse!L$2</f>
        <v>Mme Christiane 
LARDAT</v>
      </c>
      <c r="I3" s="381" t="str">
        <f>Synthèse!M$2</f>
        <v>M. Francis 
LAPRADE</v>
      </c>
      <c r="J3" s="382" t="str">
        <f>Synthèse!N$2</f>
        <v>M. Pierre-Yves 
TIERCE</v>
      </c>
      <c r="K3" s="388" t="str">
        <f>Synthèse!O$2</f>
        <v>M. Philippe 
VALLET</v>
      </c>
      <c r="L3" s="383" t="str">
        <f>Synthèse!P$2</f>
        <v>Mme Isabelle 
FARNET RISSO</v>
      </c>
      <c r="M3" s="384" t="str">
        <f>Synthèse!Q$2</f>
        <v>Mme Véronique 
LANSADE</v>
      </c>
      <c r="N3" s="385" t="str">
        <f>Synthèse!R$2</f>
        <v>M. Pascal 
CORDÉ</v>
      </c>
      <c r="O3" s="386" t="s">
        <v>3</v>
      </c>
      <c r="P3" s="387" t="s">
        <v>4</v>
      </c>
      <c r="Q3" s="374" t="s">
        <v>91</v>
      </c>
      <c r="Z3" s="630" t="s">
        <v>15</v>
      </c>
      <c r="AA3" s="631"/>
      <c r="AB3" s="322" t="s">
        <v>0</v>
      </c>
      <c r="AC3" s="632" t="s">
        <v>2</v>
      </c>
      <c r="AD3" s="633"/>
      <c r="AE3" s="634"/>
    </row>
    <row r="4" spans="2:35" ht="18.5" x14ac:dyDescent="0.5">
      <c r="B4" s="268" t="s">
        <v>11</v>
      </c>
      <c r="C4" s="269">
        <f>Synthèse!$B$17</f>
        <v>46096</v>
      </c>
      <c r="E4" s="336">
        <v>1</v>
      </c>
      <c r="F4" s="337" t="str" cm="1">
        <f t="array" aca="1" ref="F4" ca="1">INDIRECT("'Synthèse'!$B" &amp; ROW()-1)</f>
        <v>Ecole Chabaud</v>
      </c>
      <c r="G4" s="338">
        <f>Synthèse!C3</f>
        <v>553</v>
      </c>
      <c r="H4" s="339">
        <f ca="1">Synthèse!L3</f>
        <v>31</v>
      </c>
      <c r="I4" s="340">
        <f ca="1">Synthèse!M3</f>
        <v>6</v>
      </c>
      <c r="J4" s="340">
        <f ca="1">Synthèse!N3</f>
        <v>112</v>
      </c>
      <c r="K4" s="340">
        <f ca="1">Synthèse!O3</f>
        <v>36</v>
      </c>
      <c r="L4" s="340">
        <f ca="1">Synthèse!P3</f>
        <v>94</v>
      </c>
      <c r="M4" s="341">
        <f ca="1">Synthèse!Q3</f>
        <v>10</v>
      </c>
      <c r="N4" s="342">
        <f ca="1">Synthèse!R3</f>
        <v>22</v>
      </c>
      <c r="O4" s="343">
        <f ca="1">Synthèse!G3</f>
        <v>8</v>
      </c>
      <c r="P4" s="344">
        <f ca="1">Synthèse!H3</f>
        <v>4</v>
      </c>
      <c r="Q4" s="345" cm="1">
        <f t="array" aca="1" ref="Q4" ca="1">SUM(IFERROR(H4:P4,0))</f>
        <v>323</v>
      </c>
      <c r="Z4" s="323">
        <v>1</v>
      </c>
      <c r="AA4" s="324" t="str">
        <f>Synthèse!$B3</f>
        <v>Ecole Chabaud</v>
      </c>
      <c r="AB4" s="325">
        <f>Synthèse!$C3</f>
        <v>553</v>
      </c>
      <c r="AC4" s="326">
        <f ca="1">Synthèse!$E3</f>
        <v>323</v>
      </c>
      <c r="AD4" s="327">
        <f t="shared" ref="AD4:AE16" ca="1" si="0">$AC4/$AB4</f>
        <v>0.58408679927667273</v>
      </c>
      <c r="AE4" s="285">
        <f t="shared" ca="1" si="0"/>
        <v>0.58408679927667273</v>
      </c>
      <c r="AH4" s="268" t="s">
        <v>11</v>
      </c>
      <c r="AI4" s="269">
        <f>Synthèse!$B$17</f>
        <v>46096</v>
      </c>
    </row>
    <row r="5" spans="2:35" ht="18.5" x14ac:dyDescent="0.5">
      <c r="B5" s="272" t="s">
        <v>12</v>
      </c>
      <c r="C5" s="273" t="str">
        <f>Synthèse!$B$18</f>
        <v>Municipales 1er tour</v>
      </c>
      <c r="E5" s="346">
        <v>2</v>
      </c>
      <c r="F5" s="347" t="str" cm="1">
        <f t="array" aca="1" ref="F5" ca="1">INDIRECT("'Synthèse'!$B" &amp; ROW()-1)</f>
        <v>Gymnase B</v>
      </c>
      <c r="G5" s="348">
        <f>Synthèse!C4</f>
        <v>740</v>
      </c>
      <c r="H5" s="349">
        <f ca="1">Synthèse!L4</f>
        <v>29</v>
      </c>
      <c r="I5" s="350">
        <f ca="1">Synthèse!M4</f>
        <v>19</v>
      </c>
      <c r="J5" s="350">
        <f ca="1">Synthèse!N4</f>
        <v>129</v>
      </c>
      <c r="K5" s="350">
        <f ca="1">Synthèse!O4</f>
        <v>78</v>
      </c>
      <c r="L5" s="350">
        <f ca="1">Synthèse!P4</f>
        <v>137</v>
      </c>
      <c r="M5" s="351">
        <f ca="1">Synthèse!Q4</f>
        <v>20</v>
      </c>
      <c r="N5" s="352">
        <f ca="1">Synthèse!R4</f>
        <v>10</v>
      </c>
      <c r="O5" s="353">
        <f ca="1">Synthèse!G4</f>
        <v>9</v>
      </c>
      <c r="P5" s="354">
        <f ca="1">Synthèse!H4</f>
        <v>12</v>
      </c>
      <c r="Q5" s="355" cm="1">
        <f t="array" aca="1" ref="Q5" ca="1">SUM(IFERROR(H5:P5,0))</f>
        <v>443</v>
      </c>
      <c r="Z5" s="323">
        <v>2</v>
      </c>
      <c r="AA5" s="324" t="str">
        <f>Synthèse!$B4</f>
        <v>Gymnase B</v>
      </c>
      <c r="AB5" s="328">
        <f>Synthèse!$C4</f>
        <v>740</v>
      </c>
      <c r="AC5" s="329">
        <f ca="1">Synthèse!$E4</f>
        <v>443</v>
      </c>
      <c r="AD5" s="330">
        <f t="shared" ca="1" si="0"/>
        <v>0.59864864864864864</v>
      </c>
      <c r="AE5" s="285">
        <f t="shared" ca="1" si="0"/>
        <v>0.59864864864864864</v>
      </c>
      <c r="AH5" s="272" t="s">
        <v>12</v>
      </c>
      <c r="AI5" s="273" t="str">
        <f>Synthèse!$B$18</f>
        <v>Municipales 1er tour</v>
      </c>
    </row>
    <row r="6" spans="2:35" ht="19" thickBot="1" x14ac:dyDescent="0.55000000000000004">
      <c r="B6" s="276" t="s">
        <v>13</v>
      </c>
      <c r="C6" s="277" t="str">
        <f>Synthèse!$B$19</f>
        <v>Cogolin</v>
      </c>
      <c r="E6" s="346">
        <v>3</v>
      </c>
      <c r="F6" s="347" t="str" cm="1">
        <f t="array" aca="1" ref="F6" ca="1">INDIRECT("'Synthèse'!$B" &amp; ROW()-1)</f>
        <v>Gymnase B</v>
      </c>
      <c r="G6" s="348">
        <f>Synthèse!C5</f>
        <v>713</v>
      </c>
      <c r="H6" s="349">
        <f ca="1">Synthèse!L5</f>
        <v>37</v>
      </c>
      <c r="I6" s="350">
        <f ca="1">Synthèse!M5</f>
        <v>9</v>
      </c>
      <c r="J6" s="350">
        <f ca="1">Synthèse!N5</f>
        <v>137</v>
      </c>
      <c r="K6" s="350">
        <f ca="1">Synthèse!O5</f>
        <v>76</v>
      </c>
      <c r="L6" s="350">
        <f ca="1">Synthèse!P5</f>
        <v>188</v>
      </c>
      <c r="M6" s="351">
        <f ca="1">Synthèse!Q5</f>
        <v>10</v>
      </c>
      <c r="N6" s="352">
        <f ca="1">Synthèse!R5</f>
        <v>8</v>
      </c>
      <c r="O6" s="353">
        <f ca="1">Synthèse!G5</f>
        <v>11</v>
      </c>
      <c r="P6" s="354">
        <f ca="1">Synthèse!H5</f>
        <v>8</v>
      </c>
      <c r="Q6" s="355" cm="1">
        <f t="array" aca="1" ref="Q6" ca="1">SUM(IFERROR(H6:P6,0))</f>
        <v>484</v>
      </c>
      <c r="Z6" s="323">
        <v>3</v>
      </c>
      <c r="AA6" s="324" t="str">
        <f>Synthèse!$B5</f>
        <v>Gymnase B</v>
      </c>
      <c r="AB6" s="328">
        <f>Synthèse!$C5</f>
        <v>713</v>
      </c>
      <c r="AC6" s="329">
        <f ca="1">Synthèse!$E5</f>
        <v>484</v>
      </c>
      <c r="AD6" s="330">
        <f t="shared" ca="1" si="0"/>
        <v>0.67882187938288918</v>
      </c>
      <c r="AE6" s="285">
        <f t="shared" ca="1" si="0"/>
        <v>0.67882187938288918</v>
      </c>
      <c r="AH6" s="276" t="s">
        <v>13</v>
      </c>
      <c r="AI6" s="277" t="str">
        <f>Synthèse!$B$19</f>
        <v>Cogolin</v>
      </c>
    </row>
    <row r="7" spans="2:35" ht="18.5" x14ac:dyDescent="0.5">
      <c r="E7" s="346">
        <v>4</v>
      </c>
      <c r="F7" s="347" t="str" cm="1">
        <f t="array" aca="1" ref="F7" ca="1">INDIRECT("'Synthèse'!$B" &amp; ROW()-1)</f>
        <v>Gymnase B</v>
      </c>
      <c r="G7" s="348">
        <f>Synthèse!C6</f>
        <v>679</v>
      </c>
      <c r="H7" s="349">
        <f ca="1">Synthèse!L6</f>
        <v>28</v>
      </c>
      <c r="I7" s="350">
        <f ca="1">Synthèse!M6</f>
        <v>15</v>
      </c>
      <c r="J7" s="350">
        <f ca="1">Synthèse!N6</f>
        <v>81</v>
      </c>
      <c r="K7" s="350">
        <f ca="1">Synthèse!O6</f>
        <v>61</v>
      </c>
      <c r="L7" s="350">
        <f ca="1">Synthèse!P6</f>
        <v>135</v>
      </c>
      <c r="M7" s="351">
        <f ca="1">Synthèse!Q6</f>
        <v>15</v>
      </c>
      <c r="N7" s="352">
        <f ca="1">Synthèse!R6</f>
        <v>14</v>
      </c>
      <c r="O7" s="353">
        <f ca="1">Synthèse!G6</f>
        <v>4</v>
      </c>
      <c r="P7" s="354">
        <f ca="1">Synthèse!H6</f>
        <v>10</v>
      </c>
      <c r="Q7" s="355" cm="1">
        <f t="array" aca="1" ref="Q7" ca="1">SUM(IFERROR(H7:P7,0))</f>
        <v>363</v>
      </c>
      <c r="Z7" s="323">
        <v>4</v>
      </c>
      <c r="AA7" s="324" t="str">
        <f>Synthèse!$B6</f>
        <v>Gymnase B</v>
      </c>
      <c r="AB7" s="328">
        <f>Synthèse!$C6</f>
        <v>679</v>
      </c>
      <c r="AC7" s="329">
        <f ca="1">Synthèse!$E6</f>
        <v>363</v>
      </c>
      <c r="AD7" s="330">
        <f t="shared" ca="1" si="0"/>
        <v>0.53460972017673047</v>
      </c>
      <c r="AE7" s="285">
        <f t="shared" ca="1" si="0"/>
        <v>0.53460972017673047</v>
      </c>
    </row>
    <row r="8" spans="2:35" ht="18.5" x14ac:dyDescent="0.5">
      <c r="E8" s="346">
        <v>5</v>
      </c>
      <c r="F8" s="347" t="str" cm="1">
        <f t="array" aca="1" ref="F8" ca="1">INDIRECT("'Synthèse'!$B" &amp; ROW()-1)</f>
        <v>COSEC</v>
      </c>
      <c r="G8" s="348">
        <f>Synthèse!C7</f>
        <v>701</v>
      </c>
      <c r="H8" s="349">
        <f ca="1">Synthèse!L7</f>
        <v>27</v>
      </c>
      <c r="I8" s="350">
        <f ca="1">Synthèse!M7</f>
        <v>21</v>
      </c>
      <c r="J8" s="350">
        <f ca="1">Synthèse!N7</f>
        <v>125</v>
      </c>
      <c r="K8" s="350">
        <f ca="1">Synthèse!O7</f>
        <v>83</v>
      </c>
      <c r="L8" s="350">
        <f ca="1">Synthèse!P7</f>
        <v>158</v>
      </c>
      <c r="M8" s="351">
        <f ca="1">Synthèse!Q7</f>
        <v>11</v>
      </c>
      <c r="N8" s="352">
        <f ca="1">Synthèse!R7</f>
        <v>11</v>
      </c>
      <c r="O8" s="353">
        <f ca="1">Synthèse!G7</f>
        <v>9</v>
      </c>
      <c r="P8" s="354">
        <f ca="1">Synthèse!H7</f>
        <v>7</v>
      </c>
      <c r="Q8" s="355" cm="1">
        <f t="array" aca="1" ref="Q8" ca="1">SUM(IFERROR(H8:P8,0))</f>
        <v>452</v>
      </c>
      <c r="Z8" s="323">
        <v>5</v>
      </c>
      <c r="AA8" s="324" t="str">
        <f>Synthèse!$B7</f>
        <v>COSEC</v>
      </c>
      <c r="AB8" s="328">
        <f>Synthèse!$C7</f>
        <v>701</v>
      </c>
      <c r="AC8" s="329">
        <f ca="1">Synthèse!$E7</f>
        <v>452</v>
      </c>
      <c r="AD8" s="330">
        <f t="shared" ca="1" si="0"/>
        <v>0.64479315263908699</v>
      </c>
      <c r="AE8" s="285">
        <f t="shared" ca="1" si="0"/>
        <v>0.64479315263908699</v>
      </c>
    </row>
    <row r="9" spans="2:35" ht="18.5" x14ac:dyDescent="0.5">
      <c r="E9" s="346">
        <v>6</v>
      </c>
      <c r="F9" s="347" t="str" cm="1">
        <f t="array" aca="1" ref="F9" ca="1">INDIRECT("'Synthèse'!$B" &amp; ROW()-1)</f>
        <v>COSEC</v>
      </c>
      <c r="G9" s="348">
        <f>Synthèse!C8</f>
        <v>710</v>
      </c>
      <c r="H9" s="349">
        <f ca="1">Synthèse!L8</f>
        <v>15</v>
      </c>
      <c r="I9" s="350">
        <f ca="1">Synthèse!M8</f>
        <v>12</v>
      </c>
      <c r="J9" s="350">
        <f ca="1">Synthèse!N8</f>
        <v>126</v>
      </c>
      <c r="K9" s="350">
        <f ca="1">Synthèse!O8</f>
        <v>61</v>
      </c>
      <c r="L9" s="350">
        <f ca="1">Synthèse!P8</f>
        <v>120</v>
      </c>
      <c r="M9" s="351">
        <f ca="1">Synthèse!Q8</f>
        <v>9</v>
      </c>
      <c r="N9" s="352">
        <f ca="1">Synthèse!R8</f>
        <v>14</v>
      </c>
      <c r="O9" s="353">
        <f ca="1">Synthèse!G8</f>
        <v>9</v>
      </c>
      <c r="P9" s="354">
        <f ca="1">Synthèse!H8</f>
        <v>1</v>
      </c>
      <c r="Q9" s="355" cm="1">
        <f t="array" aca="1" ref="Q9" ca="1">SUM(IFERROR(H9:P9,0))</f>
        <v>367</v>
      </c>
      <c r="Z9" s="323">
        <v>6</v>
      </c>
      <c r="AA9" s="324" t="str">
        <f>Synthèse!$B8</f>
        <v>COSEC</v>
      </c>
      <c r="AB9" s="328">
        <f>Synthèse!$C8</f>
        <v>710</v>
      </c>
      <c r="AC9" s="329">
        <f ca="1">Synthèse!$E8</f>
        <v>367</v>
      </c>
      <c r="AD9" s="330">
        <f t="shared" ca="1" si="0"/>
        <v>0.5169014084507042</v>
      </c>
      <c r="AE9" s="285">
        <f t="shared" ca="1" si="0"/>
        <v>0.5169014084507042</v>
      </c>
    </row>
    <row r="10" spans="2:35" ht="18.5" x14ac:dyDescent="0.5">
      <c r="E10" s="346">
        <v>7</v>
      </c>
      <c r="F10" s="347" t="str" cm="1">
        <f t="array" aca="1" ref="F10" ca="1">INDIRECT("'Synthèse'!$B" &amp; ROW()-1)</f>
        <v>COSEC</v>
      </c>
      <c r="G10" s="348">
        <f>Synthèse!C9</f>
        <v>731</v>
      </c>
      <c r="H10" s="349">
        <f ca="1">Synthèse!L9</f>
        <v>20</v>
      </c>
      <c r="I10" s="350">
        <f ca="1">Synthèse!M9</f>
        <v>12</v>
      </c>
      <c r="J10" s="350">
        <f ca="1">Synthèse!N9</f>
        <v>121</v>
      </c>
      <c r="K10" s="350">
        <f ca="1">Synthèse!O9</f>
        <v>69</v>
      </c>
      <c r="L10" s="350">
        <f ca="1">Synthèse!P9</f>
        <v>168</v>
      </c>
      <c r="M10" s="351">
        <f ca="1">Synthèse!Q9</f>
        <v>22</v>
      </c>
      <c r="N10" s="352">
        <f ca="1">Synthèse!R9</f>
        <v>13</v>
      </c>
      <c r="O10" s="353">
        <f ca="1">Synthèse!G9</f>
        <v>12</v>
      </c>
      <c r="P10" s="354">
        <f ca="1">Synthèse!H9</f>
        <v>2</v>
      </c>
      <c r="Q10" s="355" cm="1">
        <f t="array" aca="1" ref="Q10" ca="1">SUM(IFERROR(H10:P10,0))</f>
        <v>439</v>
      </c>
      <c r="Z10" s="323">
        <v>7</v>
      </c>
      <c r="AA10" s="324" t="str">
        <f>Synthèse!$B9</f>
        <v>COSEC</v>
      </c>
      <c r="AB10" s="328">
        <f>Synthèse!$C9</f>
        <v>731</v>
      </c>
      <c r="AC10" s="329">
        <f ca="1">Synthèse!$E9</f>
        <v>439</v>
      </c>
      <c r="AD10" s="330">
        <f t="shared" ca="1" si="0"/>
        <v>0.60054719562243497</v>
      </c>
      <c r="AE10" s="285">
        <f t="shared" ca="1" si="0"/>
        <v>0.60054719562243497</v>
      </c>
    </row>
    <row r="11" spans="2:35" ht="18.5" x14ac:dyDescent="0.5">
      <c r="E11" s="346">
        <v>8</v>
      </c>
      <c r="F11" s="347" t="str" cm="1">
        <f t="array" aca="1" ref="F11" ca="1">INDIRECT("'Synthèse'!$B" &amp; ROW()-1)</f>
        <v>COSEC</v>
      </c>
      <c r="G11" s="348">
        <f>Synthèse!C10</f>
        <v>646</v>
      </c>
      <c r="H11" s="349">
        <f ca="1">Synthèse!L10</f>
        <v>34</v>
      </c>
      <c r="I11" s="350">
        <f ca="1">Synthèse!M10</f>
        <v>16</v>
      </c>
      <c r="J11" s="350">
        <f ca="1">Synthèse!N10</f>
        <v>100</v>
      </c>
      <c r="K11" s="350">
        <f ca="1">Synthèse!O10</f>
        <v>67</v>
      </c>
      <c r="L11" s="350">
        <f ca="1">Synthèse!P10</f>
        <v>123</v>
      </c>
      <c r="M11" s="351">
        <f ca="1">Synthèse!Q10</f>
        <v>17</v>
      </c>
      <c r="N11" s="352">
        <f ca="1">Synthèse!R10</f>
        <v>8</v>
      </c>
      <c r="O11" s="353">
        <f ca="1">Synthèse!G10</f>
        <v>6</v>
      </c>
      <c r="P11" s="354">
        <f ca="1">Synthèse!H10</f>
        <v>8</v>
      </c>
      <c r="Q11" s="355" cm="1">
        <f t="array" aca="1" ref="Q11" ca="1">SUM(IFERROR(H11:P11,0))</f>
        <v>379</v>
      </c>
      <c r="Z11" s="323">
        <v>8</v>
      </c>
      <c r="AA11" s="324" t="str">
        <f>Synthèse!$B10</f>
        <v>COSEC</v>
      </c>
      <c r="AB11" s="328">
        <f>Synthèse!$C10</f>
        <v>646</v>
      </c>
      <c r="AC11" s="329">
        <f ca="1">Synthèse!$E10</f>
        <v>379</v>
      </c>
      <c r="AD11" s="330">
        <f t="shared" ca="1" si="0"/>
        <v>0.58668730650154799</v>
      </c>
      <c r="AE11" s="285">
        <f t="shared" ca="1" si="0"/>
        <v>0.58668730650154799</v>
      </c>
    </row>
    <row r="12" spans="2:35" ht="18.5" x14ac:dyDescent="0.5">
      <c r="E12" s="346">
        <v>9</v>
      </c>
      <c r="F12" s="347" t="str" cm="1">
        <f t="array" aca="1" ref="F12" ca="1">INDIRECT("'Synthèse'!$B" &amp; ROW()-1)</f>
        <v>CMM</v>
      </c>
      <c r="G12" s="348">
        <f>Synthèse!C11</f>
        <v>709</v>
      </c>
      <c r="H12" s="349">
        <f ca="1">Synthèse!L11</f>
        <v>23</v>
      </c>
      <c r="I12" s="350">
        <f ca="1">Synthèse!M11</f>
        <v>12</v>
      </c>
      <c r="J12" s="350">
        <f ca="1">Synthèse!N11</f>
        <v>86</v>
      </c>
      <c r="K12" s="350">
        <f ca="1">Synthèse!O11</f>
        <v>60</v>
      </c>
      <c r="L12" s="350">
        <f ca="1">Synthèse!P11</f>
        <v>104</v>
      </c>
      <c r="M12" s="351">
        <f ca="1">Synthèse!Q11</f>
        <v>22</v>
      </c>
      <c r="N12" s="352">
        <f ca="1">Synthèse!R11</f>
        <v>11</v>
      </c>
      <c r="O12" s="353">
        <f ca="1">Synthèse!G11</f>
        <v>7</v>
      </c>
      <c r="P12" s="354">
        <f ca="1">Synthèse!H11</f>
        <v>8</v>
      </c>
      <c r="Q12" s="355" cm="1">
        <f t="array" aca="1" ref="Q12" ca="1">SUM(IFERROR(H12:P12,0))</f>
        <v>333</v>
      </c>
      <c r="Z12" s="323">
        <v>9</v>
      </c>
      <c r="AA12" s="324" t="str">
        <f>Synthèse!$B11</f>
        <v>CMM</v>
      </c>
      <c r="AB12" s="328">
        <f>Synthèse!$C11</f>
        <v>709</v>
      </c>
      <c r="AC12" s="329">
        <f ca="1">Synthèse!$E11</f>
        <v>333</v>
      </c>
      <c r="AD12" s="330">
        <f t="shared" ca="1" si="0"/>
        <v>0.4696755994358251</v>
      </c>
      <c r="AE12" s="285">
        <f t="shared" ca="1" si="0"/>
        <v>0.4696755994358251</v>
      </c>
    </row>
    <row r="13" spans="2:35" ht="18.5" x14ac:dyDescent="0.5">
      <c r="E13" s="346">
        <v>10</v>
      </c>
      <c r="F13" s="347" t="str" cm="1">
        <f t="array" aca="1" ref="F13" ca="1">INDIRECT("'Synthèse'!$B" &amp; ROW()-1)</f>
        <v>CMM</v>
      </c>
      <c r="G13" s="348">
        <f>Synthèse!C12</f>
        <v>609</v>
      </c>
      <c r="H13" s="349">
        <f ca="1">Synthèse!L12</f>
        <v>22</v>
      </c>
      <c r="I13" s="350">
        <f ca="1">Synthèse!M12</f>
        <v>7</v>
      </c>
      <c r="J13" s="350">
        <f ca="1">Synthèse!N12</f>
        <v>99</v>
      </c>
      <c r="K13" s="350">
        <f ca="1">Synthèse!O12</f>
        <v>80</v>
      </c>
      <c r="L13" s="350">
        <f ca="1">Synthèse!P12</f>
        <v>110</v>
      </c>
      <c r="M13" s="351">
        <f ca="1">Synthèse!Q12</f>
        <v>9</v>
      </c>
      <c r="N13" s="352">
        <f ca="1">Synthèse!R12</f>
        <v>11</v>
      </c>
      <c r="O13" s="353">
        <f ca="1">Synthèse!G12</f>
        <v>10</v>
      </c>
      <c r="P13" s="354">
        <f ca="1">Synthèse!H12</f>
        <v>9</v>
      </c>
      <c r="Q13" s="355" cm="1">
        <f t="array" aca="1" ref="Q13" ca="1">SUM(IFERROR(H13:P13,0))</f>
        <v>357</v>
      </c>
      <c r="Z13" s="323">
        <v>10</v>
      </c>
      <c r="AA13" s="324" t="str">
        <f>Synthèse!$B12</f>
        <v>CMM</v>
      </c>
      <c r="AB13" s="328">
        <f>Synthèse!$C12</f>
        <v>609</v>
      </c>
      <c r="AC13" s="329">
        <f ca="1">Synthèse!$E12</f>
        <v>357</v>
      </c>
      <c r="AD13" s="330">
        <f t="shared" ca="1" si="0"/>
        <v>0.58620689655172409</v>
      </c>
      <c r="AE13" s="285">
        <f t="shared" ca="1" si="0"/>
        <v>0.58620689655172409</v>
      </c>
    </row>
    <row r="14" spans="2:35" ht="18.5" x14ac:dyDescent="0.5">
      <c r="E14" s="346">
        <v>11</v>
      </c>
      <c r="F14" s="347" t="str" cm="1">
        <f t="array" aca="1" ref="F14" ca="1">INDIRECT("'Synthèse'!$B" &amp; ROW()-1)</f>
        <v>CMM</v>
      </c>
      <c r="G14" s="348">
        <f>Synthèse!C13</f>
        <v>691</v>
      </c>
      <c r="H14" s="349">
        <f ca="1">Synthèse!L13</f>
        <v>28</v>
      </c>
      <c r="I14" s="350">
        <f ca="1">Synthèse!M13</f>
        <v>15</v>
      </c>
      <c r="J14" s="350">
        <f ca="1">Synthèse!N13</f>
        <v>137</v>
      </c>
      <c r="K14" s="350">
        <f ca="1">Synthèse!O13</f>
        <v>89</v>
      </c>
      <c r="L14" s="350">
        <f ca="1">Synthèse!P13</f>
        <v>110</v>
      </c>
      <c r="M14" s="351">
        <f ca="1">Synthèse!Q13</f>
        <v>14</v>
      </c>
      <c r="N14" s="352">
        <f ca="1">Synthèse!R13</f>
        <v>10</v>
      </c>
      <c r="O14" s="353">
        <f ca="1">Synthèse!G13</f>
        <v>3</v>
      </c>
      <c r="P14" s="354">
        <f ca="1">Synthèse!H13</f>
        <v>10</v>
      </c>
      <c r="Q14" s="355" cm="1">
        <f t="array" aca="1" ref="Q14" ca="1">SUM(IFERROR(H14:P14,0))</f>
        <v>416</v>
      </c>
      <c r="Z14" s="323">
        <v>11</v>
      </c>
      <c r="AA14" s="324" t="str">
        <f>Synthèse!$B13</f>
        <v>CMM</v>
      </c>
      <c r="AB14" s="328">
        <f>Synthèse!$C13</f>
        <v>691</v>
      </c>
      <c r="AC14" s="329">
        <f ca="1">Synthèse!$E13</f>
        <v>416</v>
      </c>
      <c r="AD14" s="330">
        <f t="shared" ca="1" si="0"/>
        <v>0.60202604920405212</v>
      </c>
      <c r="AE14" s="285">
        <f t="shared" ca="1" si="0"/>
        <v>0.60202604920405212</v>
      </c>
    </row>
    <row r="15" spans="2:35" ht="19" thickBot="1" x14ac:dyDescent="0.55000000000000004">
      <c r="B15" s="628" t="s">
        <v>102</v>
      </c>
      <c r="C15" s="628"/>
      <c r="E15" s="356">
        <v>12</v>
      </c>
      <c r="F15" s="357" t="str" cm="1">
        <f t="array" aca="1" ref="F15" ca="1">INDIRECT("'Synthèse'!$B" &amp; ROW()-1)</f>
        <v>Base nautique</v>
      </c>
      <c r="G15" s="358">
        <f>Synthèse!C14</f>
        <v>680</v>
      </c>
      <c r="H15" s="349">
        <f ca="1">Synthèse!L14</f>
        <v>15</v>
      </c>
      <c r="I15" s="350">
        <f ca="1">Synthèse!M14</f>
        <v>12</v>
      </c>
      <c r="J15" s="350">
        <f ca="1">Synthèse!N14</f>
        <v>62</v>
      </c>
      <c r="K15" s="350">
        <f ca="1">Synthèse!O14</f>
        <v>85</v>
      </c>
      <c r="L15" s="350">
        <f ca="1">Synthèse!P14</f>
        <v>79</v>
      </c>
      <c r="M15" s="351">
        <f ca="1">Synthèse!Q14</f>
        <v>51</v>
      </c>
      <c r="N15" s="352">
        <f ca="1">Synthèse!R14</f>
        <v>11</v>
      </c>
      <c r="O15" s="359">
        <f ca="1">Synthèse!G14</f>
        <v>9</v>
      </c>
      <c r="P15" s="360">
        <f ca="1">Synthèse!H14</f>
        <v>2</v>
      </c>
      <c r="Q15" s="361" cm="1">
        <f t="array" aca="1" ref="Q15" ca="1">SUM(IFERROR(H15:P15,0))</f>
        <v>326</v>
      </c>
      <c r="Z15" s="331">
        <v>12</v>
      </c>
      <c r="AA15" s="324" t="str">
        <f>Synthèse!$B14</f>
        <v>Base nautique</v>
      </c>
      <c r="AB15" s="332">
        <f>Synthèse!$C14</f>
        <v>680</v>
      </c>
      <c r="AC15" s="333">
        <f ca="1">Synthèse!$E14</f>
        <v>326</v>
      </c>
      <c r="AD15" s="334">
        <f t="shared" ca="1" si="0"/>
        <v>0.47941176470588237</v>
      </c>
      <c r="AE15" s="285">
        <f t="shared" ca="1" si="0"/>
        <v>0.47941176470588237</v>
      </c>
      <c r="AH15" s="628" t="s">
        <v>102</v>
      </c>
      <c r="AI15" s="628"/>
    </row>
    <row r="16" spans="2:35" ht="27.75" customHeight="1" thickBot="1" x14ac:dyDescent="0.5">
      <c r="B16" s="643">
        <f ca="1">NOW()</f>
        <v>46104.556916435184</v>
      </c>
      <c r="C16" s="643"/>
      <c r="E16" s="637" t="s">
        <v>16</v>
      </c>
      <c r="F16" s="638"/>
      <c r="G16" s="362">
        <f>Synthèse!C15</f>
        <v>8162</v>
      </c>
      <c r="H16" s="363">
        <f ca="1">Synthèse!L15</f>
        <v>309</v>
      </c>
      <c r="I16" s="364">
        <f ca="1">Synthèse!M15</f>
        <v>156</v>
      </c>
      <c r="J16" s="364">
        <f ca="1">Synthèse!N15</f>
        <v>1315</v>
      </c>
      <c r="K16" s="364">
        <f ca="1">Synthèse!O15</f>
        <v>845</v>
      </c>
      <c r="L16" s="364">
        <f ca="1">Synthèse!P15</f>
        <v>1526</v>
      </c>
      <c r="M16" s="365">
        <f ca="1">Synthèse!Q15</f>
        <v>210</v>
      </c>
      <c r="N16" s="366">
        <f ca="1">Synthèse!R15</f>
        <v>143</v>
      </c>
      <c r="O16" s="367">
        <f ca="1">Synthèse!G15</f>
        <v>97</v>
      </c>
      <c r="P16" s="368">
        <f ca="1">Synthèse!H15</f>
        <v>81</v>
      </c>
      <c r="Q16" s="369" cm="1">
        <f t="array" aca="1" ref="Q16" ca="1">SUM(IFERROR(H16:P16,0))</f>
        <v>4682</v>
      </c>
      <c r="Z16" s="641" t="s">
        <v>9</v>
      </c>
      <c r="AA16" s="642"/>
      <c r="AB16" s="375">
        <f>Synthèse!$C15</f>
        <v>8162</v>
      </c>
      <c r="AC16" s="376">
        <f ca="1">Synthèse!$E15</f>
        <v>4682</v>
      </c>
      <c r="AD16" s="377">
        <f t="shared" ca="1" si="0"/>
        <v>0.57363391325655477</v>
      </c>
      <c r="AE16" s="288">
        <f t="shared" ca="1" si="0"/>
        <v>0.57363391325655477</v>
      </c>
      <c r="AH16" s="629">
        <f ca="1">NOW()</f>
        <v>46104.556916435184</v>
      </c>
      <c r="AI16" s="629"/>
    </row>
    <row r="17" spans="5:14" ht="13.5" customHeight="1" thickBot="1" x14ac:dyDescent="0.5"/>
    <row r="18" spans="5:14" ht="39" customHeight="1" thickBot="1" x14ac:dyDescent="0.5">
      <c r="E18" s="649" t="s">
        <v>90</v>
      </c>
      <c r="F18" s="649"/>
      <c r="G18" s="650"/>
      <c r="H18" s="646">
        <f ca="1">IFERROR(Q16/Synthèse!$E$15,0)</f>
        <v>1</v>
      </c>
      <c r="I18" s="647"/>
      <c r="J18" s="647"/>
      <c r="K18" s="647"/>
      <c r="L18" s="647"/>
      <c r="M18" s="647"/>
      <c r="N18" s="648"/>
    </row>
    <row r="19" spans="5:14" ht="12.75" customHeight="1" thickBot="1" x14ac:dyDescent="0.5">
      <c r="H19" s="289"/>
    </row>
    <row r="20" spans="5:14" ht="16.5" thickBot="1" x14ac:dyDescent="0.5">
      <c r="H20" s="290">
        <v>1</v>
      </c>
      <c r="I20" s="291">
        <v>2</v>
      </c>
      <c r="J20" s="291">
        <v>3</v>
      </c>
      <c r="K20" s="291">
        <v>4</v>
      </c>
      <c r="L20" s="291">
        <v>5</v>
      </c>
      <c r="M20" s="292">
        <v>6</v>
      </c>
      <c r="N20" s="293">
        <v>7</v>
      </c>
    </row>
    <row r="21" spans="5:14" ht="32.5" thickBot="1" x14ac:dyDescent="0.5">
      <c r="E21" s="639" t="s">
        <v>15</v>
      </c>
      <c r="F21" s="640"/>
      <c r="G21" s="294" t="s">
        <v>0</v>
      </c>
      <c r="H21" s="278" t="str">
        <f t="shared" ref="H21:N21" si="1">H3</f>
        <v>Mme Christiane 
LARDAT</v>
      </c>
      <c r="I21" s="279" t="str">
        <f t="shared" si="1"/>
        <v>M. Francis 
LAPRADE</v>
      </c>
      <c r="J21" s="280" t="str">
        <f t="shared" si="1"/>
        <v>M. Pierre-Yves 
TIERCE</v>
      </c>
      <c r="K21" s="281" t="str">
        <f t="shared" si="1"/>
        <v>M. Philippe 
VALLET</v>
      </c>
      <c r="L21" s="282" t="str">
        <f t="shared" si="1"/>
        <v>Mme Isabelle 
FARNET RISSO</v>
      </c>
      <c r="M21" s="295" t="str">
        <f t="shared" si="1"/>
        <v>Mme Véronique 
LANSADE</v>
      </c>
      <c r="N21" s="283" t="str">
        <f t="shared" si="1"/>
        <v>M. Pascal 
CORDÉ</v>
      </c>
    </row>
    <row r="22" spans="5:14" x14ac:dyDescent="0.45">
      <c r="E22" s="296">
        <v>1</v>
      </c>
      <c r="F22" s="297" t="str">
        <f t="shared" ref="F22:F33" ca="1" si="2">F4</f>
        <v>Ecole Chabaud</v>
      </c>
      <c r="G22" s="284">
        <f>Synthèse!C3</f>
        <v>553</v>
      </c>
      <c r="H22" s="298">
        <f t="shared" ref="H22:N34" ca="1" si="3">IF($Q4&lt;&gt;0,H4/$Q4,0)</f>
        <v>9.5975232198142413E-2</v>
      </c>
      <c r="I22" s="299">
        <f t="shared" ca="1" si="3"/>
        <v>1.8575851393188854E-2</v>
      </c>
      <c r="J22" s="299">
        <f t="shared" ca="1" si="3"/>
        <v>0.34674922600619196</v>
      </c>
      <c r="K22" s="299">
        <f t="shared" ca="1" si="3"/>
        <v>0.11145510835913312</v>
      </c>
      <c r="L22" s="299">
        <f t="shared" ca="1" si="3"/>
        <v>0.29102167182662536</v>
      </c>
      <c r="M22" s="300">
        <f t="shared" ca="1" si="3"/>
        <v>3.0959752321981424E-2</v>
      </c>
      <c r="N22" s="301">
        <f t="shared" ca="1" si="3"/>
        <v>6.8111455108359129E-2</v>
      </c>
    </row>
    <row r="23" spans="5:14" x14ac:dyDescent="0.45">
      <c r="E23" s="302">
        <v>2</v>
      </c>
      <c r="F23" s="303" t="str">
        <f t="shared" ca="1" si="2"/>
        <v>Gymnase B</v>
      </c>
      <c r="G23" s="286">
        <f>Synthèse!C4</f>
        <v>740</v>
      </c>
      <c r="H23" s="304">
        <f t="shared" ca="1" si="3"/>
        <v>6.5462753950338598E-2</v>
      </c>
      <c r="I23" s="305">
        <f t="shared" ca="1" si="3"/>
        <v>4.2889390519187359E-2</v>
      </c>
      <c r="J23" s="305">
        <f t="shared" ca="1" si="3"/>
        <v>0.29119638826185101</v>
      </c>
      <c r="K23" s="305">
        <f t="shared" ca="1" si="3"/>
        <v>0.17607223476297967</v>
      </c>
      <c r="L23" s="305">
        <f t="shared" ca="1" si="3"/>
        <v>0.30925507900677202</v>
      </c>
      <c r="M23" s="306">
        <f t="shared" ca="1" si="3"/>
        <v>4.5146726862302484E-2</v>
      </c>
      <c r="N23" s="307">
        <f t="shared" ca="1" si="3"/>
        <v>2.2573363431151242E-2</v>
      </c>
    </row>
    <row r="24" spans="5:14" x14ac:dyDescent="0.45">
      <c r="E24" s="302">
        <v>3</v>
      </c>
      <c r="F24" s="303" t="str">
        <f t="shared" ca="1" si="2"/>
        <v>Gymnase B</v>
      </c>
      <c r="G24" s="286">
        <f>Synthèse!C5</f>
        <v>713</v>
      </c>
      <c r="H24" s="304">
        <f t="shared" ca="1" si="3"/>
        <v>7.6446280991735532E-2</v>
      </c>
      <c r="I24" s="305">
        <f t="shared" ca="1" si="3"/>
        <v>1.859504132231405E-2</v>
      </c>
      <c r="J24" s="305">
        <f t="shared" ca="1" si="3"/>
        <v>0.28305785123966942</v>
      </c>
      <c r="K24" s="305">
        <f t="shared" ca="1" si="3"/>
        <v>0.15702479338842976</v>
      </c>
      <c r="L24" s="305">
        <f t="shared" ca="1" si="3"/>
        <v>0.38842975206611569</v>
      </c>
      <c r="M24" s="306">
        <f t="shared" ca="1" si="3"/>
        <v>2.0661157024793389E-2</v>
      </c>
      <c r="N24" s="307">
        <f t="shared" ca="1" si="3"/>
        <v>1.6528925619834711E-2</v>
      </c>
    </row>
    <row r="25" spans="5:14" x14ac:dyDescent="0.45">
      <c r="E25" s="302">
        <v>4</v>
      </c>
      <c r="F25" s="303" t="str">
        <f t="shared" ca="1" si="2"/>
        <v>Gymnase B</v>
      </c>
      <c r="G25" s="286">
        <f>Synthèse!C6</f>
        <v>679</v>
      </c>
      <c r="H25" s="304">
        <f t="shared" ca="1" si="3"/>
        <v>7.7134986225895319E-2</v>
      </c>
      <c r="I25" s="305">
        <f t="shared" ca="1" si="3"/>
        <v>4.1322314049586778E-2</v>
      </c>
      <c r="J25" s="305">
        <f t="shared" ca="1" si="3"/>
        <v>0.2231404958677686</v>
      </c>
      <c r="K25" s="305">
        <f t="shared" ca="1" si="3"/>
        <v>0.16804407713498623</v>
      </c>
      <c r="L25" s="305">
        <f t="shared" ca="1" si="3"/>
        <v>0.37190082644628097</v>
      </c>
      <c r="M25" s="306">
        <f t="shared" ca="1" si="3"/>
        <v>4.1322314049586778E-2</v>
      </c>
      <c r="N25" s="307">
        <f t="shared" ca="1" si="3"/>
        <v>3.8567493112947659E-2</v>
      </c>
    </row>
    <row r="26" spans="5:14" x14ac:dyDescent="0.45">
      <c r="E26" s="302">
        <v>5</v>
      </c>
      <c r="F26" s="303" t="str">
        <f t="shared" ca="1" si="2"/>
        <v>COSEC</v>
      </c>
      <c r="G26" s="286">
        <f>Synthèse!C7</f>
        <v>701</v>
      </c>
      <c r="H26" s="304">
        <f t="shared" ca="1" si="3"/>
        <v>5.9734513274336286E-2</v>
      </c>
      <c r="I26" s="305">
        <f t="shared" ca="1" si="3"/>
        <v>4.6460176991150445E-2</v>
      </c>
      <c r="J26" s="305">
        <f t="shared" ca="1" si="3"/>
        <v>0.27654867256637167</v>
      </c>
      <c r="K26" s="305">
        <f t="shared" ca="1" si="3"/>
        <v>0.1836283185840708</v>
      </c>
      <c r="L26" s="305">
        <f t="shared" ca="1" si="3"/>
        <v>0.34955752212389379</v>
      </c>
      <c r="M26" s="306">
        <f t="shared" ca="1" si="3"/>
        <v>2.4336283185840708E-2</v>
      </c>
      <c r="N26" s="307">
        <f t="shared" ca="1" si="3"/>
        <v>2.4336283185840708E-2</v>
      </c>
    </row>
    <row r="27" spans="5:14" x14ac:dyDescent="0.45">
      <c r="E27" s="302">
        <v>6</v>
      </c>
      <c r="F27" s="303" t="str">
        <f t="shared" ca="1" si="2"/>
        <v>COSEC</v>
      </c>
      <c r="G27" s="286">
        <f>Synthèse!C8</f>
        <v>710</v>
      </c>
      <c r="H27" s="304">
        <f t="shared" ca="1" si="3"/>
        <v>4.0871934604904632E-2</v>
      </c>
      <c r="I27" s="305">
        <f t="shared" ca="1" si="3"/>
        <v>3.2697547683923703E-2</v>
      </c>
      <c r="J27" s="305">
        <f t="shared" ca="1" si="3"/>
        <v>0.34332425068119893</v>
      </c>
      <c r="K27" s="305">
        <f t="shared" ca="1" si="3"/>
        <v>0.16621253405994552</v>
      </c>
      <c r="L27" s="305">
        <f t="shared" ca="1" si="3"/>
        <v>0.32697547683923706</v>
      </c>
      <c r="M27" s="306">
        <f t="shared" ca="1" si="3"/>
        <v>2.4523160762942781E-2</v>
      </c>
      <c r="N27" s="307">
        <f t="shared" ca="1" si="3"/>
        <v>3.8147138964577658E-2</v>
      </c>
    </row>
    <row r="28" spans="5:14" x14ac:dyDescent="0.45">
      <c r="E28" s="302">
        <v>7</v>
      </c>
      <c r="F28" s="303" t="str">
        <f t="shared" ca="1" si="2"/>
        <v>COSEC</v>
      </c>
      <c r="G28" s="286">
        <f>Synthèse!C9</f>
        <v>731</v>
      </c>
      <c r="H28" s="304">
        <f t="shared" ca="1" si="3"/>
        <v>4.5558086560364468E-2</v>
      </c>
      <c r="I28" s="305">
        <f t="shared" ca="1" si="3"/>
        <v>2.7334851936218679E-2</v>
      </c>
      <c r="J28" s="305">
        <f t="shared" ca="1" si="3"/>
        <v>0.27562642369020501</v>
      </c>
      <c r="K28" s="305">
        <f t="shared" ca="1" si="3"/>
        <v>0.15717539863325741</v>
      </c>
      <c r="L28" s="305">
        <f t="shared" ca="1" si="3"/>
        <v>0.38268792710706151</v>
      </c>
      <c r="M28" s="306">
        <f t="shared" ca="1" si="3"/>
        <v>5.011389521640091E-2</v>
      </c>
      <c r="N28" s="307">
        <f t="shared" ca="1" si="3"/>
        <v>2.9612756264236904E-2</v>
      </c>
    </row>
    <row r="29" spans="5:14" x14ac:dyDescent="0.45">
      <c r="E29" s="302">
        <v>8</v>
      </c>
      <c r="F29" s="303" t="str">
        <f t="shared" ca="1" si="2"/>
        <v>COSEC</v>
      </c>
      <c r="G29" s="286">
        <f>Synthèse!C10</f>
        <v>646</v>
      </c>
      <c r="H29" s="304">
        <f t="shared" ca="1" si="3"/>
        <v>8.9709762532981532E-2</v>
      </c>
      <c r="I29" s="305">
        <f t="shared" ca="1" si="3"/>
        <v>4.221635883905013E-2</v>
      </c>
      <c r="J29" s="305">
        <f t="shared" ca="1" si="3"/>
        <v>0.26385224274406333</v>
      </c>
      <c r="K29" s="305">
        <f t="shared" ca="1" si="3"/>
        <v>0.17678100263852242</v>
      </c>
      <c r="L29" s="305">
        <f t="shared" ca="1" si="3"/>
        <v>0.32453825857519791</v>
      </c>
      <c r="M29" s="306">
        <f t="shared" ca="1" si="3"/>
        <v>4.4854881266490766E-2</v>
      </c>
      <c r="N29" s="307">
        <f t="shared" ca="1" si="3"/>
        <v>2.1108179419525065E-2</v>
      </c>
    </row>
    <row r="30" spans="5:14" x14ac:dyDescent="0.45">
      <c r="E30" s="302">
        <v>9</v>
      </c>
      <c r="F30" s="303" t="str">
        <f t="shared" ca="1" si="2"/>
        <v>CMM</v>
      </c>
      <c r="G30" s="286">
        <f>Synthèse!C11</f>
        <v>709</v>
      </c>
      <c r="H30" s="304">
        <f t="shared" ca="1" si="3"/>
        <v>6.9069069069069067E-2</v>
      </c>
      <c r="I30" s="305">
        <f t="shared" ca="1" si="3"/>
        <v>3.6036036036036036E-2</v>
      </c>
      <c r="J30" s="305">
        <f t="shared" ca="1" si="3"/>
        <v>0.25825825825825827</v>
      </c>
      <c r="K30" s="305">
        <f t="shared" ca="1" si="3"/>
        <v>0.18018018018018017</v>
      </c>
      <c r="L30" s="305">
        <f t="shared" ca="1" si="3"/>
        <v>0.31231231231231232</v>
      </c>
      <c r="M30" s="306">
        <f t="shared" ca="1" si="3"/>
        <v>6.6066066066066062E-2</v>
      </c>
      <c r="N30" s="307">
        <f t="shared" ca="1" si="3"/>
        <v>3.3033033033033031E-2</v>
      </c>
    </row>
    <row r="31" spans="5:14" x14ac:dyDescent="0.45">
      <c r="E31" s="302">
        <v>10</v>
      </c>
      <c r="F31" s="303" t="str">
        <f t="shared" ca="1" si="2"/>
        <v>CMM</v>
      </c>
      <c r="G31" s="286">
        <f>Synthèse!C12</f>
        <v>609</v>
      </c>
      <c r="H31" s="304">
        <f t="shared" ca="1" si="3"/>
        <v>6.1624649859943981E-2</v>
      </c>
      <c r="I31" s="305">
        <f t="shared" ca="1" si="3"/>
        <v>1.9607843137254902E-2</v>
      </c>
      <c r="J31" s="305">
        <f t="shared" ca="1" si="3"/>
        <v>0.27731092436974791</v>
      </c>
      <c r="K31" s="305">
        <f t="shared" ca="1" si="3"/>
        <v>0.22408963585434175</v>
      </c>
      <c r="L31" s="305">
        <f t="shared" ca="1" si="3"/>
        <v>0.3081232492997199</v>
      </c>
      <c r="M31" s="306">
        <f t="shared" ca="1" si="3"/>
        <v>2.5210084033613446E-2</v>
      </c>
      <c r="N31" s="307">
        <f t="shared" ca="1" si="3"/>
        <v>3.081232492997199E-2</v>
      </c>
    </row>
    <row r="32" spans="5:14" x14ac:dyDescent="0.45">
      <c r="E32" s="302">
        <v>11</v>
      </c>
      <c r="F32" s="303" t="str">
        <f t="shared" ca="1" si="2"/>
        <v>CMM</v>
      </c>
      <c r="G32" s="286">
        <f>Synthèse!C13</f>
        <v>691</v>
      </c>
      <c r="H32" s="304">
        <f t="shared" ca="1" si="3"/>
        <v>6.7307692307692304E-2</v>
      </c>
      <c r="I32" s="305">
        <f t="shared" ca="1" si="3"/>
        <v>3.6057692307692304E-2</v>
      </c>
      <c r="J32" s="305">
        <f t="shared" ca="1" si="3"/>
        <v>0.32932692307692307</v>
      </c>
      <c r="K32" s="305">
        <f t="shared" ca="1" si="3"/>
        <v>0.21394230769230768</v>
      </c>
      <c r="L32" s="305">
        <f t="shared" ca="1" si="3"/>
        <v>0.26442307692307693</v>
      </c>
      <c r="M32" s="306">
        <f t="shared" ca="1" si="3"/>
        <v>3.3653846153846152E-2</v>
      </c>
      <c r="N32" s="307">
        <f t="shared" ca="1" si="3"/>
        <v>2.403846153846154E-2</v>
      </c>
    </row>
    <row r="33" spans="5:14" ht="16.5" thickBot="1" x14ac:dyDescent="0.5">
      <c r="E33" s="308">
        <v>12</v>
      </c>
      <c r="F33" s="309" t="str">
        <f t="shared" ca="1" si="2"/>
        <v>Base nautique</v>
      </c>
      <c r="G33" s="287">
        <f>Synthèse!C14</f>
        <v>680</v>
      </c>
      <c r="H33" s="310">
        <f t="shared" ca="1" si="3"/>
        <v>4.6012269938650305E-2</v>
      </c>
      <c r="I33" s="311">
        <f t="shared" ca="1" si="3"/>
        <v>3.6809815950920248E-2</v>
      </c>
      <c r="J33" s="311">
        <f t="shared" ca="1" si="3"/>
        <v>0.19018404907975461</v>
      </c>
      <c r="K33" s="311">
        <f t="shared" ca="1" si="3"/>
        <v>0.2607361963190184</v>
      </c>
      <c r="L33" s="311">
        <f t="shared" ca="1" si="3"/>
        <v>0.24233128834355827</v>
      </c>
      <c r="M33" s="312">
        <f t="shared" ca="1" si="3"/>
        <v>0.15644171779141106</v>
      </c>
      <c r="N33" s="313">
        <f t="shared" ca="1" si="3"/>
        <v>3.3742331288343558E-2</v>
      </c>
    </row>
    <row r="34" spans="5:14" ht="16.5" thickBot="1" x14ac:dyDescent="0.5">
      <c r="E34" s="644" t="str">
        <f>E16</f>
        <v>Total</v>
      </c>
      <c r="F34" s="645"/>
      <c r="G34" s="314">
        <f>Synthèse!C15</f>
        <v>8162</v>
      </c>
      <c r="H34" s="315">
        <f t="shared" ca="1" si="3"/>
        <v>6.5997436992738148E-2</v>
      </c>
      <c r="I34" s="316">
        <f t="shared" ca="1" si="3"/>
        <v>3.3319094404100809E-2</v>
      </c>
      <c r="J34" s="316">
        <f t="shared" ca="1" si="3"/>
        <v>0.28086287911149083</v>
      </c>
      <c r="K34" s="316">
        <f t="shared" ca="1" si="3"/>
        <v>0.18047842802221273</v>
      </c>
      <c r="L34" s="316">
        <f t="shared" ca="1" si="3"/>
        <v>0.32592909013242205</v>
      </c>
      <c r="M34" s="317">
        <f t="shared" ca="1" si="3"/>
        <v>4.4852627082443398E-2</v>
      </c>
      <c r="N34" s="318">
        <f t="shared" ca="1" si="3"/>
        <v>3.0542503203759078E-2</v>
      </c>
    </row>
    <row r="54" spans="3:7" x14ac:dyDescent="0.45">
      <c r="F54" s="271" t="s">
        <v>99</v>
      </c>
    </row>
    <row r="55" spans="3:7" x14ac:dyDescent="0.45">
      <c r="C55" s="319" t="s">
        <v>92</v>
      </c>
      <c r="F55" s="271" t="s">
        <v>93</v>
      </c>
      <c r="G55" s="271" t="s">
        <v>94</v>
      </c>
    </row>
    <row r="56" spans="3:7" x14ac:dyDescent="0.45">
      <c r="F56" s="271" t="s">
        <v>95</v>
      </c>
    </row>
    <row r="57" spans="3:7" x14ac:dyDescent="0.45">
      <c r="F57" s="271" t="s">
        <v>96</v>
      </c>
    </row>
    <row r="58" spans="3:7" x14ac:dyDescent="0.45">
      <c r="F58" s="271" t="s">
        <v>97</v>
      </c>
    </row>
    <row r="59" spans="3:7" x14ac:dyDescent="0.45">
      <c r="F59" s="271" t="s">
        <v>98</v>
      </c>
    </row>
    <row r="60" spans="3:7" x14ac:dyDescent="0.45">
      <c r="F60" s="271" t="s">
        <v>100</v>
      </c>
    </row>
    <row r="61" spans="3:7" x14ac:dyDescent="0.45">
      <c r="F61" s="271" t="s">
        <v>101</v>
      </c>
    </row>
  </sheetData>
  <mergeCells count="13">
    <mergeCell ref="E21:F21"/>
    <mergeCell ref="Z16:AA16"/>
    <mergeCell ref="B15:C15"/>
    <mergeCell ref="B16:C16"/>
    <mergeCell ref="E34:F34"/>
    <mergeCell ref="H18:N18"/>
    <mergeCell ref="E18:G18"/>
    <mergeCell ref="AH15:AI15"/>
    <mergeCell ref="AH16:AI16"/>
    <mergeCell ref="Z3:AA3"/>
    <mergeCell ref="AC3:AE3"/>
    <mergeCell ref="E3:F3"/>
    <mergeCell ref="E16:F16"/>
  </mergeCells>
  <conditionalFormatting sqref="H18">
    <cfRule type="dataBar" priority="1">
      <dataBar>
        <cfvo type="num" val="0"/>
        <cfvo type="num" val="1"/>
        <color theme="4" tint="0.59999389629810485"/>
      </dataBar>
      <extLst>
        <ext xmlns:x14="http://schemas.microsoft.com/office/spreadsheetml/2009/9/main" uri="{B025F937-C7B1-47D3-B67F-A62EFF666E3E}">
          <x14:id>{A4D697F4-57F5-41BE-B45F-63CAC8886D06}</x14:id>
        </ext>
      </extLst>
    </cfRule>
  </conditionalFormatting>
  <conditionalFormatting sqref="H22:N34">
    <cfRule type="cellIs" dxfId="360" priority="6" operator="lessThan">
      <formula>0</formula>
    </cfRule>
  </conditionalFormatting>
  <conditionalFormatting sqref="H4:Q16">
    <cfRule type="cellIs" dxfId="359" priority="8" operator="lessThan">
      <formula>0</formula>
    </cfRule>
  </conditionalFormatting>
  <conditionalFormatting sqref="AE4:AE15">
    <cfRule type="dataBar" priority="4">
      <dataBar showValue="0">
        <cfvo type="num" val="0"/>
        <cfvo type="num" val="1"/>
        <color theme="4" tint="0.39997558519241921"/>
      </dataBar>
      <extLst>
        <ext xmlns:x14="http://schemas.microsoft.com/office/spreadsheetml/2009/9/main" uri="{B025F937-C7B1-47D3-B67F-A62EFF666E3E}">
          <x14:id>{59EB3AB6-2D14-453F-AA52-A2563E1D2441}</x14:id>
        </ext>
      </extLst>
    </cfRule>
  </conditionalFormatting>
  <conditionalFormatting sqref="AE16">
    <cfRule type="dataBar" priority="5">
      <dataBar showValue="0">
        <cfvo type="num" val="0"/>
        <cfvo type="num" val="1"/>
        <color theme="4" tint="-0.499984740745262"/>
      </dataBar>
      <extLst>
        <ext xmlns:x14="http://schemas.microsoft.com/office/spreadsheetml/2009/9/main" uri="{B025F937-C7B1-47D3-B67F-A62EFF666E3E}">
          <x14:id>{FF1F790B-82C7-4213-8230-EE830E6EB4BF}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D697F4-57F5-41BE-B45F-63CAC8886D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H18</xm:sqref>
        </x14:conditionalFormatting>
        <x14:conditionalFormatting xmlns:xm="http://schemas.microsoft.com/office/excel/2006/main">
          <x14:cfRule type="dataBar" id="{59EB3AB6-2D14-453F-AA52-A2563E1D2441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AE4:AE15</xm:sqref>
        </x14:conditionalFormatting>
        <x14:conditionalFormatting xmlns:xm="http://schemas.microsoft.com/office/excel/2006/main">
          <x14:cfRule type="dataBar" id="{FF1F790B-82C7-4213-8230-EE830E6EB4BF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AE16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95FDE-7CB7-40FA-AA59-819DA8F7C6D8}">
  <sheetPr codeName="Feuil42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12</v>
      </c>
      <c r="F3" s="59">
        <v>1</v>
      </c>
      <c r="G3" s="59">
        <v>39</v>
      </c>
      <c r="H3" s="59">
        <v>7</v>
      </c>
      <c r="I3" s="59">
        <v>30</v>
      </c>
      <c r="J3" s="59">
        <v>5</v>
      </c>
      <c r="K3" s="59">
        <v>5</v>
      </c>
      <c r="L3" s="73">
        <v>0</v>
      </c>
      <c r="M3" s="74">
        <v>1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1</v>
      </c>
      <c r="D4" s="195" cm="1">
        <f t="array" ref="D4">IF(ROW(2:2)&lt;=$E$24, (ROW(2:2)), "")</f>
        <v>2</v>
      </c>
      <c r="E4" s="60">
        <v>10</v>
      </c>
      <c r="F4" s="60">
        <v>4</v>
      </c>
      <c r="G4" s="60">
        <v>28</v>
      </c>
      <c r="H4" s="60">
        <v>15</v>
      </c>
      <c r="I4" s="60">
        <v>28</v>
      </c>
      <c r="J4" s="60">
        <v>3</v>
      </c>
      <c r="K4" s="60">
        <v>10</v>
      </c>
      <c r="L4" s="61">
        <v>0</v>
      </c>
      <c r="M4" s="62">
        <v>2</v>
      </c>
      <c r="N4" s="162">
        <f t="shared" si="0"/>
        <v>100</v>
      </c>
      <c r="O4" s="263"/>
      <c r="P4" s="260" t="s">
        <v>33</v>
      </c>
      <c r="Q4" s="239">
        <v>33</v>
      </c>
      <c r="R4" s="192">
        <f t="shared" ref="R4:R13" si="1">IF(OR(Q4=0, Q4=""), NA(), Q4/$B$6)</f>
        <v>5.9674502712477394E-2</v>
      </c>
      <c r="T4" s="167" t="s">
        <v>45</v>
      </c>
      <c r="U4" s="208">
        <f t="shared" ref="U4:U13" si="2">IF(Q4&lt;&gt;0,Q4-Q3,NA())</f>
        <v>33</v>
      </c>
    </row>
    <row r="5" spans="1:22" ht="20.149999999999999" customHeight="1" x14ac:dyDescent="0.3">
      <c r="A5" s="39" t="s">
        <v>24</v>
      </c>
      <c r="B5" s="267" t="str">
        <f>INDEX(Synthèse!B:B,B4+2)</f>
        <v>Ecole Chabaud</v>
      </c>
      <c r="D5" s="195" cm="1">
        <f t="array" ref="D5">IF(ROW(3:3)&lt;=$E$24, (ROW(3:3)), "")</f>
        <v>3</v>
      </c>
      <c r="E5" s="60">
        <v>7</v>
      </c>
      <c r="F5" s="60">
        <v>1</v>
      </c>
      <c r="G5" s="60">
        <v>33</v>
      </c>
      <c r="H5" s="60">
        <v>14</v>
      </c>
      <c r="I5" s="60">
        <v>29</v>
      </c>
      <c r="J5" s="60">
        <v>2</v>
      </c>
      <c r="K5" s="60">
        <v>6</v>
      </c>
      <c r="L5" s="75">
        <v>6</v>
      </c>
      <c r="M5" s="76">
        <v>1</v>
      </c>
      <c r="N5" s="162">
        <f t="shared" si="0"/>
        <v>99</v>
      </c>
      <c r="O5" s="264"/>
      <c r="P5" s="260" t="s">
        <v>34</v>
      </c>
      <c r="Q5" s="239">
        <v>78</v>
      </c>
      <c r="R5" s="192">
        <f t="shared" si="1"/>
        <v>0.1410488245931284</v>
      </c>
      <c r="T5" s="168" t="s">
        <v>46</v>
      </c>
      <c r="U5" s="209">
        <f t="shared" si="2"/>
        <v>45</v>
      </c>
    </row>
    <row r="6" spans="1:22" ht="20.149999999999999" customHeight="1" x14ac:dyDescent="0.3">
      <c r="A6" s="39" t="s">
        <v>0</v>
      </c>
      <c r="B6" s="87">
        <f>INDEX(Synthèse!C:C,B4+2)</f>
        <v>553</v>
      </c>
      <c r="D6" s="195" cm="1">
        <f t="array" ref="D6">IF(ROW(4:4)&lt;=$E$24, (ROW(4:4)), "")</f>
        <v>4</v>
      </c>
      <c r="E6" s="60">
        <v>2</v>
      </c>
      <c r="F6" s="60">
        <v>0</v>
      </c>
      <c r="G6" s="60">
        <v>12</v>
      </c>
      <c r="H6" s="60">
        <v>0</v>
      </c>
      <c r="I6" s="60">
        <v>7</v>
      </c>
      <c r="J6" s="60">
        <v>0</v>
      </c>
      <c r="K6" s="60">
        <v>1</v>
      </c>
      <c r="L6" s="75">
        <v>2</v>
      </c>
      <c r="M6" s="76">
        <v>0</v>
      </c>
      <c r="N6" s="162">
        <f t="shared" si="0"/>
        <v>24</v>
      </c>
      <c r="O6" s="264"/>
      <c r="P6" s="260" t="s">
        <v>35</v>
      </c>
      <c r="Q6" s="239">
        <v>130</v>
      </c>
      <c r="R6" s="192">
        <f t="shared" si="1"/>
        <v>0.23508137432188064</v>
      </c>
      <c r="T6" s="168" t="s">
        <v>47</v>
      </c>
      <c r="U6" s="209">
        <f t="shared" si="2"/>
        <v>52</v>
      </c>
    </row>
    <row r="7" spans="1:22" ht="20.149999999999999" customHeight="1" x14ac:dyDescent="0.3">
      <c r="A7" s="39" t="s">
        <v>2</v>
      </c>
      <c r="B7" s="69">
        <f>MAX(Q4:Q15)</f>
        <v>323</v>
      </c>
      <c r="D7" s="195" t="str" cm="1">
        <f t="array" ref="D7">IF(ROW(5:5)&lt;=$E$24, (ROW(5:5)), "")</f>
        <v/>
      </c>
      <c r="E7" s="60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60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60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60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60" cm="1">
        <f t="array" ref="I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J7" s="60" cm="1">
        <f t="array" ref="J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K7" s="60" cm="1">
        <f t="array" ref="K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L7" s="61" cm="1">
        <f t="array" ref="L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M7" s="62" cm="1">
        <f t="array" ref="M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N7" s="162">
        <f t="shared" si="0"/>
        <v>0</v>
      </c>
      <c r="O7" s="264"/>
      <c r="P7" s="260" t="s">
        <v>36</v>
      </c>
      <c r="Q7" s="239">
        <v>186</v>
      </c>
      <c r="R7" s="192">
        <f t="shared" si="1"/>
        <v>0.33634719710669075</v>
      </c>
      <c r="T7" s="168" t="s">
        <v>54</v>
      </c>
      <c r="U7" s="209">
        <f t="shared" si="2"/>
        <v>56</v>
      </c>
    </row>
    <row r="8" spans="1:22" ht="20.149999999999999" customHeight="1" x14ac:dyDescent="0.3">
      <c r="A8" s="39" t="s">
        <v>1</v>
      </c>
      <c r="B8" s="70">
        <v>323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209</v>
      </c>
      <c r="R8" s="192">
        <f t="shared" si="1"/>
        <v>0.37793851717902349</v>
      </c>
      <c r="T8" s="168" t="s">
        <v>48</v>
      </c>
      <c r="U8" s="209">
        <f t="shared" si="2"/>
        <v>23</v>
      </c>
    </row>
    <row r="9" spans="1:22" ht="20.149999999999999" customHeight="1" thickBot="1" x14ac:dyDescent="0.35">
      <c r="A9" s="40" t="s">
        <v>17</v>
      </c>
      <c r="B9" s="71">
        <f>B6-B7</f>
        <v>230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235</v>
      </c>
      <c r="R9" s="192">
        <f t="shared" si="1"/>
        <v>0.42495479204339964</v>
      </c>
      <c r="T9" s="168" t="s">
        <v>49</v>
      </c>
      <c r="U9" s="209">
        <f t="shared" si="2"/>
        <v>26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256</v>
      </c>
      <c r="R10" s="192">
        <f t="shared" si="1"/>
        <v>0.46292947558770342</v>
      </c>
      <c r="T10" s="168" t="s">
        <v>50</v>
      </c>
      <c r="U10" s="209">
        <f t="shared" si="2"/>
        <v>21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282</v>
      </c>
      <c r="R11" s="192">
        <f t="shared" si="1"/>
        <v>0.50994575045207957</v>
      </c>
      <c r="T11" s="168" t="s">
        <v>51</v>
      </c>
      <c r="U11" s="209">
        <f t="shared" si="2"/>
        <v>26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303</v>
      </c>
      <c r="R12" s="192">
        <f t="shared" si="1"/>
        <v>0.54792043399638335</v>
      </c>
      <c r="T12" s="168" t="s">
        <v>52</v>
      </c>
      <c r="U12" s="209">
        <f t="shared" si="2"/>
        <v>21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31</v>
      </c>
      <c r="F13" s="66">
        <f t="shared" si="3"/>
        <v>6</v>
      </c>
      <c r="G13" s="66">
        <f t="shared" si="3"/>
        <v>112</v>
      </c>
      <c r="H13" s="66">
        <f t="shared" si="3"/>
        <v>36</v>
      </c>
      <c r="I13" s="66">
        <f t="shared" si="3"/>
        <v>94</v>
      </c>
      <c r="J13" s="66">
        <f t="shared" si="3"/>
        <v>10</v>
      </c>
      <c r="K13" s="66">
        <f t="shared" si="3"/>
        <v>22</v>
      </c>
      <c r="L13" s="67">
        <f t="shared" si="3"/>
        <v>8</v>
      </c>
      <c r="M13" s="68">
        <f t="shared" si="3"/>
        <v>4</v>
      </c>
      <c r="N13" s="249">
        <f>SUM(N3:N12)</f>
        <v>323</v>
      </c>
      <c r="O13" s="264"/>
      <c r="P13" s="260" t="s">
        <v>42</v>
      </c>
      <c r="Q13" s="239">
        <v>323</v>
      </c>
      <c r="R13" s="192">
        <f t="shared" si="1"/>
        <v>0.58408679927667273</v>
      </c>
      <c r="T13" s="169" t="s">
        <v>53</v>
      </c>
      <c r="U13" s="210">
        <f t="shared" si="2"/>
        <v>20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9.5975232198142413E-2</v>
      </c>
      <c r="F14" s="19">
        <f t="shared" si="4"/>
        <v>1.8575851393188854E-2</v>
      </c>
      <c r="G14" s="19">
        <f t="shared" si="4"/>
        <v>0.34674922600619196</v>
      </c>
      <c r="H14" s="19">
        <f t="shared" si="4"/>
        <v>0.11145510835913312</v>
      </c>
      <c r="I14" s="19">
        <f t="shared" si="4"/>
        <v>0.29102167182662536</v>
      </c>
      <c r="J14" s="19">
        <f t="shared" si="4"/>
        <v>3.0959752321981424E-2</v>
      </c>
      <c r="K14" s="19">
        <f t="shared" si="4"/>
        <v>6.8111455108359129E-2</v>
      </c>
      <c r="L14" s="18">
        <f t="shared" si="4"/>
        <v>2.4767801857585141E-2</v>
      </c>
      <c r="M14" s="20">
        <f t="shared" si="4"/>
        <v>1.238390092879257E-2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6</v>
      </c>
      <c r="E24" s="246">
        <f>CEILING($B$7,100)/100</f>
        <v>4</v>
      </c>
      <c r="O24" s="263"/>
    </row>
    <row r="25" spans="1:15" ht="13" x14ac:dyDescent="0.25">
      <c r="D25" s="102">
        <f>MOD($B$7,100)</f>
        <v>23</v>
      </c>
      <c r="E25" s="103">
        <f>CEILING($B$6/300,1)</f>
        <v>2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Sec86wKuy9eShPFTNtsE9f1sh72WpnPIcfKJmZgVpDqOBJJmlWDr3jEZ/ucCT+o6nznyIcDMafSqaYf1j4qyrA==" saltValue="DABC6emGHFyPr9t6FWEUYQ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358" priority="1" operator="equal">
      <formula>0</formula>
    </cfRule>
    <cfRule type="cellIs" dxfId="357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356" priority="19">
      <formula>($D3&gt;$E$24)</formula>
    </cfRule>
  </conditionalFormatting>
  <conditionalFormatting sqref="E3:M12">
    <cfRule type="expression" dxfId="355" priority="18">
      <formula>($D3&lt;=$E$24)</formula>
    </cfRule>
  </conditionalFormatting>
  <conditionalFormatting sqref="E50:M59 E68:M72 E78:M80">
    <cfRule type="expression" dxfId="354" priority="27">
      <formula>($D50&lt;=$E$24)</formula>
    </cfRule>
    <cfRule type="expression" dxfId="353" priority="28">
      <formula>($D50&gt;$E$24)</formula>
    </cfRule>
  </conditionalFormatting>
  <conditionalFormatting sqref="E50:M59">
    <cfRule type="expression" dxfId="352" priority="3">
      <formula>AND(E50&lt;MAX(E$50:E50), NOT(ISBLANK(E50)), NOT(E50=0))</formula>
    </cfRule>
  </conditionalFormatting>
  <conditionalFormatting sqref="E68:M72">
    <cfRule type="expression" dxfId="351" priority="2">
      <formula>AND(E68&lt;MAX(E$68:E68), NOT(ISBLANK(E68)), NOT(E68=0))</formula>
    </cfRule>
  </conditionalFormatting>
  <conditionalFormatting sqref="E78:M80 E50:M59 E68:M72">
    <cfRule type="cellIs" dxfId="350" priority="26" operator="notBetween">
      <formula>0</formula>
      <formula>$B$7</formula>
    </cfRule>
  </conditionalFormatting>
  <conditionalFormatting sqref="E78:M80">
    <cfRule type="expression" dxfId="349" priority="14">
      <formula>AND(E78&lt;MAX(E$78:E78), NOT(ISBLANK(E78)), NOT(E78=0))</formula>
    </cfRule>
  </conditionalFormatting>
  <conditionalFormatting sqref="E3:N12">
    <cfRule type="cellIs" dxfId="348" priority="5" operator="notBetween">
      <formula>0</formula>
      <formula>100</formula>
    </cfRule>
  </conditionalFormatting>
  <conditionalFormatting sqref="E3:N14">
    <cfRule type="cellIs" dxfId="347" priority="8" operator="lessThan">
      <formula>0</formula>
    </cfRule>
  </conditionalFormatting>
  <conditionalFormatting sqref="E14:N14">
    <cfRule type="cellIs" dxfId="346" priority="11" operator="greaterThan">
      <formula>1</formula>
    </cfRule>
  </conditionalFormatting>
  <conditionalFormatting sqref="N3:N12">
    <cfRule type="expression" dxfId="345" priority="15">
      <formula>AND($D3=$E$24, N3=$D$25)</formula>
    </cfRule>
    <cfRule type="expression" dxfId="344" priority="16">
      <formula>AND($D3=$E$24, MOD(N3,100)&gt;$D$25)</formula>
    </cfRule>
    <cfRule type="cellIs" dxfId="343" priority="17" operator="equal">
      <formula>100</formula>
    </cfRule>
  </conditionalFormatting>
  <conditionalFormatting sqref="N3:N13">
    <cfRule type="cellIs" dxfId="342" priority="9" operator="equal">
      <formula>0</formula>
    </cfRule>
  </conditionalFormatting>
  <conditionalFormatting sqref="N13">
    <cfRule type="cellIs" dxfId="341" priority="13" operator="equal">
      <formula>$B$7</formula>
    </cfRule>
  </conditionalFormatting>
  <conditionalFormatting sqref="N14">
    <cfRule type="cellIs" dxfId="340" priority="10" operator="equal">
      <formula>1</formula>
    </cfRule>
    <cfRule type="cellIs" dxfId="339" priority="12" operator="lessThan">
      <formula>1</formula>
    </cfRule>
  </conditionalFormatting>
  <conditionalFormatting sqref="N50 N52:N59 N68:N72 N78:N80">
    <cfRule type="cellIs" dxfId="338" priority="20" operator="lessThan">
      <formula>0</formula>
    </cfRule>
    <cfRule type="cellIs" dxfId="337" priority="21" operator="equal">
      <formula>0</formula>
    </cfRule>
    <cfRule type="expression" dxfId="336" priority="22">
      <formula>OR(MOD($N50,100)=0,AND($D50=$E$24,MOD($N50,100)=$D$25))</formula>
    </cfRule>
  </conditionalFormatting>
  <conditionalFormatting sqref="N51">
    <cfRule type="cellIs" dxfId="335" priority="23" operator="notBetween">
      <formula>0</formula>
      <formula>$B$7</formula>
    </cfRule>
    <cfRule type="cellIs" dxfId="334" priority="24" operator="equal">
      <formula>0</formula>
    </cfRule>
    <cfRule type="expression" dxfId="333" priority="25">
      <formula>OR(MOD($N51,100)=0,AND($D51=$E$24,MOD($N51,100)=$D$25))</formula>
    </cfRule>
  </conditionalFormatting>
  <conditionalFormatting sqref="Q4:Q15">
    <cfRule type="expression" dxfId="332" priority="29">
      <formula>AND($Q4&lt;$Q3, NOT(ISBLANK($Q4)))</formula>
    </cfRule>
    <cfRule type="cellIs" dxfId="331" priority="30" operator="greaterThan">
      <formula>$B$6</formula>
    </cfRule>
  </conditionalFormatting>
  <conditionalFormatting sqref="R4:R15">
    <cfRule type="cellIs" dxfId="330" priority="7" operator="greaterThan">
      <formula>1</formula>
    </cfRule>
  </conditionalFormatting>
  <dataValidations count="2">
    <dataValidation type="list" allowBlank="1" showInputMessage="1" showErrorMessage="1" sqref="C50:C59" xr:uid="{4F15929B-5076-406F-BACB-A256CFED7DE8}">
      <formula1>$D$19:$D$21</formula1>
    </dataValidation>
    <dataValidation type="list" allowBlank="1" showInputMessage="1" showErrorMessage="1" sqref="D68:D72 D78:D82 D50:D59" xr:uid="{4C6E2AC7-A452-4807-A0E0-4F563283009C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8DEB8-A77B-481A-81B7-0D26383AF967}">
  <sheetPr codeName="Feuil44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7</v>
      </c>
      <c r="F3" s="59">
        <v>6</v>
      </c>
      <c r="G3" s="59">
        <v>28</v>
      </c>
      <c r="H3" s="59">
        <v>19</v>
      </c>
      <c r="I3" s="59">
        <v>32</v>
      </c>
      <c r="J3" s="59">
        <v>4</v>
      </c>
      <c r="K3" s="59">
        <v>2</v>
      </c>
      <c r="L3" s="73">
        <v>2</v>
      </c>
      <c r="M3" s="74">
        <v>0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2</v>
      </c>
      <c r="D4" s="195" cm="1">
        <f t="array" ref="D4">IF(ROW(2:2)&lt;=$E$24, (ROW(2:2)), "")</f>
        <v>2</v>
      </c>
      <c r="E4" s="60">
        <v>7</v>
      </c>
      <c r="F4" s="60">
        <v>6</v>
      </c>
      <c r="G4" s="60">
        <v>31</v>
      </c>
      <c r="H4" s="60">
        <v>14</v>
      </c>
      <c r="I4" s="60">
        <v>31</v>
      </c>
      <c r="J4" s="60">
        <v>6</v>
      </c>
      <c r="K4" s="60">
        <v>3</v>
      </c>
      <c r="L4" s="61">
        <v>1</v>
      </c>
      <c r="M4" s="62">
        <v>1</v>
      </c>
      <c r="N4" s="162">
        <f t="shared" si="0"/>
        <v>100</v>
      </c>
      <c r="O4" s="263"/>
      <c r="P4" s="260" t="s">
        <v>33</v>
      </c>
      <c r="Q4" s="239">
        <v>45</v>
      </c>
      <c r="R4" s="192">
        <f t="shared" ref="R4:R13" si="1">IF(OR(Q4=0, Q4=""), NA(), Q4/$B$6)</f>
        <v>6.0810810810810814E-2</v>
      </c>
      <c r="T4" s="167" t="s">
        <v>45</v>
      </c>
      <c r="U4" s="208">
        <f t="shared" ref="U4:U13" si="2">IF(Q4&lt;&gt;0,Q4-Q3,NA())</f>
        <v>45</v>
      </c>
    </row>
    <row r="5" spans="1:22" ht="20.149999999999999" customHeight="1" x14ac:dyDescent="0.3">
      <c r="A5" s="39" t="s">
        <v>24</v>
      </c>
      <c r="B5" s="267" t="str">
        <f>INDEX(Synthèse!B:B,B4+2)</f>
        <v>Gymnase B</v>
      </c>
      <c r="D5" s="195" cm="1">
        <f t="array" ref="D5">IF(ROW(3:3)&lt;=$E$24, (ROW(3:3)), "")</f>
        <v>3</v>
      </c>
      <c r="E5" s="60">
        <v>8</v>
      </c>
      <c r="F5" s="60">
        <v>5</v>
      </c>
      <c r="G5" s="60">
        <v>29</v>
      </c>
      <c r="H5" s="60">
        <v>20</v>
      </c>
      <c r="I5" s="60">
        <v>25</v>
      </c>
      <c r="J5" s="60">
        <v>4</v>
      </c>
      <c r="K5" s="60">
        <v>3</v>
      </c>
      <c r="L5" s="75">
        <v>3</v>
      </c>
      <c r="M5" s="76">
        <v>3</v>
      </c>
      <c r="N5" s="162">
        <f t="shared" si="0"/>
        <v>100</v>
      </c>
      <c r="O5" s="264"/>
      <c r="P5" s="260" t="s">
        <v>34</v>
      </c>
      <c r="Q5" s="239">
        <v>80</v>
      </c>
      <c r="R5" s="192">
        <f t="shared" si="1"/>
        <v>0.10810810810810811</v>
      </c>
      <c r="T5" s="168" t="s">
        <v>46</v>
      </c>
      <c r="U5" s="209">
        <f t="shared" si="2"/>
        <v>35</v>
      </c>
    </row>
    <row r="6" spans="1:22" ht="20.149999999999999" customHeight="1" x14ac:dyDescent="0.3">
      <c r="A6" s="39" t="s">
        <v>0</v>
      </c>
      <c r="B6" s="87">
        <f>INDEX(Synthèse!C:C,B4+2)</f>
        <v>740</v>
      </c>
      <c r="D6" s="195" cm="1">
        <f t="array" ref="D6">IF(ROW(4:4)&lt;=$E$24, (ROW(4:4)), "")</f>
        <v>4</v>
      </c>
      <c r="E6" s="60">
        <v>5</v>
      </c>
      <c r="F6" s="60">
        <v>0</v>
      </c>
      <c r="G6" s="60">
        <v>25</v>
      </c>
      <c r="H6" s="60">
        <v>17</v>
      </c>
      <c r="I6" s="60">
        <v>37</v>
      </c>
      <c r="J6" s="60">
        <v>4</v>
      </c>
      <c r="K6" s="60">
        <v>2</v>
      </c>
      <c r="L6" s="75">
        <v>2</v>
      </c>
      <c r="M6" s="76">
        <v>8</v>
      </c>
      <c r="N6" s="162">
        <f t="shared" si="0"/>
        <v>100</v>
      </c>
      <c r="O6" s="264"/>
      <c r="P6" s="260" t="s">
        <v>35</v>
      </c>
      <c r="Q6" s="239">
        <v>140</v>
      </c>
      <c r="R6" s="192">
        <f t="shared" si="1"/>
        <v>0.1891891891891892</v>
      </c>
      <c r="T6" s="168" t="s">
        <v>47</v>
      </c>
      <c r="U6" s="209">
        <f t="shared" si="2"/>
        <v>60</v>
      </c>
    </row>
    <row r="7" spans="1:22" ht="20.149999999999999" customHeight="1" x14ac:dyDescent="0.3">
      <c r="A7" s="39" t="s">
        <v>2</v>
      </c>
      <c r="B7" s="69">
        <f>MAX(Q4:Q15)</f>
        <v>443</v>
      </c>
      <c r="D7" s="195" cm="1">
        <f t="array" ref="D7">IF(ROW(5:5)&lt;=$E$24, (ROW(5:5)), "")</f>
        <v>5</v>
      </c>
      <c r="E7" s="60">
        <v>2</v>
      </c>
      <c r="F7" s="60">
        <v>2</v>
      </c>
      <c r="G7" s="60">
        <v>16</v>
      </c>
      <c r="H7" s="60">
        <v>8</v>
      </c>
      <c r="I7" s="60">
        <v>12</v>
      </c>
      <c r="J7" s="60">
        <v>2</v>
      </c>
      <c r="K7" s="60">
        <v>0</v>
      </c>
      <c r="L7" s="61">
        <v>1</v>
      </c>
      <c r="M7" s="62">
        <v>0</v>
      </c>
      <c r="N7" s="162">
        <f t="shared" si="0"/>
        <v>43</v>
      </c>
      <c r="O7" s="264"/>
      <c r="P7" s="260" t="s">
        <v>36</v>
      </c>
      <c r="Q7" s="239">
        <v>230</v>
      </c>
      <c r="R7" s="192">
        <f t="shared" si="1"/>
        <v>0.3108108108108108</v>
      </c>
      <c r="T7" s="168" t="s">
        <v>54</v>
      </c>
      <c r="U7" s="209">
        <f t="shared" si="2"/>
        <v>90</v>
      </c>
    </row>
    <row r="8" spans="1:22" ht="20.149999999999999" customHeight="1" x14ac:dyDescent="0.3">
      <c r="A8" s="39" t="s">
        <v>1</v>
      </c>
      <c r="B8" s="70">
        <v>443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268</v>
      </c>
      <c r="R8" s="192">
        <f t="shared" si="1"/>
        <v>0.36216216216216218</v>
      </c>
      <c r="T8" s="168" t="s">
        <v>48</v>
      </c>
      <c r="U8" s="209">
        <f t="shared" si="2"/>
        <v>38</v>
      </c>
    </row>
    <row r="9" spans="1:22" ht="20.149999999999999" customHeight="1" thickBot="1" x14ac:dyDescent="0.35">
      <c r="A9" s="40" t="s">
        <v>17</v>
      </c>
      <c r="B9" s="71">
        <f>B6-B7</f>
        <v>297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310</v>
      </c>
      <c r="R9" s="192">
        <f t="shared" si="1"/>
        <v>0.41891891891891891</v>
      </c>
      <c r="T9" s="168" t="s">
        <v>49</v>
      </c>
      <c r="U9" s="209">
        <f t="shared" si="2"/>
        <v>42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360</v>
      </c>
      <c r="R10" s="192">
        <f t="shared" si="1"/>
        <v>0.48648648648648651</v>
      </c>
      <c r="T10" s="168" t="s">
        <v>50</v>
      </c>
      <c r="U10" s="209">
        <f t="shared" si="2"/>
        <v>50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390</v>
      </c>
      <c r="R11" s="192">
        <f t="shared" si="1"/>
        <v>0.52702702702702697</v>
      </c>
      <c r="T11" s="168" t="s">
        <v>51</v>
      </c>
      <c r="U11" s="209">
        <f t="shared" si="2"/>
        <v>30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415</v>
      </c>
      <c r="R12" s="192">
        <f t="shared" si="1"/>
        <v>0.56081081081081086</v>
      </c>
      <c r="T12" s="168" t="s">
        <v>52</v>
      </c>
      <c r="U12" s="209">
        <f t="shared" si="2"/>
        <v>25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29</v>
      </c>
      <c r="F13" s="66">
        <f t="shared" si="3"/>
        <v>19</v>
      </c>
      <c r="G13" s="66">
        <f t="shared" si="3"/>
        <v>129</v>
      </c>
      <c r="H13" s="66">
        <f t="shared" si="3"/>
        <v>78</v>
      </c>
      <c r="I13" s="66">
        <f t="shared" si="3"/>
        <v>137</v>
      </c>
      <c r="J13" s="66">
        <f t="shared" si="3"/>
        <v>20</v>
      </c>
      <c r="K13" s="66">
        <f t="shared" si="3"/>
        <v>10</v>
      </c>
      <c r="L13" s="67">
        <f t="shared" si="3"/>
        <v>9</v>
      </c>
      <c r="M13" s="68">
        <f t="shared" si="3"/>
        <v>12</v>
      </c>
      <c r="N13" s="249">
        <f>SUM(N3:N12)</f>
        <v>443</v>
      </c>
      <c r="O13" s="264"/>
      <c r="P13" s="260" t="s">
        <v>42</v>
      </c>
      <c r="Q13" s="239">
        <v>443</v>
      </c>
      <c r="R13" s="192">
        <f t="shared" si="1"/>
        <v>0.59864864864864864</v>
      </c>
      <c r="T13" s="169" t="s">
        <v>53</v>
      </c>
      <c r="U13" s="210">
        <f t="shared" si="2"/>
        <v>28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6.5462753950338598E-2</v>
      </c>
      <c r="F14" s="19">
        <f t="shared" si="4"/>
        <v>4.2889390519187359E-2</v>
      </c>
      <c r="G14" s="19">
        <f t="shared" si="4"/>
        <v>0.29119638826185101</v>
      </c>
      <c r="H14" s="19">
        <f t="shared" si="4"/>
        <v>0.17607223476297967</v>
      </c>
      <c r="I14" s="19">
        <f t="shared" si="4"/>
        <v>0.30925507900677202</v>
      </c>
      <c r="J14" s="19">
        <f t="shared" si="4"/>
        <v>4.5146726862302484E-2</v>
      </c>
      <c r="K14" s="19">
        <f t="shared" si="4"/>
        <v>2.2573363431151242E-2</v>
      </c>
      <c r="L14" s="18">
        <f t="shared" si="4"/>
        <v>2.0316027088036117E-2</v>
      </c>
      <c r="M14" s="20">
        <f t="shared" si="4"/>
        <v>2.7088036117381489E-2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8</v>
      </c>
      <c r="E24" s="246">
        <f>CEILING($B$7,100)/100</f>
        <v>5</v>
      </c>
      <c r="O24" s="263"/>
    </row>
    <row r="25" spans="1:15" ht="13" x14ac:dyDescent="0.25">
      <c r="D25" s="102">
        <f>MOD($B$7,100)</f>
        <v>43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xsGNfMvTDSYmL0N4kiQ55RVo1W/vcCn/OJrCFhF2WxYcKCdB40IcyYxKJsoMdVh9Js1ZDoltg0Bv8XSrNW+0aw==" saltValue="5vFo8sw6yXmj0/FYL0FTrw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329" priority="1" operator="equal">
      <formula>0</formula>
    </cfRule>
    <cfRule type="cellIs" dxfId="328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327" priority="19">
      <formula>($D3&gt;$E$24)</formula>
    </cfRule>
  </conditionalFormatting>
  <conditionalFormatting sqref="E3:M12">
    <cfRule type="expression" dxfId="326" priority="18">
      <formula>($D3&lt;=$E$24)</formula>
    </cfRule>
  </conditionalFormatting>
  <conditionalFormatting sqref="E50:M59 E68:M72 E78:M80">
    <cfRule type="expression" dxfId="325" priority="27">
      <formula>($D50&lt;=$E$24)</formula>
    </cfRule>
    <cfRule type="expression" dxfId="324" priority="28">
      <formula>($D50&gt;$E$24)</formula>
    </cfRule>
  </conditionalFormatting>
  <conditionalFormatting sqref="E50:M59">
    <cfRule type="expression" dxfId="323" priority="3">
      <formula>AND(E50&lt;MAX(E$50:E50), NOT(ISBLANK(E50)), NOT(E50=0))</formula>
    </cfRule>
  </conditionalFormatting>
  <conditionalFormatting sqref="E68:M72">
    <cfRule type="expression" dxfId="322" priority="2">
      <formula>AND(E68&lt;MAX(E$68:E68), NOT(ISBLANK(E68)), NOT(E68=0))</formula>
    </cfRule>
  </conditionalFormatting>
  <conditionalFormatting sqref="E78:M80 E50:M59 E68:M72">
    <cfRule type="cellIs" dxfId="321" priority="26" operator="notBetween">
      <formula>0</formula>
      <formula>$B$7</formula>
    </cfRule>
  </conditionalFormatting>
  <conditionalFormatting sqref="E78:M80">
    <cfRule type="expression" dxfId="320" priority="14">
      <formula>AND(E78&lt;MAX(E$78:E78), NOT(ISBLANK(E78)), NOT(E78=0))</formula>
    </cfRule>
  </conditionalFormatting>
  <conditionalFormatting sqref="E3:N12">
    <cfRule type="cellIs" dxfId="319" priority="5" operator="notBetween">
      <formula>0</formula>
      <formula>100</formula>
    </cfRule>
  </conditionalFormatting>
  <conditionalFormatting sqref="E3:N14">
    <cfRule type="cellIs" dxfId="318" priority="8" operator="lessThan">
      <formula>0</formula>
    </cfRule>
  </conditionalFormatting>
  <conditionalFormatting sqref="E14:N14">
    <cfRule type="cellIs" dxfId="317" priority="11" operator="greaterThan">
      <formula>1</formula>
    </cfRule>
  </conditionalFormatting>
  <conditionalFormatting sqref="N3:N12">
    <cfRule type="expression" dxfId="316" priority="15">
      <formula>AND($D3=$E$24, N3=$D$25)</formula>
    </cfRule>
    <cfRule type="expression" dxfId="315" priority="16">
      <formula>AND($D3=$E$24, MOD(N3,100)&gt;$D$25)</formula>
    </cfRule>
    <cfRule type="cellIs" dxfId="314" priority="17" operator="equal">
      <formula>100</formula>
    </cfRule>
  </conditionalFormatting>
  <conditionalFormatting sqref="N3:N13">
    <cfRule type="cellIs" dxfId="313" priority="9" operator="equal">
      <formula>0</formula>
    </cfRule>
  </conditionalFormatting>
  <conditionalFormatting sqref="N13">
    <cfRule type="cellIs" dxfId="312" priority="13" operator="equal">
      <formula>$B$7</formula>
    </cfRule>
  </conditionalFormatting>
  <conditionalFormatting sqref="N14">
    <cfRule type="cellIs" dxfId="311" priority="10" operator="equal">
      <formula>1</formula>
    </cfRule>
    <cfRule type="cellIs" dxfId="310" priority="12" operator="lessThan">
      <formula>1</formula>
    </cfRule>
  </conditionalFormatting>
  <conditionalFormatting sqref="N50 N52:N59 N68:N72 N78:N80">
    <cfRule type="cellIs" dxfId="309" priority="20" operator="lessThan">
      <formula>0</formula>
    </cfRule>
    <cfRule type="cellIs" dxfId="308" priority="21" operator="equal">
      <formula>0</formula>
    </cfRule>
    <cfRule type="expression" dxfId="307" priority="22">
      <formula>OR(MOD($N50,100)=0,AND($D50=$E$24,MOD($N50,100)=$D$25))</formula>
    </cfRule>
  </conditionalFormatting>
  <conditionalFormatting sqref="N51">
    <cfRule type="cellIs" dxfId="306" priority="23" operator="notBetween">
      <formula>0</formula>
      <formula>$B$7</formula>
    </cfRule>
    <cfRule type="cellIs" dxfId="305" priority="24" operator="equal">
      <formula>0</formula>
    </cfRule>
    <cfRule type="expression" dxfId="304" priority="25">
      <formula>OR(MOD($N51,100)=0,AND($D51=$E$24,MOD($N51,100)=$D$25))</formula>
    </cfRule>
  </conditionalFormatting>
  <conditionalFormatting sqref="Q4:Q15">
    <cfRule type="expression" dxfId="303" priority="29">
      <formula>AND($Q4&lt;$Q3, NOT(ISBLANK($Q4)))</formula>
    </cfRule>
    <cfRule type="cellIs" dxfId="302" priority="30" operator="greaterThan">
      <formula>$B$6</formula>
    </cfRule>
  </conditionalFormatting>
  <conditionalFormatting sqref="R4:R15">
    <cfRule type="cellIs" dxfId="301" priority="7" operator="greaterThan">
      <formula>1</formula>
    </cfRule>
  </conditionalFormatting>
  <dataValidations count="2">
    <dataValidation type="list" allowBlank="1" showInputMessage="1" showErrorMessage="1" sqref="C50:C59" xr:uid="{AFD1C85D-7C18-4E80-9D97-2F1CBE0F8E06}">
      <formula1>$D$19:$D$21</formula1>
    </dataValidation>
    <dataValidation type="list" allowBlank="1" showInputMessage="1" showErrorMessage="1" sqref="D68:D72 D78:D82 D50:D59" xr:uid="{4B427D47-8435-4126-ACBD-255EC3EBDE16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7C2C-26E7-4323-9062-8B349CF1DACB}">
  <sheetPr codeName="Feuil45">
    <tabColor rgb="FFB4A7D6"/>
  </sheetPr>
  <dimension ref="A1:V82"/>
  <sheetViews>
    <sheetView topLeftCell="A5"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12</v>
      </c>
      <c r="F3" s="59">
        <v>7</v>
      </c>
      <c r="G3" s="59">
        <v>21</v>
      </c>
      <c r="H3" s="59">
        <v>19</v>
      </c>
      <c r="I3" s="59">
        <v>24</v>
      </c>
      <c r="J3" s="59">
        <v>5</v>
      </c>
      <c r="K3" s="59">
        <v>3</v>
      </c>
      <c r="L3" s="73">
        <v>6</v>
      </c>
      <c r="M3" s="74">
        <v>3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3</v>
      </c>
      <c r="D4" s="195" cm="1">
        <f t="array" ref="D4">IF(ROW(2:2)&lt;=$E$24, (ROW(2:2)), "")</f>
        <v>2</v>
      </c>
      <c r="E4" s="60">
        <v>11</v>
      </c>
      <c r="F4" s="60">
        <v>1</v>
      </c>
      <c r="G4" s="60">
        <v>20</v>
      </c>
      <c r="H4" s="60">
        <v>15</v>
      </c>
      <c r="I4" s="60">
        <v>40</v>
      </c>
      <c r="J4" s="60">
        <v>0</v>
      </c>
      <c r="K4" s="60">
        <v>3</v>
      </c>
      <c r="L4" s="61">
        <v>5</v>
      </c>
      <c r="M4" s="62">
        <v>5</v>
      </c>
      <c r="N4" s="162">
        <f t="shared" si="0"/>
        <v>100</v>
      </c>
      <c r="O4" s="263"/>
      <c r="P4" s="260" t="s">
        <v>33</v>
      </c>
      <c r="Q4" s="239">
        <v>40</v>
      </c>
      <c r="R4" s="192">
        <f t="shared" ref="R4:R13" si="1">IF(OR(Q4=0, Q4=""), NA(), Q4/$B$6)</f>
        <v>5.6100981767180924E-2</v>
      </c>
      <c r="T4" s="167" t="s">
        <v>45</v>
      </c>
      <c r="U4" s="208">
        <f t="shared" ref="U4:U13" si="2">IF(Q4&lt;&gt;0,Q4-Q3,NA())</f>
        <v>40</v>
      </c>
    </row>
    <row r="5" spans="1:22" ht="20.149999999999999" customHeight="1" x14ac:dyDescent="0.3">
      <c r="A5" s="39" t="s">
        <v>24</v>
      </c>
      <c r="B5" s="267" t="str">
        <f>INDEX(Synthèse!B:B,B4+2)</f>
        <v>Gymnase B</v>
      </c>
      <c r="D5" s="195" cm="1">
        <f t="array" ref="D5">IF(ROW(3:3)&lt;=$E$24, (ROW(3:3)), "")</f>
        <v>3</v>
      </c>
      <c r="E5" s="60">
        <v>7</v>
      </c>
      <c r="F5" s="60">
        <v>1</v>
      </c>
      <c r="G5" s="60">
        <v>30</v>
      </c>
      <c r="H5" s="60">
        <v>22</v>
      </c>
      <c r="I5" s="60">
        <v>33</v>
      </c>
      <c r="J5" s="60">
        <v>5</v>
      </c>
      <c r="K5" s="60">
        <v>2</v>
      </c>
      <c r="L5" s="75">
        <v>0</v>
      </c>
      <c r="M5" s="76">
        <v>0</v>
      </c>
      <c r="N5" s="162">
        <f t="shared" si="0"/>
        <v>100</v>
      </c>
      <c r="O5" s="264"/>
      <c r="P5" s="260" t="s">
        <v>34</v>
      </c>
      <c r="Q5" s="239">
        <v>110</v>
      </c>
      <c r="R5" s="192">
        <f t="shared" si="1"/>
        <v>0.15427769985974754</v>
      </c>
      <c r="T5" s="168" t="s">
        <v>46</v>
      </c>
      <c r="U5" s="209">
        <f t="shared" si="2"/>
        <v>70</v>
      </c>
    </row>
    <row r="6" spans="1:22" ht="20.149999999999999" customHeight="1" x14ac:dyDescent="0.3">
      <c r="A6" s="39" t="s">
        <v>0</v>
      </c>
      <c r="B6" s="87">
        <f>INDEX(Synthèse!C:C,B4+2)</f>
        <v>713</v>
      </c>
      <c r="D6" s="195" cm="1">
        <f t="array" ref="D6">IF(ROW(4:4)&lt;=$E$24, (ROW(4:4)), "")</f>
        <v>4</v>
      </c>
      <c r="E6" s="60">
        <v>7</v>
      </c>
      <c r="F6" s="60">
        <v>0</v>
      </c>
      <c r="G6" s="60">
        <v>30</v>
      </c>
      <c r="H6" s="60">
        <v>20</v>
      </c>
      <c r="I6" s="60">
        <v>43</v>
      </c>
      <c r="J6" s="60">
        <v>0</v>
      </c>
      <c r="K6" s="60">
        <v>0</v>
      </c>
      <c r="L6" s="75">
        <v>0</v>
      </c>
      <c r="M6" s="76">
        <v>0</v>
      </c>
      <c r="N6" s="162">
        <f t="shared" si="0"/>
        <v>100</v>
      </c>
      <c r="O6" s="264"/>
      <c r="P6" s="260" t="s">
        <v>35</v>
      </c>
      <c r="Q6" s="239">
        <v>190</v>
      </c>
      <c r="R6" s="192">
        <f t="shared" si="1"/>
        <v>0.26647966339410939</v>
      </c>
      <c r="T6" s="168" t="s">
        <v>47</v>
      </c>
      <c r="U6" s="209">
        <f t="shared" si="2"/>
        <v>80</v>
      </c>
    </row>
    <row r="7" spans="1:22" ht="20.149999999999999" customHeight="1" x14ac:dyDescent="0.3">
      <c r="A7" s="39" t="s">
        <v>2</v>
      </c>
      <c r="B7" s="69">
        <f>MAX(Q4:Q15)</f>
        <v>484</v>
      </c>
      <c r="D7" s="195" cm="1">
        <f t="array" ref="D7">IF(ROW(5:5)&lt;=$E$24, (ROW(5:5)), "")</f>
        <v>5</v>
      </c>
      <c r="E7" s="60">
        <v>0</v>
      </c>
      <c r="F7" s="60">
        <v>0</v>
      </c>
      <c r="G7" s="60">
        <v>36</v>
      </c>
      <c r="H7" s="60">
        <v>0</v>
      </c>
      <c r="I7" s="60">
        <v>48</v>
      </c>
      <c r="J7" s="60">
        <v>0</v>
      </c>
      <c r="K7" s="60"/>
      <c r="L7" s="61">
        <v>0</v>
      </c>
      <c r="M7" s="62">
        <v>0</v>
      </c>
      <c r="N7" s="162">
        <f t="shared" si="0"/>
        <v>84</v>
      </c>
      <c r="O7" s="264"/>
      <c r="P7" s="260" t="s">
        <v>36</v>
      </c>
      <c r="Q7" s="239">
        <v>270</v>
      </c>
      <c r="R7" s="192">
        <f t="shared" si="1"/>
        <v>0.37868162692847124</v>
      </c>
      <c r="T7" s="168" t="s">
        <v>54</v>
      </c>
      <c r="U7" s="209">
        <f t="shared" si="2"/>
        <v>80</v>
      </c>
    </row>
    <row r="8" spans="1:22" ht="20.149999999999999" customHeight="1" x14ac:dyDescent="0.3">
      <c r="A8" s="39" t="s">
        <v>1</v>
      </c>
      <c r="B8" s="70">
        <v>484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310</v>
      </c>
      <c r="R8" s="192">
        <f t="shared" si="1"/>
        <v>0.43478260869565216</v>
      </c>
      <c r="T8" s="168" t="s">
        <v>48</v>
      </c>
      <c r="U8" s="209">
        <f t="shared" si="2"/>
        <v>40</v>
      </c>
    </row>
    <row r="9" spans="1:22" ht="20.149999999999999" customHeight="1" thickBot="1" x14ac:dyDescent="0.35">
      <c r="A9" s="40" t="s">
        <v>17</v>
      </c>
      <c r="B9" s="71">
        <f>B6-B7</f>
        <v>229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360</v>
      </c>
      <c r="R9" s="192">
        <f t="shared" si="1"/>
        <v>0.50490883590462832</v>
      </c>
      <c r="T9" s="168" t="s">
        <v>49</v>
      </c>
      <c r="U9" s="209">
        <f t="shared" si="2"/>
        <v>50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410</v>
      </c>
      <c r="R10" s="192">
        <f t="shared" si="1"/>
        <v>0.57503506311360453</v>
      </c>
      <c r="T10" s="168" t="s">
        <v>50</v>
      </c>
      <c r="U10" s="209">
        <f t="shared" si="2"/>
        <v>50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440</v>
      </c>
      <c r="R11" s="192">
        <f t="shared" si="1"/>
        <v>0.61711079943899017</v>
      </c>
      <c r="T11" s="168" t="s">
        <v>51</v>
      </c>
      <c r="U11" s="209">
        <f t="shared" si="2"/>
        <v>30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470</v>
      </c>
      <c r="R12" s="192">
        <f t="shared" si="1"/>
        <v>0.65918653576437591</v>
      </c>
      <c r="T12" s="168" t="s">
        <v>52</v>
      </c>
      <c r="U12" s="209">
        <f t="shared" si="2"/>
        <v>30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37</v>
      </c>
      <c r="F13" s="66">
        <f t="shared" si="3"/>
        <v>9</v>
      </c>
      <c r="G13" s="66">
        <f t="shared" si="3"/>
        <v>137</v>
      </c>
      <c r="H13" s="66">
        <f t="shared" si="3"/>
        <v>76</v>
      </c>
      <c r="I13" s="66">
        <f t="shared" si="3"/>
        <v>188</v>
      </c>
      <c r="J13" s="66">
        <f t="shared" si="3"/>
        <v>10</v>
      </c>
      <c r="K13" s="66">
        <f t="shared" si="3"/>
        <v>8</v>
      </c>
      <c r="L13" s="67">
        <f t="shared" si="3"/>
        <v>11</v>
      </c>
      <c r="M13" s="68">
        <f t="shared" si="3"/>
        <v>8</v>
      </c>
      <c r="N13" s="249">
        <f>SUM(N3:N12)</f>
        <v>484</v>
      </c>
      <c r="O13" s="264"/>
      <c r="P13" s="260" t="s">
        <v>42</v>
      </c>
      <c r="Q13" s="239">
        <v>484</v>
      </c>
      <c r="R13" s="192">
        <f t="shared" si="1"/>
        <v>0.67882187938288918</v>
      </c>
      <c r="T13" s="169" t="s">
        <v>53</v>
      </c>
      <c r="U13" s="210">
        <f t="shared" si="2"/>
        <v>14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7.6446280991735532E-2</v>
      </c>
      <c r="F14" s="19">
        <f t="shared" si="4"/>
        <v>1.859504132231405E-2</v>
      </c>
      <c r="G14" s="19">
        <f t="shared" si="4"/>
        <v>0.28305785123966942</v>
      </c>
      <c r="H14" s="19">
        <f t="shared" si="4"/>
        <v>0.15702479338842976</v>
      </c>
      <c r="I14" s="19">
        <f t="shared" si="4"/>
        <v>0.38842975206611569</v>
      </c>
      <c r="J14" s="19">
        <f t="shared" si="4"/>
        <v>2.0661157024793389E-2</v>
      </c>
      <c r="K14" s="19">
        <f t="shared" si="4"/>
        <v>1.6528925619834711E-2</v>
      </c>
      <c r="L14" s="18">
        <f t="shared" si="4"/>
        <v>2.2727272727272728E-2</v>
      </c>
      <c r="M14" s="20">
        <f t="shared" si="4"/>
        <v>1.6528925619834711E-2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8</v>
      </c>
      <c r="E24" s="246">
        <f>CEILING($B$7,100)/100</f>
        <v>5</v>
      </c>
      <c r="O24" s="263"/>
    </row>
    <row r="25" spans="1:15" ht="13" x14ac:dyDescent="0.25">
      <c r="D25" s="102">
        <f>MOD($B$7,100)</f>
        <v>84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8DPULIg6AppA13w4jkw3dNbqGoGpaslFZYlb7CSKDrP3VYN9vSQgjxCcJ4wcwa4ePzigzfEBFMXADWVZfQVPPw==" saltValue="9WSp8TkaitITuXQM+uB6eg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300" priority="1" operator="equal">
      <formula>0</formula>
    </cfRule>
    <cfRule type="cellIs" dxfId="299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298" priority="19">
      <formula>($D3&gt;$E$24)</formula>
    </cfRule>
  </conditionalFormatting>
  <conditionalFormatting sqref="E3:M12">
    <cfRule type="expression" dxfId="297" priority="18">
      <formula>($D3&lt;=$E$24)</formula>
    </cfRule>
  </conditionalFormatting>
  <conditionalFormatting sqref="E50:M59 E68:M72 E78:M80">
    <cfRule type="expression" dxfId="296" priority="27">
      <formula>($D50&lt;=$E$24)</formula>
    </cfRule>
    <cfRule type="expression" dxfId="295" priority="28">
      <formula>($D50&gt;$E$24)</formula>
    </cfRule>
  </conditionalFormatting>
  <conditionalFormatting sqref="E50:M59">
    <cfRule type="expression" dxfId="294" priority="3">
      <formula>AND(E50&lt;MAX(E$50:E50), NOT(ISBLANK(E50)), NOT(E50=0))</formula>
    </cfRule>
  </conditionalFormatting>
  <conditionalFormatting sqref="E68:M72">
    <cfRule type="expression" dxfId="293" priority="2">
      <formula>AND(E68&lt;MAX(E$68:E68), NOT(ISBLANK(E68)), NOT(E68=0))</formula>
    </cfRule>
  </conditionalFormatting>
  <conditionalFormatting sqref="E78:M80 E50:M59 E68:M72">
    <cfRule type="cellIs" dxfId="292" priority="26" operator="notBetween">
      <formula>0</formula>
      <formula>$B$7</formula>
    </cfRule>
  </conditionalFormatting>
  <conditionalFormatting sqref="E78:M80">
    <cfRule type="expression" dxfId="291" priority="14">
      <formula>AND(E78&lt;MAX(E$78:E78), NOT(ISBLANK(E78)), NOT(E78=0))</formula>
    </cfRule>
  </conditionalFormatting>
  <conditionalFormatting sqref="E3:N12">
    <cfRule type="cellIs" dxfId="290" priority="5" operator="notBetween">
      <formula>0</formula>
      <formula>100</formula>
    </cfRule>
  </conditionalFormatting>
  <conditionalFormatting sqref="E3:N14">
    <cfRule type="cellIs" dxfId="289" priority="8" operator="lessThan">
      <formula>0</formula>
    </cfRule>
  </conditionalFormatting>
  <conditionalFormatting sqref="E14:N14">
    <cfRule type="cellIs" dxfId="288" priority="11" operator="greaterThan">
      <formula>1</formula>
    </cfRule>
  </conditionalFormatting>
  <conditionalFormatting sqref="N3:N12">
    <cfRule type="expression" dxfId="287" priority="15">
      <formula>AND($D3=$E$24, N3=$D$25)</formula>
    </cfRule>
    <cfRule type="expression" dxfId="286" priority="16">
      <formula>AND($D3=$E$24, MOD(N3,100)&gt;$D$25)</formula>
    </cfRule>
    <cfRule type="cellIs" dxfId="285" priority="17" operator="equal">
      <formula>100</formula>
    </cfRule>
  </conditionalFormatting>
  <conditionalFormatting sqref="N3:N13">
    <cfRule type="cellIs" dxfId="284" priority="9" operator="equal">
      <formula>0</formula>
    </cfRule>
  </conditionalFormatting>
  <conditionalFormatting sqref="N13">
    <cfRule type="cellIs" dxfId="283" priority="13" operator="equal">
      <formula>$B$7</formula>
    </cfRule>
  </conditionalFormatting>
  <conditionalFormatting sqref="N14">
    <cfRule type="cellIs" dxfId="282" priority="10" operator="equal">
      <formula>1</formula>
    </cfRule>
    <cfRule type="cellIs" dxfId="281" priority="12" operator="lessThan">
      <formula>1</formula>
    </cfRule>
  </conditionalFormatting>
  <conditionalFormatting sqref="N50 N52:N59 N68:N72 N78:N80">
    <cfRule type="cellIs" dxfId="280" priority="20" operator="lessThan">
      <formula>0</formula>
    </cfRule>
    <cfRule type="cellIs" dxfId="279" priority="21" operator="equal">
      <formula>0</formula>
    </cfRule>
    <cfRule type="expression" dxfId="278" priority="22">
      <formula>OR(MOD($N50,100)=0,AND($D50=$E$24,MOD($N50,100)=$D$25))</formula>
    </cfRule>
  </conditionalFormatting>
  <conditionalFormatting sqref="N51">
    <cfRule type="cellIs" dxfId="277" priority="23" operator="notBetween">
      <formula>0</formula>
      <formula>$B$7</formula>
    </cfRule>
    <cfRule type="cellIs" dxfId="276" priority="24" operator="equal">
      <formula>0</formula>
    </cfRule>
    <cfRule type="expression" dxfId="275" priority="25">
      <formula>OR(MOD($N51,100)=0,AND($D51=$E$24,MOD($N51,100)=$D$25))</formula>
    </cfRule>
  </conditionalFormatting>
  <conditionalFormatting sqref="Q4:Q15">
    <cfRule type="expression" dxfId="274" priority="29">
      <formula>AND($Q4&lt;$Q3, NOT(ISBLANK($Q4)))</formula>
    </cfRule>
    <cfRule type="cellIs" dxfId="273" priority="30" operator="greaterThan">
      <formula>$B$6</formula>
    </cfRule>
  </conditionalFormatting>
  <conditionalFormatting sqref="R4:R15">
    <cfRule type="cellIs" dxfId="272" priority="7" operator="greaterThan">
      <formula>1</formula>
    </cfRule>
  </conditionalFormatting>
  <dataValidations count="2">
    <dataValidation type="list" allowBlank="1" showInputMessage="1" showErrorMessage="1" sqref="C50:C59" xr:uid="{F96074BD-53A5-4D6D-A0E7-D8D302CB79A5}">
      <formula1>$D$19:$D$21</formula1>
    </dataValidation>
    <dataValidation type="list" allowBlank="1" showInputMessage="1" showErrorMessage="1" sqref="D68:D72 D78:D82 D50:D59" xr:uid="{7A479E7C-7E88-4E88-980C-2C0C5EE7F532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D335-49D4-472E-98D3-A6F5A8FC17FD}">
  <sheetPr codeName="Feuil46">
    <tabColor rgb="FFB4A7D6"/>
  </sheetPr>
  <dimension ref="A1:V82"/>
  <sheetViews>
    <sheetView topLeftCell="A2" zoomScale="90" zoomScaleNormal="90" workbookViewId="0">
      <selection activeCell="A12" sqref="A12:B14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2</v>
      </c>
      <c r="F3" s="59">
        <v>5</v>
      </c>
      <c r="G3" s="59">
        <v>35</v>
      </c>
      <c r="H3" s="59">
        <v>15</v>
      </c>
      <c r="I3" s="59">
        <v>31</v>
      </c>
      <c r="J3" s="59">
        <v>4</v>
      </c>
      <c r="K3" s="59">
        <v>4</v>
      </c>
      <c r="L3" s="73">
        <v>1</v>
      </c>
      <c r="M3" s="74">
        <v>3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4</v>
      </c>
      <c r="D4" s="195" cm="1">
        <f t="array" ref="D4">IF(ROW(2:2)&lt;=$E$24, (ROW(2:2)), "")</f>
        <v>2</v>
      </c>
      <c r="E4" s="60">
        <v>10</v>
      </c>
      <c r="F4" s="60">
        <v>3</v>
      </c>
      <c r="G4" s="60">
        <v>20</v>
      </c>
      <c r="H4" s="60">
        <v>16</v>
      </c>
      <c r="I4" s="60">
        <v>39</v>
      </c>
      <c r="J4" s="60">
        <v>5</v>
      </c>
      <c r="K4" s="60">
        <v>4</v>
      </c>
      <c r="L4" s="61">
        <v>2</v>
      </c>
      <c r="M4" s="62">
        <v>1</v>
      </c>
      <c r="N4" s="162">
        <f t="shared" si="0"/>
        <v>100</v>
      </c>
      <c r="O4" s="263"/>
      <c r="P4" s="260" t="s">
        <v>33</v>
      </c>
      <c r="Q4" s="239">
        <v>33</v>
      </c>
      <c r="R4" s="192">
        <f t="shared" ref="R4:R13" si="1">IF(OR(Q4=0, Q4=""), NA(), Q4/$B$6)</f>
        <v>4.8600883652430045E-2</v>
      </c>
      <c r="T4" s="167" t="s">
        <v>45</v>
      </c>
      <c r="U4" s="208">
        <f t="shared" ref="U4:U13" si="2">IF(Q4&lt;&gt;0,Q4-Q3,NA())</f>
        <v>33</v>
      </c>
    </row>
    <row r="5" spans="1:22" ht="20.149999999999999" customHeight="1" x14ac:dyDescent="0.3">
      <c r="A5" s="39" t="s">
        <v>24</v>
      </c>
      <c r="B5" s="267" t="str">
        <f>INDEX(Synthèse!B:B,B4+2)</f>
        <v>Gymnase B</v>
      </c>
      <c r="D5" s="195" cm="1">
        <f t="array" ref="D5">IF(ROW(3:3)&lt;=$E$24, (ROW(3:3)), "")</f>
        <v>3</v>
      </c>
      <c r="E5" s="60">
        <v>10</v>
      </c>
      <c r="F5" s="60">
        <v>3</v>
      </c>
      <c r="G5" s="60">
        <v>14</v>
      </c>
      <c r="H5" s="60">
        <v>20</v>
      </c>
      <c r="I5" s="60">
        <v>40</v>
      </c>
      <c r="J5" s="60">
        <v>3</v>
      </c>
      <c r="K5" s="60">
        <v>3</v>
      </c>
      <c r="L5" s="75">
        <v>1</v>
      </c>
      <c r="M5" s="76">
        <v>6</v>
      </c>
      <c r="N5" s="162">
        <f t="shared" si="0"/>
        <v>100</v>
      </c>
      <c r="O5" s="264"/>
      <c r="P5" s="260" t="s">
        <v>34</v>
      </c>
      <c r="Q5" s="239">
        <v>68</v>
      </c>
      <c r="R5" s="192">
        <f t="shared" si="1"/>
        <v>0.10014727540500737</v>
      </c>
      <c r="T5" s="168" t="s">
        <v>46</v>
      </c>
      <c r="U5" s="209">
        <f t="shared" si="2"/>
        <v>35</v>
      </c>
    </row>
    <row r="6" spans="1:22" ht="20.149999999999999" customHeight="1" x14ac:dyDescent="0.3">
      <c r="A6" s="39" t="s">
        <v>0</v>
      </c>
      <c r="B6" s="87">
        <f>INDEX(Synthèse!C:C,B4+2)</f>
        <v>679</v>
      </c>
      <c r="D6" s="195" cm="1">
        <f t="array" ref="D6">IF(ROW(4:4)&lt;=$E$24, (ROW(4:4)), "")</f>
        <v>4</v>
      </c>
      <c r="E6" s="60">
        <v>6</v>
      </c>
      <c r="F6" s="60">
        <v>4</v>
      </c>
      <c r="G6" s="60">
        <v>12</v>
      </c>
      <c r="H6" s="60">
        <v>10</v>
      </c>
      <c r="I6" s="60">
        <v>25</v>
      </c>
      <c r="J6" s="60">
        <v>3</v>
      </c>
      <c r="K6" s="60">
        <v>3</v>
      </c>
      <c r="L6" s="75">
        <v>0</v>
      </c>
      <c r="M6" s="76">
        <v>0</v>
      </c>
      <c r="N6" s="162">
        <f t="shared" si="0"/>
        <v>63</v>
      </c>
      <c r="O6" s="264"/>
      <c r="P6" s="260" t="s">
        <v>35</v>
      </c>
      <c r="Q6" s="239">
        <v>138</v>
      </c>
      <c r="R6" s="192">
        <f t="shared" si="1"/>
        <v>0.203240058910162</v>
      </c>
      <c r="T6" s="168" t="s">
        <v>47</v>
      </c>
      <c r="U6" s="209">
        <f t="shared" si="2"/>
        <v>70</v>
      </c>
    </row>
    <row r="7" spans="1:22" ht="20.149999999999999" customHeight="1" x14ac:dyDescent="0.3">
      <c r="A7" s="39" t="s">
        <v>2</v>
      </c>
      <c r="B7" s="69">
        <f>MAX(Q4:Q15)</f>
        <v>363</v>
      </c>
      <c r="D7" s="195" t="str" cm="1">
        <f t="array" ref="D7">IF(ROW(5:5)&lt;=$E$24, (ROW(5:5)), "")</f>
        <v/>
      </c>
      <c r="E7" s="60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60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60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60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60" cm="1">
        <f t="array" ref="I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J7" s="60" cm="1">
        <f t="array" ref="J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K7" s="60" cm="1">
        <f t="array" ref="K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L7" s="61" cm="1">
        <f t="array" ref="L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M7" s="62" cm="1">
        <f t="array" ref="M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N7" s="162">
        <f t="shared" si="0"/>
        <v>0</v>
      </c>
      <c r="O7" s="264"/>
      <c r="P7" s="260" t="s">
        <v>36</v>
      </c>
      <c r="Q7" s="239">
        <v>188</v>
      </c>
      <c r="R7" s="192">
        <f t="shared" si="1"/>
        <v>0.2768777614138439</v>
      </c>
      <c r="T7" s="168" t="s">
        <v>54</v>
      </c>
      <c r="U7" s="209">
        <f t="shared" si="2"/>
        <v>50</v>
      </c>
    </row>
    <row r="8" spans="1:22" ht="20.149999999999999" customHeight="1" x14ac:dyDescent="0.3">
      <c r="A8" s="39" t="s">
        <v>1</v>
      </c>
      <c r="B8" s="70">
        <v>363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226</v>
      </c>
      <c r="R8" s="192">
        <f t="shared" si="1"/>
        <v>0.3328424153166421</v>
      </c>
      <c r="T8" s="168" t="s">
        <v>48</v>
      </c>
      <c r="U8" s="209">
        <f t="shared" si="2"/>
        <v>38</v>
      </c>
    </row>
    <row r="9" spans="1:22" ht="20.149999999999999" customHeight="1" thickBot="1" x14ac:dyDescent="0.35">
      <c r="A9" s="40" t="s">
        <v>17</v>
      </c>
      <c r="B9" s="71">
        <f>B6-B7</f>
        <v>316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266</v>
      </c>
      <c r="R9" s="192">
        <f t="shared" si="1"/>
        <v>0.39175257731958762</v>
      </c>
      <c r="T9" s="168" t="s">
        <v>49</v>
      </c>
      <c r="U9" s="209">
        <f t="shared" si="2"/>
        <v>40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306</v>
      </c>
      <c r="R10" s="192">
        <f t="shared" si="1"/>
        <v>0.45066273932253315</v>
      </c>
      <c r="T10" s="168" t="s">
        <v>50</v>
      </c>
      <c r="U10" s="209">
        <f t="shared" si="2"/>
        <v>40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336</v>
      </c>
      <c r="R11" s="192">
        <f t="shared" si="1"/>
        <v>0.49484536082474229</v>
      </c>
      <c r="T11" s="168" t="s">
        <v>51</v>
      </c>
      <c r="U11" s="209">
        <f t="shared" si="2"/>
        <v>30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351</v>
      </c>
      <c r="R12" s="192">
        <f t="shared" si="1"/>
        <v>0.51693667157584688</v>
      </c>
      <c r="T12" s="168" t="s">
        <v>52</v>
      </c>
      <c r="U12" s="209">
        <f t="shared" si="2"/>
        <v>15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28</v>
      </c>
      <c r="F13" s="66">
        <f t="shared" si="3"/>
        <v>15</v>
      </c>
      <c r="G13" s="66">
        <f t="shared" si="3"/>
        <v>81</v>
      </c>
      <c r="H13" s="66">
        <f t="shared" si="3"/>
        <v>61</v>
      </c>
      <c r="I13" s="66">
        <f t="shared" si="3"/>
        <v>135</v>
      </c>
      <c r="J13" s="66">
        <f t="shared" si="3"/>
        <v>15</v>
      </c>
      <c r="K13" s="66">
        <f t="shared" si="3"/>
        <v>14</v>
      </c>
      <c r="L13" s="67">
        <f t="shared" si="3"/>
        <v>4</v>
      </c>
      <c r="M13" s="68">
        <f t="shared" si="3"/>
        <v>10</v>
      </c>
      <c r="N13" s="249">
        <f>SUM(N3:N12)</f>
        <v>363</v>
      </c>
      <c r="O13" s="264"/>
      <c r="P13" s="260" t="s">
        <v>42</v>
      </c>
      <c r="Q13" s="239">
        <v>363</v>
      </c>
      <c r="R13" s="192">
        <f t="shared" si="1"/>
        <v>0.53460972017673047</v>
      </c>
      <c r="T13" s="169" t="s">
        <v>53</v>
      </c>
      <c r="U13" s="210">
        <f t="shared" si="2"/>
        <v>12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7.7134986225895319E-2</v>
      </c>
      <c r="F14" s="19">
        <f t="shared" si="4"/>
        <v>4.1322314049586778E-2</v>
      </c>
      <c r="G14" s="19">
        <f t="shared" si="4"/>
        <v>0.2231404958677686</v>
      </c>
      <c r="H14" s="19">
        <f t="shared" si="4"/>
        <v>0.16804407713498623</v>
      </c>
      <c r="I14" s="19">
        <f t="shared" si="4"/>
        <v>0.37190082644628097</v>
      </c>
      <c r="J14" s="19">
        <f t="shared" si="4"/>
        <v>4.1322314049586778E-2</v>
      </c>
      <c r="K14" s="19">
        <f t="shared" si="4"/>
        <v>3.8567493112947659E-2</v>
      </c>
      <c r="L14" s="18">
        <f t="shared" si="4"/>
        <v>1.1019283746556474E-2</v>
      </c>
      <c r="M14" s="20">
        <f t="shared" si="4"/>
        <v>2.7548209366391185E-2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7</v>
      </c>
      <c r="E24" s="246">
        <f>CEILING($B$7,100)/100</f>
        <v>4</v>
      </c>
      <c r="O24" s="263"/>
    </row>
    <row r="25" spans="1:15" ht="13" x14ac:dyDescent="0.25">
      <c r="D25" s="102">
        <f>MOD($B$7,100)</f>
        <v>63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iwThssHZsnEcqRYA2yCsdQaOdEgwkUdMi1EooMjRSj3zWVS8e5T41yMMqfXSvw0ARyloaf0LKoeYLkoOCQR6gQ==" saltValue="/LBYEgF4wl4ZpTYXz0JL5A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271" priority="1" operator="equal">
      <formula>0</formula>
    </cfRule>
    <cfRule type="cellIs" dxfId="270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269" priority="19">
      <formula>($D3&gt;$E$24)</formula>
    </cfRule>
  </conditionalFormatting>
  <conditionalFormatting sqref="E3:M12">
    <cfRule type="expression" dxfId="268" priority="18">
      <formula>($D3&lt;=$E$24)</formula>
    </cfRule>
  </conditionalFormatting>
  <conditionalFormatting sqref="E50:M59 E68:M72 E78:M80">
    <cfRule type="expression" dxfId="267" priority="27">
      <formula>($D50&lt;=$E$24)</formula>
    </cfRule>
    <cfRule type="expression" dxfId="266" priority="28">
      <formula>($D50&gt;$E$24)</formula>
    </cfRule>
  </conditionalFormatting>
  <conditionalFormatting sqref="E50:M59">
    <cfRule type="expression" dxfId="265" priority="3">
      <formula>AND(E50&lt;MAX(E$50:E50), NOT(ISBLANK(E50)), NOT(E50=0))</formula>
    </cfRule>
  </conditionalFormatting>
  <conditionalFormatting sqref="E68:M72">
    <cfRule type="expression" dxfId="264" priority="2">
      <formula>AND(E68&lt;MAX(E$68:E68), NOT(ISBLANK(E68)), NOT(E68=0))</formula>
    </cfRule>
  </conditionalFormatting>
  <conditionalFormatting sqref="E78:M80 E50:M59 E68:M72">
    <cfRule type="cellIs" dxfId="263" priority="26" operator="notBetween">
      <formula>0</formula>
      <formula>$B$7</formula>
    </cfRule>
  </conditionalFormatting>
  <conditionalFormatting sqref="E78:M80">
    <cfRule type="expression" dxfId="262" priority="14">
      <formula>AND(E78&lt;MAX(E$78:E78), NOT(ISBLANK(E78)), NOT(E78=0))</formula>
    </cfRule>
  </conditionalFormatting>
  <conditionalFormatting sqref="E3:N12">
    <cfRule type="cellIs" dxfId="261" priority="5" operator="notBetween">
      <formula>0</formula>
      <formula>100</formula>
    </cfRule>
  </conditionalFormatting>
  <conditionalFormatting sqref="E3:N14">
    <cfRule type="cellIs" dxfId="260" priority="8" operator="lessThan">
      <formula>0</formula>
    </cfRule>
  </conditionalFormatting>
  <conditionalFormatting sqref="E14:N14">
    <cfRule type="cellIs" dxfId="259" priority="11" operator="greaterThan">
      <formula>1</formula>
    </cfRule>
  </conditionalFormatting>
  <conditionalFormatting sqref="N3:N12">
    <cfRule type="expression" dxfId="258" priority="15">
      <formula>AND($D3=$E$24, N3=$D$25)</formula>
    </cfRule>
    <cfRule type="expression" dxfId="257" priority="16">
      <formula>AND($D3=$E$24, MOD(N3,100)&gt;$D$25)</formula>
    </cfRule>
    <cfRule type="cellIs" dxfId="256" priority="17" operator="equal">
      <formula>100</formula>
    </cfRule>
  </conditionalFormatting>
  <conditionalFormatting sqref="N3:N13">
    <cfRule type="cellIs" dxfId="255" priority="9" operator="equal">
      <formula>0</formula>
    </cfRule>
  </conditionalFormatting>
  <conditionalFormatting sqref="N13">
    <cfRule type="cellIs" dxfId="254" priority="13" operator="equal">
      <formula>$B$7</formula>
    </cfRule>
  </conditionalFormatting>
  <conditionalFormatting sqref="N14">
    <cfRule type="cellIs" dxfId="253" priority="10" operator="equal">
      <formula>1</formula>
    </cfRule>
    <cfRule type="cellIs" dxfId="252" priority="12" operator="lessThan">
      <formula>1</formula>
    </cfRule>
  </conditionalFormatting>
  <conditionalFormatting sqref="N50 N52:N59 N68:N72 N78:N80">
    <cfRule type="cellIs" dxfId="251" priority="20" operator="lessThan">
      <formula>0</formula>
    </cfRule>
    <cfRule type="cellIs" dxfId="250" priority="21" operator="equal">
      <formula>0</formula>
    </cfRule>
    <cfRule type="expression" dxfId="249" priority="22">
      <formula>OR(MOD($N50,100)=0,AND($D50=$E$24,MOD($N50,100)=$D$25))</formula>
    </cfRule>
  </conditionalFormatting>
  <conditionalFormatting sqref="N51">
    <cfRule type="cellIs" dxfId="248" priority="23" operator="notBetween">
      <formula>0</formula>
      <formula>$B$7</formula>
    </cfRule>
    <cfRule type="cellIs" dxfId="247" priority="24" operator="equal">
      <formula>0</formula>
    </cfRule>
    <cfRule type="expression" dxfId="246" priority="25">
      <formula>OR(MOD($N51,100)=0,AND($D51=$E$24,MOD($N51,100)=$D$25))</formula>
    </cfRule>
  </conditionalFormatting>
  <conditionalFormatting sqref="Q4:Q15">
    <cfRule type="expression" dxfId="245" priority="29">
      <formula>AND($Q4&lt;$Q3, NOT(ISBLANK($Q4)))</formula>
    </cfRule>
    <cfRule type="cellIs" dxfId="244" priority="30" operator="greaterThan">
      <formula>$B$6</formula>
    </cfRule>
  </conditionalFormatting>
  <conditionalFormatting sqref="R4:R15">
    <cfRule type="cellIs" dxfId="243" priority="7" operator="greaterThan">
      <formula>1</formula>
    </cfRule>
  </conditionalFormatting>
  <dataValidations count="2">
    <dataValidation type="list" allowBlank="1" showInputMessage="1" showErrorMessage="1" sqref="C50:C59" xr:uid="{F97FC92A-95B8-45C3-9FEF-2D5D358B2C2F}">
      <formula1>$D$19:$D$21</formula1>
    </dataValidation>
    <dataValidation type="list" allowBlank="1" showInputMessage="1" showErrorMessage="1" sqref="D68:D72 D78:D82 D50:D59" xr:uid="{4680AC86-A772-4689-AEAC-C8E149C97AA8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9E58-3DD9-466D-BBED-0D3D31820B8E}">
  <sheetPr codeName="Feuil47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8</v>
      </c>
      <c r="F3" s="59">
        <v>3</v>
      </c>
      <c r="G3" s="59">
        <v>23</v>
      </c>
      <c r="H3" s="59">
        <v>19</v>
      </c>
      <c r="I3" s="59">
        <v>35</v>
      </c>
      <c r="J3" s="59">
        <v>5</v>
      </c>
      <c r="K3" s="59">
        <v>2</v>
      </c>
      <c r="L3" s="73">
        <v>4</v>
      </c>
      <c r="M3" s="74">
        <v>1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5</v>
      </c>
      <c r="D4" s="195" cm="1">
        <f t="array" ref="D4">IF(ROW(2:2)&lt;=$E$24, (ROW(2:2)), "")</f>
        <v>2</v>
      </c>
      <c r="E4" s="60">
        <v>6</v>
      </c>
      <c r="F4" s="60">
        <v>7</v>
      </c>
      <c r="G4" s="60">
        <v>29</v>
      </c>
      <c r="H4" s="60">
        <v>13</v>
      </c>
      <c r="I4" s="60">
        <v>33</v>
      </c>
      <c r="J4" s="60">
        <v>3</v>
      </c>
      <c r="K4" s="60">
        <v>4</v>
      </c>
      <c r="L4" s="61">
        <v>3</v>
      </c>
      <c r="M4" s="62">
        <v>2</v>
      </c>
      <c r="N4" s="162">
        <f t="shared" si="0"/>
        <v>100</v>
      </c>
      <c r="O4" s="263"/>
      <c r="P4" s="260" t="s">
        <v>33</v>
      </c>
      <c r="Q4" s="239">
        <v>37</v>
      </c>
      <c r="R4" s="192">
        <f t="shared" ref="R4:R13" si="1">IF(OR(Q4=0, Q4=""), NA(), Q4/$B$6)</f>
        <v>5.2781740370898715E-2</v>
      </c>
      <c r="T4" s="167" t="s">
        <v>45</v>
      </c>
      <c r="U4" s="208">
        <f t="shared" ref="U4:U13" si="2">IF(Q4&lt;&gt;0,Q4-Q3,NA())</f>
        <v>37</v>
      </c>
    </row>
    <row r="5" spans="1:22" ht="20.149999999999999" customHeight="1" x14ac:dyDescent="0.3">
      <c r="A5" s="39" t="s">
        <v>24</v>
      </c>
      <c r="B5" s="267" t="str">
        <f>INDEX(Synthèse!B:B,B4+2)</f>
        <v>COSEC</v>
      </c>
      <c r="D5" s="195" cm="1">
        <f t="array" ref="D5">IF(ROW(3:3)&lt;=$E$24, (ROW(3:3)), "")</f>
        <v>3</v>
      </c>
      <c r="E5" s="60">
        <v>9</v>
      </c>
      <c r="F5" s="60">
        <v>2</v>
      </c>
      <c r="G5" s="60">
        <v>30</v>
      </c>
      <c r="H5" s="60">
        <v>20</v>
      </c>
      <c r="I5" s="60">
        <v>34</v>
      </c>
      <c r="J5" s="60">
        <v>2</v>
      </c>
      <c r="K5" s="60">
        <v>1</v>
      </c>
      <c r="L5" s="75">
        <v>1</v>
      </c>
      <c r="M5" s="76">
        <v>1</v>
      </c>
      <c r="N5" s="162">
        <f t="shared" si="0"/>
        <v>100</v>
      </c>
      <c r="O5" s="264"/>
      <c r="P5" s="260" t="s">
        <v>34</v>
      </c>
      <c r="Q5" s="239">
        <v>93</v>
      </c>
      <c r="R5" s="192">
        <f t="shared" si="1"/>
        <v>0.13266761768901569</v>
      </c>
      <c r="T5" s="168" t="s">
        <v>46</v>
      </c>
      <c r="U5" s="209">
        <f t="shared" si="2"/>
        <v>56</v>
      </c>
    </row>
    <row r="6" spans="1:22" ht="20.149999999999999" customHeight="1" x14ac:dyDescent="0.3">
      <c r="A6" s="39" t="s">
        <v>0</v>
      </c>
      <c r="B6" s="87">
        <f>INDEX(Synthèse!C:C,B4+2)</f>
        <v>701</v>
      </c>
      <c r="D6" s="195" cm="1">
        <f t="array" ref="D6">IF(ROW(4:4)&lt;=$E$24, (ROW(4:4)), "")</f>
        <v>4</v>
      </c>
      <c r="E6" s="60">
        <v>2</v>
      </c>
      <c r="F6" s="60">
        <v>6</v>
      </c>
      <c r="G6" s="60">
        <v>30</v>
      </c>
      <c r="H6" s="60">
        <v>16</v>
      </c>
      <c r="I6" s="60">
        <v>39</v>
      </c>
      <c r="J6" s="60">
        <v>1</v>
      </c>
      <c r="K6" s="60">
        <v>3</v>
      </c>
      <c r="L6" s="75">
        <v>1</v>
      </c>
      <c r="M6" s="76">
        <v>2</v>
      </c>
      <c r="N6" s="162">
        <f t="shared" si="0"/>
        <v>100</v>
      </c>
      <c r="O6" s="264"/>
      <c r="P6" s="260" t="s">
        <v>35</v>
      </c>
      <c r="Q6" s="239">
        <v>160</v>
      </c>
      <c r="R6" s="192">
        <f t="shared" si="1"/>
        <v>0.22824536376604851</v>
      </c>
      <c r="T6" s="168" t="s">
        <v>47</v>
      </c>
      <c r="U6" s="209">
        <f t="shared" si="2"/>
        <v>67</v>
      </c>
    </row>
    <row r="7" spans="1:22" ht="20.149999999999999" customHeight="1" x14ac:dyDescent="0.3">
      <c r="A7" s="39" t="s">
        <v>2</v>
      </c>
      <c r="B7" s="69">
        <f>MAX(Q4:Q15)</f>
        <v>452</v>
      </c>
      <c r="D7" s="195" cm="1">
        <f t="array" ref="D7">IF(ROW(5:5)&lt;=$E$24, (ROW(5:5)), "")</f>
        <v>5</v>
      </c>
      <c r="E7" s="60">
        <v>2</v>
      </c>
      <c r="F7" s="60">
        <v>3</v>
      </c>
      <c r="G7" s="60">
        <v>13</v>
      </c>
      <c r="H7" s="60">
        <v>15</v>
      </c>
      <c r="I7" s="60">
        <v>17</v>
      </c>
      <c r="J7" s="60">
        <v>0</v>
      </c>
      <c r="K7" s="60">
        <v>1</v>
      </c>
      <c r="L7" s="61">
        <v>0</v>
      </c>
      <c r="M7" s="62">
        <v>1</v>
      </c>
      <c r="N7" s="162">
        <f t="shared" si="0"/>
        <v>52</v>
      </c>
      <c r="O7" s="264"/>
      <c r="P7" s="260" t="s">
        <v>36</v>
      </c>
      <c r="Q7" s="239">
        <v>240</v>
      </c>
      <c r="R7" s="192">
        <f t="shared" si="1"/>
        <v>0.34236804564907275</v>
      </c>
      <c r="T7" s="168" t="s">
        <v>54</v>
      </c>
      <c r="U7" s="209">
        <f t="shared" si="2"/>
        <v>80</v>
      </c>
    </row>
    <row r="8" spans="1:22" ht="20.149999999999999" customHeight="1" x14ac:dyDescent="0.3">
      <c r="A8" s="39" t="s">
        <v>1</v>
      </c>
      <c r="B8" s="70">
        <v>452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290</v>
      </c>
      <c r="R8" s="192">
        <f t="shared" si="1"/>
        <v>0.4136947218259629</v>
      </c>
      <c r="T8" s="168" t="s">
        <v>48</v>
      </c>
      <c r="U8" s="209">
        <f t="shared" si="2"/>
        <v>50</v>
      </c>
    </row>
    <row r="9" spans="1:22" ht="20.149999999999999" customHeight="1" thickBot="1" x14ac:dyDescent="0.35">
      <c r="A9" s="40" t="s">
        <v>17</v>
      </c>
      <c r="B9" s="71">
        <f>B6-B7</f>
        <v>249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325</v>
      </c>
      <c r="R9" s="192">
        <f t="shared" si="1"/>
        <v>0.46362339514978601</v>
      </c>
      <c r="T9" s="168" t="s">
        <v>49</v>
      </c>
      <c r="U9" s="209">
        <f t="shared" si="2"/>
        <v>35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375</v>
      </c>
      <c r="R10" s="192">
        <f t="shared" si="1"/>
        <v>0.53495007132667616</v>
      </c>
      <c r="T10" s="168" t="s">
        <v>50</v>
      </c>
      <c r="U10" s="209">
        <f t="shared" si="2"/>
        <v>50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420</v>
      </c>
      <c r="R11" s="192">
        <f t="shared" si="1"/>
        <v>0.59914407988587737</v>
      </c>
      <c r="T11" s="168" t="s">
        <v>51</v>
      </c>
      <c r="U11" s="209">
        <f t="shared" si="2"/>
        <v>45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435</v>
      </c>
      <c r="R12" s="192">
        <f t="shared" si="1"/>
        <v>0.6205420827389444</v>
      </c>
      <c r="T12" s="168" t="s">
        <v>52</v>
      </c>
      <c r="U12" s="209">
        <f t="shared" si="2"/>
        <v>15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27</v>
      </c>
      <c r="F13" s="66">
        <f t="shared" si="3"/>
        <v>21</v>
      </c>
      <c r="G13" s="66">
        <f t="shared" si="3"/>
        <v>125</v>
      </c>
      <c r="H13" s="66">
        <f t="shared" si="3"/>
        <v>83</v>
      </c>
      <c r="I13" s="66">
        <f t="shared" si="3"/>
        <v>158</v>
      </c>
      <c r="J13" s="66">
        <f t="shared" si="3"/>
        <v>11</v>
      </c>
      <c r="K13" s="66">
        <f t="shared" si="3"/>
        <v>11</v>
      </c>
      <c r="L13" s="67">
        <f t="shared" si="3"/>
        <v>9</v>
      </c>
      <c r="M13" s="68">
        <f t="shared" si="3"/>
        <v>7</v>
      </c>
      <c r="N13" s="249">
        <f>SUM(N3:N12)</f>
        <v>452</v>
      </c>
      <c r="O13" s="264"/>
      <c r="P13" s="260" t="s">
        <v>42</v>
      </c>
      <c r="Q13" s="239">
        <v>452</v>
      </c>
      <c r="R13" s="192">
        <f t="shared" si="1"/>
        <v>0.64479315263908699</v>
      </c>
      <c r="T13" s="169" t="s">
        <v>53</v>
      </c>
      <c r="U13" s="210">
        <f t="shared" si="2"/>
        <v>17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5.9734513274336286E-2</v>
      </c>
      <c r="F14" s="19">
        <f t="shared" si="4"/>
        <v>4.6460176991150445E-2</v>
      </c>
      <c r="G14" s="19">
        <f t="shared" si="4"/>
        <v>0.27654867256637167</v>
      </c>
      <c r="H14" s="19">
        <f t="shared" si="4"/>
        <v>0.1836283185840708</v>
      </c>
      <c r="I14" s="19">
        <f t="shared" si="4"/>
        <v>0.34955752212389379</v>
      </c>
      <c r="J14" s="19">
        <f t="shared" si="4"/>
        <v>2.4336283185840708E-2</v>
      </c>
      <c r="K14" s="19">
        <f t="shared" si="4"/>
        <v>2.4336283185840708E-2</v>
      </c>
      <c r="L14" s="18">
        <f t="shared" si="4"/>
        <v>1.9911504424778761E-2</v>
      </c>
      <c r="M14" s="20">
        <f t="shared" si="4"/>
        <v>1.5486725663716814E-2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8</v>
      </c>
      <c r="E24" s="246">
        <f>CEILING($B$7,100)/100</f>
        <v>5</v>
      </c>
      <c r="O24" s="263"/>
    </row>
    <row r="25" spans="1:15" ht="13" x14ac:dyDescent="0.25">
      <c r="D25" s="102">
        <f>MOD($B$7,100)</f>
        <v>52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/pvdk9MEtp9oMQh1HJ/7Ltvr7D9R6NXMRAFD22stAoKCpO+MafVLKZa4G69pT8ascVzFN58HMHkJtYO3JtUZnA==" saltValue="WMG3OUTr/NMnjeGWEaTM7w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242" priority="1" operator="equal">
      <formula>0</formula>
    </cfRule>
    <cfRule type="cellIs" dxfId="241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240" priority="19">
      <formula>($D3&gt;$E$24)</formula>
    </cfRule>
  </conditionalFormatting>
  <conditionalFormatting sqref="E3:M12">
    <cfRule type="expression" dxfId="239" priority="18">
      <formula>($D3&lt;=$E$24)</formula>
    </cfRule>
  </conditionalFormatting>
  <conditionalFormatting sqref="E50:M59 E68:M72 E78:M80">
    <cfRule type="expression" dxfId="238" priority="27">
      <formula>($D50&lt;=$E$24)</formula>
    </cfRule>
    <cfRule type="expression" dxfId="237" priority="28">
      <formula>($D50&gt;$E$24)</formula>
    </cfRule>
  </conditionalFormatting>
  <conditionalFormatting sqref="E50:M59">
    <cfRule type="expression" dxfId="236" priority="3">
      <formula>AND(E50&lt;MAX(E$50:E50), NOT(ISBLANK(E50)), NOT(E50=0))</formula>
    </cfRule>
  </conditionalFormatting>
  <conditionalFormatting sqref="E68:M72">
    <cfRule type="expression" dxfId="235" priority="2">
      <formula>AND(E68&lt;MAX(E$68:E68), NOT(ISBLANK(E68)), NOT(E68=0))</formula>
    </cfRule>
  </conditionalFormatting>
  <conditionalFormatting sqref="E78:M80 E50:M59 E68:M72">
    <cfRule type="cellIs" dxfId="234" priority="26" operator="notBetween">
      <formula>0</formula>
      <formula>$B$7</formula>
    </cfRule>
  </conditionalFormatting>
  <conditionalFormatting sqref="E78:M80">
    <cfRule type="expression" dxfId="233" priority="14">
      <formula>AND(E78&lt;MAX(E$78:E78), NOT(ISBLANK(E78)), NOT(E78=0))</formula>
    </cfRule>
  </conditionalFormatting>
  <conditionalFormatting sqref="E3:N12">
    <cfRule type="cellIs" dxfId="232" priority="5" operator="notBetween">
      <formula>0</formula>
      <formula>100</formula>
    </cfRule>
  </conditionalFormatting>
  <conditionalFormatting sqref="E3:N14">
    <cfRule type="cellIs" dxfId="231" priority="8" operator="lessThan">
      <formula>0</formula>
    </cfRule>
  </conditionalFormatting>
  <conditionalFormatting sqref="E14:N14">
    <cfRule type="cellIs" dxfId="230" priority="11" operator="greaterThan">
      <formula>1</formula>
    </cfRule>
  </conditionalFormatting>
  <conditionalFormatting sqref="N3:N12">
    <cfRule type="expression" dxfId="229" priority="15">
      <formula>AND($D3=$E$24, N3=$D$25)</formula>
    </cfRule>
    <cfRule type="expression" dxfId="228" priority="16">
      <formula>AND($D3=$E$24, MOD(N3,100)&gt;$D$25)</formula>
    </cfRule>
    <cfRule type="cellIs" dxfId="227" priority="17" operator="equal">
      <formula>100</formula>
    </cfRule>
  </conditionalFormatting>
  <conditionalFormatting sqref="N3:N13">
    <cfRule type="cellIs" dxfId="226" priority="9" operator="equal">
      <formula>0</formula>
    </cfRule>
  </conditionalFormatting>
  <conditionalFormatting sqref="N13">
    <cfRule type="cellIs" dxfId="225" priority="13" operator="equal">
      <formula>$B$7</formula>
    </cfRule>
  </conditionalFormatting>
  <conditionalFormatting sqref="N14">
    <cfRule type="cellIs" dxfId="224" priority="10" operator="equal">
      <formula>1</formula>
    </cfRule>
    <cfRule type="cellIs" dxfId="223" priority="12" operator="lessThan">
      <formula>1</formula>
    </cfRule>
  </conditionalFormatting>
  <conditionalFormatting sqref="N50 N52:N59 N68:N72 N78:N80">
    <cfRule type="cellIs" dxfId="222" priority="20" operator="lessThan">
      <formula>0</formula>
    </cfRule>
    <cfRule type="cellIs" dxfId="221" priority="21" operator="equal">
      <formula>0</formula>
    </cfRule>
    <cfRule type="expression" dxfId="220" priority="22">
      <formula>OR(MOD($N50,100)=0,AND($D50=$E$24,MOD($N50,100)=$D$25))</formula>
    </cfRule>
  </conditionalFormatting>
  <conditionalFormatting sqref="N51">
    <cfRule type="cellIs" dxfId="219" priority="23" operator="notBetween">
      <formula>0</formula>
      <formula>$B$7</formula>
    </cfRule>
    <cfRule type="cellIs" dxfId="218" priority="24" operator="equal">
      <formula>0</formula>
    </cfRule>
    <cfRule type="expression" dxfId="217" priority="25">
      <formula>OR(MOD($N51,100)=0,AND($D51=$E$24,MOD($N51,100)=$D$25))</formula>
    </cfRule>
  </conditionalFormatting>
  <conditionalFormatting sqref="Q4:Q15">
    <cfRule type="expression" dxfId="216" priority="29">
      <formula>AND($Q4&lt;$Q3, NOT(ISBLANK($Q4)))</formula>
    </cfRule>
    <cfRule type="cellIs" dxfId="215" priority="30" operator="greaterThan">
      <formula>$B$6</formula>
    </cfRule>
  </conditionalFormatting>
  <conditionalFormatting sqref="R4:R15">
    <cfRule type="cellIs" dxfId="214" priority="7" operator="greaterThan">
      <formula>1</formula>
    </cfRule>
  </conditionalFormatting>
  <dataValidations count="2">
    <dataValidation type="list" allowBlank="1" showInputMessage="1" showErrorMessage="1" sqref="C50:C59" xr:uid="{377A192F-21C8-4BC3-834B-A952102F283A}">
      <formula1>$D$19:$D$21</formula1>
    </dataValidation>
    <dataValidation type="list" allowBlank="1" showInputMessage="1" showErrorMessage="1" sqref="D68:D72 D78:D82 D50:D59" xr:uid="{7A7ACD42-59B9-4397-89C1-53F97D01EB31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2D56-A1BA-4E17-BD48-C90056B116AA}">
  <sheetPr codeName="Feuil48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1</v>
      </c>
      <c r="F3" s="59">
        <v>2</v>
      </c>
      <c r="G3" s="59">
        <v>39</v>
      </c>
      <c r="H3" s="59">
        <v>18</v>
      </c>
      <c r="I3" s="59">
        <v>31</v>
      </c>
      <c r="J3" s="59">
        <v>3</v>
      </c>
      <c r="K3" s="59">
        <v>3</v>
      </c>
      <c r="L3" s="73">
        <v>2</v>
      </c>
      <c r="M3" s="74">
        <v>1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6</v>
      </c>
      <c r="D4" s="195" cm="1">
        <f t="array" ref="D4">IF(ROW(2:2)&lt;=$E$24, (ROW(2:2)), "")</f>
        <v>2</v>
      </c>
      <c r="E4" s="60">
        <v>7</v>
      </c>
      <c r="F4" s="60">
        <v>5</v>
      </c>
      <c r="G4" s="60">
        <v>25</v>
      </c>
      <c r="H4" s="60">
        <v>18</v>
      </c>
      <c r="I4" s="60">
        <v>37</v>
      </c>
      <c r="J4" s="60">
        <v>2</v>
      </c>
      <c r="K4" s="60">
        <v>3</v>
      </c>
      <c r="L4" s="61">
        <v>3</v>
      </c>
      <c r="M4" s="62">
        <v>0</v>
      </c>
      <c r="N4" s="162">
        <f t="shared" si="0"/>
        <v>100</v>
      </c>
      <c r="O4" s="263"/>
      <c r="P4" s="260" t="s">
        <v>33</v>
      </c>
      <c r="Q4" s="239">
        <v>30</v>
      </c>
      <c r="R4" s="192">
        <f t="shared" ref="R4:R13" si="1">IF(OR(Q4=0, Q4=""), NA(), Q4/$B$6)</f>
        <v>4.2253521126760563E-2</v>
      </c>
      <c r="T4" s="167" t="s">
        <v>45</v>
      </c>
      <c r="U4" s="208">
        <f t="shared" ref="U4:U13" si="2">IF(Q4&lt;&gt;0,Q4-Q3,NA())</f>
        <v>30</v>
      </c>
    </row>
    <row r="5" spans="1:22" ht="20.149999999999999" customHeight="1" x14ac:dyDescent="0.3">
      <c r="A5" s="39" t="s">
        <v>24</v>
      </c>
      <c r="B5" s="267" t="str">
        <f>INDEX(Synthèse!B:B,B4+2)</f>
        <v>COSEC</v>
      </c>
      <c r="D5" s="195" cm="1">
        <f t="array" ref="D5">IF(ROW(3:3)&lt;=$E$24, (ROW(3:3)), "")</f>
        <v>3</v>
      </c>
      <c r="E5" s="60">
        <v>6</v>
      </c>
      <c r="F5" s="60">
        <v>1</v>
      </c>
      <c r="G5" s="60">
        <v>32</v>
      </c>
      <c r="H5" s="60">
        <v>19</v>
      </c>
      <c r="I5" s="60">
        <v>29</v>
      </c>
      <c r="J5" s="60">
        <v>4</v>
      </c>
      <c r="K5" s="60">
        <v>6</v>
      </c>
      <c r="L5" s="75">
        <v>3</v>
      </c>
      <c r="M5" s="76">
        <v>0</v>
      </c>
      <c r="N5" s="162">
        <f t="shared" si="0"/>
        <v>100</v>
      </c>
      <c r="O5" s="264"/>
      <c r="P5" s="260" t="s">
        <v>34</v>
      </c>
      <c r="Q5" s="239">
        <v>89</v>
      </c>
      <c r="R5" s="192">
        <f t="shared" si="1"/>
        <v>0.12535211267605634</v>
      </c>
      <c r="T5" s="168" t="s">
        <v>46</v>
      </c>
      <c r="U5" s="209">
        <f t="shared" si="2"/>
        <v>59</v>
      </c>
    </row>
    <row r="6" spans="1:22" ht="20.149999999999999" customHeight="1" x14ac:dyDescent="0.3">
      <c r="A6" s="39" t="s">
        <v>0</v>
      </c>
      <c r="B6" s="87">
        <f>INDEX(Synthèse!C:C,B4+2)</f>
        <v>710</v>
      </c>
      <c r="D6" s="195" cm="1">
        <f t="array" ref="D6">IF(ROW(4:4)&lt;=$E$24, (ROW(4:4)), "")</f>
        <v>4</v>
      </c>
      <c r="E6" s="60">
        <v>1</v>
      </c>
      <c r="F6" s="60">
        <v>4</v>
      </c>
      <c r="G6" s="60">
        <v>30</v>
      </c>
      <c r="H6" s="60">
        <v>6</v>
      </c>
      <c r="I6" s="60">
        <v>23</v>
      </c>
      <c r="J6" s="60">
        <v>0</v>
      </c>
      <c r="K6" s="60">
        <v>2</v>
      </c>
      <c r="L6" s="75">
        <v>1</v>
      </c>
      <c r="M6" s="76">
        <v>0</v>
      </c>
      <c r="N6" s="162">
        <f t="shared" si="0"/>
        <v>67</v>
      </c>
      <c r="O6" s="264"/>
      <c r="P6" s="260" t="s">
        <v>35</v>
      </c>
      <c r="Q6" s="239">
        <v>140</v>
      </c>
      <c r="R6" s="192">
        <f t="shared" si="1"/>
        <v>0.19718309859154928</v>
      </c>
      <c r="T6" s="168" t="s">
        <v>47</v>
      </c>
      <c r="U6" s="209">
        <f t="shared" si="2"/>
        <v>51</v>
      </c>
    </row>
    <row r="7" spans="1:22" ht="20.149999999999999" customHeight="1" x14ac:dyDescent="0.3">
      <c r="A7" s="39" t="s">
        <v>2</v>
      </c>
      <c r="B7" s="69">
        <f>MAX(Q4:Q15)</f>
        <v>367</v>
      </c>
      <c r="D7" s="195" t="str" cm="1">
        <f t="array" ref="D7">IF(ROW(5:5)&lt;=$E$24, (ROW(5:5)), "")</f>
        <v/>
      </c>
      <c r="E7" s="60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60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60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60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60" cm="1">
        <f t="array" ref="I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J7" s="60" cm="1">
        <f t="array" ref="J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K7" s="60" cm="1">
        <f t="array" ref="K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L7" s="61" cm="1">
        <f t="array" ref="L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M7" s="62" cm="1">
        <f t="array" ref="M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N7" s="162">
        <f t="shared" si="0"/>
        <v>0</v>
      </c>
      <c r="O7" s="264"/>
      <c r="P7" s="260" t="s">
        <v>36</v>
      </c>
      <c r="Q7" s="239">
        <v>190</v>
      </c>
      <c r="R7" s="192">
        <f t="shared" si="1"/>
        <v>0.26760563380281688</v>
      </c>
      <c r="T7" s="168" t="s">
        <v>54</v>
      </c>
      <c r="U7" s="209">
        <f t="shared" si="2"/>
        <v>50</v>
      </c>
    </row>
    <row r="8" spans="1:22" ht="20.149999999999999" customHeight="1" x14ac:dyDescent="0.3">
      <c r="A8" s="39" t="s">
        <v>1</v>
      </c>
      <c r="B8" s="70">
        <v>367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237</v>
      </c>
      <c r="R8" s="192">
        <f t="shared" si="1"/>
        <v>0.33380281690140845</v>
      </c>
      <c r="T8" s="168" t="s">
        <v>48</v>
      </c>
      <c r="U8" s="209">
        <f t="shared" si="2"/>
        <v>47</v>
      </c>
    </row>
    <row r="9" spans="1:22" ht="20.149999999999999" customHeight="1" thickBot="1" x14ac:dyDescent="0.35">
      <c r="A9" s="40" t="s">
        <v>17</v>
      </c>
      <c r="B9" s="71">
        <f>B6-B7</f>
        <v>343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275</v>
      </c>
      <c r="R9" s="192">
        <f t="shared" si="1"/>
        <v>0.38732394366197181</v>
      </c>
      <c r="T9" s="168" t="s">
        <v>49</v>
      </c>
      <c r="U9" s="209">
        <f t="shared" si="2"/>
        <v>38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305</v>
      </c>
      <c r="R10" s="192">
        <f t="shared" si="1"/>
        <v>0.42957746478873238</v>
      </c>
      <c r="T10" s="168" t="s">
        <v>50</v>
      </c>
      <c r="U10" s="209">
        <f t="shared" si="2"/>
        <v>30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336</v>
      </c>
      <c r="R11" s="192">
        <f t="shared" si="1"/>
        <v>0.47323943661971829</v>
      </c>
      <c r="T11" s="168" t="s">
        <v>51</v>
      </c>
      <c r="U11" s="209">
        <f t="shared" si="2"/>
        <v>31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355</v>
      </c>
      <c r="R12" s="192">
        <f t="shared" si="1"/>
        <v>0.5</v>
      </c>
      <c r="T12" s="168" t="s">
        <v>52</v>
      </c>
      <c r="U12" s="209">
        <f t="shared" si="2"/>
        <v>19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15</v>
      </c>
      <c r="F13" s="66">
        <f t="shared" si="3"/>
        <v>12</v>
      </c>
      <c r="G13" s="66">
        <f t="shared" si="3"/>
        <v>126</v>
      </c>
      <c r="H13" s="66">
        <f t="shared" si="3"/>
        <v>61</v>
      </c>
      <c r="I13" s="66">
        <f t="shared" si="3"/>
        <v>120</v>
      </c>
      <c r="J13" s="66">
        <f t="shared" si="3"/>
        <v>9</v>
      </c>
      <c r="K13" s="66">
        <f t="shared" si="3"/>
        <v>14</v>
      </c>
      <c r="L13" s="67">
        <f t="shared" si="3"/>
        <v>9</v>
      </c>
      <c r="M13" s="68">
        <f t="shared" si="3"/>
        <v>1</v>
      </c>
      <c r="N13" s="249">
        <f>SUM(N3:N12)</f>
        <v>367</v>
      </c>
      <c r="O13" s="264"/>
      <c r="P13" s="260" t="s">
        <v>42</v>
      </c>
      <c r="Q13" s="239">
        <v>367</v>
      </c>
      <c r="R13" s="192">
        <f t="shared" si="1"/>
        <v>0.5169014084507042</v>
      </c>
      <c r="T13" s="169" t="s">
        <v>53</v>
      </c>
      <c r="U13" s="210">
        <f t="shared" si="2"/>
        <v>12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4.0871934604904632E-2</v>
      </c>
      <c r="F14" s="19">
        <f t="shared" si="4"/>
        <v>3.2697547683923703E-2</v>
      </c>
      <c r="G14" s="19">
        <f t="shared" si="4"/>
        <v>0.34332425068119893</v>
      </c>
      <c r="H14" s="19">
        <f t="shared" si="4"/>
        <v>0.16621253405994552</v>
      </c>
      <c r="I14" s="19">
        <f t="shared" si="4"/>
        <v>0.32697547683923706</v>
      </c>
      <c r="J14" s="19">
        <f t="shared" si="4"/>
        <v>2.4523160762942781E-2</v>
      </c>
      <c r="K14" s="19">
        <f t="shared" si="4"/>
        <v>3.8147138964577658E-2</v>
      </c>
      <c r="L14" s="18">
        <f t="shared" si="4"/>
        <v>2.4523160762942781E-2</v>
      </c>
      <c r="M14" s="20">
        <f t="shared" si="4"/>
        <v>2.7247956403269754E-3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8</v>
      </c>
      <c r="E24" s="246">
        <f>CEILING($B$7,100)/100</f>
        <v>4</v>
      </c>
      <c r="O24" s="263"/>
    </row>
    <row r="25" spans="1:15" ht="13" x14ac:dyDescent="0.25">
      <c r="D25" s="102">
        <f>MOD($B$7,100)</f>
        <v>67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D150VSxhpjvCvOHYCG9quXTeMhS9PwWp2xzd82XEw3q5TawjccgcVPnLIro9VS/iVG9bmtT8Pw3Q1qMHMb7xvg==" saltValue="niP7dg1ZVx3AAxN8zL7xRg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213" priority="1" operator="equal">
      <formula>0</formula>
    </cfRule>
    <cfRule type="cellIs" dxfId="212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211" priority="19">
      <formula>($D3&gt;$E$24)</formula>
    </cfRule>
  </conditionalFormatting>
  <conditionalFormatting sqref="E3:M12">
    <cfRule type="expression" dxfId="210" priority="18">
      <formula>($D3&lt;=$E$24)</formula>
    </cfRule>
  </conditionalFormatting>
  <conditionalFormatting sqref="E50:M59 E68:M72 E78:M80">
    <cfRule type="expression" dxfId="209" priority="27">
      <formula>($D50&lt;=$E$24)</formula>
    </cfRule>
    <cfRule type="expression" dxfId="208" priority="28">
      <formula>($D50&gt;$E$24)</formula>
    </cfRule>
  </conditionalFormatting>
  <conditionalFormatting sqref="E50:M59">
    <cfRule type="expression" dxfId="207" priority="3">
      <formula>AND(E50&lt;MAX(E$50:E50), NOT(ISBLANK(E50)), NOT(E50=0))</formula>
    </cfRule>
  </conditionalFormatting>
  <conditionalFormatting sqref="E68:M72">
    <cfRule type="expression" dxfId="206" priority="2">
      <formula>AND(E68&lt;MAX(E$68:E68), NOT(ISBLANK(E68)), NOT(E68=0))</formula>
    </cfRule>
  </conditionalFormatting>
  <conditionalFormatting sqref="E78:M80 E50:M59 E68:M72">
    <cfRule type="cellIs" dxfId="205" priority="26" operator="notBetween">
      <formula>0</formula>
      <formula>$B$7</formula>
    </cfRule>
  </conditionalFormatting>
  <conditionalFormatting sqref="E78:M80">
    <cfRule type="expression" dxfId="204" priority="14">
      <formula>AND(E78&lt;MAX(E$78:E78), NOT(ISBLANK(E78)), NOT(E78=0))</formula>
    </cfRule>
  </conditionalFormatting>
  <conditionalFormatting sqref="E3:N12">
    <cfRule type="cellIs" dxfId="203" priority="5" operator="notBetween">
      <formula>0</formula>
      <formula>100</formula>
    </cfRule>
  </conditionalFormatting>
  <conditionalFormatting sqref="E3:N14">
    <cfRule type="cellIs" dxfId="202" priority="8" operator="lessThan">
      <formula>0</formula>
    </cfRule>
  </conditionalFormatting>
  <conditionalFormatting sqref="E14:N14">
    <cfRule type="cellIs" dxfId="201" priority="11" operator="greaterThan">
      <formula>1</formula>
    </cfRule>
  </conditionalFormatting>
  <conditionalFormatting sqref="N3:N12">
    <cfRule type="expression" dxfId="200" priority="15">
      <formula>AND($D3=$E$24, N3=$D$25)</formula>
    </cfRule>
    <cfRule type="expression" dxfId="199" priority="16">
      <formula>AND($D3=$E$24, MOD(N3,100)&gt;$D$25)</formula>
    </cfRule>
    <cfRule type="cellIs" dxfId="198" priority="17" operator="equal">
      <formula>100</formula>
    </cfRule>
  </conditionalFormatting>
  <conditionalFormatting sqref="N3:N13">
    <cfRule type="cellIs" dxfId="197" priority="9" operator="equal">
      <formula>0</formula>
    </cfRule>
  </conditionalFormatting>
  <conditionalFormatting sqref="N13">
    <cfRule type="cellIs" dxfId="196" priority="13" operator="equal">
      <formula>$B$7</formula>
    </cfRule>
  </conditionalFormatting>
  <conditionalFormatting sqref="N14">
    <cfRule type="cellIs" dxfId="195" priority="10" operator="equal">
      <formula>1</formula>
    </cfRule>
    <cfRule type="cellIs" dxfId="194" priority="12" operator="lessThan">
      <formula>1</formula>
    </cfRule>
  </conditionalFormatting>
  <conditionalFormatting sqref="N50 N52:N59 N68:N72 N78:N80">
    <cfRule type="cellIs" dxfId="193" priority="20" operator="lessThan">
      <formula>0</formula>
    </cfRule>
    <cfRule type="cellIs" dxfId="192" priority="21" operator="equal">
      <formula>0</formula>
    </cfRule>
    <cfRule type="expression" dxfId="191" priority="22">
      <formula>OR(MOD($N50,100)=0,AND($D50=$E$24,MOD($N50,100)=$D$25))</formula>
    </cfRule>
  </conditionalFormatting>
  <conditionalFormatting sqref="N51">
    <cfRule type="cellIs" dxfId="190" priority="23" operator="notBetween">
      <formula>0</formula>
      <formula>$B$7</formula>
    </cfRule>
    <cfRule type="cellIs" dxfId="189" priority="24" operator="equal">
      <formula>0</formula>
    </cfRule>
    <cfRule type="expression" dxfId="188" priority="25">
      <formula>OR(MOD($N51,100)=0,AND($D51=$E$24,MOD($N51,100)=$D$25))</formula>
    </cfRule>
  </conditionalFormatting>
  <conditionalFormatting sqref="Q4:Q15">
    <cfRule type="expression" dxfId="187" priority="29">
      <formula>AND($Q4&lt;$Q3, NOT(ISBLANK($Q4)))</formula>
    </cfRule>
    <cfRule type="cellIs" dxfId="186" priority="30" operator="greaterThan">
      <formula>$B$6</formula>
    </cfRule>
  </conditionalFormatting>
  <conditionalFormatting sqref="R4:R15">
    <cfRule type="cellIs" dxfId="185" priority="7" operator="greaterThan">
      <formula>1</formula>
    </cfRule>
  </conditionalFormatting>
  <dataValidations count="2">
    <dataValidation type="list" allowBlank="1" showInputMessage="1" showErrorMessage="1" sqref="C50:C59" xr:uid="{FCCE8F92-AADA-44C1-B9A4-6017C3CF96FF}">
      <formula1>$D$19:$D$21</formula1>
    </dataValidation>
    <dataValidation type="list" allowBlank="1" showInputMessage="1" showErrorMessage="1" sqref="D68:D72 D78:D82 D50:D59" xr:uid="{87D868FA-EB1C-46CF-A2B4-83AF9E5D0677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6394-D5D7-4899-9EA3-7837BE1A6D69}">
  <sheetPr codeName="Feuil49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4</v>
      </c>
      <c r="F3" s="59">
        <v>2</v>
      </c>
      <c r="G3" s="59">
        <v>24</v>
      </c>
      <c r="H3" s="59">
        <v>16</v>
      </c>
      <c r="I3" s="59">
        <v>35</v>
      </c>
      <c r="J3" s="59">
        <v>5</v>
      </c>
      <c r="K3" s="59">
        <v>1</v>
      </c>
      <c r="L3" s="73">
        <v>0</v>
      </c>
      <c r="M3" s="74">
        <v>0</v>
      </c>
      <c r="N3" s="162">
        <f t="shared" ref="N3:N12" si="0">SUM(E3:M3)</f>
        <v>87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7</v>
      </c>
      <c r="D4" s="195" cm="1">
        <f t="array" ref="D4">IF(ROW(2:2)&lt;=$E$24, (ROW(2:2)), "")</f>
        <v>2</v>
      </c>
      <c r="E4" s="60">
        <v>4</v>
      </c>
      <c r="F4" s="60">
        <v>5</v>
      </c>
      <c r="G4" s="60">
        <v>28</v>
      </c>
      <c r="H4" s="60">
        <v>23</v>
      </c>
      <c r="I4" s="60">
        <v>31</v>
      </c>
      <c r="J4" s="60">
        <v>3</v>
      </c>
      <c r="K4" s="60">
        <v>5</v>
      </c>
      <c r="L4" s="61">
        <v>1</v>
      </c>
      <c r="M4" s="62">
        <v>0</v>
      </c>
      <c r="N4" s="162">
        <f t="shared" si="0"/>
        <v>100</v>
      </c>
      <c r="O4" s="263"/>
      <c r="P4" s="260" t="s">
        <v>33</v>
      </c>
      <c r="Q4" s="239">
        <v>20</v>
      </c>
      <c r="R4" s="192">
        <f t="shared" ref="R4:R13" si="1">IF(OR(Q4=0, Q4=""), NA(), Q4/$B$6)</f>
        <v>2.7359781121751026E-2</v>
      </c>
      <c r="T4" s="167" t="s">
        <v>45</v>
      </c>
      <c r="U4" s="208">
        <f t="shared" ref="U4:U13" si="2">IF(Q4&lt;&gt;0,Q4-Q3,NA())</f>
        <v>20</v>
      </c>
    </row>
    <row r="5" spans="1:22" ht="20.149999999999999" customHeight="1" x14ac:dyDescent="0.3">
      <c r="A5" s="39" t="s">
        <v>24</v>
      </c>
      <c r="B5" s="267" t="str">
        <f>INDEX(Synthèse!B:B,B4+2)</f>
        <v>COSEC</v>
      </c>
      <c r="D5" s="195" cm="1">
        <f t="array" ref="D5">IF(ROW(3:3)&lt;=$E$24, (ROW(3:3)), "")</f>
        <v>3</v>
      </c>
      <c r="E5" s="60">
        <v>4</v>
      </c>
      <c r="F5" s="60">
        <v>2</v>
      </c>
      <c r="G5" s="60">
        <v>28</v>
      </c>
      <c r="H5" s="60">
        <v>17</v>
      </c>
      <c r="I5" s="60">
        <v>43</v>
      </c>
      <c r="J5" s="60">
        <v>9</v>
      </c>
      <c r="K5" s="60">
        <v>3</v>
      </c>
      <c r="L5" s="75">
        <v>3</v>
      </c>
      <c r="M5" s="76">
        <v>1</v>
      </c>
      <c r="N5" s="162">
        <f t="shared" si="0"/>
        <v>110</v>
      </c>
      <c r="O5" s="264"/>
      <c r="P5" s="260" t="s">
        <v>34</v>
      </c>
      <c r="Q5" s="239">
        <v>75</v>
      </c>
      <c r="R5" s="192">
        <f t="shared" si="1"/>
        <v>0.10259917920656635</v>
      </c>
      <c r="T5" s="168" t="s">
        <v>46</v>
      </c>
      <c r="U5" s="209">
        <f t="shared" si="2"/>
        <v>55</v>
      </c>
    </row>
    <row r="6" spans="1:22" ht="20.149999999999999" customHeight="1" x14ac:dyDescent="0.3">
      <c r="A6" s="39" t="s">
        <v>0</v>
      </c>
      <c r="B6" s="87">
        <f>INDEX(Synthèse!C:C,B4+2)</f>
        <v>731</v>
      </c>
      <c r="D6" s="195" cm="1">
        <f t="array" ref="D6">IF(ROW(4:4)&lt;=$E$24, (ROW(4:4)), "")</f>
        <v>4</v>
      </c>
      <c r="E6" s="60">
        <v>7</v>
      </c>
      <c r="F6" s="60">
        <v>2</v>
      </c>
      <c r="G6" s="60">
        <v>31</v>
      </c>
      <c r="H6" s="60">
        <v>12</v>
      </c>
      <c r="I6" s="60">
        <v>40</v>
      </c>
      <c r="J6" s="60">
        <v>2</v>
      </c>
      <c r="K6" s="60">
        <v>1</v>
      </c>
      <c r="L6" s="75">
        <v>4</v>
      </c>
      <c r="M6" s="76">
        <v>1</v>
      </c>
      <c r="N6" s="162">
        <f t="shared" si="0"/>
        <v>100</v>
      </c>
      <c r="O6" s="264"/>
      <c r="P6" s="260" t="s">
        <v>35</v>
      </c>
      <c r="Q6" s="239">
        <v>150</v>
      </c>
      <c r="R6" s="192">
        <f t="shared" si="1"/>
        <v>0.20519835841313269</v>
      </c>
      <c r="T6" s="168" t="s">
        <v>47</v>
      </c>
      <c r="U6" s="209">
        <f t="shared" si="2"/>
        <v>75</v>
      </c>
    </row>
    <row r="7" spans="1:22" ht="20.149999999999999" customHeight="1" x14ac:dyDescent="0.3">
      <c r="A7" s="39" t="s">
        <v>2</v>
      </c>
      <c r="B7" s="69">
        <f>MAX(Q4:Q15)</f>
        <v>439</v>
      </c>
      <c r="D7" s="195" cm="1">
        <f t="array" ref="D7">IF(ROW(5:5)&lt;=$E$24, (ROW(5:5)), "")</f>
        <v>5</v>
      </c>
      <c r="E7" s="60">
        <v>1</v>
      </c>
      <c r="F7" s="60">
        <v>1</v>
      </c>
      <c r="G7" s="60">
        <v>10</v>
      </c>
      <c r="H7" s="60">
        <v>1</v>
      </c>
      <c r="I7" s="60">
        <v>19</v>
      </c>
      <c r="J7" s="60">
        <v>3</v>
      </c>
      <c r="K7" s="60">
        <v>3</v>
      </c>
      <c r="L7" s="61">
        <v>4</v>
      </c>
      <c r="M7" s="62">
        <v>0</v>
      </c>
      <c r="N7" s="162">
        <f t="shared" si="0"/>
        <v>42</v>
      </c>
      <c r="O7" s="264"/>
      <c r="P7" s="260" t="s">
        <v>36</v>
      </c>
      <c r="Q7" s="239">
        <v>242</v>
      </c>
      <c r="R7" s="192">
        <f t="shared" si="1"/>
        <v>0.33105335157318744</v>
      </c>
      <c r="T7" s="168" t="s">
        <v>54</v>
      </c>
      <c r="U7" s="209">
        <f t="shared" si="2"/>
        <v>92</v>
      </c>
    </row>
    <row r="8" spans="1:22" ht="20.149999999999999" customHeight="1" x14ac:dyDescent="0.3">
      <c r="A8" s="39" t="s">
        <v>1</v>
      </c>
      <c r="B8" s="70">
        <v>439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284</v>
      </c>
      <c r="R8" s="192">
        <f t="shared" si="1"/>
        <v>0.38850889192886456</v>
      </c>
      <c r="T8" s="168" t="s">
        <v>48</v>
      </c>
      <c r="U8" s="209">
        <f t="shared" si="2"/>
        <v>42</v>
      </c>
    </row>
    <row r="9" spans="1:22" ht="20.149999999999999" customHeight="1" thickBot="1" x14ac:dyDescent="0.35">
      <c r="A9" s="40" t="s">
        <v>17</v>
      </c>
      <c r="B9" s="71">
        <f>B6-B7</f>
        <v>292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310</v>
      </c>
      <c r="R9" s="192">
        <f t="shared" si="1"/>
        <v>0.42407660738714092</v>
      </c>
      <c r="T9" s="168" t="s">
        <v>49</v>
      </c>
      <c r="U9" s="209">
        <f t="shared" si="2"/>
        <v>26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354</v>
      </c>
      <c r="R10" s="192">
        <f t="shared" si="1"/>
        <v>0.48426812585499318</v>
      </c>
      <c r="T10" s="168" t="s">
        <v>50</v>
      </c>
      <c r="U10" s="209">
        <f t="shared" si="2"/>
        <v>44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402</v>
      </c>
      <c r="R11" s="192">
        <f t="shared" si="1"/>
        <v>0.54993160054719559</v>
      </c>
      <c r="T11" s="168" t="s">
        <v>51</v>
      </c>
      <c r="U11" s="209">
        <f t="shared" si="2"/>
        <v>48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420</v>
      </c>
      <c r="R12" s="192">
        <f t="shared" si="1"/>
        <v>0.57455540355677159</v>
      </c>
      <c r="T12" s="168" t="s">
        <v>52</v>
      </c>
      <c r="U12" s="209">
        <f t="shared" si="2"/>
        <v>18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20</v>
      </c>
      <c r="F13" s="66">
        <f t="shared" si="3"/>
        <v>12</v>
      </c>
      <c r="G13" s="66">
        <f t="shared" si="3"/>
        <v>121</v>
      </c>
      <c r="H13" s="66">
        <f t="shared" si="3"/>
        <v>69</v>
      </c>
      <c r="I13" s="66">
        <f t="shared" si="3"/>
        <v>168</v>
      </c>
      <c r="J13" s="66">
        <f t="shared" si="3"/>
        <v>22</v>
      </c>
      <c r="K13" s="66">
        <f t="shared" si="3"/>
        <v>13</v>
      </c>
      <c r="L13" s="67">
        <f t="shared" si="3"/>
        <v>12</v>
      </c>
      <c r="M13" s="68">
        <f t="shared" si="3"/>
        <v>2</v>
      </c>
      <c r="N13" s="249">
        <f>SUM(N3:N12)</f>
        <v>439</v>
      </c>
      <c r="O13" s="264"/>
      <c r="P13" s="260" t="s">
        <v>42</v>
      </c>
      <c r="Q13" s="239">
        <v>439</v>
      </c>
      <c r="R13" s="192">
        <f t="shared" si="1"/>
        <v>0.60054719562243497</v>
      </c>
      <c r="T13" s="169" t="s">
        <v>53</v>
      </c>
      <c r="U13" s="210">
        <f t="shared" si="2"/>
        <v>19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4.5558086560364468E-2</v>
      </c>
      <c r="F14" s="19">
        <f t="shared" si="4"/>
        <v>2.7334851936218679E-2</v>
      </c>
      <c r="G14" s="19">
        <f t="shared" si="4"/>
        <v>0.27562642369020501</v>
      </c>
      <c r="H14" s="19">
        <f t="shared" si="4"/>
        <v>0.15717539863325741</v>
      </c>
      <c r="I14" s="19">
        <f t="shared" si="4"/>
        <v>0.38268792710706151</v>
      </c>
      <c r="J14" s="19">
        <f t="shared" si="4"/>
        <v>5.011389521640091E-2</v>
      </c>
      <c r="K14" s="19">
        <f t="shared" si="4"/>
        <v>2.9612756264236904E-2</v>
      </c>
      <c r="L14" s="18">
        <f t="shared" si="4"/>
        <v>2.7334851936218679E-2</v>
      </c>
      <c r="M14" s="20">
        <f t="shared" si="4"/>
        <v>4.5558086560364463E-3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8</v>
      </c>
      <c r="E24" s="246">
        <f>CEILING($B$7,100)/100</f>
        <v>5</v>
      </c>
      <c r="O24" s="263"/>
    </row>
    <row r="25" spans="1:15" ht="13" x14ac:dyDescent="0.25">
      <c r="D25" s="102">
        <f>MOD($B$7,100)</f>
        <v>39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B4LoA8CUnAoHLUQnbJcjI02RaPo+B2EFOa5v3YiuU9zZiJK31WjA1WsJVzbXJyo3AV6R9bBFg2HUk4O/dYaDrg==" saltValue="PgKri4rSinB3bwEVmTCDCA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184" priority="1" operator="equal">
      <formula>0</formula>
    </cfRule>
    <cfRule type="cellIs" dxfId="183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182" priority="19">
      <formula>($D3&gt;$E$24)</formula>
    </cfRule>
  </conditionalFormatting>
  <conditionalFormatting sqref="E3:M12">
    <cfRule type="expression" dxfId="181" priority="18">
      <formula>($D3&lt;=$E$24)</formula>
    </cfRule>
  </conditionalFormatting>
  <conditionalFormatting sqref="E50:M59 E68:M72 E78:M80">
    <cfRule type="expression" dxfId="180" priority="27">
      <formula>($D50&lt;=$E$24)</formula>
    </cfRule>
    <cfRule type="expression" dxfId="179" priority="28">
      <formula>($D50&gt;$E$24)</formula>
    </cfRule>
  </conditionalFormatting>
  <conditionalFormatting sqref="E50:M59">
    <cfRule type="expression" dxfId="178" priority="3">
      <formula>AND(E50&lt;MAX(E$50:E50), NOT(ISBLANK(E50)), NOT(E50=0))</formula>
    </cfRule>
  </conditionalFormatting>
  <conditionalFormatting sqref="E68:M72">
    <cfRule type="expression" dxfId="177" priority="2">
      <formula>AND(E68&lt;MAX(E$68:E68), NOT(ISBLANK(E68)), NOT(E68=0))</formula>
    </cfRule>
  </conditionalFormatting>
  <conditionalFormatting sqref="E78:M80 E50:M59 E68:M72">
    <cfRule type="cellIs" dxfId="176" priority="26" operator="notBetween">
      <formula>0</formula>
      <formula>$B$7</formula>
    </cfRule>
  </conditionalFormatting>
  <conditionalFormatting sqref="E78:M80">
    <cfRule type="expression" dxfId="175" priority="14">
      <formula>AND(E78&lt;MAX(E$78:E78), NOT(ISBLANK(E78)), NOT(E78=0))</formula>
    </cfRule>
  </conditionalFormatting>
  <conditionalFormatting sqref="E3:N12">
    <cfRule type="cellIs" dxfId="174" priority="5" operator="notBetween">
      <formula>0</formula>
      <formula>100</formula>
    </cfRule>
  </conditionalFormatting>
  <conditionalFormatting sqref="E3:N14">
    <cfRule type="cellIs" dxfId="173" priority="8" operator="lessThan">
      <formula>0</formula>
    </cfRule>
  </conditionalFormatting>
  <conditionalFormatting sqref="E14:N14">
    <cfRule type="cellIs" dxfId="172" priority="11" operator="greaterThan">
      <formula>1</formula>
    </cfRule>
  </conditionalFormatting>
  <conditionalFormatting sqref="N3:N12">
    <cfRule type="expression" dxfId="171" priority="15">
      <formula>AND($D3=$E$24, N3=$D$25)</formula>
    </cfRule>
    <cfRule type="expression" dxfId="170" priority="16">
      <formula>AND($D3=$E$24, MOD(N3,100)&gt;$D$25)</formula>
    </cfRule>
    <cfRule type="cellIs" dxfId="169" priority="17" operator="equal">
      <formula>100</formula>
    </cfRule>
  </conditionalFormatting>
  <conditionalFormatting sqref="N3:N13">
    <cfRule type="cellIs" dxfId="168" priority="9" operator="equal">
      <formula>0</formula>
    </cfRule>
  </conditionalFormatting>
  <conditionalFormatting sqref="N13">
    <cfRule type="cellIs" dxfId="167" priority="13" operator="equal">
      <formula>$B$7</formula>
    </cfRule>
  </conditionalFormatting>
  <conditionalFormatting sqref="N14">
    <cfRule type="cellIs" dxfId="166" priority="10" operator="equal">
      <formula>1</formula>
    </cfRule>
    <cfRule type="cellIs" dxfId="165" priority="12" operator="lessThan">
      <formula>1</formula>
    </cfRule>
  </conditionalFormatting>
  <conditionalFormatting sqref="N50 N52:N59 N68:N72 N78:N80">
    <cfRule type="cellIs" dxfId="164" priority="20" operator="lessThan">
      <formula>0</formula>
    </cfRule>
    <cfRule type="cellIs" dxfId="163" priority="21" operator="equal">
      <formula>0</formula>
    </cfRule>
    <cfRule type="expression" dxfId="162" priority="22">
      <formula>OR(MOD($N50,100)=0,AND($D50=$E$24,MOD($N50,100)=$D$25))</formula>
    </cfRule>
  </conditionalFormatting>
  <conditionalFormatting sqref="N51">
    <cfRule type="cellIs" dxfId="161" priority="23" operator="notBetween">
      <formula>0</formula>
      <formula>$B$7</formula>
    </cfRule>
    <cfRule type="cellIs" dxfId="160" priority="24" operator="equal">
      <formula>0</formula>
    </cfRule>
    <cfRule type="expression" dxfId="159" priority="25">
      <formula>OR(MOD($N51,100)=0,AND($D51=$E$24,MOD($N51,100)=$D$25))</formula>
    </cfRule>
  </conditionalFormatting>
  <conditionalFormatting sqref="Q4:Q15">
    <cfRule type="expression" dxfId="158" priority="29">
      <formula>AND($Q4&lt;$Q3, NOT(ISBLANK($Q4)))</formula>
    </cfRule>
    <cfRule type="cellIs" dxfId="157" priority="30" operator="greaterThan">
      <formula>$B$6</formula>
    </cfRule>
  </conditionalFormatting>
  <conditionalFormatting sqref="R4:R15">
    <cfRule type="cellIs" dxfId="156" priority="7" operator="greaterThan">
      <formula>1</formula>
    </cfRule>
  </conditionalFormatting>
  <dataValidations count="2">
    <dataValidation type="list" allowBlank="1" showInputMessage="1" showErrorMessage="1" sqref="C50:C59" xr:uid="{9DAC4993-F947-49E1-A094-DEFF95925C42}">
      <formula1>$D$19:$D$21</formula1>
    </dataValidation>
    <dataValidation type="list" allowBlank="1" showInputMessage="1" showErrorMessage="1" sqref="D68:D72 D78:D82 D50:D59" xr:uid="{E371F15B-CF33-46EE-BFA1-A7418602E5E0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066A-0CF8-466B-B8A5-66CD0C0B9B98}">
  <sheetPr codeName="Feuil50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11</v>
      </c>
      <c r="F3" s="59">
        <v>7</v>
      </c>
      <c r="G3" s="59">
        <v>23</v>
      </c>
      <c r="H3" s="59">
        <v>15</v>
      </c>
      <c r="I3" s="59">
        <v>30</v>
      </c>
      <c r="J3" s="59">
        <v>6</v>
      </c>
      <c r="K3" s="59">
        <v>3</v>
      </c>
      <c r="L3" s="73">
        <v>2</v>
      </c>
      <c r="M3" s="74">
        <v>3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8</v>
      </c>
      <c r="D4" s="195" cm="1">
        <f t="array" ref="D4">IF(ROW(2:2)&lt;=$E$24, (ROW(2:2)), "")</f>
        <v>2</v>
      </c>
      <c r="E4" s="60">
        <v>13</v>
      </c>
      <c r="F4" s="60">
        <v>3</v>
      </c>
      <c r="G4" s="60">
        <v>21</v>
      </c>
      <c r="H4" s="60">
        <v>19</v>
      </c>
      <c r="I4" s="60">
        <v>30</v>
      </c>
      <c r="J4" s="60">
        <v>7</v>
      </c>
      <c r="K4" s="60">
        <v>2</v>
      </c>
      <c r="L4" s="61">
        <v>0</v>
      </c>
      <c r="M4" s="62">
        <v>5</v>
      </c>
      <c r="N4" s="162">
        <f t="shared" si="0"/>
        <v>100</v>
      </c>
      <c r="O4" s="263"/>
      <c r="P4" s="260" t="s">
        <v>33</v>
      </c>
      <c r="Q4" s="239">
        <v>36</v>
      </c>
      <c r="R4" s="192">
        <f t="shared" ref="R4:R13" si="1">IF(OR(Q4=0, Q4=""), NA(), Q4/$B$6)</f>
        <v>5.5727554179566562E-2</v>
      </c>
      <c r="T4" s="167" t="s">
        <v>45</v>
      </c>
      <c r="U4" s="208">
        <f t="shared" ref="U4:U13" si="2">IF(Q4&lt;&gt;0,Q4-Q3,NA())</f>
        <v>36</v>
      </c>
    </row>
    <row r="5" spans="1:22" ht="20.149999999999999" customHeight="1" x14ac:dyDescent="0.3">
      <c r="A5" s="39" t="s">
        <v>24</v>
      </c>
      <c r="B5" s="267" t="str">
        <f>INDEX(Synthèse!B:B,B4+2)</f>
        <v>COSEC</v>
      </c>
      <c r="D5" s="195" cm="1">
        <f t="array" ref="D5">IF(ROW(3:3)&lt;=$E$24, (ROW(3:3)), "")</f>
        <v>3</v>
      </c>
      <c r="E5" s="60">
        <v>3</v>
      </c>
      <c r="F5" s="60">
        <v>2</v>
      </c>
      <c r="G5" s="60">
        <v>29</v>
      </c>
      <c r="H5" s="60">
        <v>22</v>
      </c>
      <c r="I5" s="60">
        <v>39</v>
      </c>
      <c r="J5" s="60">
        <v>1</v>
      </c>
      <c r="K5" s="60">
        <v>2</v>
      </c>
      <c r="L5" s="75">
        <v>2</v>
      </c>
      <c r="M5" s="76">
        <v>0</v>
      </c>
      <c r="N5" s="162">
        <f t="shared" si="0"/>
        <v>100</v>
      </c>
      <c r="O5" s="264"/>
      <c r="P5" s="260" t="s">
        <v>34</v>
      </c>
      <c r="Q5" s="239">
        <v>72</v>
      </c>
      <c r="R5" s="192">
        <f t="shared" si="1"/>
        <v>0.11145510835913312</v>
      </c>
      <c r="T5" s="168" t="s">
        <v>46</v>
      </c>
      <c r="U5" s="209">
        <f t="shared" si="2"/>
        <v>36</v>
      </c>
    </row>
    <row r="6" spans="1:22" ht="20.149999999999999" customHeight="1" x14ac:dyDescent="0.3">
      <c r="A6" s="39" t="s">
        <v>0</v>
      </c>
      <c r="B6" s="87">
        <f>INDEX(Synthèse!C:C,B4+2)</f>
        <v>646</v>
      </c>
      <c r="D6" s="195" cm="1">
        <f t="array" ref="D6">IF(ROW(4:4)&lt;=$E$24, (ROW(4:4)), "")</f>
        <v>4</v>
      </c>
      <c r="E6" s="60">
        <v>7</v>
      </c>
      <c r="F6" s="60">
        <v>4</v>
      </c>
      <c r="G6" s="60">
        <v>27</v>
      </c>
      <c r="H6" s="60">
        <v>11</v>
      </c>
      <c r="I6" s="60">
        <v>24</v>
      </c>
      <c r="J6" s="60">
        <v>3</v>
      </c>
      <c r="K6" s="60">
        <v>1</v>
      </c>
      <c r="L6" s="75">
        <v>2</v>
      </c>
      <c r="M6" s="76">
        <v>0</v>
      </c>
      <c r="N6" s="162">
        <f t="shared" si="0"/>
        <v>79</v>
      </c>
      <c r="O6" s="264"/>
      <c r="P6" s="260" t="s">
        <v>35</v>
      </c>
      <c r="Q6" s="239">
        <v>149</v>
      </c>
      <c r="R6" s="192">
        <f t="shared" si="1"/>
        <v>0.23065015479876161</v>
      </c>
      <c r="T6" s="168" t="s">
        <v>47</v>
      </c>
      <c r="U6" s="209">
        <f t="shared" si="2"/>
        <v>77</v>
      </c>
    </row>
    <row r="7" spans="1:22" ht="20.149999999999999" customHeight="1" x14ac:dyDescent="0.3">
      <c r="A7" s="39" t="s">
        <v>2</v>
      </c>
      <c r="B7" s="69">
        <f>MAX(Q4:Q15)</f>
        <v>379</v>
      </c>
      <c r="D7" s="195" t="str" cm="1">
        <f t="array" ref="D7">IF(ROW(5:5)&lt;=$E$24, (ROW(5:5)), "")</f>
        <v/>
      </c>
      <c r="E7" s="60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60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60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60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60" cm="1">
        <f t="array" ref="I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J7" s="60" cm="1">
        <f t="array" ref="J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K7" s="60" cm="1">
        <f t="array" ref="K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L7" s="61" cm="1">
        <f t="array" ref="L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M7" s="62" cm="1">
        <f t="array" ref="M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N7" s="162">
        <f t="shared" si="0"/>
        <v>0</v>
      </c>
      <c r="O7" s="264"/>
      <c r="P7" s="260" t="s">
        <v>36</v>
      </c>
      <c r="Q7" s="239">
        <v>213</v>
      </c>
      <c r="R7" s="192">
        <f t="shared" si="1"/>
        <v>0.32972136222910214</v>
      </c>
      <c r="T7" s="168" t="s">
        <v>54</v>
      </c>
      <c r="U7" s="209">
        <f t="shared" si="2"/>
        <v>64</v>
      </c>
    </row>
    <row r="8" spans="1:22" ht="20.149999999999999" customHeight="1" x14ac:dyDescent="0.3">
      <c r="A8" s="39" t="s">
        <v>1</v>
      </c>
      <c r="B8" s="70">
        <v>379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260</v>
      </c>
      <c r="R8" s="192">
        <f t="shared" si="1"/>
        <v>0.4024767801857585</v>
      </c>
      <c r="T8" s="168" t="s">
        <v>48</v>
      </c>
      <c r="U8" s="209">
        <f t="shared" si="2"/>
        <v>47</v>
      </c>
    </row>
    <row r="9" spans="1:22" ht="20.149999999999999" customHeight="1" thickBot="1" x14ac:dyDescent="0.35">
      <c r="A9" s="40" t="s">
        <v>17</v>
      </c>
      <c r="B9" s="71">
        <f>B6-B7</f>
        <v>267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300</v>
      </c>
      <c r="R9" s="192">
        <f t="shared" si="1"/>
        <v>0.46439628482972134</v>
      </c>
      <c r="T9" s="168" t="s">
        <v>49</v>
      </c>
      <c r="U9" s="209">
        <f t="shared" si="2"/>
        <v>40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325</v>
      </c>
      <c r="R10" s="192">
        <f t="shared" si="1"/>
        <v>0.50309597523219818</v>
      </c>
      <c r="T10" s="168" t="s">
        <v>50</v>
      </c>
      <c r="U10" s="209">
        <f t="shared" si="2"/>
        <v>25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350</v>
      </c>
      <c r="R11" s="192">
        <f t="shared" si="1"/>
        <v>0.54179566563467496</v>
      </c>
      <c r="T11" s="168" t="s">
        <v>51</v>
      </c>
      <c r="U11" s="209">
        <f t="shared" si="2"/>
        <v>25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361</v>
      </c>
      <c r="R12" s="192">
        <f t="shared" si="1"/>
        <v>0.55882352941176472</v>
      </c>
      <c r="T12" s="168" t="s">
        <v>52</v>
      </c>
      <c r="U12" s="209">
        <f t="shared" si="2"/>
        <v>11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34</v>
      </c>
      <c r="F13" s="66">
        <f t="shared" si="3"/>
        <v>16</v>
      </c>
      <c r="G13" s="66">
        <f t="shared" si="3"/>
        <v>100</v>
      </c>
      <c r="H13" s="66">
        <f t="shared" si="3"/>
        <v>67</v>
      </c>
      <c r="I13" s="66">
        <f t="shared" si="3"/>
        <v>123</v>
      </c>
      <c r="J13" s="66">
        <f t="shared" si="3"/>
        <v>17</v>
      </c>
      <c r="K13" s="66">
        <f t="shared" si="3"/>
        <v>8</v>
      </c>
      <c r="L13" s="67">
        <f t="shared" si="3"/>
        <v>6</v>
      </c>
      <c r="M13" s="68">
        <f t="shared" si="3"/>
        <v>8</v>
      </c>
      <c r="N13" s="249">
        <f>SUM(N3:N12)</f>
        <v>379</v>
      </c>
      <c r="O13" s="264"/>
      <c r="P13" s="260" t="s">
        <v>42</v>
      </c>
      <c r="Q13" s="239">
        <v>379</v>
      </c>
      <c r="R13" s="192">
        <f t="shared" si="1"/>
        <v>0.58668730650154799</v>
      </c>
      <c r="T13" s="169" t="s">
        <v>53</v>
      </c>
      <c r="U13" s="210">
        <f t="shared" si="2"/>
        <v>18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8.9709762532981532E-2</v>
      </c>
      <c r="F14" s="19">
        <f t="shared" si="4"/>
        <v>4.221635883905013E-2</v>
      </c>
      <c r="G14" s="19">
        <f t="shared" si="4"/>
        <v>0.26385224274406333</v>
      </c>
      <c r="H14" s="19">
        <f t="shared" si="4"/>
        <v>0.17678100263852242</v>
      </c>
      <c r="I14" s="19">
        <f t="shared" si="4"/>
        <v>0.32453825857519791</v>
      </c>
      <c r="J14" s="19">
        <f t="shared" si="4"/>
        <v>4.4854881266490766E-2</v>
      </c>
      <c r="K14" s="19">
        <f t="shared" si="4"/>
        <v>2.1108179419525065E-2</v>
      </c>
      <c r="L14" s="18">
        <f t="shared" si="4"/>
        <v>1.5831134564643801E-2</v>
      </c>
      <c r="M14" s="20">
        <f t="shared" si="4"/>
        <v>2.1108179419525065E-2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7</v>
      </c>
      <c r="E24" s="246">
        <f>CEILING($B$7,100)/100</f>
        <v>4</v>
      </c>
      <c r="O24" s="263"/>
    </row>
    <row r="25" spans="1:15" ht="13" x14ac:dyDescent="0.25">
      <c r="D25" s="102">
        <f>MOD($B$7,100)</f>
        <v>79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QPgW8mo5bAj5u4pk/Y/Hh/5RmRgF42/NdP84CkYPLhNRjtRW5ehEB3ZYACffSyNfTzUtu5CSP5x5aNHNkkrHCg==" saltValue="5yvo8pnWdE0qfNPJGgY49g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155" priority="1" operator="equal">
      <formula>0</formula>
    </cfRule>
    <cfRule type="cellIs" dxfId="154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153" priority="19">
      <formula>($D3&gt;$E$24)</formula>
    </cfRule>
  </conditionalFormatting>
  <conditionalFormatting sqref="E3:M12">
    <cfRule type="expression" dxfId="152" priority="18">
      <formula>($D3&lt;=$E$24)</formula>
    </cfRule>
  </conditionalFormatting>
  <conditionalFormatting sqref="E50:M59 E68:M72 E78:M80">
    <cfRule type="expression" dxfId="151" priority="27">
      <formula>($D50&lt;=$E$24)</formula>
    </cfRule>
    <cfRule type="expression" dxfId="150" priority="28">
      <formula>($D50&gt;$E$24)</formula>
    </cfRule>
  </conditionalFormatting>
  <conditionalFormatting sqref="E50:M59">
    <cfRule type="expression" dxfId="149" priority="3">
      <formula>AND(E50&lt;MAX(E$50:E50), NOT(ISBLANK(E50)), NOT(E50=0))</formula>
    </cfRule>
  </conditionalFormatting>
  <conditionalFormatting sqref="E68:M72">
    <cfRule type="expression" dxfId="148" priority="2">
      <formula>AND(E68&lt;MAX(E$68:E68), NOT(ISBLANK(E68)), NOT(E68=0))</formula>
    </cfRule>
  </conditionalFormatting>
  <conditionalFormatting sqref="E78:M80 E50:M59 E68:M72">
    <cfRule type="cellIs" dxfId="147" priority="26" operator="notBetween">
      <formula>0</formula>
      <formula>$B$7</formula>
    </cfRule>
  </conditionalFormatting>
  <conditionalFormatting sqref="E78:M80">
    <cfRule type="expression" dxfId="146" priority="14">
      <formula>AND(E78&lt;MAX(E$78:E78), NOT(ISBLANK(E78)), NOT(E78=0))</formula>
    </cfRule>
  </conditionalFormatting>
  <conditionalFormatting sqref="E3:N12">
    <cfRule type="cellIs" dxfId="145" priority="5" operator="notBetween">
      <formula>0</formula>
      <formula>100</formula>
    </cfRule>
  </conditionalFormatting>
  <conditionalFormatting sqref="E3:N14">
    <cfRule type="cellIs" dxfId="144" priority="8" operator="lessThan">
      <formula>0</formula>
    </cfRule>
  </conditionalFormatting>
  <conditionalFormatting sqref="E14:N14">
    <cfRule type="cellIs" dxfId="143" priority="11" operator="greaterThan">
      <formula>1</formula>
    </cfRule>
  </conditionalFormatting>
  <conditionalFormatting sqref="N3:N12">
    <cfRule type="expression" dxfId="142" priority="15">
      <formula>AND($D3=$E$24, N3=$D$25)</formula>
    </cfRule>
    <cfRule type="expression" dxfId="141" priority="16">
      <formula>AND($D3=$E$24, MOD(N3,100)&gt;$D$25)</formula>
    </cfRule>
    <cfRule type="cellIs" dxfId="140" priority="17" operator="equal">
      <formula>100</formula>
    </cfRule>
  </conditionalFormatting>
  <conditionalFormatting sqref="N3:N13">
    <cfRule type="cellIs" dxfId="139" priority="9" operator="equal">
      <formula>0</formula>
    </cfRule>
  </conditionalFormatting>
  <conditionalFormatting sqref="N13">
    <cfRule type="cellIs" dxfId="138" priority="13" operator="equal">
      <formula>$B$7</formula>
    </cfRule>
  </conditionalFormatting>
  <conditionalFormatting sqref="N14">
    <cfRule type="cellIs" dxfId="137" priority="10" operator="equal">
      <formula>1</formula>
    </cfRule>
    <cfRule type="cellIs" dxfId="136" priority="12" operator="lessThan">
      <formula>1</formula>
    </cfRule>
  </conditionalFormatting>
  <conditionalFormatting sqref="N50 N52:N59 N68:N72 N78:N80">
    <cfRule type="cellIs" dxfId="135" priority="20" operator="lessThan">
      <formula>0</formula>
    </cfRule>
    <cfRule type="cellIs" dxfId="134" priority="21" operator="equal">
      <formula>0</formula>
    </cfRule>
    <cfRule type="expression" dxfId="133" priority="22">
      <formula>OR(MOD($N50,100)=0,AND($D50=$E$24,MOD($N50,100)=$D$25))</formula>
    </cfRule>
  </conditionalFormatting>
  <conditionalFormatting sqref="N51">
    <cfRule type="cellIs" dxfId="132" priority="23" operator="notBetween">
      <formula>0</formula>
      <formula>$B$7</formula>
    </cfRule>
    <cfRule type="cellIs" dxfId="131" priority="24" operator="equal">
      <formula>0</formula>
    </cfRule>
    <cfRule type="expression" dxfId="130" priority="25">
      <formula>OR(MOD($N51,100)=0,AND($D51=$E$24,MOD($N51,100)=$D$25))</formula>
    </cfRule>
  </conditionalFormatting>
  <conditionalFormatting sqref="Q4:Q15">
    <cfRule type="expression" dxfId="129" priority="29">
      <formula>AND($Q4&lt;$Q3, NOT(ISBLANK($Q4)))</formula>
    </cfRule>
    <cfRule type="cellIs" dxfId="128" priority="30" operator="greaterThan">
      <formula>$B$6</formula>
    </cfRule>
  </conditionalFormatting>
  <conditionalFormatting sqref="R4:R15">
    <cfRule type="cellIs" dxfId="127" priority="7" operator="greaterThan">
      <formula>1</formula>
    </cfRule>
  </conditionalFormatting>
  <dataValidations count="2">
    <dataValidation type="list" allowBlank="1" showInputMessage="1" showErrorMessage="1" sqref="C50:C59" xr:uid="{FA797DF2-417A-4836-A418-59156B6769CF}">
      <formula1>$D$19:$D$21</formula1>
    </dataValidation>
    <dataValidation type="list" allowBlank="1" showInputMessage="1" showErrorMessage="1" sqref="D68:D72 D78:D82 D50:D59" xr:uid="{B60F799F-439B-4D05-854F-5ADCAABCED04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7071-1192-4F03-A056-E289204DE7FE}">
  <sheetPr codeName="Feuil51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4</v>
      </c>
      <c r="F3" s="59">
        <v>5</v>
      </c>
      <c r="G3" s="59">
        <v>21</v>
      </c>
      <c r="H3" s="59">
        <v>19</v>
      </c>
      <c r="I3" s="59">
        <v>35</v>
      </c>
      <c r="J3" s="59">
        <v>8</v>
      </c>
      <c r="K3" s="59">
        <v>4</v>
      </c>
      <c r="L3" s="73">
        <v>1</v>
      </c>
      <c r="M3" s="74">
        <v>2</v>
      </c>
      <c r="N3" s="162">
        <f t="shared" ref="N3:N12" si="0">SUM(E3:M3)</f>
        <v>99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9</v>
      </c>
      <c r="D4" s="195" cm="1">
        <f t="array" ref="D4">IF(ROW(2:2)&lt;=$E$24, (ROW(2:2)), "")</f>
        <v>2</v>
      </c>
      <c r="E4" s="60">
        <v>8</v>
      </c>
      <c r="F4" s="60">
        <v>3</v>
      </c>
      <c r="G4" s="60">
        <v>34</v>
      </c>
      <c r="H4" s="60">
        <v>16</v>
      </c>
      <c r="I4" s="60">
        <v>28</v>
      </c>
      <c r="J4" s="60">
        <v>6</v>
      </c>
      <c r="K4" s="60">
        <v>3</v>
      </c>
      <c r="L4" s="61">
        <v>2</v>
      </c>
      <c r="M4" s="62">
        <v>1</v>
      </c>
      <c r="N4" s="162">
        <f t="shared" si="0"/>
        <v>101</v>
      </c>
      <c r="O4" s="263"/>
      <c r="P4" s="260" t="s">
        <v>33</v>
      </c>
      <c r="Q4" s="239">
        <v>22</v>
      </c>
      <c r="R4" s="192">
        <f t="shared" ref="R4:R13" si="1">IF(OR(Q4=0, Q4=""), NA(), Q4/$B$6)</f>
        <v>3.1029619181946404E-2</v>
      </c>
      <c r="T4" s="167" t="s">
        <v>45</v>
      </c>
      <c r="U4" s="208">
        <f t="shared" ref="U4:U13" si="2">IF(Q4&lt;&gt;0,Q4-Q3,NA())</f>
        <v>22</v>
      </c>
    </row>
    <row r="5" spans="1:22" ht="20.149999999999999" customHeight="1" x14ac:dyDescent="0.3">
      <c r="A5" s="39" t="s">
        <v>24</v>
      </c>
      <c r="B5" s="267" t="str">
        <f>INDEX(Synthèse!B:B,B4+2)</f>
        <v>CMM</v>
      </c>
      <c r="D5" s="195" cm="1">
        <f t="array" ref="D5">IF(ROW(3:3)&lt;=$E$24, (ROW(3:3)), "")</f>
        <v>3</v>
      </c>
      <c r="E5" s="60">
        <v>10</v>
      </c>
      <c r="F5" s="60">
        <v>4</v>
      </c>
      <c r="G5" s="60">
        <v>23</v>
      </c>
      <c r="H5" s="60">
        <v>18</v>
      </c>
      <c r="I5" s="60">
        <v>30</v>
      </c>
      <c r="J5" s="60">
        <v>5</v>
      </c>
      <c r="K5" s="60">
        <v>2</v>
      </c>
      <c r="L5" s="75">
        <v>3</v>
      </c>
      <c r="M5" s="76">
        <v>5</v>
      </c>
      <c r="N5" s="162">
        <f t="shared" si="0"/>
        <v>100</v>
      </c>
      <c r="O5" s="264"/>
      <c r="P5" s="260" t="s">
        <v>34</v>
      </c>
      <c r="Q5" s="239">
        <v>59</v>
      </c>
      <c r="R5" s="192">
        <f t="shared" si="1"/>
        <v>8.3215796897038077E-2</v>
      </c>
      <c r="T5" s="168" t="s">
        <v>46</v>
      </c>
      <c r="U5" s="209">
        <f t="shared" si="2"/>
        <v>37</v>
      </c>
    </row>
    <row r="6" spans="1:22" ht="20.149999999999999" customHeight="1" x14ac:dyDescent="0.3">
      <c r="A6" s="39" t="s">
        <v>0</v>
      </c>
      <c r="B6" s="87">
        <f>INDEX(Synthèse!C:C,B4+2)</f>
        <v>709</v>
      </c>
      <c r="D6" s="195" cm="1">
        <f t="array" ref="D6">IF(ROW(4:4)&lt;=$E$24, (ROW(4:4)), "")</f>
        <v>4</v>
      </c>
      <c r="E6" s="60">
        <v>1</v>
      </c>
      <c r="F6" s="60">
        <v>0</v>
      </c>
      <c r="G6" s="60">
        <v>8</v>
      </c>
      <c r="H6" s="60">
        <v>7</v>
      </c>
      <c r="I6" s="60">
        <v>11</v>
      </c>
      <c r="J6" s="60">
        <v>3</v>
      </c>
      <c r="K6" s="60">
        <v>2</v>
      </c>
      <c r="L6" s="75">
        <v>1</v>
      </c>
      <c r="M6" s="76">
        <v>0</v>
      </c>
      <c r="N6" s="162">
        <f t="shared" si="0"/>
        <v>33</v>
      </c>
      <c r="O6" s="264"/>
      <c r="P6" s="260" t="s">
        <v>35</v>
      </c>
      <c r="Q6" s="239">
        <v>105</v>
      </c>
      <c r="R6" s="192">
        <f t="shared" si="1"/>
        <v>0.14809590973201692</v>
      </c>
      <c r="T6" s="168" t="s">
        <v>47</v>
      </c>
      <c r="U6" s="209">
        <f t="shared" si="2"/>
        <v>46</v>
      </c>
    </row>
    <row r="7" spans="1:22" ht="20.149999999999999" customHeight="1" x14ac:dyDescent="0.3">
      <c r="A7" s="39" t="s">
        <v>2</v>
      </c>
      <c r="B7" s="69">
        <f>MAX(Q4:Q15)</f>
        <v>333</v>
      </c>
      <c r="D7" s="195" t="str" cm="1">
        <f t="array" ref="D7">IF(ROW(5:5)&lt;=$E$24, (ROW(5:5)), "")</f>
        <v/>
      </c>
      <c r="E7" s="60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60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60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60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60" cm="1">
        <f t="array" ref="I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J7" s="60" cm="1">
        <f t="array" ref="J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K7" s="60" cm="1">
        <f t="array" ref="K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L7" s="61" cm="1">
        <f t="array" ref="L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M7" s="62" cm="1">
        <f t="array" ref="M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N7" s="162">
        <f t="shared" si="0"/>
        <v>0</v>
      </c>
      <c r="O7" s="264"/>
      <c r="P7" s="260" t="s">
        <v>36</v>
      </c>
      <c r="Q7" s="239">
        <v>165</v>
      </c>
      <c r="R7" s="192">
        <f t="shared" si="1"/>
        <v>0.23272214386459802</v>
      </c>
      <c r="T7" s="168" t="s">
        <v>54</v>
      </c>
      <c r="U7" s="209">
        <f t="shared" si="2"/>
        <v>60</v>
      </c>
    </row>
    <row r="8" spans="1:22" ht="20.149999999999999" customHeight="1" x14ac:dyDescent="0.3">
      <c r="A8" s="39" t="s">
        <v>1</v>
      </c>
      <c r="B8" s="70">
        <v>333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192</v>
      </c>
      <c r="R8" s="192">
        <f t="shared" si="1"/>
        <v>0.27080394922425954</v>
      </c>
      <c r="T8" s="168" t="s">
        <v>48</v>
      </c>
      <c r="U8" s="209">
        <f t="shared" si="2"/>
        <v>27</v>
      </c>
    </row>
    <row r="9" spans="1:22" ht="20.149999999999999" customHeight="1" thickBot="1" x14ac:dyDescent="0.35">
      <c r="A9" s="40" t="s">
        <v>17</v>
      </c>
      <c r="B9" s="71">
        <f>B6-B7</f>
        <v>376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230</v>
      </c>
      <c r="R9" s="192">
        <f t="shared" si="1"/>
        <v>0.32440056417489421</v>
      </c>
      <c r="T9" s="168" t="s">
        <v>49</v>
      </c>
      <c r="U9" s="209">
        <f t="shared" si="2"/>
        <v>38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270</v>
      </c>
      <c r="R10" s="192">
        <f t="shared" si="1"/>
        <v>0.38081805359661497</v>
      </c>
      <c r="T10" s="168" t="s">
        <v>50</v>
      </c>
      <c r="U10" s="209">
        <f t="shared" si="2"/>
        <v>40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293</v>
      </c>
      <c r="R11" s="192">
        <f t="shared" si="1"/>
        <v>0.4132581100141044</v>
      </c>
      <c r="T11" s="168" t="s">
        <v>51</v>
      </c>
      <c r="U11" s="209">
        <f t="shared" si="2"/>
        <v>23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312</v>
      </c>
      <c r="R12" s="192">
        <f t="shared" si="1"/>
        <v>0.4400564174894217</v>
      </c>
      <c r="T12" s="168" t="s">
        <v>52</v>
      </c>
      <c r="U12" s="209">
        <f t="shared" si="2"/>
        <v>19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23</v>
      </c>
      <c r="F13" s="66">
        <f t="shared" si="3"/>
        <v>12</v>
      </c>
      <c r="G13" s="66">
        <f t="shared" si="3"/>
        <v>86</v>
      </c>
      <c r="H13" s="66">
        <f t="shared" si="3"/>
        <v>60</v>
      </c>
      <c r="I13" s="66">
        <f t="shared" si="3"/>
        <v>104</v>
      </c>
      <c r="J13" s="66">
        <f t="shared" si="3"/>
        <v>22</v>
      </c>
      <c r="K13" s="66">
        <f t="shared" si="3"/>
        <v>11</v>
      </c>
      <c r="L13" s="67">
        <f t="shared" si="3"/>
        <v>7</v>
      </c>
      <c r="M13" s="68">
        <f t="shared" si="3"/>
        <v>8</v>
      </c>
      <c r="N13" s="249">
        <f>SUM(N3:N12)</f>
        <v>333</v>
      </c>
      <c r="O13" s="264"/>
      <c r="P13" s="260" t="s">
        <v>42</v>
      </c>
      <c r="Q13" s="239">
        <v>333</v>
      </c>
      <c r="R13" s="192">
        <f t="shared" si="1"/>
        <v>0.4696755994358251</v>
      </c>
      <c r="T13" s="169" t="s">
        <v>53</v>
      </c>
      <c r="U13" s="210">
        <f t="shared" si="2"/>
        <v>21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6.9069069069069067E-2</v>
      </c>
      <c r="F14" s="19">
        <f t="shared" si="4"/>
        <v>3.6036036036036036E-2</v>
      </c>
      <c r="G14" s="19">
        <f t="shared" si="4"/>
        <v>0.25825825825825827</v>
      </c>
      <c r="H14" s="19">
        <f t="shared" si="4"/>
        <v>0.18018018018018017</v>
      </c>
      <c r="I14" s="19">
        <f t="shared" si="4"/>
        <v>0.31231231231231232</v>
      </c>
      <c r="J14" s="19">
        <f t="shared" si="4"/>
        <v>6.6066066066066062E-2</v>
      </c>
      <c r="K14" s="19">
        <f t="shared" si="4"/>
        <v>3.3033033033033031E-2</v>
      </c>
      <c r="L14" s="18">
        <f t="shared" si="4"/>
        <v>2.1021021021021023E-2</v>
      </c>
      <c r="M14" s="20">
        <f t="shared" si="4"/>
        <v>2.4024024024024024E-2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8</v>
      </c>
      <c r="E24" s="246">
        <f>CEILING($B$7,100)/100</f>
        <v>4</v>
      </c>
      <c r="O24" s="263"/>
    </row>
    <row r="25" spans="1:15" ht="13" x14ac:dyDescent="0.25">
      <c r="D25" s="102">
        <f>MOD($B$7,100)</f>
        <v>33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pbE2PXgZFoX28alaZFjwddkIovU5O7qqR7SCwi8hXyMv4RrK8NJ0UkLJe0/tZYMJ8n8cZBgGASkgJPtdkcPwLA==" saltValue="1bHhDEwpN4v8WW/qv0wiQQ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126" priority="1" operator="equal">
      <formula>0</formula>
    </cfRule>
    <cfRule type="cellIs" dxfId="125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124" priority="19">
      <formula>($D3&gt;$E$24)</formula>
    </cfRule>
  </conditionalFormatting>
  <conditionalFormatting sqref="E3:M12">
    <cfRule type="expression" dxfId="123" priority="18">
      <formula>($D3&lt;=$E$24)</formula>
    </cfRule>
  </conditionalFormatting>
  <conditionalFormatting sqref="E50:M59 E68:M72 E78:M80">
    <cfRule type="expression" dxfId="122" priority="27">
      <formula>($D50&lt;=$E$24)</formula>
    </cfRule>
    <cfRule type="expression" dxfId="121" priority="28">
      <formula>($D50&gt;$E$24)</formula>
    </cfRule>
  </conditionalFormatting>
  <conditionalFormatting sqref="E50:M59">
    <cfRule type="expression" dxfId="120" priority="3">
      <formula>AND(E50&lt;MAX(E$50:E50), NOT(ISBLANK(E50)), NOT(E50=0))</formula>
    </cfRule>
  </conditionalFormatting>
  <conditionalFormatting sqref="E68:M72">
    <cfRule type="expression" dxfId="119" priority="2">
      <formula>AND(E68&lt;MAX(E$68:E68), NOT(ISBLANK(E68)), NOT(E68=0))</formula>
    </cfRule>
  </conditionalFormatting>
  <conditionalFormatting sqref="E78:M80 E50:M59 E68:M72">
    <cfRule type="cellIs" dxfId="118" priority="26" operator="notBetween">
      <formula>0</formula>
      <formula>$B$7</formula>
    </cfRule>
  </conditionalFormatting>
  <conditionalFormatting sqref="E78:M80">
    <cfRule type="expression" dxfId="117" priority="14">
      <formula>AND(E78&lt;MAX(E$78:E78), NOT(ISBLANK(E78)), NOT(E78=0))</formula>
    </cfRule>
  </conditionalFormatting>
  <conditionalFormatting sqref="E3:N12">
    <cfRule type="cellIs" dxfId="116" priority="5" operator="notBetween">
      <formula>0</formula>
      <formula>100</formula>
    </cfRule>
  </conditionalFormatting>
  <conditionalFormatting sqref="E3:N14">
    <cfRule type="cellIs" dxfId="115" priority="8" operator="lessThan">
      <formula>0</formula>
    </cfRule>
  </conditionalFormatting>
  <conditionalFormatting sqref="E14:N14">
    <cfRule type="cellIs" dxfId="114" priority="11" operator="greaterThan">
      <formula>1</formula>
    </cfRule>
  </conditionalFormatting>
  <conditionalFormatting sqref="N3:N12">
    <cfRule type="expression" dxfId="113" priority="15">
      <formula>AND($D3=$E$24, N3=$D$25)</formula>
    </cfRule>
    <cfRule type="expression" dxfId="112" priority="16">
      <formula>AND($D3=$E$24, MOD(N3,100)&gt;$D$25)</formula>
    </cfRule>
    <cfRule type="cellIs" dxfId="111" priority="17" operator="equal">
      <formula>100</formula>
    </cfRule>
  </conditionalFormatting>
  <conditionalFormatting sqref="N3:N13">
    <cfRule type="cellIs" dxfId="110" priority="9" operator="equal">
      <formula>0</formula>
    </cfRule>
  </conditionalFormatting>
  <conditionalFormatting sqref="N13">
    <cfRule type="cellIs" dxfId="109" priority="13" operator="equal">
      <formula>$B$7</formula>
    </cfRule>
  </conditionalFormatting>
  <conditionalFormatting sqref="N14">
    <cfRule type="cellIs" dxfId="108" priority="10" operator="equal">
      <formula>1</formula>
    </cfRule>
    <cfRule type="cellIs" dxfId="107" priority="12" operator="lessThan">
      <formula>1</formula>
    </cfRule>
  </conditionalFormatting>
  <conditionalFormatting sqref="N50 N52:N59 N68:N72 N78:N80">
    <cfRule type="cellIs" dxfId="106" priority="20" operator="lessThan">
      <formula>0</formula>
    </cfRule>
    <cfRule type="cellIs" dxfId="105" priority="21" operator="equal">
      <formula>0</formula>
    </cfRule>
    <cfRule type="expression" dxfId="104" priority="22">
      <formula>OR(MOD($N50,100)=0,AND($D50=$E$24,MOD($N50,100)=$D$25))</formula>
    </cfRule>
  </conditionalFormatting>
  <conditionalFormatting sqref="N51">
    <cfRule type="cellIs" dxfId="103" priority="23" operator="notBetween">
      <formula>0</formula>
      <formula>$B$7</formula>
    </cfRule>
    <cfRule type="cellIs" dxfId="102" priority="24" operator="equal">
      <formula>0</formula>
    </cfRule>
    <cfRule type="expression" dxfId="101" priority="25">
      <formula>OR(MOD($N51,100)=0,AND($D51=$E$24,MOD($N51,100)=$D$25))</formula>
    </cfRule>
  </conditionalFormatting>
  <conditionalFormatting sqref="Q4:Q15">
    <cfRule type="expression" dxfId="100" priority="29">
      <formula>AND($Q4&lt;$Q3, NOT(ISBLANK($Q4)))</formula>
    </cfRule>
    <cfRule type="cellIs" dxfId="99" priority="30" operator="greaterThan">
      <formula>$B$6</formula>
    </cfRule>
  </conditionalFormatting>
  <conditionalFormatting sqref="R4:R15">
    <cfRule type="cellIs" dxfId="98" priority="7" operator="greaterThan">
      <formula>1</formula>
    </cfRule>
  </conditionalFormatting>
  <dataValidations count="2">
    <dataValidation type="list" allowBlank="1" showInputMessage="1" showErrorMessage="1" sqref="C50:C59" xr:uid="{B45A7F5F-DAA0-48CC-A366-33D818F35D1A}">
      <formula1>$D$19:$D$21</formula1>
    </dataValidation>
    <dataValidation type="list" allowBlank="1" showInputMessage="1" showErrorMessage="1" sqref="D68:D72 D78:D82 D50:D59" xr:uid="{41E97845-FBA4-40B7-8DAD-E5B06F06E398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924F-90D2-4337-9A20-81EF53F8B0E0}">
  <sheetPr codeName="Feuil52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4</v>
      </c>
      <c r="F3" s="59">
        <v>3</v>
      </c>
      <c r="G3" s="59">
        <v>23</v>
      </c>
      <c r="H3" s="59">
        <v>22</v>
      </c>
      <c r="I3" s="59">
        <v>29</v>
      </c>
      <c r="J3" s="59">
        <v>6</v>
      </c>
      <c r="K3" s="59">
        <v>7</v>
      </c>
      <c r="L3" s="73">
        <v>2</v>
      </c>
      <c r="M3" s="74">
        <v>4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10</v>
      </c>
      <c r="D4" s="195" cm="1">
        <f t="array" ref="D4">IF(ROW(2:2)&lt;=$E$24, (ROW(2:2)), "")</f>
        <v>2</v>
      </c>
      <c r="E4" s="60">
        <v>9</v>
      </c>
      <c r="F4" s="60">
        <v>0</v>
      </c>
      <c r="G4" s="60">
        <v>32</v>
      </c>
      <c r="H4" s="60">
        <v>20</v>
      </c>
      <c r="I4" s="60">
        <v>33</v>
      </c>
      <c r="J4" s="60">
        <v>0</v>
      </c>
      <c r="K4" s="60">
        <v>2</v>
      </c>
      <c r="L4" s="61">
        <v>4</v>
      </c>
      <c r="M4" s="62">
        <v>0</v>
      </c>
      <c r="N4" s="162">
        <f t="shared" si="0"/>
        <v>100</v>
      </c>
      <c r="O4" s="263"/>
      <c r="P4" s="260" t="s">
        <v>33</v>
      </c>
      <c r="Q4" s="239">
        <v>27</v>
      </c>
      <c r="R4" s="192">
        <f t="shared" ref="R4:R13" si="1">IF(OR(Q4=0, Q4=""), NA(), Q4/$B$6)</f>
        <v>4.4334975369458129E-2</v>
      </c>
      <c r="T4" s="167" t="s">
        <v>45</v>
      </c>
      <c r="U4" s="208">
        <f t="shared" ref="U4:U13" si="2">IF(Q4&lt;&gt;0,Q4-Q3,NA())</f>
        <v>27</v>
      </c>
    </row>
    <row r="5" spans="1:22" ht="20.149999999999999" customHeight="1" x14ac:dyDescent="0.3">
      <c r="A5" s="39" t="s">
        <v>24</v>
      </c>
      <c r="B5" s="267" t="str">
        <f>INDEX(Synthèse!B:B,B4+2)</f>
        <v>CMM</v>
      </c>
      <c r="D5" s="195" cm="1">
        <f t="array" ref="D5">IF(ROW(3:3)&lt;=$E$24, (ROW(3:3)), "")</f>
        <v>3</v>
      </c>
      <c r="E5" s="60">
        <v>6</v>
      </c>
      <c r="F5" s="60">
        <v>3</v>
      </c>
      <c r="G5" s="60">
        <v>25</v>
      </c>
      <c r="H5" s="60">
        <v>29</v>
      </c>
      <c r="I5" s="60">
        <v>30</v>
      </c>
      <c r="J5" s="60">
        <v>0</v>
      </c>
      <c r="K5" s="60">
        <v>1</v>
      </c>
      <c r="L5" s="75">
        <v>4</v>
      </c>
      <c r="M5" s="76">
        <v>2</v>
      </c>
      <c r="N5" s="162">
        <f t="shared" si="0"/>
        <v>100</v>
      </c>
      <c r="O5" s="264"/>
      <c r="P5" s="260" t="s">
        <v>34</v>
      </c>
      <c r="Q5" s="239">
        <v>70</v>
      </c>
      <c r="R5" s="192">
        <f t="shared" si="1"/>
        <v>0.11494252873563218</v>
      </c>
      <c r="T5" s="168" t="s">
        <v>46</v>
      </c>
      <c r="U5" s="209">
        <f t="shared" si="2"/>
        <v>43</v>
      </c>
    </row>
    <row r="6" spans="1:22" ht="20.149999999999999" customHeight="1" x14ac:dyDescent="0.3">
      <c r="A6" s="39" t="s">
        <v>0</v>
      </c>
      <c r="B6" s="87">
        <f>INDEX(Synthèse!C:C,B4+2)</f>
        <v>609</v>
      </c>
      <c r="D6" s="195" cm="1">
        <f t="array" ref="D6">IF(ROW(4:4)&lt;=$E$24, (ROW(4:4)), "")</f>
        <v>4</v>
      </c>
      <c r="E6" s="60">
        <v>3</v>
      </c>
      <c r="F6" s="60">
        <v>1</v>
      </c>
      <c r="G6" s="60">
        <v>19</v>
      </c>
      <c r="H6" s="60">
        <v>9</v>
      </c>
      <c r="I6" s="60">
        <v>18</v>
      </c>
      <c r="J6" s="60">
        <v>3</v>
      </c>
      <c r="K6" s="60">
        <v>1</v>
      </c>
      <c r="L6" s="75">
        <v>0</v>
      </c>
      <c r="M6" s="76">
        <v>3</v>
      </c>
      <c r="N6" s="162">
        <f t="shared" si="0"/>
        <v>57</v>
      </c>
      <c r="O6" s="264"/>
      <c r="P6" s="260" t="s">
        <v>35</v>
      </c>
      <c r="Q6" s="239">
        <v>140</v>
      </c>
      <c r="R6" s="192">
        <f t="shared" si="1"/>
        <v>0.22988505747126436</v>
      </c>
      <c r="T6" s="168" t="s">
        <v>47</v>
      </c>
      <c r="U6" s="209">
        <f t="shared" si="2"/>
        <v>70</v>
      </c>
    </row>
    <row r="7" spans="1:22" ht="20.149999999999999" customHeight="1" x14ac:dyDescent="0.3">
      <c r="A7" s="39" t="s">
        <v>2</v>
      </c>
      <c r="B7" s="69">
        <f>MAX(Q4:Q15)</f>
        <v>357</v>
      </c>
      <c r="D7" s="195" t="str" cm="1">
        <f t="array" ref="D7">IF(ROW(5:5)&lt;=$E$24, (ROW(5:5)), "")</f>
        <v/>
      </c>
      <c r="E7" s="60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60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60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60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60" cm="1">
        <f t="array" ref="I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J7" s="60" cm="1">
        <f t="array" ref="J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K7" s="60" cm="1">
        <f t="array" ref="K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L7" s="61" cm="1">
        <f t="array" ref="L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M7" s="62" cm="1">
        <f t="array" ref="M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N7" s="162">
        <f t="shared" si="0"/>
        <v>0</v>
      </c>
      <c r="O7" s="264"/>
      <c r="P7" s="260" t="s">
        <v>36</v>
      </c>
      <c r="Q7" s="239">
        <v>210</v>
      </c>
      <c r="R7" s="192">
        <f t="shared" si="1"/>
        <v>0.34482758620689657</v>
      </c>
      <c r="T7" s="168" t="s">
        <v>54</v>
      </c>
      <c r="U7" s="209">
        <f t="shared" si="2"/>
        <v>70</v>
      </c>
    </row>
    <row r="8" spans="1:22" ht="20.149999999999999" customHeight="1" x14ac:dyDescent="0.3">
      <c r="A8" s="39" t="s">
        <v>1</v>
      </c>
      <c r="B8" s="70">
        <v>357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240</v>
      </c>
      <c r="R8" s="192">
        <f t="shared" si="1"/>
        <v>0.39408866995073893</v>
      </c>
      <c r="T8" s="168" t="s">
        <v>48</v>
      </c>
      <c r="U8" s="209">
        <f t="shared" si="2"/>
        <v>30</v>
      </c>
    </row>
    <row r="9" spans="1:22" ht="20.149999999999999" customHeight="1" thickBot="1" x14ac:dyDescent="0.35">
      <c r="A9" s="40" t="s">
        <v>17</v>
      </c>
      <c r="B9" s="71">
        <f>B6-B7</f>
        <v>252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272</v>
      </c>
      <c r="R9" s="192">
        <f t="shared" si="1"/>
        <v>0.44663382594417078</v>
      </c>
      <c r="T9" s="168" t="s">
        <v>49</v>
      </c>
      <c r="U9" s="209">
        <f t="shared" si="2"/>
        <v>32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300</v>
      </c>
      <c r="R10" s="192">
        <f t="shared" si="1"/>
        <v>0.49261083743842365</v>
      </c>
      <c r="T10" s="168" t="s">
        <v>50</v>
      </c>
      <c r="U10" s="209">
        <f t="shared" si="2"/>
        <v>28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330</v>
      </c>
      <c r="R11" s="192">
        <f t="shared" si="1"/>
        <v>0.54187192118226601</v>
      </c>
      <c r="T11" s="168" t="s">
        <v>51</v>
      </c>
      <c r="U11" s="209">
        <f t="shared" si="2"/>
        <v>30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344</v>
      </c>
      <c r="R12" s="192">
        <f t="shared" si="1"/>
        <v>0.56486042692939242</v>
      </c>
      <c r="T12" s="168" t="s">
        <v>52</v>
      </c>
      <c r="U12" s="209">
        <f t="shared" si="2"/>
        <v>14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22</v>
      </c>
      <c r="F13" s="66">
        <f t="shared" si="3"/>
        <v>7</v>
      </c>
      <c r="G13" s="66">
        <f t="shared" si="3"/>
        <v>99</v>
      </c>
      <c r="H13" s="66">
        <f t="shared" si="3"/>
        <v>80</v>
      </c>
      <c r="I13" s="66">
        <f t="shared" si="3"/>
        <v>110</v>
      </c>
      <c r="J13" s="66">
        <f t="shared" si="3"/>
        <v>9</v>
      </c>
      <c r="K13" s="66">
        <f t="shared" si="3"/>
        <v>11</v>
      </c>
      <c r="L13" s="67">
        <f t="shared" si="3"/>
        <v>10</v>
      </c>
      <c r="M13" s="68">
        <f t="shared" si="3"/>
        <v>9</v>
      </c>
      <c r="N13" s="249">
        <f>SUM(N3:N12)</f>
        <v>357</v>
      </c>
      <c r="O13" s="264"/>
      <c r="P13" s="260" t="s">
        <v>42</v>
      </c>
      <c r="Q13" s="239">
        <v>357</v>
      </c>
      <c r="R13" s="192">
        <f t="shared" si="1"/>
        <v>0.58620689655172409</v>
      </c>
      <c r="T13" s="169" t="s">
        <v>53</v>
      </c>
      <c r="U13" s="210">
        <f t="shared" si="2"/>
        <v>13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6.1624649859943981E-2</v>
      </c>
      <c r="F14" s="19">
        <f t="shared" si="4"/>
        <v>1.9607843137254902E-2</v>
      </c>
      <c r="G14" s="19">
        <f t="shared" si="4"/>
        <v>0.27731092436974791</v>
      </c>
      <c r="H14" s="19">
        <f t="shared" si="4"/>
        <v>0.22408963585434175</v>
      </c>
      <c r="I14" s="19">
        <f t="shared" si="4"/>
        <v>0.3081232492997199</v>
      </c>
      <c r="J14" s="19">
        <f t="shared" si="4"/>
        <v>2.5210084033613446E-2</v>
      </c>
      <c r="K14" s="19">
        <f t="shared" si="4"/>
        <v>3.081232492997199E-2</v>
      </c>
      <c r="L14" s="18">
        <f t="shared" si="4"/>
        <v>2.8011204481792718E-2</v>
      </c>
      <c r="M14" s="20">
        <f t="shared" si="4"/>
        <v>2.5210084033613446E-2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7</v>
      </c>
      <c r="E24" s="246">
        <f>CEILING($B$7,100)/100</f>
        <v>4</v>
      </c>
      <c r="O24" s="263"/>
    </row>
    <row r="25" spans="1:15" ht="13" x14ac:dyDescent="0.25">
      <c r="D25" s="102">
        <f>MOD($B$7,100)</f>
        <v>57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KVc6lThi2bg4GRiUY32knmqvCytEsHmOgg0YT3Mg7bhqBnAskfGwBWJli7/u8IWLPQJRzUHpqCXf7ovQ6u5ZBw==" saltValue="AavNGsJ6sLAi9hv3fafG8w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97" priority="1" operator="equal">
      <formula>0</formula>
    </cfRule>
    <cfRule type="cellIs" dxfId="96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95" priority="19">
      <formula>($D3&gt;$E$24)</formula>
    </cfRule>
  </conditionalFormatting>
  <conditionalFormatting sqref="E3:M12">
    <cfRule type="expression" dxfId="94" priority="18">
      <formula>($D3&lt;=$E$24)</formula>
    </cfRule>
  </conditionalFormatting>
  <conditionalFormatting sqref="E50:M59 E68:M72 E78:M80">
    <cfRule type="expression" dxfId="93" priority="27">
      <formula>($D50&lt;=$E$24)</formula>
    </cfRule>
    <cfRule type="expression" dxfId="92" priority="28">
      <formula>($D50&gt;$E$24)</formula>
    </cfRule>
  </conditionalFormatting>
  <conditionalFormatting sqref="E50:M59">
    <cfRule type="expression" dxfId="91" priority="3">
      <formula>AND(E50&lt;MAX(E$50:E50), NOT(ISBLANK(E50)), NOT(E50=0))</formula>
    </cfRule>
  </conditionalFormatting>
  <conditionalFormatting sqref="E68:M72">
    <cfRule type="expression" dxfId="90" priority="2">
      <formula>AND(E68&lt;MAX(E$68:E68), NOT(ISBLANK(E68)), NOT(E68=0))</formula>
    </cfRule>
  </conditionalFormatting>
  <conditionalFormatting sqref="E78:M80 E50:M59 E68:M72">
    <cfRule type="cellIs" dxfId="89" priority="26" operator="notBetween">
      <formula>0</formula>
      <formula>$B$7</formula>
    </cfRule>
  </conditionalFormatting>
  <conditionalFormatting sqref="E78:M80">
    <cfRule type="expression" dxfId="88" priority="14">
      <formula>AND(E78&lt;MAX(E$78:E78), NOT(ISBLANK(E78)), NOT(E78=0))</formula>
    </cfRule>
  </conditionalFormatting>
  <conditionalFormatting sqref="E3:N12">
    <cfRule type="cellIs" dxfId="87" priority="5" operator="notBetween">
      <formula>0</formula>
      <formula>100</formula>
    </cfRule>
  </conditionalFormatting>
  <conditionalFormatting sqref="E3:N14">
    <cfRule type="cellIs" dxfId="86" priority="8" operator="lessThan">
      <formula>0</formula>
    </cfRule>
  </conditionalFormatting>
  <conditionalFormatting sqref="E14:N14">
    <cfRule type="cellIs" dxfId="85" priority="11" operator="greaterThan">
      <formula>1</formula>
    </cfRule>
  </conditionalFormatting>
  <conditionalFormatting sqref="N3:N12">
    <cfRule type="expression" dxfId="84" priority="15">
      <formula>AND($D3=$E$24, N3=$D$25)</formula>
    </cfRule>
    <cfRule type="expression" dxfId="83" priority="16">
      <formula>AND($D3=$E$24, MOD(N3,100)&gt;$D$25)</formula>
    </cfRule>
    <cfRule type="cellIs" dxfId="82" priority="17" operator="equal">
      <formula>100</formula>
    </cfRule>
  </conditionalFormatting>
  <conditionalFormatting sqref="N3:N13">
    <cfRule type="cellIs" dxfId="81" priority="9" operator="equal">
      <formula>0</formula>
    </cfRule>
  </conditionalFormatting>
  <conditionalFormatting sqref="N13">
    <cfRule type="cellIs" dxfId="80" priority="13" operator="equal">
      <formula>$B$7</formula>
    </cfRule>
  </conditionalFormatting>
  <conditionalFormatting sqref="N14">
    <cfRule type="cellIs" dxfId="79" priority="10" operator="equal">
      <formula>1</formula>
    </cfRule>
    <cfRule type="cellIs" dxfId="78" priority="12" operator="lessThan">
      <formula>1</formula>
    </cfRule>
  </conditionalFormatting>
  <conditionalFormatting sqref="N50 N52:N59 N68:N72 N78:N80">
    <cfRule type="cellIs" dxfId="77" priority="20" operator="lessThan">
      <formula>0</formula>
    </cfRule>
    <cfRule type="cellIs" dxfId="76" priority="21" operator="equal">
      <formula>0</formula>
    </cfRule>
    <cfRule type="expression" dxfId="75" priority="22">
      <formula>OR(MOD($N50,100)=0,AND($D50=$E$24,MOD($N50,100)=$D$25))</formula>
    </cfRule>
  </conditionalFormatting>
  <conditionalFormatting sqref="N51">
    <cfRule type="cellIs" dxfId="74" priority="23" operator="notBetween">
      <formula>0</formula>
      <formula>$B$7</formula>
    </cfRule>
    <cfRule type="cellIs" dxfId="73" priority="24" operator="equal">
      <formula>0</formula>
    </cfRule>
    <cfRule type="expression" dxfId="72" priority="25">
      <formula>OR(MOD($N51,100)=0,AND($D51=$E$24,MOD($N51,100)=$D$25))</formula>
    </cfRule>
  </conditionalFormatting>
  <conditionalFormatting sqref="Q4:Q15">
    <cfRule type="expression" dxfId="71" priority="29">
      <formula>AND($Q4&lt;$Q3, NOT(ISBLANK($Q4)))</formula>
    </cfRule>
    <cfRule type="cellIs" dxfId="70" priority="30" operator="greaterThan">
      <formula>$B$6</formula>
    </cfRule>
  </conditionalFormatting>
  <conditionalFormatting sqref="R4:R15">
    <cfRule type="cellIs" dxfId="69" priority="7" operator="greaterThan">
      <formula>1</formula>
    </cfRule>
  </conditionalFormatting>
  <dataValidations count="2">
    <dataValidation type="list" allowBlank="1" showInputMessage="1" showErrorMessage="1" sqref="C50:C59" xr:uid="{EE2ECE52-ED45-4123-82D9-57EFD7329C41}">
      <formula1>$D$19:$D$21</formula1>
    </dataValidation>
    <dataValidation type="list" allowBlank="1" showInputMessage="1" showErrorMessage="1" sqref="D68:D72 D78:D82 D50:D59" xr:uid="{87A243E4-24F5-465E-86BD-4BA996A4836A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C88D-58E4-42D5-A572-C1265A40FC35}">
  <sheetPr codeName="Feuil53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7</v>
      </c>
      <c r="F3" s="59">
        <v>6</v>
      </c>
      <c r="G3" s="59">
        <v>40</v>
      </c>
      <c r="H3" s="59">
        <v>18</v>
      </c>
      <c r="I3" s="59">
        <v>25</v>
      </c>
      <c r="J3" s="59">
        <v>3</v>
      </c>
      <c r="K3" s="59">
        <v>1</v>
      </c>
      <c r="L3" s="73">
        <v>0</v>
      </c>
      <c r="M3" s="74">
        <v>0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11</v>
      </c>
      <c r="D4" s="195" cm="1">
        <f t="array" ref="D4">IF(ROW(2:2)&lt;=$E$24, (ROW(2:2)), "")</f>
        <v>2</v>
      </c>
      <c r="E4" s="60">
        <v>3</v>
      </c>
      <c r="F4" s="60">
        <v>2</v>
      </c>
      <c r="G4" s="60">
        <v>29</v>
      </c>
      <c r="H4" s="60">
        <v>25</v>
      </c>
      <c r="I4" s="60">
        <v>29</v>
      </c>
      <c r="J4" s="60">
        <v>3</v>
      </c>
      <c r="K4" s="60">
        <v>4</v>
      </c>
      <c r="L4" s="61">
        <v>1</v>
      </c>
      <c r="M4" s="62">
        <v>4</v>
      </c>
      <c r="N4" s="162">
        <f t="shared" si="0"/>
        <v>100</v>
      </c>
      <c r="O4" s="263"/>
      <c r="P4" s="260" t="s">
        <v>33</v>
      </c>
      <c r="Q4" s="239">
        <v>47</v>
      </c>
      <c r="R4" s="192">
        <f t="shared" ref="R4:R13" si="1">IF(OR(Q4=0, Q4=""), NA(), Q4/$B$6)</f>
        <v>6.8017366136034735E-2</v>
      </c>
      <c r="T4" s="167" t="s">
        <v>45</v>
      </c>
      <c r="U4" s="208">
        <f t="shared" ref="U4:U13" si="2">IF(Q4&lt;&gt;0,Q4-Q3,NA())</f>
        <v>47</v>
      </c>
    </row>
    <row r="5" spans="1:22" ht="20.149999999999999" customHeight="1" x14ac:dyDescent="0.3">
      <c r="A5" s="39" t="s">
        <v>24</v>
      </c>
      <c r="B5" s="267" t="str">
        <f>INDEX(Synthèse!B:B,B4+2)</f>
        <v>CMM</v>
      </c>
      <c r="D5" s="195" cm="1">
        <f t="array" ref="D5">IF(ROW(3:3)&lt;=$E$24, (ROW(3:3)), "")</f>
        <v>3</v>
      </c>
      <c r="E5" s="60">
        <v>8</v>
      </c>
      <c r="F5" s="60">
        <v>4</v>
      </c>
      <c r="G5" s="60">
        <v>33</v>
      </c>
      <c r="H5" s="60">
        <v>23</v>
      </c>
      <c r="I5" s="60">
        <v>25</v>
      </c>
      <c r="J5" s="60">
        <v>2</v>
      </c>
      <c r="K5" s="60">
        <v>4</v>
      </c>
      <c r="L5" s="75">
        <v>1</v>
      </c>
      <c r="M5" s="76">
        <v>0</v>
      </c>
      <c r="N5" s="162">
        <f t="shared" si="0"/>
        <v>100</v>
      </c>
      <c r="O5" s="264"/>
      <c r="P5" s="260" t="s">
        <v>34</v>
      </c>
      <c r="Q5" s="239">
        <v>96</v>
      </c>
      <c r="R5" s="192">
        <f t="shared" si="1"/>
        <v>0.13892908827785819</v>
      </c>
      <c r="T5" s="168" t="s">
        <v>46</v>
      </c>
      <c r="U5" s="209">
        <f t="shared" si="2"/>
        <v>49</v>
      </c>
    </row>
    <row r="6" spans="1:22" ht="20.149999999999999" customHeight="1" x14ac:dyDescent="0.3">
      <c r="A6" s="39" t="s">
        <v>0</v>
      </c>
      <c r="B6" s="87">
        <f>INDEX(Synthèse!C:C,B4+2)</f>
        <v>691</v>
      </c>
      <c r="D6" s="195" cm="1">
        <f t="array" ref="D6">IF(ROW(4:4)&lt;=$E$24, (ROW(4:4)), "")</f>
        <v>4</v>
      </c>
      <c r="E6" s="60">
        <v>9</v>
      </c>
      <c r="F6" s="60">
        <v>2</v>
      </c>
      <c r="G6" s="60">
        <v>29</v>
      </c>
      <c r="H6" s="60">
        <v>21</v>
      </c>
      <c r="I6" s="60">
        <v>26</v>
      </c>
      <c r="J6" s="60">
        <v>6</v>
      </c>
      <c r="K6" s="60">
        <v>1</v>
      </c>
      <c r="L6" s="75">
        <v>1</v>
      </c>
      <c r="M6" s="76">
        <v>5</v>
      </c>
      <c r="N6" s="162">
        <f t="shared" si="0"/>
        <v>100</v>
      </c>
      <c r="O6" s="264"/>
      <c r="P6" s="260" t="s">
        <v>35</v>
      </c>
      <c r="Q6" s="239">
        <v>158</v>
      </c>
      <c r="R6" s="192">
        <f t="shared" si="1"/>
        <v>0.22865412445730826</v>
      </c>
      <c r="T6" s="168" t="s">
        <v>47</v>
      </c>
      <c r="U6" s="209">
        <f t="shared" si="2"/>
        <v>62</v>
      </c>
    </row>
    <row r="7" spans="1:22" ht="20.149999999999999" customHeight="1" x14ac:dyDescent="0.3">
      <c r="A7" s="39" t="s">
        <v>2</v>
      </c>
      <c r="B7" s="69">
        <f>MAX(Q4:Q15)</f>
        <v>416</v>
      </c>
      <c r="D7" s="195" cm="1">
        <f t="array" ref="D7">IF(ROW(5:5)&lt;=$E$24, (ROW(5:5)), "")</f>
        <v>5</v>
      </c>
      <c r="E7" s="60">
        <v>1</v>
      </c>
      <c r="F7" s="60">
        <v>1</v>
      </c>
      <c r="G7" s="60">
        <v>6</v>
      </c>
      <c r="H7" s="60">
        <v>2</v>
      </c>
      <c r="I7" s="60">
        <v>5</v>
      </c>
      <c r="J7" s="60">
        <v>0</v>
      </c>
      <c r="K7" s="60">
        <v>0</v>
      </c>
      <c r="L7" s="61">
        <v>0</v>
      </c>
      <c r="M7" s="62">
        <v>1</v>
      </c>
      <c r="N7" s="162">
        <f t="shared" si="0"/>
        <v>16</v>
      </c>
      <c r="O7" s="264"/>
      <c r="P7" s="260" t="s">
        <v>36</v>
      </c>
      <c r="Q7" s="239">
        <v>215</v>
      </c>
      <c r="R7" s="192">
        <f t="shared" si="1"/>
        <v>0.31114327062228653</v>
      </c>
      <c r="T7" s="168" t="s">
        <v>54</v>
      </c>
      <c r="U7" s="209">
        <f t="shared" si="2"/>
        <v>57</v>
      </c>
    </row>
    <row r="8" spans="1:22" ht="20.149999999999999" customHeight="1" x14ac:dyDescent="0.3">
      <c r="A8" s="39" t="s">
        <v>1</v>
      </c>
      <c r="B8" s="70">
        <v>416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264</v>
      </c>
      <c r="R8" s="192">
        <f t="shared" si="1"/>
        <v>0.38205499276410998</v>
      </c>
      <c r="S8" s="432"/>
      <c r="T8" s="168" t="s">
        <v>48</v>
      </c>
      <c r="U8" s="209">
        <f t="shared" si="2"/>
        <v>49</v>
      </c>
    </row>
    <row r="9" spans="1:22" ht="20.149999999999999" customHeight="1" thickBot="1" x14ac:dyDescent="0.35">
      <c r="A9" s="40" t="s">
        <v>17</v>
      </c>
      <c r="B9" s="71">
        <f>B6-B7</f>
        <v>275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299</v>
      </c>
      <c r="R9" s="192">
        <f t="shared" si="1"/>
        <v>0.43270622286541244</v>
      </c>
      <c r="T9" s="168" t="s">
        <v>49</v>
      </c>
      <c r="U9" s="209">
        <f t="shared" si="2"/>
        <v>35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332</v>
      </c>
      <c r="R10" s="192">
        <f t="shared" si="1"/>
        <v>0.48046309696092621</v>
      </c>
      <c r="T10" s="168" t="s">
        <v>50</v>
      </c>
      <c r="U10" s="209">
        <f t="shared" si="2"/>
        <v>33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382</v>
      </c>
      <c r="R11" s="192">
        <f t="shared" si="1"/>
        <v>0.55282199710564395</v>
      </c>
      <c r="T11" s="168" t="s">
        <v>51</v>
      </c>
      <c r="U11" s="209">
        <f t="shared" si="2"/>
        <v>50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398</v>
      </c>
      <c r="R12" s="192">
        <f t="shared" si="1"/>
        <v>0.57597684515195369</v>
      </c>
      <c r="T12" s="168" t="s">
        <v>52</v>
      </c>
      <c r="U12" s="209">
        <f t="shared" si="2"/>
        <v>16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28</v>
      </c>
      <c r="F13" s="66">
        <f t="shared" si="3"/>
        <v>15</v>
      </c>
      <c r="G13" s="66">
        <f t="shared" si="3"/>
        <v>137</v>
      </c>
      <c r="H13" s="66">
        <f t="shared" si="3"/>
        <v>89</v>
      </c>
      <c r="I13" s="66">
        <f t="shared" si="3"/>
        <v>110</v>
      </c>
      <c r="J13" s="66">
        <f t="shared" si="3"/>
        <v>14</v>
      </c>
      <c r="K13" s="66">
        <f t="shared" si="3"/>
        <v>10</v>
      </c>
      <c r="L13" s="67">
        <f t="shared" si="3"/>
        <v>3</v>
      </c>
      <c r="M13" s="68">
        <f t="shared" si="3"/>
        <v>10</v>
      </c>
      <c r="N13" s="249">
        <f>SUM(N3:N12)</f>
        <v>416</v>
      </c>
      <c r="O13" s="264"/>
      <c r="P13" s="260" t="s">
        <v>42</v>
      </c>
      <c r="Q13" s="239">
        <v>416</v>
      </c>
      <c r="R13" s="192">
        <f t="shared" si="1"/>
        <v>0.60202604920405212</v>
      </c>
      <c r="T13" s="169" t="s">
        <v>53</v>
      </c>
      <c r="U13" s="210">
        <f t="shared" si="2"/>
        <v>18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6.7307692307692304E-2</v>
      </c>
      <c r="F14" s="19">
        <f t="shared" si="4"/>
        <v>3.6057692307692304E-2</v>
      </c>
      <c r="G14" s="19">
        <f t="shared" si="4"/>
        <v>0.32932692307692307</v>
      </c>
      <c r="H14" s="19">
        <f t="shared" si="4"/>
        <v>0.21394230769230768</v>
      </c>
      <c r="I14" s="19">
        <f t="shared" si="4"/>
        <v>0.26442307692307693</v>
      </c>
      <c r="J14" s="19">
        <f t="shared" si="4"/>
        <v>3.3653846153846152E-2</v>
      </c>
      <c r="K14" s="19">
        <f t="shared" si="4"/>
        <v>2.403846153846154E-2</v>
      </c>
      <c r="L14" s="18">
        <f t="shared" si="4"/>
        <v>7.2115384615384619E-3</v>
      </c>
      <c r="M14" s="20">
        <f t="shared" si="4"/>
        <v>2.403846153846154E-2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7</v>
      </c>
      <c r="E24" s="246">
        <f>CEILING($B$7,100)/100</f>
        <v>5</v>
      </c>
      <c r="O24" s="263"/>
    </row>
    <row r="25" spans="1:15" ht="13" x14ac:dyDescent="0.25">
      <c r="D25" s="102">
        <f>MOD($B$7,100)</f>
        <v>16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D68:D72 D50:D59 D78:D80">
    <cfRule type="colorScale" priority="10">
      <colorScale>
        <cfvo type="min"/>
        <cfvo type="max"/>
        <color theme="9" tint="0.79998168889431442"/>
        <color theme="9" tint="-0.499984740745262"/>
      </colorScale>
    </cfRule>
  </conditionalFormatting>
  <conditionalFormatting sqref="D8:M12 D3:D7">
    <cfRule type="expression" dxfId="66" priority="25">
      <formula>($D3&gt;$E$24)</formula>
    </cfRule>
  </conditionalFormatting>
  <conditionalFormatting sqref="E8:M12">
    <cfRule type="expression" dxfId="65" priority="24">
      <formula>($D8&lt;=$E$24)</formula>
    </cfRule>
  </conditionalFormatting>
  <conditionalFormatting sqref="E50:M59 E68:M72 E78:M80">
    <cfRule type="expression" dxfId="64" priority="33">
      <formula>($D50&lt;=$E$24)</formula>
    </cfRule>
    <cfRule type="expression" dxfId="63" priority="34">
      <formula>($D50&gt;$E$24)</formula>
    </cfRule>
  </conditionalFormatting>
  <conditionalFormatting sqref="E50:M59">
    <cfRule type="expression" dxfId="62" priority="9">
      <formula>AND(E50&lt;MAX(E$50:E50), NOT(ISBLANK(E50)), NOT(E50=0))</formula>
    </cfRule>
  </conditionalFormatting>
  <conditionalFormatting sqref="E68:M72">
    <cfRule type="expression" dxfId="61" priority="8">
      <formula>AND(E68&lt;MAX(E$68:E68), NOT(ISBLANK(E68)), NOT(E68=0))</formula>
    </cfRule>
  </conditionalFormatting>
  <conditionalFormatting sqref="E78:M80 E50:M59 E68:M72">
    <cfRule type="cellIs" dxfId="60" priority="32" operator="notBetween">
      <formula>0</formula>
      <formula>$B$7</formula>
    </cfRule>
  </conditionalFormatting>
  <conditionalFormatting sqref="E78:M80">
    <cfRule type="expression" dxfId="59" priority="20">
      <formula>AND(E78&lt;MAX(E$78:E78), NOT(ISBLANK(E78)), NOT(E78=0))</formula>
    </cfRule>
  </conditionalFormatting>
  <conditionalFormatting sqref="E8:N12 N3:N7">
    <cfRule type="cellIs" dxfId="58" priority="11" operator="notBetween">
      <formula>0</formula>
      <formula>100</formula>
    </cfRule>
  </conditionalFormatting>
  <conditionalFormatting sqref="E8:N14 N3:N7">
    <cfRule type="cellIs" dxfId="57" priority="14" operator="lessThan">
      <formula>0</formula>
    </cfRule>
  </conditionalFormatting>
  <conditionalFormatting sqref="E14:N14">
    <cfRule type="cellIs" dxfId="56" priority="17" operator="greaterThan">
      <formula>1</formula>
    </cfRule>
  </conditionalFormatting>
  <conditionalFormatting sqref="N3:N12">
    <cfRule type="expression" dxfId="55" priority="21">
      <formula>AND($D3=$E$24, N3=$D$25)</formula>
    </cfRule>
    <cfRule type="expression" dxfId="54" priority="22">
      <formula>AND($D3=$E$24, MOD(N3,100)&gt;$D$25)</formula>
    </cfRule>
    <cfRule type="cellIs" dxfId="53" priority="23" operator="equal">
      <formula>100</formula>
    </cfRule>
  </conditionalFormatting>
  <conditionalFormatting sqref="N3:N13">
    <cfRule type="cellIs" dxfId="52" priority="15" operator="equal">
      <formula>0</formula>
    </cfRule>
  </conditionalFormatting>
  <conditionalFormatting sqref="N13">
    <cfRule type="cellIs" dxfId="51" priority="19" operator="equal">
      <formula>$B$7</formula>
    </cfRule>
  </conditionalFormatting>
  <conditionalFormatting sqref="N14">
    <cfRule type="cellIs" dxfId="50" priority="16" operator="equal">
      <formula>1</formula>
    </cfRule>
    <cfRule type="cellIs" dxfId="49" priority="18" operator="lessThan">
      <formula>1</formula>
    </cfRule>
  </conditionalFormatting>
  <conditionalFormatting sqref="N50 N52:N59 N68:N72 N78:N80">
    <cfRule type="cellIs" dxfId="48" priority="26" operator="lessThan">
      <formula>0</formula>
    </cfRule>
    <cfRule type="cellIs" dxfId="47" priority="27" operator="equal">
      <formula>0</formula>
    </cfRule>
    <cfRule type="expression" dxfId="46" priority="28">
      <formula>OR(MOD($N50,100)=0,AND($D50=$E$24,MOD($N50,100)=$D$25))</formula>
    </cfRule>
  </conditionalFormatting>
  <conditionalFormatting sqref="N51">
    <cfRule type="cellIs" dxfId="45" priority="29" operator="notBetween">
      <formula>0</formula>
      <formula>$B$7</formula>
    </cfRule>
    <cfRule type="cellIs" dxfId="44" priority="30" operator="equal">
      <formula>0</formula>
    </cfRule>
    <cfRule type="expression" dxfId="43" priority="31">
      <formula>OR(MOD($N51,100)=0,AND($D51=$E$24,MOD($N51,100)=$D$25))</formula>
    </cfRule>
  </conditionalFormatting>
  <conditionalFormatting sqref="Q4:Q15">
    <cfRule type="expression" dxfId="42" priority="35">
      <formula>AND($Q4&lt;$Q3, NOT(ISBLANK($Q4)))</formula>
    </cfRule>
    <cfRule type="cellIs" dxfId="41" priority="36" operator="greaterThan">
      <formula>$B$6</formula>
    </cfRule>
  </conditionalFormatting>
  <conditionalFormatting sqref="R4:R15">
    <cfRule type="cellIs" dxfId="40" priority="13" operator="greaterThan">
      <formula>1</formula>
    </cfRule>
  </conditionalFormatting>
  <conditionalFormatting sqref="E3:M7">
    <cfRule type="expression" dxfId="5" priority="6">
      <formula>($D3&gt;$E$24)</formula>
    </cfRule>
  </conditionalFormatting>
  <conditionalFormatting sqref="E3:M7">
    <cfRule type="expression" dxfId="4" priority="5">
      <formula>($D3&lt;=$E$24)</formula>
    </cfRule>
  </conditionalFormatting>
  <conditionalFormatting sqref="E3:M7">
    <cfRule type="cellIs" dxfId="3" priority="3" operator="notBetween">
      <formula>0</formula>
      <formula>100</formula>
    </cfRule>
  </conditionalFormatting>
  <conditionalFormatting sqref="E3:M7">
    <cfRule type="cellIs" dxfId="2" priority="4" operator="lessThan">
      <formula>0</formula>
    </cfRule>
  </conditionalFormatting>
  <conditionalFormatting sqref="B8">
    <cfRule type="cellIs" dxfId="1" priority="1" operator="equal">
      <formula>0</formula>
    </cfRule>
    <cfRule type="cellIs" dxfId="0" priority="2" operator="notEqual">
      <formula>$B$7</formula>
    </cfRule>
  </conditionalFormatting>
  <dataValidations count="2">
    <dataValidation type="list" allowBlank="1" showInputMessage="1" showErrorMessage="1" sqref="C50:C59" xr:uid="{A1A96B3F-ED7D-4349-9D3E-F09DF112DF72}">
      <formula1>$D$19:$D$21</formula1>
    </dataValidation>
    <dataValidation type="list" allowBlank="1" showInputMessage="1" showErrorMessage="1" sqref="D68:D72 D78:D82 D50:D59" xr:uid="{B16E9CF0-1AE5-48AE-85A5-1F8AAA969716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7BD0-243E-4A40-99A7-06DB9FE9C99A}">
  <sheetPr codeName="Feuil54">
    <tabColor rgb="FFB4A7D6"/>
  </sheetPr>
  <dimension ref="A1:V82"/>
  <sheetViews>
    <sheetView zoomScale="90" zoomScaleNormal="90" workbookViewId="0">
      <selection activeCell="B8" sqref="B8"/>
    </sheetView>
  </sheetViews>
  <sheetFormatPr baseColWidth="10" defaultColWidth="11.453125" defaultRowHeight="12.5" x14ac:dyDescent="0.25"/>
  <cols>
    <col min="1" max="1" width="15.7265625" customWidth="1"/>
    <col min="2" max="2" width="29.54296875" customWidth="1"/>
    <col min="3" max="3" width="3.26953125" customWidth="1"/>
    <col min="4" max="4" width="13.7265625" customWidth="1"/>
    <col min="5" max="11" width="16.5429687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20" max="20" width="13.26953125" customWidth="1"/>
    <col min="21" max="21" width="14.453125" customWidth="1"/>
  </cols>
  <sheetData>
    <row r="1" spans="1:22" ht="16.5" customHeight="1" thickBot="1" x14ac:dyDescent="0.35">
      <c r="A1" s="251" t="s">
        <v>11</v>
      </c>
      <c r="B1" s="254">
        <f>Synthèse!$B$17</f>
        <v>46096</v>
      </c>
      <c r="D1" s="161"/>
      <c r="E1" s="654" t="s">
        <v>106</v>
      </c>
      <c r="F1" s="655"/>
      <c r="G1" s="655"/>
      <c r="H1" s="655"/>
      <c r="I1" s="655"/>
      <c r="J1" s="655"/>
      <c r="K1" s="655"/>
      <c r="L1" s="655"/>
      <c r="M1" s="656"/>
      <c r="N1" s="225" t="s">
        <v>7</v>
      </c>
      <c r="O1" s="263"/>
    </row>
    <row r="2" spans="1:22" ht="45" customHeight="1" thickBot="1" x14ac:dyDescent="0.3">
      <c r="A2" s="252" t="s">
        <v>12</v>
      </c>
      <c r="B2" s="255" t="str">
        <f>Synthèse!$B$18</f>
        <v>Municipales 1er tour</v>
      </c>
      <c r="D2" s="197" t="s">
        <v>71</v>
      </c>
      <c r="E2" s="232" t="str">
        <f>Synthèse!L2</f>
        <v>Mme Christiane 
LARDAT</v>
      </c>
      <c r="F2" s="379" t="str">
        <f>Synthèse!M2</f>
        <v>M. Francis 
LAPRADE</v>
      </c>
      <c r="G2" s="227" t="str">
        <f>Synthèse!N2</f>
        <v>M. Pierre-Yves 
TIERCE</v>
      </c>
      <c r="H2" s="245" t="str">
        <f>Synthèse!O2</f>
        <v>M. Philippe 
VALLET</v>
      </c>
      <c r="I2" s="234" t="str">
        <f>Synthèse!P2</f>
        <v>Mme Isabelle 
FARNET RISSO</v>
      </c>
      <c r="J2" s="233" t="str">
        <f>Synthèse!Q2</f>
        <v>Mme Véronique 
LANSADE</v>
      </c>
      <c r="K2" s="228" t="str">
        <f>Synthèse!R2</f>
        <v>M. Pascal 
CORDÉ</v>
      </c>
      <c r="L2" s="235" t="s">
        <v>3</v>
      </c>
      <c r="M2" s="236" t="s">
        <v>4</v>
      </c>
      <c r="N2" s="226" t="s">
        <v>88</v>
      </c>
      <c r="O2" s="263"/>
      <c r="P2" s="258" t="s">
        <v>21</v>
      </c>
      <c r="Q2" s="205" t="s">
        <v>57</v>
      </c>
      <c r="R2" s="206" t="s">
        <v>31</v>
      </c>
      <c r="T2" s="207" t="s">
        <v>59</v>
      </c>
      <c r="U2" s="207" t="s">
        <v>58</v>
      </c>
    </row>
    <row r="3" spans="1:22" ht="20.149999999999999" customHeight="1" thickBot="1" x14ac:dyDescent="0.3">
      <c r="A3" s="253" t="s">
        <v>13</v>
      </c>
      <c r="B3" s="256" t="str">
        <f>Synthèse!$B$19</f>
        <v>Cogolin</v>
      </c>
      <c r="D3" s="194" cm="1">
        <f t="array" ref="D3">IF(ROW(1:1)&lt;=$E$24, (ROW(1:1)), "")</f>
        <v>1</v>
      </c>
      <c r="E3" s="59">
        <v>5</v>
      </c>
      <c r="F3" s="59">
        <v>5</v>
      </c>
      <c r="G3" s="59">
        <v>21</v>
      </c>
      <c r="H3" s="59">
        <v>22</v>
      </c>
      <c r="I3" s="59">
        <v>28</v>
      </c>
      <c r="J3" s="59">
        <v>15</v>
      </c>
      <c r="K3" s="59">
        <v>0</v>
      </c>
      <c r="L3" s="73">
        <v>3</v>
      </c>
      <c r="M3" s="74">
        <v>1</v>
      </c>
      <c r="N3" s="162">
        <f t="shared" ref="N3:N12" si="0">SUM(E3:M3)</f>
        <v>100</v>
      </c>
      <c r="O3" s="263"/>
      <c r="P3" s="259" t="s">
        <v>32</v>
      </c>
      <c r="Q3" s="190">
        <v>0</v>
      </c>
      <c r="R3" s="191">
        <f>Q3/$B$6</f>
        <v>0</v>
      </c>
      <c r="T3" s="171"/>
      <c r="U3" s="171"/>
    </row>
    <row r="4" spans="1:22" ht="20.149999999999999" customHeight="1" x14ac:dyDescent="0.3">
      <c r="A4" s="38" t="s">
        <v>23</v>
      </c>
      <c r="B4" s="266">
        <v>12</v>
      </c>
      <c r="D4" s="195" cm="1">
        <f t="array" ref="D4">IF(ROW(2:2)&lt;=$E$24, (ROW(2:2)), "")</f>
        <v>2</v>
      </c>
      <c r="E4" s="60">
        <v>5</v>
      </c>
      <c r="F4" s="60">
        <v>3</v>
      </c>
      <c r="G4" s="60">
        <v>19</v>
      </c>
      <c r="H4" s="60">
        <v>29</v>
      </c>
      <c r="I4" s="60">
        <v>16</v>
      </c>
      <c r="J4" s="60">
        <v>19</v>
      </c>
      <c r="K4" s="60">
        <v>5</v>
      </c>
      <c r="L4" s="61">
        <v>3</v>
      </c>
      <c r="M4" s="62">
        <v>1</v>
      </c>
      <c r="N4" s="162">
        <f t="shared" si="0"/>
        <v>100</v>
      </c>
      <c r="O4" s="263"/>
      <c r="P4" s="260" t="s">
        <v>33</v>
      </c>
      <c r="Q4" s="239">
        <v>24</v>
      </c>
      <c r="R4" s="192">
        <f t="shared" ref="R4:R13" si="1">IF(OR(Q4=0, Q4=""), NA(), Q4/$B$6)</f>
        <v>3.5294117647058823E-2</v>
      </c>
      <c r="T4" s="167" t="s">
        <v>45</v>
      </c>
      <c r="U4" s="208">
        <f t="shared" ref="U4:U13" si="2">IF(Q4&lt;&gt;0,Q4-Q3,NA())</f>
        <v>24</v>
      </c>
    </row>
    <row r="5" spans="1:22" ht="20.149999999999999" customHeight="1" x14ac:dyDescent="0.3">
      <c r="A5" s="39" t="s">
        <v>24</v>
      </c>
      <c r="B5" s="267" t="str">
        <f>INDEX(Synthèse!B:B,B4+2)</f>
        <v>Base nautique</v>
      </c>
      <c r="D5" s="195" cm="1">
        <f t="array" ref="D5">IF(ROW(3:3)&lt;=$E$24, (ROW(3:3)), "")</f>
        <v>3</v>
      </c>
      <c r="E5" s="60">
        <v>4</v>
      </c>
      <c r="F5" s="60">
        <v>4</v>
      </c>
      <c r="G5" s="60">
        <v>19</v>
      </c>
      <c r="H5" s="60">
        <v>29</v>
      </c>
      <c r="I5" s="60">
        <v>24</v>
      </c>
      <c r="J5" s="60">
        <v>15</v>
      </c>
      <c r="K5" s="60">
        <v>4</v>
      </c>
      <c r="L5" s="75">
        <v>1</v>
      </c>
      <c r="M5" s="76">
        <v>0</v>
      </c>
      <c r="N5" s="162">
        <f t="shared" si="0"/>
        <v>100</v>
      </c>
      <c r="O5" s="264"/>
      <c r="P5" s="260" t="s">
        <v>34</v>
      </c>
      <c r="Q5" s="239">
        <v>49</v>
      </c>
      <c r="R5" s="192">
        <f t="shared" si="1"/>
        <v>7.2058823529411759E-2</v>
      </c>
      <c r="T5" s="168" t="s">
        <v>46</v>
      </c>
      <c r="U5" s="209">
        <f t="shared" si="2"/>
        <v>25</v>
      </c>
    </row>
    <row r="6" spans="1:22" ht="20.149999999999999" customHeight="1" x14ac:dyDescent="0.3">
      <c r="A6" s="39" t="s">
        <v>0</v>
      </c>
      <c r="B6" s="87">
        <f>INDEX(Synthèse!C:C,B4+2)</f>
        <v>680</v>
      </c>
      <c r="D6" s="195" cm="1">
        <f t="array" ref="D6">IF(ROW(4:4)&lt;=$E$24, (ROW(4:4)), "")</f>
        <v>4</v>
      </c>
      <c r="E6" s="60">
        <v>1</v>
      </c>
      <c r="F6" s="60">
        <v>0</v>
      </c>
      <c r="G6" s="60">
        <v>3</v>
      </c>
      <c r="H6" s="60">
        <v>5</v>
      </c>
      <c r="I6" s="60">
        <v>11</v>
      </c>
      <c r="J6" s="60">
        <v>2</v>
      </c>
      <c r="K6" s="60">
        <v>2</v>
      </c>
      <c r="L6" s="75">
        <v>2</v>
      </c>
      <c r="M6" s="76">
        <v>0</v>
      </c>
      <c r="N6" s="162">
        <f t="shared" si="0"/>
        <v>26</v>
      </c>
      <c r="O6" s="264"/>
      <c r="P6" s="260" t="s">
        <v>35</v>
      </c>
      <c r="Q6" s="239">
        <v>96</v>
      </c>
      <c r="R6" s="192">
        <f t="shared" si="1"/>
        <v>0.14117647058823529</v>
      </c>
      <c r="T6" s="168" t="s">
        <v>47</v>
      </c>
      <c r="U6" s="209">
        <f t="shared" si="2"/>
        <v>47</v>
      </c>
    </row>
    <row r="7" spans="1:22" ht="20.149999999999999" customHeight="1" x14ac:dyDescent="0.3">
      <c r="A7" s="39" t="s">
        <v>2</v>
      </c>
      <c r="B7" s="69">
        <f>MAX(Q4:Q15)</f>
        <v>326</v>
      </c>
      <c r="D7" s="195" t="str" cm="1">
        <f t="array" ref="D7">IF(ROW(5:5)&lt;=$E$24, (ROW(5:5)), "")</f>
        <v/>
      </c>
      <c r="E7" s="60" cm="1">
        <f t="array" ref="E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F7" s="60" cm="1">
        <f t="array" ref="F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G7" s="60" cm="1">
        <f t="array" ref="G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H7" s="60" cm="1">
        <f t="array" ref="H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I7" s="60" cm="1">
        <f t="array" ref="I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J7" s="60" cm="1">
        <f t="array" ref="J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K7" s="60" cm="1">
        <f t="array" ref="K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L7" s="61" cm="1">
        <f t="array" ref="L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M7" s="62" cm="1">
        <f t="array" ref="M7">IF(ISNUMBER($D7),
 IFERROR(
  IF($D7 = MIN(INDEX(Table1,,1)),
     INDEX(Table1,MATCH($D7,INDEX(Table1,,1),0),COLUMN()-3),
     INDEX(Table1,MATCH($D7,INDEX(Table1,,1),0),COLUMN()-3)-INDEX(Table1,MATCH($D7,INDEX(Table1,,1),0)-1,COLUMN()-3)
  ),
  IFERROR(
   IF($D7 = MIN(INDEX(Table2,,1)),
      INDEX(Table2,MATCH($D7,INDEX(Table2,,1),0),COLUMN()-3),
      INDEX(Table2,MATCH($D7,INDEX(Table2,,1),0),COLUMN()-3)-INDEX(Table2,MATCH($D7,INDEX(Table2,,1),0)-1,COLUMN()-3)
   ),
   IFERROR(
    IF($D7 = MIN(INDEX(Table3,,1)),
       INDEX(Table3,MATCH($D7,INDEX(Table3,,1),0),COLUMN()-3),
       INDEX(Table3,MATCH($D7,INDEX(Table3,,1),0),COLUMN()-3)-INDEX(Table3,MATCH($D7,INDEX(Table3,,1),0)-1,COLUMN()-3)
    ),
    0
   )
  )
 ),
0)</f>
        <v>0</v>
      </c>
      <c r="N7" s="162">
        <f t="shared" si="0"/>
        <v>0</v>
      </c>
      <c r="O7" s="264"/>
      <c r="P7" s="260" t="s">
        <v>36</v>
      </c>
      <c r="Q7" s="239">
        <v>143</v>
      </c>
      <c r="R7" s="192">
        <f t="shared" si="1"/>
        <v>0.21029411764705883</v>
      </c>
      <c r="T7" s="168" t="s">
        <v>54</v>
      </c>
      <c r="U7" s="209">
        <f t="shared" si="2"/>
        <v>47</v>
      </c>
    </row>
    <row r="8" spans="1:22" ht="20.149999999999999" customHeight="1" x14ac:dyDescent="0.3">
      <c r="A8" s="39" t="s">
        <v>1</v>
      </c>
      <c r="B8" s="70">
        <v>325</v>
      </c>
      <c r="D8" s="195" t="str" cm="1">
        <f t="array" ref="D8">IF(ROW(6:6)&lt;=$E$24, (ROW(6:6)), "")</f>
        <v/>
      </c>
      <c r="E8" s="60" cm="1">
        <f t="array" ref="E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F8" s="60" cm="1">
        <f t="array" ref="F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G8" s="60" cm="1">
        <f t="array" ref="G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H8" s="60" cm="1">
        <f t="array" ref="H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I8" s="60" cm="1">
        <f t="array" ref="I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J8" s="60" cm="1">
        <f t="array" ref="J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K8" s="60" cm="1">
        <f t="array" ref="K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L8" s="61" cm="1">
        <f t="array" ref="L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M8" s="62" cm="1">
        <f t="array" ref="M8">IF(ISNUMBER($D8),
 IFERROR(
  IF($D8 = MIN(INDEX(Table1,,1)),
     INDEX(Table1,MATCH($D8,INDEX(Table1,,1),0),COLUMN()-3),
     INDEX(Table1,MATCH($D8,INDEX(Table1,,1),0),COLUMN()-3)-INDEX(Table1,MATCH($D8,INDEX(Table1,,1),0)-1,COLUMN()-3)
  ),
  IFERROR(
   IF($D8 = MIN(INDEX(Table2,,1)),
      INDEX(Table2,MATCH($D8,INDEX(Table2,,1),0),COLUMN()-3),
      INDEX(Table2,MATCH($D8,INDEX(Table2,,1),0),COLUMN()-3)-INDEX(Table2,MATCH($D8,INDEX(Table2,,1),0)-1,COLUMN()-3)
   ),
   IFERROR(
    IF($D8 = MIN(INDEX(Table3,,1)),
       INDEX(Table3,MATCH($D8,INDEX(Table3,,1),0),COLUMN()-3),
       INDEX(Table3,MATCH($D8,INDEX(Table3,,1),0),COLUMN()-3)-INDEX(Table3,MATCH($D8,INDEX(Table3,,1),0)-1,COLUMN()-3)
    ),
    0
   )
  )
 ),
0)</f>
        <v>0</v>
      </c>
      <c r="N8" s="162">
        <f t="shared" si="0"/>
        <v>0</v>
      </c>
      <c r="O8" s="264"/>
      <c r="P8" s="260" t="s">
        <v>37</v>
      </c>
      <c r="Q8" s="239">
        <v>182</v>
      </c>
      <c r="R8" s="192">
        <f t="shared" si="1"/>
        <v>0.2676470588235294</v>
      </c>
      <c r="T8" s="168" t="s">
        <v>48</v>
      </c>
      <c r="U8" s="209">
        <f t="shared" si="2"/>
        <v>39</v>
      </c>
    </row>
    <row r="9" spans="1:22" ht="20.149999999999999" customHeight="1" thickBot="1" x14ac:dyDescent="0.35">
      <c r="A9" s="40" t="s">
        <v>17</v>
      </c>
      <c r="B9" s="71">
        <f>B6-B7</f>
        <v>354</v>
      </c>
      <c r="D9" s="195" t="str" cm="1">
        <f t="array" ref="D9">IF(ROW(7:7)&lt;=$E$24, (ROW(7:7)), "")</f>
        <v/>
      </c>
      <c r="E9" s="60" cm="1">
        <f t="array" ref="E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F9" s="60" cm="1">
        <f t="array" ref="F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G9" s="60" cm="1">
        <f t="array" ref="G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H9" s="60" cm="1">
        <f t="array" ref="H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I9" s="60" cm="1">
        <f t="array" ref="I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J9" s="60" cm="1">
        <f t="array" ref="J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K9" s="60" cm="1">
        <f t="array" ref="K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L9" s="63" cm="1">
        <f t="array" ref="L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M9" s="64" cm="1">
        <f t="array" ref="M9">IF(ISNUMBER($D9),
 IFERROR(
  IF($D9 = MIN(INDEX(Table1,,1)),
     INDEX(Table1,MATCH($D9,INDEX(Table1,,1),0),COLUMN()-3),
     INDEX(Table1,MATCH($D9,INDEX(Table1,,1),0),COLUMN()-3)-INDEX(Table1,MATCH($D9,INDEX(Table1,,1),0)-1,COLUMN()-3)
  ),
  IFERROR(
   IF($D9 = MIN(INDEX(Table2,,1)),
      INDEX(Table2,MATCH($D9,INDEX(Table2,,1),0),COLUMN()-3),
      INDEX(Table2,MATCH($D9,INDEX(Table2,,1),0),COLUMN()-3)-INDEX(Table2,MATCH($D9,INDEX(Table2,,1),0)-1,COLUMN()-3)
   ),
   IFERROR(
    IF($D9 = MIN(INDEX(Table3,,1)),
       INDEX(Table3,MATCH($D9,INDEX(Table3,,1),0),COLUMN()-3),
       INDEX(Table3,MATCH($D9,INDEX(Table3,,1),0),COLUMN()-3)-INDEX(Table3,MATCH($D9,INDEX(Table3,,1),0)-1,COLUMN()-3)
    ),
    0
   )
  )
 ),
0)</f>
        <v>0</v>
      </c>
      <c r="N9" s="162">
        <f t="shared" si="0"/>
        <v>0</v>
      </c>
      <c r="O9" s="264"/>
      <c r="P9" s="260" t="s">
        <v>38</v>
      </c>
      <c r="Q9" s="239">
        <v>217</v>
      </c>
      <c r="R9" s="192">
        <f t="shared" si="1"/>
        <v>0.31911764705882351</v>
      </c>
      <c r="T9" s="168" t="s">
        <v>49</v>
      </c>
      <c r="U9" s="209">
        <f t="shared" si="2"/>
        <v>35</v>
      </c>
    </row>
    <row r="10" spans="1:22" ht="20.149999999999999" customHeight="1" x14ac:dyDescent="0.25">
      <c r="A10" s="657" t="s">
        <v>60</v>
      </c>
      <c r="B10" s="657"/>
      <c r="D10" s="195" t="str" cm="1">
        <f t="array" ref="D10">IF(ROW(8:8)&lt;=$E$24, (ROW(8:8)), "")</f>
        <v/>
      </c>
      <c r="E10" s="60" cm="1">
        <f t="array" ref="E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F10" s="60" cm="1">
        <f t="array" ref="F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G10" s="60" cm="1">
        <f t="array" ref="G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H10" s="60" cm="1">
        <f t="array" ref="H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I10" s="60" cm="1">
        <f t="array" ref="I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J10" s="60" cm="1">
        <f t="array" ref="J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K10" s="60" cm="1">
        <f t="array" ref="K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L10" s="63" cm="1">
        <f t="array" ref="L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M10" s="64" cm="1">
        <f t="array" ref="M10">IF(ISNUMBER($D10),
 IFERROR(
  IF($D10 = MIN(INDEX(Table1,,1)),
     INDEX(Table1,MATCH($D10,INDEX(Table1,,1),0),COLUMN()-3),
     INDEX(Table1,MATCH($D10,INDEX(Table1,,1),0),COLUMN()-3)-INDEX(Table1,MATCH($D10,INDEX(Table1,,1),0)-1,COLUMN()-3)
  ),
  IFERROR(
   IF($D10 = MIN(INDEX(Table2,,1)),
      INDEX(Table2,MATCH($D10,INDEX(Table2,,1),0),COLUMN()-3),
      INDEX(Table2,MATCH($D10,INDEX(Table2,,1),0),COLUMN()-3)-INDEX(Table2,MATCH($D10,INDEX(Table2,,1),0)-1,COLUMN()-3)
   ),
   IFERROR(
    IF($D10 = MIN(INDEX(Table3,,1)),
       INDEX(Table3,MATCH($D10,INDEX(Table3,,1),0),COLUMN()-3),
       INDEX(Table3,MATCH($D10,INDEX(Table3,,1),0),COLUMN()-3)-INDEX(Table3,MATCH($D10,INDEX(Table3,,1),0)-1,COLUMN()-3)
    ),
    0
   )
  )
 ),
0)</f>
        <v>0</v>
      </c>
      <c r="N10" s="162">
        <f t="shared" si="0"/>
        <v>0</v>
      </c>
      <c r="O10" s="264"/>
      <c r="P10" s="260" t="s">
        <v>39</v>
      </c>
      <c r="Q10" s="239">
        <v>251</v>
      </c>
      <c r="R10" s="192">
        <f t="shared" si="1"/>
        <v>0.36911764705882355</v>
      </c>
      <c r="T10" s="168" t="s">
        <v>50</v>
      </c>
      <c r="U10" s="209">
        <f t="shared" si="2"/>
        <v>34</v>
      </c>
    </row>
    <row r="11" spans="1:22" ht="20.149999999999999" customHeight="1" x14ac:dyDescent="0.25">
      <c r="A11" s="658"/>
      <c r="B11" s="658"/>
      <c r="D11" s="195" t="str" cm="1">
        <f t="array" ref="D11">IF(ROW(9:9)&lt;=$E$24, (ROW(9:9)), "")</f>
        <v/>
      </c>
      <c r="E11" s="60" cm="1">
        <f t="array" ref="E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F11" s="60" cm="1">
        <f t="array" ref="F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G11" s="60" cm="1">
        <f t="array" ref="G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H11" s="60" cm="1">
        <f t="array" ref="H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I11" s="60" cm="1">
        <f t="array" ref="I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J11" s="60" cm="1">
        <f t="array" ref="J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K11" s="60">
        <v>0</v>
      </c>
      <c r="L11" s="63" cm="1">
        <f t="array" ref="L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M11" s="64" cm="1">
        <f t="array" ref="M11">IF(ISNUMBER($D11),
 IFERROR(
  IF($D11 = MIN(INDEX(Table1,,1)),
     INDEX(Table1,MATCH($D11,INDEX(Table1,,1),0),COLUMN()-3),
     INDEX(Table1,MATCH($D11,INDEX(Table1,,1),0),COLUMN()-3)-INDEX(Table1,MATCH($D11,INDEX(Table1,,1),0)-1,COLUMN()-3)
  ),
  IFERROR(
   IF($D11 = MIN(INDEX(Table2,,1)),
      INDEX(Table2,MATCH($D11,INDEX(Table2,,1),0),COLUMN()-3),
      INDEX(Table2,MATCH($D11,INDEX(Table2,,1),0),COLUMN()-3)-INDEX(Table2,MATCH($D11,INDEX(Table2,,1),0)-1,COLUMN()-3)
   ),
   IFERROR(
    IF($D11 = MIN(INDEX(Table3,,1)),
       INDEX(Table3,MATCH($D11,INDEX(Table3,,1),0),COLUMN()-3),
       INDEX(Table3,MATCH($D11,INDEX(Table3,,1),0),COLUMN()-3)-INDEX(Table3,MATCH($D11,INDEX(Table3,,1),0)-1,COLUMN()-3)
    ),
    0
   )
  )
 ),
0)</f>
        <v>0</v>
      </c>
      <c r="N11" s="162">
        <f t="shared" si="0"/>
        <v>0</v>
      </c>
      <c r="O11" s="264"/>
      <c r="P11" s="260" t="s">
        <v>40</v>
      </c>
      <c r="Q11" s="239">
        <v>287</v>
      </c>
      <c r="R11" s="192">
        <f t="shared" si="1"/>
        <v>0.42205882352941176</v>
      </c>
      <c r="T11" s="168" t="s">
        <v>51</v>
      </c>
      <c r="U11" s="209">
        <f t="shared" si="2"/>
        <v>36</v>
      </c>
    </row>
    <row r="12" spans="1:22" ht="20.149999999999999" customHeight="1" thickBot="1" x14ac:dyDescent="0.3">
      <c r="A12" s="659" t="s">
        <v>61</v>
      </c>
      <c r="B12" s="659"/>
      <c r="D12" s="196" t="str" cm="1">
        <f t="array" ref="D12">IF(ROW(10:10)&lt;=$E$24, (ROW(10:10)), "")</f>
        <v/>
      </c>
      <c r="E12" s="60" cm="1">
        <f t="array" ref="E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F12" s="60" cm="1">
        <f t="array" ref="F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G12" s="60" cm="1">
        <f t="array" ref="G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H12" s="60" cm="1">
        <f t="array" ref="H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I12" s="60" cm="1">
        <f t="array" ref="I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J12" s="60" cm="1">
        <f t="array" ref="J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K12" s="60" cm="1">
        <f t="array" ref="K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L12" s="77" cm="1">
        <f t="array" ref="L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M12" s="78" cm="1">
        <f t="array" ref="M12">IF(ISNUMBER($D12),
 IFERROR(
  IF($D12 = MIN(INDEX(Table1,,1)),
     INDEX(Table1,MATCH($D12,INDEX(Table1,,1),0),COLUMN()-3),
     INDEX(Table1,MATCH($D12,INDEX(Table1,,1),0),COLUMN()-3)-INDEX(Table1,MATCH($D12,INDEX(Table1,,1),0)-1,COLUMN()-3)
  ),
  IFERROR(
   IF($D12 = MIN(INDEX(Table2,,1)),
      INDEX(Table2,MATCH($D12,INDEX(Table2,,1),0),COLUMN()-3),
      INDEX(Table2,MATCH($D12,INDEX(Table2,,1),0),COLUMN()-3)-INDEX(Table2,MATCH($D12,INDEX(Table2,,1),0)-1,COLUMN()-3)
   ),
   IFERROR(
    IF($D12 = MIN(INDEX(Table3,,1)),
       INDEX(Table3,MATCH($D12,INDEX(Table3,,1),0),COLUMN()-3),
       INDEX(Table3,MATCH($D12,INDEX(Table3,,1),0),COLUMN()-3)-INDEX(Table3,MATCH($D12,INDEX(Table3,,1),0)-1,COLUMN()-3)
    ),
    0
   )
  )
 ),
0)</f>
        <v>0</v>
      </c>
      <c r="N12" s="162">
        <f t="shared" si="0"/>
        <v>0</v>
      </c>
      <c r="O12" s="264"/>
      <c r="P12" s="260" t="s">
        <v>41</v>
      </c>
      <c r="Q12" s="239">
        <v>321</v>
      </c>
      <c r="R12" s="192">
        <f t="shared" si="1"/>
        <v>0.47205882352941175</v>
      </c>
      <c r="T12" s="168" t="s">
        <v>52</v>
      </c>
      <c r="U12" s="209">
        <f t="shared" si="2"/>
        <v>34</v>
      </c>
    </row>
    <row r="13" spans="1:22" ht="20.149999999999999" customHeight="1" thickBot="1" x14ac:dyDescent="0.4">
      <c r="A13" s="659"/>
      <c r="B13" s="659"/>
      <c r="D13" s="23" t="s">
        <v>9</v>
      </c>
      <c r="E13" s="65">
        <f t="shared" ref="E13:M13" si="3">SUM(E3:E12)</f>
        <v>15</v>
      </c>
      <c r="F13" s="66">
        <f t="shared" si="3"/>
        <v>12</v>
      </c>
      <c r="G13" s="66">
        <f t="shared" si="3"/>
        <v>62</v>
      </c>
      <c r="H13" s="66">
        <f t="shared" si="3"/>
        <v>85</v>
      </c>
      <c r="I13" s="66">
        <f t="shared" si="3"/>
        <v>79</v>
      </c>
      <c r="J13" s="66">
        <f t="shared" si="3"/>
        <v>51</v>
      </c>
      <c r="K13" s="66">
        <f t="shared" si="3"/>
        <v>11</v>
      </c>
      <c r="L13" s="67">
        <f t="shared" si="3"/>
        <v>9</v>
      </c>
      <c r="M13" s="68">
        <f t="shared" si="3"/>
        <v>2</v>
      </c>
      <c r="N13" s="249">
        <f>SUM(N3:N12)</f>
        <v>326</v>
      </c>
      <c r="O13" s="264"/>
      <c r="P13" s="260" t="s">
        <v>42</v>
      </c>
      <c r="Q13" s="239">
        <v>326</v>
      </c>
      <c r="R13" s="192">
        <f t="shared" si="1"/>
        <v>0.47941176470588237</v>
      </c>
      <c r="T13" s="169" t="s">
        <v>53</v>
      </c>
      <c r="U13" s="210">
        <f t="shared" si="2"/>
        <v>5</v>
      </c>
    </row>
    <row r="14" spans="1:22" ht="20.149999999999999" customHeight="1" thickBot="1" x14ac:dyDescent="0.4">
      <c r="A14" s="659"/>
      <c r="B14" s="659"/>
      <c r="D14" s="31" t="s">
        <v>10</v>
      </c>
      <c r="E14" s="18">
        <f t="shared" ref="E14:N14" si="4">IFERROR(E13/$B$7,0)</f>
        <v>4.6012269938650305E-2</v>
      </c>
      <c r="F14" s="19">
        <f t="shared" si="4"/>
        <v>3.6809815950920248E-2</v>
      </c>
      <c r="G14" s="19">
        <f t="shared" si="4"/>
        <v>0.19018404907975461</v>
      </c>
      <c r="H14" s="19">
        <f t="shared" si="4"/>
        <v>0.2607361963190184</v>
      </c>
      <c r="I14" s="19">
        <f t="shared" si="4"/>
        <v>0.24233128834355827</v>
      </c>
      <c r="J14" s="19">
        <f t="shared" si="4"/>
        <v>0.15644171779141106</v>
      </c>
      <c r="K14" s="19">
        <f t="shared" si="4"/>
        <v>3.3742331288343558E-2</v>
      </c>
      <c r="L14" s="18">
        <f t="shared" si="4"/>
        <v>2.7607361963190184E-2</v>
      </c>
      <c r="M14" s="20">
        <f t="shared" si="4"/>
        <v>6.1349693251533744E-3</v>
      </c>
      <c r="N14" s="250">
        <f t="shared" si="4"/>
        <v>1</v>
      </c>
      <c r="O14" s="263"/>
      <c r="P14" s="261" t="s">
        <v>43</v>
      </c>
      <c r="Q14" s="240"/>
      <c r="R14" s="193" t="e">
        <f>IF(OR(Q14=0, Q14=""), NA(), Q14/$B$6)</f>
        <v>#N/A</v>
      </c>
      <c r="S14" s="212"/>
      <c r="T14" s="215" t="s">
        <v>55</v>
      </c>
      <c r="U14" s="211" t="e">
        <f>IF(Q14&lt;&gt;0,Q14-Q13,NA())</f>
        <v>#N/A</v>
      </c>
      <c r="V14" s="212"/>
    </row>
    <row r="15" spans="1:22" ht="18" customHeight="1" thickBot="1" x14ac:dyDescent="0.35">
      <c r="A15" s="660" t="s">
        <v>66</v>
      </c>
      <c r="B15" s="660"/>
      <c r="C15" s="1"/>
      <c r="D15" s="1"/>
      <c r="N15" s="170"/>
      <c r="O15" s="263"/>
      <c r="P15" s="262" t="s">
        <v>44</v>
      </c>
      <c r="Q15" s="241"/>
      <c r="R15" s="213" t="e">
        <f>IF(OR(Q15=0, Q15=""), NA(), Q15/$B$6)</f>
        <v>#N/A</v>
      </c>
      <c r="T15" s="216" t="s">
        <v>56</v>
      </c>
      <c r="U15" s="214" t="e">
        <f>IF(Q15&lt;&gt;0,Q15-Q14,NA())</f>
        <v>#N/A</v>
      </c>
      <c r="V15" s="212"/>
    </row>
    <row r="16" spans="1:22" ht="12.75" customHeight="1" x14ac:dyDescent="0.25">
      <c r="A16" s="660"/>
      <c r="B16" s="660"/>
      <c r="O16" s="263"/>
      <c r="P16" s="170"/>
      <c r="Q16" s="170"/>
      <c r="R16" s="170"/>
      <c r="U16" s="170"/>
    </row>
    <row r="17" spans="1:15" ht="18" customHeight="1" x14ac:dyDescent="0.35">
      <c r="A17" s="660"/>
      <c r="B17" s="660"/>
      <c r="E17" s="89"/>
      <c r="O17" s="263"/>
    </row>
    <row r="18" spans="1:15" ht="26.25" customHeight="1" x14ac:dyDescent="0.25">
      <c r="A18" s="660"/>
      <c r="B18" s="660"/>
      <c r="D18" s="247" t="s">
        <v>64</v>
      </c>
      <c r="O18" s="263"/>
    </row>
    <row r="19" spans="1:15" x14ac:dyDescent="0.25">
      <c r="D19" s="248">
        <f>IF((ROW()-23)&lt;=$E$25,(ROW()-23),"Choisir")</f>
        <v>-4</v>
      </c>
      <c r="O19" s="263"/>
    </row>
    <row r="20" spans="1:15" x14ac:dyDescent="0.25">
      <c r="D20" s="248">
        <f>IF((ROW()-23)&lt;=$E$25,(ROW()-23),"Choisir")</f>
        <v>-3</v>
      </c>
      <c r="O20" s="263"/>
    </row>
    <row r="21" spans="1:15" x14ac:dyDescent="0.25">
      <c r="D21" s="248">
        <f>IF((ROW()-23)&lt;=$E$25,(ROW()-23),"Choisir")</f>
        <v>-2</v>
      </c>
      <c r="O21" s="263"/>
    </row>
    <row r="22" spans="1:15" x14ac:dyDescent="0.25">
      <c r="D22" s="248">
        <f>IF((ROW()-23)&lt;=$E$25,(ROW()-23),"Choisir")</f>
        <v>-1</v>
      </c>
      <c r="O22" s="263"/>
    </row>
    <row r="23" spans="1:15" x14ac:dyDescent="0.25">
      <c r="O23" s="263"/>
    </row>
    <row r="24" spans="1:15" ht="13" x14ac:dyDescent="0.25">
      <c r="D24" s="102">
        <f>CEILING($B$6, 100)/100</f>
        <v>7</v>
      </c>
      <c r="E24" s="246">
        <f>CEILING($B$7,100)/100</f>
        <v>4</v>
      </c>
      <c r="O24" s="263"/>
    </row>
    <row r="25" spans="1:15" ht="13" x14ac:dyDescent="0.25">
      <c r="D25" s="102">
        <f>MOD($B$7,100)</f>
        <v>26</v>
      </c>
      <c r="E25" s="103">
        <f>CEILING($B$6/300,1)</f>
        <v>3</v>
      </c>
      <c r="O25" s="263"/>
    </row>
    <row r="26" spans="1:15" x14ac:dyDescent="0.25">
      <c r="O26" s="263"/>
    </row>
    <row r="27" spans="1:15" x14ac:dyDescent="0.25">
      <c r="O27" s="263"/>
    </row>
    <row r="28" spans="1:15" x14ac:dyDescent="0.25">
      <c r="O28" s="263"/>
    </row>
    <row r="29" spans="1:15" x14ac:dyDescent="0.25">
      <c r="O29" s="263"/>
    </row>
    <row r="30" spans="1:15" x14ac:dyDescent="0.25">
      <c r="O30" s="263"/>
    </row>
    <row r="31" spans="1:15" x14ac:dyDescent="0.25">
      <c r="O31" s="263"/>
    </row>
    <row r="32" spans="1:15" x14ac:dyDescent="0.25">
      <c r="O32" s="263"/>
    </row>
    <row r="33" spans="1:15" x14ac:dyDescent="0.25">
      <c r="O33" s="263"/>
    </row>
    <row r="34" spans="1:15" x14ac:dyDescent="0.25">
      <c r="O34" s="263"/>
    </row>
    <row r="35" spans="1:15" x14ac:dyDescent="0.25">
      <c r="O35" s="263"/>
    </row>
    <row r="36" spans="1:15" x14ac:dyDescent="0.25">
      <c r="O36" s="263"/>
    </row>
    <row r="37" spans="1:15" x14ac:dyDescent="0.25">
      <c r="O37" s="263"/>
    </row>
    <row r="38" spans="1:15" x14ac:dyDescent="0.25">
      <c r="O38" s="263"/>
    </row>
    <row r="39" spans="1:15" x14ac:dyDescent="0.25">
      <c r="O39" s="263"/>
    </row>
    <row r="40" spans="1:15" x14ac:dyDescent="0.25">
      <c r="O40" s="263"/>
    </row>
    <row r="41" spans="1:15" x14ac:dyDescent="0.25">
      <c r="O41" s="263"/>
    </row>
    <row r="42" spans="1:15" x14ac:dyDescent="0.25">
      <c r="O42" s="263"/>
    </row>
    <row r="43" spans="1:15" ht="13" thickBot="1" x14ac:dyDescent="0.3">
      <c r="A43" s="257"/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65"/>
    </row>
    <row r="44" spans="1:15" ht="13" thickTop="1" x14ac:dyDescent="0.25">
      <c r="O44" s="263"/>
    </row>
    <row r="45" spans="1:15" x14ac:dyDescent="0.25">
      <c r="O45" s="263"/>
    </row>
    <row r="46" spans="1:15" x14ac:dyDescent="0.25">
      <c r="E46" s="72"/>
      <c r="O46" s="263"/>
    </row>
    <row r="47" spans="1:15" ht="13" thickBot="1" x14ac:dyDescent="0.3">
      <c r="E47" s="72"/>
      <c r="O47" s="263"/>
    </row>
    <row r="48" spans="1:15" ht="20.149999999999999" customHeight="1" thickBot="1" x14ac:dyDescent="0.35">
      <c r="D48" s="92" t="s">
        <v>67</v>
      </c>
      <c r="E48" s="651" t="s">
        <v>103</v>
      </c>
      <c r="F48" s="652"/>
      <c r="G48" s="652"/>
      <c r="H48" s="652"/>
      <c r="I48" s="652"/>
      <c r="J48" s="652"/>
      <c r="K48" s="652"/>
      <c r="L48" s="652"/>
      <c r="M48" s="653"/>
      <c r="N48" s="217" t="s">
        <v>7</v>
      </c>
      <c r="O48" s="263"/>
    </row>
    <row r="49" spans="3:15" ht="47.25" customHeight="1" thickBot="1" x14ac:dyDescent="0.3">
      <c r="C49" s="90"/>
      <c r="D49" s="199" t="s">
        <v>70</v>
      </c>
      <c r="E49" s="232" t="str">
        <f>E2</f>
        <v>Mme Christiane 
LARDAT</v>
      </c>
      <c r="F49" s="379" t="str">
        <f t="shared" ref="F49:K49" si="5">F2</f>
        <v>M. Francis 
LAPRADE</v>
      </c>
      <c r="G49" s="227" t="str">
        <f t="shared" si="5"/>
        <v>M. Pierre-Yves 
TIERCE</v>
      </c>
      <c r="H49" s="245" t="str">
        <f t="shared" si="5"/>
        <v>M. Philippe 
VALLET</v>
      </c>
      <c r="I49" s="234" t="str">
        <f t="shared" si="5"/>
        <v>Mme Isabelle 
FARNET RISSO</v>
      </c>
      <c r="J49" s="233" t="str">
        <f t="shared" si="5"/>
        <v>Mme Véronique 
LANSADE</v>
      </c>
      <c r="K49" s="228" t="str">
        <f t="shared" si="5"/>
        <v>M. Pascal 
CORDÉ</v>
      </c>
      <c r="L49" s="237" t="s">
        <v>3</v>
      </c>
      <c r="M49" s="238" t="s">
        <v>4</v>
      </c>
      <c r="N49" s="219" t="s">
        <v>87</v>
      </c>
      <c r="O49" s="263"/>
    </row>
    <row r="50" spans="3:15" ht="19.5" customHeight="1" x14ac:dyDescent="0.25">
      <c r="C50" s="91"/>
      <c r="D50" s="198" t="s">
        <v>69</v>
      </c>
      <c r="E50" s="163"/>
      <c r="F50" s="164"/>
      <c r="G50" s="164"/>
      <c r="H50" s="164"/>
      <c r="I50" s="164"/>
      <c r="J50" s="164"/>
      <c r="K50" s="165"/>
      <c r="L50" s="166"/>
      <c r="M50" s="165"/>
      <c r="N50" s="218">
        <f t="shared" ref="N50:N59" si="6">SUM(E50:M50)</f>
        <v>0</v>
      </c>
      <c r="O50" s="263"/>
    </row>
    <row r="51" spans="3:15" ht="20.149999999999999" customHeight="1" x14ac:dyDescent="0.25">
      <c r="C51" s="91"/>
      <c r="D51" s="198" t="s">
        <v>69</v>
      </c>
      <c r="E51" s="163"/>
      <c r="F51" s="164"/>
      <c r="G51" s="164"/>
      <c r="H51" s="164"/>
      <c r="I51" s="164"/>
      <c r="J51" s="164"/>
      <c r="K51" s="165"/>
      <c r="L51" s="166"/>
      <c r="M51" s="165"/>
      <c r="N51" s="218">
        <f t="shared" si="6"/>
        <v>0</v>
      </c>
      <c r="O51" s="263"/>
    </row>
    <row r="52" spans="3:15" ht="20.149999999999999" customHeight="1" x14ac:dyDescent="0.25">
      <c r="C52" s="91"/>
      <c r="D52" s="198" t="s">
        <v>69</v>
      </c>
      <c r="E52" s="163"/>
      <c r="F52" s="164"/>
      <c r="G52" s="164"/>
      <c r="H52" s="164"/>
      <c r="I52" s="164"/>
      <c r="J52" s="164"/>
      <c r="K52" s="165"/>
      <c r="L52" s="166"/>
      <c r="M52" s="165"/>
      <c r="N52" s="218">
        <f t="shared" si="6"/>
        <v>0</v>
      </c>
      <c r="O52" s="263"/>
    </row>
    <row r="53" spans="3:15" ht="20.149999999999999" customHeight="1" x14ac:dyDescent="0.25">
      <c r="C53" s="91"/>
      <c r="D53" s="198" t="s">
        <v>69</v>
      </c>
      <c r="E53" s="163"/>
      <c r="F53" s="164"/>
      <c r="G53" s="164"/>
      <c r="H53" s="164"/>
      <c r="I53" s="164"/>
      <c r="J53" s="164"/>
      <c r="K53" s="165"/>
      <c r="L53" s="166"/>
      <c r="M53" s="165"/>
      <c r="N53" s="218">
        <f t="shared" si="6"/>
        <v>0</v>
      </c>
      <c r="O53" s="263"/>
    </row>
    <row r="54" spans="3:15" ht="20.149999999999999" customHeight="1" x14ac:dyDescent="0.25">
      <c r="C54" s="91"/>
      <c r="D54" s="198" t="s">
        <v>69</v>
      </c>
      <c r="E54" s="163"/>
      <c r="F54" s="164"/>
      <c r="G54" s="164"/>
      <c r="H54" s="164"/>
      <c r="I54" s="164"/>
      <c r="J54" s="164"/>
      <c r="K54" s="165"/>
      <c r="L54" s="166"/>
      <c r="M54" s="165"/>
      <c r="N54" s="218">
        <f t="shared" si="6"/>
        <v>0</v>
      </c>
      <c r="O54" s="263"/>
    </row>
    <row r="55" spans="3:15" ht="20.149999999999999" customHeight="1" x14ac:dyDescent="0.25">
      <c r="C55" s="91"/>
      <c r="D55" s="198" t="s">
        <v>69</v>
      </c>
      <c r="E55" s="163"/>
      <c r="F55" s="164"/>
      <c r="G55" s="164"/>
      <c r="H55" s="164"/>
      <c r="I55" s="164"/>
      <c r="J55" s="164"/>
      <c r="K55" s="165"/>
      <c r="L55" s="166"/>
      <c r="M55" s="165"/>
      <c r="N55" s="218">
        <f t="shared" si="6"/>
        <v>0</v>
      </c>
      <c r="O55" s="263"/>
    </row>
    <row r="56" spans="3:15" ht="20.149999999999999" customHeight="1" x14ac:dyDescent="0.25">
      <c r="C56" s="91"/>
      <c r="D56" s="198" t="s">
        <v>69</v>
      </c>
      <c r="E56" s="163"/>
      <c r="F56" s="164"/>
      <c r="G56" s="164"/>
      <c r="H56" s="164"/>
      <c r="I56" s="164"/>
      <c r="J56" s="164"/>
      <c r="K56" s="165"/>
      <c r="L56" s="166"/>
      <c r="M56" s="165"/>
      <c r="N56" s="218">
        <f t="shared" si="6"/>
        <v>0</v>
      </c>
      <c r="O56" s="263"/>
    </row>
    <row r="57" spans="3:15" ht="20.149999999999999" customHeight="1" x14ac:dyDescent="0.25">
      <c r="C57" s="91"/>
      <c r="D57" s="198" t="s">
        <v>69</v>
      </c>
      <c r="E57" s="163"/>
      <c r="F57" s="164"/>
      <c r="G57" s="164"/>
      <c r="H57" s="164"/>
      <c r="I57" s="164"/>
      <c r="J57" s="164"/>
      <c r="K57" s="165"/>
      <c r="L57" s="166"/>
      <c r="M57" s="165"/>
      <c r="N57" s="218">
        <f t="shared" si="6"/>
        <v>0</v>
      </c>
      <c r="O57" s="263"/>
    </row>
    <row r="58" spans="3:15" ht="20.149999999999999" customHeight="1" x14ac:dyDescent="0.25">
      <c r="C58" s="91"/>
      <c r="D58" s="198" t="s">
        <v>69</v>
      </c>
      <c r="E58" s="163"/>
      <c r="F58" s="164"/>
      <c r="G58" s="164"/>
      <c r="H58" s="164"/>
      <c r="I58" s="164"/>
      <c r="J58" s="164"/>
      <c r="K58" s="165"/>
      <c r="L58" s="166"/>
      <c r="M58" s="165"/>
      <c r="N58" s="218">
        <f t="shared" si="6"/>
        <v>0</v>
      </c>
      <c r="O58" s="263"/>
    </row>
    <row r="59" spans="3:15" ht="20.149999999999999" customHeight="1" thickBot="1" x14ac:dyDescent="0.3">
      <c r="C59" s="91"/>
      <c r="D59" s="200" t="s">
        <v>69</v>
      </c>
      <c r="E59" s="201"/>
      <c r="F59" s="202"/>
      <c r="G59" s="202"/>
      <c r="H59" s="202"/>
      <c r="I59" s="202"/>
      <c r="J59" s="202"/>
      <c r="K59" s="203"/>
      <c r="L59" s="204"/>
      <c r="M59" s="203"/>
      <c r="N59" s="218">
        <f t="shared" si="6"/>
        <v>0</v>
      </c>
      <c r="O59" s="263"/>
    </row>
    <row r="60" spans="3:15" x14ac:dyDescent="0.25">
      <c r="N60" s="170"/>
      <c r="O60" s="263"/>
    </row>
    <row r="61" spans="3:15" x14ac:dyDescent="0.25">
      <c r="O61" s="263"/>
    </row>
    <row r="62" spans="3:15" x14ac:dyDescent="0.25">
      <c r="O62" s="263"/>
    </row>
    <row r="63" spans="3:15" ht="17.5" x14ac:dyDescent="0.35">
      <c r="E63" s="89"/>
      <c r="O63" s="263"/>
    </row>
    <row r="64" spans="3:15" x14ac:dyDescent="0.25">
      <c r="O64" s="263"/>
    </row>
    <row r="65" spans="4:15" ht="13" thickBot="1" x14ac:dyDescent="0.3">
      <c r="O65" s="263"/>
    </row>
    <row r="66" spans="4:15" ht="16.5" customHeight="1" thickBot="1" x14ac:dyDescent="0.35">
      <c r="D66" s="92" t="s">
        <v>68</v>
      </c>
      <c r="E66" s="651" t="s">
        <v>104</v>
      </c>
      <c r="F66" s="652"/>
      <c r="G66" s="652"/>
      <c r="H66" s="652"/>
      <c r="I66" s="652"/>
      <c r="J66" s="652"/>
      <c r="K66" s="652"/>
      <c r="L66" s="652"/>
      <c r="M66" s="653"/>
      <c r="N66" s="217" t="s">
        <v>7</v>
      </c>
      <c r="O66" s="263"/>
    </row>
    <row r="67" spans="4:15" ht="42" customHeight="1" thickBot="1" x14ac:dyDescent="0.3">
      <c r="D67" s="199" t="s">
        <v>70</v>
      </c>
      <c r="E67" s="232" t="str">
        <f>E2</f>
        <v>Mme Christiane 
LARDAT</v>
      </c>
      <c r="F67" s="379" t="str">
        <f t="shared" ref="F67:K67" si="7">F2</f>
        <v>M. Francis 
LAPRADE</v>
      </c>
      <c r="G67" s="227" t="str">
        <f t="shared" si="7"/>
        <v>M. Pierre-Yves 
TIERCE</v>
      </c>
      <c r="H67" s="245" t="str">
        <f t="shared" si="7"/>
        <v>M. Philippe 
VALLET</v>
      </c>
      <c r="I67" s="234" t="str">
        <f t="shared" si="7"/>
        <v>Mme Isabelle 
FARNET RISSO</v>
      </c>
      <c r="J67" s="233" t="str">
        <f t="shared" si="7"/>
        <v>Mme Véronique 
LANSADE</v>
      </c>
      <c r="K67" s="228" t="str">
        <f t="shared" si="7"/>
        <v>M. Pascal 
CORDÉ</v>
      </c>
      <c r="L67" s="237" t="s">
        <v>3</v>
      </c>
      <c r="M67" s="238" t="s">
        <v>4</v>
      </c>
      <c r="N67" s="224" t="s">
        <v>87</v>
      </c>
      <c r="O67" s="263"/>
    </row>
    <row r="68" spans="4:15" ht="20.149999999999999" customHeight="1" x14ac:dyDescent="0.25">
      <c r="D68" s="101" t="s">
        <v>69</v>
      </c>
      <c r="E68" s="94"/>
      <c r="F68" s="95"/>
      <c r="G68" s="95"/>
      <c r="H68" s="95"/>
      <c r="I68" s="95"/>
      <c r="J68" s="95"/>
      <c r="K68" s="96"/>
      <c r="L68" s="97"/>
      <c r="M68" s="96"/>
      <c r="N68" s="221">
        <f>SUM(E68:M68)</f>
        <v>0</v>
      </c>
      <c r="O68" s="263"/>
    </row>
    <row r="69" spans="4:15" ht="20.149999999999999" customHeight="1" x14ac:dyDescent="0.25">
      <c r="D69" s="99" t="s">
        <v>69</v>
      </c>
      <c r="E69" s="79"/>
      <c r="F69" s="80"/>
      <c r="G69" s="80"/>
      <c r="H69" s="80"/>
      <c r="I69" s="80"/>
      <c r="J69" s="80"/>
      <c r="K69" s="81"/>
      <c r="L69" s="82"/>
      <c r="M69" s="81"/>
      <c r="N69" s="162">
        <f>SUM(E69:M69)</f>
        <v>0</v>
      </c>
      <c r="O69" s="263"/>
    </row>
    <row r="70" spans="4:15" ht="20.149999999999999" customHeight="1" x14ac:dyDescent="0.25">
      <c r="D70" s="99" t="s">
        <v>69</v>
      </c>
      <c r="E70" s="79"/>
      <c r="F70" s="80"/>
      <c r="G70" s="80"/>
      <c r="H70" s="80"/>
      <c r="I70" s="80"/>
      <c r="J70" s="80"/>
      <c r="K70" s="81"/>
      <c r="L70" s="82"/>
      <c r="M70" s="81"/>
      <c r="N70" s="162">
        <f>SUM(E70:M70)</f>
        <v>0</v>
      </c>
      <c r="O70" s="263"/>
    </row>
    <row r="71" spans="4:15" ht="20.149999999999999" customHeight="1" x14ac:dyDescent="0.25">
      <c r="D71" s="99" t="s">
        <v>69</v>
      </c>
      <c r="E71" s="79"/>
      <c r="F71" s="80"/>
      <c r="G71" s="80"/>
      <c r="H71" s="80"/>
      <c r="I71" s="80"/>
      <c r="J71" s="80"/>
      <c r="K71" s="81"/>
      <c r="L71" s="82"/>
      <c r="M71" s="81"/>
      <c r="N71" s="162">
        <f>SUM(E71:M71)</f>
        <v>0</v>
      </c>
      <c r="O71" s="263"/>
    </row>
    <row r="72" spans="4:15" ht="20.149999999999999" customHeight="1" thickBot="1" x14ac:dyDescent="0.3">
      <c r="D72" s="100" t="s">
        <v>69</v>
      </c>
      <c r="E72" s="83"/>
      <c r="F72" s="84"/>
      <c r="G72" s="84"/>
      <c r="H72" s="84"/>
      <c r="I72" s="84"/>
      <c r="J72" s="84"/>
      <c r="K72" s="85"/>
      <c r="L72" s="86"/>
      <c r="M72" s="85"/>
      <c r="N72" s="222">
        <f>SUM(E72:M72)</f>
        <v>0</v>
      </c>
      <c r="O72" s="263"/>
    </row>
    <row r="73" spans="4:15" ht="20.149999999999999" customHeight="1" x14ac:dyDescent="0.25">
      <c r="D73" s="93"/>
      <c r="E73" s="91"/>
      <c r="F73" s="91"/>
      <c r="G73" s="91"/>
      <c r="H73" s="91"/>
      <c r="I73" s="91"/>
      <c r="J73" s="91"/>
      <c r="K73" s="91"/>
      <c r="L73" s="91"/>
      <c r="M73" s="91"/>
      <c r="O73" s="263"/>
    </row>
    <row r="74" spans="4:15" ht="20.149999999999999" customHeight="1" x14ac:dyDescent="0.25">
      <c r="D74" s="93"/>
      <c r="E74" s="91"/>
      <c r="F74" s="91"/>
      <c r="G74" s="91"/>
      <c r="H74" s="91"/>
      <c r="I74" s="91"/>
      <c r="J74" s="91"/>
      <c r="K74" s="91"/>
      <c r="L74" s="91"/>
      <c r="M74" s="91"/>
      <c r="O74" s="263"/>
    </row>
    <row r="75" spans="4:15" ht="20.149999999999999" customHeight="1" thickBot="1" x14ac:dyDescent="0.3">
      <c r="D75" s="93"/>
      <c r="E75" s="91"/>
      <c r="F75" s="91"/>
      <c r="G75" s="91"/>
      <c r="H75" s="91"/>
      <c r="I75" s="91"/>
      <c r="J75" s="91"/>
      <c r="K75" s="91"/>
      <c r="L75" s="91"/>
      <c r="M75" s="91"/>
      <c r="O75" s="263"/>
    </row>
    <row r="76" spans="4:15" ht="20.149999999999999" customHeight="1" thickBot="1" x14ac:dyDescent="0.35">
      <c r="D76" s="92" t="s">
        <v>72</v>
      </c>
      <c r="E76" s="651" t="s">
        <v>105</v>
      </c>
      <c r="F76" s="652"/>
      <c r="G76" s="652"/>
      <c r="H76" s="652"/>
      <c r="I76" s="652"/>
      <c r="J76" s="652"/>
      <c r="K76" s="652"/>
      <c r="L76" s="652"/>
      <c r="M76" s="653"/>
      <c r="N76" s="223" t="s">
        <v>7</v>
      </c>
      <c r="O76" s="263"/>
    </row>
    <row r="77" spans="4:15" ht="39.75" customHeight="1" thickBot="1" x14ac:dyDescent="0.3">
      <c r="D77" s="199" t="s">
        <v>70</v>
      </c>
      <c r="E77" s="232" t="str">
        <f>E2</f>
        <v>Mme Christiane 
LARDAT</v>
      </c>
      <c r="F77" s="379" t="str">
        <f t="shared" ref="F77:K77" si="8">F2</f>
        <v>M. Francis 
LAPRADE</v>
      </c>
      <c r="G77" s="227" t="str">
        <f t="shared" si="8"/>
        <v>M. Pierre-Yves 
TIERCE</v>
      </c>
      <c r="H77" s="245" t="str">
        <f t="shared" si="8"/>
        <v>M. Philippe 
VALLET</v>
      </c>
      <c r="I77" s="234" t="str">
        <f t="shared" si="8"/>
        <v>Mme Isabelle 
FARNET RISSO</v>
      </c>
      <c r="J77" s="233" t="str">
        <f t="shared" si="8"/>
        <v>Mme Véronique 
LANSADE</v>
      </c>
      <c r="K77" s="228" t="str">
        <f t="shared" si="8"/>
        <v>M. Pascal 
CORDÉ</v>
      </c>
      <c r="L77" s="237" t="s">
        <v>3</v>
      </c>
      <c r="M77" s="238" t="s">
        <v>4</v>
      </c>
      <c r="N77" s="220" t="s">
        <v>87</v>
      </c>
      <c r="O77" s="263"/>
    </row>
    <row r="78" spans="4:15" ht="20.149999999999999" customHeight="1" x14ac:dyDescent="0.25">
      <c r="D78" s="101" t="s">
        <v>69</v>
      </c>
      <c r="E78" s="94"/>
      <c r="F78" s="95"/>
      <c r="G78" s="95"/>
      <c r="H78" s="95"/>
      <c r="I78" s="95"/>
      <c r="J78" s="95"/>
      <c r="K78" s="96"/>
      <c r="L78" s="97"/>
      <c r="M78" s="96"/>
      <c r="N78" s="221">
        <f>SUM(E78:M78)</f>
        <v>0</v>
      </c>
      <c r="O78" s="263"/>
    </row>
    <row r="79" spans="4:15" ht="20.149999999999999" customHeight="1" x14ac:dyDescent="0.25">
      <c r="D79" s="99" t="s">
        <v>69</v>
      </c>
      <c r="E79" s="79"/>
      <c r="F79" s="80"/>
      <c r="G79" s="80"/>
      <c r="H79" s="80"/>
      <c r="I79" s="80"/>
      <c r="J79" s="80"/>
      <c r="K79" s="81"/>
      <c r="L79" s="82"/>
      <c r="M79" s="81"/>
      <c r="N79" s="162">
        <f>SUM(E79:M79)</f>
        <v>0</v>
      </c>
      <c r="O79" s="263"/>
    </row>
    <row r="80" spans="4:15" ht="20.149999999999999" customHeight="1" thickBot="1" x14ac:dyDescent="0.3">
      <c r="D80" s="100" t="s">
        <v>69</v>
      </c>
      <c r="E80" s="83"/>
      <c r="F80" s="84"/>
      <c r="G80" s="84"/>
      <c r="H80" s="84"/>
      <c r="I80" s="84"/>
      <c r="J80" s="84"/>
      <c r="K80" s="85"/>
      <c r="L80" s="86"/>
      <c r="M80" s="85"/>
      <c r="N80" s="222">
        <f>SUM(E80:M80)</f>
        <v>0</v>
      </c>
      <c r="O80" s="263"/>
    </row>
    <row r="81" spans="4:15" ht="20.149999999999999" customHeight="1" x14ac:dyDescent="0.25">
      <c r="D81" s="93"/>
      <c r="E81" s="91"/>
      <c r="F81" s="91"/>
      <c r="G81" s="91"/>
      <c r="H81" s="91"/>
      <c r="I81" s="91"/>
      <c r="J81" s="91"/>
      <c r="K81" s="91"/>
      <c r="L81" s="91"/>
      <c r="M81" s="91"/>
      <c r="N81" s="98"/>
      <c r="O81" s="263"/>
    </row>
    <row r="82" spans="4:15" ht="20.149999999999999" customHeight="1" x14ac:dyDescent="0.25">
      <c r="D82" s="93"/>
      <c r="E82" s="91"/>
      <c r="F82" s="91"/>
      <c r="G82" s="91"/>
      <c r="H82" s="91"/>
      <c r="I82" s="91"/>
      <c r="J82" s="91"/>
      <c r="K82" s="91"/>
      <c r="L82" s="91"/>
      <c r="M82" s="91"/>
      <c r="N82" s="98"/>
      <c r="O82" s="263"/>
    </row>
  </sheetData>
  <sheetProtection algorithmName="SHA-512" hashValue="po88fmE06Xv+PIX483azkKiL/DwjBYhP2wMiQbdQFKu5Kka3oy8NOjKH68kEHI5J7IT7F47ugl6jisPCeIP3Lg==" saltValue="KFTROhkoHBfOP2okLsRwog==" spinCount="100000" sheet="1" objects="1" scenarios="1"/>
  <mergeCells count="7">
    <mergeCell ref="E76:M76"/>
    <mergeCell ref="E1:M1"/>
    <mergeCell ref="A10:B11"/>
    <mergeCell ref="A12:B14"/>
    <mergeCell ref="A15:B18"/>
    <mergeCell ref="E48:M48"/>
    <mergeCell ref="E66:M66"/>
  </mergeCells>
  <conditionalFormatting sqref="B8">
    <cfRule type="cellIs" dxfId="39" priority="1" operator="equal">
      <formula>0</formula>
    </cfRule>
    <cfRule type="cellIs" dxfId="38" priority="6" operator="notEqual">
      <formula>$B$7</formula>
    </cfRule>
  </conditionalFormatting>
  <conditionalFormatting sqref="D68:D72 D50:D59 D78:D80">
    <cfRule type="colorScale" priority="4">
      <colorScale>
        <cfvo type="min"/>
        <cfvo type="max"/>
        <color theme="9" tint="0.79998168889431442"/>
        <color theme="9" tint="-0.499984740745262"/>
      </colorScale>
    </cfRule>
  </conditionalFormatting>
  <conditionalFormatting sqref="D3:M12">
    <cfRule type="expression" dxfId="37" priority="19">
      <formula>($D3&gt;$E$24)</formula>
    </cfRule>
  </conditionalFormatting>
  <conditionalFormatting sqref="E3:M12">
    <cfRule type="expression" dxfId="36" priority="18">
      <formula>($D3&lt;=$E$24)</formula>
    </cfRule>
  </conditionalFormatting>
  <conditionalFormatting sqref="E50:M59 E68:M72 E78:M80">
    <cfRule type="expression" dxfId="35" priority="27">
      <formula>($D50&lt;=$E$24)</formula>
    </cfRule>
    <cfRule type="expression" dxfId="34" priority="28">
      <formula>($D50&gt;$E$24)</formula>
    </cfRule>
  </conditionalFormatting>
  <conditionalFormatting sqref="E50:M59">
    <cfRule type="expression" dxfId="33" priority="3">
      <formula>AND(E50&lt;MAX(E$50:E50), NOT(ISBLANK(E50)), NOT(E50=0))</formula>
    </cfRule>
  </conditionalFormatting>
  <conditionalFormatting sqref="E68:M72">
    <cfRule type="expression" dxfId="32" priority="2">
      <formula>AND(E68&lt;MAX(E$68:E68), NOT(ISBLANK(E68)), NOT(E68=0))</formula>
    </cfRule>
  </conditionalFormatting>
  <conditionalFormatting sqref="E78:M80 E50:M59 E68:M72">
    <cfRule type="cellIs" dxfId="31" priority="26" operator="notBetween">
      <formula>0</formula>
      <formula>$B$7</formula>
    </cfRule>
  </conditionalFormatting>
  <conditionalFormatting sqref="E78:M80">
    <cfRule type="expression" dxfId="30" priority="14">
      <formula>AND(E78&lt;MAX(E$78:E78), NOT(ISBLANK(E78)), NOT(E78=0))</formula>
    </cfRule>
  </conditionalFormatting>
  <conditionalFormatting sqref="E3:N12">
    <cfRule type="cellIs" dxfId="29" priority="5" operator="notBetween">
      <formula>0</formula>
      <formula>100</formula>
    </cfRule>
  </conditionalFormatting>
  <conditionalFormatting sqref="E3:N14">
    <cfRule type="cellIs" dxfId="28" priority="8" operator="lessThan">
      <formula>0</formula>
    </cfRule>
  </conditionalFormatting>
  <conditionalFormatting sqref="E14:N14">
    <cfRule type="cellIs" dxfId="27" priority="11" operator="greaterThan">
      <formula>1</formula>
    </cfRule>
  </conditionalFormatting>
  <conditionalFormatting sqref="N3:N12">
    <cfRule type="expression" dxfId="26" priority="15">
      <formula>AND($D3=$E$24, N3=$D$25)</formula>
    </cfRule>
    <cfRule type="expression" dxfId="25" priority="16">
      <formula>AND($D3=$E$24, MOD(N3,100)&gt;$D$25)</formula>
    </cfRule>
    <cfRule type="cellIs" dxfId="24" priority="17" operator="equal">
      <formula>100</formula>
    </cfRule>
  </conditionalFormatting>
  <conditionalFormatting sqref="N3:N13">
    <cfRule type="cellIs" dxfId="23" priority="9" operator="equal">
      <formula>0</formula>
    </cfRule>
  </conditionalFormatting>
  <conditionalFormatting sqref="N13">
    <cfRule type="cellIs" dxfId="22" priority="13" operator="equal">
      <formula>$B$7</formula>
    </cfRule>
  </conditionalFormatting>
  <conditionalFormatting sqref="N14">
    <cfRule type="cellIs" dxfId="21" priority="10" operator="equal">
      <formula>1</formula>
    </cfRule>
    <cfRule type="cellIs" dxfId="20" priority="12" operator="lessThan">
      <formula>1</formula>
    </cfRule>
  </conditionalFormatting>
  <conditionalFormatting sqref="N50 N52:N59 N68:N72 N78:N80">
    <cfRule type="cellIs" dxfId="19" priority="20" operator="lessThan">
      <formula>0</formula>
    </cfRule>
    <cfRule type="cellIs" dxfId="18" priority="21" operator="equal">
      <formula>0</formula>
    </cfRule>
    <cfRule type="expression" dxfId="17" priority="22">
      <formula>OR(MOD($N50,100)=0,AND($D50=$E$24,MOD($N50,100)=$D$25))</formula>
    </cfRule>
  </conditionalFormatting>
  <conditionalFormatting sqref="N51">
    <cfRule type="cellIs" dxfId="16" priority="23" operator="notBetween">
      <formula>0</formula>
      <formula>$B$7</formula>
    </cfRule>
    <cfRule type="cellIs" dxfId="15" priority="24" operator="equal">
      <formula>0</formula>
    </cfRule>
    <cfRule type="expression" dxfId="14" priority="25">
      <formula>OR(MOD($N51,100)=0,AND($D51=$E$24,MOD($N51,100)=$D$25))</formula>
    </cfRule>
  </conditionalFormatting>
  <conditionalFormatting sqref="Q4:Q15">
    <cfRule type="expression" dxfId="13" priority="29">
      <formula>AND($Q4&lt;$Q3, NOT(ISBLANK($Q4)))</formula>
    </cfRule>
    <cfRule type="cellIs" dxfId="12" priority="30" operator="greaterThan">
      <formula>$B$6</formula>
    </cfRule>
  </conditionalFormatting>
  <conditionalFormatting sqref="R4:R15">
    <cfRule type="cellIs" dxfId="11" priority="7" operator="greaterThan">
      <formula>1</formula>
    </cfRule>
  </conditionalFormatting>
  <dataValidations count="2">
    <dataValidation type="list" allowBlank="1" showInputMessage="1" showErrorMessage="1" sqref="C50:C59" xr:uid="{AE984D1D-2E19-4944-B5F7-897944E32F46}">
      <formula1>$D$19:$D$21</formula1>
    </dataValidation>
    <dataValidation type="list" allowBlank="1" showInputMessage="1" showErrorMessage="1" sqref="D68:D72 D78:D82 D50:D59" xr:uid="{A04E3F87-8FF8-4749-A169-6A29CA1A3F82}">
      <formula1>$D$3:$D$12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E5D6-4B0A-480D-8A02-D1B58903643F}">
  <sheetPr>
    <tabColor theme="7" tint="0.79998168889431442"/>
    <pageSetUpPr fitToPage="1"/>
  </sheetPr>
  <dimension ref="B1:O76"/>
  <sheetViews>
    <sheetView zoomScale="85" zoomScaleNormal="85" zoomScaleSheetLayoutView="80" workbookViewId="0">
      <selection activeCell="N7" sqref="N7"/>
    </sheetView>
  </sheetViews>
  <sheetFormatPr baseColWidth="10" defaultColWidth="11.453125" defaultRowHeight="12.5" x14ac:dyDescent="0.25"/>
  <cols>
    <col min="1" max="1" width="10.453125" customWidth="1"/>
    <col min="2" max="2" width="14.453125" customWidth="1"/>
    <col min="3" max="11" width="23.26953125" customWidth="1"/>
    <col min="12" max="12" width="17.453125" customWidth="1"/>
    <col min="14" max="14" width="12.7265625" customWidth="1"/>
    <col min="15" max="15" width="10.453125" customWidth="1"/>
    <col min="16" max="16" width="15.453125" customWidth="1"/>
    <col min="17" max="17" width="16.26953125" customWidth="1"/>
    <col min="18" max="18" width="12" customWidth="1"/>
    <col min="19" max="19" width="30.26953125" customWidth="1"/>
    <col min="20" max="20" width="13.26953125" customWidth="1"/>
    <col min="21" max="21" width="14.453125" customWidth="1"/>
  </cols>
  <sheetData>
    <row r="1" spans="2:12" ht="16.5" customHeight="1" thickBot="1" x14ac:dyDescent="0.3"/>
    <row r="2" spans="2:12" ht="45" customHeight="1" thickBot="1" x14ac:dyDescent="0.3">
      <c r="B2" s="414" t="s">
        <v>115</v>
      </c>
      <c r="C2" s="663" t="s">
        <v>114</v>
      </c>
      <c r="D2" s="664"/>
      <c r="E2" s="664"/>
      <c r="F2" s="664"/>
      <c r="G2" s="664"/>
      <c r="H2" s="664"/>
      <c r="I2" s="664"/>
      <c r="J2" s="664"/>
      <c r="K2" s="665"/>
      <c r="L2" s="417" t="s">
        <v>7</v>
      </c>
    </row>
    <row r="3" spans="2:12" ht="48" customHeight="1" thickBot="1" x14ac:dyDescent="0.3">
      <c r="B3" s="415" t="s">
        <v>70</v>
      </c>
      <c r="C3" s="418" t="s">
        <v>107</v>
      </c>
      <c r="D3" s="419" t="s">
        <v>108</v>
      </c>
      <c r="E3" s="420" t="s">
        <v>109</v>
      </c>
      <c r="F3" s="421" t="s">
        <v>110</v>
      </c>
      <c r="G3" s="422" t="s">
        <v>111</v>
      </c>
      <c r="H3" s="423" t="s">
        <v>112</v>
      </c>
      <c r="I3" s="424" t="s">
        <v>113</v>
      </c>
      <c r="J3" s="425" t="s">
        <v>3</v>
      </c>
      <c r="K3" s="426" t="s">
        <v>4</v>
      </c>
      <c r="L3" s="416" t="s">
        <v>87</v>
      </c>
    </row>
    <row r="4" spans="2:12" ht="48" customHeight="1" thickBot="1" x14ac:dyDescent="0.3">
      <c r="B4" s="389"/>
      <c r="C4" s="400"/>
      <c r="D4" s="401"/>
      <c r="E4" s="401"/>
      <c r="F4" s="401"/>
      <c r="G4" s="401"/>
      <c r="H4" s="401"/>
      <c r="I4" s="402"/>
      <c r="J4" s="403"/>
      <c r="K4" s="404"/>
      <c r="L4" s="412" t="s">
        <v>117</v>
      </c>
    </row>
    <row r="5" spans="2:12" ht="48" customHeight="1" thickBot="1" x14ac:dyDescent="0.3">
      <c r="B5" s="666"/>
      <c r="C5" s="398" t="s">
        <v>116</v>
      </c>
      <c r="D5" s="405" t="s">
        <v>116</v>
      </c>
      <c r="E5" s="405" t="s">
        <v>116</v>
      </c>
      <c r="F5" s="405" t="s">
        <v>116</v>
      </c>
      <c r="G5" s="405" t="s">
        <v>116</v>
      </c>
      <c r="H5" s="405" t="s">
        <v>116</v>
      </c>
      <c r="I5" s="410" t="s">
        <v>116</v>
      </c>
      <c r="J5" s="398" t="s">
        <v>116</v>
      </c>
      <c r="K5" s="406" t="s">
        <v>116</v>
      </c>
      <c r="L5" s="413" t="s">
        <v>117</v>
      </c>
    </row>
    <row r="6" spans="2:12" ht="48" customHeight="1" thickBot="1" x14ac:dyDescent="0.3">
      <c r="B6" s="666"/>
      <c r="C6" s="392"/>
      <c r="D6" s="390"/>
      <c r="E6" s="390"/>
      <c r="F6" s="390"/>
      <c r="G6" s="390"/>
      <c r="H6" s="390"/>
      <c r="I6" s="396"/>
      <c r="J6" s="392"/>
      <c r="K6" s="391"/>
      <c r="L6" s="412" t="s">
        <v>118</v>
      </c>
    </row>
    <row r="7" spans="2:12" ht="48" customHeight="1" thickBot="1" x14ac:dyDescent="0.3">
      <c r="B7" s="661"/>
      <c r="C7" s="398" t="s">
        <v>116</v>
      </c>
      <c r="D7" s="405" t="s">
        <v>116</v>
      </c>
      <c r="E7" s="405" t="s">
        <v>116</v>
      </c>
      <c r="F7" s="405" t="s">
        <v>116</v>
      </c>
      <c r="G7" s="405" t="s">
        <v>116</v>
      </c>
      <c r="H7" s="405" t="s">
        <v>116</v>
      </c>
      <c r="I7" s="410" t="s">
        <v>116</v>
      </c>
      <c r="J7" s="398" t="s">
        <v>116</v>
      </c>
      <c r="K7" s="406" t="s">
        <v>116</v>
      </c>
      <c r="L7" s="413" t="s">
        <v>117</v>
      </c>
    </row>
    <row r="8" spans="2:12" ht="48" customHeight="1" thickBot="1" x14ac:dyDescent="0.3">
      <c r="B8" s="662"/>
      <c r="C8" s="395"/>
      <c r="D8" s="393"/>
      <c r="E8" s="393"/>
      <c r="F8" s="393"/>
      <c r="G8" s="393"/>
      <c r="H8" s="393"/>
      <c r="I8" s="397"/>
      <c r="J8" s="395"/>
      <c r="K8" s="394"/>
      <c r="L8" s="412" t="s">
        <v>119</v>
      </c>
    </row>
    <row r="9" spans="2:12" ht="48" customHeight="1" thickBot="1" x14ac:dyDescent="0.3">
      <c r="B9" s="666" t="s">
        <v>69</v>
      </c>
      <c r="C9" s="407" t="s">
        <v>116</v>
      </c>
      <c r="D9" s="408" t="s">
        <v>116</v>
      </c>
      <c r="E9" s="408" t="s">
        <v>116</v>
      </c>
      <c r="F9" s="408" t="s">
        <v>116</v>
      </c>
      <c r="G9" s="408" t="s">
        <v>116</v>
      </c>
      <c r="H9" s="408" t="s">
        <v>116</v>
      </c>
      <c r="I9" s="411" t="s">
        <v>116</v>
      </c>
      <c r="J9" s="407" t="s">
        <v>116</v>
      </c>
      <c r="K9" s="409" t="s">
        <v>116</v>
      </c>
      <c r="L9" s="413" t="s">
        <v>117</v>
      </c>
    </row>
    <row r="10" spans="2:12" ht="48" customHeight="1" thickBot="1" x14ac:dyDescent="0.3">
      <c r="B10" s="666"/>
      <c r="C10" s="392"/>
      <c r="D10" s="390"/>
      <c r="E10" s="390"/>
      <c r="F10" s="390"/>
      <c r="G10" s="390"/>
      <c r="H10" s="390"/>
      <c r="I10" s="396"/>
      <c r="J10" s="392"/>
      <c r="K10" s="391"/>
      <c r="L10" s="412" t="s">
        <v>120</v>
      </c>
    </row>
    <row r="11" spans="2:12" ht="48" customHeight="1" thickBot="1" x14ac:dyDescent="0.3">
      <c r="B11" s="661" t="s">
        <v>69</v>
      </c>
      <c r="C11" s="398" t="s">
        <v>116</v>
      </c>
      <c r="D11" s="405" t="s">
        <v>116</v>
      </c>
      <c r="E11" s="405" t="s">
        <v>116</v>
      </c>
      <c r="F11" s="405" t="s">
        <v>116</v>
      </c>
      <c r="G11" s="405" t="s">
        <v>116</v>
      </c>
      <c r="H11" s="405" t="s">
        <v>116</v>
      </c>
      <c r="I11" s="410" t="s">
        <v>116</v>
      </c>
      <c r="J11" s="398" t="s">
        <v>116</v>
      </c>
      <c r="K11" s="406" t="s">
        <v>116</v>
      </c>
      <c r="L11" s="413" t="s">
        <v>117</v>
      </c>
    </row>
    <row r="12" spans="2:12" ht="48" customHeight="1" thickBot="1" x14ac:dyDescent="0.3">
      <c r="B12" s="662"/>
      <c r="C12" s="395"/>
      <c r="D12" s="393"/>
      <c r="E12" s="393"/>
      <c r="F12" s="393"/>
      <c r="G12" s="393"/>
      <c r="H12" s="393"/>
      <c r="I12" s="397"/>
      <c r="J12" s="395"/>
      <c r="K12" s="394"/>
      <c r="L12" s="412" t="s">
        <v>121</v>
      </c>
    </row>
    <row r="13" spans="2:12" ht="20.149999999999999" customHeight="1" x14ac:dyDescent="0.25"/>
    <row r="14" spans="2:12" ht="20.149999999999999" customHeight="1" x14ac:dyDescent="0.25"/>
    <row r="15" spans="2:12" ht="18" customHeight="1" x14ac:dyDescent="0.25"/>
    <row r="16" spans="2:12" ht="12.75" customHeight="1" x14ac:dyDescent="0.25"/>
    <row r="17" spans="2:12" ht="18" customHeight="1" x14ac:dyDescent="0.25"/>
    <row r="18" spans="2:12" ht="26.25" customHeight="1" thickBot="1" x14ac:dyDescent="0.3"/>
    <row r="19" spans="2:12" ht="28.5" customHeight="1" thickBot="1" x14ac:dyDescent="0.3">
      <c r="B19" s="414" t="s">
        <v>115</v>
      </c>
      <c r="C19" s="663" t="s">
        <v>114</v>
      </c>
      <c r="D19" s="664"/>
      <c r="E19" s="664"/>
      <c r="F19" s="664"/>
      <c r="G19" s="664"/>
      <c r="H19" s="664"/>
      <c r="I19" s="664"/>
      <c r="J19" s="664"/>
      <c r="K19" s="665"/>
      <c r="L19" s="417" t="s">
        <v>7</v>
      </c>
    </row>
    <row r="20" spans="2:12" ht="49.5" customHeight="1" thickBot="1" x14ac:dyDescent="0.3">
      <c r="B20" s="415" t="s">
        <v>70</v>
      </c>
      <c r="C20" s="418" t="s">
        <v>107</v>
      </c>
      <c r="D20" s="419" t="s">
        <v>108</v>
      </c>
      <c r="E20" s="420" t="s">
        <v>109</v>
      </c>
      <c r="F20" s="421" t="s">
        <v>110</v>
      </c>
      <c r="G20" s="422" t="s">
        <v>111</v>
      </c>
      <c r="H20" s="423" t="s">
        <v>112</v>
      </c>
      <c r="I20" s="424" t="s">
        <v>113</v>
      </c>
      <c r="J20" s="425" t="s">
        <v>3</v>
      </c>
      <c r="K20" s="426" t="s">
        <v>4</v>
      </c>
      <c r="L20" s="416" t="s">
        <v>87</v>
      </c>
    </row>
    <row r="21" spans="2:12" ht="53.25" customHeight="1" thickBot="1" x14ac:dyDescent="0.3">
      <c r="B21" s="399"/>
      <c r="C21" s="398"/>
      <c r="D21" s="405"/>
      <c r="E21" s="405"/>
      <c r="F21" s="405"/>
      <c r="G21" s="405"/>
      <c r="H21" s="405"/>
      <c r="I21" s="410"/>
      <c r="J21" s="398"/>
      <c r="K21" s="406"/>
      <c r="L21" s="413" t="s">
        <v>117</v>
      </c>
    </row>
    <row r="22" spans="2:12" ht="53.25" customHeight="1" thickBot="1" x14ac:dyDescent="0.3">
      <c r="B22" s="389"/>
      <c r="C22" s="428"/>
      <c r="D22" s="429"/>
      <c r="E22" s="429"/>
      <c r="F22" s="429"/>
      <c r="G22" s="429"/>
      <c r="H22" s="429"/>
      <c r="I22" s="430"/>
      <c r="J22" s="428"/>
      <c r="K22" s="431"/>
      <c r="L22" s="413" t="s">
        <v>117</v>
      </c>
    </row>
    <row r="23" spans="2:12" ht="53.25" customHeight="1" thickBot="1" x14ac:dyDescent="0.3">
      <c r="B23" s="399" t="s">
        <v>69</v>
      </c>
      <c r="C23" s="407"/>
      <c r="D23" s="408"/>
      <c r="E23" s="408"/>
      <c r="F23" s="408"/>
      <c r="G23" s="408"/>
      <c r="H23" s="408"/>
      <c r="I23" s="411"/>
      <c r="J23" s="407"/>
      <c r="K23" s="409"/>
      <c r="L23" s="427" t="s">
        <v>117</v>
      </c>
    </row>
    <row r="24" spans="2:12" ht="53.25" customHeight="1" thickBot="1" x14ac:dyDescent="0.3">
      <c r="B24" s="389" t="s">
        <v>69</v>
      </c>
      <c r="C24" s="428"/>
      <c r="D24" s="429"/>
      <c r="E24" s="429"/>
      <c r="F24" s="429"/>
      <c r="G24" s="429"/>
      <c r="H24" s="429"/>
      <c r="I24" s="430"/>
      <c r="J24" s="428"/>
      <c r="K24" s="431"/>
      <c r="L24" s="413" t="s">
        <v>117</v>
      </c>
    </row>
    <row r="41" spans="3:5" x14ac:dyDescent="0.25">
      <c r="E41" s="72"/>
    </row>
    <row r="42" spans="3:5" x14ac:dyDescent="0.25">
      <c r="E42" s="72"/>
    </row>
    <row r="43" spans="3:5" ht="20.149999999999999" customHeight="1" x14ac:dyDescent="0.25"/>
    <row r="44" spans="3:5" ht="47.25" customHeight="1" x14ac:dyDescent="0.25">
      <c r="C44" s="90"/>
    </row>
    <row r="45" spans="3:5" ht="26.25" customHeight="1" x14ac:dyDescent="0.25">
      <c r="C45" s="91"/>
    </row>
    <row r="46" spans="3:5" ht="18.75" customHeight="1" x14ac:dyDescent="0.25">
      <c r="C46" s="91"/>
    </row>
    <row r="47" spans="3:5" ht="20.149999999999999" customHeight="1" x14ac:dyDescent="0.25">
      <c r="C47" s="91"/>
    </row>
    <row r="48" spans="3:5" ht="20.149999999999999" customHeight="1" x14ac:dyDescent="0.25">
      <c r="C48" s="91"/>
    </row>
    <row r="49" spans="3:5" ht="20.149999999999999" customHeight="1" x14ac:dyDescent="0.25">
      <c r="C49" s="91"/>
    </row>
    <row r="50" spans="3:5" ht="20.149999999999999" customHeight="1" x14ac:dyDescent="0.25">
      <c r="C50" s="91"/>
    </row>
    <row r="51" spans="3:5" ht="20.149999999999999" customHeight="1" x14ac:dyDescent="0.25">
      <c r="C51" s="91"/>
    </row>
    <row r="52" spans="3:5" ht="20.149999999999999" customHeight="1" x14ac:dyDescent="0.25">
      <c r="C52" s="91"/>
    </row>
    <row r="53" spans="3:5" ht="20.149999999999999" customHeight="1" x14ac:dyDescent="0.25">
      <c r="C53" s="91"/>
    </row>
    <row r="57" spans="3:5" ht="17.5" x14ac:dyDescent="0.35">
      <c r="E57" s="89"/>
    </row>
    <row r="60" spans="3:5" ht="16.5" customHeight="1" x14ac:dyDescent="0.25"/>
    <row r="61" spans="3:5" ht="42" customHeight="1" x14ac:dyDescent="0.25"/>
    <row r="62" spans="3:5" ht="20.149999999999999" customHeight="1" x14ac:dyDescent="0.25"/>
    <row r="63" spans="3:5" ht="20.149999999999999" customHeight="1" x14ac:dyDescent="0.25"/>
    <row r="64" spans="3:5" ht="20.149999999999999" customHeight="1" x14ac:dyDescent="0.25"/>
    <row r="65" spans="4:15" ht="20.149999999999999" customHeight="1" x14ac:dyDescent="0.25"/>
    <row r="66" spans="4:15" ht="20.149999999999999" customHeight="1" x14ac:dyDescent="0.25"/>
    <row r="67" spans="4:15" ht="20.149999999999999" customHeight="1" x14ac:dyDescent="0.25"/>
    <row r="68" spans="4:15" ht="20.149999999999999" customHeight="1" x14ac:dyDescent="0.25"/>
    <row r="69" spans="4:15" ht="20.149999999999999" customHeight="1" x14ac:dyDescent="0.25"/>
    <row r="70" spans="4:15" ht="20.149999999999999" customHeight="1" x14ac:dyDescent="0.25"/>
    <row r="71" spans="4:15" ht="39.75" customHeight="1" x14ac:dyDescent="0.25"/>
    <row r="72" spans="4:15" ht="20.149999999999999" customHeight="1" x14ac:dyDescent="0.25"/>
    <row r="73" spans="4:15" ht="20.149999999999999" customHeight="1" x14ac:dyDescent="0.25"/>
    <row r="74" spans="4:15" ht="20.149999999999999" customHeight="1" x14ac:dyDescent="0.25"/>
    <row r="75" spans="4:15" ht="20.149999999999999" customHeight="1" x14ac:dyDescent="0.25"/>
    <row r="76" spans="4:15" ht="20.149999999999999" customHeight="1" x14ac:dyDescent="0.25">
      <c r="D76" s="93"/>
      <c r="E76" s="91"/>
      <c r="F76" s="91"/>
      <c r="G76" s="91"/>
      <c r="H76" s="91"/>
      <c r="I76" s="91"/>
      <c r="J76" s="91"/>
      <c r="K76" s="91"/>
      <c r="L76" s="91"/>
      <c r="M76" s="91"/>
      <c r="N76" s="98"/>
      <c r="O76" s="263"/>
    </row>
  </sheetData>
  <mergeCells count="6">
    <mergeCell ref="B11:B12"/>
    <mergeCell ref="C19:K19"/>
    <mergeCell ref="C2:K2"/>
    <mergeCell ref="B5:B6"/>
    <mergeCell ref="B7:B8"/>
    <mergeCell ref="B9:B10"/>
  </mergeCells>
  <phoneticPr fontId="81" type="noConversion"/>
  <conditionalFormatting sqref="E62:M66">
    <cfRule type="expression" dxfId="10" priority="2">
      <formula>AND(E62&lt;MAX(E$62:E62), NOT(ISBLANK(E62)), NOT(E62=0))</formula>
    </cfRule>
  </conditionalFormatting>
  <conditionalFormatting sqref="E72:M74">
    <cfRule type="expression" dxfId="9" priority="14">
      <formula>AND(E72&lt;MAX(E$72:E72), NOT(ISBLANK(E72)), NOT(E72=0))</formula>
    </cfRule>
  </conditionalFormatting>
  <conditionalFormatting sqref="Q4:Q15">
    <cfRule type="expression" dxfId="8" priority="31">
      <formula>AND($Q4&lt;$Q3, NOT(ISBLANK($Q4)))</formula>
    </cfRule>
    <cfRule type="cellIs" dxfId="7" priority="32" operator="greaterThan">
      <formula>#REF!</formula>
    </cfRule>
  </conditionalFormatting>
  <conditionalFormatting sqref="R4:R15">
    <cfRule type="cellIs" dxfId="6" priority="7" operator="greaterThan">
      <formula>1</formula>
    </cfRule>
  </conditionalFormatting>
  <dataValidations count="2">
    <dataValidation type="list" allowBlank="1" showInputMessage="1" showErrorMessage="1" sqref="B11 B9 B7 B5 D76 B24 B23 B22 B21" xr:uid="{23C25B6B-7B2B-4CF0-830C-1187C3811519}">
      <formula1>#REF!</formula1>
    </dataValidation>
    <dataValidation type="list" allowBlank="1" showInputMessage="1" showErrorMessage="1" sqref="C45:C53" xr:uid="{F3B68535-DA02-49E7-81CC-4B014BC5A169}">
      <formula1>$D$19:$D$20</formula1>
    </dataValidation>
  </dataValidations>
  <pageMargins left="0.25" right="0.25" top="0.75" bottom="0.75" header="0.3" footer="0.3"/>
  <pageSetup paperSize="9" scale="26" orientation="landscape" verticalDpi="598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06643-F7E9-4CF7-B131-5D2E84B1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40</vt:i4>
      </vt:variant>
    </vt:vector>
  </HeadingPairs>
  <TitlesOfParts>
    <vt:vector size="56" baseType="lpstr">
      <vt:lpstr>Synthèse</vt:lpstr>
      <vt:lpstr>Participation horaire</vt:lpstr>
      <vt:lpstr>Projection</vt:lpstr>
      <vt:lpstr>Bureau 1</vt:lpstr>
      <vt:lpstr>Bureau 2</vt:lpstr>
      <vt:lpstr>Bureau 3</vt:lpstr>
      <vt:lpstr>Bureau 4</vt:lpstr>
      <vt:lpstr>Bureau 5</vt:lpstr>
      <vt:lpstr>Bureau 6</vt:lpstr>
      <vt:lpstr>Bureau 7</vt:lpstr>
      <vt:lpstr>Bureau 8</vt:lpstr>
      <vt:lpstr>Bureau 9</vt:lpstr>
      <vt:lpstr>Bureau 10</vt:lpstr>
      <vt:lpstr>Bureau 11</vt:lpstr>
      <vt:lpstr>Bureau 12</vt:lpstr>
      <vt:lpstr>Feuille décompte</vt:lpstr>
      <vt:lpstr>'Bureau 1'!Table1</vt:lpstr>
      <vt:lpstr>'Bureau 10'!Table1</vt:lpstr>
      <vt:lpstr>'Bureau 11'!Table1</vt:lpstr>
      <vt:lpstr>'Bureau 12'!Table1</vt:lpstr>
      <vt:lpstr>'Bureau 2'!Table1</vt:lpstr>
      <vt:lpstr>'Bureau 3'!Table1</vt:lpstr>
      <vt:lpstr>'Bureau 4'!Table1</vt:lpstr>
      <vt:lpstr>'Bureau 5'!Table1</vt:lpstr>
      <vt:lpstr>'Bureau 6'!Table1</vt:lpstr>
      <vt:lpstr>'Bureau 7'!Table1</vt:lpstr>
      <vt:lpstr>'Bureau 8'!Table1</vt:lpstr>
      <vt:lpstr>'Bureau 9'!Table1</vt:lpstr>
      <vt:lpstr>'Feuille décompte'!Table1</vt:lpstr>
      <vt:lpstr>'Bureau 1'!Table2</vt:lpstr>
      <vt:lpstr>'Bureau 10'!Table2</vt:lpstr>
      <vt:lpstr>'Bureau 11'!Table2</vt:lpstr>
      <vt:lpstr>'Bureau 12'!Table2</vt:lpstr>
      <vt:lpstr>'Bureau 2'!Table2</vt:lpstr>
      <vt:lpstr>'Bureau 3'!Table2</vt:lpstr>
      <vt:lpstr>'Bureau 4'!Table2</vt:lpstr>
      <vt:lpstr>'Bureau 5'!Table2</vt:lpstr>
      <vt:lpstr>'Bureau 6'!Table2</vt:lpstr>
      <vt:lpstr>'Bureau 7'!Table2</vt:lpstr>
      <vt:lpstr>'Bureau 8'!Table2</vt:lpstr>
      <vt:lpstr>'Bureau 9'!Table2</vt:lpstr>
      <vt:lpstr>'Feuille décompte'!Table2</vt:lpstr>
      <vt:lpstr>'Bureau 1'!Table3</vt:lpstr>
      <vt:lpstr>'Bureau 10'!Table3</vt:lpstr>
      <vt:lpstr>'Bureau 11'!Table3</vt:lpstr>
      <vt:lpstr>'Bureau 12'!Table3</vt:lpstr>
      <vt:lpstr>'Bureau 2'!Table3</vt:lpstr>
      <vt:lpstr>'Bureau 3'!Table3</vt:lpstr>
      <vt:lpstr>'Bureau 4'!Table3</vt:lpstr>
      <vt:lpstr>'Bureau 5'!Table3</vt:lpstr>
      <vt:lpstr>'Bureau 6'!Table3</vt:lpstr>
      <vt:lpstr>'Bureau 7'!Table3</vt:lpstr>
      <vt:lpstr>'Bureau 8'!Table3</vt:lpstr>
      <vt:lpstr>'Bureau 9'!Table3</vt:lpstr>
      <vt:lpstr>'Feuille décompte'!Table3</vt:lpstr>
      <vt:lpstr>Synthèse!Zone_d_impression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Barbero</dc:creator>
  <cp:lastModifiedBy>Rémi Barbero</cp:lastModifiedBy>
  <cp:lastPrinted>2026-03-13T14:20:23Z</cp:lastPrinted>
  <dcterms:created xsi:type="dcterms:W3CDTF">2025-03-13T09:37:21Z</dcterms:created>
  <dcterms:modified xsi:type="dcterms:W3CDTF">2026-03-23T12:21:57Z</dcterms:modified>
</cp:coreProperties>
</file>