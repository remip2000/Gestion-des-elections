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threadedComments/threadedComment13.xml" ContentType="application/vnd.ms-excel.threadedcomment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threadedComments/threadedComment14.xml" ContentType="application/vnd.ms-excel.threadedcomments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threadedComments/threadedComment15.xml" ContentType="application/vnd.ms-excel.threadedcomments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threadedComments/threadedComment16.xml" ContentType="application/vnd.ms-excel.threadedcomments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umnienacfr-my.sharepoint.com/personal/remi_barbero_alumni_enac_fr/Documents/Echange/Elections/"/>
    </mc:Choice>
  </mc:AlternateContent>
  <xr:revisionPtr revIDLastSave="3336" documentId="8_{DC33D829-A0FA-4DB0-B932-0E9EE973A3AA}" xr6:coauthVersionLast="47" xr6:coauthVersionMax="47" xr10:uidLastSave="{E29A5B5C-ED24-4981-A531-5BE158FD0928}"/>
  <bookViews>
    <workbookView xWindow="-120" yWindow="-120" windowWidth="30960" windowHeight="16800" tabRatio="851" activeTab="4" xr2:uid="{00000000-000D-0000-FFFF-FFFF00000000}"/>
  </bookViews>
  <sheets>
    <sheet name="Synthèse" sheetId="1" r:id="rId1"/>
    <sheet name="Participation horaire" sheetId="3" r:id="rId2"/>
    <sheet name="Exemple" sheetId="578" r:id="rId3"/>
    <sheet name="Bureau 0" sheetId="207" r:id="rId4"/>
    <sheet name="Bureau 1" sheetId="615" r:id="rId5"/>
    <sheet name="Bureau 2" sheetId="616" r:id="rId6"/>
    <sheet name="Bureau 3" sheetId="617" r:id="rId7"/>
    <sheet name="Bureau 4" sheetId="618" r:id="rId8"/>
    <sheet name="Bureau 5" sheetId="619" r:id="rId9"/>
    <sheet name="Bureau 6" sheetId="620" r:id="rId10"/>
    <sheet name="Bureau 7" sheetId="621" r:id="rId11"/>
    <sheet name="Bureau 8" sheetId="622" r:id="rId12"/>
    <sheet name="Bureau 9" sheetId="623" r:id="rId13"/>
    <sheet name="Bureau 10" sheetId="624" r:id="rId14"/>
    <sheet name="Bureau 11" sheetId="625" r:id="rId15"/>
    <sheet name="Bureau 12" sheetId="626" r:id="rId16"/>
  </sheets>
  <functionGroups builtInGroupCount="19"/>
  <definedNames>
    <definedName name="_xleta.NA" hidden="1" xlm="1">#NAME?</definedName>
    <definedName name="_xleta.SUM" hidden="1" xlm="1">#NAME?</definedName>
    <definedName name="Table1" localSheetId="4">'Bureau 1'!$D$49:$P$59</definedName>
    <definedName name="Table1" localSheetId="13">'Bureau 10'!$D$49:$P$59</definedName>
    <definedName name="Table1" localSheetId="14">'Bureau 11'!$D$49:$P$59</definedName>
    <definedName name="Table1" localSheetId="15">'Bureau 12'!$D$49:$P$59</definedName>
    <definedName name="Table1" localSheetId="5">'Bureau 2'!$D$49:$P$59</definedName>
    <definedName name="Table1" localSheetId="6">'Bureau 3'!$D$49:$P$59</definedName>
    <definedName name="Table1" localSheetId="7">'Bureau 4'!$D$49:$P$59</definedName>
    <definedName name="Table1" localSheetId="8">'Bureau 5'!$D$49:$P$59</definedName>
    <definedName name="Table1" localSheetId="9">'Bureau 6'!$D$49:$P$59</definedName>
    <definedName name="Table1" localSheetId="10">'Bureau 7'!$D$49:$P$59</definedName>
    <definedName name="Table1" localSheetId="11">'Bureau 8'!$D$49:$P$59</definedName>
    <definedName name="Table1" localSheetId="12">'Bureau 9'!$D$49:$P$59</definedName>
    <definedName name="Table1" localSheetId="2">Exemple!$D$49:$P$59</definedName>
    <definedName name="Table1">'Bureau 0'!$D$49:$P$59</definedName>
    <definedName name="Table2" localSheetId="4">'Bureau 1'!$D$67:$P$72</definedName>
    <definedName name="Table2" localSheetId="13">'Bureau 10'!$D$67:$P$72</definedName>
    <definedName name="Table2" localSheetId="14">'Bureau 11'!$D$67:$P$72</definedName>
    <definedName name="Table2" localSheetId="15">'Bureau 12'!$D$67:$P$72</definedName>
    <definedName name="Table2" localSheetId="5">'Bureau 2'!$D$67:$P$72</definedName>
    <definedName name="Table2" localSheetId="6">'Bureau 3'!$D$67:$P$72</definedName>
    <definedName name="Table2" localSheetId="7">'Bureau 4'!$D$67:$P$72</definedName>
    <definedName name="Table2" localSheetId="8">'Bureau 5'!$D$67:$P$72</definedName>
    <definedName name="Table2" localSheetId="9">'Bureau 6'!$D$67:$P$72</definedName>
    <definedName name="Table2" localSheetId="10">'Bureau 7'!$D$67:$P$72</definedName>
    <definedName name="Table2" localSheetId="11">'Bureau 8'!$D$67:$P$72</definedName>
    <definedName name="Table2" localSheetId="12">'Bureau 9'!$D$67:$P$72</definedName>
    <definedName name="Table2" localSheetId="2">Exemple!$D$67:$P$72</definedName>
    <definedName name="Table2">'Bureau 0'!$D$67:$P$72</definedName>
    <definedName name="Table3" localSheetId="4">'Bureau 1'!$D$78:$P$80</definedName>
    <definedName name="Table3" localSheetId="13">'Bureau 10'!$D$78:$P$80</definedName>
    <definedName name="Table3" localSheetId="14">'Bureau 11'!$D$78:$P$80</definedName>
    <definedName name="Table3" localSheetId="15">'Bureau 12'!$D$78:$P$80</definedName>
    <definedName name="Table3" localSheetId="5">'Bureau 2'!$D$78:$P$80</definedName>
    <definedName name="Table3" localSheetId="6">'Bureau 3'!$D$78:$P$80</definedName>
    <definedName name="Table3" localSheetId="7">'Bureau 4'!$D$78:$P$80</definedName>
    <definedName name="Table3" localSheetId="8">'Bureau 5'!$D$78:$P$80</definedName>
    <definedName name="Table3" localSheetId="9">'Bureau 6'!$D$78:$P$80</definedName>
    <definedName name="Table3" localSheetId="10">'Bureau 7'!$D$78:$P$80</definedName>
    <definedName name="Table3" localSheetId="11">'Bureau 8'!$D$78:$P$80</definedName>
    <definedName name="Table3" localSheetId="12">'Bureau 9'!$D$78:$P$80</definedName>
    <definedName name="Table3" localSheetId="2">Exemple!$D$78:$P$80</definedName>
    <definedName name="Table3">'Bureau 0'!$D$78:$P$80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80" i="626" l="1"/>
  <c r="Q79" i="626"/>
  <c r="Q78" i="626"/>
  <c r="Q72" i="626"/>
  <c r="Q71" i="626"/>
  <c r="Q70" i="626"/>
  <c r="Q69" i="626"/>
  <c r="Q68" i="626"/>
  <c r="Q59" i="626"/>
  <c r="Q58" i="626"/>
  <c r="Q57" i="626"/>
  <c r="Q56" i="626"/>
  <c r="Q55" i="626"/>
  <c r="Q54" i="626"/>
  <c r="Q53" i="626"/>
  <c r="Q52" i="626"/>
  <c r="Q51" i="626"/>
  <c r="Q50" i="626"/>
  <c r="J24" i="626"/>
  <c r="AA15" i="626"/>
  <c r="X15" i="626"/>
  <c r="AA14" i="626"/>
  <c r="X14" i="626"/>
  <c r="AA13" i="626"/>
  <c r="X13" i="626"/>
  <c r="AA12" i="626"/>
  <c r="X12" i="626"/>
  <c r="AA11" i="626"/>
  <c r="X11" i="626"/>
  <c r="AA10" i="626"/>
  <c r="X10" i="626"/>
  <c r="AA9" i="626"/>
  <c r="X9" i="626"/>
  <c r="AA8" i="626"/>
  <c r="X8" i="626"/>
  <c r="B8" i="626"/>
  <c r="AA7" i="626"/>
  <c r="X7" i="626"/>
  <c r="B7" i="626"/>
  <c r="K23" i="626" s="1"/>
  <c r="AA6" i="626"/>
  <c r="X6" i="626"/>
  <c r="AA5" i="626"/>
  <c r="X5" i="626"/>
  <c r="AA4" i="626"/>
  <c r="X4" i="626"/>
  <c r="B3" i="626"/>
  <c r="N2" i="626"/>
  <c r="M2" i="626"/>
  <c r="L2" i="626"/>
  <c r="K2" i="626"/>
  <c r="J2" i="626"/>
  <c r="I2" i="626"/>
  <c r="H2" i="626"/>
  <c r="G2" i="626"/>
  <c r="F2" i="626"/>
  <c r="E2" i="626"/>
  <c r="B2" i="626"/>
  <c r="B1" i="626"/>
  <c r="Q80" i="625"/>
  <c r="Q79" i="625"/>
  <c r="Q78" i="625"/>
  <c r="Q72" i="625"/>
  <c r="Q71" i="625"/>
  <c r="Q70" i="625"/>
  <c r="Q69" i="625"/>
  <c r="Q68" i="625"/>
  <c r="Q59" i="625"/>
  <c r="Q58" i="625"/>
  <c r="Q57" i="625"/>
  <c r="Q56" i="625"/>
  <c r="Q55" i="625"/>
  <c r="Q54" i="625"/>
  <c r="Q53" i="625"/>
  <c r="Q52" i="625"/>
  <c r="Q51" i="625"/>
  <c r="Q50" i="625"/>
  <c r="AA15" i="625"/>
  <c r="X15" i="625"/>
  <c r="AA14" i="625"/>
  <c r="X14" i="625"/>
  <c r="AA13" i="625"/>
  <c r="X13" i="625"/>
  <c r="AA12" i="625"/>
  <c r="X12" i="625"/>
  <c r="AA11" i="625"/>
  <c r="X11" i="625"/>
  <c r="AA10" i="625"/>
  <c r="X10" i="625"/>
  <c r="AA9" i="625"/>
  <c r="X9" i="625"/>
  <c r="AA8" i="625"/>
  <c r="X8" i="625"/>
  <c r="AA7" i="625"/>
  <c r="X7" i="625"/>
  <c r="B7" i="625"/>
  <c r="K23" i="625" s="1"/>
  <c r="AA6" i="625"/>
  <c r="X6" i="625"/>
  <c r="AA5" i="625"/>
  <c r="X5" i="625"/>
  <c r="AA4" i="625"/>
  <c r="X4" i="625"/>
  <c r="B3" i="625"/>
  <c r="N2" i="625"/>
  <c r="M2" i="625"/>
  <c r="L2" i="625"/>
  <c r="K2" i="625"/>
  <c r="J2" i="625"/>
  <c r="I2" i="625"/>
  <c r="H2" i="625"/>
  <c r="G2" i="625"/>
  <c r="F2" i="625"/>
  <c r="E2" i="625"/>
  <c r="B2" i="625"/>
  <c r="B1" i="625"/>
  <c r="Q80" i="624"/>
  <c r="Q79" i="624"/>
  <c r="Q78" i="624"/>
  <c r="Q72" i="624"/>
  <c r="Q71" i="624"/>
  <c r="Q70" i="624"/>
  <c r="Q69" i="624"/>
  <c r="Q68" i="624"/>
  <c r="Q59" i="624"/>
  <c r="Q58" i="624"/>
  <c r="Q57" i="624"/>
  <c r="Q56" i="624"/>
  <c r="Q55" i="624"/>
  <c r="Q54" i="624"/>
  <c r="Q53" i="624"/>
  <c r="Q52" i="624"/>
  <c r="Q51" i="624"/>
  <c r="Q50" i="624"/>
  <c r="AA15" i="624"/>
  <c r="X15" i="624"/>
  <c r="AA14" i="624"/>
  <c r="X14" i="624"/>
  <c r="AA13" i="624"/>
  <c r="X13" i="624"/>
  <c r="AA12" i="624"/>
  <c r="X12" i="624"/>
  <c r="AA11" i="624"/>
  <c r="X11" i="624"/>
  <c r="AA10" i="624"/>
  <c r="X10" i="624"/>
  <c r="AA9" i="624"/>
  <c r="X9" i="624"/>
  <c r="AA8" i="624"/>
  <c r="X8" i="624"/>
  <c r="AA7" i="624"/>
  <c r="X7" i="624"/>
  <c r="B7" i="624"/>
  <c r="K23" i="624" s="1"/>
  <c r="AA6" i="624"/>
  <c r="X6" i="624"/>
  <c r="AA5" i="624"/>
  <c r="X5" i="624"/>
  <c r="AA4" i="624"/>
  <c r="X4" i="624"/>
  <c r="B3" i="624"/>
  <c r="N2" i="624"/>
  <c r="M2" i="624"/>
  <c r="L2" i="624"/>
  <c r="K2" i="624"/>
  <c r="J2" i="624"/>
  <c r="I2" i="624"/>
  <c r="H2" i="624"/>
  <c r="G2" i="624"/>
  <c r="F2" i="624"/>
  <c r="E2" i="624"/>
  <c r="B2" i="624"/>
  <c r="B1" i="624"/>
  <c r="Q80" i="623"/>
  <c r="Q79" i="623"/>
  <c r="Q78" i="623"/>
  <c r="Q72" i="623"/>
  <c r="Q71" i="623"/>
  <c r="Q70" i="623"/>
  <c r="Q69" i="623"/>
  <c r="Q68" i="623"/>
  <c r="Q59" i="623"/>
  <c r="Q58" i="623"/>
  <c r="Q57" i="623"/>
  <c r="Q56" i="623"/>
  <c r="Q55" i="623"/>
  <c r="Q54" i="623"/>
  <c r="Q53" i="623"/>
  <c r="Q52" i="623"/>
  <c r="Q51" i="623"/>
  <c r="Q50" i="623"/>
  <c r="AA15" i="623"/>
  <c r="X15" i="623"/>
  <c r="AA14" i="623"/>
  <c r="X14" i="623"/>
  <c r="AA13" i="623"/>
  <c r="X13" i="623"/>
  <c r="AA12" i="623"/>
  <c r="X12" i="623"/>
  <c r="AA11" i="623"/>
  <c r="X11" i="623"/>
  <c r="AA10" i="623"/>
  <c r="X10" i="623"/>
  <c r="AA9" i="623"/>
  <c r="X9" i="623"/>
  <c r="AA8" i="623"/>
  <c r="X8" i="623"/>
  <c r="B8" i="623"/>
  <c r="AA7" i="623"/>
  <c r="X7" i="623"/>
  <c r="B7" i="623"/>
  <c r="K23" i="623" s="1"/>
  <c r="AA6" i="623"/>
  <c r="X6" i="623"/>
  <c r="AA5" i="623"/>
  <c r="X5" i="623"/>
  <c r="AA4" i="623"/>
  <c r="X4" i="623"/>
  <c r="B3" i="623"/>
  <c r="N2" i="623"/>
  <c r="M2" i="623"/>
  <c r="L2" i="623"/>
  <c r="K2" i="623"/>
  <c r="J2" i="623"/>
  <c r="I2" i="623"/>
  <c r="H2" i="623"/>
  <c r="G2" i="623"/>
  <c r="F2" i="623"/>
  <c r="E2" i="623"/>
  <c r="B2" i="623"/>
  <c r="B1" i="623"/>
  <c r="Q80" i="622"/>
  <c r="Q79" i="622"/>
  <c r="Q78" i="622"/>
  <c r="Q72" i="622"/>
  <c r="Q71" i="622"/>
  <c r="Q70" i="622"/>
  <c r="Q69" i="622"/>
  <c r="Q68" i="622"/>
  <c r="Q59" i="622"/>
  <c r="Q58" i="622"/>
  <c r="Q57" i="622"/>
  <c r="Q56" i="622"/>
  <c r="Q55" i="622"/>
  <c r="Q54" i="622"/>
  <c r="Q53" i="622"/>
  <c r="Q52" i="622"/>
  <c r="Q51" i="622"/>
  <c r="Q50" i="622"/>
  <c r="J24" i="622"/>
  <c r="AA15" i="622"/>
  <c r="X15" i="622"/>
  <c r="AA14" i="622"/>
  <c r="X14" i="622"/>
  <c r="AA13" i="622"/>
  <c r="X13" i="622"/>
  <c r="AA12" i="622"/>
  <c r="X12" i="622"/>
  <c r="AA11" i="622"/>
  <c r="X11" i="622"/>
  <c r="AA10" i="622"/>
  <c r="X10" i="622"/>
  <c r="AA9" i="622"/>
  <c r="X9" i="622"/>
  <c r="AA8" i="622"/>
  <c r="X8" i="622"/>
  <c r="B8" i="622"/>
  <c r="AA7" i="622"/>
  <c r="X7" i="622"/>
  <c r="B7" i="622"/>
  <c r="K23" i="622" s="1"/>
  <c r="AA6" i="622"/>
  <c r="X6" i="622"/>
  <c r="AA5" i="622"/>
  <c r="X5" i="622"/>
  <c r="AA4" i="622"/>
  <c r="X4" i="622"/>
  <c r="B3" i="622"/>
  <c r="N2" i="622"/>
  <c r="M2" i="622"/>
  <c r="L2" i="622"/>
  <c r="K2" i="622"/>
  <c r="J2" i="622"/>
  <c r="I2" i="622"/>
  <c r="H2" i="622"/>
  <c r="G2" i="622"/>
  <c r="F2" i="622"/>
  <c r="E2" i="622"/>
  <c r="B2" i="622"/>
  <c r="B1" i="622"/>
  <c r="Q80" i="621"/>
  <c r="Q79" i="621"/>
  <c r="Q78" i="621"/>
  <c r="Q72" i="621"/>
  <c r="Q71" i="621"/>
  <c r="Q70" i="621"/>
  <c r="Q69" i="621"/>
  <c r="Q68" i="621"/>
  <c r="Q59" i="621"/>
  <c r="Q58" i="621"/>
  <c r="Q57" i="621"/>
  <c r="Q56" i="621"/>
  <c r="Q55" i="621"/>
  <c r="Q54" i="621"/>
  <c r="Q53" i="621"/>
  <c r="Q52" i="621"/>
  <c r="Q51" i="621"/>
  <c r="Q50" i="621"/>
  <c r="J24" i="621"/>
  <c r="AA15" i="621"/>
  <c r="X15" i="621"/>
  <c r="AA14" i="621"/>
  <c r="X14" i="621"/>
  <c r="AA13" i="621"/>
  <c r="X13" i="621"/>
  <c r="AA12" i="621"/>
  <c r="X12" i="621"/>
  <c r="AA11" i="621"/>
  <c r="X11" i="621"/>
  <c r="AA10" i="621"/>
  <c r="X10" i="621"/>
  <c r="AA9" i="621"/>
  <c r="X9" i="621"/>
  <c r="AA8" i="621"/>
  <c r="X8" i="621"/>
  <c r="AA7" i="621"/>
  <c r="X7" i="621"/>
  <c r="B7" i="621"/>
  <c r="K23" i="621" s="1"/>
  <c r="AA6" i="621"/>
  <c r="X6" i="621"/>
  <c r="AA5" i="621"/>
  <c r="X5" i="621"/>
  <c r="AA4" i="621"/>
  <c r="X4" i="621"/>
  <c r="B3" i="621"/>
  <c r="N2" i="621"/>
  <c r="M2" i="621"/>
  <c r="L2" i="621"/>
  <c r="K2" i="621"/>
  <c r="J2" i="621"/>
  <c r="I2" i="621"/>
  <c r="H2" i="621"/>
  <c r="G2" i="621"/>
  <c r="F2" i="621"/>
  <c r="E2" i="621"/>
  <c r="B2" i="621"/>
  <c r="B1" i="621"/>
  <c r="Q80" i="620"/>
  <c r="Q79" i="620"/>
  <c r="Q78" i="620"/>
  <c r="Q72" i="620"/>
  <c r="Q71" i="620"/>
  <c r="Q70" i="620"/>
  <c r="Q69" i="620"/>
  <c r="Q68" i="620"/>
  <c r="Q59" i="620"/>
  <c r="Q58" i="620"/>
  <c r="Q57" i="620"/>
  <c r="Q56" i="620"/>
  <c r="Q55" i="620"/>
  <c r="Q54" i="620"/>
  <c r="Q53" i="620"/>
  <c r="Q52" i="620"/>
  <c r="Q51" i="620"/>
  <c r="Q50" i="620"/>
  <c r="AA15" i="620"/>
  <c r="X15" i="620"/>
  <c r="AA14" i="620"/>
  <c r="X14" i="620"/>
  <c r="AA13" i="620"/>
  <c r="X13" i="620"/>
  <c r="AA12" i="620"/>
  <c r="X12" i="620"/>
  <c r="AA11" i="620"/>
  <c r="X11" i="620"/>
  <c r="AA10" i="620"/>
  <c r="X10" i="620"/>
  <c r="AA9" i="620"/>
  <c r="X9" i="620"/>
  <c r="AA8" i="620"/>
  <c r="X8" i="620"/>
  <c r="AA7" i="620"/>
  <c r="X7" i="620"/>
  <c r="B7" i="620"/>
  <c r="K23" i="620" s="1"/>
  <c r="AA6" i="620"/>
  <c r="X6" i="620"/>
  <c r="AA5" i="620"/>
  <c r="X5" i="620"/>
  <c r="AA4" i="620"/>
  <c r="X4" i="620"/>
  <c r="B3" i="620"/>
  <c r="N2" i="620"/>
  <c r="M2" i="620"/>
  <c r="L2" i="620"/>
  <c r="K2" i="620"/>
  <c r="J2" i="620"/>
  <c r="I2" i="620"/>
  <c r="H2" i="620"/>
  <c r="G2" i="620"/>
  <c r="F2" i="620"/>
  <c r="E2" i="620"/>
  <c r="B2" i="620"/>
  <c r="B1" i="620"/>
  <c r="Q80" i="619"/>
  <c r="Q79" i="619"/>
  <c r="Q78" i="619"/>
  <c r="Q72" i="619"/>
  <c r="Q71" i="619"/>
  <c r="Q70" i="619"/>
  <c r="Q69" i="619"/>
  <c r="Q68" i="619"/>
  <c r="Q59" i="619"/>
  <c r="Q58" i="619"/>
  <c r="Q57" i="619"/>
  <c r="Q56" i="619"/>
  <c r="Q55" i="619"/>
  <c r="Q54" i="619"/>
  <c r="Q53" i="619"/>
  <c r="Q52" i="619"/>
  <c r="Q51" i="619"/>
  <c r="Q50" i="619"/>
  <c r="AA15" i="619"/>
  <c r="X15" i="619"/>
  <c r="AA14" i="619"/>
  <c r="X14" i="619"/>
  <c r="AA13" i="619"/>
  <c r="X13" i="619"/>
  <c r="AA12" i="619"/>
  <c r="X12" i="619"/>
  <c r="AA11" i="619"/>
  <c r="X11" i="619"/>
  <c r="AA10" i="619"/>
  <c r="X10" i="619"/>
  <c r="AA9" i="619"/>
  <c r="X9" i="619"/>
  <c r="AA8" i="619"/>
  <c r="X8" i="619"/>
  <c r="B8" i="619"/>
  <c r="AA7" i="619"/>
  <c r="X7" i="619"/>
  <c r="B7" i="619"/>
  <c r="K23" i="619" s="1"/>
  <c r="AA6" i="619"/>
  <c r="X6" i="619"/>
  <c r="AA5" i="619"/>
  <c r="X5" i="619"/>
  <c r="AA4" i="619"/>
  <c r="X4" i="619"/>
  <c r="B3" i="619"/>
  <c r="N2" i="619"/>
  <c r="M2" i="619"/>
  <c r="L2" i="619"/>
  <c r="K2" i="619"/>
  <c r="J2" i="619"/>
  <c r="I2" i="619"/>
  <c r="H2" i="619"/>
  <c r="G2" i="619"/>
  <c r="F2" i="619"/>
  <c r="E2" i="619"/>
  <c r="B2" i="619"/>
  <c r="B1" i="619"/>
  <c r="Q80" i="618"/>
  <c r="Q79" i="618"/>
  <c r="Q78" i="618"/>
  <c r="Q72" i="618"/>
  <c r="Q71" i="618"/>
  <c r="Q70" i="618"/>
  <c r="Q69" i="618"/>
  <c r="Q68" i="618"/>
  <c r="Q59" i="618"/>
  <c r="Q58" i="618"/>
  <c r="Q57" i="618"/>
  <c r="Q56" i="618"/>
  <c r="Q55" i="618"/>
  <c r="Q54" i="618"/>
  <c r="Q53" i="618"/>
  <c r="Q52" i="618"/>
  <c r="Q51" i="618"/>
  <c r="Q50" i="618"/>
  <c r="J24" i="618"/>
  <c r="AA15" i="618"/>
  <c r="X15" i="618"/>
  <c r="AA14" i="618"/>
  <c r="X14" i="618"/>
  <c r="AA13" i="618"/>
  <c r="X13" i="618"/>
  <c r="AA12" i="618"/>
  <c r="X12" i="618"/>
  <c r="AA11" i="618"/>
  <c r="X11" i="618"/>
  <c r="AA10" i="618"/>
  <c r="X10" i="618"/>
  <c r="AA9" i="618"/>
  <c r="X9" i="618"/>
  <c r="AA8" i="618"/>
  <c r="X8" i="618"/>
  <c r="AA7" i="618"/>
  <c r="X7" i="618"/>
  <c r="B7" i="618"/>
  <c r="K23" i="618" s="1"/>
  <c r="AA6" i="618"/>
  <c r="X6" i="618"/>
  <c r="AA5" i="618"/>
  <c r="X5" i="618"/>
  <c r="AA4" i="618"/>
  <c r="X4" i="618"/>
  <c r="B3" i="618"/>
  <c r="N2" i="618"/>
  <c r="M2" i="618"/>
  <c r="L2" i="618"/>
  <c r="K2" i="618"/>
  <c r="J2" i="618"/>
  <c r="I2" i="618"/>
  <c r="H2" i="618"/>
  <c r="G2" i="618"/>
  <c r="F2" i="618"/>
  <c r="E2" i="618"/>
  <c r="B2" i="618"/>
  <c r="B1" i="618"/>
  <c r="Q80" i="617"/>
  <c r="Q79" i="617"/>
  <c r="Q78" i="617"/>
  <c r="Q72" i="617"/>
  <c r="Q71" i="617"/>
  <c r="Q70" i="617"/>
  <c r="Q69" i="617"/>
  <c r="Q68" i="617"/>
  <c r="Q59" i="617"/>
  <c r="Q58" i="617"/>
  <c r="Q57" i="617"/>
  <c r="Q56" i="617"/>
  <c r="Q55" i="617"/>
  <c r="Q54" i="617"/>
  <c r="Q53" i="617"/>
  <c r="Q52" i="617"/>
  <c r="Q51" i="617"/>
  <c r="Q50" i="617"/>
  <c r="AA15" i="617"/>
  <c r="X15" i="617"/>
  <c r="AA14" i="617"/>
  <c r="X14" i="617"/>
  <c r="AA13" i="617"/>
  <c r="X13" i="617"/>
  <c r="AA12" i="617"/>
  <c r="X12" i="617"/>
  <c r="AA11" i="617"/>
  <c r="X11" i="617"/>
  <c r="AA10" i="617"/>
  <c r="X10" i="617"/>
  <c r="AA9" i="617"/>
  <c r="X9" i="617"/>
  <c r="AA8" i="617"/>
  <c r="X8" i="617"/>
  <c r="AA7" i="617"/>
  <c r="X7" i="617"/>
  <c r="B7" i="617"/>
  <c r="K23" i="617" s="1"/>
  <c r="AA6" i="617"/>
  <c r="X6" i="617"/>
  <c r="AA5" i="617"/>
  <c r="X5" i="617"/>
  <c r="AA4" i="617"/>
  <c r="X4" i="617"/>
  <c r="B3" i="617"/>
  <c r="N2" i="617"/>
  <c r="M2" i="617"/>
  <c r="L2" i="617"/>
  <c r="K2" i="617"/>
  <c r="J2" i="617"/>
  <c r="I2" i="617"/>
  <c r="H2" i="617"/>
  <c r="G2" i="617"/>
  <c r="F2" i="617"/>
  <c r="E2" i="617"/>
  <c r="B2" i="617"/>
  <c r="B1" i="617"/>
  <c r="Q80" i="616"/>
  <c r="Q79" i="616"/>
  <c r="Q78" i="616"/>
  <c r="Q72" i="616"/>
  <c r="Q71" i="616"/>
  <c r="Q70" i="616"/>
  <c r="Q69" i="616"/>
  <c r="Q68" i="616"/>
  <c r="Q59" i="616"/>
  <c r="Q58" i="616"/>
  <c r="Q57" i="616"/>
  <c r="Q56" i="616"/>
  <c r="Q55" i="616"/>
  <c r="Q54" i="616"/>
  <c r="Q53" i="616"/>
  <c r="Q52" i="616"/>
  <c r="Q51" i="616"/>
  <c r="Q50" i="616"/>
  <c r="AA15" i="616"/>
  <c r="X15" i="616"/>
  <c r="AA14" i="616"/>
  <c r="X14" i="616"/>
  <c r="AA13" i="616"/>
  <c r="X13" i="616"/>
  <c r="AA12" i="616"/>
  <c r="X12" i="616"/>
  <c r="AA11" i="616"/>
  <c r="X11" i="616"/>
  <c r="AA10" i="616"/>
  <c r="X10" i="616"/>
  <c r="AA9" i="616"/>
  <c r="X9" i="616"/>
  <c r="AA8" i="616"/>
  <c r="X8" i="616"/>
  <c r="AA7" i="616"/>
  <c r="X7" i="616"/>
  <c r="B7" i="616"/>
  <c r="K23" i="616" s="1"/>
  <c r="AA6" i="616"/>
  <c r="X6" i="616"/>
  <c r="AA5" i="616"/>
  <c r="X5" i="616"/>
  <c r="AA4" i="616"/>
  <c r="X4" i="616"/>
  <c r="B3" i="616"/>
  <c r="N2" i="616"/>
  <c r="M2" i="616"/>
  <c r="L2" i="616"/>
  <c r="K2" i="616"/>
  <c r="J2" i="616"/>
  <c r="I2" i="616"/>
  <c r="H2" i="616"/>
  <c r="G2" i="616"/>
  <c r="F2" i="616"/>
  <c r="E2" i="616"/>
  <c r="B2" i="616"/>
  <c r="B1" i="616"/>
  <c r="Q80" i="615"/>
  <c r="Q79" i="615"/>
  <c r="Q78" i="615"/>
  <c r="Q72" i="615"/>
  <c r="Q71" i="615"/>
  <c r="Q70" i="615"/>
  <c r="Q69" i="615"/>
  <c r="Q68" i="615"/>
  <c r="Q59" i="615"/>
  <c r="Q58" i="615"/>
  <c r="Q57" i="615"/>
  <c r="Q56" i="615"/>
  <c r="Q55" i="615"/>
  <c r="Q54" i="615"/>
  <c r="Q53" i="615"/>
  <c r="Q52" i="615"/>
  <c r="Q51" i="615"/>
  <c r="Q50" i="615"/>
  <c r="AA15" i="615"/>
  <c r="X15" i="615"/>
  <c r="AA14" i="615"/>
  <c r="X14" i="615"/>
  <c r="AA13" i="615"/>
  <c r="X13" i="615"/>
  <c r="AA12" i="615"/>
  <c r="X12" i="615"/>
  <c r="AA11" i="615"/>
  <c r="X11" i="615"/>
  <c r="AA10" i="615"/>
  <c r="X10" i="615"/>
  <c r="AA9" i="615"/>
  <c r="X9" i="615"/>
  <c r="AA8" i="615"/>
  <c r="X8" i="615"/>
  <c r="AA7" i="615"/>
  <c r="X7" i="615"/>
  <c r="B7" i="615"/>
  <c r="K23" i="615" s="1"/>
  <c r="AA6" i="615"/>
  <c r="X6" i="615"/>
  <c r="AA5" i="615"/>
  <c r="X5" i="615"/>
  <c r="AA4" i="615"/>
  <c r="X4" i="615"/>
  <c r="B3" i="615"/>
  <c r="N2" i="615"/>
  <c r="M2" i="615"/>
  <c r="L2" i="615"/>
  <c r="K2" i="615"/>
  <c r="J2" i="615"/>
  <c r="I2" i="615"/>
  <c r="H2" i="615"/>
  <c r="G2" i="615"/>
  <c r="F2" i="615"/>
  <c r="E2" i="615"/>
  <c r="B2" i="615"/>
  <c r="B1" i="615"/>
  <c r="D10" i="626" l="1" a="1"/>
  <c r="D10" i="626" s="1"/>
  <c r="D9" i="626" a="1"/>
  <c r="D9" i="626" s="1"/>
  <c r="D7" i="626" a="1"/>
  <c r="D7" i="626" s="1"/>
  <c r="D3" i="626" a="1"/>
  <c r="D3" i="626" s="1"/>
  <c r="D12" i="626" a="1"/>
  <c r="D12" i="626" s="1"/>
  <c r="D5" i="626" a="1"/>
  <c r="D5" i="626" s="1"/>
  <c r="D11" i="626" a="1"/>
  <c r="D11" i="626" s="1"/>
  <c r="D8" i="626" a="1"/>
  <c r="D8" i="626" s="1"/>
  <c r="D4" i="626" a="1"/>
  <c r="D4" i="626" s="1"/>
  <c r="D6" i="626" a="1"/>
  <c r="D6" i="626" s="1"/>
  <c r="D10" i="625" a="1"/>
  <c r="D10" i="625" s="1"/>
  <c r="D7" i="625" a="1"/>
  <c r="D7" i="625" s="1"/>
  <c r="D3" i="625" a="1"/>
  <c r="D3" i="625" s="1"/>
  <c r="D11" i="625" a="1"/>
  <c r="D11" i="625" s="1"/>
  <c r="D8" i="625" a="1"/>
  <c r="D8" i="625" s="1"/>
  <c r="D9" i="625" a="1"/>
  <c r="D9" i="625" s="1"/>
  <c r="D4" i="625" a="1"/>
  <c r="D4" i="625" s="1"/>
  <c r="D12" i="625" a="1"/>
  <c r="D12" i="625" s="1"/>
  <c r="D5" i="625" a="1"/>
  <c r="D5" i="625" s="1"/>
  <c r="D6" i="625" a="1"/>
  <c r="D6" i="625" s="1"/>
  <c r="J24" i="625"/>
  <c r="B8" i="625"/>
  <c r="D10" i="624" a="1"/>
  <c r="D10" i="624" s="1"/>
  <c r="D7" i="624" a="1"/>
  <c r="D7" i="624" s="1"/>
  <c r="D3" i="624" a="1"/>
  <c r="D3" i="624" s="1"/>
  <c r="D11" i="624" a="1"/>
  <c r="D11" i="624" s="1"/>
  <c r="D8" i="624" a="1"/>
  <c r="D8" i="624" s="1"/>
  <c r="D9" i="624" a="1"/>
  <c r="D9" i="624" s="1"/>
  <c r="D4" i="624" a="1"/>
  <c r="D4" i="624" s="1"/>
  <c r="D12" i="624" a="1"/>
  <c r="D12" i="624" s="1"/>
  <c r="D5" i="624" a="1"/>
  <c r="D5" i="624" s="1"/>
  <c r="D6" i="624" a="1"/>
  <c r="D6" i="624" s="1"/>
  <c r="J24" i="624"/>
  <c r="B8" i="624"/>
  <c r="D10" i="623" a="1"/>
  <c r="D10" i="623" s="1"/>
  <c r="D7" i="623" a="1"/>
  <c r="D7" i="623" s="1"/>
  <c r="D3" i="623" a="1"/>
  <c r="D3" i="623" s="1"/>
  <c r="D11" i="623" a="1"/>
  <c r="D11" i="623" s="1"/>
  <c r="D8" i="623" a="1"/>
  <c r="D8" i="623" s="1"/>
  <c r="D9" i="623" a="1"/>
  <c r="D9" i="623" s="1"/>
  <c r="D4" i="623" a="1"/>
  <c r="D4" i="623" s="1"/>
  <c r="D12" i="623" a="1"/>
  <c r="D12" i="623" s="1"/>
  <c r="D5" i="623" a="1"/>
  <c r="D5" i="623" s="1"/>
  <c r="D6" i="623" a="1"/>
  <c r="D6" i="623" s="1"/>
  <c r="J24" i="623"/>
  <c r="D10" i="622" a="1"/>
  <c r="D10" i="622" s="1"/>
  <c r="D7" i="622" a="1"/>
  <c r="D7" i="622" s="1"/>
  <c r="D3" i="622" a="1"/>
  <c r="D3" i="622" s="1"/>
  <c r="D11" i="622" a="1"/>
  <c r="D11" i="622" s="1"/>
  <c r="D8" i="622" a="1"/>
  <c r="D8" i="622" s="1"/>
  <c r="D5" i="622" a="1"/>
  <c r="D5" i="622" s="1"/>
  <c r="D9" i="622" a="1"/>
  <c r="D9" i="622" s="1"/>
  <c r="D4" i="622" a="1"/>
  <c r="D4" i="622" s="1"/>
  <c r="D12" i="622" a="1"/>
  <c r="D12" i="622" s="1"/>
  <c r="D6" i="622" a="1"/>
  <c r="D6" i="622" s="1"/>
  <c r="D10" i="621" a="1"/>
  <c r="D10" i="621" s="1"/>
  <c r="D5" i="621" a="1"/>
  <c r="D5" i="621" s="1"/>
  <c r="D7" i="621" a="1"/>
  <c r="D7" i="621" s="1"/>
  <c r="D3" i="621" a="1"/>
  <c r="D3" i="621" s="1"/>
  <c r="D11" i="621" a="1"/>
  <c r="D11" i="621" s="1"/>
  <c r="D8" i="621" a="1"/>
  <c r="D8" i="621" s="1"/>
  <c r="D9" i="621" a="1"/>
  <c r="D9" i="621" s="1"/>
  <c r="D4" i="621" a="1"/>
  <c r="D4" i="621" s="1"/>
  <c r="D12" i="621" a="1"/>
  <c r="D12" i="621" s="1"/>
  <c r="D6" i="621" a="1"/>
  <c r="D6" i="621" s="1"/>
  <c r="B8" i="621"/>
  <c r="D10" i="620" a="1"/>
  <c r="D10" i="620" s="1"/>
  <c r="D7" i="620" a="1"/>
  <c r="D7" i="620" s="1"/>
  <c r="D3" i="620" a="1"/>
  <c r="D3" i="620" s="1"/>
  <c r="D11" i="620" a="1"/>
  <c r="D11" i="620" s="1"/>
  <c r="D8" i="620" a="1"/>
  <c r="D8" i="620" s="1"/>
  <c r="D9" i="620" a="1"/>
  <c r="D9" i="620" s="1"/>
  <c r="D4" i="620" a="1"/>
  <c r="D4" i="620" s="1"/>
  <c r="D12" i="620" a="1"/>
  <c r="D12" i="620" s="1"/>
  <c r="D5" i="620" a="1"/>
  <c r="D5" i="620" s="1"/>
  <c r="D6" i="620" a="1"/>
  <c r="D6" i="620" s="1"/>
  <c r="J24" i="620"/>
  <c r="B8" i="620"/>
  <c r="D10" i="619" a="1"/>
  <c r="D10" i="619" s="1"/>
  <c r="D7" i="619" a="1"/>
  <c r="D7" i="619" s="1"/>
  <c r="D3" i="619" a="1"/>
  <c r="D3" i="619" s="1"/>
  <c r="D11" i="619" a="1"/>
  <c r="D11" i="619" s="1"/>
  <c r="D8" i="619" a="1"/>
  <c r="D8" i="619" s="1"/>
  <c r="D9" i="619" a="1"/>
  <c r="D9" i="619" s="1"/>
  <c r="D4" i="619" a="1"/>
  <c r="D4" i="619" s="1"/>
  <c r="D12" i="619" a="1"/>
  <c r="D12" i="619" s="1"/>
  <c r="D5" i="619" a="1"/>
  <c r="D5" i="619" s="1"/>
  <c r="D6" i="619" a="1"/>
  <c r="D6" i="619" s="1"/>
  <c r="J24" i="619"/>
  <c r="D10" i="618" a="1"/>
  <c r="D10" i="618" s="1"/>
  <c r="D7" i="618" a="1"/>
  <c r="D7" i="618" s="1"/>
  <c r="D3" i="618" a="1"/>
  <c r="D3" i="618" s="1"/>
  <c r="D11" i="618" a="1"/>
  <c r="D11" i="618" s="1"/>
  <c r="D8" i="618" a="1"/>
  <c r="D8" i="618" s="1"/>
  <c r="D9" i="618" a="1"/>
  <c r="D9" i="618" s="1"/>
  <c r="D4" i="618" a="1"/>
  <c r="D4" i="618" s="1"/>
  <c r="D12" i="618" a="1"/>
  <c r="D12" i="618" s="1"/>
  <c r="D5" i="618" a="1"/>
  <c r="D5" i="618" s="1"/>
  <c r="D6" i="618" a="1"/>
  <c r="D6" i="618" s="1"/>
  <c r="B8" i="618"/>
  <c r="D10" i="617" a="1"/>
  <c r="D10" i="617" s="1"/>
  <c r="D7" i="617" a="1"/>
  <c r="D7" i="617" s="1"/>
  <c r="D3" i="617" a="1"/>
  <c r="D3" i="617" s="1"/>
  <c r="D11" i="617" a="1"/>
  <c r="D11" i="617" s="1"/>
  <c r="D8" i="617" a="1"/>
  <c r="D8" i="617" s="1"/>
  <c r="D9" i="617" a="1"/>
  <c r="D9" i="617" s="1"/>
  <c r="D4" i="617" a="1"/>
  <c r="D4" i="617" s="1"/>
  <c r="D12" i="617" a="1"/>
  <c r="D12" i="617" s="1"/>
  <c r="D5" i="617" a="1"/>
  <c r="D5" i="617" s="1"/>
  <c r="D6" i="617" a="1"/>
  <c r="D6" i="617" s="1"/>
  <c r="J24" i="617"/>
  <c r="B8" i="617"/>
  <c r="D10" i="616" a="1"/>
  <c r="D10" i="616" s="1"/>
  <c r="D7" i="616" a="1"/>
  <c r="D7" i="616" s="1"/>
  <c r="D3" i="616" a="1"/>
  <c r="D3" i="616" s="1"/>
  <c r="D11" i="616" a="1"/>
  <c r="D11" i="616" s="1"/>
  <c r="D8" i="616" a="1"/>
  <c r="D8" i="616" s="1"/>
  <c r="D9" i="616" a="1"/>
  <c r="D9" i="616" s="1"/>
  <c r="D4" i="616" a="1"/>
  <c r="D4" i="616" s="1"/>
  <c r="D12" i="616" a="1"/>
  <c r="D12" i="616" s="1"/>
  <c r="D5" i="616" a="1"/>
  <c r="D5" i="616" s="1"/>
  <c r="D6" i="616" a="1"/>
  <c r="D6" i="616" s="1"/>
  <c r="J24" i="616"/>
  <c r="B8" i="616"/>
  <c r="D10" i="615" a="1"/>
  <c r="D10" i="615" s="1"/>
  <c r="D7" i="615" a="1"/>
  <c r="D7" i="615" s="1"/>
  <c r="D3" i="615" a="1"/>
  <c r="D3" i="615" s="1"/>
  <c r="D11" i="615" a="1"/>
  <c r="D11" i="615" s="1"/>
  <c r="D8" i="615" a="1"/>
  <c r="D8" i="615" s="1"/>
  <c r="D9" i="615" a="1"/>
  <c r="D9" i="615" s="1"/>
  <c r="D4" i="615" a="1"/>
  <c r="D4" i="615" s="1"/>
  <c r="D12" i="615" a="1"/>
  <c r="D12" i="615" s="1"/>
  <c r="D5" i="615" a="1"/>
  <c r="D5" i="615" s="1"/>
  <c r="D6" i="615" a="1"/>
  <c r="D6" i="615" s="1"/>
  <c r="J24" i="615"/>
  <c r="B8" i="615"/>
  <c r="Q80" i="578"/>
  <c r="Q79" i="578"/>
  <c r="Q78" i="578"/>
  <c r="Q72" i="578"/>
  <c r="Q71" i="578"/>
  <c r="Q70" i="578"/>
  <c r="Q69" i="578"/>
  <c r="Q68" i="578"/>
  <c r="Q59" i="578"/>
  <c r="Q58" i="578"/>
  <c r="Q57" i="578"/>
  <c r="Q56" i="578"/>
  <c r="Q55" i="578"/>
  <c r="Q54" i="578"/>
  <c r="Q53" i="578"/>
  <c r="Q52" i="578"/>
  <c r="Q51" i="578"/>
  <c r="Q50" i="578"/>
  <c r="F2" i="207"/>
  <c r="G2" i="207"/>
  <c r="H2" i="207"/>
  <c r="I2" i="207"/>
  <c r="J2" i="207"/>
  <c r="K2" i="207"/>
  <c r="L2" i="207"/>
  <c r="M2" i="207"/>
  <c r="N2" i="207"/>
  <c r="E2" i="207"/>
  <c r="O5" i="626" l="1" a="1"/>
  <c r="O5" i="626" s="1"/>
  <c r="K5" i="626" a="1"/>
  <c r="K5" i="626" s="1"/>
  <c r="G5" i="626" a="1"/>
  <c r="G5" i="626" s="1"/>
  <c r="P5" i="626" a="1"/>
  <c r="P5" i="626" s="1"/>
  <c r="H5" i="626" a="1"/>
  <c r="H5" i="626" s="1"/>
  <c r="N5" i="626" a="1"/>
  <c r="N5" i="626" s="1"/>
  <c r="J5" i="626" a="1"/>
  <c r="J5" i="626" s="1"/>
  <c r="F5" i="626" a="1"/>
  <c r="F5" i="626" s="1"/>
  <c r="L5" i="626" a="1"/>
  <c r="L5" i="626" s="1"/>
  <c r="M5" i="626" a="1"/>
  <c r="M5" i="626" s="1"/>
  <c r="I5" i="626" a="1"/>
  <c r="I5" i="626" s="1"/>
  <c r="E5" i="626" a="1"/>
  <c r="E5" i="626" s="1"/>
  <c r="O12" i="626" a="1"/>
  <c r="O12" i="626" s="1"/>
  <c r="K12" i="626" a="1"/>
  <c r="K12" i="626" s="1"/>
  <c r="G12" i="626" a="1"/>
  <c r="G12" i="626" s="1"/>
  <c r="H12" i="626" a="1"/>
  <c r="H12" i="626" s="1"/>
  <c r="N12" i="626" a="1"/>
  <c r="N12" i="626" s="1"/>
  <c r="J12" i="626" a="1"/>
  <c r="J12" i="626" s="1"/>
  <c r="F12" i="626" a="1"/>
  <c r="F12" i="626" s="1"/>
  <c r="P12" i="626" a="1"/>
  <c r="P12" i="626" s="1"/>
  <c r="M12" i="626" a="1"/>
  <c r="M12" i="626" s="1"/>
  <c r="I12" i="626" a="1"/>
  <c r="I12" i="626" s="1"/>
  <c r="E12" i="626" a="1"/>
  <c r="E12" i="626" s="1"/>
  <c r="L12" i="626" a="1"/>
  <c r="L12" i="626" s="1"/>
  <c r="N3" i="626" a="1"/>
  <c r="N3" i="626" s="1"/>
  <c r="P3" i="626" a="1"/>
  <c r="P3" i="626" s="1"/>
  <c r="L3" i="626" a="1"/>
  <c r="L3" i="626" s="1"/>
  <c r="H3" i="626" a="1"/>
  <c r="H3" i="626" s="1"/>
  <c r="F3" i="626" a="1"/>
  <c r="F3" i="626" s="1"/>
  <c r="J3" i="626" a="1"/>
  <c r="J3" i="626" s="1"/>
  <c r="O3" i="626" a="1"/>
  <c r="O3" i="626" s="1"/>
  <c r="K3" i="626" a="1"/>
  <c r="K3" i="626" s="1"/>
  <c r="G3" i="626" a="1"/>
  <c r="G3" i="626" s="1"/>
  <c r="M3" i="626" a="1"/>
  <c r="M3" i="626" s="1"/>
  <c r="I3" i="626" a="1"/>
  <c r="I3" i="626" s="1"/>
  <c r="E3" i="626" a="1"/>
  <c r="E3" i="626" s="1"/>
  <c r="P7" i="626" a="1"/>
  <c r="P7" i="626" s="1"/>
  <c r="L7" i="626" a="1"/>
  <c r="L7" i="626" s="1"/>
  <c r="H7" i="626" a="1"/>
  <c r="H7" i="626" s="1"/>
  <c r="J7" i="626" a="1"/>
  <c r="J7" i="626" s="1"/>
  <c r="N7" i="626" a="1"/>
  <c r="N7" i="626" s="1"/>
  <c r="O7" i="626" a="1"/>
  <c r="O7" i="626" s="1"/>
  <c r="K7" i="626" a="1"/>
  <c r="K7" i="626" s="1"/>
  <c r="G7" i="626" a="1"/>
  <c r="G7" i="626" s="1"/>
  <c r="M7" i="626" a="1"/>
  <c r="M7" i="626" s="1"/>
  <c r="I7" i="626" a="1"/>
  <c r="I7" i="626" s="1"/>
  <c r="E7" i="626" a="1"/>
  <c r="E7" i="626" s="1"/>
  <c r="F7" i="626" a="1"/>
  <c r="F7" i="626" s="1"/>
  <c r="O6" i="626" a="1"/>
  <c r="O6" i="626" s="1"/>
  <c r="K6" i="626" a="1"/>
  <c r="K6" i="626" s="1"/>
  <c r="G6" i="626" a="1"/>
  <c r="G6" i="626" s="1"/>
  <c r="M6" i="626" a="1"/>
  <c r="M6" i="626" s="1"/>
  <c r="I6" i="626" a="1"/>
  <c r="I6" i="626" s="1"/>
  <c r="N6" i="626" a="1"/>
  <c r="N6" i="626" s="1"/>
  <c r="J6" i="626" a="1"/>
  <c r="J6" i="626" s="1"/>
  <c r="F6" i="626" a="1"/>
  <c r="F6" i="626" s="1"/>
  <c r="E6" i="626" a="1"/>
  <c r="E6" i="626" s="1"/>
  <c r="P6" i="626" a="1"/>
  <c r="P6" i="626" s="1"/>
  <c r="L6" i="626" a="1"/>
  <c r="L6" i="626" s="1"/>
  <c r="H6" i="626" a="1"/>
  <c r="H6" i="626" s="1"/>
  <c r="N9" i="626" a="1"/>
  <c r="N9" i="626" s="1"/>
  <c r="J9" i="626" a="1"/>
  <c r="J9" i="626" s="1"/>
  <c r="F9" i="626" a="1"/>
  <c r="F9" i="626" s="1"/>
  <c r="L9" i="626" a="1"/>
  <c r="L9" i="626" s="1"/>
  <c r="H9" i="626" a="1"/>
  <c r="H9" i="626" s="1"/>
  <c r="M9" i="626" a="1"/>
  <c r="M9" i="626" s="1"/>
  <c r="I9" i="626" a="1"/>
  <c r="I9" i="626" s="1"/>
  <c r="E9" i="626" a="1"/>
  <c r="E9" i="626" s="1"/>
  <c r="P9" i="626" a="1"/>
  <c r="P9" i="626" s="1"/>
  <c r="O9" i="626" a="1"/>
  <c r="O9" i="626" s="1"/>
  <c r="K9" i="626" a="1"/>
  <c r="K9" i="626" s="1"/>
  <c r="G9" i="626" a="1"/>
  <c r="G9" i="626" s="1"/>
  <c r="N4" i="626" a="1"/>
  <c r="N4" i="626" s="1"/>
  <c r="J4" i="626" a="1"/>
  <c r="J4" i="626" s="1"/>
  <c r="F4" i="626" a="1"/>
  <c r="F4" i="626" s="1"/>
  <c r="P4" i="626" a="1"/>
  <c r="P4" i="626" s="1"/>
  <c r="L4" i="626" a="1"/>
  <c r="L4" i="626" s="1"/>
  <c r="M4" i="626" a="1"/>
  <c r="M4" i="626" s="1"/>
  <c r="I4" i="626" a="1"/>
  <c r="I4" i="626" s="1"/>
  <c r="E4" i="626" a="1"/>
  <c r="E4" i="626" s="1"/>
  <c r="O4" i="626" a="1"/>
  <c r="O4" i="626" s="1"/>
  <c r="K4" i="626" a="1"/>
  <c r="K4" i="626" s="1"/>
  <c r="G4" i="626" a="1"/>
  <c r="G4" i="626" s="1"/>
  <c r="H4" i="626" a="1"/>
  <c r="H4" i="626" s="1"/>
  <c r="P10" i="626" a="1"/>
  <c r="P10" i="626" s="1"/>
  <c r="L10" i="626" a="1"/>
  <c r="L10" i="626" s="1"/>
  <c r="H10" i="626" a="1"/>
  <c r="H10" i="626" s="1"/>
  <c r="O10" i="626" a="1"/>
  <c r="O10" i="626" s="1"/>
  <c r="K10" i="626" a="1"/>
  <c r="K10" i="626" s="1"/>
  <c r="G10" i="626" a="1"/>
  <c r="G10" i="626" s="1"/>
  <c r="I10" i="626" a="1"/>
  <c r="I10" i="626" s="1"/>
  <c r="E10" i="626" a="1"/>
  <c r="E10" i="626" s="1"/>
  <c r="N10" i="626" a="1"/>
  <c r="N10" i="626" s="1"/>
  <c r="J10" i="626" a="1"/>
  <c r="J10" i="626" s="1"/>
  <c r="F10" i="626" a="1"/>
  <c r="F10" i="626" s="1"/>
  <c r="M10" i="626" a="1"/>
  <c r="M10" i="626" s="1"/>
  <c r="M8" i="626" a="1"/>
  <c r="M8" i="626" s="1"/>
  <c r="I8" i="626" a="1"/>
  <c r="I8" i="626" s="1"/>
  <c r="E8" i="626" a="1"/>
  <c r="E8" i="626" s="1"/>
  <c r="G8" i="626" a="1"/>
  <c r="G8" i="626" s="1"/>
  <c r="K8" i="626" a="1"/>
  <c r="K8" i="626" s="1"/>
  <c r="P8" i="626" a="1"/>
  <c r="P8" i="626" s="1"/>
  <c r="L8" i="626" a="1"/>
  <c r="L8" i="626" s="1"/>
  <c r="H8" i="626" a="1"/>
  <c r="H8" i="626" s="1"/>
  <c r="O8" i="626" a="1"/>
  <c r="O8" i="626" s="1"/>
  <c r="N8" i="626" a="1"/>
  <c r="N8" i="626" s="1"/>
  <c r="J8" i="626" a="1"/>
  <c r="J8" i="626" s="1"/>
  <c r="F8" i="626" a="1"/>
  <c r="F8" i="626" s="1"/>
  <c r="M11" i="626" a="1"/>
  <c r="M11" i="626" s="1"/>
  <c r="I11" i="626" a="1"/>
  <c r="I11" i="626" s="1"/>
  <c r="E11" i="626" a="1"/>
  <c r="E11" i="626" s="1"/>
  <c r="K11" i="626" a="1"/>
  <c r="K11" i="626" s="1"/>
  <c r="G11" i="626" a="1"/>
  <c r="G11" i="626" s="1"/>
  <c r="P11" i="626" a="1"/>
  <c r="P11" i="626" s="1"/>
  <c r="L11" i="626" a="1"/>
  <c r="L11" i="626" s="1"/>
  <c r="H11" i="626" a="1"/>
  <c r="H11" i="626" s="1"/>
  <c r="O11" i="626" a="1"/>
  <c r="O11" i="626" s="1"/>
  <c r="N11" i="626" a="1"/>
  <c r="N11" i="626" s="1"/>
  <c r="J11" i="626" a="1"/>
  <c r="J11" i="626" s="1"/>
  <c r="F11" i="626" a="1"/>
  <c r="F11" i="626" s="1"/>
  <c r="J23" i="626"/>
  <c r="B9" i="626"/>
  <c r="X3" i="626"/>
  <c r="K24" i="626"/>
  <c r="N9" i="625" a="1"/>
  <c r="N9" i="625" s="1"/>
  <c r="J9" i="625" a="1"/>
  <c r="J9" i="625" s="1"/>
  <c r="F9" i="625" a="1"/>
  <c r="F9" i="625" s="1"/>
  <c r="M9" i="625" a="1"/>
  <c r="M9" i="625" s="1"/>
  <c r="I9" i="625" a="1"/>
  <c r="I9" i="625" s="1"/>
  <c r="E9" i="625" a="1"/>
  <c r="E9" i="625" s="1"/>
  <c r="P9" i="625" a="1"/>
  <c r="P9" i="625" s="1"/>
  <c r="L9" i="625" a="1"/>
  <c r="L9" i="625" s="1"/>
  <c r="H9" i="625" a="1"/>
  <c r="H9" i="625" s="1"/>
  <c r="O9" i="625" a="1"/>
  <c r="O9" i="625" s="1"/>
  <c r="K9" i="625" a="1"/>
  <c r="K9" i="625" s="1"/>
  <c r="G9" i="625" a="1"/>
  <c r="G9" i="625" s="1"/>
  <c r="M8" i="625" a="1"/>
  <c r="M8" i="625" s="1"/>
  <c r="I8" i="625" a="1"/>
  <c r="I8" i="625" s="1"/>
  <c r="E8" i="625" a="1"/>
  <c r="E8" i="625" s="1"/>
  <c r="P8" i="625" a="1"/>
  <c r="P8" i="625" s="1"/>
  <c r="L8" i="625" a="1"/>
  <c r="L8" i="625" s="1"/>
  <c r="H8" i="625" a="1"/>
  <c r="H8" i="625" s="1"/>
  <c r="O8" i="625" a="1"/>
  <c r="O8" i="625" s="1"/>
  <c r="K8" i="625" a="1"/>
  <c r="K8" i="625" s="1"/>
  <c r="G8" i="625" a="1"/>
  <c r="G8" i="625" s="1"/>
  <c r="N8" i="625" a="1"/>
  <c r="N8" i="625" s="1"/>
  <c r="J8" i="625" a="1"/>
  <c r="J8" i="625" s="1"/>
  <c r="F8" i="625" a="1"/>
  <c r="F8" i="625" s="1"/>
  <c r="M11" i="625" a="1"/>
  <c r="M11" i="625" s="1"/>
  <c r="I11" i="625" a="1"/>
  <c r="I11" i="625" s="1"/>
  <c r="E11" i="625" a="1"/>
  <c r="E11" i="625" s="1"/>
  <c r="P11" i="625" a="1"/>
  <c r="P11" i="625" s="1"/>
  <c r="L11" i="625" a="1"/>
  <c r="L11" i="625" s="1"/>
  <c r="H11" i="625" a="1"/>
  <c r="H11" i="625" s="1"/>
  <c r="O11" i="625" a="1"/>
  <c r="O11" i="625" s="1"/>
  <c r="K11" i="625" a="1"/>
  <c r="K11" i="625" s="1"/>
  <c r="G11" i="625" a="1"/>
  <c r="G11" i="625" s="1"/>
  <c r="N11" i="625" a="1"/>
  <c r="N11" i="625" s="1"/>
  <c r="J11" i="625" a="1"/>
  <c r="J11" i="625" s="1"/>
  <c r="F11" i="625" a="1"/>
  <c r="F11" i="625" s="1"/>
  <c r="P3" i="625" a="1"/>
  <c r="P3" i="625" s="1"/>
  <c r="L3" i="625" a="1"/>
  <c r="L3" i="625" s="1"/>
  <c r="H3" i="625" a="1"/>
  <c r="H3" i="625" s="1"/>
  <c r="O3" i="625" a="1"/>
  <c r="O3" i="625" s="1"/>
  <c r="K3" i="625" a="1"/>
  <c r="K3" i="625" s="1"/>
  <c r="G3" i="625" a="1"/>
  <c r="G3" i="625" s="1"/>
  <c r="N3" i="625" a="1"/>
  <c r="N3" i="625" s="1"/>
  <c r="J3" i="625" a="1"/>
  <c r="J3" i="625" s="1"/>
  <c r="F3" i="625" a="1"/>
  <c r="F3" i="625" s="1"/>
  <c r="M3" i="625" a="1"/>
  <c r="M3" i="625" s="1"/>
  <c r="I3" i="625" a="1"/>
  <c r="I3" i="625" s="1"/>
  <c r="E3" i="625" a="1"/>
  <c r="E3" i="625" s="1"/>
  <c r="O6" i="625" a="1"/>
  <c r="O6" i="625" s="1"/>
  <c r="K6" i="625" a="1"/>
  <c r="K6" i="625" s="1"/>
  <c r="G6" i="625" a="1"/>
  <c r="G6" i="625" s="1"/>
  <c r="N6" i="625" a="1"/>
  <c r="N6" i="625" s="1"/>
  <c r="J6" i="625" a="1"/>
  <c r="J6" i="625" s="1"/>
  <c r="F6" i="625" a="1"/>
  <c r="F6" i="625" s="1"/>
  <c r="M6" i="625" a="1"/>
  <c r="M6" i="625" s="1"/>
  <c r="I6" i="625" a="1"/>
  <c r="I6" i="625" s="1"/>
  <c r="E6" i="625" a="1"/>
  <c r="E6" i="625" s="1"/>
  <c r="P6" i="625" a="1"/>
  <c r="P6" i="625" s="1"/>
  <c r="L6" i="625" a="1"/>
  <c r="L6" i="625" s="1"/>
  <c r="H6" i="625" a="1"/>
  <c r="H6" i="625" s="1"/>
  <c r="P7" i="625" a="1"/>
  <c r="P7" i="625" s="1"/>
  <c r="L7" i="625" a="1"/>
  <c r="L7" i="625" s="1"/>
  <c r="H7" i="625" a="1"/>
  <c r="H7" i="625" s="1"/>
  <c r="O7" i="625" a="1"/>
  <c r="O7" i="625" s="1"/>
  <c r="K7" i="625" a="1"/>
  <c r="K7" i="625" s="1"/>
  <c r="G7" i="625" a="1"/>
  <c r="G7" i="625" s="1"/>
  <c r="N7" i="625" a="1"/>
  <c r="N7" i="625" s="1"/>
  <c r="J7" i="625" a="1"/>
  <c r="J7" i="625" s="1"/>
  <c r="F7" i="625" a="1"/>
  <c r="F7" i="625" s="1"/>
  <c r="M7" i="625" a="1"/>
  <c r="M7" i="625" s="1"/>
  <c r="I7" i="625" a="1"/>
  <c r="I7" i="625" s="1"/>
  <c r="E7" i="625" a="1"/>
  <c r="E7" i="625" s="1"/>
  <c r="O5" i="625" a="1"/>
  <c r="O5" i="625" s="1"/>
  <c r="K5" i="625" a="1"/>
  <c r="K5" i="625" s="1"/>
  <c r="G5" i="625" a="1"/>
  <c r="G5" i="625" s="1"/>
  <c r="N5" i="625" a="1"/>
  <c r="N5" i="625" s="1"/>
  <c r="J5" i="625" a="1"/>
  <c r="J5" i="625" s="1"/>
  <c r="F5" i="625" a="1"/>
  <c r="F5" i="625" s="1"/>
  <c r="M5" i="625" a="1"/>
  <c r="M5" i="625" s="1"/>
  <c r="I5" i="625" a="1"/>
  <c r="I5" i="625" s="1"/>
  <c r="E5" i="625" a="1"/>
  <c r="E5" i="625" s="1"/>
  <c r="P5" i="625" a="1"/>
  <c r="P5" i="625" s="1"/>
  <c r="L5" i="625" a="1"/>
  <c r="L5" i="625" s="1"/>
  <c r="H5" i="625" a="1"/>
  <c r="H5" i="625" s="1"/>
  <c r="P10" i="625" a="1"/>
  <c r="P10" i="625" s="1"/>
  <c r="L10" i="625" a="1"/>
  <c r="L10" i="625" s="1"/>
  <c r="H10" i="625" a="1"/>
  <c r="H10" i="625" s="1"/>
  <c r="O10" i="625" a="1"/>
  <c r="O10" i="625" s="1"/>
  <c r="K10" i="625" a="1"/>
  <c r="K10" i="625" s="1"/>
  <c r="G10" i="625" a="1"/>
  <c r="G10" i="625" s="1"/>
  <c r="N10" i="625" a="1"/>
  <c r="N10" i="625" s="1"/>
  <c r="J10" i="625" a="1"/>
  <c r="J10" i="625" s="1"/>
  <c r="F10" i="625" a="1"/>
  <c r="F10" i="625" s="1"/>
  <c r="M10" i="625" a="1"/>
  <c r="M10" i="625" s="1"/>
  <c r="I10" i="625" a="1"/>
  <c r="I10" i="625" s="1"/>
  <c r="E10" i="625" a="1"/>
  <c r="E10" i="625" s="1"/>
  <c r="O12" i="625" a="1"/>
  <c r="O12" i="625" s="1"/>
  <c r="K12" i="625" a="1"/>
  <c r="K12" i="625" s="1"/>
  <c r="G12" i="625" a="1"/>
  <c r="G12" i="625" s="1"/>
  <c r="N12" i="625" a="1"/>
  <c r="N12" i="625" s="1"/>
  <c r="J12" i="625" a="1"/>
  <c r="J12" i="625" s="1"/>
  <c r="F12" i="625" a="1"/>
  <c r="F12" i="625" s="1"/>
  <c r="M12" i="625" a="1"/>
  <c r="M12" i="625" s="1"/>
  <c r="I12" i="625" a="1"/>
  <c r="I12" i="625" s="1"/>
  <c r="E12" i="625" a="1"/>
  <c r="E12" i="625" s="1"/>
  <c r="P12" i="625" a="1"/>
  <c r="P12" i="625" s="1"/>
  <c r="L12" i="625" a="1"/>
  <c r="L12" i="625" s="1"/>
  <c r="H12" i="625" a="1"/>
  <c r="H12" i="625" s="1"/>
  <c r="N4" i="625" a="1"/>
  <c r="N4" i="625" s="1"/>
  <c r="J4" i="625" a="1"/>
  <c r="J4" i="625" s="1"/>
  <c r="F4" i="625" a="1"/>
  <c r="F4" i="625" s="1"/>
  <c r="M4" i="625" a="1"/>
  <c r="M4" i="625" s="1"/>
  <c r="I4" i="625" a="1"/>
  <c r="I4" i="625" s="1"/>
  <c r="E4" i="625" a="1"/>
  <c r="E4" i="625" s="1"/>
  <c r="P4" i="625" a="1"/>
  <c r="P4" i="625" s="1"/>
  <c r="L4" i="625" a="1"/>
  <c r="L4" i="625" s="1"/>
  <c r="H4" i="625" a="1"/>
  <c r="H4" i="625" s="1"/>
  <c r="O4" i="625" a="1"/>
  <c r="O4" i="625" s="1"/>
  <c r="K4" i="625" a="1"/>
  <c r="K4" i="625" s="1"/>
  <c r="G4" i="625" a="1"/>
  <c r="G4" i="625" s="1"/>
  <c r="J23" i="625"/>
  <c r="K24" i="625"/>
  <c r="B9" i="625"/>
  <c r="X3" i="625"/>
  <c r="N9" i="624" a="1"/>
  <c r="N9" i="624" s="1"/>
  <c r="J9" i="624" a="1"/>
  <c r="J9" i="624" s="1"/>
  <c r="F9" i="624" a="1"/>
  <c r="F9" i="624" s="1"/>
  <c r="M9" i="624" a="1"/>
  <c r="M9" i="624" s="1"/>
  <c r="I9" i="624" a="1"/>
  <c r="I9" i="624" s="1"/>
  <c r="E9" i="624" a="1"/>
  <c r="E9" i="624" s="1"/>
  <c r="P9" i="624" a="1"/>
  <c r="P9" i="624" s="1"/>
  <c r="L9" i="624" a="1"/>
  <c r="L9" i="624" s="1"/>
  <c r="H9" i="624" a="1"/>
  <c r="H9" i="624" s="1"/>
  <c r="O9" i="624" a="1"/>
  <c r="O9" i="624" s="1"/>
  <c r="K9" i="624" a="1"/>
  <c r="K9" i="624" s="1"/>
  <c r="G9" i="624" a="1"/>
  <c r="G9" i="624" s="1"/>
  <c r="M8" i="624" a="1"/>
  <c r="M8" i="624" s="1"/>
  <c r="I8" i="624" a="1"/>
  <c r="I8" i="624" s="1"/>
  <c r="E8" i="624" a="1"/>
  <c r="E8" i="624" s="1"/>
  <c r="P8" i="624" a="1"/>
  <c r="P8" i="624" s="1"/>
  <c r="L8" i="624" a="1"/>
  <c r="L8" i="624" s="1"/>
  <c r="H8" i="624" a="1"/>
  <c r="H8" i="624" s="1"/>
  <c r="O8" i="624" a="1"/>
  <c r="O8" i="624" s="1"/>
  <c r="K8" i="624" a="1"/>
  <c r="K8" i="624" s="1"/>
  <c r="G8" i="624" a="1"/>
  <c r="G8" i="624" s="1"/>
  <c r="N8" i="624" a="1"/>
  <c r="N8" i="624" s="1"/>
  <c r="J8" i="624" a="1"/>
  <c r="J8" i="624" s="1"/>
  <c r="F8" i="624" a="1"/>
  <c r="F8" i="624" s="1"/>
  <c r="M11" i="624" a="1"/>
  <c r="M11" i="624" s="1"/>
  <c r="I11" i="624" a="1"/>
  <c r="I11" i="624" s="1"/>
  <c r="E11" i="624" a="1"/>
  <c r="E11" i="624" s="1"/>
  <c r="P11" i="624" a="1"/>
  <c r="P11" i="624" s="1"/>
  <c r="L11" i="624" a="1"/>
  <c r="L11" i="624" s="1"/>
  <c r="H11" i="624" a="1"/>
  <c r="H11" i="624" s="1"/>
  <c r="O11" i="624" a="1"/>
  <c r="O11" i="624" s="1"/>
  <c r="K11" i="624" a="1"/>
  <c r="K11" i="624" s="1"/>
  <c r="G11" i="624" a="1"/>
  <c r="G11" i="624" s="1"/>
  <c r="N11" i="624" a="1"/>
  <c r="N11" i="624" s="1"/>
  <c r="J11" i="624" a="1"/>
  <c r="J11" i="624" s="1"/>
  <c r="F11" i="624" a="1"/>
  <c r="F11" i="624" s="1"/>
  <c r="P3" i="624" a="1"/>
  <c r="P3" i="624" s="1"/>
  <c r="L3" i="624" a="1"/>
  <c r="L3" i="624" s="1"/>
  <c r="H3" i="624" a="1"/>
  <c r="H3" i="624" s="1"/>
  <c r="O3" i="624" a="1"/>
  <c r="O3" i="624" s="1"/>
  <c r="K3" i="624" a="1"/>
  <c r="K3" i="624" s="1"/>
  <c r="G3" i="624" a="1"/>
  <c r="G3" i="624" s="1"/>
  <c r="N3" i="624" a="1"/>
  <c r="N3" i="624" s="1"/>
  <c r="J3" i="624" a="1"/>
  <c r="J3" i="624" s="1"/>
  <c r="F3" i="624" a="1"/>
  <c r="F3" i="624" s="1"/>
  <c r="M3" i="624" a="1"/>
  <c r="M3" i="624" s="1"/>
  <c r="I3" i="624" a="1"/>
  <c r="I3" i="624" s="1"/>
  <c r="E3" i="624" a="1"/>
  <c r="E3" i="624" s="1"/>
  <c r="O6" i="624" a="1"/>
  <c r="O6" i="624" s="1"/>
  <c r="K6" i="624" a="1"/>
  <c r="K6" i="624" s="1"/>
  <c r="G6" i="624" a="1"/>
  <c r="G6" i="624" s="1"/>
  <c r="N6" i="624" a="1"/>
  <c r="N6" i="624" s="1"/>
  <c r="J6" i="624" a="1"/>
  <c r="J6" i="624" s="1"/>
  <c r="F6" i="624" a="1"/>
  <c r="F6" i="624" s="1"/>
  <c r="M6" i="624" a="1"/>
  <c r="M6" i="624" s="1"/>
  <c r="I6" i="624" a="1"/>
  <c r="I6" i="624" s="1"/>
  <c r="E6" i="624" a="1"/>
  <c r="E6" i="624" s="1"/>
  <c r="P6" i="624" a="1"/>
  <c r="P6" i="624" s="1"/>
  <c r="L6" i="624" a="1"/>
  <c r="L6" i="624" s="1"/>
  <c r="H6" i="624" a="1"/>
  <c r="H6" i="624" s="1"/>
  <c r="P7" i="624" a="1"/>
  <c r="P7" i="624" s="1"/>
  <c r="L7" i="624" a="1"/>
  <c r="L7" i="624" s="1"/>
  <c r="H7" i="624" a="1"/>
  <c r="H7" i="624" s="1"/>
  <c r="O7" i="624" a="1"/>
  <c r="O7" i="624" s="1"/>
  <c r="K7" i="624" a="1"/>
  <c r="K7" i="624" s="1"/>
  <c r="G7" i="624" a="1"/>
  <c r="G7" i="624" s="1"/>
  <c r="N7" i="624" a="1"/>
  <c r="N7" i="624" s="1"/>
  <c r="J7" i="624" a="1"/>
  <c r="J7" i="624" s="1"/>
  <c r="F7" i="624" a="1"/>
  <c r="F7" i="624" s="1"/>
  <c r="M7" i="624" a="1"/>
  <c r="M7" i="624" s="1"/>
  <c r="I7" i="624" a="1"/>
  <c r="I7" i="624" s="1"/>
  <c r="E7" i="624" a="1"/>
  <c r="E7" i="624" s="1"/>
  <c r="O5" i="624" a="1"/>
  <c r="O5" i="624" s="1"/>
  <c r="K5" i="624" a="1"/>
  <c r="K5" i="624" s="1"/>
  <c r="G5" i="624" a="1"/>
  <c r="G5" i="624" s="1"/>
  <c r="N5" i="624" a="1"/>
  <c r="N5" i="624" s="1"/>
  <c r="J5" i="624" a="1"/>
  <c r="J5" i="624" s="1"/>
  <c r="F5" i="624" a="1"/>
  <c r="F5" i="624" s="1"/>
  <c r="M5" i="624" a="1"/>
  <c r="M5" i="624" s="1"/>
  <c r="I5" i="624" a="1"/>
  <c r="I5" i="624" s="1"/>
  <c r="E5" i="624" a="1"/>
  <c r="E5" i="624" s="1"/>
  <c r="P5" i="624" a="1"/>
  <c r="P5" i="624" s="1"/>
  <c r="L5" i="624" a="1"/>
  <c r="L5" i="624" s="1"/>
  <c r="H5" i="624" a="1"/>
  <c r="H5" i="624" s="1"/>
  <c r="P10" i="624" a="1"/>
  <c r="P10" i="624" s="1"/>
  <c r="L10" i="624" a="1"/>
  <c r="L10" i="624" s="1"/>
  <c r="H10" i="624" a="1"/>
  <c r="H10" i="624" s="1"/>
  <c r="O10" i="624" a="1"/>
  <c r="O10" i="624" s="1"/>
  <c r="K10" i="624" a="1"/>
  <c r="K10" i="624" s="1"/>
  <c r="G10" i="624" a="1"/>
  <c r="G10" i="624" s="1"/>
  <c r="N10" i="624" a="1"/>
  <c r="N10" i="624" s="1"/>
  <c r="J10" i="624" a="1"/>
  <c r="J10" i="624" s="1"/>
  <c r="F10" i="624" a="1"/>
  <c r="F10" i="624" s="1"/>
  <c r="M10" i="624" a="1"/>
  <c r="M10" i="624" s="1"/>
  <c r="I10" i="624" a="1"/>
  <c r="I10" i="624" s="1"/>
  <c r="E10" i="624" a="1"/>
  <c r="E10" i="624" s="1"/>
  <c r="O12" i="624" a="1"/>
  <c r="O12" i="624" s="1"/>
  <c r="K12" i="624" a="1"/>
  <c r="K12" i="624" s="1"/>
  <c r="G12" i="624" a="1"/>
  <c r="G12" i="624" s="1"/>
  <c r="N12" i="624" a="1"/>
  <c r="N12" i="624" s="1"/>
  <c r="J12" i="624" a="1"/>
  <c r="J12" i="624" s="1"/>
  <c r="F12" i="624" a="1"/>
  <c r="F12" i="624" s="1"/>
  <c r="M12" i="624" a="1"/>
  <c r="M12" i="624" s="1"/>
  <c r="I12" i="624" a="1"/>
  <c r="I12" i="624" s="1"/>
  <c r="E12" i="624" a="1"/>
  <c r="E12" i="624" s="1"/>
  <c r="P12" i="624" a="1"/>
  <c r="P12" i="624" s="1"/>
  <c r="L12" i="624" a="1"/>
  <c r="L12" i="624" s="1"/>
  <c r="H12" i="624" a="1"/>
  <c r="H12" i="624" s="1"/>
  <c r="N4" i="624" a="1"/>
  <c r="N4" i="624" s="1"/>
  <c r="J4" i="624" a="1"/>
  <c r="J4" i="624" s="1"/>
  <c r="F4" i="624" a="1"/>
  <c r="F4" i="624" s="1"/>
  <c r="M4" i="624" a="1"/>
  <c r="M4" i="624" s="1"/>
  <c r="I4" i="624" a="1"/>
  <c r="I4" i="624" s="1"/>
  <c r="E4" i="624" a="1"/>
  <c r="E4" i="624" s="1"/>
  <c r="P4" i="624" a="1"/>
  <c r="P4" i="624" s="1"/>
  <c r="L4" i="624" a="1"/>
  <c r="L4" i="624" s="1"/>
  <c r="H4" i="624" a="1"/>
  <c r="H4" i="624" s="1"/>
  <c r="O4" i="624" a="1"/>
  <c r="O4" i="624" s="1"/>
  <c r="K4" i="624" a="1"/>
  <c r="K4" i="624" s="1"/>
  <c r="G4" i="624" a="1"/>
  <c r="G4" i="624" s="1"/>
  <c r="J23" i="624"/>
  <c r="K24" i="624"/>
  <c r="B9" i="624"/>
  <c r="X3" i="624"/>
  <c r="N9" i="623" a="1"/>
  <c r="N9" i="623" s="1"/>
  <c r="J9" i="623" a="1"/>
  <c r="J9" i="623" s="1"/>
  <c r="F9" i="623" a="1"/>
  <c r="F9" i="623" s="1"/>
  <c r="M9" i="623" a="1"/>
  <c r="M9" i="623" s="1"/>
  <c r="I9" i="623" a="1"/>
  <c r="I9" i="623" s="1"/>
  <c r="E9" i="623" a="1"/>
  <c r="E9" i="623" s="1"/>
  <c r="P9" i="623" a="1"/>
  <c r="P9" i="623" s="1"/>
  <c r="L9" i="623" a="1"/>
  <c r="L9" i="623" s="1"/>
  <c r="H9" i="623" a="1"/>
  <c r="H9" i="623" s="1"/>
  <c r="K9" i="623" a="1"/>
  <c r="K9" i="623" s="1"/>
  <c r="O9" i="623" a="1"/>
  <c r="O9" i="623" s="1"/>
  <c r="G9" i="623" a="1"/>
  <c r="G9" i="623" s="1"/>
  <c r="M8" i="623" a="1"/>
  <c r="M8" i="623" s="1"/>
  <c r="I8" i="623" a="1"/>
  <c r="I8" i="623" s="1"/>
  <c r="E8" i="623" a="1"/>
  <c r="E8" i="623" s="1"/>
  <c r="P8" i="623" a="1"/>
  <c r="P8" i="623" s="1"/>
  <c r="L8" i="623" a="1"/>
  <c r="L8" i="623" s="1"/>
  <c r="H8" i="623" a="1"/>
  <c r="H8" i="623" s="1"/>
  <c r="O8" i="623" a="1"/>
  <c r="O8" i="623" s="1"/>
  <c r="K8" i="623" a="1"/>
  <c r="K8" i="623" s="1"/>
  <c r="G8" i="623" a="1"/>
  <c r="G8" i="623" s="1"/>
  <c r="F8" i="623" a="1"/>
  <c r="F8" i="623" s="1"/>
  <c r="N8" i="623" a="1"/>
  <c r="N8" i="623" s="1"/>
  <c r="J8" i="623" a="1"/>
  <c r="J8" i="623" s="1"/>
  <c r="M11" i="623" a="1"/>
  <c r="M11" i="623" s="1"/>
  <c r="I11" i="623" a="1"/>
  <c r="I11" i="623" s="1"/>
  <c r="E11" i="623" a="1"/>
  <c r="E11" i="623" s="1"/>
  <c r="P11" i="623" a="1"/>
  <c r="P11" i="623" s="1"/>
  <c r="L11" i="623" a="1"/>
  <c r="L11" i="623" s="1"/>
  <c r="H11" i="623" a="1"/>
  <c r="H11" i="623" s="1"/>
  <c r="O11" i="623" a="1"/>
  <c r="O11" i="623" s="1"/>
  <c r="K11" i="623" a="1"/>
  <c r="K11" i="623" s="1"/>
  <c r="G11" i="623" a="1"/>
  <c r="G11" i="623" s="1"/>
  <c r="N11" i="623" a="1"/>
  <c r="N11" i="623" s="1"/>
  <c r="J11" i="623" a="1"/>
  <c r="J11" i="623" s="1"/>
  <c r="F11" i="623" a="1"/>
  <c r="F11" i="623" s="1"/>
  <c r="E3" i="623" a="1"/>
  <c r="E3" i="623" s="1"/>
  <c r="P3" i="623" a="1"/>
  <c r="P3" i="623" s="1"/>
  <c r="L3" i="623" a="1"/>
  <c r="L3" i="623" s="1"/>
  <c r="H3" i="623" a="1"/>
  <c r="H3" i="623" s="1"/>
  <c r="M3" i="623" a="1"/>
  <c r="M3" i="623" s="1"/>
  <c r="O3" i="623" a="1"/>
  <c r="O3" i="623" s="1"/>
  <c r="K3" i="623" a="1"/>
  <c r="K3" i="623" s="1"/>
  <c r="G3" i="623" a="1"/>
  <c r="G3" i="623" s="1"/>
  <c r="N3" i="623" a="1"/>
  <c r="N3" i="623" s="1"/>
  <c r="J3" i="623" a="1"/>
  <c r="J3" i="623" s="1"/>
  <c r="F3" i="623" a="1"/>
  <c r="F3" i="623" s="1"/>
  <c r="I3" i="623" a="1"/>
  <c r="I3" i="623" s="1"/>
  <c r="O6" i="623" a="1"/>
  <c r="O6" i="623" s="1"/>
  <c r="K6" i="623" a="1"/>
  <c r="K6" i="623" s="1"/>
  <c r="G6" i="623" a="1"/>
  <c r="G6" i="623" s="1"/>
  <c r="N6" i="623" a="1"/>
  <c r="N6" i="623" s="1"/>
  <c r="J6" i="623" a="1"/>
  <c r="J6" i="623" s="1"/>
  <c r="F6" i="623" a="1"/>
  <c r="F6" i="623" s="1"/>
  <c r="M6" i="623" a="1"/>
  <c r="M6" i="623" s="1"/>
  <c r="I6" i="623" a="1"/>
  <c r="I6" i="623" s="1"/>
  <c r="E6" i="623" a="1"/>
  <c r="E6" i="623" s="1"/>
  <c r="P6" i="623" a="1"/>
  <c r="P6" i="623" s="1"/>
  <c r="H6" i="623" a="1"/>
  <c r="H6" i="623" s="1"/>
  <c r="L6" i="623" a="1"/>
  <c r="L6" i="623" s="1"/>
  <c r="P7" i="623" a="1"/>
  <c r="P7" i="623" s="1"/>
  <c r="L7" i="623" a="1"/>
  <c r="L7" i="623" s="1"/>
  <c r="H7" i="623" a="1"/>
  <c r="H7" i="623" s="1"/>
  <c r="O7" i="623" a="1"/>
  <c r="O7" i="623" s="1"/>
  <c r="K7" i="623" a="1"/>
  <c r="K7" i="623" s="1"/>
  <c r="G7" i="623" a="1"/>
  <c r="G7" i="623" s="1"/>
  <c r="N7" i="623" a="1"/>
  <c r="N7" i="623" s="1"/>
  <c r="J7" i="623" a="1"/>
  <c r="J7" i="623" s="1"/>
  <c r="F7" i="623" a="1"/>
  <c r="F7" i="623" s="1"/>
  <c r="I7" i="623" a="1"/>
  <c r="I7" i="623" s="1"/>
  <c r="M7" i="623" a="1"/>
  <c r="M7" i="623" s="1"/>
  <c r="E7" i="623" a="1"/>
  <c r="E7" i="623" s="1"/>
  <c r="O5" i="623" a="1"/>
  <c r="O5" i="623" s="1"/>
  <c r="K5" i="623" a="1"/>
  <c r="K5" i="623" s="1"/>
  <c r="G5" i="623" a="1"/>
  <c r="G5" i="623" s="1"/>
  <c r="N5" i="623" a="1"/>
  <c r="N5" i="623" s="1"/>
  <c r="J5" i="623" a="1"/>
  <c r="J5" i="623" s="1"/>
  <c r="F5" i="623" a="1"/>
  <c r="F5" i="623" s="1"/>
  <c r="M5" i="623" a="1"/>
  <c r="M5" i="623" s="1"/>
  <c r="I5" i="623" a="1"/>
  <c r="I5" i="623" s="1"/>
  <c r="E5" i="623" a="1"/>
  <c r="E5" i="623" s="1"/>
  <c r="P5" i="623" a="1"/>
  <c r="P5" i="623" s="1"/>
  <c r="L5" i="623" a="1"/>
  <c r="L5" i="623" s="1"/>
  <c r="H5" i="623" a="1"/>
  <c r="H5" i="623" s="1"/>
  <c r="P10" i="623" a="1"/>
  <c r="P10" i="623" s="1"/>
  <c r="L10" i="623" a="1"/>
  <c r="L10" i="623" s="1"/>
  <c r="H10" i="623" a="1"/>
  <c r="H10" i="623" s="1"/>
  <c r="J10" i="623" a="1"/>
  <c r="J10" i="623" s="1"/>
  <c r="O10" i="623" a="1"/>
  <c r="O10" i="623" s="1"/>
  <c r="K10" i="623" a="1"/>
  <c r="K10" i="623" s="1"/>
  <c r="G10" i="623" a="1"/>
  <c r="G10" i="623" s="1"/>
  <c r="N10" i="623" a="1"/>
  <c r="N10" i="623" s="1"/>
  <c r="F10" i="623" a="1"/>
  <c r="F10" i="623" s="1"/>
  <c r="M10" i="623" a="1"/>
  <c r="M10" i="623" s="1"/>
  <c r="I10" i="623" a="1"/>
  <c r="I10" i="623" s="1"/>
  <c r="E10" i="623" a="1"/>
  <c r="E10" i="623" s="1"/>
  <c r="O12" i="623" a="1"/>
  <c r="O12" i="623" s="1"/>
  <c r="K12" i="623" a="1"/>
  <c r="K12" i="623" s="1"/>
  <c r="G12" i="623" a="1"/>
  <c r="G12" i="623" s="1"/>
  <c r="I12" i="623" a="1"/>
  <c r="I12" i="623" s="1"/>
  <c r="N12" i="623" a="1"/>
  <c r="N12" i="623" s="1"/>
  <c r="J12" i="623" a="1"/>
  <c r="J12" i="623" s="1"/>
  <c r="F12" i="623" a="1"/>
  <c r="F12" i="623" s="1"/>
  <c r="M12" i="623" a="1"/>
  <c r="M12" i="623" s="1"/>
  <c r="E12" i="623" a="1"/>
  <c r="E12" i="623" s="1"/>
  <c r="P12" i="623" a="1"/>
  <c r="P12" i="623" s="1"/>
  <c r="L12" i="623" a="1"/>
  <c r="L12" i="623" s="1"/>
  <c r="H12" i="623" a="1"/>
  <c r="H12" i="623" s="1"/>
  <c r="N4" i="623" a="1"/>
  <c r="N4" i="623" s="1"/>
  <c r="J4" i="623" a="1"/>
  <c r="J4" i="623" s="1"/>
  <c r="F4" i="623" a="1"/>
  <c r="F4" i="623" s="1"/>
  <c r="M4" i="623" a="1"/>
  <c r="M4" i="623" s="1"/>
  <c r="I4" i="623" a="1"/>
  <c r="I4" i="623" s="1"/>
  <c r="E4" i="623" a="1"/>
  <c r="E4" i="623" s="1"/>
  <c r="P4" i="623" a="1"/>
  <c r="P4" i="623" s="1"/>
  <c r="L4" i="623" a="1"/>
  <c r="L4" i="623" s="1"/>
  <c r="H4" i="623" a="1"/>
  <c r="H4" i="623" s="1"/>
  <c r="O4" i="623" a="1"/>
  <c r="O4" i="623" s="1"/>
  <c r="G4" i="623" a="1"/>
  <c r="G4" i="623" s="1"/>
  <c r="K4" i="623" a="1"/>
  <c r="K4" i="623" s="1"/>
  <c r="J23" i="623"/>
  <c r="K24" i="623"/>
  <c r="B9" i="623"/>
  <c r="X3" i="623"/>
  <c r="O5" i="622" a="1"/>
  <c r="O5" i="622" s="1"/>
  <c r="K5" i="622" a="1"/>
  <c r="K5" i="622" s="1"/>
  <c r="G5" i="622" a="1"/>
  <c r="G5" i="622" s="1"/>
  <c r="N5" i="622" a="1"/>
  <c r="N5" i="622" s="1"/>
  <c r="J5" i="622" a="1"/>
  <c r="J5" i="622" s="1"/>
  <c r="F5" i="622" a="1"/>
  <c r="F5" i="622" s="1"/>
  <c r="P5" i="622" a="1"/>
  <c r="P5" i="622" s="1"/>
  <c r="M5" i="622" a="1"/>
  <c r="M5" i="622" s="1"/>
  <c r="I5" i="622" a="1"/>
  <c r="I5" i="622" s="1"/>
  <c r="E5" i="622" a="1"/>
  <c r="E5" i="622" s="1"/>
  <c r="H5" i="622" a="1"/>
  <c r="H5" i="622" s="1"/>
  <c r="L5" i="622" a="1"/>
  <c r="L5" i="622" s="1"/>
  <c r="M8" i="622" a="1"/>
  <c r="M8" i="622" s="1"/>
  <c r="I8" i="622" a="1"/>
  <c r="I8" i="622" s="1"/>
  <c r="E8" i="622" a="1"/>
  <c r="E8" i="622" s="1"/>
  <c r="P8" i="622" a="1"/>
  <c r="P8" i="622" s="1"/>
  <c r="L8" i="622" a="1"/>
  <c r="L8" i="622" s="1"/>
  <c r="H8" i="622" a="1"/>
  <c r="H8" i="622" s="1"/>
  <c r="O8" i="622" a="1"/>
  <c r="O8" i="622" s="1"/>
  <c r="K8" i="622" a="1"/>
  <c r="K8" i="622" s="1"/>
  <c r="G8" i="622" a="1"/>
  <c r="G8" i="622" s="1"/>
  <c r="N8" i="622" a="1"/>
  <c r="N8" i="622" s="1"/>
  <c r="J8" i="622" a="1"/>
  <c r="J8" i="622" s="1"/>
  <c r="F8" i="622" a="1"/>
  <c r="F8" i="622" s="1"/>
  <c r="M11" i="622" a="1"/>
  <c r="M11" i="622" s="1"/>
  <c r="I11" i="622" a="1"/>
  <c r="I11" i="622" s="1"/>
  <c r="E11" i="622" a="1"/>
  <c r="E11" i="622" s="1"/>
  <c r="P11" i="622" a="1"/>
  <c r="P11" i="622" s="1"/>
  <c r="L11" i="622" a="1"/>
  <c r="L11" i="622" s="1"/>
  <c r="H11" i="622" a="1"/>
  <c r="H11" i="622" s="1"/>
  <c r="O11" i="622" a="1"/>
  <c r="O11" i="622" s="1"/>
  <c r="K11" i="622" a="1"/>
  <c r="K11" i="622" s="1"/>
  <c r="G11" i="622" a="1"/>
  <c r="G11" i="622" s="1"/>
  <c r="N11" i="622" a="1"/>
  <c r="N11" i="622" s="1"/>
  <c r="J11" i="622" a="1"/>
  <c r="J11" i="622" s="1"/>
  <c r="F11" i="622" a="1"/>
  <c r="F11" i="622" s="1"/>
  <c r="P3" i="622" a="1"/>
  <c r="P3" i="622" s="1"/>
  <c r="L3" i="622" a="1"/>
  <c r="L3" i="622" s="1"/>
  <c r="H3" i="622" a="1"/>
  <c r="H3" i="622" s="1"/>
  <c r="O3" i="622" a="1"/>
  <c r="O3" i="622" s="1"/>
  <c r="K3" i="622" a="1"/>
  <c r="K3" i="622" s="1"/>
  <c r="G3" i="622" a="1"/>
  <c r="G3" i="622" s="1"/>
  <c r="N3" i="622" a="1"/>
  <c r="N3" i="622" s="1"/>
  <c r="J3" i="622" a="1"/>
  <c r="J3" i="622" s="1"/>
  <c r="F3" i="622" a="1"/>
  <c r="F3" i="622" s="1"/>
  <c r="M3" i="622" a="1"/>
  <c r="M3" i="622" s="1"/>
  <c r="I3" i="622" a="1"/>
  <c r="I3" i="622" s="1"/>
  <c r="E3" i="622" a="1"/>
  <c r="E3" i="622" s="1"/>
  <c r="O6" i="622" a="1"/>
  <c r="O6" i="622" s="1"/>
  <c r="K6" i="622" a="1"/>
  <c r="K6" i="622" s="1"/>
  <c r="G6" i="622" a="1"/>
  <c r="G6" i="622" s="1"/>
  <c r="N6" i="622" a="1"/>
  <c r="N6" i="622" s="1"/>
  <c r="J6" i="622" a="1"/>
  <c r="J6" i="622" s="1"/>
  <c r="F6" i="622" a="1"/>
  <c r="F6" i="622" s="1"/>
  <c r="M6" i="622" a="1"/>
  <c r="M6" i="622" s="1"/>
  <c r="I6" i="622" a="1"/>
  <c r="I6" i="622" s="1"/>
  <c r="E6" i="622" a="1"/>
  <c r="E6" i="622" s="1"/>
  <c r="P6" i="622" a="1"/>
  <c r="P6" i="622" s="1"/>
  <c r="L6" i="622" a="1"/>
  <c r="L6" i="622" s="1"/>
  <c r="H6" i="622" a="1"/>
  <c r="H6" i="622" s="1"/>
  <c r="P7" i="622" a="1"/>
  <c r="P7" i="622" s="1"/>
  <c r="L7" i="622" a="1"/>
  <c r="L7" i="622" s="1"/>
  <c r="H7" i="622" a="1"/>
  <c r="H7" i="622" s="1"/>
  <c r="O7" i="622" a="1"/>
  <c r="O7" i="622" s="1"/>
  <c r="K7" i="622" a="1"/>
  <c r="K7" i="622" s="1"/>
  <c r="G7" i="622" a="1"/>
  <c r="G7" i="622" s="1"/>
  <c r="N7" i="622" a="1"/>
  <c r="N7" i="622" s="1"/>
  <c r="J7" i="622" a="1"/>
  <c r="J7" i="622" s="1"/>
  <c r="F7" i="622" a="1"/>
  <c r="F7" i="622" s="1"/>
  <c r="M7" i="622" a="1"/>
  <c r="M7" i="622" s="1"/>
  <c r="I7" i="622" a="1"/>
  <c r="I7" i="622" s="1"/>
  <c r="E7" i="622" a="1"/>
  <c r="E7" i="622" s="1"/>
  <c r="O12" i="622" a="1"/>
  <c r="O12" i="622" s="1"/>
  <c r="K12" i="622" a="1"/>
  <c r="K12" i="622" s="1"/>
  <c r="G12" i="622" a="1"/>
  <c r="G12" i="622" s="1"/>
  <c r="H12" i="622" a="1"/>
  <c r="H12" i="622" s="1"/>
  <c r="N12" i="622" a="1"/>
  <c r="N12" i="622" s="1"/>
  <c r="J12" i="622" a="1"/>
  <c r="J12" i="622" s="1"/>
  <c r="F12" i="622" a="1"/>
  <c r="F12" i="622" s="1"/>
  <c r="M12" i="622" a="1"/>
  <c r="M12" i="622" s="1"/>
  <c r="I12" i="622" a="1"/>
  <c r="I12" i="622" s="1"/>
  <c r="E12" i="622" a="1"/>
  <c r="E12" i="622" s="1"/>
  <c r="L12" i="622" a="1"/>
  <c r="L12" i="622" s="1"/>
  <c r="P12" i="622" a="1"/>
  <c r="P12" i="622" s="1"/>
  <c r="P10" i="622" a="1"/>
  <c r="P10" i="622" s="1"/>
  <c r="L10" i="622" a="1"/>
  <c r="L10" i="622" s="1"/>
  <c r="H10" i="622" a="1"/>
  <c r="H10" i="622" s="1"/>
  <c r="M10" i="622" a="1"/>
  <c r="M10" i="622" s="1"/>
  <c r="E10" i="622" a="1"/>
  <c r="E10" i="622" s="1"/>
  <c r="O10" i="622" a="1"/>
  <c r="O10" i="622" s="1"/>
  <c r="K10" i="622" a="1"/>
  <c r="K10" i="622" s="1"/>
  <c r="G10" i="622" a="1"/>
  <c r="G10" i="622" s="1"/>
  <c r="N10" i="622" a="1"/>
  <c r="N10" i="622" s="1"/>
  <c r="J10" i="622" a="1"/>
  <c r="J10" i="622" s="1"/>
  <c r="F10" i="622" a="1"/>
  <c r="F10" i="622" s="1"/>
  <c r="I10" i="622" a="1"/>
  <c r="I10" i="622" s="1"/>
  <c r="N4" i="622" a="1"/>
  <c r="N4" i="622" s="1"/>
  <c r="J4" i="622" a="1"/>
  <c r="J4" i="622" s="1"/>
  <c r="F4" i="622" a="1"/>
  <c r="F4" i="622" s="1"/>
  <c r="M4" i="622" a="1"/>
  <c r="M4" i="622" s="1"/>
  <c r="I4" i="622" a="1"/>
  <c r="I4" i="622" s="1"/>
  <c r="E4" i="622" a="1"/>
  <c r="E4" i="622" s="1"/>
  <c r="P4" i="622" a="1"/>
  <c r="P4" i="622" s="1"/>
  <c r="L4" i="622" a="1"/>
  <c r="L4" i="622" s="1"/>
  <c r="H4" i="622" a="1"/>
  <c r="H4" i="622" s="1"/>
  <c r="O4" i="622" a="1"/>
  <c r="O4" i="622" s="1"/>
  <c r="K4" i="622" a="1"/>
  <c r="K4" i="622" s="1"/>
  <c r="G4" i="622" a="1"/>
  <c r="G4" i="622" s="1"/>
  <c r="N9" i="622" a="1"/>
  <c r="N9" i="622" s="1"/>
  <c r="J9" i="622" a="1"/>
  <c r="J9" i="622" s="1"/>
  <c r="F9" i="622" a="1"/>
  <c r="F9" i="622" s="1"/>
  <c r="M9" i="622" a="1"/>
  <c r="M9" i="622" s="1"/>
  <c r="I9" i="622" a="1"/>
  <c r="I9" i="622" s="1"/>
  <c r="E9" i="622" a="1"/>
  <c r="E9" i="622" s="1"/>
  <c r="P9" i="622" a="1"/>
  <c r="P9" i="622" s="1"/>
  <c r="L9" i="622" a="1"/>
  <c r="L9" i="622" s="1"/>
  <c r="H9" i="622" a="1"/>
  <c r="H9" i="622" s="1"/>
  <c r="O9" i="622" a="1"/>
  <c r="O9" i="622" s="1"/>
  <c r="K9" i="622" a="1"/>
  <c r="K9" i="622" s="1"/>
  <c r="G9" i="622" a="1"/>
  <c r="G9" i="622" s="1"/>
  <c r="X3" i="622"/>
  <c r="J23" i="622"/>
  <c r="K24" i="622"/>
  <c r="B9" i="622"/>
  <c r="M8" i="621" a="1"/>
  <c r="M8" i="621" s="1"/>
  <c r="I8" i="621" a="1"/>
  <c r="I8" i="621" s="1"/>
  <c r="E8" i="621" a="1"/>
  <c r="E8" i="621" s="1"/>
  <c r="P8" i="621" a="1"/>
  <c r="P8" i="621" s="1"/>
  <c r="L8" i="621" a="1"/>
  <c r="L8" i="621" s="1"/>
  <c r="H8" i="621" a="1"/>
  <c r="H8" i="621" s="1"/>
  <c r="O8" i="621" a="1"/>
  <c r="O8" i="621" s="1"/>
  <c r="K8" i="621" a="1"/>
  <c r="K8" i="621" s="1"/>
  <c r="G8" i="621" a="1"/>
  <c r="G8" i="621" s="1"/>
  <c r="N8" i="621" a="1"/>
  <c r="N8" i="621" s="1"/>
  <c r="J8" i="621" a="1"/>
  <c r="J8" i="621" s="1"/>
  <c r="F8" i="621" a="1"/>
  <c r="F8" i="621" s="1"/>
  <c r="M11" i="621" a="1"/>
  <c r="M11" i="621" s="1"/>
  <c r="I11" i="621" a="1"/>
  <c r="I11" i="621" s="1"/>
  <c r="E11" i="621" a="1"/>
  <c r="E11" i="621" s="1"/>
  <c r="P11" i="621" a="1"/>
  <c r="P11" i="621" s="1"/>
  <c r="L11" i="621" a="1"/>
  <c r="L11" i="621" s="1"/>
  <c r="H11" i="621" a="1"/>
  <c r="H11" i="621" s="1"/>
  <c r="O11" i="621" a="1"/>
  <c r="O11" i="621" s="1"/>
  <c r="K11" i="621" a="1"/>
  <c r="K11" i="621" s="1"/>
  <c r="G11" i="621" a="1"/>
  <c r="G11" i="621" s="1"/>
  <c r="N11" i="621" a="1"/>
  <c r="N11" i="621" s="1"/>
  <c r="J11" i="621" a="1"/>
  <c r="J11" i="621" s="1"/>
  <c r="F11" i="621" a="1"/>
  <c r="F11" i="621" s="1"/>
  <c r="P3" i="621" a="1"/>
  <c r="P3" i="621" s="1"/>
  <c r="L3" i="621" a="1"/>
  <c r="L3" i="621" s="1"/>
  <c r="H3" i="621" a="1"/>
  <c r="H3" i="621" s="1"/>
  <c r="O3" i="621" a="1"/>
  <c r="O3" i="621" s="1"/>
  <c r="K3" i="621" a="1"/>
  <c r="K3" i="621" s="1"/>
  <c r="G3" i="621" a="1"/>
  <c r="G3" i="621" s="1"/>
  <c r="N3" i="621" a="1"/>
  <c r="N3" i="621" s="1"/>
  <c r="J3" i="621" a="1"/>
  <c r="J3" i="621" s="1"/>
  <c r="F3" i="621" a="1"/>
  <c r="F3" i="621" s="1"/>
  <c r="M3" i="621" a="1"/>
  <c r="M3" i="621" s="1"/>
  <c r="I3" i="621" a="1"/>
  <c r="I3" i="621" s="1"/>
  <c r="E3" i="621" a="1"/>
  <c r="E3" i="621" s="1"/>
  <c r="P7" i="621" a="1"/>
  <c r="P7" i="621" s="1"/>
  <c r="L7" i="621" a="1"/>
  <c r="L7" i="621" s="1"/>
  <c r="H7" i="621" a="1"/>
  <c r="H7" i="621" s="1"/>
  <c r="O7" i="621" a="1"/>
  <c r="O7" i="621" s="1"/>
  <c r="K7" i="621" a="1"/>
  <c r="K7" i="621" s="1"/>
  <c r="G7" i="621" a="1"/>
  <c r="G7" i="621" s="1"/>
  <c r="N7" i="621" a="1"/>
  <c r="N7" i="621" s="1"/>
  <c r="J7" i="621" a="1"/>
  <c r="J7" i="621" s="1"/>
  <c r="F7" i="621" a="1"/>
  <c r="F7" i="621" s="1"/>
  <c r="M7" i="621" a="1"/>
  <c r="M7" i="621" s="1"/>
  <c r="I7" i="621" a="1"/>
  <c r="I7" i="621" s="1"/>
  <c r="E7" i="621" a="1"/>
  <c r="E7" i="621" s="1"/>
  <c r="O6" i="621" a="1"/>
  <c r="O6" i="621" s="1"/>
  <c r="K6" i="621" a="1"/>
  <c r="K6" i="621" s="1"/>
  <c r="G6" i="621" a="1"/>
  <c r="G6" i="621" s="1"/>
  <c r="N6" i="621" a="1"/>
  <c r="N6" i="621" s="1"/>
  <c r="J6" i="621" a="1"/>
  <c r="J6" i="621" s="1"/>
  <c r="F6" i="621" a="1"/>
  <c r="F6" i="621" s="1"/>
  <c r="M6" i="621" a="1"/>
  <c r="M6" i="621" s="1"/>
  <c r="I6" i="621" a="1"/>
  <c r="I6" i="621" s="1"/>
  <c r="E6" i="621" a="1"/>
  <c r="E6" i="621" s="1"/>
  <c r="P6" i="621" a="1"/>
  <c r="P6" i="621" s="1"/>
  <c r="L6" i="621" a="1"/>
  <c r="L6" i="621" s="1"/>
  <c r="H6" i="621" a="1"/>
  <c r="H6" i="621" s="1"/>
  <c r="O5" i="621" a="1"/>
  <c r="O5" i="621" s="1"/>
  <c r="K5" i="621" a="1"/>
  <c r="K5" i="621" s="1"/>
  <c r="G5" i="621" a="1"/>
  <c r="G5" i="621" s="1"/>
  <c r="N5" i="621" a="1"/>
  <c r="N5" i="621" s="1"/>
  <c r="J5" i="621" a="1"/>
  <c r="J5" i="621" s="1"/>
  <c r="F5" i="621" a="1"/>
  <c r="F5" i="621" s="1"/>
  <c r="P5" i="621" a="1"/>
  <c r="P5" i="621" s="1"/>
  <c r="H5" i="621" a="1"/>
  <c r="H5" i="621" s="1"/>
  <c r="M5" i="621" a="1"/>
  <c r="M5" i="621" s="1"/>
  <c r="I5" i="621" a="1"/>
  <c r="I5" i="621" s="1"/>
  <c r="E5" i="621" a="1"/>
  <c r="E5" i="621" s="1"/>
  <c r="L5" i="621" a="1"/>
  <c r="L5" i="621" s="1"/>
  <c r="O12" i="621" a="1"/>
  <c r="O12" i="621" s="1"/>
  <c r="K12" i="621" a="1"/>
  <c r="K12" i="621" s="1"/>
  <c r="G12" i="621" a="1"/>
  <c r="G12" i="621" s="1"/>
  <c r="H12" i="621" a="1"/>
  <c r="H12" i="621" s="1"/>
  <c r="L12" i="621" a="1"/>
  <c r="L12" i="621" s="1"/>
  <c r="N12" i="621" a="1"/>
  <c r="N12" i="621" s="1"/>
  <c r="J12" i="621" a="1"/>
  <c r="J12" i="621" s="1"/>
  <c r="F12" i="621" a="1"/>
  <c r="F12" i="621" s="1"/>
  <c r="P12" i="621" a="1"/>
  <c r="P12" i="621" s="1"/>
  <c r="M12" i="621" a="1"/>
  <c r="M12" i="621" s="1"/>
  <c r="I12" i="621" a="1"/>
  <c r="I12" i="621" s="1"/>
  <c r="E12" i="621" a="1"/>
  <c r="E12" i="621" s="1"/>
  <c r="P10" i="621" a="1"/>
  <c r="P10" i="621" s="1"/>
  <c r="L10" i="621" a="1"/>
  <c r="L10" i="621" s="1"/>
  <c r="H10" i="621" a="1"/>
  <c r="H10" i="621" s="1"/>
  <c r="E10" i="621" a="1"/>
  <c r="E10" i="621" s="1"/>
  <c r="O10" i="621" a="1"/>
  <c r="O10" i="621" s="1"/>
  <c r="K10" i="621" a="1"/>
  <c r="K10" i="621" s="1"/>
  <c r="G10" i="621" a="1"/>
  <c r="G10" i="621" s="1"/>
  <c r="M10" i="621" a="1"/>
  <c r="M10" i="621" s="1"/>
  <c r="N10" i="621" a="1"/>
  <c r="N10" i="621" s="1"/>
  <c r="J10" i="621" a="1"/>
  <c r="J10" i="621" s="1"/>
  <c r="F10" i="621" a="1"/>
  <c r="F10" i="621" s="1"/>
  <c r="I10" i="621" a="1"/>
  <c r="I10" i="621" s="1"/>
  <c r="N4" i="621" a="1"/>
  <c r="N4" i="621" s="1"/>
  <c r="J4" i="621" a="1"/>
  <c r="J4" i="621" s="1"/>
  <c r="F4" i="621" a="1"/>
  <c r="F4" i="621" s="1"/>
  <c r="M4" i="621" a="1"/>
  <c r="M4" i="621" s="1"/>
  <c r="I4" i="621" a="1"/>
  <c r="I4" i="621" s="1"/>
  <c r="E4" i="621" a="1"/>
  <c r="E4" i="621" s="1"/>
  <c r="P4" i="621" a="1"/>
  <c r="P4" i="621" s="1"/>
  <c r="L4" i="621" a="1"/>
  <c r="L4" i="621" s="1"/>
  <c r="H4" i="621" a="1"/>
  <c r="H4" i="621" s="1"/>
  <c r="O4" i="621" a="1"/>
  <c r="O4" i="621" s="1"/>
  <c r="K4" i="621" a="1"/>
  <c r="K4" i="621" s="1"/>
  <c r="G4" i="621" a="1"/>
  <c r="G4" i="621" s="1"/>
  <c r="N9" i="621" a="1"/>
  <c r="N9" i="621" s="1"/>
  <c r="J9" i="621" a="1"/>
  <c r="J9" i="621" s="1"/>
  <c r="F9" i="621" a="1"/>
  <c r="F9" i="621" s="1"/>
  <c r="M9" i="621" a="1"/>
  <c r="M9" i="621" s="1"/>
  <c r="I9" i="621" a="1"/>
  <c r="I9" i="621" s="1"/>
  <c r="E9" i="621" a="1"/>
  <c r="E9" i="621" s="1"/>
  <c r="P9" i="621" a="1"/>
  <c r="P9" i="621" s="1"/>
  <c r="L9" i="621" a="1"/>
  <c r="L9" i="621" s="1"/>
  <c r="H9" i="621" a="1"/>
  <c r="H9" i="621" s="1"/>
  <c r="O9" i="621" a="1"/>
  <c r="O9" i="621" s="1"/>
  <c r="K9" i="621" a="1"/>
  <c r="K9" i="621" s="1"/>
  <c r="G9" i="621" a="1"/>
  <c r="G9" i="621" s="1"/>
  <c r="J23" i="621"/>
  <c r="B9" i="621"/>
  <c r="X3" i="621"/>
  <c r="K24" i="621"/>
  <c r="N9" i="620" a="1"/>
  <c r="N9" i="620" s="1"/>
  <c r="J9" i="620" a="1"/>
  <c r="J9" i="620" s="1"/>
  <c r="F9" i="620" a="1"/>
  <c r="F9" i="620" s="1"/>
  <c r="M9" i="620" a="1"/>
  <c r="M9" i="620" s="1"/>
  <c r="I9" i="620" a="1"/>
  <c r="I9" i="620" s="1"/>
  <c r="E9" i="620" a="1"/>
  <c r="E9" i="620" s="1"/>
  <c r="P9" i="620" a="1"/>
  <c r="P9" i="620" s="1"/>
  <c r="L9" i="620" a="1"/>
  <c r="L9" i="620" s="1"/>
  <c r="H9" i="620" a="1"/>
  <c r="H9" i="620" s="1"/>
  <c r="O9" i="620" a="1"/>
  <c r="O9" i="620" s="1"/>
  <c r="K9" i="620" a="1"/>
  <c r="K9" i="620" s="1"/>
  <c r="G9" i="620" a="1"/>
  <c r="G9" i="620" s="1"/>
  <c r="M8" i="620" a="1"/>
  <c r="M8" i="620" s="1"/>
  <c r="I8" i="620" a="1"/>
  <c r="I8" i="620" s="1"/>
  <c r="E8" i="620" a="1"/>
  <c r="E8" i="620" s="1"/>
  <c r="P8" i="620" a="1"/>
  <c r="P8" i="620" s="1"/>
  <c r="L8" i="620" a="1"/>
  <c r="L8" i="620" s="1"/>
  <c r="H8" i="620" a="1"/>
  <c r="H8" i="620" s="1"/>
  <c r="O8" i="620" a="1"/>
  <c r="O8" i="620" s="1"/>
  <c r="K8" i="620" a="1"/>
  <c r="K8" i="620" s="1"/>
  <c r="G8" i="620" a="1"/>
  <c r="G8" i="620" s="1"/>
  <c r="N8" i="620" a="1"/>
  <c r="N8" i="620" s="1"/>
  <c r="J8" i="620" a="1"/>
  <c r="J8" i="620" s="1"/>
  <c r="F8" i="620" a="1"/>
  <c r="F8" i="620" s="1"/>
  <c r="M11" i="620" a="1"/>
  <c r="M11" i="620" s="1"/>
  <c r="I11" i="620" a="1"/>
  <c r="I11" i="620" s="1"/>
  <c r="E11" i="620" a="1"/>
  <c r="E11" i="620" s="1"/>
  <c r="P11" i="620" a="1"/>
  <c r="P11" i="620" s="1"/>
  <c r="L11" i="620" a="1"/>
  <c r="L11" i="620" s="1"/>
  <c r="H11" i="620" a="1"/>
  <c r="H11" i="620" s="1"/>
  <c r="O11" i="620" a="1"/>
  <c r="O11" i="620" s="1"/>
  <c r="K11" i="620" a="1"/>
  <c r="K11" i="620" s="1"/>
  <c r="G11" i="620" a="1"/>
  <c r="G11" i="620" s="1"/>
  <c r="N11" i="620" a="1"/>
  <c r="N11" i="620" s="1"/>
  <c r="J11" i="620" a="1"/>
  <c r="J11" i="620" s="1"/>
  <c r="F11" i="620" a="1"/>
  <c r="F11" i="620" s="1"/>
  <c r="P3" i="620" a="1"/>
  <c r="P3" i="620" s="1"/>
  <c r="L3" i="620" a="1"/>
  <c r="L3" i="620" s="1"/>
  <c r="H3" i="620" a="1"/>
  <c r="H3" i="620" s="1"/>
  <c r="O3" i="620" a="1"/>
  <c r="O3" i="620" s="1"/>
  <c r="K3" i="620" a="1"/>
  <c r="K3" i="620" s="1"/>
  <c r="G3" i="620" a="1"/>
  <c r="G3" i="620" s="1"/>
  <c r="N3" i="620" a="1"/>
  <c r="N3" i="620" s="1"/>
  <c r="J3" i="620" a="1"/>
  <c r="J3" i="620" s="1"/>
  <c r="F3" i="620" a="1"/>
  <c r="F3" i="620" s="1"/>
  <c r="M3" i="620" a="1"/>
  <c r="M3" i="620" s="1"/>
  <c r="I3" i="620" a="1"/>
  <c r="I3" i="620" s="1"/>
  <c r="E3" i="620" a="1"/>
  <c r="E3" i="620" s="1"/>
  <c r="O6" i="620" a="1"/>
  <c r="O6" i="620" s="1"/>
  <c r="K6" i="620" a="1"/>
  <c r="K6" i="620" s="1"/>
  <c r="G6" i="620" a="1"/>
  <c r="G6" i="620" s="1"/>
  <c r="N6" i="620" a="1"/>
  <c r="N6" i="620" s="1"/>
  <c r="J6" i="620" a="1"/>
  <c r="J6" i="620" s="1"/>
  <c r="F6" i="620" a="1"/>
  <c r="F6" i="620" s="1"/>
  <c r="M6" i="620" a="1"/>
  <c r="M6" i="620" s="1"/>
  <c r="I6" i="620" a="1"/>
  <c r="I6" i="620" s="1"/>
  <c r="E6" i="620" a="1"/>
  <c r="E6" i="620" s="1"/>
  <c r="P6" i="620" a="1"/>
  <c r="P6" i="620" s="1"/>
  <c r="L6" i="620" a="1"/>
  <c r="L6" i="620" s="1"/>
  <c r="H6" i="620" a="1"/>
  <c r="H6" i="620" s="1"/>
  <c r="P7" i="620" a="1"/>
  <c r="P7" i="620" s="1"/>
  <c r="L7" i="620" a="1"/>
  <c r="L7" i="620" s="1"/>
  <c r="H7" i="620" a="1"/>
  <c r="H7" i="620" s="1"/>
  <c r="O7" i="620" a="1"/>
  <c r="O7" i="620" s="1"/>
  <c r="K7" i="620" a="1"/>
  <c r="K7" i="620" s="1"/>
  <c r="G7" i="620" a="1"/>
  <c r="G7" i="620" s="1"/>
  <c r="N7" i="620" a="1"/>
  <c r="N7" i="620" s="1"/>
  <c r="J7" i="620" a="1"/>
  <c r="J7" i="620" s="1"/>
  <c r="F7" i="620" a="1"/>
  <c r="F7" i="620" s="1"/>
  <c r="M7" i="620" a="1"/>
  <c r="M7" i="620" s="1"/>
  <c r="I7" i="620" a="1"/>
  <c r="I7" i="620" s="1"/>
  <c r="E7" i="620" a="1"/>
  <c r="E7" i="620" s="1"/>
  <c r="O5" i="620" a="1"/>
  <c r="O5" i="620" s="1"/>
  <c r="K5" i="620" a="1"/>
  <c r="K5" i="620" s="1"/>
  <c r="G5" i="620" a="1"/>
  <c r="G5" i="620" s="1"/>
  <c r="N5" i="620" a="1"/>
  <c r="N5" i="620" s="1"/>
  <c r="J5" i="620" a="1"/>
  <c r="J5" i="620" s="1"/>
  <c r="F5" i="620" a="1"/>
  <c r="F5" i="620" s="1"/>
  <c r="M5" i="620" a="1"/>
  <c r="M5" i="620" s="1"/>
  <c r="I5" i="620" a="1"/>
  <c r="I5" i="620" s="1"/>
  <c r="E5" i="620" a="1"/>
  <c r="E5" i="620" s="1"/>
  <c r="P5" i="620" a="1"/>
  <c r="P5" i="620" s="1"/>
  <c r="L5" i="620" a="1"/>
  <c r="L5" i="620" s="1"/>
  <c r="H5" i="620" a="1"/>
  <c r="H5" i="620" s="1"/>
  <c r="P10" i="620" a="1"/>
  <c r="P10" i="620" s="1"/>
  <c r="L10" i="620" a="1"/>
  <c r="L10" i="620" s="1"/>
  <c r="H10" i="620" a="1"/>
  <c r="H10" i="620" s="1"/>
  <c r="O10" i="620" a="1"/>
  <c r="O10" i="620" s="1"/>
  <c r="K10" i="620" a="1"/>
  <c r="K10" i="620" s="1"/>
  <c r="G10" i="620" a="1"/>
  <c r="G10" i="620" s="1"/>
  <c r="N10" i="620" a="1"/>
  <c r="N10" i="620" s="1"/>
  <c r="J10" i="620" a="1"/>
  <c r="J10" i="620" s="1"/>
  <c r="F10" i="620" a="1"/>
  <c r="F10" i="620" s="1"/>
  <c r="M10" i="620" a="1"/>
  <c r="M10" i="620" s="1"/>
  <c r="I10" i="620" a="1"/>
  <c r="I10" i="620" s="1"/>
  <c r="E10" i="620" a="1"/>
  <c r="E10" i="620" s="1"/>
  <c r="O12" i="620" a="1"/>
  <c r="O12" i="620" s="1"/>
  <c r="K12" i="620" a="1"/>
  <c r="K12" i="620" s="1"/>
  <c r="G12" i="620" a="1"/>
  <c r="G12" i="620" s="1"/>
  <c r="N12" i="620" a="1"/>
  <c r="N12" i="620" s="1"/>
  <c r="J12" i="620" a="1"/>
  <c r="J12" i="620" s="1"/>
  <c r="F12" i="620" a="1"/>
  <c r="F12" i="620" s="1"/>
  <c r="M12" i="620" a="1"/>
  <c r="M12" i="620" s="1"/>
  <c r="I12" i="620" a="1"/>
  <c r="I12" i="620" s="1"/>
  <c r="E12" i="620" a="1"/>
  <c r="E12" i="620" s="1"/>
  <c r="P12" i="620" a="1"/>
  <c r="P12" i="620" s="1"/>
  <c r="L12" i="620" a="1"/>
  <c r="L12" i="620" s="1"/>
  <c r="H12" i="620" a="1"/>
  <c r="H12" i="620" s="1"/>
  <c r="N4" i="620" a="1"/>
  <c r="N4" i="620" s="1"/>
  <c r="J4" i="620" a="1"/>
  <c r="J4" i="620" s="1"/>
  <c r="F4" i="620" a="1"/>
  <c r="F4" i="620" s="1"/>
  <c r="M4" i="620" a="1"/>
  <c r="M4" i="620" s="1"/>
  <c r="I4" i="620" a="1"/>
  <c r="I4" i="620" s="1"/>
  <c r="E4" i="620" a="1"/>
  <c r="E4" i="620" s="1"/>
  <c r="P4" i="620" a="1"/>
  <c r="P4" i="620" s="1"/>
  <c r="L4" i="620" a="1"/>
  <c r="L4" i="620" s="1"/>
  <c r="H4" i="620" a="1"/>
  <c r="H4" i="620" s="1"/>
  <c r="O4" i="620" a="1"/>
  <c r="O4" i="620" s="1"/>
  <c r="K4" i="620" a="1"/>
  <c r="K4" i="620" s="1"/>
  <c r="G4" i="620" a="1"/>
  <c r="G4" i="620" s="1"/>
  <c r="J23" i="620"/>
  <c r="K24" i="620"/>
  <c r="B9" i="620"/>
  <c r="X3" i="620"/>
  <c r="N9" i="619" a="1"/>
  <c r="N9" i="619" s="1"/>
  <c r="J9" i="619" a="1"/>
  <c r="J9" i="619" s="1"/>
  <c r="F9" i="619" a="1"/>
  <c r="F9" i="619" s="1"/>
  <c r="M9" i="619" a="1"/>
  <c r="M9" i="619" s="1"/>
  <c r="I9" i="619" a="1"/>
  <c r="I9" i="619" s="1"/>
  <c r="E9" i="619" a="1"/>
  <c r="E9" i="619" s="1"/>
  <c r="P9" i="619" a="1"/>
  <c r="P9" i="619" s="1"/>
  <c r="L9" i="619" a="1"/>
  <c r="L9" i="619" s="1"/>
  <c r="H9" i="619" a="1"/>
  <c r="H9" i="619" s="1"/>
  <c r="O9" i="619" a="1"/>
  <c r="O9" i="619" s="1"/>
  <c r="K9" i="619" a="1"/>
  <c r="K9" i="619" s="1"/>
  <c r="G9" i="619" a="1"/>
  <c r="G9" i="619" s="1"/>
  <c r="M8" i="619" a="1"/>
  <c r="M8" i="619" s="1"/>
  <c r="I8" i="619" a="1"/>
  <c r="I8" i="619" s="1"/>
  <c r="E8" i="619" a="1"/>
  <c r="E8" i="619" s="1"/>
  <c r="P8" i="619" a="1"/>
  <c r="P8" i="619" s="1"/>
  <c r="L8" i="619" a="1"/>
  <c r="L8" i="619" s="1"/>
  <c r="H8" i="619" a="1"/>
  <c r="H8" i="619" s="1"/>
  <c r="O8" i="619" a="1"/>
  <c r="O8" i="619" s="1"/>
  <c r="K8" i="619" a="1"/>
  <c r="K8" i="619" s="1"/>
  <c r="G8" i="619" a="1"/>
  <c r="G8" i="619" s="1"/>
  <c r="N8" i="619" a="1"/>
  <c r="N8" i="619" s="1"/>
  <c r="J8" i="619" a="1"/>
  <c r="J8" i="619" s="1"/>
  <c r="F8" i="619" a="1"/>
  <c r="F8" i="619" s="1"/>
  <c r="M11" i="619" a="1"/>
  <c r="M11" i="619" s="1"/>
  <c r="I11" i="619" a="1"/>
  <c r="I11" i="619" s="1"/>
  <c r="E11" i="619" a="1"/>
  <c r="E11" i="619" s="1"/>
  <c r="P11" i="619" a="1"/>
  <c r="P11" i="619" s="1"/>
  <c r="L11" i="619" a="1"/>
  <c r="L11" i="619" s="1"/>
  <c r="H11" i="619" a="1"/>
  <c r="H11" i="619" s="1"/>
  <c r="O11" i="619" a="1"/>
  <c r="O11" i="619" s="1"/>
  <c r="K11" i="619" a="1"/>
  <c r="K11" i="619" s="1"/>
  <c r="G11" i="619" a="1"/>
  <c r="G11" i="619" s="1"/>
  <c r="N11" i="619" a="1"/>
  <c r="N11" i="619" s="1"/>
  <c r="J11" i="619" a="1"/>
  <c r="J11" i="619" s="1"/>
  <c r="F11" i="619" a="1"/>
  <c r="F11" i="619" s="1"/>
  <c r="P3" i="619" a="1"/>
  <c r="P3" i="619" s="1"/>
  <c r="L3" i="619" a="1"/>
  <c r="L3" i="619" s="1"/>
  <c r="H3" i="619" a="1"/>
  <c r="H3" i="619" s="1"/>
  <c r="O3" i="619" a="1"/>
  <c r="O3" i="619" s="1"/>
  <c r="K3" i="619" a="1"/>
  <c r="K3" i="619" s="1"/>
  <c r="G3" i="619" a="1"/>
  <c r="G3" i="619" s="1"/>
  <c r="N3" i="619" a="1"/>
  <c r="N3" i="619" s="1"/>
  <c r="J3" i="619" a="1"/>
  <c r="J3" i="619" s="1"/>
  <c r="F3" i="619" a="1"/>
  <c r="F3" i="619" s="1"/>
  <c r="M3" i="619" a="1"/>
  <c r="M3" i="619" s="1"/>
  <c r="I3" i="619" a="1"/>
  <c r="I3" i="619" s="1"/>
  <c r="E3" i="619" a="1"/>
  <c r="E3" i="619" s="1"/>
  <c r="O6" i="619" a="1"/>
  <c r="O6" i="619" s="1"/>
  <c r="K6" i="619" a="1"/>
  <c r="K6" i="619" s="1"/>
  <c r="G6" i="619" a="1"/>
  <c r="G6" i="619" s="1"/>
  <c r="N6" i="619" a="1"/>
  <c r="N6" i="619" s="1"/>
  <c r="J6" i="619" a="1"/>
  <c r="J6" i="619" s="1"/>
  <c r="F6" i="619" a="1"/>
  <c r="F6" i="619" s="1"/>
  <c r="M6" i="619" a="1"/>
  <c r="M6" i="619" s="1"/>
  <c r="I6" i="619" a="1"/>
  <c r="I6" i="619" s="1"/>
  <c r="E6" i="619" a="1"/>
  <c r="E6" i="619" s="1"/>
  <c r="P6" i="619" a="1"/>
  <c r="P6" i="619" s="1"/>
  <c r="L6" i="619" a="1"/>
  <c r="L6" i="619" s="1"/>
  <c r="H6" i="619" a="1"/>
  <c r="H6" i="619" s="1"/>
  <c r="P7" i="619" a="1"/>
  <c r="P7" i="619" s="1"/>
  <c r="L7" i="619" a="1"/>
  <c r="L7" i="619" s="1"/>
  <c r="H7" i="619" a="1"/>
  <c r="H7" i="619" s="1"/>
  <c r="O7" i="619" a="1"/>
  <c r="O7" i="619" s="1"/>
  <c r="K7" i="619" a="1"/>
  <c r="K7" i="619" s="1"/>
  <c r="G7" i="619" a="1"/>
  <c r="G7" i="619" s="1"/>
  <c r="N7" i="619" a="1"/>
  <c r="N7" i="619" s="1"/>
  <c r="J7" i="619" a="1"/>
  <c r="J7" i="619" s="1"/>
  <c r="F7" i="619" a="1"/>
  <c r="F7" i="619" s="1"/>
  <c r="M7" i="619" a="1"/>
  <c r="M7" i="619" s="1"/>
  <c r="I7" i="619" a="1"/>
  <c r="I7" i="619" s="1"/>
  <c r="E7" i="619" a="1"/>
  <c r="E7" i="619" s="1"/>
  <c r="O5" i="619" a="1"/>
  <c r="O5" i="619" s="1"/>
  <c r="K5" i="619" a="1"/>
  <c r="K5" i="619" s="1"/>
  <c r="G5" i="619" a="1"/>
  <c r="G5" i="619" s="1"/>
  <c r="N5" i="619" a="1"/>
  <c r="N5" i="619" s="1"/>
  <c r="J5" i="619" a="1"/>
  <c r="J5" i="619" s="1"/>
  <c r="F5" i="619" a="1"/>
  <c r="F5" i="619" s="1"/>
  <c r="M5" i="619" a="1"/>
  <c r="M5" i="619" s="1"/>
  <c r="I5" i="619" a="1"/>
  <c r="I5" i="619" s="1"/>
  <c r="E5" i="619" a="1"/>
  <c r="E5" i="619" s="1"/>
  <c r="P5" i="619" a="1"/>
  <c r="P5" i="619" s="1"/>
  <c r="L5" i="619" a="1"/>
  <c r="L5" i="619" s="1"/>
  <c r="H5" i="619" a="1"/>
  <c r="H5" i="619" s="1"/>
  <c r="P10" i="619" a="1"/>
  <c r="P10" i="619" s="1"/>
  <c r="L10" i="619" a="1"/>
  <c r="L10" i="619" s="1"/>
  <c r="H10" i="619" a="1"/>
  <c r="H10" i="619" s="1"/>
  <c r="O10" i="619" a="1"/>
  <c r="O10" i="619" s="1"/>
  <c r="K10" i="619" a="1"/>
  <c r="K10" i="619" s="1"/>
  <c r="G10" i="619" a="1"/>
  <c r="G10" i="619" s="1"/>
  <c r="N10" i="619" a="1"/>
  <c r="N10" i="619" s="1"/>
  <c r="J10" i="619" a="1"/>
  <c r="J10" i="619" s="1"/>
  <c r="F10" i="619" a="1"/>
  <c r="F10" i="619" s="1"/>
  <c r="M10" i="619" a="1"/>
  <c r="M10" i="619" s="1"/>
  <c r="I10" i="619" a="1"/>
  <c r="I10" i="619" s="1"/>
  <c r="E10" i="619" a="1"/>
  <c r="E10" i="619" s="1"/>
  <c r="O12" i="619" a="1"/>
  <c r="O12" i="619" s="1"/>
  <c r="K12" i="619" a="1"/>
  <c r="K12" i="619" s="1"/>
  <c r="G12" i="619" a="1"/>
  <c r="G12" i="619" s="1"/>
  <c r="N12" i="619" a="1"/>
  <c r="N12" i="619" s="1"/>
  <c r="J12" i="619" a="1"/>
  <c r="J12" i="619" s="1"/>
  <c r="F12" i="619" a="1"/>
  <c r="F12" i="619" s="1"/>
  <c r="M12" i="619" a="1"/>
  <c r="M12" i="619" s="1"/>
  <c r="I12" i="619" a="1"/>
  <c r="I12" i="619" s="1"/>
  <c r="E12" i="619" a="1"/>
  <c r="E12" i="619" s="1"/>
  <c r="P12" i="619" a="1"/>
  <c r="P12" i="619" s="1"/>
  <c r="L12" i="619" a="1"/>
  <c r="L12" i="619" s="1"/>
  <c r="H12" i="619" a="1"/>
  <c r="H12" i="619" s="1"/>
  <c r="N4" i="619" a="1"/>
  <c r="N4" i="619" s="1"/>
  <c r="J4" i="619" a="1"/>
  <c r="J4" i="619" s="1"/>
  <c r="F4" i="619" a="1"/>
  <c r="F4" i="619" s="1"/>
  <c r="M4" i="619" a="1"/>
  <c r="M4" i="619" s="1"/>
  <c r="I4" i="619" a="1"/>
  <c r="I4" i="619" s="1"/>
  <c r="E4" i="619" a="1"/>
  <c r="E4" i="619" s="1"/>
  <c r="P4" i="619" a="1"/>
  <c r="P4" i="619" s="1"/>
  <c r="L4" i="619" a="1"/>
  <c r="L4" i="619" s="1"/>
  <c r="H4" i="619" a="1"/>
  <c r="H4" i="619" s="1"/>
  <c r="O4" i="619" a="1"/>
  <c r="O4" i="619" s="1"/>
  <c r="K4" i="619" a="1"/>
  <c r="K4" i="619" s="1"/>
  <c r="G4" i="619" a="1"/>
  <c r="G4" i="619" s="1"/>
  <c r="J23" i="619"/>
  <c r="K24" i="619"/>
  <c r="B9" i="619"/>
  <c r="X3" i="619"/>
  <c r="N9" i="618" a="1"/>
  <c r="N9" i="618" s="1"/>
  <c r="J9" i="618" a="1"/>
  <c r="J9" i="618" s="1"/>
  <c r="F9" i="618" a="1"/>
  <c r="F9" i="618" s="1"/>
  <c r="M9" i="618" a="1"/>
  <c r="M9" i="618" s="1"/>
  <c r="I9" i="618" a="1"/>
  <c r="I9" i="618" s="1"/>
  <c r="E9" i="618" a="1"/>
  <c r="E9" i="618" s="1"/>
  <c r="P9" i="618" a="1"/>
  <c r="P9" i="618" s="1"/>
  <c r="L9" i="618" a="1"/>
  <c r="L9" i="618" s="1"/>
  <c r="H9" i="618" a="1"/>
  <c r="H9" i="618" s="1"/>
  <c r="O9" i="618" a="1"/>
  <c r="O9" i="618" s="1"/>
  <c r="K9" i="618" a="1"/>
  <c r="K9" i="618" s="1"/>
  <c r="G9" i="618" a="1"/>
  <c r="G9" i="618" s="1"/>
  <c r="M8" i="618" a="1"/>
  <c r="M8" i="618" s="1"/>
  <c r="I8" i="618" a="1"/>
  <c r="I8" i="618" s="1"/>
  <c r="E8" i="618" a="1"/>
  <c r="E8" i="618" s="1"/>
  <c r="P8" i="618" a="1"/>
  <c r="P8" i="618" s="1"/>
  <c r="L8" i="618" a="1"/>
  <c r="L8" i="618" s="1"/>
  <c r="H8" i="618" a="1"/>
  <c r="H8" i="618" s="1"/>
  <c r="O8" i="618" a="1"/>
  <c r="O8" i="618" s="1"/>
  <c r="K8" i="618" a="1"/>
  <c r="K8" i="618" s="1"/>
  <c r="G8" i="618" a="1"/>
  <c r="G8" i="618" s="1"/>
  <c r="N8" i="618" a="1"/>
  <c r="N8" i="618" s="1"/>
  <c r="J8" i="618" a="1"/>
  <c r="J8" i="618" s="1"/>
  <c r="F8" i="618" a="1"/>
  <c r="F8" i="618" s="1"/>
  <c r="M11" i="618" a="1"/>
  <c r="M11" i="618" s="1"/>
  <c r="I11" i="618" a="1"/>
  <c r="I11" i="618" s="1"/>
  <c r="E11" i="618" a="1"/>
  <c r="E11" i="618" s="1"/>
  <c r="P11" i="618" a="1"/>
  <c r="P11" i="618" s="1"/>
  <c r="L11" i="618" a="1"/>
  <c r="L11" i="618" s="1"/>
  <c r="H11" i="618" a="1"/>
  <c r="H11" i="618" s="1"/>
  <c r="O11" i="618" a="1"/>
  <c r="O11" i="618" s="1"/>
  <c r="K11" i="618" a="1"/>
  <c r="K11" i="618" s="1"/>
  <c r="G11" i="618" a="1"/>
  <c r="G11" i="618" s="1"/>
  <c r="N11" i="618" a="1"/>
  <c r="N11" i="618" s="1"/>
  <c r="J11" i="618" a="1"/>
  <c r="J11" i="618" s="1"/>
  <c r="F11" i="618" a="1"/>
  <c r="F11" i="618" s="1"/>
  <c r="P3" i="618" a="1"/>
  <c r="P3" i="618" s="1"/>
  <c r="L3" i="618" a="1"/>
  <c r="L3" i="618" s="1"/>
  <c r="H3" i="618" a="1"/>
  <c r="H3" i="618" s="1"/>
  <c r="O3" i="618" a="1"/>
  <c r="O3" i="618" s="1"/>
  <c r="K3" i="618" a="1"/>
  <c r="K3" i="618" s="1"/>
  <c r="G3" i="618" a="1"/>
  <c r="G3" i="618" s="1"/>
  <c r="N3" i="618" a="1"/>
  <c r="N3" i="618" s="1"/>
  <c r="J3" i="618" a="1"/>
  <c r="J3" i="618" s="1"/>
  <c r="F3" i="618" a="1"/>
  <c r="F3" i="618" s="1"/>
  <c r="M3" i="618" a="1"/>
  <c r="M3" i="618" s="1"/>
  <c r="I3" i="618" a="1"/>
  <c r="I3" i="618" s="1"/>
  <c r="E3" i="618" a="1"/>
  <c r="E3" i="618" s="1"/>
  <c r="O6" i="618" a="1"/>
  <c r="O6" i="618" s="1"/>
  <c r="K6" i="618" a="1"/>
  <c r="K6" i="618" s="1"/>
  <c r="G6" i="618" a="1"/>
  <c r="G6" i="618" s="1"/>
  <c r="N6" i="618" a="1"/>
  <c r="N6" i="618" s="1"/>
  <c r="J6" i="618" a="1"/>
  <c r="J6" i="618" s="1"/>
  <c r="F6" i="618" a="1"/>
  <c r="F6" i="618" s="1"/>
  <c r="M6" i="618" a="1"/>
  <c r="M6" i="618" s="1"/>
  <c r="I6" i="618" a="1"/>
  <c r="I6" i="618" s="1"/>
  <c r="E6" i="618" a="1"/>
  <c r="E6" i="618" s="1"/>
  <c r="P6" i="618" a="1"/>
  <c r="P6" i="618" s="1"/>
  <c r="L6" i="618" a="1"/>
  <c r="L6" i="618" s="1"/>
  <c r="H6" i="618" a="1"/>
  <c r="H6" i="618" s="1"/>
  <c r="P7" i="618" a="1"/>
  <c r="P7" i="618" s="1"/>
  <c r="L7" i="618" a="1"/>
  <c r="L7" i="618" s="1"/>
  <c r="H7" i="618" a="1"/>
  <c r="H7" i="618" s="1"/>
  <c r="O7" i="618" a="1"/>
  <c r="O7" i="618" s="1"/>
  <c r="K7" i="618" a="1"/>
  <c r="K7" i="618" s="1"/>
  <c r="G7" i="618" a="1"/>
  <c r="G7" i="618" s="1"/>
  <c r="N7" i="618" a="1"/>
  <c r="N7" i="618" s="1"/>
  <c r="J7" i="618" a="1"/>
  <c r="J7" i="618" s="1"/>
  <c r="F7" i="618" a="1"/>
  <c r="F7" i="618" s="1"/>
  <c r="M7" i="618" a="1"/>
  <c r="M7" i="618" s="1"/>
  <c r="I7" i="618" a="1"/>
  <c r="I7" i="618" s="1"/>
  <c r="E7" i="618" a="1"/>
  <c r="E7" i="618" s="1"/>
  <c r="O5" i="618" a="1"/>
  <c r="O5" i="618" s="1"/>
  <c r="K5" i="618" a="1"/>
  <c r="K5" i="618" s="1"/>
  <c r="G5" i="618" a="1"/>
  <c r="G5" i="618" s="1"/>
  <c r="H5" i="618" a="1"/>
  <c r="H5" i="618" s="1"/>
  <c r="N5" i="618" a="1"/>
  <c r="N5" i="618" s="1"/>
  <c r="J5" i="618" a="1"/>
  <c r="J5" i="618" s="1"/>
  <c r="F5" i="618" a="1"/>
  <c r="F5" i="618" s="1"/>
  <c r="M5" i="618" a="1"/>
  <c r="M5" i="618" s="1"/>
  <c r="I5" i="618" a="1"/>
  <c r="I5" i="618" s="1"/>
  <c r="E5" i="618" a="1"/>
  <c r="E5" i="618" s="1"/>
  <c r="P5" i="618" a="1"/>
  <c r="P5" i="618" s="1"/>
  <c r="L5" i="618" a="1"/>
  <c r="L5" i="618" s="1"/>
  <c r="P10" i="618" a="1"/>
  <c r="P10" i="618" s="1"/>
  <c r="L10" i="618" a="1"/>
  <c r="L10" i="618" s="1"/>
  <c r="H10" i="618" a="1"/>
  <c r="H10" i="618" s="1"/>
  <c r="I10" i="618" a="1"/>
  <c r="I10" i="618" s="1"/>
  <c r="O10" i="618" a="1"/>
  <c r="O10" i="618" s="1"/>
  <c r="K10" i="618" a="1"/>
  <c r="K10" i="618" s="1"/>
  <c r="G10" i="618" a="1"/>
  <c r="G10" i="618" s="1"/>
  <c r="M10" i="618" a="1"/>
  <c r="M10" i="618" s="1"/>
  <c r="N10" i="618" a="1"/>
  <c r="N10" i="618" s="1"/>
  <c r="J10" i="618" a="1"/>
  <c r="J10" i="618" s="1"/>
  <c r="F10" i="618" a="1"/>
  <c r="F10" i="618" s="1"/>
  <c r="E10" i="618" a="1"/>
  <c r="E10" i="618" s="1"/>
  <c r="O12" i="618" a="1"/>
  <c r="O12" i="618" s="1"/>
  <c r="K12" i="618" a="1"/>
  <c r="K12" i="618" s="1"/>
  <c r="G12" i="618" a="1"/>
  <c r="G12" i="618" s="1"/>
  <c r="N12" i="618" a="1"/>
  <c r="N12" i="618" s="1"/>
  <c r="J12" i="618" a="1"/>
  <c r="J12" i="618" s="1"/>
  <c r="F12" i="618" a="1"/>
  <c r="F12" i="618" s="1"/>
  <c r="P12" i="618" a="1"/>
  <c r="P12" i="618" s="1"/>
  <c r="H12" i="618" a="1"/>
  <c r="H12" i="618" s="1"/>
  <c r="M12" i="618" a="1"/>
  <c r="M12" i="618" s="1"/>
  <c r="I12" i="618" a="1"/>
  <c r="I12" i="618" s="1"/>
  <c r="E12" i="618" a="1"/>
  <c r="E12" i="618" s="1"/>
  <c r="L12" i="618" a="1"/>
  <c r="L12" i="618" s="1"/>
  <c r="N4" i="618" a="1"/>
  <c r="N4" i="618" s="1"/>
  <c r="J4" i="618" a="1"/>
  <c r="J4" i="618" s="1"/>
  <c r="F4" i="618" a="1"/>
  <c r="F4" i="618" s="1"/>
  <c r="M4" i="618" a="1"/>
  <c r="M4" i="618" s="1"/>
  <c r="I4" i="618" a="1"/>
  <c r="I4" i="618" s="1"/>
  <c r="E4" i="618" a="1"/>
  <c r="E4" i="618" s="1"/>
  <c r="P4" i="618" a="1"/>
  <c r="P4" i="618" s="1"/>
  <c r="L4" i="618" a="1"/>
  <c r="L4" i="618" s="1"/>
  <c r="H4" i="618" a="1"/>
  <c r="H4" i="618" s="1"/>
  <c r="O4" i="618" a="1"/>
  <c r="O4" i="618" s="1"/>
  <c r="K4" i="618" a="1"/>
  <c r="K4" i="618" s="1"/>
  <c r="G4" i="618" a="1"/>
  <c r="G4" i="618" s="1"/>
  <c r="J23" i="618"/>
  <c r="B9" i="618"/>
  <c r="X3" i="618"/>
  <c r="K24" i="618"/>
  <c r="N9" i="617" a="1"/>
  <c r="N9" i="617" s="1"/>
  <c r="J9" i="617" a="1"/>
  <c r="J9" i="617" s="1"/>
  <c r="F9" i="617" a="1"/>
  <c r="F9" i="617" s="1"/>
  <c r="M9" i="617" a="1"/>
  <c r="M9" i="617" s="1"/>
  <c r="I9" i="617" a="1"/>
  <c r="I9" i="617" s="1"/>
  <c r="E9" i="617" a="1"/>
  <c r="E9" i="617" s="1"/>
  <c r="P9" i="617" a="1"/>
  <c r="P9" i="617" s="1"/>
  <c r="L9" i="617" a="1"/>
  <c r="L9" i="617" s="1"/>
  <c r="H9" i="617" a="1"/>
  <c r="H9" i="617" s="1"/>
  <c r="O9" i="617" a="1"/>
  <c r="O9" i="617" s="1"/>
  <c r="K9" i="617" a="1"/>
  <c r="K9" i="617" s="1"/>
  <c r="G9" i="617" a="1"/>
  <c r="G9" i="617" s="1"/>
  <c r="M8" i="617" a="1"/>
  <c r="M8" i="617" s="1"/>
  <c r="I8" i="617" a="1"/>
  <c r="I8" i="617" s="1"/>
  <c r="E8" i="617" a="1"/>
  <c r="E8" i="617" s="1"/>
  <c r="P8" i="617" a="1"/>
  <c r="P8" i="617" s="1"/>
  <c r="L8" i="617" a="1"/>
  <c r="L8" i="617" s="1"/>
  <c r="H8" i="617" a="1"/>
  <c r="H8" i="617" s="1"/>
  <c r="O8" i="617" a="1"/>
  <c r="O8" i="617" s="1"/>
  <c r="K8" i="617" a="1"/>
  <c r="K8" i="617" s="1"/>
  <c r="G8" i="617" a="1"/>
  <c r="G8" i="617" s="1"/>
  <c r="N8" i="617" a="1"/>
  <c r="N8" i="617" s="1"/>
  <c r="J8" i="617" a="1"/>
  <c r="J8" i="617" s="1"/>
  <c r="F8" i="617" a="1"/>
  <c r="F8" i="617" s="1"/>
  <c r="M11" i="617" a="1"/>
  <c r="M11" i="617" s="1"/>
  <c r="I11" i="617" a="1"/>
  <c r="I11" i="617" s="1"/>
  <c r="E11" i="617" a="1"/>
  <c r="E11" i="617" s="1"/>
  <c r="P11" i="617" a="1"/>
  <c r="P11" i="617" s="1"/>
  <c r="L11" i="617" a="1"/>
  <c r="L11" i="617" s="1"/>
  <c r="H11" i="617" a="1"/>
  <c r="H11" i="617" s="1"/>
  <c r="O11" i="617" a="1"/>
  <c r="O11" i="617" s="1"/>
  <c r="K11" i="617" a="1"/>
  <c r="K11" i="617" s="1"/>
  <c r="G11" i="617" a="1"/>
  <c r="G11" i="617" s="1"/>
  <c r="N11" i="617" a="1"/>
  <c r="N11" i="617" s="1"/>
  <c r="J11" i="617" a="1"/>
  <c r="J11" i="617" s="1"/>
  <c r="F11" i="617" a="1"/>
  <c r="F11" i="617" s="1"/>
  <c r="P3" i="617" a="1"/>
  <c r="P3" i="617" s="1"/>
  <c r="L3" i="617" a="1"/>
  <c r="L3" i="617" s="1"/>
  <c r="H3" i="617" a="1"/>
  <c r="H3" i="617" s="1"/>
  <c r="O3" i="617" a="1"/>
  <c r="O3" i="617" s="1"/>
  <c r="K3" i="617" a="1"/>
  <c r="K3" i="617" s="1"/>
  <c r="G3" i="617" a="1"/>
  <c r="G3" i="617" s="1"/>
  <c r="N3" i="617" a="1"/>
  <c r="N3" i="617" s="1"/>
  <c r="J3" i="617" a="1"/>
  <c r="J3" i="617" s="1"/>
  <c r="F3" i="617" a="1"/>
  <c r="F3" i="617" s="1"/>
  <c r="M3" i="617" a="1"/>
  <c r="M3" i="617" s="1"/>
  <c r="I3" i="617" a="1"/>
  <c r="I3" i="617" s="1"/>
  <c r="E3" i="617" a="1"/>
  <c r="E3" i="617" s="1"/>
  <c r="O6" i="617" a="1"/>
  <c r="O6" i="617" s="1"/>
  <c r="K6" i="617" a="1"/>
  <c r="K6" i="617" s="1"/>
  <c r="G6" i="617" a="1"/>
  <c r="G6" i="617" s="1"/>
  <c r="N6" i="617" a="1"/>
  <c r="N6" i="617" s="1"/>
  <c r="J6" i="617" a="1"/>
  <c r="J6" i="617" s="1"/>
  <c r="F6" i="617" a="1"/>
  <c r="F6" i="617" s="1"/>
  <c r="M6" i="617" a="1"/>
  <c r="M6" i="617" s="1"/>
  <c r="I6" i="617" a="1"/>
  <c r="I6" i="617" s="1"/>
  <c r="E6" i="617" a="1"/>
  <c r="E6" i="617" s="1"/>
  <c r="P6" i="617" a="1"/>
  <c r="P6" i="617" s="1"/>
  <c r="L6" i="617" a="1"/>
  <c r="L6" i="617" s="1"/>
  <c r="H6" i="617" a="1"/>
  <c r="H6" i="617" s="1"/>
  <c r="P7" i="617" a="1"/>
  <c r="P7" i="617" s="1"/>
  <c r="L7" i="617" a="1"/>
  <c r="L7" i="617" s="1"/>
  <c r="H7" i="617" a="1"/>
  <c r="H7" i="617" s="1"/>
  <c r="O7" i="617" a="1"/>
  <c r="O7" i="617" s="1"/>
  <c r="K7" i="617" a="1"/>
  <c r="K7" i="617" s="1"/>
  <c r="G7" i="617" a="1"/>
  <c r="G7" i="617" s="1"/>
  <c r="N7" i="617" a="1"/>
  <c r="N7" i="617" s="1"/>
  <c r="J7" i="617" a="1"/>
  <c r="J7" i="617" s="1"/>
  <c r="F7" i="617" a="1"/>
  <c r="F7" i="617" s="1"/>
  <c r="M7" i="617" a="1"/>
  <c r="M7" i="617" s="1"/>
  <c r="I7" i="617" a="1"/>
  <c r="I7" i="617" s="1"/>
  <c r="E7" i="617" a="1"/>
  <c r="E7" i="617" s="1"/>
  <c r="O5" i="617" a="1"/>
  <c r="O5" i="617" s="1"/>
  <c r="K5" i="617" a="1"/>
  <c r="K5" i="617" s="1"/>
  <c r="G5" i="617" a="1"/>
  <c r="G5" i="617" s="1"/>
  <c r="N5" i="617" a="1"/>
  <c r="N5" i="617" s="1"/>
  <c r="J5" i="617" a="1"/>
  <c r="J5" i="617" s="1"/>
  <c r="F5" i="617" a="1"/>
  <c r="F5" i="617" s="1"/>
  <c r="M5" i="617" a="1"/>
  <c r="M5" i="617" s="1"/>
  <c r="I5" i="617" a="1"/>
  <c r="I5" i="617" s="1"/>
  <c r="E5" i="617" a="1"/>
  <c r="E5" i="617" s="1"/>
  <c r="P5" i="617" a="1"/>
  <c r="P5" i="617" s="1"/>
  <c r="L5" i="617" a="1"/>
  <c r="L5" i="617" s="1"/>
  <c r="H5" i="617" a="1"/>
  <c r="H5" i="617" s="1"/>
  <c r="P10" i="617" a="1"/>
  <c r="P10" i="617" s="1"/>
  <c r="L10" i="617" a="1"/>
  <c r="L10" i="617" s="1"/>
  <c r="H10" i="617" a="1"/>
  <c r="H10" i="617" s="1"/>
  <c r="O10" i="617" a="1"/>
  <c r="O10" i="617" s="1"/>
  <c r="K10" i="617" a="1"/>
  <c r="K10" i="617" s="1"/>
  <c r="G10" i="617" a="1"/>
  <c r="G10" i="617" s="1"/>
  <c r="N10" i="617" a="1"/>
  <c r="N10" i="617" s="1"/>
  <c r="J10" i="617" a="1"/>
  <c r="J10" i="617" s="1"/>
  <c r="F10" i="617" a="1"/>
  <c r="F10" i="617" s="1"/>
  <c r="M10" i="617" a="1"/>
  <c r="M10" i="617" s="1"/>
  <c r="I10" i="617" a="1"/>
  <c r="I10" i="617" s="1"/>
  <c r="E10" i="617" a="1"/>
  <c r="E10" i="617" s="1"/>
  <c r="O12" i="617" a="1"/>
  <c r="O12" i="617" s="1"/>
  <c r="K12" i="617" a="1"/>
  <c r="K12" i="617" s="1"/>
  <c r="G12" i="617" a="1"/>
  <c r="G12" i="617" s="1"/>
  <c r="N12" i="617" a="1"/>
  <c r="N12" i="617" s="1"/>
  <c r="J12" i="617" a="1"/>
  <c r="J12" i="617" s="1"/>
  <c r="F12" i="617" a="1"/>
  <c r="F12" i="617" s="1"/>
  <c r="M12" i="617" a="1"/>
  <c r="M12" i="617" s="1"/>
  <c r="I12" i="617" a="1"/>
  <c r="I12" i="617" s="1"/>
  <c r="E12" i="617" a="1"/>
  <c r="E12" i="617" s="1"/>
  <c r="P12" i="617" a="1"/>
  <c r="P12" i="617" s="1"/>
  <c r="L12" i="617" a="1"/>
  <c r="L12" i="617" s="1"/>
  <c r="H12" i="617" a="1"/>
  <c r="H12" i="617" s="1"/>
  <c r="N4" i="617" a="1"/>
  <c r="N4" i="617" s="1"/>
  <c r="J4" i="617" a="1"/>
  <c r="J4" i="617" s="1"/>
  <c r="F4" i="617" a="1"/>
  <c r="F4" i="617" s="1"/>
  <c r="M4" i="617" a="1"/>
  <c r="M4" i="617" s="1"/>
  <c r="I4" i="617" a="1"/>
  <c r="I4" i="617" s="1"/>
  <c r="E4" i="617" a="1"/>
  <c r="E4" i="617" s="1"/>
  <c r="P4" i="617" a="1"/>
  <c r="P4" i="617" s="1"/>
  <c r="L4" i="617" a="1"/>
  <c r="L4" i="617" s="1"/>
  <c r="H4" i="617" a="1"/>
  <c r="H4" i="617" s="1"/>
  <c r="O4" i="617" a="1"/>
  <c r="O4" i="617" s="1"/>
  <c r="K4" i="617" a="1"/>
  <c r="K4" i="617" s="1"/>
  <c r="G4" i="617" a="1"/>
  <c r="G4" i="617" s="1"/>
  <c r="J23" i="617"/>
  <c r="K24" i="617"/>
  <c r="B9" i="617"/>
  <c r="X3" i="617"/>
  <c r="N9" i="616" a="1"/>
  <c r="N9" i="616" s="1"/>
  <c r="J9" i="616" a="1"/>
  <c r="J9" i="616" s="1"/>
  <c r="F9" i="616" a="1"/>
  <c r="F9" i="616" s="1"/>
  <c r="M9" i="616" a="1"/>
  <c r="M9" i="616" s="1"/>
  <c r="I9" i="616" a="1"/>
  <c r="I9" i="616" s="1"/>
  <c r="E9" i="616" a="1"/>
  <c r="E9" i="616" s="1"/>
  <c r="P9" i="616" a="1"/>
  <c r="P9" i="616" s="1"/>
  <c r="L9" i="616" a="1"/>
  <c r="L9" i="616" s="1"/>
  <c r="H9" i="616" a="1"/>
  <c r="H9" i="616" s="1"/>
  <c r="O9" i="616" a="1"/>
  <c r="O9" i="616" s="1"/>
  <c r="K9" i="616" a="1"/>
  <c r="K9" i="616" s="1"/>
  <c r="G9" i="616" a="1"/>
  <c r="G9" i="616" s="1"/>
  <c r="M8" i="616" a="1"/>
  <c r="M8" i="616" s="1"/>
  <c r="I8" i="616" a="1"/>
  <c r="I8" i="616" s="1"/>
  <c r="E8" i="616" a="1"/>
  <c r="E8" i="616" s="1"/>
  <c r="P8" i="616" a="1"/>
  <c r="P8" i="616" s="1"/>
  <c r="L8" i="616" a="1"/>
  <c r="L8" i="616" s="1"/>
  <c r="H8" i="616" a="1"/>
  <c r="H8" i="616" s="1"/>
  <c r="O8" i="616" a="1"/>
  <c r="O8" i="616" s="1"/>
  <c r="K8" i="616" a="1"/>
  <c r="K8" i="616" s="1"/>
  <c r="G8" i="616" a="1"/>
  <c r="G8" i="616" s="1"/>
  <c r="N8" i="616" a="1"/>
  <c r="N8" i="616" s="1"/>
  <c r="J8" i="616" a="1"/>
  <c r="J8" i="616" s="1"/>
  <c r="F8" i="616" a="1"/>
  <c r="F8" i="616" s="1"/>
  <c r="M11" i="616" a="1"/>
  <c r="M11" i="616" s="1"/>
  <c r="I11" i="616" a="1"/>
  <c r="I11" i="616" s="1"/>
  <c r="E11" i="616" a="1"/>
  <c r="E11" i="616" s="1"/>
  <c r="P11" i="616" a="1"/>
  <c r="P11" i="616" s="1"/>
  <c r="L11" i="616" a="1"/>
  <c r="L11" i="616" s="1"/>
  <c r="H11" i="616" a="1"/>
  <c r="H11" i="616" s="1"/>
  <c r="O11" i="616" a="1"/>
  <c r="O11" i="616" s="1"/>
  <c r="K11" i="616" a="1"/>
  <c r="K11" i="616" s="1"/>
  <c r="G11" i="616" a="1"/>
  <c r="G11" i="616" s="1"/>
  <c r="N11" i="616" a="1"/>
  <c r="N11" i="616" s="1"/>
  <c r="J11" i="616" a="1"/>
  <c r="J11" i="616" s="1"/>
  <c r="F11" i="616" a="1"/>
  <c r="F11" i="616" s="1"/>
  <c r="P3" i="616" a="1"/>
  <c r="P3" i="616" s="1"/>
  <c r="L3" i="616" a="1"/>
  <c r="L3" i="616" s="1"/>
  <c r="H3" i="616" a="1"/>
  <c r="H3" i="616" s="1"/>
  <c r="O3" i="616" a="1"/>
  <c r="O3" i="616" s="1"/>
  <c r="K3" i="616" a="1"/>
  <c r="K3" i="616" s="1"/>
  <c r="G3" i="616" a="1"/>
  <c r="G3" i="616" s="1"/>
  <c r="N3" i="616" a="1"/>
  <c r="N3" i="616" s="1"/>
  <c r="J3" i="616" a="1"/>
  <c r="J3" i="616" s="1"/>
  <c r="F3" i="616" a="1"/>
  <c r="F3" i="616" s="1"/>
  <c r="M3" i="616" a="1"/>
  <c r="M3" i="616" s="1"/>
  <c r="I3" i="616" a="1"/>
  <c r="I3" i="616" s="1"/>
  <c r="E3" i="616" a="1"/>
  <c r="E3" i="616" s="1"/>
  <c r="P7" i="616" a="1"/>
  <c r="P7" i="616" s="1"/>
  <c r="L7" i="616" a="1"/>
  <c r="L7" i="616" s="1"/>
  <c r="H7" i="616" a="1"/>
  <c r="H7" i="616" s="1"/>
  <c r="O7" i="616" a="1"/>
  <c r="O7" i="616" s="1"/>
  <c r="K7" i="616" a="1"/>
  <c r="K7" i="616" s="1"/>
  <c r="G7" i="616" a="1"/>
  <c r="G7" i="616" s="1"/>
  <c r="N7" i="616" a="1"/>
  <c r="N7" i="616" s="1"/>
  <c r="J7" i="616" a="1"/>
  <c r="J7" i="616" s="1"/>
  <c r="F7" i="616" a="1"/>
  <c r="F7" i="616" s="1"/>
  <c r="M7" i="616" a="1"/>
  <c r="M7" i="616" s="1"/>
  <c r="I7" i="616" a="1"/>
  <c r="I7" i="616" s="1"/>
  <c r="E7" i="616" a="1"/>
  <c r="E7" i="616" s="1"/>
  <c r="P10" i="616" a="1"/>
  <c r="P10" i="616" s="1"/>
  <c r="L10" i="616" a="1"/>
  <c r="L10" i="616" s="1"/>
  <c r="H10" i="616" a="1"/>
  <c r="H10" i="616" s="1"/>
  <c r="O10" i="616" a="1"/>
  <c r="O10" i="616" s="1"/>
  <c r="K10" i="616" a="1"/>
  <c r="K10" i="616" s="1"/>
  <c r="G10" i="616" a="1"/>
  <c r="G10" i="616" s="1"/>
  <c r="N10" i="616" a="1"/>
  <c r="N10" i="616" s="1"/>
  <c r="J10" i="616" a="1"/>
  <c r="J10" i="616" s="1"/>
  <c r="F10" i="616" a="1"/>
  <c r="F10" i="616" s="1"/>
  <c r="M10" i="616" a="1"/>
  <c r="M10" i="616" s="1"/>
  <c r="I10" i="616" a="1"/>
  <c r="I10" i="616" s="1"/>
  <c r="E10" i="616" a="1"/>
  <c r="E10" i="616" s="1"/>
  <c r="O6" i="616" a="1"/>
  <c r="O6" i="616" s="1"/>
  <c r="K6" i="616" a="1"/>
  <c r="K6" i="616" s="1"/>
  <c r="G6" i="616" a="1"/>
  <c r="G6" i="616" s="1"/>
  <c r="N6" i="616" a="1"/>
  <c r="N6" i="616" s="1"/>
  <c r="J6" i="616" a="1"/>
  <c r="J6" i="616" s="1"/>
  <c r="F6" i="616" a="1"/>
  <c r="F6" i="616" s="1"/>
  <c r="M6" i="616" a="1"/>
  <c r="M6" i="616" s="1"/>
  <c r="I6" i="616" a="1"/>
  <c r="I6" i="616" s="1"/>
  <c r="E6" i="616" a="1"/>
  <c r="E6" i="616" s="1"/>
  <c r="P6" i="616" a="1"/>
  <c r="P6" i="616" s="1"/>
  <c r="L6" i="616" a="1"/>
  <c r="L6" i="616" s="1"/>
  <c r="H6" i="616" a="1"/>
  <c r="H6" i="616" s="1"/>
  <c r="O5" i="616" a="1"/>
  <c r="O5" i="616" s="1"/>
  <c r="K5" i="616" a="1"/>
  <c r="K5" i="616" s="1"/>
  <c r="G5" i="616" a="1"/>
  <c r="G5" i="616" s="1"/>
  <c r="N5" i="616" a="1"/>
  <c r="N5" i="616" s="1"/>
  <c r="J5" i="616" a="1"/>
  <c r="J5" i="616" s="1"/>
  <c r="F5" i="616" a="1"/>
  <c r="F5" i="616" s="1"/>
  <c r="M5" i="616" a="1"/>
  <c r="M5" i="616" s="1"/>
  <c r="I5" i="616" a="1"/>
  <c r="I5" i="616" s="1"/>
  <c r="E5" i="616" a="1"/>
  <c r="E5" i="616" s="1"/>
  <c r="P5" i="616" a="1"/>
  <c r="P5" i="616" s="1"/>
  <c r="L5" i="616" a="1"/>
  <c r="L5" i="616" s="1"/>
  <c r="H5" i="616" a="1"/>
  <c r="H5" i="616" s="1"/>
  <c r="O12" i="616" a="1"/>
  <c r="O12" i="616" s="1"/>
  <c r="K12" i="616" a="1"/>
  <c r="K12" i="616" s="1"/>
  <c r="G12" i="616" a="1"/>
  <c r="G12" i="616" s="1"/>
  <c r="N12" i="616" a="1"/>
  <c r="N12" i="616" s="1"/>
  <c r="J12" i="616" a="1"/>
  <c r="J12" i="616" s="1"/>
  <c r="F12" i="616" a="1"/>
  <c r="F12" i="616" s="1"/>
  <c r="M12" i="616" a="1"/>
  <c r="M12" i="616" s="1"/>
  <c r="I12" i="616" a="1"/>
  <c r="I12" i="616" s="1"/>
  <c r="E12" i="616" a="1"/>
  <c r="E12" i="616" s="1"/>
  <c r="P12" i="616" a="1"/>
  <c r="P12" i="616" s="1"/>
  <c r="L12" i="616" a="1"/>
  <c r="L12" i="616" s="1"/>
  <c r="H12" i="616" a="1"/>
  <c r="H12" i="616" s="1"/>
  <c r="N4" i="616" a="1"/>
  <c r="N4" i="616" s="1"/>
  <c r="J4" i="616" a="1"/>
  <c r="J4" i="616" s="1"/>
  <c r="F4" i="616" a="1"/>
  <c r="F4" i="616" s="1"/>
  <c r="M4" i="616" a="1"/>
  <c r="M4" i="616" s="1"/>
  <c r="I4" i="616" a="1"/>
  <c r="I4" i="616" s="1"/>
  <c r="E4" i="616" a="1"/>
  <c r="E4" i="616" s="1"/>
  <c r="P4" i="616" a="1"/>
  <c r="P4" i="616" s="1"/>
  <c r="L4" i="616" a="1"/>
  <c r="L4" i="616" s="1"/>
  <c r="H4" i="616" a="1"/>
  <c r="H4" i="616" s="1"/>
  <c r="O4" i="616" a="1"/>
  <c r="O4" i="616" s="1"/>
  <c r="K4" i="616" a="1"/>
  <c r="K4" i="616" s="1"/>
  <c r="G4" i="616" a="1"/>
  <c r="G4" i="616" s="1"/>
  <c r="J23" i="616"/>
  <c r="K24" i="616"/>
  <c r="B9" i="616"/>
  <c r="X3" i="616"/>
  <c r="N9" i="615" a="1"/>
  <c r="N9" i="615" s="1"/>
  <c r="J9" i="615" a="1"/>
  <c r="J9" i="615" s="1"/>
  <c r="F9" i="615" a="1"/>
  <c r="F9" i="615" s="1"/>
  <c r="M9" i="615" a="1"/>
  <c r="M9" i="615" s="1"/>
  <c r="I9" i="615" a="1"/>
  <c r="I9" i="615" s="1"/>
  <c r="E9" i="615" a="1"/>
  <c r="E9" i="615" s="1"/>
  <c r="P9" i="615" a="1"/>
  <c r="P9" i="615" s="1"/>
  <c r="L9" i="615" a="1"/>
  <c r="L9" i="615" s="1"/>
  <c r="H9" i="615" a="1"/>
  <c r="H9" i="615" s="1"/>
  <c r="O9" i="615" a="1"/>
  <c r="O9" i="615" s="1"/>
  <c r="K9" i="615" a="1"/>
  <c r="K9" i="615" s="1"/>
  <c r="G9" i="615" a="1"/>
  <c r="G9" i="615" s="1"/>
  <c r="M11" i="615" a="1"/>
  <c r="M11" i="615" s="1"/>
  <c r="I11" i="615" a="1"/>
  <c r="I11" i="615" s="1"/>
  <c r="E11" i="615" a="1"/>
  <c r="E11" i="615" s="1"/>
  <c r="P11" i="615" a="1"/>
  <c r="P11" i="615" s="1"/>
  <c r="L11" i="615" a="1"/>
  <c r="L11" i="615" s="1"/>
  <c r="H11" i="615" a="1"/>
  <c r="H11" i="615" s="1"/>
  <c r="O11" i="615" a="1"/>
  <c r="O11" i="615" s="1"/>
  <c r="K11" i="615" a="1"/>
  <c r="K11" i="615" s="1"/>
  <c r="G11" i="615" a="1"/>
  <c r="G11" i="615" s="1"/>
  <c r="N11" i="615" a="1"/>
  <c r="N11" i="615" s="1"/>
  <c r="J11" i="615" a="1"/>
  <c r="J11" i="615" s="1"/>
  <c r="F11" i="615" a="1"/>
  <c r="F11" i="615" s="1"/>
  <c r="M8" i="615" a="1"/>
  <c r="M8" i="615" s="1"/>
  <c r="I8" i="615" a="1"/>
  <c r="I8" i="615" s="1"/>
  <c r="E8" i="615" a="1"/>
  <c r="E8" i="615" s="1"/>
  <c r="P8" i="615" a="1"/>
  <c r="P8" i="615" s="1"/>
  <c r="L8" i="615" a="1"/>
  <c r="L8" i="615" s="1"/>
  <c r="H8" i="615" a="1"/>
  <c r="H8" i="615" s="1"/>
  <c r="O8" i="615" a="1"/>
  <c r="O8" i="615" s="1"/>
  <c r="K8" i="615" a="1"/>
  <c r="K8" i="615" s="1"/>
  <c r="G8" i="615" a="1"/>
  <c r="G8" i="615" s="1"/>
  <c r="N8" i="615" a="1"/>
  <c r="N8" i="615" s="1"/>
  <c r="J8" i="615" a="1"/>
  <c r="J8" i="615" s="1"/>
  <c r="F8" i="615" a="1"/>
  <c r="F8" i="615" s="1"/>
  <c r="P3" i="615" a="1"/>
  <c r="P3" i="615" s="1"/>
  <c r="L3" i="615" a="1"/>
  <c r="L3" i="615" s="1"/>
  <c r="H3" i="615" a="1"/>
  <c r="H3" i="615" s="1"/>
  <c r="O3" i="615" a="1"/>
  <c r="O3" i="615" s="1"/>
  <c r="K3" i="615" a="1"/>
  <c r="K3" i="615" s="1"/>
  <c r="G3" i="615" a="1"/>
  <c r="G3" i="615" s="1"/>
  <c r="N3" i="615" a="1"/>
  <c r="N3" i="615" s="1"/>
  <c r="J3" i="615" a="1"/>
  <c r="J3" i="615" s="1"/>
  <c r="F3" i="615" a="1"/>
  <c r="F3" i="615" s="1"/>
  <c r="M3" i="615" a="1"/>
  <c r="M3" i="615" s="1"/>
  <c r="I3" i="615" a="1"/>
  <c r="I3" i="615" s="1"/>
  <c r="E3" i="615" a="1"/>
  <c r="E3" i="615" s="1"/>
  <c r="P7" i="615" a="1"/>
  <c r="P7" i="615" s="1"/>
  <c r="L7" i="615" a="1"/>
  <c r="L7" i="615" s="1"/>
  <c r="H7" i="615" a="1"/>
  <c r="H7" i="615" s="1"/>
  <c r="O7" i="615" a="1"/>
  <c r="O7" i="615" s="1"/>
  <c r="K7" i="615" a="1"/>
  <c r="K7" i="615" s="1"/>
  <c r="G7" i="615" a="1"/>
  <c r="G7" i="615" s="1"/>
  <c r="N7" i="615" a="1"/>
  <c r="N7" i="615" s="1"/>
  <c r="J7" i="615" a="1"/>
  <c r="J7" i="615" s="1"/>
  <c r="F7" i="615" a="1"/>
  <c r="F7" i="615" s="1"/>
  <c r="M7" i="615" a="1"/>
  <c r="M7" i="615" s="1"/>
  <c r="I7" i="615" a="1"/>
  <c r="I7" i="615" s="1"/>
  <c r="E7" i="615" a="1"/>
  <c r="E7" i="615" s="1"/>
  <c r="P10" i="615" a="1"/>
  <c r="P10" i="615" s="1"/>
  <c r="L10" i="615" a="1"/>
  <c r="L10" i="615" s="1"/>
  <c r="H10" i="615" a="1"/>
  <c r="H10" i="615" s="1"/>
  <c r="O10" i="615" a="1"/>
  <c r="O10" i="615" s="1"/>
  <c r="K10" i="615" a="1"/>
  <c r="K10" i="615" s="1"/>
  <c r="G10" i="615" a="1"/>
  <c r="G10" i="615" s="1"/>
  <c r="N10" i="615" a="1"/>
  <c r="N10" i="615" s="1"/>
  <c r="J10" i="615" a="1"/>
  <c r="J10" i="615" s="1"/>
  <c r="F10" i="615" a="1"/>
  <c r="F10" i="615" s="1"/>
  <c r="M10" i="615" a="1"/>
  <c r="M10" i="615" s="1"/>
  <c r="I10" i="615" a="1"/>
  <c r="I10" i="615" s="1"/>
  <c r="E10" i="615" a="1"/>
  <c r="E10" i="615" s="1"/>
  <c r="O12" i="615" a="1"/>
  <c r="O12" i="615" s="1"/>
  <c r="K12" i="615" a="1"/>
  <c r="K12" i="615" s="1"/>
  <c r="G12" i="615" a="1"/>
  <c r="G12" i="615" s="1"/>
  <c r="N12" i="615" a="1"/>
  <c r="N12" i="615" s="1"/>
  <c r="J12" i="615" a="1"/>
  <c r="J12" i="615" s="1"/>
  <c r="F12" i="615" a="1"/>
  <c r="F12" i="615" s="1"/>
  <c r="M12" i="615" a="1"/>
  <c r="M12" i="615" s="1"/>
  <c r="I12" i="615" a="1"/>
  <c r="I12" i="615" s="1"/>
  <c r="E12" i="615" a="1"/>
  <c r="E12" i="615" s="1"/>
  <c r="P12" i="615" a="1"/>
  <c r="P12" i="615" s="1"/>
  <c r="L12" i="615" a="1"/>
  <c r="L12" i="615" s="1"/>
  <c r="H12" i="615" a="1"/>
  <c r="H12" i="615" s="1"/>
  <c r="O6" i="615" a="1"/>
  <c r="O6" i="615" s="1"/>
  <c r="K6" i="615" a="1"/>
  <c r="K6" i="615" s="1"/>
  <c r="G6" i="615" a="1"/>
  <c r="G6" i="615" s="1"/>
  <c r="N6" i="615" a="1"/>
  <c r="N6" i="615" s="1"/>
  <c r="J6" i="615" a="1"/>
  <c r="J6" i="615" s="1"/>
  <c r="F6" i="615" a="1"/>
  <c r="F6" i="615" s="1"/>
  <c r="M6" i="615" a="1"/>
  <c r="M6" i="615" s="1"/>
  <c r="I6" i="615" a="1"/>
  <c r="I6" i="615" s="1"/>
  <c r="E6" i="615" a="1"/>
  <c r="E6" i="615" s="1"/>
  <c r="P6" i="615" a="1"/>
  <c r="P6" i="615" s="1"/>
  <c r="L6" i="615" a="1"/>
  <c r="L6" i="615" s="1"/>
  <c r="H6" i="615" a="1"/>
  <c r="H6" i="615" s="1"/>
  <c r="O5" i="615" a="1"/>
  <c r="O5" i="615" s="1"/>
  <c r="K5" i="615" a="1"/>
  <c r="K5" i="615" s="1"/>
  <c r="G5" i="615" a="1"/>
  <c r="G5" i="615" s="1"/>
  <c r="N5" i="615" a="1"/>
  <c r="N5" i="615" s="1"/>
  <c r="J5" i="615" a="1"/>
  <c r="J5" i="615" s="1"/>
  <c r="F5" i="615" a="1"/>
  <c r="F5" i="615" s="1"/>
  <c r="M5" i="615" a="1"/>
  <c r="M5" i="615" s="1"/>
  <c r="I5" i="615" a="1"/>
  <c r="I5" i="615" s="1"/>
  <c r="E5" i="615" a="1"/>
  <c r="E5" i="615" s="1"/>
  <c r="P5" i="615" a="1"/>
  <c r="P5" i="615" s="1"/>
  <c r="L5" i="615" a="1"/>
  <c r="L5" i="615" s="1"/>
  <c r="H5" i="615" a="1"/>
  <c r="H5" i="615" s="1"/>
  <c r="N4" i="615" a="1"/>
  <c r="N4" i="615" s="1"/>
  <c r="J4" i="615" a="1"/>
  <c r="J4" i="615" s="1"/>
  <c r="F4" i="615" a="1"/>
  <c r="F4" i="615" s="1"/>
  <c r="M4" i="615" a="1"/>
  <c r="M4" i="615" s="1"/>
  <c r="I4" i="615" a="1"/>
  <c r="I4" i="615" s="1"/>
  <c r="E4" i="615" a="1"/>
  <c r="E4" i="615" s="1"/>
  <c r="P4" i="615" a="1"/>
  <c r="P4" i="615" s="1"/>
  <c r="L4" i="615" a="1"/>
  <c r="L4" i="615" s="1"/>
  <c r="H4" i="615" a="1"/>
  <c r="H4" i="615" s="1"/>
  <c r="O4" i="615" a="1"/>
  <c r="O4" i="615" s="1"/>
  <c r="K4" i="615" a="1"/>
  <c r="K4" i="615" s="1"/>
  <c r="G4" i="615" a="1"/>
  <c r="G4" i="615" s="1"/>
  <c r="J23" i="615"/>
  <c r="K24" i="615"/>
  <c r="B9" i="615"/>
  <c r="X3" i="615"/>
  <c r="X13" i="578"/>
  <c r="B7" i="578"/>
  <c r="K24" i="578"/>
  <c r="H24" i="578"/>
  <c r="J23" i="578"/>
  <c r="AA15" i="578"/>
  <c r="X15" i="578"/>
  <c r="AA14" i="578"/>
  <c r="X14" i="578"/>
  <c r="AA13" i="578"/>
  <c r="AA12" i="578"/>
  <c r="X12" i="578"/>
  <c r="AA11" i="578"/>
  <c r="X11" i="578"/>
  <c r="AA10" i="578"/>
  <c r="X10" i="578"/>
  <c r="AA9" i="578"/>
  <c r="X9" i="578"/>
  <c r="AA8" i="578"/>
  <c r="X8" i="578"/>
  <c r="AA7" i="578"/>
  <c r="X7" i="578"/>
  <c r="AA6" i="578"/>
  <c r="X6" i="578"/>
  <c r="AA5" i="578"/>
  <c r="X5" i="578"/>
  <c r="AA4" i="578"/>
  <c r="X4" i="578"/>
  <c r="X3" i="578"/>
  <c r="B3" i="578"/>
  <c r="B2" i="578"/>
  <c r="B1" i="578"/>
  <c r="C15" i="1" a="1"/>
  <c r="C15" i="1" s="1"/>
  <c r="B5" i="207" a="1"/>
  <c r="Q12" i="626" l="1"/>
  <c r="Q7" i="626"/>
  <c r="O13" i="626"/>
  <c r="O14" i="626" s="1"/>
  <c r="Q4" i="626"/>
  <c r="K13" i="626"/>
  <c r="K14" i="626" s="1"/>
  <c r="J13" i="626"/>
  <c r="J14" i="626" s="1"/>
  <c r="F13" i="626"/>
  <c r="F14" i="626" s="1"/>
  <c r="Q7" i="625"/>
  <c r="H27" i="626"/>
  <c r="H26" i="626"/>
  <c r="H25" i="626"/>
  <c r="H24" i="626"/>
  <c r="Q10" i="626"/>
  <c r="Q9" i="626"/>
  <c r="E13" i="626"/>
  <c r="E14" i="626" s="1"/>
  <c r="Q3" i="626"/>
  <c r="H13" i="626"/>
  <c r="H14" i="626" s="1"/>
  <c r="Q5" i="626"/>
  <c r="Q8" i="626"/>
  <c r="I13" i="626"/>
  <c r="I14" i="626" s="1"/>
  <c r="L13" i="626"/>
  <c r="L14" i="626" s="1"/>
  <c r="M13" i="626"/>
  <c r="M14" i="626" s="1"/>
  <c r="P13" i="626"/>
  <c r="P14" i="626" s="1"/>
  <c r="Q11" i="626"/>
  <c r="Q6" i="626"/>
  <c r="G13" i="626"/>
  <c r="G14" i="626" s="1"/>
  <c r="N13" i="626"/>
  <c r="N14" i="626" s="1"/>
  <c r="Q10" i="625"/>
  <c r="E13" i="625"/>
  <c r="E14" i="625" s="1"/>
  <c r="Q3" i="625"/>
  <c r="O13" i="625"/>
  <c r="O14" i="625" s="1"/>
  <c r="I13" i="625"/>
  <c r="I14" i="625" s="1"/>
  <c r="H13" i="625"/>
  <c r="H14" i="625" s="1"/>
  <c r="Q8" i="625"/>
  <c r="M13" i="625"/>
  <c r="M14" i="625" s="1"/>
  <c r="L13" i="625"/>
  <c r="L14" i="625" s="1"/>
  <c r="Q9" i="625"/>
  <c r="F13" i="625"/>
  <c r="F14" i="625" s="1"/>
  <c r="P13" i="625"/>
  <c r="P14" i="625" s="1"/>
  <c r="J13" i="625"/>
  <c r="J14" i="625" s="1"/>
  <c r="N13" i="625"/>
  <c r="N14" i="625" s="1"/>
  <c r="Q11" i="625"/>
  <c r="H27" i="625"/>
  <c r="H26" i="625"/>
  <c r="H25" i="625"/>
  <c r="H24" i="625"/>
  <c r="Q4" i="625"/>
  <c r="G13" i="625"/>
  <c r="G14" i="625" s="1"/>
  <c r="Q12" i="625"/>
  <c r="Q5" i="625"/>
  <c r="Q6" i="625"/>
  <c r="K13" i="625"/>
  <c r="K14" i="625" s="1"/>
  <c r="Q10" i="624"/>
  <c r="Q7" i="624"/>
  <c r="E13" i="624"/>
  <c r="E14" i="624" s="1"/>
  <c r="Q3" i="624"/>
  <c r="O13" i="624"/>
  <c r="O14" i="624" s="1"/>
  <c r="I13" i="624"/>
  <c r="I14" i="624" s="1"/>
  <c r="H13" i="624"/>
  <c r="H14" i="624" s="1"/>
  <c r="Q8" i="624"/>
  <c r="M13" i="624"/>
  <c r="M14" i="624" s="1"/>
  <c r="L13" i="624"/>
  <c r="L14" i="624" s="1"/>
  <c r="Q9" i="624"/>
  <c r="F13" i="624"/>
  <c r="F14" i="624" s="1"/>
  <c r="P13" i="624"/>
  <c r="P14" i="624" s="1"/>
  <c r="J13" i="624"/>
  <c r="J14" i="624" s="1"/>
  <c r="N13" i="624"/>
  <c r="N14" i="624" s="1"/>
  <c r="Q11" i="624"/>
  <c r="H27" i="624"/>
  <c r="H26" i="624"/>
  <c r="H25" i="624"/>
  <c r="H24" i="624"/>
  <c r="Q4" i="624"/>
  <c r="G13" i="624"/>
  <c r="G14" i="624" s="1"/>
  <c r="Q12" i="624"/>
  <c r="Q5" i="624"/>
  <c r="Q6" i="624"/>
  <c r="K13" i="624"/>
  <c r="K14" i="624" s="1"/>
  <c r="L13" i="623"/>
  <c r="L14" i="623" s="1"/>
  <c r="Q8" i="623"/>
  <c r="Q10" i="623"/>
  <c r="Q7" i="623"/>
  <c r="I13" i="623"/>
  <c r="I14" i="623" s="1"/>
  <c r="H13" i="623"/>
  <c r="H14" i="623" s="1"/>
  <c r="J13" i="623"/>
  <c r="J14" i="623" s="1"/>
  <c r="P13" i="623"/>
  <c r="P14" i="623" s="1"/>
  <c r="Q9" i="623"/>
  <c r="N13" i="623"/>
  <c r="N14" i="623" s="1"/>
  <c r="E13" i="623"/>
  <c r="E14" i="623" s="1"/>
  <c r="Q3" i="623"/>
  <c r="G13" i="623"/>
  <c r="G14" i="623" s="1"/>
  <c r="K13" i="623"/>
  <c r="K14" i="623" s="1"/>
  <c r="Q11" i="623"/>
  <c r="F13" i="623"/>
  <c r="F14" i="623" s="1"/>
  <c r="H27" i="623"/>
  <c r="H26" i="623"/>
  <c r="H25" i="623"/>
  <c r="H24" i="623"/>
  <c r="Q4" i="623"/>
  <c r="O13" i="623"/>
  <c r="O14" i="623" s="1"/>
  <c r="Q12" i="623"/>
  <c r="Q5" i="623"/>
  <c r="Q6" i="623"/>
  <c r="M13" i="623"/>
  <c r="M14" i="623" s="1"/>
  <c r="H13" i="622"/>
  <c r="H14" i="622" s="1"/>
  <c r="Q8" i="622"/>
  <c r="Q7" i="622"/>
  <c r="E13" i="622"/>
  <c r="E14" i="622" s="1"/>
  <c r="Q3" i="622"/>
  <c r="O13" i="622"/>
  <c r="O14" i="622" s="1"/>
  <c r="Q4" i="622"/>
  <c r="M13" i="622"/>
  <c r="M14" i="622" s="1"/>
  <c r="L13" i="622"/>
  <c r="L14" i="622" s="1"/>
  <c r="F13" i="622"/>
  <c r="F14" i="622" s="1"/>
  <c r="P13" i="622"/>
  <c r="P14" i="622" s="1"/>
  <c r="J13" i="622"/>
  <c r="J14" i="622" s="1"/>
  <c r="H27" i="622"/>
  <c r="H26" i="622"/>
  <c r="H25" i="622"/>
  <c r="H24" i="622"/>
  <c r="N13" i="622"/>
  <c r="N14" i="622" s="1"/>
  <c r="Q11" i="622"/>
  <c r="I13" i="622"/>
  <c r="I14" i="622" s="1"/>
  <c r="Q9" i="622"/>
  <c r="Q12" i="622"/>
  <c r="G13" i="622"/>
  <c r="G14" i="622" s="1"/>
  <c r="Q5" i="622"/>
  <c r="Q10" i="622"/>
  <c r="Q6" i="622"/>
  <c r="K13" i="622"/>
  <c r="K14" i="622" s="1"/>
  <c r="Q7" i="621"/>
  <c r="Q10" i="621"/>
  <c r="K13" i="621"/>
  <c r="K14" i="621" s="1"/>
  <c r="J13" i="621"/>
  <c r="J14" i="621" s="1"/>
  <c r="Q5" i="621"/>
  <c r="N13" i="621"/>
  <c r="N14" i="621" s="1"/>
  <c r="Q11" i="621"/>
  <c r="Q4" i="621"/>
  <c r="G13" i="621"/>
  <c r="G14" i="621" s="1"/>
  <c r="H27" i="621"/>
  <c r="H26" i="621"/>
  <c r="H25" i="621"/>
  <c r="H24" i="621"/>
  <c r="Q12" i="621"/>
  <c r="E13" i="621"/>
  <c r="E14" i="621" s="1"/>
  <c r="Q3" i="621"/>
  <c r="O13" i="621"/>
  <c r="O14" i="621" s="1"/>
  <c r="I13" i="621"/>
  <c r="I14" i="621" s="1"/>
  <c r="H13" i="621"/>
  <c r="H14" i="621" s="1"/>
  <c r="Q8" i="621"/>
  <c r="Q9" i="621"/>
  <c r="M13" i="621"/>
  <c r="M14" i="621" s="1"/>
  <c r="L13" i="621"/>
  <c r="L14" i="621" s="1"/>
  <c r="Q6" i="621"/>
  <c r="F13" i="621"/>
  <c r="F14" i="621" s="1"/>
  <c r="P13" i="621"/>
  <c r="P14" i="621" s="1"/>
  <c r="Q10" i="620"/>
  <c r="Q7" i="620"/>
  <c r="E13" i="620"/>
  <c r="E14" i="620" s="1"/>
  <c r="Q3" i="620"/>
  <c r="O13" i="620"/>
  <c r="O14" i="620" s="1"/>
  <c r="I13" i="620"/>
  <c r="I14" i="620" s="1"/>
  <c r="H13" i="620"/>
  <c r="H14" i="620" s="1"/>
  <c r="Q8" i="620"/>
  <c r="M13" i="620"/>
  <c r="M14" i="620" s="1"/>
  <c r="L13" i="620"/>
  <c r="L14" i="620" s="1"/>
  <c r="Q9" i="620"/>
  <c r="F13" i="620"/>
  <c r="F14" i="620" s="1"/>
  <c r="P13" i="620"/>
  <c r="P14" i="620" s="1"/>
  <c r="J13" i="620"/>
  <c r="J14" i="620" s="1"/>
  <c r="N13" i="620"/>
  <c r="N14" i="620" s="1"/>
  <c r="Q11" i="620"/>
  <c r="H27" i="620"/>
  <c r="H26" i="620"/>
  <c r="H25" i="620"/>
  <c r="H24" i="620"/>
  <c r="Q4" i="620"/>
  <c r="G13" i="620"/>
  <c r="G14" i="620" s="1"/>
  <c r="Q12" i="620"/>
  <c r="Q5" i="620"/>
  <c r="Q6" i="620"/>
  <c r="K13" i="620"/>
  <c r="K14" i="620" s="1"/>
  <c r="Q10" i="619"/>
  <c r="Q7" i="619"/>
  <c r="E13" i="619"/>
  <c r="E14" i="619" s="1"/>
  <c r="Q3" i="619"/>
  <c r="O13" i="619"/>
  <c r="O14" i="619" s="1"/>
  <c r="I13" i="619"/>
  <c r="I14" i="619" s="1"/>
  <c r="H13" i="619"/>
  <c r="H14" i="619" s="1"/>
  <c r="Q8" i="619"/>
  <c r="M13" i="619"/>
  <c r="M14" i="619" s="1"/>
  <c r="L13" i="619"/>
  <c r="L14" i="619" s="1"/>
  <c r="Q9" i="619"/>
  <c r="F13" i="619"/>
  <c r="F14" i="619" s="1"/>
  <c r="P13" i="619"/>
  <c r="P14" i="619" s="1"/>
  <c r="Q10" i="618"/>
  <c r="J13" i="619"/>
  <c r="J14" i="619" s="1"/>
  <c r="N13" i="619"/>
  <c r="N14" i="619" s="1"/>
  <c r="Q11" i="619"/>
  <c r="H27" i="619"/>
  <c r="H26" i="619"/>
  <c r="H25" i="619"/>
  <c r="H24" i="619"/>
  <c r="Q4" i="619"/>
  <c r="G13" i="619"/>
  <c r="G14" i="619" s="1"/>
  <c r="Q12" i="619"/>
  <c r="Q5" i="619"/>
  <c r="Q6" i="619"/>
  <c r="K13" i="619"/>
  <c r="K14" i="619" s="1"/>
  <c r="Q7" i="618"/>
  <c r="E13" i="618"/>
  <c r="E14" i="618" s="1"/>
  <c r="Q3" i="618"/>
  <c r="O13" i="618"/>
  <c r="O14" i="618" s="1"/>
  <c r="I13" i="618"/>
  <c r="I14" i="618" s="1"/>
  <c r="H13" i="618"/>
  <c r="H14" i="618" s="1"/>
  <c r="Q8" i="618"/>
  <c r="M13" i="618"/>
  <c r="M14" i="618" s="1"/>
  <c r="L13" i="618"/>
  <c r="L14" i="618" s="1"/>
  <c r="Q9" i="618"/>
  <c r="F13" i="618"/>
  <c r="F14" i="618" s="1"/>
  <c r="P13" i="618"/>
  <c r="P14" i="618" s="1"/>
  <c r="H27" i="618"/>
  <c r="H26" i="618"/>
  <c r="H25" i="618"/>
  <c r="H24" i="618"/>
  <c r="J13" i="618"/>
  <c r="J14" i="618" s="1"/>
  <c r="Q12" i="618"/>
  <c r="N13" i="618"/>
  <c r="N14" i="618" s="1"/>
  <c r="Q11" i="618"/>
  <c r="Q4" i="618"/>
  <c r="Q5" i="618"/>
  <c r="G13" i="618"/>
  <c r="G14" i="618" s="1"/>
  <c r="Q6" i="618"/>
  <c r="K13" i="618"/>
  <c r="K14" i="618" s="1"/>
  <c r="Q10" i="617"/>
  <c r="Q7" i="617"/>
  <c r="E13" i="617"/>
  <c r="E14" i="617" s="1"/>
  <c r="Q3" i="617"/>
  <c r="O13" i="617"/>
  <c r="O14" i="617" s="1"/>
  <c r="I13" i="617"/>
  <c r="I14" i="617" s="1"/>
  <c r="H13" i="617"/>
  <c r="H14" i="617" s="1"/>
  <c r="Q8" i="617"/>
  <c r="M13" i="617"/>
  <c r="M14" i="617" s="1"/>
  <c r="L13" i="617"/>
  <c r="L14" i="617" s="1"/>
  <c r="Q9" i="617"/>
  <c r="F13" i="617"/>
  <c r="F14" i="617" s="1"/>
  <c r="P13" i="617"/>
  <c r="P14" i="617" s="1"/>
  <c r="J13" i="617"/>
  <c r="J14" i="617" s="1"/>
  <c r="N13" i="617"/>
  <c r="N14" i="617" s="1"/>
  <c r="Q11" i="617"/>
  <c r="H27" i="617"/>
  <c r="H26" i="617"/>
  <c r="H25" i="617"/>
  <c r="H24" i="617"/>
  <c r="Q4" i="617"/>
  <c r="G13" i="617"/>
  <c r="G14" i="617" s="1"/>
  <c r="Q12" i="617"/>
  <c r="Q5" i="617"/>
  <c r="Q6" i="617"/>
  <c r="K13" i="617"/>
  <c r="K14" i="617" s="1"/>
  <c r="Q10" i="616"/>
  <c r="E13" i="616"/>
  <c r="E14" i="616" s="1"/>
  <c r="Q3" i="616"/>
  <c r="O13" i="616"/>
  <c r="O14" i="616" s="1"/>
  <c r="I13" i="616"/>
  <c r="I14" i="616" s="1"/>
  <c r="H13" i="616"/>
  <c r="H14" i="616" s="1"/>
  <c r="Q8" i="616"/>
  <c r="M13" i="616"/>
  <c r="M14" i="616" s="1"/>
  <c r="L13" i="616"/>
  <c r="L14" i="616" s="1"/>
  <c r="Q9" i="616"/>
  <c r="Q5" i="616"/>
  <c r="F13" i="616"/>
  <c r="F14" i="616" s="1"/>
  <c r="P13" i="616"/>
  <c r="P14" i="616" s="1"/>
  <c r="Q10" i="615"/>
  <c r="Q7" i="616"/>
  <c r="J13" i="616"/>
  <c r="J14" i="616" s="1"/>
  <c r="N13" i="616"/>
  <c r="N14" i="616" s="1"/>
  <c r="Q11" i="616"/>
  <c r="H27" i="616"/>
  <c r="H26" i="616"/>
  <c r="H25" i="616"/>
  <c r="H24" i="616"/>
  <c r="Q4" i="616"/>
  <c r="G13" i="616"/>
  <c r="G14" i="616" s="1"/>
  <c r="Q12" i="616"/>
  <c r="Q6" i="616"/>
  <c r="K13" i="616"/>
  <c r="K14" i="616" s="1"/>
  <c r="E13" i="615"/>
  <c r="E14" i="615" s="1"/>
  <c r="Q3" i="615"/>
  <c r="O13" i="615"/>
  <c r="O14" i="615" s="1"/>
  <c r="I13" i="615"/>
  <c r="I14" i="615" s="1"/>
  <c r="H13" i="615"/>
  <c r="H14" i="615" s="1"/>
  <c r="Q11" i="615"/>
  <c r="M13" i="615"/>
  <c r="M14" i="615" s="1"/>
  <c r="L13" i="615"/>
  <c r="L14" i="615" s="1"/>
  <c r="Q9" i="615"/>
  <c r="Q6" i="615"/>
  <c r="F13" i="615"/>
  <c r="F14" i="615" s="1"/>
  <c r="P13" i="615"/>
  <c r="P14" i="615" s="1"/>
  <c r="Q7" i="615"/>
  <c r="J13" i="615"/>
  <c r="J14" i="615" s="1"/>
  <c r="N13" i="615"/>
  <c r="N14" i="615" s="1"/>
  <c r="Q8" i="615"/>
  <c r="H27" i="615"/>
  <c r="H26" i="615"/>
  <c r="H25" i="615"/>
  <c r="H24" i="615"/>
  <c r="Q4" i="615"/>
  <c r="G13" i="615"/>
  <c r="G14" i="615" s="1"/>
  <c r="Q5" i="615"/>
  <c r="Q12" i="615"/>
  <c r="K13" i="615"/>
  <c r="K14" i="615" s="1"/>
  <c r="H27" i="578"/>
  <c r="H26" i="578"/>
  <c r="H25" i="578"/>
  <c r="B8" i="578"/>
  <c r="J24" i="578"/>
  <c r="K23" i="578"/>
  <c r="B9" i="578"/>
  <c r="B5" i="207"/>
  <c r="Q13" i="626" l="1"/>
  <c r="Q14" i="626" s="1"/>
  <c r="Q13" i="625"/>
  <c r="Q14" i="625" s="1"/>
  <c r="Q13" i="624"/>
  <c r="Q14" i="624" s="1"/>
  <c r="Q13" i="623"/>
  <c r="Q14" i="623" s="1"/>
  <c r="Q13" i="622"/>
  <c r="Q14" i="622" s="1"/>
  <c r="Q13" i="621"/>
  <c r="Q14" i="621" s="1"/>
  <c r="Q13" i="620"/>
  <c r="Q14" i="620" s="1"/>
  <c r="Q13" i="619"/>
  <c r="Q14" i="619" s="1"/>
  <c r="Q13" i="618"/>
  <c r="Q14" i="618" s="1"/>
  <c r="Q13" i="617"/>
  <c r="Q14" i="617" s="1"/>
  <c r="Q13" i="616"/>
  <c r="Q14" i="616" s="1"/>
  <c r="Q13" i="615"/>
  <c r="Q14" i="615" s="1"/>
  <c r="D7" i="578" a="1"/>
  <c r="D7" i="578" s="1"/>
  <c r="D5" i="578" a="1"/>
  <c r="D5" i="578" s="1"/>
  <c r="D8" i="578" a="1"/>
  <c r="D8" i="578" s="1"/>
  <c r="D3" i="578" a="1"/>
  <c r="D3" i="578" s="1"/>
  <c r="D11" i="578" a="1"/>
  <c r="D11" i="578" s="1"/>
  <c r="D6" i="578" a="1"/>
  <c r="D6" i="578" s="1"/>
  <c r="D9" i="578" a="1"/>
  <c r="D9" i="578" s="1"/>
  <c r="D4" i="578" a="1"/>
  <c r="D4" i="578" s="1"/>
  <c r="D10" i="578" a="1"/>
  <c r="D10" i="578" s="1"/>
  <c r="D12" i="578" a="1"/>
  <c r="D12" i="578" s="1"/>
  <c r="P8" i="578" l="1" a="1"/>
  <c r="P8" i="578" s="1"/>
  <c r="L8" i="578" a="1"/>
  <c r="L8" i="578" s="1"/>
  <c r="H8" i="578" a="1"/>
  <c r="H8" i="578" s="1"/>
  <c r="O8" i="578" a="1"/>
  <c r="O8" i="578" s="1"/>
  <c r="K8" i="578" a="1"/>
  <c r="K8" i="578" s="1"/>
  <c r="G8" i="578" a="1"/>
  <c r="G8" i="578" s="1"/>
  <c r="J8" i="578" a="1"/>
  <c r="J8" i="578" s="1"/>
  <c r="I8" i="578" a="1"/>
  <c r="I8" i="578" s="1"/>
  <c r="F8" i="578" a="1"/>
  <c r="F8" i="578" s="1"/>
  <c r="N8" i="578" a="1"/>
  <c r="N8" i="578" s="1"/>
  <c r="M8" i="578" a="1"/>
  <c r="M8" i="578" s="1"/>
  <c r="E8" i="578" a="1"/>
  <c r="E8" i="578" s="1"/>
  <c r="N12" i="578" a="1"/>
  <c r="N12" i="578" s="1"/>
  <c r="J12" i="578" a="1"/>
  <c r="J12" i="578" s="1"/>
  <c r="F12" i="578" a="1"/>
  <c r="F12" i="578" s="1"/>
  <c r="M12" i="578" a="1"/>
  <c r="M12" i="578" s="1"/>
  <c r="I12" i="578" a="1"/>
  <c r="I12" i="578" s="1"/>
  <c r="E12" i="578" a="1"/>
  <c r="E12" i="578" s="1"/>
  <c r="H12" i="578" a="1"/>
  <c r="H12" i="578" s="1"/>
  <c r="G12" i="578" a="1"/>
  <c r="G12" i="578" s="1"/>
  <c r="P12" i="578" a="1"/>
  <c r="P12" i="578" s="1"/>
  <c r="O12" i="578" a="1"/>
  <c r="O12" i="578" s="1"/>
  <c r="L12" i="578" a="1"/>
  <c r="L12" i="578" s="1"/>
  <c r="K12" i="578" a="1"/>
  <c r="K12" i="578" s="1"/>
  <c r="M5" i="578" a="1"/>
  <c r="M5" i="578" s="1"/>
  <c r="I5" i="578" a="1"/>
  <c r="I5" i="578" s="1"/>
  <c r="E5" i="578" a="1"/>
  <c r="E5" i="578" s="1"/>
  <c r="P5" i="578" a="1"/>
  <c r="P5" i="578" s="1"/>
  <c r="L5" i="578" a="1"/>
  <c r="L5" i="578" s="1"/>
  <c r="H5" i="578" a="1"/>
  <c r="H5" i="578" s="1"/>
  <c r="O5" i="578" a="1"/>
  <c r="O5" i="578" s="1"/>
  <c r="K5" i="578" a="1"/>
  <c r="K5" i="578" s="1"/>
  <c r="G5" i="578" a="1"/>
  <c r="G5" i="578" s="1"/>
  <c r="N5" i="578" a="1"/>
  <c r="N5" i="578" s="1"/>
  <c r="J5" i="578" a="1"/>
  <c r="J5" i="578" s="1"/>
  <c r="F5" i="578" a="1"/>
  <c r="F5" i="578" s="1"/>
  <c r="P7" i="578" a="1"/>
  <c r="P7" i="578" s="1"/>
  <c r="L7" i="578" a="1"/>
  <c r="L7" i="578" s="1"/>
  <c r="H7" i="578" a="1"/>
  <c r="H7" i="578" s="1"/>
  <c r="O7" i="578" a="1"/>
  <c r="O7" i="578" s="1"/>
  <c r="K7" i="578" a="1"/>
  <c r="K7" i="578" s="1"/>
  <c r="G7" i="578" a="1"/>
  <c r="G7" i="578" s="1"/>
  <c r="N7" i="578" a="1"/>
  <c r="N7" i="578" s="1"/>
  <c r="J7" i="578" a="1"/>
  <c r="J7" i="578" s="1"/>
  <c r="F7" i="578" a="1"/>
  <c r="F7" i="578" s="1"/>
  <c r="E7" i="578" a="1"/>
  <c r="E7" i="578" s="1"/>
  <c r="M7" i="578" a="1"/>
  <c r="M7" i="578" s="1"/>
  <c r="I7" i="578" a="1"/>
  <c r="I7" i="578" s="1"/>
  <c r="O10" i="578" a="1"/>
  <c r="O10" i="578" s="1"/>
  <c r="K10" i="578" a="1"/>
  <c r="K10" i="578" s="1"/>
  <c r="G10" i="578" a="1"/>
  <c r="G10" i="578" s="1"/>
  <c r="N10" i="578" a="1"/>
  <c r="N10" i="578" s="1"/>
  <c r="J10" i="578" a="1"/>
  <c r="J10" i="578" s="1"/>
  <c r="F10" i="578" a="1"/>
  <c r="F10" i="578" s="1"/>
  <c r="I10" i="578" a="1"/>
  <c r="I10" i="578" s="1"/>
  <c r="H10" i="578" a="1"/>
  <c r="H10" i="578" s="1"/>
  <c r="P10" i="578" a="1"/>
  <c r="P10" i="578" s="1"/>
  <c r="E10" i="578" a="1"/>
  <c r="E10" i="578" s="1"/>
  <c r="M10" i="578" a="1"/>
  <c r="M10" i="578" s="1"/>
  <c r="L10" i="578" a="1"/>
  <c r="L10" i="578" s="1"/>
  <c r="N4" i="578" a="1"/>
  <c r="N4" i="578" s="1"/>
  <c r="J4" i="578" a="1"/>
  <c r="J4" i="578" s="1"/>
  <c r="F4" i="578" a="1"/>
  <c r="F4" i="578" s="1"/>
  <c r="M4" i="578" a="1"/>
  <c r="M4" i="578" s="1"/>
  <c r="I4" i="578" a="1"/>
  <c r="I4" i="578" s="1"/>
  <c r="E4" i="578" a="1"/>
  <c r="E4" i="578" s="1"/>
  <c r="K4" i="578" a="1"/>
  <c r="K4" i="578" s="1"/>
  <c r="H4" i="578" a="1"/>
  <c r="H4" i="578" s="1"/>
  <c r="G4" i="578" a="1"/>
  <c r="G4" i="578" s="1"/>
  <c r="O4" i="578" a="1"/>
  <c r="O4" i="578" s="1"/>
  <c r="P4" i="578" a="1"/>
  <c r="P4" i="578" s="1"/>
  <c r="L4" i="578" a="1"/>
  <c r="L4" i="578" s="1"/>
  <c r="O9" i="578" a="1"/>
  <c r="O9" i="578" s="1"/>
  <c r="K9" i="578" a="1"/>
  <c r="K9" i="578" s="1"/>
  <c r="G9" i="578" a="1"/>
  <c r="G9" i="578" s="1"/>
  <c r="N9" i="578" a="1"/>
  <c r="N9" i="578" s="1"/>
  <c r="J9" i="578" a="1"/>
  <c r="J9" i="578" s="1"/>
  <c r="F9" i="578" a="1"/>
  <c r="F9" i="578" s="1"/>
  <c r="M9" i="578" a="1"/>
  <c r="M9" i="578" s="1"/>
  <c r="I9" i="578" a="1"/>
  <c r="I9" i="578" s="1"/>
  <c r="E9" i="578" a="1"/>
  <c r="E9" i="578" s="1"/>
  <c r="L9" i="578" a="1"/>
  <c r="L9" i="578" s="1"/>
  <c r="H9" i="578" a="1"/>
  <c r="H9" i="578" s="1"/>
  <c r="P9" i="578" a="1"/>
  <c r="P9" i="578" s="1"/>
  <c r="M6" i="578" a="1"/>
  <c r="M6" i="578" s="1"/>
  <c r="I6" i="578" a="1"/>
  <c r="I6" i="578" s="1"/>
  <c r="E6" i="578" a="1"/>
  <c r="E6" i="578" s="1"/>
  <c r="P6" i="578" a="1"/>
  <c r="P6" i="578" s="1"/>
  <c r="L6" i="578" a="1"/>
  <c r="L6" i="578" s="1"/>
  <c r="H6" i="578" a="1"/>
  <c r="H6" i="578" s="1"/>
  <c r="K6" i="578" a="1"/>
  <c r="K6" i="578" s="1"/>
  <c r="J6" i="578" a="1"/>
  <c r="J6" i="578" s="1"/>
  <c r="G6" i="578" a="1"/>
  <c r="G6" i="578" s="1"/>
  <c r="O6" i="578" a="1"/>
  <c r="O6" i="578" s="1"/>
  <c r="N6" i="578" a="1"/>
  <c r="N6" i="578" s="1"/>
  <c r="F6" i="578" a="1"/>
  <c r="F6" i="578" s="1"/>
  <c r="N11" i="578" a="1"/>
  <c r="N11" i="578" s="1"/>
  <c r="J11" i="578" a="1"/>
  <c r="J11" i="578" s="1"/>
  <c r="F11" i="578" a="1"/>
  <c r="F11" i="578" s="1"/>
  <c r="M11" i="578" a="1"/>
  <c r="M11" i="578" s="1"/>
  <c r="I11" i="578" a="1"/>
  <c r="I11" i="578" s="1"/>
  <c r="E11" i="578" a="1"/>
  <c r="E11" i="578" s="1"/>
  <c r="P11" i="578" a="1"/>
  <c r="P11" i="578" s="1"/>
  <c r="L11" i="578" a="1"/>
  <c r="L11" i="578" s="1"/>
  <c r="H11" i="578" a="1"/>
  <c r="H11" i="578" s="1"/>
  <c r="K11" i="578" a="1"/>
  <c r="K11" i="578" s="1"/>
  <c r="G11" i="578" a="1"/>
  <c r="G11" i="578" s="1"/>
  <c r="O11" i="578" a="1"/>
  <c r="O11" i="578" s="1"/>
  <c r="P3" i="578" a="1"/>
  <c r="P3" i="578" s="1"/>
  <c r="L3" i="578" a="1"/>
  <c r="L3" i="578" s="1"/>
  <c r="H3" i="578" a="1"/>
  <c r="H3" i="578" s="1"/>
  <c r="O3" i="578" a="1"/>
  <c r="O3" i="578" s="1"/>
  <c r="K3" i="578" a="1"/>
  <c r="K3" i="578" s="1"/>
  <c r="G3" i="578" a="1"/>
  <c r="G3" i="578" s="1"/>
  <c r="E3" i="578" a="1"/>
  <c r="E3" i="578" s="1"/>
  <c r="N3" i="578" a="1"/>
  <c r="N3" i="578" s="1"/>
  <c r="M3" i="578" a="1"/>
  <c r="M3" i="578" s="1"/>
  <c r="I3" i="578" a="1"/>
  <c r="I3" i="578" s="1"/>
  <c r="J3" i="578" a="1"/>
  <c r="J3" i="578" s="1"/>
  <c r="F3" i="578" a="1"/>
  <c r="F3" i="578" s="1"/>
  <c r="J13" i="578" l="1"/>
  <c r="J14" i="578" s="1"/>
  <c r="H13" i="578"/>
  <c r="H14" i="578" s="1"/>
  <c r="I13" i="578"/>
  <c r="I14" i="578" s="1"/>
  <c r="G13" i="578"/>
  <c r="G14" i="578" s="1"/>
  <c r="K13" i="578"/>
  <c r="K14" i="578" s="1"/>
  <c r="N13" i="578"/>
  <c r="N14" i="578" s="1"/>
  <c r="L13" i="578"/>
  <c r="L14" i="578" s="1"/>
  <c r="M13" i="578"/>
  <c r="M14" i="578" s="1"/>
  <c r="Q10" i="578"/>
  <c r="F13" i="578"/>
  <c r="F14" i="578" s="1"/>
  <c r="O13" i="578"/>
  <c r="O14" i="578" s="1"/>
  <c r="Q4" i="578"/>
  <c r="Q5" i="578"/>
  <c r="Q8" i="578"/>
  <c r="E13" i="578"/>
  <c r="E14" i="578" s="1"/>
  <c r="Q3" i="578"/>
  <c r="Q12" i="578"/>
  <c r="Q11" i="578"/>
  <c r="Q6" i="578"/>
  <c r="Q7" i="578"/>
  <c r="P13" i="578"/>
  <c r="P14" i="578" s="1"/>
  <c r="Q9" i="578"/>
  <c r="Q13" i="578" l="1"/>
  <c r="Q14" i="578" s="1"/>
  <c r="Q80" i="207"/>
  <c r="Q79" i="207"/>
  <c r="Q78" i="207"/>
  <c r="Q72" i="207"/>
  <c r="Q71" i="207"/>
  <c r="Q70" i="207"/>
  <c r="Q69" i="207"/>
  <c r="Q68" i="207"/>
  <c r="Q59" i="207"/>
  <c r="Q58" i="207"/>
  <c r="Q57" i="207"/>
  <c r="Q56" i="207"/>
  <c r="Q55" i="207"/>
  <c r="Q54" i="207"/>
  <c r="Q53" i="207"/>
  <c r="Q52" i="207"/>
  <c r="Q51" i="207"/>
  <c r="Q50" i="207"/>
  <c r="AA4" i="207" l="1"/>
  <c r="AA5" i="207"/>
  <c r="AA6" i="207"/>
  <c r="AA7" i="207"/>
  <c r="AA8" i="207"/>
  <c r="AA9" i="207"/>
  <c r="AA10" i="207"/>
  <c r="AA11" i="207"/>
  <c r="AA12" i="207"/>
  <c r="AA13" i="207"/>
  <c r="X6" i="207"/>
  <c r="X7" i="207"/>
  <c r="X8" i="207"/>
  <c r="X9" i="207"/>
  <c r="X10" i="207"/>
  <c r="X11" i="207"/>
  <c r="AA15" i="207"/>
  <c r="AA14" i="207"/>
  <c r="X15" i="207"/>
  <c r="X14" i="207"/>
  <c r="S10" i="3" a="1"/>
  <c r="N14" i="1"/>
  <c r="Q14" i="1"/>
  <c r="B6" i="3" a="1"/>
  <c r="D10" i="1" a="1"/>
  <c r="T8" i="1"/>
  <c r="G8" i="1"/>
  <c r="Q5" i="1"/>
  <c r="P9" i="1"/>
  <c r="E10" i="1" a="1"/>
  <c r="O9" i="1"/>
  <c r="R14" i="1"/>
  <c r="M12" i="1"/>
  <c r="W3" i="3" a="1"/>
  <c r="Y8" i="3" a="1"/>
  <c r="R9" i="1"/>
  <c r="AC5" i="3" a="1"/>
  <c r="H14" i="1"/>
  <c r="S8" i="3" a="1"/>
  <c r="S7" i="3" a="1"/>
  <c r="G4" i="1"/>
  <c r="M10" i="1"/>
  <c r="I6" i="3" a="1"/>
  <c r="O6" i="3" a="1"/>
  <c r="I8" i="3" a="1"/>
  <c r="Q13" i="1"/>
  <c r="W4" i="3" a="1"/>
  <c r="P11" i="1"/>
  <c r="H8" i="1"/>
  <c r="M2" i="3" a="1"/>
  <c r="T10" i="1"/>
  <c r="S12" i="1"/>
  <c r="H10" i="1"/>
  <c r="R4" i="1"/>
  <c r="T13" i="1"/>
  <c r="U4" i="1"/>
  <c r="U9" i="1"/>
  <c r="G11" i="1"/>
  <c r="U13" i="1"/>
  <c r="S2" i="3" a="1"/>
  <c r="AA12" i="3" a="1"/>
  <c r="U8" i="3" a="1"/>
  <c r="W11" i="3" a="1"/>
  <c r="Y4" i="3" a="1"/>
  <c r="G12" i="3" a="1"/>
  <c r="W7" i="3" a="1"/>
  <c r="S9" i="3" a="1"/>
  <c r="E6" i="1" a="1"/>
  <c r="H4" i="1"/>
  <c r="N13" i="1"/>
  <c r="Y5" i="3" a="1"/>
  <c r="H12" i="1"/>
  <c r="G9" i="1"/>
  <c r="H11" i="1"/>
  <c r="M13" i="3" a="1"/>
  <c r="Q9" i="3" a="1"/>
  <c r="AC2" i="3" a="1"/>
  <c r="E14" i="1" a="1"/>
  <c r="D12" i="1" a="1"/>
  <c r="H5" i="1"/>
  <c r="AC10" i="3" a="1"/>
  <c r="O10" i="3" a="1"/>
  <c r="O11" i="3" a="1"/>
  <c r="S3" i="3" a="1"/>
  <c r="O12" i="3" a="1"/>
  <c r="AC11" i="3" a="1"/>
  <c r="AA2" i="3" a="1"/>
  <c r="P12" i="1"/>
  <c r="P4" i="1"/>
  <c r="Q4" i="3" a="1"/>
  <c r="T9" i="1"/>
  <c r="G14" i="1"/>
  <c r="U7" i="3" a="1"/>
  <c r="T11" i="1"/>
  <c r="B11" i="3" a="1"/>
  <c r="E8" i="1" a="1"/>
  <c r="K2" i="3" a="1"/>
  <c r="S6" i="3" a="1"/>
  <c r="T14" i="1"/>
  <c r="G11" i="3" a="1"/>
  <c r="Q6" i="3" a="1"/>
  <c r="M7" i="3" a="1"/>
  <c r="AA5" i="3" a="1"/>
  <c r="O7" i="3" a="1"/>
  <c r="AC3" i="3" a="1"/>
  <c r="Q11" i="3" a="1"/>
  <c r="O5" i="1"/>
  <c r="S13" i="3" a="1"/>
  <c r="T6" i="1"/>
  <c r="P8" i="1"/>
  <c r="T4" i="1"/>
  <c r="AA11" i="3" a="1"/>
  <c r="Y13" i="3" a="1"/>
  <c r="Y12" i="3" a="1"/>
  <c r="U10" i="1"/>
  <c r="K10" i="3" a="1"/>
  <c r="B10" i="3" a="1"/>
  <c r="Q12" i="1"/>
  <c r="I10" i="3" a="1"/>
  <c r="O11" i="1"/>
  <c r="S11" i="3" a="1"/>
  <c r="W8" i="3" a="1"/>
  <c r="S13" i="1"/>
  <c r="N9" i="1"/>
  <c r="P14" i="1"/>
  <c r="AA4" i="3" a="1"/>
  <c r="W2" i="3" a="1"/>
  <c r="M4" i="1"/>
  <c r="S10" i="1"/>
  <c r="AA8" i="3" a="1"/>
  <c r="L8" i="1"/>
  <c r="E12" i="1" a="1"/>
  <c r="H13" i="1"/>
  <c r="P13" i="1"/>
  <c r="M8" i="3" a="1"/>
  <c r="W12" i="3" a="1"/>
  <c r="K9" i="3" a="1"/>
  <c r="U11" i="3" a="1"/>
  <c r="T5" i="1"/>
  <c r="M6" i="1"/>
  <c r="AA9" i="3" a="1"/>
  <c r="Q8" i="3" a="1"/>
  <c r="AC9" i="3" a="1"/>
  <c r="D5" i="1" a="1"/>
  <c r="G6" i="1"/>
  <c r="B6" i="207" a="1"/>
  <c r="N6" i="1"/>
  <c r="O9" i="3" a="1"/>
  <c r="U8" i="1"/>
  <c r="R6" i="1"/>
  <c r="B5" i="3" a="1"/>
  <c r="U5" i="1"/>
  <c r="Y2" i="3" a="1"/>
  <c r="U2" i="3" a="1"/>
  <c r="G13" i="1"/>
  <c r="AA13" i="3" a="1"/>
  <c r="D9" i="1" a="1"/>
  <c r="Q4" i="1"/>
  <c r="G13" i="3" a="1"/>
  <c r="N12" i="1"/>
  <c r="U11" i="1"/>
  <c r="AA6" i="3" a="1"/>
  <c r="R12" i="1"/>
  <c r="W6" i="3" a="1"/>
  <c r="D14" i="1" a="1"/>
  <c r="K7" i="3" a="1"/>
  <c r="B7" i="3" a="1"/>
  <c r="G2" i="3" a="1"/>
  <c r="L10" i="1"/>
  <c r="I12" i="3" a="1"/>
  <c r="B9" i="3" a="1"/>
  <c r="R11" i="1"/>
  <c r="G10" i="3" a="1"/>
  <c r="G12" i="1"/>
  <c r="Q13" i="3" a="1"/>
  <c r="U12" i="1"/>
  <c r="S4" i="1"/>
  <c r="K13" i="3" a="1"/>
  <c r="S14" i="1"/>
  <c r="Q3" i="3" a="1"/>
  <c r="M11" i="3" a="1"/>
  <c r="K3" i="3" a="1"/>
  <c r="AC4" i="3" a="1"/>
  <c r="O8" i="3" a="1"/>
  <c r="P10" i="1"/>
  <c r="G5" i="1"/>
  <c r="D13" i="1" a="1"/>
  <c r="R5" i="1"/>
  <c r="E11" i="1" a="1"/>
  <c r="AC8" i="3" a="1"/>
  <c r="D7" i="1" a="1"/>
  <c r="O14" i="1"/>
  <c r="B3" i="3" a="1"/>
  <c r="U5" i="3" a="1"/>
  <c r="Y6" i="3" a="1"/>
  <c r="L4" i="1"/>
  <c r="N11" i="1"/>
  <c r="L9" i="1"/>
  <c r="S11" i="1"/>
  <c r="K11" i="3" a="1"/>
  <c r="L5" i="1"/>
  <c r="O10" i="1"/>
  <c r="H7" i="1"/>
  <c r="D4" i="1" a="1"/>
  <c r="S8" i="1"/>
  <c r="Q5" i="3" a="1"/>
  <c r="D11" i="1" a="1"/>
  <c r="E5" i="1" a="1"/>
  <c r="N5" i="1"/>
  <c r="K8" i="3" a="1"/>
  <c r="O6" i="1"/>
  <c r="N7" i="1"/>
  <c r="AA7" i="3" a="1"/>
  <c r="O7" i="1"/>
  <c r="I7" i="3" a="1"/>
  <c r="AC12" i="3" a="1"/>
  <c r="G4" i="3" a="1"/>
  <c r="Q7" i="3" a="1"/>
  <c r="O2" i="3" a="1"/>
  <c r="E9" i="1" a="1"/>
  <c r="B2" i="3" a="1"/>
  <c r="U6" i="1"/>
  <c r="B13" i="3" a="1"/>
  <c r="H9" i="1"/>
  <c r="Q11" i="1"/>
  <c r="O4" i="3" a="1"/>
  <c r="G7" i="3" a="1"/>
  <c r="E3" i="1" a="1"/>
  <c r="I9" i="3" a="1"/>
  <c r="I2" i="3" a="1"/>
  <c r="U3" i="3" a="1"/>
  <c r="D3" i="1" a="1"/>
  <c r="G3" i="3" a="1"/>
  <c r="E4" i="1" a="1"/>
  <c r="L7" i="1"/>
  <c r="I11" i="3" a="1"/>
  <c r="O13" i="3" a="1"/>
  <c r="G6" i="3" a="1"/>
  <c r="N4" i="1"/>
  <c r="O3" i="3" a="1"/>
  <c r="I13" i="3" a="1"/>
  <c r="B12" i="3" a="1"/>
  <c r="O8" i="1"/>
  <c r="Y7" i="3" a="1"/>
  <c r="K12" i="3" a="1"/>
  <c r="O5" i="3" a="1"/>
  <c r="AC7" i="3" a="1"/>
  <c r="R13" i="1"/>
  <c r="K4" i="3" a="1"/>
  <c r="M13" i="1"/>
  <c r="S12" i="3" a="1"/>
  <c r="U6" i="3" a="1"/>
  <c r="I5" i="3" a="1"/>
  <c r="O12" i="1"/>
  <c r="W10" i="3" a="1"/>
  <c r="Q10" i="1"/>
  <c r="M14" i="1"/>
  <c r="G10" i="1"/>
  <c r="R7" i="1"/>
  <c r="Q8" i="1"/>
  <c r="AA10" i="3" a="1"/>
  <c r="M10" i="3" a="1"/>
  <c r="O4" i="1"/>
  <c r="K6" i="3" a="1"/>
  <c r="U9" i="3" a="1"/>
  <c r="P6" i="1"/>
  <c r="Y10" i="3" a="1"/>
  <c r="D8" i="1" a="1"/>
  <c r="L12" i="1"/>
  <c r="L14" i="1"/>
  <c r="G9" i="3" a="1"/>
  <c r="AC6" i="3" a="1"/>
  <c r="S9" i="1"/>
  <c r="U14" i="1"/>
  <c r="Q10" i="3" a="1"/>
  <c r="M6" i="3" a="1"/>
  <c r="Y9" i="3" a="1"/>
  <c r="E13" i="1" a="1"/>
  <c r="D6" i="1" a="1"/>
  <c r="N8" i="1"/>
  <c r="G7" i="1"/>
  <c r="W9" i="3" a="1"/>
  <c r="AC13" i="3" a="1"/>
  <c r="M3" i="3" a="1"/>
  <c r="M8" i="1"/>
  <c r="P7" i="1"/>
  <c r="M9" i="3" a="1"/>
  <c r="S5" i="1"/>
  <c r="R8" i="1"/>
  <c r="Q7" i="1"/>
  <c r="Q6" i="1"/>
  <c r="I4" i="3" a="1"/>
  <c r="U13" i="3" a="1"/>
  <c r="U4" i="3" a="1"/>
  <c r="M11" i="1"/>
  <c r="I3" i="3" a="1"/>
  <c r="U10" i="3" a="1"/>
  <c r="T7" i="1"/>
  <c r="H6" i="1"/>
  <c r="M4" i="3" a="1"/>
  <c r="Q12" i="3" a="1"/>
  <c r="W13" i="3" a="1"/>
  <c r="Q9" i="1"/>
  <c r="B4" i="3" a="1"/>
  <c r="G5" i="3" a="1"/>
  <c r="Y3" i="3" a="1"/>
  <c r="E7" i="1" a="1"/>
  <c r="R10" i="1"/>
  <c r="K5" i="3" a="1"/>
  <c r="Q2" i="3" a="1"/>
  <c r="S4" i="3" a="1"/>
  <c r="U7" i="1"/>
  <c r="T12" i="1"/>
  <c r="N10" i="1"/>
  <c r="M7" i="1"/>
  <c r="L6" i="1"/>
  <c r="M5" i="3" a="1"/>
  <c r="U12" i="3" a="1"/>
  <c r="L11" i="1"/>
  <c r="M12" i="3" a="1"/>
  <c r="G8" i="3" a="1"/>
  <c r="P5" i="1"/>
  <c r="S7" i="1"/>
  <c r="O13" i="1"/>
  <c r="S6" i="1"/>
  <c r="W5" i="3" a="1"/>
  <c r="M5" i="1"/>
  <c r="B8" i="3" a="1"/>
  <c r="AA3" i="3" a="1"/>
  <c r="S5" i="3" a="1"/>
  <c r="L13" i="1"/>
  <c r="Y11" i="3" a="1"/>
  <c r="M9" i="1"/>
  <c r="V12" i="1" l="1" a="1"/>
  <c r="V12" i="1" s="1"/>
  <c r="B9" i="3"/>
  <c r="B4" i="3"/>
  <c r="B11" i="3"/>
  <c r="B3" i="3"/>
  <c r="B13" i="3"/>
  <c r="B8" i="3"/>
  <c r="B2" i="3"/>
  <c r="B12" i="3"/>
  <c r="B5" i="3"/>
  <c r="B10" i="3"/>
  <c r="B6" i="3"/>
  <c r="B7" i="3"/>
  <c r="D3" i="1"/>
  <c r="G12" i="3"/>
  <c r="D5" i="1"/>
  <c r="M4" i="3"/>
  <c r="E11" i="1"/>
  <c r="K4" i="3"/>
  <c r="U2" i="3"/>
  <c r="Y6" i="3"/>
  <c r="I2" i="3"/>
  <c r="E9" i="1"/>
  <c r="AA6" i="3"/>
  <c r="D4" i="1"/>
  <c r="Q8" i="3"/>
  <c r="K2" i="3"/>
  <c r="D6" i="1"/>
  <c r="I9" i="3"/>
  <c r="S8" i="3"/>
  <c r="M5" i="3"/>
  <c r="M13" i="3"/>
  <c r="AA7" i="3"/>
  <c r="E14" i="1"/>
  <c r="G8" i="3"/>
  <c r="I13" i="3"/>
  <c r="D9" i="1"/>
  <c r="Y13" i="3"/>
  <c r="W4" i="3"/>
  <c r="AC9" i="3"/>
  <c r="AC13" i="3"/>
  <c r="U3" i="3"/>
  <c r="D13" i="1"/>
  <c r="M6" i="3"/>
  <c r="D10" i="1"/>
  <c r="AC3" i="3"/>
  <c r="W2" i="3"/>
  <c r="Q10" i="3"/>
  <c r="AC8" i="3"/>
  <c r="K8" i="3"/>
  <c r="W8" i="3"/>
  <c r="E6" i="1"/>
  <c r="K12" i="3"/>
  <c r="O7" i="3"/>
  <c r="U5" i="3"/>
  <c r="U6" i="3"/>
  <c r="S5" i="3"/>
  <c r="AC6" i="3"/>
  <c r="G10" i="3"/>
  <c r="K3" i="3"/>
  <c r="Q9" i="3"/>
  <c r="W10" i="3"/>
  <c r="AA11" i="3"/>
  <c r="Y2" i="3"/>
  <c r="Y4" i="3"/>
  <c r="Y12" i="3"/>
  <c r="O3" i="3"/>
  <c r="AA10" i="3"/>
  <c r="E13" i="1"/>
  <c r="S3" i="3"/>
  <c r="S13" i="3"/>
  <c r="E4" i="1"/>
  <c r="E12" i="1"/>
  <c r="W12" i="3"/>
  <c r="K6" i="3"/>
  <c r="I10" i="3"/>
  <c r="Q4" i="3"/>
  <c r="G3" i="3"/>
  <c r="S12" i="3"/>
  <c r="E10" i="1"/>
  <c r="AC7" i="3"/>
  <c r="B6" i="207"/>
  <c r="X12" i="207" s="1"/>
  <c r="E3" i="1"/>
  <c r="Q3" i="3"/>
  <c r="O10" i="3"/>
  <c r="G9" i="3"/>
  <c r="K9" i="3"/>
  <c r="Y5" i="3"/>
  <c r="U8" i="3"/>
  <c r="O12" i="3"/>
  <c r="G7" i="3"/>
  <c r="U13" i="3"/>
  <c r="D7" i="1"/>
  <c r="D8" i="1"/>
  <c r="AA3" i="3"/>
  <c r="M7" i="3"/>
  <c r="W9" i="3"/>
  <c r="M3" i="3"/>
  <c r="AA9" i="3"/>
  <c r="I11" i="3"/>
  <c r="AC2" i="3"/>
  <c r="S10" i="3"/>
  <c r="M11" i="3"/>
  <c r="K10" i="3"/>
  <c r="G2" i="3"/>
  <c r="K5" i="3"/>
  <c r="G5" i="3"/>
  <c r="Q12" i="3"/>
  <c r="U10" i="3"/>
  <c r="D11" i="1"/>
  <c r="W6" i="3"/>
  <c r="Q2" i="3"/>
  <c r="S11" i="3"/>
  <c r="G6" i="3"/>
  <c r="M10" i="3"/>
  <c r="O5" i="3"/>
  <c r="S6" i="3"/>
  <c r="U7" i="3"/>
  <c r="G11" i="3"/>
  <c r="U12" i="3"/>
  <c r="AA8" i="3"/>
  <c r="I3" i="3"/>
  <c r="W5" i="3"/>
  <c r="O13" i="3"/>
  <c r="D14" i="1"/>
  <c r="AC11" i="3"/>
  <c r="Q11" i="3"/>
  <c r="U9" i="3"/>
  <c r="M8" i="3"/>
  <c r="W11" i="3"/>
  <c r="Q6" i="3"/>
  <c r="AC12" i="3"/>
  <c r="O4" i="3"/>
  <c r="E5" i="1"/>
  <c r="Q13" i="3"/>
  <c r="I6" i="3"/>
  <c r="AA12" i="3"/>
  <c r="S9" i="3"/>
  <c r="W7" i="3"/>
  <c r="Y8" i="3"/>
  <c r="W13" i="3"/>
  <c r="I4" i="3"/>
  <c r="S2" i="3"/>
  <c r="AA5" i="3"/>
  <c r="M12" i="3"/>
  <c r="E8" i="1"/>
  <c r="Q5" i="3"/>
  <c r="O2" i="3"/>
  <c r="G4" i="3"/>
  <c r="Q7" i="3"/>
  <c r="Y3" i="3"/>
  <c r="AC5" i="3"/>
  <c r="Y7" i="3"/>
  <c r="M2" i="3"/>
  <c r="AC10" i="3"/>
  <c r="AA4" i="3"/>
  <c r="AC4" i="3"/>
  <c r="I12" i="3"/>
  <c r="U11" i="3"/>
  <c r="O11" i="3"/>
  <c r="G13" i="3"/>
  <c r="I7" i="3"/>
  <c r="I8" i="3"/>
  <c r="K7" i="3"/>
  <c r="K11" i="3"/>
  <c r="AA13" i="3"/>
  <c r="Y9" i="3"/>
  <c r="Y10" i="3"/>
  <c r="O8" i="3"/>
  <c r="Y11" i="3"/>
  <c r="K13" i="3"/>
  <c r="S7" i="3"/>
  <c r="D12" i="1"/>
  <c r="O6" i="3"/>
  <c r="M9" i="3"/>
  <c r="S4" i="3"/>
  <c r="U4" i="3"/>
  <c r="AA2" i="3"/>
  <c r="I5" i="3"/>
  <c r="E7" i="1"/>
  <c r="W3" i="3"/>
  <c r="O9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E50" i="3"/>
  <c r="AE49" i="3"/>
  <c r="AE48" i="3"/>
  <c r="AE47" i="3"/>
  <c r="AE46" i="3"/>
  <c r="AE45" i="3"/>
  <c r="AE44" i="3"/>
  <c r="AE43" i="3"/>
  <c r="AE42" i="3"/>
  <c r="AE41" i="3"/>
  <c r="AE40" i="3"/>
  <c r="AE39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B50" i="3"/>
  <c r="AB49" i="3"/>
  <c r="AB48" i="3"/>
  <c r="AB47" i="3"/>
  <c r="AB46" i="3"/>
  <c r="AB45" i="3"/>
  <c r="AB44" i="3"/>
  <c r="AB43" i="3"/>
  <c r="AB42" i="3"/>
  <c r="AB41" i="3"/>
  <c r="AB40" i="3"/>
  <c r="AB39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Z50" i="3"/>
  <c r="Z49" i="3"/>
  <c r="Z48" i="3"/>
  <c r="Z47" i="3"/>
  <c r="Z46" i="3"/>
  <c r="Z45" i="3"/>
  <c r="Z44" i="3"/>
  <c r="Z43" i="3"/>
  <c r="Z42" i="3"/>
  <c r="Z41" i="3"/>
  <c r="Z40" i="3"/>
  <c r="Z39" i="3"/>
  <c r="Y50" i="3"/>
  <c r="Y49" i="3"/>
  <c r="Y48" i="3"/>
  <c r="Y47" i="3"/>
  <c r="Y46" i="3"/>
  <c r="Y45" i="3"/>
  <c r="Y44" i="3"/>
  <c r="Y43" i="3"/>
  <c r="Y42" i="3"/>
  <c r="Y41" i="3"/>
  <c r="Y40" i="3"/>
  <c r="Y39" i="3"/>
  <c r="X50" i="3"/>
  <c r="X49" i="3"/>
  <c r="X48" i="3"/>
  <c r="X47" i="3"/>
  <c r="X46" i="3"/>
  <c r="X45" i="3"/>
  <c r="X44" i="3"/>
  <c r="X43" i="3"/>
  <c r="X42" i="3"/>
  <c r="X41" i="3"/>
  <c r="X40" i="3"/>
  <c r="X39" i="3"/>
  <c r="W50" i="3"/>
  <c r="W49" i="3"/>
  <c r="W48" i="3"/>
  <c r="W47" i="3"/>
  <c r="W46" i="3"/>
  <c r="W45" i="3"/>
  <c r="W44" i="3"/>
  <c r="W43" i="3"/>
  <c r="W42" i="3"/>
  <c r="W41" i="3"/>
  <c r="W40" i="3"/>
  <c r="W39" i="3"/>
  <c r="V50" i="3"/>
  <c r="V49" i="3"/>
  <c r="V48" i="3"/>
  <c r="V47" i="3"/>
  <c r="V46" i="3"/>
  <c r="V45" i="3"/>
  <c r="V44" i="3"/>
  <c r="V43" i="3"/>
  <c r="V42" i="3"/>
  <c r="V41" i="3"/>
  <c r="V40" i="3"/>
  <c r="V39" i="3"/>
  <c r="U50" i="3"/>
  <c r="U49" i="3"/>
  <c r="U48" i="3"/>
  <c r="U47" i="3"/>
  <c r="U46" i="3"/>
  <c r="U45" i="3"/>
  <c r="U44" i="3"/>
  <c r="U43" i="3"/>
  <c r="U42" i="3"/>
  <c r="U41" i="3"/>
  <c r="U40" i="3"/>
  <c r="U39" i="3"/>
  <c r="B7" i="207"/>
  <c r="K23" i="207" s="1"/>
  <c r="B3" i="207"/>
  <c r="B2" i="207"/>
  <c r="B1" i="207"/>
  <c r="H3" i="1"/>
  <c r="P3" i="1"/>
  <c r="L3" i="1"/>
  <c r="S3" i="1"/>
  <c r="R3" i="1"/>
  <c r="O3" i="1"/>
  <c r="N3" i="1"/>
  <c r="T3" i="1"/>
  <c r="M3" i="1"/>
  <c r="U3" i="1"/>
  <c r="G3" i="1"/>
  <c r="Q3" i="1"/>
  <c r="X5" i="207" l="1"/>
  <c r="X13" i="207"/>
  <c r="J23" i="207"/>
  <c r="X4" i="207"/>
  <c r="K24" i="207"/>
  <c r="H25" i="207" s="1"/>
  <c r="X3" i="207"/>
  <c r="D7" i="207" a="1"/>
  <c r="D7" i="207" s="1"/>
  <c r="D9" i="207" a="1"/>
  <c r="D9" i="207" s="1"/>
  <c r="D6" i="207" a="1"/>
  <c r="D6" i="207" s="1"/>
  <c r="D5" i="207" a="1"/>
  <c r="D5" i="207" s="1"/>
  <c r="D12" i="207" a="1"/>
  <c r="D12" i="207" s="1"/>
  <c r="D4" i="207" a="1"/>
  <c r="D4" i="207" s="1"/>
  <c r="D11" i="207" a="1"/>
  <c r="D11" i="207" s="1"/>
  <c r="D3" i="207" a="1"/>
  <c r="D3" i="207" s="1"/>
  <c r="E3" i="207" s="1" a="1"/>
  <c r="E3" i="207" s="1"/>
  <c r="D10" i="207" a="1"/>
  <c r="D10" i="207" s="1"/>
  <c r="D8" i="207" a="1"/>
  <c r="D8" i="207" s="1"/>
  <c r="J24" i="207"/>
  <c r="B8" i="207"/>
  <c r="B9" i="207"/>
  <c r="H24" i="207" l="1"/>
  <c r="H27" i="207"/>
  <c r="H26" i="207"/>
  <c r="E4" i="207" a="1"/>
  <c r="E4" i="207" s="1"/>
  <c r="K4" i="207" a="1"/>
  <c r="K4" i="207" s="1"/>
  <c r="G4" i="207" a="1"/>
  <c r="G4" i="207" s="1"/>
  <c r="P4" i="207" a="1"/>
  <c r="P4" i="207" s="1"/>
  <c r="L4" i="207" a="1"/>
  <c r="L4" i="207" s="1"/>
  <c r="J4" i="207" a="1"/>
  <c r="J4" i="207" s="1"/>
  <c r="O4" i="207" a="1"/>
  <c r="O4" i="207" s="1"/>
  <c r="M4" i="207" a="1"/>
  <c r="M4" i="207" s="1"/>
  <c r="F4" i="207" a="1"/>
  <c r="F4" i="207" s="1"/>
  <c r="H4" i="207" a="1"/>
  <c r="H4" i="207" s="1"/>
  <c r="I4" i="207" a="1"/>
  <c r="I4" i="207" s="1"/>
  <c r="N4" i="207" a="1"/>
  <c r="N4" i="207" s="1"/>
  <c r="E12" i="207" a="1"/>
  <c r="E12" i="207" s="1"/>
  <c r="O12" i="207" a="1"/>
  <c r="O12" i="207" s="1"/>
  <c r="H12" i="207" a="1"/>
  <c r="H12" i="207" s="1"/>
  <c r="P12" i="207" a="1"/>
  <c r="P12" i="207" s="1"/>
  <c r="K12" i="207" a="1"/>
  <c r="K12" i="207" s="1"/>
  <c r="G12" i="207" a="1"/>
  <c r="G12" i="207" s="1"/>
  <c r="L12" i="207" a="1"/>
  <c r="L12" i="207" s="1"/>
  <c r="N12" i="207" a="1"/>
  <c r="N12" i="207" s="1"/>
  <c r="J12" i="207" a="1"/>
  <c r="J12" i="207" s="1"/>
  <c r="I12" i="207" a="1"/>
  <c r="I12" i="207" s="1"/>
  <c r="F12" i="207" a="1"/>
  <c r="F12" i="207" s="1"/>
  <c r="M12" i="207" a="1"/>
  <c r="M12" i="207" s="1"/>
  <c r="E11" i="207" a="1"/>
  <c r="E11" i="207" s="1"/>
  <c r="P11" i="207" a="1"/>
  <c r="P11" i="207" s="1"/>
  <c r="N11" i="207" a="1"/>
  <c r="N11" i="207" s="1"/>
  <c r="I11" i="207" a="1"/>
  <c r="I11" i="207" s="1"/>
  <c r="J11" i="207" a="1"/>
  <c r="J11" i="207" s="1"/>
  <c r="F11" i="207" a="1"/>
  <c r="F11" i="207" s="1"/>
  <c r="L11" i="207" a="1"/>
  <c r="L11" i="207" s="1"/>
  <c r="O11" i="207" a="1"/>
  <c r="O11" i="207" s="1"/>
  <c r="H11" i="207" a="1"/>
  <c r="H11" i="207" s="1"/>
  <c r="K11" i="207" a="1"/>
  <c r="K11" i="207" s="1"/>
  <c r="G11" i="207" a="1"/>
  <c r="G11" i="207" s="1"/>
  <c r="M11" i="207" a="1"/>
  <c r="M11" i="207" s="1"/>
  <c r="I5" i="207" a="1"/>
  <c r="I5" i="207" s="1"/>
  <c r="K5" i="207" a="1"/>
  <c r="K5" i="207" s="1"/>
  <c r="F5" i="207" a="1"/>
  <c r="F5" i="207" s="1"/>
  <c r="M5" i="207" a="1"/>
  <c r="M5" i="207" s="1"/>
  <c r="E5" i="207" a="1"/>
  <c r="E5" i="207" s="1"/>
  <c r="H5" i="207" a="1"/>
  <c r="H5" i="207" s="1"/>
  <c r="N5" i="207" a="1"/>
  <c r="N5" i="207" s="1"/>
  <c r="O5" i="207" a="1"/>
  <c r="O5" i="207" s="1"/>
  <c r="P5" i="207" a="1"/>
  <c r="P5" i="207" s="1"/>
  <c r="J5" i="207" a="1"/>
  <c r="J5" i="207" s="1"/>
  <c r="G5" i="207" a="1"/>
  <c r="G5" i="207" s="1"/>
  <c r="L5" i="207" a="1"/>
  <c r="L5" i="207" s="1"/>
  <c r="E6" i="207" a="1"/>
  <c r="E6" i="207" s="1"/>
  <c r="J6" i="207" a="1"/>
  <c r="J6" i="207" s="1"/>
  <c r="O6" i="207" a="1"/>
  <c r="O6" i="207" s="1"/>
  <c r="I6" i="207" a="1"/>
  <c r="I6" i="207" s="1"/>
  <c r="F6" i="207" a="1"/>
  <c r="F6" i="207" s="1"/>
  <c r="M6" i="207" a="1"/>
  <c r="M6" i="207" s="1"/>
  <c r="P6" i="207" a="1"/>
  <c r="P6" i="207" s="1"/>
  <c r="K6" i="207" a="1"/>
  <c r="K6" i="207" s="1"/>
  <c r="L6" i="207" a="1"/>
  <c r="L6" i="207" s="1"/>
  <c r="N6" i="207" a="1"/>
  <c r="N6" i="207" s="1"/>
  <c r="G6" i="207" a="1"/>
  <c r="G6" i="207" s="1"/>
  <c r="H6" i="207" a="1"/>
  <c r="H6" i="207" s="1"/>
  <c r="J3" i="207" a="1"/>
  <c r="J3" i="207" s="1"/>
  <c r="G3" i="207" a="1"/>
  <c r="G3" i="207" s="1"/>
  <c r="L3" i="207" a="1"/>
  <c r="L3" i="207" s="1"/>
  <c r="O3" i="207" a="1"/>
  <c r="O3" i="207" s="1"/>
  <c r="N3" i="207" a="1"/>
  <c r="N3" i="207" s="1"/>
  <c r="P3" i="207" a="1"/>
  <c r="P3" i="207" s="1"/>
  <c r="F3" i="207" a="1"/>
  <c r="F3" i="207" s="1"/>
  <c r="K3" i="207" a="1"/>
  <c r="K3" i="207" s="1"/>
  <c r="H3" i="207" a="1"/>
  <c r="H3" i="207" s="1"/>
  <c r="I3" i="207" a="1"/>
  <c r="I3" i="207" s="1"/>
  <c r="M3" i="207" a="1"/>
  <c r="M3" i="207" s="1"/>
  <c r="E8" i="207" a="1"/>
  <c r="E8" i="207" s="1"/>
  <c r="L8" i="207" a="1"/>
  <c r="L8" i="207" s="1"/>
  <c r="J8" i="207" a="1"/>
  <c r="J8" i="207" s="1"/>
  <c r="G8" i="207" a="1"/>
  <c r="G8" i="207" s="1"/>
  <c r="I8" i="207" a="1"/>
  <c r="I8" i="207" s="1"/>
  <c r="N8" i="207" a="1"/>
  <c r="N8" i="207" s="1"/>
  <c r="F8" i="207" a="1"/>
  <c r="F8" i="207" s="1"/>
  <c r="K8" i="207" a="1"/>
  <c r="K8" i="207" s="1"/>
  <c r="M8" i="207" a="1"/>
  <c r="M8" i="207" s="1"/>
  <c r="P8" i="207" a="1"/>
  <c r="P8" i="207" s="1"/>
  <c r="H8" i="207" a="1"/>
  <c r="H8" i="207" s="1"/>
  <c r="O8" i="207" a="1"/>
  <c r="O8" i="207" s="1"/>
  <c r="E9" i="207" a="1"/>
  <c r="E9" i="207" s="1"/>
  <c r="F9" i="207" a="1"/>
  <c r="F9" i="207" s="1"/>
  <c r="H9" i="207" a="1"/>
  <c r="H9" i="207" s="1"/>
  <c r="K9" i="207" a="1"/>
  <c r="K9" i="207" s="1"/>
  <c r="P9" i="207" a="1"/>
  <c r="P9" i="207" s="1"/>
  <c r="J9" i="207" a="1"/>
  <c r="J9" i="207" s="1"/>
  <c r="L9" i="207" a="1"/>
  <c r="L9" i="207" s="1"/>
  <c r="O9" i="207" a="1"/>
  <c r="O9" i="207" s="1"/>
  <c r="N9" i="207" a="1"/>
  <c r="N9" i="207" s="1"/>
  <c r="G9" i="207" a="1"/>
  <c r="G9" i="207" s="1"/>
  <c r="M9" i="207" a="1"/>
  <c r="M9" i="207" s="1"/>
  <c r="I9" i="207" a="1"/>
  <c r="I9" i="207" s="1"/>
  <c r="E10" i="207" a="1"/>
  <c r="E10" i="207" s="1"/>
  <c r="G10" i="207" a="1"/>
  <c r="G10" i="207" s="1"/>
  <c r="H10" i="207" a="1"/>
  <c r="H10" i="207" s="1"/>
  <c r="I10" i="207" a="1"/>
  <c r="I10" i="207" s="1"/>
  <c r="M10" i="207" a="1"/>
  <c r="M10" i="207" s="1"/>
  <c r="K10" i="207" a="1"/>
  <c r="K10" i="207" s="1"/>
  <c r="P10" i="207" a="1"/>
  <c r="P10" i="207" s="1"/>
  <c r="N10" i="207" a="1"/>
  <c r="N10" i="207" s="1"/>
  <c r="L10" i="207" a="1"/>
  <c r="L10" i="207" s="1"/>
  <c r="J10" i="207" a="1"/>
  <c r="J10" i="207" s="1"/>
  <c r="F10" i="207" a="1"/>
  <c r="F10" i="207" s="1"/>
  <c r="O10" i="207" a="1"/>
  <c r="O10" i="207" s="1"/>
  <c r="E7" i="207" a="1"/>
  <c r="E7" i="207" s="1"/>
  <c r="K7" i="207" a="1"/>
  <c r="K7" i="207" s="1"/>
  <c r="I7" i="207" a="1"/>
  <c r="I7" i="207" s="1"/>
  <c r="F7" i="207" a="1"/>
  <c r="F7" i="207" s="1"/>
  <c r="O7" i="207" a="1"/>
  <c r="O7" i="207" s="1"/>
  <c r="M7" i="207" a="1"/>
  <c r="M7" i="207" s="1"/>
  <c r="G7" i="207" a="1"/>
  <c r="G7" i="207" s="1"/>
  <c r="H7" i="207" a="1"/>
  <c r="H7" i="207" s="1"/>
  <c r="L7" i="207" a="1"/>
  <c r="L7" i="207" s="1"/>
  <c r="J7" i="207" a="1"/>
  <c r="J7" i="207" s="1"/>
  <c r="N7" i="207" a="1"/>
  <c r="N7" i="207" s="1"/>
  <c r="P7" i="207" a="1"/>
  <c r="P7" i="207" s="1"/>
  <c r="T15" i="1" a="1"/>
  <c r="T15" i="1" s="1"/>
  <c r="S15" i="1" a="1"/>
  <c r="S15" i="1" s="1"/>
  <c r="R15" i="1" a="1"/>
  <c r="R15" i="1" s="1"/>
  <c r="Q15" i="1" a="1"/>
  <c r="Q15" i="1" s="1"/>
  <c r="M13" i="207" l="1"/>
  <c r="M14" i="207" s="1"/>
  <c r="O13" i="207"/>
  <c r="O14" i="207" s="1"/>
  <c r="Q7" i="207"/>
  <c r="Q9" i="207"/>
  <c r="E13" i="207"/>
  <c r="E14" i="207" s="1"/>
  <c r="Q3" i="207"/>
  <c r="J13" i="207"/>
  <c r="J14" i="207" s="1"/>
  <c r="Q12" i="207"/>
  <c r="G13" i="207"/>
  <c r="G14" i="207" s="1"/>
  <c r="K13" i="207"/>
  <c r="K14" i="207" s="1"/>
  <c r="L13" i="207"/>
  <c r="L14" i="207" s="1"/>
  <c r="H13" i="207"/>
  <c r="H14" i="207" s="1"/>
  <c r="F13" i="207"/>
  <c r="F14" i="207" s="1"/>
  <c r="P13" i="207"/>
  <c r="P14" i="207" s="1"/>
  <c r="I13" i="207"/>
  <c r="I14" i="207" s="1"/>
  <c r="Q10" i="207"/>
  <c r="Q8" i="207"/>
  <c r="N13" i="207"/>
  <c r="N14" i="207" s="1"/>
  <c r="Q6" i="207"/>
  <c r="Q5" i="207"/>
  <c r="Q11" i="207"/>
  <c r="Q4" i="207"/>
  <c r="U15" i="1" a="1"/>
  <c r="U15" i="1" s="1"/>
  <c r="V6" i="1" a="1"/>
  <c r="V6" i="1" s="1"/>
  <c r="Q13" i="207" l="1"/>
  <c r="Q14" i="207" s="1"/>
  <c r="C13" i="3"/>
  <c r="C3" i="3"/>
  <c r="C4" i="3"/>
  <c r="C5" i="3"/>
  <c r="C6" i="3"/>
  <c r="C7" i="3"/>
  <c r="C8" i="3"/>
  <c r="C9" i="3"/>
  <c r="C10" i="3"/>
  <c r="C11" i="3"/>
  <c r="C12" i="3"/>
  <c r="C2" i="3"/>
  <c r="B17" i="3"/>
  <c r="B16" i="3"/>
  <c r="B15" i="3"/>
  <c r="AC14" i="3"/>
  <c r="AA14" i="3"/>
  <c r="Y14" i="3"/>
  <c r="W14" i="3"/>
  <c r="U14" i="3"/>
  <c r="S14" i="3"/>
  <c r="Q14" i="3"/>
  <c r="O14" i="3"/>
  <c r="M14" i="3"/>
  <c r="K14" i="3"/>
  <c r="I14" i="3"/>
  <c r="G14" i="3"/>
  <c r="F2" i="3" l="1"/>
  <c r="C14" i="3"/>
  <c r="V10" i="1" l="1" a="1"/>
  <c r="V10" i="1" s="1"/>
  <c r="V11" i="1" a="1"/>
  <c r="V11" i="1" s="1"/>
  <c r="V8" i="1" a="1"/>
  <c r="V8" i="1" s="1"/>
  <c r="V13" i="1" a="1"/>
  <c r="V13" i="1" s="1"/>
  <c r="V14" i="1" a="1"/>
  <c r="V14" i="1" s="1"/>
  <c r="V9" i="1" a="1"/>
  <c r="V9" i="1" s="1"/>
  <c r="V7" i="1" a="1"/>
  <c r="V7" i="1" s="1"/>
  <c r="V5" i="1" a="1"/>
  <c r="V5" i="1" s="1"/>
  <c r="V4" i="1" a="1"/>
  <c r="V4" i="1" s="1"/>
  <c r="N15" i="1" a="1"/>
  <c r="N15" i="1" s="1"/>
  <c r="M15" i="1" a="1"/>
  <c r="M15" i="1" s="1"/>
  <c r="O15" i="1" a="1"/>
  <c r="O15" i="1" s="1"/>
  <c r="P15" i="1" a="1"/>
  <c r="P15" i="1" s="1"/>
  <c r="D15" i="1" a="1"/>
  <c r="D15" i="1" s="1"/>
  <c r="G15" i="1" a="1"/>
  <c r="G15" i="1" s="1"/>
  <c r="H15" i="1" a="1"/>
  <c r="H15" i="1" s="1"/>
  <c r="E15" i="1" a="1"/>
  <c r="E15" i="1" s="1"/>
  <c r="J15" i="1" s="1"/>
  <c r="J7" i="1"/>
  <c r="F7" i="1"/>
  <c r="F6" i="3"/>
  <c r="J5" i="1"/>
  <c r="F4" i="3"/>
  <c r="F5" i="1"/>
  <c r="J9" i="1"/>
  <c r="F8" i="3"/>
  <c r="F9" i="1"/>
  <c r="J13" i="1"/>
  <c r="F12" i="3"/>
  <c r="F13" i="1"/>
  <c r="F5" i="3"/>
  <c r="F6" i="1"/>
  <c r="J6" i="1"/>
  <c r="F3" i="3"/>
  <c r="F4" i="1"/>
  <c r="J4" i="1"/>
  <c r="F14" i="1"/>
  <c r="J14" i="1"/>
  <c r="F13" i="3"/>
  <c r="F7" i="3"/>
  <c r="F8" i="1"/>
  <c r="J8" i="1"/>
  <c r="F9" i="3"/>
  <c r="F10" i="1"/>
  <c r="J10" i="1"/>
  <c r="F12" i="1"/>
  <c r="F11" i="3"/>
  <c r="J12" i="1"/>
  <c r="J11" i="1"/>
  <c r="F11" i="1"/>
  <c r="F10" i="3"/>
  <c r="F3" i="1"/>
  <c r="J3" i="1"/>
  <c r="I8" i="1"/>
  <c r="I4" i="1"/>
  <c r="I10" i="1"/>
  <c r="I14" i="1"/>
  <c r="I12" i="1"/>
  <c r="I11" i="1"/>
  <c r="I7" i="1"/>
  <c r="I6" i="1"/>
  <c r="I5" i="1"/>
  <c r="I9" i="1"/>
  <c r="I13" i="1"/>
  <c r="I3" i="1"/>
  <c r="F15" i="1" l="1" a="1"/>
  <c r="F15" i="1" s="1"/>
  <c r="F16" i="1" s="1"/>
  <c r="K14" i="1"/>
  <c r="K8" i="1"/>
  <c r="K4" i="1"/>
  <c r="K7" i="1"/>
  <c r="K6" i="1"/>
  <c r="K11" i="1"/>
  <c r="K13" i="1"/>
  <c r="K9" i="1"/>
  <c r="K12" i="1"/>
  <c r="K10" i="1"/>
  <c r="K5" i="1"/>
  <c r="J16" i="1"/>
  <c r="K3" i="1"/>
  <c r="T12" i="3"/>
  <c r="Q45" i="3" s="1"/>
  <c r="N12" i="3"/>
  <c r="Q42" i="3" s="1"/>
  <c r="V12" i="3"/>
  <c r="H12" i="3"/>
  <c r="Q39" i="3" s="1"/>
  <c r="X12" i="3"/>
  <c r="J12" i="3"/>
  <c r="Q40" i="3" s="1"/>
  <c r="P12" i="3"/>
  <c r="Q43" i="3" s="1"/>
  <c r="L12" i="3"/>
  <c r="Q41" i="3" s="1"/>
  <c r="R12" i="3"/>
  <c r="Q44" i="3" s="1"/>
  <c r="H2" i="3"/>
  <c r="G39" i="3" s="1"/>
  <c r="X2" i="3"/>
  <c r="T2" i="3"/>
  <c r="G45" i="3" s="1"/>
  <c r="J2" i="3"/>
  <c r="G40" i="3" s="1"/>
  <c r="L2" i="3"/>
  <c r="G41" i="3" s="1"/>
  <c r="N2" i="3"/>
  <c r="G42" i="3" s="1"/>
  <c r="P2" i="3"/>
  <c r="G43" i="3" s="1"/>
  <c r="R2" i="3"/>
  <c r="G44" i="3" s="1"/>
  <c r="V2" i="3"/>
  <c r="P6" i="3"/>
  <c r="K43" i="3" s="1"/>
  <c r="R6" i="3"/>
  <c r="K44" i="3" s="1"/>
  <c r="T6" i="3"/>
  <c r="K45" i="3" s="1"/>
  <c r="J6" i="3"/>
  <c r="K40" i="3" s="1"/>
  <c r="V6" i="3"/>
  <c r="H6" i="3"/>
  <c r="K39" i="3" s="1"/>
  <c r="X6" i="3"/>
  <c r="L6" i="3"/>
  <c r="K41" i="3" s="1"/>
  <c r="N6" i="3"/>
  <c r="K42" i="3" s="1"/>
  <c r="H10" i="3"/>
  <c r="O39" i="3" s="1"/>
  <c r="X10" i="3"/>
  <c r="J10" i="3"/>
  <c r="O40" i="3" s="1"/>
  <c r="L10" i="3"/>
  <c r="O41" i="3" s="1"/>
  <c r="N10" i="3"/>
  <c r="O42" i="3" s="1"/>
  <c r="P10" i="3"/>
  <c r="O43" i="3" s="1"/>
  <c r="T10" i="3"/>
  <c r="O45" i="3" s="1"/>
  <c r="V10" i="3"/>
  <c r="R10" i="3"/>
  <c r="O44" i="3" s="1"/>
  <c r="J9" i="3"/>
  <c r="N40" i="3" s="1"/>
  <c r="T9" i="3"/>
  <c r="N45" i="3" s="1"/>
  <c r="V9" i="3"/>
  <c r="L9" i="3"/>
  <c r="N41" i="3" s="1"/>
  <c r="N9" i="3"/>
  <c r="N42" i="3" s="1"/>
  <c r="P9" i="3"/>
  <c r="N43" i="3" s="1"/>
  <c r="R9" i="3"/>
  <c r="N44" i="3" s="1"/>
  <c r="H9" i="3"/>
  <c r="N39" i="3" s="1"/>
  <c r="X9" i="3"/>
  <c r="V3" i="3"/>
  <c r="H3" i="3"/>
  <c r="H39" i="3" s="1"/>
  <c r="X3" i="3"/>
  <c r="J3" i="3"/>
  <c r="L3" i="3"/>
  <c r="H41" i="3" s="1"/>
  <c r="P3" i="3"/>
  <c r="H43" i="3" s="1"/>
  <c r="N3" i="3"/>
  <c r="H42" i="3" s="1"/>
  <c r="R3" i="3"/>
  <c r="H44" i="3" s="1"/>
  <c r="T3" i="3"/>
  <c r="H45" i="3" s="1"/>
  <c r="L8" i="3"/>
  <c r="M41" i="3" s="1"/>
  <c r="N8" i="3"/>
  <c r="M42" i="3" s="1"/>
  <c r="X8" i="3"/>
  <c r="P8" i="3"/>
  <c r="M43" i="3" s="1"/>
  <c r="R8" i="3"/>
  <c r="M44" i="3" s="1"/>
  <c r="H8" i="3"/>
  <c r="M39" i="3" s="1"/>
  <c r="T8" i="3"/>
  <c r="M45" i="3" s="1"/>
  <c r="V8" i="3"/>
  <c r="J8" i="3"/>
  <c r="M40" i="3" s="1"/>
  <c r="N7" i="3"/>
  <c r="L42" i="3" s="1"/>
  <c r="H7" i="3"/>
  <c r="L39" i="3" s="1"/>
  <c r="P7" i="3"/>
  <c r="L43" i="3" s="1"/>
  <c r="R7" i="3"/>
  <c r="L44" i="3" s="1"/>
  <c r="T7" i="3"/>
  <c r="L45" i="3" s="1"/>
  <c r="V7" i="3"/>
  <c r="X7" i="3"/>
  <c r="L7" i="3"/>
  <c r="L41" i="3" s="1"/>
  <c r="J7" i="3"/>
  <c r="L40" i="3" s="1"/>
  <c r="V11" i="3"/>
  <c r="P11" i="3"/>
  <c r="P43" i="3" s="1"/>
  <c r="H11" i="3"/>
  <c r="P39" i="3" s="1"/>
  <c r="X11" i="3"/>
  <c r="J11" i="3"/>
  <c r="P40" i="3" s="1"/>
  <c r="R11" i="3"/>
  <c r="P44" i="3" s="1"/>
  <c r="L11" i="3"/>
  <c r="P41" i="3" s="1"/>
  <c r="N11" i="3"/>
  <c r="P42" i="3" s="1"/>
  <c r="T11" i="3"/>
  <c r="P45" i="3" s="1"/>
  <c r="R13" i="3"/>
  <c r="R44" i="3" s="1"/>
  <c r="T13" i="3"/>
  <c r="R45" i="3" s="1"/>
  <c r="N13" i="3"/>
  <c r="R42" i="3" s="1"/>
  <c r="V13" i="3"/>
  <c r="H13" i="3"/>
  <c r="R39" i="3" s="1"/>
  <c r="X13" i="3"/>
  <c r="L13" i="3"/>
  <c r="R41" i="3" s="1"/>
  <c r="J13" i="3"/>
  <c r="R40" i="3" s="1"/>
  <c r="P13" i="3"/>
  <c r="R43" i="3" s="1"/>
  <c r="R5" i="3"/>
  <c r="J44" i="3" s="1"/>
  <c r="T5" i="3"/>
  <c r="J45" i="3" s="1"/>
  <c r="L5" i="3"/>
  <c r="J41" i="3" s="1"/>
  <c r="V5" i="3"/>
  <c r="N5" i="3"/>
  <c r="J42" i="3" s="1"/>
  <c r="H5" i="3"/>
  <c r="J39" i="3" s="1"/>
  <c r="X5" i="3"/>
  <c r="J5" i="3"/>
  <c r="J40" i="3" s="1"/>
  <c r="P5" i="3"/>
  <c r="J43" i="3" s="1"/>
  <c r="T4" i="3"/>
  <c r="I45" i="3" s="1"/>
  <c r="V4" i="3"/>
  <c r="H4" i="3"/>
  <c r="I39" i="3" s="1"/>
  <c r="X4" i="3"/>
  <c r="J4" i="3"/>
  <c r="I40" i="3" s="1"/>
  <c r="L4" i="3"/>
  <c r="I41" i="3" s="1"/>
  <c r="R4" i="3"/>
  <c r="I44" i="3" s="1"/>
  <c r="N4" i="3"/>
  <c r="I42" i="3" s="1"/>
  <c r="P4" i="3"/>
  <c r="I43" i="3" s="1"/>
  <c r="I15" i="1" a="1"/>
  <c r="I15" i="1" s="1"/>
  <c r="K15" i="1" a="1"/>
  <c r="K15" i="1" s="1"/>
  <c r="H16" i="1"/>
  <c r="G16" i="1"/>
  <c r="AD4" i="3"/>
  <c r="D4" i="3"/>
  <c r="E4" i="3" s="1"/>
  <c r="Z4" i="3"/>
  <c r="AB4" i="3"/>
  <c r="Z3" i="3"/>
  <c r="AB3" i="3"/>
  <c r="AD3" i="3"/>
  <c r="D3" i="3"/>
  <c r="E3" i="3" s="1"/>
  <c r="AD10" i="3"/>
  <c r="Z10" i="3"/>
  <c r="AB10" i="3"/>
  <c r="D10" i="3"/>
  <c r="E10" i="3" s="1"/>
  <c r="Z13" i="3"/>
  <c r="AB13" i="3"/>
  <c r="AD13" i="3"/>
  <c r="D13" i="3"/>
  <c r="E13" i="3" s="1"/>
  <c r="AD8" i="3"/>
  <c r="Z8" i="3"/>
  <c r="D8" i="3"/>
  <c r="E8" i="3" s="1"/>
  <c r="AB8" i="3"/>
  <c r="AD6" i="3"/>
  <c r="Z6" i="3"/>
  <c r="AB6" i="3"/>
  <c r="D6" i="3"/>
  <c r="E6" i="3" s="1"/>
  <c r="D12" i="3"/>
  <c r="E12" i="3" s="1"/>
  <c r="AB12" i="3"/>
  <c r="Z12" i="3"/>
  <c r="AD12" i="3"/>
  <c r="AB11" i="3"/>
  <c r="AD11" i="3"/>
  <c r="Z11" i="3"/>
  <c r="D11" i="3"/>
  <c r="E11" i="3" s="1"/>
  <c r="AB7" i="3"/>
  <c r="AD7" i="3"/>
  <c r="D7" i="3"/>
  <c r="E7" i="3" s="1"/>
  <c r="Z7" i="3"/>
  <c r="AB9" i="3"/>
  <c r="Z9" i="3"/>
  <c r="AD9" i="3"/>
  <c r="D9" i="3"/>
  <c r="E9" i="3" s="1"/>
  <c r="Z5" i="3"/>
  <c r="AD5" i="3"/>
  <c r="AB5" i="3"/>
  <c r="D5" i="3"/>
  <c r="E5" i="3" s="1"/>
  <c r="E16" i="1"/>
  <c r="D16" i="1"/>
  <c r="AB2" i="3"/>
  <c r="D2" i="3"/>
  <c r="E2" i="3" s="1"/>
  <c r="Z2" i="3"/>
  <c r="AD2" i="3"/>
  <c r="F14" i="3"/>
  <c r="H14" i="3" s="1"/>
  <c r="Q50" i="3" l="1"/>
  <c r="G49" i="3"/>
  <c r="H50" i="3"/>
  <c r="M47" i="3"/>
  <c r="K48" i="3"/>
  <c r="H48" i="3"/>
  <c r="O46" i="3"/>
  <c r="P46" i="3"/>
  <c r="R50" i="3"/>
  <c r="I49" i="3"/>
  <c r="P47" i="3"/>
  <c r="J49" i="3"/>
  <c r="J48" i="3"/>
  <c r="I50" i="3"/>
  <c r="N48" i="3"/>
  <c r="G46" i="3"/>
  <c r="L47" i="3"/>
  <c r="N49" i="3"/>
  <c r="R49" i="3"/>
  <c r="H46" i="3"/>
  <c r="R48" i="3"/>
  <c r="R46" i="3"/>
  <c r="N47" i="3"/>
  <c r="K47" i="3"/>
  <c r="Q47" i="3"/>
  <c r="Q48" i="3"/>
  <c r="Q49" i="3"/>
  <c r="K50" i="3"/>
  <c r="M49" i="3"/>
  <c r="G47" i="3"/>
  <c r="M48" i="3"/>
  <c r="M50" i="3"/>
  <c r="L46" i="3"/>
  <c r="O47" i="3"/>
  <c r="H47" i="3"/>
  <c r="N46" i="3"/>
  <c r="J47" i="3"/>
  <c r="J50" i="3"/>
  <c r="J46" i="3"/>
  <c r="N50" i="3"/>
  <c r="L48" i="3"/>
  <c r="L50" i="3"/>
  <c r="P48" i="3"/>
  <c r="O49" i="3"/>
  <c r="I47" i="3"/>
  <c r="K46" i="3"/>
  <c r="Q46" i="3"/>
  <c r="H49" i="3"/>
  <c r="K49" i="3"/>
  <c r="I48" i="3"/>
  <c r="R47" i="3"/>
  <c r="L49" i="3"/>
  <c r="P50" i="3"/>
  <c r="M46" i="3"/>
  <c r="G50" i="3"/>
  <c r="O48" i="3"/>
  <c r="G48" i="3"/>
  <c r="P49" i="3"/>
  <c r="O50" i="3"/>
  <c r="I46" i="3"/>
  <c r="K16" i="1"/>
  <c r="Q16" i="1"/>
  <c r="R16" i="1"/>
  <c r="S16" i="1"/>
  <c r="T16" i="1"/>
  <c r="U16" i="1"/>
  <c r="H40" i="3"/>
  <c r="P16" i="1"/>
  <c r="M16" i="1"/>
  <c r="O16" i="1"/>
  <c r="N16" i="1"/>
  <c r="I16" i="1"/>
  <c r="P14" i="3"/>
  <c r="S43" i="3" s="1"/>
  <c r="R14" i="3"/>
  <c r="S44" i="3" s="1"/>
  <c r="N14" i="3"/>
  <c r="S42" i="3" s="1"/>
  <c r="V14" i="3"/>
  <c r="AD14" i="3"/>
  <c r="Z14" i="3"/>
  <c r="S39" i="3"/>
  <c r="AB14" i="3"/>
  <c r="X14" i="3"/>
  <c r="D14" i="3"/>
  <c r="E14" i="3" s="1"/>
  <c r="T14" i="3"/>
  <c r="S45" i="3" s="1"/>
  <c r="J14" i="3"/>
  <c r="S40" i="3" s="1"/>
  <c r="L14" i="3"/>
  <c r="S41" i="3" s="1"/>
  <c r="S47" i="3" l="1"/>
  <c r="S48" i="3"/>
  <c r="S50" i="3"/>
  <c r="S46" i="3"/>
  <c r="S49" i="3"/>
  <c r="L15" i="1" a="1"/>
  <c r="L15" i="1" s="1"/>
  <c r="L16" i="1" s="1"/>
  <c r="V3" i="1" a="1"/>
  <c r="V3" i="1" s="1"/>
  <c r="V15" i="1" l="1" a="1"/>
  <c r="V15" i="1" s="1"/>
  <c r="V1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tc={FBD70714-D0BB-4AA6-BE65-3EED5D437171}</author>
    <author>tc={BEEF2C17-5866-4F24-BA73-D4FBD2E5754A}</author>
    <author>tc={0A15DBED-F0B4-4A1F-B367-1AC56AF1364F}</author>
    <author>tc={CDA59AD5-66A8-4316-9310-A9E77F6B23A5}</author>
  </authors>
  <commentList>
    <comment ref="L2" authorId="0" shapeId="0" xr:uid="{FBD70714-D0BB-4AA6-BE65-3EED5D43717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Initialisation : remplir le nom des candidats</t>
      </text>
    </comment>
    <comment ref="B3" authorId="1" shapeId="0" xr:uid="{BEEF2C17-5866-4F24-BA73-D4FBD2E5754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Modifier ici le nom des bureaux de vote</t>
      </text>
    </comment>
    <comment ref="C3" authorId="2" shapeId="0" xr:uid="{0A15DBED-F0B4-4A1F-B367-1AC56AF1364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Modifier ici le nombre d’électeurs inscrits</t>
      </text>
    </comment>
    <comment ref="B17" authorId="3" shapeId="0" xr:uid="{CDA59AD5-66A8-4316-9310-A9E77F6B23A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Initialisation : Mettre à jour la date et le type d'élection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tc={BFCB494A-5EEE-4582-8D8D-D7FC9A33F3A8}</author>
    <author>tc={949660B2-4E61-494B-8030-5A8D962E3720}</author>
  </authors>
  <commentList>
    <comment ref="C1" authorId="0" shapeId="0" xr:uid="{BFCB494A-5EEE-4582-8D8D-D7FC9A33F3A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distribuées</t>
      </text>
    </comment>
    <comment ref="AA14" authorId="1" shapeId="0" xr:uid="{949660B2-4E61-494B-8030-5A8D962E372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Si la case est jaune c'est que la participation est inférieure à l'heure précédente, c'est impossible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tc={EABFF79C-6F3E-45A7-AFDB-E16C33B25AA4}</author>
    <author>tc={015AC820-E43D-4952-9147-E1AB8B697D08}</author>
    <author>tc={755B2C32-0CC1-4AB8-9943-9B321C73B956}</author>
    <author>tc={1E4F50FE-453F-4374-81CD-FED15F974F3D}</author>
    <author>tc={E0FD2FBA-4E1B-4572-A9D0-6315CEDAEDFE}</author>
    <author>tc={22C51930-100C-4141-9123-FA056F76C484}</author>
    <author>tc={7B16B4CC-E443-48A6-9659-3BBEFC3ECC16}</author>
    <author>tc={3E003C7E-19BB-45E7-BEB5-218C116527E2}</author>
    <author>tc={5F46F273-6C46-4161-A494-247D2B6B31A3}</author>
    <author>tc={0DF602ED-B4B4-48F8-A449-73B218BAB594}</author>
  </authors>
  <commentList>
    <comment ref="W3" authorId="0" shapeId="0" xr:uid="{EABFF79C-6F3E-45A7-AFDB-E16C33B25AA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015AC820-E43D-4952-9147-E1AB8B697D0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755B2C32-0CC1-4AB8-9943-9B321C73B95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1E4F50FE-453F-4374-81CD-FED15F974F3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E0FD2FBA-4E1B-4572-A9D0-6315CEDAEDF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5" shapeId="0" xr:uid="{22C51930-100C-4141-9123-FA056F76C48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7B16B4CC-E443-48A6-9659-3BBEFC3ECC1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3E003C7E-19BB-45E7-BEB5-218C116527E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5F46F273-6C46-4161-A494-247D2B6B31A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0DF602ED-B4B4-48F8-A449-73B218BAB59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tc={46628604-0487-48E5-9F91-EB4DC295F616}</author>
    <author>tc={3C2CC6FF-8C99-4A54-98E3-A431EBC691A8}</author>
    <author>tc={93982A39-4621-44E5-8C69-626D3330A120}</author>
    <author>tc={E1A34A79-66F1-423A-99B8-E0FFB0DFE7CF}</author>
    <author>tc={7CCA1500-31AA-4CA5-A934-61260FF84EC0}</author>
    <author>tc={F45EA83B-F2A7-4B0E-A9DC-7FB934E46695}</author>
    <author>tc={BD3C10F1-FEEF-4E9E-94C9-D4F9E0A553EB}</author>
    <author>tc={8635CE1D-3F46-42B6-AEEE-24746F82AF72}</author>
    <author>tc={2FCCA48F-2713-4355-98C8-DDE96C91DF85}</author>
    <author>tc={D1C968E7-4EBA-455E-9F8B-28FA89205B94}</author>
  </authors>
  <commentList>
    <comment ref="W3" authorId="0" shapeId="0" xr:uid="{46628604-0487-48E5-9F91-EB4DC295F61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3C2CC6FF-8C99-4A54-98E3-A431EBC691A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93982A39-4621-44E5-8C69-626D3330A12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E1A34A79-66F1-423A-99B8-E0FFB0DFE7C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7CCA1500-31AA-4CA5-A934-61260FF84EC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5" shapeId="0" xr:uid="{F45EA83B-F2A7-4B0E-A9DC-7FB934E4669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BD3C10F1-FEEF-4E9E-94C9-D4F9E0A553E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8635CE1D-3F46-42B6-AEEE-24746F82AF7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2FCCA48F-2713-4355-98C8-DDE96C91DF8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D1C968E7-4EBA-455E-9F8B-28FA89205B9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tc={8B7E238F-62B1-4F4A-812E-D1185EE9116C}</author>
    <author>tc={D1D2F0E3-F8B7-4FFC-85D4-385992F86A57}</author>
    <author>tc={262AA855-BDD2-4761-AFBA-494EF9B2291D}</author>
    <author>tc={DF436966-1183-4C7F-A423-DECD0AE5A167}</author>
    <author>tc={0D63D70D-02DE-4FA0-9E9D-EBFE023DE982}</author>
    <author>tc={B78E9291-DDAD-4ADE-B918-F534E1B6CA36}</author>
    <author>tc={2460B4AB-300C-4CA6-86D1-267578C653EA}</author>
    <author>tc={3909B7BB-8C23-473F-8125-519D40498D04}</author>
    <author>tc={27BBF8AD-0F82-44EB-8699-E8623846D335}</author>
    <author>tc={FD77D589-B254-487D-8F08-D6162004AD98}</author>
  </authors>
  <commentList>
    <comment ref="W3" authorId="0" shapeId="0" xr:uid="{8B7E238F-62B1-4F4A-812E-D1185EE9116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D1D2F0E3-F8B7-4FFC-85D4-385992F86A5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262AA855-BDD2-4761-AFBA-494EF9B2291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DF436966-1183-4C7F-A423-DECD0AE5A16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0D63D70D-02DE-4FA0-9E9D-EBFE023DE98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5" shapeId="0" xr:uid="{B78E9291-DDAD-4ADE-B918-F534E1B6CA3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2460B4AB-300C-4CA6-86D1-267578C653E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3909B7BB-8C23-473F-8125-519D40498D0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27BBF8AD-0F82-44EB-8699-E8623846D33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FD77D589-B254-487D-8F08-D6162004AD9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tc={03696251-9552-47B0-931A-DDF0084A7D21}</author>
    <author>tc={55FEBF05-4DAA-439F-8E0E-FAD29F8D0E0F}</author>
    <author>tc={B83BD131-1ED0-498D-925C-0DFDD8BEDAC8}</author>
    <author>tc={43CE248D-D5AD-48E3-AAF9-6D5843CE80D3}</author>
    <author>tc={637F58F2-F7C8-424B-B6D5-D4F3B99DDC7C}</author>
    <author>tc={AB3C4904-811F-4AA7-9631-D868E1C331B3}</author>
    <author>tc={88E99258-AA10-4432-988A-69E1E8D57D42}</author>
    <author>tc={ECFFD9E0-539D-4121-AAF3-8B6E6DF876A0}</author>
    <author>tc={EF2187B3-DC35-4800-855A-C1CC024B96C5}</author>
    <author>tc={5EAC7BC8-408E-482E-A2BB-D1B5FAAF8B07}</author>
  </authors>
  <commentList>
    <comment ref="W3" authorId="0" shapeId="0" xr:uid="{03696251-9552-47B0-931A-DDF0084A7D2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55FEBF05-4DAA-439F-8E0E-FAD29F8D0E0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B83BD131-1ED0-498D-925C-0DFDD8BEDAC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43CE248D-D5AD-48E3-AAF9-6D5843CE80D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637F58F2-F7C8-424B-B6D5-D4F3B99DDC7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5" shapeId="0" xr:uid="{AB3C4904-811F-4AA7-9631-D868E1C331B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88E99258-AA10-4432-988A-69E1E8D57D4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ECFFD9E0-539D-4121-AAF3-8B6E6DF876A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EF2187B3-DC35-4800-855A-C1CC024B96C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5EAC7BC8-408E-482E-A2BB-D1B5FAAF8B0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tc={D7A2B567-BAE0-4856-A45E-2387CB4014E3}</author>
    <author>tc={7E84F794-6EAD-44FA-8D4B-15CE9BBB8AEF}</author>
    <author>tc={612D019A-F46C-4720-AE83-E5313FD82943}</author>
    <author>tc={097BC1E0-99D4-4340-A0EC-6C36E8082D57}</author>
    <author>tc={0E5BB4EF-71A8-49F4-844E-847085A8E76E}</author>
    <author>tc={CF0C19A6-D3E1-415C-AB1B-2393F052CF7E}</author>
    <author>tc={FD2C5762-0344-4E01-9866-052E07CB2AC2}</author>
    <author>tc={0E0FFA92-AEB5-4178-A28A-2263B8393173}</author>
    <author>tc={25C86034-9EF1-469D-AFE0-F9B11942E4BC}</author>
    <author>tc={AFE5EC4A-B173-412D-B153-54C898FA2283}</author>
  </authors>
  <commentList>
    <comment ref="W3" authorId="0" shapeId="0" xr:uid="{D7A2B567-BAE0-4856-A45E-2387CB4014E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7E84F794-6EAD-44FA-8D4B-15CE9BBB8AE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612D019A-F46C-4720-AE83-E5313FD8294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097BC1E0-99D4-4340-A0EC-6C36E8082D5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0E5BB4EF-71A8-49F4-844E-847085A8E76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5" shapeId="0" xr:uid="{CF0C19A6-D3E1-415C-AB1B-2393F052CF7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FD2C5762-0344-4E01-9866-052E07CB2AC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0E0FFA92-AEB5-4178-A28A-2263B839317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25C86034-9EF1-469D-AFE0-F9B11942E4B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AFE5EC4A-B173-412D-B153-54C898FA228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tc={EB92FFC1-745E-4B2C-A682-5D83808936F4}</author>
    <author>tc={59C0FAAF-DDD2-4AED-AEAA-54BFD709851A}</author>
    <author>tc={D3AFC576-EED4-4409-9C2F-31E9982BD543}</author>
    <author>tc={71B44E47-B292-4C41-9D0F-79B39DE0E13E}</author>
    <author>tc={D1C61B1B-59C7-4407-BDDB-A200B1A4DF63}</author>
    <author>tc={F42C1104-9ABC-4A6B-816B-766C93BA4AC3}</author>
    <author>tc={969F2451-7C23-449F-80E8-E28F9A31D24A}</author>
    <author>tc={5B1B98C6-D5B0-49E5-84D3-AE9E9405F82A}</author>
    <author>tc={6EB3558D-4600-49E5-9099-F1670C77866C}</author>
    <author>tc={4DD3910E-2B36-4A1B-8B4C-7461850ACE61}</author>
  </authors>
  <commentList>
    <comment ref="W3" authorId="0" shapeId="0" xr:uid="{EB92FFC1-745E-4B2C-A682-5D83808936F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59C0FAAF-DDD2-4AED-AEAA-54BFD709851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D3AFC576-EED4-4409-9C2F-31E9982BD54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71B44E47-B292-4C41-9D0F-79B39DE0E13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D1C61B1B-59C7-4407-BDDB-A200B1A4DF6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5" shapeId="0" xr:uid="{F42C1104-9ABC-4A6B-816B-766C93BA4AC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969F2451-7C23-449F-80E8-E28F9A31D24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5B1B98C6-D5B0-49E5-84D3-AE9E9405F82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6EB3558D-4600-49E5-9099-F1670C77866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4DD3910E-2B36-4A1B-8B4C-7461850ACE6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tc={510E267C-2AE7-422E-A86A-D654D51FC390}</author>
    <author>tc={539CD928-B1DD-4611-8FF2-7BEA848CB67C}</author>
    <author>tc={21D37C1F-4C9F-4F4D-BD25-24512475E44B}</author>
    <author>tc={5F57138C-649B-44C7-9002-9BC9982BBCFF}</author>
    <author>tc={1C537DA6-1025-4F33-B944-AD02CAD9B032}</author>
    <author>tc={6E08A2F6-F5E9-4AF7-A9D0-8185EE6C33A5}</author>
    <author>tc={6A8DBE19-C025-496B-B3DD-CFC2CFC49A30}</author>
    <author>tc={2B28F767-923E-4A74-BBFB-5C156F9EB8B9}</author>
    <author>tc={2E3628EA-E7E0-4A91-8DB7-53F268C070D3}</author>
    <author>tc={6DEEE427-6DD3-47E8-9F38-5135A32D1BAD}</author>
  </authors>
  <commentList>
    <comment ref="W3" authorId="0" shapeId="0" xr:uid="{510E267C-2AE7-422E-A86A-D654D51FC39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539CD928-B1DD-4611-8FF2-7BEA848CB67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21D37C1F-4C9F-4F4D-BD25-24512475E44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5F57138C-649B-44C7-9002-9BC9982BBCF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1C537DA6-1025-4F33-B944-AD02CAD9B03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5" shapeId="0" xr:uid="{6E08A2F6-F5E9-4AF7-A9D0-8185EE6C33A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6A8DBE19-C025-496B-B3DD-CFC2CFC49A3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2B28F767-923E-4A74-BBFB-5C156F9EB8B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2E3628EA-E7E0-4A91-8DB7-53F268C070D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6DEEE427-6DD3-47E8-9F38-5135A32D1BA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tc={47F57784-EFDB-4DD3-A1E3-15A220AFF42A}</author>
    <author>tc={8529A98C-E7C3-44B2-9105-56F6DC2981AA}</author>
    <author>tc={04B1B963-FF7B-4276-9031-B9D6FE1FAED8}</author>
    <author>tc={C629A44E-6917-405C-8CB3-A21D0BF98785}</author>
    <author>tc={8819A485-0609-403F-95E6-B26FAE4ECF59}</author>
    <author>tc={05B093BF-884D-4651-B1FB-FB49A0104F1E}</author>
    <author>tc={0FAEA01E-510C-4D75-9674-DEBC50EAF0D8}</author>
    <author>tc={B0389F30-5C41-4648-A336-0396B04C22A7}</author>
    <author>tc={D1A625CE-A475-4DC6-BD62-07D4143A61C2}</author>
    <author>tc={FB5CEEEB-B87B-4F85-981C-11DB389FE626}</author>
  </authors>
  <commentList>
    <comment ref="W3" authorId="0" shapeId="0" xr:uid="{47F57784-EFDB-4DD3-A1E3-15A220AFF42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8529A98C-E7C3-44B2-9105-56F6DC2981A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04B1B963-FF7B-4276-9031-B9D6FE1FAED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C629A44E-6917-405C-8CB3-A21D0BF9878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8819A485-0609-403F-95E6-B26FAE4ECF5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5" shapeId="0" xr:uid="{05B093BF-884D-4651-B1FB-FB49A0104F1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0FAEA01E-510C-4D75-9674-DEBC50EAF0D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B0389F30-5C41-4648-A336-0396B04C22A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D1A625CE-A475-4DC6-BD62-07D4143A61C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FB5CEEEB-B87B-4F85-981C-11DB389FE62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tc={270FBF95-31F5-418C-A55B-84D1C4B3337D}</author>
    <author>tc={BBA7D7A6-C296-4FB2-B3C0-A376940E10E7}</author>
    <author>tc={39BA5C21-859D-47D5-8A41-C64561BD8FE4}</author>
    <author>tc={E72AD13F-F4CB-47AD-980C-0BB03335BC98}</author>
    <author>tc={AE756DEF-4A58-44C2-89F9-119A65A22324}</author>
    <author>tc={D20F040E-F953-4B43-A742-9EAAC98213E2}</author>
    <author>tc={7E8B6331-258D-4612-BA25-3F75E994FD3B}</author>
    <author>tc={25F37D48-5F04-4300-86DB-444647E7AB16}</author>
    <author>tc={D1C4E541-043A-4711-BB35-630DDA773756}</author>
    <author>tc={7029A70D-75A2-4445-93F7-F6058DD1EFC6}</author>
  </authors>
  <commentList>
    <comment ref="W3" authorId="0" shapeId="0" xr:uid="{270FBF95-31F5-418C-A55B-84D1C4B3337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BBA7D7A6-C296-4FB2-B3C0-A376940E10E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39BA5C21-859D-47D5-8A41-C64561BD8FE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E72AD13F-F4CB-47AD-980C-0BB03335BC9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AE756DEF-4A58-44C2-89F9-119A65A2232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5" shapeId="0" xr:uid="{D20F040E-F953-4B43-A742-9EAAC98213E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7E8B6331-258D-4612-BA25-3F75E994FD3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25F37D48-5F04-4300-86DB-444647E7AB1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D1C4E541-043A-4711-BB35-630DDA77375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7029A70D-75A2-4445-93F7-F6058DD1EFC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tc={B7EF1D04-632C-47E4-934F-795E0EE64343}</author>
    <author>tc={DEE721F6-47DE-48DA-9156-97FF73FCF0BC}</author>
    <author>tc={4E945FFD-B7B7-4EA7-8D38-ABE845553B3C}</author>
    <author>tc={D01A61ED-6DEC-4909-AFA2-7047E7F31535}</author>
    <author>tc={83700426-46BD-4467-A2DC-4DA52D885655}</author>
    <author>tc={EF8097AF-A06E-4CE6-83B6-6942726A2D45}</author>
    <author>tc={CACF9F67-A70F-48C7-BBEF-7B82B4A9EA3C}</author>
    <author>tc={C3D42F9A-3048-4DBD-95E9-3F5F5AE4732E}</author>
    <author>tc={C45F6B46-73DB-4E7F-B0CE-4C61B53EC36A}</author>
    <author>tc={63DFEA75-922E-4945-9FA8-AE49B7C842E5}</author>
  </authors>
  <commentList>
    <comment ref="W3" authorId="0" shapeId="0" xr:uid="{B7EF1D04-632C-47E4-934F-795E0EE6434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DEE721F6-47DE-48DA-9156-97FF73FCF0B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4E945FFD-B7B7-4EA7-8D38-ABE845553B3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D01A61ED-6DEC-4909-AFA2-7047E7F3153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83700426-46BD-4467-A2DC-4DA52D88565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5" shapeId="0" xr:uid="{EF8097AF-A06E-4CE6-83B6-6942726A2D4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CACF9F67-A70F-48C7-BBEF-7B82B4A9EA3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C3D42F9A-3048-4DBD-95E9-3F5F5AE4732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C45F6B46-73DB-4E7F-B0CE-4C61B53EC36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63DFEA75-922E-4945-9FA8-AE49B7C842E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tc={FD44A7C4-057C-45C9-997A-19A0E200DF14}</author>
    <author>tc={B4C44523-BE68-465D-86F8-834B5C331C0D}</author>
    <author>tc={38A53580-A2C2-4ACC-BF97-BCEFB8FEC5BD}</author>
    <author>tc={57859405-AC4A-4D3F-B999-494261CD36BB}</author>
    <author>tc={BB64CD38-D469-49CF-86FF-B3E5E5BBEC61}</author>
    <author>tc={86EDA3BB-AE28-4AFB-AD38-2D71F19CFDD7}</author>
    <author>tc={D34B915B-F92F-4411-92DC-F5AE8515791B}</author>
    <author>tc={CBF5031D-68D5-41F0-89A0-0A0373856DB0}</author>
    <author>tc={1FFCAF78-4382-4825-9569-1F5D9713C63D}</author>
    <author>tc={9066C57E-CBA8-4232-BCFA-5EBC097CCD99}</author>
  </authors>
  <commentList>
    <comment ref="W3" authorId="0" shapeId="0" xr:uid="{FD44A7C4-057C-45C9-997A-19A0E200DF1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B4C44523-BE68-465D-86F8-834B5C331C0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38A53580-A2C2-4ACC-BF97-BCEFB8FEC5B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57859405-AC4A-4D3F-B999-494261CD36B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BB64CD38-D469-49CF-86FF-B3E5E5BBEC6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5" shapeId="0" xr:uid="{86EDA3BB-AE28-4AFB-AD38-2D71F19CFDD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D34B915B-F92F-4411-92DC-F5AE8515791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CBF5031D-68D5-41F0-89A0-0A0373856DB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1FFCAF78-4382-4825-9569-1F5D9713C63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9066C57E-CBA8-4232-BCFA-5EBC097CCD9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tc={8920E805-1754-4D49-8D6F-F5C71D416310}</author>
    <author>tc={B5D5DFF5-1268-4B83-8AA0-3A3325E8A68A}</author>
    <author>tc={9922F008-AD5D-48BE-96D7-323D44419372}</author>
    <author>tc={D5F6011B-68A6-4144-B298-1669F2BD7A8A}</author>
    <author>tc={EEFD6116-0413-4BAB-A4F8-909255124687}</author>
    <author>tc={8DBF7DD0-7196-4D13-B8AE-19E16996BA10}</author>
    <author>tc={DA81DC79-5354-447C-99D8-0A4A4938A79B}</author>
    <author>tc={763AC4E8-9626-4B92-BCEB-C0D94921A669}</author>
    <author>tc={BAD00248-6EDF-4FD4-B250-68B7EF8AE2DB}</author>
    <author>tc={07024ED8-55B0-4588-B61A-A5AE6871BD27}</author>
  </authors>
  <commentList>
    <comment ref="W3" authorId="0" shapeId="0" xr:uid="{8920E805-1754-4D49-8D6F-F5C71D41631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B5D5DFF5-1268-4B83-8AA0-3A3325E8A68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9922F008-AD5D-48BE-96D7-323D4441937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D5F6011B-68A6-4144-B298-1669F2BD7A8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EEFD6116-0413-4BAB-A4F8-90925512468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5" shapeId="0" xr:uid="{8DBF7DD0-7196-4D13-B8AE-19E16996BA1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DA81DC79-5354-447C-99D8-0A4A4938A79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763AC4E8-9626-4B92-BCEB-C0D94921A66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BAD00248-6EDF-4FD4-B250-68B7EF8AE2D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07024ED8-55B0-4588-B61A-A5AE6871BD2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tc={C8ADFAD7-C4E1-4AA8-A0AD-A687C7D4D897}</author>
    <author>tc={5B4552A9-9A83-4929-91D4-BA0DAA110C37}</author>
    <author>tc={81961C11-9B52-4CBA-A70C-61E01166C763}</author>
    <author>tc={28EF928E-C550-40B6-93B9-4D6DFBC51517}</author>
    <author>tc={CE31D96D-9F85-4271-B359-247EEAC3CCE9}</author>
    <author>tc={071EA5D3-825F-4263-93DD-885A131B1CCD}</author>
    <author>tc={D0F0BA0D-AA3F-48DC-84EF-52EBF9413498}</author>
    <author>tc={C2C0FAB5-15E3-4520-94D8-54E69D02CBA3}</author>
    <author>tc={254A8EBD-C531-4B70-BA38-6BBA70C97FB8}</author>
    <author>tc={9DA97FF6-676B-4A47-AEA5-6CBE4F695937}</author>
  </authors>
  <commentList>
    <comment ref="W3" authorId="0" shapeId="0" xr:uid="{C8ADFAD7-C4E1-4AA8-A0AD-A687C7D4D89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5B4552A9-9A83-4929-91D4-BA0DAA110C3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81961C11-9B52-4CBA-A70C-61E01166C76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28EF928E-C550-40B6-93B9-4D6DFBC5151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CE31D96D-9F85-4271-B359-247EEAC3CCE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5" shapeId="0" xr:uid="{071EA5D3-825F-4263-93DD-885A131B1CC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D0F0BA0D-AA3F-48DC-84EF-52EBF941349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C2C0FAB5-15E3-4520-94D8-54E69D02CBA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254A8EBD-C531-4B70-BA38-6BBA70C97FB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9DA97FF6-676B-4A47-AEA5-6CBE4F69593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tc={AC492618-97AB-4696-A144-6120C0CC7A69}</author>
    <author>tc={6DC782A4-EB07-451E-95D0-B7F0E374CB4E}</author>
    <author>tc={3118F0FB-2FB5-4A87-953B-7C4A3F936BB7}</author>
    <author>tc={8897D4DB-4684-440B-9BD2-75BD357BF88D}</author>
    <author>tc={00914631-BEC1-4910-BE48-AC8303380DEA}</author>
    <author>tc={8D55AD11-BEC6-4EEA-B670-26F56F8F6FC2}</author>
    <author>tc={F74AAEF6-1E95-40C8-95BC-633C0A91E78D}</author>
    <author>tc={F3035C9C-D739-420E-91C2-F90A06281BD8}</author>
    <author>tc={D178C518-B17E-4D89-8F3F-8AF2425CEF7E}</author>
    <author>tc={4F34D5CE-375B-4F25-AC71-BA82C7222A0B}</author>
  </authors>
  <commentList>
    <comment ref="W3" authorId="0" shapeId="0" xr:uid="{AC492618-97AB-4696-A144-6120C0CC7A6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6DC782A4-EB07-451E-95D0-B7F0E374CB4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3118F0FB-2FB5-4A87-953B-7C4A3F936BB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8897D4DB-4684-440B-9BD2-75BD357BF88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00914631-BEC1-4910-BE48-AC8303380DE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5" shapeId="0" xr:uid="{8D55AD11-BEC6-4EEA-B670-26F56F8F6FC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F74AAEF6-1E95-40C8-95BC-633C0A91E78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F3035C9C-D739-420E-91C2-F90A06281BD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D178C518-B17E-4D89-8F3F-8AF2425CEF7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4F34D5CE-375B-4F25-AC71-BA82C7222A0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<sst xmlns="http://schemas.openxmlformats.org/spreadsheetml/2006/main" count="1840" uniqueCount="106">
  <si>
    <t>Inscrits</t>
  </si>
  <si>
    <t>Emargements</t>
  </si>
  <si>
    <t>Votants</t>
  </si>
  <si>
    <t>Blancs</t>
  </si>
  <si>
    <t>Nuls</t>
  </si>
  <si>
    <t>Exprimés</t>
  </si>
  <si>
    <t>Participation</t>
  </si>
  <si>
    <t>Vérification</t>
  </si>
  <si>
    <t>Total exprimé</t>
  </si>
  <si>
    <t>TOTAL</t>
  </si>
  <si>
    <t>%</t>
  </si>
  <si>
    <t>Date</t>
  </si>
  <si>
    <t>Election</t>
  </si>
  <si>
    <t>Ville</t>
  </si>
  <si>
    <t>Cogolin</t>
  </si>
  <si>
    <t>Bureaux</t>
  </si>
  <si>
    <t>Total</t>
  </si>
  <si>
    <t>Abstention</t>
  </si>
  <si>
    <t xml:space="preserve">Les cases grisées sont </t>
  </si>
  <si>
    <t>calculées automatiquement</t>
  </si>
  <si>
    <t>Ne pas éditer</t>
  </si>
  <si>
    <t>Heure</t>
  </si>
  <si>
    <t>Municipales 1er tour</t>
  </si>
  <si>
    <t>Bureau n°</t>
  </si>
  <si>
    <t>Nom</t>
  </si>
  <si>
    <t>Seules les cases bleu clair</t>
  </si>
  <si>
    <t>sont à remplir</t>
  </si>
  <si>
    <t>Gymnase B</t>
  </si>
  <si>
    <t>COSEC</t>
  </si>
  <si>
    <t>CMM</t>
  </si>
  <si>
    <t>Base nautique</t>
  </si>
  <si>
    <t>Votants %</t>
  </si>
  <si>
    <t>08h00</t>
  </si>
  <si>
    <t>09h00</t>
  </si>
  <si>
    <t>10h00</t>
  </si>
  <si>
    <t>11h00</t>
  </si>
  <si>
    <t>12h00</t>
  </si>
  <si>
    <t>13h00</t>
  </si>
  <si>
    <t>14h00</t>
  </si>
  <si>
    <t>15h00</t>
  </si>
  <si>
    <t>16h00</t>
  </si>
  <si>
    <t>17h00</t>
  </si>
  <si>
    <t>18h00</t>
  </si>
  <si>
    <t>19h00</t>
  </si>
  <si>
    <t>20h00</t>
  </si>
  <si>
    <t>8h-9h</t>
  </si>
  <si>
    <t>9h-10h</t>
  </si>
  <si>
    <t>10h-11h</t>
  </si>
  <si>
    <t>12h-13h</t>
  </si>
  <si>
    <t>13h-14h</t>
  </si>
  <si>
    <t>14h-15h</t>
  </si>
  <si>
    <t>15h-16h</t>
  </si>
  <si>
    <t>16h-17h</t>
  </si>
  <si>
    <t>17h-18h</t>
  </si>
  <si>
    <t>11h-12h</t>
  </si>
  <si>
    <t>18h-19h</t>
  </si>
  <si>
    <t>19h-20h</t>
  </si>
  <si>
    <t>Votants cumulés</t>
  </si>
  <si>
    <t>Votants sur la période</t>
  </si>
  <si>
    <t>Période horaire</t>
  </si>
  <si>
    <t>Seules les cases bleu clair sont à remplir</t>
  </si>
  <si>
    <t>Les cases grisées sont calculées automatiquement Ne pas éditer</t>
  </si>
  <si>
    <t>Tour actuel</t>
  </si>
  <si>
    <t>Tour précédent</t>
  </si>
  <si>
    <t>Table</t>
  </si>
  <si>
    <t>Valeurs du tour précédent</t>
  </si>
  <si>
    <t>Résultats relatifs par centaines dépouillées</t>
  </si>
  <si>
    <t>Hôtel de ville</t>
  </si>
  <si>
    <r>
      <t xml:space="preserve">Ce tableur </t>
    </r>
    <r>
      <rPr>
        <i/>
        <u/>
        <sz val="14"/>
        <color rgb="FF000000"/>
        <rFont val="Calibri"/>
        <family val="2"/>
      </rPr>
      <t>ne remplace pas</t>
    </r>
    <r>
      <rPr>
        <i/>
        <sz val="14"/>
        <color rgb="FF000000"/>
        <rFont val="Calibri"/>
        <family val="2"/>
      </rPr>
      <t xml:space="preserve"> les notes papier, il est un complément mais il ne fait pas foi.</t>
    </r>
  </si>
  <si>
    <t>Candidat 1</t>
  </si>
  <si>
    <t>Candidat 3</t>
  </si>
  <si>
    <t>Candidat 4</t>
  </si>
  <si>
    <t>Candidat 5</t>
  </si>
  <si>
    <t>Candidat 6</t>
  </si>
  <si>
    <t>Candidat 7</t>
  </si>
  <si>
    <t>Candidat 8</t>
  </si>
  <si>
    <t>Candidat 9</t>
  </si>
  <si>
    <t>Candidat 10</t>
  </si>
  <si>
    <t>Candidat 2 qui a un nom super long</t>
  </si>
  <si>
    <t>TABLE 1</t>
  </si>
  <si>
    <t>TABLE 2</t>
  </si>
  <si>
    <t/>
  </si>
  <si>
    <t>N° Centaine</t>
  </si>
  <si>
    <t>Enveloppe  de centaine</t>
  </si>
  <si>
    <t>TABLE 3</t>
  </si>
  <si>
    <t>Bureau 1</t>
  </si>
  <si>
    <t>Bureau 2</t>
  </si>
  <si>
    <t>Bureau 3</t>
  </si>
  <si>
    <t>Bureau 4</t>
  </si>
  <si>
    <t>Bureau 5</t>
  </si>
  <si>
    <t>Bureau 6</t>
  </si>
  <si>
    <t>Bureau 7</t>
  </si>
  <si>
    <t>Bureau 8</t>
  </si>
  <si>
    <t>Bureau 9</t>
  </si>
  <si>
    <t>Bureau 10</t>
  </si>
  <si>
    <t>Bureau 11</t>
  </si>
  <si>
    <t>Bureau 12</t>
  </si>
  <si>
    <t>Exemple</t>
  </si>
  <si>
    <t>N°</t>
  </si>
  <si>
    <t>Abstention (%)</t>
  </si>
  <si>
    <t>Candidat 2</t>
  </si>
  <si>
    <t>Résultats cumulatifs à chaque centaine dépouillée par la table 3</t>
  </si>
  <si>
    <t>Résultats cumulatifs à chaque centaine dépouillée par la table 2</t>
  </si>
  <si>
    <t>Résultats cumulatifs à chaque centaine dépouillée par la table 1</t>
  </si>
  <si>
    <t>Sous-totaux enveloppes ouvertes</t>
  </si>
  <si>
    <t>Sous-totaux centaines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</si>
</sst>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 mmmm\ yyyy"/>
    <numFmt numFmtId="165" formatCode="[$-F400]h:mm:ss\ AM/PM"/>
  </numFmts>
  <fonts count="65" x14ac:knownFonts="1">
    <font>
      <sz val="10"/>
      <color rgb="FF000000"/>
      <name val="Arial"/>
      <scheme val="minor"/>
    </font>
    <font>
      <b/>
      <sz val="10"/>
      <color rgb="FF000000"/>
      <name val="Calibri"/>
      <family val="2"/>
    </font>
    <font>
      <sz val="10"/>
      <name val="Arial"/>
      <family val="2"/>
    </font>
    <font>
      <sz val="10"/>
      <color rgb="FF000000"/>
      <name val="Calibri"/>
      <family val="2"/>
    </font>
    <font>
      <b/>
      <sz val="10"/>
      <color rgb="FF666666"/>
      <name val="Calibri"/>
      <family val="2"/>
    </font>
    <font>
      <b/>
      <i/>
      <sz val="10"/>
      <color rgb="FF666666"/>
      <name val="Calibri"/>
      <family val="2"/>
    </font>
    <font>
      <sz val="10"/>
      <color rgb="FF000000"/>
      <name val="Calibri"/>
      <family val="2"/>
    </font>
    <font>
      <sz val="10"/>
      <color theme="1"/>
      <name val="Calibri"/>
      <family val="2"/>
    </font>
    <font>
      <i/>
      <sz val="10"/>
      <color rgb="FF666666"/>
      <name val="Calibri"/>
      <family val="2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Calibri"/>
      <family val="2"/>
    </font>
    <font>
      <sz val="12"/>
      <color theme="1"/>
      <name val="Calibri"/>
      <family val="2"/>
    </font>
    <font>
      <i/>
      <sz val="12"/>
      <color rgb="FF666666"/>
      <name val="Calibri"/>
      <family val="2"/>
    </font>
    <font>
      <b/>
      <sz val="10"/>
      <color theme="1"/>
      <name val="Calibri"/>
      <family val="2"/>
    </font>
    <font>
      <sz val="12"/>
      <color rgb="FF000000"/>
      <name val="Calibri"/>
      <family val="2"/>
    </font>
    <font>
      <b/>
      <sz val="10"/>
      <color theme="1"/>
      <name val="Calibri"/>
      <family val="2"/>
    </font>
    <font>
      <sz val="10"/>
      <color rgb="FF1F1F1F"/>
      <name val="Calibri"/>
      <family val="2"/>
    </font>
    <font>
      <sz val="10"/>
      <color theme="1"/>
      <name val="Arial"/>
      <family val="2"/>
    </font>
    <font>
      <b/>
      <sz val="10"/>
      <color rgb="FF999999"/>
      <name val="Calibri"/>
      <family val="2"/>
    </font>
    <font>
      <sz val="10"/>
      <color rgb="FF718C00"/>
      <name val="Calibri"/>
      <family val="2"/>
    </font>
    <font>
      <sz val="10"/>
      <color rgb="FF999999"/>
      <name val="Calibri"/>
      <family val="2"/>
    </font>
    <font>
      <sz val="12"/>
      <color rgb="FF999999"/>
      <name val="Calibri"/>
      <family val="2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rgb="FF999999"/>
      <name val="Calibri"/>
      <family val="2"/>
    </font>
    <font>
      <sz val="9"/>
      <color rgb="FF000000"/>
      <name val="Calibri"/>
      <family val="2"/>
    </font>
    <font>
      <sz val="10"/>
      <color rgb="FF000000"/>
      <name val="Arial"/>
      <family val="2"/>
      <scheme val="minor"/>
    </font>
    <font>
      <sz val="8"/>
      <name val="Arial"/>
      <family val="2"/>
      <scheme val="minor"/>
    </font>
    <font>
      <sz val="10"/>
      <color rgb="FF000000"/>
      <name val="Calibri"/>
      <family val="2"/>
    </font>
    <font>
      <sz val="12"/>
      <color rgb="FF000000"/>
      <name val="Calibri"/>
      <family val="2"/>
    </font>
    <font>
      <sz val="10"/>
      <color theme="1"/>
      <name val="Calibri"/>
      <family val="2"/>
    </font>
    <font>
      <sz val="10"/>
      <name val="Calibri"/>
      <family val="2"/>
    </font>
    <font>
      <b/>
      <sz val="10"/>
      <color theme="1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sz val="10"/>
      <color theme="0" tint="-0.34998626667073579"/>
      <name val="Calibri"/>
      <family val="2"/>
    </font>
    <font>
      <sz val="10"/>
      <color theme="0" tint="-0.34998626667073579"/>
      <name val="Arial"/>
      <family val="2"/>
      <scheme val="minor"/>
    </font>
    <font>
      <i/>
      <sz val="14"/>
      <color theme="1"/>
      <name val="Calibri"/>
      <family val="2"/>
    </font>
    <font>
      <sz val="10"/>
      <color theme="0" tint="-0.499984740745262"/>
      <name val="Calibri"/>
      <family val="2"/>
    </font>
    <font>
      <sz val="12"/>
      <color theme="0" tint="-0.499984740745262"/>
      <name val="Calibri"/>
      <family val="2"/>
    </font>
    <font>
      <b/>
      <sz val="12"/>
      <color theme="1"/>
      <name val="Calibri"/>
      <family val="2"/>
    </font>
    <font>
      <sz val="10"/>
      <color rgb="FF000000"/>
      <name val="Arial"/>
      <family val="2"/>
    </font>
    <font>
      <sz val="8"/>
      <color theme="1"/>
      <name val="Calibri"/>
      <family val="2"/>
    </font>
    <font>
      <b/>
      <sz val="11"/>
      <color rgb="FF000000"/>
      <name val="Arial"/>
      <family val="2"/>
      <scheme val="minor"/>
    </font>
    <font>
      <sz val="10"/>
      <color theme="0"/>
      <name val="Calibri"/>
      <family val="2"/>
    </font>
    <font>
      <sz val="10"/>
      <color theme="1" tint="0.499984740745262"/>
      <name val="Calibri"/>
      <family val="2"/>
    </font>
    <font>
      <sz val="12"/>
      <color rgb="FF000000"/>
      <name val="Arial"/>
      <family val="2"/>
    </font>
    <font>
      <sz val="14"/>
      <color rgb="FF000000"/>
      <name val="Arial"/>
      <family val="2"/>
      <scheme val="minor"/>
    </font>
    <font>
      <b/>
      <sz val="18"/>
      <color theme="1"/>
      <name val="Calibri"/>
      <family val="2"/>
    </font>
    <font>
      <b/>
      <sz val="18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4"/>
      <color theme="4" tint="-0.249977111117893"/>
      <name val="Arial"/>
      <family val="2"/>
      <scheme val="minor"/>
    </font>
    <font>
      <sz val="12"/>
      <color theme="4" tint="-0.249977111117893"/>
      <name val="Arial"/>
      <family val="2"/>
      <scheme val="minor"/>
    </font>
    <font>
      <i/>
      <sz val="9"/>
      <color rgb="FF666666"/>
      <name val="Calibri"/>
      <family val="2"/>
    </font>
    <font>
      <i/>
      <sz val="14"/>
      <color rgb="FF000000"/>
      <name val="Calibri"/>
      <family val="2"/>
    </font>
    <font>
      <i/>
      <u/>
      <sz val="14"/>
      <color rgb="FF000000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sz val="8"/>
      <name val="Arial"/>
      <family val="2"/>
      <scheme val="minor"/>
    </font>
    <font>
      <sz val="10"/>
      <name val="Arial"/>
      <family val="2"/>
      <scheme val="minor"/>
    </font>
    <font>
      <b/>
      <sz val="10"/>
      <name val="Arial"/>
      <family val="2"/>
      <scheme val="minor"/>
    </font>
    <font>
      <b/>
      <i/>
      <sz val="12"/>
      <color theme="0" tint="-0.499984740745262"/>
      <name val="Calibri"/>
      <family val="2"/>
    </font>
    <font>
      <i/>
      <sz val="12"/>
      <color theme="0" tint="-0.499984740745262"/>
      <name val="Calibri"/>
      <family val="2"/>
    </font>
    <font>
      <sz val="9"/>
      <color indexed="81"/>
      <name val="Tahoma"/>
      <charset val="1"/>
    </font>
  </fonts>
  <fills count="63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D9EAD3"/>
        <bgColor rgb="FFD9EAD3"/>
      </patternFill>
    </fill>
    <fill>
      <patternFill patternType="solid">
        <fgColor rgb="FFF4CCCC"/>
        <bgColor rgb="FFF4CCCC"/>
      </patternFill>
    </fill>
    <fill>
      <patternFill patternType="solid">
        <fgColor rgb="FFEFEFEF"/>
        <bgColor rgb="FFEFEFEF"/>
      </patternFill>
    </fill>
    <fill>
      <patternFill patternType="solid">
        <fgColor rgb="FFB7B7B7"/>
        <bgColor rgb="FFB7B7B7"/>
      </patternFill>
    </fill>
    <fill>
      <patternFill patternType="solid">
        <fgColor rgb="FFB6D7A8"/>
        <bgColor rgb="FFB6D7A8"/>
      </patternFill>
    </fill>
    <fill>
      <patternFill patternType="solid">
        <fgColor rgb="FFD5A6BD"/>
        <bgColor rgb="FFD5A6BD"/>
      </patternFill>
    </fill>
    <fill>
      <patternFill patternType="solid">
        <fgColor rgb="FFC9DAF8"/>
        <bgColor rgb="FFC9DAF8"/>
      </patternFill>
    </fill>
    <fill>
      <patternFill patternType="solid">
        <fgColor theme="0" tint="-0.14999847407452621"/>
        <bgColor rgb="FFEFEFE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4CC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14999847407452621"/>
        <bgColor rgb="FFEFEFEF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D9D9D9"/>
      </patternFill>
    </fill>
    <fill>
      <patternFill patternType="solid">
        <fgColor theme="2" tint="-0.249977111117893"/>
        <bgColor rgb="FFEAD1DC"/>
      </patternFill>
    </fill>
    <fill>
      <patternFill patternType="solid">
        <fgColor theme="2" tint="-0.14999847407452621"/>
        <bgColor rgb="FFF9CB9C"/>
      </patternFill>
    </fill>
    <fill>
      <patternFill patternType="solid">
        <fgColor theme="7" tint="0.79998168889431442"/>
        <bgColor rgb="FFF9CB9C"/>
      </patternFill>
    </fill>
    <fill>
      <patternFill patternType="solid">
        <fgColor rgb="FFE1C1D1"/>
        <bgColor rgb="FFF9C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rgb="FFD9D9D9"/>
      </patternFill>
    </fill>
    <fill>
      <patternFill patternType="solid">
        <fgColor rgb="FFDAF1F3"/>
        <bgColor rgb="FFB7B7B7"/>
      </patternFill>
    </fill>
    <fill>
      <patternFill patternType="solid">
        <fgColor theme="0" tint="-0.14999847407452621"/>
        <bgColor rgb="FFB7B7B7"/>
      </patternFill>
    </fill>
    <fill>
      <patternFill patternType="solid">
        <fgColor rgb="FFE6EEEE"/>
        <bgColor rgb="FFB7B7B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EFEF"/>
      </patternFill>
    </fill>
    <fill>
      <patternFill patternType="solid">
        <fgColor theme="0" tint="-0.249977111117893"/>
        <bgColor rgb="FFEFEFEF"/>
      </patternFill>
    </fill>
    <fill>
      <patternFill patternType="solid">
        <fgColor theme="0" tint="-0.249977111117893"/>
        <bgColor rgb="FFCCCCCC"/>
      </patternFill>
    </fill>
    <fill>
      <patternFill patternType="solid">
        <fgColor theme="0" tint="-0.14999847407452621"/>
        <bgColor rgb="FFF9CB9C"/>
      </patternFill>
    </fill>
    <fill>
      <patternFill patternType="solid">
        <fgColor theme="0" tint="-0.14999847407452621"/>
        <bgColor rgb="FFB6D7A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EAD1DC"/>
      </patternFill>
    </fill>
    <fill>
      <patternFill patternType="solid">
        <fgColor theme="4"/>
        <bgColor rgb="FFB7B7B7"/>
      </patternFill>
    </fill>
    <fill>
      <patternFill patternType="solid">
        <fgColor theme="5"/>
        <bgColor rgb="FFB7B7B7"/>
      </patternFill>
    </fill>
    <fill>
      <patternFill patternType="solid">
        <fgColor theme="6"/>
        <bgColor rgb="FFB7B7B7"/>
      </patternFill>
    </fill>
    <fill>
      <patternFill patternType="solid">
        <fgColor theme="7"/>
        <bgColor rgb="FFB7B7B7"/>
      </patternFill>
    </fill>
    <fill>
      <patternFill patternType="solid">
        <fgColor theme="8"/>
        <bgColor rgb="FFB7B7B7"/>
      </patternFill>
    </fill>
    <fill>
      <patternFill patternType="solid">
        <fgColor theme="9"/>
        <bgColor rgb="FFB7B7B7"/>
      </patternFill>
    </fill>
    <fill>
      <patternFill patternType="solid">
        <fgColor theme="1"/>
        <bgColor rgb="FFB7B7B7"/>
      </patternFill>
    </fill>
    <fill>
      <patternFill patternType="solid">
        <fgColor theme="4" tint="0.39997558519241921"/>
        <bgColor rgb="FFB7B7B7"/>
      </patternFill>
    </fill>
    <fill>
      <patternFill patternType="solid">
        <fgColor theme="5" tint="0.39997558519241921"/>
        <bgColor rgb="FFB7B7B7"/>
      </patternFill>
    </fill>
    <fill>
      <patternFill patternType="solid">
        <fgColor theme="6" tint="0.39997558519241921"/>
        <bgColor rgb="FFB7B7B7"/>
      </patternFill>
    </fill>
    <fill>
      <patternFill patternType="solid">
        <fgColor theme="7" tint="0.39997558519241921"/>
        <bgColor rgb="FFB7B7B7"/>
      </patternFill>
    </fill>
    <fill>
      <patternFill patternType="solid">
        <fgColor theme="8" tint="0.39997558519241921"/>
        <bgColor rgb="FFB7B7B7"/>
      </patternFill>
    </fill>
    <fill>
      <patternFill patternType="solid">
        <fgColor theme="9" tint="0.39997558519241921"/>
        <bgColor rgb="FFB7B7B7"/>
      </patternFill>
    </fill>
    <fill>
      <patternFill patternType="solid">
        <fgColor theme="1" tint="0.249977111117893"/>
        <bgColor rgb="FFB7B7B7"/>
      </patternFill>
    </fill>
    <fill>
      <patternFill patternType="solid">
        <fgColor theme="9" tint="0.79998168889431442"/>
        <bgColor rgb="FFF4CCCC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0" tint="-0.249977111117893"/>
        <bgColor rgb="FFB7B7B7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E1C1D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rgb="FFFCE5CD"/>
      </patternFill>
    </fill>
  </fills>
  <borders count="198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thin">
        <color rgb="FFEFEFEF"/>
      </right>
      <top style="medium">
        <color rgb="FFCCCCCC"/>
      </top>
      <bottom style="medium">
        <color rgb="FFCCCCCC"/>
      </bottom>
      <diagonal/>
    </border>
    <border>
      <left style="medium">
        <color rgb="FFD9D9D9"/>
      </left>
      <right/>
      <top style="medium">
        <color rgb="FFCCCCCC"/>
      </top>
      <bottom style="medium">
        <color rgb="FFCCCCCC"/>
      </bottom>
      <diagonal/>
    </border>
    <border>
      <left/>
      <right style="thin">
        <color rgb="FFEFEFEF"/>
      </right>
      <top/>
      <bottom style="thin">
        <color rgb="FFEFEFEF"/>
      </bottom>
      <diagonal/>
    </border>
    <border>
      <left style="thin">
        <color rgb="FFEFEFEF"/>
      </left>
      <right/>
      <top/>
      <bottom style="thin">
        <color rgb="FFEFEFEF"/>
      </bottom>
      <diagonal/>
    </border>
    <border>
      <left style="medium">
        <color rgb="FFD9D9D9"/>
      </left>
      <right style="thin">
        <color rgb="FFEFEFEF"/>
      </right>
      <top/>
      <bottom style="thin">
        <color rgb="FFEFEFEF"/>
      </bottom>
      <diagonal/>
    </border>
    <border>
      <left style="thin">
        <color rgb="FFEFEFEF"/>
      </left>
      <right/>
      <top style="thin">
        <color rgb="FFEFEFEF"/>
      </top>
      <bottom style="thin">
        <color rgb="FFEFEFEF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EFEFEF"/>
      </left>
      <right/>
      <top style="thin">
        <color rgb="FFEFEFEF"/>
      </top>
      <bottom/>
      <diagonal/>
    </border>
    <border>
      <left/>
      <right style="thin">
        <color rgb="FFEFEFEF"/>
      </right>
      <top style="medium">
        <color rgb="FFD9D9D9"/>
      </top>
      <bottom style="medium">
        <color rgb="FFD9D9D9"/>
      </bottom>
      <diagonal/>
    </border>
    <border>
      <left style="thin">
        <color rgb="FFEFEFEF"/>
      </left>
      <right/>
      <top style="medium">
        <color rgb="FFD9D9D9"/>
      </top>
      <bottom style="medium">
        <color rgb="FFD9D9D9"/>
      </bottom>
      <diagonal/>
    </border>
    <border>
      <left style="medium">
        <color rgb="FFD9D9D9"/>
      </left>
      <right style="thin">
        <color rgb="FFEFEFEF"/>
      </right>
      <top style="medium">
        <color rgb="FFD9D9D9"/>
      </top>
      <bottom style="medium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9900FF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medium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thin">
        <color rgb="FF000000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rgb="FF000000"/>
      </bottom>
      <diagonal/>
    </border>
    <border>
      <left style="double">
        <color indexed="64"/>
      </left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double">
        <color indexed="64"/>
      </right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rgb="FF000000"/>
      </right>
      <top/>
      <bottom style="thin">
        <color rgb="FF000000"/>
      </bottom>
      <diagonal/>
    </border>
    <border>
      <left style="double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/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medium">
        <color indexed="64"/>
      </left>
      <right style="thin">
        <color theme="4" tint="0.39997558519241921"/>
      </right>
      <top style="medium">
        <color indexed="64"/>
      </top>
      <bottom/>
      <diagonal/>
    </border>
    <border>
      <left style="medium">
        <color indexed="64"/>
      </left>
      <right style="thin">
        <color theme="4" tint="0.3999755851924192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theme="4" tint="0.39997558519241921"/>
      </right>
      <top style="thin">
        <color rgb="FF000000"/>
      </top>
      <bottom style="medium">
        <color rgb="FF000000"/>
      </bottom>
      <diagonal/>
    </border>
    <border>
      <left style="double">
        <color rgb="FF000000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double">
        <color rgb="FF000000"/>
      </left>
      <right/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theme="0" tint="-0.499984740745262"/>
      </right>
      <top/>
      <bottom/>
      <diagonal/>
    </border>
    <border>
      <left/>
      <right style="medium">
        <color theme="0" tint="-0.499984740745262"/>
      </right>
      <top style="thin">
        <color indexed="64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 style="thin">
        <color indexed="64"/>
      </bottom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thin">
        <color indexed="64"/>
      </top>
      <bottom style="thin">
        <color indexed="64"/>
      </bottom>
      <diagonal/>
    </border>
    <border>
      <left style="medium">
        <color theme="0" tint="-0.499984740745262"/>
      </left>
      <right style="medium">
        <color theme="0" tint="-0.499984740745262"/>
      </right>
      <top/>
      <bottom style="thin">
        <color indexed="64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indexed="64"/>
      </top>
      <bottom/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thin">
        <color indexed="64"/>
      </bottom>
      <diagonal/>
    </border>
    <border>
      <left style="medium">
        <color indexed="64"/>
      </left>
      <right style="medium">
        <color theme="0" tint="-0.499984740745262"/>
      </right>
      <top style="thin">
        <color indexed="64"/>
      </top>
      <bottom style="medium">
        <color theme="0" tint="-0.499984740745262"/>
      </bottom>
      <diagonal/>
    </border>
    <border>
      <left style="medium">
        <color indexed="64"/>
      </left>
      <right/>
      <top style="thin">
        <color rgb="FF000000"/>
      </top>
      <bottom style="medium">
        <color rgb="FF000000"/>
      </bottom>
      <diagonal/>
    </border>
    <border>
      <left style="medium">
        <color theme="0" tint="-0.499984740745262"/>
      </left>
      <right/>
      <top style="medium">
        <color indexed="64"/>
      </top>
      <bottom/>
      <diagonal/>
    </border>
    <border>
      <left style="thin">
        <color theme="0" tint="-0.499984740745262"/>
      </left>
      <right style="medium">
        <color theme="0" tint="-0.499984740745262"/>
      </right>
      <top style="medium">
        <color indexed="64"/>
      </top>
      <bottom/>
      <diagonal/>
    </border>
    <border>
      <left style="medium">
        <color theme="0" tint="-0.499984740745262"/>
      </left>
      <right/>
      <top style="thin">
        <color theme="0" tint="-0.499984740745262"/>
      </top>
      <bottom style="medium">
        <color theme="0" tint="-0.49998474074526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theme="0" tint="-0.499984740745262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34998626667073579"/>
      </left>
      <right/>
      <top/>
      <bottom/>
      <diagonal/>
    </border>
    <border>
      <left style="medium">
        <color theme="0" tint="-0.499984740745262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theme="0" tint="-0.499984740745262"/>
      </left>
      <right style="thin">
        <color theme="0" tint="-0.34998626667073579"/>
      </right>
      <top style="thin">
        <color theme="0" tint="-0.34998626667073579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/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thin">
        <color theme="0" tint="-0.34998626667073579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medium">
        <color indexed="64"/>
      </top>
      <bottom/>
      <diagonal/>
    </border>
    <border>
      <left style="medium">
        <color indexed="64"/>
      </left>
      <right style="medium">
        <color theme="0" tint="-0.499984740745262"/>
      </right>
      <top style="medium">
        <color indexed="64"/>
      </top>
      <bottom style="thin">
        <color theme="0" tint="-0.34998626667073579"/>
      </bottom>
      <diagonal/>
    </border>
  </borders>
  <cellStyleXfs count="2">
    <xf numFmtId="0" fontId="0" fillId="0" borderId="0"/>
    <xf numFmtId="9" fontId="27" fillId="0" borderId="0" applyFont="0" applyFill="0" applyBorder="0" applyAlignment="0" applyProtection="0"/>
  </cellStyleXfs>
  <cellXfs count="446">
    <xf numFmtId="0" fontId="0" fillId="0" borderId="0" xfId="0"/>
    <xf numFmtId="0" fontId="7" fillId="0" borderId="0" xfId="0" applyFont="1"/>
    <xf numFmtId="0" fontId="11" fillId="0" borderId="0" xfId="0" applyFont="1" applyAlignment="1">
      <alignment horizontal="center"/>
    </xf>
    <xf numFmtId="0" fontId="11" fillId="0" borderId="0" xfId="0" applyFont="1"/>
    <xf numFmtId="10" fontId="17" fillId="0" borderId="0" xfId="0" applyNumberFormat="1" applyFont="1"/>
    <xf numFmtId="0" fontId="7" fillId="0" borderId="0" xfId="0" applyFont="1" applyAlignment="1">
      <alignment horizontal="center"/>
    </xf>
    <xf numFmtId="0" fontId="18" fillId="0" borderId="0" xfId="0" applyFont="1"/>
    <xf numFmtId="10" fontId="7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0" fontId="22" fillId="5" borderId="32" xfId="0" applyFont="1" applyFill="1" applyBorder="1" applyAlignment="1">
      <alignment horizontal="right"/>
    </xf>
    <xf numFmtId="10" fontId="21" fillId="5" borderId="33" xfId="0" applyNumberFormat="1" applyFont="1" applyFill="1" applyBorder="1" applyAlignment="1">
      <alignment horizontal="center" vertical="center"/>
    </xf>
    <xf numFmtId="0" fontId="22" fillId="5" borderId="34" xfId="0" applyFont="1" applyFill="1" applyBorder="1" applyAlignment="1">
      <alignment horizontal="right"/>
    </xf>
    <xf numFmtId="0" fontId="23" fillId="2" borderId="11" xfId="0" applyFont="1" applyFill="1" applyBorder="1" applyAlignment="1">
      <alignment horizontal="right" vertical="center"/>
    </xf>
    <xf numFmtId="164" fontId="24" fillId="2" borderId="12" xfId="0" applyNumberFormat="1" applyFont="1" applyFill="1" applyBorder="1" applyAlignment="1">
      <alignment horizontal="right" vertical="center"/>
    </xf>
    <xf numFmtId="0" fontId="25" fillId="0" borderId="0" xfId="0" applyFont="1"/>
    <xf numFmtId="0" fontId="23" fillId="2" borderId="10" xfId="0" applyFont="1" applyFill="1" applyBorder="1" applyAlignment="1">
      <alignment horizontal="right" vertical="center"/>
    </xf>
    <xf numFmtId="0" fontId="24" fillId="2" borderId="15" xfId="0" applyFont="1" applyFill="1" applyBorder="1" applyAlignment="1">
      <alignment horizontal="right" vertical="center" wrapText="1"/>
    </xf>
    <xf numFmtId="0" fontId="23" fillId="2" borderId="13" xfId="0" applyFont="1" applyFill="1" applyBorder="1" applyAlignment="1">
      <alignment horizontal="right" vertical="center"/>
    </xf>
    <xf numFmtId="0" fontId="24" fillId="2" borderId="14" xfId="0" applyFont="1" applyFill="1" applyBorder="1" applyAlignment="1">
      <alignment horizontal="right" vertical="center"/>
    </xf>
    <xf numFmtId="0" fontId="11" fillId="5" borderId="0" xfId="0" applyFont="1" applyFill="1"/>
    <xf numFmtId="0" fontId="17" fillId="5" borderId="0" xfId="0" applyFont="1" applyFill="1"/>
    <xf numFmtId="3" fontId="29" fillId="11" borderId="37" xfId="0" applyNumberFormat="1" applyFont="1" applyFill="1" applyBorder="1" applyAlignment="1">
      <alignment horizontal="center" vertical="center" wrapText="1"/>
    </xf>
    <xf numFmtId="3" fontId="29" fillId="11" borderId="38" xfId="0" applyNumberFormat="1" applyFont="1" applyFill="1" applyBorder="1" applyAlignment="1">
      <alignment horizontal="center" vertical="center" wrapText="1"/>
    </xf>
    <xf numFmtId="10" fontId="3" fillId="10" borderId="40" xfId="0" applyNumberFormat="1" applyFont="1" applyFill="1" applyBorder="1" applyAlignment="1">
      <alignment horizontal="center" vertical="center"/>
    </xf>
    <xf numFmtId="10" fontId="3" fillId="10" borderId="19" xfId="0" applyNumberFormat="1" applyFont="1" applyFill="1" applyBorder="1" applyAlignment="1">
      <alignment horizontal="center" vertical="center"/>
    </xf>
    <xf numFmtId="10" fontId="3" fillId="10" borderId="41" xfId="0" applyNumberFormat="1" applyFont="1" applyFill="1" applyBorder="1" applyAlignment="1">
      <alignment horizontal="center" vertical="center"/>
    </xf>
    <xf numFmtId="9" fontId="20" fillId="2" borderId="37" xfId="1" applyFont="1" applyFill="1" applyBorder="1"/>
    <xf numFmtId="9" fontId="20" fillId="2" borderId="38" xfId="1" applyFont="1" applyFill="1" applyBorder="1"/>
    <xf numFmtId="3" fontId="29" fillId="11" borderId="43" xfId="0" applyNumberFormat="1" applyFont="1" applyFill="1" applyBorder="1" applyAlignment="1">
      <alignment horizontal="center" vertical="center" wrapText="1"/>
    </xf>
    <xf numFmtId="3" fontId="10" fillId="3" borderId="44" xfId="0" applyNumberFormat="1" applyFont="1" applyFill="1" applyBorder="1" applyAlignment="1">
      <alignment horizontal="right"/>
    </xf>
    <xf numFmtId="10" fontId="10" fillId="9" borderId="45" xfId="0" applyNumberFormat="1" applyFont="1" applyFill="1" applyBorder="1" applyAlignment="1">
      <alignment horizontal="right"/>
    </xf>
    <xf numFmtId="9" fontId="7" fillId="0" borderId="0" xfId="0" applyNumberFormat="1" applyFont="1"/>
    <xf numFmtId="0" fontId="26" fillId="0" borderId="0" xfId="0" applyFont="1"/>
    <xf numFmtId="164" fontId="31" fillId="13" borderId="48" xfId="0" applyNumberFormat="1" applyFont="1" applyFill="1" applyBorder="1" applyAlignment="1">
      <alignment horizontal="center" vertical="center"/>
    </xf>
    <xf numFmtId="0" fontId="31" fillId="13" borderId="50" xfId="0" applyFont="1" applyFill="1" applyBorder="1" applyAlignment="1">
      <alignment horizontal="center" vertical="center"/>
    </xf>
    <xf numFmtId="0" fontId="31" fillId="16" borderId="0" xfId="0" applyFont="1" applyFill="1"/>
    <xf numFmtId="0" fontId="7" fillId="16" borderId="0" xfId="0" applyFont="1" applyFill="1" applyAlignment="1">
      <alignment horizontal="right"/>
    </xf>
    <xf numFmtId="0" fontId="11" fillId="14" borderId="0" xfId="0" applyFont="1" applyFill="1"/>
    <xf numFmtId="0" fontId="7" fillId="15" borderId="0" xfId="0" applyFont="1" applyFill="1" applyAlignment="1">
      <alignment horizontal="right"/>
    </xf>
    <xf numFmtId="0" fontId="17" fillId="14" borderId="0" xfId="0" applyFont="1" applyFill="1"/>
    <xf numFmtId="0" fontId="3" fillId="18" borderId="8" xfId="0" applyFont="1" applyFill="1" applyBorder="1" applyAlignment="1">
      <alignment horizontal="center"/>
    </xf>
    <xf numFmtId="0" fontId="3" fillId="18" borderId="6" xfId="0" applyFont="1" applyFill="1" applyBorder="1" applyAlignment="1">
      <alignment horizontal="center"/>
    </xf>
    <xf numFmtId="0" fontId="3" fillId="18" borderId="5" xfId="0" applyFont="1" applyFill="1" applyBorder="1" applyAlignment="1">
      <alignment horizontal="center"/>
    </xf>
    <xf numFmtId="3" fontId="10" fillId="19" borderId="47" xfId="0" applyNumberFormat="1" applyFont="1" applyFill="1" applyBorder="1" applyAlignment="1">
      <alignment horizontal="right"/>
    </xf>
    <xf numFmtId="3" fontId="10" fillId="19" borderId="57" xfId="0" applyNumberFormat="1" applyFont="1" applyFill="1" applyBorder="1" applyAlignment="1">
      <alignment horizontal="right"/>
    </xf>
    <xf numFmtId="10" fontId="10" fillId="14" borderId="51" xfId="0" applyNumberFormat="1" applyFont="1" applyFill="1" applyBorder="1"/>
    <xf numFmtId="10" fontId="10" fillId="14" borderId="58" xfId="0" applyNumberFormat="1" applyFont="1" applyFill="1" applyBorder="1"/>
    <xf numFmtId="10" fontId="10" fillId="14" borderId="52" xfId="0" applyNumberFormat="1" applyFont="1" applyFill="1" applyBorder="1"/>
    <xf numFmtId="10" fontId="10" fillId="8" borderId="60" xfId="0" applyNumberFormat="1" applyFont="1" applyFill="1" applyBorder="1"/>
    <xf numFmtId="10" fontId="10" fillId="14" borderId="60" xfId="0" applyNumberFormat="1" applyFont="1" applyFill="1" applyBorder="1"/>
    <xf numFmtId="0" fontId="9" fillId="2" borderId="70" xfId="0" applyFont="1" applyFill="1" applyBorder="1" applyAlignment="1">
      <alignment horizontal="center"/>
    </xf>
    <xf numFmtId="3" fontId="10" fillId="19" borderId="67" xfId="0" applyNumberFormat="1" applyFont="1" applyFill="1" applyBorder="1" applyAlignment="1">
      <alignment horizontal="right"/>
    </xf>
    <xf numFmtId="10" fontId="35" fillId="5" borderId="80" xfId="0" applyNumberFormat="1" applyFont="1" applyFill="1" applyBorder="1"/>
    <xf numFmtId="10" fontId="35" fillId="5" borderId="81" xfId="0" applyNumberFormat="1" applyFont="1" applyFill="1" applyBorder="1"/>
    <xf numFmtId="10" fontId="3" fillId="10" borderId="12" xfId="0" applyNumberFormat="1" applyFont="1" applyFill="1" applyBorder="1" applyAlignment="1">
      <alignment horizontal="center" vertical="center"/>
    </xf>
    <xf numFmtId="10" fontId="3" fillId="10" borderId="16" xfId="0" applyNumberFormat="1" applyFont="1" applyFill="1" applyBorder="1" applyAlignment="1">
      <alignment horizontal="center" vertical="center"/>
    </xf>
    <xf numFmtId="10" fontId="3" fillId="10" borderId="15" xfId="0" applyNumberFormat="1" applyFont="1" applyFill="1" applyBorder="1" applyAlignment="1">
      <alignment horizontal="center" vertical="center"/>
    </xf>
    <xf numFmtId="10" fontId="3" fillId="10" borderId="9" xfId="0" applyNumberFormat="1" applyFont="1" applyFill="1" applyBorder="1" applyAlignment="1">
      <alignment horizontal="center" vertical="center"/>
    </xf>
    <xf numFmtId="10" fontId="3" fillId="10" borderId="30" xfId="0" applyNumberFormat="1" applyFont="1" applyFill="1" applyBorder="1" applyAlignment="1">
      <alignment horizontal="center" vertical="center"/>
    </xf>
    <xf numFmtId="10" fontId="3" fillId="10" borderId="20" xfId="0" applyNumberFormat="1" applyFont="1" applyFill="1" applyBorder="1" applyAlignment="1">
      <alignment horizontal="center" vertical="center"/>
    </xf>
    <xf numFmtId="10" fontId="21" fillId="28" borderId="27" xfId="0" applyNumberFormat="1" applyFont="1" applyFill="1" applyBorder="1" applyAlignment="1">
      <alignment horizontal="center" vertical="center"/>
    </xf>
    <xf numFmtId="10" fontId="21" fillId="28" borderId="29" xfId="0" applyNumberFormat="1" applyFont="1" applyFill="1" applyBorder="1" applyAlignment="1">
      <alignment horizontal="center" vertical="center"/>
    </xf>
    <xf numFmtId="10" fontId="21" fillId="28" borderId="31" xfId="0" applyNumberFormat="1" applyFont="1" applyFill="1" applyBorder="1" applyAlignment="1">
      <alignment horizontal="center" vertical="center"/>
    </xf>
    <xf numFmtId="0" fontId="1" fillId="30" borderId="85" xfId="0" applyFont="1" applyFill="1" applyBorder="1" applyAlignment="1">
      <alignment horizontal="center" vertical="center"/>
    </xf>
    <xf numFmtId="9" fontId="20" fillId="2" borderId="77" xfId="1" applyFont="1" applyFill="1" applyBorder="1"/>
    <xf numFmtId="3" fontId="6" fillId="12" borderId="86" xfId="0" applyNumberFormat="1" applyFont="1" applyFill="1" applyBorder="1" applyAlignment="1">
      <alignment horizontal="center"/>
    </xf>
    <xf numFmtId="3" fontId="6" fillId="12" borderId="75" xfId="0" applyNumberFormat="1" applyFont="1" applyFill="1" applyBorder="1" applyAlignment="1">
      <alignment horizontal="center"/>
    </xf>
    <xf numFmtId="9" fontId="20" fillId="2" borderId="39" xfId="1" applyFont="1" applyFill="1" applyBorder="1"/>
    <xf numFmtId="3" fontId="6" fillId="12" borderId="77" xfId="0" applyNumberFormat="1" applyFont="1" applyFill="1" applyBorder="1" applyAlignment="1">
      <alignment horizontal="center"/>
    </xf>
    <xf numFmtId="10" fontId="3" fillId="10" borderId="86" xfId="0" applyNumberFormat="1" applyFont="1" applyFill="1" applyBorder="1" applyAlignment="1">
      <alignment horizontal="center" vertical="center"/>
    </xf>
    <xf numFmtId="10" fontId="3" fillId="10" borderId="87" xfId="0" applyNumberFormat="1" applyFont="1" applyFill="1" applyBorder="1" applyAlignment="1">
      <alignment horizontal="center" vertical="center"/>
    </xf>
    <xf numFmtId="10" fontId="3" fillId="10" borderId="88" xfId="0" applyNumberFormat="1" applyFont="1" applyFill="1" applyBorder="1" applyAlignment="1">
      <alignment horizontal="center" vertical="center"/>
    </xf>
    <xf numFmtId="10" fontId="3" fillId="10" borderId="89" xfId="0" applyNumberFormat="1" applyFont="1" applyFill="1" applyBorder="1" applyAlignment="1">
      <alignment horizontal="center" vertical="center"/>
    </xf>
    <xf numFmtId="3" fontId="15" fillId="29" borderId="44" xfId="0" applyNumberFormat="1" applyFont="1" applyFill="1" applyBorder="1" applyAlignment="1">
      <alignment horizontal="right"/>
    </xf>
    <xf numFmtId="10" fontId="3" fillId="29" borderId="45" xfId="0" applyNumberFormat="1" applyFont="1" applyFill="1" applyBorder="1" applyAlignment="1">
      <alignment horizontal="center" vertical="center"/>
    </xf>
    <xf numFmtId="3" fontId="15" fillId="29" borderId="90" xfId="0" applyNumberFormat="1" applyFont="1" applyFill="1" applyBorder="1" applyAlignment="1">
      <alignment horizontal="right"/>
    </xf>
    <xf numFmtId="10" fontId="3" fillId="29" borderId="91" xfId="0" applyNumberFormat="1" applyFont="1" applyFill="1" applyBorder="1" applyAlignment="1">
      <alignment horizontal="center" vertical="center"/>
    </xf>
    <xf numFmtId="0" fontId="15" fillId="29" borderId="90" xfId="0" applyFont="1" applyFill="1" applyBorder="1" applyAlignment="1">
      <alignment horizontal="right"/>
    </xf>
    <xf numFmtId="10" fontId="3" fillId="29" borderId="92" xfId="0" applyNumberFormat="1" applyFont="1" applyFill="1" applyBorder="1" applyAlignment="1">
      <alignment horizontal="center" vertical="center"/>
    </xf>
    <xf numFmtId="10" fontId="3" fillId="29" borderId="93" xfId="0" applyNumberFormat="1" applyFont="1" applyFill="1" applyBorder="1" applyAlignment="1">
      <alignment horizontal="center" vertical="center"/>
    </xf>
    <xf numFmtId="0" fontId="31" fillId="0" borderId="0" xfId="0" applyFont="1"/>
    <xf numFmtId="3" fontId="10" fillId="31" borderId="68" xfId="0" applyNumberFormat="1" applyFont="1" applyFill="1" applyBorder="1" applyAlignment="1">
      <alignment horizontal="right"/>
    </xf>
    <xf numFmtId="10" fontId="10" fillId="32" borderId="60" xfId="0" applyNumberFormat="1" applyFont="1" applyFill="1" applyBorder="1"/>
    <xf numFmtId="10" fontId="9" fillId="2" borderId="69" xfId="0" applyNumberFormat="1" applyFont="1" applyFill="1" applyBorder="1" applyAlignment="1">
      <alignment horizontal="center"/>
    </xf>
    <xf numFmtId="0" fontId="34" fillId="5" borderId="48" xfId="0" applyFont="1" applyFill="1" applyBorder="1" applyAlignment="1">
      <alignment horizontal="right"/>
    </xf>
    <xf numFmtId="10" fontId="10" fillId="7" borderId="51" xfId="0" applyNumberFormat="1" applyFont="1" applyFill="1" applyBorder="1"/>
    <xf numFmtId="10" fontId="35" fillId="5" borderId="58" xfId="0" applyNumberFormat="1" applyFont="1" applyFill="1" applyBorder="1"/>
    <xf numFmtId="3" fontId="10" fillId="19" borderId="59" xfId="0" applyNumberFormat="1" applyFont="1" applyFill="1" applyBorder="1" applyAlignment="1">
      <alignment horizontal="right"/>
    </xf>
    <xf numFmtId="3" fontId="10" fillId="20" borderId="67" xfId="0" applyNumberFormat="1" applyFont="1" applyFill="1" applyBorder="1" applyAlignment="1">
      <alignment horizontal="right"/>
    </xf>
    <xf numFmtId="3" fontId="10" fillId="21" borderId="68" xfId="0" applyNumberFormat="1" applyFont="1" applyFill="1" applyBorder="1" applyAlignment="1">
      <alignment horizontal="right"/>
    </xf>
    <xf numFmtId="10" fontId="3" fillId="10" borderId="6" xfId="0" applyNumberFormat="1" applyFont="1" applyFill="1" applyBorder="1" applyAlignment="1">
      <alignment horizontal="center" vertical="center"/>
    </xf>
    <xf numFmtId="10" fontId="3" fillId="10" borderId="106" xfId="0" applyNumberFormat="1" applyFont="1" applyFill="1" applyBorder="1" applyAlignment="1">
      <alignment horizontal="center" vertical="center"/>
    </xf>
    <xf numFmtId="10" fontId="3" fillId="10" borderId="107" xfId="0" applyNumberFormat="1" applyFont="1" applyFill="1" applyBorder="1" applyAlignment="1">
      <alignment horizontal="center" vertical="center"/>
    </xf>
    <xf numFmtId="0" fontId="15" fillId="29" borderId="44" xfId="0" applyFont="1" applyFill="1" applyBorder="1" applyAlignment="1">
      <alignment horizontal="right"/>
    </xf>
    <xf numFmtId="0" fontId="31" fillId="13" borderId="55" xfId="0" applyFont="1" applyFill="1" applyBorder="1" applyAlignment="1">
      <alignment horizontal="center" vertical="center"/>
    </xf>
    <xf numFmtId="0" fontId="31" fillId="13" borderId="47" xfId="0" applyFont="1" applyFill="1" applyBorder="1"/>
    <xf numFmtId="0" fontId="31" fillId="13" borderId="49" xfId="0" applyFont="1" applyFill="1" applyBorder="1"/>
    <xf numFmtId="0" fontId="31" fillId="13" borderId="51" xfId="0" applyFont="1" applyFill="1" applyBorder="1"/>
    <xf numFmtId="10" fontId="21" fillId="5" borderId="27" xfId="0" applyNumberFormat="1" applyFont="1" applyFill="1" applyBorder="1" applyAlignment="1">
      <alignment horizontal="center" vertical="center"/>
    </xf>
    <xf numFmtId="10" fontId="21" fillId="5" borderId="29" xfId="0" applyNumberFormat="1" applyFont="1" applyFill="1" applyBorder="1" applyAlignment="1">
      <alignment horizontal="center" vertical="center"/>
    </xf>
    <xf numFmtId="10" fontId="21" fillId="5" borderId="31" xfId="0" applyNumberFormat="1" applyFont="1" applyFill="1" applyBorder="1" applyAlignment="1">
      <alignment horizontal="center" vertical="center"/>
    </xf>
    <xf numFmtId="10" fontId="39" fillId="11" borderId="116" xfId="1" applyNumberFormat="1" applyFont="1" applyFill="1" applyBorder="1" applyAlignment="1">
      <alignment horizontal="center"/>
    </xf>
    <xf numFmtId="10" fontId="39" fillId="11" borderId="95" xfId="1" applyNumberFormat="1" applyFont="1" applyFill="1" applyBorder="1" applyAlignment="1">
      <alignment horizontal="center"/>
    </xf>
    <xf numFmtId="0" fontId="39" fillId="13" borderId="117" xfId="0" applyFont="1" applyFill="1" applyBorder="1" applyAlignment="1">
      <alignment horizontal="center"/>
    </xf>
    <xf numFmtId="0" fontId="39" fillId="13" borderId="121" xfId="0" applyFont="1" applyFill="1" applyBorder="1" applyAlignment="1">
      <alignment horizontal="center"/>
    </xf>
    <xf numFmtId="10" fontId="39" fillId="11" borderId="122" xfId="1" applyNumberFormat="1" applyFont="1" applyFill="1" applyBorder="1" applyAlignment="1">
      <alignment horizontal="center"/>
    </xf>
    <xf numFmtId="10" fontId="39" fillId="11" borderId="123" xfId="1" applyNumberFormat="1" applyFont="1" applyFill="1" applyBorder="1" applyAlignment="1">
      <alignment horizontal="center"/>
    </xf>
    <xf numFmtId="10" fontId="40" fillId="13" borderId="126" xfId="1" applyNumberFormat="1" applyFont="1" applyFill="1" applyBorder="1" applyAlignment="1">
      <alignment horizontal="right"/>
    </xf>
    <xf numFmtId="10" fontId="40" fillId="13" borderId="127" xfId="1" applyNumberFormat="1" applyFont="1" applyFill="1" applyBorder="1" applyAlignment="1">
      <alignment horizontal="right"/>
    </xf>
    <xf numFmtId="3" fontId="6" fillId="11" borderId="18" xfId="0" applyNumberFormat="1" applyFont="1" applyFill="1" applyBorder="1" applyAlignment="1">
      <alignment horizontal="center" vertical="center"/>
    </xf>
    <xf numFmtId="3" fontId="6" fillId="11" borderId="17" xfId="0" applyNumberFormat="1" applyFont="1" applyFill="1" applyBorder="1" applyAlignment="1">
      <alignment horizontal="center" vertical="center"/>
    </xf>
    <xf numFmtId="0" fontId="6" fillId="11" borderId="47" xfId="0" applyFont="1" applyFill="1" applyBorder="1" applyAlignment="1">
      <alignment horizontal="center" vertical="center"/>
    </xf>
    <xf numFmtId="0" fontId="6" fillId="11" borderId="18" xfId="0" applyFont="1" applyFill="1" applyBorder="1" applyAlignment="1">
      <alignment horizontal="center" vertical="center"/>
    </xf>
    <xf numFmtId="0" fontId="6" fillId="11" borderId="104" xfId="0" applyFont="1" applyFill="1" applyBorder="1" applyAlignment="1">
      <alignment horizontal="center" vertical="center"/>
    </xf>
    <xf numFmtId="0" fontId="6" fillId="11" borderId="101" xfId="0" applyFont="1" applyFill="1" applyBorder="1" applyAlignment="1">
      <alignment horizontal="center" vertical="center"/>
    </xf>
    <xf numFmtId="0" fontId="21" fillId="27" borderId="26" xfId="0" applyFont="1" applyFill="1" applyBorder="1" applyAlignment="1">
      <alignment horizontal="center" vertical="center"/>
    </xf>
    <xf numFmtId="0" fontId="21" fillId="27" borderId="28" xfId="0" applyFont="1" applyFill="1" applyBorder="1" applyAlignment="1">
      <alignment horizontal="center" vertical="center"/>
    </xf>
    <xf numFmtId="0" fontId="6" fillId="11" borderId="49" xfId="0" applyFont="1" applyFill="1" applyBorder="1" applyAlignment="1">
      <alignment horizontal="center" vertical="center"/>
    </xf>
    <xf numFmtId="0" fontId="6" fillId="11" borderId="102" xfId="0" applyFont="1" applyFill="1" applyBorder="1" applyAlignment="1">
      <alignment horizontal="center" vertical="center"/>
    </xf>
    <xf numFmtId="3" fontId="6" fillId="11" borderId="63" xfId="0" applyNumberFormat="1" applyFont="1" applyFill="1" applyBorder="1" applyAlignment="1">
      <alignment horizontal="center" vertical="center"/>
    </xf>
    <xf numFmtId="0" fontId="6" fillId="11" borderId="76" xfId="0" applyFont="1" applyFill="1" applyBorder="1" applyAlignment="1">
      <alignment horizontal="center" vertical="center"/>
    </xf>
    <xf numFmtId="0" fontId="6" fillId="11" borderId="83" xfId="0" applyFont="1" applyFill="1" applyBorder="1" applyAlignment="1">
      <alignment horizontal="center" vertical="center"/>
    </xf>
    <xf numFmtId="0" fontId="6" fillId="11" borderId="103" xfId="0" applyFont="1" applyFill="1" applyBorder="1" applyAlignment="1">
      <alignment horizontal="center" vertical="center"/>
    </xf>
    <xf numFmtId="0" fontId="39" fillId="13" borderId="118" xfId="0" applyFont="1" applyFill="1" applyBorder="1" applyAlignment="1">
      <alignment horizontal="center"/>
    </xf>
    <xf numFmtId="0" fontId="39" fillId="13" borderId="71" xfId="0" applyFont="1" applyFill="1" applyBorder="1" applyAlignment="1">
      <alignment horizontal="center"/>
    </xf>
    <xf numFmtId="0" fontId="39" fillId="13" borderId="110" xfId="0" applyFont="1" applyFill="1" applyBorder="1" applyAlignment="1">
      <alignment horizontal="center"/>
    </xf>
    <xf numFmtId="0" fontId="39" fillId="13" borderId="111" xfId="0" applyFont="1" applyFill="1" applyBorder="1" applyAlignment="1">
      <alignment horizontal="center"/>
    </xf>
    <xf numFmtId="0" fontId="39" fillId="34" borderId="119" xfId="0" applyFont="1" applyFill="1" applyBorder="1" applyAlignment="1">
      <alignment horizontal="center"/>
    </xf>
    <xf numFmtId="10" fontId="39" fillId="11" borderId="67" xfId="1" applyNumberFormat="1" applyFont="1" applyFill="1" applyBorder="1" applyAlignment="1">
      <alignment horizontal="center"/>
    </xf>
    <xf numFmtId="10" fontId="39" fillId="11" borderId="109" xfId="1" applyNumberFormat="1" applyFont="1" applyFill="1" applyBorder="1" applyAlignment="1">
      <alignment horizontal="center"/>
    </xf>
    <xf numFmtId="10" fontId="39" fillId="11" borderId="94" xfId="1" applyNumberFormat="1" applyFont="1" applyFill="1" applyBorder="1" applyAlignment="1">
      <alignment horizontal="center"/>
    </xf>
    <xf numFmtId="10" fontId="39" fillId="11" borderId="49" xfId="1" applyNumberFormat="1" applyFont="1" applyFill="1" applyBorder="1" applyAlignment="1">
      <alignment horizontal="center"/>
    </xf>
    <xf numFmtId="10" fontId="39" fillId="11" borderId="35" xfId="1" applyNumberFormat="1" applyFont="1" applyFill="1" applyBorder="1" applyAlignment="1">
      <alignment horizontal="center"/>
    </xf>
    <xf numFmtId="10" fontId="39" fillId="11" borderId="50" xfId="1" applyNumberFormat="1" applyFont="1" applyFill="1" applyBorder="1" applyAlignment="1">
      <alignment horizontal="center"/>
    </xf>
    <xf numFmtId="0" fontId="39" fillId="34" borderId="120" xfId="0" applyFont="1" applyFill="1" applyBorder="1" applyAlignment="1">
      <alignment horizontal="center"/>
    </xf>
    <xf numFmtId="10" fontId="39" fillId="11" borderId="83" xfId="1" applyNumberFormat="1" applyFont="1" applyFill="1" applyBorder="1" applyAlignment="1">
      <alignment horizontal="center"/>
    </xf>
    <xf numFmtId="10" fontId="39" fillId="11" borderId="99" xfId="1" applyNumberFormat="1" applyFont="1" applyFill="1" applyBorder="1" applyAlignment="1">
      <alignment horizontal="center"/>
    </xf>
    <xf numFmtId="10" fontId="39" fillId="11" borderId="55" xfId="1" applyNumberFormat="1" applyFont="1" applyFill="1" applyBorder="1" applyAlignment="1">
      <alignment horizontal="center"/>
    </xf>
    <xf numFmtId="0" fontId="40" fillId="13" borderId="124" xfId="0" applyFont="1" applyFill="1" applyBorder="1" applyAlignment="1">
      <alignment horizontal="right"/>
    </xf>
    <xf numFmtId="10" fontId="40" fillId="13" borderId="125" xfId="1" applyNumberFormat="1" applyFont="1" applyFill="1" applyBorder="1" applyAlignment="1">
      <alignment horizontal="right"/>
    </xf>
    <xf numFmtId="10" fontId="40" fillId="13" borderId="114" xfId="1" applyNumberFormat="1" applyFont="1" applyFill="1" applyBorder="1" applyAlignment="1">
      <alignment horizontal="right"/>
    </xf>
    <xf numFmtId="10" fontId="40" fillId="13" borderId="115" xfId="1" applyNumberFormat="1" applyFont="1" applyFill="1" applyBorder="1" applyAlignment="1">
      <alignment horizontal="right"/>
    </xf>
    <xf numFmtId="0" fontId="0" fillId="13" borderId="0" xfId="0" applyFill="1"/>
    <xf numFmtId="0" fontId="41" fillId="0" borderId="0" xfId="0" applyFont="1" applyAlignment="1">
      <alignment vertical="center"/>
    </xf>
    <xf numFmtId="0" fontId="7" fillId="33" borderId="140" xfId="0" applyFont="1" applyFill="1" applyBorder="1"/>
    <xf numFmtId="0" fontId="7" fillId="33" borderId="0" xfId="0" applyFont="1" applyFill="1"/>
    <xf numFmtId="0" fontId="7" fillId="33" borderId="96" xfId="0" applyFont="1" applyFill="1" applyBorder="1"/>
    <xf numFmtId="0" fontId="0" fillId="33" borderId="140" xfId="0" applyFill="1" applyBorder="1"/>
    <xf numFmtId="0" fontId="0" fillId="33" borderId="0" xfId="0" applyFill="1"/>
    <xf numFmtId="0" fontId="0" fillId="33" borderId="96" xfId="0" applyFill="1" applyBorder="1"/>
    <xf numFmtId="0" fontId="0" fillId="13" borderId="140" xfId="0" applyFill="1" applyBorder="1"/>
    <xf numFmtId="0" fontId="0" fillId="13" borderId="96" xfId="0" applyFill="1" applyBorder="1"/>
    <xf numFmtId="0" fontId="0" fillId="13" borderId="69" xfId="0" applyFill="1" applyBorder="1"/>
    <xf numFmtId="0" fontId="0" fillId="13" borderId="81" xfId="0" applyFill="1" applyBorder="1"/>
    <xf numFmtId="0" fontId="0" fillId="13" borderId="77" xfId="0" applyFill="1" applyBorder="1"/>
    <xf numFmtId="0" fontId="32" fillId="16" borderId="61" xfId="0" applyFont="1" applyFill="1" applyBorder="1" applyAlignment="1" applyProtection="1">
      <alignment horizontal="center" vertical="center"/>
      <protection locked="0"/>
    </xf>
    <xf numFmtId="0" fontId="32" fillId="16" borderId="66" xfId="0" applyFont="1" applyFill="1" applyBorder="1" applyAlignment="1" applyProtection="1">
      <alignment horizontal="center" vertical="center"/>
      <protection locked="0"/>
    </xf>
    <xf numFmtId="3" fontId="32" fillId="16" borderId="49" xfId="0" applyNumberFormat="1" applyFont="1" applyFill="1" applyBorder="1" applyAlignment="1" applyProtection="1">
      <alignment horizontal="center" vertical="center"/>
      <protection locked="0"/>
    </xf>
    <xf numFmtId="3" fontId="32" fillId="16" borderId="50" xfId="0" applyNumberFormat="1" applyFont="1" applyFill="1" applyBorder="1" applyAlignment="1" applyProtection="1">
      <alignment horizontal="center" vertical="center"/>
      <protection locked="0"/>
    </xf>
    <xf numFmtId="3" fontId="32" fillId="16" borderId="83" xfId="0" applyNumberFormat="1" applyFont="1" applyFill="1" applyBorder="1" applyAlignment="1" applyProtection="1">
      <alignment horizontal="center" vertical="center"/>
      <protection locked="0"/>
    </xf>
    <xf numFmtId="3" fontId="32" fillId="16" borderId="55" xfId="0" applyNumberFormat="1" applyFont="1" applyFill="1" applyBorder="1" applyAlignment="1" applyProtection="1">
      <alignment horizontal="center" vertical="center"/>
      <protection locked="0"/>
    </xf>
    <xf numFmtId="0" fontId="12" fillId="14" borderId="47" xfId="0" applyFont="1" applyFill="1" applyBorder="1" applyAlignment="1" applyProtection="1">
      <alignment horizontal="right"/>
      <protection locked="0"/>
    </xf>
    <xf numFmtId="0" fontId="12" fillId="14" borderId="57" xfId="0" applyFont="1" applyFill="1" applyBorder="1" applyAlignment="1" applyProtection="1">
      <alignment horizontal="right"/>
      <protection locked="0"/>
    </xf>
    <xf numFmtId="3" fontId="30" fillId="14" borderId="47" xfId="0" applyNumberFormat="1" applyFont="1" applyFill="1" applyBorder="1" applyAlignment="1" applyProtection="1">
      <alignment horizontal="right"/>
      <protection locked="0"/>
    </xf>
    <xf numFmtId="3" fontId="30" fillId="14" borderId="48" xfId="0" applyNumberFormat="1" applyFont="1" applyFill="1" applyBorder="1" applyAlignment="1" applyProtection="1">
      <alignment horizontal="right"/>
      <protection locked="0"/>
    </xf>
    <xf numFmtId="3" fontId="48" fillId="13" borderId="50" xfId="0" applyNumberFormat="1" applyFont="1" applyFill="1" applyBorder="1" applyAlignment="1">
      <alignment horizontal="center" vertical="center"/>
    </xf>
    <xf numFmtId="3" fontId="48" fillId="22" borderId="50" xfId="0" applyNumberFormat="1" applyFont="1" applyFill="1" applyBorder="1" applyAlignment="1" applyProtection="1">
      <alignment horizontal="center" vertical="center"/>
      <protection locked="0"/>
    </xf>
    <xf numFmtId="3" fontId="48" fillId="13" borderId="52" xfId="0" applyNumberFormat="1" applyFont="1" applyFill="1" applyBorder="1" applyAlignment="1">
      <alignment horizontal="center" vertical="center"/>
    </xf>
    <xf numFmtId="0" fontId="49" fillId="13" borderId="48" xfId="0" applyFont="1" applyFill="1" applyBorder="1" applyAlignment="1">
      <alignment horizontal="center" vertical="center"/>
    </xf>
    <xf numFmtId="0" fontId="27" fillId="0" borderId="0" xfId="0" applyFont="1"/>
    <xf numFmtId="0" fontId="32" fillId="16" borderId="141" xfId="0" applyFont="1" applyFill="1" applyBorder="1" applyAlignment="1" applyProtection="1">
      <alignment horizontal="center" vertical="center"/>
      <protection locked="0"/>
    </xf>
    <xf numFmtId="0" fontId="32" fillId="16" borderId="47" xfId="0" applyFont="1" applyFill="1" applyBorder="1" applyAlignment="1" applyProtection="1">
      <alignment horizontal="center" vertical="center"/>
      <protection locked="0"/>
    </xf>
    <xf numFmtId="0" fontId="32" fillId="16" borderId="82" xfId="0" applyFont="1" applyFill="1" applyBorder="1" applyAlignment="1" applyProtection="1">
      <alignment horizontal="center" vertical="center"/>
      <protection locked="0"/>
    </xf>
    <xf numFmtId="0" fontId="32" fillId="16" borderId="49" xfId="0" applyFont="1" applyFill="1" applyBorder="1" applyAlignment="1" applyProtection="1">
      <alignment horizontal="center" vertical="center"/>
      <protection locked="0"/>
    </xf>
    <xf numFmtId="0" fontId="32" fillId="16" borderId="97" xfId="0" applyFont="1" applyFill="1" applyBorder="1" applyAlignment="1" applyProtection="1">
      <alignment horizontal="center" vertical="center"/>
      <protection locked="0"/>
    </xf>
    <xf numFmtId="3" fontId="32" fillId="16" borderId="51" xfId="0" applyNumberFormat="1" applyFont="1" applyFill="1" applyBorder="1" applyAlignment="1" applyProtection="1">
      <alignment horizontal="center" vertical="center"/>
      <protection locked="0"/>
    </xf>
    <xf numFmtId="3" fontId="32" fillId="16" borderId="52" xfId="0" applyNumberFormat="1" applyFont="1" applyFill="1" applyBorder="1" applyAlignment="1" applyProtection="1">
      <alignment horizontal="center" vertical="center"/>
      <protection locked="0"/>
    </xf>
    <xf numFmtId="0" fontId="27" fillId="0" borderId="35" xfId="0" applyFont="1" applyBorder="1"/>
    <xf numFmtId="0" fontId="0" fillId="0" borderId="35" xfId="0" applyBorder="1"/>
    <xf numFmtId="0" fontId="0" fillId="16" borderId="66" xfId="0" applyFill="1" applyBorder="1" applyAlignment="1" applyProtection="1">
      <alignment horizontal="center" vertical="center"/>
      <protection locked="0"/>
    </xf>
    <xf numFmtId="0" fontId="0" fillId="16" borderId="35" xfId="0" applyFill="1" applyBorder="1" applyAlignment="1" applyProtection="1">
      <alignment horizontal="center" vertical="center"/>
      <protection locked="0"/>
    </xf>
    <xf numFmtId="0" fontId="0" fillId="16" borderId="50" xfId="0" applyFill="1" applyBorder="1" applyAlignment="1" applyProtection="1">
      <alignment horizontal="center" vertical="center"/>
      <protection locked="0"/>
    </xf>
    <xf numFmtId="0" fontId="0" fillId="16" borderId="49" xfId="0" applyFill="1" applyBorder="1" applyAlignment="1" applyProtection="1">
      <alignment horizontal="center" vertical="center"/>
      <protection locked="0"/>
    </xf>
    <xf numFmtId="0" fontId="0" fillId="16" borderId="62" xfId="0" applyFill="1" applyBorder="1" applyAlignment="1" applyProtection="1">
      <alignment horizontal="center" vertical="center"/>
      <protection locked="0"/>
    </xf>
    <xf numFmtId="0" fontId="0" fillId="16" borderId="58" xfId="0" applyFill="1" applyBorder="1" applyAlignment="1" applyProtection="1">
      <alignment horizontal="center" vertical="center"/>
      <protection locked="0"/>
    </xf>
    <xf numFmtId="0" fontId="0" fillId="16" borderId="52" xfId="0" applyFill="1" applyBorder="1" applyAlignment="1" applyProtection="1">
      <alignment horizontal="center" vertical="center"/>
      <protection locked="0"/>
    </xf>
    <xf numFmtId="0" fontId="0" fillId="16" borderId="51" xfId="0" applyFill="1" applyBorder="1" applyAlignment="1" applyProtection="1">
      <alignment horizontal="center" vertical="center"/>
      <protection locked="0"/>
    </xf>
    <xf numFmtId="0" fontId="50" fillId="13" borderId="50" xfId="0" applyFont="1" applyFill="1" applyBorder="1" applyAlignment="1">
      <alignment horizontal="center" vertical="center"/>
    </xf>
    <xf numFmtId="0" fontId="48" fillId="13" borderId="50" xfId="0" applyFont="1" applyFill="1" applyBorder="1" applyAlignment="1">
      <alignment horizontal="center" vertical="center"/>
    </xf>
    <xf numFmtId="0" fontId="7" fillId="0" borderId="0" xfId="0" applyFont="1" applyProtection="1">
      <protection hidden="1"/>
    </xf>
    <xf numFmtId="0" fontId="7" fillId="0" borderId="139" xfId="0" applyFont="1" applyBorder="1" applyProtection="1">
      <protection hidden="1"/>
    </xf>
    <xf numFmtId="0" fontId="7" fillId="6" borderId="36" xfId="0" applyFont="1" applyFill="1" applyBorder="1" applyProtection="1">
      <protection hidden="1"/>
    </xf>
    <xf numFmtId="0" fontId="43" fillId="35" borderId="132" xfId="0" applyFont="1" applyFill="1" applyBorder="1" applyProtection="1">
      <protection hidden="1"/>
    </xf>
    <xf numFmtId="0" fontId="43" fillId="36" borderId="133" xfId="0" applyFont="1" applyFill="1" applyBorder="1" applyProtection="1">
      <protection hidden="1"/>
    </xf>
    <xf numFmtId="0" fontId="43" fillId="37" borderId="133" xfId="0" applyFont="1" applyFill="1" applyBorder="1" applyProtection="1">
      <protection hidden="1"/>
    </xf>
    <xf numFmtId="0" fontId="43" fillId="38" borderId="133" xfId="0" applyFont="1" applyFill="1" applyBorder="1" applyProtection="1">
      <protection hidden="1"/>
    </xf>
    <xf numFmtId="0" fontId="43" fillId="39" borderId="133" xfId="0" applyFont="1" applyFill="1" applyBorder="1" applyProtection="1">
      <protection hidden="1"/>
    </xf>
    <xf numFmtId="0" fontId="43" fillId="40" borderId="133" xfId="0" applyFont="1" applyFill="1" applyBorder="1" applyProtection="1">
      <protection hidden="1"/>
    </xf>
    <xf numFmtId="0" fontId="43" fillId="35" borderId="133" xfId="0" applyFont="1" applyFill="1" applyBorder="1" applyProtection="1">
      <protection hidden="1"/>
    </xf>
    <xf numFmtId="0" fontId="45" fillId="41" borderId="92" xfId="0" applyFont="1" applyFill="1" applyBorder="1" applyProtection="1">
      <protection hidden="1"/>
    </xf>
    <xf numFmtId="0" fontId="7" fillId="6" borderId="134" xfId="0" applyFont="1" applyFill="1" applyBorder="1" applyProtection="1">
      <protection hidden="1"/>
    </xf>
    <xf numFmtId="0" fontId="43" fillId="42" borderId="132" xfId="0" applyFont="1" applyFill="1" applyBorder="1" applyProtection="1">
      <protection hidden="1"/>
    </xf>
    <xf numFmtId="0" fontId="43" fillId="43" borderId="133" xfId="0" applyFont="1" applyFill="1" applyBorder="1" applyProtection="1">
      <protection hidden="1"/>
    </xf>
    <xf numFmtId="0" fontId="43" fillId="44" borderId="133" xfId="0" applyFont="1" applyFill="1" applyBorder="1" applyProtection="1">
      <protection hidden="1"/>
    </xf>
    <xf numFmtId="0" fontId="43" fillId="45" borderId="133" xfId="0" applyFont="1" applyFill="1" applyBorder="1" applyProtection="1">
      <protection hidden="1"/>
    </xf>
    <xf numFmtId="0" fontId="43" fillId="46" borderId="133" xfId="0" applyFont="1" applyFill="1" applyBorder="1" applyProtection="1">
      <protection hidden="1"/>
    </xf>
    <xf numFmtId="0" fontId="43" fillId="47" borderId="133" xfId="0" applyFont="1" applyFill="1" applyBorder="1" applyProtection="1">
      <protection hidden="1"/>
    </xf>
    <xf numFmtId="0" fontId="43" fillId="42" borderId="133" xfId="0" applyFont="1" applyFill="1" applyBorder="1" applyProtection="1">
      <protection hidden="1"/>
    </xf>
    <xf numFmtId="0" fontId="45" fillId="48" borderId="92" xfId="0" applyFont="1" applyFill="1" applyBorder="1" applyProtection="1">
      <protection hidden="1"/>
    </xf>
    <xf numFmtId="0" fontId="31" fillId="6" borderId="131" xfId="0" applyFont="1" applyFill="1" applyBorder="1" applyProtection="1">
      <protection hidden="1"/>
    </xf>
    <xf numFmtId="0" fontId="7" fillId="6" borderId="7" xfId="0" applyFont="1" applyFill="1" applyBorder="1" applyProtection="1">
      <protection hidden="1"/>
    </xf>
    <xf numFmtId="0" fontId="7" fillId="6" borderId="128" xfId="0" applyFont="1" applyFill="1" applyBorder="1" applyProtection="1">
      <protection hidden="1"/>
    </xf>
    <xf numFmtId="0" fontId="7" fillId="6" borderId="16" xfId="0" applyFont="1" applyFill="1" applyBorder="1" applyProtection="1">
      <protection hidden="1"/>
    </xf>
    <xf numFmtId="0" fontId="31" fillId="6" borderId="136" xfId="0" applyFont="1" applyFill="1" applyBorder="1" applyProtection="1">
      <protection hidden="1"/>
    </xf>
    <xf numFmtId="0" fontId="31" fillId="6" borderId="64" xfId="0" applyFont="1" applyFill="1" applyBorder="1" applyProtection="1">
      <protection hidden="1"/>
    </xf>
    <xf numFmtId="10" fontId="7" fillId="6" borderId="18" xfId="0" applyNumberFormat="1" applyFont="1" applyFill="1" applyBorder="1" applyProtection="1">
      <protection hidden="1"/>
    </xf>
    <xf numFmtId="10" fontId="7" fillId="6" borderId="17" xfId="0" applyNumberFormat="1" applyFont="1" applyFill="1" applyBorder="1" applyProtection="1">
      <protection hidden="1"/>
    </xf>
    <xf numFmtId="10" fontId="7" fillId="6" borderId="9" xfId="0" applyNumberFormat="1" applyFont="1" applyFill="1" applyBorder="1" applyProtection="1">
      <protection hidden="1"/>
    </xf>
    <xf numFmtId="0" fontId="31" fillId="6" borderId="137" xfId="0" applyFont="1" applyFill="1" applyBorder="1" applyProtection="1">
      <protection hidden="1"/>
    </xf>
    <xf numFmtId="0" fontId="46" fillId="6" borderId="64" xfId="0" applyFont="1" applyFill="1" applyBorder="1" applyProtection="1">
      <protection hidden="1"/>
    </xf>
    <xf numFmtId="10" fontId="46" fillId="6" borderId="18" xfId="0" applyNumberFormat="1" applyFont="1" applyFill="1" applyBorder="1" applyProtection="1">
      <protection hidden="1"/>
    </xf>
    <xf numFmtId="10" fontId="46" fillId="6" borderId="17" xfId="0" applyNumberFormat="1" applyFont="1" applyFill="1" applyBorder="1" applyProtection="1">
      <protection hidden="1"/>
    </xf>
    <xf numFmtId="10" fontId="46" fillId="6" borderId="9" xfId="0" applyNumberFormat="1" applyFont="1" applyFill="1" applyBorder="1" applyProtection="1">
      <protection hidden="1"/>
    </xf>
    <xf numFmtId="0" fontId="46" fillId="6" borderId="137" xfId="0" applyFont="1" applyFill="1" applyBorder="1" applyProtection="1">
      <protection hidden="1"/>
    </xf>
    <xf numFmtId="0" fontId="46" fillId="6" borderId="130" xfId="0" applyFont="1" applyFill="1" applyBorder="1" applyProtection="1">
      <protection hidden="1"/>
    </xf>
    <xf numFmtId="10" fontId="46" fillId="6" borderId="100" xfId="0" applyNumberFormat="1" applyFont="1" applyFill="1" applyBorder="1" applyProtection="1">
      <protection hidden="1"/>
    </xf>
    <xf numFmtId="10" fontId="46" fillId="6" borderId="129" xfId="0" applyNumberFormat="1" applyFont="1" applyFill="1" applyBorder="1" applyProtection="1">
      <protection hidden="1"/>
    </xf>
    <xf numFmtId="10" fontId="46" fillId="6" borderId="135" xfId="0" applyNumberFormat="1" applyFont="1" applyFill="1" applyBorder="1" applyProtection="1">
      <protection hidden="1"/>
    </xf>
    <xf numFmtId="0" fontId="46" fillId="6" borderId="138" xfId="0" applyFont="1" applyFill="1" applyBorder="1" applyProtection="1">
      <protection hidden="1"/>
    </xf>
    <xf numFmtId="10" fontId="10" fillId="51" borderId="79" xfId="0" applyNumberFormat="1" applyFont="1" applyFill="1" applyBorder="1"/>
    <xf numFmtId="0" fontId="52" fillId="0" borderId="0" xfId="0" applyFont="1"/>
    <xf numFmtId="0" fontId="53" fillId="0" borderId="0" xfId="0" applyFont="1" applyAlignment="1">
      <alignment vertical="top" wrapText="1"/>
    </xf>
    <xf numFmtId="0" fontId="53" fillId="0" borderId="96" xfId="0" applyFont="1" applyBorder="1" applyAlignment="1">
      <alignment vertical="top" wrapText="1"/>
    </xf>
    <xf numFmtId="0" fontId="27" fillId="0" borderId="0" xfId="0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51" fillId="13" borderId="3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1" xfId="0" applyFill="1" applyBorder="1" applyAlignment="1" applyProtection="1">
      <alignment horizontal="center" vertical="center"/>
      <protection locked="0"/>
    </xf>
    <xf numFmtId="0" fontId="0" fillId="16" borderId="57" xfId="0" applyFill="1" applyBorder="1" applyAlignment="1" applyProtection="1">
      <alignment horizontal="center" vertical="center"/>
      <protection locked="0"/>
    </xf>
    <xf numFmtId="0" fontId="0" fillId="16" borderId="48" xfId="0" applyFill="1" applyBorder="1" applyAlignment="1" applyProtection="1">
      <alignment horizontal="center" vertical="center"/>
      <protection locked="0"/>
    </xf>
    <xf numFmtId="0" fontId="0" fillId="16" borderId="47" xfId="0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center"/>
    </xf>
    <xf numFmtId="0" fontId="0" fillId="53" borderId="38" xfId="0" applyFill="1" applyBorder="1" applyAlignment="1" applyProtection="1">
      <alignment horizontal="center" vertical="center"/>
      <protection locked="0"/>
    </xf>
    <xf numFmtId="0" fontId="0" fillId="53" borderId="39" xfId="0" applyFill="1" applyBorder="1" applyAlignment="1" applyProtection="1">
      <alignment horizontal="center" vertical="center"/>
      <protection locked="0"/>
    </xf>
    <xf numFmtId="0" fontId="0" fillId="53" borderId="37" xfId="0" applyFill="1" applyBorder="1" applyAlignment="1" applyProtection="1">
      <alignment horizontal="center" vertical="center"/>
      <protection locked="0"/>
    </xf>
    <xf numFmtId="0" fontId="31" fillId="13" borderId="0" xfId="0" applyFont="1" applyFill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3" fontId="10" fillId="31" borderId="6" xfId="0" applyNumberFormat="1" applyFont="1" applyFill="1" applyBorder="1" applyAlignment="1">
      <alignment horizontal="right"/>
    </xf>
    <xf numFmtId="0" fontId="1" fillId="50" borderId="0" xfId="0" applyFont="1" applyFill="1" applyAlignment="1">
      <alignment vertical="center"/>
    </xf>
    <xf numFmtId="0" fontId="2" fillId="13" borderId="0" xfId="0" applyFont="1" applyFill="1"/>
    <xf numFmtId="0" fontId="1" fillId="50" borderId="145" xfId="0" applyFont="1" applyFill="1" applyBorder="1" applyAlignment="1">
      <alignment horizontal="center"/>
    </xf>
    <xf numFmtId="0" fontId="1" fillId="50" borderId="92" xfId="0" applyFont="1" applyFill="1" applyBorder="1" applyAlignment="1">
      <alignment horizontal="center"/>
    </xf>
    <xf numFmtId="0" fontId="34" fillId="5" borderId="7" xfId="0" applyFont="1" applyFill="1" applyBorder="1" applyAlignment="1">
      <alignment horizontal="right"/>
    </xf>
    <xf numFmtId="0" fontId="34" fillId="5" borderId="6" xfId="0" applyFont="1" applyFill="1" applyBorder="1" applyAlignment="1">
      <alignment horizontal="right"/>
    </xf>
    <xf numFmtId="0" fontId="34" fillId="5" borderId="109" xfId="0" applyFont="1" applyFill="1" applyBorder="1" applyAlignment="1">
      <alignment horizontal="right"/>
    </xf>
    <xf numFmtId="0" fontId="34" fillId="5" borderId="147" xfId="0" applyFont="1" applyFill="1" applyBorder="1" applyAlignment="1">
      <alignment horizontal="right"/>
    </xf>
    <xf numFmtId="10" fontId="35" fillId="5" borderId="148" xfId="0" applyNumberFormat="1" applyFont="1" applyFill="1" applyBorder="1"/>
    <xf numFmtId="0" fontId="1" fillId="50" borderId="149" xfId="0" applyFont="1" applyFill="1" applyBorder="1" applyAlignment="1">
      <alignment horizontal="center"/>
    </xf>
    <xf numFmtId="10" fontId="35" fillId="5" borderId="60" xfId="0" applyNumberFormat="1" applyFont="1" applyFill="1" applyBorder="1"/>
    <xf numFmtId="0" fontId="58" fillId="50" borderId="150" xfId="0" applyFont="1" applyFill="1" applyBorder="1" applyAlignment="1">
      <alignment horizontal="center" vertical="center"/>
    </xf>
    <xf numFmtId="0" fontId="58" fillId="50" borderId="98" xfId="0" applyFont="1" applyFill="1" applyBorder="1" applyAlignment="1">
      <alignment horizontal="center" vertical="center"/>
    </xf>
    <xf numFmtId="0" fontId="58" fillId="50" borderId="151" xfId="0" applyFont="1" applyFill="1" applyBorder="1" applyAlignment="1">
      <alignment horizontal="center" vertical="center"/>
    </xf>
    <xf numFmtId="0" fontId="58" fillId="50" borderId="152" xfId="0" applyFont="1" applyFill="1" applyBorder="1" applyAlignment="1">
      <alignment horizontal="center" vertical="center"/>
    </xf>
    <xf numFmtId="0" fontId="58" fillId="50" borderId="74" xfId="0" applyFont="1" applyFill="1" applyBorder="1" applyAlignment="1">
      <alignment horizontal="center" vertical="center"/>
    </xf>
    <xf numFmtId="0" fontId="58" fillId="50" borderId="153" xfId="0" applyFont="1" applyFill="1" applyBorder="1" applyAlignment="1">
      <alignment horizontal="center" vertical="center"/>
    </xf>
    <xf numFmtId="3" fontId="7" fillId="11" borderId="74" xfId="0" applyNumberFormat="1" applyFont="1" applyFill="1" applyBorder="1" applyAlignment="1">
      <alignment horizontal="center"/>
    </xf>
    <xf numFmtId="3" fontId="7" fillId="11" borderId="151" xfId="0" applyNumberFormat="1" applyFont="1" applyFill="1" applyBorder="1" applyAlignment="1">
      <alignment horizontal="center"/>
    </xf>
    <xf numFmtId="3" fontId="7" fillId="14" borderId="151" xfId="0" applyNumberFormat="1" applyFont="1" applyFill="1" applyBorder="1" applyAlignment="1">
      <alignment horizontal="center"/>
    </xf>
    <xf numFmtId="3" fontId="7" fillId="11" borderId="98" xfId="0" applyNumberFormat="1" applyFont="1" applyFill="1" applyBorder="1" applyAlignment="1">
      <alignment horizontal="center"/>
    </xf>
    <xf numFmtId="3" fontId="7" fillId="14" borderId="98" xfId="0" applyNumberFormat="1" applyFont="1" applyFill="1" applyBorder="1" applyAlignment="1">
      <alignment horizontal="center" vertical="center"/>
    </xf>
    <xf numFmtId="10" fontId="7" fillId="14" borderId="74" xfId="0" applyNumberFormat="1" applyFont="1" applyFill="1" applyBorder="1" applyAlignment="1">
      <alignment horizontal="center"/>
    </xf>
    <xf numFmtId="10" fontId="7" fillId="14" borderId="154" xfId="1" applyNumberFormat="1" applyFont="1" applyFill="1" applyBorder="1" applyAlignment="1">
      <alignment horizontal="center"/>
    </xf>
    <xf numFmtId="3" fontId="7" fillId="11" borderId="108" xfId="0" applyNumberFormat="1" applyFont="1" applyFill="1" applyBorder="1" applyAlignment="1">
      <alignment horizontal="center"/>
    </xf>
    <xf numFmtId="3" fontId="7" fillId="11" borderId="143" xfId="0" applyNumberFormat="1" applyFont="1" applyFill="1" applyBorder="1" applyAlignment="1">
      <alignment horizontal="center"/>
    </xf>
    <xf numFmtId="3" fontId="7" fillId="14" borderId="143" xfId="0" applyNumberFormat="1" applyFont="1" applyFill="1" applyBorder="1" applyAlignment="1">
      <alignment horizontal="center"/>
    </xf>
    <xf numFmtId="3" fontId="7" fillId="11" borderId="155" xfId="0" applyNumberFormat="1" applyFont="1" applyFill="1" applyBorder="1" applyAlignment="1">
      <alignment horizontal="center"/>
    </xf>
    <xf numFmtId="3" fontId="7" fillId="11" borderId="20" xfId="0" applyNumberFormat="1" applyFont="1" applyFill="1" applyBorder="1" applyAlignment="1">
      <alignment horizontal="center"/>
    </xf>
    <xf numFmtId="3" fontId="7" fillId="14" borderId="20" xfId="0" applyNumberFormat="1" applyFont="1" applyFill="1" applyBorder="1" applyAlignment="1">
      <alignment horizontal="center" vertical="center"/>
    </xf>
    <xf numFmtId="10" fontId="7" fillId="14" borderId="108" xfId="0" applyNumberFormat="1" applyFont="1" applyFill="1" applyBorder="1" applyAlignment="1">
      <alignment horizontal="center"/>
    </xf>
    <xf numFmtId="10" fontId="7" fillId="14" borderId="156" xfId="1" applyNumberFormat="1" applyFont="1" applyFill="1" applyBorder="1" applyAlignment="1">
      <alignment horizontal="center"/>
    </xf>
    <xf numFmtId="3" fontId="7" fillId="11" borderId="54" xfId="0" applyNumberFormat="1" applyFont="1" applyFill="1" applyBorder="1" applyAlignment="1">
      <alignment horizontal="center"/>
    </xf>
    <xf numFmtId="3" fontId="7" fillId="11" borderId="60" xfId="0" applyNumberFormat="1" applyFont="1" applyFill="1" applyBorder="1" applyAlignment="1">
      <alignment horizontal="center"/>
    </xf>
    <xf numFmtId="3" fontId="7" fillId="14" borderId="60" xfId="0" applyNumberFormat="1" applyFont="1" applyFill="1" applyBorder="1" applyAlignment="1">
      <alignment horizontal="center"/>
    </xf>
    <xf numFmtId="3" fontId="7" fillId="11" borderId="157" xfId="0" applyNumberFormat="1" applyFont="1" applyFill="1" applyBorder="1" applyAlignment="1">
      <alignment horizontal="center"/>
    </xf>
    <xf numFmtId="3" fontId="7" fillId="11" borderId="9" xfId="0" applyNumberFormat="1" applyFont="1" applyFill="1" applyBorder="1" applyAlignment="1">
      <alignment horizontal="center"/>
    </xf>
    <xf numFmtId="3" fontId="7" fillId="14" borderId="158" xfId="0" applyNumberFormat="1" applyFont="1" applyFill="1" applyBorder="1" applyAlignment="1">
      <alignment horizontal="center" vertical="center"/>
    </xf>
    <xf numFmtId="10" fontId="7" fillId="14" borderId="54" xfId="0" applyNumberFormat="1" applyFont="1" applyFill="1" applyBorder="1" applyAlignment="1">
      <alignment horizontal="center"/>
    </xf>
    <xf numFmtId="10" fontId="7" fillId="14" borderId="146" xfId="1" applyNumberFormat="1" applyFont="1" applyFill="1" applyBorder="1" applyAlignment="1">
      <alignment horizontal="center"/>
    </xf>
    <xf numFmtId="0" fontId="57" fillId="13" borderId="151" xfId="0" applyFont="1" applyFill="1" applyBorder="1" applyAlignment="1">
      <alignment horizontal="center" vertical="center"/>
    </xf>
    <xf numFmtId="0" fontId="57" fillId="13" borderId="144" xfId="0" applyFont="1" applyFill="1" applyBorder="1" applyAlignment="1">
      <alignment horizontal="center" vertical="center"/>
    </xf>
    <xf numFmtId="0" fontId="7" fillId="17" borderId="98" xfId="0" applyFont="1" applyFill="1" applyBorder="1" applyAlignment="1">
      <alignment horizontal="center"/>
    </xf>
    <xf numFmtId="3" fontId="7" fillId="49" borderId="159" xfId="0" applyNumberFormat="1" applyFont="1" applyFill="1" applyBorder="1" applyAlignment="1">
      <alignment horizontal="center" vertical="center"/>
    </xf>
    <xf numFmtId="0" fontId="7" fillId="17" borderId="20" xfId="0" applyFont="1" applyFill="1" applyBorder="1" applyAlignment="1">
      <alignment horizontal="center"/>
    </xf>
    <xf numFmtId="3" fontId="7" fillId="49" borderId="160" xfId="0" applyNumberFormat="1" applyFont="1" applyFill="1" applyBorder="1" applyAlignment="1">
      <alignment horizontal="center" vertical="center"/>
    </xf>
    <xf numFmtId="0" fontId="7" fillId="17" borderId="161" xfId="0" applyFont="1" applyFill="1" applyBorder="1" applyAlignment="1">
      <alignment horizontal="center"/>
    </xf>
    <xf numFmtId="3" fontId="7" fillId="49" borderId="162" xfId="0" applyNumberFormat="1" applyFont="1" applyFill="1" applyBorder="1" applyAlignment="1">
      <alignment horizontal="center" vertical="center"/>
    </xf>
    <xf numFmtId="0" fontId="58" fillId="54" borderId="163" xfId="0" applyFont="1" applyFill="1" applyBorder="1" applyAlignment="1">
      <alignment horizontal="center" vertical="center" wrapText="1"/>
    </xf>
    <xf numFmtId="0" fontId="58" fillId="55" borderId="98" xfId="0" applyFont="1" applyFill="1" applyBorder="1" applyAlignment="1">
      <alignment horizontal="center" vertical="center" wrapText="1"/>
    </xf>
    <xf numFmtId="0" fontId="58" fillId="56" borderId="98" xfId="0" applyFont="1" applyFill="1" applyBorder="1" applyAlignment="1">
      <alignment horizontal="center" vertical="center" wrapText="1"/>
    </xf>
    <xf numFmtId="0" fontId="58" fillId="57" borderId="98" xfId="0" applyFont="1" applyFill="1" applyBorder="1" applyAlignment="1">
      <alignment horizontal="center" vertical="center" wrapText="1"/>
    </xf>
    <xf numFmtId="0" fontId="58" fillId="58" borderId="98" xfId="0" applyFont="1" applyFill="1" applyBorder="1" applyAlignment="1">
      <alignment horizontal="center" vertical="center" wrapText="1"/>
    </xf>
    <xf numFmtId="0" fontId="58" fillId="59" borderId="164" xfId="0" applyFont="1" applyFill="1" applyBorder="1" applyAlignment="1">
      <alignment horizontal="center" vertical="center" wrapText="1"/>
    </xf>
    <xf numFmtId="0" fontId="58" fillId="53" borderId="164" xfId="0" applyFont="1" applyFill="1" applyBorder="1" applyAlignment="1">
      <alignment horizontal="center" vertical="center" wrapText="1"/>
    </xf>
    <xf numFmtId="0" fontId="58" fillId="16" borderId="164" xfId="0" applyFont="1" applyFill="1" applyBorder="1" applyAlignment="1">
      <alignment horizontal="center" vertical="center" wrapText="1"/>
    </xf>
    <xf numFmtId="0" fontId="58" fillId="60" borderId="164" xfId="0" applyFont="1" applyFill="1" applyBorder="1" applyAlignment="1">
      <alignment horizontal="center" vertical="center" wrapText="1"/>
    </xf>
    <xf numFmtId="0" fontId="7" fillId="15" borderId="163" xfId="0" applyFont="1" applyFill="1" applyBorder="1" applyAlignment="1">
      <alignment horizontal="center"/>
    </xf>
    <xf numFmtId="0" fontId="7" fillId="15" borderId="98" xfId="0" applyFont="1" applyFill="1" applyBorder="1" applyAlignment="1">
      <alignment horizontal="center"/>
    </xf>
    <xf numFmtId="0" fontId="7" fillId="15" borderId="151" xfId="0" applyFont="1" applyFill="1" applyBorder="1" applyAlignment="1">
      <alignment horizontal="center"/>
    </xf>
    <xf numFmtId="0" fontId="7" fillId="15" borderId="165" xfId="0" applyFont="1" applyFill="1" applyBorder="1" applyAlignment="1">
      <alignment horizontal="center"/>
    </xf>
    <xf numFmtId="0" fontId="7" fillId="15" borderId="20" xfId="0" applyFont="1" applyFill="1" applyBorder="1" applyAlignment="1">
      <alignment horizontal="center"/>
    </xf>
    <xf numFmtId="0" fontId="7" fillId="15" borderId="143" xfId="0" applyFont="1" applyFill="1" applyBorder="1" applyAlignment="1">
      <alignment horizontal="center"/>
    </xf>
    <xf numFmtId="0" fontId="7" fillId="15" borderId="166" xfId="0" applyFont="1" applyFill="1" applyBorder="1" applyAlignment="1">
      <alignment horizontal="center"/>
    </xf>
    <xf numFmtId="0" fontId="7" fillId="15" borderId="135" xfId="0" applyFont="1" applyFill="1" applyBorder="1" applyAlignment="1">
      <alignment horizontal="center"/>
    </xf>
    <xf numFmtId="0" fontId="7" fillId="15" borderId="60" xfId="0" applyFont="1" applyFill="1" applyBorder="1" applyAlignment="1">
      <alignment horizontal="center"/>
    </xf>
    <xf numFmtId="0" fontId="3" fillId="0" borderId="0" xfId="0" applyFont="1" applyAlignment="1">
      <alignment vertical="center" wrapText="1"/>
    </xf>
    <xf numFmtId="0" fontId="7" fillId="13" borderId="47" xfId="0" applyFont="1" applyFill="1" applyBorder="1" applyAlignment="1">
      <alignment horizontal="left" vertical="center"/>
    </xf>
    <xf numFmtId="0" fontId="7" fillId="13" borderId="49" xfId="0" applyFont="1" applyFill="1" applyBorder="1" applyAlignment="1">
      <alignment horizontal="left" vertical="center"/>
    </xf>
    <xf numFmtId="0" fontId="7" fillId="13" borderId="108" xfId="0" applyFont="1" applyFill="1" applyBorder="1" applyAlignment="1">
      <alignment horizontal="left" vertical="center"/>
    </xf>
    <xf numFmtId="0" fontId="8" fillId="4" borderId="167" xfId="0" applyFont="1" applyFill="1" applyBorder="1" applyAlignment="1">
      <alignment horizontal="center" vertical="center"/>
    </xf>
    <xf numFmtId="0" fontId="13" fillId="4" borderId="169" xfId="0" applyFont="1" applyFill="1" applyBorder="1" applyAlignment="1">
      <alignment horizontal="right"/>
    </xf>
    <xf numFmtId="0" fontId="60" fillId="16" borderId="66" xfId="0" applyFont="1" applyFill="1" applyBorder="1" applyAlignment="1" applyProtection="1">
      <alignment horizontal="center" vertical="center"/>
      <protection locked="0"/>
    </xf>
    <xf numFmtId="0" fontId="60" fillId="16" borderId="35" xfId="0" applyFont="1" applyFill="1" applyBorder="1" applyAlignment="1" applyProtection="1">
      <alignment horizontal="center" vertical="center"/>
      <protection locked="0"/>
    </xf>
    <xf numFmtId="0" fontId="60" fillId="16" borderId="50" xfId="0" applyFont="1" applyFill="1" applyBorder="1" applyAlignment="1" applyProtection="1">
      <alignment horizontal="center" vertical="center"/>
      <protection locked="0"/>
    </xf>
    <xf numFmtId="0" fontId="60" fillId="16" borderId="49" xfId="0" applyFont="1" applyFill="1" applyBorder="1" applyAlignment="1" applyProtection="1">
      <alignment horizontal="center" vertical="center"/>
      <protection locked="0"/>
    </xf>
    <xf numFmtId="165" fontId="36" fillId="25" borderId="84" xfId="0" applyNumberFormat="1" applyFont="1" applyFill="1" applyBorder="1" applyAlignment="1">
      <alignment horizontal="center" vertical="center"/>
    </xf>
    <xf numFmtId="165" fontId="0" fillId="11" borderId="72" xfId="0" applyNumberFormat="1" applyFill="1" applyBorder="1" applyAlignment="1">
      <alignment horizontal="center" vertical="center"/>
    </xf>
    <xf numFmtId="165" fontId="0" fillId="11" borderId="53" xfId="0" applyNumberFormat="1" applyFill="1" applyBorder="1" applyAlignment="1">
      <alignment horizontal="center" vertical="center"/>
    </xf>
    <xf numFmtId="165" fontId="0" fillId="11" borderId="54" xfId="0" applyNumberFormat="1" applyFill="1" applyBorder="1" applyAlignment="1">
      <alignment horizontal="center" vertical="center"/>
    </xf>
    <xf numFmtId="0" fontId="0" fillId="0" borderId="170" xfId="0" applyBorder="1"/>
    <xf numFmtId="10" fontId="62" fillId="14" borderId="168" xfId="0" applyNumberFormat="1" applyFont="1" applyFill="1" applyBorder="1"/>
    <xf numFmtId="0" fontId="60" fillId="11" borderId="65" xfId="0" applyFont="1" applyFill="1" applyBorder="1" applyAlignment="1">
      <alignment horizontal="center" vertical="center" wrapText="1"/>
    </xf>
    <xf numFmtId="0" fontId="8" fillId="4" borderId="171" xfId="0" applyFont="1" applyFill="1" applyBorder="1" applyAlignment="1">
      <alignment horizontal="center"/>
    </xf>
    <xf numFmtId="0" fontId="8" fillId="4" borderId="172" xfId="0" applyFont="1" applyFill="1" applyBorder="1" applyAlignment="1">
      <alignment horizontal="center"/>
    </xf>
    <xf numFmtId="0" fontId="5" fillId="2" borderId="84" xfId="0" applyFont="1" applyFill="1" applyBorder="1" applyAlignment="1">
      <alignment horizontal="center" vertical="center"/>
    </xf>
    <xf numFmtId="0" fontId="8" fillId="4" borderId="173" xfId="0" applyFont="1" applyFill="1" applyBorder="1" applyAlignment="1">
      <alignment horizontal="center"/>
    </xf>
    <xf numFmtId="0" fontId="4" fillId="2" borderId="174" xfId="0" applyFont="1" applyFill="1" applyBorder="1" applyAlignment="1">
      <alignment horizontal="center"/>
    </xf>
    <xf numFmtId="0" fontId="63" fillId="5" borderId="175" xfId="0" applyFont="1" applyFill="1" applyBorder="1" applyAlignment="1">
      <alignment horizontal="right"/>
    </xf>
    <xf numFmtId="10" fontId="62" fillId="5" borderId="176" xfId="0" applyNumberFormat="1" applyFont="1" applyFill="1" applyBorder="1"/>
    <xf numFmtId="0" fontId="7" fillId="50" borderId="8" xfId="0" applyFont="1" applyFill="1" applyBorder="1" applyAlignment="1">
      <alignment vertical="center"/>
    </xf>
    <xf numFmtId="0" fontId="7" fillId="50" borderId="10" xfId="0" applyFont="1" applyFill="1" applyBorder="1" applyAlignment="1">
      <alignment vertical="center"/>
    </xf>
    <xf numFmtId="0" fontId="7" fillId="50" borderId="13" xfId="0" applyFont="1" applyFill="1" applyBorder="1" applyAlignment="1">
      <alignment vertical="center"/>
    </xf>
    <xf numFmtId="164" fontId="16" fillId="17" borderId="73" xfId="0" applyNumberFormat="1" applyFont="1" applyFill="1" applyBorder="1" applyAlignment="1" applyProtection="1">
      <alignment horizontal="center" vertical="center"/>
      <protection locked="0"/>
    </xf>
    <xf numFmtId="0" fontId="14" fillId="17" borderId="15" xfId="0" applyFont="1" applyFill="1" applyBorder="1" applyAlignment="1" applyProtection="1">
      <alignment horizontal="center" vertical="center"/>
      <protection locked="0"/>
    </xf>
    <xf numFmtId="0" fontId="16" fillId="17" borderId="14" xfId="0" applyFont="1" applyFill="1" applyBorder="1" applyAlignment="1" applyProtection="1">
      <alignment horizontal="center" vertical="center"/>
      <protection locked="0"/>
    </xf>
    <xf numFmtId="0" fontId="57" fillId="13" borderId="74" xfId="0" applyFont="1" applyFill="1" applyBorder="1" applyAlignment="1">
      <alignment horizontal="center" vertical="center"/>
    </xf>
    <xf numFmtId="0" fontId="7" fillId="50" borderId="74" xfId="0" applyFont="1" applyFill="1" applyBorder="1" applyAlignment="1">
      <alignment horizontal="center"/>
    </xf>
    <xf numFmtId="0" fontId="7" fillId="50" borderId="155" xfId="0" applyFont="1" applyFill="1" applyBorder="1" applyAlignment="1">
      <alignment horizontal="center"/>
    </xf>
    <xf numFmtId="0" fontId="7" fillId="50" borderId="177" xfId="0" applyFont="1" applyFill="1" applyBorder="1" applyAlignment="1">
      <alignment horizontal="center"/>
    </xf>
    <xf numFmtId="0" fontId="58" fillId="61" borderId="115" xfId="0" applyFont="1" applyFill="1" applyBorder="1" applyAlignment="1">
      <alignment horizontal="center" vertical="center" wrapText="1"/>
    </xf>
    <xf numFmtId="0" fontId="7" fillId="15" borderId="115" xfId="0" applyFont="1" applyFill="1" applyBorder="1" applyAlignment="1">
      <alignment horizontal="center"/>
    </xf>
    <xf numFmtId="0" fontId="7" fillId="15" borderId="55" xfId="0" applyFont="1" applyFill="1" applyBorder="1" applyAlignment="1">
      <alignment horizontal="center"/>
    </xf>
    <xf numFmtId="0" fontId="7" fillId="15" borderId="52" xfId="0" applyFont="1" applyFill="1" applyBorder="1" applyAlignment="1">
      <alignment horizontal="center"/>
    </xf>
    <xf numFmtId="165" fontId="7" fillId="25" borderId="74" xfId="0" applyNumberFormat="1" applyFont="1" applyFill="1" applyBorder="1" applyAlignment="1">
      <alignment horizontal="center" vertical="center"/>
    </xf>
    <xf numFmtId="0" fontId="7" fillId="25" borderId="74" xfId="0" applyFont="1" applyFill="1" applyBorder="1" applyAlignment="1">
      <alignment horizontal="center" vertical="center"/>
    </xf>
    <xf numFmtId="10" fontId="23" fillId="11" borderId="115" xfId="1" applyNumberFormat="1" applyFont="1" applyFill="1" applyBorder="1" applyAlignment="1">
      <alignment horizontal="center" vertical="center"/>
    </xf>
    <xf numFmtId="165" fontId="7" fillId="25" borderId="108" xfId="0" applyNumberFormat="1" applyFont="1" applyFill="1" applyBorder="1" applyAlignment="1">
      <alignment horizontal="center" vertical="center"/>
    </xf>
    <xf numFmtId="0" fontId="7" fillId="24" borderId="108" xfId="0" applyFont="1" applyFill="1" applyBorder="1" applyAlignment="1">
      <alignment horizontal="center" vertical="center"/>
    </xf>
    <xf numFmtId="10" fontId="23" fillId="11" borderId="55" xfId="1" applyNumberFormat="1" applyFont="1" applyFill="1" applyBorder="1" applyAlignment="1">
      <alignment horizontal="center" vertical="center"/>
    </xf>
    <xf numFmtId="0" fontId="36" fillId="26" borderId="178" xfId="0" applyFont="1" applyFill="1" applyBorder="1" applyAlignment="1">
      <alignment horizontal="center" vertical="center"/>
    </xf>
    <xf numFmtId="10" fontId="37" fillId="11" borderId="179" xfId="1" applyNumberFormat="1" applyFont="1" applyFill="1" applyBorder="1" applyAlignment="1">
      <alignment horizontal="center" vertical="center"/>
    </xf>
    <xf numFmtId="0" fontId="36" fillId="26" borderId="180" xfId="0" applyFont="1" applyFill="1" applyBorder="1" applyAlignment="1">
      <alignment horizontal="center" vertical="center"/>
    </xf>
    <xf numFmtId="0" fontId="32" fillId="2" borderId="37" xfId="0" applyFont="1" applyFill="1" applyBorder="1" applyAlignment="1">
      <alignment horizontal="center" vertical="center"/>
    </xf>
    <xf numFmtId="0" fontId="32" fillId="2" borderId="38" xfId="0" applyFont="1" applyFill="1" applyBorder="1" applyAlignment="1">
      <alignment horizontal="center" vertical="center"/>
    </xf>
    <xf numFmtId="0" fontId="32" fillId="2" borderId="39" xfId="0" applyFont="1" applyFill="1" applyBorder="1" applyAlignment="1">
      <alignment horizontal="center" vertical="center"/>
    </xf>
    <xf numFmtId="0" fontId="32" fillId="23" borderId="36" xfId="0" applyFont="1" applyFill="1" applyBorder="1" applyAlignment="1">
      <alignment horizontal="center" vertical="center" wrapText="1"/>
    </xf>
    <xf numFmtId="0" fontId="58" fillId="15" borderId="142" xfId="0" applyFont="1" applyFill="1" applyBorder="1" applyAlignment="1">
      <alignment horizontal="center" vertical="center" wrapText="1"/>
    </xf>
    <xf numFmtId="0" fontId="58" fillId="15" borderId="110" xfId="0" applyFont="1" applyFill="1" applyBorder="1" applyAlignment="1">
      <alignment horizontal="center" vertical="center" wrapText="1"/>
    </xf>
    <xf numFmtId="0" fontId="58" fillId="15" borderId="181" xfId="0" applyFont="1" applyFill="1" applyBorder="1" applyAlignment="1">
      <alignment horizontal="center" vertical="center" wrapText="1"/>
    </xf>
    <xf numFmtId="0" fontId="58" fillId="2" borderId="71" xfId="0" applyFont="1" applyFill="1" applyBorder="1" applyAlignment="1">
      <alignment horizontal="center" vertical="center"/>
    </xf>
    <xf numFmtId="0" fontId="58" fillId="2" borderId="111" xfId="0" applyFont="1" applyFill="1" applyBorder="1" applyAlignment="1">
      <alignment horizontal="center" vertical="center"/>
    </xf>
    <xf numFmtId="0" fontId="60" fillId="53" borderId="38" xfId="0" applyFont="1" applyFill="1" applyBorder="1" applyAlignment="1" applyProtection="1">
      <alignment horizontal="center" vertical="center"/>
      <protection locked="0"/>
    </xf>
    <xf numFmtId="0" fontId="60" fillId="11" borderId="36" xfId="0" applyFont="1" applyFill="1" applyBorder="1" applyAlignment="1">
      <alignment horizontal="center" vertical="center"/>
    </xf>
    <xf numFmtId="0" fontId="61" fillId="11" borderId="142" xfId="0" applyFont="1" applyFill="1" applyBorder="1" applyAlignment="1">
      <alignment horizontal="center" vertical="center" wrapText="1"/>
    </xf>
    <xf numFmtId="0" fontId="61" fillId="11" borderId="110" xfId="0" applyFont="1" applyFill="1" applyBorder="1" applyAlignment="1">
      <alignment horizontal="center" vertical="center" wrapText="1"/>
    </xf>
    <xf numFmtId="0" fontId="61" fillId="11" borderId="111" xfId="0" applyFont="1" applyFill="1" applyBorder="1" applyAlignment="1">
      <alignment horizontal="center" vertical="center" wrapText="1"/>
    </xf>
    <xf numFmtId="0" fontId="61" fillId="11" borderId="71" xfId="0" applyFont="1" applyFill="1" applyBorder="1" applyAlignment="1">
      <alignment horizontal="center" vertical="center" wrapText="1"/>
    </xf>
    <xf numFmtId="0" fontId="60" fillId="53" borderId="39" xfId="0" applyFont="1" applyFill="1" applyBorder="1" applyAlignment="1" applyProtection="1">
      <alignment horizontal="center" vertical="center"/>
      <protection locked="0"/>
    </xf>
    <xf numFmtId="0" fontId="60" fillId="16" borderId="62" xfId="0" applyFont="1" applyFill="1" applyBorder="1" applyAlignment="1" applyProtection="1">
      <alignment horizontal="center" vertical="center"/>
      <protection locked="0"/>
    </xf>
    <xf numFmtId="0" fontId="60" fillId="16" borderId="58" xfId="0" applyFont="1" applyFill="1" applyBorder="1" applyAlignment="1" applyProtection="1">
      <alignment horizontal="center" vertical="center"/>
      <protection locked="0"/>
    </xf>
    <xf numFmtId="0" fontId="60" fillId="16" borderId="52" xfId="0" applyFont="1" applyFill="1" applyBorder="1" applyAlignment="1" applyProtection="1">
      <alignment horizontal="center" vertical="center"/>
      <protection locked="0"/>
    </xf>
    <xf numFmtId="0" fontId="60" fillId="16" borderId="51" xfId="0" applyFont="1" applyFill="1" applyBorder="1" applyAlignment="1" applyProtection="1">
      <alignment horizontal="center" vertical="center"/>
      <protection locked="0"/>
    </xf>
    <xf numFmtId="0" fontId="58" fillId="25" borderId="74" xfId="0" applyFont="1" applyFill="1" applyBorder="1" applyAlignment="1">
      <alignment horizontal="center" vertical="center"/>
    </xf>
    <xf numFmtId="0" fontId="58" fillId="25" borderId="74" xfId="0" applyFont="1" applyFill="1" applyBorder="1" applyAlignment="1">
      <alignment horizontal="center" vertical="center" wrapText="1"/>
    </xf>
    <xf numFmtId="0" fontId="61" fillId="11" borderId="56" xfId="0" applyFont="1" applyFill="1" applyBorder="1" applyAlignment="1">
      <alignment horizontal="center" vertical="center"/>
    </xf>
    <xf numFmtId="0" fontId="61" fillId="11" borderId="56" xfId="0" applyFont="1" applyFill="1" applyBorder="1" applyAlignment="1">
      <alignment horizontal="center" vertical="center" wrapText="1"/>
    </xf>
    <xf numFmtId="0" fontId="0" fillId="11" borderId="48" xfId="0" applyFill="1" applyBorder="1" applyAlignment="1">
      <alignment horizontal="center" vertical="center"/>
    </xf>
    <xf numFmtId="0" fontId="0" fillId="11" borderId="50" xfId="0" applyFill="1" applyBorder="1" applyAlignment="1">
      <alignment horizontal="center" vertical="center"/>
    </xf>
    <xf numFmtId="0" fontId="0" fillId="11" borderId="52" xfId="0" applyFill="1" applyBorder="1" applyAlignment="1">
      <alignment horizontal="center" vertical="center"/>
    </xf>
    <xf numFmtId="0" fontId="37" fillId="11" borderId="183" xfId="0" applyFont="1" applyFill="1" applyBorder="1" applyAlignment="1">
      <alignment horizontal="center" vertical="center"/>
    </xf>
    <xf numFmtId="0" fontId="0" fillId="0" borderId="182" xfId="0" applyBorder="1"/>
    <xf numFmtId="10" fontId="37" fillId="11" borderId="184" xfId="1" applyNumberFormat="1" applyFont="1" applyFill="1" applyBorder="1" applyAlignment="1">
      <alignment horizontal="center" vertical="center"/>
    </xf>
    <xf numFmtId="165" fontId="36" fillId="25" borderId="185" xfId="0" applyNumberFormat="1" applyFont="1" applyFill="1" applyBorder="1" applyAlignment="1">
      <alignment horizontal="center" vertical="center"/>
    </xf>
    <xf numFmtId="0" fontId="37" fillId="11" borderId="186" xfId="0" applyFont="1" applyFill="1" applyBorder="1" applyAlignment="1">
      <alignment horizontal="center" vertical="center"/>
    </xf>
    <xf numFmtId="165" fontId="37" fillId="11" borderId="187" xfId="0" applyNumberFormat="1" applyFont="1" applyFill="1" applyBorder="1" applyAlignment="1">
      <alignment horizontal="center" vertical="center"/>
    </xf>
    <xf numFmtId="165" fontId="37" fillId="11" borderId="188" xfId="0" applyNumberFormat="1" applyFont="1" applyFill="1" applyBorder="1" applyAlignment="1">
      <alignment horizontal="center" vertical="center"/>
    </xf>
    <xf numFmtId="0" fontId="8" fillId="2" borderId="189" xfId="0" applyFont="1" applyFill="1" applyBorder="1" applyAlignment="1">
      <alignment horizontal="center"/>
    </xf>
    <xf numFmtId="0" fontId="8" fillId="4" borderId="190" xfId="0" applyFont="1" applyFill="1" applyBorder="1" applyAlignment="1">
      <alignment horizontal="center" vertical="center"/>
    </xf>
    <xf numFmtId="0" fontId="54" fillId="2" borderId="189" xfId="0" applyFont="1" applyFill="1" applyBorder="1" applyAlignment="1">
      <alignment horizontal="center" vertical="center" wrapText="1"/>
    </xf>
    <xf numFmtId="0" fontId="54" fillId="2" borderId="167" xfId="0" applyFont="1" applyFill="1" applyBorder="1" applyAlignment="1">
      <alignment horizontal="center" vertical="center" wrapText="1"/>
    </xf>
    <xf numFmtId="0" fontId="8" fillId="4" borderId="191" xfId="0" applyFont="1" applyFill="1" applyBorder="1" applyAlignment="1">
      <alignment horizontal="center" vertical="center"/>
    </xf>
    <xf numFmtId="0" fontId="8" fillId="4" borderId="192" xfId="0" applyFont="1" applyFill="1" applyBorder="1" applyAlignment="1">
      <alignment horizontal="center" vertical="center"/>
    </xf>
    <xf numFmtId="0" fontId="8" fillId="2" borderId="193" xfId="0" applyFont="1" applyFill="1" applyBorder="1" applyAlignment="1">
      <alignment horizontal="center"/>
    </xf>
    <xf numFmtId="0" fontId="54" fillId="2" borderId="191" xfId="0" applyFont="1" applyFill="1" applyBorder="1" applyAlignment="1">
      <alignment horizontal="center" vertical="center" wrapText="1"/>
    </xf>
    <xf numFmtId="3" fontId="10" fillId="62" borderId="4" xfId="0" applyNumberFormat="1" applyFont="1" applyFill="1" applyBorder="1" applyAlignment="1">
      <alignment horizontal="right"/>
    </xf>
    <xf numFmtId="0" fontId="0" fillId="0" borderId="0" xfId="0" applyBorder="1"/>
    <xf numFmtId="0" fontId="9" fillId="50" borderId="70" xfId="0" applyFont="1" applyFill="1" applyBorder="1" applyAlignment="1">
      <alignment horizontal="center"/>
    </xf>
    <xf numFmtId="0" fontId="2" fillId="13" borderId="75" xfId="0" applyFont="1" applyFill="1" applyBorder="1"/>
    <xf numFmtId="10" fontId="9" fillId="50" borderId="69" xfId="0" applyNumberFormat="1" applyFont="1" applyFill="1" applyBorder="1" applyAlignment="1">
      <alignment horizontal="center"/>
    </xf>
    <xf numFmtId="0" fontId="2" fillId="13" borderId="77" xfId="0" applyFont="1" applyFill="1" applyBorder="1"/>
    <xf numFmtId="0" fontId="9" fillId="2" borderId="21" xfId="0" applyFont="1" applyFill="1" applyBorder="1" applyAlignment="1">
      <alignment horizontal="center"/>
    </xf>
    <xf numFmtId="0" fontId="2" fillId="0" borderId="42" xfId="0" applyFont="1" applyBorder="1"/>
    <xf numFmtId="0" fontId="1" fillId="30" borderId="1" xfId="0" applyFont="1" applyFill="1" applyBorder="1" applyAlignment="1">
      <alignment horizontal="center" vertical="center"/>
    </xf>
    <xf numFmtId="0" fontId="2" fillId="13" borderId="2" xfId="0" applyFont="1" applyFill="1" applyBorder="1"/>
    <xf numFmtId="0" fontId="1" fillId="30" borderId="105" xfId="0" applyFont="1" applyFill="1" applyBorder="1" applyAlignment="1">
      <alignment horizontal="center" vertical="center"/>
    </xf>
    <xf numFmtId="0" fontId="2" fillId="13" borderId="46" xfId="0" applyFont="1" applyFill="1" applyBorder="1"/>
    <xf numFmtId="0" fontId="1" fillId="30" borderId="2" xfId="0" applyFont="1" applyFill="1" applyBorder="1" applyAlignment="1">
      <alignment horizontal="center" vertical="center"/>
    </xf>
    <xf numFmtId="0" fontId="2" fillId="13" borderId="3" xfId="0" applyFont="1" applyFill="1" applyBorder="1"/>
    <xf numFmtId="0" fontId="1" fillId="30" borderId="21" xfId="0" applyFont="1" applyFill="1" applyBorder="1" applyAlignment="1">
      <alignment horizontal="center" vertical="center"/>
    </xf>
    <xf numFmtId="0" fontId="2" fillId="13" borderId="22" xfId="0" applyFont="1" applyFill="1" applyBorder="1"/>
    <xf numFmtId="0" fontId="33" fillId="33" borderId="105" xfId="0" applyFont="1" applyFill="1" applyBorder="1" applyAlignment="1" applyProtection="1">
      <alignment horizontal="center"/>
      <protection hidden="1"/>
    </xf>
    <xf numFmtId="0" fontId="33" fillId="33" borderId="113" xfId="0" applyFont="1" applyFill="1" applyBorder="1" applyAlignment="1" applyProtection="1">
      <alignment horizontal="center"/>
      <protection hidden="1"/>
    </xf>
    <xf numFmtId="0" fontId="35" fillId="33" borderId="105" xfId="0" applyFont="1" applyFill="1" applyBorder="1" applyAlignment="1">
      <alignment horizontal="center"/>
    </xf>
    <xf numFmtId="0" fontId="35" fillId="33" borderId="113" xfId="0" applyFont="1" applyFill="1" applyBorder="1" applyAlignment="1">
      <alignment horizontal="center"/>
    </xf>
    <xf numFmtId="0" fontId="35" fillId="33" borderId="46" xfId="0" applyFont="1" applyFill="1" applyBorder="1" applyAlignment="1">
      <alignment horizontal="center"/>
    </xf>
    <xf numFmtId="0" fontId="19" fillId="29" borderId="23" xfId="0" applyFont="1" applyFill="1" applyBorder="1" applyAlignment="1">
      <alignment horizontal="center" vertical="center"/>
    </xf>
    <xf numFmtId="0" fontId="2" fillId="13" borderId="24" xfId="0" applyFont="1" applyFill="1" applyBorder="1"/>
    <xf numFmtId="0" fontId="19" fillId="29" borderId="25" xfId="0" applyFont="1" applyFill="1" applyBorder="1" applyAlignment="1">
      <alignment horizontal="center" vertical="center"/>
    </xf>
    <xf numFmtId="0" fontId="2" fillId="13" borderId="112" xfId="0" applyFont="1" applyFill="1" applyBorder="1"/>
    <xf numFmtId="0" fontId="41" fillId="13" borderId="105" xfId="0" applyFont="1" applyFill="1" applyBorder="1" applyAlignment="1">
      <alignment horizontal="center" vertical="center"/>
    </xf>
    <xf numFmtId="0" fontId="41" fillId="13" borderId="46" xfId="0" applyFont="1" applyFill="1" applyBorder="1" applyAlignment="1">
      <alignment horizontal="center" vertical="center"/>
    </xf>
    <xf numFmtId="0" fontId="44" fillId="13" borderId="105" xfId="0" applyFont="1" applyFill="1" applyBorder="1" applyAlignment="1">
      <alignment horizontal="center" vertical="center"/>
    </xf>
    <xf numFmtId="0" fontId="44" fillId="13" borderId="113" xfId="0" applyFont="1" applyFill="1" applyBorder="1" applyAlignment="1">
      <alignment horizontal="center" vertical="center"/>
    </xf>
    <xf numFmtId="0" fontId="51" fillId="11" borderId="105" xfId="0" applyFont="1" applyFill="1" applyBorder="1" applyAlignment="1">
      <alignment horizontal="center" vertical="center"/>
    </xf>
    <xf numFmtId="0" fontId="51" fillId="11" borderId="113" xfId="0" applyFont="1" applyFill="1" applyBorder="1" applyAlignment="1">
      <alignment horizontal="center" vertical="center"/>
    </xf>
    <xf numFmtId="0" fontId="51" fillId="11" borderId="46" xfId="0" applyFont="1" applyFill="1" applyBorder="1" applyAlignment="1">
      <alignment horizontal="center" vertical="center"/>
    </xf>
    <xf numFmtId="0" fontId="41" fillId="11" borderId="105" xfId="0" applyFont="1" applyFill="1" applyBorder="1" applyAlignment="1">
      <alignment horizontal="center" vertical="center"/>
    </xf>
    <xf numFmtId="0" fontId="41" fillId="11" borderId="113" xfId="0" applyFont="1" applyFill="1" applyBorder="1" applyAlignment="1">
      <alignment horizontal="center" vertical="center"/>
    </xf>
    <xf numFmtId="0" fontId="41" fillId="11" borderId="46" xfId="0" applyFont="1" applyFill="1" applyBorder="1" applyAlignment="1">
      <alignment horizontal="center" vertical="center"/>
    </xf>
    <xf numFmtId="0" fontId="38" fillId="16" borderId="78" xfId="0" applyFont="1" applyFill="1" applyBorder="1" applyAlignment="1">
      <alignment horizontal="center" vertical="center" wrapText="1"/>
    </xf>
    <xf numFmtId="0" fontId="38" fillId="16" borderId="0" xfId="0" applyFont="1" applyFill="1" applyAlignment="1">
      <alignment horizontal="center" vertical="center" wrapText="1"/>
    </xf>
    <xf numFmtId="0" fontId="38" fillId="14" borderId="0" xfId="0" applyFont="1" applyFill="1" applyAlignment="1">
      <alignment horizontal="center" vertical="center" wrapText="1"/>
    </xf>
    <xf numFmtId="0" fontId="55" fillId="52" borderId="0" xfId="0" applyFont="1" applyFill="1" applyAlignment="1">
      <alignment horizontal="center" vertical="center" wrapText="1"/>
    </xf>
    <xf numFmtId="0" fontId="54" fillId="2" borderId="194" xfId="0" applyFont="1" applyFill="1" applyBorder="1" applyAlignment="1">
      <alignment horizontal="center" vertical="center" wrapText="1"/>
    </xf>
    <xf numFmtId="0" fontId="8" fillId="2" borderId="196" xfId="0" applyFont="1" applyFill="1" applyBorder="1" applyAlignment="1">
      <alignment horizontal="center"/>
    </xf>
    <xf numFmtId="0" fontId="54" fillId="2" borderId="195" xfId="0" applyFont="1" applyFill="1" applyBorder="1" applyAlignment="1">
      <alignment horizontal="center" vertical="center" wrapText="1"/>
    </xf>
    <xf numFmtId="0" fontId="8" fillId="2" borderId="197" xfId="0" applyFont="1" applyFill="1" applyBorder="1" applyAlignment="1">
      <alignment horizontal="center"/>
    </xf>
  </cellXfs>
  <cellStyles count="2">
    <cellStyle name="Normal" xfId="0" builtinId="0"/>
    <cellStyle name="Pourcentage" xfId="1" builtinId="5"/>
  </cellStyles>
  <dxfs count="446"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>
          <bgColor rgb="FF66FF33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colors>
    <mruColors>
      <color rgb="FFFFFFFF"/>
      <color rgb="FFE1C1D1"/>
      <color rgb="FFCCD6E6"/>
      <color rgb="FFC4D7EE"/>
      <color rgb="FFE6EAF0"/>
      <color rgb="FF66FF33"/>
      <color rgb="FFE6EEEE"/>
      <color rgb="FFDAF1F3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r>
              <a:rPr lang="fr-FR" b="0">
                <a:solidFill>
                  <a:srgbClr val="000000"/>
                </a:solidFill>
                <a:latin typeface="+mn-lt"/>
              </a:rPr>
              <a:t>Votes exprimés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92D050"/>
            </a:solidFill>
            <a:ln cmpd="sng">
              <a:solidFill>
                <a:srgbClr val="92D050"/>
              </a:solidFill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8CB5F9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D760-4393-B926-AF1160C079E1}"/>
              </c:ext>
            </c:extLst>
          </c:dPt>
          <c:dPt>
            <c:idx val="1"/>
            <c:invertIfNegative val="1"/>
            <c:bubble3D val="0"/>
            <c:spPr>
              <a:solidFill>
                <a:srgbClr val="E1C1D1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D760-4393-B926-AF1160C079E1}"/>
              </c:ext>
            </c:extLst>
          </c:dPt>
          <c:dPt>
            <c:idx val="2"/>
            <c:invertIfNegative val="1"/>
            <c:bubble3D val="0"/>
            <c:spPr>
              <a:solidFill>
                <a:srgbClr val="FDD868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D760-4393-B926-AF1160C079E1}"/>
              </c:ext>
            </c:extLst>
          </c:dPt>
          <c:dPt>
            <c:idx val="3"/>
            <c:invertIfNegative val="1"/>
            <c:bubble3D val="0"/>
            <c:spPr>
              <a:solidFill>
                <a:srgbClr val="7AD694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D760-4393-B926-AF1160C079E1}"/>
              </c:ext>
            </c:extLst>
          </c:dPt>
          <c:dPt>
            <c:idx val="4"/>
            <c:invertIfNegative val="1"/>
            <c:bubble3D val="0"/>
            <c:spPr>
              <a:solidFill>
                <a:srgbClr val="FEA767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D760-4393-B926-AF1160C079E1}"/>
              </c:ext>
            </c:extLst>
          </c:dPt>
          <c:dPt>
            <c:idx val="5"/>
            <c:invertIfNegative val="1"/>
            <c:bubble3D val="0"/>
            <c:spPr>
              <a:solidFill>
                <a:srgbClr val="F28E86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D760-4393-B926-AF1160C079E1}"/>
              </c:ext>
            </c:extLst>
          </c:dPt>
          <c:dPt>
            <c:idx val="6"/>
            <c:invertIfNegative val="1"/>
            <c:bubble3D val="0"/>
            <c:spPr>
              <a:solidFill>
                <a:srgbClr val="B3CEFB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C-9D69-473A-8EC0-98BCBEC8387C}"/>
              </c:ext>
            </c:extLst>
          </c:dPt>
          <c:dPt>
            <c:idx val="7"/>
            <c:invertIfNegative val="1"/>
            <c:bubble3D val="0"/>
            <c:spPr>
              <a:solidFill>
                <a:srgbClr val="DAF1F3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9D69-473A-8EC0-98BCBEC8387C}"/>
              </c:ext>
            </c:extLst>
          </c:dPt>
          <c:dPt>
            <c:idx val="8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E-9D69-473A-8EC0-98BCBEC8387C}"/>
              </c:ext>
            </c:extLst>
          </c:dPt>
          <c:dPt>
            <c:idx val="9"/>
            <c:invertIfNegative val="1"/>
            <c:bubble3D val="0"/>
            <c:spPr>
              <a:solidFill>
                <a:srgbClr val="92D050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9D69-473A-8EC0-98BCBEC8387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Synthèse!$L$2:$U$2</c:f>
              <c:strCache>
                <c:ptCount val="10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</c:strCache>
            </c:strRef>
          </c:cat>
          <c:val>
            <c:numRef>
              <c:f>Synthèse!$L$16:$U$16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92D050"/>
                    </a:solidFill>
                  </a:ln>
                </c14:spPr>
              </c14:invertSolidFillFmt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Synthèse!#REF!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C-D760-4393-B926-AF1160C07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.00%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par bureau durant la journée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6483239154321079E-2"/>
          <c:y val="6.5015479876160992E-2"/>
          <c:w val="0.83989080979742214"/>
          <c:h val="0.84373223470905145"/>
        </c:manualLayout>
      </c:layout>
      <c:lineChart>
        <c:grouping val="standard"/>
        <c:varyColors val="1"/>
        <c:ser>
          <c:idx val="12"/>
          <c:order val="0"/>
          <c:tx>
            <c:v>Total</c:v>
          </c:tx>
          <c:spPr>
            <a:ln w="317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7"/>
            <c:spPr>
              <a:solidFill>
                <a:srgbClr val="000000"/>
              </a:solidFill>
              <a:ln w="317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horaire'!$S$38:$S$50</c15:sqref>
                  </c15:fullRef>
                </c:ext>
              </c:extLst>
              <c:f>'Participation horaire'!$S$38:$S$48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527-41BE-A6F5-3ADC9F067884}"/>
            </c:ext>
          </c:extLst>
        </c:ser>
        <c:ser>
          <c:idx val="11"/>
          <c:order val="1"/>
          <c:tx>
            <c:v>Bureau 12</c:v>
          </c:tx>
          <c:spPr>
            <a:ln w="25400" cap="rnd" cmpd="sng" algn="ctr">
              <a:solidFill>
                <a:srgbClr val="46BDC6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horaire'!$R$38:$R$50</c15:sqref>
                  </c15:fullRef>
                </c:ext>
              </c:extLst>
              <c:f>'Participation horaire'!$R$38:$R$48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527-41BE-A6F5-3ADC9F067884}"/>
            </c:ext>
          </c:extLst>
        </c:ser>
        <c:ser>
          <c:idx val="10"/>
          <c:order val="2"/>
          <c:tx>
            <c:v>Bureau 11</c:v>
          </c:tx>
          <c:spPr>
            <a:ln w="25400" cap="rnd" cmpd="sng" algn="ctr">
              <a:solidFill>
                <a:srgbClr val="FF6D01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horaire'!$Q$38:$Q$50</c15:sqref>
                  </c15:fullRef>
                </c:ext>
              </c:extLst>
              <c:f>'Participation horaire'!$Q$38:$Q$48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527-41BE-A6F5-3ADC9F067884}"/>
            </c:ext>
          </c:extLst>
        </c:ser>
        <c:ser>
          <c:idx val="9"/>
          <c:order val="3"/>
          <c:tx>
            <c:v>Bureau 10</c:v>
          </c:tx>
          <c:spPr>
            <a:ln w="25400" cap="rnd" cmpd="sng" algn="ctr">
              <a:solidFill>
                <a:srgbClr val="34A85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horaire'!$P$38:$P$50</c15:sqref>
                  </c15:fullRef>
                </c:ext>
              </c:extLst>
              <c:f>'Participation horaire'!$P$38:$P$48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527-41BE-A6F5-3ADC9F067884}"/>
            </c:ext>
          </c:extLst>
        </c:ser>
        <c:ser>
          <c:idx val="8"/>
          <c:order val="4"/>
          <c:tx>
            <c:v>Bureau 9</c:v>
          </c:tx>
          <c:spPr>
            <a:ln w="25400" cap="rnd" cmpd="sng" algn="ctr">
              <a:solidFill>
                <a:srgbClr val="FBBC0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horaire'!$O$38:$O$50</c15:sqref>
                  </c15:fullRef>
                </c:ext>
              </c:extLst>
              <c:f>'Participation horaire'!$O$38:$O$48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527-41BE-A6F5-3ADC9F067884}"/>
            </c:ext>
          </c:extLst>
        </c:ser>
        <c:ser>
          <c:idx val="7"/>
          <c:order val="5"/>
          <c:tx>
            <c:v>Bureau 8</c:v>
          </c:tx>
          <c:spPr>
            <a:ln w="25400" cap="rnd" cmpd="sng" algn="ctr">
              <a:solidFill>
                <a:srgbClr val="EA4335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horaire'!$N$38:$N$50</c15:sqref>
                  </c15:fullRef>
                </c:ext>
              </c:extLst>
              <c:f>'Participation horaire'!$N$38:$N$48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527-41BE-A6F5-3ADC9F067884}"/>
            </c:ext>
          </c:extLst>
        </c:ser>
        <c:ser>
          <c:idx val="6"/>
          <c:order val="6"/>
          <c:tx>
            <c:v>Bureau 7</c:v>
          </c:tx>
          <c:spPr>
            <a:ln w="25400" cap="rnd" cmpd="sng" algn="ctr">
              <a:solidFill>
                <a:srgbClr val="4285F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horaire'!$M$38:$M$50</c15:sqref>
                  </c15:fullRef>
                </c:ext>
              </c:extLst>
              <c:f>'Participation horaire'!$M$38:$M$48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527-41BE-A6F5-3ADC9F067884}"/>
            </c:ext>
          </c:extLst>
        </c:ser>
        <c:ser>
          <c:idx val="5"/>
          <c:order val="7"/>
          <c:tx>
            <c:v>Bureau 6</c:v>
          </c:tx>
          <c:spPr>
            <a:ln w="25400" cap="rnd" cmpd="sng" algn="ctr">
              <a:solidFill>
                <a:srgbClr val="46BDC6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horaire'!$L$38:$L$50</c15:sqref>
                  </c15:fullRef>
                </c:ext>
              </c:extLst>
              <c:f>'Participation horaire'!$L$38:$L$48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527-41BE-A6F5-3ADC9F067884}"/>
            </c:ext>
          </c:extLst>
        </c:ser>
        <c:ser>
          <c:idx val="4"/>
          <c:order val="8"/>
          <c:tx>
            <c:v>Bureau 5</c:v>
          </c:tx>
          <c:spPr>
            <a:ln w="25400" cap="rnd" cmpd="sng" algn="ctr">
              <a:solidFill>
                <a:srgbClr val="FF6D01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horaire'!$K$38:$K$50</c15:sqref>
                  </c15:fullRef>
                </c:ext>
              </c:extLst>
              <c:f>'Participation horaire'!$K$38:$K$48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27-41BE-A6F5-3ADC9F067884}"/>
            </c:ext>
          </c:extLst>
        </c:ser>
        <c:ser>
          <c:idx val="3"/>
          <c:order val="9"/>
          <c:tx>
            <c:v>Bureau 4</c:v>
          </c:tx>
          <c:spPr>
            <a:ln w="25400" cap="rnd" cmpd="sng" algn="ctr">
              <a:solidFill>
                <a:srgbClr val="34A85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horaire'!$J$38:$J$50</c15:sqref>
                  </c15:fullRef>
                </c:ext>
              </c:extLst>
              <c:f>'Participation horaire'!$J$38:$J$48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27-41BE-A6F5-3ADC9F067884}"/>
            </c:ext>
          </c:extLst>
        </c:ser>
        <c:ser>
          <c:idx val="2"/>
          <c:order val="10"/>
          <c:tx>
            <c:v>Bureau 3</c:v>
          </c:tx>
          <c:spPr>
            <a:ln w="25400" cap="rnd" cmpd="sng" algn="ctr">
              <a:solidFill>
                <a:srgbClr val="FBBC0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horaire'!$I$38:$I$50</c15:sqref>
                  </c15:fullRef>
                </c:ext>
              </c:extLst>
              <c:f>'Participation horaire'!$I$38:$I$48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27-41BE-A6F5-3ADC9F067884}"/>
            </c:ext>
          </c:extLst>
        </c:ser>
        <c:ser>
          <c:idx val="1"/>
          <c:order val="11"/>
          <c:tx>
            <c:v>Bureau 2</c:v>
          </c:tx>
          <c:spPr>
            <a:ln w="25400" cap="rnd" cmpd="sng" algn="ctr">
              <a:solidFill>
                <a:srgbClr val="EA4335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horaire'!$H$38:$H$50</c15:sqref>
                  </c15:fullRef>
                </c:ext>
              </c:extLst>
              <c:f>'Participation horaire'!$H$38:$H$48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27-41BE-A6F5-3ADC9F067884}"/>
            </c:ext>
          </c:extLst>
        </c:ser>
        <c:ser>
          <c:idx val="0"/>
          <c:order val="12"/>
          <c:tx>
            <c:v>Bureau 1</c:v>
          </c:tx>
          <c:spPr>
            <a:ln w="25400" cap="rnd" cmpd="sng" algn="ctr">
              <a:solidFill>
                <a:srgbClr val="4285F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horaire'!$G$38:$G$50</c15:sqref>
                  </c15:fullRef>
                </c:ext>
              </c:extLst>
              <c:f>'Participation horaire'!$G$38:$G$48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27-41BE-A6F5-3ADC9F067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legend>
      <c:legendPos val="r"/>
      <c:overlay val="0"/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Exemple!$D$13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CCFC-4E5C-A81B-B89D6E7F77AA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CCFC-4E5C-A81B-B89D6E7F77AA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CCFC-4E5C-A81B-B89D6E7F77AA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CCFC-4E5C-A81B-B89D6E7F77A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CCFC-4E5C-A81B-B89D6E7F77AA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CCFC-4E5C-A81B-B89D6E7F77AA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CCFC-4E5C-A81B-B89D6E7F77AA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CCFC-4E5C-A81B-B89D6E7F77AA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CCFC-4E5C-A81B-B89D6E7F77AA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CCFC-4E5C-A81B-B89D6E7F77AA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CCFC-4E5C-A81B-B89D6E7F77AA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CCFC-4E5C-A81B-B89D6E7F77A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Exemple!$E$2:$P$2</c:f>
              <c:strCache>
                <c:ptCount val="1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Exemple!$E$13:$P$13</c:f>
              <c:numCache>
                <c:formatCode>General</c:formatCode>
                <c:ptCount val="12"/>
                <c:pt idx="0">
                  <c:v>3</c:v>
                </c:pt>
                <c:pt idx="1">
                  <c:v>11</c:v>
                </c:pt>
                <c:pt idx="2">
                  <c:v>135</c:v>
                </c:pt>
                <c:pt idx="3">
                  <c:v>166</c:v>
                </c:pt>
                <c:pt idx="4">
                  <c:v>9</c:v>
                </c:pt>
                <c:pt idx="5">
                  <c:v>27</c:v>
                </c:pt>
                <c:pt idx="6">
                  <c:v>37</c:v>
                </c:pt>
                <c:pt idx="7">
                  <c:v>15</c:v>
                </c:pt>
                <c:pt idx="8">
                  <c:v>13</c:v>
                </c:pt>
                <c:pt idx="9">
                  <c:v>13</c:v>
                </c:pt>
                <c:pt idx="10" formatCode="#,##0">
                  <c:v>8</c:v>
                </c:pt>
                <c:pt idx="11" formatCode="#,##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CFC-4E5C-A81B-B89D6E7F7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Exemple!$X$2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EB7-4F87-8B1F-773278025738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EB7-4F87-8B1F-773278025738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EB7-4F87-8B1F-773278025738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EB7-4F87-8B1F-773278025738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EB7-4F87-8B1F-773278025738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EB7-4F87-8B1F-773278025738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EEB7-4F87-8B1F-773278025738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EB7-4F87-8B1F-773278025738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EEB7-4F87-8B1F-773278025738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EEB7-4F87-8B1F-773278025738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EB7-4F87-8B1F-773278025738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EEB7-4F87-8B1F-773278025738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EEB7-4F87-8B1F-773278025738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Exemple!$V$3:$V$15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Exemple!$X$3:$X$15</c:f>
              <c:numCache>
                <c:formatCode>0.00%</c:formatCode>
                <c:ptCount val="13"/>
                <c:pt idx="0">
                  <c:v>0</c:v>
                </c:pt>
                <c:pt idx="1">
                  <c:v>0.11857707509881422</c:v>
                </c:pt>
                <c:pt idx="2">
                  <c:v>0.233201581027668</c:v>
                </c:pt>
                <c:pt idx="3">
                  <c:v>0.35375494071146246</c:v>
                </c:pt>
                <c:pt idx="4">
                  <c:v>0.46442687747035571</c:v>
                </c:pt>
                <c:pt idx="5">
                  <c:v>0.55928853754940711</c:v>
                </c:pt>
                <c:pt idx="6">
                  <c:v>0.63043478260869568</c:v>
                </c:pt>
                <c:pt idx="7">
                  <c:v>0.69169960474308301</c:v>
                </c:pt>
                <c:pt idx="8">
                  <c:v>0.75098814229249011</c:v>
                </c:pt>
                <c:pt idx="9">
                  <c:v>0.78853754940711462</c:v>
                </c:pt>
                <c:pt idx="10">
                  <c:v>0.86956521739130432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EB7-4F87-8B1F-773278025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Exemple!$AA$2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396-485D-A4C3-5694BF105495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396-485D-A4C3-5694BF105495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396-485D-A4C3-5694BF105495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396-485D-A4C3-5694BF105495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396-485D-A4C3-5694BF105495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396-485D-A4C3-5694BF105495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396-485D-A4C3-5694BF105495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396-485D-A4C3-5694BF10549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396-485D-A4C3-5694BF105495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396-485D-A4C3-5694BF105495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396-485D-A4C3-5694BF105495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396-485D-A4C3-5694BF105495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396-485D-A4C3-5694BF105495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Exemple!$Z$4:$Z$15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Exemple!$AA$4:$AA$15</c:f>
              <c:numCache>
                <c:formatCode>General</c:formatCode>
                <c:ptCount val="12"/>
                <c:pt idx="0">
                  <c:v>60</c:v>
                </c:pt>
                <c:pt idx="1">
                  <c:v>58</c:v>
                </c:pt>
                <c:pt idx="2">
                  <c:v>61</c:v>
                </c:pt>
                <c:pt idx="3">
                  <c:v>56</c:v>
                </c:pt>
                <c:pt idx="4">
                  <c:v>48</c:v>
                </c:pt>
                <c:pt idx="5">
                  <c:v>36</c:v>
                </c:pt>
                <c:pt idx="6">
                  <c:v>31</c:v>
                </c:pt>
                <c:pt idx="7">
                  <c:v>30</c:v>
                </c:pt>
                <c:pt idx="8">
                  <c:v>19</c:v>
                </c:pt>
                <c:pt idx="9">
                  <c:v>41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396-485D-A4C3-5694BF105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0'!$D$13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8-EA70-41AD-B1C4-117C5EADDF9A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A-EA70-41AD-B1C4-117C5EADDF9A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C-EA70-41AD-B1C4-117C5EADDF9A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E-EA70-41AD-B1C4-117C5EADDF9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0-EA70-41AD-B1C4-117C5EADDF9A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2-EA70-41AD-B1C4-117C5EADDF9A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4-EA70-41AD-B1C4-117C5EADDF9A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6-EA70-41AD-B1C4-117C5EADDF9A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8-EA70-41AD-B1C4-117C5EADDF9A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A-EA70-41AD-B1C4-117C5EADDF9A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C-EA70-41AD-B1C4-117C5EADDF9A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E-EA70-41AD-B1C4-117C5EADDF9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0'!$E$2:$P$2</c:f>
              <c:strCache>
                <c:ptCount val="1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0'!$E$13:$P$13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EA70-41AD-B1C4-117C5EADD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0'!$X$2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E73-429A-9A32-59AB00AFD32C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73-429A-9A32-59AB00AFD32C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E73-429A-9A32-59AB00AFD32C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73-429A-9A32-59AB00AFD32C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E73-429A-9A32-59AB00AFD32C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73-429A-9A32-59AB00AFD32C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E73-429A-9A32-59AB00AFD32C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E73-429A-9A32-59AB00AFD32C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E73-429A-9A32-59AB00AFD32C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E73-429A-9A32-59AB00AFD32C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E73-429A-9A32-59AB00AFD32C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E73-429A-9A32-59AB00AFD32C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E73-429A-9A32-59AB00AFD32C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0'!$V$3:$V$15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0'!$X$3:$X$15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E73-429A-9A32-59AB00AF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0'!$AA$2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2DE-4D37-8F9D-F3A8F583D533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2DE-4D37-8F9D-F3A8F583D533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2DE-4D37-8F9D-F3A8F583D533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2DE-4D37-8F9D-F3A8F583D533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2DE-4D37-8F9D-F3A8F583D533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2DE-4D37-8F9D-F3A8F583D533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2DE-4D37-8F9D-F3A8F583D533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2DE-4D37-8F9D-F3A8F583D533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2DE-4D37-8F9D-F3A8F583D533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2DE-4D37-8F9D-F3A8F583D533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2DE-4D37-8F9D-F3A8F583D533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2DE-4D37-8F9D-F3A8F583D533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2DE-4D37-8F9D-F3A8F583D533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0'!$Z$4:$Z$15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0'!$AA$4:$AA$15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2DE-4D37-8F9D-F3A8F583D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E15B-4A7A-8378-A8542F27260C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E15B-4A7A-8378-A8542F27260C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E15B-4A7A-8378-A8542F27260C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E15B-4A7A-8378-A8542F27260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E15B-4A7A-8378-A8542F27260C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E15B-4A7A-8378-A8542F27260C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E15B-4A7A-8378-A8542F27260C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E15B-4A7A-8378-A8542F27260C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E15B-4A7A-8378-A8542F27260C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E15B-4A7A-8378-A8542F27260C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E15B-4A7A-8378-A8542F27260C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E15B-4A7A-8378-A8542F27260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1'!$E$2:$P$2</c:f>
              <c:strCache>
                <c:ptCount val="1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1'!$E$13:$P$13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15B-4A7A-8378-A8542F272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DDB-4146-A89D-9F71E8B88D54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DDB-4146-A89D-9F71E8B88D54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DDB-4146-A89D-9F71E8B88D54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DDB-4146-A89D-9F71E8B88D54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DDB-4146-A89D-9F71E8B88D54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DDB-4146-A89D-9F71E8B88D54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DDB-4146-A89D-9F71E8B88D54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DDB-4146-A89D-9F71E8B88D54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DDB-4146-A89D-9F71E8B88D54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DDB-4146-A89D-9F71E8B88D54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DDB-4146-A89D-9F71E8B88D54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DDB-4146-A89D-9F71E8B88D54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DDB-4146-A89D-9F71E8B88D54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DDB-4146-A89D-9F71E8B88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D01-4F9F-B918-773F3D08CC2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D01-4F9F-B918-773F3D08CC27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D01-4F9F-B918-773F3D08CC27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D01-4F9F-B918-773F3D08CC27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D01-4F9F-B918-773F3D08CC27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D01-4F9F-B918-773F3D08CC27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D01-4F9F-B918-773F3D08CC27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D01-4F9F-B918-773F3D08CC27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D01-4F9F-B918-773F3D08CC27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D01-4F9F-B918-773F3D08CC27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D01-4F9F-B918-773F3D08CC27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D01-4F9F-B918-773F3D08CC27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D01-4F9F-B918-773F3D08CC27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D01-4F9F-B918-773F3D08C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2'!$D$13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EC06-49A5-B2E2-8B6BA0F2291F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EC06-49A5-B2E2-8B6BA0F2291F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EC06-49A5-B2E2-8B6BA0F2291F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EC06-49A5-B2E2-8B6BA0F2291F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EC06-49A5-B2E2-8B6BA0F2291F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EC06-49A5-B2E2-8B6BA0F2291F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EC06-49A5-B2E2-8B6BA0F2291F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EC06-49A5-B2E2-8B6BA0F2291F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EC06-49A5-B2E2-8B6BA0F2291F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EC06-49A5-B2E2-8B6BA0F2291F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EC06-49A5-B2E2-8B6BA0F2291F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EC06-49A5-B2E2-8B6BA0F229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2'!$E$2:$P$2</c:f>
              <c:strCache>
                <c:ptCount val="1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2'!$E$13:$P$13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C06-49A5-B2E2-8B6BA0F22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2'!$X$2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C83C-4BF6-A116-28948231D729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83C-4BF6-A116-28948231D729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83C-4BF6-A116-28948231D729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83C-4BF6-A116-28948231D729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83C-4BF6-A116-28948231D729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C83C-4BF6-A116-28948231D729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83C-4BF6-A116-28948231D729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83C-4BF6-A116-28948231D729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83C-4BF6-A116-28948231D729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C83C-4BF6-A116-28948231D729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C83C-4BF6-A116-28948231D729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C83C-4BF6-A116-28948231D729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83C-4BF6-A116-28948231D729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2'!$V$3:$V$15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2'!$X$3:$X$15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83C-4BF6-A116-28948231D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2'!$AA$2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0DF6-43AE-AD8D-115837DA06DF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DF6-43AE-AD8D-115837DA06DF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0DF6-43AE-AD8D-115837DA06DF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DF6-43AE-AD8D-115837DA06DF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0DF6-43AE-AD8D-115837DA06DF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DF6-43AE-AD8D-115837DA06DF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0DF6-43AE-AD8D-115837DA06DF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0DF6-43AE-AD8D-115837DA06DF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0DF6-43AE-AD8D-115837DA06DF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0DF6-43AE-AD8D-115837DA06DF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0DF6-43AE-AD8D-115837DA06DF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0DF6-43AE-AD8D-115837DA06DF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0DF6-43AE-AD8D-115837DA06D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2'!$Z$4:$Z$15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2'!$AA$4:$AA$15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DF6-43AE-AD8D-115837DA06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3'!$D$13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37E4-4327-A629-DD34267A9083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37E4-4327-A629-DD34267A9083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E4-4327-A629-DD34267A9083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37E4-4327-A629-DD34267A90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37E4-4327-A629-DD34267A9083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37E4-4327-A629-DD34267A9083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37E4-4327-A629-DD34267A9083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37E4-4327-A629-DD34267A9083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37E4-4327-A629-DD34267A9083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37E4-4327-A629-DD34267A9083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37E4-4327-A629-DD34267A9083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37E4-4327-A629-DD34267A90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3'!$E$2:$P$2</c:f>
              <c:strCache>
                <c:ptCount val="1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3'!$E$13:$P$13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7E4-4327-A629-DD34267A9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3'!$X$2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7951-4D30-98BE-2391BD18F7DB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951-4D30-98BE-2391BD18F7DB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7951-4D30-98BE-2391BD18F7DB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951-4D30-98BE-2391BD18F7DB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951-4D30-98BE-2391BD18F7DB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951-4D30-98BE-2391BD18F7DB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7951-4D30-98BE-2391BD18F7DB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951-4D30-98BE-2391BD18F7DB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7951-4D30-98BE-2391BD18F7DB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7951-4D30-98BE-2391BD18F7DB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951-4D30-98BE-2391BD18F7DB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7951-4D30-98BE-2391BD18F7DB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7951-4D30-98BE-2391BD18F7DB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3'!$V$3:$V$15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3'!$X$3:$X$15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951-4D30-98BE-2391BD18F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3'!$AA$2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35C7-44B5-90E8-FA0FC32DFA5C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5C7-44B5-90E8-FA0FC32DFA5C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5C7-44B5-90E8-FA0FC32DFA5C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5C7-44B5-90E8-FA0FC32DFA5C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35C7-44B5-90E8-FA0FC32DFA5C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5C7-44B5-90E8-FA0FC32DFA5C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5C7-44B5-90E8-FA0FC32DFA5C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5C7-44B5-90E8-FA0FC32DFA5C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35C7-44B5-90E8-FA0FC32DFA5C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5C7-44B5-90E8-FA0FC32DFA5C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5C7-44B5-90E8-FA0FC32DFA5C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5C7-44B5-90E8-FA0FC32DFA5C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35C7-44B5-90E8-FA0FC32DFA5C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3'!$Z$4:$Z$15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3'!$AA$4:$AA$15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5C7-44B5-90E8-FA0FC32DF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4'!$D$13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FCF7-4AFA-BF8D-0EA0CFC2A71C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FCF7-4AFA-BF8D-0EA0CFC2A71C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FCF7-4AFA-BF8D-0EA0CFC2A71C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FCF7-4AFA-BF8D-0EA0CFC2A71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FCF7-4AFA-BF8D-0EA0CFC2A71C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FCF7-4AFA-BF8D-0EA0CFC2A71C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FCF7-4AFA-BF8D-0EA0CFC2A71C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FCF7-4AFA-BF8D-0EA0CFC2A71C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FCF7-4AFA-BF8D-0EA0CFC2A71C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FCF7-4AFA-BF8D-0EA0CFC2A71C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FCF7-4AFA-BF8D-0EA0CFC2A71C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FCF7-4AFA-BF8D-0EA0CFC2A71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4'!$E$2:$P$2</c:f>
              <c:strCache>
                <c:ptCount val="1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4'!$E$13:$P$13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CF7-4AFA-BF8D-0EA0CFC2A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4'!$X$2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7CB-4787-BADB-341E74EA5703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7CB-4787-BADB-341E74EA5703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7CB-4787-BADB-341E74EA5703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97CB-4787-BADB-341E74EA5703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97CB-4787-BADB-341E74EA5703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97CB-4787-BADB-341E74EA5703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97CB-4787-BADB-341E74EA5703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97CB-4787-BADB-341E74EA5703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97CB-4787-BADB-341E74EA5703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97CB-4787-BADB-341E74EA5703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97CB-4787-BADB-341E74EA5703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97CB-4787-BADB-341E74EA5703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97CB-4787-BADB-341E74EA5703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4'!$V$3:$V$15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4'!$X$3:$X$15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7CB-4787-BADB-341E74EA5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4'!$AA$2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FFB-4554-BF6C-026EDF5FE8DF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FFB-4554-BF6C-026EDF5FE8DF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FFB-4554-BF6C-026EDF5FE8DF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FFB-4554-BF6C-026EDF5FE8DF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FFB-4554-BF6C-026EDF5FE8DF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FFB-4554-BF6C-026EDF5FE8DF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EFFB-4554-BF6C-026EDF5FE8DF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FFB-4554-BF6C-026EDF5FE8DF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EFFB-4554-BF6C-026EDF5FE8DF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EFFB-4554-BF6C-026EDF5FE8DF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FFB-4554-BF6C-026EDF5FE8DF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EFFB-4554-BF6C-026EDF5FE8DF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EFFB-4554-BF6C-026EDF5FE8D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4'!$Z$4:$Z$15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4'!$AA$4:$AA$15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FFB-4554-BF6C-026EDF5FE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5'!$D$13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BDD9-488A-AE7B-7FC0369739F5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BDD9-488A-AE7B-7FC0369739F5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BDD9-488A-AE7B-7FC0369739F5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BDD9-488A-AE7B-7FC0369739F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BDD9-488A-AE7B-7FC0369739F5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BDD9-488A-AE7B-7FC0369739F5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BDD9-488A-AE7B-7FC0369739F5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BDD9-488A-AE7B-7FC0369739F5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BDD9-488A-AE7B-7FC0369739F5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BDD9-488A-AE7B-7FC0369739F5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BDD9-488A-AE7B-7FC0369739F5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BDD9-488A-AE7B-7FC0369739F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5'!$E$2:$P$2</c:f>
              <c:strCache>
                <c:ptCount val="1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5'!$E$13:$P$13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DD9-488A-AE7B-7FC036973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5'!$X$2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811-41DD-876A-11EA25F7D66F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811-41DD-876A-11EA25F7D66F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811-41DD-876A-11EA25F7D66F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811-41DD-876A-11EA25F7D66F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811-41DD-876A-11EA25F7D66F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811-41DD-876A-11EA25F7D66F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811-41DD-876A-11EA25F7D66F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811-41DD-876A-11EA25F7D66F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811-41DD-876A-11EA25F7D66F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811-41DD-876A-11EA25F7D66F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811-41DD-876A-11EA25F7D66F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811-41DD-876A-11EA25F7D66F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811-41DD-876A-11EA25F7D66F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5'!$V$3:$V$15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5'!$X$3:$X$15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811-41DD-876A-11EA25F7D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5'!$AA$2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75A-41C0-8BBB-4D22E00D52BB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75A-41C0-8BBB-4D22E00D52BB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75A-41C0-8BBB-4D22E00D52BB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A75A-41C0-8BBB-4D22E00D52BB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A75A-41C0-8BBB-4D22E00D52BB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A75A-41C0-8BBB-4D22E00D52BB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A75A-41C0-8BBB-4D22E00D52BB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A75A-41C0-8BBB-4D22E00D52BB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A75A-41C0-8BBB-4D22E00D52BB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A75A-41C0-8BBB-4D22E00D52BB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A75A-41C0-8BBB-4D22E00D52BB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A75A-41C0-8BBB-4D22E00D52BB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A75A-41C0-8BBB-4D22E00D52BB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5'!$Z$4:$Z$15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5'!$AA$4:$AA$15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75A-41C0-8BBB-4D22E00D5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6'!$D$13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E5F1-4497-8438-E121B0061520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E5F1-4497-8438-E121B0061520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E5F1-4497-8438-E121B0061520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E5F1-4497-8438-E121B006152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E5F1-4497-8438-E121B0061520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E5F1-4497-8438-E121B0061520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E5F1-4497-8438-E121B0061520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E5F1-4497-8438-E121B0061520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E5F1-4497-8438-E121B0061520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E5F1-4497-8438-E121B0061520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E5F1-4497-8438-E121B0061520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E5F1-4497-8438-E121B006152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6'!$E$2:$P$2</c:f>
              <c:strCache>
                <c:ptCount val="1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6'!$E$13:$P$13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5F1-4497-8438-E121B0061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6'!$X$2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1740-4457-AEEA-FC1647CFCC7B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740-4457-AEEA-FC1647CFCC7B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740-4457-AEEA-FC1647CFCC7B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740-4457-AEEA-FC1647CFCC7B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740-4457-AEEA-FC1647CFCC7B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1740-4457-AEEA-FC1647CFCC7B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1740-4457-AEEA-FC1647CFCC7B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1740-4457-AEEA-FC1647CFCC7B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1740-4457-AEEA-FC1647CFCC7B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1740-4457-AEEA-FC1647CFCC7B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740-4457-AEEA-FC1647CFCC7B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1740-4457-AEEA-FC1647CFCC7B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1740-4457-AEEA-FC1647CFCC7B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6'!$V$3:$V$15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6'!$X$3:$X$15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740-4457-AEEA-FC1647CFC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6'!$AA$2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7A6E-453E-BF77-9388D0B6FF2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A6E-453E-BF77-9388D0B6FF29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7A6E-453E-BF77-9388D0B6FF29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A6E-453E-BF77-9388D0B6FF29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A6E-453E-BF77-9388D0B6FF29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A6E-453E-BF77-9388D0B6FF29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7A6E-453E-BF77-9388D0B6FF29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A6E-453E-BF77-9388D0B6FF29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7A6E-453E-BF77-9388D0B6FF29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7A6E-453E-BF77-9388D0B6FF29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A6E-453E-BF77-9388D0B6FF29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7A6E-453E-BF77-9388D0B6FF29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7A6E-453E-BF77-9388D0B6FF29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6'!$Z$4:$Z$15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6'!$AA$4:$AA$15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A6E-453E-BF77-9388D0B6F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7'!$D$13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EC2B-4976-8080-8C4C623B7CFA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EC2B-4976-8080-8C4C623B7CFA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EC2B-4976-8080-8C4C623B7CFA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EC2B-4976-8080-8C4C623B7CF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EC2B-4976-8080-8C4C623B7CFA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EC2B-4976-8080-8C4C623B7CFA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EC2B-4976-8080-8C4C623B7CFA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EC2B-4976-8080-8C4C623B7CFA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EC2B-4976-8080-8C4C623B7CFA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EC2B-4976-8080-8C4C623B7CFA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EC2B-4976-8080-8C4C623B7CFA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EC2B-4976-8080-8C4C623B7CF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7'!$E$2:$P$2</c:f>
              <c:strCache>
                <c:ptCount val="1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7'!$E$13:$P$13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C2B-4976-8080-8C4C623B7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7'!$X$2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0C9-44F2-8DE7-622A4851FB60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0C9-44F2-8DE7-622A4851FB60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0C9-44F2-8DE7-622A4851FB60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0C9-44F2-8DE7-622A4851FB60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0C9-44F2-8DE7-622A4851FB60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0C9-44F2-8DE7-622A4851FB60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0C9-44F2-8DE7-622A4851FB60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0C9-44F2-8DE7-622A4851FB60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0C9-44F2-8DE7-622A4851FB60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0C9-44F2-8DE7-622A4851FB60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0C9-44F2-8DE7-622A4851FB60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0C9-44F2-8DE7-622A4851FB60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0C9-44F2-8DE7-622A4851FB60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7'!$V$3:$V$15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7'!$X$3:$X$15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0C9-44F2-8DE7-622A4851F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7'!$AA$2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DEF-4CEA-962F-419005302052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DEF-4CEA-962F-419005302052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DEF-4CEA-962F-419005302052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ADEF-4CEA-962F-419005302052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ADEF-4CEA-962F-419005302052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ADEF-4CEA-962F-419005302052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ADEF-4CEA-962F-419005302052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ADEF-4CEA-962F-419005302052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ADEF-4CEA-962F-419005302052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ADEF-4CEA-962F-419005302052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ADEF-4CEA-962F-419005302052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ADEF-4CEA-962F-419005302052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ADEF-4CEA-962F-419005302052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7'!$Z$4:$Z$15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7'!$AA$4:$AA$15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DEF-4CEA-962F-419005302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8'!$D$13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6D22-4CF8-9753-9AC04161BCE8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6D22-4CF8-9753-9AC04161BCE8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6D22-4CF8-9753-9AC04161BCE8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6D22-4CF8-9753-9AC04161BCE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6D22-4CF8-9753-9AC04161BCE8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6D22-4CF8-9753-9AC04161BCE8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6D22-4CF8-9753-9AC04161BCE8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6D22-4CF8-9753-9AC04161BCE8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6D22-4CF8-9753-9AC04161BCE8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6D22-4CF8-9753-9AC04161BCE8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6D22-4CF8-9753-9AC04161BCE8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6D22-4CF8-9753-9AC04161BC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8'!$E$2:$P$2</c:f>
              <c:strCache>
                <c:ptCount val="1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8'!$E$13:$P$13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D22-4CF8-9753-9AC04161B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8'!$X$2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6219-4247-9D28-4F25179B0A1C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219-4247-9D28-4F25179B0A1C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6219-4247-9D28-4F25179B0A1C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219-4247-9D28-4F25179B0A1C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6219-4247-9D28-4F25179B0A1C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6219-4247-9D28-4F25179B0A1C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6219-4247-9D28-4F25179B0A1C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6219-4247-9D28-4F25179B0A1C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6219-4247-9D28-4F25179B0A1C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6219-4247-9D28-4F25179B0A1C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6219-4247-9D28-4F25179B0A1C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6219-4247-9D28-4F25179B0A1C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6219-4247-9D28-4F25179B0A1C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8'!$V$3:$V$15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8'!$X$3:$X$15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219-4247-9D28-4F25179B0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8'!$AA$2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D83-4448-846E-0C5117BAB7F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D83-4448-846E-0C5117BAB7F9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2D83-4448-846E-0C5117BAB7F9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D83-4448-846E-0C5117BAB7F9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2D83-4448-846E-0C5117BAB7F9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D83-4448-846E-0C5117BAB7F9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2D83-4448-846E-0C5117BAB7F9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D83-4448-846E-0C5117BAB7F9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2D83-4448-846E-0C5117BAB7F9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2D83-4448-846E-0C5117BAB7F9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2D83-4448-846E-0C5117BAB7F9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2D83-4448-846E-0C5117BAB7F9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2D83-4448-846E-0C5117BAB7F9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8'!$Z$4:$Z$15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8'!$AA$4:$AA$15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D83-4448-846E-0C5117BAB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9'!$D$13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2F-4862-84FA-9AAFA92BE77E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2F-4862-84FA-9AAFA92BE77E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2F-4862-84FA-9AAFA92BE77E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2F-4862-84FA-9AAFA92BE77E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E62F-4862-84FA-9AAFA92BE77E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E62F-4862-84FA-9AAFA92BE77E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E62F-4862-84FA-9AAFA92BE77E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E62F-4862-84FA-9AAFA92BE77E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E62F-4862-84FA-9AAFA92BE77E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E62F-4862-84FA-9AAFA92BE77E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E62F-4862-84FA-9AAFA92BE77E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E62F-4862-84FA-9AAFA92BE77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9'!$E$2:$P$2</c:f>
              <c:strCache>
                <c:ptCount val="1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9'!$E$13:$P$13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62F-4862-84FA-9AAFA92BE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9'!$X$2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7A3B-4377-B6D4-30CF4B0B3228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A3B-4377-B6D4-30CF4B0B3228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7A3B-4377-B6D4-30CF4B0B3228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A3B-4377-B6D4-30CF4B0B3228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A3B-4377-B6D4-30CF4B0B3228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A3B-4377-B6D4-30CF4B0B3228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7A3B-4377-B6D4-30CF4B0B3228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A3B-4377-B6D4-30CF4B0B3228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7A3B-4377-B6D4-30CF4B0B3228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7A3B-4377-B6D4-30CF4B0B3228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A3B-4377-B6D4-30CF4B0B3228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7A3B-4377-B6D4-30CF4B0B3228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7A3B-4377-B6D4-30CF4B0B3228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9'!$V$3:$V$15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9'!$X$3:$X$15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A3B-4377-B6D4-30CF4B0B3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9'!$AA$2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75C7-458F-90A9-3331FFF22CB4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5C7-458F-90A9-3331FFF22CB4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75C7-458F-90A9-3331FFF22CB4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5C7-458F-90A9-3331FFF22CB4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5C7-458F-90A9-3331FFF22CB4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5C7-458F-90A9-3331FFF22CB4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75C7-458F-90A9-3331FFF22CB4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5C7-458F-90A9-3331FFF22CB4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75C7-458F-90A9-3331FFF22CB4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75C7-458F-90A9-3331FFF22CB4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5C7-458F-90A9-3331FFF22CB4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75C7-458F-90A9-3331FFF22CB4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75C7-458F-90A9-3331FFF22CB4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9'!$Z$4:$Z$15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9'!$AA$4:$AA$15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5C7-458F-90A9-3331FFF22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10'!$D$13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2694-471F-A6F0-9A8347CB64E4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2694-471F-A6F0-9A8347CB64E4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2694-471F-A6F0-9A8347CB64E4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2694-471F-A6F0-9A8347CB64E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2694-471F-A6F0-9A8347CB64E4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2694-471F-A6F0-9A8347CB64E4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2694-471F-A6F0-9A8347CB64E4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2694-471F-A6F0-9A8347CB64E4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2694-471F-A6F0-9A8347CB64E4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2694-471F-A6F0-9A8347CB64E4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2694-471F-A6F0-9A8347CB64E4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2694-471F-A6F0-9A8347CB64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10'!$E$2:$P$2</c:f>
              <c:strCache>
                <c:ptCount val="1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10'!$E$13:$P$13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694-471F-A6F0-9A8347CB6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10'!$X$2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B8E8-46C0-923A-F422D2A099C2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8E8-46C0-923A-F422D2A099C2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B8E8-46C0-923A-F422D2A099C2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B8E8-46C0-923A-F422D2A099C2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B8E8-46C0-923A-F422D2A099C2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B8E8-46C0-923A-F422D2A099C2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B8E8-46C0-923A-F422D2A099C2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B8E8-46C0-923A-F422D2A099C2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B8E8-46C0-923A-F422D2A099C2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B8E8-46C0-923A-F422D2A099C2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B8E8-46C0-923A-F422D2A099C2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B8E8-46C0-923A-F422D2A099C2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B8E8-46C0-923A-F422D2A099C2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10'!$V$3:$V$15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10'!$X$3:$X$15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8E8-46C0-923A-F422D2A09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10'!$AA$2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643-4B63-967F-BFB71DE29DC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643-4B63-967F-BFB71DE29DC9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2643-4B63-967F-BFB71DE29DC9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643-4B63-967F-BFB71DE29DC9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2643-4B63-967F-BFB71DE29DC9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643-4B63-967F-BFB71DE29DC9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2643-4B63-967F-BFB71DE29DC9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643-4B63-967F-BFB71DE29DC9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2643-4B63-967F-BFB71DE29DC9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2643-4B63-967F-BFB71DE29DC9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2643-4B63-967F-BFB71DE29DC9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2643-4B63-967F-BFB71DE29DC9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2643-4B63-967F-BFB71DE29DC9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10'!$Z$4:$Z$15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10'!$AA$4:$AA$15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643-4B63-967F-BFB71DE29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11'!$D$13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CD88-4366-81FB-D1F51180AE5B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CD88-4366-81FB-D1F51180AE5B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CD88-4366-81FB-D1F51180AE5B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CD88-4366-81FB-D1F51180AE5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88-4366-81FB-D1F51180AE5B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CD88-4366-81FB-D1F51180AE5B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CD88-4366-81FB-D1F51180AE5B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CD88-4366-81FB-D1F51180AE5B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CD88-4366-81FB-D1F51180AE5B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CD88-4366-81FB-D1F51180AE5B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CD88-4366-81FB-D1F51180AE5B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CD88-4366-81FB-D1F51180AE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11'!$E$2:$P$2</c:f>
              <c:strCache>
                <c:ptCount val="1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11'!$E$13:$P$13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D88-4366-81FB-D1F51180A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11'!$X$2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861-4364-B7F1-50377C182C56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861-4364-B7F1-50377C182C56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861-4364-B7F1-50377C182C56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861-4364-B7F1-50377C182C56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4861-4364-B7F1-50377C182C56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861-4364-B7F1-50377C182C56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4861-4364-B7F1-50377C182C56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4861-4364-B7F1-50377C182C56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4861-4364-B7F1-50377C182C56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4861-4364-B7F1-50377C182C56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4861-4364-B7F1-50377C182C56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4861-4364-B7F1-50377C182C56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4861-4364-B7F1-50377C182C56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11'!$V$3:$V$15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11'!$X$3:$X$15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861-4364-B7F1-50377C182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11'!$AA$2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427-4DA2-BC10-5014B9A1A25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427-4DA2-BC10-5014B9A1A251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427-4DA2-BC10-5014B9A1A25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427-4DA2-BC10-5014B9A1A251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427-4DA2-BC10-5014B9A1A251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427-4DA2-BC10-5014B9A1A251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E427-4DA2-BC10-5014B9A1A251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427-4DA2-BC10-5014B9A1A251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E427-4DA2-BC10-5014B9A1A251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E427-4DA2-BC10-5014B9A1A251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427-4DA2-BC10-5014B9A1A251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E427-4DA2-BC10-5014B9A1A251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E427-4DA2-BC10-5014B9A1A251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11'!$Z$4:$Z$15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11'!$AA$4:$AA$15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427-4DA2-BC10-5014B9A1A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12'!$D$13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98BD-4730-A5E0-89D4C1BA7019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98BD-4730-A5E0-89D4C1BA7019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98BD-4730-A5E0-89D4C1BA7019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98BD-4730-A5E0-89D4C1BA701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98BD-4730-A5E0-89D4C1BA7019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98BD-4730-A5E0-89D4C1BA7019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98BD-4730-A5E0-89D4C1BA7019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98BD-4730-A5E0-89D4C1BA7019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98BD-4730-A5E0-89D4C1BA7019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98BD-4730-A5E0-89D4C1BA7019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98BD-4730-A5E0-89D4C1BA7019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98BD-4730-A5E0-89D4C1BA70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12'!$E$2:$P$2</c:f>
              <c:strCache>
                <c:ptCount val="1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12'!$E$13:$P$13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8BD-4730-A5E0-89D4C1BA7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12'!$X$2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AA4-4839-9D22-82B6D84E3CB8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AA4-4839-9D22-82B6D84E3CB8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AA4-4839-9D22-82B6D84E3CB8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AA4-4839-9D22-82B6D84E3CB8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FAA4-4839-9D22-82B6D84E3CB8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AA4-4839-9D22-82B6D84E3CB8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AA4-4839-9D22-82B6D84E3CB8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FAA4-4839-9D22-82B6D84E3CB8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AA4-4839-9D22-82B6D84E3CB8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FAA4-4839-9D22-82B6D84E3CB8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AA4-4839-9D22-82B6D84E3CB8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FAA4-4839-9D22-82B6D84E3CB8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FAA4-4839-9D22-82B6D84E3CB8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12'!$V$3:$V$15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12'!$X$3:$X$15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A4-4839-9D22-82B6D84E3C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12'!$AA$2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191-45EF-A5EE-CB85C95626A4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191-45EF-A5EE-CB85C95626A4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191-45EF-A5EE-CB85C95626A4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191-45EF-A5EE-CB85C95626A4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191-45EF-A5EE-CB85C95626A4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191-45EF-A5EE-CB85C95626A4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191-45EF-A5EE-CB85C95626A4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191-45EF-A5EE-CB85C95626A4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191-45EF-A5EE-CB85C95626A4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191-45EF-A5EE-CB85C95626A4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191-45EF-A5EE-CB85C95626A4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191-45EF-A5EE-CB85C95626A4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191-45EF-A5EE-CB85C95626A4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12'!$Z$4:$Z$15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12'!$AA$4:$AA$15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191-45EF-A5EE-CB85C9562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45189</xdr:colOff>
      <xdr:row>17</xdr:row>
      <xdr:rowOff>138225</xdr:rowOff>
    </xdr:from>
    <xdr:ext cx="11564727" cy="5562600"/>
    <xdr:graphicFrame macro="">
      <xdr:nvGraphicFramePr>
        <xdr:cNvPr id="2" name="Chart 1" title="Graphiqu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twoCellAnchor>
    <xdr:from>
      <xdr:col>2</xdr:col>
      <xdr:colOff>212480</xdr:colOff>
      <xdr:row>25</xdr:row>
      <xdr:rowOff>80596</xdr:rowOff>
    </xdr:from>
    <xdr:to>
      <xdr:col>8</xdr:col>
      <xdr:colOff>103390</xdr:colOff>
      <xdr:row>29</xdr:row>
      <xdr:rowOff>49822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9A2D36F2-33C1-4534-AC4D-48F98851114D}"/>
            </a:ext>
          </a:extLst>
        </xdr:cNvPr>
        <xdr:cNvGrpSpPr/>
      </xdr:nvGrpSpPr>
      <xdr:grpSpPr>
        <a:xfrm>
          <a:off x="1895230" y="4832513"/>
          <a:ext cx="4124243" cy="604226"/>
          <a:chOff x="1672167" y="3798518"/>
          <a:chExt cx="3685333" cy="607483"/>
        </a:xfrm>
      </xdr:grpSpPr>
      <xdr:pic>
        <xdr:nvPicPr>
          <xdr:cNvPr id="7" name="Image 6" descr="Informations avec un remplissage uni">
            <a:extLst>
              <a:ext uri="{FF2B5EF4-FFF2-40B4-BE49-F238E27FC236}">
                <a16:creationId xmlns:a16="http://schemas.microsoft.com/office/drawing/2014/main" id="{5C691DA3-E978-CDC4-AD00-2BB9290DA9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672167" y="3873500"/>
            <a:ext cx="415382" cy="464480"/>
          </a:xfrm>
          <a:prstGeom prst="rect">
            <a:avLst/>
          </a:prstGeom>
        </xdr:spPr>
      </xdr:pic>
      <xdr:sp macro="" textlink="">
        <xdr:nvSpPr>
          <xdr:cNvPr id="8" name="Légende : encadrée 7">
            <a:extLst>
              <a:ext uri="{FF2B5EF4-FFF2-40B4-BE49-F238E27FC236}">
                <a16:creationId xmlns:a16="http://schemas.microsoft.com/office/drawing/2014/main" id="{C91F3425-09A0-BE55-5696-C6C5BFECA19A}"/>
              </a:ext>
            </a:extLst>
          </xdr:cNvPr>
          <xdr:cNvSpPr/>
        </xdr:nvSpPr>
        <xdr:spPr>
          <a:xfrm>
            <a:off x="2142283" y="3798518"/>
            <a:ext cx="3215217" cy="607483"/>
          </a:xfrm>
          <a:prstGeom prst="borderCallout1">
            <a:avLst>
              <a:gd name="adj1" fmla="val -279"/>
              <a:gd name="adj2" fmla="val 9564"/>
              <a:gd name="adj3" fmla="val -201472"/>
              <a:gd name="adj4" fmla="val -2793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2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Mettre à jour les informations de cette élection</a:t>
            </a:r>
            <a:endParaRPr lang="fr-FR" sz="12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2</xdr:col>
      <xdr:colOff>115603</xdr:colOff>
      <xdr:row>17</xdr:row>
      <xdr:rowOff>70665</xdr:rowOff>
    </xdr:from>
    <xdr:to>
      <xdr:col>8</xdr:col>
      <xdr:colOff>109904</xdr:colOff>
      <xdr:row>21</xdr:row>
      <xdr:rowOff>32564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A1CC9D42-8847-8C35-7FB4-2318D2548E50}"/>
            </a:ext>
          </a:extLst>
        </xdr:cNvPr>
        <xdr:cNvGrpSpPr/>
      </xdr:nvGrpSpPr>
      <xdr:grpSpPr>
        <a:xfrm>
          <a:off x="1798353" y="3351498"/>
          <a:ext cx="4227634" cy="797983"/>
          <a:chOff x="1605910" y="3805767"/>
          <a:chExt cx="3781007" cy="607483"/>
        </a:xfrm>
      </xdr:grpSpPr>
      <xdr:pic>
        <xdr:nvPicPr>
          <xdr:cNvPr id="3" name="Image 2" descr="Informations avec un remplissage uni">
            <a:extLst>
              <a:ext uri="{FF2B5EF4-FFF2-40B4-BE49-F238E27FC236}">
                <a16:creationId xmlns:a16="http://schemas.microsoft.com/office/drawing/2014/main" id="{1AAF2774-CDC8-451D-83F6-CABF2686F5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605910" y="3873500"/>
            <a:ext cx="568644" cy="464480"/>
          </a:xfrm>
          <a:prstGeom prst="rect">
            <a:avLst/>
          </a:prstGeom>
        </xdr:spPr>
      </xdr:pic>
      <xdr:sp macro="" textlink="">
        <xdr:nvSpPr>
          <xdr:cNvPr id="4" name="Légende : encadrée 3">
            <a:extLst>
              <a:ext uri="{FF2B5EF4-FFF2-40B4-BE49-F238E27FC236}">
                <a16:creationId xmlns:a16="http://schemas.microsoft.com/office/drawing/2014/main" id="{31CE0C09-39D2-4104-A158-54409C942DD9}"/>
              </a:ext>
            </a:extLst>
          </xdr:cNvPr>
          <xdr:cNvSpPr/>
        </xdr:nvSpPr>
        <xdr:spPr>
          <a:xfrm>
            <a:off x="2171700" y="3805767"/>
            <a:ext cx="3215217" cy="607483"/>
          </a:xfrm>
          <a:prstGeom prst="borderCallout1">
            <a:avLst>
              <a:gd name="adj1" fmla="val -279"/>
              <a:gd name="adj2" fmla="val 9564"/>
              <a:gd name="adj3" fmla="val -145540"/>
              <a:gd name="adj4" fmla="val -809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2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Mettre à jour le nom et le nombre d'inscrits de chaque bureau de vote</a:t>
            </a:r>
            <a:endParaRPr lang="fr-FR" sz="12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22</xdr:col>
      <xdr:colOff>123825</xdr:colOff>
      <xdr:row>5</xdr:row>
      <xdr:rowOff>104775</xdr:rowOff>
    </xdr:from>
    <xdr:to>
      <xdr:col>26</xdr:col>
      <xdr:colOff>443360</xdr:colOff>
      <xdr:row>9</xdr:row>
      <xdr:rowOff>74001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756F413-6096-441F-848E-26EBEA35E65F}"/>
            </a:ext>
          </a:extLst>
        </xdr:cNvPr>
        <xdr:cNvGrpSpPr/>
      </xdr:nvGrpSpPr>
      <xdr:grpSpPr>
        <a:xfrm>
          <a:off x="19904075" y="1290108"/>
          <a:ext cx="3663868" cy="604226"/>
          <a:chOff x="1672167" y="3798518"/>
          <a:chExt cx="3685333" cy="607483"/>
        </a:xfrm>
      </xdr:grpSpPr>
      <xdr:pic>
        <xdr:nvPicPr>
          <xdr:cNvPr id="10" name="Image 9" descr="Informations avec un remplissage uni">
            <a:extLst>
              <a:ext uri="{FF2B5EF4-FFF2-40B4-BE49-F238E27FC236}">
                <a16:creationId xmlns:a16="http://schemas.microsoft.com/office/drawing/2014/main" id="{7A5131B0-0F07-CE0A-CF98-C980085774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672167" y="3873500"/>
            <a:ext cx="450873" cy="464480"/>
          </a:xfrm>
          <a:prstGeom prst="rect">
            <a:avLst/>
          </a:prstGeom>
        </xdr:spPr>
      </xdr:pic>
      <xdr:sp macro="" textlink="">
        <xdr:nvSpPr>
          <xdr:cNvPr id="11" name="Légende : encadrée 10">
            <a:extLst>
              <a:ext uri="{FF2B5EF4-FFF2-40B4-BE49-F238E27FC236}">
                <a16:creationId xmlns:a16="http://schemas.microsoft.com/office/drawing/2014/main" id="{A671C40C-3517-10BD-1EFD-B1B7110DB872}"/>
              </a:ext>
            </a:extLst>
          </xdr:cNvPr>
          <xdr:cNvSpPr/>
        </xdr:nvSpPr>
        <xdr:spPr>
          <a:xfrm>
            <a:off x="2142283" y="3798518"/>
            <a:ext cx="3215217" cy="607483"/>
          </a:xfrm>
          <a:prstGeom prst="borderCallout1">
            <a:avLst>
              <a:gd name="adj1" fmla="val -279"/>
              <a:gd name="adj2" fmla="val 9564"/>
              <a:gd name="adj3" fmla="val -117268"/>
              <a:gd name="adj4" fmla="val -77463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2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Mettre à jour le nom et la couleur des candidats</a:t>
            </a:r>
            <a:endParaRPr lang="fr-FR" sz="12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1</xdr:row>
          <xdr:rowOff>295275</xdr:rowOff>
        </xdr:from>
        <xdr:to>
          <xdr:col>25</xdr:col>
          <xdr:colOff>676275</xdr:colOff>
          <xdr:row>4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Répliquer le nom et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la couleur des candidats dans les onglets</a:t>
              </a:r>
            </a:p>
            <a:p>
              <a:pPr algn="ctr" rtl="0">
                <a:defRPr sz="1000"/>
              </a:pPr>
              <a:endParaRPr lang="fr-F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238125</xdr:colOff>
          <xdr:row>31</xdr:row>
          <xdr:rowOff>9525</xdr:rowOff>
        </xdr:from>
        <xdr:to>
          <xdr:col>32</xdr:col>
          <xdr:colOff>28575</xdr:colOff>
          <xdr:row>32</xdr:row>
          <xdr:rowOff>9525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les boutons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182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173958</xdr:colOff>
      <xdr:row>15</xdr:row>
      <xdr:rowOff>187831</xdr:rowOff>
    </xdr:from>
    <xdr:ext cx="15419828" cy="604264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466725</xdr:colOff>
          <xdr:row>4</xdr:row>
          <xdr:rowOff>133350</xdr:rowOff>
        </xdr:from>
        <xdr:to>
          <xdr:col>38</xdr:col>
          <xdr:colOff>66675</xdr:colOff>
          <xdr:row>8</xdr:row>
          <xdr:rowOff>57150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Importer la participation du tour précédent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35</xdr:col>
      <xdr:colOff>284443</xdr:colOff>
      <xdr:row>21</xdr:row>
      <xdr:rowOff>147918</xdr:rowOff>
    </xdr:from>
    <xdr:to>
      <xdr:col>36</xdr:col>
      <xdr:colOff>635560</xdr:colOff>
      <xdr:row>23</xdr:row>
      <xdr:rowOff>88153</xdr:rowOff>
    </xdr:to>
    <xdr:sp macro="ToggleBureauButton" textlink="">
      <xdr:nvSpPr>
        <xdr:cNvPr id="2" name="btn_1erTour_Bureau1">
          <a:extLst>
            <a:ext uri="{FF2B5EF4-FFF2-40B4-BE49-F238E27FC236}">
              <a16:creationId xmlns:a16="http://schemas.microsoft.com/office/drawing/2014/main" id="{586DD7FA-8278-9A67-7E04-A4272BF19D1D}"/>
            </a:ext>
          </a:extLst>
        </xdr:cNvPr>
        <xdr:cNvSpPr/>
      </xdr:nvSpPr>
      <xdr:spPr>
        <a:xfrm>
          <a:off x="19681825" y="430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</a:t>
          </a:r>
        </a:p>
      </xdr:txBody>
    </xdr:sp>
    <xdr:clientData/>
  </xdr:twoCellAnchor>
  <xdr:twoCellAnchor>
    <xdr:from>
      <xdr:col>35</xdr:col>
      <xdr:colOff>284443</xdr:colOff>
      <xdr:row>23</xdr:row>
      <xdr:rowOff>151653</xdr:rowOff>
    </xdr:from>
    <xdr:to>
      <xdr:col>36</xdr:col>
      <xdr:colOff>635560</xdr:colOff>
      <xdr:row>25</xdr:row>
      <xdr:rowOff>91888</xdr:rowOff>
    </xdr:to>
    <xdr:sp macro="ToggleBureauButton" textlink="">
      <xdr:nvSpPr>
        <xdr:cNvPr id="4" name="btn_1erTour_Bureau2">
          <a:extLst>
            <a:ext uri="{FF2B5EF4-FFF2-40B4-BE49-F238E27FC236}">
              <a16:creationId xmlns:a16="http://schemas.microsoft.com/office/drawing/2014/main" id="{7C4AB28B-1062-EECD-C6E1-0A790FE87E05}"/>
            </a:ext>
          </a:extLst>
        </xdr:cNvPr>
        <xdr:cNvSpPr/>
      </xdr:nvSpPr>
      <xdr:spPr>
        <a:xfrm>
          <a:off x="19681825" y="4622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2</a:t>
          </a:r>
        </a:p>
      </xdr:txBody>
    </xdr:sp>
    <xdr:clientData/>
  </xdr:twoCellAnchor>
  <xdr:twoCellAnchor>
    <xdr:from>
      <xdr:col>35</xdr:col>
      <xdr:colOff>284443</xdr:colOff>
      <xdr:row>25</xdr:row>
      <xdr:rowOff>155388</xdr:rowOff>
    </xdr:from>
    <xdr:to>
      <xdr:col>36</xdr:col>
      <xdr:colOff>635560</xdr:colOff>
      <xdr:row>27</xdr:row>
      <xdr:rowOff>95624</xdr:rowOff>
    </xdr:to>
    <xdr:sp macro="ToggleBureauButton" textlink="">
      <xdr:nvSpPr>
        <xdr:cNvPr id="5" name="btn_1erTour_Bureau3">
          <a:extLst>
            <a:ext uri="{FF2B5EF4-FFF2-40B4-BE49-F238E27FC236}">
              <a16:creationId xmlns:a16="http://schemas.microsoft.com/office/drawing/2014/main" id="{9BF3F7B4-895B-05C8-7A4E-05FB3AAE321E}"/>
            </a:ext>
          </a:extLst>
        </xdr:cNvPr>
        <xdr:cNvSpPr/>
      </xdr:nvSpPr>
      <xdr:spPr>
        <a:xfrm>
          <a:off x="19681825" y="4940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3</a:t>
          </a:r>
        </a:p>
      </xdr:txBody>
    </xdr:sp>
    <xdr:clientData/>
  </xdr:twoCellAnchor>
  <xdr:twoCellAnchor>
    <xdr:from>
      <xdr:col>35</xdr:col>
      <xdr:colOff>284443</xdr:colOff>
      <xdr:row>27</xdr:row>
      <xdr:rowOff>159124</xdr:rowOff>
    </xdr:from>
    <xdr:to>
      <xdr:col>36</xdr:col>
      <xdr:colOff>635560</xdr:colOff>
      <xdr:row>29</xdr:row>
      <xdr:rowOff>54535</xdr:rowOff>
    </xdr:to>
    <xdr:sp macro="ToggleBureauButton" textlink="">
      <xdr:nvSpPr>
        <xdr:cNvPr id="6" name="btn_1erTour_Bureau4">
          <a:extLst>
            <a:ext uri="{FF2B5EF4-FFF2-40B4-BE49-F238E27FC236}">
              <a16:creationId xmlns:a16="http://schemas.microsoft.com/office/drawing/2014/main" id="{8B1401AC-874A-AB50-D73E-0DC17010CAD8}"/>
            </a:ext>
          </a:extLst>
        </xdr:cNvPr>
        <xdr:cNvSpPr/>
      </xdr:nvSpPr>
      <xdr:spPr>
        <a:xfrm>
          <a:off x="19681825" y="5257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4</a:t>
          </a:r>
        </a:p>
      </xdr:txBody>
    </xdr:sp>
    <xdr:clientData/>
  </xdr:twoCellAnchor>
  <xdr:twoCellAnchor>
    <xdr:from>
      <xdr:col>35</xdr:col>
      <xdr:colOff>284443</xdr:colOff>
      <xdr:row>29</xdr:row>
      <xdr:rowOff>118035</xdr:rowOff>
    </xdr:from>
    <xdr:to>
      <xdr:col>36</xdr:col>
      <xdr:colOff>635560</xdr:colOff>
      <xdr:row>31</xdr:row>
      <xdr:rowOff>58271</xdr:rowOff>
    </xdr:to>
    <xdr:sp macro="ToggleBureauButton" textlink="">
      <xdr:nvSpPr>
        <xdr:cNvPr id="7" name="btn_1erTour_Bureau5">
          <a:extLst>
            <a:ext uri="{FF2B5EF4-FFF2-40B4-BE49-F238E27FC236}">
              <a16:creationId xmlns:a16="http://schemas.microsoft.com/office/drawing/2014/main" id="{EF206660-3A33-B9DA-F4F4-F8BA78C3218B}"/>
            </a:ext>
          </a:extLst>
        </xdr:cNvPr>
        <xdr:cNvSpPr/>
      </xdr:nvSpPr>
      <xdr:spPr>
        <a:xfrm>
          <a:off x="19681825" y="557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5</a:t>
          </a:r>
        </a:p>
      </xdr:txBody>
    </xdr:sp>
    <xdr:clientData/>
  </xdr:twoCellAnchor>
  <xdr:twoCellAnchor>
    <xdr:from>
      <xdr:col>35</xdr:col>
      <xdr:colOff>284443</xdr:colOff>
      <xdr:row>31</xdr:row>
      <xdr:rowOff>121771</xdr:rowOff>
    </xdr:from>
    <xdr:to>
      <xdr:col>36</xdr:col>
      <xdr:colOff>635560</xdr:colOff>
      <xdr:row>32</xdr:row>
      <xdr:rowOff>174065</xdr:rowOff>
    </xdr:to>
    <xdr:sp macro="ToggleBureauButton" textlink="">
      <xdr:nvSpPr>
        <xdr:cNvPr id="8" name="btn_1erTour_Bureau6">
          <a:extLst>
            <a:ext uri="{FF2B5EF4-FFF2-40B4-BE49-F238E27FC236}">
              <a16:creationId xmlns:a16="http://schemas.microsoft.com/office/drawing/2014/main" id="{8C20D334-827C-3636-73B5-80A15874D0FA}"/>
            </a:ext>
          </a:extLst>
        </xdr:cNvPr>
        <xdr:cNvSpPr/>
      </xdr:nvSpPr>
      <xdr:spPr>
        <a:xfrm>
          <a:off x="19681825" y="5892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6</a:t>
          </a:r>
        </a:p>
      </xdr:txBody>
    </xdr:sp>
    <xdr:clientData/>
  </xdr:twoCellAnchor>
  <xdr:twoCellAnchor>
    <xdr:from>
      <xdr:col>35</xdr:col>
      <xdr:colOff>284443</xdr:colOff>
      <xdr:row>33</xdr:row>
      <xdr:rowOff>35859</xdr:rowOff>
    </xdr:from>
    <xdr:to>
      <xdr:col>36</xdr:col>
      <xdr:colOff>635560</xdr:colOff>
      <xdr:row>34</xdr:row>
      <xdr:rowOff>88153</xdr:rowOff>
    </xdr:to>
    <xdr:sp macro="ToggleBureauButton" textlink="">
      <xdr:nvSpPr>
        <xdr:cNvPr id="9" name="btn_1erTour_Bureau7">
          <a:extLst>
            <a:ext uri="{FF2B5EF4-FFF2-40B4-BE49-F238E27FC236}">
              <a16:creationId xmlns:a16="http://schemas.microsoft.com/office/drawing/2014/main" id="{AE5D1B2C-AD56-018A-C48B-9A508FABF0E0}"/>
            </a:ext>
          </a:extLst>
        </xdr:cNvPr>
        <xdr:cNvSpPr/>
      </xdr:nvSpPr>
      <xdr:spPr>
        <a:xfrm>
          <a:off x="19681825" y="6210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7</a:t>
          </a:r>
        </a:p>
      </xdr:txBody>
    </xdr:sp>
    <xdr:clientData/>
  </xdr:twoCellAnchor>
  <xdr:twoCellAnchor>
    <xdr:from>
      <xdr:col>35</xdr:col>
      <xdr:colOff>284443</xdr:colOff>
      <xdr:row>34</xdr:row>
      <xdr:rowOff>151653</xdr:rowOff>
    </xdr:from>
    <xdr:to>
      <xdr:col>36</xdr:col>
      <xdr:colOff>635560</xdr:colOff>
      <xdr:row>36</xdr:row>
      <xdr:rowOff>35859</xdr:rowOff>
    </xdr:to>
    <xdr:sp macro="ToggleBureauButton" textlink="">
      <xdr:nvSpPr>
        <xdr:cNvPr id="10" name="btn_1erTour_Bureau8">
          <a:extLst>
            <a:ext uri="{FF2B5EF4-FFF2-40B4-BE49-F238E27FC236}">
              <a16:creationId xmlns:a16="http://schemas.microsoft.com/office/drawing/2014/main" id="{8C63F74C-FFC9-3B36-82EF-ECFC38567BDD}"/>
            </a:ext>
          </a:extLst>
        </xdr:cNvPr>
        <xdr:cNvSpPr/>
      </xdr:nvSpPr>
      <xdr:spPr>
        <a:xfrm>
          <a:off x="19681825" y="6527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8</a:t>
          </a:r>
        </a:p>
      </xdr:txBody>
    </xdr:sp>
    <xdr:clientData/>
  </xdr:twoCellAnchor>
  <xdr:twoCellAnchor>
    <xdr:from>
      <xdr:col>35</xdr:col>
      <xdr:colOff>284443</xdr:colOff>
      <xdr:row>36</xdr:row>
      <xdr:rowOff>99359</xdr:rowOff>
    </xdr:from>
    <xdr:to>
      <xdr:col>36</xdr:col>
      <xdr:colOff>635560</xdr:colOff>
      <xdr:row>38</xdr:row>
      <xdr:rowOff>28388</xdr:rowOff>
    </xdr:to>
    <xdr:sp macro="ToggleBureauButton" textlink="">
      <xdr:nvSpPr>
        <xdr:cNvPr id="11" name="btn_1erTour_Bureau9">
          <a:extLst>
            <a:ext uri="{FF2B5EF4-FFF2-40B4-BE49-F238E27FC236}">
              <a16:creationId xmlns:a16="http://schemas.microsoft.com/office/drawing/2014/main" id="{D16CD7BB-4A22-9039-2C8B-1369C853F9A3}"/>
            </a:ext>
          </a:extLst>
        </xdr:cNvPr>
        <xdr:cNvSpPr/>
      </xdr:nvSpPr>
      <xdr:spPr>
        <a:xfrm>
          <a:off x="19681825" y="684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9</a:t>
          </a:r>
        </a:p>
      </xdr:txBody>
    </xdr:sp>
    <xdr:clientData/>
  </xdr:twoCellAnchor>
  <xdr:twoCellAnchor>
    <xdr:from>
      <xdr:col>35</xdr:col>
      <xdr:colOff>284443</xdr:colOff>
      <xdr:row>38</xdr:row>
      <xdr:rowOff>91888</xdr:rowOff>
    </xdr:from>
    <xdr:to>
      <xdr:col>36</xdr:col>
      <xdr:colOff>635560</xdr:colOff>
      <xdr:row>40</xdr:row>
      <xdr:rowOff>32124</xdr:rowOff>
    </xdr:to>
    <xdr:sp macro="ToggleBureauButton" textlink="">
      <xdr:nvSpPr>
        <xdr:cNvPr id="12" name="btn_1erTour_Bureau10">
          <a:extLst>
            <a:ext uri="{FF2B5EF4-FFF2-40B4-BE49-F238E27FC236}">
              <a16:creationId xmlns:a16="http://schemas.microsoft.com/office/drawing/2014/main" id="{41BB704B-A24B-6062-BB8C-2DAE0F3D4FA0}"/>
            </a:ext>
          </a:extLst>
        </xdr:cNvPr>
        <xdr:cNvSpPr/>
      </xdr:nvSpPr>
      <xdr:spPr>
        <a:xfrm>
          <a:off x="19681825" y="7162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10</a:t>
          </a:r>
        </a:p>
      </xdr:txBody>
    </xdr:sp>
    <xdr:clientData/>
  </xdr:twoCellAnchor>
  <xdr:twoCellAnchor>
    <xdr:from>
      <xdr:col>35</xdr:col>
      <xdr:colOff>284443</xdr:colOff>
      <xdr:row>40</xdr:row>
      <xdr:rowOff>95624</xdr:rowOff>
    </xdr:from>
    <xdr:to>
      <xdr:col>36</xdr:col>
      <xdr:colOff>635560</xdr:colOff>
      <xdr:row>42</xdr:row>
      <xdr:rowOff>35859</xdr:rowOff>
    </xdr:to>
    <xdr:sp macro="ToggleBureauButton" textlink="">
      <xdr:nvSpPr>
        <xdr:cNvPr id="13" name="btn_1erTour_Bureau11">
          <a:extLst>
            <a:ext uri="{FF2B5EF4-FFF2-40B4-BE49-F238E27FC236}">
              <a16:creationId xmlns:a16="http://schemas.microsoft.com/office/drawing/2014/main" id="{839E981B-ECC4-1545-CC67-018B386F611A}"/>
            </a:ext>
          </a:extLst>
        </xdr:cNvPr>
        <xdr:cNvSpPr/>
      </xdr:nvSpPr>
      <xdr:spPr>
        <a:xfrm>
          <a:off x="19681825" y="7480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11</a:t>
          </a:r>
        </a:p>
      </xdr:txBody>
    </xdr:sp>
    <xdr:clientData/>
  </xdr:twoCellAnchor>
  <xdr:twoCellAnchor>
    <xdr:from>
      <xdr:col>35</xdr:col>
      <xdr:colOff>284443</xdr:colOff>
      <xdr:row>42</xdr:row>
      <xdr:rowOff>99359</xdr:rowOff>
    </xdr:from>
    <xdr:to>
      <xdr:col>36</xdr:col>
      <xdr:colOff>635560</xdr:colOff>
      <xdr:row>44</xdr:row>
      <xdr:rowOff>39594</xdr:rowOff>
    </xdr:to>
    <xdr:sp macro="ToggleBureauButton" textlink="">
      <xdr:nvSpPr>
        <xdr:cNvPr id="14" name="btn_1erTour_Bureau12">
          <a:extLst>
            <a:ext uri="{FF2B5EF4-FFF2-40B4-BE49-F238E27FC236}">
              <a16:creationId xmlns:a16="http://schemas.microsoft.com/office/drawing/2014/main" id="{803D5813-C79F-FCE1-5D54-0425CE4A3D84}"/>
            </a:ext>
          </a:extLst>
        </xdr:cNvPr>
        <xdr:cNvSpPr/>
      </xdr:nvSpPr>
      <xdr:spPr>
        <a:xfrm>
          <a:off x="19681825" y="7797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12</a:t>
          </a:r>
        </a:p>
      </xdr:txBody>
    </xdr:sp>
    <xdr:clientData/>
  </xdr:twoCellAnchor>
  <xdr:twoCellAnchor>
    <xdr:from>
      <xdr:col>35</xdr:col>
      <xdr:colOff>284443</xdr:colOff>
      <xdr:row>44</xdr:row>
      <xdr:rowOff>103094</xdr:rowOff>
    </xdr:from>
    <xdr:to>
      <xdr:col>36</xdr:col>
      <xdr:colOff>635560</xdr:colOff>
      <xdr:row>46</xdr:row>
      <xdr:rowOff>43329</xdr:rowOff>
    </xdr:to>
    <xdr:sp macro="Toggle_Total" textlink="">
      <xdr:nvSpPr>
        <xdr:cNvPr id="15" name="btn_1erTour_Total">
          <a:extLst>
            <a:ext uri="{FF2B5EF4-FFF2-40B4-BE49-F238E27FC236}">
              <a16:creationId xmlns:a16="http://schemas.microsoft.com/office/drawing/2014/main" id="{D59493E7-0D43-ECF1-4D9E-D0435FE5477A}"/>
            </a:ext>
          </a:extLst>
        </xdr:cNvPr>
        <xdr:cNvSpPr/>
      </xdr:nvSpPr>
      <xdr:spPr>
        <a:xfrm>
          <a:off x="19681825" y="811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Total</a:t>
          </a:r>
        </a:p>
      </xdr:txBody>
    </xdr:sp>
    <xdr:clientData/>
  </xdr:twoCellAnchor>
  <xdr:twoCellAnchor>
    <xdr:from>
      <xdr:col>35</xdr:col>
      <xdr:colOff>284443</xdr:colOff>
      <xdr:row>46</xdr:row>
      <xdr:rowOff>106829</xdr:rowOff>
    </xdr:from>
    <xdr:to>
      <xdr:col>36</xdr:col>
      <xdr:colOff>635560</xdr:colOff>
      <xdr:row>48</xdr:row>
      <xdr:rowOff>47065</xdr:rowOff>
    </xdr:to>
    <xdr:sp macro="AfficherToutPremierTour" textlink="">
      <xdr:nvSpPr>
        <xdr:cNvPr id="16" name="btn_AfficherTout">
          <a:extLst>
            <a:ext uri="{FF2B5EF4-FFF2-40B4-BE49-F238E27FC236}">
              <a16:creationId xmlns:a16="http://schemas.microsoft.com/office/drawing/2014/main" id="{3235D67E-EFC9-68BE-F739-BB816338C18C}"/>
            </a:ext>
          </a:extLst>
        </xdr:cNvPr>
        <xdr:cNvSpPr/>
      </xdr:nvSpPr>
      <xdr:spPr>
        <a:xfrm>
          <a:off x="19681825" y="8432800"/>
          <a:ext cx="1270000" cy="254000"/>
        </a:xfrm>
        <a:prstGeom prst="rect">
          <a:avLst/>
        </a:prstGeom>
        <a:solidFill>
          <a:srgbClr val="C8C8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Afficher Tout</a:t>
          </a:r>
        </a:p>
      </xdr:txBody>
    </xdr:sp>
    <xdr:clientData/>
  </xdr:twoCellAnchor>
  <xdr:twoCellAnchor>
    <xdr:from>
      <xdr:col>35</xdr:col>
      <xdr:colOff>284443</xdr:colOff>
      <xdr:row>48</xdr:row>
      <xdr:rowOff>110565</xdr:rowOff>
    </xdr:from>
    <xdr:to>
      <xdr:col>36</xdr:col>
      <xdr:colOff>635560</xdr:colOff>
      <xdr:row>50</xdr:row>
      <xdr:rowOff>39594</xdr:rowOff>
    </xdr:to>
    <xdr:sp macro="EffacerToutPremierTour" textlink="">
      <xdr:nvSpPr>
        <xdr:cNvPr id="17" name="btn_EffacerTout">
          <a:extLst>
            <a:ext uri="{FF2B5EF4-FFF2-40B4-BE49-F238E27FC236}">
              <a16:creationId xmlns:a16="http://schemas.microsoft.com/office/drawing/2014/main" id="{B67AE902-4215-6B5C-5BEF-E2E98A0421FF}"/>
            </a:ext>
          </a:extLst>
        </xdr:cNvPr>
        <xdr:cNvSpPr/>
      </xdr:nvSpPr>
      <xdr:spPr>
        <a:xfrm>
          <a:off x="19681825" y="8750300"/>
          <a:ext cx="1270000" cy="254000"/>
        </a:xfrm>
        <a:prstGeom prst="rect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Effacer Tout</a:t>
          </a:r>
        </a:p>
      </xdr:txBody>
    </xdr:sp>
    <xdr:clientData/>
  </xdr:twoCellAnchor>
  <xdr:twoCellAnchor>
    <xdr:from>
      <xdr:col>33</xdr:col>
      <xdr:colOff>293407</xdr:colOff>
      <xdr:row>21</xdr:row>
      <xdr:rowOff>147918</xdr:rowOff>
    </xdr:from>
    <xdr:to>
      <xdr:col>34</xdr:col>
      <xdr:colOff>644525</xdr:colOff>
      <xdr:row>23</xdr:row>
      <xdr:rowOff>88153</xdr:rowOff>
    </xdr:to>
    <xdr:sp macro="ToggleBureau2nd" textlink="">
      <xdr:nvSpPr>
        <xdr:cNvPr id="18" name="btn_2ndTour_Bureau1">
          <a:extLst>
            <a:ext uri="{FF2B5EF4-FFF2-40B4-BE49-F238E27FC236}">
              <a16:creationId xmlns:a16="http://schemas.microsoft.com/office/drawing/2014/main" id="{004DCD5A-75ED-E004-F620-CE96C5D21C42}"/>
            </a:ext>
          </a:extLst>
        </xdr:cNvPr>
        <xdr:cNvSpPr/>
      </xdr:nvSpPr>
      <xdr:spPr>
        <a:xfrm>
          <a:off x="17853025" y="430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</a:t>
          </a:r>
        </a:p>
      </xdr:txBody>
    </xdr:sp>
    <xdr:clientData/>
  </xdr:twoCellAnchor>
  <xdr:twoCellAnchor>
    <xdr:from>
      <xdr:col>33</xdr:col>
      <xdr:colOff>293407</xdr:colOff>
      <xdr:row>23</xdr:row>
      <xdr:rowOff>151653</xdr:rowOff>
    </xdr:from>
    <xdr:to>
      <xdr:col>34</xdr:col>
      <xdr:colOff>644525</xdr:colOff>
      <xdr:row>25</xdr:row>
      <xdr:rowOff>91888</xdr:rowOff>
    </xdr:to>
    <xdr:sp macro="ToggleBureau2nd" textlink="">
      <xdr:nvSpPr>
        <xdr:cNvPr id="19" name="btn_2ndTour_Bureau2">
          <a:extLst>
            <a:ext uri="{FF2B5EF4-FFF2-40B4-BE49-F238E27FC236}">
              <a16:creationId xmlns:a16="http://schemas.microsoft.com/office/drawing/2014/main" id="{0441AD39-E3B6-A584-C44C-059BB1B02C37}"/>
            </a:ext>
          </a:extLst>
        </xdr:cNvPr>
        <xdr:cNvSpPr/>
      </xdr:nvSpPr>
      <xdr:spPr>
        <a:xfrm>
          <a:off x="17853025" y="4622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2</a:t>
          </a:r>
        </a:p>
      </xdr:txBody>
    </xdr:sp>
    <xdr:clientData/>
  </xdr:twoCellAnchor>
  <xdr:twoCellAnchor>
    <xdr:from>
      <xdr:col>33</xdr:col>
      <xdr:colOff>293407</xdr:colOff>
      <xdr:row>25</xdr:row>
      <xdr:rowOff>155388</xdr:rowOff>
    </xdr:from>
    <xdr:to>
      <xdr:col>34</xdr:col>
      <xdr:colOff>644525</xdr:colOff>
      <xdr:row>27</xdr:row>
      <xdr:rowOff>95624</xdr:rowOff>
    </xdr:to>
    <xdr:sp macro="ToggleBureau2nd" textlink="">
      <xdr:nvSpPr>
        <xdr:cNvPr id="20" name="btn_2ndTour_Bureau3">
          <a:extLst>
            <a:ext uri="{FF2B5EF4-FFF2-40B4-BE49-F238E27FC236}">
              <a16:creationId xmlns:a16="http://schemas.microsoft.com/office/drawing/2014/main" id="{269E52F9-1781-1C2C-0216-3528F7F339AF}"/>
            </a:ext>
          </a:extLst>
        </xdr:cNvPr>
        <xdr:cNvSpPr/>
      </xdr:nvSpPr>
      <xdr:spPr>
        <a:xfrm>
          <a:off x="17853025" y="4940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3</a:t>
          </a:r>
        </a:p>
      </xdr:txBody>
    </xdr:sp>
    <xdr:clientData/>
  </xdr:twoCellAnchor>
  <xdr:twoCellAnchor>
    <xdr:from>
      <xdr:col>33</xdr:col>
      <xdr:colOff>293407</xdr:colOff>
      <xdr:row>27</xdr:row>
      <xdr:rowOff>159124</xdr:rowOff>
    </xdr:from>
    <xdr:to>
      <xdr:col>34</xdr:col>
      <xdr:colOff>644525</xdr:colOff>
      <xdr:row>29</xdr:row>
      <xdr:rowOff>54535</xdr:rowOff>
    </xdr:to>
    <xdr:sp macro="ToggleBureau2nd" textlink="">
      <xdr:nvSpPr>
        <xdr:cNvPr id="21" name="btn_2ndTour_Bureau4">
          <a:extLst>
            <a:ext uri="{FF2B5EF4-FFF2-40B4-BE49-F238E27FC236}">
              <a16:creationId xmlns:a16="http://schemas.microsoft.com/office/drawing/2014/main" id="{C3F4B78B-E565-9F69-3010-306EE20E6CFF}"/>
            </a:ext>
          </a:extLst>
        </xdr:cNvPr>
        <xdr:cNvSpPr/>
      </xdr:nvSpPr>
      <xdr:spPr>
        <a:xfrm>
          <a:off x="17853025" y="5257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4</a:t>
          </a:r>
        </a:p>
      </xdr:txBody>
    </xdr:sp>
    <xdr:clientData/>
  </xdr:twoCellAnchor>
  <xdr:twoCellAnchor>
    <xdr:from>
      <xdr:col>33</xdr:col>
      <xdr:colOff>293407</xdr:colOff>
      <xdr:row>29</xdr:row>
      <xdr:rowOff>118035</xdr:rowOff>
    </xdr:from>
    <xdr:to>
      <xdr:col>34</xdr:col>
      <xdr:colOff>644525</xdr:colOff>
      <xdr:row>31</xdr:row>
      <xdr:rowOff>58271</xdr:rowOff>
    </xdr:to>
    <xdr:sp macro="ToggleBureau2nd" textlink="">
      <xdr:nvSpPr>
        <xdr:cNvPr id="22" name="btn_2ndTour_Bureau5">
          <a:extLst>
            <a:ext uri="{FF2B5EF4-FFF2-40B4-BE49-F238E27FC236}">
              <a16:creationId xmlns:a16="http://schemas.microsoft.com/office/drawing/2014/main" id="{D755AF23-58CA-1F19-818F-8A77A1FC2E16}"/>
            </a:ext>
          </a:extLst>
        </xdr:cNvPr>
        <xdr:cNvSpPr/>
      </xdr:nvSpPr>
      <xdr:spPr>
        <a:xfrm>
          <a:off x="17853025" y="557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5</a:t>
          </a:r>
        </a:p>
      </xdr:txBody>
    </xdr:sp>
    <xdr:clientData/>
  </xdr:twoCellAnchor>
  <xdr:twoCellAnchor>
    <xdr:from>
      <xdr:col>33</xdr:col>
      <xdr:colOff>293407</xdr:colOff>
      <xdr:row>31</xdr:row>
      <xdr:rowOff>121771</xdr:rowOff>
    </xdr:from>
    <xdr:to>
      <xdr:col>34</xdr:col>
      <xdr:colOff>644525</xdr:colOff>
      <xdr:row>32</xdr:row>
      <xdr:rowOff>174065</xdr:rowOff>
    </xdr:to>
    <xdr:sp macro="ToggleBureau2nd" textlink="">
      <xdr:nvSpPr>
        <xdr:cNvPr id="23" name="btn_2ndTour_Bureau6">
          <a:extLst>
            <a:ext uri="{FF2B5EF4-FFF2-40B4-BE49-F238E27FC236}">
              <a16:creationId xmlns:a16="http://schemas.microsoft.com/office/drawing/2014/main" id="{B1B6A443-26A5-AE7E-DBB4-E7DFC7C0DEA7}"/>
            </a:ext>
          </a:extLst>
        </xdr:cNvPr>
        <xdr:cNvSpPr/>
      </xdr:nvSpPr>
      <xdr:spPr>
        <a:xfrm>
          <a:off x="17853025" y="5892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6</a:t>
          </a:r>
        </a:p>
      </xdr:txBody>
    </xdr:sp>
    <xdr:clientData/>
  </xdr:twoCellAnchor>
  <xdr:twoCellAnchor>
    <xdr:from>
      <xdr:col>33</xdr:col>
      <xdr:colOff>293407</xdr:colOff>
      <xdr:row>33</xdr:row>
      <xdr:rowOff>35859</xdr:rowOff>
    </xdr:from>
    <xdr:to>
      <xdr:col>34</xdr:col>
      <xdr:colOff>644525</xdr:colOff>
      <xdr:row>34</xdr:row>
      <xdr:rowOff>88153</xdr:rowOff>
    </xdr:to>
    <xdr:sp macro="ToggleBureau2nd" textlink="">
      <xdr:nvSpPr>
        <xdr:cNvPr id="24" name="btn_2ndTour_Bureau7">
          <a:extLst>
            <a:ext uri="{FF2B5EF4-FFF2-40B4-BE49-F238E27FC236}">
              <a16:creationId xmlns:a16="http://schemas.microsoft.com/office/drawing/2014/main" id="{DDB98C1D-00D2-AED5-120A-C1F9DCE6260A}"/>
            </a:ext>
          </a:extLst>
        </xdr:cNvPr>
        <xdr:cNvSpPr/>
      </xdr:nvSpPr>
      <xdr:spPr>
        <a:xfrm>
          <a:off x="17853025" y="6210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7</a:t>
          </a:r>
        </a:p>
      </xdr:txBody>
    </xdr:sp>
    <xdr:clientData/>
  </xdr:twoCellAnchor>
  <xdr:twoCellAnchor>
    <xdr:from>
      <xdr:col>33</xdr:col>
      <xdr:colOff>293407</xdr:colOff>
      <xdr:row>34</xdr:row>
      <xdr:rowOff>151653</xdr:rowOff>
    </xdr:from>
    <xdr:to>
      <xdr:col>34</xdr:col>
      <xdr:colOff>644525</xdr:colOff>
      <xdr:row>36</xdr:row>
      <xdr:rowOff>35859</xdr:rowOff>
    </xdr:to>
    <xdr:sp macro="ToggleBureau2nd" textlink="">
      <xdr:nvSpPr>
        <xdr:cNvPr id="25" name="btn_2ndTour_Bureau8">
          <a:extLst>
            <a:ext uri="{FF2B5EF4-FFF2-40B4-BE49-F238E27FC236}">
              <a16:creationId xmlns:a16="http://schemas.microsoft.com/office/drawing/2014/main" id="{30635637-B478-0D91-F9EA-59F9E09CA34A}"/>
            </a:ext>
          </a:extLst>
        </xdr:cNvPr>
        <xdr:cNvSpPr/>
      </xdr:nvSpPr>
      <xdr:spPr>
        <a:xfrm>
          <a:off x="17853025" y="6527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8</a:t>
          </a:r>
        </a:p>
      </xdr:txBody>
    </xdr:sp>
    <xdr:clientData/>
  </xdr:twoCellAnchor>
  <xdr:twoCellAnchor>
    <xdr:from>
      <xdr:col>33</xdr:col>
      <xdr:colOff>293407</xdr:colOff>
      <xdr:row>36</xdr:row>
      <xdr:rowOff>99359</xdr:rowOff>
    </xdr:from>
    <xdr:to>
      <xdr:col>34</xdr:col>
      <xdr:colOff>644525</xdr:colOff>
      <xdr:row>38</xdr:row>
      <xdr:rowOff>28388</xdr:rowOff>
    </xdr:to>
    <xdr:sp macro="ToggleBureau2nd" textlink="">
      <xdr:nvSpPr>
        <xdr:cNvPr id="26" name="btn_2ndTour_Bureau9">
          <a:extLst>
            <a:ext uri="{FF2B5EF4-FFF2-40B4-BE49-F238E27FC236}">
              <a16:creationId xmlns:a16="http://schemas.microsoft.com/office/drawing/2014/main" id="{2E02A64B-A32A-350A-4AE0-767F5DD772B3}"/>
            </a:ext>
          </a:extLst>
        </xdr:cNvPr>
        <xdr:cNvSpPr/>
      </xdr:nvSpPr>
      <xdr:spPr>
        <a:xfrm>
          <a:off x="17853025" y="684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9</a:t>
          </a:r>
        </a:p>
      </xdr:txBody>
    </xdr:sp>
    <xdr:clientData/>
  </xdr:twoCellAnchor>
  <xdr:twoCellAnchor>
    <xdr:from>
      <xdr:col>33</xdr:col>
      <xdr:colOff>293407</xdr:colOff>
      <xdr:row>38</xdr:row>
      <xdr:rowOff>91888</xdr:rowOff>
    </xdr:from>
    <xdr:to>
      <xdr:col>34</xdr:col>
      <xdr:colOff>644525</xdr:colOff>
      <xdr:row>40</xdr:row>
      <xdr:rowOff>32124</xdr:rowOff>
    </xdr:to>
    <xdr:sp macro="ToggleBureau2nd" textlink="">
      <xdr:nvSpPr>
        <xdr:cNvPr id="27" name="btn_2ndTour_Bureau10">
          <a:extLst>
            <a:ext uri="{FF2B5EF4-FFF2-40B4-BE49-F238E27FC236}">
              <a16:creationId xmlns:a16="http://schemas.microsoft.com/office/drawing/2014/main" id="{F68BE9C4-F161-2EF9-F376-DF430BA0F8E4}"/>
            </a:ext>
          </a:extLst>
        </xdr:cNvPr>
        <xdr:cNvSpPr/>
      </xdr:nvSpPr>
      <xdr:spPr>
        <a:xfrm>
          <a:off x="17853025" y="7162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10</a:t>
          </a:r>
        </a:p>
      </xdr:txBody>
    </xdr:sp>
    <xdr:clientData/>
  </xdr:twoCellAnchor>
  <xdr:twoCellAnchor>
    <xdr:from>
      <xdr:col>33</xdr:col>
      <xdr:colOff>293407</xdr:colOff>
      <xdr:row>40</xdr:row>
      <xdr:rowOff>95624</xdr:rowOff>
    </xdr:from>
    <xdr:to>
      <xdr:col>34</xdr:col>
      <xdr:colOff>644525</xdr:colOff>
      <xdr:row>42</xdr:row>
      <xdr:rowOff>35859</xdr:rowOff>
    </xdr:to>
    <xdr:sp macro="ToggleBureau2nd" textlink="">
      <xdr:nvSpPr>
        <xdr:cNvPr id="28" name="btn_2ndTour_Bureau11">
          <a:extLst>
            <a:ext uri="{FF2B5EF4-FFF2-40B4-BE49-F238E27FC236}">
              <a16:creationId xmlns:a16="http://schemas.microsoft.com/office/drawing/2014/main" id="{C94AF1AF-B0B4-6E38-6E46-4258A67958F8}"/>
            </a:ext>
          </a:extLst>
        </xdr:cNvPr>
        <xdr:cNvSpPr/>
      </xdr:nvSpPr>
      <xdr:spPr>
        <a:xfrm>
          <a:off x="17853025" y="7480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11</a:t>
          </a:r>
        </a:p>
      </xdr:txBody>
    </xdr:sp>
    <xdr:clientData/>
  </xdr:twoCellAnchor>
  <xdr:twoCellAnchor>
    <xdr:from>
      <xdr:col>33</xdr:col>
      <xdr:colOff>293407</xdr:colOff>
      <xdr:row>42</xdr:row>
      <xdr:rowOff>99359</xdr:rowOff>
    </xdr:from>
    <xdr:to>
      <xdr:col>34</xdr:col>
      <xdr:colOff>644525</xdr:colOff>
      <xdr:row>44</xdr:row>
      <xdr:rowOff>39594</xdr:rowOff>
    </xdr:to>
    <xdr:sp macro="ToggleBureau2nd" textlink="">
      <xdr:nvSpPr>
        <xdr:cNvPr id="29" name="btn_2ndTour_Bureau12">
          <a:extLst>
            <a:ext uri="{FF2B5EF4-FFF2-40B4-BE49-F238E27FC236}">
              <a16:creationId xmlns:a16="http://schemas.microsoft.com/office/drawing/2014/main" id="{905954F6-158A-3A49-000A-6717F664BE96}"/>
            </a:ext>
          </a:extLst>
        </xdr:cNvPr>
        <xdr:cNvSpPr/>
      </xdr:nvSpPr>
      <xdr:spPr>
        <a:xfrm>
          <a:off x="17853025" y="7797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12</a:t>
          </a:r>
        </a:p>
      </xdr:txBody>
    </xdr:sp>
    <xdr:clientData/>
  </xdr:twoCellAnchor>
  <xdr:twoCellAnchor>
    <xdr:from>
      <xdr:col>33</xdr:col>
      <xdr:colOff>293407</xdr:colOff>
      <xdr:row>44</xdr:row>
      <xdr:rowOff>103094</xdr:rowOff>
    </xdr:from>
    <xdr:to>
      <xdr:col>34</xdr:col>
      <xdr:colOff>644525</xdr:colOff>
      <xdr:row>46</xdr:row>
      <xdr:rowOff>43329</xdr:rowOff>
    </xdr:to>
    <xdr:sp macro="Toggle_Total2nd" textlink="">
      <xdr:nvSpPr>
        <xdr:cNvPr id="30" name="btn_2ndTour_Total">
          <a:extLst>
            <a:ext uri="{FF2B5EF4-FFF2-40B4-BE49-F238E27FC236}">
              <a16:creationId xmlns:a16="http://schemas.microsoft.com/office/drawing/2014/main" id="{86C9F330-E1CD-E8E7-9B09-075E1FF9ED16}"/>
            </a:ext>
          </a:extLst>
        </xdr:cNvPr>
        <xdr:cNvSpPr/>
      </xdr:nvSpPr>
      <xdr:spPr>
        <a:xfrm>
          <a:off x="17853025" y="811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Total</a:t>
          </a:r>
        </a:p>
      </xdr:txBody>
    </xdr:sp>
    <xdr:clientData/>
  </xdr:twoCellAnchor>
  <xdr:twoCellAnchor>
    <xdr:from>
      <xdr:col>33</xdr:col>
      <xdr:colOff>293407</xdr:colOff>
      <xdr:row>46</xdr:row>
      <xdr:rowOff>106829</xdr:rowOff>
    </xdr:from>
    <xdr:to>
      <xdr:col>34</xdr:col>
      <xdr:colOff>644525</xdr:colOff>
      <xdr:row>48</xdr:row>
      <xdr:rowOff>47065</xdr:rowOff>
    </xdr:to>
    <xdr:sp macro="AfficherTout2ndTour" textlink="">
      <xdr:nvSpPr>
        <xdr:cNvPr id="31" name="btn_2ndTour_AfficherTout">
          <a:extLst>
            <a:ext uri="{FF2B5EF4-FFF2-40B4-BE49-F238E27FC236}">
              <a16:creationId xmlns:a16="http://schemas.microsoft.com/office/drawing/2014/main" id="{422674FF-8931-7880-64C6-07C29B14751C}"/>
            </a:ext>
          </a:extLst>
        </xdr:cNvPr>
        <xdr:cNvSpPr/>
      </xdr:nvSpPr>
      <xdr:spPr>
        <a:xfrm>
          <a:off x="17853025" y="8432800"/>
          <a:ext cx="1270000" cy="254000"/>
        </a:xfrm>
        <a:prstGeom prst="rect">
          <a:avLst/>
        </a:prstGeom>
        <a:solidFill>
          <a:srgbClr val="C8C8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Afficher Tout</a:t>
          </a:r>
        </a:p>
      </xdr:txBody>
    </xdr:sp>
    <xdr:clientData/>
  </xdr:twoCellAnchor>
  <xdr:twoCellAnchor>
    <xdr:from>
      <xdr:col>33</xdr:col>
      <xdr:colOff>293407</xdr:colOff>
      <xdr:row>48</xdr:row>
      <xdr:rowOff>110565</xdr:rowOff>
    </xdr:from>
    <xdr:to>
      <xdr:col>34</xdr:col>
      <xdr:colOff>644525</xdr:colOff>
      <xdr:row>50</xdr:row>
      <xdr:rowOff>39594</xdr:rowOff>
    </xdr:to>
    <xdr:sp macro="EffacerTout2ndTour" textlink="">
      <xdr:nvSpPr>
        <xdr:cNvPr id="32" name="btn_2ndTour_EffacerTout">
          <a:extLst>
            <a:ext uri="{FF2B5EF4-FFF2-40B4-BE49-F238E27FC236}">
              <a16:creationId xmlns:a16="http://schemas.microsoft.com/office/drawing/2014/main" id="{98A19595-09A8-3741-97BD-FC6A6BEDDBCC}"/>
            </a:ext>
          </a:extLst>
        </xdr:cNvPr>
        <xdr:cNvSpPr/>
      </xdr:nvSpPr>
      <xdr:spPr>
        <a:xfrm>
          <a:off x="17853025" y="8750300"/>
          <a:ext cx="1270000" cy="254000"/>
        </a:xfrm>
        <a:prstGeom prst="rect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Effacer Tout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533AC109-205B-47A1-9815-82BEFEB9C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A2E899C3-1E08-4F01-908B-4880DDA0E1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AB0CDF04-8F68-4AC4-8728-3704DF4041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62B1D7FD-B77D-45D4-82FF-7BFDE6264F97}"/>
            </a:ext>
          </a:extLst>
        </xdr:cNvPr>
        <xdr:cNvGrpSpPr/>
      </xdr:nvGrpSpPr>
      <xdr:grpSpPr>
        <a:xfrm>
          <a:off x="17673714" y="1100478"/>
          <a:ext cx="1893358" cy="1927678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B8CB99EA-FE99-7870-9751-9BE31C20B0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0F148E68-1B1F-187B-828B-828DB95D49C7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8CADA098-043C-43E5-ADC7-09AD97B04F6A}"/>
            </a:ext>
          </a:extLst>
        </xdr:cNvPr>
        <xdr:cNvGrpSpPr/>
      </xdr:nvGrpSpPr>
      <xdr:grpSpPr>
        <a:xfrm>
          <a:off x="3433496" y="4141977"/>
          <a:ext cx="10670118" cy="486871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2CB79FDE-1CC1-82D3-2A98-771A37AEC3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915443DB-8142-694D-DE66-F509CDDB4418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 b="1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Méthode 1 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: 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12</xdr:col>
      <xdr:colOff>530679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6C918A8D-8749-4131-A267-0F89078F0644}"/>
            </a:ext>
          </a:extLst>
        </xdr:cNvPr>
        <xdr:cNvGrpSpPr/>
      </xdr:nvGrpSpPr>
      <xdr:grpSpPr>
        <a:xfrm>
          <a:off x="3408400" y="13299084"/>
          <a:ext cx="9564310" cy="456931"/>
          <a:chOff x="4009571" y="12174517"/>
          <a:chExt cx="9314279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5AE9394B-872D-27F2-0EFF-AF747871AA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B73223F1-7DDD-04F8-6859-432B60B147E8}"/>
              </a:ext>
            </a:extLst>
          </xdr:cNvPr>
          <xdr:cNvSpPr/>
        </xdr:nvSpPr>
        <xdr:spPr>
          <a:xfrm>
            <a:off x="4508500" y="12217881"/>
            <a:ext cx="8815350" cy="377777"/>
          </a:xfrm>
          <a:prstGeom prst="borderCallout1">
            <a:avLst>
              <a:gd name="adj1" fmla="val 100797"/>
              <a:gd name="adj2" fmla="val 92465"/>
              <a:gd name="adj3" fmla="val 347716"/>
              <a:gd name="adj4" fmla="val 9049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3ED1C19C-F718-4C6E-B82E-85CB334C3857}"/>
            </a:ext>
          </a:extLst>
        </xdr:cNvPr>
        <xdr:cNvGrpSpPr/>
      </xdr:nvGrpSpPr>
      <xdr:grpSpPr>
        <a:xfrm>
          <a:off x="15077281" y="4153387"/>
          <a:ext cx="3693319" cy="5453635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02BF388F-0B24-8BB4-3006-B6EF1AA662C0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65F35815-9509-6498-3223-BCD40857108C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2E35CC07-24F9-2BB5-C484-E5041BB9DEDA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1 -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2 -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4B96359C-FDA8-4BCC-E94C-4ECED16AC96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16</xdr:col>
      <xdr:colOff>244928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D9FA2729-E9D9-4B72-A1D7-C3291F557D8C}"/>
            </a:ext>
          </a:extLst>
        </xdr:cNvPr>
        <xdr:cNvGrpSpPr/>
      </xdr:nvGrpSpPr>
      <xdr:grpSpPr>
        <a:xfrm>
          <a:off x="3393281" y="12829723"/>
          <a:ext cx="12913178" cy="479420"/>
          <a:chOff x="3967983" y="12233869"/>
          <a:chExt cx="12756074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CACCDCF3-7D0E-F02E-9774-4E9458F4B6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867F5340-5351-FCA0-F28B-7A2F97C49A29}"/>
              </a:ext>
            </a:extLst>
          </xdr:cNvPr>
          <xdr:cNvSpPr/>
        </xdr:nvSpPr>
        <xdr:spPr>
          <a:xfrm>
            <a:off x="4476739" y="12269657"/>
            <a:ext cx="12247318" cy="392892"/>
          </a:xfrm>
          <a:prstGeom prst="borderCallout1">
            <a:avLst>
              <a:gd name="adj1" fmla="val -2020"/>
              <a:gd name="adj2" fmla="val 6070"/>
              <a:gd name="adj3" fmla="val -449306"/>
              <a:gd name="adj4" fmla="val -823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 b="1">
                <a:solidFill>
                  <a:schemeClr val="accent1">
                    <a:lumMod val="75000"/>
                  </a:schemeClr>
                </a:solidFill>
              </a:rPr>
              <a:t>Méthode 2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 : 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dépouillement. Ici la table 1 a dépouillé les enveloppes 1, 3 et 4.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16</xdr:col>
      <xdr:colOff>516022</xdr:colOff>
      <xdr:row>49</xdr:row>
      <xdr:rowOff>116307</xdr:rowOff>
    </xdr:from>
    <xdr:to>
      <xdr:col>16</xdr:col>
      <xdr:colOff>843531</xdr:colOff>
      <xdr:row>58</xdr:row>
      <xdr:rowOff>123263</xdr:rowOff>
    </xdr:to>
    <xdr:sp macro="" textlink="">
      <xdr:nvSpPr>
        <xdr:cNvPr id="22" name="Flèche : bas 21">
          <a:extLst>
            <a:ext uri="{FF2B5EF4-FFF2-40B4-BE49-F238E27FC236}">
              <a16:creationId xmlns:a16="http://schemas.microsoft.com/office/drawing/2014/main" id="{2E8FDEE5-CEB2-13EE-0298-5FC87B8665A6}"/>
            </a:ext>
          </a:extLst>
        </xdr:cNvPr>
        <xdr:cNvSpPr/>
      </xdr:nvSpPr>
      <xdr:spPr>
        <a:xfrm>
          <a:off x="16630081" y="10033513"/>
          <a:ext cx="327509" cy="2225721"/>
        </a:xfrm>
        <a:custGeom>
          <a:avLst/>
          <a:gdLst>
            <a:gd name="connsiteX0" fmla="*/ 0 w 299357"/>
            <a:gd name="connsiteY0" fmla="*/ 427265 h 576943"/>
            <a:gd name="connsiteX1" fmla="*/ 74839 w 299357"/>
            <a:gd name="connsiteY1" fmla="*/ 427265 h 576943"/>
            <a:gd name="connsiteX2" fmla="*/ 74839 w 299357"/>
            <a:gd name="connsiteY2" fmla="*/ 0 h 576943"/>
            <a:gd name="connsiteX3" fmla="*/ 224518 w 299357"/>
            <a:gd name="connsiteY3" fmla="*/ 0 h 576943"/>
            <a:gd name="connsiteX4" fmla="*/ 224518 w 299357"/>
            <a:gd name="connsiteY4" fmla="*/ 427265 h 576943"/>
            <a:gd name="connsiteX5" fmla="*/ 299357 w 299357"/>
            <a:gd name="connsiteY5" fmla="*/ 427265 h 576943"/>
            <a:gd name="connsiteX6" fmla="*/ 149679 w 299357"/>
            <a:gd name="connsiteY6" fmla="*/ 576943 h 576943"/>
            <a:gd name="connsiteX7" fmla="*/ 0 w 299357"/>
            <a:gd name="connsiteY7" fmla="*/ 427265 h 57694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224518 w 299357"/>
            <a:gd name="connsiteY3" fmla="*/ 19050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157843 w 299357"/>
            <a:gd name="connsiteY3" fmla="*/ 28575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169749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1412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3176 h 602854"/>
            <a:gd name="connsiteX1" fmla="*/ 74839 w 299357"/>
            <a:gd name="connsiteY1" fmla="*/ 453176 h 602854"/>
            <a:gd name="connsiteX2" fmla="*/ 114129 w 299357"/>
            <a:gd name="connsiteY2" fmla="*/ 6861 h 602854"/>
            <a:gd name="connsiteX3" fmla="*/ 157842 w 299357"/>
            <a:gd name="connsiteY3" fmla="*/ 0 h 602854"/>
            <a:gd name="connsiteX4" fmla="*/ 224518 w 299357"/>
            <a:gd name="connsiteY4" fmla="*/ 453176 h 602854"/>
            <a:gd name="connsiteX5" fmla="*/ 299357 w 299357"/>
            <a:gd name="connsiteY5" fmla="*/ 453176 h 602854"/>
            <a:gd name="connsiteX6" fmla="*/ 149679 w 299357"/>
            <a:gd name="connsiteY6" fmla="*/ 602854 h 602854"/>
            <a:gd name="connsiteX7" fmla="*/ 0 w 299357"/>
            <a:gd name="connsiteY7" fmla="*/ 453176 h 602854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14129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7942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794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2008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1655 w 299357"/>
            <a:gd name="connsiteY3" fmla="*/ 1085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71054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68692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518012 h 667690"/>
            <a:gd name="connsiteX1" fmla="*/ 74839 w 299357"/>
            <a:gd name="connsiteY1" fmla="*/ 518012 h 667690"/>
            <a:gd name="connsiteX2" fmla="*/ 139768 w 299357"/>
            <a:gd name="connsiteY2" fmla="*/ 71697 h 667690"/>
            <a:gd name="connsiteX3" fmla="*/ 216192 w 299357"/>
            <a:gd name="connsiteY3" fmla="*/ 0 h 667690"/>
            <a:gd name="connsiteX4" fmla="*/ 224518 w 299357"/>
            <a:gd name="connsiteY4" fmla="*/ 518012 h 667690"/>
            <a:gd name="connsiteX5" fmla="*/ 299357 w 299357"/>
            <a:gd name="connsiteY5" fmla="*/ 518012 h 667690"/>
            <a:gd name="connsiteX6" fmla="*/ 149679 w 299357"/>
            <a:gd name="connsiteY6" fmla="*/ 667690 h 667690"/>
            <a:gd name="connsiteX7" fmla="*/ 0 w 299357"/>
            <a:gd name="connsiteY7" fmla="*/ 518012 h 66769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3712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6613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56707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3 h 602431"/>
            <a:gd name="connsiteX1" fmla="*/ 74839 w 299357"/>
            <a:gd name="connsiteY1" fmla="*/ 452753 h 602431"/>
            <a:gd name="connsiteX2" fmla="*/ 139768 w 299357"/>
            <a:gd name="connsiteY2" fmla="*/ 6438 h 602431"/>
            <a:gd name="connsiteX3" fmla="*/ 174173 w 299357"/>
            <a:gd name="connsiteY3" fmla="*/ 0 h 602431"/>
            <a:gd name="connsiteX4" fmla="*/ 224518 w 299357"/>
            <a:gd name="connsiteY4" fmla="*/ 452753 h 602431"/>
            <a:gd name="connsiteX5" fmla="*/ 299357 w 299357"/>
            <a:gd name="connsiteY5" fmla="*/ 452753 h 602431"/>
            <a:gd name="connsiteX6" fmla="*/ 149679 w 299357"/>
            <a:gd name="connsiteY6" fmla="*/ 602431 h 602431"/>
            <a:gd name="connsiteX7" fmla="*/ 0 w 299357"/>
            <a:gd name="connsiteY7" fmla="*/ 452753 h 602431"/>
            <a:gd name="connsiteX0" fmla="*/ 0 w 299357"/>
            <a:gd name="connsiteY0" fmla="*/ 446555 h 596233"/>
            <a:gd name="connsiteX1" fmla="*/ 74839 w 299357"/>
            <a:gd name="connsiteY1" fmla="*/ 446555 h 596233"/>
            <a:gd name="connsiteX2" fmla="*/ 139768 w 299357"/>
            <a:gd name="connsiteY2" fmla="*/ 240 h 596233"/>
            <a:gd name="connsiteX3" fmla="*/ 174173 w 299357"/>
            <a:gd name="connsiteY3" fmla="*/ 0 h 596233"/>
            <a:gd name="connsiteX4" fmla="*/ 224518 w 299357"/>
            <a:gd name="connsiteY4" fmla="*/ 446555 h 596233"/>
            <a:gd name="connsiteX5" fmla="*/ 299357 w 299357"/>
            <a:gd name="connsiteY5" fmla="*/ 446555 h 596233"/>
            <a:gd name="connsiteX6" fmla="*/ 149679 w 299357"/>
            <a:gd name="connsiteY6" fmla="*/ 596233 h 596233"/>
            <a:gd name="connsiteX7" fmla="*/ 0 w 299357"/>
            <a:gd name="connsiteY7" fmla="*/ 446555 h 59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99357" h="596233">
              <a:moveTo>
                <a:pt x="0" y="446555"/>
              </a:moveTo>
              <a:lnTo>
                <a:pt x="74839" y="446555"/>
              </a:lnTo>
              <a:lnTo>
                <a:pt x="139768" y="240"/>
              </a:lnTo>
              <a:lnTo>
                <a:pt x="174173" y="0"/>
              </a:lnTo>
              <a:lnTo>
                <a:pt x="224518" y="446555"/>
              </a:lnTo>
              <a:lnTo>
                <a:pt x="299357" y="446555"/>
              </a:lnTo>
              <a:lnTo>
                <a:pt x="149679" y="596233"/>
              </a:lnTo>
              <a:lnTo>
                <a:pt x="0" y="446555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/>
            <a:t>2</a:t>
          </a:r>
        </a:p>
      </xdr:txBody>
    </xdr:sp>
    <xdr:clientData/>
  </xdr:twoCellAnchor>
  <xdr:twoCellAnchor>
    <xdr:from>
      <xdr:col>16</xdr:col>
      <xdr:colOff>571500</xdr:colOff>
      <xdr:row>67</xdr:row>
      <xdr:rowOff>44822</xdr:rowOff>
    </xdr:from>
    <xdr:to>
      <xdr:col>17</xdr:col>
      <xdr:colOff>2539</xdr:colOff>
      <xdr:row>71</xdr:row>
      <xdr:rowOff>156881</xdr:rowOff>
    </xdr:to>
    <xdr:sp macro="" textlink="">
      <xdr:nvSpPr>
        <xdr:cNvPr id="23" name="Flèche : bas 21">
          <a:extLst>
            <a:ext uri="{FF2B5EF4-FFF2-40B4-BE49-F238E27FC236}">
              <a16:creationId xmlns:a16="http://schemas.microsoft.com/office/drawing/2014/main" id="{6728F0E1-F46C-49A3-A565-FE9BC9DFA56F}"/>
            </a:ext>
          </a:extLst>
        </xdr:cNvPr>
        <xdr:cNvSpPr/>
      </xdr:nvSpPr>
      <xdr:spPr>
        <a:xfrm>
          <a:off x="16685559" y="14153028"/>
          <a:ext cx="327509" cy="1098177"/>
        </a:xfrm>
        <a:custGeom>
          <a:avLst/>
          <a:gdLst>
            <a:gd name="connsiteX0" fmla="*/ 0 w 299357"/>
            <a:gd name="connsiteY0" fmla="*/ 427265 h 576943"/>
            <a:gd name="connsiteX1" fmla="*/ 74839 w 299357"/>
            <a:gd name="connsiteY1" fmla="*/ 427265 h 576943"/>
            <a:gd name="connsiteX2" fmla="*/ 74839 w 299357"/>
            <a:gd name="connsiteY2" fmla="*/ 0 h 576943"/>
            <a:gd name="connsiteX3" fmla="*/ 224518 w 299357"/>
            <a:gd name="connsiteY3" fmla="*/ 0 h 576943"/>
            <a:gd name="connsiteX4" fmla="*/ 224518 w 299357"/>
            <a:gd name="connsiteY4" fmla="*/ 427265 h 576943"/>
            <a:gd name="connsiteX5" fmla="*/ 299357 w 299357"/>
            <a:gd name="connsiteY5" fmla="*/ 427265 h 576943"/>
            <a:gd name="connsiteX6" fmla="*/ 149679 w 299357"/>
            <a:gd name="connsiteY6" fmla="*/ 576943 h 576943"/>
            <a:gd name="connsiteX7" fmla="*/ 0 w 299357"/>
            <a:gd name="connsiteY7" fmla="*/ 427265 h 57694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224518 w 299357"/>
            <a:gd name="connsiteY3" fmla="*/ 19050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157843 w 299357"/>
            <a:gd name="connsiteY3" fmla="*/ 28575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169749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1412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3176 h 602854"/>
            <a:gd name="connsiteX1" fmla="*/ 74839 w 299357"/>
            <a:gd name="connsiteY1" fmla="*/ 453176 h 602854"/>
            <a:gd name="connsiteX2" fmla="*/ 114129 w 299357"/>
            <a:gd name="connsiteY2" fmla="*/ 6861 h 602854"/>
            <a:gd name="connsiteX3" fmla="*/ 157842 w 299357"/>
            <a:gd name="connsiteY3" fmla="*/ 0 h 602854"/>
            <a:gd name="connsiteX4" fmla="*/ 224518 w 299357"/>
            <a:gd name="connsiteY4" fmla="*/ 453176 h 602854"/>
            <a:gd name="connsiteX5" fmla="*/ 299357 w 299357"/>
            <a:gd name="connsiteY5" fmla="*/ 453176 h 602854"/>
            <a:gd name="connsiteX6" fmla="*/ 149679 w 299357"/>
            <a:gd name="connsiteY6" fmla="*/ 602854 h 602854"/>
            <a:gd name="connsiteX7" fmla="*/ 0 w 299357"/>
            <a:gd name="connsiteY7" fmla="*/ 453176 h 602854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14129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7942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794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2008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1655 w 299357"/>
            <a:gd name="connsiteY3" fmla="*/ 1085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71054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68692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518012 h 667690"/>
            <a:gd name="connsiteX1" fmla="*/ 74839 w 299357"/>
            <a:gd name="connsiteY1" fmla="*/ 518012 h 667690"/>
            <a:gd name="connsiteX2" fmla="*/ 139768 w 299357"/>
            <a:gd name="connsiteY2" fmla="*/ 71697 h 667690"/>
            <a:gd name="connsiteX3" fmla="*/ 216192 w 299357"/>
            <a:gd name="connsiteY3" fmla="*/ 0 h 667690"/>
            <a:gd name="connsiteX4" fmla="*/ 224518 w 299357"/>
            <a:gd name="connsiteY4" fmla="*/ 518012 h 667690"/>
            <a:gd name="connsiteX5" fmla="*/ 299357 w 299357"/>
            <a:gd name="connsiteY5" fmla="*/ 518012 h 667690"/>
            <a:gd name="connsiteX6" fmla="*/ 149679 w 299357"/>
            <a:gd name="connsiteY6" fmla="*/ 667690 h 667690"/>
            <a:gd name="connsiteX7" fmla="*/ 0 w 299357"/>
            <a:gd name="connsiteY7" fmla="*/ 518012 h 66769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3712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6613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56707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3 h 602431"/>
            <a:gd name="connsiteX1" fmla="*/ 74839 w 299357"/>
            <a:gd name="connsiteY1" fmla="*/ 452753 h 602431"/>
            <a:gd name="connsiteX2" fmla="*/ 139768 w 299357"/>
            <a:gd name="connsiteY2" fmla="*/ 6438 h 602431"/>
            <a:gd name="connsiteX3" fmla="*/ 174173 w 299357"/>
            <a:gd name="connsiteY3" fmla="*/ 0 h 602431"/>
            <a:gd name="connsiteX4" fmla="*/ 224518 w 299357"/>
            <a:gd name="connsiteY4" fmla="*/ 452753 h 602431"/>
            <a:gd name="connsiteX5" fmla="*/ 299357 w 299357"/>
            <a:gd name="connsiteY5" fmla="*/ 452753 h 602431"/>
            <a:gd name="connsiteX6" fmla="*/ 149679 w 299357"/>
            <a:gd name="connsiteY6" fmla="*/ 602431 h 602431"/>
            <a:gd name="connsiteX7" fmla="*/ 0 w 299357"/>
            <a:gd name="connsiteY7" fmla="*/ 452753 h 602431"/>
            <a:gd name="connsiteX0" fmla="*/ 0 w 299357"/>
            <a:gd name="connsiteY0" fmla="*/ 446555 h 596233"/>
            <a:gd name="connsiteX1" fmla="*/ 74839 w 299357"/>
            <a:gd name="connsiteY1" fmla="*/ 446555 h 596233"/>
            <a:gd name="connsiteX2" fmla="*/ 139768 w 299357"/>
            <a:gd name="connsiteY2" fmla="*/ 240 h 596233"/>
            <a:gd name="connsiteX3" fmla="*/ 174173 w 299357"/>
            <a:gd name="connsiteY3" fmla="*/ 0 h 596233"/>
            <a:gd name="connsiteX4" fmla="*/ 224518 w 299357"/>
            <a:gd name="connsiteY4" fmla="*/ 446555 h 596233"/>
            <a:gd name="connsiteX5" fmla="*/ 299357 w 299357"/>
            <a:gd name="connsiteY5" fmla="*/ 446555 h 596233"/>
            <a:gd name="connsiteX6" fmla="*/ 149679 w 299357"/>
            <a:gd name="connsiteY6" fmla="*/ 596233 h 596233"/>
            <a:gd name="connsiteX7" fmla="*/ 0 w 299357"/>
            <a:gd name="connsiteY7" fmla="*/ 446555 h 59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99357" h="596233">
              <a:moveTo>
                <a:pt x="0" y="446555"/>
              </a:moveTo>
              <a:lnTo>
                <a:pt x="74839" y="446555"/>
              </a:lnTo>
              <a:lnTo>
                <a:pt x="139768" y="240"/>
              </a:lnTo>
              <a:lnTo>
                <a:pt x="174173" y="0"/>
              </a:lnTo>
              <a:lnTo>
                <a:pt x="224518" y="446555"/>
              </a:lnTo>
              <a:lnTo>
                <a:pt x="299357" y="446555"/>
              </a:lnTo>
              <a:lnTo>
                <a:pt x="149679" y="596233"/>
              </a:lnTo>
              <a:lnTo>
                <a:pt x="0" y="446555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16</xdr:col>
      <xdr:colOff>593911</xdr:colOff>
      <xdr:row>2</xdr:row>
      <xdr:rowOff>123266</xdr:rowOff>
    </xdr:from>
    <xdr:to>
      <xdr:col>17</xdr:col>
      <xdr:colOff>0</xdr:colOff>
      <xdr:row>11</xdr:row>
      <xdr:rowOff>112059</xdr:rowOff>
    </xdr:to>
    <xdr:sp macro="" textlink="">
      <xdr:nvSpPr>
        <xdr:cNvPr id="24" name="Flèche : bas 23">
          <a:extLst>
            <a:ext uri="{FF2B5EF4-FFF2-40B4-BE49-F238E27FC236}">
              <a16:creationId xmlns:a16="http://schemas.microsoft.com/office/drawing/2014/main" id="{13DB56C8-4E48-89E5-D4BF-5633B54A75D2}"/>
            </a:ext>
          </a:extLst>
        </xdr:cNvPr>
        <xdr:cNvSpPr/>
      </xdr:nvSpPr>
      <xdr:spPr>
        <a:xfrm>
          <a:off x="16707970" y="840442"/>
          <a:ext cx="302559" cy="2207558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/>
            <a:t>1</a:t>
          </a:r>
        </a:p>
      </xdr:txBody>
    </xdr:sp>
    <xdr:clientData/>
  </xdr:twoCellAnchor>
  <xdr:twoCellAnchor>
    <xdr:from>
      <xdr:col>16</xdr:col>
      <xdr:colOff>510988</xdr:colOff>
      <xdr:row>77</xdr:row>
      <xdr:rowOff>62753</xdr:rowOff>
    </xdr:from>
    <xdr:to>
      <xdr:col>16</xdr:col>
      <xdr:colOff>838497</xdr:colOff>
      <xdr:row>79</xdr:row>
      <xdr:rowOff>156884</xdr:rowOff>
    </xdr:to>
    <xdr:sp macro="" textlink="">
      <xdr:nvSpPr>
        <xdr:cNvPr id="25" name="Flèche : bas 21">
          <a:extLst>
            <a:ext uri="{FF2B5EF4-FFF2-40B4-BE49-F238E27FC236}">
              <a16:creationId xmlns:a16="http://schemas.microsoft.com/office/drawing/2014/main" id="{8DDEFA61-B48C-46AD-81D2-964143CFB691}"/>
            </a:ext>
          </a:extLst>
        </xdr:cNvPr>
        <xdr:cNvSpPr/>
      </xdr:nvSpPr>
      <xdr:spPr>
        <a:xfrm>
          <a:off x="16625047" y="16882782"/>
          <a:ext cx="327509" cy="587190"/>
        </a:xfrm>
        <a:custGeom>
          <a:avLst/>
          <a:gdLst>
            <a:gd name="connsiteX0" fmla="*/ 0 w 299357"/>
            <a:gd name="connsiteY0" fmla="*/ 427265 h 576943"/>
            <a:gd name="connsiteX1" fmla="*/ 74839 w 299357"/>
            <a:gd name="connsiteY1" fmla="*/ 427265 h 576943"/>
            <a:gd name="connsiteX2" fmla="*/ 74839 w 299357"/>
            <a:gd name="connsiteY2" fmla="*/ 0 h 576943"/>
            <a:gd name="connsiteX3" fmla="*/ 224518 w 299357"/>
            <a:gd name="connsiteY3" fmla="*/ 0 h 576943"/>
            <a:gd name="connsiteX4" fmla="*/ 224518 w 299357"/>
            <a:gd name="connsiteY4" fmla="*/ 427265 h 576943"/>
            <a:gd name="connsiteX5" fmla="*/ 299357 w 299357"/>
            <a:gd name="connsiteY5" fmla="*/ 427265 h 576943"/>
            <a:gd name="connsiteX6" fmla="*/ 149679 w 299357"/>
            <a:gd name="connsiteY6" fmla="*/ 576943 h 576943"/>
            <a:gd name="connsiteX7" fmla="*/ 0 w 299357"/>
            <a:gd name="connsiteY7" fmla="*/ 427265 h 57694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224518 w 299357"/>
            <a:gd name="connsiteY3" fmla="*/ 19050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157843 w 299357"/>
            <a:gd name="connsiteY3" fmla="*/ 28575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169749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1412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3176 h 602854"/>
            <a:gd name="connsiteX1" fmla="*/ 74839 w 299357"/>
            <a:gd name="connsiteY1" fmla="*/ 453176 h 602854"/>
            <a:gd name="connsiteX2" fmla="*/ 114129 w 299357"/>
            <a:gd name="connsiteY2" fmla="*/ 6861 h 602854"/>
            <a:gd name="connsiteX3" fmla="*/ 157842 w 299357"/>
            <a:gd name="connsiteY3" fmla="*/ 0 h 602854"/>
            <a:gd name="connsiteX4" fmla="*/ 224518 w 299357"/>
            <a:gd name="connsiteY4" fmla="*/ 453176 h 602854"/>
            <a:gd name="connsiteX5" fmla="*/ 299357 w 299357"/>
            <a:gd name="connsiteY5" fmla="*/ 453176 h 602854"/>
            <a:gd name="connsiteX6" fmla="*/ 149679 w 299357"/>
            <a:gd name="connsiteY6" fmla="*/ 602854 h 602854"/>
            <a:gd name="connsiteX7" fmla="*/ 0 w 299357"/>
            <a:gd name="connsiteY7" fmla="*/ 453176 h 602854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14129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7942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794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2008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1655 w 299357"/>
            <a:gd name="connsiteY3" fmla="*/ 1085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71054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68692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518012 h 667690"/>
            <a:gd name="connsiteX1" fmla="*/ 74839 w 299357"/>
            <a:gd name="connsiteY1" fmla="*/ 518012 h 667690"/>
            <a:gd name="connsiteX2" fmla="*/ 139768 w 299357"/>
            <a:gd name="connsiteY2" fmla="*/ 71697 h 667690"/>
            <a:gd name="connsiteX3" fmla="*/ 216192 w 299357"/>
            <a:gd name="connsiteY3" fmla="*/ 0 h 667690"/>
            <a:gd name="connsiteX4" fmla="*/ 224518 w 299357"/>
            <a:gd name="connsiteY4" fmla="*/ 518012 h 667690"/>
            <a:gd name="connsiteX5" fmla="*/ 299357 w 299357"/>
            <a:gd name="connsiteY5" fmla="*/ 518012 h 667690"/>
            <a:gd name="connsiteX6" fmla="*/ 149679 w 299357"/>
            <a:gd name="connsiteY6" fmla="*/ 667690 h 667690"/>
            <a:gd name="connsiteX7" fmla="*/ 0 w 299357"/>
            <a:gd name="connsiteY7" fmla="*/ 518012 h 66769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3712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6613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56707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3 h 602431"/>
            <a:gd name="connsiteX1" fmla="*/ 74839 w 299357"/>
            <a:gd name="connsiteY1" fmla="*/ 452753 h 602431"/>
            <a:gd name="connsiteX2" fmla="*/ 139768 w 299357"/>
            <a:gd name="connsiteY2" fmla="*/ 6438 h 602431"/>
            <a:gd name="connsiteX3" fmla="*/ 174173 w 299357"/>
            <a:gd name="connsiteY3" fmla="*/ 0 h 602431"/>
            <a:gd name="connsiteX4" fmla="*/ 224518 w 299357"/>
            <a:gd name="connsiteY4" fmla="*/ 452753 h 602431"/>
            <a:gd name="connsiteX5" fmla="*/ 299357 w 299357"/>
            <a:gd name="connsiteY5" fmla="*/ 452753 h 602431"/>
            <a:gd name="connsiteX6" fmla="*/ 149679 w 299357"/>
            <a:gd name="connsiteY6" fmla="*/ 602431 h 602431"/>
            <a:gd name="connsiteX7" fmla="*/ 0 w 299357"/>
            <a:gd name="connsiteY7" fmla="*/ 452753 h 602431"/>
            <a:gd name="connsiteX0" fmla="*/ 0 w 299357"/>
            <a:gd name="connsiteY0" fmla="*/ 446555 h 596233"/>
            <a:gd name="connsiteX1" fmla="*/ 74839 w 299357"/>
            <a:gd name="connsiteY1" fmla="*/ 446555 h 596233"/>
            <a:gd name="connsiteX2" fmla="*/ 139768 w 299357"/>
            <a:gd name="connsiteY2" fmla="*/ 240 h 596233"/>
            <a:gd name="connsiteX3" fmla="*/ 174173 w 299357"/>
            <a:gd name="connsiteY3" fmla="*/ 0 h 596233"/>
            <a:gd name="connsiteX4" fmla="*/ 224518 w 299357"/>
            <a:gd name="connsiteY4" fmla="*/ 446555 h 596233"/>
            <a:gd name="connsiteX5" fmla="*/ 299357 w 299357"/>
            <a:gd name="connsiteY5" fmla="*/ 446555 h 596233"/>
            <a:gd name="connsiteX6" fmla="*/ 149679 w 299357"/>
            <a:gd name="connsiteY6" fmla="*/ 596233 h 596233"/>
            <a:gd name="connsiteX7" fmla="*/ 0 w 299357"/>
            <a:gd name="connsiteY7" fmla="*/ 446555 h 59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99357" h="596233">
              <a:moveTo>
                <a:pt x="0" y="446555"/>
              </a:moveTo>
              <a:lnTo>
                <a:pt x="74839" y="446555"/>
              </a:lnTo>
              <a:lnTo>
                <a:pt x="139768" y="240"/>
              </a:lnTo>
              <a:lnTo>
                <a:pt x="174173" y="0"/>
              </a:lnTo>
              <a:lnTo>
                <a:pt x="224518" y="446555"/>
              </a:lnTo>
              <a:lnTo>
                <a:pt x="299357" y="446555"/>
              </a:lnTo>
              <a:lnTo>
                <a:pt x="149679" y="596233"/>
              </a:lnTo>
              <a:lnTo>
                <a:pt x="0" y="446555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E82C89EA-48D9-48CA-950A-7B882713D4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6EBBF1D8-5190-4250-85B8-2707F34B58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ACEBCE02-10F9-462F-9788-85A57CC21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23</xdr:row>
          <xdr:rowOff>161925</xdr:rowOff>
        </xdr:from>
        <xdr:to>
          <xdr:col>1</xdr:col>
          <xdr:colOff>771525</xdr:colOff>
          <xdr:row>26</xdr:row>
          <xdr:rowOff>123825</xdr:rowOff>
        </xdr:to>
        <xdr:sp macro="" textlink="">
          <xdr:nvSpPr>
            <xdr:cNvPr id="219146" name="Button 10" hidden="1">
              <a:extLst>
                <a:ext uri="{63B3BB69-23CF-44E3-9099-C40C66FF867C}">
                  <a14:compatExt spid="_x0000_s219146"/>
                </a:ext>
                <a:ext uri="{FF2B5EF4-FFF2-40B4-BE49-F238E27FC236}">
                  <a16:creationId xmlns:a16="http://schemas.microsoft.com/office/drawing/2014/main" id="{00000000-0008-0000-0300-00000A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les bureaux</a:t>
              </a:r>
            </a:p>
            <a:p>
              <a:pPr algn="ctr" rtl="0">
                <a:defRPr sz="1000"/>
              </a:pPr>
              <a:endParaRPr lang="fr-FR" sz="12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9B010AB7-3A9B-42CB-8F11-12F69EBB20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99C063A6-DE39-45C6-A1D3-0962CAD910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8B7D5B9E-DA28-4094-AB3E-48DC664053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D3B8FAD1-9592-422F-836C-9E9138880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85EE6162-8494-4A44-9976-237106C29A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0DE710B3-BC7A-44AE-AC1B-9C4413EE7C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9C59AA39-292A-4AF2-BCBF-0728E1A496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D64F441F-1922-45D9-8FDC-FD4E52E5C3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B7BECE37-C16C-487B-9CA3-6EEBA571AD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3134162A-A54C-47AC-AA2D-E00FBEF12E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031273BF-7BB5-439A-B0F1-6083733F84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80E576D4-DB21-4176-AA05-C012A02242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15632E39-BBAE-4477-89A2-E1D9D4CAB9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A3773D27-0CDF-46CD-8E99-1949CD1047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F26C13A5-5A07-40B8-A159-BE9DFC32C9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BFA251D8-E400-4B0A-B5B6-9C3D0D83A6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35B825F4-F33E-4FCD-ABD4-F767E1FB66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085D4968-CD91-4BAD-93AC-9C59472F3E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FBAAC671-35BB-497E-BB04-5134F3E14D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C34E0A6A-F30D-4214-A8D4-0B0D954037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0AE27664-9ECF-4229-90E2-AE43AC5B4E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E2BF755A-EA92-4554-A93F-2E8387AF46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8896DFAC-76DC-4BF0-B0E7-FB6D3257B6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9A75A56F-0EB0-47FA-B216-C5378D1AA5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039CECFC-57E6-4382-9B80-559C73A2C2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565C9069-E581-466F-B39F-F49FC6427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52884639-BB15-4032-A763-D7731ACAB3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4FE66478-27D9-46B4-92F7-411559A511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919B5639-798B-428E-BA65-0284CA5A26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ECAB4129-79D2-4EFD-B28B-3A201BE3F1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55FF010B-C128-46DB-867D-84C851521F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AAEF1E3D-7B16-42F8-B4C7-AC79BBEC9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B7644D3B-5FED-496E-B8BE-C98BE7D95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EBCDD28C-68B2-4C9D-9A19-8E2D80DE8D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3CA72AF5-FB69-4B12-89F7-74594684F5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0C4CD5A9-B1BC-4003-8374-D95A1241EA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émi Barbero" id="{B9D14DDA-5DA4-4748-A3A4-6D74DB2F48C1}" userId="S::remi.barbero@alumni.enac.fr::af27855e-84ee-4cac-afae-9f96b209abdd" providerId="AD"/>
</personList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2" dT="2025-03-13T15:05:52.99" personId="{B9D14DDA-5DA4-4748-A3A4-6D74DB2F48C1}" id="{FBD70714-D0BB-4AA6-BE65-3EED5D437171}" done="1">
    <text>Initialisation : remplir le nom des candidats</text>
  </threadedComment>
  <threadedComment ref="B3" dT="2025-08-05T09:31:20.57" personId="{B9D14DDA-5DA4-4748-A3A4-6D74DB2F48C1}" id="{BEEF2C17-5866-4F24-BA73-D4FBD2E5754A}" done="1">
    <text>Modifier ici le nom des bureaux de vote</text>
  </threadedComment>
  <threadedComment ref="C3" dT="2025-08-05T09:31:48.16" personId="{B9D14DDA-5DA4-4748-A3A4-6D74DB2F48C1}" id="{0A15DBED-F0B4-4A1F-B367-1AC56AF1364F}" done="1">
    <text>Modifier ici le nombre d’électeurs inscrits</text>
  </threadedComment>
  <threadedComment ref="B17" dT="2025-03-13T15:06:17.01" personId="{B9D14DDA-5DA4-4748-A3A4-6D74DB2F48C1}" id="{CDA59AD5-66A8-4316-9310-A9E77F6B23A5}" done="1">
    <text>Initialisation : Mettre à jour la date et le type d'élection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1" dT="2025-04-14T07:52:19.44" personId="{B9D14DDA-5DA4-4748-A3A4-6D74DB2F48C1}" id="{BFCB494A-5EEE-4582-8D8D-D7FC9A33F3A8}" done="1">
    <text>Nombre d'enveloppes distribuées</text>
  </threadedComment>
  <threadedComment ref="AA14" dT="2025-03-14T10:48:31.20" personId="{B9D14DDA-5DA4-4748-A3A4-6D74DB2F48C1}" id="{949660B2-4E61-494B-8030-5A8D962E3720}" done="1">
    <text>Si la case est jaune c'est que la participation est inférieure à l'heure précédente, c'est impossible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W3" dT="2025-07-15T12:34:37.15" personId="{B9D14DDA-5DA4-4748-A3A4-6D74DB2F48C1}" id="{EABFF79C-6F3E-45A7-AFDB-E16C33B25AA4}" done="1">
    <text>A l'ouverture du bureau il n'y a pas encore de vote</text>
  </threadedComment>
  <threadedComment ref="A7" dT="2025-04-14T11:49:35.58" personId="{B9D14DDA-5DA4-4748-A3A4-6D74DB2F48C1}" id="{015AC820-E43D-4952-9147-E1AB8B697D08}" done="1">
    <text>Nombre d'enveloppes et de bulletins sans enveloppe trouvés dans l'urne</text>
  </threadedComment>
  <threadedComment ref="B7" dT="2025-03-13T15:42:36.25" personId="{B9D14DDA-5DA4-4748-A3A4-6D74DB2F48C1}" id="{755B2C32-0CC1-4AB8-9943-9B321C73B956}" done="1">
    <text>Doit être égal à la participation horaire de cloture</text>
  </threadedComment>
  <threadedComment ref="A8" dT="2025-04-14T11:49:47.49" personId="{B9D14DDA-5DA4-4748-A3A4-6D74DB2F48C1}" id="{1E4F50FE-453F-4374-81CD-FED15F974F3D}" done="1">
    <text>Nombre de signatures sur le registre</text>
  </threadedComment>
  <threadedComment ref="B8" dT="2025-03-13T15:44:24.83" personId="{B9D14DDA-5DA4-4748-A3A4-6D74DB2F48C1}" id="{E0FD2FBA-4E1B-4572-A9D0-6315CEDAEDFE}" done="1">
    <text>Doit être normalement égal aux votants</text>
  </threadedComment>
  <threadedComment ref="Q13" dT="2025-04-14T12:15:13.05" personId="{B9D14DDA-5DA4-4748-A3A4-6D74DB2F48C1}" id="{22C51930-100C-4141-9123-FA056F76C484}" done="1">
    <text>Doit être égal au nombre de votants</text>
  </threadedComment>
  <threadedComment ref="J23" dT="2025-04-14T09:07:42.81" personId="{B9D14DDA-5DA4-4748-A3A4-6D74DB2F48C1}" id="{7B16B4CC-E443-48A6-9659-3BBEFC3ECC16}" done="1">
    <text>Nombre de centaines d'enveloppes nécessaires pour ce bureau</text>
  </threadedComment>
  <threadedComment ref="K23" dT="2025-04-24T12:32:34.89" personId="{B9D14DDA-5DA4-4748-A3A4-6D74DB2F48C1}" id="{3E003C7E-19BB-45E7-BEB5-218C116527E2}" done="1">
    <text>Index de la dernière centaine d'enveloppes</text>
  </threadedComment>
  <threadedComment ref="J24" dT="2025-04-24T12:31:05.29" personId="{B9D14DDA-5DA4-4748-A3A4-6D74DB2F48C1}" id="{5F46F273-6C46-4161-A494-247D2B6B31A3}" done="1">
    <text>Modulo 100 de la dernière centaine d'enveloppes</text>
  </threadedComment>
  <threadedComment ref="K24" dT="2025-08-05T07:48:39.46" personId="{B9D14DDA-5DA4-4748-A3A4-6D74DB2F48C1}" id="{0DF602ED-B4B4-48F8-A449-73B218BAB594}" done="1">
    <text>Nombre d’isoloirs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W3" dT="2025-07-15T12:34:37.15" personId="{B9D14DDA-5DA4-4748-A3A4-6D74DB2F48C1}" id="{46628604-0487-48E5-9F91-EB4DC295F616}" done="1">
    <text>A l'ouverture du bureau il n'y a pas encore de vote</text>
  </threadedComment>
  <threadedComment ref="A7" dT="2025-04-14T11:49:35.58" personId="{B9D14DDA-5DA4-4748-A3A4-6D74DB2F48C1}" id="{3C2CC6FF-8C99-4A54-98E3-A431EBC691A8}" done="1">
    <text>Nombre d'enveloppes et de bulletins sans enveloppe trouvés dans l'urne</text>
  </threadedComment>
  <threadedComment ref="B7" dT="2025-03-13T15:42:36.25" personId="{B9D14DDA-5DA4-4748-A3A4-6D74DB2F48C1}" id="{93982A39-4621-44E5-8C69-626D3330A120}" done="1">
    <text>Doit être égal à la participation horaire de cloture</text>
  </threadedComment>
  <threadedComment ref="A8" dT="2025-04-14T11:49:47.49" personId="{B9D14DDA-5DA4-4748-A3A4-6D74DB2F48C1}" id="{E1A34A79-66F1-423A-99B8-E0FFB0DFE7CF}" done="1">
    <text>Nombre de signatures sur le registre</text>
  </threadedComment>
  <threadedComment ref="B8" dT="2025-03-13T15:44:24.83" personId="{B9D14DDA-5DA4-4748-A3A4-6D74DB2F48C1}" id="{7CCA1500-31AA-4CA5-A934-61260FF84EC0}" done="1">
    <text>Doit être normalement égal aux votants</text>
  </threadedComment>
  <threadedComment ref="Q13" dT="2025-04-14T12:15:13.05" personId="{B9D14DDA-5DA4-4748-A3A4-6D74DB2F48C1}" id="{F45EA83B-F2A7-4B0E-A9DC-7FB934E46695}" done="1">
    <text>Doit être égal au nombre de votants</text>
  </threadedComment>
  <threadedComment ref="J23" dT="2025-04-14T09:07:42.81" personId="{B9D14DDA-5DA4-4748-A3A4-6D74DB2F48C1}" id="{BD3C10F1-FEEF-4E9E-94C9-D4F9E0A553EB}" done="1">
    <text>Nombre de centaines d'enveloppes nécessaires pour ce bureau</text>
  </threadedComment>
  <threadedComment ref="K23" dT="2025-04-24T12:32:34.89" personId="{B9D14DDA-5DA4-4748-A3A4-6D74DB2F48C1}" id="{8635CE1D-3F46-42B6-AEEE-24746F82AF72}" done="1">
    <text>Index de la dernière centaine d'enveloppes</text>
  </threadedComment>
  <threadedComment ref="J24" dT="2025-04-24T12:31:05.29" personId="{B9D14DDA-5DA4-4748-A3A4-6D74DB2F48C1}" id="{2FCCA48F-2713-4355-98C8-DDE96C91DF85}" done="1">
    <text>Modulo 100 de la dernière centaine d'enveloppes</text>
  </threadedComment>
  <threadedComment ref="K24" dT="2025-08-05T07:48:39.46" personId="{B9D14DDA-5DA4-4748-A3A4-6D74DB2F48C1}" id="{D1C968E7-4EBA-455E-9F8B-28FA89205B94}" done="1">
    <text>Nombre d’isoloirs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W3" dT="2025-07-15T12:34:37.15" personId="{B9D14DDA-5DA4-4748-A3A4-6D74DB2F48C1}" id="{8B7E238F-62B1-4F4A-812E-D1185EE9116C}" done="1">
    <text>A l'ouverture du bureau il n'y a pas encore de vote</text>
  </threadedComment>
  <threadedComment ref="A7" dT="2025-04-14T11:49:35.58" personId="{B9D14DDA-5DA4-4748-A3A4-6D74DB2F48C1}" id="{D1D2F0E3-F8B7-4FFC-85D4-385992F86A57}" done="1">
    <text>Nombre d'enveloppes et de bulletins sans enveloppe trouvés dans l'urne</text>
  </threadedComment>
  <threadedComment ref="B7" dT="2025-03-13T15:42:36.25" personId="{B9D14DDA-5DA4-4748-A3A4-6D74DB2F48C1}" id="{262AA855-BDD2-4761-AFBA-494EF9B2291D}" done="1">
    <text>Doit être égal à la participation horaire de cloture</text>
  </threadedComment>
  <threadedComment ref="A8" dT="2025-04-14T11:49:47.49" personId="{B9D14DDA-5DA4-4748-A3A4-6D74DB2F48C1}" id="{DF436966-1183-4C7F-A423-DECD0AE5A167}" done="1">
    <text>Nombre de signatures sur le registre</text>
  </threadedComment>
  <threadedComment ref="B8" dT="2025-03-13T15:44:24.83" personId="{B9D14DDA-5DA4-4748-A3A4-6D74DB2F48C1}" id="{0D63D70D-02DE-4FA0-9E9D-EBFE023DE982}" done="1">
    <text>Doit être normalement égal aux votants</text>
  </threadedComment>
  <threadedComment ref="Q13" dT="2025-04-14T12:15:13.05" personId="{B9D14DDA-5DA4-4748-A3A4-6D74DB2F48C1}" id="{B78E9291-DDAD-4ADE-B918-F534E1B6CA36}" done="1">
    <text>Doit être égal au nombre de votants</text>
  </threadedComment>
  <threadedComment ref="J23" dT="2025-04-14T09:07:42.81" personId="{B9D14DDA-5DA4-4748-A3A4-6D74DB2F48C1}" id="{2460B4AB-300C-4CA6-86D1-267578C653EA}" done="1">
    <text>Nombre de centaines d'enveloppes nécessaires pour ce bureau</text>
  </threadedComment>
  <threadedComment ref="K23" dT="2025-04-24T12:32:34.89" personId="{B9D14DDA-5DA4-4748-A3A4-6D74DB2F48C1}" id="{3909B7BB-8C23-473F-8125-519D40498D04}" done="1">
    <text>Index de la dernière centaine d'enveloppes</text>
  </threadedComment>
  <threadedComment ref="J24" dT="2025-04-24T12:31:05.29" personId="{B9D14DDA-5DA4-4748-A3A4-6D74DB2F48C1}" id="{27BBF8AD-0F82-44EB-8699-E8623846D335}" done="1">
    <text>Modulo 100 de la dernière centaine d'enveloppes</text>
  </threadedComment>
  <threadedComment ref="K24" dT="2025-08-05T07:48:39.46" personId="{B9D14DDA-5DA4-4748-A3A4-6D74DB2F48C1}" id="{FD77D589-B254-487D-8F08-D6162004AD98}" done="1">
    <text>Nombre d’isoloirs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W3" dT="2025-07-15T12:34:37.15" personId="{B9D14DDA-5DA4-4748-A3A4-6D74DB2F48C1}" id="{03696251-9552-47B0-931A-DDF0084A7D21}" done="1">
    <text>A l'ouverture du bureau il n'y a pas encore de vote</text>
  </threadedComment>
  <threadedComment ref="A7" dT="2025-04-14T11:49:35.58" personId="{B9D14DDA-5DA4-4748-A3A4-6D74DB2F48C1}" id="{55FEBF05-4DAA-439F-8E0E-FAD29F8D0E0F}" done="1">
    <text>Nombre d'enveloppes et de bulletins sans enveloppe trouvés dans l'urne</text>
  </threadedComment>
  <threadedComment ref="B7" dT="2025-03-13T15:42:36.25" personId="{B9D14DDA-5DA4-4748-A3A4-6D74DB2F48C1}" id="{B83BD131-1ED0-498D-925C-0DFDD8BEDAC8}" done="1">
    <text>Doit être égal à la participation horaire de cloture</text>
  </threadedComment>
  <threadedComment ref="A8" dT="2025-04-14T11:49:47.49" personId="{B9D14DDA-5DA4-4748-A3A4-6D74DB2F48C1}" id="{43CE248D-D5AD-48E3-AAF9-6D5843CE80D3}" done="1">
    <text>Nombre de signatures sur le registre</text>
  </threadedComment>
  <threadedComment ref="B8" dT="2025-03-13T15:44:24.83" personId="{B9D14DDA-5DA4-4748-A3A4-6D74DB2F48C1}" id="{637F58F2-F7C8-424B-B6D5-D4F3B99DDC7C}" done="1">
    <text>Doit être normalement égal aux votants</text>
  </threadedComment>
  <threadedComment ref="Q13" dT="2025-04-14T12:15:13.05" personId="{B9D14DDA-5DA4-4748-A3A4-6D74DB2F48C1}" id="{AB3C4904-811F-4AA7-9631-D868E1C331B3}" done="1">
    <text>Doit être égal au nombre de votants</text>
  </threadedComment>
  <threadedComment ref="J23" dT="2025-04-14T09:07:42.81" personId="{B9D14DDA-5DA4-4748-A3A4-6D74DB2F48C1}" id="{88E99258-AA10-4432-988A-69E1E8D57D42}" done="1">
    <text>Nombre de centaines d'enveloppes nécessaires pour ce bureau</text>
  </threadedComment>
  <threadedComment ref="K23" dT="2025-04-24T12:32:34.89" personId="{B9D14DDA-5DA4-4748-A3A4-6D74DB2F48C1}" id="{ECFFD9E0-539D-4121-AAF3-8B6E6DF876A0}" done="1">
    <text>Index de la dernière centaine d'enveloppes</text>
  </threadedComment>
  <threadedComment ref="J24" dT="2025-04-24T12:31:05.29" personId="{B9D14DDA-5DA4-4748-A3A4-6D74DB2F48C1}" id="{EF2187B3-DC35-4800-855A-C1CC024B96C5}" done="1">
    <text>Modulo 100 de la dernière centaine d'enveloppes</text>
  </threadedComment>
  <threadedComment ref="K24" dT="2025-08-05T07:48:39.46" personId="{B9D14DDA-5DA4-4748-A3A4-6D74DB2F48C1}" id="{5EAC7BC8-408E-482E-A2BB-D1B5FAAF8B07}" done="1">
    <text>Nombre d’isoloirs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W3" dT="2025-07-15T12:34:37.15" personId="{B9D14DDA-5DA4-4748-A3A4-6D74DB2F48C1}" id="{D7A2B567-BAE0-4856-A45E-2387CB4014E3}" done="1">
    <text>A l'ouverture du bureau il n'y a pas encore de vote</text>
  </threadedComment>
  <threadedComment ref="A7" dT="2025-04-14T11:49:35.58" personId="{B9D14DDA-5DA4-4748-A3A4-6D74DB2F48C1}" id="{7E84F794-6EAD-44FA-8D4B-15CE9BBB8AEF}" done="1">
    <text>Nombre d'enveloppes et de bulletins sans enveloppe trouvés dans l'urne</text>
  </threadedComment>
  <threadedComment ref="B7" dT="2025-03-13T15:42:36.25" personId="{B9D14DDA-5DA4-4748-A3A4-6D74DB2F48C1}" id="{612D019A-F46C-4720-AE83-E5313FD82943}" done="1">
    <text>Doit être égal à la participation horaire de cloture</text>
  </threadedComment>
  <threadedComment ref="A8" dT="2025-04-14T11:49:47.49" personId="{B9D14DDA-5DA4-4748-A3A4-6D74DB2F48C1}" id="{097BC1E0-99D4-4340-A0EC-6C36E8082D57}" done="1">
    <text>Nombre de signatures sur le registre</text>
  </threadedComment>
  <threadedComment ref="B8" dT="2025-03-13T15:44:24.83" personId="{B9D14DDA-5DA4-4748-A3A4-6D74DB2F48C1}" id="{0E5BB4EF-71A8-49F4-844E-847085A8E76E}" done="1">
    <text>Doit être normalement égal aux votants</text>
  </threadedComment>
  <threadedComment ref="Q13" dT="2025-04-14T12:15:13.05" personId="{B9D14DDA-5DA4-4748-A3A4-6D74DB2F48C1}" id="{CF0C19A6-D3E1-415C-AB1B-2393F052CF7E}" done="1">
    <text>Doit être égal au nombre de votants</text>
  </threadedComment>
  <threadedComment ref="J23" dT="2025-04-14T09:07:42.81" personId="{B9D14DDA-5DA4-4748-A3A4-6D74DB2F48C1}" id="{FD2C5762-0344-4E01-9866-052E07CB2AC2}" done="1">
    <text>Nombre de centaines d'enveloppes nécessaires pour ce bureau</text>
  </threadedComment>
  <threadedComment ref="K23" dT="2025-04-24T12:32:34.89" personId="{B9D14DDA-5DA4-4748-A3A4-6D74DB2F48C1}" id="{0E0FFA92-AEB5-4178-A28A-2263B8393173}" done="1">
    <text>Index de la dernière centaine d'enveloppes</text>
  </threadedComment>
  <threadedComment ref="J24" dT="2025-04-24T12:31:05.29" personId="{B9D14DDA-5DA4-4748-A3A4-6D74DB2F48C1}" id="{25C86034-9EF1-469D-AFE0-F9B11942E4BC}" done="1">
    <text>Modulo 100 de la dernière centaine d'enveloppes</text>
  </threadedComment>
  <threadedComment ref="K24" dT="2025-08-05T07:48:39.46" personId="{B9D14DDA-5DA4-4748-A3A4-6D74DB2F48C1}" id="{AFE5EC4A-B173-412D-B153-54C898FA2283}" done="1">
    <text>Nombre d’isoloirs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W3" dT="2025-07-15T12:34:37.15" personId="{B9D14DDA-5DA4-4748-A3A4-6D74DB2F48C1}" id="{EB92FFC1-745E-4B2C-A682-5D83808936F4}" done="1">
    <text>A l'ouverture du bureau il n'y a pas encore de vote</text>
  </threadedComment>
  <threadedComment ref="A7" dT="2025-04-14T11:49:35.58" personId="{B9D14DDA-5DA4-4748-A3A4-6D74DB2F48C1}" id="{59C0FAAF-DDD2-4AED-AEAA-54BFD709851A}" done="1">
    <text>Nombre d'enveloppes et de bulletins sans enveloppe trouvés dans l'urne</text>
  </threadedComment>
  <threadedComment ref="B7" dT="2025-03-13T15:42:36.25" personId="{B9D14DDA-5DA4-4748-A3A4-6D74DB2F48C1}" id="{D3AFC576-EED4-4409-9C2F-31E9982BD543}" done="1">
    <text>Doit être égal à la participation horaire de cloture</text>
  </threadedComment>
  <threadedComment ref="A8" dT="2025-04-14T11:49:47.49" personId="{B9D14DDA-5DA4-4748-A3A4-6D74DB2F48C1}" id="{71B44E47-B292-4C41-9D0F-79B39DE0E13E}" done="1">
    <text>Nombre de signatures sur le registre</text>
  </threadedComment>
  <threadedComment ref="B8" dT="2025-03-13T15:44:24.83" personId="{B9D14DDA-5DA4-4748-A3A4-6D74DB2F48C1}" id="{D1C61B1B-59C7-4407-BDDB-A200B1A4DF63}" done="1">
    <text>Doit être normalement égal aux votants</text>
  </threadedComment>
  <threadedComment ref="Q13" dT="2025-04-14T12:15:13.05" personId="{B9D14DDA-5DA4-4748-A3A4-6D74DB2F48C1}" id="{F42C1104-9ABC-4A6B-816B-766C93BA4AC3}" done="1">
    <text>Doit être égal au nombre de votants</text>
  </threadedComment>
  <threadedComment ref="J23" dT="2025-04-14T09:07:42.81" personId="{B9D14DDA-5DA4-4748-A3A4-6D74DB2F48C1}" id="{969F2451-7C23-449F-80E8-E28F9A31D24A}" done="1">
    <text>Nombre de centaines d'enveloppes nécessaires pour ce bureau</text>
  </threadedComment>
  <threadedComment ref="K23" dT="2025-04-24T12:32:34.89" personId="{B9D14DDA-5DA4-4748-A3A4-6D74DB2F48C1}" id="{5B1B98C6-D5B0-49E5-84D3-AE9E9405F82A}" done="1">
    <text>Index de la dernière centaine d'enveloppes</text>
  </threadedComment>
  <threadedComment ref="J24" dT="2025-04-24T12:31:05.29" personId="{B9D14DDA-5DA4-4748-A3A4-6D74DB2F48C1}" id="{6EB3558D-4600-49E5-9099-F1670C77866C}" done="1">
    <text>Modulo 100 de la dernière centaine d'enveloppes</text>
  </threadedComment>
  <threadedComment ref="K24" dT="2025-08-05T07:48:39.46" personId="{B9D14DDA-5DA4-4748-A3A4-6D74DB2F48C1}" id="{4DD3910E-2B36-4A1B-8B4C-7461850ACE61}" done="1">
    <text>Nombre d’isoloirs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W3" dT="2025-07-15T12:34:37.15" personId="{B9D14DDA-5DA4-4748-A3A4-6D74DB2F48C1}" id="{510E267C-2AE7-422E-A86A-D654D51FC390}" done="1">
    <text>A l'ouverture du bureau il n'y a pas encore de vote</text>
  </threadedComment>
  <threadedComment ref="A7" dT="2025-04-14T11:49:35.58" personId="{B9D14DDA-5DA4-4748-A3A4-6D74DB2F48C1}" id="{539CD928-B1DD-4611-8FF2-7BEA848CB67C}" done="1">
    <text>Nombre d'enveloppes et de bulletins sans enveloppe trouvés dans l'urne</text>
  </threadedComment>
  <threadedComment ref="B7" dT="2025-03-13T15:42:36.25" personId="{B9D14DDA-5DA4-4748-A3A4-6D74DB2F48C1}" id="{21D37C1F-4C9F-4F4D-BD25-24512475E44B}" done="1">
    <text>Doit être égal à la participation horaire de cloture</text>
  </threadedComment>
  <threadedComment ref="A8" dT="2025-04-14T11:49:47.49" personId="{B9D14DDA-5DA4-4748-A3A4-6D74DB2F48C1}" id="{5F57138C-649B-44C7-9002-9BC9982BBCFF}" done="1">
    <text>Nombre de signatures sur le registre</text>
  </threadedComment>
  <threadedComment ref="B8" dT="2025-03-13T15:44:24.83" personId="{B9D14DDA-5DA4-4748-A3A4-6D74DB2F48C1}" id="{1C537DA6-1025-4F33-B944-AD02CAD9B032}" done="1">
    <text>Doit être normalement égal aux votants</text>
  </threadedComment>
  <threadedComment ref="Q13" dT="2025-04-14T12:15:13.05" personId="{B9D14DDA-5DA4-4748-A3A4-6D74DB2F48C1}" id="{6E08A2F6-F5E9-4AF7-A9D0-8185EE6C33A5}" done="1">
    <text>Doit être égal au nombre de votants</text>
  </threadedComment>
  <threadedComment ref="J23" dT="2025-04-14T09:07:42.81" personId="{B9D14DDA-5DA4-4748-A3A4-6D74DB2F48C1}" id="{6A8DBE19-C025-496B-B3DD-CFC2CFC49A30}" done="1">
    <text>Nombre de centaines d'enveloppes nécessaires pour ce bureau</text>
  </threadedComment>
  <threadedComment ref="K23" dT="2025-04-24T12:32:34.89" personId="{B9D14DDA-5DA4-4748-A3A4-6D74DB2F48C1}" id="{2B28F767-923E-4A74-BBFB-5C156F9EB8B9}" done="1">
    <text>Index de la dernière centaine d'enveloppes</text>
  </threadedComment>
  <threadedComment ref="J24" dT="2025-04-24T12:31:05.29" personId="{B9D14DDA-5DA4-4748-A3A4-6D74DB2F48C1}" id="{2E3628EA-E7E0-4A91-8DB7-53F268C070D3}" done="1">
    <text>Modulo 100 de la dernière centaine d'enveloppes</text>
  </threadedComment>
  <threadedComment ref="K24" dT="2025-08-05T07:48:39.46" personId="{B9D14DDA-5DA4-4748-A3A4-6D74DB2F48C1}" id="{6DEEE427-6DD3-47E8-9F38-5135A32D1BAD}" done="1">
    <text>Nombre d’isoloirs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W3" dT="2025-07-15T12:34:37.15" personId="{B9D14DDA-5DA4-4748-A3A4-6D74DB2F48C1}" id="{47F57784-EFDB-4DD3-A1E3-15A220AFF42A}" done="1">
    <text>A l'ouverture du bureau il n'y a pas encore de vote</text>
  </threadedComment>
  <threadedComment ref="A7" dT="2025-04-14T11:49:35.58" personId="{B9D14DDA-5DA4-4748-A3A4-6D74DB2F48C1}" id="{8529A98C-E7C3-44B2-9105-56F6DC2981AA}" done="1">
    <text>Nombre d'enveloppes et de bulletins sans enveloppe trouvés dans l'urne</text>
  </threadedComment>
  <threadedComment ref="B7" dT="2025-03-13T15:42:36.25" personId="{B9D14DDA-5DA4-4748-A3A4-6D74DB2F48C1}" id="{04B1B963-FF7B-4276-9031-B9D6FE1FAED8}" done="1">
    <text>Doit être égal à la participation horaire de cloture</text>
  </threadedComment>
  <threadedComment ref="A8" dT="2025-04-14T11:49:47.49" personId="{B9D14DDA-5DA4-4748-A3A4-6D74DB2F48C1}" id="{C629A44E-6917-405C-8CB3-A21D0BF98785}" done="1">
    <text>Nombre de signatures sur le registre</text>
  </threadedComment>
  <threadedComment ref="B8" dT="2025-03-13T15:44:24.83" personId="{B9D14DDA-5DA4-4748-A3A4-6D74DB2F48C1}" id="{8819A485-0609-403F-95E6-B26FAE4ECF59}" done="1">
    <text>Doit être normalement égal aux votants</text>
  </threadedComment>
  <threadedComment ref="Q13" dT="2025-04-14T12:15:13.05" personId="{B9D14DDA-5DA4-4748-A3A4-6D74DB2F48C1}" id="{05B093BF-884D-4651-B1FB-FB49A0104F1E}" done="1">
    <text>Doit être égal au nombre de votants</text>
  </threadedComment>
  <threadedComment ref="J23" dT="2025-04-14T09:07:42.81" personId="{B9D14DDA-5DA4-4748-A3A4-6D74DB2F48C1}" id="{0FAEA01E-510C-4D75-9674-DEBC50EAF0D8}" done="1">
    <text>Nombre de centaines d'enveloppes nécessaires pour ce bureau</text>
  </threadedComment>
  <threadedComment ref="K23" dT="2025-04-24T12:32:34.89" personId="{B9D14DDA-5DA4-4748-A3A4-6D74DB2F48C1}" id="{B0389F30-5C41-4648-A336-0396B04C22A7}" done="1">
    <text>Index de la dernière centaine d'enveloppes</text>
  </threadedComment>
  <threadedComment ref="J24" dT="2025-04-24T12:31:05.29" personId="{B9D14DDA-5DA4-4748-A3A4-6D74DB2F48C1}" id="{D1A625CE-A475-4DC6-BD62-07D4143A61C2}" done="1">
    <text>Modulo 100 de la dernière centaine d'enveloppes</text>
  </threadedComment>
  <threadedComment ref="K24" dT="2025-08-05T07:48:39.46" personId="{B9D14DDA-5DA4-4748-A3A4-6D74DB2F48C1}" id="{FB5CEEEB-B87B-4F85-981C-11DB389FE626}" done="1">
    <text>Nombre d’isoloirs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W3" dT="2025-07-15T12:34:37.15" personId="{B9D14DDA-5DA4-4748-A3A4-6D74DB2F48C1}" id="{270FBF95-31F5-418C-A55B-84D1C4B3337D}" done="1">
    <text>A l'ouverture du bureau il n'y a pas encore de vote</text>
  </threadedComment>
  <threadedComment ref="A7" dT="2025-04-14T11:49:35.58" personId="{B9D14DDA-5DA4-4748-A3A4-6D74DB2F48C1}" id="{BBA7D7A6-C296-4FB2-B3C0-A376940E10E7}" done="1">
    <text>Nombre d'enveloppes et de bulletins sans enveloppe trouvés dans l'urne</text>
  </threadedComment>
  <threadedComment ref="B7" dT="2025-03-13T15:42:36.25" personId="{B9D14DDA-5DA4-4748-A3A4-6D74DB2F48C1}" id="{39BA5C21-859D-47D5-8A41-C64561BD8FE4}" done="1">
    <text>Doit être égal à la participation horaire de cloture</text>
  </threadedComment>
  <threadedComment ref="A8" dT="2025-04-14T11:49:47.49" personId="{B9D14DDA-5DA4-4748-A3A4-6D74DB2F48C1}" id="{E72AD13F-F4CB-47AD-980C-0BB03335BC98}" done="1">
    <text>Nombre de signatures sur le registre</text>
  </threadedComment>
  <threadedComment ref="B8" dT="2025-03-13T15:44:24.83" personId="{B9D14DDA-5DA4-4748-A3A4-6D74DB2F48C1}" id="{AE756DEF-4A58-44C2-89F9-119A65A22324}" done="1">
    <text>Doit être normalement égal aux votants</text>
  </threadedComment>
  <threadedComment ref="Q13" dT="2025-04-14T12:15:13.05" personId="{B9D14DDA-5DA4-4748-A3A4-6D74DB2F48C1}" id="{D20F040E-F953-4B43-A742-9EAAC98213E2}" done="1">
    <text>Doit être égal au nombre de votants</text>
  </threadedComment>
  <threadedComment ref="J23" dT="2025-04-14T09:07:42.81" personId="{B9D14DDA-5DA4-4748-A3A4-6D74DB2F48C1}" id="{7E8B6331-258D-4612-BA25-3F75E994FD3B}" done="1">
    <text>Nombre de centaines d'enveloppes nécessaires pour ce bureau</text>
  </threadedComment>
  <threadedComment ref="K23" dT="2025-04-24T12:32:34.89" personId="{B9D14DDA-5DA4-4748-A3A4-6D74DB2F48C1}" id="{25F37D48-5F04-4300-86DB-444647E7AB16}" done="1">
    <text>Index de la dernière centaine d'enveloppes</text>
  </threadedComment>
  <threadedComment ref="J24" dT="2025-04-24T12:31:05.29" personId="{B9D14DDA-5DA4-4748-A3A4-6D74DB2F48C1}" id="{D1C4E541-043A-4711-BB35-630DDA773756}" done="1">
    <text>Modulo 100 de la dernière centaine d'enveloppes</text>
  </threadedComment>
  <threadedComment ref="K24" dT="2025-08-05T07:48:39.46" personId="{B9D14DDA-5DA4-4748-A3A4-6D74DB2F48C1}" id="{7029A70D-75A2-4445-93F7-F6058DD1EFC6}" done="1">
    <text>Nombre d’isoloirs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W3" dT="2025-07-15T12:34:37.15" personId="{B9D14DDA-5DA4-4748-A3A4-6D74DB2F48C1}" id="{B7EF1D04-632C-47E4-934F-795E0EE64343}" done="1">
    <text>A l'ouverture du bureau il n'y a pas encore de vote</text>
  </threadedComment>
  <threadedComment ref="A7" dT="2025-04-14T11:49:35.58" personId="{B9D14DDA-5DA4-4748-A3A4-6D74DB2F48C1}" id="{DEE721F6-47DE-48DA-9156-97FF73FCF0BC}" done="1">
    <text>Nombre d'enveloppes et de bulletins sans enveloppe trouvés dans l'urne</text>
  </threadedComment>
  <threadedComment ref="B7" dT="2025-03-13T15:42:36.25" personId="{B9D14DDA-5DA4-4748-A3A4-6D74DB2F48C1}" id="{4E945FFD-B7B7-4EA7-8D38-ABE845553B3C}" done="1">
    <text>Doit être égal à la participation horaire de cloture</text>
  </threadedComment>
  <threadedComment ref="A8" dT="2025-04-14T11:49:47.49" personId="{B9D14DDA-5DA4-4748-A3A4-6D74DB2F48C1}" id="{D01A61ED-6DEC-4909-AFA2-7047E7F31535}" done="1">
    <text>Nombre de signatures sur le registre</text>
  </threadedComment>
  <threadedComment ref="B8" dT="2025-03-13T15:44:24.83" personId="{B9D14DDA-5DA4-4748-A3A4-6D74DB2F48C1}" id="{83700426-46BD-4467-A2DC-4DA52D885655}" done="1">
    <text>Doit être normalement égal aux votants</text>
  </threadedComment>
  <threadedComment ref="Q13" dT="2025-04-14T12:15:13.05" personId="{B9D14DDA-5DA4-4748-A3A4-6D74DB2F48C1}" id="{EF8097AF-A06E-4CE6-83B6-6942726A2D45}" done="1">
    <text>Doit être égal au nombre de votants</text>
  </threadedComment>
  <threadedComment ref="J23" dT="2025-04-14T09:07:42.81" personId="{B9D14DDA-5DA4-4748-A3A4-6D74DB2F48C1}" id="{CACF9F67-A70F-48C7-BBEF-7B82B4A9EA3C}" done="1">
    <text>Nombre de centaines d'enveloppes nécessaires pour ce bureau</text>
  </threadedComment>
  <threadedComment ref="K23" dT="2025-04-24T12:32:34.89" personId="{B9D14DDA-5DA4-4748-A3A4-6D74DB2F48C1}" id="{C3D42F9A-3048-4DBD-95E9-3F5F5AE4732E}" done="1">
    <text>Index de la dernière centaine d'enveloppes</text>
  </threadedComment>
  <threadedComment ref="J24" dT="2025-04-24T12:31:05.29" personId="{B9D14DDA-5DA4-4748-A3A4-6D74DB2F48C1}" id="{C45F6B46-73DB-4E7F-B0CE-4C61B53EC36A}" done="1">
    <text>Modulo 100 de la dernière centaine d'enveloppes</text>
  </threadedComment>
  <threadedComment ref="K24" dT="2025-08-05T07:48:39.46" personId="{B9D14DDA-5DA4-4748-A3A4-6D74DB2F48C1}" id="{63DFEA75-922E-4945-9FA8-AE49B7C842E5}" done="1">
    <text>Nombre d’isoloirs</text>
  </threadedComment>
</ThreadedComments>
</file>

<file path=xl/threadedComments/threadedComment13.xml><?xml version="1.0" encoding="utf-8"?>
<ThreadedComments xmlns="http://schemas.microsoft.com/office/spreadsheetml/2018/threadedcomments" xmlns:x="http://schemas.openxmlformats.org/spreadsheetml/2006/main">
  <threadedComment ref="W3" dT="2025-07-15T12:34:37.15" personId="{B9D14DDA-5DA4-4748-A3A4-6D74DB2F48C1}" id="{FD44A7C4-057C-45C9-997A-19A0E200DF14}" done="1">
    <text>A l'ouverture du bureau il n'y a pas encore de vote</text>
  </threadedComment>
  <threadedComment ref="A7" dT="2025-04-14T11:49:35.58" personId="{B9D14DDA-5DA4-4748-A3A4-6D74DB2F48C1}" id="{B4C44523-BE68-465D-86F8-834B5C331C0D}" done="1">
    <text>Nombre d'enveloppes et de bulletins sans enveloppe trouvés dans l'urne</text>
  </threadedComment>
  <threadedComment ref="B7" dT="2025-03-13T15:42:36.25" personId="{B9D14DDA-5DA4-4748-A3A4-6D74DB2F48C1}" id="{38A53580-A2C2-4ACC-BF97-BCEFB8FEC5BD}" done="1">
    <text>Doit être égal à la participation horaire de cloture</text>
  </threadedComment>
  <threadedComment ref="A8" dT="2025-04-14T11:49:47.49" personId="{B9D14DDA-5DA4-4748-A3A4-6D74DB2F48C1}" id="{57859405-AC4A-4D3F-B999-494261CD36BB}" done="1">
    <text>Nombre de signatures sur le registre</text>
  </threadedComment>
  <threadedComment ref="B8" dT="2025-03-13T15:44:24.83" personId="{B9D14DDA-5DA4-4748-A3A4-6D74DB2F48C1}" id="{BB64CD38-D469-49CF-86FF-B3E5E5BBEC61}" done="1">
    <text>Doit être normalement égal aux votants</text>
  </threadedComment>
  <threadedComment ref="Q13" dT="2025-04-14T12:15:13.05" personId="{B9D14DDA-5DA4-4748-A3A4-6D74DB2F48C1}" id="{86EDA3BB-AE28-4AFB-AD38-2D71F19CFDD7}" done="1">
    <text>Doit être égal au nombre de votants</text>
  </threadedComment>
  <threadedComment ref="J23" dT="2025-04-14T09:07:42.81" personId="{B9D14DDA-5DA4-4748-A3A4-6D74DB2F48C1}" id="{D34B915B-F92F-4411-92DC-F5AE8515791B}" done="1">
    <text>Nombre de centaines d'enveloppes nécessaires pour ce bureau</text>
  </threadedComment>
  <threadedComment ref="K23" dT="2025-04-24T12:32:34.89" personId="{B9D14DDA-5DA4-4748-A3A4-6D74DB2F48C1}" id="{CBF5031D-68D5-41F0-89A0-0A0373856DB0}" done="1">
    <text>Index de la dernière centaine d'enveloppes</text>
  </threadedComment>
  <threadedComment ref="J24" dT="2025-04-24T12:31:05.29" personId="{B9D14DDA-5DA4-4748-A3A4-6D74DB2F48C1}" id="{1FFCAF78-4382-4825-9569-1F5D9713C63D}" done="1">
    <text>Modulo 100 de la dernière centaine d'enveloppes</text>
  </threadedComment>
  <threadedComment ref="K24" dT="2025-08-05T07:48:39.46" personId="{B9D14DDA-5DA4-4748-A3A4-6D74DB2F48C1}" id="{9066C57E-CBA8-4232-BCFA-5EBC097CCD99}" done="1">
    <text>Nombre d’isoloirs</text>
  </threadedComment>
</ThreadedComments>
</file>

<file path=xl/threadedComments/threadedComment14.xml><?xml version="1.0" encoding="utf-8"?>
<ThreadedComments xmlns="http://schemas.microsoft.com/office/spreadsheetml/2018/threadedcomments" xmlns:x="http://schemas.openxmlformats.org/spreadsheetml/2006/main">
  <threadedComment ref="W3" dT="2025-07-15T12:34:37.15" personId="{B9D14DDA-5DA4-4748-A3A4-6D74DB2F48C1}" id="{8920E805-1754-4D49-8D6F-F5C71D416310}" done="1">
    <text>A l'ouverture du bureau il n'y a pas encore de vote</text>
  </threadedComment>
  <threadedComment ref="A7" dT="2025-04-14T11:49:35.58" personId="{B9D14DDA-5DA4-4748-A3A4-6D74DB2F48C1}" id="{B5D5DFF5-1268-4B83-8AA0-3A3325E8A68A}" done="1">
    <text>Nombre d'enveloppes et de bulletins sans enveloppe trouvés dans l'urne</text>
  </threadedComment>
  <threadedComment ref="B7" dT="2025-03-13T15:42:36.25" personId="{B9D14DDA-5DA4-4748-A3A4-6D74DB2F48C1}" id="{9922F008-AD5D-48BE-96D7-323D44419372}" done="1">
    <text>Doit être égal à la participation horaire de cloture</text>
  </threadedComment>
  <threadedComment ref="A8" dT="2025-04-14T11:49:47.49" personId="{B9D14DDA-5DA4-4748-A3A4-6D74DB2F48C1}" id="{D5F6011B-68A6-4144-B298-1669F2BD7A8A}" done="1">
    <text>Nombre de signatures sur le registre</text>
  </threadedComment>
  <threadedComment ref="B8" dT="2025-03-13T15:44:24.83" personId="{B9D14DDA-5DA4-4748-A3A4-6D74DB2F48C1}" id="{EEFD6116-0413-4BAB-A4F8-909255124687}" done="1">
    <text>Doit être normalement égal aux votants</text>
  </threadedComment>
  <threadedComment ref="Q13" dT="2025-04-14T12:15:13.05" personId="{B9D14DDA-5DA4-4748-A3A4-6D74DB2F48C1}" id="{8DBF7DD0-7196-4D13-B8AE-19E16996BA10}" done="1">
    <text>Doit être égal au nombre de votants</text>
  </threadedComment>
  <threadedComment ref="J23" dT="2025-04-14T09:07:42.81" personId="{B9D14DDA-5DA4-4748-A3A4-6D74DB2F48C1}" id="{DA81DC79-5354-447C-99D8-0A4A4938A79B}" done="1">
    <text>Nombre de centaines d'enveloppes nécessaires pour ce bureau</text>
  </threadedComment>
  <threadedComment ref="K23" dT="2025-04-24T12:32:34.89" personId="{B9D14DDA-5DA4-4748-A3A4-6D74DB2F48C1}" id="{763AC4E8-9626-4B92-BCEB-C0D94921A669}" done="1">
    <text>Index de la dernière centaine d'enveloppes</text>
  </threadedComment>
  <threadedComment ref="J24" dT="2025-04-24T12:31:05.29" personId="{B9D14DDA-5DA4-4748-A3A4-6D74DB2F48C1}" id="{BAD00248-6EDF-4FD4-B250-68B7EF8AE2DB}" done="1">
    <text>Modulo 100 de la dernière centaine d'enveloppes</text>
  </threadedComment>
  <threadedComment ref="K24" dT="2025-08-05T07:48:39.46" personId="{B9D14DDA-5DA4-4748-A3A4-6D74DB2F48C1}" id="{07024ED8-55B0-4588-B61A-A5AE6871BD27}" done="1">
    <text>Nombre d’isoloirs</text>
  </threadedComment>
</ThreadedComments>
</file>

<file path=xl/threadedComments/threadedComment15.xml><?xml version="1.0" encoding="utf-8"?>
<ThreadedComments xmlns="http://schemas.microsoft.com/office/spreadsheetml/2018/threadedcomments" xmlns:x="http://schemas.openxmlformats.org/spreadsheetml/2006/main">
  <threadedComment ref="W3" dT="2025-07-15T12:34:37.15" personId="{B9D14DDA-5DA4-4748-A3A4-6D74DB2F48C1}" id="{C8ADFAD7-C4E1-4AA8-A0AD-A687C7D4D897}" done="1">
    <text>A l'ouverture du bureau il n'y a pas encore de vote</text>
  </threadedComment>
  <threadedComment ref="A7" dT="2025-04-14T11:49:35.58" personId="{B9D14DDA-5DA4-4748-A3A4-6D74DB2F48C1}" id="{5B4552A9-9A83-4929-91D4-BA0DAA110C37}" done="1">
    <text>Nombre d'enveloppes et de bulletins sans enveloppe trouvés dans l'urne</text>
  </threadedComment>
  <threadedComment ref="B7" dT="2025-03-13T15:42:36.25" personId="{B9D14DDA-5DA4-4748-A3A4-6D74DB2F48C1}" id="{81961C11-9B52-4CBA-A70C-61E01166C763}" done="1">
    <text>Doit être égal à la participation horaire de cloture</text>
  </threadedComment>
  <threadedComment ref="A8" dT="2025-04-14T11:49:47.49" personId="{B9D14DDA-5DA4-4748-A3A4-6D74DB2F48C1}" id="{28EF928E-C550-40B6-93B9-4D6DFBC51517}" done="1">
    <text>Nombre de signatures sur le registre</text>
  </threadedComment>
  <threadedComment ref="B8" dT="2025-03-13T15:44:24.83" personId="{B9D14DDA-5DA4-4748-A3A4-6D74DB2F48C1}" id="{CE31D96D-9F85-4271-B359-247EEAC3CCE9}" done="1">
    <text>Doit être normalement égal aux votants</text>
  </threadedComment>
  <threadedComment ref="Q13" dT="2025-04-14T12:15:13.05" personId="{B9D14DDA-5DA4-4748-A3A4-6D74DB2F48C1}" id="{071EA5D3-825F-4263-93DD-885A131B1CCD}" done="1">
    <text>Doit être égal au nombre de votants</text>
  </threadedComment>
  <threadedComment ref="J23" dT="2025-04-14T09:07:42.81" personId="{B9D14DDA-5DA4-4748-A3A4-6D74DB2F48C1}" id="{D0F0BA0D-AA3F-48DC-84EF-52EBF9413498}" done="1">
    <text>Nombre de centaines d'enveloppes nécessaires pour ce bureau</text>
  </threadedComment>
  <threadedComment ref="K23" dT="2025-04-24T12:32:34.89" personId="{B9D14DDA-5DA4-4748-A3A4-6D74DB2F48C1}" id="{C2C0FAB5-15E3-4520-94D8-54E69D02CBA3}" done="1">
    <text>Index de la dernière centaine d'enveloppes</text>
  </threadedComment>
  <threadedComment ref="J24" dT="2025-04-24T12:31:05.29" personId="{B9D14DDA-5DA4-4748-A3A4-6D74DB2F48C1}" id="{254A8EBD-C531-4B70-BA38-6BBA70C97FB8}" done="1">
    <text>Modulo 100 de la dernière centaine d'enveloppes</text>
  </threadedComment>
  <threadedComment ref="K24" dT="2025-08-05T07:48:39.46" personId="{B9D14DDA-5DA4-4748-A3A4-6D74DB2F48C1}" id="{9DA97FF6-676B-4A47-AEA5-6CBE4F695937}" done="1">
    <text>Nombre d’isoloirs</text>
  </threadedComment>
</ThreadedComments>
</file>

<file path=xl/threadedComments/threadedComment16.xml><?xml version="1.0" encoding="utf-8"?>
<ThreadedComments xmlns="http://schemas.microsoft.com/office/spreadsheetml/2018/threadedcomments" xmlns:x="http://schemas.openxmlformats.org/spreadsheetml/2006/main">
  <threadedComment ref="W3" dT="2025-07-15T12:34:37.15" personId="{B9D14DDA-5DA4-4748-A3A4-6D74DB2F48C1}" id="{AC492618-97AB-4696-A144-6120C0CC7A69}" done="1">
    <text>A l'ouverture du bureau il n'y a pas encore de vote</text>
  </threadedComment>
  <threadedComment ref="A7" dT="2025-04-14T11:49:35.58" personId="{B9D14DDA-5DA4-4748-A3A4-6D74DB2F48C1}" id="{6DC782A4-EB07-451E-95D0-B7F0E374CB4E}" done="1">
    <text>Nombre d'enveloppes et de bulletins sans enveloppe trouvés dans l'urne</text>
  </threadedComment>
  <threadedComment ref="B7" dT="2025-03-13T15:42:36.25" personId="{B9D14DDA-5DA4-4748-A3A4-6D74DB2F48C1}" id="{3118F0FB-2FB5-4A87-953B-7C4A3F936BB7}" done="1">
    <text>Doit être égal à la participation horaire de cloture</text>
  </threadedComment>
  <threadedComment ref="A8" dT="2025-04-14T11:49:47.49" personId="{B9D14DDA-5DA4-4748-A3A4-6D74DB2F48C1}" id="{8897D4DB-4684-440B-9BD2-75BD357BF88D}" done="1">
    <text>Nombre de signatures sur le registre</text>
  </threadedComment>
  <threadedComment ref="B8" dT="2025-03-13T15:44:24.83" personId="{B9D14DDA-5DA4-4748-A3A4-6D74DB2F48C1}" id="{00914631-BEC1-4910-BE48-AC8303380DEA}" done="1">
    <text>Doit être normalement égal aux votants</text>
  </threadedComment>
  <threadedComment ref="Q13" dT="2025-04-14T12:15:13.05" personId="{B9D14DDA-5DA4-4748-A3A4-6D74DB2F48C1}" id="{8D55AD11-BEC6-4EEA-B670-26F56F8F6FC2}" done="1">
    <text>Doit être égal au nombre de votants</text>
  </threadedComment>
  <threadedComment ref="J23" dT="2025-04-14T09:07:42.81" personId="{B9D14DDA-5DA4-4748-A3A4-6D74DB2F48C1}" id="{F74AAEF6-1E95-40C8-95BC-633C0A91E78D}" done="1">
    <text>Nombre de centaines d'enveloppes nécessaires pour ce bureau</text>
  </threadedComment>
  <threadedComment ref="K23" dT="2025-04-24T12:32:34.89" personId="{B9D14DDA-5DA4-4748-A3A4-6D74DB2F48C1}" id="{F3035C9C-D739-420E-91C2-F90A06281BD8}" done="1">
    <text>Index de la dernière centaine d'enveloppes</text>
  </threadedComment>
  <threadedComment ref="J24" dT="2025-04-24T12:31:05.29" personId="{B9D14DDA-5DA4-4748-A3A4-6D74DB2F48C1}" id="{D178C518-B17E-4D89-8F3F-8AF2425CEF7E}" done="1">
    <text>Modulo 100 de la dernière centaine d'enveloppes</text>
  </threadedComment>
  <threadedComment ref="K24" dT="2025-08-05T07:48:39.46" personId="{B9D14DDA-5DA4-4748-A3A4-6D74DB2F48C1}" id="{4F34D5CE-375B-4F25-AC71-BA82C7222A0B}" done="1">
    <text>Nombre d’isoloirs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7/10/relationships/threadedComment" Target="../threadedComments/threadedComment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microsoft.com/office/2017/10/relationships/threadedComment" Target="../threadedComments/threadedComment10.xml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2.xml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microsoft.com/office/2017/10/relationships/threadedComment" Target="../threadedComments/threadedComment13.xml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microsoft.com/office/2017/10/relationships/threadedComment" Target="../threadedComments/threadedComment14.xml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microsoft.com/office/2017/10/relationships/threadedComment" Target="../threadedComments/threadedComment15.xml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microsoft.com/office/2017/10/relationships/threadedComment" Target="../threadedComments/threadedComment16.xml"/><Relationship Id="rId4" Type="http://schemas.openxmlformats.org/officeDocument/2006/relationships/comments" Target="../comments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theme="4" tint="-0.499984740745262"/>
    <outlinePr summaryBelow="0" summaryRight="0"/>
    <pageSetUpPr fitToPage="1"/>
  </sheetPr>
  <dimension ref="A1:W32"/>
  <sheetViews>
    <sheetView zoomScale="90" zoomScaleNormal="90" workbookViewId="0">
      <pane xSplit="2" topLeftCell="C1" activePane="topRight" state="frozen"/>
      <selection pane="topRight" activeCell="J19" sqref="J19"/>
    </sheetView>
  </sheetViews>
  <sheetFormatPr baseColWidth="10" defaultColWidth="12.5703125" defaultRowHeight="15.75" customHeight="1" x14ac:dyDescent="0.2"/>
  <cols>
    <col min="1" max="1" width="7.42578125" customWidth="1"/>
    <col min="2" max="2" width="17.7109375" customWidth="1"/>
    <col min="3" max="3" width="10" customWidth="1"/>
    <col min="4" max="4" width="14.140625" customWidth="1"/>
    <col min="5" max="5" width="10.140625" customWidth="1"/>
    <col min="6" max="6" width="11.5703125" customWidth="1"/>
    <col min="7" max="7" width="8.28515625" customWidth="1"/>
    <col min="8" max="8" width="9.42578125" customWidth="1"/>
    <col min="9" max="9" width="10.42578125" customWidth="1"/>
    <col min="10" max="10" width="13" customWidth="1"/>
    <col min="11" max="11" width="14.7109375" customWidth="1"/>
    <col min="12" max="21" width="15.7109375" customWidth="1"/>
  </cols>
  <sheetData>
    <row r="1" spans="1:23" ht="13.5" thickBot="1" x14ac:dyDescent="0.25">
      <c r="A1" s="248"/>
      <c r="B1" s="249"/>
      <c r="C1" s="248"/>
      <c r="D1" s="248"/>
      <c r="E1" s="248"/>
      <c r="F1" s="248"/>
      <c r="G1" s="248"/>
      <c r="H1" s="248"/>
      <c r="I1" s="248"/>
      <c r="J1" s="248"/>
      <c r="K1" s="248"/>
      <c r="L1" s="257">
        <v>1</v>
      </c>
      <c r="M1" s="250">
        <v>2</v>
      </c>
      <c r="N1" s="250">
        <v>3</v>
      </c>
      <c r="O1" s="250">
        <v>4</v>
      </c>
      <c r="P1" s="250">
        <v>5</v>
      </c>
      <c r="Q1" s="251">
        <v>6</v>
      </c>
      <c r="R1" s="251">
        <v>7</v>
      </c>
      <c r="S1" s="251">
        <v>8</v>
      </c>
      <c r="T1" s="251">
        <v>9</v>
      </c>
      <c r="U1" s="251">
        <v>10</v>
      </c>
      <c r="V1" s="335" t="s">
        <v>7</v>
      </c>
    </row>
    <row r="2" spans="1:23" ht="42.75" customHeight="1" thickBot="1" x14ac:dyDescent="0.25">
      <c r="A2" s="344" t="s">
        <v>98</v>
      </c>
      <c r="B2" s="288" t="s">
        <v>24</v>
      </c>
      <c r="C2" s="289" t="s">
        <v>0</v>
      </c>
      <c r="D2" s="259" t="s">
        <v>1</v>
      </c>
      <c r="E2" s="260" t="s">
        <v>2</v>
      </c>
      <c r="F2" s="261" t="s">
        <v>17</v>
      </c>
      <c r="G2" s="262" t="s">
        <v>3</v>
      </c>
      <c r="H2" s="260" t="s">
        <v>4</v>
      </c>
      <c r="I2" s="260" t="s">
        <v>5</v>
      </c>
      <c r="J2" s="263" t="s">
        <v>6</v>
      </c>
      <c r="K2" s="264" t="s">
        <v>99</v>
      </c>
      <c r="L2" s="296" t="s">
        <v>69</v>
      </c>
      <c r="M2" s="297" t="s">
        <v>100</v>
      </c>
      <c r="N2" s="298" t="s">
        <v>70</v>
      </c>
      <c r="O2" s="299" t="s">
        <v>71</v>
      </c>
      <c r="P2" s="300" t="s">
        <v>72</v>
      </c>
      <c r="Q2" s="301" t="s">
        <v>73</v>
      </c>
      <c r="R2" s="302" t="s">
        <v>74</v>
      </c>
      <c r="S2" s="303" t="s">
        <v>75</v>
      </c>
      <c r="T2" s="304" t="s">
        <v>76</v>
      </c>
      <c r="U2" s="348" t="s">
        <v>77</v>
      </c>
      <c r="V2" s="333" t="s">
        <v>8</v>
      </c>
    </row>
    <row r="3" spans="1:23" ht="12.75" x14ac:dyDescent="0.2">
      <c r="A3" s="345">
        <v>1</v>
      </c>
      <c r="B3" s="290" t="s">
        <v>67</v>
      </c>
      <c r="C3" s="291">
        <v>506</v>
      </c>
      <c r="D3" s="265" cm="1">
        <f t="array" aca="1" ref="D3" ca="1">INDIRECT("'Bureau " &amp; ROW()-2 &amp; "'!$B$8")</f>
        <v>0</v>
      </c>
      <c r="E3" s="266" cm="1">
        <f t="array" aca="1" ref="E3" ca="1">INDIRECT("'Bureau " &amp; ROW()-2 &amp; "'!$B$7")</f>
        <v>0</v>
      </c>
      <c r="F3" s="267">
        <f t="shared" ref="F3:F14" ca="1" si="0">C3-E3</f>
        <v>506</v>
      </c>
      <c r="G3" s="265">
        <f t="shared" ref="G3:G14" ca="1" si="1">INDEX(INDIRECT("'Bureau " &amp; ROW()-2 &amp; "'!O:O"), MATCH("TOTAL", INDIRECT("'Bureau " &amp; ROW() -2&amp; "'!D:D"), 0))</f>
        <v>0</v>
      </c>
      <c r="H3" s="268">
        <f t="shared" ref="H3:H14" ca="1" si="2">INDEX(INDIRECT("'Bureau " &amp; ROW()-2 &amp; "'!P:P"), MATCH("TOTAL", INDIRECT("'Bureau " &amp; ROW() -2&amp; "'!D:D"), 0))</f>
        <v>0</v>
      </c>
      <c r="I3" s="269">
        <f t="shared" ref="I3:I14" ca="1" si="3">E3-G3-H3</f>
        <v>0</v>
      </c>
      <c r="J3" s="270">
        <f t="shared" ref="J3:J14" ca="1" si="4">E3/C3</f>
        <v>0</v>
      </c>
      <c r="K3" s="271">
        <f t="shared" ref="K3:K14" ca="1" si="5">F3/C3</f>
        <v>1</v>
      </c>
      <c r="L3" s="305">
        <f t="shared" ref="L3:L14" ca="1" si="6">INDEX(INDIRECT("'Bureau " &amp; ROW()-2 &amp; "'!E:E"), MATCH("TOTAL", INDIRECT("'Bureau " &amp; ROW() -2&amp; "'!D:D"), 0))</f>
        <v>0</v>
      </c>
      <c r="M3" s="306">
        <f t="shared" ref="M3:M14" ca="1" si="7">INDEX(INDIRECT("'Bureau " &amp; ROW()-2 &amp; "'!F:F"), MATCH("TOTAL", INDIRECT("'Bureau " &amp; ROW() -2&amp; "'!D:D"), 0))</f>
        <v>0</v>
      </c>
      <c r="N3" s="306">
        <f t="shared" ref="N3:N14" ca="1" si="8">INDEX(INDIRECT("'Bureau " &amp; ROW()-2 &amp; "'!G:G"), MATCH("TOTAL", INDIRECT("'Bureau " &amp; ROW() -2&amp; "'!D:D"), 0))</f>
        <v>0</v>
      </c>
      <c r="O3" s="306">
        <f t="shared" ref="O3:O14" ca="1" si="9">INDEX(INDIRECT("'Bureau " &amp; ROW()-2 &amp; "'!H:H"), MATCH("TOTAL", INDIRECT("'Bureau " &amp; ROW() -2&amp; "'!D:D"), 0))</f>
        <v>0</v>
      </c>
      <c r="P3" s="306">
        <f t="shared" ref="P3:P14" ca="1" si="10">INDEX(INDIRECT("'Bureau " &amp; ROW()-2 &amp; "'!I:I"), MATCH("TOTAL", INDIRECT("'Bureau " &amp; ROW() -2&amp; "'!D:D"), 0))</f>
        <v>0</v>
      </c>
      <c r="Q3" s="307">
        <f t="shared" ref="Q3:Q14" ca="1" si="11">INDEX(INDIRECT("'Bureau " &amp; ROW()-2 &amp; "'!J:J"), MATCH("TOTAL", INDIRECT("'Bureau " &amp; ROW() -2&amp; "'!D:D"), 0))</f>
        <v>0</v>
      </c>
      <c r="R3" s="307">
        <f t="shared" ref="R3:R14" ca="1" si="12">INDEX(INDIRECT("'Bureau " &amp; ROW()-2 &amp; "'!K:K"), MATCH("TOTAL", INDIRECT("'Bureau " &amp; ROW() -2&amp; "'!D:D"), 0))</f>
        <v>0</v>
      </c>
      <c r="S3" s="307">
        <f t="shared" ref="S3:S14" ca="1" si="13">INDEX(INDIRECT("'Bureau " &amp; ROW()-2 &amp; "'!L:L"), MATCH("TOTAL", INDIRECT("'Bureau " &amp; ROW() -2&amp; "'!D:D"), 0))</f>
        <v>0</v>
      </c>
      <c r="T3" s="307">
        <f t="shared" ref="T3:T14" ca="1" si="14">INDEX(INDIRECT("'Bureau " &amp; ROW()-2 &amp; "'!M:M"), MATCH("TOTAL", INDIRECT("'Bureau " &amp; ROW() -2&amp; "'!D:D"), 0))</f>
        <v>0</v>
      </c>
      <c r="U3" s="349">
        <f t="shared" ref="U3:U14" ca="1" si="15">INDEX(INDIRECT("'Bureau " &amp; ROW()-2 &amp; "'!N:N"), MATCH("TOTAL", INDIRECT("'Bureau " &amp; ROW() -2&amp; "'!D:D"), 0))</f>
        <v>0</v>
      </c>
      <c r="V3" s="332" cm="1">
        <f t="array" aca="1" ref="V3" ca="1">SUM(IFERROR(L3:U3,0))</f>
        <v>0</v>
      </c>
    </row>
    <row r="4" spans="1:23" ht="12.75" x14ac:dyDescent="0.2">
      <c r="A4" s="346">
        <v>2</v>
      </c>
      <c r="B4" s="292" t="s">
        <v>27</v>
      </c>
      <c r="C4" s="293">
        <v>700</v>
      </c>
      <c r="D4" s="272" cm="1">
        <f t="array" aca="1" ref="D4" ca="1">INDIRECT("'Bureau " &amp; ROW()-2 &amp; "'!$B$8")</f>
        <v>0</v>
      </c>
      <c r="E4" s="273" cm="1">
        <f t="array" aca="1" ref="E4" ca="1">INDIRECT("'Bureau " &amp; ROW()-2 &amp; "'!$B$7")</f>
        <v>0</v>
      </c>
      <c r="F4" s="274">
        <f t="shared" ca="1" si="0"/>
        <v>700</v>
      </c>
      <c r="G4" s="275">
        <f t="shared" ca="1" si="1"/>
        <v>0</v>
      </c>
      <c r="H4" s="276">
        <f t="shared" ca="1" si="2"/>
        <v>0</v>
      </c>
      <c r="I4" s="277">
        <f t="shared" ca="1" si="3"/>
        <v>0</v>
      </c>
      <c r="J4" s="278">
        <f t="shared" ca="1" si="4"/>
        <v>0</v>
      </c>
      <c r="K4" s="279">
        <f t="shared" ca="1" si="5"/>
        <v>1</v>
      </c>
      <c r="L4" s="308">
        <f t="shared" ca="1" si="6"/>
        <v>0</v>
      </c>
      <c r="M4" s="309">
        <f t="shared" ca="1" si="7"/>
        <v>0</v>
      </c>
      <c r="N4" s="309">
        <f t="shared" ca="1" si="8"/>
        <v>0</v>
      </c>
      <c r="O4" s="309">
        <f t="shared" ca="1" si="9"/>
        <v>0</v>
      </c>
      <c r="P4" s="309">
        <f t="shared" ca="1" si="10"/>
        <v>0</v>
      </c>
      <c r="Q4" s="310">
        <f t="shared" ca="1" si="11"/>
        <v>0</v>
      </c>
      <c r="R4" s="310">
        <f t="shared" ca="1" si="12"/>
        <v>0</v>
      </c>
      <c r="S4" s="310">
        <f t="shared" ca="1" si="13"/>
        <v>0</v>
      </c>
      <c r="T4" s="310">
        <f t="shared" ca="1" si="14"/>
        <v>0</v>
      </c>
      <c r="U4" s="350">
        <f t="shared" ca="1" si="15"/>
        <v>0</v>
      </c>
      <c r="V4" s="331" cm="1">
        <f t="array" aca="1" ref="V4" ca="1">SUM(IFERROR(L4:U4,0))</f>
        <v>0</v>
      </c>
    </row>
    <row r="5" spans="1:23" ht="12.75" x14ac:dyDescent="0.2">
      <c r="A5" s="346">
        <v>3</v>
      </c>
      <c r="B5" s="292" t="s">
        <v>27</v>
      </c>
      <c r="C5" s="293">
        <v>669</v>
      </c>
      <c r="D5" s="272" cm="1">
        <f t="array" aca="1" ref="D5" ca="1">INDIRECT("'Bureau " &amp; ROW()-2 &amp; "'!$B$8")</f>
        <v>0</v>
      </c>
      <c r="E5" s="273" cm="1">
        <f t="array" aca="1" ref="E5" ca="1">INDIRECT("'Bureau " &amp; ROW()-2 &amp; "'!$B$7")</f>
        <v>0</v>
      </c>
      <c r="F5" s="274">
        <f t="shared" ca="1" si="0"/>
        <v>669</v>
      </c>
      <c r="G5" s="275">
        <f t="shared" ca="1" si="1"/>
        <v>0</v>
      </c>
      <c r="H5" s="276">
        <f t="shared" ca="1" si="2"/>
        <v>0</v>
      </c>
      <c r="I5" s="277">
        <f t="shared" ca="1" si="3"/>
        <v>0</v>
      </c>
      <c r="J5" s="278">
        <f t="shared" ca="1" si="4"/>
        <v>0</v>
      </c>
      <c r="K5" s="279">
        <f t="shared" ca="1" si="5"/>
        <v>1</v>
      </c>
      <c r="L5" s="308">
        <f t="shared" ca="1" si="6"/>
        <v>0</v>
      </c>
      <c r="M5" s="309">
        <f t="shared" ca="1" si="7"/>
        <v>0</v>
      </c>
      <c r="N5" s="309">
        <f t="shared" ca="1" si="8"/>
        <v>0</v>
      </c>
      <c r="O5" s="309">
        <f t="shared" ca="1" si="9"/>
        <v>0</v>
      </c>
      <c r="P5" s="309">
        <f t="shared" ca="1" si="10"/>
        <v>0</v>
      </c>
      <c r="Q5" s="310">
        <f t="shared" ca="1" si="11"/>
        <v>0</v>
      </c>
      <c r="R5" s="310">
        <f t="shared" ca="1" si="12"/>
        <v>0</v>
      </c>
      <c r="S5" s="310">
        <f t="shared" ca="1" si="13"/>
        <v>0</v>
      </c>
      <c r="T5" s="310">
        <f t="shared" ca="1" si="14"/>
        <v>0</v>
      </c>
      <c r="U5" s="350">
        <f t="shared" ca="1" si="15"/>
        <v>0</v>
      </c>
      <c r="V5" s="331" cm="1">
        <f t="array" aca="1" ref="V5" ca="1">SUM(IFERROR(L5:U5,0))</f>
        <v>0</v>
      </c>
    </row>
    <row r="6" spans="1:23" ht="12.75" x14ac:dyDescent="0.2">
      <c r="A6" s="346">
        <v>4</v>
      </c>
      <c r="B6" s="292" t="s">
        <v>27</v>
      </c>
      <c r="C6" s="293">
        <v>651</v>
      </c>
      <c r="D6" s="272" cm="1">
        <f t="array" aca="1" ref="D6" ca="1">INDIRECT("'Bureau " &amp; ROW()-2 &amp; "'!$B$8")</f>
        <v>0</v>
      </c>
      <c r="E6" s="273" cm="1">
        <f t="array" aca="1" ref="E6" ca="1">INDIRECT("'Bureau " &amp; ROW()-2 &amp; "'!$B$7")</f>
        <v>0</v>
      </c>
      <c r="F6" s="274">
        <f t="shared" ca="1" si="0"/>
        <v>651</v>
      </c>
      <c r="G6" s="275">
        <f t="shared" ca="1" si="1"/>
        <v>0</v>
      </c>
      <c r="H6" s="276">
        <f t="shared" ca="1" si="2"/>
        <v>0</v>
      </c>
      <c r="I6" s="277">
        <f t="shared" ca="1" si="3"/>
        <v>0</v>
      </c>
      <c r="J6" s="278">
        <f t="shared" ca="1" si="4"/>
        <v>0</v>
      </c>
      <c r="K6" s="279">
        <f t="shared" ca="1" si="5"/>
        <v>1</v>
      </c>
      <c r="L6" s="308">
        <f t="shared" ca="1" si="6"/>
        <v>0</v>
      </c>
      <c r="M6" s="309">
        <f t="shared" ca="1" si="7"/>
        <v>0</v>
      </c>
      <c r="N6" s="309">
        <f t="shared" ca="1" si="8"/>
        <v>0</v>
      </c>
      <c r="O6" s="309">
        <f t="shared" ca="1" si="9"/>
        <v>0</v>
      </c>
      <c r="P6" s="309">
        <f t="shared" ca="1" si="10"/>
        <v>0</v>
      </c>
      <c r="Q6" s="310">
        <f t="shared" ca="1" si="11"/>
        <v>0</v>
      </c>
      <c r="R6" s="310">
        <f t="shared" ca="1" si="12"/>
        <v>0</v>
      </c>
      <c r="S6" s="310">
        <f t="shared" ca="1" si="13"/>
        <v>0</v>
      </c>
      <c r="T6" s="310">
        <f t="shared" ca="1" si="14"/>
        <v>0</v>
      </c>
      <c r="U6" s="350">
        <f t="shared" ca="1" si="15"/>
        <v>0</v>
      </c>
      <c r="V6" s="331" cm="1">
        <f t="array" aca="1" ref="V6" ca="1">SUM(IFERROR(L6:U6,0))</f>
        <v>0</v>
      </c>
    </row>
    <row r="7" spans="1:23" ht="12.75" x14ac:dyDescent="0.2">
      <c r="A7" s="346">
        <v>5</v>
      </c>
      <c r="B7" s="292" t="s">
        <v>28</v>
      </c>
      <c r="C7" s="293">
        <v>671</v>
      </c>
      <c r="D7" s="272" cm="1">
        <f t="array" aca="1" ref="D7" ca="1">INDIRECT("'Bureau " &amp; ROW()-2 &amp; "'!$B$8")</f>
        <v>0</v>
      </c>
      <c r="E7" s="273" cm="1">
        <f t="array" aca="1" ref="E7" ca="1">INDIRECT("'Bureau " &amp; ROW()-2 &amp; "'!$B$7")</f>
        <v>0</v>
      </c>
      <c r="F7" s="274">
        <f t="shared" ca="1" si="0"/>
        <v>671</v>
      </c>
      <c r="G7" s="275">
        <f t="shared" ca="1" si="1"/>
        <v>0</v>
      </c>
      <c r="H7" s="276">
        <f t="shared" ca="1" si="2"/>
        <v>0</v>
      </c>
      <c r="I7" s="277">
        <f t="shared" ca="1" si="3"/>
        <v>0</v>
      </c>
      <c r="J7" s="278">
        <f t="shared" ca="1" si="4"/>
        <v>0</v>
      </c>
      <c r="K7" s="279">
        <f t="shared" ca="1" si="5"/>
        <v>1</v>
      </c>
      <c r="L7" s="308">
        <f t="shared" ca="1" si="6"/>
        <v>0</v>
      </c>
      <c r="M7" s="309">
        <f t="shared" ca="1" si="7"/>
        <v>0</v>
      </c>
      <c r="N7" s="309">
        <f t="shared" ca="1" si="8"/>
        <v>0</v>
      </c>
      <c r="O7" s="309">
        <f t="shared" ca="1" si="9"/>
        <v>0</v>
      </c>
      <c r="P7" s="309">
        <f t="shared" ca="1" si="10"/>
        <v>0</v>
      </c>
      <c r="Q7" s="310">
        <f t="shared" ca="1" si="11"/>
        <v>0</v>
      </c>
      <c r="R7" s="310">
        <f t="shared" ca="1" si="12"/>
        <v>0</v>
      </c>
      <c r="S7" s="310">
        <f t="shared" ca="1" si="13"/>
        <v>0</v>
      </c>
      <c r="T7" s="310">
        <f t="shared" ca="1" si="14"/>
        <v>0</v>
      </c>
      <c r="U7" s="350">
        <f t="shared" ca="1" si="15"/>
        <v>0</v>
      </c>
      <c r="V7" s="331" cm="1">
        <f t="array" aca="1" ref="V7" ca="1">SUM(IFERROR(L7:U7,0))</f>
        <v>0</v>
      </c>
    </row>
    <row r="8" spans="1:23" ht="12.75" x14ac:dyDescent="0.2">
      <c r="A8" s="346">
        <v>6</v>
      </c>
      <c r="B8" s="292" t="s">
        <v>28</v>
      </c>
      <c r="C8" s="293">
        <v>687</v>
      </c>
      <c r="D8" s="272" cm="1">
        <f t="array" aca="1" ref="D8" ca="1">INDIRECT("'Bureau " &amp; ROW()-2 &amp; "'!$B$8")</f>
        <v>0</v>
      </c>
      <c r="E8" s="273" cm="1">
        <f t="array" aca="1" ref="E8" ca="1">INDIRECT("'Bureau " &amp; ROW()-2 &amp; "'!$B$7")</f>
        <v>0</v>
      </c>
      <c r="F8" s="274">
        <f t="shared" ca="1" si="0"/>
        <v>687</v>
      </c>
      <c r="G8" s="275">
        <f t="shared" ca="1" si="1"/>
        <v>0</v>
      </c>
      <c r="H8" s="276">
        <f t="shared" ca="1" si="2"/>
        <v>0</v>
      </c>
      <c r="I8" s="277">
        <f t="shared" ca="1" si="3"/>
        <v>0</v>
      </c>
      <c r="J8" s="278">
        <f t="shared" ca="1" si="4"/>
        <v>0</v>
      </c>
      <c r="K8" s="279">
        <f t="shared" ca="1" si="5"/>
        <v>1</v>
      </c>
      <c r="L8" s="308">
        <f t="shared" ca="1" si="6"/>
        <v>0</v>
      </c>
      <c r="M8" s="309">
        <f t="shared" ca="1" si="7"/>
        <v>0</v>
      </c>
      <c r="N8" s="309">
        <f t="shared" ca="1" si="8"/>
        <v>0</v>
      </c>
      <c r="O8" s="309">
        <f t="shared" ca="1" si="9"/>
        <v>0</v>
      </c>
      <c r="P8" s="309">
        <f t="shared" ca="1" si="10"/>
        <v>0</v>
      </c>
      <c r="Q8" s="310">
        <f t="shared" ca="1" si="11"/>
        <v>0</v>
      </c>
      <c r="R8" s="310">
        <f t="shared" ca="1" si="12"/>
        <v>0</v>
      </c>
      <c r="S8" s="310">
        <f t="shared" ca="1" si="13"/>
        <v>0</v>
      </c>
      <c r="T8" s="310">
        <f t="shared" ca="1" si="14"/>
        <v>0</v>
      </c>
      <c r="U8" s="350">
        <f t="shared" ca="1" si="15"/>
        <v>0</v>
      </c>
      <c r="V8" s="331" cm="1">
        <f t="array" aca="1" ref="V8" ca="1">SUM(IFERROR(L8:U8,0))</f>
        <v>0</v>
      </c>
    </row>
    <row r="9" spans="1:23" ht="12.75" x14ac:dyDescent="0.2">
      <c r="A9" s="346">
        <v>7</v>
      </c>
      <c r="B9" s="292" t="s">
        <v>28</v>
      </c>
      <c r="C9" s="293">
        <v>692</v>
      </c>
      <c r="D9" s="272" cm="1">
        <f t="array" aca="1" ref="D9" ca="1">INDIRECT("'Bureau " &amp; ROW()-2 &amp; "'!$B$8")</f>
        <v>0</v>
      </c>
      <c r="E9" s="273" cm="1">
        <f t="array" aca="1" ref="E9" ca="1">INDIRECT("'Bureau " &amp; ROW()-2 &amp; "'!$B$7")</f>
        <v>0</v>
      </c>
      <c r="F9" s="274">
        <f t="shared" ca="1" si="0"/>
        <v>692</v>
      </c>
      <c r="G9" s="275">
        <f t="shared" ca="1" si="1"/>
        <v>0</v>
      </c>
      <c r="H9" s="276">
        <f t="shared" ca="1" si="2"/>
        <v>0</v>
      </c>
      <c r="I9" s="277">
        <f t="shared" ca="1" si="3"/>
        <v>0</v>
      </c>
      <c r="J9" s="278">
        <f t="shared" ca="1" si="4"/>
        <v>0</v>
      </c>
      <c r="K9" s="279">
        <f t="shared" ca="1" si="5"/>
        <v>1</v>
      </c>
      <c r="L9" s="308">
        <f t="shared" ca="1" si="6"/>
        <v>0</v>
      </c>
      <c r="M9" s="309">
        <f t="shared" ca="1" si="7"/>
        <v>0</v>
      </c>
      <c r="N9" s="309">
        <f t="shared" ca="1" si="8"/>
        <v>0</v>
      </c>
      <c r="O9" s="309">
        <f t="shared" ca="1" si="9"/>
        <v>0</v>
      </c>
      <c r="P9" s="309">
        <f t="shared" ca="1" si="10"/>
        <v>0</v>
      </c>
      <c r="Q9" s="310">
        <f t="shared" ca="1" si="11"/>
        <v>0</v>
      </c>
      <c r="R9" s="310">
        <f t="shared" ca="1" si="12"/>
        <v>0</v>
      </c>
      <c r="S9" s="310">
        <f t="shared" ca="1" si="13"/>
        <v>0</v>
      </c>
      <c r="T9" s="310">
        <f t="shared" ca="1" si="14"/>
        <v>0</v>
      </c>
      <c r="U9" s="350">
        <f t="shared" ca="1" si="15"/>
        <v>0</v>
      </c>
      <c r="V9" s="331" cm="1">
        <f t="array" aca="1" ref="V9" ca="1">SUM(IFERROR(L9:U9,0))</f>
        <v>0</v>
      </c>
    </row>
    <row r="10" spans="1:23" ht="12.75" x14ac:dyDescent="0.2">
      <c r="A10" s="346">
        <v>8</v>
      </c>
      <c r="B10" s="292" t="s">
        <v>28</v>
      </c>
      <c r="C10" s="293">
        <v>620</v>
      </c>
      <c r="D10" s="272" cm="1">
        <f t="array" aca="1" ref="D10" ca="1">INDIRECT("'Bureau " &amp; ROW()-2 &amp; "'!$B$8")</f>
        <v>0</v>
      </c>
      <c r="E10" s="273" cm="1">
        <f t="array" aca="1" ref="E10" ca="1">INDIRECT("'Bureau " &amp; ROW()-2 &amp; "'!$B$7")</f>
        <v>0</v>
      </c>
      <c r="F10" s="274">
        <f t="shared" ca="1" si="0"/>
        <v>620</v>
      </c>
      <c r="G10" s="275">
        <f t="shared" ca="1" si="1"/>
        <v>0</v>
      </c>
      <c r="H10" s="276">
        <f t="shared" ca="1" si="2"/>
        <v>0</v>
      </c>
      <c r="I10" s="277">
        <f t="shared" ca="1" si="3"/>
        <v>0</v>
      </c>
      <c r="J10" s="278">
        <f t="shared" ca="1" si="4"/>
        <v>0</v>
      </c>
      <c r="K10" s="279">
        <f t="shared" ca="1" si="5"/>
        <v>1</v>
      </c>
      <c r="L10" s="308">
        <f t="shared" ca="1" si="6"/>
        <v>0</v>
      </c>
      <c r="M10" s="309">
        <f t="shared" ca="1" si="7"/>
        <v>0</v>
      </c>
      <c r="N10" s="309">
        <f t="shared" ca="1" si="8"/>
        <v>0</v>
      </c>
      <c r="O10" s="309">
        <f t="shared" ca="1" si="9"/>
        <v>0</v>
      </c>
      <c r="P10" s="309">
        <f t="shared" ca="1" si="10"/>
        <v>0</v>
      </c>
      <c r="Q10" s="310">
        <f t="shared" ca="1" si="11"/>
        <v>0</v>
      </c>
      <c r="R10" s="310">
        <f t="shared" ca="1" si="12"/>
        <v>0</v>
      </c>
      <c r="S10" s="310">
        <f t="shared" ca="1" si="13"/>
        <v>0</v>
      </c>
      <c r="T10" s="310">
        <f t="shared" ca="1" si="14"/>
        <v>0</v>
      </c>
      <c r="U10" s="350">
        <f t="shared" ca="1" si="15"/>
        <v>0</v>
      </c>
      <c r="V10" s="331" cm="1">
        <f t="array" aca="1" ref="V10" ca="1">SUM(IFERROR(L10:U10,0))</f>
        <v>0</v>
      </c>
    </row>
    <row r="11" spans="1:23" ht="12.75" x14ac:dyDescent="0.2">
      <c r="A11" s="346">
        <v>9</v>
      </c>
      <c r="B11" s="292" t="s">
        <v>29</v>
      </c>
      <c r="C11" s="293">
        <v>671</v>
      </c>
      <c r="D11" s="272" cm="1">
        <f t="array" aca="1" ref="D11" ca="1">INDIRECT("'Bureau " &amp; ROW()-2 &amp; "'!$B$8")</f>
        <v>0</v>
      </c>
      <c r="E11" s="273" cm="1">
        <f t="array" aca="1" ref="E11" ca="1">INDIRECT("'Bureau " &amp; ROW()-2 &amp; "'!$B$7")</f>
        <v>0</v>
      </c>
      <c r="F11" s="274">
        <f t="shared" ca="1" si="0"/>
        <v>671</v>
      </c>
      <c r="G11" s="275">
        <f t="shared" ca="1" si="1"/>
        <v>0</v>
      </c>
      <c r="H11" s="276">
        <f t="shared" ca="1" si="2"/>
        <v>0</v>
      </c>
      <c r="I11" s="277">
        <f t="shared" ca="1" si="3"/>
        <v>0</v>
      </c>
      <c r="J11" s="278">
        <f t="shared" ca="1" si="4"/>
        <v>0</v>
      </c>
      <c r="K11" s="279">
        <f t="shared" ca="1" si="5"/>
        <v>1</v>
      </c>
      <c r="L11" s="308">
        <f t="shared" ca="1" si="6"/>
        <v>0</v>
      </c>
      <c r="M11" s="309">
        <f t="shared" ca="1" si="7"/>
        <v>0</v>
      </c>
      <c r="N11" s="309">
        <f t="shared" ca="1" si="8"/>
        <v>0</v>
      </c>
      <c r="O11" s="309">
        <f t="shared" ca="1" si="9"/>
        <v>0</v>
      </c>
      <c r="P11" s="309">
        <f t="shared" ca="1" si="10"/>
        <v>0</v>
      </c>
      <c r="Q11" s="310">
        <f t="shared" ca="1" si="11"/>
        <v>0</v>
      </c>
      <c r="R11" s="310">
        <f t="shared" ca="1" si="12"/>
        <v>0</v>
      </c>
      <c r="S11" s="310">
        <f t="shared" ca="1" si="13"/>
        <v>0</v>
      </c>
      <c r="T11" s="310">
        <f t="shared" ca="1" si="14"/>
        <v>0</v>
      </c>
      <c r="U11" s="350">
        <f t="shared" ca="1" si="15"/>
        <v>0</v>
      </c>
      <c r="V11" s="331" cm="1">
        <f t="array" aca="1" ref="V11" ca="1">SUM(IFERROR(L11:U11,0))</f>
        <v>0</v>
      </c>
    </row>
    <row r="12" spans="1:23" ht="12.75" x14ac:dyDescent="0.2">
      <c r="A12" s="346">
        <v>10</v>
      </c>
      <c r="B12" s="292" t="s">
        <v>29</v>
      </c>
      <c r="C12" s="293">
        <v>581</v>
      </c>
      <c r="D12" s="272" cm="1">
        <f t="array" aca="1" ref="D12" ca="1">INDIRECT("'Bureau " &amp; ROW()-2 &amp; "'!$B$8")</f>
        <v>0</v>
      </c>
      <c r="E12" s="273" cm="1">
        <f t="array" aca="1" ref="E12" ca="1">INDIRECT("'Bureau " &amp; ROW()-2 &amp; "'!$B$7")</f>
        <v>0</v>
      </c>
      <c r="F12" s="274">
        <f t="shared" ca="1" si="0"/>
        <v>581</v>
      </c>
      <c r="G12" s="275">
        <f t="shared" ca="1" si="1"/>
        <v>0</v>
      </c>
      <c r="H12" s="276">
        <f t="shared" ca="1" si="2"/>
        <v>0</v>
      </c>
      <c r="I12" s="277">
        <f t="shared" ca="1" si="3"/>
        <v>0</v>
      </c>
      <c r="J12" s="278">
        <f t="shared" ca="1" si="4"/>
        <v>0</v>
      </c>
      <c r="K12" s="279">
        <f t="shared" ca="1" si="5"/>
        <v>1</v>
      </c>
      <c r="L12" s="308">
        <f t="shared" ca="1" si="6"/>
        <v>0</v>
      </c>
      <c r="M12" s="309">
        <f t="shared" ca="1" si="7"/>
        <v>0</v>
      </c>
      <c r="N12" s="309">
        <f t="shared" ca="1" si="8"/>
        <v>0</v>
      </c>
      <c r="O12" s="309">
        <f t="shared" ca="1" si="9"/>
        <v>0</v>
      </c>
      <c r="P12" s="309">
        <f t="shared" ca="1" si="10"/>
        <v>0</v>
      </c>
      <c r="Q12" s="310">
        <f t="shared" ca="1" si="11"/>
        <v>0</v>
      </c>
      <c r="R12" s="310">
        <f t="shared" ca="1" si="12"/>
        <v>0</v>
      </c>
      <c r="S12" s="310">
        <f t="shared" ca="1" si="13"/>
        <v>0</v>
      </c>
      <c r="T12" s="310">
        <f t="shared" ca="1" si="14"/>
        <v>0</v>
      </c>
      <c r="U12" s="350">
        <f t="shared" ca="1" si="15"/>
        <v>0</v>
      </c>
      <c r="V12" s="331" cm="1">
        <f t="array" aca="1" ref="V12" ca="1">SUM(IFERROR(L12:U12,0))</f>
        <v>0</v>
      </c>
      <c r="W12" s="404"/>
    </row>
    <row r="13" spans="1:23" ht="12.75" x14ac:dyDescent="0.2">
      <c r="A13" s="346">
        <v>11</v>
      </c>
      <c r="B13" s="292" t="s">
        <v>29</v>
      </c>
      <c r="C13" s="293">
        <v>649</v>
      </c>
      <c r="D13" s="272" cm="1">
        <f t="array" aca="1" ref="D13" ca="1">INDIRECT("'Bureau " &amp; ROW()-2 &amp; "'!$B$8")</f>
        <v>0</v>
      </c>
      <c r="E13" s="273" cm="1">
        <f t="array" aca="1" ref="E13" ca="1">INDIRECT("'Bureau " &amp; ROW()-2 &amp; "'!$B$7")</f>
        <v>0</v>
      </c>
      <c r="F13" s="274">
        <f t="shared" ca="1" si="0"/>
        <v>649</v>
      </c>
      <c r="G13" s="275">
        <f t="shared" ca="1" si="1"/>
        <v>0</v>
      </c>
      <c r="H13" s="276">
        <f t="shared" ca="1" si="2"/>
        <v>0</v>
      </c>
      <c r="I13" s="277">
        <f t="shared" ca="1" si="3"/>
        <v>0</v>
      </c>
      <c r="J13" s="278">
        <f t="shared" ca="1" si="4"/>
        <v>0</v>
      </c>
      <c r="K13" s="279">
        <f t="shared" ca="1" si="5"/>
        <v>1</v>
      </c>
      <c r="L13" s="308">
        <f t="shared" ca="1" si="6"/>
        <v>0</v>
      </c>
      <c r="M13" s="309">
        <f t="shared" ca="1" si="7"/>
        <v>0</v>
      </c>
      <c r="N13" s="309">
        <f t="shared" ca="1" si="8"/>
        <v>0</v>
      </c>
      <c r="O13" s="309">
        <f t="shared" ca="1" si="9"/>
        <v>0</v>
      </c>
      <c r="P13" s="309">
        <f t="shared" ca="1" si="10"/>
        <v>0</v>
      </c>
      <c r="Q13" s="310">
        <f t="shared" ca="1" si="11"/>
        <v>0</v>
      </c>
      <c r="R13" s="310">
        <f t="shared" ca="1" si="12"/>
        <v>0</v>
      </c>
      <c r="S13" s="310">
        <f t="shared" ca="1" si="13"/>
        <v>0</v>
      </c>
      <c r="T13" s="310">
        <f t="shared" ca="1" si="14"/>
        <v>0</v>
      </c>
      <c r="U13" s="350">
        <f t="shared" ca="1" si="15"/>
        <v>0</v>
      </c>
      <c r="V13" s="331" cm="1">
        <f t="array" aca="1" ref="V13" ca="1">SUM(IFERROR(L13:U13,0))</f>
        <v>0</v>
      </c>
    </row>
    <row r="14" spans="1:23" ht="13.5" thickBot="1" x14ac:dyDescent="0.25">
      <c r="A14" s="347">
        <v>12</v>
      </c>
      <c r="B14" s="294" t="s">
        <v>30</v>
      </c>
      <c r="C14" s="295">
        <v>645</v>
      </c>
      <c r="D14" s="280" cm="1">
        <f t="array" aca="1" ref="D14" ca="1">INDIRECT("'Bureau " &amp; ROW()-2 &amp; "'!$B$8")</f>
        <v>0</v>
      </c>
      <c r="E14" s="281" cm="1">
        <f t="array" aca="1" ref="E14" ca="1">INDIRECT("'Bureau " &amp; ROW()-2 &amp; "'!$B$7")</f>
        <v>0</v>
      </c>
      <c r="F14" s="282">
        <f t="shared" ca="1" si="0"/>
        <v>645</v>
      </c>
      <c r="G14" s="283">
        <f t="shared" ca="1" si="1"/>
        <v>0</v>
      </c>
      <c r="H14" s="284">
        <f t="shared" ca="1" si="2"/>
        <v>0</v>
      </c>
      <c r="I14" s="285">
        <f t="shared" ca="1" si="3"/>
        <v>0</v>
      </c>
      <c r="J14" s="286">
        <f t="shared" ca="1" si="4"/>
        <v>0</v>
      </c>
      <c r="K14" s="287">
        <f t="shared" ca="1" si="5"/>
        <v>1</v>
      </c>
      <c r="L14" s="311">
        <f t="shared" ca="1" si="6"/>
        <v>0</v>
      </c>
      <c r="M14" s="312">
        <f t="shared" ca="1" si="7"/>
        <v>0</v>
      </c>
      <c r="N14" s="312">
        <f t="shared" ca="1" si="8"/>
        <v>0</v>
      </c>
      <c r="O14" s="312">
        <f t="shared" ca="1" si="9"/>
        <v>0</v>
      </c>
      <c r="P14" s="312">
        <f t="shared" ca="1" si="10"/>
        <v>0</v>
      </c>
      <c r="Q14" s="313">
        <f t="shared" ca="1" si="11"/>
        <v>0</v>
      </c>
      <c r="R14" s="313">
        <f t="shared" ca="1" si="12"/>
        <v>0</v>
      </c>
      <c r="S14" s="313">
        <f t="shared" ca="1" si="13"/>
        <v>0</v>
      </c>
      <c r="T14" s="313">
        <f t="shared" ca="1" si="14"/>
        <v>0</v>
      </c>
      <c r="U14" s="351">
        <f t="shared" ca="1" si="15"/>
        <v>0</v>
      </c>
      <c r="V14" s="334" cm="1">
        <f t="array" aca="1" ref="V14" ca="1">SUM(IFERROR(L14:U14,0))</f>
        <v>0</v>
      </c>
    </row>
    <row r="15" spans="1:23" ht="15.75" customHeight="1" x14ac:dyDescent="0.25">
      <c r="A15" s="405" t="s">
        <v>9</v>
      </c>
      <c r="B15" s="406"/>
      <c r="C15" s="247" cm="1">
        <f t="array" ref="C15">SUM(IFERROR(C3:C14,0))</f>
        <v>7742</v>
      </c>
      <c r="D15" s="51" cm="1">
        <f t="array" aca="1" ref="D15" ca="1">SUM(IFERROR(D3:D14,0))</f>
        <v>0</v>
      </c>
      <c r="E15" s="81" cm="1">
        <f t="array" aca="1" ref="E15" ca="1">SUM(IFERROR(E3:E14,0))</f>
        <v>0</v>
      </c>
      <c r="F15" s="81" cm="1">
        <f t="array" aca="1" ref="F15" ca="1">SUM(IFERROR(F3:F14,0))</f>
        <v>7742</v>
      </c>
      <c r="G15" s="43" cm="1">
        <f t="array" aca="1" ref="G15" ca="1">SUM(IFERROR(G3:G14,0))</f>
        <v>0</v>
      </c>
      <c r="H15" s="44" cm="1">
        <f t="array" aca="1" ref="H15" ca="1">SUM(IFERROR(H3:H14,0))</f>
        <v>0</v>
      </c>
      <c r="I15" s="87" cm="1">
        <f t="array" aca="1" ref="I15" ca="1">SUM(IFERROR(I3:I14,0))</f>
        <v>0</v>
      </c>
      <c r="J15" s="88">
        <f ca="1">E15</f>
        <v>0</v>
      </c>
      <c r="K15" s="89" cm="1">
        <f t="array" aca="1" ref="K15" ca="1">SUM(IFERROR(F3:F14,0))</f>
        <v>7742</v>
      </c>
      <c r="L15" s="255" cm="1">
        <f t="array" aca="1" ref="L15" ca="1">SUM(IFERROR(L3:L14,0))</f>
        <v>0</v>
      </c>
      <c r="M15" s="252" cm="1">
        <f t="array" aca="1" ref="M15" ca="1">SUM(IFERROR(M3:M14,0))</f>
        <v>0</v>
      </c>
      <c r="N15" s="252" cm="1">
        <f t="array" aca="1" ref="N15" ca="1">SUM(IFERROR(N3:N14,0))</f>
        <v>0</v>
      </c>
      <c r="O15" s="252" cm="1">
        <f t="array" aca="1" ref="O15" ca="1">SUM(IFERROR(O3:O14,0))</f>
        <v>0</v>
      </c>
      <c r="P15" s="253" cm="1">
        <f t="array" aca="1" ref="P15" ca="1">SUM(IFERROR(P3:P14,0))</f>
        <v>0</v>
      </c>
      <c r="Q15" s="254" cm="1">
        <f t="array" aca="1" ref="Q15" ca="1">SUM(IFERROR(Q3:Q14,0))</f>
        <v>0</v>
      </c>
      <c r="R15" s="254" cm="1">
        <f t="array" aca="1" ref="R15" ca="1">SUM(IFERROR(R3:R14,0))</f>
        <v>0</v>
      </c>
      <c r="S15" s="254" cm="1">
        <f t="array" aca="1" ref="S15" ca="1">SUM(IFERROR(S3:S14,0))</f>
        <v>0</v>
      </c>
      <c r="T15" s="254" cm="1">
        <f t="array" aca="1" ref="T15" ca="1">SUM(IFERROR(T3:T14,0))</f>
        <v>0</v>
      </c>
      <c r="U15" s="84" cm="1">
        <f t="array" aca="1" ref="U15" ca="1">SUM(IFERROR(U3:U14,0))</f>
        <v>0</v>
      </c>
      <c r="V15" s="336" cm="1">
        <f t="array" aca="1" ref="V15" ca="1">SUM(IFERROR(V3:V14,0))</f>
        <v>0</v>
      </c>
    </row>
    <row r="16" spans="1:23" ht="15.75" customHeight="1" thickBot="1" x14ac:dyDescent="0.3">
      <c r="A16" s="407" t="s">
        <v>10</v>
      </c>
      <c r="B16" s="408"/>
      <c r="C16" s="229"/>
      <c r="D16" s="45">
        <f t="shared" ref="D16:K16" ca="1" si="16">D15/$C15</f>
        <v>0</v>
      </c>
      <c r="E16" s="82">
        <f t="shared" ca="1" si="16"/>
        <v>0</v>
      </c>
      <c r="F16" s="82">
        <f t="shared" ca="1" si="16"/>
        <v>1</v>
      </c>
      <c r="G16" s="45">
        <f t="shared" ca="1" si="16"/>
        <v>0</v>
      </c>
      <c r="H16" s="46">
        <f t="shared" ca="1" si="16"/>
        <v>0</v>
      </c>
      <c r="I16" s="49">
        <f t="shared" ca="1" si="16"/>
        <v>0</v>
      </c>
      <c r="J16" s="85">
        <f t="shared" ca="1" si="16"/>
        <v>0</v>
      </c>
      <c r="K16" s="48">
        <f t="shared" ca="1" si="16"/>
        <v>1</v>
      </c>
      <c r="L16" s="256">
        <f t="shared" ref="L16:V16" ca="1" si="17">IFERROR(L15/$I15,0)</f>
        <v>0</v>
      </c>
      <c r="M16" s="52">
        <f t="shared" ca="1" si="17"/>
        <v>0</v>
      </c>
      <c r="N16" s="52">
        <f t="shared" ca="1" si="17"/>
        <v>0</v>
      </c>
      <c r="O16" s="52">
        <f t="shared" ca="1" si="17"/>
        <v>0</v>
      </c>
      <c r="P16" s="53">
        <f t="shared" ca="1" si="17"/>
        <v>0</v>
      </c>
      <c r="Q16" s="86">
        <f t="shared" ca="1" si="17"/>
        <v>0</v>
      </c>
      <c r="R16" s="86">
        <f t="shared" ca="1" si="17"/>
        <v>0</v>
      </c>
      <c r="S16" s="86">
        <f t="shared" ca="1" si="17"/>
        <v>0</v>
      </c>
      <c r="T16" s="86">
        <f t="shared" ca="1" si="17"/>
        <v>0</v>
      </c>
      <c r="U16" s="258">
        <f t="shared" ca="1" si="17"/>
        <v>0</v>
      </c>
      <c r="V16" s="337">
        <f t="shared" ca="1" si="17"/>
        <v>0</v>
      </c>
    </row>
    <row r="17" spans="1:22" ht="20.25" customHeight="1" x14ac:dyDescent="0.2">
      <c r="A17" s="338" t="s">
        <v>11</v>
      </c>
      <c r="B17" s="341">
        <v>46096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</row>
    <row r="18" spans="1:22" ht="20.25" customHeight="1" x14ac:dyDescent="0.2">
      <c r="A18" s="339" t="s">
        <v>12</v>
      </c>
      <c r="B18" s="342" t="s">
        <v>22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</row>
    <row r="19" spans="1:22" ht="21" customHeight="1" thickBot="1" x14ac:dyDescent="0.25">
      <c r="A19" s="340" t="s">
        <v>13</v>
      </c>
      <c r="B19" s="343" t="s">
        <v>14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</row>
    <row r="20" spans="1:22" ht="12.75" x14ac:dyDescent="0.2">
      <c r="A20" s="1"/>
      <c r="B20" s="1"/>
      <c r="C20" s="2"/>
      <c r="D20" s="3"/>
      <c r="E20" s="3"/>
      <c r="F20" s="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</row>
    <row r="21" spans="1:22" ht="12.75" x14ac:dyDescent="0.2">
      <c r="A21" s="1"/>
      <c r="B21" s="1"/>
      <c r="C21" s="4"/>
      <c r="D21" s="3"/>
      <c r="E21" s="3"/>
      <c r="F21" s="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</row>
    <row r="22" spans="1:22" ht="12.75" x14ac:dyDescent="0.2">
      <c r="A22" s="1"/>
      <c r="B22" s="1"/>
      <c r="C22" s="5"/>
      <c r="D22" s="3"/>
      <c r="E22" s="6"/>
      <c r="F22" s="6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</row>
    <row r="23" spans="1:22" ht="12.75" x14ac:dyDescent="0.2">
      <c r="A23" s="1"/>
      <c r="B23" s="1"/>
      <c r="C23" s="7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</row>
    <row r="24" spans="1:22" ht="12.75" x14ac:dyDescent="0.2">
      <c r="A24" s="35" t="s">
        <v>25</v>
      </c>
      <c r="B24" s="36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</row>
    <row r="25" spans="1:22" ht="12.75" x14ac:dyDescent="0.2">
      <c r="A25" s="35" t="s">
        <v>26</v>
      </c>
      <c r="B25" s="36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</row>
    <row r="26" spans="1:22" ht="12.75" x14ac:dyDescent="0.2">
      <c r="A26" s="1"/>
      <c r="B26" s="8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</row>
    <row r="27" spans="1:22" ht="12.75" x14ac:dyDescent="0.2">
      <c r="A27" s="1"/>
      <c r="B27" s="8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</row>
    <row r="28" spans="1:22" ht="12.75" x14ac:dyDescent="0.2">
      <c r="A28" s="1"/>
      <c r="B28" s="8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</row>
    <row r="29" spans="1:22" ht="12.75" x14ac:dyDescent="0.2">
      <c r="A29" s="1"/>
      <c r="B29" s="8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</row>
    <row r="30" spans="1:22" ht="12.75" x14ac:dyDescent="0.2">
      <c r="A30" s="37" t="s">
        <v>18</v>
      </c>
      <c r="B30" s="38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</row>
    <row r="31" spans="1:22" ht="12.75" x14ac:dyDescent="0.2">
      <c r="A31" s="39" t="s">
        <v>19</v>
      </c>
      <c r="B31" s="38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</row>
    <row r="32" spans="1:22" ht="12.75" x14ac:dyDescent="0.2">
      <c r="A32" s="37" t="s">
        <v>20</v>
      </c>
      <c r="B32" s="38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</row>
  </sheetData>
  <mergeCells count="2">
    <mergeCell ref="A15:B15"/>
    <mergeCell ref="A16:B16"/>
  </mergeCells>
  <phoneticPr fontId="28" type="noConversion"/>
  <conditionalFormatting sqref="D16:V16">
    <cfRule type="cellIs" dxfId="445" priority="19" operator="greaterThan">
      <formula>"100%"</formula>
    </cfRule>
  </conditionalFormatting>
  <conditionalFormatting sqref="J3:J14">
    <cfRule type="cellIs" dxfId="444" priority="25" operator="notBetween">
      <formula>0</formula>
      <formula>"100%"</formula>
    </cfRule>
  </conditionalFormatting>
  <conditionalFormatting sqref="F3:F14 K3:K14">
    <cfRule type="cellIs" dxfId="443" priority="24" operator="lessThan">
      <formula>0</formula>
    </cfRule>
  </conditionalFormatting>
  <conditionalFormatting sqref="L15:U15">
    <cfRule type="colorScale" priority="21">
      <colorScale>
        <cfvo type="min"/>
        <cfvo type="max"/>
        <color theme="0" tint="-0.14999847407452621"/>
        <color theme="0" tint="-0.34998626667073579"/>
      </colorScale>
    </cfRule>
  </conditionalFormatting>
  <conditionalFormatting sqref="L16:U16">
    <cfRule type="colorScale" priority="22">
      <colorScale>
        <cfvo type="percent" val="0"/>
        <cfvo type="max"/>
        <color theme="0" tint="-0.14999847407452621"/>
        <color theme="0" tint="-0.34998626667073579"/>
      </colorScale>
    </cfRule>
  </conditionalFormatting>
  <conditionalFormatting sqref="L3:V16">
    <cfRule type="cellIs" dxfId="442" priority="3" operator="lessThan">
      <formula>0</formula>
    </cfRule>
  </conditionalFormatting>
  <conditionalFormatting sqref="V3:V14">
    <cfRule type="cellIs" dxfId="441" priority="5" operator="equal">
      <formula>I3</formula>
    </cfRule>
  </conditionalFormatting>
  <conditionalFormatting sqref="V3:V16">
    <cfRule type="cellIs" dxfId="440" priority="1" operator="equal">
      <formula>0</formula>
    </cfRule>
  </conditionalFormatting>
  <conditionalFormatting sqref="V15">
    <cfRule type="cellIs" dxfId="439" priority="2" operator="equal">
      <formula>$I$15</formula>
    </cfRule>
    <cfRule type="cellIs" dxfId="438" priority="4" operator="lessThan">
      <formula>E14</formula>
    </cfRule>
  </conditionalFormatting>
  <conditionalFormatting sqref="V16">
    <cfRule type="cellIs" dxfId="437" priority="18" operator="equal">
      <formula>1</formula>
    </cfRule>
    <cfRule type="cellIs" dxfId="436" priority="23" operator="lessThan">
      <formula>1</formula>
    </cfRule>
  </conditionalFormatting>
  <pageMargins left="0.25" right="0.25" top="0.75" bottom="0.75" header="0.3" footer="0.3"/>
  <pageSetup paperSize="9" scale="69" orientation="landscape" r:id="rId1"/>
  <ignoredErrors>
    <ignoredError sqref="J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UniformiserCouleursDepouillement_parPoint">
                <anchor moveWithCells="1" sizeWithCells="1">
                  <from>
                    <xdr:col>23</xdr:col>
                    <xdr:colOff>66675</xdr:colOff>
                    <xdr:row>1</xdr:row>
                    <xdr:rowOff>295275</xdr:rowOff>
                  </from>
                  <to>
                    <xdr:col>25</xdr:col>
                    <xdr:colOff>676275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4" tint="0.39997558519241921"/>
    <outlinePr summaryBelow="0" summaryRight="0"/>
  </sheetPr>
  <dimension ref="A1:AQ50"/>
  <sheetViews>
    <sheetView zoomScale="70" zoomScaleNormal="70" workbookViewId="0">
      <pane xSplit="2" topLeftCell="C1" activePane="topRight" state="frozen"/>
      <selection pane="topRight" activeCell="AL33" sqref="AL33"/>
    </sheetView>
  </sheetViews>
  <sheetFormatPr baseColWidth="10" defaultColWidth="13.7109375" defaultRowHeight="15.75" customHeight="1" x14ac:dyDescent="0.2"/>
  <cols>
    <col min="1" max="1" width="6.85546875" customWidth="1"/>
    <col min="2" max="2" width="23" bestFit="1" customWidth="1"/>
    <col min="3" max="3" width="7.140625" customWidth="1"/>
    <col min="4" max="4" width="8.140625" customWidth="1"/>
    <col min="5" max="5" width="10.5703125" customWidth="1"/>
    <col min="6" max="6" width="8.5703125" customWidth="1"/>
    <col min="7" max="30" width="6.7109375" customWidth="1"/>
    <col min="31" max="31" width="10.140625" customWidth="1"/>
    <col min="43" max="43" width="16.42578125" customWidth="1"/>
  </cols>
  <sheetData>
    <row r="1" spans="1:43" ht="13.5" thickBot="1" x14ac:dyDescent="0.25">
      <c r="A1" s="417" t="s">
        <v>15</v>
      </c>
      <c r="B1" s="418"/>
      <c r="C1" s="415" t="s">
        <v>2</v>
      </c>
      <c r="D1" s="412"/>
      <c r="E1" s="416"/>
      <c r="F1" s="63" t="s">
        <v>0</v>
      </c>
      <c r="G1" s="417" t="s">
        <v>33</v>
      </c>
      <c r="H1" s="418"/>
      <c r="I1" s="417" t="s">
        <v>34</v>
      </c>
      <c r="J1" s="418"/>
      <c r="K1" s="417" t="s">
        <v>35</v>
      </c>
      <c r="L1" s="418"/>
      <c r="M1" s="411" t="s">
        <v>36</v>
      </c>
      <c r="N1" s="416"/>
      <c r="O1" s="417" t="s">
        <v>37</v>
      </c>
      <c r="P1" s="418"/>
      <c r="Q1" s="411" t="s">
        <v>38</v>
      </c>
      <c r="R1" s="412"/>
      <c r="S1" s="413" t="s">
        <v>39</v>
      </c>
      <c r="T1" s="414"/>
      <c r="U1" s="415" t="s">
        <v>40</v>
      </c>
      <c r="V1" s="416"/>
      <c r="W1" s="417" t="s">
        <v>41</v>
      </c>
      <c r="X1" s="418"/>
      <c r="Y1" s="411" t="s">
        <v>42</v>
      </c>
      <c r="Z1" s="416"/>
      <c r="AA1" s="424" t="s">
        <v>43</v>
      </c>
      <c r="AB1" s="425"/>
      <c r="AC1" s="426" t="s">
        <v>44</v>
      </c>
      <c r="AD1" s="427"/>
      <c r="AE1" s="123" t="s">
        <v>15</v>
      </c>
      <c r="AF1" s="124" t="s">
        <v>33</v>
      </c>
      <c r="AG1" s="125" t="s">
        <v>34</v>
      </c>
      <c r="AH1" s="125" t="s">
        <v>35</v>
      </c>
      <c r="AI1" s="125" t="s">
        <v>36</v>
      </c>
      <c r="AJ1" s="125" t="s">
        <v>37</v>
      </c>
      <c r="AK1" s="125" t="s">
        <v>38</v>
      </c>
      <c r="AL1" s="125" t="s">
        <v>39</v>
      </c>
      <c r="AM1" s="125" t="s">
        <v>40</v>
      </c>
      <c r="AN1" s="125" t="s">
        <v>41</v>
      </c>
      <c r="AO1" s="126" t="s">
        <v>42</v>
      </c>
      <c r="AP1" s="104" t="s">
        <v>43</v>
      </c>
      <c r="AQ1" s="103" t="s">
        <v>44</v>
      </c>
    </row>
    <row r="2" spans="1:43" ht="15.75" customHeight="1" x14ac:dyDescent="0.2">
      <c r="A2" s="40">
        <v>1</v>
      </c>
      <c r="B2" s="41" t="str" cm="1">
        <f t="array" aca="1" ref="B2" ca="1">INDIRECT("'Synthèse'!"  &amp; "$B" &amp; ROW()+1)</f>
        <v>Hôtel de ville</v>
      </c>
      <c r="C2" s="21">
        <f ca="1">MAX(G2,I2,K2,M2,O2,Q2,S2,U2,W2,Y2,AA2,AC2)</f>
        <v>0</v>
      </c>
      <c r="D2" s="23">
        <f t="shared" ref="D2:D14" ca="1" si="0">C2/$F2</f>
        <v>0</v>
      </c>
      <c r="E2" s="26">
        <f ca="1">D2</f>
        <v>0</v>
      </c>
      <c r="F2" s="65">
        <f>Synthèse!C3</f>
        <v>506</v>
      </c>
      <c r="G2" s="109" cm="1">
        <f t="array" aca="1" ref="G2" ca="1">INDIRECT("'Bureau " &amp; ROW()-1 &amp; "'!$W4")</f>
        <v>0</v>
      </c>
      <c r="H2" s="54">
        <f t="shared" ref="H2:H13" ca="1" si="1">G2/$F2</f>
        <v>0</v>
      </c>
      <c r="I2" s="110" cm="1">
        <f t="array" aca="1" ref="I2" ca="1">INDIRECT("'Bureau " &amp; ROW()-1 &amp; "'!$W5")</f>
        <v>0</v>
      </c>
      <c r="J2" s="54">
        <f t="shared" ref="J2:J14" ca="1" si="2">I2/$F2</f>
        <v>0</v>
      </c>
      <c r="K2" s="110" cm="1">
        <f t="array" aca="1" ref="K2" ca="1">INDIRECT("'Bureau " &amp; ROW()-1 &amp; "'!$W6")</f>
        <v>0</v>
      </c>
      <c r="L2" s="55">
        <f t="shared" ref="L2:L14" ca="1" si="3">K2/$F2</f>
        <v>0</v>
      </c>
      <c r="M2" s="111" cm="1">
        <f t="array" aca="1" ref="M2" ca="1">INDIRECT("'Bureau " &amp; ROW()-1 &amp; "'!$W7")</f>
        <v>0</v>
      </c>
      <c r="N2" s="69">
        <f t="shared" ref="N2:N14" ca="1" si="4">M2/$F2</f>
        <v>0</v>
      </c>
      <c r="O2" s="112" cm="1">
        <f t="array" aca="1" ref="O2" ca="1">INDIRECT("'Bureau " &amp; ROW()-1 &amp; "'!$W8")</f>
        <v>0</v>
      </c>
      <c r="P2" s="55">
        <f t="shared" ref="P2:P14" ca="1" si="5">O2/$F2</f>
        <v>0</v>
      </c>
      <c r="Q2" s="111" cm="1">
        <f t="array" aca="1" ref="Q2" ca="1">INDIRECT("'Bureau " &amp; ROW()-1 &amp; "'!$W9")</f>
        <v>0</v>
      </c>
      <c r="R2" s="69">
        <f t="shared" ref="R2:R14" ca="1" si="6">Q2/$F2</f>
        <v>0</v>
      </c>
      <c r="S2" s="113" cm="1">
        <f t="array" aca="1" ref="S2" ca="1">INDIRECT("'Bureau " &amp; ROW()-1 &amp; "'!$W10")</f>
        <v>0</v>
      </c>
      <c r="T2" s="90">
        <f t="shared" ref="T2:T14" ca="1" si="7">S2/$F2</f>
        <v>0</v>
      </c>
      <c r="U2" s="111" cm="1">
        <f t="array" aca="1" ref="U2" ca="1">INDIRECT("'Bureau " &amp; ROW()-1 &amp; "'!$W11")</f>
        <v>0</v>
      </c>
      <c r="V2" s="69">
        <f t="shared" ref="V2:V14" ca="1" si="8">U2/$F2</f>
        <v>0</v>
      </c>
      <c r="W2" s="112" cm="1">
        <f t="array" aca="1" ref="W2" ca="1">INDIRECT("'Bureau " &amp; ROW()-1 &amp; "'!$W12")</f>
        <v>0</v>
      </c>
      <c r="X2" s="55">
        <f t="shared" ref="X2:X14" ca="1" si="9">W2/$F2</f>
        <v>0</v>
      </c>
      <c r="Y2" s="114" cm="1">
        <f t="array" aca="1" ref="Y2" ca="1">INDIRECT("'Bureau " &amp; ROW()-1 &amp; "'!$W13")</f>
        <v>0</v>
      </c>
      <c r="Z2" s="91">
        <f t="shared" ref="Z2:Z14" ca="1" si="10">Y2/$F2</f>
        <v>0</v>
      </c>
      <c r="AA2" s="115" cm="1">
        <f t="array" aca="1" ref="AA2" ca="1">INDIRECT("'Bureau " &amp; ROW()-1 &amp; "'!$W14")</f>
        <v>0</v>
      </c>
      <c r="AB2" s="60">
        <f t="shared" ref="AB2:AB14" ca="1" si="11">AA2/$F2</f>
        <v>0</v>
      </c>
      <c r="AC2" s="116" cm="1">
        <f t="array" aca="1" ref="AC2" ca="1">INDIRECT("'Bureau " &amp; ROW()-1 &amp; "'!$W15")</f>
        <v>0</v>
      </c>
      <c r="AD2" s="98">
        <f t="shared" ref="AD2:AD14" ca="1" si="12">AC2/$F2</f>
        <v>0</v>
      </c>
      <c r="AE2" s="127">
        <v>1</v>
      </c>
      <c r="AF2" s="128"/>
      <c r="AG2" s="129"/>
      <c r="AH2" s="129"/>
      <c r="AI2" s="129"/>
      <c r="AJ2" s="129"/>
      <c r="AK2" s="129"/>
      <c r="AL2" s="129"/>
      <c r="AM2" s="129"/>
      <c r="AN2" s="129"/>
      <c r="AO2" s="130"/>
      <c r="AP2" s="105"/>
      <c r="AQ2" s="102"/>
    </row>
    <row r="3" spans="1:43" ht="15.75" customHeight="1" x14ac:dyDescent="0.2">
      <c r="A3" s="40">
        <v>2</v>
      </c>
      <c r="B3" s="41" t="str" cm="1">
        <f t="array" aca="1" ref="B3" ca="1">INDIRECT("'Synthèse'!"  &amp; "$B" &amp; ROW()+1)</f>
        <v>Gymnase B</v>
      </c>
      <c r="C3" s="22">
        <f t="shared" ref="C3:C13" ca="1" si="13">MAX(G3,I3,K3,M3,O3,Q3,S3,U3,W3,Y3,AA3,AC3)</f>
        <v>0</v>
      </c>
      <c r="D3" s="24">
        <f t="shared" ca="1" si="0"/>
        <v>0</v>
      </c>
      <c r="E3" s="27">
        <f t="shared" ref="E3:E14" ca="1" si="14">D3</f>
        <v>0</v>
      </c>
      <c r="F3" s="66">
        <f>Synthèse!C4</f>
        <v>700</v>
      </c>
      <c r="G3" s="109" cm="1">
        <f t="array" aca="1" ref="G3" ca="1">INDIRECT("'Bureau " &amp; ROW()-1 &amp; "'!$W4")</f>
        <v>0</v>
      </c>
      <c r="H3" s="56">
        <f t="shared" ca="1" si="1"/>
        <v>0</v>
      </c>
      <c r="I3" s="110" cm="1">
        <f t="array" aca="1" ref="I3" ca="1">INDIRECT("'Bureau " &amp; ROW()-1 &amp; "'!$W5")</f>
        <v>0</v>
      </c>
      <c r="J3" s="56">
        <f t="shared" ca="1" si="2"/>
        <v>0</v>
      </c>
      <c r="K3" s="110" cm="1">
        <f t="array" aca="1" ref="K3" ca="1">INDIRECT("'Bureau " &amp; ROW()-1 &amp; "'!$W6")</f>
        <v>0</v>
      </c>
      <c r="L3" s="57">
        <f t="shared" ca="1" si="3"/>
        <v>0</v>
      </c>
      <c r="M3" s="117" cm="1">
        <f t="array" aca="1" ref="M3" ca="1">INDIRECT("'Bureau " &amp; ROW()-1 &amp; "'!$W7")</f>
        <v>0</v>
      </c>
      <c r="N3" s="70">
        <f t="shared" ca="1" si="4"/>
        <v>0</v>
      </c>
      <c r="O3" s="112" cm="1">
        <f t="array" aca="1" ref="O3" ca="1">INDIRECT("'Bureau " &amp; ROW()-1 &amp; "'!$W8")</f>
        <v>0</v>
      </c>
      <c r="P3" s="57">
        <f t="shared" ca="1" si="5"/>
        <v>0</v>
      </c>
      <c r="Q3" s="117" cm="1">
        <f t="array" aca="1" ref="Q3" ca="1">INDIRECT("'Bureau " &amp; ROW()-1 &amp; "'!$W9")</f>
        <v>0</v>
      </c>
      <c r="R3" s="70">
        <f t="shared" ca="1" si="6"/>
        <v>0</v>
      </c>
      <c r="S3" s="113" cm="1">
        <f t="array" aca="1" ref="S3" ca="1">INDIRECT("'Bureau " &amp; ROW()-1 &amp; "'!$W10")</f>
        <v>0</v>
      </c>
      <c r="T3" s="24">
        <f t="shared" ca="1" si="7"/>
        <v>0</v>
      </c>
      <c r="U3" s="117" cm="1">
        <f t="array" aca="1" ref="U3" ca="1">INDIRECT("'Bureau " &amp; ROW()-1 &amp; "'!$W11")</f>
        <v>0</v>
      </c>
      <c r="V3" s="70">
        <f t="shared" ca="1" si="8"/>
        <v>0</v>
      </c>
      <c r="W3" s="112" cm="1">
        <f t="array" aca="1" ref="W3" ca="1">INDIRECT("'Bureau " &amp; ROW()-1 &amp; "'!$W12")</f>
        <v>0</v>
      </c>
      <c r="X3" s="57">
        <f t="shared" ca="1" si="9"/>
        <v>0</v>
      </c>
      <c r="Y3" s="118" cm="1">
        <f t="array" aca="1" ref="Y3" ca="1">INDIRECT("'Bureau " &amp; ROW()-1 &amp; "'!$W13")</f>
        <v>0</v>
      </c>
      <c r="Z3" s="92">
        <f t="shared" ca="1" si="10"/>
        <v>0</v>
      </c>
      <c r="AA3" s="115" cm="1">
        <f t="array" aca="1" ref="AA3" ca="1">INDIRECT("'Bureau " &amp; ROW()-1 &amp; "'!$W14")</f>
        <v>0</v>
      </c>
      <c r="AB3" s="61">
        <f t="shared" ca="1" si="11"/>
        <v>0</v>
      </c>
      <c r="AC3" s="116" cm="1">
        <f t="array" aca="1" ref="AC3" ca="1">INDIRECT("'Bureau " &amp; ROW()-1 &amp; "'!$W15")</f>
        <v>0</v>
      </c>
      <c r="AD3" s="99">
        <f t="shared" ca="1" si="12"/>
        <v>0</v>
      </c>
      <c r="AE3" s="127">
        <v>2</v>
      </c>
      <c r="AF3" s="131"/>
      <c r="AG3" s="132"/>
      <c r="AH3" s="132"/>
      <c r="AI3" s="132"/>
      <c r="AJ3" s="132"/>
      <c r="AK3" s="132"/>
      <c r="AL3" s="132"/>
      <c r="AM3" s="132"/>
      <c r="AN3" s="132"/>
      <c r="AO3" s="133"/>
      <c r="AP3" s="106"/>
      <c r="AQ3" s="101"/>
    </row>
    <row r="4" spans="1:43" ht="15.75" customHeight="1" x14ac:dyDescent="0.2">
      <c r="A4" s="40">
        <v>3</v>
      </c>
      <c r="B4" s="41" t="str" cm="1">
        <f t="array" aca="1" ref="B4" ca="1">INDIRECT("'Synthèse'!"  &amp; "$B" &amp; ROW()+1)</f>
        <v>Gymnase B</v>
      </c>
      <c r="C4" s="22">
        <f t="shared" ca="1" si="13"/>
        <v>0</v>
      </c>
      <c r="D4" s="24">
        <f t="shared" ca="1" si="0"/>
        <v>0</v>
      </c>
      <c r="E4" s="27">
        <f t="shared" ca="1" si="14"/>
        <v>0</v>
      </c>
      <c r="F4" s="66">
        <f>Synthèse!C5</f>
        <v>669</v>
      </c>
      <c r="G4" s="109" cm="1">
        <f t="array" aca="1" ref="G4" ca="1">INDIRECT("'Bureau " &amp; ROW()-1 &amp; "'!$W4")</f>
        <v>0</v>
      </c>
      <c r="H4" s="56">
        <f t="shared" ca="1" si="1"/>
        <v>0</v>
      </c>
      <c r="I4" s="110" cm="1">
        <f t="array" aca="1" ref="I4" ca="1">INDIRECT("'Bureau " &amp; ROW()-1 &amp; "'!$W5")</f>
        <v>0</v>
      </c>
      <c r="J4" s="56">
        <f t="shared" ca="1" si="2"/>
        <v>0</v>
      </c>
      <c r="K4" s="110" cm="1">
        <f t="array" aca="1" ref="K4" ca="1">INDIRECT("'Bureau " &amp; ROW()-1 &amp; "'!$W6")</f>
        <v>0</v>
      </c>
      <c r="L4" s="57">
        <f t="shared" ca="1" si="3"/>
        <v>0</v>
      </c>
      <c r="M4" s="117" cm="1">
        <f t="array" aca="1" ref="M4" ca="1">INDIRECT("'Bureau " &amp; ROW()-1 &amp; "'!$W7")</f>
        <v>0</v>
      </c>
      <c r="N4" s="70">
        <f t="shared" ca="1" si="4"/>
        <v>0</v>
      </c>
      <c r="O4" s="112" cm="1">
        <f t="array" aca="1" ref="O4" ca="1">INDIRECT("'Bureau " &amp; ROW()-1 &amp; "'!$W8")</f>
        <v>0</v>
      </c>
      <c r="P4" s="57">
        <f t="shared" ca="1" si="5"/>
        <v>0</v>
      </c>
      <c r="Q4" s="117" cm="1">
        <f t="array" aca="1" ref="Q4" ca="1">INDIRECT("'Bureau " &amp; ROW()-1 &amp; "'!$W9")</f>
        <v>0</v>
      </c>
      <c r="R4" s="70">
        <f t="shared" ca="1" si="6"/>
        <v>0</v>
      </c>
      <c r="S4" s="113" cm="1">
        <f t="array" aca="1" ref="S4" ca="1">INDIRECT("'Bureau " &amp; ROW()-1 &amp; "'!$W10")</f>
        <v>0</v>
      </c>
      <c r="T4" s="24">
        <f t="shared" ca="1" si="7"/>
        <v>0</v>
      </c>
      <c r="U4" s="117" cm="1">
        <f t="array" aca="1" ref="U4" ca="1">INDIRECT("'Bureau " &amp; ROW()-1 &amp; "'!$W11")</f>
        <v>0</v>
      </c>
      <c r="V4" s="70">
        <f t="shared" ca="1" si="8"/>
        <v>0</v>
      </c>
      <c r="W4" s="112" cm="1">
        <f t="array" aca="1" ref="W4" ca="1">INDIRECT("'Bureau " &amp; ROW()-1 &amp; "'!$W12")</f>
        <v>0</v>
      </c>
      <c r="X4" s="57">
        <f t="shared" ca="1" si="9"/>
        <v>0</v>
      </c>
      <c r="Y4" s="118" cm="1">
        <f t="array" aca="1" ref="Y4" ca="1">INDIRECT("'Bureau " &amp; ROW()-1 &amp; "'!$W13")</f>
        <v>0</v>
      </c>
      <c r="Z4" s="92">
        <f t="shared" ca="1" si="10"/>
        <v>0</v>
      </c>
      <c r="AA4" s="115" cm="1">
        <f t="array" aca="1" ref="AA4" ca="1">INDIRECT("'Bureau " &amp; ROW()-1 &amp; "'!$W14")</f>
        <v>0</v>
      </c>
      <c r="AB4" s="61">
        <f t="shared" ca="1" si="11"/>
        <v>0</v>
      </c>
      <c r="AC4" s="116" cm="1">
        <f t="array" aca="1" ref="AC4" ca="1">INDIRECT("'Bureau " &amp; ROW()-1 &amp; "'!$W15")</f>
        <v>0</v>
      </c>
      <c r="AD4" s="99">
        <f t="shared" ca="1" si="12"/>
        <v>0</v>
      </c>
      <c r="AE4" s="127">
        <v>3</v>
      </c>
      <c r="AF4" s="131"/>
      <c r="AG4" s="132"/>
      <c r="AH4" s="132"/>
      <c r="AI4" s="132"/>
      <c r="AJ4" s="132"/>
      <c r="AK4" s="132"/>
      <c r="AL4" s="132"/>
      <c r="AM4" s="132"/>
      <c r="AN4" s="132"/>
      <c r="AO4" s="133"/>
      <c r="AP4" s="106"/>
      <c r="AQ4" s="101"/>
    </row>
    <row r="5" spans="1:43" ht="15.75" customHeight="1" x14ac:dyDescent="0.2">
      <c r="A5" s="40">
        <v>4</v>
      </c>
      <c r="B5" s="41" t="str" cm="1">
        <f t="array" aca="1" ref="B5" ca="1">INDIRECT("'Synthèse'!"  &amp; "$B" &amp; ROW()+1)</f>
        <v>Gymnase B</v>
      </c>
      <c r="C5" s="22">
        <f t="shared" ca="1" si="13"/>
        <v>0</v>
      </c>
      <c r="D5" s="24">
        <f t="shared" ca="1" si="0"/>
        <v>0</v>
      </c>
      <c r="E5" s="27">
        <f t="shared" ca="1" si="14"/>
        <v>0</v>
      </c>
      <c r="F5" s="66">
        <f>Synthèse!C6</f>
        <v>651</v>
      </c>
      <c r="G5" s="109" cm="1">
        <f t="array" aca="1" ref="G5" ca="1">INDIRECT("'Bureau " &amp; ROW()-1 &amp; "'!$W4")</f>
        <v>0</v>
      </c>
      <c r="H5" s="56">
        <f t="shared" ca="1" si="1"/>
        <v>0</v>
      </c>
      <c r="I5" s="110" cm="1">
        <f t="array" aca="1" ref="I5" ca="1">INDIRECT("'Bureau " &amp; ROW()-1 &amp; "'!$W5")</f>
        <v>0</v>
      </c>
      <c r="J5" s="56">
        <f t="shared" ca="1" si="2"/>
        <v>0</v>
      </c>
      <c r="K5" s="110" cm="1">
        <f t="array" aca="1" ref="K5" ca="1">INDIRECT("'Bureau " &amp; ROW()-1 &amp; "'!$W6")</f>
        <v>0</v>
      </c>
      <c r="L5" s="57">
        <f t="shared" ca="1" si="3"/>
        <v>0</v>
      </c>
      <c r="M5" s="117" cm="1">
        <f t="array" aca="1" ref="M5" ca="1">INDIRECT("'Bureau " &amp; ROW()-1 &amp; "'!$W7")</f>
        <v>0</v>
      </c>
      <c r="N5" s="70">
        <f t="shared" ca="1" si="4"/>
        <v>0</v>
      </c>
      <c r="O5" s="112" cm="1">
        <f t="array" aca="1" ref="O5" ca="1">INDIRECT("'Bureau " &amp; ROW()-1 &amp; "'!$W8")</f>
        <v>0</v>
      </c>
      <c r="P5" s="57">
        <f t="shared" ca="1" si="5"/>
        <v>0</v>
      </c>
      <c r="Q5" s="117" cm="1">
        <f t="array" aca="1" ref="Q5" ca="1">INDIRECT("'Bureau " &amp; ROW()-1 &amp; "'!$W9")</f>
        <v>0</v>
      </c>
      <c r="R5" s="70">
        <f t="shared" ca="1" si="6"/>
        <v>0</v>
      </c>
      <c r="S5" s="113" cm="1">
        <f t="array" aca="1" ref="S5" ca="1">INDIRECT("'Bureau " &amp; ROW()-1 &amp; "'!$W10")</f>
        <v>0</v>
      </c>
      <c r="T5" s="24">
        <f t="shared" ca="1" si="7"/>
        <v>0</v>
      </c>
      <c r="U5" s="117" cm="1">
        <f t="array" aca="1" ref="U5" ca="1">INDIRECT("'Bureau " &amp; ROW()-1 &amp; "'!$W11")</f>
        <v>0</v>
      </c>
      <c r="V5" s="70">
        <f t="shared" ca="1" si="8"/>
        <v>0</v>
      </c>
      <c r="W5" s="112" cm="1">
        <f t="array" aca="1" ref="W5" ca="1">INDIRECT("'Bureau " &amp; ROW()-1 &amp; "'!$W12")</f>
        <v>0</v>
      </c>
      <c r="X5" s="57">
        <f t="shared" ca="1" si="9"/>
        <v>0</v>
      </c>
      <c r="Y5" s="118" cm="1">
        <f t="array" aca="1" ref="Y5" ca="1">INDIRECT("'Bureau " &amp; ROW()-1 &amp; "'!$W13")</f>
        <v>0</v>
      </c>
      <c r="Z5" s="92">
        <f t="shared" ca="1" si="10"/>
        <v>0</v>
      </c>
      <c r="AA5" s="115" cm="1">
        <f t="array" aca="1" ref="AA5" ca="1">INDIRECT("'Bureau " &amp; ROW()-1 &amp; "'!$W14")</f>
        <v>0</v>
      </c>
      <c r="AB5" s="61">
        <f t="shared" ca="1" si="11"/>
        <v>0</v>
      </c>
      <c r="AC5" s="116" cm="1">
        <f t="array" aca="1" ref="AC5" ca="1">INDIRECT("'Bureau " &amp; ROW()-1 &amp; "'!$W15")</f>
        <v>0</v>
      </c>
      <c r="AD5" s="99">
        <f t="shared" ca="1" si="12"/>
        <v>0</v>
      </c>
      <c r="AE5" s="127">
        <v>4</v>
      </c>
      <c r="AF5" s="131"/>
      <c r="AG5" s="132"/>
      <c r="AH5" s="132"/>
      <c r="AI5" s="132"/>
      <c r="AJ5" s="132"/>
      <c r="AK5" s="132"/>
      <c r="AL5" s="132"/>
      <c r="AM5" s="132"/>
      <c r="AN5" s="132"/>
      <c r="AO5" s="133"/>
      <c r="AP5" s="106"/>
      <c r="AQ5" s="101"/>
    </row>
    <row r="6" spans="1:43" ht="15.75" customHeight="1" x14ac:dyDescent="0.2">
      <c r="A6" s="40">
        <v>5</v>
      </c>
      <c r="B6" s="41" t="str" cm="1">
        <f t="array" aca="1" ref="B6" ca="1">INDIRECT("'Synthèse'!"  &amp; "$B" &amp; ROW()+1)</f>
        <v>COSEC</v>
      </c>
      <c r="C6" s="22">
        <f t="shared" ca="1" si="13"/>
        <v>0</v>
      </c>
      <c r="D6" s="24">
        <f t="shared" ca="1" si="0"/>
        <v>0</v>
      </c>
      <c r="E6" s="27">
        <f t="shared" ca="1" si="14"/>
        <v>0</v>
      </c>
      <c r="F6" s="66">
        <f>Synthèse!C7</f>
        <v>671</v>
      </c>
      <c r="G6" s="109" cm="1">
        <f t="array" aca="1" ref="G6" ca="1">INDIRECT("'Bureau " &amp; ROW()-1 &amp; "'!$W4")</f>
        <v>0</v>
      </c>
      <c r="H6" s="56">
        <f t="shared" ca="1" si="1"/>
        <v>0</v>
      </c>
      <c r="I6" s="110" cm="1">
        <f t="array" aca="1" ref="I6" ca="1">INDIRECT("'Bureau " &amp; ROW()-1 &amp; "'!$W5")</f>
        <v>0</v>
      </c>
      <c r="J6" s="56">
        <f t="shared" ca="1" si="2"/>
        <v>0</v>
      </c>
      <c r="K6" s="110" cm="1">
        <f t="array" aca="1" ref="K6" ca="1">INDIRECT("'Bureau " &amp; ROW()-1 &amp; "'!$W6")</f>
        <v>0</v>
      </c>
      <c r="L6" s="57">
        <f t="shared" ca="1" si="3"/>
        <v>0</v>
      </c>
      <c r="M6" s="117" cm="1">
        <f t="array" aca="1" ref="M6" ca="1">INDIRECT("'Bureau " &amp; ROW()-1 &amp; "'!$W7")</f>
        <v>0</v>
      </c>
      <c r="N6" s="70">
        <f t="shared" ca="1" si="4"/>
        <v>0</v>
      </c>
      <c r="O6" s="112" cm="1">
        <f t="array" aca="1" ref="O6" ca="1">INDIRECT("'Bureau " &amp; ROW()-1 &amp; "'!$W8")</f>
        <v>0</v>
      </c>
      <c r="P6" s="57">
        <f t="shared" ca="1" si="5"/>
        <v>0</v>
      </c>
      <c r="Q6" s="117" cm="1">
        <f t="array" aca="1" ref="Q6" ca="1">INDIRECT("'Bureau " &amp; ROW()-1 &amp; "'!$W9")</f>
        <v>0</v>
      </c>
      <c r="R6" s="70">
        <f t="shared" ca="1" si="6"/>
        <v>0</v>
      </c>
      <c r="S6" s="113" cm="1">
        <f t="array" aca="1" ref="S6" ca="1">INDIRECT("'Bureau " &amp; ROW()-1 &amp; "'!$W10")</f>
        <v>0</v>
      </c>
      <c r="T6" s="24">
        <f t="shared" ca="1" si="7"/>
        <v>0</v>
      </c>
      <c r="U6" s="117" cm="1">
        <f t="array" aca="1" ref="U6" ca="1">INDIRECT("'Bureau " &amp; ROW()-1 &amp; "'!$W11")</f>
        <v>0</v>
      </c>
      <c r="V6" s="70">
        <f t="shared" ca="1" si="8"/>
        <v>0</v>
      </c>
      <c r="W6" s="112" cm="1">
        <f t="array" aca="1" ref="W6" ca="1">INDIRECT("'Bureau " &amp; ROW()-1 &amp; "'!$W12")</f>
        <v>0</v>
      </c>
      <c r="X6" s="57">
        <f t="shared" ca="1" si="9"/>
        <v>0</v>
      </c>
      <c r="Y6" s="118" cm="1">
        <f t="array" aca="1" ref="Y6" ca="1">INDIRECT("'Bureau " &amp; ROW()-1 &amp; "'!$W13")</f>
        <v>0</v>
      </c>
      <c r="Z6" s="92">
        <f t="shared" ca="1" si="10"/>
        <v>0</v>
      </c>
      <c r="AA6" s="115" cm="1">
        <f t="array" aca="1" ref="AA6" ca="1">INDIRECT("'Bureau " &amp; ROW()-1 &amp; "'!$W14")</f>
        <v>0</v>
      </c>
      <c r="AB6" s="61">
        <f t="shared" ca="1" si="11"/>
        <v>0</v>
      </c>
      <c r="AC6" s="116" cm="1">
        <f t="array" aca="1" ref="AC6" ca="1">INDIRECT("'Bureau " &amp; ROW()-1 &amp; "'!$W15")</f>
        <v>0</v>
      </c>
      <c r="AD6" s="99">
        <f t="shared" ca="1" si="12"/>
        <v>0</v>
      </c>
      <c r="AE6" s="127">
        <v>5</v>
      </c>
      <c r="AF6" s="131"/>
      <c r="AG6" s="132"/>
      <c r="AH6" s="132"/>
      <c r="AI6" s="132"/>
      <c r="AJ6" s="132"/>
      <c r="AK6" s="132"/>
      <c r="AL6" s="132"/>
      <c r="AM6" s="132"/>
      <c r="AN6" s="132"/>
      <c r="AO6" s="133"/>
      <c r="AP6" s="106"/>
      <c r="AQ6" s="101"/>
    </row>
    <row r="7" spans="1:43" ht="15.75" customHeight="1" x14ac:dyDescent="0.2">
      <c r="A7" s="40">
        <v>6</v>
      </c>
      <c r="B7" s="41" t="str" cm="1">
        <f t="array" aca="1" ref="B7" ca="1">INDIRECT("'Synthèse'!"  &amp; "$B" &amp; ROW()+1)</f>
        <v>COSEC</v>
      </c>
      <c r="C7" s="22">
        <f t="shared" ca="1" si="13"/>
        <v>0</v>
      </c>
      <c r="D7" s="24">
        <f t="shared" ca="1" si="0"/>
        <v>0</v>
      </c>
      <c r="E7" s="27">
        <f t="shared" ca="1" si="14"/>
        <v>0</v>
      </c>
      <c r="F7" s="66">
        <f>Synthèse!C8</f>
        <v>687</v>
      </c>
      <c r="G7" s="109" cm="1">
        <f t="array" aca="1" ref="G7" ca="1">INDIRECT("'Bureau " &amp; ROW()-1 &amp; "'!$W4")</f>
        <v>0</v>
      </c>
      <c r="H7" s="56">
        <f t="shared" ca="1" si="1"/>
        <v>0</v>
      </c>
      <c r="I7" s="110" cm="1">
        <f t="array" aca="1" ref="I7" ca="1">INDIRECT("'Bureau " &amp; ROW()-1 &amp; "'!$W5")</f>
        <v>0</v>
      </c>
      <c r="J7" s="56">
        <f t="shared" ca="1" si="2"/>
        <v>0</v>
      </c>
      <c r="K7" s="110" cm="1">
        <f t="array" aca="1" ref="K7" ca="1">INDIRECT("'Bureau " &amp; ROW()-1 &amp; "'!$W6")</f>
        <v>0</v>
      </c>
      <c r="L7" s="57">
        <f t="shared" ca="1" si="3"/>
        <v>0</v>
      </c>
      <c r="M7" s="117" cm="1">
        <f t="array" aca="1" ref="M7" ca="1">INDIRECT("'Bureau " &amp; ROW()-1 &amp; "'!$W7")</f>
        <v>0</v>
      </c>
      <c r="N7" s="70">
        <f t="shared" ca="1" si="4"/>
        <v>0</v>
      </c>
      <c r="O7" s="112" cm="1">
        <f t="array" aca="1" ref="O7" ca="1">INDIRECT("'Bureau " &amp; ROW()-1 &amp; "'!$W8")</f>
        <v>0</v>
      </c>
      <c r="P7" s="57">
        <f t="shared" ca="1" si="5"/>
        <v>0</v>
      </c>
      <c r="Q7" s="117" cm="1">
        <f t="array" aca="1" ref="Q7" ca="1">INDIRECT("'Bureau " &amp; ROW()-1 &amp; "'!$W9")</f>
        <v>0</v>
      </c>
      <c r="R7" s="70">
        <f t="shared" ca="1" si="6"/>
        <v>0</v>
      </c>
      <c r="S7" s="113" cm="1">
        <f t="array" aca="1" ref="S7" ca="1">INDIRECT("'Bureau " &amp; ROW()-1 &amp; "'!$W10")</f>
        <v>0</v>
      </c>
      <c r="T7" s="24">
        <f t="shared" ca="1" si="7"/>
        <v>0</v>
      </c>
      <c r="U7" s="117" cm="1">
        <f t="array" aca="1" ref="U7" ca="1">INDIRECT("'Bureau " &amp; ROW()-1 &amp; "'!$W11")</f>
        <v>0</v>
      </c>
      <c r="V7" s="70">
        <f t="shared" ca="1" si="8"/>
        <v>0</v>
      </c>
      <c r="W7" s="112" cm="1">
        <f t="array" aca="1" ref="W7" ca="1">INDIRECT("'Bureau " &amp; ROW()-1 &amp; "'!$W12")</f>
        <v>0</v>
      </c>
      <c r="X7" s="57">
        <f t="shared" ca="1" si="9"/>
        <v>0</v>
      </c>
      <c r="Y7" s="118" cm="1">
        <f t="array" aca="1" ref="Y7" ca="1">INDIRECT("'Bureau " &amp; ROW()-1 &amp; "'!$W13")</f>
        <v>0</v>
      </c>
      <c r="Z7" s="92">
        <f t="shared" ca="1" si="10"/>
        <v>0</v>
      </c>
      <c r="AA7" s="115" cm="1">
        <f t="array" aca="1" ref="AA7" ca="1">INDIRECT("'Bureau " &amp; ROW()-1 &amp; "'!$W14")</f>
        <v>0</v>
      </c>
      <c r="AB7" s="61">
        <f t="shared" ca="1" si="11"/>
        <v>0</v>
      </c>
      <c r="AC7" s="116" cm="1">
        <f t="array" aca="1" ref="AC7" ca="1">INDIRECT("'Bureau " &amp; ROW()-1 &amp; "'!$W15")</f>
        <v>0</v>
      </c>
      <c r="AD7" s="99">
        <f t="shared" ca="1" si="12"/>
        <v>0</v>
      </c>
      <c r="AE7" s="127">
        <v>6</v>
      </c>
      <c r="AF7" s="131"/>
      <c r="AG7" s="132"/>
      <c r="AH7" s="132"/>
      <c r="AI7" s="132"/>
      <c r="AJ7" s="132"/>
      <c r="AK7" s="132"/>
      <c r="AL7" s="132"/>
      <c r="AM7" s="132"/>
      <c r="AN7" s="132"/>
      <c r="AO7" s="133"/>
      <c r="AP7" s="106"/>
      <c r="AQ7" s="101"/>
    </row>
    <row r="8" spans="1:43" ht="15.75" customHeight="1" x14ac:dyDescent="0.2">
      <c r="A8" s="40">
        <v>7</v>
      </c>
      <c r="B8" s="41" t="str" cm="1">
        <f t="array" aca="1" ref="B8" ca="1">INDIRECT("'Synthèse'!"  &amp; "$B" &amp; ROW()+1)</f>
        <v>COSEC</v>
      </c>
      <c r="C8" s="22">
        <f t="shared" ca="1" si="13"/>
        <v>0</v>
      </c>
      <c r="D8" s="24">
        <f t="shared" ca="1" si="0"/>
        <v>0</v>
      </c>
      <c r="E8" s="27">
        <f t="shared" ca="1" si="14"/>
        <v>0</v>
      </c>
      <c r="F8" s="66">
        <f>Synthèse!C9</f>
        <v>692</v>
      </c>
      <c r="G8" s="109" cm="1">
        <f t="array" aca="1" ref="G8" ca="1">INDIRECT("'Bureau " &amp; ROW()-1 &amp; "'!$W4")</f>
        <v>0</v>
      </c>
      <c r="H8" s="56">
        <f t="shared" ca="1" si="1"/>
        <v>0</v>
      </c>
      <c r="I8" s="110" cm="1">
        <f t="array" aca="1" ref="I8" ca="1">INDIRECT("'Bureau " &amp; ROW()-1 &amp; "'!$W5")</f>
        <v>0</v>
      </c>
      <c r="J8" s="56">
        <f t="shared" ca="1" si="2"/>
        <v>0</v>
      </c>
      <c r="K8" s="110" cm="1">
        <f t="array" aca="1" ref="K8" ca="1">INDIRECT("'Bureau " &amp; ROW()-1 &amp; "'!$W6")</f>
        <v>0</v>
      </c>
      <c r="L8" s="57">
        <f t="shared" ca="1" si="3"/>
        <v>0</v>
      </c>
      <c r="M8" s="117" cm="1">
        <f t="array" aca="1" ref="M8" ca="1">INDIRECT("'Bureau " &amp; ROW()-1 &amp; "'!$W7")</f>
        <v>0</v>
      </c>
      <c r="N8" s="70">
        <f t="shared" ca="1" si="4"/>
        <v>0</v>
      </c>
      <c r="O8" s="112" cm="1">
        <f t="array" aca="1" ref="O8" ca="1">INDIRECT("'Bureau " &amp; ROW()-1 &amp; "'!$W8")</f>
        <v>0</v>
      </c>
      <c r="P8" s="57">
        <f t="shared" ca="1" si="5"/>
        <v>0</v>
      </c>
      <c r="Q8" s="117" cm="1">
        <f t="array" aca="1" ref="Q8" ca="1">INDIRECT("'Bureau " &amp; ROW()-1 &amp; "'!$W9")</f>
        <v>0</v>
      </c>
      <c r="R8" s="70">
        <f t="shared" ca="1" si="6"/>
        <v>0</v>
      </c>
      <c r="S8" s="113" cm="1">
        <f t="array" aca="1" ref="S8" ca="1">INDIRECT("'Bureau " &amp; ROW()-1 &amp; "'!$W10")</f>
        <v>0</v>
      </c>
      <c r="T8" s="24">
        <f t="shared" ca="1" si="7"/>
        <v>0</v>
      </c>
      <c r="U8" s="117" cm="1">
        <f t="array" aca="1" ref="U8" ca="1">INDIRECT("'Bureau " &amp; ROW()-1 &amp; "'!$W11")</f>
        <v>0</v>
      </c>
      <c r="V8" s="70">
        <f t="shared" ca="1" si="8"/>
        <v>0</v>
      </c>
      <c r="W8" s="112" cm="1">
        <f t="array" aca="1" ref="W8" ca="1">INDIRECT("'Bureau " &amp; ROW()-1 &amp; "'!$W12")</f>
        <v>0</v>
      </c>
      <c r="X8" s="57">
        <f t="shared" ca="1" si="9"/>
        <v>0</v>
      </c>
      <c r="Y8" s="118" cm="1">
        <f t="array" aca="1" ref="Y8" ca="1">INDIRECT("'Bureau " &amp; ROW()-1 &amp; "'!$W13")</f>
        <v>0</v>
      </c>
      <c r="Z8" s="92">
        <f t="shared" ca="1" si="10"/>
        <v>0</v>
      </c>
      <c r="AA8" s="115" cm="1">
        <f t="array" aca="1" ref="AA8" ca="1">INDIRECT("'Bureau " &amp; ROW()-1 &amp; "'!$W14")</f>
        <v>0</v>
      </c>
      <c r="AB8" s="61">
        <f t="shared" ca="1" si="11"/>
        <v>0</v>
      </c>
      <c r="AC8" s="116" cm="1">
        <f t="array" aca="1" ref="AC8" ca="1">INDIRECT("'Bureau " &amp; ROW()-1 &amp; "'!$W15")</f>
        <v>0</v>
      </c>
      <c r="AD8" s="99">
        <f t="shared" ca="1" si="12"/>
        <v>0</v>
      </c>
      <c r="AE8" s="127">
        <v>7</v>
      </c>
      <c r="AF8" s="131"/>
      <c r="AG8" s="132"/>
      <c r="AH8" s="132"/>
      <c r="AI8" s="132"/>
      <c r="AJ8" s="132"/>
      <c r="AK8" s="132"/>
      <c r="AL8" s="132"/>
      <c r="AM8" s="132"/>
      <c r="AN8" s="132"/>
      <c r="AO8" s="133"/>
      <c r="AP8" s="106"/>
      <c r="AQ8" s="101"/>
    </row>
    <row r="9" spans="1:43" ht="15.75" customHeight="1" x14ac:dyDescent="0.2">
      <c r="A9" s="40">
        <v>8</v>
      </c>
      <c r="B9" s="41" t="str" cm="1">
        <f t="array" aca="1" ref="B9" ca="1">INDIRECT("'Synthèse'!"  &amp; "$B" &amp; ROW()+1)</f>
        <v>COSEC</v>
      </c>
      <c r="C9" s="22">
        <f t="shared" ca="1" si="13"/>
        <v>0</v>
      </c>
      <c r="D9" s="24">
        <f t="shared" ca="1" si="0"/>
        <v>0</v>
      </c>
      <c r="E9" s="27">
        <f t="shared" ca="1" si="14"/>
        <v>0</v>
      </c>
      <c r="F9" s="66">
        <f>Synthèse!C10</f>
        <v>620</v>
      </c>
      <c r="G9" s="109" cm="1">
        <f t="array" aca="1" ref="G9" ca="1">INDIRECT("'Bureau " &amp; ROW()-1 &amp; "'!$W4")</f>
        <v>0</v>
      </c>
      <c r="H9" s="56">
        <f t="shared" ca="1" si="1"/>
        <v>0</v>
      </c>
      <c r="I9" s="110" cm="1">
        <f t="array" aca="1" ref="I9" ca="1">INDIRECT("'Bureau " &amp; ROW()-1 &amp; "'!$W5")</f>
        <v>0</v>
      </c>
      <c r="J9" s="56">
        <f t="shared" ca="1" si="2"/>
        <v>0</v>
      </c>
      <c r="K9" s="110" cm="1">
        <f t="array" aca="1" ref="K9" ca="1">INDIRECT("'Bureau " &amp; ROW()-1 &amp; "'!$W6")</f>
        <v>0</v>
      </c>
      <c r="L9" s="57">
        <f t="shared" ca="1" si="3"/>
        <v>0</v>
      </c>
      <c r="M9" s="117" cm="1">
        <f t="array" aca="1" ref="M9" ca="1">INDIRECT("'Bureau " &amp; ROW()-1 &amp; "'!$W7")</f>
        <v>0</v>
      </c>
      <c r="N9" s="70">
        <f t="shared" ca="1" si="4"/>
        <v>0</v>
      </c>
      <c r="O9" s="112" cm="1">
        <f t="array" aca="1" ref="O9" ca="1">INDIRECT("'Bureau " &amp; ROW()-1 &amp; "'!$W8")</f>
        <v>0</v>
      </c>
      <c r="P9" s="57">
        <f t="shared" ca="1" si="5"/>
        <v>0</v>
      </c>
      <c r="Q9" s="117" cm="1">
        <f t="array" aca="1" ref="Q9" ca="1">INDIRECT("'Bureau " &amp; ROW()-1 &amp; "'!$W9")</f>
        <v>0</v>
      </c>
      <c r="R9" s="70">
        <f t="shared" ca="1" si="6"/>
        <v>0</v>
      </c>
      <c r="S9" s="113" cm="1">
        <f t="array" aca="1" ref="S9" ca="1">INDIRECT("'Bureau " &amp; ROW()-1 &amp; "'!$W10")</f>
        <v>0</v>
      </c>
      <c r="T9" s="24">
        <f t="shared" ca="1" si="7"/>
        <v>0</v>
      </c>
      <c r="U9" s="117" cm="1">
        <f t="array" aca="1" ref="U9" ca="1">INDIRECT("'Bureau " &amp; ROW()-1 &amp; "'!$W11")</f>
        <v>0</v>
      </c>
      <c r="V9" s="70">
        <f t="shared" ca="1" si="8"/>
        <v>0</v>
      </c>
      <c r="W9" s="112" cm="1">
        <f t="array" aca="1" ref="W9" ca="1">INDIRECT("'Bureau " &amp; ROW()-1 &amp; "'!$W12")</f>
        <v>0</v>
      </c>
      <c r="X9" s="57">
        <f t="shared" ca="1" si="9"/>
        <v>0</v>
      </c>
      <c r="Y9" s="118" cm="1">
        <f t="array" aca="1" ref="Y9" ca="1">INDIRECT("'Bureau " &amp; ROW()-1 &amp; "'!$W13")</f>
        <v>0</v>
      </c>
      <c r="Z9" s="92">
        <f t="shared" ca="1" si="10"/>
        <v>0</v>
      </c>
      <c r="AA9" s="115" cm="1">
        <f t="array" aca="1" ref="AA9" ca="1">INDIRECT("'Bureau " &amp; ROW()-1 &amp; "'!$W14")</f>
        <v>0</v>
      </c>
      <c r="AB9" s="61">
        <f t="shared" ca="1" si="11"/>
        <v>0</v>
      </c>
      <c r="AC9" s="116" cm="1">
        <f t="array" aca="1" ref="AC9" ca="1">INDIRECT("'Bureau " &amp; ROW()-1 &amp; "'!$W15")</f>
        <v>0</v>
      </c>
      <c r="AD9" s="99">
        <f t="shared" ca="1" si="12"/>
        <v>0</v>
      </c>
      <c r="AE9" s="127">
        <v>8</v>
      </c>
      <c r="AF9" s="131"/>
      <c r="AG9" s="132"/>
      <c r="AH9" s="132"/>
      <c r="AI9" s="132"/>
      <c r="AJ9" s="132"/>
      <c r="AK9" s="132"/>
      <c r="AL9" s="132"/>
      <c r="AM9" s="132"/>
      <c r="AN9" s="132"/>
      <c r="AO9" s="133"/>
      <c r="AP9" s="106"/>
      <c r="AQ9" s="101"/>
    </row>
    <row r="10" spans="1:43" ht="15.75" customHeight="1" x14ac:dyDescent="0.2">
      <c r="A10" s="40">
        <v>9</v>
      </c>
      <c r="B10" s="41" t="str" cm="1">
        <f t="array" aca="1" ref="B10" ca="1">INDIRECT("'Synthèse'!"  &amp; "$B" &amp; ROW()+1)</f>
        <v>CMM</v>
      </c>
      <c r="C10" s="22">
        <f t="shared" ca="1" si="13"/>
        <v>0</v>
      </c>
      <c r="D10" s="24">
        <f t="shared" ca="1" si="0"/>
        <v>0</v>
      </c>
      <c r="E10" s="27">
        <f t="shared" ca="1" si="14"/>
        <v>0</v>
      </c>
      <c r="F10" s="66">
        <f>Synthèse!C11</f>
        <v>671</v>
      </c>
      <c r="G10" s="109" cm="1">
        <f t="array" aca="1" ref="G10" ca="1">INDIRECT("'Bureau " &amp; ROW()-1 &amp; "'!$W4")</f>
        <v>0</v>
      </c>
      <c r="H10" s="56">
        <f t="shared" ca="1" si="1"/>
        <v>0</v>
      </c>
      <c r="I10" s="110" cm="1">
        <f t="array" aca="1" ref="I10" ca="1">INDIRECT("'Bureau " &amp; ROW()-1 &amp; "'!$W5")</f>
        <v>0</v>
      </c>
      <c r="J10" s="56">
        <f t="shared" ca="1" si="2"/>
        <v>0</v>
      </c>
      <c r="K10" s="110" cm="1">
        <f t="array" aca="1" ref="K10" ca="1">INDIRECT("'Bureau " &amp; ROW()-1 &amp; "'!$W6")</f>
        <v>0</v>
      </c>
      <c r="L10" s="57">
        <f t="shared" ca="1" si="3"/>
        <v>0</v>
      </c>
      <c r="M10" s="117" cm="1">
        <f t="array" aca="1" ref="M10" ca="1">INDIRECT("'Bureau " &amp; ROW()-1 &amp; "'!$W7")</f>
        <v>0</v>
      </c>
      <c r="N10" s="70">
        <f t="shared" ca="1" si="4"/>
        <v>0</v>
      </c>
      <c r="O10" s="112" cm="1">
        <f t="array" aca="1" ref="O10" ca="1">INDIRECT("'Bureau " &amp; ROW()-1 &amp; "'!$W8")</f>
        <v>0</v>
      </c>
      <c r="P10" s="57">
        <f t="shared" ca="1" si="5"/>
        <v>0</v>
      </c>
      <c r="Q10" s="117" cm="1">
        <f t="array" aca="1" ref="Q10" ca="1">INDIRECT("'Bureau " &amp; ROW()-1 &amp; "'!$W9")</f>
        <v>0</v>
      </c>
      <c r="R10" s="70">
        <f t="shared" ca="1" si="6"/>
        <v>0</v>
      </c>
      <c r="S10" s="113" cm="1">
        <f t="array" aca="1" ref="S10" ca="1">INDIRECT("'Bureau " &amp; ROW()-1 &amp; "'!$W10")</f>
        <v>0</v>
      </c>
      <c r="T10" s="24">
        <f t="shared" ca="1" si="7"/>
        <v>0</v>
      </c>
      <c r="U10" s="117" cm="1">
        <f t="array" aca="1" ref="U10" ca="1">INDIRECT("'Bureau " &amp; ROW()-1 &amp; "'!$W11")</f>
        <v>0</v>
      </c>
      <c r="V10" s="70">
        <f t="shared" ca="1" si="8"/>
        <v>0</v>
      </c>
      <c r="W10" s="112" cm="1">
        <f t="array" aca="1" ref="W10" ca="1">INDIRECT("'Bureau " &amp; ROW()-1 &amp; "'!$W12")</f>
        <v>0</v>
      </c>
      <c r="X10" s="57">
        <f t="shared" ca="1" si="9"/>
        <v>0</v>
      </c>
      <c r="Y10" s="118" cm="1">
        <f t="array" aca="1" ref="Y10" ca="1">INDIRECT("'Bureau " &amp; ROW()-1 &amp; "'!$W13")</f>
        <v>0</v>
      </c>
      <c r="Z10" s="92">
        <f t="shared" ca="1" si="10"/>
        <v>0</v>
      </c>
      <c r="AA10" s="115" cm="1">
        <f t="array" aca="1" ref="AA10" ca="1">INDIRECT("'Bureau " &amp; ROW()-1 &amp; "'!$W14")</f>
        <v>0</v>
      </c>
      <c r="AB10" s="61">
        <f t="shared" ca="1" si="11"/>
        <v>0</v>
      </c>
      <c r="AC10" s="116" cm="1">
        <f t="array" aca="1" ref="AC10" ca="1">INDIRECT("'Bureau " &amp; ROW()-1 &amp; "'!$W15")</f>
        <v>0</v>
      </c>
      <c r="AD10" s="99">
        <f t="shared" ca="1" si="12"/>
        <v>0</v>
      </c>
      <c r="AE10" s="127">
        <v>9</v>
      </c>
      <c r="AF10" s="131"/>
      <c r="AG10" s="132"/>
      <c r="AH10" s="132"/>
      <c r="AI10" s="132"/>
      <c r="AJ10" s="132"/>
      <c r="AK10" s="132"/>
      <c r="AL10" s="132"/>
      <c r="AM10" s="132"/>
      <c r="AN10" s="132"/>
      <c r="AO10" s="133"/>
      <c r="AP10" s="106"/>
      <c r="AQ10" s="101"/>
    </row>
    <row r="11" spans="1:43" ht="15.75" customHeight="1" x14ac:dyDescent="0.2">
      <c r="A11" s="40">
        <v>10</v>
      </c>
      <c r="B11" s="41" t="str" cm="1">
        <f t="array" aca="1" ref="B11" ca="1">INDIRECT("'Synthèse'!"  &amp; "$B" &amp; ROW()+1)</f>
        <v>CMM</v>
      </c>
      <c r="C11" s="22">
        <f t="shared" ca="1" si="13"/>
        <v>0</v>
      </c>
      <c r="D11" s="24">
        <f t="shared" ca="1" si="0"/>
        <v>0</v>
      </c>
      <c r="E11" s="27">
        <f t="shared" ca="1" si="14"/>
        <v>0</v>
      </c>
      <c r="F11" s="66">
        <f>Synthèse!C12</f>
        <v>581</v>
      </c>
      <c r="G11" s="109" cm="1">
        <f t="array" aca="1" ref="G11" ca="1">INDIRECT("'Bureau " &amp; ROW()-1 &amp; "'!$W4")</f>
        <v>0</v>
      </c>
      <c r="H11" s="56">
        <f t="shared" ca="1" si="1"/>
        <v>0</v>
      </c>
      <c r="I11" s="110" cm="1">
        <f t="array" aca="1" ref="I11" ca="1">INDIRECT("'Bureau " &amp; ROW()-1 &amp; "'!$W5")</f>
        <v>0</v>
      </c>
      <c r="J11" s="56">
        <f t="shared" ca="1" si="2"/>
        <v>0</v>
      </c>
      <c r="K11" s="110" cm="1">
        <f t="array" aca="1" ref="K11" ca="1">INDIRECT("'Bureau " &amp; ROW()-1 &amp; "'!$W6")</f>
        <v>0</v>
      </c>
      <c r="L11" s="57">
        <f t="shared" ca="1" si="3"/>
        <v>0</v>
      </c>
      <c r="M11" s="117" cm="1">
        <f t="array" aca="1" ref="M11" ca="1">INDIRECT("'Bureau " &amp; ROW()-1 &amp; "'!$W7")</f>
        <v>0</v>
      </c>
      <c r="N11" s="70">
        <f t="shared" ca="1" si="4"/>
        <v>0</v>
      </c>
      <c r="O11" s="112" cm="1">
        <f t="array" aca="1" ref="O11" ca="1">INDIRECT("'Bureau " &amp; ROW()-1 &amp; "'!$W8")</f>
        <v>0</v>
      </c>
      <c r="P11" s="57">
        <f t="shared" ca="1" si="5"/>
        <v>0</v>
      </c>
      <c r="Q11" s="117" cm="1">
        <f t="array" aca="1" ref="Q11" ca="1">INDIRECT("'Bureau " &amp; ROW()-1 &amp; "'!$W9")</f>
        <v>0</v>
      </c>
      <c r="R11" s="70">
        <f t="shared" ca="1" si="6"/>
        <v>0</v>
      </c>
      <c r="S11" s="113" cm="1">
        <f t="array" aca="1" ref="S11" ca="1">INDIRECT("'Bureau " &amp; ROW()-1 &amp; "'!$W10")</f>
        <v>0</v>
      </c>
      <c r="T11" s="24">
        <f t="shared" ca="1" si="7"/>
        <v>0</v>
      </c>
      <c r="U11" s="117" cm="1">
        <f t="array" aca="1" ref="U11" ca="1">INDIRECT("'Bureau " &amp; ROW()-1 &amp; "'!$W11")</f>
        <v>0</v>
      </c>
      <c r="V11" s="70">
        <f t="shared" ca="1" si="8"/>
        <v>0</v>
      </c>
      <c r="W11" s="112" cm="1">
        <f t="array" aca="1" ref="W11" ca="1">INDIRECT("'Bureau " &amp; ROW()-1 &amp; "'!$W12")</f>
        <v>0</v>
      </c>
      <c r="X11" s="57">
        <f t="shared" ca="1" si="9"/>
        <v>0</v>
      </c>
      <c r="Y11" s="118" cm="1">
        <f t="array" aca="1" ref="Y11" ca="1">INDIRECT("'Bureau " &amp; ROW()-1 &amp; "'!$W13")</f>
        <v>0</v>
      </c>
      <c r="Z11" s="92">
        <f t="shared" ca="1" si="10"/>
        <v>0</v>
      </c>
      <c r="AA11" s="115" cm="1">
        <f t="array" aca="1" ref="AA11" ca="1">INDIRECT("'Bureau " &amp; ROW()-1 &amp; "'!$W14")</f>
        <v>0</v>
      </c>
      <c r="AB11" s="61">
        <f t="shared" ca="1" si="11"/>
        <v>0</v>
      </c>
      <c r="AC11" s="116" cm="1">
        <f t="array" aca="1" ref="AC11" ca="1">INDIRECT("'Bureau " &amp; ROW()-1 &amp; "'!$W15")</f>
        <v>0</v>
      </c>
      <c r="AD11" s="99">
        <f t="shared" ca="1" si="12"/>
        <v>0</v>
      </c>
      <c r="AE11" s="127">
        <v>10</v>
      </c>
      <c r="AF11" s="131"/>
      <c r="AG11" s="132"/>
      <c r="AH11" s="132"/>
      <c r="AI11" s="132"/>
      <c r="AJ11" s="132"/>
      <c r="AK11" s="132"/>
      <c r="AL11" s="132"/>
      <c r="AM11" s="132"/>
      <c r="AN11" s="132"/>
      <c r="AO11" s="133"/>
      <c r="AP11" s="106"/>
      <c r="AQ11" s="101"/>
    </row>
    <row r="12" spans="1:43" ht="15.75" customHeight="1" x14ac:dyDescent="0.2">
      <c r="A12" s="40">
        <v>11</v>
      </c>
      <c r="B12" s="41" t="str" cm="1">
        <f t="array" aca="1" ref="B12" ca="1">INDIRECT("'Synthèse'!"  &amp; "$B" &amp; ROW()+1)</f>
        <v>CMM</v>
      </c>
      <c r="C12" s="22">
        <f t="shared" ca="1" si="13"/>
        <v>0</v>
      </c>
      <c r="D12" s="24">
        <f t="shared" ca="1" si="0"/>
        <v>0</v>
      </c>
      <c r="E12" s="27">
        <f t="shared" ca="1" si="14"/>
        <v>0</v>
      </c>
      <c r="F12" s="66">
        <f>Synthèse!C13</f>
        <v>649</v>
      </c>
      <c r="G12" s="109" cm="1">
        <f t="array" aca="1" ref="G12" ca="1">INDIRECT("'Bureau " &amp; ROW()-1 &amp; "'!$W4")</f>
        <v>0</v>
      </c>
      <c r="H12" s="56">
        <f t="shared" ca="1" si="1"/>
        <v>0</v>
      </c>
      <c r="I12" s="110" cm="1">
        <f t="array" aca="1" ref="I12" ca="1">INDIRECT("'Bureau " &amp; ROW()-1 &amp; "'!$W5")</f>
        <v>0</v>
      </c>
      <c r="J12" s="56">
        <f t="shared" ca="1" si="2"/>
        <v>0</v>
      </c>
      <c r="K12" s="110" cm="1">
        <f t="array" aca="1" ref="K12" ca="1">INDIRECT("'Bureau " &amp; ROW()-1 &amp; "'!$W6")</f>
        <v>0</v>
      </c>
      <c r="L12" s="57">
        <f t="shared" ca="1" si="3"/>
        <v>0</v>
      </c>
      <c r="M12" s="117" cm="1">
        <f t="array" aca="1" ref="M12" ca="1">INDIRECT("'Bureau " &amp; ROW()-1 &amp; "'!$W7")</f>
        <v>0</v>
      </c>
      <c r="N12" s="70">
        <f t="shared" ca="1" si="4"/>
        <v>0</v>
      </c>
      <c r="O12" s="112" cm="1">
        <f t="array" aca="1" ref="O12" ca="1">INDIRECT("'Bureau " &amp; ROW()-1 &amp; "'!$W8")</f>
        <v>0</v>
      </c>
      <c r="P12" s="57">
        <f t="shared" ca="1" si="5"/>
        <v>0</v>
      </c>
      <c r="Q12" s="117" cm="1">
        <f t="array" aca="1" ref="Q12" ca="1">INDIRECT("'Bureau " &amp; ROW()-1 &amp; "'!$W9")</f>
        <v>0</v>
      </c>
      <c r="R12" s="70">
        <f t="shared" ca="1" si="6"/>
        <v>0</v>
      </c>
      <c r="S12" s="113" cm="1">
        <f t="array" aca="1" ref="S12" ca="1">INDIRECT("'Bureau " &amp; ROW()-1 &amp; "'!$W10")</f>
        <v>0</v>
      </c>
      <c r="T12" s="24">
        <f t="shared" ca="1" si="7"/>
        <v>0</v>
      </c>
      <c r="U12" s="117" cm="1">
        <f t="array" aca="1" ref="U12" ca="1">INDIRECT("'Bureau " &amp; ROW()-1 &amp; "'!$W11")</f>
        <v>0</v>
      </c>
      <c r="V12" s="70">
        <f t="shared" ca="1" si="8"/>
        <v>0</v>
      </c>
      <c r="W12" s="112" cm="1">
        <f t="array" aca="1" ref="W12" ca="1">INDIRECT("'Bureau " &amp; ROW()-1 &amp; "'!$W12")</f>
        <v>0</v>
      </c>
      <c r="X12" s="57">
        <f t="shared" ca="1" si="9"/>
        <v>0</v>
      </c>
      <c r="Y12" s="118" cm="1">
        <f t="array" aca="1" ref="Y12" ca="1">INDIRECT("'Bureau " &amp; ROW()-1 &amp; "'!$W13")</f>
        <v>0</v>
      </c>
      <c r="Z12" s="92">
        <f t="shared" ca="1" si="10"/>
        <v>0</v>
      </c>
      <c r="AA12" s="115" cm="1">
        <f t="array" aca="1" ref="AA12" ca="1">INDIRECT("'Bureau " &amp; ROW()-1 &amp; "'!$W14")</f>
        <v>0</v>
      </c>
      <c r="AB12" s="61">
        <f t="shared" ca="1" si="11"/>
        <v>0</v>
      </c>
      <c r="AC12" s="116" cm="1">
        <f t="array" aca="1" ref="AC12" ca="1">INDIRECT("'Bureau " &amp; ROW()-1 &amp; "'!$W15")</f>
        <v>0</v>
      </c>
      <c r="AD12" s="99">
        <f t="shared" ca="1" si="12"/>
        <v>0</v>
      </c>
      <c r="AE12" s="127">
        <v>11</v>
      </c>
      <c r="AF12" s="131"/>
      <c r="AG12" s="132"/>
      <c r="AH12" s="132"/>
      <c r="AI12" s="132"/>
      <c r="AJ12" s="132"/>
      <c r="AK12" s="132"/>
      <c r="AL12" s="132"/>
      <c r="AM12" s="132"/>
      <c r="AN12" s="132"/>
      <c r="AO12" s="133"/>
      <c r="AP12" s="106"/>
      <c r="AQ12" s="101"/>
    </row>
    <row r="13" spans="1:43" ht="15.75" customHeight="1" thickBot="1" x14ac:dyDescent="0.25">
      <c r="A13" s="42">
        <v>12</v>
      </c>
      <c r="B13" s="41" t="str" cm="1">
        <f t="array" aca="1" ref="B13" ca="1">INDIRECT("'Synthèse'!"  &amp; "$B" &amp; ROW()+1)</f>
        <v>Base nautique</v>
      </c>
      <c r="C13" s="28">
        <f t="shared" ca="1" si="13"/>
        <v>0</v>
      </c>
      <c r="D13" s="25">
        <f t="shared" ca="1" si="0"/>
        <v>0</v>
      </c>
      <c r="E13" s="67">
        <f t="shared" ca="1" si="14"/>
        <v>0</v>
      </c>
      <c r="F13" s="68">
        <f>Synthèse!C14</f>
        <v>645</v>
      </c>
      <c r="G13" s="119" cm="1">
        <f t="array" aca="1" ref="G13" ca="1">INDIRECT("'Bureau " &amp; ROW()-1 &amp; "'!$W4")</f>
        <v>0</v>
      </c>
      <c r="H13" s="58">
        <f t="shared" ca="1" si="1"/>
        <v>0</v>
      </c>
      <c r="I13" s="110" cm="1">
        <f t="array" aca="1" ref="I13" ca="1">INDIRECT("'Bureau " &amp; ROW()-1 &amp; "'!$W5")</f>
        <v>0</v>
      </c>
      <c r="J13" s="58">
        <f t="shared" ca="1" si="2"/>
        <v>0</v>
      </c>
      <c r="K13" s="110" cm="1">
        <f t="array" aca="1" ref="K13" ca="1">INDIRECT("'Bureau " &amp; ROW()-1 &amp; "'!$W6")</f>
        <v>0</v>
      </c>
      <c r="L13" s="59">
        <f t="shared" ca="1" si="3"/>
        <v>0</v>
      </c>
      <c r="M13" s="120" cm="1">
        <f t="array" aca="1" ref="M13" ca="1">INDIRECT("'Bureau " &amp; ROW()-1 &amp; "'!$W7")</f>
        <v>0</v>
      </c>
      <c r="N13" s="71">
        <f t="shared" ca="1" si="4"/>
        <v>0</v>
      </c>
      <c r="O13" s="112" cm="1">
        <f t="array" aca="1" ref="O13" ca="1">INDIRECT("'Bureau " &amp; ROW()-1 &amp; "'!$W8")</f>
        <v>0</v>
      </c>
      <c r="P13" s="59">
        <f t="shared" ca="1" si="5"/>
        <v>0</v>
      </c>
      <c r="Q13" s="121" cm="1">
        <f t="array" aca="1" ref="Q13" ca="1">INDIRECT("'Bureau " &amp; ROW()-1 &amp; "'!$W9")</f>
        <v>0</v>
      </c>
      <c r="R13" s="72">
        <f t="shared" ca="1" si="6"/>
        <v>0</v>
      </c>
      <c r="S13" s="113" cm="1">
        <f t="array" aca="1" ref="S13" ca="1">INDIRECT("'Bureau " &amp; ROW()-1 &amp; "'!$W10")</f>
        <v>0</v>
      </c>
      <c r="T13" s="25">
        <f t="shared" ca="1" si="7"/>
        <v>0</v>
      </c>
      <c r="U13" s="120" cm="1">
        <f t="array" aca="1" ref="U13" ca="1">INDIRECT("'Bureau " &amp; ROW()-1 &amp; "'!$W11")</f>
        <v>0</v>
      </c>
      <c r="V13" s="71">
        <f t="shared" ca="1" si="8"/>
        <v>0</v>
      </c>
      <c r="W13" s="112" cm="1">
        <f t="array" aca="1" ref="W13" ca="1">INDIRECT("'Bureau " &amp; ROW()-1 &amp; "'!$W12")</f>
        <v>0</v>
      </c>
      <c r="X13" s="59">
        <f t="shared" ca="1" si="9"/>
        <v>0</v>
      </c>
      <c r="Y13" s="122" cm="1">
        <f t="array" aca="1" ref="Y13" ca="1">INDIRECT("'Bureau " &amp; ROW()-1 &amp; "'!$W13")</f>
        <v>0</v>
      </c>
      <c r="Z13" s="71">
        <f t="shared" ca="1" si="10"/>
        <v>0</v>
      </c>
      <c r="AA13" s="115" cm="1">
        <f t="array" aca="1" ref="AA13" ca="1">INDIRECT("'Bureau " &amp; ROW()-1 &amp; "'!$W14")</f>
        <v>0</v>
      </c>
      <c r="AB13" s="62">
        <f t="shared" ca="1" si="11"/>
        <v>0</v>
      </c>
      <c r="AC13" s="116" cm="1">
        <f t="array" aca="1" ref="AC13" ca="1">INDIRECT("'Bureau " &amp; ROW()-1 &amp; "'!$W15")</f>
        <v>0</v>
      </c>
      <c r="AD13" s="100">
        <f t="shared" ca="1" si="12"/>
        <v>0</v>
      </c>
      <c r="AE13" s="134">
        <v>12</v>
      </c>
      <c r="AF13" s="135"/>
      <c r="AG13" s="136"/>
      <c r="AH13" s="136"/>
      <c r="AI13" s="136"/>
      <c r="AJ13" s="136"/>
      <c r="AK13" s="136"/>
      <c r="AL13" s="136"/>
      <c r="AM13" s="136"/>
      <c r="AN13" s="136"/>
      <c r="AO13" s="137"/>
      <c r="AP13" s="106"/>
      <c r="AQ13" s="101"/>
    </row>
    <row r="14" spans="1:43" ht="15.75" customHeight="1" thickBot="1" x14ac:dyDescent="0.3">
      <c r="A14" s="409" t="s">
        <v>9</v>
      </c>
      <c r="B14" s="410"/>
      <c r="C14" s="29">
        <f ca="1">SUM(C2:C13)</f>
        <v>0</v>
      </c>
      <c r="D14" s="30">
        <f t="shared" ca="1" si="0"/>
        <v>0</v>
      </c>
      <c r="E14" s="64">
        <f t="shared" ca="1" si="14"/>
        <v>0</v>
      </c>
      <c r="F14" s="403">
        <f t="shared" ref="F14:G14" si="15">SUM(F2:F13)</f>
        <v>7742</v>
      </c>
      <c r="G14" s="73">
        <f t="shared" ca="1" si="15"/>
        <v>0</v>
      </c>
      <c r="H14" s="74">
        <f ca="1">G14/$F14</f>
        <v>0</v>
      </c>
      <c r="I14" s="75">
        <f ca="1">SUM(I2:I13)</f>
        <v>0</v>
      </c>
      <c r="J14" s="74">
        <f t="shared" ca="1" si="2"/>
        <v>0</v>
      </c>
      <c r="K14" s="75">
        <f ca="1">SUM(K2:K13)</f>
        <v>0</v>
      </c>
      <c r="L14" s="76">
        <f t="shared" ca="1" si="3"/>
        <v>0</v>
      </c>
      <c r="M14" s="77">
        <f ca="1">SUM(M2:M13)</f>
        <v>0</v>
      </c>
      <c r="N14" s="76">
        <f t="shared" ca="1" si="4"/>
        <v>0</v>
      </c>
      <c r="O14" s="77">
        <f ca="1">SUM(O2:O13)</f>
        <v>0</v>
      </c>
      <c r="P14" s="76">
        <f t="shared" ca="1" si="5"/>
        <v>0</v>
      </c>
      <c r="Q14" s="77">
        <f ca="1">SUM(Q2:Q13)</f>
        <v>0</v>
      </c>
      <c r="R14" s="76">
        <f t="shared" ca="1" si="6"/>
        <v>0</v>
      </c>
      <c r="S14" s="77">
        <f ca="1">SUM(S2:S13)</f>
        <v>0</v>
      </c>
      <c r="T14" s="76">
        <f t="shared" ca="1" si="7"/>
        <v>0</v>
      </c>
      <c r="U14" s="77">
        <f ca="1">SUM(U2:U13)</f>
        <v>0</v>
      </c>
      <c r="V14" s="76">
        <f t="shared" ca="1" si="8"/>
        <v>0</v>
      </c>
      <c r="W14" s="77">
        <f ca="1">SUM(W2:W13)</f>
        <v>0</v>
      </c>
      <c r="X14" s="78">
        <f t="shared" ca="1" si="9"/>
        <v>0</v>
      </c>
      <c r="Y14" s="93">
        <f ca="1">SUM(Y2:Y13)</f>
        <v>0</v>
      </c>
      <c r="Z14" s="79">
        <f t="shared" ca="1" si="10"/>
        <v>0</v>
      </c>
      <c r="AA14" s="9">
        <f ca="1">SUM(AA2:AA13)</f>
        <v>0</v>
      </c>
      <c r="AB14" s="10">
        <f t="shared" ca="1" si="11"/>
        <v>0</v>
      </c>
      <c r="AC14" s="11">
        <f ca="1">SUM(AC2:AC13)</f>
        <v>0</v>
      </c>
      <c r="AD14" s="10">
        <f t="shared" ca="1" si="12"/>
        <v>0</v>
      </c>
      <c r="AE14" s="138" t="s">
        <v>16</v>
      </c>
      <c r="AF14" s="139"/>
      <c r="AG14" s="140"/>
      <c r="AH14" s="140"/>
      <c r="AI14" s="140"/>
      <c r="AJ14" s="140"/>
      <c r="AK14" s="140"/>
      <c r="AL14" s="140"/>
      <c r="AM14" s="140"/>
      <c r="AN14" s="140"/>
      <c r="AO14" s="141"/>
      <c r="AP14" s="107"/>
      <c r="AQ14" s="108"/>
    </row>
    <row r="15" spans="1:43" ht="16.5" thickBot="1" x14ac:dyDescent="0.3">
      <c r="A15" s="12" t="s">
        <v>11</v>
      </c>
      <c r="B15" s="13">
        <f>Synthèse!B17</f>
        <v>46096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4"/>
      <c r="AB15" s="14"/>
      <c r="AC15" s="14"/>
      <c r="AD15" s="14"/>
      <c r="AE15" s="421" t="s">
        <v>65</v>
      </c>
      <c r="AF15" s="422"/>
      <c r="AG15" s="422"/>
      <c r="AH15" s="422"/>
      <c r="AI15" s="422"/>
      <c r="AJ15" s="422"/>
      <c r="AK15" s="422"/>
      <c r="AL15" s="422"/>
      <c r="AM15" s="422"/>
      <c r="AN15" s="422"/>
      <c r="AO15" s="422"/>
      <c r="AP15" s="422"/>
      <c r="AQ15" s="423"/>
    </row>
    <row r="16" spans="1:43" ht="15" customHeight="1" x14ac:dyDescent="0.2">
      <c r="A16" s="15" t="s">
        <v>12</v>
      </c>
      <c r="B16" s="16" t="str">
        <f>Synthèse!B18</f>
        <v>Municipales 1er tour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4"/>
      <c r="AB16" s="14"/>
      <c r="AC16" s="14"/>
      <c r="AD16" s="14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</row>
    <row r="17" spans="1:43" ht="17.25" customHeight="1" thickBot="1" x14ac:dyDescent="0.25">
      <c r="A17" s="17" t="s">
        <v>13</v>
      </c>
      <c r="B17" s="18" t="str">
        <f>Synthèse!B19</f>
        <v>Cogolin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4"/>
      <c r="AC17" s="14"/>
      <c r="AD17" s="14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</row>
    <row r="18" spans="1:43" ht="12.75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4"/>
      <c r="AB18" s="14"/>
      <c r="AC18" s="14"/>
      <c r="AD18" s="14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</row>
    <row r="19" spans="1:43" ht="12.75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4"/>
      <c r="AB19" s="14"/>
      <c r="AC19" s="14"/>
      <c r="AD19" s="14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</row>
    <row r="20" spans="1:43" ht="13.5" thickBo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4"/>
      <c r="AB20" s="14"/>
      <c r="AC20" s="14"/>
      <c r="AD20" s="14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</row>
    <row r="21" spans="1:43" ht="20.25" customHeight="1" thickBo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4"/>
      <c r="AB21" s="14"/>
      <c r="AC21" s="14"/>
      <c r="AD21" s="14"/>
      <c r="AE21" s="1"/>
      <c r="AF21" s="1"/>
      <c r="AG21" s="1"/>
      <c r="AH21" s="430" t="s">
        <v>62</v>
      </c>
      <c r="AI21" s="431"/>
      <c r="AJ21" s="428" t="s">
        <v>63</v>
      </c>
      <c r="AK21" s="429"/>
      <c r="AL21" s="143"/>
      <c r="AO21" s="1"/>
      <c r="AP21" s="1"/>
      <c r="AQ21" s="1"/>
    </row>
    <row r="22" spans="1:43" ht="12.75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4"/>
      <c r="AB22" s="14"/>
      <c r="AC22" s="14"/>
      <c r="AD22" s="14"/>
      <c r="AE22" s="1"/>
      <c r="AF22" s="1"/>
      <c r="AG22" s="1"/>
      <c r="AH22" s="144"/>
      <c r="AI22" s="145"/>
      <c r="AJ22" s="144"/>
      <c r="AK22" s="146"/>
      <c r="AL22" s="1"/>
      <c r="AO22" s="1"/>
      <c r="AP22" s="1"/>
      <c r="AQ22" s="1"/>
    </row>
    <row r="23" spans="1:43" ht="12.75" x14ac:dyDescent="0.2">
      <c r="A23" s="1"/>
      <c r="B23" s="80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4"/>
      <c r="AB23" s="14"/>
      <c r="AC23" s="14"/>
      <c r="AD23" s="14"/>
      <c r="AE23" s="1"/>
      <c r="AF23" s="1"/>
      <c r="AG23" s="1"/>
      <c r="AH23" s="144"/>
      <c r="AI23" s="145"/>
      <c r="AJ23" s="144"/>
      <c r="AK23" s="146"/>
      <c r="AL23" s="1"/>
      <c r="AO23" s="1"/>
      <c r="AP23" s="1"/>
      <c r="AQ23" s="1"/>
    </row>
    <row r="24" spans="1:43" ht="12.75" x14ac:dyDescent="0.2">
      <c r="A24" s="1"/>
      <c r="B24" s="80"/>
      <c r="C24" s="31"/>
      <c r="D24" s="3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4"/>
      <c r="AB24" s="14"/>
      <c r="AC24" s="14"/>
      <c r="AD24" s="14"/>
      <c r="AE24" s="1"/>
      <c r="AF24" s="1"/>
      <c r="AG24" s="1"/>
      <c r="AH24" s="144"/>
      <c r="AI24" s="145"/>
      <c r="AJ24" s="144"/>
      <c r="AK24" s="146"/>
      <c r="AL24" s="1"/>
      <c r="AO24" s="1"/>
      <c r="AP24" s="1"/>
      <c r="AQ24" s="1"/>
    </row>
    <row r="25" spans="1:43" ht="12.75" x14ac:dyDescent="0.2">
      <c r="A25" s="1"/>
      <c r="B25" s="1"/>
      <c r="C25" s="31"/>
      <c r="D25" s="3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4"/>
      <c r="AB25" s="14"/>
      <c r="AC25" s="14"/>
      <c r="AD25" s="14"/>
      <c r="AE25" s="1"/>
      <c r="AF25" s="1"/>
      <c r="AG25" s="1"/>
      <c r="AH25" s="144"/>
      <c r="AI25" s="145"/>
      <c r="AJ25" s="144"/>
      <c r="AK25" s="146"/>
      <c r="AL25" s="1"/>
      <c r="AO25" s="1"/>
      <c r="AP25" s="1"/>
      <c r="AQ25" s="1"/>
    </row>
    <row r="26" spans="1:43" ht="12.75" x14ac:dyDescent="0.2">
      <c r="A26" s="1"/>
      <c r="B26" s="1"/>
      <c r="C26" s="31"/>
      <c r="D26" s="3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4"/>
      <c r="AB26" s="14"/>
      <c r="AC26" s="14"/>
      <c r="AD26" s="14"/>
      <c r="AE26" s="1"/>
      <c r="AF26" s="1"/>
      <c r="AG26" s="1"/>
      <c r="AH26" s="144"/>
      <c r="AI26" s="145"/>
      <c r="AJ26" s="144"/>
      <c r="AK26" s="146"/>
      <c r="AL26" s="1"/>
      <c r="AO26" s="1"/>
      <c r="AP26" s="1"/>
      <c r="AQ26" s="1"/>
    </row>
    <row r="27" spans="1:43" ht="12.75" x14ac:dyDescent="0.2">
      <c r="A27" s="1"/>
      <c r="B27" s="1"/>
      <c r="C27" s="31"/>
      <c r="D27" s="3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4"/>
      <c r="AB27" s="14"/>
      <c r="AC27" s="14"/>
      <c r="AD27" s="14"/>
      <c r="AE27" s="1"/>
      <c r="AF27" s="1"/>
      <c r="AG27" s="1"/>
      <c r="AH27" s="144"/>
      <c r="AI27" s="145"/>
      <c r="AJ27" s="144"/>
      <c r="AK27" s="146"/>
      <c r="AL27" s="1"/>
      <c r="AO27" s="1"/>
      <c r="AP27" s="1"/>
      <c r="AQ27" s="1"/>
    </row>
    <row r="28" spans="1:43" ht="15.75" customHeight="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4"/>
      <c r="AB28" s="14"/>
      <c r="AC28" s="14"/>
      <c r="AD28" s="14"/>
      <c r="AE28" s="1"/>
      <c r="AF28" s="1"/>
      <c r="AG28" s="1"/>
      <c r="AH28" s="144"/>
      <c r="AI28" s="145"/>
      <c r="AJ28" s="144"/>
      <c r="AK28" s="146"/>
      <c r="AL28" s="1"/>
      <c r="AO28" s="1"/>
      <c r="AP28" s="1"/>
      <c r="AQ28" s="1"/>
    </row>
    <row r="29" spans="1:43" ht="12.75" x14ac:dyDescent="0.2">
      <c r="A29" s="1"/>
      <c r="B29" s="19" t="s">
        <v>18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4"/>
      <c r="AB29" s="14"/>
      <c r="AC29" s="14"/>
      <c r="AD29" s="14"/>
      <c r="AE29" s="1"/>
      <c r="AF29" s="1"/>
      <c r="AG29" s="1"/>
      <c r="AH29" s="144"/>
      <c r="AI29" s="145"/>
      <c r="AJ29" s="144"/>
      <c r="AK29" s="146"/>
      <c r="AL29" s="1"/>
      <c r="AO29" s="1"/>
      <c r="AP29" s="1"/>
      <c r="AQ29" s="1"/>
    </row>
    <row r="30" spans="1:43" ht="12.75" x14ac:dyDescent="0.2">
      <c r="A30" s="1"/>
      <c r="B30" s="20" t="s">
        <v>19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4"/>
      <c r="AB30" s="14"/>
      <c r="AC30" s="14"/>
      <c r="AD30" s="14"/>
      <c r="AE30" s="1"/>
      <c r="AF30" s="1"/>
      <c r="AG30" s="1"/>
      <c r="AH30" s="144"/>
      <c r="AI30" s="145"/>
      <c r="AJ30" s="144"/>
      <c r="AK30" s="146"/>
      <c r="AL30" s="1"/>
      <c r="AO30" s="1"/>
      <c r="AP30" s="1"/>
      <c r="AQ30" s="1"/>
    </row>
    <row r="31" spans="1:43" ht="12.75" x14ac:dyDescent="0.2">
      <c r="A31" s="1"/>
      <c r="B31" s="19" t="s">
        <v>20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4"/>
      <c r="AB31" s="14"/>
      <c r="AC31" s="14"/>
      <c r="AD31" s="14"/>
      <c r="AE31" s="1"/>
      <c r="AF31" s="1"/>
      <c r="AG31" s="1"/>
      <c r="AH31" s="144"/>
      <c r="AI31" s="145"/>
      <c r="AJ31" s="144"/>
      <c r="AK31" s="146"/>
      <c r="AL31" s="1"/>
      <c r="AO31" s="1"/>
      <c r="AP31" s="1"/>
      <c r="AQ31" s="1"/>
    </row>
    <row r="32" spans="1:43" ht="15.75" customHeight="1" x14ac:dyDescent="0.2">
      <c r="AH32" s="147"/>
      <c r="AI32" s="148"/>
      <c r="AJ32" s="147"/>
      <c r="AK32" s="149"/>
    </row>
    <row r="33" spans="6:37" ht="15.75" customHeight="1" x14ac:dyDescent="0.2">
      <c r="AH33" s="147"/>
      <c r="AI33" s="148"/>
      <c r="AJ33" s="147"/>
      <c r="AK33" s="149"/>
    </row>
    <row r="34" spans="6:37" ht="15.75" customHeight="1" x14ac:dyDescent="0.2">
      <c r="AH34" s="147"/>
      <c r="AI34" s="148"/>
      <c r="AJ34" s="147"/>
      <c r="AK34" s="149"/>
    </row>
    <row r="35" spans="6:37" ht="15.75" customHeight="1" thickBot="1" x14ac:dyDescent="0.25">
      <c r="AH35" s="147"/>
      <c r="AI35" s="148"/>
      <c r="AJ35" s="147"/>
      <c r="AK35" s="149"/>
    </row>
    <row r="36" spans="6:37" ht="13.5" thickBot="1" x14ac:dyDescent="0.25">
      <c r="F36" s="189"/>
      <c r="G36" s="419" t="s">
        <v>62</v>
      </c>
      <c r="H36" s="420"/>
      <c r="I36" s="420"/>
      <c r="J36" s="420"/>
      <c r="K36" s="420"/>
      <c r="L36" s="420"/>
      <c r="M36" s="420"/>
      <c r="N36" s="420"/>
      <c r="O36" s="420"/>
      <c r="P36" s="420"/>
      <c r="Q36" s="420"/>
      <c r="R36" s="420"/>
      <c r="S36" s="420"/>
      <c r="T36" s="190"/>
      <c r="U36" s="420" t="s">
        <v>63</v>
      </c>
      <c r="V36" s="420"/>
      <c r="W36" s="420"/>
      <c r="X36" s="420"/>
      <c r="Y36" s="420"/>
      <c r="Z36" s="420"/>
      <c r="AA36" s="420"/>
      <c r="AB36" s="420"/>
      <c r="AC36" s="420"/>
      <c r="AD36" s="420"/>
      <c r="AE36" s="420"/>
      <c r="AF36" s="420"/>
      <c r="AG36" s="420"/>
      <c r="AH36" s="147"/>
      <c r="AI36" s="148"/>
      <c r="AJ36" s="147"/>
      <c r="AK36" s="149"/>
    </row>
    <row r="37" spans="6:37" ht="13.5" thickBot="1" x14ac:dyDescent="0.25">
      <c r="F37" s="191" t="s">
        <v>21</v>
      </c>
      <c r="G37" s="192" t="s">
        <v>85</v>
      </c>
      <c r="H37" s="193" t="s">
        <v>86</v>
      </c>
      <c r="I37" s="194" t="s">
        <v>87</v>
      </c>
      <c r="J37" s="195" t="s">
        <v>88</v>
      </c>
      <c r="K37" s="196" t="s">
        <v>89</v>
      </c>
      <c r="L37" s="197" t="s">
        <v>90</v>
      </c>
      <c r="M37" s="198" t="s">
        <v>91</v>
      </c>
      <c r="N37" s="193" t="s">
        <v>92</v>
      </c>
      <c r="O37" s="194" t="s">
        <v>93</v>
      </c>
      <c r="P37" s="195" t="s">
        <v>94</v>
      </c>
      <c r="Q37" s="196" t="s">
        <v>95</v>
      </c>
      <c r="R37" s="197" t="s">
        <v>96</v>
      </c>
      <c r="S37" s="199" t="s">
        <v>16</v>
      </c>
      <c r="T37" s="200" t="s">
        <v>21</v>
      </c>
      <c r="U37" s="201" t="s">
        <v>85</v>
      </c>
      <c r="V37" s="202" t="s">
        <v>86</v>
      </c>
      <c r="W37" s="203" t="s">
        <v>87</v>
      </c>
      <c r="X37" s="204" t="s">
        <v>88</v>
      </c>
      <c r="Y37" s="205" t="s">
        <v>89</v>
      </c>
      <c r="Z37" s="206" t="s">
        <v>90</v>
      </c>
      <c r="AA37" s="207" t="s">
        <v>91</v>
      </c>
      <c r="AB37" s="202" t="s">
        <v>92</v>
      </c>
      <c r="AC37" s="203" t="s">
        <v>93</v>
      </c>
      <c r="AD37" s="204" t="s">
        <v>94</v>
      </c>
      <c r="AE37" s="205" t="s">
        <v>95</v>
      </c>
      <c r="AF37" s="206" t="s">
        <v>96</v>
      </c>
      <c r="AG37" s="208" t="s">
        <v>16</v>
      </c>
      <c r="AH37" s="147"/>
      <c r="AI37" s="148"/>
      <c r="AJ37" s="147"/>
      <c r="AK37" s="149"/>
    </row>
    <row r="38" spans="6:37" ht="12.75" x14ac:dyDescent="0.2">
      <c r="F38" s="209" t="s">
        <v>32</v>
      </c>
      <c r="G38" s="210">
        <v>0</v>
      </c>
      <c r="H38" s="211">
        <v>0</v>
      </c>
      <c r="I38" s="211">
        <v>0</v>
      </c>
      <c r="J38" s="211">
        <v>0</v>
      </c>
      <c r="K38" s="211">
        <v>0</v>
      </c>
      <c r="L38" s="211">
        <v>0</v>
      </c>
      <c r="M38" s="211">
        <v>0</v>
      </c>
      <c r="N38" s="211">
        <v>0</v>
      </c>
      <c r="O38" s="211">
        <v>0</v>
      </c>
      <c r="P38" s="211">
        <v>0</v>
      </c>
      <c r="Q38" s="211">
        <v>0</v>
      </c>
      <c r="R38" s="211">
        <v>0</v>
      </c>
      <c r="S38" s="212">
        <v>0</v>
      </c>
      <c r="T38" s="213" t="s">
        <v>32</v>
      </c>
      <c r="U38" s="210">
        <v>0</v>
      </c>
      <c r="V38" s="211">
        <v>0</v>
      </c>
      <c r="W38" s="211">
        <v>0</v>
      </c>
      <c r="X38" s="211">
        <v>0</v>
      </c>
      <c r="Y38" s="211">
        <v>0</v>
      </c>
      <c r="Z38" s="211">
        <v>0</v>
      </c>
      <c r="AA38" s="211">
        <v>0</v>
      </c>
      <c r="AB38" s="211">
        <v>0</v>
      </c>
      <c r="AC38" s="211">
        <v>0</v>
      </c>
      <c r="AD38" s="211">
        <v>0</v>
      </c>
      <c r="AE38" s="211">
        <v>0</v>
      </c>
      <c r="AF38" s="211">
        <v>0</v>
      </c>
      <c r="AG38" s="212">
        <v>0</v>
      </c>
      <c r="AH38" s="147"/>
      <c r="AI38" s="148"/>
      <c r="AJ38" s="147"/>
      <c r="AK38" s="149"/>
    </row>
    <row r="39" spans="6:37" ht="12.75" x14ac:dyDescent="0.2">
      <c r="F39" s="214" t="s">
        <v>33</v>
      </c>
      <c r="G39" s="215">
        <f ca="1">H2</f>
        <v>0</v>
      </c>
      <c r="H39" s="216">
        <f ca="1">H3</f>
        <v>0</v>
      </c>
      <c r="I39" s="216">
        <f ca="1">H4</f>
        <v>0</v>
      </c>
      <c r="J39" s="216">
        <f ca="1">H5</f>
        <v>0</v>
      </c>
      <c r="K39" s="216">
        <f ca="1">H6</f>
        <v>0</v>
      </c>
      <c r="L39" s="216">
        <f ca="1">H7</f>
        <v>0</v>
      </c>
      <c r="M39" s="216">
        <f ca="1">H8</f>
        <v>0</v>
      </c>
      <c r="N39" s="216">
        <f ca="1">H9</f>
        <v>0</v>
      </c>
      <c r="O39" s="216">
        <f ca="1">H10</f>
        <v>0</v>
      </c>
      <c r="P39" s="216">
        <f ca="1">H11</f>
        <v>0</v>
      </c>
      <c r="Q39" s="216">
        <f ca="1">H12</f>
        <v>0</v>
      </c>
      <c r="R39" s="216">
        <f ca="1">H13</f>
        <v>0</v>
      </c>
      <c r="S39" s="217">
        <f ca="1">H14</f>
        <v>0</v>
      </c>
      <c r="T39" s="218" t="s">
        <v>33</v>
      </c>
      <c r="U39" s="215">
        <f>AF2</f>
        <v>0</v>
      </c>
      <c r="V39" s="216">
        <f>AF3</f>
        <v>0</v>
      </c>
      <c r="W39" s="216">
        <f>AF4</f>
        <v>0</v>
      </c>
      <c r="X39" s="216">
        <f>AF5</f>
        <v>0</v>
      </c>
      <c r="Y39" s="216">
        <f>AF6</f>
        <v>0</v>
      </c>
      <c r="Z39" s="216">
        <f>AF7</f>
        <v>0</v>
      </c>
      <c r="AA39" s="216">
        <f>AF8</f>
        <v>0</v>
      </c>
      <c r="AB39" s="216">
        <f>AF9</f>
        <v>0</v>
      </c>
      <c r="AC39" s="216">
        <f>AF10</f>
        <v>0</v>
      </c>
      <c r="AD39" s="216">
        <f>AF11</f>
        <v>0</v>
      </c>
      <c r="AE39" s="216">
        <f>AF12</f>
        <v>0</v>
      </c>
      <c r="AF39" s="216">
        <f>AF13</f>
        <v>0</v>
      </c>
      <c r="AG39" s="217">
        <f>AF14</f>
        <v>0</v>
      </c>
      <c r="AH39" s="147"/>
      <c r="AI39" s="148"/>
      <c r="AJ39" s="147"/>
      <c r="AK39" s="149"/>
    </row>
    <row r="40" spans="6:37" ht="12.75" x14ac:dyDescent="0.2">
      <c r="F40" s="214" t="s">
        <v>34</v>
      </c>
      <c r="G40" s="215">
        <f ca="1">J2</f>
        <v>0</v>
      </c>
      <c r="H40" s="216">
        <f ca="1">J3</f>
        <v>0</v>
      </c>
      <c r="I40" s="216">
        <f ca="1">J4</f>
        <v>0</v>
      </c>
      <c r="J40" s="216">
        <f ca="1">J5</f>
        <v>0</v>
      </c>
      <c r="K40" s="216">
        <f ca="1">J6</f>
        <v>0</v>
      </c>
      <c r="L40" s="216">
        <f ca="1">J7</f>
        <v>0</v>
      </c>
      <c r="M40" s="216">
        <f ca="1">J8</f>
        <v>0</v>
      </c>
      <c r="N40" s="216">
        <f ca="1">J9</f>
        <v>0</v>
      </c>
      <c r="O40" s="216">
        <f ca="1">J10</f>
        <v>0</v>
      </c>
      <c r="P40" s="216">
        <f ca="1">J11</f>
        <v>0</v>
      </c>
      <c r="Q40" s="216">
        <f ca="1">J12</f>
        <v>0</v>
      </c>
      <c r="R40" s="216">
        <f ca="1">J13</f>
        <v>0</v>
      </c>
      <c r="S40" s="217">
        <f ca="1">J14</f>
        <v>0</v>
      </c>
      <c r="T40" s="218" t="s">
        <v>34</v>
      </c>
      <c r="U40" s="215">
        <f>AG2</f>
        <v>0</v>
      </c>
      <c r="V40" s="216">
        <f>AG3</f>
        <v>0</v>
      </c>
      <c r="W40" s="216">
        <f>AG4</f>
        <v>0</v>
      </c>
      <c r="X40" s="216">
        <f>AG5</f>
        <v>0</v>
      </c>
      <c r="Y40" s="216">
        <f>AG6</f>
        <v>0</v>
      </c>
      <c r="Z40" s="216">
        <f>AG7</f>
        <v>0</v>
      </c>
      <c r="AA40" s="216">
        <f>AG8</f>
        <v>0</v>
      </c>
      <c r="AB40" s="216">
        <f>AG9</f>
        <v>0</v>
      </c>
      <c r="AC40" s="216">
        <f>AG10</f>
        <v>0</v>
      </c>
      <c r="AD40" s="216">
        <f>AG11</f>
        <v>0</v>
      </c>
      <c r="AE40" s="216">
        <f>AG12</f>
        <v>0</v>
      </c>
      <c r="AF40" s="216">
        <f>AG13</f>
        <v>0</v>
      </c>
      <c r="AG40" s="217">
        <f>AG14</f>
        <v>0</v>
      </c>
      <c r="AH40" s="147"/>
      <c r="AI40" s="148"/>
      <c r="AJ40" s="147"/>
      <c r="AK40" s="149"/>
    </row>
    <row r="41" spans="6:37" ht="12.75" x14ac:dyDescent="0.2">
      <c r="F41" s="214" t="s">
        <v>35</v>
      </c>
      <c r="G41" s="215">
        <f ca="1">L2</f>
        <v>0</v>
      </c>
      <c r="H41" s="216">
        <f ca="1">L3</f>
        <v>0</v>
      </c>
      <c r="I41" s="216">
        <f ca="1">L4</f>
        <v>0</v>
      </c>
      <c r="J41" s="216">
        <f ca="1">L5</f>
        <v>0</v>
      </c>
      <c r="K41" s="216">
        <f ca="1">L6</f>
        <v>0</v>
      </c>
      <c r="L41" s="216">
        <f ca="1">L7</f>
        <v>0</v>
      </c>
      <c r="M41" s="216">
        <f ca="1">L8</f>
        <v>0</v>
      </c>
      <c r="N41" s="216">
        <f ca="1">L9</f>
        <v>0</v>
      </c>
      <c r="O41" s="216">
        <f ca="1">L10</f>
        <v>0</v>
      </c>
      <c r="P41" s="216">
        <f ca="1">L11</f>
        <v>0</v>
      </c>
      <c r="Q41" s="216">
        <f ca="1">L12</f>
        <v>0</v>
      </c>
      <c r="R41" s="216">
        <f ca="1">L13</f>
        <v>0</v>
      </c>
      <c r="S41" s="217">
        <f ca="1">L14</f>
        <v>0</v>
      </c>
      <c r="T41" s="218" t="s">
        <v>35</v>
      </c>
      <c r="U41" s="215">
        <f>AH2</f>
        <v>0</v>
      </c>
      <c r="V41" s="216">
        <f>AH3</f>
        <v>0</v>
      </c>
      <c r="W41" s="216">
        <f>AH4</f>
        <v>0</v>
      </c>
      <c r="X41" s="216">
        <f>AH5</f>
        <v>0</v>
      </c>
      <c r="Y41" s="216">
        <f>AH6</f>
        <v>0</v>
      </c>
      <c r="Z41" s="216">
        <f>AH7</f>
        <v>0</v>
      </c>
      <c r="AA41" s="216">
        <f>AH8</f>
        <v>0</v>
      </c>
      <c r="AB41" s="216">
        <f>AH9</f>
        <v>0</v>
      </c>
      <c r="AC41" s="216">
        <f>AH10</f>
        <v>0</v>
      </c>
      <c r="AD41" s="216">
        <f>AH11</f>
        <v>0</v>
      </c>
      <c r="AE41" s="216">
        <f>AH12</f>
        <v>0</v>
      </c>
      <c r="AF41" s="216">
        <f>AH13</f>
        <v>0</v>
      </c>
      <c r="AG41" s="217">
        <f>AH14</f>
        <v>0</v>
      </c>
      <c r="AH41" s="147"/>
      <c r="AI41" s="148"/>
      <c r="AJ41" s="147"/>
      <c r="AK41" s="149"/>
    </row>
    <row r="42" spans="6:37" ht="12.75" x14ac:dyDescent="0.2">
      <c r="F42" s="214" t="s">
        <v>36</v>
      </c>
      <c r="G42" s="215">
        <f ca="1">N2</f>
        <v>0</v>
      </c>
      <c r="H42" s="216">
        <f ca="1">N3</f>
        <v>0</v>
      </c>
      <c r="I42" s="216">
        <f ca="1">N4</f>
        <v>0</v>
      </c>
      <c r="J42" s="216">
        <f ca="1">N5</f>
        <v>0</v>
      </c>
      <c r="K42" s="216">
        <f ca="1">N6</f>
        <v>0</v>
      </c>
      <c r="L42" s="216">
        <f ca="1">N7</f>
        <v>0</v>
      </c>
      <c r="M42" s="216">
        <f ca="1">N8</f>
        <v>0</v>
      </c>
      <c r="N42" s="216">
        <f ca="1">N9</f>
        <v>0</v>
      </c>
      <c r="O42" s="216">
        <f ca="1">N10</f>
        <v>0</v>
      </c>
      <c r="P42" s="216">
        <f ca="1">N11</f>
        <v>0</v>
      </c>
      <c r="Q42" s="216">
        <f ca="1">N12</f>
        <v>0</v>
      </c>
      <c r="R42" s="216">
        <f ca="1">N13</f>
        <v>0</v>
      </c>
      <c r="S42" s="217">
        <f ca="1">N14</f>
        <v>0</v>
      </c>
      <c r="T42" s="218" t="s">
        <v>36</v>
      </c>
      <c r="U42" s="215">
        <f>AI2</f>
        <v>0</v>
      </c>
      <c r="V42" s="216">
        <f>AI3</f>
        <v>0</v>
      </c>
      <c r="W42" s="216">
        <f>AI4</f>
        <v>0</v>
      </c>
      <c r="X42" s="216">
        <f>AI5</f>
        <v>0</v>
      </c>
      <c r="Y42" s="216">
        <f>AI6</f>
        <v>0</v>
      </c>
      <c r="Z42" s="216">
        <f>AI7</f>
        <v>0</v>
      </c>
      <c r="AA42" s="216">
        <f>AI8</f>
        <v>0</v>
      </c>
      <c r="AB42" s="216">
        <f>AI9</f>
        <v>0</v>
      </c>
      <c r="AC42" s="216">
        <f>AI10</f>
        <v>0</v>
      </c>
      <c r="AD42" s="216">
        <f>AI11</f>
        <v>0</v>
      </c>
      <c r="AE42" s="216">
        <f>AI12</f>
        <v>0</v>
      </c>
      <c r="AF42" s="216">
        <f>AI13</f>
        <v>0</v>
      </c>
      <c r="AG42" s="217">
        <f>AI14</f>
        <v>0</v>
      </c>
      <c r="AH42" s="147"/>
      <c r="AI42" s="148"/>
      <c r="AJ42" s="147"/>
      <c r="AK42" s="149"/>
    </row>
    <row r="43" spans="6:37" ht="12.75" x14ac:dyDescent="0.2">
      <c r="F43" s="214" t="s">
        <v>37</v>
      </c>
      <c r="G43" s="215">
        <f ca="1">P2</f>
        <v>0</v>
      </c>
      <c r="H43" s="216">
        <f ca="1">P3</f>
        <v>0</v>
      </c>
      <c r="I43" s="216">
        <f ca="1">P4</f>
        <v>0</v>
      </c>
      <c r="J43" s="216">
        <f ca="1">P5</f>
        <v>0</v>
      </c>
      <c r="K43" s="216">
        <f ca="1">P6</f>
        <v>0</v>
      </c>
      <c r="L43" s="216">
        <f ca="1">P7</f>
        <v>0</v>
      </c>
      <c r="M43" s="216">
        <f ca="1">P8</f>
        <v>0</v>
      </c>
      <c r="N43" s="216">
        <f ca="1">P9</f>
        <v>0</v>
      </c>
      <c r="O43" s="216">
        <f ca="1">P10</f>
        <v>0</v>
      </c>
      <c r="P43" s="216">
        <f ca="1">P11</f>
        <v>0</v>
      </c>
      <c r="Q43" s="216">
        <f ca="1">P12</f>
        <v>0</v>
      </c>
      <c r="R43" s="216">
        <f ca="1">P13</f>
        <v>0</v>
      </c>
      <c r="S43" s="217">
        <f ca="1">P14</f>
        <v>0</v>
      </c>
      <c r="T43" s="218" t="s">
        <v>37</v>
      </c>
      <c r="U43" s="215">
        <f>AJ2</f>
        <v>0</v>
      </c>
      <c r="V43" s="216">
        <f>AJ3</f>
        <v>0</v>
      </c>
      <c r="W43" s="216">
        <f>AJ4</f>
        <v>0</v>
      </c>
      <c r="X43" s="216">
        <f>AJ5</f>
        <v>0</v>
      </c>
      <c r="Y43" s="216">
        <f>AJ6</f>
        <v>0</v>
      </c>
      <c r="Z43" s="216">
        <f>AJ7</f>
        <v>0</v>
      </c>
      <c r="AA43" s="216">
        <f>AJ8</f>
        <v>0</v>
      </c>
      <c r="AB43" s="216">
        <f>AJ9</f>
        <v>0</v>
      </c>
      <c r="AC43" s="216">
        <f>AJ10</f>
        <v>0</v>
      </c>
      <c r="AD43" s="216">
        <f>AJ11</f>
        <v>0</v>
      </c>
      <c r="AE43" s="216">
        <f>AJ12</f>
        <v>0</v>
      </c>
      <c r="AF43" s="216">
        <f>AJ13</f>
        <v>0</v>
      </c>
      <c r="AG43" s="217">
        <f>AJ14</f>
        <v>0</v>
      </c>
      <c r="AH43" s="147"/>
      <c r="AI43" s="148"/>
      <c r="AJ43" s="147"/>
      <c r="AK43" s="149"/>
    </row>
    <row r="44" spans="6:37" ht="12.75" x14ac:dyDescent="0.2">
      <c r="F44" s="214" t="s">
        <v>38</v>
      </c>
      <c r="G44" s="215">
        <f ca="1">R2</f>
        <v>0</v>
      </c>
      <c r="H44" s="216">
        <f ca="1">R3</f>
        <v>0</v>
      </c>
      <c r="I44" s="216">
        <f ca="1">R4</f>
        <v>0</v>
      </c>
      <c r="J44" s="216">
        <f ca="1">R5</f>
        <v>0</v>
      </c>
      <c r="K44" s="216">
        <f ca="1">R6</f>
        <v>0</v>
      </c>
      <c r="L44" s="216">
        <f ca="1">R7</f>
        <v>0</v>
      </c>
      <c r="M44" s="216">
        <f ca="1">R8</f>
        <v>0</v>
      </c>
      <c r="N44" s="216">
        <f ca="1">R9</f>
        <v>0</v>
      </c>
      <c r="O44" s="216">
        <f ca="1">R10</f>
        <v>0</v>
      </c>
      <c r="P44" s="216">
        <f ca="1">R11</f>
        <v>0</v>
      </c>
      <c r="Q44" s="216">
        <f ca="1">R12</f>
        <v>0</v>
      </c>
      <c r="R44" s="216">
        <f ca="1">R13</f>
        <v>0</v>
      </c>
      <c r="S44" s="217">
        <f ca="1">R14</f>
        <v>0</v>
      </c>
      <c r="T44" s="218" t="s">
        <v>38</v>
      </c>
      <c r="U44" s="215">
        <f>AK2</f>
        <v>0</v>
      </c>
      <c r="V44" s="216">
        <f>AK3</f>
        <v>0</v>
      </c>
      <c r="W44" s="216">
        <f>AK4</f>
        <v>0</v>
      </c>
      <c r="X44" s="216">
        <f>AK5</f>
        <v>0</v>
      </c>
      <c r="Y44" s="216">
        <f>AK6</f>
        <v>0</v>
      </c>
      <c r="Z44" s="216">
        <f>AK7</f>
        <v>0</v>
      </c>
      <c r="AA44" s="216">
        <f>AK8</f>
        <v>0</v>
      </c>
      <c r="AB44" s="216">
        <f>AK9</f>
        <v>0</v>
      </c>
      <c r="AC44" s="216">
        <f>AK10</f>
        <v>0</v>
      </c>
      <c r="AD44" s="216">
        <f>AK11</f>
        <v>0</v>
      </c>
      <c r="AE44" s="216">
        <f>AK12</f>
        <v>0</v>
      </c>
      <c r="AF44" s="216">
        <f>AK13</f>
        <v>0</v>
      </c>
      <c r="AG44" s="217">
        <f>AK14</f>
        <v>0</v>
      </c>
      <c r="AH44" s="147"/>
      <c r="AI44" s="148"/>
      <c r="AJ44" s="147"/>
      <c r="AK44" s="149"/>
    </row>
    <row r="45" spans="6:37" ht="12.75" x14ac:dyDescent="0.2">
      <c r="F45" s="214" t="s">
        <v>39</v>
      </c>
      <c r="G45" s="215">
        <f ca="1">T2</f>
        <v>0</v>
      </c>
      <c r="H45" s="216">
        <f ca="1">T3</f>
        <v>0</v>
      </c>
      <c r="I45" s="216">
        <f ca="1">T4</f>
        <v>0</v>
      </c>
      <c r="J45" s="216">
        <f ca="1">T5</f>
        <v>0</v>
      </c>
      <c r="K45" s="216">
        <f ca="1">T6</f>
        <v>0</v>
      </c>
      <c r="L45" s="216">
        <f ca="1">T7</f>
        <v>0</v>
      </c>
      <c r="M45" s="216">
        <f ca="1">T8</f>
        <v>0</v>
      </c>
      <c r="N45" s="216">
        <f ca="1">T9</f>
        <v>0</v>
      </c>
      <c r="O45" s="216">
        <f ca="1">T10</f>
        <v>0</v>
      </c>
      <c r="P45" s="216">
        <f ca="1">T11</f>
        <v>0</v>
      </c>
      <c r="Q45" s="216">
        <f ca="1">T12</f>
        <v>0</v>
      </c>
      <c r="R45" s="216">
        <f ca="1">T13</f>
        <v>0</v>
      </c>
      <c r="S45" s="217">
        <f ca="1">T14</f>
        <v>0</v>
      </c>
      <c r="T45" s="218" t="s">
        <v>39</v>
      </c>
      <c r="U45" s="215">
        <f>AL2</f>
        <v>0</v>
      </c>
      <c r="V45" s="216">
        <f>AL3</f>
        <v>0</v>
      </c>
      <c r="W45" s="216">
        <f>AL4</f>
        <v>0</v>
      </c>
      <c r="X45" s="216">
        <f>AL5</f>
        <v>0</v>
      </c>
      <c r="Y45" s="216">
        <f>AL6</f>
        <v>0</v>
      </c>
      <c r="Z45" s="216">
        <f>AL7</f>
        <v>0</v>
      </c>
      <c r="AA45" s="216">
        <f>AL8</f>
        <v>0</v>
      </c>
      <c r="AB45" s="216">
        <f>AL9</f>
        <v>0</v>
      </c>
      <c r="AC45" s="216">
        <f>AL10</f>
        <v>0</v>
      </c>
      <c r="AD45" s="216">
        <f>AL11</f>
        <v>0</v>
      </c>
      <c r="AE45" s="216">
        <f>AL12</f>
        <v>0</v>
      </c>
      <c r="AF45" s="216">
        <f>AL13</f>
        <v>0</v>
      </c>
      <c r="AG45" s="217">
        <f>AL14</f>
        <v>0</v>
      </c>
      <c r="AH45" s="147"/>
      <c r="AI45" s="148"/>
      <c r="AJ45" s="147"/>
      <c r="AK45" s="149"/>
    </row>
    <row r="46" spans="6:37" ht="12.75" x14ac:dyDescent="0.2">
      <c r="F46" s="214" t="s">
        <v>40</v>
      </c>
      <c r="G46" s="215">
        <f ca="1">V2</f>
        <v>0</v>
      </c>
      <c r="H46" s="216">
        <f ca="1">V3</f>
        <v>0</v>
      </c>
      <c r="I46" s="216">
        <f ca="1">V4</f>
        <v>0</v>
      </c>
      <c r="J46" s="216">
        <f ca="1">V5</f>
        <v>0</v>
      </c>
      <c r="K46" s="216">
        <f ca="1">V6</f>
        <v>0</v>
      </c>
      <c r="L46" s="216">
        <f ca="1">V7</f>
        <v>0</v>
      </c>
      <c r="M46" s="216">
        <f ca="1">V8</f>
        <v>0</v>
      </c>
      <c r="N46" s="216">
        <f ca="1">V9</f>
        <v>0</v>
      </c>
      <c r="O46" s="216">
        <f ca="1">V10</f>
        <v>0</v>
      </c>
      <c r="P46" s="216">
        <f ca="1">V11</f>
        <v>0</v>
      </c>
      <c r="Q46" s="216">
        <f ca="1">V12</f>
        <v>0</v>
      </c>
      <c r="R46" s="216">
        <f ca="1">V13</f>
        <v>0</v>
      </c>
      <c r="S46" s="217">
        <f ca="1">V14</f>
        <v>0</v>
      </c>
      <c r="T46" s="218" t="s">
        <v>40</v>
      </c>
      <c r="U46" s="215">
        <f>AM2</f>
        <v>0</v>
      </c>
      <c r="V46" s="216">
        <f>AM3</f>
        <v>0</v>
      </c>
      <c r="W46" s="216">
        <f>AM4</f>
        <v>0</v>
      </c>
      <c r="X46" s="216">
        <f>AM5</f>
        <v>0</v>
      </c>
      <c r="Y46" s="216">
        <f>AM6</f>
        <v>0</v>
      </c>
      <c r="Z46" s="216">
        <f>AM7</f>
        <v>0</v>
      </c>
      <c r="AA46" s="216">
        <f>AM8</f>
        <v>0</v>
      </c>
      <c r="AB46" s="216">
        <f>AM9</f>
        <v>0</v>
      </c>
      <c r="AC46" s="216">
        <f>AM10</f>
        <v>0</v>
      </c>
      <c r="AD46" s="216">
        <f>AM11</f>
        <v>0</v>
      </c>
      <c r="AE46" s="216">
        <f>AM12</f>
        <v>0</v>
      </c>
      <c r="AF46" s="216">
        <f>AM13</f>
        <v>0</v>
      </c>
      <c r="AG46" s="217">
        <f>AM14</f>
        <v>0</v>
      </c>
      <c r="AH46" s="147"/>
      <c r="AI46" s="148"/>
      <c r="AJ46" s="147"/>
      <c r="AK46" s="149"/>
    </row>
    <row r="47" spans="6:37" ht="12.75" x14ac:dyDescent="0.2">
      <c r="F47" s="214" t="s">
        <v>41</v>
      </c>
      <c r="G47" s="215">
        <f ca="1">X2</f>
        <v>0</v>
      </c>
      <c r="H47" s="216">
        <f ca="1">X3</f>
        <v>0</v>
      </c>
      <c r="I47" s="216">
        <f ca="1">X4</f>
        <v>0</v>
      </c>
      <c r="J47" s="216">
        <f ca="1">X5</f>
        <v>0</v>
      </c>
      <c r="K47" s="216">
        <f ca="1">X6</f>
        <v>0</v>
      </c>
      <c r="L47" s="216">
        <f ca="1">X7</f>
        <v>0</v>
      </c>
      <c r="M47" s="216">
        <f ca="1">X8</f>
        <v>0</v>
      </c>
      <c r="N47" s="216">
        <f ca="1">X9</f>
        <v>0</v>
      </c>
      <c r="O47" s="216">
        <f ca="1">X10</f>
        <v>0</v>
      </c>
      <c r="P47" s="216">
        <f ca="1">X11</f>
        <v>0</v>
      </c>
      <c r="Q47" s="216">
        <f ca="1">X12</f>
        <v>0</v>
      </c>
      <c r="R47" s="216">
        <f ca="1">X13</f>
        <v>0</v>
      </c>
      <c r="S47" s="217">
        <f ca="1">X14</f>
        <v>0</v>
      </c>
      <c r="T47" s="218" t="s">
        <v>41</v>
      </c>
      <c r="U47" s="215">
        <f>AN2</f>
        <v>0</v>
      </c>
      <c r="V47" s="216">
        <f>AN3</f>
        <v>0</v>
      </c>
      <c r="W47" s="216">
        <f>AN4</f>
        <v>0</v>
      </c>
      <c r="X47" s="216">
        <f>AN5</f>
        <v>0</v>
      </c>
      <c r="Y47" s="216">
        <f>AN6</f>
        <v>0</v>
      </c>
      <c r="Z47" s="216">
        <f>AN7</f>
        <v>0</v>
      </c>
      <c r="AA47" s="216">
        <f>AN8</f>
        <v>0</v>
      </c>
      <c r="AB47" s="216">
        <f>AN9</f>
        <v>0</v>
      </c>
      <c r="AC47" s="216">
        <f>AN10</f>
        <v>0</v>
      </c>
      <c r="AD47" s="216">
        <f>AN11</f>
        <v>0</v>
      </c>
      <c r="AE47" s="216">
        <f>AN12</f>
        <v>0</v>
      </c>
      <c r="AF47" s="216">
        <f>AN13</f>
        <v>0</v>
      </c>
      <c r="AG47" s="217">
        <f>AN14</f>
        <v>0</v>
      </c>
      <c r="AH47" s="150"/>
      <c r="AI47" s="142"/>
      <c r="AJ47" s="150"/>
      <c r="AK47" s="151"/>
    </row>
    <row r="48" spans="6:37" ht="12.75" x14ac:dyDescent="0.2">
      <c r="F48" s="214" t="s">
        <v>42</v>
      </c>
      <c r="G48" s="215">
        <f ca="1">Z2</f>
        <v>0</v>
      </c>
      <c r="H48" s="216">
        <f ca="1">Z3</f>
        <v>0</v>
      </c>
      <c r="I48" s="216">
        <f ca="1">Z4</f>
        <v>0</v>
      </c>
      <c r="J48" s="216">
        <f ca="1">Z5</f>
        <v>0</v>
      </c>
      <c r="K48" s="216">
        <f ca="1">Z6</f>
        <v>0</v>
      </c>
      <c r="L48" s="216">
        <f ca="1">Z7</f>
        <v>0</v>
      </c>
      <c r="M48" s="216">
        <f ca="1">Z8</f>
        <v>0</v>
      </c>
      <c r="N48" s="216">
        <f ca="1">Z9</f>
        <v>0</v>
      </c>
      <c r="O48" s="216">
        <f ca="1">Z10</f>
        <v>0</v>
      </c>
      <c r="P48" s="216">
        <f ca="1">Z11</f>
        <v>0</v>
      </c>
      <c r="Q48" s="216">
        <f ca="1">Z12</f>
        <v>0</v>
      </c>
      <c r="R48" s="216">
        <f ca="1">Z13</f>
        <v>0</v>
      </c>
      <c r="S48" s="217">
        <f ca="1">Z14</f>
        <v>0</v>
      </c>
      <c r="T48" s="218" t="s">
        <v>42</v>
      </c>
      <c r="U48" s="215">
        <f>AO2</f>
        <v>0</v>
      </c>
      <c r="V48" s="216">
        <f>AO3</f>
        <v>0</v>
      </c>
      <c r="W48" s="216">
        <f>AO4</f>
        <v>0</v>
      </c>
      <c r="X48" s="216">
        <f>AO5</f>
        <v>0</v>
      </c>
      <c r="Y48" s="216">
        <f>AO6</f>
        <v>0</v>
      </c>
      <c r="Z48" s="216">
        <f>AO7</f>
        <v>0</v>
      </c>
      <c r="AA48" s="216">
        <f>AO8</f>
        <v>0</v>
      </c>
      <c r="AB48" s="216">
        <f>AO9</f>
        <v>0</v>
      </c>
      <c r="AC48" s="216">
        <f>AO10</f>
        <v>0</v>
      </c>
      <c r="AD48" s="216">
        <f>AO11</f>
        <v>0</v>
      </c>
      <c r="AE48" s="216">
        <f>AO12</f>
        <v>0</v>
      </c>
      <c r="AF48" s="216">
        <f>AO13</f>
        <v>0</v>
      </c>
      <c r="AG48" s="217">
        <f>AO14</f>
        <v>0</v>
      </c>
      <c r="AH48" s="150"/>
      <c r="AI48" s="142"/>
      <c r="AJ48" s="150"/>
      <c r="AK48" s="151"/>
    </row>
    <row r="49" spans="6:37" ht="12.75" x14ac:dyDescent="0.2">
      <c r="F49" s="219" t="s">
        <v>43</v>
      </c>
      <c r="G49" s="220">
        <f ca="1">AB2</f>
        <v>0</v>
      </c>
      <c r="H49" s="221">
        <f ca="1">AB3</f>
        <v>0</v>
      </c>
      <c r="I49" s="221">
        <f ca="1">AB4</f>
        <v>0</v>
      </c>
      <c r="J49" s="221">
        <f ca="1">AB5</f>
        <v>0</v>
      </c>
      <c r="K49" s="221">
        <f ca="1">AB6</f>
        <v>0</v>
      </c>
      <c r="L49" s="221">
        <f ca="1">AB7</f>
        <v>0</v>
      </c>
      <c r="M49" s="221">
        <f ca="1">AB8</f>
        <v>0</v>
      </c>
      <c r="N49" s="221">
        <f ca="1">AB9</f>
        <v>0</v>
      </c>
      <c r="O49" s="221">
        <f ca="1">AB10</f>
        <v>0</v>
      </c>
      <c r="P49" s="221">
        <f ca="1">AB11</f>
        <v>0</v>
      </c>
      <c r="Q49" s="221">
        <f ca="1">AB12</f>
        <v>0</v>
      </c>
      <c r="R49" s="221">
        <f ca="1">AB13</f>
        <v>0</v>
      </c>
      <c r="S49" s="222">
        <f ca="1">AB14</f>
        <v>0</v>
      </c>
      <c r="T49" s="223" t="s">
        <v>43</v>
      </c>
      <c r="U49" s="220">
        <f>AP2</f>
        <v>0</v>
      </c>
      <c r="V49" s="221">
        <f>AP3</f>
        <v>0</v>
      </c>
      <c r="W49" s="221">
        <f>AP4</f>
        <v>0</v>
      </c>
      <c r="X49" s="221">
        <f>AP5</f>
        <v>0</v>
      </c>
      <c r="Y49" s="221">
        <f>AP6</f>
        <v>0</v>
      </c>
      <c r="Z49" s="221">
        <f>AP7</f>
        <v>0</v>
      </c>
      <c r="AA49" s="221">
        <f>AP8</f>
        <v>0</v>
      </c>
      <c r="AB49" s="221">
        <f>AP9</f>
        <v>0</v>
      </c>
      <c r="AC49" s="221">
        <f>AP10</f>
        <v>0</v>
      </c>
      <c r="AD49" s="221">
        <f>AP11</f>
        <v>0</v>
      </c>
      <c r="AE49" s="221">
        <f>AP12</f>
        <v>0</v>
      </c>
      <c r="AF49" s="221">
        <f>AP13</f>
        <v>0</v>
      </c>
      <c r="AG49" s="222">
        <f>AP14</f>
        <v>0</v>
      </c>
      <c r="AH49" s="150"/>
      <c r="AI49" s="142"/>
      <c r="AJ49" s="150"/>
      <c r="AK49" s="151"/>
    </row>
    <row r="50" spans="6:37" ht="13.5" thickBot="1" x14ac:dyDescent="0.25">
      <c r="F50" s="224" t="s">
        <v>44</v>
      </c>
      <c r="G50" s="225">
        <f ca="1">AD2</f>
        <v>0</v>
      </c>
      <c r="H50" s="226">
        <f ca="1">AD3</f>
        <v>0</v>
      </c>
      <c r="I50" s="226">
        <f ca="1">AD4</f>
        <v>0</v>
      </c>
      <c r="J50" s="226">
        <f ca="1">AD5</f>
        <v>0</v>
      </c>
      <c r="K50" s="226">
        <f ca="1">AD6</f>
        <v>0</v>
      </c>
      <c r="L50" s="226">
        <f ca="1">AD7</f>
        <v>0</v>
      </c>
      <c r="M50" s="226">
        <f ca="1">AD8</f>
        <v>0</v>
      </c>
      <c r="N50" s="226">
        <f ca="1">AD9</f>
        <v>0</v>
      </c>
      <c r="O50" s="226">
        <f ca="1">AD10</f>
        <v>0</v>
      </c>
      <c r="P50" s="226">
        <f ca="1">AD11</f>
        <v>0</v>
      </c>
      <c r="Q50" s="226">
        <f ca="1">AD12</f>
        <v>0</v>
      </c>
      <c r="R50" s="226">
        <f ca="1">AD13</f>
        <v>0</v>
      </c>
      <c r="S50" s="227">
        <f ca="1">AD14</f>
        <v>0</v>
      </c>
      <c r="T50" s="228" t="s">
        <v>44</v>
      </c>
      <c r="U50" s="225">
        <f>AQ2</f>
        <v>0</v>
      </c>
      <c r="V50" s="226">
        <f>AQ3</f>
        <v>0</v>
      </c>
      <c r="W50" s="226">
        <f>AQ4</f>
        <v>0</v>
      </c>
      <c r="X50" s="226">
        <f>AQ5</f>
        <v>0</v>
      </c>
      <c r="Y50" s="226">
        <f>AQ6</f>
        <v>0</v>
      </c>
      <c r="Z50" s="226">
        <f>AQ7</f>
        <v>0</v>
      </c>
      <c r="AA50" s="226">
        <f>AQ8</f>
        <v>0</v>
      </c>
      <c r="AB50" s="226">
        <f>AQ9</f>
        <v>0</v>
      </c>
      <c r="AC50" s="226">
        <f>AQ10</f>
        <v>0</v>
      </c>
      <c r="AD50" s="226">
        <f>AQ11</f>
        <v>0</v>
      </c>
      <c r="AE50" s="226">
        <f>AQ12</f>
        <v>0</v>
      </c>
      <c r="AF50" s="226">
        <f>AQ13</f>
        <v>0</v>
      </c>
      <c r="AG50" s="227">
        <f>AQ14</f>
        <v>0</v>
      </c>
      <c r="AH50" s="152"/>
      <c r="AI50" s="153"/>
      <c r="AJ50" s="152"/>
      <c r="AK50" s="154"/>
    </row>
  </sheetData>
  <mergeCells count="20">
    <mergeCell ref="Y1:Z1"/>
    <mergeCell ref="G36:S36"/>
    <mergeCell ref="U36:AG36"/>
    <mergeCell ref="AE15:AQ15"/>
    <mergeCell ref="AA1:AB1"/>
    <mergeCell ref="AC1:AD1"/>
    <mergeCell ref="M1:N1"/>
    <mergeCell ref="O1:P1"/>
    <mergeCell ref="AJ21:AK21"/>
    <mergeCell ref="AH21:AI21"/>
    <mergeCell ref="A14:B14"/>
    <mergeCell ref="Q1:R1"/>
    <mergeCell ref="S1:T1"/>
    <mergeCell ref="U1:V1"/>
    <mergeCell ref="W1:X1"/>
    <mergeCell ref="A1:B1"/>
    <mergeCell ref="C1:E1"/>
    <mergeCell ref="G1:H1"/>
    <mergeCell ref="I1:J1"/>
    <mergeCell ref="K1:L1"/>
  </mergeCells>
  <phoneticPr fontId="28" type="noConversion"/>
  <conditionalFormatting sqref="D2:D14 H2:H14 J2:J14 L2:L14 N2:N14 P2:P14 R2:R14 T2:T14 V2:V14 X2:X14 Z2:Z14 AB2:AB14 AD2:AD14">
    <cfRule type="cellIs" dxfId="435" priority="1" operator="greaterThan">
      <formula>1</formula>
    </cfRule>
  </conditionalFormatting>
  <conditionalFormatting sqref="E2:E13">
    <cfRule type="dataBar" priority="2">
      <dataBar showValue="0"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{3FDD93BF-BD62-434C-B28B-B55DBDFEDBA1}</x14:id>
        </ext>
      </extLst>
    </cfRule>
  </conditionalFormatting>
  <conditionalFormatting sqref="E14">
    <cfRule type="dataBar" priority="3">
      <dataBar showValue="0">
        <cfvo type="num" val="0"/>
        <cfvo type="num" val="1"/>
        <color theme="4" tint="-0.499984740745262"/>
      </dataBar>
      <extLst>
        <ext xmlns:x14="http://schemas.microsoft.com/office/spreadsheetml/2009/9/main" uri="{B025F937-C7B1-47D3-B67F-A62EFF666E3E}">
          <x14:id>{A914CC1E-FDA3-4754-ACDB-2624EA9E0F4E}</x14:id>
        </ext>
      </extLst>
    </cfRule>
  </conditionalFormatting>
  <conditionalFormatting sqref="I2:AD14">
    <cfRule type="expression" dxfId="434" priority="18">
      <formula>AND(MOD(COLUMN(), 2)=1, I2&lt;G2, NOT(ISBLANK(I2)), NOT(I2=0))</formula>
    </cfRule>
  </conditionalFormatting>
  <pageMargins left="0.7" right="0.7" top="0.75" bottom="0.75" header="0.3" footer="0.3"/>
  <pageSetup paperSize="9" orientation="portrait" r:id="rId1"/>
  <ignoredErrors>
    <ignoredError sqref="H14 I14:J14 K14:L14 M14:N14 O14:P14 Q14:R14 S14:T14 U14:V14 W14:X14 Y14:Z14 AA14:AC1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54" r:id="rId4" name="Button 182">
              <controlPr defaultSize="0" print="0" autoFill="0" autoPict="0" macro="[0]!GenererBoutonsFormesInteractives">
                <anchor moveWithCells="1">
                  <from>
                    <xdr:col>30</xdr:col>
                    <xdr:colOff>238125</xdr:colOff>
                    <xdr:row>31</xdr:row>
                    <xdr:rowOff>9525</xdr:rowOff>
                  </from>
                  <to>
                    <xdr:col>32</xdr:col>
                    <xdr:colOff>28575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locked="0" defaultSize="0" print="0" autoFill="0" autoPict="0" macro="[0]!ImporterParticipationHorairePremierTour">
                <anchor moveWithCells="1">
                  <from>
                    <xdr:col>34</xdr:col>
                    <xdr:colOff>466725</xdr:colOff>
                    <xdr:row>4</xdr:row>
                    <xdr:rowOff>133350</xdr:rowOff>
                  </from>
                  <to>
                    <xdr:col>38</xdr:col>
                    <xdr:colOff>66675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FDD93BF-BD62-434C-B28B-B55DBDFEDBA1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E2:E13</xm:sqref>
        </x14:conditionalFormatting>
        <x14:conditionalFormatting xmlns:xm="http://schemas.microsoft.com/office/excel/2006/main">
          <x14:cfRule type="dataBar" id="{A914CC1E-FDA3-4754-ACDB-2624EA9E0F4E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47D81-9559-4051-82F9-2D259A70BFBA}">
  <sheetPr codeName="Feuil43">
    <tabColor rgb="FFB4A7D6"/>
  </sheetPr>
  <dimension ref="A1:AB82"/>
  <sheetViews>
    <sheetView zoomScale="80" zoomScaleNormal="80" workbookViewId="0">
      <pane xSplit="2" topLeftCell="C1" activePane="topRight" state="frozen"/>
      <selection pane="topRight" activeCell="Q16" sqref="Q16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6.140625" customWidth="1"/>
    <col min="24" max="24" width="12" customWidth="1"/>
    <col min="26" max="26" width="13.28515625" customWidth="1"/>
    <col min="27" max="27" width="14.42578125" customWidth="1"/>
  </cols>
  <sheetData>
    <row r="1" spans="1:28" ht="16.5" customHeight="1" thickBot="1" x14ac:dyDescent="0.25">
      <c r="A1" s="315" t="s">
        <v>11</v>
      </c>
      <c r="B1" s="33">
        <f>Synthèse!B17</f>
        <v>46096</v>
      </c>
      <c r="D1" s="314"/>
      <c r="E1" s="435" t="s">
        <v>66</v>
      </c>
      <c r="F1" s="436"/>
      <c r="G1" s="436"/>
      <c r="H1" s="436"/>
      <c r="I1" s="436"/>
      <c r="J1" s="436"/>
      <c r="K1" s="436"/>
      <c r="L1" s="436"/>
      <c r="M1" s="436"/>
      <c r="N1" s="436"/>
      <c r="O1" s="436"/>
      <c r="P1" s="437"/>
      <c r="Q1" s="445" t="s">
        <v>7</v>
      </c>
    </row>
    <row r="2" spans="1:28" ht="39.75" customHeight="1" thickBot="1" x14ac:dyDescent="0.25">
      <c r="A2" s="316" t="s">
        <v>12</v>
      </c>
      <c r="B2" s="34" t="str">
        <f>Synthèse!B18</f>
        <v>Municipales 1er tour</v>
      </c>
      <c r="D2" s="364" t="s">
        <v>83</v>
      </c>
      <c r="E2" s="365" t="s">
        <v>69</v>
      </c>
      <c r="F2" s="366" t="s">
        <v>100</v>
      </c>
      <c r="G2" s="366" t="s">
        <v>70</v>
      </c>
      <c r="H2" s="366" t="s">
        <v>71</v>
      </c>
      <c r="I2" s="366" t="s">
        <v>72</v>
      </c>
      <c r="J2" s="366" t="s">
        <v>73</v>
      </c>
      <c r="K2" s="366" t="s">
        <v>74</v>
      </c>
      <c r="L2" s="366" t="s">
        <v>75</v>
      </c>
      <c r="M2" s="366" t="s">
        <v>76</v>
      </c>
      <c r="N2" s="367" t="s">
        <v>77</v>
      </c>
      <c r="O2" s="368" t="s">
        <v>3</v>
      </c>
      <c r="P2" s="369" t="s">
        <v>4</v>
      </c>
      <c r="Q2" s="442" t="s">
        <v>105</v>
      </c>
      <c r="V2" s="381" t="s">
        <v>21</v>
      </c>
      <c r="W2" s="382" t="s">
        <v>57</v>
      </c>
      <c r="X2" s="383" t="s">
        <v>31</v>
      </c>
      <c r="Z2" s="384" t="s">
        <v>59</v>
      </c>
      <c r="AA2" s="384" t="s">
        <v>58</v>
      </c>
    </row>
    <row r="3" spans="1:28" ht="20.100000000000001" customHeight="1" thickBot="1" x14ac:dyDescent="0.25">
      <c r="A3" s="317" t="s">
        <v>13</v>
      </c>
      <c r="B3" s="94" t="str">
        <f>Synthèse!B19</f>
        <v>Cogolin</v>
      </c>
      <c r="D3" s="361" cm="1">
        <f t="array" ref="D3">IF(ROW(1:1)&lt;=$K$23, (ROW(1:1)), "")</f>
        <v>1</v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1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3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23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46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2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5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9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6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70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5</v>
      </c>
      <c r="O3" s="171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72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318">
        <f t="shared" ref="Q3:Q12" si="0">SUM(E3:P3)</f>
        <v>100</v>
      </c>
      <c r="V3" s="352" t="s">
        <v>32</v>
      </c>
      <c r="W3" s="353">
        <v>0</v>
      </c>
      <c r="X3" s="354">
        <f t="shared" ref="X3" si="1">W3/$B$6</f>
        <v>0</v>
      </c>
      <c r="Z3" s="330"/>
      <c r="AA3" s="330"/>
    </row>
    <row r="4" spans="1:28" ht="20.100000000000001" customHeight="1" x14ac:dyDescent="0.2">
      <c r="A4" s="95" t="s">
        <v>23</v>
      </c>
      <c r="B4" s="168">
        <v>0</v>
      </c>
      <c r="D4" s="362" cm="1">
        <f t="array" ref="D4">IF(ROW(2:2)&lt;=$K$23, (ROW(2:2)), "")</f>
        <v>2</v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2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17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59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3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5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9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2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7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P4" s="158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Q4" s="318">
        <f t="shared" si="0"/>
        <v>100</v>
      </c>
      <c r="V4" s="355" t="s">
        <v>33</v>
      </c>
      <c r="W4" s="356">
        <v>60</v>
      </c>
      <c r="X4" s="357">
        <f t="shared" ref="X4:X12" si="2">IF(OR(W4=0, W4=""), NA(), W4/$B$6)</f>
        <v>0.11857707509881422</v>
      </c>
      <c r="Z4" s="325" t="s">
        <v>45</v>
      </c>
      <c r="AA4" s="385">
        <f t="shared" ref="AA4:AA13" si="3">IF(W4&lt;&gt;0,W4-W3,NA())</f>
        <v>60</v>
      </c>
    </row>
    <row r="5" spans="1:28" ht="20.100000000000001" customHeight="1" x14ac:dyDescent="0.2">
      <c r="A5" s="96" t="s">
        <v>24</v>
      </c>
      <c r="B5" s="187" t="s">
        <v>97</v>
      </c>
      <c r="D5" s="362" cm="1">
        <f t="array" ref="D5">IF(ROW(3:3)&lt;=$K$23, (ROW(3:3)), "")</f>
        <v>3</v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3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40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30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1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8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6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5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5</v>
      </c>
      <c r="O5" s="173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2</v>
      </c>
      <c r="P5" s="174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318">
        <f t="shared" si="0"/>
        <v>100</v>
      </c>
      <c r="T5" s="231"/>
      <c r="U5" s="232"/>
      <c r="V5" s="355" t="s">
        <v>34</v>
      </c>
      <c r="W5" s="356">
        <v>118</v>
      </c>
      <c r="X5" s="357">
        <f t="shared" si="2"/>
        <v>0.233201581027668</v>
      </c>
      <c r="Z5" s="326" t="s">
        <v>46</v>
      </c>
      <c r="AA5" s="386">
        <f t="shared" si="3"/>
        <v>58</v>
      </c>
    </row>
    <row r="6" spans="1:28" ht="20.100000000000001" customHeight="1" x14ac:dyDescent="0.2">
      <c r="A6" s="96" t="s">
        <v>0</v>
      </c>
      <c r="B6" s="188">
        <v>506</v>
      </c>
      <c r="D6" s="362" cm="1">
        <f t="array" ref="D6">IF(ROW(4:4)&lt;=$K$23, (ROW(4:4)), "")</f>
        <v>4</v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36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19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8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12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4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7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</v>
      </c>
      <c r="O6" s="173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</v>
      </c>
      <c r="P6" s="174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Q6" s="318">
        <f t="shared" si="0"/>
        <v>100</v>
      </c>
      <c r="T6" s="231"/>
      <c r="U6" s="232"/>
      <c r="V6" s="355" t="s">
        <v>35</v>
      </c>
      <c r="W6" s="356">
        <v>179</v>
      </c>
      <c r="X6" s="357">
        <f t="shared" si="2"/>
        <v>0.35375494071146246</v>
      </c>
      <c r="Z6" s="326" t="s">
        <v>47</v>
      </c>
      <c r="AA6" s="386">
        <f t="shared" si="3"/>
        <v>61</v>
      </c>
    </row>
    <row r="7" spans="1:28" ht="20.100000000000001" customHeight="1" x14ac:dyDescent="0.2">
      <c r="A7" s="96" t="s">
        <v>2</v>
      </c>
      <c r="B7" s="165">
        <f>MAX(W4:W15)</f>
        <v>440</v>
      </c>
      <c r="D7" s="362" cm="1">
        <f t="array" ref="D7">IF(ROW(5:5)&lt;=$K$23, (ROW(5:5)), "")</f>
        <v>5</v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19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12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3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7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2</v>
      </c>
      <c r="P7" s="158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318">
        <f t="shared" si="0"/>
        <v>40</v>
      </c>
      <c r="T7" s="231"/>
      <c r="U7" s="232"/>
      <c r="V7" s="355" t="s">
        <v>36</v>
      </c>
      <c r="W7" s="356">
        <v>235</v>
      </c>
      <c r="X7" s="357">
        <f t="shared" si="2"/>
        <v>0.46442687747035571</v>
      </c>
      <c r="Z7" s="326" t="s">
        <v>54</v>
      </c>
      <c r="AA7" s="386">
        <f t="shared" si="3"/>
        <v>56</v>
      </c>
    </row>
    <row r="8" spans="1:28" ht="20.100000000000001" customHeight="1" x14ac:dyDescent="0.2">
      <c r="A8" s="96" t="s">
        <v>1</v>
      </c>
      <c r="B8" s="166">
        <f>B7</f>
        <v>440</v>
      </c>
      <c r="D8" s="362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7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8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318">
        <f t="shared" si="0"/>
        <v>0</v>
      </c>
      <c r="T8" s="231"/>
      <c r="U8" s="232"/>
      <c r="V8" s="355" t="s">
        <v>37</v>
      </c>
      <c r="W8" s="356">
        <v>283</v>
      </c>
      <c r="X8" s="357">
        <f t="shared" si="2"/>
        <v>0.55928853754940711</v>
      </c>
      <c r="Z8" s="326" t="s">
        <v>48</v>
      </c>
      <c r="AA8" s="386">
        <f t="shared" si="3"/>
        <v>48</v>
      </c>
    </row>
    <row r="9" spans="1:28" ht="20.100000000000001" customHeight="1" thickBot="1" x14ac:dyDescent="0.25">
      <c r="A9" s="97" t="s">
        <v>17</v>
      </c>
      <c r="B9" s="167">
        <f>B6-B7</f>
        <v>66</v>
      </c>
      <c r="D9" s="362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9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60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318">
        <f t="shared" si="0"/>
        <v>0</v>
      </c>
      <c r="T9" s="231"/>
      <c r="U9" s="232"/>
      <c r="V9" s="355" t="s">
        <v>38</v>
      </c>
      <c r="W9" s="356">
        <v>319</v>
      </c>
      <c r="X9" s="357">
        <f t="shared" si="2"/>
        <v>0.63043478260869568</v>
      </c>
      <c r="Z9" s="326" t="s">
        <v>49</v>
      </c>
      <c r="AA9" s="386">
        <f t="shared" si="3"/>
        <v>36</v>
      </c>
    </row>
    <row r="10" spans="1:28" ht="20.100000000000001" customHeight="1" x14ac:dyDescent="0.2">
      <c r="A10" s="438" t="s">
        <v>60</v>
      </c>
      <c r="B10" s="438"/>
      <c r="D10" s="362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9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60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318">
        <f t="shared" si="0"/>
        <v>0</v>
      </c>
      <c r="T10" s="231"/>
      <c r="U10" s="232"/>
      <c r="V10" s="355" t="s">
        <v>39</v>
      </c>
      <c r="W10" s="356">
        <v>350</v>
      </c>
      <c r="X10" s="357">
        <f t="shared" si="2"/>
        <v>0.69169960474308301</v>
      </c>
      <c r="Z10" s="326" t="s">
        <v>50</v>
      </c>
      <c r="AA10" s="386">
        <f t="shared" si="3"/>
        <v>31</v>
      </c>
    </row>
    <row r="11" spans="1:28" ht="20.100000000000001" customHeight="1" x14ac:dyDescent="0.2">
      <c r="A11" s="439"/>
      <c r="B11" s="439"/>
      <c r="D11" s="362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9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60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318">
        <f t="shared" si="0"/>
        <v>0</v>
      </c>
      <c r="T11" s="231"/>
      <c r="U11" s="232"/>
      <c r="V11" s="355" t="s">
        <v>40</v>
      </c>
      <c r="W11" s="356">
        <v>380</v>
      </c>
      <c r="X11" s="357">
        <f t="shared" si="2"/>
        <v>0.75098814229249011</v>
      </c>
      <c r="Z11" s="326" t="s">
        <v>51</v>
      </c>
      <c r="AA11" s="386">
        <f t="shared" si="3"/>
        <v>30</v>
      </c>
    </row>
    <row r="12" spans="1:28" ht="20.100000000000001" customHeight="1" thickBot="1" x14ac:dyDescent="0.25">
      <c r="A12" s="440" t="s">
        <v>61</v>
      </c>
      <c r="B12" s="440"/>
      <c r="D12" s="363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75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7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318">
        <f t="shared" si="0"/>
        <v>0</v>
      </c>
      <c r="T12" s="231"/>
      <c r="U12" s="232"/>
      <c r="V12" s="355" t="s">
        <v>41</v>
      </c>
      <c r="W12" s="356">
        <v>399</v>
      </c>
      <c r="X12" s="357">
        <f t="shared" si="2"/>
        <v>0.78853754940711462</v>
      </c>
      <c r="Z12" s="326" t="s">
        <v>52</v>
      </c>
      <c r="AA12" s="386">
        <f t="shared" si="3"/>
        <v>19</v>
      </c>
    </row>
    <row r="13" spans="1:28" ht="20.100000000000001" customHeight="1" thickBot="1" x14ac:dyDescent="0.3">
      <c r="A13" s="440"/>
      <c r="B13" s="440"/>
      <c r="D13" s="50" t="s">
        <v>9</v>
      </c>
      <c r="E13" s="161">
        <f t="shared" ref="E13:Q13" si="4">SUM(E3:E12)</f>
        <v>3</v>
      </c>
      <c r="F13" s="162">
        <f t="shared" si="4"/>
        <v>11</v>
      </c>
      <c r="G13" s="162">
        <f t="shared" si="4"/>
        <v>135</v>
      </c>
      <c r="H13" s="162">
        <f t="shared" si="4"/>
        <v>166</v>
      </c>
      <c r="I13" s="162">
        <f t="shared" si="4"/>
        <v>9</v>
      </c>
      <c r="J13" s="162">
        <f t="shared" si="4"/>
        <v>27</v>
      </c>
      <c r="K13" s="162">
        <f t="shared" si="4"/>
        <v>37</v>
      </c>
      <c r="L13" s="162">
        <f t="shared" si="4"/>
        <v>15</v>
      </c>
      <c r="M13" s="162">
        <f t="shared" si="4"/>
        <v>13</v>
      </c>
      <c r="N13" s="162">
        <f t="shared" si="4"/>
        <v>13</v>
      </c>
      <c r="O13" s="163">
        <f t="shared" si="4"/>
        <v>8</v>
      </c>
      <c r="P13" s="164">
        <f t="shared" si="4"/>
        <v>3</v>
      </c>
      <c r="Q13" s="319">
        <f t="shared" si="4"/>
        <v>440</v>
      </c>
      <c r="T13" s="231"/>
      <c r="U13" s="232"/>
      <c r="V13" s="355" t="s">
        <v>42</v>
      </c>
      <c r="W13" s="356">
        <v>440</v>
      </c>
      <c r="X13" s="357">
        <f>IF(OR(W13=0, W13=""), NA(), W13/$B$6)</f>
        <v>0.86956521739130432</v>
      </c>
      <c r="Z13" s="327" t="s">
        <v>53</v>
      </c>
      <c r="AA13" s="387">
        <f t="shared" si="3"/>
        <v>41</v>
      </c>
    </row>
    <row r="14" spans="1:28" ht="20.100000000000001" customHeight="1" thickBot="1" x14ac:dyDescent="0.3">
      <c r="A14" s="440"/>
      <c r="B14" s="440"/>
      <c r="D14" s="83" t="s">
        <v>10</v>
      </c>
      <c r="E14" s="45">
        <f t="shared" ref="E14:Q14" si="5">IFERROR(E13/$B$7,0)</f>
        <v>6.8181818181818179E-3</v>
      </c>
      <c r="F14" s="46">
        <f t="shared" si="5"/>
        <v>2.5000000000000001E-2</v>
      </c>
      <c r="G14" s="46">
        <f t="shared" si="5"/>
        <v>0.30681818181818182</v>
      </c>
      <c r="H14" s="46">
        <f t="shared" si="5"/>
        <v>0.37727272727272726</v>
      </c>
      <c r="I14" s="46">
        <f t="shared" si="5"/>
        <v>2.0454545454545454E-2</v>
      </c>
      <c r="J14" s="46">
        <f t="shared" si="5"/>
        <v>6.1363636363636363E-2</v>
      </c>
      <c r="K14" s="46">
        <f t="shared" si="5"/>
        <v>8.4090909090909091E-2</v>
      </c>
      <c r="L14" s="46">
        <f t="shared" si="5"/>
        <v>3.4090909090909088E-2</v>
      </c>
      <c r="M14" s="46">
        <f t="shared" si="5"/>
        <v>2.9545454545454545E-2</v>
      </c>
      <c r="N14" s="46">
        <f t="shared" si="5"/>
        <v>2.9545454545454545E-2</v>
      </c>
      <c r="O14" s="45">
        <f t="shared" si="5"/>
        <v>1.8181818181818181E-2</v>
      </c>
      <c r="P14" s="47">
        <f t="shared" si="5"/>
        <v>6.8181818181818179E-3</v>
      </c>
      <c r="Q14" s="329">
        <f t="shared" si="5"/>
        <v>1</v>
      </c>
      <c r="V14" s="391" t="s">
        <v>43</v>
      </c>
      <c r="W14" s="358"/>
      <c r="X14" s="359" t="e">
        <f>IF(OR(W14=0, W14=""), NA(), W14/$B$6)</f>
        <v>#N/A</v>
      </c>
      <c r="Y14" s="389"/>
      <c r="Z14" s="393" t="s">
        <v>55</v>
      </c>
      <c r="AA14" s="388" t="e">
        <f>IF(W14&lt;&gt;0,W14-W13,NA())</f>
        <v>#N/A</v>
      </c>
      <c r="AB14" s="389"/>
    </row>
    <row r="15" spans="1:28" ht="18" customHeight="1" thickBot="1" x14ac:dyDescent="0.25">
      <c r="A15" s="441" t="s">
        <v>68</v>
      </c>
      <c r="B15" s="441"/>
      <c r="C15" s="1"/>
      <c r="D15" s="1"/>
      <c r="Q15" s="328"/>
      <c r="V15" s="324" t="s">
        <v>44</v>
      </c>
      <c r="W15" s="360"/>
      <c r="X15" s="390" t="e">
        <f>IF(OR(W15=0, W15=""), NA(), W15/$B$6)</f>
        <v>#N/A</v>
      </c>
      <c r="Z15" s="394" t="s">
        <v>56</v>
      </c>
      <c r="AA15" s="392" t="e">
        <f>IF(W15&lt;&gt;0,W15-W14,NA())</f>
        <v>#N/A</v>
      </c>
      <c r="AB15" s="389"/>
    </row>
    <row r="16" spans="1:28" ht="12.75" customHeight="1" x14ac:dyDescent="0.2">
      <c r="A16" s="441"/>
      <c r="B16" s="441"/>
      <c r="V16" s="328"/>
      <c r="W16" s="328"/>
      <c r="X16" s="328"/>
      <c r="AA16" s="328"/>
    </row>
    <row r="17" spans="1:11" ht="18" customHeight="1" x14ac:dyDescent="0.25">
      <c r="A17" s="441"/>
      <c r="B17" s="441"/>
      <c r="E17" s="230"/>
    </row>
    <row r="18" spans="1:11" ht="26.25" customHeight="1" x14ac:dyDescent="0.2">
      <c r="A18" s="441"/>
      <c r="B18" s="441"/>
    </row>
    <row r="23" spans="1:11" x14ac:dyDescent="0.2">
      <c r="H23" s="177" t="s">
        <v>64</v>
      </c>
      <c r="J23" s="245">
        <f>CEILING($B$6, 100)/100</f>
        <v>6</v>
      </c>
      <c r="K23" s="245">
        <f>CEILING($B$7,100)/100</f>
        <v>5</v>
      </c>
    </row>
    <row r="24" spans="1:11" x14ac:dyDescent="0.2">
      <c r="H24" s="178">
        <f>IF((ROW()-23)&lt;=$K$24,(ROW()-23),"Choisir")</f>
        <v>1</v>
      </c>
      <c r="J24" s="245">
        <f>MOD($B$7,100)</f>
        <v>40</v>
      </c>
      <c r="K24" s="246">
        <f>CEILING($B$6/300,1)</f>
        <v>2</v>
      </c>
    </row>
    <row r="25" spans="1:11" x14ac:dyDescent="0.2">
      <c r="H25" s="178">
        <f>IF((ROW()-23)&lt;=$K$24,(ROW()-23),"Choisir")</f>
        <v>2</v>
      </c>
    </row>
    <row r="26" spans="1:11" x14ac:dyDescent="0.2">
      <c r="H26" s="178" t="str">
        <f>IF((ROW()-23)&lt;=$K$24,(ROW()-23),"Choisir")</f>
        <v>Choisir</v>
      </c>
    </row>
    <row r="27" spans="1:11" x14ac:dyDescent="0.2">
      <c r="H27" s="178" t="str">
        <f>IF((ROW()-23)&lt;=$K$24,(ROW()-23),"Choisir")</f>
        <v>Choisir</v>
      </c>
    </row>
    <row r="46" spans="4:17" x14ac:dyDescent="0.2">
      <c r="E46" s="169"/>
    </row>
    <row r="47" spans="4:17" ht="13.5" thickBot="1" x14ac:dyDescent="0.25">
      <c r="E47" s="169"/>
    </row>
    <row r="48" spans="4:17" ht="20.100000000000001" customHeight="1" thickBot="1" x14ac:dyDescent="0.25">
      <c r="D48" s="235" t="s">
        <v>79</v>
      </c>
      <c r="E48" s="432" t="s">
        <v>103</v>
      </c>
      <c r="F48" s="433"/>
      <c r="G48" s="433"/>
      <c r="H48" s="433"/>
      <c r="I48" s="433"/>
      <c r="J48" s="433"/>
      <c r="K48" s="433"/>
      <c r="L48" s="433"/>
      <c r="M48" s="433"/>
      <c r="N48" s="433"/>
      <c r="O48" s="433"/>
      <c r="P48" s="434"/>
      <c r="Q48" s="395" t="s">
        <v>7</v>
      </c>
    </row>
    <row r="49" spans="3:17" ht="39" thickBot="1" x14ac:dyDescent="0.25">
      <c r="C49" s="233"/>
      <c r="D49" s="371" t="s">
        <v>82</v>
      </c>
      <c r="E49" s="372" t="s">
        <v>69</v>
      </c>
      <c r="F49" s="373" t="s">
        <v>78</v>
      </c>
      <c r="G49" s="373" t="s">
        <v>70</v>
      </c>
      <c r="H49" s="373" t="s">
        <v>71</v>
      </c>
      <c r="I49" s="373" t="s">
        <v>72</v>
      </c>
      <c r="J49" s="373" t="s">
        <v>73</v>
      </c>
      <c r="K49" s="373" t="s">
        <v>74</v>
      </c>
      <c r="L49" s="373" t="s">
        <v>75</v>
      </c>
      <c r="M49" s="373" t="s">
        <v>76</v>
      </c>
      <c r="N49" s="374" t="s">
        <v>77</v>
      </c>
      <c r="O49" s="375" t="s">
        <v>3</v>
      </c>
      <c r="P49" s="374" t="s">
        <v>4</v>
      </c>
      <c r="Q49" s="397" t="s">
        <v>104</v>
      </c>
    </row>
    <row r="50" spans="3:17" ht="19.5" customHeight="1" x14ac:dyDescent="0.2">
      <c r="C50" s="234"/>
      <c r="D50" s="370">
        <v>1</v>
      </c>
      <c r="E50" s="320">
        <v>1</v>
      </c>
      <c r="F50" s="321">
        <v>3</v>
      </c>
      <c r="G50" s="321">
        <v>23</v>
      </c>
      <c r="H50" s="321">
        <v>46</v>
      </c>
      <c r="I50" s="321">
        <v>2</v>
      </c>
      <c r="J50" s="321">
        <v>5</v>
      </c>
      <c r="K50" s="321">
        <v>9</v>
      </c>
      <c r="L50" s="321">
        <v>6</v>
      </c>
      <c r="M50" s="321"/>
      <c r="N50" s="322">
        <v>5</v>
      </c>
      <c r="O50" s="323"/>
      <c r="P50" s="322"/>
      <c r="Q50" s="396">
        <f t="shared" ref="Q50:Q59" si="6">SUM(E50:P50)</f>
        <v>100</v>
      </c>
    </row>
    <row r="51" spans="3:17" ht="20.100000000000001" customHeight="1" x14ac:dyDescent="0.2">
      <c r="C51" s="234"/>
      <c r="D51" s="370">
        <v>3</v>
      </c>
      <c r="E51" s="320">
        <v>1</v>
      </c>
      <c r="F51" s="321">
        <v>6</v>
      </c>
      <c r="G51" s="321">
        <v>63</v>
      </c>
      <c r="H51" s="321">
        <v>76</v>
      </c>
      <c r="I51" s="321">
        <v>3</v>
      </c>
      <c r="J51" s="321">
        <v>13</v>
      </c>
      <c r="K51" s="321">
        <v>15</v>
      </c>
      <c r="L51" s="321">
        <v>6</v>
      </c>
      <c r="M51" s="321">
        <v>5</v>
      </c>
      <c r="N51" s="322">
        <v>10</v>
      </c>
      <c r="O51" s="323">
        <v>2</v>
      </c>
      <c r="P51" s="322"/>
      <c r="Q51" s="396">
        <f t="shared" si="6"/>
        <v>200</v>
      </c>
    </row>
    <row r="52" spans="3:17" ht="20.100000000000001" customHeight="1" x14ac:dyDescent="0.2">
      <c r="C52" s="234"/>
      <c r="D52" s="370">
        <v>4</v>
      </c>
      <c r="E52" s="320">
        <v>3</v>
      </c>
      <c r="F52" s="321">
        <v>8</v>
      </c>
      <c r="G52" s="321">
        <v>99</v>
      </c>
      <c r="H52" s="321">
        <v>95</v>
      </c>
      <c r="I52" s="321">
        <v>5</v>
      </c>
      <c r="J52" s="321">
        <v>21</v>
      </c>
      <c r="K52" s="321">
        <v>27</v>
      </c>
      <c r="L52" s="321">
        <v>10</v>
      </c>
      <c r="M52" s="321">
        <v>12</v>
      </c>
      <c r="N52" s="322">
        <v>13</v>
      </c>
      <c r="O52" s="323">
        <v>5</v>
      </c>
      <c r="P52" s="322">
        <v>2</v>
      </c>
      <c r="Q52" s="396">
        <f t="shared" si="6"/>
        <v>300</v>
      </c>
    </row>
    <row r="53" spans="3:17" ht="20.100000000000001" customHeight="1" x14ac:dyDescent="0.2">
      <c r="C53" s="234"/>
      <c r="D53" s="370" t="s">
        <v>81</v>
      </c>
      <c r="E53" s="320"/>
      <c r="F53" s="321"/>
      <c r="G53" s="321"/>
      <c r="H53" s="321"/>
      <c r="I53" s="321"/>
      <c r="J53" s="321"/>
      <c r="K53" s="321"/>
      <c r="L53" s="321"/>
      <c r="M53" s="321"/>
      <c r="N53" s="322"/>
      <c r="O53" s="323"/>
      <c r="P53" s="322"/>
      <c r="Q53" s="396">
        <f t="shared" si="6"/>
        <v>0</v>
      </c>
    </row>
    <row r="54" spans="3:17" ht="20.100000000000001" customHeight="1" x14ac:dyDescent="0.2">
      <c r="C54" s="234"/>
      <c r="D54" s="370" t="s">
        <v>81</v>
      </c>
      <c r="E54" s="320"/>
      <c r="F54" s="321"/>
      <c r="G54" s="321"/>
      <c r="H54" s="321"/>
      <c r="I54" s="321"/>
      <c r="J54" s="321"/>
      <c r="K54" s="321"/>
      <c r="L54" s="321"/>
      <c r="M54" s="321"/>
      <c r="N54" s="322"/>
      <c r="O54" s="323"/>
      <c r="P54" s="322"/>
      <c r="Q54" s="396">
        <f t="shared" si="6"/>
        <v>0</v>
      </c>
    </row>
    <row r="55" spans="3:17" ht="20.100000000000001" customHeight="1" x14ac:dyDescent="0.2">
      <c r="C55" s="234"/>
      <c r="D55" s="370" t="s">
        <v>81</v>
      </c>
      <c r="E55" s="320"/>
      <c r="F55" s="321"/>
      <c r="G55" s="321"/>
      <c r="H55" s="321"/>
      <c r="I55" s="321"/>
      <c r="J55" s="321"/>
      <c r="K55" s="321"/>
      <c r="L55" s="321"/>
      <c r="M55" s="321"/>
      <c r="N55" s="322"/>
      <c r="O55" s="323"/>
      <c r="P55" s="322"/>
      <c r="Q55" s="396">
        <f t="shared" si="6"/>
        <v>0</v>
      </c>
    </row>
    <row r="56" spans="3:17" ht="20.100000000000001" customHeight="1" x14ac:dyDescent="0.2">
      <c r="C56" s="234"/>
      <c r="D56" s="370" t="s">
        <v>81</v>
      </c>
      <c r="E56" s="320"/>
      <c r="F56" s="321"/>
      <c r="G56" s="321"/>
      <c r="H56" s="321"/>
      <c r="I56" s="321"/>
      <c r="J56" s="321"/>
      <c r="K56" s="321"/>
      <c r="L56" s="321"/>
      <c r="M56" s="321"/>
      <c r="N56" s="322"/>
      <c r="O56" s="323"/>
      <c r="P56" s="322"/>
      <c r="Q56" s="396">
        <f t="shared" si="6"/>
        <v>0</v>
      </c>
    </row>
    <row r="57" spans="3:17" ht="20.100000000000001" customHeight="1" x14ac:dyDescent="0.2">
      <c r="C57" s="234"/>
      <c r="D57" s="370" t="s">
        <v>81</v>
      </c>
      <c r="E57" s="320"/>
      <c r="F57" s="321"/>
      <c r="G57" s="321"/>
      <c r="H57" s="321"/>
      <c r="I57" s="321"/>
      <c r="J57" s="321"/>
      <c r="K57" s="321"/>
      <c r="L57" s="321"/>
      <c r="M57" s="321"/>
      <c r="N57" s="322"/>
      <c r="O57" s="323"/>
      <c r="P57" s="322"/>
      <c r="Q57" s="396">
        <f t="shared" si="6"/>
        <v>0</v>
      </c>
    </row>
    <row r="58" spans="3:17" ht="20.100000000000001" customHeight="1" x14ac:dyDescent="0.2">
      <c r="C58" s="234"/>
      <c r="D58" s="370" t="s">
        <v>81</v>
      </c>
      <c r="E58" s="320"/>
      <c r="F58" s="321"/>
      <c r="G58" s="321"/>
      <c r="H58" s="321"/>
      <c r="I58" s="321"/>
      <c r="J58" s="321"/>
      <c r="K58" s="321"/>
      <c r="L58" s="321"/>
      <c r="M58" s="321"/>
      <c r="N58" s="322"/>
      <c r="O58" s="323"/>
      <c r="P58" s="322"/>
      <c r="Q58" s="396">
        <f t="shared" si="6"/>
        <v>0</v>
      </c>
    </row>
    <row r="59" spans="3:17" ht="20.100000000000001" customHeight="1" thickBot="1" x14ac:dyDescent="0.25">
      <c r="C59" s="234"/>
      <c r="D59" s="376" t="s">
        <v>81</v>
      </c>
      <c r="E59" s="377"/>
      <c r="F59" s="378"/>
      <c r="G59" s="378"/>
      <c r="H59" s="378"/>
      <c r="I59" s="378"/>
      <c r="J59" s="378"/>
      <c r="K59" s="378"/>
      <c r="L59" s="378"/>
      <c r="M59" s="378"/>
      <c r="N59" s="379"/>
      <c r="O59" s="380"/>
      <c r="P59" s="379"/>
      <c r="Q59" s="396">
        <f t="shared" si="6"/>
        <v>0</v>
      </c>
    </row>
    <row r="60" spans="3:17" x14ac:dyDescent="0.2">
      <c r="Q60" s="328"/>
    </row>
    <row r="63" spans="3:17" ht="18" x14ac:dyDescent="0.25">
      <c r="E63" s="230"/>
    </row>
    <row r="65" spans="4:17" ht="13.5" thickBot="1" x14ac:dyDescent="0.25"/>
    <row r="66" spans="4:17" ht="16.5" customHeight="1" thickBot="1" x14ac:dyDescent="0.25">
      <c r="D66" s="235" t="s">
        <v>80</v>
      </c>
      <c r="E66" s="432" t="s">
        <v>102</v>
      </c>
      <c r="F66" s="433"/>
      <c r="G66" s="433"/>
      <c r="H66" s="433"/>
      <c r="I66" s="433"/>
      <c r="J66" s="433"/>
      <c r="K66" s="433"/>
      <c r="L66" s="433"/>
      <c r="M66" s="433"/>
      <c r="N66" s="433"/>
      <c r="O66" s="433"/>
      <c r="P66" s="434"/>
      <c r="Q66" s="395" t="s">
        <v>7</v>
      </c>
    </row>
    <row r="67" spans="4:17" ht="39" thickBot="1" x14ac:dyDescent="0.25">
      <c r="D67" s="371" t="s">
        <v>82</v>
      </c>
      <c r="E67" s="372" t="s">
        <v>69</v>
      </c>
      <c r="F67" s="373" t="s">
        <v>78</v>
      </c>
      <c r="G67" s="373" t="s">
        <v>70</v>
      </c>
      <c r="H67" s="373" t="s">
        <v>71</v>
      </c>
      <c r="I67" s="373" t="s">
        <v>72</v>
      </c>
      <c r="J67" s="373" t="s">
        <v>73</v>
      </c>
      <c r="K67" s="373" t="s">
        <v>74</v>
      </c>
      <c r="L67" s="373" t="s">
        <v>75</v>
      </c>
      <c r="M67" s="373" t="s">
        <v>76</v>
      </c>
      <c r="N67" s="374" t="s">
        <v>77</v>
      </c>
      <c r="O67" s="375" t="s">
        <v>3</v>
      </c>
      <c r="P67" s="374" t="s">
        <v>4</v>
      </c>
      <c r="Q67" s="402" t="s">
        <v>104</v>
      </c>
    </row>
    <row r="68" spans="4:17" ht="20.100000000000001" customHeight="1" x14ac:dyDescent="0.2">
      <c r="D68" s="244">
        <v>2</v>
      </c>
      <c r="E68" s="237"/>
      <c r="F68" s="238">
        <v>2</v>
      </c>
      <c r="G68" s="238">
        <v>17</v>
      </c>
      <c r="H68" s="238">
        <v>59</v>
      </c>
      <c r="I68" s="238">
        <v>3</v>
      </c>
      <c r="J68" s="238">
        <v>5</v>
      </c>
      <c r="K68" s="238">
        <v>9</v>
      </c>
      <c r="L68" s="238">
        <v>2</v>
      </c>
      <c r="M68" s="238">
        <v>1</v>
      </c>
      <c r="N68" s="239"/>
      <c r="O68" s="240">
        <v>1</v>
      </c>
      <c r="P68" s="239">
        <v>1</v>
      </c>
      <c r="Q68" s="399">
        <f t="shared" ref="Q68:Q72" si="7">SUM(E68:P68)</f>
        <v>100</v>
      </c>
    </row>
    <row r="69" spans="4:17" ht="20.100000000000001" customHeight="1" x14ac:dyDescent="0.2">
      <c r="D69" s="242">
        <v>5</v>
      </c>
      <c r="E69" s="179"/>
      <c r="F69" s="180">
        <v>3</v>
      </c>
      <c r="G69" s="180">
        <v>36</v>
      </c>
      <c r="H69" s="180">
        <v>71</v>
      </c>
      <c r="I69" s="180">
        <v>4</v>
      </c>
      <c r="J69" s="180">
        <v>6</v>
      </c>
      <c r="K69" s="180">
        <v>10</v>
      </c>
      <c r="L69" s="180">
        <v>5</v>
      </c>
      <c r="M69" s="180">
        <v>1</v>
      </c>
      <c r="N69" s="181"/>
      <c r="O69" s="182">
        <v>3</v>
      </c>
      <c r="P69" s="181">
        <v>1</v>
      </c>
      <c r="Q69" s="318">
        <f t="shared" si="7"/>
        <v>140</v>
      </c>
    </row>
    <row r="70" spans="4:17" ht="20.100000000000001" customHeight="1" x14ac:dyDescent="0.2">
      <c r="D70" s="242" t="s">
        <v>81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1"/>
      <c r="O70" s="182"/>
      <c r="P70" s="181"/>
      <c r="Q70" s="318">
        <f t="shared" si="7"/>
        <v>0</v>
      </c>
    </row>
    <row r="71" spans="4:17" ht="20.100000000000001" customHeight="1" x14ac:dyDescent="0.2">
      <c r="D71" s="242" t="s">
        <v>81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1"/>
      <c r="O71" s="182"/>
      <c r="P71" s="181"/>
      <c r="Q71" s="318">
        <f t="shared" si="7"/>
        <v>0</v>
      </c>
    </row>
    <row r="72" spans="4:17" ht="20.100000000000001" customHeight="1" thickBot="1" x14ac:dyDescent="0.25">
      <c r="D72" s="243" t="s">
        <v>81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5"/>
      <c r="O72" s="186"/>
      <c r="P72" s="185"/>
      <c r="Q72" s="400">
        <f t="shared" si="7"/>
        <v>0</v>
      </c>
    </row>
    <row r="73" spans="4:1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</row>
    <row r="74" spans="4:1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</row>
    <row r="75" spans="4:1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</row>
    <row r="76" spans="4:17" ht="20.100000000000001" customHeight="1" thickBot="1" x14ac:dyDescent="0.25">
      <c r="D76" s="235" t="s">
        <v>84</v>
      </c>
      <c r="E76" s="432" t="s">
        <v>101</v>
      </c>
      <c r="F76" s="433"/>
      <c r="G76" s="433"/>
      <c r="H76" s="433"/>
      <c r="I76" s="433"/>
      <c r="J76" s="433"/>
      <c r="K76" s="433"/>
      <c r="L76" s="433"/>
      <c r="M76" s="433"/>
      <c r="N76" s="433"/>
      <c r="O76" s="433"/>
      <c r="P76" s="434"/>
      <c r="Q76" s="401" t="s">
        <v>7</v>
      </c>
    </row>
    <row r="77" spans="4:17" ht="39" thickBot="1" x14ac:dyDescent="0.25">
      <c r="D77" s="371" t="s">
        <v>82</v>
      </c>
      <c r="E77" s="372" t="s">
        <v>69</v>
      </c>
      <c r="F77" s="373" t="s">
        <v>78</v>
      </c>
      <c r="G77" s="373" t="s">
        <v>70</v>
      </c>
      <c r="H77" s="373" t="s">
        <v>71</v>
      </c>
      <c r="I77" s="373" t="s">
        <v>72</v>
      </c>
      <c r="J77" s="373" t="s">
        <v>73</v>
      </c>
      <c r="K77" s="373" t="s">
        <v>74</v>
      </c>
      <c r="L77" s="373" t="s">
        <v>75</v>
      </c>
      <c r="M77" s="373" t="s">
        <v>76</v>
      </c>
      <c r="N77" s="374" t="s">
        <v>77</v>
      </c>
      <c r="O77" s="375" t="s">
        <v>3</v>
      </c>
      <c r="P77" s="374" t="s">
        <v>4</v>
      </c>
      <c r="Q77" s="398" t="s">
        <v>104</v>
      </c>
    </row>
    <row r="78" spans="4:17" ht="20.100000000000001" customHeight="1" x14ac:dyDescent="0.2">
      <c r="D78" s="244" t="s">
        <v>81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9"/>
      <c r="O78" s="240"/>
      <c r="P78" s="239"/>
      <c r="Q78" s="399">
        <f t="shared" ref="Q78:Q80" si="8">SUM(E78:P78)</f>
        <v>0</v>
      </c>
    </row>
    <row r="79" spans="4:17" ht="20.100000000000001" customHeight="1" x14ac:dyDescent="0.2">
      <c r="D79" s="242" t="s">
        <v>81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1"/>
      <c r="O79" s="182"/>
      <c r="P79" s="181"/>
      <c r="Q79" s="318">
        <f t="shared" si="8"/>
        <v>0</v>
      </c>
    </row>
    <row r="80" spans="4:17" ht="20.100000000000001" customHeight="1" thickBot="1" x14ac:dyDescent="0.25">
      <c r="D80" s="243" t="s">
        <v>81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5"/>
      <c r="O80" s="186"/>
      <c r="P80" s="185"/>
      <c r="Q80" s="400">
        <f t="shared" si="8"/>
        <v>0</v>
      </c>
    </row>
    <row r="81" spans="4:1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41"/>
    </row>
    <row r="82" spans="4:1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41"/>
    </row>
  </sheetData>
  <mergeCells count="7">
    <mergeCell ref="E76:P76"/>
    <mergeCell ref="E1:P1"/>
    <mergeCell ref="A10:B11"/>
    <mergeCell ref="A12:B14"/>
    <mergeCell ref="A15:B18"/>
    <mergeCell ref="E48:P48"/>
    <mergeCell ref="E66:P66"/>
  </mergeCells>
  <conditionalFormatting sqref="E3:Q12">
    <cfRule type="cellIs" dxfId="433" priority="16" operator="notBetween">
      <formula>0</formula>
      <formula>100</formula>
    </cfRule>
  </conditionalFormatting>
  <conditionalFormatting sqref="E3:Q14">
    <cfRule type="cellIs" dxfId="432" priority="19" operator="lessThan">
      <formula>0</formula>
    </cfRule>
  </conditionalFormatting>
  <conditionalFormatting sqref="E14:Q14">
    <cfRule type="cellIs" dxfId="431" priority="22" operator="greaterThan">
      <formula>1</formula>
    </cfRule>
  </conditionalFormatting>
  <conditionalFormatting sqref="Q3:Q13">
    <cfRule type="cellIs" dxfId="430" priority="20" operator="equal">
      <formula>0</formula>
    </cfRule>
  </conditionalFormatting>
  <conditionalFormatting sqref="Q13">
    <cfRule type="cellIs" dxfId="429" priority="24" operator="equal">
      <formula>$B$7</formula>
    </cfRule>
  </conditionalFormatting>
  <conditionalFormatting sqref="Q14">
    <cfRule type="cellIs" dxfId="428" priority="21" operator="equal">
      <formula>1</formula>
    </cfRule>
    <cfRule type="cellIs" dxfId="427" priority="23" operator="lessThan">
      <formula>1</formula>
    </cfRule>
  </conditionalFormatting>
  <conditionalFormatting sqref="W4:W15">
    <cfRule type="expression" dxfId="426" priority="25">
      <formula>AND($W4&lt;$W3, NOT(ISBLANK($W4)))</formula>
    </cfRule>
    <cfRule type="cellIs" dxfId="425" priority="26" operator="greaterThan">
      <formula>$B$6</formula>
    </cfRule>
  </conditionalFormatting>
  <conditionalFormatting sqref="X4:X15">
    <cfRule type="cellIs" dxfId="424" priority="18" operator="greaterThan">
      <formula>1</formula>
    </cfRule>
  </conditionalFormatting>
  <conditionalFormatting sqref="D68:D72 D50:D59 D78:D80">
    <cfRule type="colorScale" priority="14">
      <colorScale>
        <cfvo type="min"/>
        <cfvo type="max"/>
        <color theme="9" tint="0.79998168889431442"/>
        <color theme="9" tint="-0.499984740745262"/>
      </colorScale>
    </cfRule>
  </conditionalFormatting>
  <conditionalFormatting sqref="E3:P12">
    <cfRule type="expression" dxfId="423" priority="27">
      <formula>($D3&lt;=$K$23)</formula>
    </cfRule>
  </conditionalFormatting>
  <conditionalFormatting sqref="Q3:Q12">
    <cfRule type="expression" dxfId="422" priority="28">
      <formula>AND($D3=$K$23, Q3=$J$24)</formula>
    </cfRule>
    <cfRule type="expression" dxfId="421" priority="29">
      <formula>AND($D3=$K$23, MOD(Q3,100)&gt;$J$24)</formula>
    </cfRule>
    <cfRule type="cellIs" dxfId="420" priority="30" operator="equal">
      <formula>100</formula>
    </cfRule>
  </conditionalFormatting>
  <conditionalFormatting sqref="D3:P12">
    <cfRule type="expression" dxfId="419" priority="34">
      <formula>($D3&gt;$K$23)</formula>
    </cfRule>
  </conditionalFormatting>
  <conditionalFormatting sqref="E50:P59 E68:P72 E78:P80">
    <cfRule type="cellIs" dxfId="418" priority="31" operator="notBetween">
      <formula>0</formula>
      <formula>$B$7</formula>
    </cfRule>
    <cfRule type="expression" dxfId="417" priority="32">
      <formula>($D50&lt;=$K$23)</formula>
    </cfRule>
    <cfRule type="expression" dxfId="416" priority="33">
      <formula>($D50&gt;$K$23)</formula>
    </cfRule>
  </conditionalFormatting>
  <conditionalFormatting sqref="B8">
    <cfRule type="cellIs" dxfId="415" priority="12" operator="notEqual">
      <formula>$B$7</formula>
    </cfRule>
  </conditionalFormatting>
  <conditionalFormatting sqref="E50:P59">
    <cfRule type="expression" dxfId="414" priority="10">
      <formula>AND(E51&lt;MAX(E$50:E51), NOT(ISBLANK(E51)), NOT(E51=0))</formula>
    </cfRule>
  </conditionalFormatting>
  <conditionalFormatting sqref="E68:P72">
    <cfRule type="expression" dxfId="413" priority="11">
      <formula>AND(E69&lt;MAX(E$68:E69), NOT(ISBLANK(E69)), NOT(E69=0))</formula>
    </cfRule>
  </conditionalFormatting>
  <conditionalFormatting sqref="E78:P80">
    <cfRule type="expression" dxfId="412" priority="15">
      <formula>AND(E79&lt;MAX(E$78:E79), NOT(ISBLANK(E79)), NOT(E79=0))</formula>
    </cfRule>
  </conditionalFormatting>
  <conditionalFormatting sqref="Q50">
    <cfRule type="cellIs" dxfId="411" priority="1" operator="lessThan">
      <formula>0</formula>
    </cfRule>
    <cfRule type="cellIs" dxfId="410" priority="2" operator="equal">
      <formula>0</formula>
    </cfRule>
    <cfRule type="expression" dxfId="409" priority="3">
      <formula>OR(MOD($Q50,100)=0,AND($D50=$K$23,MOD($Q50,100)=$J$24))</formula>
    </cfRule>
  </conditionalFormatting>
  <conditionalFormatting sqref="Q52:Q59 Q68:Q72 Q78:Q80">
    <cfRule type="cellIs" dxfId="408" priority="4" operator="lessThan">
      <formula>0</formula>
    </cfRule>
    <cfRule type="cellIs" dxfId="407" priority="5" operator="equal">
      <formula>0</formula>
    </cfRule>
    <cfRule type="expression" dxfId="406" priority="6">
      <formula>OR(MOD($Q52,100)=0,AND($D52=$K$23,MOD($Q52,100)=$J$24))</formula>
    </cfRule>
  </conditionalFormatting>
  <conditionalFormatting sqref="Q51">
    <cfRule type="cellIs" dxfId="405" priority="7" operator="lessThan">
      <formula>0</formula>
    </cfRule>
    <cfRule type="cellIs" dxfId="404" priority="8" operator="equal">
      <formula>0</formula>
    </cfRule>
    <cfRule type="expression" dxfId="403" priority="9">
      <formula>OR(MOD($Q51,100)=0,AND($D50=$K$23,MOD($Q51,100)=$J$24))</formula>
    </cfRule>
  </conditionalFormatting>
  <dataValidations count="2">
    <dataValidation type="list" allowBlank="1" showInputMessage="1" showErrorMessage="1" sqref="D68:D72 D78:D82 D50:D59" xr:uid="{ADD5D60F-BE3B-4C74-9C35-A8C64EC2A50E}">
      <formula1>$D$3:$D$12</formula1>
    </dataValidation>
    <dataValidation type="list" allowBlank="1" showInputMessage="1" showErrorMessage="1" sqref="C50:C59" xr:uid="{CEE0577B-1D99-4B19-8565-0E6EF302CFDB}">
      <formula1>$H$24:$H$26</formula1>
    </dataValidation>
  </dataValidations>
  <pageMargins left="0.7" right="0.7" top="0.75" bottom="0.75" header="0.3" footer="0.3"/>
  <pageSetup paperSize="9" orientation="portrait" r:id="rId1"/>
  <cellWatches>
    <cellWatch r="I52"/>
  </cellWatche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F0F0-5A98-4FC1-90C0-5B68BE15F38E}">
  <sheetPr codeName="Feuil17">
    <tabColor rgb="FFB4A7D6"/>
  </sheetPr>
  <dimension ref="A1:AB82"/>
  <sheetViews>
    <sheetView zoomScale="80" zoomScaleNormal="80" workbookViewId="0">
      <pane xSplit="2" topLeftCell="C1" activePane="topRight" state="frozen"/>
      <selection pane="topRight" activeCell="R3" sqref="R3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4" width="15.7109375" customWidth="1"/>
    <col min="17" max="17" width="12.85546875" customWidth="1"/>
    <col min="18" max="18" width="11.42578125" customWidth="1"/>
    <col min="21" max="21" width="10.42578125" customWidth="1"/>
    <col min="22" max="22" width="15.42578125" customWidth="1"/>
    <col min="23" max="23" width="16.140625" customWidth="1"/>
    <col min="24" max="24" width="12" customWidth="1"/>
    <col min="26" max="26" width="13.28515625" customWidth="1"/>
    <col min="27" max="27" width="14.42578125" customWidth="1"/>
  </cols>
  <sheetData>
    <row r="1" spans="1:28" ht="16.5" customHeight="1" thickBot="1" x14ac:dyDescent="0.25">
      <c r="A1" s="315" t="s">
        <v>11</v>
      </c>
      <c r="B1" s="33">
        <f>Synthèse!B17</f>
        <v>46096</v>
      </c>
      <c r="D1" s="314"/>
      <c r="E1" s="435" t="s">
        <v>66</v>
      </c>
      <c r="F1" s="436"/>
      <c r="G1" s="436"/>
      <c r="H1" s="436"/>
      <c r="I1" s="436"/>
      <c r="J1" s="436"/>
      <c r="K1" s="436"/>
      <c r="L1" s="436"/>
      <c r="M1" s="436"/>
      <c r="N1" s="436"/>
      <c r="O1" s="436"/>
      <c r="P1" s="437"/>
      <c r="Q1" s="443" t="s">
        <v>7</v>
      </c>
    </row>
    <row r="2" spans="1:28" ht="39.75" customHeight="1" thickBot="1" x14ac:dyDescent="0.25">
      <c r="A2" s="316" t="s">
        <v>12</v>
      </c>
      <c r="B2" s="34" t="str">
        <f>Synthèse!B18</f>
        <v>Municipales 1er tour</v>
      </c>
      <c r="D2" s="364" t="s">
        <v>83</v>
      </c>
      <c r="E2" s="365" t="str">
        <f>Synthèse!L2</f>
        <v>Candidat 1</v>
      </c>
      <c r="F2" s="365" t="str">
        <f>Synthèse!M2</f>
        <v>Candidat 2</v>
      </c>
      <c r="G2" s="365" t="str">
        <f>Synthèse!N2</f>
        <v>Candidat 3</v>
      </c>
      <c r="H2" s="365" t="str">
        <f>Synthèse!O2</f>
        <v>Candidat 4</v>
      </c>
      <c r="I2" s="365" t="str">
        <f>Synthèse!P2</f>
        <v>Candidat 5</v>
      </c>
      <c r="J2" s="365" t="str">
        <f>Synthèse!Q2</f>
        <v>Candidat 6</v>
      </c>
      <c r="K2" s="365" t="str">
        <f>Synthèse!R2</f>
        <v>Candidat 7</v>
      </c>
      <c r="L2" s="365" t="str">
        <f>Synthèse!S2</f>
        <v>Candidat 8</v>
      </c>
      <c r="M2" s="365" t="str">
        <f>Synthèse!T2</f>
        <v>Candidat 9</v>
      </c>
      <c r="N2" s="365" t="str">
        <f>Synthèse!U2</f>
        <v>Candidat 10</v>
      </c>
      <c r="O2" s="368" t="s">
        <v>3</v>
      </c>
      <c r="P2" s="369" t="s">
        <v>4</v>
      </c>
      <c r="Q2" s="444" t="s">
        <v>105</v>
      </c>
      <c r="V2" s="381" t="s">
        <v>21</v>
      </c>
      <c r="W2" s="382" t="s">
        <v>57</v>
      </c>
      <c r="X2" s="383" t="s">
        <v>31</v>
      </c>
      <c r="Z2" s="384" t="s">
        <v>59</v>
      </c>
      <c r="AA2" s="384" t="s">
        <v>58</v>
      </c>
    </row>
    <row r="3" spans="1:28" ht="20.100000000000001" customHeight="1" thickBot="1" x14ac:dyDescent="0.25">
      <c r="A3" s="317" t="s">
        <v>13</v>
      </c>
      <c r="B3" s="94" t="str">
        <f>Synthèse!B19</f>
        <v>Cogolin</v>
      </c>
      <c r="D3" s="361" t="str" cm="1">
        <f t="array" ref="D3">IF(ROW(1:1)&lt;=$K$23, (ROW(1:1)), "")</f>
        <v/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70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171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72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318">
        <f t="shared" ref="Q3:Q12" si="0">SUM(E3:P3)</f>
        <v>0</v>
      </c>
      <c r="V3" s="352" t="s">
        <v>32</v>
      </c>
      <c r="W3" s="353">
        <v>0</v>
      </c>
      <c r="X3" s="354">
        <f t="shared" ref="X3" ca="1" si="1">W3/$B$6</f>
        <v>0</v>
      </c>
      <c r="Z3" s="330"/>
      <c r="AA3" s="330"/>
    </row>
    <row r="4" spans="1:28" ht="20.100000000000001" customHeight="1" x14ac:dyDescent="0.2">
      <c r="A4" s="95" t="s">
        <v>23</v>
      </c>
      <c r="B4" s="168">
        <v>0</v>
      </c>
      <c r="D4" s="362" t="str" cm="1">
        <f t="array" ref="D4">IF(ROW(2:2)&lt;=$K$23, (ROW(2:2)), "")</f>
        <v/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7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158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318">
        <f t="shared" si="0"/>
        <v>0</v>
      </c>
      <c r="V4" s="355" t="s">
        <v>33</v>
      </c>
      <c r="W4" s="356"/>
      <c r="X4" s="357" t="e">
        <f t="shared" ref="X4:X13" si="2">IF(OR(W4=0, W4=""), NA(), W4/$B$6)</f>
        <v>#N/A</v>
      </c>
      <c r="Z4" s="325" t="s">
        <v>45</v>
      </c>
      <c r="AA4" s="385" t="e">
        <f t="shared" ref="AA4:AA13" si="3">IF(W4&lt;&gt;0,W4-W3,NA())</f>
        <v>#N/A</v>
      </c>
    </row>
    <row r="5" spans="1:28" ht="20.100000000000001" customHeight="1" x14ac:dyDescent="0.2">
      <c r="A5" s="96" t="s">
        <v>24</v>
      </c>
      <c r="B5" s="187" t="str" cm="1">
        <f t="array" aca="1" ref="B5" ca="1">IFERROR(INDIRECT("'Synthèse'" &amp; "!$B" &amp; $B$4),"Modèle")</f>
        <v>Modèle</v>
      </c>
      <c r="D5" s="362" t="str" cm="1">
        <f t="array" ref="D5">IF(ROW(3:3)&lt;=$K$23, (ROW(3:3)), "")</f>
        <v/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173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174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318">
        <f t="shared" si="0"/>
        <v>0</v>
      </c>
      <c r="T5" s="231"/>
      <c r="U5" s="232"/>
      <c r="V5" s="355" t="s">
        <v>34</v>
      </c>
      <c r="W5" s="356"/>
      <c r="X5" s="357" t="e">
        <f t="shared" si="2"/>
        <v>#N/A</v>
      </c>
      <c r="Z5" s="326" t="s">
        <v>46</v>
      </c>
      <c r="AA5" s="386" t="e">
        <f t="shared" si="3"/>
        <v>#N/A</v>
      </c>
    </row>
    <row r="6" spans="1:28" ht="20.100000000000001" customHeight="1" x14ac:dyDescent="0.2">
      <c r="A6" s="96" t="s">
        <v>0</v>
      </c>
      <c r="B6" s="188" cm="1">
        <f t="array" aca="1" ref="B6" ca="1">IFERROR(INDIRECT("'Synthèse'" &amp; "!$C" &amp; $B$4),663)</f>
        <v>663</v>
      </c>
      <c r="D6" s="362" t="str" cm="1">
        <f t="array" ref="D6">IF(ROW(4:4)&lt;=$K$23, (ROW(4:4)), "")</f>
        <v/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173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174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318">
        <f t="shared" si="0"/>
        <v>0</v>
      </c>
      <c r="T6" s="231"/>
      <c r="U6" s="232"/>
      <c r="V6" s="355" t="s">
        <v>35</v>
      </c>
      <c r="W6" s="356"/>
      <c r="X6" s="357" t="e">
        <f t="shared" si="2"/>
        <v>#N/A</v>
      </c>
      <c r="Z6" s="326" t="s">
        <v>47</v>
      </c>
      <c r="AA6" s="386" t="e">
        <f t="shared" si="3"/>
        <v>#N/A</v>
      </c>
    </row>
    <row r="7" spans="1:28" ht="20.100000000000001" customHeight="1" x14ac:dyDescent="0.2">
      <c r="A7" s="96" t="s">
        <v>2</v>
      </c>
      <c r="B7" s="165">
        <f>MAX(W4:W15)</f>
        <v>0</v>
      </c>
      <c r="D7" s="362" t="str" cm="1">
        <f t="array" ref="D7">IF(ROW(5:5)&lt;=$K$23, (ROW(5:5)), "")</f>
        <v/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7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158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318">
        <f t="shared" si="0"/>
        <v>0</v>
      </c>
      <c r="T7" s="231"/>
      <c r="U7" s="232"/>
      <c r="V7" s="355" t="s">
        <v>36</v>
      </c>
      <c r="W7" s="356"/>
      <c r="X7" s="357" t="e">
        <f t="shared" si="2"/>
        <v>#N/A</v>
      </c>
      <c r="Z7" s="326" t="s">
        <v>54</v>
      </c>
      <c r="AA7" s="386" t="e">
        <f t="shared" si="3"/>
        <v>#N/A</v>
      </c>
    </row>
    <row r="8" spans="1:28" ht="20.100000000000001" customHeight="1" x14ac:dyDescent="0.2">
      <c r="A8" s="96" t="s">
        <v>1</v>
      </c>
      <c r="B8" s="166">
        <f>B7</f>
        <v>0</v>
      </c>
      <c r="D8" s="362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7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8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318">
        <f t="shared" si="0"/>
        <v>0</v>
      </c>
      <c r="T8" s="231"/>
      <c r="U8" s="232"/>
      <c r="V8" s="355" t="s">
        <v>37</v>
      </c>
      <c r="W8" s="356"/>
      <c r="X8" s="357" t="e">
        <f t="shared" si="2"/>
        <v>#N/A</v>
      </c>
      <c r="Z8" s="326" t="s">
        <v>48</v>
      </c>
      <c r="AA8" s="386" t="e">
        <f t="shared" si="3"/>
        <v>#N/A</v>
      </c>
    </row>
    <row r="9" spans="1:28" ht="20.100000000000001" customHeight="1" thickBot="1" x14ac:dyDescent="0.25">
      <c r="A9" s="97" t="s">
        <v>17</v>
      </c>
      <c r="B9" s="167">
        <f ca="1">B6-B7</f>
        <v>663</v>
      </c>
      <c r="D9" s="362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9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60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318">
        <f t="shared" si="0"/>
        <v>0</v>
      </c>
      <c r="T9" s="231"/>
      <c r="U9" s="232"/>
      <c r="V9" s="355" t="s">
        <v>38</v>
      </c>
      <c r="W9" s="356"/>
      <c r="X9" s="357" t="e">
        <f t="shared" si="2"/>
        <v>#N/A</v>
      </c>
      <c r="Z9" s="326" t="s">
        <v>49</v>
      </c>
      <c r="AA9" s="386" t="e">
        <f t="shared" si="3"/>
        <v>#N/A</v>
      </c>
    </row>
    <row r="10" spans="1:28" ht="20.100000000000001" customHeight="1" x14ac:dyDescent="0.2">
      <c r="A10" s="438" t="s">
        <v>60</v>
      </c>
      <c r="B10" s="438"/>
      <c r="D10" s="362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9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60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318">
        <f t="shared" si="0"/>
        <v>0</v>
      </c>
      <c r="T10" s="231"/>
      <c r="U10" s="232"/>
      <c r="V10" s="355" t="s">
        <v>39</v>
      </c>
      <c r="W10" s="356"/>
      <c r="X10" s="357" t="e">
        <f t="shared" si="2"/>
        <v>#N/A</v>
      </c>
      <c r="Z10" s="326" t="s">
        <v>50</v>
      </c>
      <c r="AA10" s="386" t="e">
        <f t="shared" si="3"/>
        <v>#N/A</v>
      </c>
    </row>
    <row r="11" spans="1:28" ht="20.100000000000001" customHeight="1" x14ac:dyDescent="0.2">
      <c r="A11" s="439"/>
      <c r="B11" s="439"/>
      <c r="D11" s="362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9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60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318">
        <f t="shared" si="0"/>
        <v>0</v>
      </c>
      <c r="T11" s="231"/>
      <c r="U11" s="232"/>
      <c r="V11" s="355" t="s">
        <v>40</v>
      </c>
      <c r="W11" s="356"/>
      <c r="X11" s="357" t="e">
        <f t="shared" si="2"/>
        <v>#N/A</v>
      </c>
      <c r="Z11" s="326" t="s">
        <v>51</v>
      </c>
      <c r="AA11" s="386" t="e">
        <f t="shared" si="3"/>
        <v>#N/A</v>
      </c>
    </row>
    <row r="12" spans="1:28" ht="20.100000000000001" customHeight="1" thickBot="1" x14ac:dyDescent="0.25">
      <c r="A12" s="440" t="s">
        <v>61</v>
      </c>
      <c r="B12" s="440"/>
      <c r="D12" s="363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75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7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318">
        <f t="shared" si="0"/>
        <v>0</v>
      </c>
      <c r="T12" s="231"/>
      <c r="U12" s="232"/>
      <c r="V12" s="355" t="s">
        <v>41</v>
      </c>
      <c r="W12" s="356"/>
      <c r="X12" s="357" t="e">
        <f t="shared" si="2"/>
        <v>#N/A</v>
      </c>
      <c r="Z12" s="326" t="s">
        <v>52</v>
      </c>
      <c r="AA12" s="386" t="e">
        <f t="shared" si="3"/>
        <v>#N/A</v>
      </c>
    </row>
    <row r="13" spans="1:28" ht="20.100000000000001" customHeight="1" thickBot="1" x14ac:dyDescent="0.3">
      <c r="A13" s="440"/>
      <c r="B13" s="440"/>
      <c r="D13" s="50" t="s">
        <v>9</v>
      </c>
      <c r="E13" s="161">
        <f t="shared" ref="E13:P13" si="4">SUM(E3:E12)</f>
        <v>0</v>
      </c>
      <c r="F13" s="162">
        <f t="shared" si="4"/>
        <v>0</v>
      </c>
      <c r="G13" s="162">
        <f t="shared" si="4"/>
        <v>0</v>
      </c>
      <c r="H13" s="162">
        <f t="shared" si="4"/>
        <v>0</v>
      </c>
      <c r="I13" s="162">
        <f t="shared" si="4"/>
        <v>0</v>
      </c>
      <c r="J13" s="162">
        <f t="shared" si="4"/>
        <v>0</v>
      </c>
      <c r="K13" s="162">
        <f t="shared" si="4"/>
        <v>0</v>
      </c>
      <c r="L13" s="162">
        <f t="shared" si="4"/>
        <v>0</v>
      </c>
      <c r="M13" s="162">
        <f t="shared" si="4"/>
        <v>0</v>
      </c>
      <c r="N13" s="162">
        <f t="shared" si="4"/>
        <v>0</v>
      </c>
      <c r="O13" s="163">
        <f t="shared" si="4"/>
        <v>0</v>
      </c>
      <c r="P13" s="164">
        <f t="shared" si="4"/>
        <v>0</v>
      </c>
      <c r="Q13" s="319">
        <f t="shared" ref="Q13" si="5">SUM(Q3:Q12)</f>
        <v>0</v>
      </c>
      <c r="T13" s="231"/>
      <c r="U13" s="232"/>
      <c r="V13" s="355" t="s">
        <v>42</v>
      </c>
      <c r="W13" s="356"/>
      <c r="X13" s="357" t="e">
        <f t="shared" si="2"/>
        <v>#N/A</v>
      </c>
      <c r="Z13" s="327" t="s">
        <v>53</v>
      </c>
      <c r="AA13" s="387" t="e">
        <f t="shared" si="3"/>
        <v>#N/A</v>
      </c>
    </row>
    <row r="14" spans="1:28" ht="20.100000000000001" customHeight="1" thickBot="1" x14ac:dyDescent="0.3">
      <c r="A14" s="440"/>
      <c r="B14" s="440"/>
      <c r="D14" s="83" t="s">
        <v>10</v>
      </c>
      <c r="E14" s="45">
        <f t="shared" ref="E14:Q14" si="6">IFERROR(E13/$B$7,0)</f>
        <v>0</v>
      </c>
      <c r="F14" s="46">
        <f t="shared" si="6"/>
        <v>0</v>
      </c>
      <c r="G14" s="46">
        <f t="shared" si="6"/>
        <v>0</v>
      </c>
      <c r="H14" s="46">
        <f t="shared" si="6"/>
        <v>0</v>
      </c>
      <c r="I14" s="46">
        <f t="shared" si="6"/>
        <v>0</v>
      </c>
      <c r="J14" s="46">
        <f t="shared" si="6"/>
        <v>0</v>
      </c>
      <c r="K14" s="46">
        <f t="shared" si="6"/>
        <v>0</v>
      </c>
      <c r="L14" s="46">
        <f t="shared" si="6"/>
        <v>0</v>
      </c>
      <c r="M14" s="46">
        <f t="shared" si="6"/>
        <v>0</v>
      </c>
      <c r="N14" s="46">
        <f t="shared" si="6"/>
        <v>0</v>
      </c>
      <c r="O14" s="45">
        <f t="shared" si="6"/>
        <v>0</v>
      </c>
      <c r="P14" s="47">
        <f t="shared" si="6"/>
        <v>0</v>
      </c>
      <c r="Q14" s="329">
        <f t="shared" si="6"/>
        <v>0</v>
      </c>
      <c r="V14" s="391" t="s">
        <v>43</v>
      </c>
      <c r="W14" s="358"/>
      <c r="X14" s="359" t="e">
        <f>IF(OR(W14=0, W14=""), NA(), W14/$B$6)</f>
        <v>#N/A</v>
      </c>
      <c r="Y14" s="389"/>
      <c r="Z14" s="393" t="s">
        <v>55</v>
      </c>
      <c r="AA14" s="388" t="e">
        <f>IF(W14&lt;&gt;0,W14-W13,NA())</f>
        <v>#N/A</v>
      </c>
      <c r="AB14" s="389"/>
    </row>
    <row r="15" spans="1:28" ht="18" customHeight="1" thickBot="1" x14ac:dyDescent="0.25">
      <c r="A15" s="441" t="s">
        <v>68</v>
      </c>
      <c r="B15" s="441"/>
      <c r="C15" s="1"/>
      <c r="D15" s="1"/>
      <c r="Q15" s="328"/>
      <c r="V15" s="324" t="s">
        <v>44</v>
      </c>
      <c r="W15" s="360"/>
      <c r="X15" s="390" t="e">
        <f>IF(OR(W15=0, W15=""), NA(), W15/$B$6)</f>
        <v>#N/A</v>
      </c>
      <c r="Z15" s="394" t="s">
        <v>56</v>
      </c>
      <c r="AA15" s="392" t="e">
        <f>IF(W15&lt;&gt;0,W15-W14,NA())</f>
        <v>#N/A</v>
      </c>
      <c r="AB15" s="389"/>
    </row>
    <row r="16" spans="1:28" ht="12.75" customHeight="1" x14ac:dyDescent="0.2">
      <c r="A16" s="441"/>
      <c r="B16" s="441"/>
      <c r="V16" s="328"/>
      <c r="W16" s="328"/>
      <c r="X16" s="328"/>
      <c r="AA16" s="328"/>
    </row>
    <row r="17" spans="1:11" ht="18" customHeight="1" x14ac:dyDescent="0.25">
      <c r="A17" s="441"/>
      <c r="B17" s="441"/>
      <c r="E17" s="230"/>
    </row>
    <row r="18" spans="1:11" ht="26.25" customHeight="1" x14ac:dyDescent="0.2">
      <c r="A18" s="441"/>
      <c r="B18" s="441"/>
    </row>
    <row r="23" spans="1:11" x14ac:dyDescent="0.2">
      <c r="H23" s="177" t="s">
        <v>64</v>
      </c>
      <c r="J23" s="245">
        <f ca="1">CEILING($B$6, 100)/100</f>
        <v>7</v>
      </c>
      <c r="K23" s="245">
        <f>CEILING($B$7,100)/100</f>
        <v>0</v>
      </c>
    </row>
    <row r="24" spans="1:11" x14ac:dyDescent="0.2">
      <c r="H24" s="178">
        <f ca="1">IF((ROW()-23)&lt;=$K$24,(ROW()-23),"Choisir")</f>
        <v>1</v>
      </c>
      <c r="J24" s="245">
        <f>MOD($B$7,100)</f>
        <v>0</v>
      </c>
      <c r="K24" s="246">
        <f ca="1">CEILING($B$6/300,1)</f>
        <v>3</v>
      </c>
    </row>
    <row r="25" spans="1:11" x14ac:dyDescent="0.2">
      <c r="H25" s="178">
        <f ca="1">IF((ROW()-23)&lt;=$K$24,(ROW()-23),"Choisir")</f>
        <v>2</v>
      </c>
    </row>
    <row r="26" spans="1:11" x14ac:dyDescent="0.2">
      <c r="H26" s="178">
        <f ca="1">IF((ROW()-23)&lt;=$K$24,(ROW()-23),"Choisir")</f>
        <v>3</v>
      </c>
    </row>
    <row r="27" spans="1:11" x14ac:dyDescent="0.2">
      <c r="H27" s="178" t="str">
        <f ca="1">IF((ROW()-23)&lt;=$K$24,(ROW()-23),"Choisir")</f>
        <v>Choisir</v>
      </c>
    </row>
    <row r="46" spans="4:17" x14ac:dyDescent="0.2">
      <c r="E46" s="169"/>
    </row>
    <row r="47" spans="4:17" ht="13.5" thickBot="1" x14ac:dyDescent="0.25">
      <c r="E47" s="169"/>
    </row>
    <row r="48" spans="4:17" ht="20.100000000000001" customHeight="1" thickBot="1" x14ac:dyDescent="0.25">
      <c r="D48" s="235" t="s">
        <v>79</v>
      </c>
      <c r="E48" s="432" t="s">
        <v>103</v>
      </c>
      <c r="F48" s="433"/>
      <c r="G48" s="433"/>
      <c r="H48" s="433"/>
      <c r="I48" s="433"/>
      <c r="J48" s="433"/>
      <c r="K48" s="433"/>
      <c r="L48" s="433"/>
      <c r="M48" s="433"/>
      <c r="N48" s="433"/>
      <c r="O48" s="433"/>
      <c r="P48" s="434"/>
      <c r="Q48" s="395" t="s">
        <v>7</v>
      </c>
    </row>
    <row r="49" spans="3:17" ht="47.25" customHeight="1" thickBot="1" x14ac:dyDescent="0.25">
      <c r="C49" s="233"/>
      <c r="D49" s="371" t="s">
        <v>82</v>
      </c>
      <c r="E49" s="365" t="s">
        <v>69</v>
      </c>
      <c r="F49" s="365" t="s">
        <v>100</v>
      </c>
      <c r="G49" s="365" t="s">
        <v>70</v>
      </c>
      <c r="H49" s="365" t="s">
        <v>71</v>
      </c>
      <c r="I49" s="365" t="s">
        <v>72</v>
      </c>
      <c r="J49" s="365" t="s">
        <v>73</v>
      </c>
      <c r="K49" s="365" t="s">
        <v>74</v>
      </c>
      <c r="L49" s="365" t="s">
        <v>75</v>
      </c>
      <c r="M49" s="365" t="s">
        <v>76</v>
      </c>
      <c r="N49" s="365" t="s">
        <v>77</v>
      </c>
      <c r="O49" s="375" t="s">
        <v>3</v>
      </c>
      <c r="P49" s="374" t="s">
        <v>4</v>
      </c>
      <c r="Q49" s="397" t="s">
        <v>104</v>
      </c>
    </row>
    <row r="50" spans="3:17" ht="19.5" customHeight="1" x14ac:dyDescent="0.2">
      <c r="C50" s="234"/>
      <c r="D50" s="370" t="s">
        <v>81</v>
      </c>
      <c r="E50" s="320"/>
      <c r="F50" s="321"/>
      <c r="G50" s="321"/>
      <c r="H50" s="321"/>
      <c r="I50" s="321"/>
      <c r="J50" s="321"/>
      <c r="K50" s="321"/>
      <c r="L50" s="321"/>
      <c r="M50" s="321"/>
      <c r="N50" s="322"/>
      <c r="O50" s="323"/>
      <c r="P50" s="322"/>
      <c r="Q50" s="396">
        <f t="shared" ref="Q50:Q59" si="7">SUM(E50:P50)</f>
        <v>0</v>
      </c>
    </row>
    <row r="51" spans="3:17" ht="20.100000000000001" customHeight="1" x14ac:dyDescent="0.2">
      <c r="C51" s="234"/>
      <c r="D51" s="370" t="s">
        <v>81</v>
      </c>
      <c r="E51" s="320"/>
      <c r="F51" s="321"/>
      <c r="G51" s="321"/>
      <c r="H51" s="321"/>
      <c r="I51" s="321"/>
      <c r="J51" s="321"/>
      <c r="K51" s="321"/>
      <c r="L51" s="321"/>
      <c r="M51" s="321"/>
      <c r="N51" s="322"/>
      <c r="O51" s="323"/>
      <c r="P51" s="322"/>
      <c r="Q51" s="396">
        <f t="shared" si="7"/>
        <v>0</v>
      </c>
    </row>
    <row r="52" spans="3:17" ht="20.100000000000001" customHeight="1" x14ac:dyDescent="0.2">
      <c r="C52" s="234"/>
      <c r="D52" s="370" t="s">
        <v>81</v>
      </c>
      <c r="E52" s="320"/>
      <c r="F52" s="321"/>
      <c r="G52" s="321"/>
      <c r="H52" s="321"/>
      <c r="I52" s="321"/>
      <c r="J52" s="321"/>
      <c r="K52" s="321"/>
      <c r="L52" s="321"/>
      <c r="M52" s="321"/>
      <c r="N52" s="322"/>
      <c r="O52" s="323"/>
      <c r="P52" s="322"/>
      <c r="Q52" s="396">
        <f t="shared" si="7"/>
        <v>0</v>
      </c>
    </row>
    <row r="53" spans="3:17" ht="20.100000000000001" customHeight="1" x14ac:dyDescent="0.2">
      <c r="C53" s="234"/>
      <c r="D53" s="370" t="s">
        <v>81</v>
      </c>
      <c r="E53" s="320"/>
      <c r="F53" s="321"/>
      <c r="G53" s="321"/>
      <c r="H53" s="321"/>
      <c r="I53" s="321"/>
      <c r="J53" s="321"/>
      <c r="K53" s="321"/>
      <c r="L53" s="321"/>
      <c r="M53" s="321"/>
      <c r="N53" s="322"/>
      <c r="O53" s="323"/>
      <c r="P53" s="322"/>
      <c r="Q53" s="396">
        <f t="shared" si="7"/>
        <v>0</v>
      </c>
    </row>
    <row r="54" spans="3:17" ht="20.100000000000001" customHeight="1" x14ac:dyDescent="0.2">
      <c r="C54" s="234"/>
      <c r="D54" s="370" t="s">
        <v>81</v>
      </c>
      <c r="E54" s="320"/>
      <c r="F54" s="321"/>
      <c r="G54" s="321"/>
      <c r="H54" s="321"/>
      <c r="I54" s="321"/>
      <c r="J54" s="321"/>
      <c r="K54" s="321"/>
      <c r="L54" s="321"/>
      <c r="M54" s="321"/>
      <c r="N54" s="322"/>
      <c r="O54" s="323"/>
      <c r="P54" s="322"/>
      <c r="Q54" s="396">
        <f t="shared" si="7"/>
        <v>0</v>
      </c>
    </row>
    <row r="55" spans="3:17" ht="20.100000000000001" customHeight="1" x14ac:dyDescent="0.2">
      <c r="C55" s="234"/>
      <c r="D55" s="370" t="s">
        <v>81</v>
      </c>
      <c r="E55" s="320"/>
      <c r="F55" s="321"/>
      <c r="G55" s="321"/>
      <c r="H55" s="321"/>
      <c r="I55" s="321"/>
      <c r="J55" s="321"/>
      <c r="K55" s="321"/>
      <c r="L55" s="321"/>
      <c r="M55" s="321"/>
      <c r="N55" s="322"/>
      <c r="O55" s="323"/>
      <c r="P55" s="322"/>
      <c r="Q55" s="396">
        <f t="shared" si="7"/>
        <v>0</v>
      </c>
    </row>
    <row r="56" spans="3:17" ht="20.100000000000001" customHeight="1" x14ac:dyDescent="0.2">
      <c r="C56" s="234"/>
      <c r="D56" s="370" t="s">
        <v>81</v>
      </c>
      <c r="E56" s="320"/>
      <c r="F56" s="321"/>
      <c r="G56" s="321"/>
      <c r="H56" s="321"/>
      <c r="I56" s="321"/>
      <c r="J56" s="321"/>
      <c r="K56" s="321"/>
      <c r="L56" s="321"/>
      <c r="M56" s="321"/>
      <c r="N56" s="322"/>
      <c r="O56" s="323"/>
      <c r="P56" s="322"/>
      <c r="Q56" s="396">
        <f t="shared" si="7"/>
        <v>0</v>
      </c>
    </row>
    <row r="57" spans="3:17" ht="20.100000000000001" customHeight="1" x14ac:dyDescent="0.2">
      <c r="C57" s="234"/>
      <c r="D57" s="370" t="s">
        <v>81</v>
      </c>
      <c r="E57" s="320"/>
      <c r="F57" s="321"/>
      <c r="G57" s="321"/>
      <c r="H57" s="321"/>
      <c r="I57" s="321"/>
      <c r="J57" s="321"/>
      <c r="K57" s="321"/>
      <c r="L57" s="321"/>
      <c r="M57" s="321"/>
      <c r="N57" s="322"/>
      <c r="O57" s="323"/>
      <c r="P57" s="322"/>
      <c r="Q57" s="396">
        <f t="shared" si="7"/>
        <v>0</v>
      </c>
    </row>
    <row r="58" spans="3:17" ht="20.100000000000001" customHeight="1" x14ac:dyDescent="0.2">
      <c r="C58" s="234"/>
      <c r="D58" s="370" t="s">
        <v>81</v>
      </c>
      <c r="E58" s="320"/>
      <c r="F58" s="321"/>
      <c r="G58" s="321"/>
      <c r="H58" s="321"/>
      <c r="I58" s="321"/>
      <c r="J58" s="321"/>
      <c r="K58" s="321"/>
      <c r="L58" s="321"/>
      <c r="M58" s="321"/>
      <c r="N58" s="322"/>
      <c r="O58" s="323"/>
      <c r="P58" s="322"/>
      <c r="Q58" s="396">
        <f t="shared" si="7"/>
        <v>0</v>
      </c>
    </row>
    <row r="59" spans="3:17" ht="20.100000000000001" customHeight="1" thickBot="1" x14ac:dyDescent="0.25">
      <c r="C59" s="234"/>
      <c r="D59" s="376" t="s">
        <v>81</v>
      </c>
      <c r="E59" s="377"/>
      <c r="F59" s="378"/>
      <c r="G59" s="378"/>
      <c r="H59" s="378"/>
      <c r="I59" s="378"/>
      <c r="J59" s="378"/>
      <c r="K59" s="378"/>
      <c r="L59" s="378"/>
      <c r="M59" s="378"/>
      <c r="N59" s="379"/>
      <c r="O59" s="380"/>
      <c r="P59" s="379"/>
      <c r="Q59" s="396">
        <f t="shared" si="7"/>
        <v>0</v>
      </c>
    </row>
    <row r="60" spans="3:17" x14ac:dyDescent="0.2">
      <c r="Q60" s="328"/>
    </row>
    <row r="63" spans="3:17" ht="18" x14ac:dyDescent="0.25">
      <c r="E63" s="230"/>
    </row>
    <row r="65" spans="4:17" ht="13.5" thickBot="1" x14ac:dyDescent="0.25"/>
    <row r="66" spans="4:17" ht="16.5" customHeight="1" thickBot="1" x14ac:dyDescent="0.25">
      <c r="D66" s="235" t="s">
        <v>80</v>
      </c>
      <c r="E66" s="432" t="s">
        <v>102</v>
      </c>
      <c r="F66" s="433"/>
      <c r="G66" s="433"/>
      <c r="H66" s="433"/>
      <c r="I66" s="433"/>
      <c r="J66" s="433"/>
      <c r="K66" s="433"/>
      <c r="L66" s="433"/>
      <c r="M66" s="433"/>
      <c r="N66" s="433"/>
      <c r="O66" s="433"/>
      <c r="P66" s="434"/>
      <c r="Q66" s="395" t="s">
        <v>7</v>
      </c>
    </row>
    <row r="67" spans="4:17" ht="42" customHeight="1" thickBot="1" x14ac:dyDescent="0.25">
      <c r="D67" s="371" t="s">
        <v>82</v>
      </c>
      <c r="E67" s="365" t="s">
        <v>69</v>
      </c>
      <c r="F67" s="365" t="s">
        <v>100</v>
      </c>
      <c r="G67" s="365" t="s">
        <v>70</v>
      </c>
      <c r="H67" s="365" t="s">
        <v>71</v>
      </c>
      <c r="I67" s="365" t="s">
        <v>72</v>
      </c>
      <c r="J67" s="365" t="s">
        <v>73</v>
      </c>
      <c r="K67" s="365" t="s">
        <v>74</v>
      </c>
      <c r="L67" s="365" t="s">
        <v>75</v>
      </c>
      <c r="M67" s="365" t="s">
        <v>76</v>
      </c>
      <c r="N67" s="365" t="s">
        <v>77</v>
      </c>
      <c r="O67" s="375" t="s">
        <v>3</v>
      </c>
      <c r="P67" s="374" t="s">
        <v>4</v>
      </c>
      <c r="Q67" s="402" t="s">
        <v>104</v>
      </c>
    </row>
    <row r="68" spans="4:17" ht="20.100000000000001" customHeight="1" x14ac:dyDescent="0.2">
      <c r="D68" s="244" t="s">
        <v>81</v>
      </c>
      <c r="E68" s="237"/>
      <c r="F68" s="238"/>
      <c r="G68" s="238"/>
      <c r="H68" s="238"/>
      <c r="I68" s="238"/>
      <c r="J68" s="238"/>
      <c r="K68" s="238"/>
      <c r="L68" s="238"/>
      <c r="M68" s="238"/>
      <c r="N68" s="239"/>
      <c r="O68" s="240"/>
      <c r="P68" s="239"/>
      <c r="Q68" s="399">
        <f t="shared" ref="Q68:Q72" si="8">SUM(E68:P68)</f>
        <v>0</v>
      </c>
    </row>
    <row r="69" spans="4:17" ht="20.100000000000001" customHeight="1" x14ac:dyDescent="0.2">
      <c r="D69" s="242" t="s">
        <v>81</v>
      </c>
      <c r="E69" s="179"/>
      <c r="F69" s="180"/>
      <c r="G69" s="180"/>
      <c r="H69" s="180"/>
      <c r="I69" s="180"/>
      <c r="J69" s="180"/>
      <c r="K69" s="180"/>
      <c r="L69" s="180"/>
      <c r="M69" s="180"/>
      <c r="N69" s="181"/>
      <c r="O69" s="182"/>
      <c r="P69" s="181"/>
      <c r="Q69" s="318">
        <f t="shared" si="8"/>
        <v>0</v>
      </c>
    </row>
    <row r="70" spans="4:17" ht="20.100000000000001" customHeight="1" x14ac:dyDescent="0.2">
      <c r="D70" s="242" t="s">
        <v>81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1"/>
      <c r="O70" s="182"/>
      <c r="P70" s="181"/>
      <c r="Q70" s="318">
        <f t="shared" si="8"/>
        <v>0</v>
      </c>
    </row>
    <row r="71" spans="4:17" ht="20.100000000000001" customHeight="1" x14ac:dyDescent="0.2">
      <c r="D71" s="242" t="s">
        <v>81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1"/>
      <c r="O71" s="182"/>
      <c r="P71" s="181"/>
      <c r="Q71" s="318">
        <f t="shared" si="8"/>
        <v>0</v>
      </c>
    </row>
    <row r="72" spans="4:17" ht="20.100000000000001" customHeight="1" thickBot="1" x14ac:dyDescent="0.25">
      <c r="D72" s="243" t="s">
        <v>81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5"/>
      <c r="O72" s="186"/>
      <c r="P72" s="185"/>
      <c r="Q72" s="400">
        <f t="shared" si="8"/>
        <v>0</v>
      </c>
    </row>
    <row r="73" spans="4:1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</row>
    <row r="74" spans="4:1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</row>
    <row r="75" spans="4:1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</row>
    <row r="76" spans="4:17" ht="20.100000000000001" customHeight="1" thickBot="1" x14ac:dyDescent="0.25">
      <c r="D76" s="235" t="s">
        <v>84</v>
      </c>
      <c r="E76" s="432" t="s">
        <v>101</v>
      </c>
      <c r="F76" s="433"/>
      <c r="G76" s="433"/>
      <c r="H76" s="433"/>
      <c r="I76" s="433"/>
      <c r="J76" s="433"/>
      <c r="K76" s="433"/>
      <c r="L76" s="433"/>
      <c r="M76" s="433"/>
      <c r="N76" s="433"/>
      <c r="O76" s="433"/>
      <c r="P76" s="434"/>
      <c r="Q76" s="401" t="s">
        <v>7</v>
      </c>
    </row>
    <row r="77" spans="4:17" ht="39.75" customHeight="1" thickBot="1" x14ac:dyDescent="0.25">
      <c r="D77" s="371" t="s">
        <v>82</v>
      </c>
      <c r="E77" s="365" t="s">
        <v>69</v>
      </c>
      <c r="F77" s="365" t="s">
        <v>100</v>
      </c>
      <c r="G77" s="365" t="s">
        <v>70</v>
      </c>
      <c r="H77" s="365" t="s">
        <v>71</v>
      </c>
      <c r="I77" s="365" t="s">
        <v>72</v>
      </c>
      <c r="J77" s="365" t="s">
        <v>73</v>
      </c>
      <c r="K77" s="365" t="s">
        <v>74</v>
      </c>
      <c r="L77" s="365" t="s">
        <v>75</v>
      </c>
      <c r="M77" s="365" t="s">
        <v>76</v>
      </c>
      <c r="N77" s="365" t="s">
        <v>77</v>
      </c>
      <c r="O77" s="375" t="s">
        <v>3</v>
      </c>
      <c r="P77" s="374" t="s">
        <v>4</v>
      </c>
      <c r="Q77" s="398" t="s">
        <v>104</v>
      </c>
    </row>
    <row r="78" spans="4:17" ht="20.100000000000001" customHeight="1" x14ac:dyDescent="0.2">
      <c r="D78" s="244" t="s">
        <v>81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9"/>
      <c r="O78" s="240"/>
      <c r="P78" s="239"/>
      <c r="Q78" s="399">
        <f t="shared" ref="Q78:Q80" si="9">SUM(E78:P78)</f>
        <v>0</v>
      </c>
    </row>
    <row r="79" spans="4:17" ht="20.100000000000001" customHeight="1" x14ac:dyDescent="0.2">
      <c r="D79" s="242" t="s">
        <v>81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1"/>
      <c r="O79" s="182"/>
      <c r="P79" s="181"/>
      <c r="Q79" s="318">
        <f t="shared" si="9"/>
        <v>0</v>
      </c>
    </row>
    <row r="80" spans="4:17" ht="20.100000000000001" customHeight="1" thickBot="1" x14ac:dyDescent="0.25">
      <c r="D80" s="243" t="s">
        <v>81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5"/>
      <c r="O80" s="186"/>
      <c r="P80" s="185"/>
      <c r="Q80" s="400">
        <f t="shared" si="9"/>
        <v>0</v>
      </c>
    </row>
    <row r="81" spans="4:1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41"/>
    </row>
    <row r="82" spans="4:1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41"/>
    </row>
  </sheetData>
  <mergeCells count="7">
    <mergeCell ref="E66:P66"/>
    <mergeCell ref="A15:B18"/>
    <mergeCell ref="E1:P1"/>
    <mergeCell ref="E48:P48"/>
    <mergeCell ref="E76:P76"/>
    <mergeCell ref="A10:B11"/>
    <mergeCell ref="A12:B14"/>
  </mergeCells>
  <phoneticPr fontId="59" type="noConversion"/>
  <conditionalFormatting sqref="B8">
    <cfRule type="cellIs" dxfId="402" priority="43" operator="notEqual">
      <formula>$B$7</formula>
    </cfRule>
  </conditionalFormatting>
  <conditionalFormatting sqref="E3:Q12">
    <cfRule type="cellIs" dxfId="401" priority="42" operator="notBetween">
      <formula>0</formula>
      <formula>100</formula>
    </cfRule>
  </conditionalFormatting>
  <conditionalFormatting sqref="E3:Q14">
    <cfRule type="cellIs" dxfId="400" priority="45" operator="lessThan">
      <formula>0</formula>
    </cfRule>
  </conditionalFormatting>
  <conditionalFormatting sqref="E14:Q14">
    <cfRule type="cellIs" dxfId="399" priority="52" operator="greaterThan">
      <formula>1</formula>
    </cfRule>
  </conditionalFormatting>
  <conditionalFormatting sqref="Q3:Q13">
    <cfRule type="cellIs" dxfId="398" priority="50" operator="equal">
      <formula>0</formula>
    </cfRule>
  </conditionalFormatting>
  <conditionalFormatting sqref="Q13">
    <cfRule type="cellIs" dxfId="397" priority="54" operator="equal">
      <formula>$B$7</formula>
    </cfRule>
  </conditionalFormatting>
  <conditionalFormatting sqref="Q14">
    <cfRule type="cellIs" dxfId="396" priority="51" operator="equal">
      <formula>1</formula>
    </cfRule>
    <cfRule type="cellIs" dxfId="395" priority="53" operator="lessThan">
      <formula>1</formula>
    </cfRule>
  </conditionalFormatting>
  <conditionalFormatting sqref="W4:W15">
    <cfRule type="expression" dxfId="394" priority="57">
      <formula>AND($W4&lt;$W3, NOT(ISBLANK($W4)))</formula>
    </cfRule>
    <cfRule type="cellIs" dxfId="393" priority="58" operator="greaterThan">
      <formula>$B$6</formula>
    </cfRule>
  </conditionalFormatting>
  <conditionalFormatting sqref="X4:X15">
    <cfRule type="cellIs" dxfId="392" priority="44" operator="greaterThan">
      <formula>1</formula>
    </cfRule>
  </conditionalFormatting>
  <conditionalFormatting sqref="D68:D72 D50:D59 D78:D80">
    <cfRule type="colorScale" priority="31">
      <colorScale>
        <cfvo type="min"/>
        <cfvo type="max"/>
        <color theme="9" tint="0.79998168889431442"/>
        <color theme="9" tint="-0.499984740745262"/>
      </colorScale>
    </cfRule>
  </conditionalFormatting>
  <conditionalFormatting sqref="E3:P12">
    <cfRule type="expression" dxfId="391" priority="88">
      <formula>($D3&lt;=$K$23)</formula>
    </cfRule>
  </conditionalFormatting>
  <conditionalFormatting sqref="Q3:Q12">
    <cfRule type="expression" dxfId="390" priority="89">
      <formula>AND($D3=$K$23, Q3=$J$24)</formula>
    </cfRule>
    <cfRule type="expression" dxfId="389" priority="90">
      <formula>AND($D3=$K$23, MOD(Q3,100)&gt;$J$24)</formula>
    </cfRule>
    <cfRule type="cellIs" dxfId="388" priority="91" operator="equal">
      <formula>100</formula>
    </cfRule>
  </conditionalFormatting>
  <conditionalFormatting sqref="D3:P12">
    <cfRule type="expression" dxfId="387" priority="100">
      <formula>($D3&gt;$K$23)</formula>
    </cfRule>
  </conditionalFormatting>
  <conditionalFormatting sqref="Q50">
    <cfRule type="cellIs" dxfId="386" priority="127" operator="lessThan">
      <formula>0</formula>
    </cfRule>
    <cfRule type="cellIs" dxfId="385" priority="128" operator="equal">
      <formula>0</formula>
    </cfRule>
    <cfRule type="expression" dxfId="384" priority="129">
      <formula>OR(MOD($Q50,100)=0,AND($D50=$K$23,MOD($Q50,100)=$J$24))</formula>
    </cfRule>
  </conditionalFormatting>
  <conditionalFormatting sqref="E50:P59">
    <cfRule type="expression" dxfId="383" priority="2">
      <formula>AND(E50&lt;MAX(E$50:E50), NOT(ISBLANK(E50)), NOT(E50=0))</formula>
    </cfRule>
  </conditionalFormatting>
  <conditionalFormatting sqref="Q52:Q59 Q68:Q72 Q78:Q80">
    <cfRule type="cellIs" dxfId="382" priority="185" operator="lessThan">
      <formula>0</formula>
    </cfRule>
    <cfRule type="cellIs" dxfId="381" priority="186" operator="equal">
      <formula>0</formula>
    </cfRule>
    <cfRule type="expression" dxfId="380" priority="187">
      <formula>OR(MOD($Q52,100)=0,AND($D52=$K$23,MOD($Q52,100)=$J$24))</formula>
    </cfRule>
  </conditionalFormatting>
  <conditionalFormatting sqref="Q51">
    <cfRule type="cellIs" dxfId="379" priority="194" operator="lessThan">
      <formula>0</formula>
    </cfRule>
    <cfRule type="cellIs" dxfId="378" priority="195" operator="equal">
      <formula>0</formula>
    </cfRule>
    <cfRule type="expression" dxfId="377" priority="196">
      <formula>OR(MOD($Q51,100)=0,AND($D50=$K$23,MOD($Q51,100)=$J$24))</formula>
    </cfRule>
  </conditionalFormatting>
  <conditionalFormatting sqref="E50:P59 E68:P72 E78:P80">
    <cfRule type="expression" dxfId="376" priority="94">
      <formula>($D50&gt;$K$23)</formula>
    </cfRule>
    <cfRule type="expression" dxfId="375" priority="93">
      <formula>($D50&lt;=$K$23)</formula>
    </cfRule>
    <cfRule type="cellIs" dxfId="374" priority="92" operator="notBetween">
      <formula>0</formula>
      <formula>$B$7</formula>
    </cfRule>
  </conditionalFormatting>
  <conditionalFormatting sqref="E68:P72">
    <cfRule type="expression" dxfId="373" priority="1">
      <formula>AND(E68&lt;MAX(E$68:E68), NOT(ISBLANK(E68)), NOT(E68=0))</formula>
    </cfRule>
  </conditionalFormatting>
  <conditionalFormatting sqref="E78:P80">
    <cfRule type="expression" dxfId="372" priority="146">
      <formula>AND(E78&lt;MAX(E$78:E78), NOT(ISBLANK(E78)), NOT(E78=0))</formula>
    </cfRule>
  </conditionalFormatting>
  <dataValidations count="2">
    <dataValidation type="list" allowBlank="1" showInputMessage="1" showErrorMessage="1" sqref="C50:C59" xr:uid="{26E6ADDE-67A2-40F5-90D2-78EBD3B4767D}">
      <formula1>$H$24:$H$26</formula1>
    </dataValidation>
    <dataValidation type="list" allowBlank="1" showInputMessage="1" showErrorMessage="1" sqref="D68:D72 D78:D82 D50:D59" xr:uid="{16BE8E6D-019E-4446-BDFE-0DD1503C603A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146" r:id="rId4" name="Button 10">
              <controlPr defaultSize="0" print="0" autoFill="0" autoPict="0" macro="[0]!ReinitialiserEtGenererBureaux">
                <anchor moveWithCells="1">
                  <from>
                    <xdr:col>0</xdr:col>
                    <xdr:colOff>466725</xdr:colOff>
                    <xdr:row>23</xdr:row>
                    <xdr:rowOff>161925</xdr:rowOff>
                  </from>
                  <to>
                    <xdr:col>1</xdr:col>
                    <xdr:colOff>771525</xdr:colOff>
                    <xdr:row>26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1EF1A-97A1-4B3C-85AC-8EB46CC21AE1}">
  <sheetPr codeName="Feuil30">
    <tabColor rgb="FFB4A7D6"/>
  </sheetPr>
  <dimension ref="A1:AB82"/>
  <sheetViews>
    <sheetView tabSelected="1" zoomScale="80" zoomScaleNormal="80" workbookViewId="0">
      <pane xSplit="2" topLeftCell="C1" activePane="topRight" state="frozen"/>
      <selection pane="topRight" activeCell="R3" sqref="R3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4" width="15.7109375" customWidth="1"/>
    <col min="17" max="17" width="12.85546875" customWidth="1"/>
    <col min="18" max="18" width="11.42578125" customWidth="1"/>
    <col min="21" max="21" width="10.42578125" customWidth="1"/>
    <col min="22" max="22" width="15.42578125" customWidth="1"/>
    <col min="23" max="23" width="16.140625" customWidth="1"/>
    <col min="24" max="24" width="12" customWidth="1"/>
    <col min="26" max="26" width="13.28515625" customWidth="1"/>
    <col min="27" max="27" width="14.42578125" customWidth="1"/>
  </cols>
  <sheetData>
    <row r="1" spans="1:28" ht="16.5" customHeight="1" thickBot="1" x14ac:dyDescent="0.25">
      <c r="A1" s="315" t="s">
        <v>11</v>
      </c>
      <c r="B1" s="33">
        <f>Synthèse!B17</f>
        <v>46096</v>
      </c>
      <c r="D1" s="314"/>
      <c r="E1" s="435" t="s">
        <v>66</v>
      </c>
      <c r="F1" s="436"/>
      <c r="G1" s="436"/>
      <c r="H1" s="436"/>
      <c r="I1" s="436"/>
      <c r="J1" s="436"/>
      <c r="K1" s="436"/>
      <c r="L1" s="436"/>
      <c r="M1" s="436"/>
      <c r="N1" s="436"/>
      <c r="O1" s="436"/>
      <c r="P1" s="437"/>
      <c r="Q1" s="443" t="s">
        <v>7</v>
      </c>
    </row>
    <row r="2" spans="1:28" ht="39.75" customHeight="1" thickBot="1" x14ac:dyDescent="0.25">
      <c r="A2" s="316" t="s">
        <v>12</v>
      </c>
      <c r="B2" s="34" t="str">
        <f>Synthèse!B18</f>
        <v>Municipales 1er tour</v>
      </c>
      <c r="D2" s="364" t="s">
        <v>83</v>
      </c>
      <c r="E2" s="365" t="str">
        <f>Synthèse!L2</f>
        <v>Candidat 1</v>
      </c>
      <c r="F2" s="365" t="str">
        <f>Synthèse!M2</f>
        <v>Candidat 2</v>
      </c>
      <c r="G2" s="365" t="str">
        <f>Synthèse!N2</f>
        <v>Candidat 3</v>
      </c>
      <c r="H2" s="365" t="str">
        <f>Synthèse!O2</f>
        <v>Candidat 4</v>
      </c>
      <c r="I2" s="365" t="str">
        <f>Synthèse!P2</f>
        <v>Candidat 5</v>
      </c>
      <c r="J2" s="365" t="str">
        <f>Synthèse!Q2</f>
        <v>Candidat 6</v>
      </c>
      <c r="K2" s="365" t="str">
        <f>Synthèse!R2</f>
        <v>Candidat 7</v>
      </c>
      <c r="L2" s="365" t="str">
        <f>Synthèse!S2</f>
        <v>Candidat 8</v>
      </c>
      <c r="M2" s="365" t="str">
        <f>Synthèse!T2</f>
        <v>Candidat 9</v>
      </c>
      <c r="N2" s="365" t="str">
        <f>Synthèse!U2</f>
        <v>Candidat 10</v>
      </c>
      <c r="O2" s="368" t="s">
        <v>3</v>
      </c>
      <c r="P2" s="369" t="s">
        <v>4</v>
      </c>
      <c r="Q2" s="444" t="s">
        <v>105</v>
      </c>
      <c r="V2" s="381" t="s">
        <v>21</v>
      </c>
      <c r="W2" s="382" t="s">
        <v>57</v>
      </c>
      <c r="X2" s="383" t="s">
        <v>31</v>
      </c>
      <c r="Z2" s="384" t="s">
        <v>59</v>
      </c>
      <c r="AA2" s="384" t="s">
        <v>58</v>
      </c>
    </row>
    <row r="3" spans="1:28" ht="20.100000000000001" customHeight="1" thickBot="1" x14ac:dyDescent="0.25">
      <c r="A3" s="317" t="s">
        <v>13</v>
      </c>
      <c r="B3" s="94" t="str">
        <f>Synthèse!B19</f>
        <v>Cogolin</v>
      </c>
      <c r="D3" s="361" t="str" cm="1">
        <f t="array" ref="D3">IF(ROW(1:1)&lt;=$K$23, (ROW(1:1)), "")</f>
        <v/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70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171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72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318">
        <f t="shared" ref="Q3:Q12" si="0">SUM(E3:P3)</f>
        <v>0</v>
      </c>
      <c r="V3" s="352" t="s">
        <v>32</v>
      </c>
      <c r="W3" s="353">
        <v>0</v>
      </c>
      <c r="X3" s="354">
        <f t="shared" ref="X3" si="1">W3/$B$6</f>
        <v>0</v>
      </c>
      <c r="Z3" s="330"/>
      <c r="AA3" s="330"/>
    </row>
    <row r="4" spans="1:28" ht="20.100000000000001" customHeight="1" x14ac:dyDescent="0.2">
      <c r="A4" s="95" t="s">
        <v>23</v>
      </c>
      <c r="B4" s="168">
        <v>1</v>
      </c>
      <c r="D4" s="362" t="str" cm="1">
        <f t="array" ref="D4">IF(ROW(2:2)&lt;=$K$23, (ROW(2:2)), "")</f>
        <v/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7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158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318">
        <f t="shared" si="0"/>
        <v>0</v>
      </c>
      <c r="V4" s="355" t="s">
        <v>33</v>
      </c>
      <c r="W4" s="356"/>
      <c r="X4" s="357" t="e">
        <f t="shared" ref="X4:X13" si="2">IF(OR(W4=0, W4=""), NA(), W4/$B$6)</f>
        <v>#N/A</v>
      </c>
      <c r="Z4" s="325" t="s">
        <v>45</v>
      </c>
      <c r="AA4" s="385" t="e">
        <f t="shared" ref="AA4:AA13" si="3">IF(W4&lt;&gt;0,W4-W3,NA())</f>
        <v>#N/A</v>
      </c>
    </row>
    <row r="5" spans="1:28" ht="20.100000000000001" customHeight="1" x14ac:dyDescent="0.2">
      <c r="A5" s="96" t="s">
        <v>24</v>
      </c>
      <c r="B5" s="187" t="s">
        <v>67</v>
      </c>
      <c r="D5" s="362" t="str" cm="1">
        <f t="array" ref="D5">IF(ROW(3:3)&lt;=$K$23, (ROW(3:3)), "")</f>
        <v/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173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174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318">
        <f t="shared" si="0"/>
        <v>0</v>
      </c>
      <c r="T5" s="231"/>
      <c r="U5" s="232"/>
      <c r="V5" s="355" t="s">
        <v>34</v>
      </c>
      <c r="W5" s="356"/>
      <c r="X5" s="357" t="e">
        <f t="shared" si="2"/>
        <v>#N/A</v>
      </c>
      <c r="Z5" s="326" t="s">
        <v>46</v>
      </c>
      <c r="AA5" s="386" t="e">
        <f t="shared" si="3"/>
        <v>#N/A</v>
      </c>
    </row>
    <row r="6" spans="1:28" ht="20.100000000000001" customHeight="1" x14ac:dyDescent="0.2">
      <c r="A6" s="96" t="s">
        <v>0</v>
      </c>
      <c r="B6" s="188">
        <v>506</v>
      </c>
      <c r="D6" s="362" t="str" cm="1">
        <f t="array" ref="D6">IF(ROW(4:4)&lt;=$K$23, (ROW(4:4)), "")</f>
        <v/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173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174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318">
        <f t="shared" si="0"/>
        <v>0</v>
      </c>
      <c r="T6" s="231"/>
      <c r="U6" s="232"/>
      <c r="V6" s="355" t="s">
        <v>35</v>
      </c>
      <c r="W6" s="356"/>
      <c r="X6" s="357" t="e">
        <f t="shared" si="2"/>
        <v>#N/A</v>
      </c>
      <c r="Z6" s="326" t="s">
        <v>47</v>
      </c>
      <c r="AA6" s="386" t="e">
        <f t="shared" si="3"/>
        <v>#N/A</v>
      </c>
    </row>
    <row r="7" spans="1:28" ht="20.100000000000001" customHeight="1" x14ac:dyDescent="0.2">
      <c r="A7" s="96" t="s">
        <v>2</v>
      </c>
      <c r="B7" s="165">
        <f>MAX(W4:W15)</f>
        <v>0</v>
      </c>
      <c r="D7" s="362" t="str" cm="1">
        <f t="array" ref="D7">IF(ROW(5:5)&lt;=$K$23, (ROW(5:5)), "")</f>
        <v/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7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158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318">
        <f t="shared" si="0"/>
        <v>0</v>
      </c>
      <c r="T7" s="231"/>
      <c r="U7" s="232"/>
      <c r="V7" s="355" t="s">
        <v>36</v>
      </c>
      <c r="W7" s="356"/>
      <c r="X7" s="357" t="e">
        <f t="shared" si="2"/>
        <v>#N/A</v>
      </c>
      <c r="Z7" s="326" t="s">
        <v>54</v>
      </c>
      <c r="AA7" s="386" t="e">
        <f t="shared" si="3"/>
        <v>#N/A</v>
      </c>
    </row>
    <row r="8" spans="1:28" ht="20.100000000000001" customHeight="1" x14ac:dyDescent="0.2">
      <c r="A8" s="96" t="s">
        <v>1</v>
      </c>
      <c r="B8" s="166">
        <f>B7</f>
        <v>0</v>
      </c>
      <c r="D8" s="362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7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8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318">
        <f t="shared" si="0"/>
        <v>0</v>
      </c>
      <c r="T8" s="231"/>
      <c r="U8" s="232"/>
      <c r="V8" s="355" t="s">
        <v>37</v>
      </c>
      <c r="W8" s="356"/>
      <c r="X8" s="357" t="e">
        <f t="shared" si="2"/>
        <v>#N/A</v>
      </c>
      <c r="Z8" s="326" t="s">
        <v>48</v>
      </c>
      <c r="AA8" s="386" t="e">
        <f t="shared" si="3"/>
        <v>#N/A</v>
      </c>
    </row>
    <row r="9" spans="1:28" ht="20.100000000000001" customHeight="1" thickBot="1" x14ac:dyDescent="0.25">
      <c r="A9" s="97" t="s">
        <v>17</v>
      </c>
      <c r="B9" s="167">
        <f>B6-B7</f>
        <v>506</v>
      </c>
      <c r="D9" s="362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9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60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318">
        <f t="shared" si="0"/>
        <v>0</v>
      </c>
      <c r="T9" s="231"/>
      <c r="U9" s="232"/>
      <c r="V9" s="355" t="s">
        <v>38</v>
      </c>
      <c r="W9" s="356"/>
      <c r="X9" s="357" t="e">
        <f t="shared" si="2"/>
        <v>#N/A</v>
      </c>
      <c r="Z9" s="326" t="s">
        <v>49</v>
      </c>
      <c r="AA9" s="386" t="e">
        <f t="shared" si="3"/>
        <v>#N/A</v>
      </c>
    </row>
    <row r="10" spans="1:28" ht="20.100000000000001" customHeight="1" x14ac:dyDescent="0.2">
      <c r="A10" s="438" t="s">
        <v>60</v>
      </c>
      <c r="B10" s="438"/>
      <c r="D10" s="362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9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60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318">
        <f t="shared" si="0"/>
        <v>0</v>
      </c>
      <c r="T10" s="231"/>
      <c r="U10" s="232"/>
      <c r="V10" s="355" t="s">
        <v>39</v>
      </c>
      <c r="W10" s="356"/>
      <c r="X10" s="357" t="e">
        <f t="shared" si="2"/>
        <v>#N/A</v>
      </c>
      <c r="Z10" s="326" t="s">
        <v>50</v>
      </c>
      <c r="AA10" s="386" t="e">
        <f t="shared" si="3"/>
        <v>#N/A</v>
      </c>
    </row>
    <row r="11" spans="1:28" ht="20.100000000000001" customHeight="1" x14ac:dyDescent="0.2">
      <c r="A11" s="439"/>
      <c r="B11" s="439"/>
      <c r="D11" s="362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9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60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318">
        <f t="shared" si="0"/>
        <v>0</v>
      </c>
      <c r="T11" s="231"/>
      <c r="U11" s="232"/>
      <c r="V11" s="355" t="s">
        <v>40</v>
      </c>
      <c r="W11" s="356"/>
      <c r="X11" s="357" t="e">
        <f t="shared" si="2"/>
        <v>#N/A</v>
      </c>
      <c r="Z11" s="326" t="s">
        <v>51</v>
      </c>
      <c r="AA11" s="386" t="e">
        <f t="shared" si="3"/>
        <v>#N/A</v>
      </c>
    </row>
    <row r="12" spans="1:28" ht="20.100000000000001" customHeight="1" thickBot="1" x14ac:dyDescent="0.25">
      <c r="A12" s="440" t="s">
        <v>61</v>
      </c>
      <c r="B12" s="440"/>
      <c r="D12" s="363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75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7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318">
        <f t="shared" si="0"/>
        <v>0</v>
      </c>
      <c r="T12" s="231"/>
      <c r="U12" s="232"/>
      <c r="V12" s="355" t="s">
        <v>41</v>
      </c>
      <c r="W12" s="356"/>
      <c r="X12" s="357" t="e">
        <f t="shared" si="2"/>
        <v>#N/A</v>
      </c>
      <c r="Z12" s="326" t="s">
        <v>52</v>
      </c>
      <c r="AA12" s="386" t="e">
        <f t="shared" si="3"/>
        <v>#N/A</v>
      </c>
    </row>
    <row r="13" spans="1:28" ht="20.100000000000001" customHeight="1" thickBot="1" x14ac:dyDescent="0.3">
      <c r="A13" s="440"/>
      <c r="B13" s="440"/>
      <c r="D13" s="50" t="s">
        <v>9</v>
      </c>
      <c r="E13" s="161">
        <f t="shared" ref="E13:Q13" si="4">SUM(E3:E12)</f>
        <v>0</v>
      </c>
      <c r="F13" s="162">
        <f t="shared" si="4"/>
        <v>0</v>
      </c>
      <c r="G13" s="162">
        <f t="shared" si="4"/>
        <v>0</v>
      </c>
      <c r="H13" s="162">
        <f t="shared" si="4"/>
        <v>0</v>
      </c>
      <c r="I13" s="162">
        <f t="shared" si="4"/>
        <v>0</v>
      </c>
      <c r="J13" s="162">
        <f t="shared" si="4"/>
        <v>0</v>
      </c>
      <c r="K13" s="162">
        <f t="shared" si="4"/>
        <v>0</v>
      </c>
      <c r="L13" s="162">
        <f t="shared" si="4"/>
        <v>0</v>
      </c>
      <c r="M13" s="162">
        <f t="shared" si="4"/>
        <v>0</v>
      </c>
      <c r="N13" s="162">
        <f t="shared" si="4"/>
        <v>0</v>
      </c>
      <c r="O13" s="163">
        <f t="shared" si="4"/>
        <v>0</v>
      </c>
      <c r="P13" s="164">
        <f t="shared" si="4"/>
        <v>0</v>
      </c>
      <c r="Q13" s="319">
        <f t="shared" si="4"/>
        <v>0</v>
      </c>
      <c r="T13" s="231"/>
      <c r="U13" s="232"/>
      <c r="V13" s="355" t="s">
        <v>42</v>
      </c>
      <c r="W13" s="356"/>
      <c r="X13" s="357" t="e">
        <f t="shared" si="2"/>
        <v>#N/A</v>
      </c>
      <c r="Z13" s="327" t="s">
        <v>53</v>
      </c>
      <c r="AA13" s="387" t="e">
        <f t="shared" si="3"/>
        <v>#N/A</v>
      </c>
    </row>
    <row r="14" spans="1:28" ht="20.100000000000001" customHeight="1" thickBot="1" x14ac:dyDescent="0.3">
      <c r="A14" s="440"/>
      <c r="B14" s="440"/>
      <c r="D14" s="83" t="s">
        <v>10</v>
      </c>
      <c r="E14" s="45">
        <f t="shared" ref="E14:Q14" si="5">IFERROR(E13/$B$7,0)</f>
        <v>0</v>
      </c>
      <c r="F14" s="46">
        <f t="shared" si="5"/>
        <v>0</v>
      </c>
      <c r="G14" s="46">
        <f t="shared" si="5"/>
        <v>0</v>
      </c>
      <c r="H14" s="46">
        <f t="shared" si="5"/>
        <v>0</v>
      </c>
      <c r="I14" s="46">
        <f t="shared" si="5"/>
        <v>0</v>
      </c>
      <c r="J14" s="46">
        <f t="shared" si="5"/>
        <v>0</v>
      </c>
      <c r="K14" s="46">
        <f t="shared" si="5"/>
        <v>0</v>
      </c>
      <c r="L14" s="46">
        <f t="shared" si="5"/>
        <v>0</v>
      </c>
      <c r="M14" s="46">
        <f t="shared" si="5"/>
        <v>0</v>
      </c>
      <c r="N14" s="46">
        <f t="shared" si="5"/>
        <v>0</v>
      </c>
      <c r="O14" s="45">
        <f t="shared" si="5"/>
        <v>0</v>
      </c>
      <c r="P14" s="47">
        <f t="shared" si="5"/>
        <v>0</v>
      </c>
      <c r="Q14" s="329">
        <f t="shared" si="5"/>
        <v>0</v>
      </c>
      <c r="V14" s="391" t="s">
        <v>43</v>
      </c>
      <c r="W14" s="358"/>
      <c r="X14" s="359" t="e">
        <f>IF(OR(W14=0, W14=""), NA(), W14/$B$6)</f>
        <v>#N/A</v>
      </c>
      <c r="Y14" s="389"/>
      <c r="Z14" s="393" t="s">
        <v>55</v>
      </c>
      <c r="AA14" s="388" t="e">
        <f>IF(W14&lt;&gt;0,W14-W13,NA())</f>
        <v>#N/A</v>
      </c>
      <c r="AB14" s="389"/>
    </row>
    <row r="15" spans="1:28" ht="18" customHeight="1" thickBot="1" x14ac:dyDescent="0.25">
      <c r="A15" s="441" t="s">
        <v>68</v>
      </c>
      <c r="B15" s="441"/>
      <c r="C15" s="1"/>
      <c r="D15" s="1"/>
      <c r="Q15" s="328"/>
      <c r="V15" s="324" t="s">
        <v>44</v>
      </c>
      <c r="W15" s="360"/>
      <c r="X15" s="390" t="e">
        <f>IF(OR(W15=0, W15=""), NA(), W15/$B$6)</f>
        <v>#N/A</v>
      </c>
      <c r="Z15" s="394" t="s">
        <v>56</v>
      </c>
      <c r="AA15" s="392" t="e">
        <f>IF(W15&lt;&gt;0,W15-W14,NA())</f>
        <v>#N/A</v>
      </c>
      <c r="AB15" s="389"/>
    </row>
    <row r="16" spans="1:28" ht="12.75" customHeight="1" x14ac:dyDescent="0.2">
      <c r="A16" s="441"/>
      <c r="B16" s="441"/>
      <c r="V16" s="328"/>
      <c r="W16" s="328"/>
      <c r="X16" s="328"/>
      <c r="AA16" s="328"/>
    </row>
    <row r="17" spans="1:11" ht="18" customHeight="1" x14ac:dyDescent="0.25">
      <c r="A17" s="441"/>
      <c r="B17" s="441"/>
      <c r="E17" s="230"/>
    </row>
    <row r="18" spans="1:11" ht="26.25" customHeight="1" x14ac:dyDescent="0.2">
      <c r="A18" s="441"/>
      <c r="B18" s="441"/>
    </row>
    <row r="23" spans="1:11" x14ac:dyDescent="0.2">
      <c r="H23" s="177" t="s">
        <v>64</v>
      </c>
      <c r="J23" s="245">
        <f>CEILING($B$6, 100)/100</f>
        <v>6</v>
      </c>
      <c r="K23" s="245">
        <f>CEILING($B$7,100)/100</f>
        <v>0</v>
      </c>
    </row>
    <row r="24" spans="1:11" x14ac:dyDescent="0.2">
      <c r="H24" s="178">
        <f>IF((ROW()-23)&lt;=$K$24,(ROW()-23),"Choisir")</f>
        <v>1</v>
      </c>
      <c r="J24" s="245">
        <f>MOD($B$7,100)</f>
        <v>0</v>
      </c>
      <c r="K24" s="246">
        <f>CEILING($B$6/300,1)</f>
        <v>2</v>
      </c>
    </row>
    <row r="25" spans="1:11" x14ac:dyDescent="0.2">
      <c r="H25" s="178">
        <f>IF((ROW()-23)&lt;=$K$24,(ROW()-23),"Choisir")</f>
        <v>2</v>
      </c>
    </row>
    <row r="26" spans="1:11" x14ac:dyDescent="0.2">
      <c r="H26" s="178" t="str">
        <f>IF((ROW()-23)&lt;=$K$24,(ROW()-23),"Choisir")</f>
        <v>Choisir</v>
      </c>
    </row>
    <row r="27" spans="1:11" x14ac:dyDescent="0.2">
      <c r="H27" s="178" t="str">
        <f>IF((ROW()-23)&lt;=$K$24,(ROW()-23),"Choisir")</f>
        <v>Choisir</v>
      </c>
    </row>
    <row r="46" spans="4:17" x14ac:dyDescent="0.2">
      <c r="E46" s="169"/>
    </row>
    <row r="47" spans="4:17" ht="13.5" thickBot="1" x14ac:dyDescent="0.25">
      <c r="E47" s="169"/>
    </row>
    <row r="48" spans="4:17" ht="20.100000000000001" customHeight="1" thickBot="1" x14ac:dyDescent="0.25">
      <c r="D48" s="235" t="s">
        <v>79</v>
      </c>
      <c r="E48" s="432" t="s">
        <v>103</v>
      </c>
      <c r="F48" s="433"/>
      <c r="G48" s="433"/>
      <c r="H48" s="433"/>
      <c r="I48" s="433"/>
      <c r="J48" s="433"/>
      <c r="K48" s="433"/>
      <c r="L48" s="433"/>
      <c r="M48" s="433"/>
      <c r="N48" s="433"/>
      <c r="O48" s="433"/>
      <c r="P48" s="434"/>
      <c r="Q48" s="395" t="s">
        <v>7</v>
      </c>
    </row>
    <row r="49" spans="3:17" ht="47.25" customHeight="1" thickBot="1" x14ac:dyDescent="0.25">
      <c r="C49" s="233"/>
      <c r="D49" s="371" t="s">
        <v>82</v>
      </c>
      <c r="E49" s="365" t="s">
        <v>69</v>
      </c>
      <c r="F49" s="365" t="s">
        <v>100</v>
      </c>
      <c r="G49" s="365" t="s">
        <v>70</v>
      </c>
      <c r="H49" s="365" t="s">
        <v>71</v>
      </c>
      <c r="I49" s="365" t="s">
        <v>72</v>
      </c>
      <c r="J49" s="365" t="s">
        <v>73</v>
      </c>
      <c r="K49" s="365" t="s">
        <v>74</v>
      </c>
      <c r="L49" s="365" t="s">
        <v>75</v>
      </c>
      <c r="M49" s="365" t="s">
        <v>76</v>
      </c>
      <c r="N49" s="365" t="s">
        <v>77</v>
      </c>
      <c r="O49" s="375" t="s">
        <v>3</v>
      </c>
      <c r="P49" s="374" t="s">
        <v>4</v>
      </c>
      <c r="Q49" s="397" t="s">
        <v>104</v>
      </c>
    </row>
    <row r="50" spans="3:17" ht="19.5" customHeight="1" x14ac:dyDescent="0.2">
      <c r="C50" s="234"/>
      <c r="D50" s="370" t="s">
        <v>81</v>
      </c>
      <c r="E50" s="320"/>
      <c r="F50" s="321"/>
      <c r="G50" s="321"/>
      <c r="H50" s="321"/>
      <c r="I50" s="321"/>
      <c r="J50" s="321"/>
      <c r="K50" s="321"/>
      <c r="L50" s="321"/>
      <c r="M50" s="321"/>
      <c r="N50" s="322"/>
      <c r="O50" s="323"/>
      <c r="P50" s="322"/>
      <c r="Q50" s="396">
        <f t="shared" ref="Q50:Q59" si="6">SUM(E50:P50)</f>
        <v>0</v>
      </c>
    </row>
    <row r="51" spans="3:17" ht="20.100000000000001" customHeight="1" x14ac:dyDescent="0.2">
      <c r="C51" s="234"/>
      <c r="D51" s="370" t="s">
        <v>81</v>
      </c>
      <c r="E51" s="320"/>
      <c r="F51" s="321"/>
      <c r="G51" s="321"/>
      <c r="H51" s="321"/>
      <c r="I51" s="321"/>
      <c r="J51" s="321"/>
      <c r="K51" s="321"/>
      <c r="L51" s="321"/>
      <c r="M51" s="321"/>
      <c r="N51" s="322"/>
      <c r="O51" s="323"/>
      <c r="P51" s="322"/>
      <c r="Q51" s="396">
        <f t="shared" si="6"/>
        <v>0</v>
      </c>
    </row>
    <row r="52" spans="3:17" ht="20.100000000000001" customHeight="1" x14ac:dyDescent="0.2">
      <c r="C52" s="234"/>
      <c r="D52" s="370" t="s">
        <v>81</v>
      </c>
      <c r="E52" s="320"/>
      <c r="F52" s="321"/>
      <c r="G52" s="321"/>
      <c r="H52" s="321"/>
      <c r="I52" s="321"/>
      <c r="J52" s="321"/>
      <c r="K52" s="321"/>
      <c r="L52" s="321"/>
      <c r="M52" s="321"/>
      <c r="N52" s="322"/>
      <c r="O52" s="323"/>
      <c r="P52" s="322"/>
      <c r="Q52" s="396">
        <f t="shared" si="6"/>
        <v>0</v>
      </c>
    </row>
    <row r="53" spans="3:17" ht="20.100000000000001" customHeight="1" x14ac:dyDescent="0.2">
      <c r="C53" s="234"/>
      <c r="D53" s="370" t="s">
        <v>81</v>
      </c>
      <c r="E53" s="320"/>
      <c r="F53" s="321"/>
      <c r="G53" s="321"/>
      <c r="H53" s="321"/>
      <c r="I53" s="321"/>
      <c r="J53" s="321"/>
      <c r="K53" s="321"/>
      <c r="L53" s="321"/>
      <c r="M53" s="321"/>
      <c r="N53" s="322"/>
      <c r="O53" s="323"/>
      <c r="P53" s="322"/>
      <c r="Q53" s="396">
        <f t="shared" si="6"/>
        <v>0</v>
      </c>
    </row>
    <row r="54" spans="3:17" ht="20.100000000000001" customHeight="1" x14ac:dyDescent="0.2">
      <c r="C54" s="234"/>
      <c r="D54" s="370" t="s">
        <v>81</v>
      </c>
      <c r="E54" s="320"/>
      <c r="F54" s="321"/>
      <c r="G54" s="321"/>
      <c r="H54" s="321"/>
      <c r="I54" s="321"/>
      <c r="J54" s="321"/>
      <c r="K54" s="321"/>
      <c r="L54" s="321"/>
      <c r="M54" s="321"/>
      <c r="N54" s="322"/>
      <c r="O54" s="323"/>
      <c r="P54" s="322"/>
      <c r="Q54" s="396">
        <f t="shared" si="6"/>
        <v>0</v>
      </c>
    </row>
    <row r="55" spans="3:17" ht="20.100000000000001" customHeight="1" x14ac:dyDescent="0.2">
      <c r="C55" s="234"/>
      <c r="D55" s="370" t="s">
        <v>81</v>
      </c>
      <c r="E55" s="320"/>
      <c r="F55" s="321"/>
      <c r="G55" s="321"/>
      <c r="H55" s="321"/>
      <c r="I55" s="321"/>
      <c r="J55" s="321"/>
      <c r="K55" s="321"/>
      <c r="L55" s="321"/>
      <c r="M55" s="321"/>
      <c r="N55" s="322"/>
      <c r="O55" s="323"/>
      <c r="P55" s="322"/>
      <c r="Q55" s="396">
        <f t="shared" si="6"/>
        <v>0</v>
      </c>
    </row>
    <row r="56" spans="3:17" ht="20.100000000000001" customHeight="1" x14ac:dyDescent="0.2">
      <c r="C56" s="234"/>
      <c r="D56" s="370" t="s">
        <v>81</v>
      </c>
      <c r="E56" s="320"/>
      <c r="F56" s="321"/>
      <c r="G56" s="321"/>
      <c r="H56" s="321"/>
      <c r="I56" s="321"/>
      <c r="J56" s="321"/>
      <c r="K56" s="321"/>
      <c r="L56" s="321"/>
      <c r="M56" s="321"/>
      <c r="N56" s="322"/>
      <c r="O56" s="323"/>
      <c r="P56" s="322"/>
      <c r="Q56" s="396">
        <f t="shared" si="6"/>
        <v>0</v>
      </c>
    </row>
    <row r="57" spans="3:17" ht="20.100000000000001" customHeight="1" x14ac:dyDescent="0.2">
      <c r="C57" s="234"/>
      <c r="D57" s="370" t="s">
        <v>81</v>
      </c>
      <c r="E57" s="320"/>
      <c r="F57" s="321"/>
      <c r="G57" s="321"/>
      <c r="H57" s="321"/>
      <c r="I57" s="321"/>
      <c r="J57" s="321"/>
      <c r="K57" s="321"/>
      <c r="L57" s="321"/>
      <c r="M57" s="321"/>
      <c r="N57" s="322"/>
      <c r="O57" s="323"/>
      <c r="P57" s="322"/>
      <c r="Q57" s="396">
        <f t="shared" si="6"/>
        <v>0</v>
      </c>
    </row>
    <row r="58" spans="3:17" ht="20.100000000000001" customHeight="1" x14ac:dyDescent="0.2">
      <c r="C58" s="234"/>
      <c r="D58" s="370" t="s">
        <v>81</v>
      </c>
      <c r="E58" s="320"/>
      <c r="F58" s="321"/>
      <c r="G58" s="321"/>
      <c r="H58" s="321"/>
      <c r="I58" s="321"/>
      <c r="J58" s="321"/>
      <c r="K58" s="321"/>
      <c r="L58" s="321"/>
      <c r="M58" s="321"/>
      <c r="N58" s="322"/>
      <c r="O58" s="323"/>
      <c r="P58" s="322"/>
      <c r="Q58" s="396">
        <f t="shared" si="6"/>
        <v>0</v>
      </c>
    </row>
    <row r="59" spans="3:17" ht="20.100000000000001" customHeight="1" thickBot="1" x14ac:dyDescent="0.25">
      <c r="C59" s="234"/>
      <c r="D59" s="376" t="s">
        <v>81</v>
      </c>
      <c r="E59" s="377"/>
      <c r="F59" s="378"/>
      <c r="G59" s="378"/>
      <c r="H59" s="378"/>
      <c r="I59" s="378"/>
      <c r="J59" s="378"/>
      <c r="K59" s="378"/>
      <c r="L59" s="378"/>
      <c r="M59" s="378"/>
      <c r="N59" s="379"/>
      <c r="O59" s="380"/>
      <c r="P59" s="379"/>
      <c r="Q59" s="396">
        <f t="shared" si="6"/>
        <v>0</v>
      </c>
    </row>
    <row r="60" spans="3:17" x14ac:dyDescent="0.2">
      <c r="Q60" s="328"/>
    </row>
    <row r="63" spans="3:17" ht="18" x14ac:dyDescent="0.25">
      <c r="E63" s="230"/>
    </row>
    <row r="65" spans="4:17" ht="13.5" thickBot="1" x14ac:dyDescent="0.25"/>
    <row r="66" spans="4:17" ht="16.5" customHeight="1" thickBot="1" x14ac:dyDescent="0.25">
      <c r="D66" s="235" t="s">
        <v>80</v>
      </c>
      <c r="E66" s="432" t="s">
        <v>102</v>
      </c>
      <c r="F66" s="433"/>
      <c r="G66" s="433"/>
      <c r="H66" s="433"/>
      <c r="I66" s="433"/>
      <c r="J66" s="433"/>
      <c r="K66" s="433"/>
      <c r="L66" s="433"/>
      <c r="M66" s="433"/>
      <c r="N66" s="433"/>
      <c r="O66" s="433"/>
      <c r="P66" s="434"/>
      <c r="Q66" s="395" t="s">
        <v>7</v>
      </c>
    </row>
    <row r="67" spans="4:17" ht="42" customHeight="1" thickBot="1" x14ac:dyDescent="0.25">
      <c r="D67" s="371" t="s">
        <v>82</v>
      </c>
      <c r="E67" s="365" t="s">
        <v>69</v>
      </c>
      <c r="F67" s="365" t="s">
        <v>100</v>
      </c>
      <c r="G67" s="365" t="s">
        <v>70</v>
      </c>
      <c r="H67" s="365" t="s">
        <v>71</v>
      </c>
      <c r="I67" s="365" t="s">
        <v>72</v>
      </c>
      <c r="J67" s="365" t="s">
        <v>73</v>
      </c>
      <c r="K67" s="365" t="s">
        <v>74</v>
      </c>
      <c r="L67" s="365" t="s">
        <v>75</v>
      </c>
      <c r="M67" s="365" t="s">
        <v>76</v>
      </c>
      <c r="N67" s="365" t="s">
        <v>77</v>
      </c>
      <c r="O67" s="375" t="s">
        <v>3</v>
      </c>
      <c r="P67" s="374" t="s">
        <v>4</v>
      </c>
      <c r="Q67" s="402" t="s">
        <v>104</v>
      </c>
    </row>
    <row r="68" spans="4:17" ht="20.100000000000001" customHeight="1" x14ac:dyDescent="0.2">
      <c r="D68" s="244" t="s">
        <v>81</v>
      </c>
      <c r="E68" s="237"/>
      <c r="F68" s="238"/>
      <c r="G68" s="238"/>
      <c r="H68" s="238"/>
      <c r="I68" s="238"/>
      <c r="J68" s="238"/>
      <c r="K68" s="238"/>
      <c r="L68" s="238"/>
      <c r="M68" s="238"/>
      <c r="N68" s="239"/>
      <c r="O68" s="240"/>
      <c r="P68" s="239"/>
      <c r="Q68" s="399">
        <f t="shared" ref="Q68:Q72" si="7">SUM(E68:P68)</f>
        <v>0</v>
      </c>
    </row>
    <row r="69" spans="4:17" ht="20.100000000000001" customHeight="1" x14ac:dyDescent="0.2">
      <c r="D69" s="242" t="s">
        <v>81</v>
      </c>
      <c r="E69" s="179"/>
      <c r="F69" s="180"/>
      <c r="G69" s="180"/>
      <c r="H69" s="180"/>
      <c r="I69" s="180"/>
      <c r="J69" s="180"/>
      <c r="K69" s="180"/>
      <c r="L69" s="180"/>
      <c r="M69" s="180"/>
      <c r="N69" s="181"/>
      <c r="O69" s="182"/>
      <c r="P69" s="181"/>
      <c r="Q69" s="318">
        <f t="shared" si="7"/>
        <v>0</v>
      </c>
    </row>
    <row r="70" spans="4:17" ht="20.100000000000001" customHeight="1" x14ac:dyDescent="0.2">
      <c r="D70" s="242" t="s">
        <v>81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1"/>
      <c r="O70" s="182"/>
      <c r="P70" s="181"/>
      <c r="Q70" s="318">
        <f t="shared" si="7"/>
        <v>0</v>
      </c>
    </row>
    <row r="71" spans="4:17" ht="20.100000000000001" customHeight="1" x14ac:dyDescent="0.2">
      <c r="D71" s="242" t="s">
        <v>81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1"/>
      <c r="O71" s="182"/>
      <c r="P71" s="181"/>
      <c r="Q71" s="318">
        <f t="shared" si="7"/>
        <v>0</v>
      </c>
    </row>
    <row r="72" spans="4:17" ht="20.100000000000001" customHeight="1" thickBot="1" x14ac:dyDescent="0.25">
      <c r="D72" s="243" t="s">
        <v>81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5"/>
      <c r="O72" s="186"/>
      <c r="P72" s="185"/>
      <c r="Q72" s="400">
        <f t="shared" si="7"/>
        <v>0</v>
      </c>
    </row>
    <row r="73" spans="4:1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</row>
    <row r="74" spans="4:1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</row>
    <row r="75" spans="4:1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</row>
    <row r="76" spans="4:17" ht="20.100000000000001" customHeight="1" thickBot="1" x14ac:dyDescent="0.25">
      <c r="D76" s="235" t="s">
        <v>84</v>
      </c>
      <c r="E76" s="432" t="s">
        <v>101</v>
      </c>
      <c r="F76" s="433"/>
      <c r="G76" s="433"/>
      <c r="H76" s="433"/>
      <c r="I76" s="433"/>
      <c r="J76" s="433"/>
      <c r="K76" s="433"/>
      <c r="L76" s="433"/>
      <c r="M76" s="433"/>
      <c r="N76" s="433"/>
      <c r="O76" s="433"/>
      <c r="P76" s="434"/>
      <c r="Q76" s="401" t="s">
        <v>7</v>
      </c>
    </row>
    <row r="77" spans="4:17" ht="39.75" customHeight="1" thickBot="1" x14ac:dyDescent="0.25">
      <c r="D77" s="371" t="s">
        <v>82</v>
      </c>
      <c r="E77" s="365" t="s">
        <v>69</v>
      </c>
      <c r="F77" s="365" t="s">
        <v>100</v>
      </c>
      <c r="G77" s="365" t="s">
        <v>70</v>
      </c>
      <c r="H77" s="365" t="s">
        <v>71</v>
      </c>
      <c r="I77" s="365" t="s">
        <v>72</v>
      </c>
      <c r="J77" s="365" t="s">
        <v>73</v>
      </c>
      <c r="K77" s="365" t="s">
        <v>74</v>
      </c>
      <c r="L77" s="365" t="s">
        <v>75</v>
      </c>
      <c r="M77" s="365" t="s">
        <v>76</v>
      </c>
      <c r="N77" s="365" t="s">
        <v>77</v>
      </c>
      <c r="O77" s="375" t="s">
        <v>3</v>
      </c>
      <c r="P77" s="374" t="s">
        <v>4</v>
      </c>
      <c r="Q77" s="398" t="s">
        <v>104</v>
      </c>
    </row>
    <row r="78" spans="4:17" ht="20.100000000000001" customHeight="1" x14ac:dyDescent="0.2">
      <c r="D78" s="244" t="s">
        <v>81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9"/>
      <c r="O78" s="240"/>
      <c r="P78" s="239"/>
      <c r="Q78" s="399">
        <f t="shared" ref="Q78:Q80" si="8">SUM(E78:P78)</f>
        <v>0</v>
      </c>
    </row>
    <row r="79" spans="4:17" ht="20.100000000000001" customHeight="1" x14ac:dyDescent="0.2">
      <c r="D79" s="242" t="s">
        <v>81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1"/>
      <c r="O79" s="182"/>
      <c r="P79" s="181"/>
      <c r="Q79" s="318">
        <f t="shared" si="8"/>
        <v>0</v>
      </c>
    </row>
    <row r="80" spans="4:17" ht="20.100000000000001" customHeight="1" thickBot="1" x14ac:dyDescent="0.25">
      <c r="D80" s="243" t="s">
        <v>81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5"/>
      <c r="O80" s="186"/>
      <c r="P80" s="185"/>
      <c r="Q80" s="400">
        <f t="shared" si="8"/>
        <v>0</v>
      </c>
    </row>
    <row r="81" spans="4:1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41"/>
    </row>
    <row r="82" spans="4:1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41"/>
    </row>
  </sheetData>
  <sheetProtection algorithmName="SHA-512" hashValue="J7/SmZKOlBELWlUKtvu1n6q22mfEIsiZJNHuddLPHk27ACHWmmRYL3+tXJnHB+7ZfS8H+E6QjzUiZN21stc70w==" saltValue="4ZE0ElFSBgWXdcUrgkkn3g==" spinCount="100000" sheet="1" objects="1" scenarios="1"/>
  <mergeCells count="7">
    <mergeCell ref="E76:P76"/>
    <mergeCell ref="E1:P1"/>
    <mergeCell ref="A10:B11"/>
    <mergeCell ref="A12:B14"/>
    <mergeCell ref="A15:B18"/>
    <mergeCell ref="E48:P48"/>
    <mergeCell ref="E66:P66"/>
  </mergeCells>
  <conditionalFormatting sqref="B8">
    <cfRule type="cellIs" dxfId="371" priority="5" operator="notEqual">
      <formula>$B$7</formula>
    </cfRule>
  </conditionalFormatting>
  <conditionalFormatting sqref="E3:Q12">
    <cfRule type="cellIs" dxfId="370" priority="4" operator="notBetween">
      <formula>0</formula>
      <formula>100</formula>
    </cfRule>
  </conditionalFormatting>
  <conditionalFormatting sqref="E3:Q14">
    <cfRule type="cellIs" dxfId="369" priority="7" operator="lessThan">
      <formula>0</formula>
    </cfRule>
  </conditionalFormatting>
  <conditionalFormatting sqref="E14:Q14">
    <cfRule type="cellIs" dxfId="368" priority="10" operator="greaterThan">
      <formula>1</formula>
    </cfRule>
  </conditionalFormatting>
  <conditionalFormatting sqref="Q3:Q13">
    <cfRule type="cellIs" dxfId="367" priority="8" operator="equal">
      <formula>0</formula>
    </cfRule>
  </conditionalFormatting>
  <conditionalFormatting sqref="Q13">
    <cfRule type="cellIs" dxfId="366" priority="12" operator="equal">
      <formula>$B$7</formula>
    </cfRule>
  </conditionalFormatting>
  <conditionalFormatting sqref="Q14">
    <cfRule type="cellIs" dxfId="365" priority="9" operator="equal">
      <formula>1</formula>
    </cfRule>
    <cfRule type="cellIs" dxfId="364" priority="11" operator="lessThan">
      <formula>1</formula>
    </cfRule>
  </conditionalFormatting>
  <conditionalFormatting sqref="W4:W15">
    <cfRule type="expression" dxfId="363" priority="13">
      <formula>AND($W4&lt;$W3, NOT(ISBLANK($W4)))</formula>
    </cfRule>
    <cfRule type="cellIs" dxfId="362" priority="14" operator="greaterThan">
      <formula>$B$6</formula>
    </cfRule>
  </conditionalFormatting>
  <conditionalFormatting sqref="X4:X15">
    <cfRule type="cellIs" dxfId="361" priority="6" operator="greaterThan">
      <formula>1</formula>
    </cfRule>
  </conditionalFormatting>
  <conditionalFormatting sqref="D68:D72 D50:D59 D78:D80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3:P12">
    <cfRule type="expression" dxfId="360" priority="15">
      <formula>($D3&lt;=$K$23)</formula>
    </cfRule>
  </conditionalFormatting>
  <conditionalFormatting sqref="Q3:Q12">
    <cfRule type="expression" dxfId="359" priority="16">
      <formula>AND($D3=$K$23, Q3=$J$24)</formula>
    </cfRule>
    <cfRule type="expression" dxfId="358" priority="17">
      <formula>AND($D3=$K$23, MOD(Q3,100)&gt;$J$24)</formula>
    </cfRule>
    <cfRule type="cellIs" dxfId="357" priority="18" operator="equal">
      <formula>100</formula>
    </cfRule>
  </conditionalFormatting>
  <conditionalFormatting sqref="D3:P12">
    <cfRule type="expression" dxfId="356" priority="22">
      <formula>($D3&gt;$K$23)</formula>
    </cfRule>
  </conditionalFormatting>
  <conditionalFormatting sqref="Q50">
    <cfRule type="cellIs" dxfId="355" priority="23" operator="lessThan">
      <formula>0</formula>
    </cfRule>
    <cfRule type="cellIs" dxfId="354" priority="24" operator="equal">
      <formula>0</formula>
    </cfRule>
    <cfRule type="expression" dxfId="353" priority="25">
      <formula>OR(MOD($Q50,100)=0,AND($D50=$K$23,MOD($Q50,100)=$J$24))</formula>
    </cfRule>
  </conditionalFormatting>
  <conditionalFormatting sqref="E50:P59">
    <cfRule type="expression" dxfId="352" priority="2">
      <formula>AND(E50&lt;MAX(E$50:E50), NOT(ISBLANK(E50)), NOT(E50=0))</formula>
    </cfRule>
  </conditionalFormatting>
  <conditionalFormatting sqref="Q52:Q59 Q68:Q72 Q78:Q80">
    <cfRule type="cellIs" dxfId="351" priority="27" operator="lessThan">
      <formula>0</formula>
    </cfRule>
    <cfRule type="cellIs" dxfId="350" priority="28" operator="equal">
      <formula>0</formula>
    </cfRule>
    <cfRule type="expression" dxfId="349" priority="29">
      <formula>OR(MOD($Q52,100)=0,AND($D52=$K$23,MOD($Q52,100)=$J$24))</formula>
    </cfRule>
  </conditionalFormatting>
  <conditionalFormatting sqref="Q51">
    <cfRule type="cellIs" dxfId="348" priority="30" operator="lessThan">
      <formula>0</formula>
    </cfRule>
    <cfRule type="cellIs" dxfId="347" priority="31" operator="equal">
      <formula>0</formula>
    </cfRule>
    <cfRule type="expression" dxfId="346" priority="32">
      <formula>OR(MOD($Q51,100)=0,AND($D50=$K$23,MOD($Q51,100)=$J$24))</formula>
    </cfRule>
  </conditionalFormatting>
  <conditionalFormatting sqref="E50:P59 E68:P72 E78:P80">
    <cfRule type="cellIs" dxfId="343" priority="19" operator="notBetween">
      <formula>0</formula>
      <formula>$B$7</formula>
    </cfRule>
    <cfRule type="expression" dxfId="344" priority="20">
      <formula>($D50&lt;=$K$23)</formula>
    </cfRule>
    <cfRule type="expression" dxfId="345" priority="21">
      <formula>($D50&gt;$K$23)</formula>
    </cfRule>
  </conditionalFormatting>
  <conditionalFormatting sqref="E68:P72">
    <cfRule type="expression" dxfId="342" priority="1">
      <formula>AND(E68&lt;MAX(E$68:E68), NOT(ISBLANK(E68)), NOT(E68=0))</formula>
    </cfRule>
  </conditionalFormatting>
  <conditionalFormatting sqref="E78:P80">
    <cfRule type="expression" dxfId="341" priority="26">
      <formula>AND(E78&lt;MAX(E$78:E78), NOT(ISBLANK(E78)), NOT(E78=0))</formula>
    </cfRule>
  </conditionalFormatting>
  <dataValidations count="2">
    <dataValidation type="list" allowBlank="1" showInputMessage="1" showErrorMessage="1" sqref="D68:D72 D78:D82 D50:D59" xr:uid="{0960BABD-C8F3-4949-8CEE-C01100D11EB9}">
      <formula1>$D$3:$D$12</formula1>
    </dataValidation>
    <dataValidation type="list" allowBlank="1" showInputMessage="1" showErrorMessage="1" sqref="C50:C59" xr:uid="{4F2CD293-554C-40C0-89A4-EF4F6A25D8DE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C9734-52F4-458F-B82A-B8E4A9623D60}">
  <sheetPr codeName="Feuil31">
    <tabColor rgb="FFB4A7D6"/>
  </sheetPr>
  <dimension ref="A1:AB82"/>
  <sheetViews>
    <sheetView zoomScale="80" zoomScaleNormal="80" workbookViewId="0">
      <pane xSplit="2" topLeftCell="C1" activePane="topRight" state="frozen"/>
      <selection pane="topRight" activeCell="R3" sqref="R3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4" width="15.7109375" customWidth="1"/>
    <col min="17" max="17" width="12.85546875" customWidth="1"/>
    <col min="18" max="18" width="11.42578125" customWidth="1"/>
    <col min="21" max="21" width="10.42578125" customWidth="1"/>
    <col min="22" max="22" width="15.42578125" customWidth="1"/>
    <col min="23" max="23" width="16.140625" customWidth="1"/>
    <col min="24" max="24" width="12" customWidth="1"/>
    <col min="26" max="26" width="13.28515625" customWidth="1"/>
    <col min="27" max="27" width="14.42578125" customWidth="1"/>
  </cols>
  <sheetData>
    <row r="1" spans="1:28" ht="16.5" customHeight="1" thickBot="1" x14ac:dyDescent="0.25">
      <c r="A1" s="315" t="s">
        <v>11</v>
      </c>
      <c r="B1" s="33">
        <f>Synthèse!B17</f>
        <v>46096</v>
      </c>
      <c r="D1" s="314"/>
      <c r="E1" s="435" t="s">
        <v>66</v>
      </c>
      <c r="F1" s="436"/>
      <c r="G1" s="436"/>
      <c r="H1" s="436"/>
      <c r="I1" s="436"/>
      <c r="J1" s="436"/>
      <c r="K1" s="436"/>
      <c r="L1" s="436"/>
      <c r="M1" s="436"/>
      <c r="N1" s="436"/>
      <c r="O1" s="436"/>
      <c r="P1" s="437"/>
      <c r="Q1" s="443" t="s">
        <v>7</v>
      </c>
    </row>
    <row r="2" spans="1:28" ht="39.75" customHeight="1" thickBot="1" x14ac:dyDescent="0.25">
      <c r="A2" s="316" t="s">
        <v>12</v>
      </c>
      <c r="B2" s="34" t="str">
        <f>Synthèse!B18</f>
        <v>Municipales 1er tour</v>
      </c>
      <c r="D2" s="364" t="s">
        <v>83</v>
      </c>
      <c r="E2" s="365" t="str">
        <f>Synthèse!L2</f>
        <v>Candidat 1</v>
      </c>
      <c r="F2" s="365" t="str">
        <f>Synthèse!M2</f>
        <v>Candidat 2</v>
      </c>
      <c r="G2" s="365" t="str">
        <f>Synthèse!N2</f>
        <v>Candidat 3</v>
      </c>
      <c r="H2" s="365" t="str">
        <f>Synthèse!O2</f>
        <v>Candidat 4</v>
      </c>
      <c r="I2" s="365" t="str">
        <f>Synthèse!P2</f>
        <v>Candidat 5</v>
      </c>
      <c r="J2" s="365" t="str">
        <f>Synthèse!Q2</f>
        <v>Candidat 6</v>
      </c>
      <c r="K2" s="365" t="str">
        <f>Synthèse!R2</f>
        <v>Candidat 7</v>
      </c>
      <c r="L2" s="365" t="str">
        <f>Synthèse!S2</f>
        <v>Candidat 8</v>
      </c>
      <c r="M2" s="365" t="str">
        <f>Synthèse!T2</f>
        <v>Candidat 9</v>
      </c>
      <c r="N2" s="365" t="str">
        <f>Synthèse!U2</f>
        <v>Candidat 10</v>
      </c>
      <c r="O2" s="368" t="s">
        <v>3</v>
      </c>
      <c r="P2" s="369" t="s">
        <v>4</v>
      </c>
      <c r="Q2" s="444" t="s">
        <v>105</v>
      </c>
      <c r="V2" s="381" t="s">
        <v>21</v>
      </c>
      <c r="W2" s="382" t="s">
        <v>57</v>
      </c>
      <c r="X2" s="383" t="s">
        <v>31</v>
      </c>
      <c r="Z2" s="384" t="s">
        <v>59</v>
      </c>
      <c r="AA2" s="384" t="s">
        <v>58</v>
      </c>
    </row>
    <row r="3" spans="1:28" ht="20.100000000000001" customHeight="1" thickBot="1" x14ac:dyDescent="0.25">
      <c r="A3" s="317" t="s">
        <v>13</v>
      </c>
      <c r="B3" s="94" t="str">
        <f>Synthèse!B19</f>
        <v>Cogolin</v>
      </c>
      <c r="D3" s="361" t="str" cm="1">
        <f t="array" ref="D3">IF(ROW(1:1)&lt;=$K$23, (ROW(1:1)), "")</f>
        <v/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70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171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72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318">
        <f t="shared" ref="Q3:Q12" si="0">SUM(E3:P3)</f>
        <v>0</v>
      </c>
      <c r="V3" s="352" t="s">
        <v>32</v>
      </c>
      <c r="W3" s="353">
        <v>0</v>
      </c>
      <c r="X3" s="354">
        <f t="shared" ref="X3" si="1">W3/$B$6</f>
        <v>0</v>
      </c>
      <c r="Z3" s="330"/>
      <c r="AA3" s="330"/>
    </row>
    <row r="4" spans="1:28" ht="20.100000000000001" customHeight="1" x14ac:dyDescent="0.2">
      <c r="A4" s="95" t="s">
        <v>23</v>
      </c>
      <c r="B4" s="168">
        <v>2</v>
      </c>
      <c r="D4" s="362" t="str" cm="1">
        <f t="array" ref="D4">IF(ROW(2:2)&lt;=$K$23, (ROW(2:2)), "")</f>
        <v/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7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158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318">
        <f t="shared" si="0"/>
        <v>0</v>
      </c>
      <c r="V4" s="355" t="s">
        <v>33</v>
      </c>
      <c r="W4" s="356"/>
      <c r="X4" s="357" t="e">
        <f t="shared" ref="X4:X13" si="2">IF(OR(W4=0, W4=""), NA(), W4/$B$6)</f>
        <v>#N/A</v>
      </c>
      <c r="Z4" s="325" t="s">
        <v>45</v>
      </c>
      <c r="AA4" s="385" t="e">
        <f t="shared" ref="AA4:AA13" si="3">IF(W4&lt;&gt;0,W4-W3,NA())</f>
        <v>#N/A</v>
      </c>
    </row>
    <row r="5" spans="1:28" ht="20.100000000000001" customHeight="1" x14ac:dyDescent="0.2">
      <c r="A5" s="96" t="s">
        <v>24</v>
      </c>
      <c r="B5" s="187" t="s">
        <v>27</v>
      </c>
      <c r="D5" s="362" t="str" cm="1">
        <f t="array" ref="D5">IF(ROW(3:3)&lt;=$K$23, (ROW(3:3)), "")</f>
        <v/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173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174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318">
        <f t="shared" si="0"/>
        <v>0</v>
      </c>
      <c r="T5" s="231"/>
      <c r="U5" s="232"/>
      <c r="V5" s="355" t="s">
        <v>34</v>
      </c>
      <c r="W5" s="356"/>
      <c r="X5" s="357" t="e">
        <f t="shared" si="2"/>
        <v>#N/A</v>
      </c>
      <c r="Z5" s="326" t="s">
        <v>46</v>
      </c>
      <c r="AA5" s="386" t="e">
        <f t="shared" si="3"/>
        <v>#N/A</v>
      </c>
    </row>
    <row r="6" spans="1:28" ht="20.100000000000001" customHeight="1" x14ac:dyDescent="0.2">
      <c r="A6" s="96" t="s">
        <v>0</v>
      </c>
      <c r="B6" s="188">
        <v>700</v>
      </c>
      <c r="D6" s="362" t="str" cm="1">
        <f t="array" ref="D6">IF(ROW(4:4)&lt;=$K$23, (ROW(4:4)), "")</f>
        <v/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173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174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318">
        <f t="shared" si="0"/>
        <v>0</v>
      </c>
      <c r="T6" s="231"/>
      <c r="U6" s="232"/>
      <c r="V6" s="355" t="s">
        <v>35</v>
      </c>
      <c r="W6" s="356"/>
      <c r="X6" s="357" t="e">
        <f t="shared" si="2"/>
        <v>#N/A</v>
      </c>
      <c r="Z6" s="326" t="s">
        <v>47</v>
      </c>
      <c r="AA6" s="386" t="e">
        <f t="shared" si="3"/>
        <v>#N/A</v>
      </c>
    </row>
    <row r="7" spans="1:28" ht="20.100000000000001" customHeight="1" x14ac:dyDescent="0.2">
      <c r="A7" s="96" t="s">
        <v>2</v>
      </c>
      <c r="B7" s="165">
        <f>MAX(W4:W15)</f>
        <v>0</v>
      </c>
      <c r="D7" s="362" t="str" cm="1">
        <f t="array" ref="D7">IF(ROW(5:5)&lt;=$K$23, (ROW(5:5)), "")</f>
        <v/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7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158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318">
        <f t="shared" si="0"/>
        <v>0</v>
      </c>
      <c r="T7" s="231"/>
      <c r="U7" s="232"/>
      <c r="V7" s="355" t="s">
        <v>36</v>
      </c>
      <c r="W7" s="356"/>
      <c r="X7" s="357" t="e">
        <f t="shared" si="2"/>
        <v>#N/A</v>
      </c>
      <c r="Z7" s="326" t="s">
        <v>54</v>
      </c>
      <c r="AA7" s="386" t="e">
        <f t="shared" si="3"/>
        <v>#N/A</v>
      </c>
    </row>
    <row r="8" spans="1:28" ht="20.100000000000001" customHeight="1" x14ac:dyDescent="0.2">
      <c r="A8" s="96" t="s">
        <v>1</v>
      </c>
      <c r="B8" s="166">
        <f>B7</f>
        <v>0</v>
      </c>
      <c r="D8" s="362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7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8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318">
        <f t="shared" si="0"/>
        <v>0</v>
      </c>
      <c r="T8" s="231"/>
      <c r="U8" s="232"/>
      <c r="V8" s="355" t="s">
        <v>37</v>
      </c>
      <c r="W8" s="356"/>
      <c r="X8" s="357" t="e">
        <f t="shared" si="2"/>
        <v>#N/A</v>
      </c>
      <c r="Z8" s="326" t="s">
        <v>48</v>
      </c>
      <c r="AA8" s="386" t="e">
        <f t="shared" si="3"/>
        <v>#N/A</v>
      </c>
    </row>
    <row r="9" spans="1:28" ht="20.100000000000001" customHeight="1" thickBot="1" x14ac:dyDescent="0.25">
      <c r="A9" s="97" t="s">
        <v>17</v>
      </c>
      <c r="B9" s="167">
        <f>B6-B7</f>
        <v>700</v>
      </c>
      <c r="D9" s="362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9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60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318">
        <f t="shared" si="0"/>
        <v>0</v>
      </c>
      <c r="T9" s="231"/>
      <c r="U9" s="232"/>
      <c r="V9" s="355" t="s">
        <v>38</v>
      </c>
      <c r="W9" s="356"/>
      <c r="X9" s="357" t="e">
        <f t="shared" si="2"/>
        <v>#N/A</v>
      </c>
      <c r="Z9" s="326" t="s">
        <v>49</v>
      </c>
      <c r="AA9" s="386" t="e">
        <f t="shared" si="3"/>
        <v>#N/A</v>
      </c>
    </row>
    <row r="10" spans="1:28" ht="20.100000000000001" customHeight="1" x14ac:dyDescent="0.2">
      <c r="A10" s="438" t="s">
        <v>60</v>
      </c>
      <c r="B10" s="438"/>
      <c r="D10" s="362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9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60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318">
        <f t="shared" si="0"/>
        <v>0</v>
      </c>
      <c r="T10" s="231"/>
      <c r="U10" s="232"/>
      <c r="V10" s="355" t="s">
        <v>39</v>
      </c>
      <c r="W10" s="356"/>
      <c r="X10" s="357" t="e">
        <f t="shared" si="2"/>
        <v>#N/A</v>
      </c>
      <c r="Z10" s="326" t="s">
        <v>50</v>
      </c>
      <c r="AA10" s="386" t="e">
        <f t="shared" si="3"/>
        <v>#N/A</v>
      </c>
    </row>
    <row r="11" spans="1:28" ht="20.100000000000001" customHeight="1" x14ac:dyDescent="0.2">
      <c r="A11" s="439"/>
      <c r="B11" s="439"/>
      <c r="D11" s="362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9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60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318">
        <f t="shared" si="0"/>
        <v>0</v>
      </c>
      <c r="T11" s="231"/>
      <c r="U11" s="232"/>
      <c r="V11" s="355" t="s">
        <v>40</v>
      </c>
      <c r="W11" s="356"/>
      <c r="X11" s="357" t="e">
        <f t="shared" si="2"/>
        <v>#N/A</v>
      </c>
      <c r="Z11" s="326" t="s">
        <v>51</v>
      </c>
      <c r="AA11" s="386" t="e">
        <f t="shared" si="3"/>
        <v>#N/A</v>
      </c>
    </row>
    <row r="12" spans="1:28" ht="20.100000000000001" customHeight="1" thickBot="1" x14ac:dyDescent="0.25">
      <c r="A12" s="440" t="s">
        <v>61</v>
      </c>
      <c r="B12" s="440"/>
      <c r="D12" s="363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75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7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318">
        <f t="shared" si="0"/>
        <v>0</v>
      </c>
      <c r="T12" s="231"/>
      <c r="U12" s="232"/>
      <c r="V12" s="355" t="s">
        <v>41</v>
      </c>
      <c r="W12" s="356"/>
      <c r="X12" s="357" t="e">
        <f t="shared" si="2"/>
        <v>#N/A</v>
      </c>
      <c r="Z12" s="326" t="s">
        <v>52</v>
      </c>
      <c r="AA12" s="386" t="e">
        <f t="shared" si="3"/>
        <v>#N/A</v>
      </c>
    </row>
    <row r="13" spans="1:28" ht="20.100000000000001" customHeight="1" thickBot="1" x14ac:dyDescent="0.3">
      <c r="A13" s="440"/>
      <c r="B13" s="440"/>
      <c r="D13" s="50" t="s">
        <v>9</v>
      </c>
      <c r="E13" s="161">
        <f t="shared" ref="E13:Q13" si="4">SUM(E3:E12)</f>
        <v>0</v>
      </c>
      <c r="F13" s="162">
        <f t="shared" si="4"/>
        <v>0</v>
      </c>
      <c r="G13" s="162">
        <f t="shared" si="4"/>
        <v>0</v>
      </c>
      <c r="H13" s="162">
        <f t="shared" si="4"/>
        <v>0</v>
      </c>
      <c r="I13" s="162">
        <f t="shared" si="4"/>
        <v>0</v>
      </c>
      <c r="J13" s="162">
        <f t="shared" si="4"/>
        <v>0</v>
      </c>
      <c r="K13" s="162">
        <f t="shared" si="4"/>
        <v>0</v>
      </c>
      <c r="L13" s="162">
        <f t="shared" si="4"/>
        <v>0</v>
      </c>
      <c r="M13" s="162">
        <f t="shared" si="4"/>
        <v>0</v>
      </c>
      <c r="N13" s="162">
        <f t="shared" si="4"/>
        <v>0</v>
      </c>
      <c r="O13" s="163">
        <f t="shared" si="4"/>
        <v>0</v>
      </c>
      <c r="P13" s="164">
        <f t="shared" si="4"/>
        <v>0</v>
      </c>
      <c r="Q13" s="319">
        <f t="shared" si="4"/>
        <v>0</v>
      </c>
      <c r="T13" s="231"/>
      <c r="U13" s="232"/>
      <c r="V13" s="355" t="s">
        <v>42</v>
      </c>
      <c r="W13" s="356"/>
      <c r="X13" s="357" t="e">
        <f t="shared" si="2"/>
        <v>#N/A</v>
      </c>
      <c r="Z13" s="327" t="s">
        <v>53</v>
      </c>
      <c r="AA13" s="387" t="e">
        <f t="shared" si="3"/>
        <v>#N/A</v>
      </c>
    </row>
    <row r="14" spans="1:28" ht="20.100000000000001" customHeight="1" thickBot="1" x14ac:dyDescent="0.3">
      <c r="A14" s="440"/>
      <c r="B14" s="440"/>
      <c r="D14" s="83" t="s">
        <v>10</v>
      </c>
      <c r="E14" s="45">
        <f t="shared" ref="E14:Q14" si="5">IFERROR(E13/$B$7,0)</f>
        <v>0</v>
      </c>
      <c r="F14" s="46">
        <f t="shared" si="5"/>
        <v>0</v>
      </c>
      <c r="G14" s="46">
        <f t="shared" si="5"/>
        <v>0</v>
      </c>
      <c r="H14" s="46">
        <f t="shared" si="5"/>
        <v>0</v>
      </c>
      <c r="I14" s="46">
        <f t="shared" si="5"/>
        <v>0</v>
      </c>
      <c r="J14" s="46">
        <f t="shared" si="5"/>
        <v>0</v>
      </c>
      <c r="K14" s="46">
        <f t="shared" si="5"/>
        <v>0</v>
      </c>
      <c r="L14" s="46">
        <f t="shared" si="5"/>
        <v>0</v>
      </c>
      <c r="M14" s="46">
        <f t="shared" si="5"/>
        <v>0</v>
      </c>
      <c r="N14" s="46">
        <f t="shared" si="5"/>
        <v>0</v>
      </c>
      <c r="O14" s="45">
        <f t="shared" si="5"/>
        <v>0</v>
      </c>
      <c r="P14" s="47">
        <f t="shared" si="5"/>
        <v>0</v>
      </c>
      <c r="Q14" s="329">
        <f t="shared" si="5"/>
        <v>0</v>
      </c>
      <c r="V14" s="391" t="s">
        <v>43</v>
      </c>
      <c r="W14" s="358"/>
      <c r="X14" s="359" t="e">
        <f>IF(OR(W14=0, W14=""), NA(), W14/$B$6)</f>
        <v>#N/A</v>
      </c>
      <c r="Y14" s="389"/>
      <c r="Z14" s="393" t="s">
        <v>55</v>
      </c>
      <c r="AA14" s="388" t="e">
        <f>IF(W14&lt;&gt;0,W14-W13,NA())</f>
        <v>#N/A</v>
      </c>
      <c r="AB14" s="389"/>
    </row>
    <row r="15" spans="1:28" ht="18" customHeight="1" thickBot="1" x14ac:dyDescent="0.25">
      <c r="A15" s="441" t="s">
        <v>68</v>
      </c>
      <c r="B15" s="441"/>
      <c r="C15" s="1"/>
      <c r="D15" s="1"/>
      <c r="Q15" s="328"/>
      <c r="V15" s="324" t="s">
        <v>44</v>
      </c>
      <c r="W15" s="360"/>
      <c r="X15" s="390" t="e">
        <f>IF(OR(W15=0, W15=""), NA(), W15/$B$6)</f>
        <v>#N/A</v>
      </c>
      <c r="Z15" s="394" t="s">
        <v>56</v>
      </c>
      <c r="AA15" s="392" t="e">
        <f>IF(W15&lt;&gt;0,W15-W14,NA())</f>
        <v>#N/A</v>
      </c>
      <c r="AB15" s="389"/>
    </row>
    <row r="16" spans="1:28" ht="12.75" customHeight="1" x14ac:dyDescent="0.2">
      <c r="A16" s="441"/>
      <c r="B16" s="441"/>
      <c r="V16" s="328"/>
      <c r="W16" s="328"/>
      <c r="X16" s="328"/>
      <c r="AA16" s="328"/>
    </row>
    <row r="17" spans="1:11" ht="18" customHeight="1" x14ac:dyDescent="0.25">
      <c r="A17" s="441"/>
      <c r="B17" s="441"/>
      <c r="E17" s="230"/>
    </row>
    <row r="18" spans="1:11" ht="26.25" customHeight="1" x14ac:dyDescent="0.2">
      <c r="A18" s="441"/>
      <c r="B18" s="441"/>
    </row>
    <row r="23" spans="1:11" x14ac:dyDescent="0.2">
      <c r="H23" s="177" t="s">
        <v>64</v>
      </c>
      <c r="J23" s="245">
        <f>CEILING($B$6, 100)/100</f>
        <v>7</v>
      </c>
      <c r="K23" s="245">
        <f>CEILING($B$7,100)/100</f>
        <v>0</v>
      </c>
    </row>
    <row r="24" spans="1:11" x14ac:dyDescent="0.2">
      <c r="H24" s="178">
        <f>IF((ROW()-23)&lt;=$K$24,(ROW()-23),"Choisir")</f>
        <v>1</v>
      </c>
      <c r="J24" s="245">
        <f>MOD($B$7,100)</f>
        <v>0</v>
      </c>
      <c r="K24" s="246">
        <f>CEILING($B$6/300,1)</f>
        <v>3</v>
      </c>
    </row>
    <row r="25" spans="1:11" x14ac:dyDescent="0.2">
      <c r="H25" s="178">
        <f>IF((ROW()-23)&lt;=$K$24,(ROW()-23),"Choisir")</f>
        <v>2</v>
      </c>
    </row>
    <row r="26" spans="1:11" x14ac:dyDescent="0.2">
      <c r="H26" s="178">
        <f>IF((ROW()-23)&lt;=$K$24,(ROW()-23),"Choisir")</f>
        <v>3</v>
      </c>
    </row>
    <row r="27" spans="1:11" x14ac:dyDescent="0.2">
      <c r="H27" s="178" t="str">
        <f>IF((ROW()-23)&lt;=$K$24,(ROW()-23),"Choisir")</f>
        <v>Choisir</v>
      </c>
    </row>
    <row r="46" spans="4:17" x14ac:dyDescent="0.2">
      <c r="E46" s="169"/>
    </row>
    <row r="47" spans="4:17" ht="13.5" thickBot="1" x14ac:dyDescent="0.25">
      <c r="E47" s="169"/>
    </row>
    <row r="48" spans="4:17" ht="20.100000000000001" customHeight="1" thickBot="1" x14ac:dyDescent="0.25">
      <c r="D48" s="235" t="s">
        <v>79</v>
      </c>
      <c r="E48" s="432" t="s">
        <v>103</v>
      </c>
      <c r="F48" s="433"/>
      <c r="G48" s="433"/>
      <c r="H48" s="433"/>
      <c r="I48" s="433"/>
      <c r="J48" s="433"/>
      <c r="K48" s="433"/>
      <c r="L48" s="433"/>
      <c r="M48" s="433"/>
      <c r="N48" s="433"/>
      <c r="O48" s="433"/>
      <c r="P48" s="434"/>
      <c r="Q48" s="395" t="s">
        <v>7</v>
      </c>
    </row>
    <row r="49" spans="3:17" ht="47.25" customHeight="1" thickBot="1" x14ac:dyDescent="0.25">
      <c r="C49" s="233"/>
      <c r="D49" s="371" t="s">
        <v>82</v>
      </c>
      <c r="E49" s="365" t="s">
        <v>69</v>
      </c>
      <c r="F49" s="365" t="s">
        <v>100</v>
      </c>
      <c r="G49" s="365" t="s">
        <v>70</v>
      </c>
      <c r="H49" s="365" t="s">
        <v>71</v>
      </c>
      <c r="I49" s="365" t="s">
        <v>72</v>
      </c>
      <c r="J49" s="365" t="s">
        <v>73</v>
      </c>
      <c r="K49" s="365" t="s">
        <v>74</v>
      </c>
      <c r="L49" s="365" t="s">
        <v>75</v>
      </c>
      <c r="M49" s="365" t="s">
        <v>76</v>
      </c>
      <c r="N49" s="365" t="s">
        <v>77</v>
      </c>
      <c r="O49" s="375" t="s">
        <v>3</v>
      </c>
      <c r="P49" s="374" t="s">
        <v>4</v>
      </c>
      <c r="Q49" s="397" t="s">
        <v>104</v>
      </c>
    </row>
    <row r="50" spans="3:17" ht="19.5" customHeight="1" x14ac:dyDescent="0.2">
      <c r="C50" s="234"/>
      <c r="D50" s="370" t="s">
        <v>81</v>
      </c>
      <c r="E50" s="320"/>
      <c r="F50" s="321"/>
      <c r="G50" s="321"/>
      <c r="H50" s="321"/>
      <c r="I50" s="321"/>
      <c r="J50" s="321"/>
      <c r="K50" s="321"/>
      <c r="L50" s="321"/>
      <c r="M50" s="321"/>
      <c r="N50" s="322"/>
      <c r="O50" s="323"/>
      <c r="P50" s="322"/>
      <c r="Q50" s="396">
        <f t="shared" ref="Q50:Q59" si="6">SUM(E50:P50)</f>
        <v>0</v>
      </c>
    </row>
    <row r="51" spans="3:17" ht="20.100000000000001" customHeight="1" x14ac:dyDescent="0.2">
      <c r="C51" s="234"/>
      <c r="D51" s="370" t="s">
        <v>81</v>
      </c>
      <c r="E51" s="320"/>
      <c r="F51" s="321"/>
      <c r="G51" s="321"/>
      <c r="H51" s="321"/>
      <c r="I51" s="321"/>
      <c r="J51" s="321"/>
      <c r="K51" s="321"/>
      <c r="L51" s="321"/>
      <c r="M51" s="321"/>
      <c r="N51" s="322"/>
      <c r="O51" s="323"/>
      <c r="P51" s="322"/>
      <c r="Q51" s="396">
        <f t="shared" si="6"/>
        <v>0</v>
      </c>
    </row>
    <row r="52" spans="3:17" ht="20.100000000000001" customHeight="1" x14ac:dyDescent="0.2">
      <c r="C52" s="234"/>
      <c r="D52" s="370" t="s">
        <v>81</v>
      </c>
      <c r="E52" s="320"/>
      <c r="F52" s="321"/>
      <c r="G52" s="321"/>
      <c r="H52" s="321"/>
      <c r="I52" s="321"/>
      <c r="J52" s="321"/>
      <c r="K52" s="321"/>
      <c r="L52" s="321"/>
      <c r="M52" s="321"/>
      <c r="N52" s="322"/>
      <c r="O52" s="323"/>
      <c r="P52" s="322"/>
      <c r="Q52" s="396">
        <f t="shared" si="6"/>
        <v>0</v>
      </c>
    </row>
    <row r="53" spans="3:17" ht="20.100000000000001" customHeight="1" x14ac:dyDescent="0.2">
      <c r="C53" s="234"/>
      <c r="D53" s="370" t="s">
        <v>81</v>
      </c>
      <c r="E53" s="320"/>
      <c r="F53" s="321"/>
      <c r="G53" s="321"/>
      <c r="H53" s="321"/>
      <c r="I53" s="321"/>
      <c r="J53" s="321"/>
      <c r="K53" s="321"/>
      <c r="L53" s="321"/>
      <c r="M53" s="321"/>
      <c r="N53" s="322"/>
      <c r="O53" s="323"/>
      <c r="P53" s="322"/>
      <c r="Q53" s="396">
        <f t="shared" si="6"/>
        <v>0</v>
      </c>
    </row>
    <row r="54" spans="3:17" ht="20.100000000000001" customHeight="1" x14ac:dyDescent="0.2">
      <c r="C54" s="234"/>
      <c r="D54" s="370" t="s">
        <v>81</v>
      </c>
      <c r="E54" s="320"/>
      <c r="F54" s="321"/>
      <c r="G54" s="321"/>
      <c r="H54" s="321"/>
      <c r="I54" s="321"/>
      <c r="J54" s="321"/>
      <c r="K54" s="321"/>
      <c r="L54" s="321"/>
      <c r="M54" s="321"/>
      <c r="N54" s="322"/>
      <c r="O54" s="323"/>
      <c r="P54" s="322"/>
      <c r="Q54" s="396">
        <f t="shared" si="6"/>
        <v>0</v>
      </c>
    </row>
    <row r="55" spans="3:17" ht="20.100000000000001" customHeight="1" x14ac:dyDescent="0.2">
      <c r="C55" s="234"/>
      <c r="D55" s="370" t="s">
        <v>81</v>
      </c>
      <c r="E55" s="320"/>
      <c r="F55" s="321"/>
      <c r="G55" s="321"/>
      <c r="H55" s="321"/>
      <c r="I55" s="321"/>
      <c r="J55" s="321"/>
      <c r="K55" s="321"/>
      <c r="L55" s="321"/>
      <c r="M55" s="321"/>
      <c r="N55" s="322"/>
      <c r="O55" s="323"/>
      <c r="P55" s="322"/>
      <c r="Q55" s="396">
        <f t="shared" si="6"/>
        <v>0</v>
      </c>
    </row>
    <row r="56" spans="3:17" ht="20.100000000000001" customHeight="1" x14ac:dyDescent="0.2">
      <c r="C56" s="234"/>
      <c r="D56" s="370" t="s">
        <v>81</v>
      </c>
      <c r="E56" s="320"/>
      <c r="F56" s="321"/>
      <c r="G56" s="321"/>
      <c r="H56" s="321"/>
      <c r="I56" s="321"/>
      <c r="J56" s="321"/>
      <c r="K56" s="321"/>
      <c r="L56" s="321"/>
      <c r="M56" s="321"/>
      <c r="N56" s="322"/>
      <c r="O56" s="323"/>
      <c r="P56" s="322"/>
      <c r="Q56" s="396">
        <f t="shared" si="6"/>
        <v>0</v>
      </c>
    </row>
    <row r="57" spans="3:17" ht="20.100000000000001" customHeight="1" x14ac:dyDescent="0.2">
      <c r="C57" s="234"/>
      <c r="D57" s="370" t="s">
        <v>81</v>
      </c>
      <c r="E57" s="320"/>
      <c r="F57" s="321"/>
      <c r="G57" s="321"/>
      <c r="H57" s="321"/>
      <c r="I57" s="321"/>
      <c r="J57" s="321"/>
      <c r="K57" s="321"/>
      <c r="L57" s="321"/>
      <c r="M57" s="321"/>
      <c r="N57" s="322"/>
      <c r="O57" s="323"/>
      <c r="P57" s="322"/>
      <c r="Q57" s="396">
        <f t="shared" si="6"/>
        <v>0</v>
      </c>
    </row>
    <row r="58" spans="3:17" ht="20.100000000000001" customHeight="1" x14ac:dyDescent="0.2">
      <c r="C58" s="234"/>
      <c r="D58" s="370" t="s">
        <v>81</v>
      </c>
      <c r="E58" s="320"/>
      <c r="F58" s="321"/>
      <c r="G58" s="321"/>
      <c r="H58" s="321"/>
      <c r="I58" s="321"/>
      <c r="J58" s="321"/>
      <c r="K58" s="321"/>
      <c r="L58" s="321"/>
      <c r="M58" s="321"/>
      <c r="N58" s="322"/>
      <c r="O58" s="323"/>
      <c r="P58" s="322"/>
      <c r="Q58" s="396">
        <f t="shared" si="6"/>
        <v>0</v>
      </c>
    </row>
    <row r="59" spans="3:17" ht="20.100000000000001" customHeight="1" thickBot="1" x14ac:dyDescent="0.25">
      <c r="C59" s="234"/>
      <c r="D59" s="376" t="s">
        <v>81</v>
      </c>
      <c r="E59" s="377"/>
      <c r="F59" s="378"/>
      <c r="G59" s="378"/>
      <c r="H59" s="378"/>
      <c r="I59" s="378"/>
      <c r="J59" s="378"/>
      <c r="K59" s="378"/>
      <c r="L59" s="378"/>
      <c r="M59" s="378"/>
      <c r="N59" s="379"/>
      <c r="O59" s="380"/>
      <c r="P59" s="379"/>
      <c r="Q59" s="396">
        <f t="shared" si="6"/>
        <v>0</v>
      </c>
    </row>
    <row r="60" spans="3:17" x14ac:dyDescent="0.2">
      <c r="Q60" s="328"/>
    </row>
    <row r="63" spans="3:17" ht="18" x14ac:dyDescent="0.25">
      <c r="E63" s="230"/>
    </row>
    <row r="65" spans="4:17" ht="13.5" thickBot="1" x14ac:dyDescent="0.25"/>
    <row r="66" spans="4:17" ht="16.5" customHeight="1" thickBot="1" x14ac:dyDescent="0.25">
      <c r="D66" s="235" t="s">
        <v>80</v>
      </c>
      <c r="E66" s="432" t="s">
        <v>102</v>
      </c>
      <c r="F66" s="433"/>
      <c r="G66" s="433"/>
      <c r="H66" s="433"/>
      <c r="I66" s="433"/>
      <c r="J66" s="433"/>
      <c r="K66" s="433"/>
      <c r="L66" s="433"/>
      <c r="M66" s="433"/>
      <c r="N66" s="433"/>
      <c r="O66" s="433"/>
      <c r="P66" s="434"/>
      <c r="Q66" s="395" t="s">
        <v>7</v>
      </c>
    </row>
    <row r="67" spans="4:17" ht="42" customHeight="1" thickBot="1" x14ac:dyDescent="0.25">
      <c r="D67" s="371" t="s">
        <v>82</v>
      </c>
      <c r="E67" s="365" t="s">
        <v>69</v>
      </c>
      <c r="F67" s="365" t="s">
        <v>100</v>
      </c>
      <c r="G67" s="365" t="s">
        <v>70</v>
      </c>
      <c r="H67" s="365" t="s">
        <v>71</v>
      </c>
      <c r="I67" s="365" t="s">
        <v>72</v>
      </c>
      <c r="J67" s="365" t="s">
        <v>73</v>
      </c>
      <c r="K67" s="365" t="s">
        <v>74</v>
      </c>
      <c r="L67" s="365" t="s">
        <v>75</v>
      </c>
      <c r="M67" s="365" t="s">
        <v>76</v>
      </c>
      <c r="N67" s="365" t="s">
        <v>77</v>
      </c>
      <c r="O67" s="375" t="s">
        <v>3</v>
      </c>
      <c r="P67" s="374" t="s">
        <v>4</v>
      </c>
      <c r="Q67" s="402" t="s">
        <v>104</v>
      </c>
    </row>
    <row r="68" spans="4:17" ht="20.100000000000001" customHeight="1" x14ac:dyDescent="0.2">
      <c r="D68" s="244" t="s">
        <v>81</v>
      </c>
      <c r="E68" s="237"/>
      <c r="F68" s="238"/>
      <c r="G68" s="238"/>
      <c r="H68" s="238"/>
      <c r="I68" s="238"/>
      <c r="J68" s="238"/>
      <c r="K68" s="238"/>
      <c r="L68" s="238"/>
      <c r="M68" s="238"/>
      <c r="N68" s="239"/>
      <c r="O68" s="240"/>
      <c r="P68" s="239"/>
      <c r="Q68" s="399">
        <f t="shared" ref="Q68:Q72" si="7">SUM(E68:P68)</f>
        <v>0</v>
      </c>
    </row>
    <row r="69" spans="4:17" ht="20.100000000000001" customHeight="1" x14ac:dyDescent="0.2">
      <c r="D69" s="242" t="s">
        <v>81</v>
      </c>
      <c r="E69" s="179"/>
      <c r="F69" s="180"/>
      <c r="G69" s="180"/>
      <c r="H69" s="180"/>
      <c r="I69" s="180"/>
      <c r="J69" s="180"/>
      <c r="K69" s="180"/>
      <c r="L69" s="180"/>
      <c r="M69" s="180"/>
      <c r="N69" s="181"/>
      <c r="O69" s="182"/>
      <c r="P69" s="181"/>
      <c r="Q69" s="318">
        <f t="shared" si="7"/>
        <v>0</v>
      </c>
    </row>
    <row r="70" spans="4:17" ht="20.100000000000001" customHeight="1" x14ac:dyDescent="0.2">
      <c r="D70" s="242" t="s">
        <v>81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1"/>
      <c r="O70" s="182"/>
      <c r="P70" s="181"/>
      <c r="Q70" s="318">
        <f t="shared" si="7"/>
        <v>0</v>
      </c>
    </row>
    <row r="71" spans="4:17" ht="20.100000000000001" customHeight="1" x14ac:dyDescent="0.2">
      <c r="D71" s="242" t="s">
        <v>81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1"/>
      <c r="O71" s="182"/>
      <c r="P71" s="181"/>
      <c r="Q71" s="318">
        <f t="shared" si="7"/>
        <v>0</v>
      </c>
    </row>
    <row r="72" spans="4:17" ht="20.100000000000001" customHeight="1" thickBot="1" x14ac:dyDescent="0.25">
      <c r="D72" s="243" t="s">
        <v>81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5"/>
      <c r="O72" s="186"/>
      <c r="P72" s="185"/>
      <c r="Q72" s="400">
        <f t="shared" si="7"/>
        <v>0</v>
      </c>
    </row>
    <row r="73" spans="4:1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</row>
    <row r="74" spans="4:1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</row>
    <row r="75" spans="4:1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</row>
    <row r="76" spans="4:17" ht="20.100000000000001" customHeight="1" thickBot="1" x14ac:dyDescent="0.25">
      <c r="D76" s="235" t="s">
        <v>84</v>
      </c>
      <c r="E76" s="432" t="s">
        <v>101</v>
      </c>
      <c r="F76" s="433"/>
      <c r="G76" s="433"/>
      <c r="H76" s="433"/>
      <c r="I76" s="433"/>
      <c r="J76" s="433"/>
      <c r="K76" s="433"/>
      <c r="L76" s="433"/>
      <c r="M76" s="433"/>
      <c r="N76" s="433"/>
      <c r="O76" s="433"/>
      <c r="P76" s="434"/>
      <c r="Q76" s="401" t="s">
        <v>7</v>
      </c>
    </row>
    <row r="77" spans="4:17" ht="39.75" customHeight="1" thickBot="1" x14ac:dyDescent="0.25">
      <c r="D77" s="371" t="s">
        <v>82</v>
      </c>
      <c r="E77" s="365" t="s">
        <v>69</v>
      </c>
      <c r="F77" s="365" t="s">
        <v>100</v>
      </c>
      <c r="G77" s="365" t="s">
        <v>70</v>
      </c>
      <c r="H77" s="365" t="s">
        <v>71</v>
      </c>
      <c r="I77" s="365" t="s">
        <v>72</v>
      </c>
      <c r="J77" s="365" t="s">
        <v>73</v>
      </c>
      <c r="K77" s="365" t="s">
        <v>74</v>
      </c>
      <c r="L77" s="365" t="s">
        <v>75</v>
      </c>
      <c r="M77" s="365" t="s">
        <v>76</v>
      </c>
      <c r="N77" s="365" t="s">
        <v>77</v>
      </c>
      <c r="O77" s="375" t="s">
        <v>3</v>
      </c>
      <c r="P77" s="374" t="s">
        <v>4</v>
      </c>
      <c r="Q77" s="398" t="s">
        <v>104</v>
      </c>
    </row>
    <row r="78" spans="4:17" ht="20.100000000000001" customHeight="1" x14ac:dyDescent="0.2">
      <c r="D78" s="244" t="s">
        <v>81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9"/>
      <c r="O78" s="240"/>
      <c r="P78" s="239"/>
      <c r="Q78" s="399">
        <f t="shared" ref="Q78:Q80" si="8">SUM(E78:P78)</f>
        <v>0</v>
      </c>
    </row>
    <row r="79" spans="4:17" ht="20.100000000000001" customHeight="1" x14ac:dyDescent="0.2">
      <c r="D79" s="242" t="s">
        <v>81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1"/>
      <c r="O79" s="182"/>
      <c r="P79" s="181"/>
      <c r="Q79" s="318">
        <f t="shared" si="8"/>
        <v>0</v>
      </c>
    </row>
    <row r="80" spans="4:17" ht="20.100000000000001" customHeight="1" thickBot="1" x14ac:dyDescent="0.25">
      <c r="D80" s="243" t="s">
        <v>81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5"/>
      <c r="O80" s="186"/>
      <c r="P80" s="185"/>
      <c r="Q80" s="400">
        <f t="shared" si="8"/>
        <v>0</v>
      </c>
    </row>
    <row r="81" spans="4:1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41"/>
    </row>
    <row r="82" spans="4:1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41"/>
    </row>
  </sheetData>
  <sheetProtection algorithmName="SHA-512" hashValue="1T8xhkB5XnAuELfhbGWu+zqqvphgR94FhycAIOM9tqiqOWm5A0AHelVc58MY9byMuPU/wiQ4DSYK3bnNdVwxhg==" saltValue="AqA2PzNGNQquCc4oyawwxA==" spinCount="100000" sheet="1" objects="1" scenarios="1"/>
  <mergeCells count="7">
    <mergeCell ref="E76:P76"/>
    <mergeCell ref="E1:P1"/>
    <mergeCell ref="A10:B11"/>
    <mergeCell ref="A12:B14"/>
    <mergeCell ref="A15:B18"/>
    <mergeCell ref="E48:P48"/>
    <mergeCell ref="E66:P66"/>
  </mergeCells>
  <conditionalFormatting sqref="B8">
    <cfRule type="cellIs" dxfId="340" priority="5" operator="notEqual">
      <formula>$B$7</formula>
    </cfRule>
  </conditionalFormatting>
  <conditionalFormatting sqref="E3:Q12">
    <cfRule type="cellIs" dxfId="339" priority="4" operator="notBetween">
      <formula>0</formula>
      <formula>100</formula>
    </cfRule>
  </conditionalFormatting>
  <conditionalFormatting sqref="E3:Q14">
    <cfRule type="cellIs" dxfId="338" priority="7" operator="lessThan">
      <formula>0</formula>
    </cfRule>
  </conditionalFormatting>
  <conditionalFormatting sqref="E14:Q14">
    <cfRule type="cellIs" dxfId="337" priority="10" operator="greaterThan">
      <formula>1</formula>
    </cfRule>
  </conditionalFormatting>
  <conditionalFormatting sqref="Q3:Q13">
    <cfRule type="cellIs" dxfId="336" priority="8" operator="equal">
      <formula>0</formula>
    </cfRule>
  </conditionalFormatting>
  <conditionalFormatting sqref="Q13">
    <cfRule type="cellIs" dxfId="335" priority="12" operator="equal">
      <formula>$B$7</formula>
    </cfRule>
  </conditionalFormatting>
  <conditionalFormatting sqref="Q14">
    <cfRule type="cellIs" dxfId="334" priority="9" operator="equal">
      <formula>1</formula>
    </cfRule>
    <cfRule type="cellIs" dxfId="333" priority="11" operator="lessThan">
      <formula>1</formula>
    </cfRule>
  </conditionalFormatting>
  <conditionalFormatting sqref="W4:W15">
    <cfRule type="expression" dxfId="332" priority="13">
      <formula>AND($W4&lt;$W3, NOT(ISBLANK($W4)))</formula>
    </cfRule>
    <cfRule type="cellIs" dxfId="331" priority="14" operator="greaterThan">
      <formula>$B$6</formula>
    </cfRule>
  </conditionalFormatting>
  <conditionalFormatting sqref="X4:X15">
    <cfRule type="cellIs" dxfId="330" priority="6" operator="greaterThan">
      <formula>1</formula>
    </cfRule>
  </conditionalFormatting>
  <conditionalFormatting sqref="D68:D72 D50:D59 D78:D80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3:P12">
    <cfRule type="expression" dxfId="329" priority="15">
      <formula>($D3&lt;=$K$23)</formula>
    </cfRule>
  </conditionalFormatting>
  <conditionalFormatting sqref="Q3:Q12">
    <cfRule type="expression" dxfId="328" priority="16">
      <formula>AND($D3=$K$23, Q3=$J$24)</formula>
    </cfRule>
    <cfRule type="expression" dxfId="327" priority="17">
      <formula>AND($D3=$K$23, MOD(Q3,100)&gt;$J$24)</formula>
    </cfRule>
    <cfRule type="cellIs" dxfId="326" priority="18" operator="equal">
      <formula>100</formula>
    </cfRule>
  </conditionalFormatting>
  <conditionalFormatting sqref="D3:P12">
    <cfRule type="expression" dxfId="325" priority="22">
      <formula>($D3&gt;$K$23)</formula>
    </cfRule>
  </conditionalFormatting>
  <conditionalFormatting sqref="Q50">
    <cfRule type="cellIs" dxfId="324" priority="23" operator="lessThan">
      <formula>0</formula>
    </cfRule>
    <cfRule type="cellIs" dxfId="323" priority="24" operator="equal">
      <formula>0</formula>
    </cfRule>
    <cfRule type="expression" dxfId="322" priority="25">
      <formula>OR(MOD($Q50,100)=0,AND($D50=$K$23,MOD($Q50,100)=$J$24))</formula>
    </cfRule>
  </conditionalFormatting>
  <conditionalFormatting sqref="E50:P59">
    <cfRule type="expression" dxfId="321" priority="2">
      <formula>AND(E50&lt;MAX(E$50:E50), NOT(ISBLANK(E50)), NOT(E50=0))</formula>
    </cfRule>
  </conditionalFormatting>
  <conditionalFormatting sqref="Q52:Q59 Q68:Q72 Q78:Q80">
    <cfRule type="cellIs" dxfId="320" priority="27" operator="lessThan">
      <formula>0</formula>
    </cfRule>
    <cfRule type="cellIs" dxfId="319" priority="28" operator="equal">
      <formula>0</formula>
    </cfRule>
    <cfRule type="expression" dxfId="318" priority="29">
      <formula>OR(MOD($Q52,100)=0,AND($D52=$K$23,MOD($Q52,100)=$J$24))</formula>
    </cfRule>
  </conditionalFormatting>
  <conditionalFormatting sqref="Q51">
    <cfRule type="cellIs" dxfId="317" priority="30" operator="lessThan">
      <formula>0</formula>
    </cfRule>
    <cfRule type="cellIs" dxfId="316" priority="31" operator="equal">
      <formula>0</formula>
    </cfRule>
    <cfRule type="expression" dxfId="315" priority="32">
      <formula>OR(MOD($Q51,100)=0,AND($D50=$K$23,MOD($Q51,100)=$J$24))</formula>
    </cfRule>
  </conditionalFormatting>
  <conditionalFormatting sqref="E50:P59 E68:P72 E78:P80">
    <cfRule type="cellIs" dxfId="312" priority="19" operator="notBetween">
      <formula>0</formula>
      <formula>$B$7</formula>
    </cfRule>
    <cfRule type="expression" dxfId="313" priority="20">
      <formula>($D50&lt;=$K$23)</formula>
    </cfRule>
    <cfRule type="expression" dxfId="314" priority="21">
      <formula>($D50&gt;$K$23)</formula>
    </cfRule>
  </conditionalFormatting>
  <conditionalFormatting sqref="E68:P72">
    <cfRule type="expression" dxfId="311" priority="1">
      <formula>AND(E68&lt;MAX(E$68:E68), NOT(ISBLANK(E68)), NOT(E68=0))</formula>
    </cfRule>
  </conditionalFormatting>
  <conditionalFormatting sqref="E78:P80">
    <cfRule type="expression" dxfId="310" priority="26">
      <formula>AND(E78&lt;MAX(E$78:E78), NOT(ISBLANK(E78)), NOT(E78=0))</formula>
    </cfRule>
  </conditionalFormatting>
  <dataValidations count="2">
    <dataValidation type="list" allowBlank="1" showInputMessage="1" showErrorMessage="1" sqref="D68:D72 D78:D82 D50:D59" xr:uid="{6418E8BF-6EB4-49D7-8081-37AD2173B4FF}">
      <formula1>$D$3:$D$12</formula1>
    </dataValidation>
    <dataValidation type="list" allowBlank="1" showInputMessage="1" showErrorMessage="1" sqref="C50:C59" xr:uid="{D2035598-C089-4F7B-AE9E-05F52AE198F1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C005-2E17-4948-A899-DE8EA280881D}">
  <sheetPr codeName="Feuil32">
    <tabColor rgb="FFB4A7D6"/>
  </sheetPr>
  <dimension ref="A1:AB82"/>
  <sheetViews>
    <sheetView zoomScale="80" zoomScaleNormal="80" workbookViewId="0">
      <pane xSplit="2" topLeftCell="C1" activePane="topRight" state="frozen"/>
      <selection pane="topRight" activeCell="R3" sqref="R3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4" width="15.7109375" customWidth="1"/>
    <col min="17" max="17" width="12.85546875" customWidth="1"/>
    <col min="18" max="18" width="11.42578125" customWidth="1"/>
    <col min="21" max="21" width="10.42578125" customWidth="1"/>
    <col min="22" max="22" width="15.42578125" customWidth="1"/>
    <col min="23" max="23" width="16.140625" customWidth="1"/>
    <col min="24" max="24" width="12" customWidth="1"/>
    <col min="26" max="26" width="13.28515625" customWidth="1"/>
    <col min="27" max="27" width="14.42578125" customWidth="1"/>
  </cols>
  <sheetData>
    <row r="1" spans="1:28" ht="16.5" customHeight="1" thickBot="1" x14ac:dyDescent="0.25">
      <c r="A1" s="315" t="s">
        <v>11</v>
      </c>
      <c r="B1" s="33">
        <f>Synthèse!B17</f>
        <v>46096</v>
      </c>
      <c r="D1" s="314"/>
      <c r="E1" s="435" t="s">
        <v>66</v>
      </c>
      <c r="F1" s="436"/>
      <c r="G1" s="436"/>
      <c r="H1" s="436"/>
      <c r="I1" s="436"/>
      <c r="J1" s="436"/>
      <c r="K1" s="436"/>
      <c r="L1" s="436"/>
      <c r="M1" s="436"/>
      <c r="N1" s="436"/>
      <c r="O1" s="436"/>
      <c r="P1" s="437"/>
      <c r="Q1" s="443" t="s">
        <v>7</v>
      </c>
    </row>
    <row r="2" spans="1:28" ht="39.75" customHeight="1" thickBot="1" x14ac:dyDescent="0.25">
      <c r="A2" s="316" t="s">
        <v>12</v>
      </c>
      <c r="B2" s="34" t="str">
        <f>Synthèse!B18</f>
        <v>Municipales 1er tour</v>
      </c>
      <c r="D2" s="364" t="s">
        <v>83</v>
      </c>
      <c r="E2" s="365" t="str">
        <f>Synthèse!L2</f>
        <v>Candidat 1</v>
      </c>
      <c r="F2" s="365" t="str">
        <f>Synthèse!M2</f>
        <v>Candidat 2</v>
      </c>
      <c r="G2" s="365" t="str">
        <f>Synthèse!N2</f>
        <v>Candidat 3</v>
      </c>
      <c r="H2" s="365" t="str">
        <f>Synthèse!O2</f>
        <v>Candidat 4</v>
      </c>
      <c r="I2" s="365" t="str">
        <f>Synthèse!P2</f>
        <v>Candidat 5</v>
      </c>
      <c r="J2" s="365" t="str">
        <f>Synthèse!Q2</f>
        <v>Candidat 6</v>
      </c>
      <c r="K2" s="365" t="str">
        <f>Synthèse!R2</f>
        <v>Candidat 7</v>
      </c>
      <c r="L2" s="365" t="str">
        <f>Synthèse!S2</f>
        <v>Candidat 8</v>
      </c>
      <c r="M2" s="365" t="str">
        <f>Synthèse!T2</f>
        <v>Candidat 9</v>
      </c>
      <c r="N2" s="365" t="str">
        <f>Synthèse!U2</f>
        <v>Candidat 10</v>
      </c>
      <c r="O2" s="368" t="s">
        <v>3</v>
      </c>
      <c r="P2" s="369" t="s">
        <v>4</v>
      </c>
      <c r="Q2" s="444" t="s">
        <v>105</v>
      </c>
      <c r="V2" s="381" t="s">
        <v>21</v>
      </c>
      <c r="W2" s="382" t="s">
        <v>57</v>
      </c>
      <c r="X2" s="383" t="s">
        <v>31</v>
      </c>
      <c r="Z2" s="384" t="s">
        <v>59</v>
      </c>
      <c r="AA2" s="384" t="s">
        <v>58</v>
      </c>
    </row>
    <row r="3" spans="1:28" ht="20.100000000000001" customHeight="1" thickBot="1" x14ac:dyDescent="0.25">
      <c r="A3" s="317" t="s">
        <v>13</v>
      </c>
      <c r="B3" s="94" t="str">
        <f>Synthèse!B19</f>
        <v>Cogolin</v>
      </c>
      <c r="D3" s="361" t="str" cm="1">
        <f t="array" ref="D3">IF(ROW(1:1)&lt;=$K$23, (ROW(1:1)), "")</f>
        <v/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70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171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72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318">
        <f t="shared" ref="Q3:Q12" si="0">SUM(E3:P3)</f>
        <v>0</v>
      </c>
      <c r="V3" s="352" t="s">
        <v>32</v>
      </c>
      <c r="W3" s="353">
        <v>0</v>
      </c>
      <c r="X3" s="354">
        <f t="shared" ref="X3" si="1">W3/$B$6</f>
        <v>0</v>
      </c>
      <c r="Z3" s="330"/>
      <c r="AA3" s="330"/>
    </row>
    <row r="4" spans="1:28" ht="20.100000000000001" customHeight="1" x14ac:dyDescent="0.2">
      <c r="A4" s="95" t="s">
        <v>23</v>
      </c>
      <c r="B4" s="168">
        <v>3</v>
      </c>
      <c r="D4" s="362" t="str" cm="1">
        <f t="array" ref="D4">IF(ROW(2:2)&lt;=$K$23, (ROW(2:2)), "")</f>
        <v/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7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158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318">
        <f t="shared" si="0"/>
        <v>0</v>
      </c>
      <c r="V4" s="355" t="s">
        <v>33</v>
      </c>
      <c r="W4" s="356"/>
      <c r="X4" s="357" t="e">
        <f t="shared" ref="X4:X13" si="2">IF(OR(W4=0, W4=""), NA(), W4/$B$6)</f>
        <v>#N/A</v>
      </c>
      <c r="Z4" s="325" t="s">
        <v>45</v>
      </c>
      <c r="AA4" s="385" t="e">
        <f t="shared" ref="AA4:AA13" si="3">IF(W4&lt;&gt;0,W4-W3,NA())</f>
        <v>#N/A</v>
      </c>
    </row>
    <row r="5" spans="1:28" ht="20.100000000000001" customHeight="1" x14ac:dyDescent="0.2">
      <c r="A5" s="96" t="s">
        <v>24</v>
      </c>
      <c r="B5" s="187" t="s">
        <v>27</v>
      </c>
      <c r="D5" s="362" t="str" cm="1">
        <f t="array" ref="D5">IF(ROW(3:3)&lt;=$K$23, (ROW(3:3)), "")</f>
        <v/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173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174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318">
        <f t="shared" si="0"/>
        <v>0</v>
      </c>
      <c r="T5" s="231"/>
      <c r="U5" s="232"/>
      <c r="V5" s="355" t="s">
        <v>34</v>
      </c>
      <c r="W5" s="356"/>
      <c r="X5" s="357" t="e">
        <f t="shared" si="2"/>
        <v>#N/A</v>
      </c>
      <c r="Z5" s="326" t="s">
        <v>46</v>
      </c>
      <c r="AA5" s="386" t="e">
        <f t="shared" si="3"/>
        <v>#N/A</v>
      </c>
    </row>
    <row r="6" spans="1:28" ht="20.100000000000001" customHeight="1" x14ac:dyDescent="0.2">
      <c r="A6" s="96" t="s">
        <v>0</v>
      </c>
      <c r="B6" s="188">
        <v>669</v>
      </c>
      <c r="D6" s="362" t="str" cm="1">
        <f t="array" ref="D6">IF(ROW(4:4)&lt;=$K$23, (ROW(4:4)), "")</f>
        <v/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173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174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318">
        <f t="shared" si="0"/>
        <v>0</v>
      </c>
      <c r="T6" s="231"/>
      <c r="U6" s="232"/>
      <c r="V6" s="355" t="s">
        <v>35</v>
      </c>
      <c r="W6" s="356"/>
      <c r="X6" s="357" t="e">
        <f t="shared" si="2"/>
        <v>#N/A</v>
      </c>
      <c r="Z6" s="326" t="s">
        <v>47</v>
      </c>
      <c r="AA6" s="386" t="e">
        <f t="shared" si="3"/>
        <v>#N/A</v>
      </c>
    </row>
    <row r="7" spans="1:28" ht="20.100000000000001" customHeight="1" x14ac:dyDescent="0.2">
      <c r="A7" s="96" t="s">
        <v>2</v>
      </c>
      <c r="B7" s="165">
        <f>MAX(W4:W15)</f>
        <v>0</v>
      </c>
      <c r="D7" s="362" t="str" cm="1">
        <f t="array" ref="D7">IF(ROW(5:5)&lt;=$K$23, (ROW(5:5)), "")</f>
        <v/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7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158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318">
        <f t="shared" si="0"/>
        <v>0</v>
      </c>
      <c r="T7" s="231"/>
      <c r="U7" s="232"/>
      <c r="V7" s="355" t="s">
        <v>36</v>
      </c>
      <c r="W7" s="356"/>
      <c r="X7" s="357" t="e">
        <f t="shared" si="2"/>
        <v>#N/A</v>
      </c>
      <c r="Z7" s="326" t="s">
        <v>54</v>
      </c>
      <c r="AA7" s="386" t="e">
        <f t="shared" si="3"/>
        <v>#N/A</v>
      </c>
    </row>
    <row r="8" spans="1:28" ht="20.100000000000001" customHeight="1" x14ac:dyDescent="0.2">
      <c r="A8" s="96" t="s">
        <v>1</v>
      </c>
      <c r="B8" s="166">
        <f>B7</f>
        <v>0</v>
      </c>
      <c r="D8" s="362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7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8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318">
        <f t="shared" si="0"/>
        <v>0</v>
      </c>
      <c r="T8" s="231"/>
      <c r="U8" s="232"/>
      <c r="V8" s="355" t="s">
        <v>37</v>
      </c>
      <c r="W8" s="356"/>
      <c r="X8" s="357" t="e">
        <f t="shared" si="2"/>
        <v>#N/A</v>
      </c>
      <c r="Z8" s="326" t="s">
        <v>48</v>
      </c>
      <c r="AA8" s="386" t="e">
        <f t="shared" si="3"/>
        <v>#N/A</v>
      </c>
    </row>
    <row r="9" spans="1:28" ht="20.100000000000001" customHeight="1" thickBot="1" x14ac:dyDescent="0.25">
      <c r="A9" s="97" t="s">
        <v>17</v>
      </c>
      <c r="B9" s="167">
        <f>B6-B7</f>
        <v>669</v>
      </c>
      <c r="D9" s="362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9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60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318">
        <f t="shared" si="0"/>
        <v>0</v>
      </c>
      <c r="T9" s="231"/>
      <c r="U9" s="232"/>
      <c r="V9" s="355" t="s">
        <v>38</v>
      </c>
      <c r="W9" s="356"/>
      <c r="X9" s="357" t="e">
        <f t="shared" si="2"/>
        <v>#N/A</v>
      </c>
      <c r="Z9" s="326" t="s">
        <v>49</v>
      </c>
      <c r="AA9" s="386" t="e">
        <f t="shared" si="3"/>
        <v>#N/A</v>
      </c>
    </row>
    <row r="10" spans="1:28" ht="20.100000000000001" customHeight="1" x14ac:dyDescent="0.2">
      <c r="A10" s="438" t="s">
        <v>60</v>
      </c>
      <c r="B10" s="438"/>
      <c r="D10" s="362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9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60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318">
        <f t="shared" si="0"/>
        <v>0</v>
      </c>
      <c r="T10" s="231"/>
      <c r="U10" s="232"/>
      <c r="V10" s="355" t="s">
        <v>39</v>
      </c>
      <c r="W10" s="356"/>
      <c r="X10" s="357" t="e">
        <f t="shared" si="2"/>
        <v>#N/A</v>
      </c>
      <c r="Z10" s="326" t="s">
        <v>50</v>
      </c>
      <c r="AA10" s="386" t="e">
        <f t="shared" si="3"/>
        <v>#N/A</v>
      </c>
    </row>
    <row r="11" spans="1:28" ht="20.100000000000001" customHeight="1" x14ac:dyDescent="0.2">
      <c r="A11" s="439"/>
      <c r="B11" s="439"/>
      <c r="D11" s="362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9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60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318">
        <f t="shared" si="0"/>
        <v>0</v>
      </c>
      <c r="T11" s="231"/>
      <c r="U11" s="232"/>
      <c r="V11" s="355" t="s">
        <v>40</v>
      </c>
      <c r="W11" s="356"/>
      <c r="X11" s="357" t="e">
        <f t="shared" si="2"/>
        <v>#N/A</v>
      </c>
      <c r="Z11" s="326" t="s">
        <v>51</v>
      </c>
      <c r="AA11" s="386" t="e">
        <f t="shared" si="3"/>
        <v>#N/A</v>
      </c>
    </row>
    <row r="12" spans="1:28" ht="20.100000000000001" customHeight="1" thickBot="1" x14ac:dyDescent="0.25">
      <c r="A12" s="440" t="s">
        <v>61</v>
      </c>
      <c r="B12" s="440"/>
      <c r="D12" s="363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75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7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318">
        <f t="shared" si="0"/>
        <v>0</v>
      </c>
      <c r="T12" s="231"/>
      <c r="U12" s="232"/>
      <c r="V12" s="355" t="s">
        <v>41</v>
      </c>
      <c r="W12" s="356"/>
      <c r="X12" s="357" t="e">
        <f t="shared" si="2"/>
        <v>#N/A</v>
      </c>
      <c r="Z12" s="326" t="s">
        <v>52</v>
      </c>
      <c r="AA12" s="386" t="e">
        <f t="shared" si="3"/>
        <v>#N/A</v>
      </c>
    </row>
    <row r="13" spans="1:28" ht="20.100000000000001" customHeight="1" thickBot="1" x14ac:dyDescent="0.3">
      <c r="A13" s="440"/>
      <c r="B13" s="440"/>
      <c r="D13" s="50" t="s">
        <v>9</v>
      </c>
      <c r="E13" s="161">
        <f t="shared" ref="E13:Q13" si="4">SUM(E3:E12)</f>
        <v>0</v>
      </c>
      <c r="F13" s="162">
        <f t="shared" si="4"/>
        <v>0</v>
      </c>
      <c r="G13" s="162">
        <f t="shared" si="4"/>
        <v>0</v>
      </c>
      <c r="H13" s="162">
        <f t="shared" si="4"/>
        <v>0</v>
      </c>
      <c r="I13" s="162">
        <f t="shared" si="4"/>
        <v>0</v>
      </c>
      <c r="J13" s="162">
        <f t="shared" si="4"/>
        <v>0</v>
      </c>
      <c r="K13" s="162">
        <f t="shared" si="4"/>
        <v>0</v>
      </c>
      <c r="L13" s="162">
        <f t="shared" si="4"/>
        <v>0</v>
      </c>
      <c r="M13" s="162">
        <f t="shared" si="4"/>
        <v>0</v>
      </c>
      <c r="N13" s="162">
        <f t="shared" si="4"/>
        <v>0</v>
      </c>
      <c r="O13" s="163">
        <f t="shared" si="4"/>
        <v>0</v>
      </c>
      <c r="P13" s="164">
        <f t="shared" si="4"/>
        <v>0</v>
      </c>
      <c r="Q13" s="319">
        <f t="shared" si="4"/>
        <v>0</v>
      </c>
      <c r="T13" s="231"/>
      <c r="U13" s="232"/>
      <c r="V13" s="355" t="s">
        <v>42</v>
      </c>
      <c r="W13" s="356"/>
      <c r="X13" s="357" t="e">
        <f t="shared" si="2"/>
        <v>#N/A</v>
      </c>
      <c r="Z13" s="327" t="s">
        <v>53</v>
      </c>
      <c r="AA13" s="387" t="e">
        <f t="shared" si="3"/>
        <v>#N/A</v>
      </c>
    </row>
    <row r="14" spans="1:28" ht="20.100000000000001" customHeight="1" thickBot="1" x14ac:dyDescent="0.3">
      <c r="A14" s="440"/>
      <c r="B14" s="440"/>
      <c r="D14" s="83" t="s">
        <v>10</v>
      </c>
      <c r="E14" s="45">
        <f t="shared" ref="E14:Q14" si="5">IFERROR(E13/$B$7,0)</f>
        <v>0</v>
      </c>
      <c r="F14" s="46">
        <f t="shared" si="5"/>
        <v>0</v>
      </c>
      <c r="G14" s="46">
        <f t="shared" si="5"/>
        <v>0</v>
      </c>
      <c r="H14" s="46">
        <f t="shared" si="5"/>
        <v>0</v>
      </c>
      <c r="I14" s="46">
        <f t="shared" si="5"/>
        <v>0</v>
      </c>
      <c r="J14" s="46">
        <f t="shared" si="5"/>
        <v>0</v>
      </c>
      <c r="K14" s="46">
        <f t="shared" si="5"/>
        <v>0</v>
      </c>
      <c r="L14" s="46">
        <f t="shared" si="5"/>
        <v>0</v>
      </c>
      <c r="M14" s="46">
        <f t="shared" si="5"/>
        <v>0</v>
      </c>
      <c r="N14" s="46">
        <f t="shared" si="5"/>
        <v>0</v>
      </c>
      <c r="O14" s="45">
        <f t="shared" si="5"/>
        <v>0</v>
      </c>
      <c r="P14" s="47">
        <f t="shared" si="5"/>
        <v>0</v>
      </c>
      <c r="Q14" s="329">
        <f t="shared" si="5"/>
        <v>0</v>
      </c>
      <c r="V14" s="391" t="s">
        <v>43</v>
      </c>
      <c r="W14" s="358"/>
      <c r="X14" s="359" t="e">
        <f>IF(OR(W14=0, W14=""), NA(), W14/$B$6)</f>
        <v>#N/A</v>
      </c>
      <c r="Y14" s="389"/>
      <c r="Z14" s="393" t="s">
        <v>55</v>
      </c>
      <c r="AA14" s="388" t="e">
        <f>IF(W14&lt;&gt;0,W14-W13,NA())</f>
        <v>#N/A</v>
      </c>
      <c r="AB14" s="389"/>
    </row>
    <row r="15" spans="1:28" ht="18" customHeight="1" thickBot="1" x14ac:dyDescent="0.25">
      <c r="A15" s="441" t="s">
        <v>68</v>
      </c>
      <c r="B15" s="441"/>
      <c r="C15" s="1"/>
      <c r="D15" s="1"/>
      <c r="Q15" s="328"/>
      <c r="V15" s="324" t="s">
        <v>44</v>
      </c>
      <c r="W15" s="360"/>
      <c r="X15" s="390" t="e">
        <f>IF(OR(W15=0, W15=""), NA(), W15/$B$6)</f>
        <v>#N/A</v>
      </c>
      <c r="Z15" s="394" t="s">
        <v>56</v>
      </c>
      <c r="AA15" s="392" t="e">
        <f>IF(W15&lt;&gt;0,W15-W14,NA())</f>
        <v>#N/A</v>
      </c>
      <c r="AB15" s="389"/>
    </row>
    <row r="16" spans="1:28" ht="12.75" customHeight="1" x14ac:dyDescent="0.2">
      <c r="A16" s="441"/>
      <c r="B16" s="441"/>
      <c r="V16" s="328"/>
      <c r="W16" s="328"/>
      <c r="X16" s="328"/>
      <c r="AA16" s="328"/>
    </row>
    <row r="17" spans="1:11" ht="18" customHeight="1" x14ac:dyDescent="0.25">
      <c r="A17" s="441"/>
      <c r="B17" s="441"/>
      <c r="E17" s="230"/>
    </row>
    <row r="18" spans="1:11" ht="26.25" customHeight="1" x14ac:dyDescent="0.2">
      <c r="A18" s="441"/>
      <c r="B18" s="441"/>
    </row>
    <row r="23" spans="1:11" x14ac:dyDescent="0.2">
      <c r="H23" s="177" t="s">
        <v>64</v>
      </c>
      <c r="J23" s="245">
        <f>CEILING($B$6, 100)/100</f>
        <v>7</v>
      </c>
      <c r="K23" s="245">
        <f>CEILING($B$7,100)/100</f>
        <v>0</v>
      </c>
    </row>
    <row r="24" spans="1:11" x14ac:dyDescent="0.2">
      <c r="H24" s="178">
        <f>IF((ROW()-23)&lt;=$K$24,(ROW()-23),"Choisir")</f>
        <v>1</v>
      </c>
      <c r="J24" s="245">
        <f>MOD($B$7,100)</f>
        <v>0</v>
      </c>
      <c r="K24" s="246">
        <f>CEILING($B$6/300,1)</f>
        <v>3</v>
      </c>
    </row>
    <row r="25" spans="1:11" x14ac:dyDescent="0.2">
      <c r="H25" s="178">
        <f>IF((ROW()-23)&lt;=$K$24,(ROW()-23),"Choisir")</f>
        <v>2</v>
      </c>
    </row>
    <row r="26" spans="1:11" x14ac:dyDescent="0.2">
      <c r="H26" s="178">
        <f>IF((ROW()-23)&lt;=$K$24,(ROW()-23),"Choisir")</f>
        <v>3</v>
      </c>
    </row>
    <row r="27" spans="1:11" x14ac:dyDescent="0.2">
      <c r="H27" s="178" t="str">
        <f>IF((ROW()-23)&lt;=$K$24,(ROW()-23),"Choisir")</f>
        <v>Choisir</v>
      </c>
    </row>
    <row r="46" spans="4:17" x14ac:dyDescent="0.2">
      <c r="E46" s="169"/>
    </row>
    <row r="47" spans="4:17" ht="13.5" thickBot="1" x14ac:dyDescent="0.25">
      <c r="E47" s="169"/>
    </row>
    <row r="48" spans="4:17" ht="20.100000000000001" customHeight="1" thickBot="1" x14ac:dyDescent="0.25">
      <c r="D48" s="235" t="s">
        <v>79</v>
      </c>
      <c r="E48" s="432" t="s">
        <v>103</v>
      </c>
      <c r="F48" s="433"/>
      <c r="G48" s="433"/>
      <c r="H48" s="433"/>
      <c r="I48" s="433"/>
      <c r="J48" s="433"/>
      <c r="K48" s="433"/>
      <c r="L48" s="433"/>
      <c r="M48" s="433"/>
      <c r="N48" s="433"/>
      <c r="O48" s="433"/>
      <c r="P48" s="434"/>
      <c r="Q48" s="395" t="s">
        <v>7</v>
      </c>
    </row>
    <row r="49" spans="3:17" ht="47.25" customHeight="1" thickBot="1" x14ac:dyDescent="0.25">
      <c r="C49" s="233"/>
      <c r="D49" s="371" t="s">
        <v>82</v>
      </c>
      <c r="E49" s="365" t="s">
        <v>69</v>
      </c>
      <c r="F49" s="365" t="s">
        <v>100</v>
      </c>
      <c r="G49" s="365" t="s">
        <v>70</v>
      </c>
      <c r="H49" s="365" t="s">
        <v>71</v>
      </c>
      <c r="I49" s="365" t="s">
        <v>72</v>
      </c>
      <c r="J49" s="365" t="s">
        <v>73</v>
      </c>
      <c r="K49" s="365" t="s">
        <v>74</v>
      </c>
      <c r="L49" s="365" t="s">
        <v>75</v>
      </c>
      <c r="M49" s="365" t="s">
        <v>76</v>
      </c>
      <c r="N49" s="365" t="s">
        <v>77</v>
      </c>
      <c r="O49" s="375" t="s">
        <v>3</v>
      </c>
      <c r="P49" s="374" t="s">
        <v>4</v>
      </c>
      <c r="Q49" s="397" t="s">
        <v>104</v>
      </c>
    </row>
    <row r="50" spans="3:17" ht="19.5" customHeight="1" x14ac:dyDescent="0.2">
      <c r="C50" s="234"/>
      <c r="D50" s="370" t="s">
        <v>81</v>
      </c>
      <c r="E50" s="320"/>
      <c r="F50" s="321"/>
      <c r="G50" s="321"/>
      <c r="H50" s="321"/>
      <c r="I50" s="321"/>
      <c r="J50" s="321"/>
      <c r="K50" s="321"/>
      <c r="L50" s="321"/>
      <c r="M50" s="321"/>
      <c r="N50" s="322"/>
      <c r="O50" s="323"/>
      <c r="P50" s="322"/>
      <c r="Q50" s="396">
        <f t="shared" ref="Q50:Q59" si="6">SUM(E50:P50)</f>
        <v>0</v>
      </c>
    </row>
    <row r="51" spans="3:17" ht="20.100000000000001" customHeight="1" x14ac:dyDescent="0.2">
      <c r="C51" s="234"/>
      <c r="D51" s="370" t="s">
        <v>81</v>
      </c>
      <c r="E51" s="320"/>
      <c r="F51" s="321"/>
      <c r="G51" s="321"/>
      <c r="H51" s="321"/>
      <c r="I51" s="321"/>
      <c r="J51" s="321"/>
      <c r="K51" s="321"/>
      <c r="L51" s="321"/>
      <c r="M51" s="321"/>
      <c r="N51" s="322"/>
      <c r="O51" s="323"/>
      <c r="P51" s="322"/>
      <c r="Q51" s="396">
        <f t="shared" si="6"/>
        <v>0</v>
      </c>
    </row>
    <row r="52" spans="3:17" ht="20.100000000000001" customHeight="1" x14ac:dyDescent="0.2">
      <c r="C52" s="234"/>
      <c r="D52" s="370" t="s">
        <v>81</v>
      </c>
      <c r="E52" s="320"/>
      <c r="F52" s="321"/>
      <c r="G52" s="321"/>
      <c r="H52" s="321"/>
      <c r="I52" s="321"/>
      <c r="J52" s="321"/>
      <c r="K52" s="321"/>
      <c r="L52" s="321"/>
      <c r="M52" s="321"/>
      <c r="N52" s="322"/>
      <c r="O52" s="323"/>
      <c r="P52" s="322"/>
      <c r="Q52" s="396">
        <f t="shared" si="6"/>
        <v>0</v>
      </c>
    </row>
    <row r="53" spans="3:17" ht="20.100000000000001" customHeight="1" x14ac:dyDescent="0.2">
      <c r="C53" s="234"/>
      <c r="D53" s="370" t="s">
        <v>81</v>
      </c>
      <c r="E53" s="320"/>
      <c r="F53" s="321"/>
      <c r="G53" s="321"/>
      <c r="H53" s="321"/>
      <c r="I53" s="321"/>
      <c r="J53" s="321"/>
      <c r="K53" s="321"/>
      <c r="L53" s="321"/>
      <c r="M53" s="321"/>
      <c r="N53" s="322"/>
      <c r="O53" s="323"/>
      <c r="P53" s="322"/>
      <c r="Q53" s="396">
        <f t="shared" si="6"/>
        <v>0</v>
      </c>
    </row>
    <row r="54" spans="3:17" ht="20.100000000000001" customHeight="1" x14ac:dyDescent="0.2">
      <c r="C54" s="234"/>
      <c r="D54" s="370" t="s">
        <v>81</v>
      </c>
      <c r="E54" s="320"/>
      <c r="F54" s="321"/>
      <c r="G54" s="321"/>
      <c r="H54" s="321"/>
      <c r="I54" s="321"/>
      <c r="J54" s="321"/>
      <c r="K54" s="321"/>
      <c r="L54" s="321"/>
      <c r="M54" s="321"/>
      <c r="N54" s="322"/>
      <c r="O54" s="323"/>
      <c r="P54" s="322"/>
      <c r="Q54" s="396">
        <f t="shared" si="6"/>
        <v>0</v>
      </c>
    </row>
    <row r="55" spans="3:17" ht="20.100000000000001" customHeight="1" x14ac:dyDescent="0.2">
      <c r="C55" s="234"/>
      <c r="D55" s="370" t="s">
        <v>81</v>
      </c>
      <c r="E55" s="320"/>
      <c r="F55" s="321"/>
      <c r="G55" s="321"/>
      <c r="H55" s="321"/>
      <c r="I55" s="321"/>
      <c r="J55" s="321"/>
      <c r="K55" s="321"/>
      <c r="L55" s="321"/>
      <c r="M55" s="321"/>
      <c r="N55" s="322"/>
      <c r="O55" s="323"/>
      <c r="P55" s="322"/>
      <c r="Q55" s="396">
        <f t="shared" si="6"/>
        <v>0</v>
      </c>
    </row>
    <row r="56" spans="3:17" ht="20.100000000000001" customHeight="1" x14ac:dyDescent="0.2">
      <c r="C56" s="234"/>
      <c r="D56" s="370" t="s">
        <v>81</v>
      </c>
      <c r="E56" s="320"/>
      <c r="F56" s="321"/>
      <c r="G56" s="321"/>
      <c r="H56" s="321"/>
      <c r="I56" s="321"/>
      <c r="J56" s="321"/>
      <c r="K56" s="321"/>
      <c r="L56" s="321"/>
      <c r="M56" s="321"/>
      <c r="N56" s="322"/>
      <c r="O56" s="323"/>
      <c r="P56" s="322"/>
      <c r="Q56" s="396">
        <f t="shared" si="6"/>
        <v>0</v>
      </c>
    </row>
    <row r="57" spans="3:17" ht="20.100000000000001" customHeight="1" x14ac:dyDescent="0.2">
      <c r="C57" s="234"/>
      <c r="D57" s="370" t="s">
        <v>81</v>
      </c>
      <c r="E57" s="320"/>
      <c r="F57" s="321"/>
      <c r="G57" s="321"/>
      <c r="H57" s="321"/>
      <c r="I57" s="321"/>
      <c r="J57" s="321"/>
      <c r="K57" s="321"/>
      <c r="L57" s="321"/>
      <c r="M57" s="321"/>
      <c r="N57" s="322"/>
      <c r="O57" s="323"/>
      <c r="P57" s="322"/>
      <c r="Q57" s="396">
        <f t="shared" si="6"/>
        <v>0</v>
      </c>
    </row>
    <row r="58" spans="3:17" ht="20.100000000000001" customHeight="1" x14ac:dyDescent="0.2">
      <c r="C58" s="234"/>
      <c r="D58" s="370" t="s">
        <v>81</v>
      </c>
      <c r="E58" s="320"/>
      <c r="F58" s="321"/>
      <c r="G58" s="321"/>
      <c r="H58" s="321"/>
      <c r="I58" s="321"/>
      <c r="J58" s="321"/>
      <c r="K58" s="321"/>
      <c r="L58" s="321"/>
      <c r="M58" s="321"/>
      <c r="N58" s="322"/>
      <c r="O58" s="323"/>
      <c r="P58" s="322"/>
      <c r="Q58" s="396">
        <f t="shared" si="6"/>
        <v>0</v>
      </c>
    </row>
    <row r="59" spans="3:17" ht="20.100000000000001" customHeight="1" thickBot="1" x14ac:dyDescent="0.25">
      <c r="C59" s="234"/>
      <c r="D59" s="376" t="s">
        <v>81</v>
      </c>
      <c r="E59" s="377"/>
      <c r="F59" s="378"/>
      <c r="G59" s="378"/>
      <c r="H59" s="378"/>
      <c r="I59" s="378"/>
      <c r="J59" s="378"/>
      <c r="K59" s="378"/>
      <c r="L59" s="378"/>
      <c r="M59" s="378"/>
      <c r="N59" s="379"/>
      <c r="O59" s="380"/>
      <c r="P59" s="379"/>
      <c r="Q59" s="396">
        <f t="shared" si="6"/>
        <v>0</v>
      </c>
    </row>
    <row r="60" spans="3:17" x14ac:dyDescent="0.2">
      <c r="Q60" s="328"/>
    </row>
    <row r="63" spans="3:17" ht="18" x14ac:dyDescent="0.25">
      <c r="E63" s="230"/>
    </row>
    <row r="65" spans="4:17" ht="13.5" thickBot="1" x14ac:dyDescent="0.25"/>
    <row r="66" spans="4:17" ht="16.5" customHeight="1" thickBot="1" x14ac:dyDescent="0.25">
      <c r="D66" s="235" t="s">
        <v>80</v>
      </c>
      <c r="E66" s="432" t="s">
        <v>102</v>
      </c>
      <c r="F66" s="433"/>
      <c r="G66" s="433"/>
      <c r="H66" s="433"/>
      <c r="I66" s="433"/>
      <c r="J66" s="433"/>
      <c r="K66" s="433"/>
      <c r="L66" s="433"/>
      <c r="M66" s="433"/>
      <c r="N66" s="433"/>
      <c r="O66" s="433"/>
      <c r="P66" s="434"/>
      <c r="Q66" s="395" t="s">
        <v>7</v>
      </c>
    </row>
    <row r="67" spans="4:17" ht="42" customHeight="1" thickBot="1" x14ac:dyDescent="0.25">
      <c r="D67" s="371" t="s">
        <v>82</v>
      </c>
      <c r="E67" s="365" t="s">
        <v>69</v>
      </c>
      <c r="F67" s="365" t="s">
        <v>100</v>
      </c>
      <c r="G67" s="365" t="s">
        <v>70</v>
      </c>
      <c r="H67" s="365" t="s">
        <v>71</v>
      </c>
      <c r="I67" s="365" t="s">
        <v>72</v>
      </c>
      <c r="J67" s="365" t="s">
        <v>73</v>
      </c>
      <c r="K67" s="365" t="s">
        <v>74</v>
      </c>
      <c r="L67" s="365" t="s">
        <v>75</v>
      </c>
      <c r="M67" s="365" t="s">
        <v>76</v>
      </c>
      <c r="N67" s="365" t="s">
        <v>77</v>
      </c>
      <c r="O67" s="375" t="s">
        <v>3</v>
      </c>
      <c r="P67" s="374" t="s">
        <v>4</v>
      </c>
      <c r="Q67" s="402" t="s">
        <v>104</v>
      </c>
    </row>
    <row r="68" spans="4:17" ht="20.100000000000001" customHeight="1" x14ac:dyDescent="0.2">
      <c r="D68" s="244" t="s">
        <v>81</v>
      </c>
      <c r="E68" s="237"/>
      <c r="F68" s="238"/>
      <c r="G68" s="238"/>
      <c r="H68" s="238"/>
      <c r="I68" s="238"/>
      <c r="J68" s="238"/>
      <c r="K68" s="238"/>
      <c r="L68" s="238"/>
      <c r="M68" s="238"/>
      <c r="N68" s="239"/>
      <c r="O68" s="240"/>
      <c r="P68" s="239"/>
      <c r="Q68" s="399">
        <f t="shared" ref="Q68:Q72" si="7">SUM(E68:P68)</f>
        <v>0</v>
      </c>
    </row>
    <row r="69" spans="4:17" ht="20.100000000000001" customHeight="1" x14ac:dyDescent="0.2">
      <c r="D69" s="242" t="s">
        <v>81</v>
      </c>
      <c r="E69" s="179"/>
      <c r="F69" s="180"/>
      <c r="G69" s="180"/>
      <c r="H69" s="180"/>
      <c r="I69" s="180"/>
      <c r="J69" s="180"/>
      <c r="K69" s="180"/>
      <c r="L69" s="180"/>
      <c r="M69" s="180"/>
      <c r="N69" s="181"/>
      <c r="O69" s="182"/>
      <c r="P69" s="181"/>
      <c r="Q69" s="318">
        <f t="shared" si="7"/>
        <v>0</v>
      </c>
    </row>
    <row r="70" spans="4:17" ht="20.100000000000001" customHeight="1" x14ac:dyDescent="0.2">
      <c r="D70" s="242" t="s">
        <v>81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1"/>
      <c r="O70" s="182"/>
      <c r="P70" s="181"/>
      <c r="Q70" s="318">
        <f t="shared" si="7"/>
        <v>0</v>
      </c>
    </row>
    <row r="71" spans="4:17" ht="20.100000000000001" customHeight="1" x14ac:dyDescent="0.2">
      <c r="D71" s="242" t="s">
        <v>81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1"/>
      <c r="O71" s="182"/>
      <c r="P71" s="181"/>
      <c r="Q71" s="318">
        <f t="shared" si="7"/>
        <v>0</v>
      </c>
    </row>
    <row r="72" spans="4:17" ht="20.100000000000001" customHeight="1" thickBot="1" x14ac:dyDescent="0.25">
      <c r="D72" s="243" t="s">
        <v>81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5"/>
      <c r="O72" s="186"/>
      <c r="P72" s="185"/>
      <c r="Q72" s="400">
        <f t="shared" si="7"/>
        <v>0</v>
      </c>
    </row>
    <row r="73" spans="4:1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</row>
    <row r="74" spans="4:1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</row>
    <row r="75" spans="4:1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</row>
    <row r="76" spans="4:17" ht="20.100000000000001" customHeight="1" thickBot="1" x14ac:dyDescent="0.25">
      <c r="D76" s="235" t="s">
        <v>84</v>
      </c>
      <c r="E76" s="432" t="s">
        <v>101</v>
      </c>
      <c r="F76" s="433"/>
      <c r="G76" s="433"/>
      <c r="H76" s="433"/>
      <c r="I76" s="433"/>
      <c r="J76" s="433"/>
      <c r="K76" s="433"/>
      <c r="L76" s="433"/>
      <c r="M76" s="433"/>
      <c r="N76" s="433"/>
      <c r="O76" s="433"/>
      <c r="P76" s="434"/>
      <c r="Q76" s="401" t="s">
        <v>7</v>
      </c>
    </row>
    <row r="77" spans="4:17" ht="39.75" customHeight="1" thickBot="1" x14ac:dyDescent="0.25">
      <c r="D77" s="371" t="s">
        <v>82</v>
      </c>
      <c r="E77" s="365" t="s">
        <v>69</v>
      </c>
      <c r="F77" s="365" t="s">
        <v>100</v>
      </c>
      <c r="G77" s="365" t="s">
        <v>70</v>
      </c>
      <c r="H77" s="365" t="s">
        <v>71</v>
      </c>
      <c r="I77" s="365" t="s">
        <v>72</v>
      </c>
      <c r="J77" s="365" t="s">
        <v>73</v>
      </c>
      <c r="K77" s="365" t="s">
        <v>74</v>
      </c>
      <c r="L77" s="365" t="s">
        <v>75</v>
      </c>
      <c r="M77" s="365" t="s">
        <v>76</v>
      </c>
      <c r="N77" s="365" t="s">
        <v>77</v>
      </c>
      <c r="O77" s="375" t="s">
        <v>3</v>
      </c>
      <c r="P77" s="374" t="s">
        <v>4</v>
      </c>
      <c r="Q77" s="398" t="s">
        <v>104</v>
      </c>
    </row>
    <row r="78" spans="4:17" ht="20.100000000000001" customHeight="1" x14ac:dyDescent="0.2">
      <c r="D78" s="244" t="s">
        <v>81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9"/>
      <c r="O78" s="240"/>
      <c r="P78" s="239"/>
      <c r="Q78" s="399">
        <f t="shared" ref="Q78:Q80" si="8">SUM(E78:P78)</f>
        <v>0</v>
      </c>
    </row>
    <row r="79" spans="4:17" ht="20.100000000000001" customHeight="1" x14ac:dyDescent="0.2">
      <c r="D79" s="242" t="s">
        <v>81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1"/>
      <c r="O79" s="182"/>
      <c r="P79" s="181"/>
      <c r="Q79" s="318">
        <f t="shared" si="8"/>
        <v>0</v>
      </c>
    </row>
    <row r="80" spans="4:17" ht="20.100000000000001" customHeight="1" thickBot="1" x14ac:dyDescent="0.25">
      <c r="D80" s="243" t="s">
        <v>81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5"/>
      <c r="O80" s="186"/>
      <c r="P80" s="185"/>
      <c r="Q80" s="400">
        <f t="shared" si="8"/>
        <v>0</v>
      </c>
    </row>
    <row r="81" spans="4:1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41"/>
    </row>
    <row r="82" spans="4:1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41"/>
    </row>
  </sheetData>
  <sheetProtection algorithmName="SHA-512" hashValue="WTMsuQ7zdQ3oNj6Q3qGZVIUfGANSq2G+8tP2fypiNPljMeePG+cekyjin0psBIBrsiDc9jVlc3Syj2LmoIFfOQ==" saltValue="8aD58vkF38+yukZO7r1myQ==" spinCount="100000" sheet="1" objects="1" scenarios="1"/>
  <mergeCells count="7">
    <mergeCell ref="E76:P76"/>
    <mergeCell ref="E1:P1"/>
    <mergeCell ref="A10:B11"/>
    <mergeCell ref="A12:B14"/>
    <mergeCell ref="A15:B18"/>
    <mergeCell ref="E48:P48"/>
    <mergeCell ref="E66:P66"/>
  </mergeCells>
  <conditionalFormatting sqref="B8">
    <cfRule type="cellIs" dxfId="309" priority="5" operator="notEqual">
      <formula>$B$7</formula>
    </cfRule>
  </conditionalFormatting>
  <conditionalFormatting sqref="E3:Q12">
    <cfRule type="cellIs" dxfId="308" priority="4" operator="notBetween">
      <formula>0</formula>
      <formula>100</formula>
    </cfRule>
  </conditionalFormatting>
  <conditionalFormatting sqref="E3:Q14">
    <cfRule type="cellIs" dxfId="307" priority="7" operator="lessThan">
      <formula>0</formula>
    </cfRule>
  </conditionalFormatting>
  <conditionalFormatting sqref="E14:Q14">
    <cfRule type="cellIs" dxfId="306" priority="10" operator="greaterThan">
      <formula>1</formula>
    </cfRule>
  </conditionalFormatting>
  <conditionalFormatting sqref="Q3:Q13">
    <cfRule type="cellIs" dxfId="305" priority="8" operator="equal">
      <formula>0</formula>
    </cfRule>
  </conditionalFormatting>
  <conditionalFormatting sqref="Q13">
    <cfRule type="cellIs" dxfId="304" priority="12" operator="equal">
      <formula>$B$7</formula>
    </cfRule>
  </conditionalFormatting>
  <conditionalFormatting sqref="Q14">
    <cfRule type="cellIs" dxfId="303" priority="9" operator="equal">
      <formula>1</formula>
    </cfRule>
    <cfRule type="cellIs" dxfId="302" priority="11" operator="lessThan">
      <formula>1</formula>
    </cfRule>
  </conditionalFormatting>
  <conditionalFormatting sqref="W4:W15">
    <cfRule type="expression" dxfId="301" priority="13">
      <formula>AND($W4&lt;$W3, NOT(ISBLANK($W4)))</formula>
    </cfRule>
    <cfRule type="cellIs" dxfId="300" priority="14" operator="greaterThan">
      <formula>$B$6</formula>
    </cfRule>
  </conditionalFormatting>
  <conditionalFormatting sqref="X4:X15">
    <cfRule type="cellIs" dxfId="299" priority="6" operator="greaterThan">
      <formula>1</formula>
    </cfRule>
  </conditionalFormatting>
  <conditionalFormatting sqref="D68:D72 D50:D59 D78:D80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3:P12">
    <cfRule type="expression" dxfId="298" priority="15">
      <formula>($D3&lt;=$K$23)</formula>
    </cfRule>
  </conditionalFormatting>
  <conditionalFormatting sqref="Q3:Q12">
    <cfRule type="expression" dxfId="297" priority="16">
      <formula>AND($D3=$K$23, Q3=$J$24)</formula>
    </cfRule>
    <cfRule type="expression" dxfId="296" priority="17">
      <formula>AND($D3=$K$23, MOD(Q3,100)&gt;$J$24)</formula>
    </cfRule>
    <cfRule type="cellIs" dxfId="295" priority="18" operator="equal">
      <formula>100</formula>
    </cfRule>
  </conditionalFormatting>
  <conditionalFormatting sqref="D3:P12">
    <cfRule type="expression" dxfId="294" priority="22">
      <formula>($D3&gt;$K$23)</formula>
    </cfRule>
  </conditionalFormatting>
  <conditionalFormatting sqref="Q50">
    <cfRule type="cellIs" dxfId="293" priority="23" operator="lessThan">
      <formula>0</formula>
    </cfRule>
    <cfRule type="cellIs" dxfId="292" priority="24" operator="equal">
      <formula>0</formula>
    </cfRule>
    <cfRule type="expression" dxfId="291" priority="25">
      <formula>OR(MOD($Q50,100)=0,AND($D50=$K$23,MOD($Q50,100)=$J$24))</formula>
    </cfRule>
  </conditionalFormatting>
  <conditionalFormatting sqref="E50:P59">
    <cfRule type="expression" dxfId="290" priority="2">
      <formula>AND(E50&lt;MAX(E$50:E50), NOT(ISBLANK(E50)), NOT(E50=0))</formula>
    </cfRule>
  </conditionalFormatting>
  <conditionalFormatting sqref="Q52:Q59 Q68:Q72 Q78:Q80">
    <cfRule type="cellIs" dxfId="289" priority="27" operator="lessThan">
      <formula>0</formula>
    </cfRule>
    <cfRule type="cellIs" dxfId="288" priority="28" operator="equal">
      <formula>0</formula>
    </cfRule>
    <cfRule type="expression" dxfId="287" priority="29">
      <formula>OR(MOD($Q52,100)=0,AND($D52=$K$23,MOD($Q52,100)=$J$24))</formula>
    </cfRule>
  </conditionalFormatting>
  <conditionalFormatting sqref="Q51">
    <cfRule type="cellIs" dxfId="286" priority="30" operator="lessThan">
      <formula>0</formula>
    </cfRule>
    <cfRule type="cellIs" dxfId="285" priority="31" operator="equal">
      <formula>0</formula>
    </cfRule>
    <cfRule type="expression" dxfId="284" priority="32">
      <formula>OR(MOD($Q51,100)=0,AND($D50=$K$23,MOD($Q51,100)=$J$24))</formula>
    </cfRule>
  </conditionalFormatting>
  <conditionalFormatting sqref="E50:P59 E68:P72 E78:P80">
    <cfRule type="cellIs" dxfId="281" priority="19" operator="notBetween">
      <formula>0</formula>
      <formula>$B$7</formula>
    </cfRule>
    <cfRule type="expression" dxfId="282" priority="20">
      <formula>($D50&lt;=$K$23)</formula>
    </cfRule>
    <cfRule type="expression" dxfId="283" priority="21">
      <formula>($D50&gt;$K$23)</formula>
    </cfRule>
  </conditionalFormatting>
  <conditionalFormatting sqref="E68:P72">
    <cfRule type="expression" dxfId="280" priority="1">
      <formula>AND(E68&lt;MAX(E$68:E68), NOT(ISBLANK(E68)), NOT(E68=0))</formula>
    </cfRule>
  </conditionalFormatting>
  <conditionalFormatting sqref="E78:P80">
    <cfRule type="expression" dxfId="279" priority="26">
      <formula>AND(E78&lt;MAX(E$78:E78), NOT(ISBLANK(E78)), NOT(E78=0))</formula>
    </cfRule>
  </conditionalFormatting>
  <dataValidations count="2">
    <dataValidation type="list" allowBlank="1" showInputMessage="1" showErrorMessage="1" sqref="D68:D72 D78:D82 D50:D59" xr:uid="{EAD8E869-2513-4C60-8A22-11B652C0134C}">
      <formula1>$D$3:$D$12</formula1>
    </dataValidation>
    <dataValidation type="list" allowBlank="1" showInputMessage="1" showErrorMessage="1" sqref="C50:C59" xr:uid="{8977E1EF-3DD4-4D4C-96BF-5F656612A6C8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9736B-5C63-4FF1-8B92-EBDD0EF90538}">
  <sheetPr codeName="Feuil33">
    <tabColor rgb="FFB4A7D6"/>
  </sheetPr>
  <dimension ref="A1:AB82"/>
  <sheetViews>
    <sheetView zoomScale="80" zoomScaleNormal="80" workbookViewId="0">
      <pane xSplit="2" topLeftCell="C1" activePane="topRight" state="frozen"/>
      <selection pane="topRight" activeCell="R3" sqref="R3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4" width="15.7109375" customWidth="1"/>
    <col min="17" max="17" width="12.85546875" customWidth="1"/>
    <col min="18" max="18" width="11.42578125" customWidth="1"/>
    <col min="21" max="21" width="10.42578125" customWidth="1"/>
    <col min="22" max="22" width="15.42578125" customWidth="1"/>
    <col min="23" max="23" width="16.140625" customWidth="1"/>
    <col min="24" max="24" width="12" customWidth="1"/>
    <col min="26" max="26" width="13.28515625" customWidth="1"/>
    <col min="27" max="27" width="14.42578125" customWidth="1"/>
  </cols>
  <sheetData>
    <row r="1" spans="1:28" ht="16.5" customHeight="1" thickBot="1" x14ac:dyDescent="0.25">
      <c r="A1" s="315" t="s">
        <v>11</v>
      </c>
      <c r="B1" s="33">
        <f>Synthèse!B17</f>
        <v>46096</v>
      </c>
      <c r="D1" s="314"/>
      <c r="E1" s="435" t="s">
        <v>66</v>
      </c>
      <c r="F1" s="436"/>
      <c r="G1" s="436"/>
      <c r="H1" s="436"/>
      <c r="I1" s="436"/>
      <c r="J1" s="436"/>
      <c r="K1" s="436"/>
      <c r="L1" s="436"/>
      <c r="M1" s="436"/>
      <c r="N1" s="436"/>
      <c r="O1" s="436"/>
      <c r="P1" s="437"/>
      <c r="Q1" s="443" t="s">
        <v>7</v>
      </c>
    </row>
    <row r="2" spans="1:28" ht="39.75" customHeight="1" thickBot="1" x14ac:dyDescent="0.25">
      <c r="A2" s="316" t="s">
        <v>12</v>
      </c>
      <c r="B2" s="34" t="str">
        <f>Synthèse!B18</f>
        <v>Municipales 1er tour</v>
      </c>
      <c r="D2" s="364" t="s">
        <v>83</v>
      </c>
      <c r="E2" s="365" t="str">
        <f>Synthèse!L2</f>
        <v>Candidat 1</v>
      </c>
      <c r="F2" s="365" t="str">
        <f>Synthèse!M2</f>
        <v>Candidat 2</v>
      </c>
      <c r="G2" s="365" t="str">
        <f>Synthèse!N2</f>
        <v>Candidat 3</v>
      </c>
      <c r="H2" s="365" t="str">
        <f>Synthèse!O2</f>
        <v>Candidat 4</v>
      </c>
      <c r="I2" s="365" t="str">
        <f>Synthèse!P2</f>
        <v>Candidat 5</v>
      </c>
      <c r="J2" s="365" t="str">
        <f>Synthèse!Q2</f>
        <v>Candidat 6</v>
      </c>
      <c r="K2" s="365" t="str">
        <f>Synthèse!R2</f>
        <v>Candidat 7</v>
      </c>
      <c r="L2" s="365" t="str">
        <f>Synthèse!S2</f>
        <v>Candidat 8</v>
      </c>
      <c r="M2" s="365" t="str">
        <f>Synthèse!T2</f>
        <v>Candidat 9</v>
      </c>
      <c r="N2" s="365" t="str">
        <f>Synthèse!U2</f>
        <v>Candidat 10</v>
      </c>
      <c r="O2" s="368" t="s">
        <v>3</v>
      </c>
      <c r="P2" s="369" t="s">
        <v>4</v>
      </c>
      <c r="Q2" s="444" t="s">
        <v>105</v>
      </c>
      <c r="V2" s="381" t="s">
        <v>21</v>
      </c>
      <c r="W2" s="382" t="s">
        <v>57</v>
      </c>
      <c r="X2" s="383" t="s">
        <v>31</v>
      </c>
      <c r="Z2" s="384" t="s">
        <v>59</v>
      </c>
      <c r="AA2" s="384" t="s">
        <v>58</v>
      </c>
    </row>
    <row r="3" spans="1:28" ht="20.100000000000001" customHeight="1" thickBot="1" x14ac:dyDescent="0.25">
      <c r="A3" s="317" t="s">
        <v>13</v>
      </c>
      <c r="B3" s="94" t="str">
        <f>Synthèse!B19</f>
        <v>Cogolin</v>
      </c>
      <c r="D3" s="361" t="str" cm="1">
        <f t="array" ref="D3">IF(ROW(1:1)&lt;=$K$23, (ROW(1:1)), "")</f>
        <v/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70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171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72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318">
        <f t="shared" ref="Q3:Q12" si="0">SUM(E3:P3)</f>
        <v>0</v>
      </c>
      <c r="V3" s="352" t="s">
        <v>32</v>
      </c>
      <c r="W3" s="353">
        <v>0</v>
      </c>
      <c r="X3" s="354">
        <f t="shared" ref="X3" si="1">W3/$B$6</f>
        <v>0</v>
      </c>
      <c r="Z3" s="330"/>
      <c r="AA3" s="330"/>
    </row>
    <row r="4" spans="1:28" ht="20.100000000000001" customHeight="1" x14ac:dyDescent="0.2">
      <c r="A4" s="95" t="s">
        <v>23</v>
      </c>
      <c r="B4" s="168">
        <v>4</v>
      </c>
      <c r="D4" s="362" t="str" cm="1">
        <f t="array" ref="D4">IF(ROW(2:2)&lt;=$K$23, (ROW(2:2)), "")</f>
        <v/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7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158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318">
        <f t="shared" si="0"/>
        <v>0</v>
      </c>
      <c r="V4" s="355" t="s">
        <v>33</v>
      </c>
      <c r="W4" s="356"/>
      <c r="X4" s="357" t="e">
        <f t="shared" ref="X4:X13" si="2">IF(OR(W4=0, W4=""), NA(), W4/$B$6)</f>
        <v>#N/A</v>
      </c>
      <c r="Z4" s="325" t="s">
        <v>45</v>
      </c>
      <c r="AA4" s="385" t="e">
        <f t="shared" ref="AA4:AA13" si="3">IF(W4&lt;&gt;0,W4-W3,NA())</f>
        <v>#N/A</v>
      </c>
    </row>
    <row r="5" spans="1:28" ht="20.100000000000001" customHeight="1" x14ac:dyDescent="0.2">
      <c r="A5" s="96" t="s">
        <v>24</v>
      </c>
      <c r="B5" s="187" t="s">
        <v>27</v>
      </c>
      <c r="D5" s="362" t="str" cm="1">
        <f t="array" ref="D5">IF(ROW(3:3)&lt;=$K$23, (ROW(3:3)), "")</f>
        <v/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173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174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318">
        <f t="shared" si="0"/>
        <v>0</v>
      </c>
      <c r="T5" s="231"/>
      <c r="U5" s="232"/>
      <c r="V5" s="355" t="s">
        <v>34</v>
      </c>
      <c r="W5" s="356"/>
      <c r="X5" s="357" t="e">
        <f t="shared" si="2"/>
        <v>#N/A</v>
      </c>
      <c r="Z5" s="326" t="s">
        <v>46</v>
      </c>
      <c r="AA5" s="386" t="e">
        <f t="shared" si="3"/>
        <v>#N/A</v>
      </c>
    </row>
    <row r="6" spans="1:28" ht="20.100000000000001" customHeight="1" x14ac:dyDescent="0.2">
      <c r="A6" s="96" t="s">
        <v>0</v>
      </c>
      <c r="B6" s="188">
        <v>651</v>
      </c>
      <c r="D6" s="362" t="str" cm="1">
        <f t="array" ref="D6">IF(ROW(4:4)&lt;=$K$23, (ROW(4:4)), "")</f>
        <v/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173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174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318">
        <f t="shared" si="0"/>
        <v>0</v>
      </c>
      <c r="T6" s="231"/>
      <c r="U6" s="232"/>
      <c r="V6" s="355" t="s">
        <v>35</v>
      </c>
      <c r="W6" s="356"/>
      <c r="X6" s="357" t="e">
        <f t="shared" si="2"/>
        <v>#N/A</v>
      </c>
      <c r="Z6" s="326" t="s">
        <v>47</v>
      </c>
      <c r="AA6" s="386" t="e">
        <f t="shared" si="3"/>
        <v>#N/A</v>
      </c>
    </row>
    <row r="7" spans="1:28" ht="20.100000000000001" customHeight="1" x14ac:dyDescent="0.2">
      <c r="A7" s="96" t="s">
        <v>2</v>
      </c>
      <c r="B7" s="165">
        <f>MAX(W4:W15)</f>
        <v>0</v>
      </c>
      <c r="D7" s="362" t="str" cm="1">
        <f t="array" ref="D7">IF(ROW(5:5)&lt;=$K$23, (ROW(5:5)), "")</f>
        <v/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7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158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318">
        <f t="shared" si="0"/>
        <v>0</v>
      </c>
      <c r="T7" s="231"/>
      <c r="U7" s="232"/>
      <c r="V7" s="355" t="s">
        <v>36</v>
      </c>
      <c r="W7" s="356"/>
      <c r="X7" s="357" t="e">
        <f t="shared" si="2"/>
        <v>#N/A</v>
      </c>
      <c r="Z7" s="326" t="s">
        <v>54</v>
      </c>
      <c r="AA7" s="386" t="e">
        <f t="shared" si="3"/>
        <v>#N/A</v>
      </c>
    </row>
    <row r="8" spans="1:28" ht="20.100000000000001" customHeight="1" x14ac:dyDescent="0.2">
      <c r="A8" s="96" t="s">
        <v>1</v>
      </c>
      <c r="B8" s="166">
        <f>B7</f>
        <v>0</v>
      </c>
      <c r="D8" s="362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7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8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318">
        <f t="shared" si="0"/>
        <v>0</v>
      </c>
      <c r="T8" s="231"/>
      <c r="U8" s="232"/>
      <c r="V8" s="355" t="s">
        <v>37</v>
      </c>
      <c r="W8" s="356"/>
      <c r="X8" s="357" t="e">
        <f t="shared" si="2"/>
        <v>#N/A</v>
      </c>
      <c r="Z8" s="326" t="s">
        <v>48</v>
      </c>
      <c r="AA8" s="386" t="e">
        <f t="shared" si="3"/>
        <v>#N/A</v>
      </c>
    </row>
    <row r="9" spans="1:28" ht="20.100000000000001" customHeight="1" thickBot="1" x14ac:dyDescent="0.25">
      <c r="A9" s="97" t="s">
        <v>17</v>
      </c>
      <c r="B9" s="167">
        <f>B6-B7</f>
        <v>651</v>
      </c>
      <c r="D9" s="362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9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60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318">
        <f t="shared" si="0"/>
        <v>0</v>
      </c>
      <c r="T9" s="231"/>
      <c r="U9" s="232"/>
      <c r="V9" s="355" t="s">
        <v>38</v>
      </c>
      <c r="W9" s="356"/>
      <c r="X9" s="357" t="e">
        <f t="shared" si="2"/>
        <v>#N/A</v>
      </c>
      <c r="Z9" s="326" t="s">
        <v>49</v>
      </c>
      <c r="AA9" s="386" t="e">
        <f t="shared" si="3"/>
        <v>#N/A</v>
      </c>
    </row>
    <row r="10" spans="1:28" ht="20.100000000000001" customHeight="1" x14ac:dyDescent="0.2">
      <c r="A10" s="438" t="s">
        <v>60</v>
      </c>
      <c r="B10" s="438"/>
      <c r="D10" s="362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9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60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318">
        <f t="shared" si="0"/>
        <v>0</v>
      </c>
      <c r="T10" s="231"/>
      <c r="U10" s="232"/>
      <c r="V10" s="355" t="s">
        <v>39</v>
      </c>
      <c r="W10" s="356"/>
      <c r="X10" s="357" t="e">
        <f t="shared" si="2"/>
        <v>#N/A</v>
      </c>
      <c r="Z10" s="326" t="s">
        <v>50</v>
      </c>
      <c r="AA10" s="386" t="e">
        <f t="shared" si="3"/>
        <v>#N/A</v>
      </c>
    </row>
    <row r="11" spans="1:28" ht="20.100000000000001" customHeight="1" x14ac:dyDescent="0.2">
      <c r="A11" s="439"/>
      <c r="B11" s="439"/>
      <c r="D11" s="362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9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60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318">
        <f t="shared" si="0"/>
        <v>0</v>
      </c>
      <c r="T11" s="231"/>
      <c r="U11" s="232"/>
      <c r="V11" s="355" t="s">
        <v>40</v>
      </c>
      <c r="W11" s="356"/>
      <c r="X11" s="357" t="e">
        <f t="shared" si="2"/>
        <v>#N/A</v>
      </c>
      <c r="Z11" s="326" t="s">
        <v>51</v>
      </c>
      <c r="AA11" s="386" t="e">
        <f t="shared" si="3"/>
        <v>#N/A</v>
      </c>
    </row>
    <row r="12" spans="1:28" ht="20.100000000000001" customHeight="1" thickBot="1" x14ac:dyDescent="0.25">
      <c r="A12" s="440" t="s">
        <v>61</v>
      </c>
      <c r="B12" s="440"/>
      <c r="D12" s="363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75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7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318">
        <f t="shared" si="0"/>
        <v>0</v>
      </c>
      <c r="T12" s="231"/>
      <c r="U12" s="232"/>
      <c r="V12" s="355" t="s">
        <v>41</v>
      </c>
      <c r="W12" s="356"/>
      <c r="X12" s="357" t="e">
        <f t="shared" si="2"/>
        <v>#N/A</v>
      </c>
      <c r="Z12" s="326" t="s">
        <v>52</v>
      </c>
      <c r="AA12" s="386" t="e">
        <f t="shared" si="3"/>
        <v>#N/A</v>
      </c>
    </row>
    <row r="13" spans="1:28" ht="20.100000000000001" customHeight="1" thickBot="1" x14ac:dyDescent="0.3">
      <c r="A13" s="440"/>
      <c r="B13" s="440"/>
      <c r="D13" s="50" t="s">
        <v>9</v>
      </c>
      <c r="E13" s="161">
        <f t="shared" ref="E13:Q13" si="4">SUM(E3:E12)</f>
        <v>0</v>
      </c>
      <c r="F13" s="162">
        <f t="shared" si="4"/>
        <v>0</v>
      </c>
      <c r="G13" s="162">
        <f t="shared" si="4"/>
        <v>0</v>
      </c>
      <c r="H13" s="162">
        <f t="shared" si="4"/>
        <v>0</v>
      </c>
      <c r="I13" s="162">
        <f t="shared" si="4"/>
        <v>0</v>
      </c>
      <c r="J13" s="162">
        <f t="shared" si="4"/>
        <v>0</v>
      </c>
      <c r="K13" s="162">
        <f t="shared" si="4"/>
        <v>0</v>
      </c>
      <c r="L13" s="162">
        <f t="shared" si="4"/>
        <v>0</v>
      </c>
      <c r="M13" s="162">
        <f t="shared" si="4"/>
        <v>0</v>
      </c>
      <c r="N13" s="162">
        <f t="shared" si="4"/>
        <v>0</v>
      </c>
      <c r="O13" s="163">
        <f t="shared" si="4"/>
        <v>0</v>
      </c>
      <c r="P13" s="164">
        <f t="shared" si="4"/>
        <v>0</v>
      </c>
      <c r="Q13" s="319">
        <f t="shared" si="4"/>
        <v>0</v>
      </c>
      <c r="T13" s="231"/>
      <c r="U13" s="232"/>
      <c r="V13" s="355" t="s">
        <v>42</v>
      </c>
      <c r="W13" s="356"/>
      <c r="X13" s="357" t="e">
        <f t="shared" si="2"/>
        <v>#N/A</v>
      </c>
      <c r="Z13" s="327" t="s">
        <v>53</v>
      </c>
      <c r="AA13" s="387" t="e">
        <f t="shared" si="3"/>
        <v>#N/A</v>
      </c>
    </row>
    <row r="14" spans="1:28" ht="20.100000000000001" customHeight="1" thickBot="1" x14ac:dyDescent="0.3">
      <c r="A14" s="440"/>
      <c r="B14" s="440"/>
      <c r="D14" s="83" t="s">
        <v>10</v>
      </c>
      <c r="E14" s="45">
        <f t="shared" ref="E14:Q14" si="5">IFERROR(E13/$B$7,0)</f>
        <v>0</v>
      </c>
      <c r="F14" s="46">
        <f t="shared" si="5"/>
        <v>0</v>
      </c>
      <c r="G14" s="46">
        <f t="shared" si="5"/>
        <v>0</v>
      </c>
      <c r="H14" s="46">
        <f t="shared" si="5"/>
        <v>0</v>
      </c>
      <c r="I14" s="46">
        <f t="shared" si="5"/>
        <v>0</v>
      </c>
      <c r="J14" s="46">
        <f t="shared" si="5"/>
        <v>0</v>
      </c>
      <c r="K14" s="46">
        <f t="shared" si="5"/>
        <v>0</v>
      </c>
      <c r="L14" s="46">
        <f t="shared" si="5"/>
        <v>0</v>
      </c>
      <c r="M14" s="46">
        <f t="shared" si="5"/>
        <v>0</v>
      </c>
      <c r="N14" s="46">
        <f t="shared" si="5"/>
        <v>0</v>
      </c>
      <c r="O14" s="45">
        <f t="shared" si="5"/>
        <v>0</v>
      </c>
      <c r="P14" s="47">
        <f t="shared" si="5"/>
        <v>0</v>
      </c>
      <c r="Q14" s="329">
        <f t="shared" si="5"/>
        <v>0</v>
      </c>
      <c r="V14" s="391" t="s">
        <v>43</v>
      </c>
      <c r="W14" s="358"/>
      <c r="X14" s="359" t="e">
        <f>IF(OR(W14=0, W14=""), NA(), W14/$B$6)</f>
        <v>#N/A</v>
      </c>
      <c r="Y14" s="389"/>
      <c r="Z14" s="393" t="s">
        <v>55</v>
      </c>
      <c r="AA14" s="388" t="e">
        <f>IF(W14&lt;&gt;0,W14-W13,NA())</f>
        <v>#N/A</v>
      </c>
      <c r="AB14" s="389"/>
    </row>
    <row r="15" spans="1:28" ht="18" customHeight="1" thickBot="1" x14ac:dyDescent="0.25">
      <c r="A15" s="441" t="s">
        <v>68</v>
      </c>
      <c r="B15" s="441"/>
      <c r="C15" s="1"/>
      <c r="D15" s="1"/>
      <c r="Q15" s="328"/>
      <c r="V15" s="324" t="s">
        <v>44</v>
      </c>
      <c r="W15" s="360"/>
      <c r="X15" s="390" t="e">
        <f>IF(OR(W15=0, W15=""), NA(), W15/$B$6)</f>
        <v>#N/A</v>
      </c>
      <c r="Z15" s="394" t="s">
        <v>56</v>
      </c>
      <c r="AA15" s="392" t="e">
        <f>IF(W15&lt;&gt;0,W15-W14,NA())</f>
        <v>#N/A</v>
      </c>
      <c r="AB15" s="389"/>
    </row>
    <row r="16" spans="1:28" ht="12.75" customHeight="1" x14ac:dyDescent="0.2">
      <c r="A16" s="441"/>
      <c r="B16" s="441"/>
      <c r="V16" s="328"/>
      <c r="W16" s="328"/>
      <c r="X16" s="328"/>
      <c r="AA16" s="328"/>
    </row>
    <row r="17" spans="1:11" ht="18" customHeight="1" x14ac:dyDescent="0.25">
      <c r="A17" s="441"/>
      <c r="B17" s="441"/>
      <c r="E17" s="230"/>
    </row>
    <row r="18" spans="1:11" ht="26.25" customHeight="1" x14ac:dyDescent="0.2">
      <c r="A18" s="441"/>
      <c r="B18" s="441"/>
    </row>
    <row r="23" spans="1:11" x14ac:dyDescent="0.2">
      <c r="H23" s="177" t="s">
        <v>64</v>
      </c>
      <c r="J23" s="245">
        <f>CEILING($B$6, 100)/100</f>
        <v>7</v>
      </c>
      <c r="K23" s="245">
        <f>CEILING($B$7,100)/100</f>
        <v>0</v>
      </c>
    </row>
    <row r="24" spans="1:11" x14ac:dyDescent="0.2">
      <c r="H24" s="178">
        <f>IF((ROW()-23)&lt;=$K$24,(ROW()-23),"Choisir")</f>
        <v>1</v>
      </c>
      <c r="J24" s="245">
        <f>MOD($B$7,100)</f>
        <v>0</v>
      </c>
      <c r="K24" s="246">
        <f>CEILING($B$6/300,1)</f>
        <v>3</v>
      </c>
    </row>
    <row r="25" spans="1:11" x14ac:dyDescent="0.2">
      <c r="H25" s="178">
        <f>IF((ROW()-23)&lt;=$K$24,(ROW()-23),"Choisir")</f>
        <v>2</v>
      </c>
    </row>
    <row r="26" spans="1:11" x14ac:dyDescent="0.2">
      <c r="H26" s="178">
        <f>IF((ROW()-23)&lt;=$K$24,(ROW()-23),"Choisir")</f>
        <v>3</v>
      </c>
    </row>
    <row r="27" spans="1:11" x14ac:dyDescent="0.2">
      <c r="H27" s="178" t="str">
        <f>IF((ROW()-23)&lt;=$K$24,(ROW()-23),"Choisir")</f>
        <v>Choisir</v>
      </c>
    </row>
    <row r="46" spans="4:17" x14ac:dyDescent="0.2">
      <c r="E46" s="169"/>
    </row>
    <row r="47" spans="4:17" ht="13.5" thickBot="1" x14ac:dyDescent="0.25">
      <c r="E47" s="169"/>
    </row>
    <row r="48" spans="4:17" ht="20.100000000000001" customHeight="1" thickBot="1" x14ac:dyDescent="0.25">
      <c r="D48" s="235" t="s">
        <v>79</v>
      </c>
      <c r="E48" s="432" t="s">
        <v>103</v>
      </c>
      <c r="F48" s="433"/>
      <c r="G48" s="433"/>
      <c r="H48" s="433"/>
      <c r="I48" s="433"/>
      <c r="J48" s="433"/>
      <c r="K48" s="433"/>
      <c r="L48" s="433"/>
      <c r="M48" s="433"/>
      <c r="N48" s="433"/>
      <c r="O48" s="433"/>
      <c r="P48" s="434"/>
      <c r="Q48" s="395" t="s">
        <v>7</v>
      </c>
    </row>
    <row r="49" spans="3:17" ht="47.25" customHeight="1" thickBot="1" x14ac:dyDescent="0.25">
      <c r="C49" s="233"/>
      <c r="D49" s="371" t="s">
        <v>82</v>
      </c>
      <c r="E49" s="365" t="s">
        <v>69</v>
      </c>
      <c r="F49" s="365" t="s">
        <v>100</v>
      </c>
      <c r="G49" s="365" t="s">
        <v>70</v>
      </c>
      <c r="H49" s="365" t="s">
        <v>71</v>
      </c>
      <c r="I49" s="365" t="s">
        <v>72</v>
      </c>
      <c r="J49" s="365" t="s">
        <v>73</v>
      </c>
      <c r="K49" s="365" t="s">
        <v>74</v>
      </c>
      <c r="L49" s="365" t="s">
        <v>75</v>
      </c>
      <c r="M49" s="365" t="s">
        <v>76</v>
      </c>
      <c r="N49" s="365" t="s">
        <v>77</v>
      </c>
      <c r="O49" s="375" t="s">
        <v>3</v>
      </c>
      <c r="P49" s="374" t="s">
        <v>4</v>
      </c>
      <c r="Q49" s="397" t="s">
        <v>104</v>
      </c>
    </row>
    <row r="50" spans="3:17" ht="19.5" customHeight="1" x14ac:dyDescent="0.2">
      <c r="C50" s="234"/>
      <c r="D50" s="370" t="s">
        <v>81</v>
      </c>
      <c r="E50" s="320"/>
      <c r="F50" s="321"/>
      <c r="G50" s="321"/>
      <c r="H50" s="321"/>
      <c r="I50" s="321"/>
      <c r="J50" s="321"/>
      <c r="K50" s="321"/>
      <c r="L50" s="321"/>
      <c r="M50" s="321"/>
      <c r="N50" s="322"/>
      <c r="O50" s="323"/>
      <c r="P50" s="322"/>
      <c r="Q50" s="396">
        <f t="shared" ref="Q50:Q59" si="6">SUM(E50:P50)</f>
        <v>0</v>
      </c>
    </row>
    <row r="51" spans="3:17" ht="20.100000000000001" customHeight="1" x14ac:dyDescent="0.2">
      <c r="C51" s="234"/>
      <c r="D51" s="370" t="s">
        <v>81</v>
      </c>
      <c r="E51" s="320"/>
      <c r="F51" s="321"/>
      <c r="G51" s="321"/>
      <c r="H51" s="321"/>
      <c r="I51" s="321"/>
      <c r="J51" s="321"/>
      <c r="K51" s="321"/>
      <c r="L51" s="321"/>
      <c r="M51" s="321"/>
      <c r="N51" s="322"/>
      <c r="O51" s="323"/>
      <c r="P51" s="322"/>
      <c r="Q51" s="396">
        <f t="shared" si="6"/>
        <v>0</v>
      </c>
    </row>
    <row r="52" spans="3:17" ht="20.100000000000001" customHeight="1" x14ac:dyDescent="0.2">
      <c r="C52" s="234"/>
      <c r="D52" s="370" t="s">
        <v>81</v>
      </c>
      <c r="E52" s="320"/>
      <c r="F52" s="321"/>
      <c r="G52" s="321"/>
      <c r="H52" s="321"/>
      <c r="I52" s="321"/>
      <c r="J52" s="321"/>
      <c r="K52" s="321"/>
      <c r="L52" s="321"/>
      <c r="M52" s="321"/>
      <c r="N52" s="322"/>
      <c r="O52" s="323"/>
      <c r="P52" s="322"/>
      <c r="Q52" s="396">
        <f t="shared" si="6"/>
        <v>0</v>
      </c>
    </row>
    <row r="53" spans="3:17" ht="20.100000000000001" customHeight="1" x14ac:dyDescent="0.2">
      <c r="C53" s="234"/>
      <c r="D53" s="370" t="s">
        <v>81</v>
      </c>
      <c r="E53" s="320"/>
      <c r="F53" s="321"/>
      <c r="G53" s="321"/>
      <c r="H53" s="321"/>
      <c r="I53" s="321"/>
      <c r="J53" s="321"/>
      <c r="K53" s="321"/>
      <c r="L53" s="321"/>
      <c r="M53" s="321"/>
      <c r="N53" s="322"/>
      <c r="O53" s="323"/>
      <c r="P53" s="322"/>
      <c r="Q53" s="396">
        <f t="shared" si="6"/>
        <v>0</v>
      </c>
    </row>
    <row r="54" spans="3:17" ht="20.100000000000001" customHeight="1" x14ac:dyDescent="0.2">
      <c r="C54" s="234"/>
      <c r="D54" s="370" t="s">
        <v>81</v>
      </c>
      <c r="E54" s="320"/>
      <c r="F54" s="321"/>
      <c r="G54" s="321"/>
      <c r="H54" s="321"/>
      <c r="I54" s="321"/>
      <c r="J54" s="321"/>
      <c r="K54" s="321"/>
      <c r="L54" s="321"/>
      <c r="M54" s="321"/>
      <c r="N54" s="322"/>
      <c r="O54" s="323"/>
      <c r="P54" s="322"/>
      <c r="Q54" s="396">
        <f t="shared" si="6"/>
        <v>0</v>
      </c>
    </row>
    <row r="55" spans="3:17" ht="20.100000000000001" customHeight="1" x14ac:dyDescent="0.2">
      <c r="C55" s="234"/>
      <c r="D55" s="370" t="s">
        <v>81</v>
      </c>
      <c r="E55" s="320"/>
      <c r="F55" s="321"/>
      <c r="G55" s="321"/>
      <c r="H55" s="321"/>
      <c r="I55" s="321"/>
      <c r="J55" s="321"/>
      <c r="K55" s="321"/>
      <c r="L55" s="321"/>
      <c r="M55" s="321"/>
      <c r="N55" s="322"/>
      <c r="O55" s="323"/>
      <c r="P55" s="322"/>
      <c r="Q55" s="396">
        <f t="shared" si="6"/>
        <v>0</v>
      </c>
    </row>
    <row r="56" spans="3:17" ht="20.100000000000001" customHeight="1" x14ac:dyDescent="0.2">
      <c r="C56" s="234"/>
      <c r="D56" s="370" t="s">
        <v>81</v>
      </c>
      <c r="E56" s="320"/>
      <c r="F56" s="321"/>
      <c r="G56" s="321"/>
      <c r="H56" s="321"/>
      <c r="I56" s="321"/>
      <c r="J56" s="321"/>
      <c r="K56" s="321"/>
      <c r="L56" s="321"/>
      <c r="M56" s="321"/>
      <c r="N56" s="322"/>
      <c r="O56" s="323"/>
      <c r="P56" s="322"/>
      <c r="Q56" s="396">
        <f t="shared" si="6"/>
        <v>0</v>
      </c>
    </row>
    <row r="57" spans="3:17" ht="20.100000000000001" customHeight="1" x14ac:dyDescent="0.2">
      <c r="C57" s="234"/>
      <c r="D57" s="370" t="s">
        <v>81</v>
      </c>
      <c r="E57" s="320"/>
      <c r="F57" s="321"/>
      <c r="G57" s="321"/>
      <c r="H57" s="321"/>
      <c r="I57" s="321"/>
      <c r="J57" s="321"/>
      <c r="K57" s="321"/>
      <c r="L57" s="321"/>
      <c r="M57" s="321"/>
      <c r="N57" s="322"/>
      <c r="O57" s="323"/>
      <c r="P57" s="322"/>
      <c r="Q57" s="396">
        <f t="shared" si="6"/>
        <v>0</v>
      </c>
    </row>
    <row r="58" spans="3:17" ht="20.100000000000001" customHeight="1" x14ac:dyDescent="0.2">
      <c r="C58" s="234"/>
      <c r="D58" s="370" t="s">
        <v>81</v>
      </c>
      <c r="E58" s="320"/>
      <c r="F58" s="321"/>
      <c r="G58" s="321"/>
      <c r="H58" s="321"/>
      <c r="I58" s="321"/>
      <c r="J58" s="321"/>
      <c r="K58" s="321"/>
      <c r="L58" s="321"/>
      <c r="M58" s="321"/>
      <c r="N58" s="322"/>
      <c r="O58" s="323"/>
      <c r="P58" s="322"/>
      <c r="Q58" s="396">
        <f t="shared" si="6"/>
        <v>0</v>
      </c>
    </row>
    <row r="59" spans="3:17" ht="20.100000000000001" customHeight="1" thickBot="1" x14ac:dyDescent="0.25">
      <c r="C59" s="234"/>
      <c r="D59" s="376" t="s">
        <v>81</v>
      </c>
      <c r="E59" s="377"/>
      <c r="F59" s="378"/>
      <c r="G59" s="378"/>
      <c r="H59" s="378"/>
      <c r="I59" s="378"/>
      <c r="J59" s="378"/>
      <c r="K59" s="378"/>
      <c r="L59" s="378"/>
      <c r="M59" s="378"/>
      <c r="N59" s="379"/>
      <c r="O59" s="380"/>
      <c r="P59" s="379"/>
      <c r="Q59" s="396">
        <f t="shared" si="6"/>
        <v>0</v>
      </c>
    </row>
    <row r="60" spans="3:17" x14ac:dyDescent="0.2">
      <c r="Q60" s="328"/>
    </row>
    <row r="63" spans="3:17" ht="18" x14ac:dyDescent="0.25">
      <c r="E63" s="230"/>
    </row>
    <row r="65" spans="4:17" ht="13.5" thickBot="1" x14ac:dyDescent="0.25"/>
    <row r="66" spans="4:17" ht="16.5" customHeight="1" thickBot="1" x14ac:dyDescent="0.25">
      <c r="D66" s="235" t="s">
        <v>80</v>
      </c>
      <c r="E66" s="432" t="s">
        <v>102</v>
      </c>
      <c r="F66" s="433"/>
      <c r="G66" s="433"/>
      <c r="H66" s="433"/>
      <c r="I66" s="433"/>
      <c r="J66" s="433"/>
      <c r="K66" s="433"/>
      <c r="L66" s="433"/>
      <c r="M66" s="433"/>
      <c r="N66" s="433"/>
      <c r="O66" s="433"/>
      <c r="P66" s="434"/>
      <c r="Q66" s="395" t="s">
        <v>7</v>
      </c>
    </row>
    <row r="67" spans="4:17" ht="42" customHeight="1" thickBot="1" x14ac:dyDescent="0.25">
      <c r="D67" s="371" t="s">
        <v>82</v>
      </c>
      <c r="E67" s="365" t="s">
        <v>69</v>
      </c>
      <c r="F67" s="365" t="s">
        <v>100</v>
      </c>
      <c r="G67" s="365" t="s">
        <v>70</v>
      </c>
      <c r="H67" s="365" t="s">
        <v>71</v>
      </c>
      <c r="I67" s="365" t="s">
        <v>72</v>
      </c>
      <c r="J67" s="365" t="s">
        <v>73</v>
      </c>
      <c r="K67" s="365" t="s">
        <v>74</v>
      </c>
      <c r="L67" s="365" t="s">
        <v>75</v>
      </c>
      <c r="M67" s="365" t="s">
        <v>76</v>
      </c>
      <c r="N67" s="365" t="s">
        <v>77</v>
      </c>
      <c r="O67" s="375" t="s">
        <v>3</v>
      </c>
      <c r="P67" s="374" t="s">
        <v>4</v>
      </c>
      <c r="Q67" s="402" t="s">
        <v>104</v>
      </c>
    </row>
    <row r="68" spans="4:17" ht="20.100000000000001" customHeight="1" x14ac:dyDescent="0.2">
      <c r="D68" s="244" t="s">
        <v>81</v>
      </c>
      <c r="E68" s="237"/>
      <c r="F68" s="238"/>
      <c r="G68" s="238"/>
      <c r="H68" s="238"/>
      <c r="I68" s="238"/>
      <c r="J68" s="238"/>
      <c r="K68" s="238"/>
      <c r="L68" s="238"/>
      <c r="M68" s="238"/>
      <c r="N68" s="239"/>
      <c r="O68" s="240"/>
      <c r="P68" s="239"/>
      <c r="Q68" s="399">
        <f t="shared" ref="Q68:Q72" si="7">SUM(E68:P68)</f>
        <v>0</v>
      </c>
    </row>
    <row r="69" spans="4:17" ht="20.100000000000001" customHeight="1" x14ac:dyDescent="0.2">
      <c r="D69" s="242" t="s">
        <v>81</v>
      </c>
      <c r="E69" s="179"/>
      <c r="F69" s="180"/>
      <c r="G69" s="180"/>
      <c r="H69" s="180"/>
      <c r="I69" s="180"/>
      <c r="J69" s="180"/>
      <c r="K69" s="180"/>
      <c r="L69" s="180"/>
      <c r="M69" s="180"/>
      <c r="N69" s="181"/>
      <c r="O69" s="182"/>
      <c r="P69" s="181"/>
      <c r="Q69" s="318">
        <f t="shared" si="7"/>
        <v>0</v>
      </c>
    </row>
    <row r="70" spans="4:17" ht="20.100000000000001" customHeight="1" x14ac:dyDescent="0.2">
      <c r="D70" s="242" t="s">
        <v>81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1"/>
      <c r="O70" s="182"/>
      <c r="P70" s="181"/>
      <c r="Q70" s="318">
        <f t="shared" si="7"/>
        <v>0</v>
      </c>
    </row>
    <row r="71" spans="4:17" ht="20.100000000000001" customHeight="1" x14ac:dyDescent="0.2">
      <c r="D71" s="242" t="s">
        <v>81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1"/>
      <c r="O71" s="182"/>
      <c r="P71" s="181"/>
      <c r="Q71" s="318">
        <f t="shared" si="7"/>
        <v>0</v>
      </c>
    </row>
    <row r="72" spans="4:17" ht="20.100000000000001" customHeight="1" thickBot="1" x14ac:dyDescent="0.25">
      <c r="D72" s="243" t="s">
        <v>81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5"/>
      <c r="O72" s="186"/>
      <c r="P72" s="185"/>
      <c r="Q72" s="400">
        <f t="shared" si="7"/>
        <v>0</v>
      </c>
    </row>
    <row r="73" spans="4:1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</row>
    <row r="74" spans="4:1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</row>
    <row r="75" spans="4:1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</row>
    <row r="76" spans="4:17" ht="20.100000000000001" customHeight="1" thickBot="1" x14ac:dyDescent="0.25">
      <c r="D76" s="235" t="s">
        <v>84</v>
      </c>
      <c r="E76" s="432" t="s">
        <v>101</v>
      </c>
      <c r="F76" s="433"/>
      <c r="G76" s="433"/>
      <c r="H76" s="433"/>
      <c r="I76" s="433"/>
      <c r="J76" s="433"/>
      <c r="K76" s="433"/>
      <c r="L76" s="433"/>
      <c r="M76" s="433"/>
      <c r="N76" s="433"/>
      <c r="O76" s="433"/>
      <c r="P76" s="434"/>
      <c r="Q76" s="401" t="s">
        <v>7</v>
      </c>
    </row>
    <row r="77" spans="4:17" ht="39.75" customHeight="1" thickBot="1" x14ac:dyDescent="0.25">
      <c r="D77" s="371" t="s">
        <v>82</v>
      </c>
      <c r="E77" s="365" t="s">
        <v>69</v>
      </c>
      <c r="F77" s="365" t="s">
        <v>100</v>
      </c>
      <c r="G77" s="365" t="s">
        <v>70</v>
      </c>
      <c r="H77" s="365" t="s">
        <v>71</v>
      </c>
      <c r="I77" s="365" t="s">
        <v>72</v>
      </c>
      <c r="J77" s="365" t="s">
        <v>73</v>
      </c>
      <c r="K77" s="365" t="s">
        <v>74</v>
      </c>
      <c r="L77" s="365" t="s">
        <v>75</v>
      </c>
      <c r="M77" s="365" t="s">
        <v>76</v>
      </c>
      <c r="N77" s="365" t="s">
        <v>77</v>
      </c>
      <c r="O77" s="375" t="s">
        <v>3</v>
      </c>
      <c r="P77" s="374" t="s">
        <v>4</v>
      </c>
      <c r="Q77" s="398" t="s">
        <v>104</v>
      </c>
    </row>
    <row r="78" spans="4:17" ht="20.100000000000001" customHeight="1" x14ac:dyDescent="0.2">
      <c r="D78" s="244" t="s">
        <v>81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9"/>
      <c r="O78" s="240"/>
      <c r="P78" s="239"/>
      <c r="Q78" s="399">
        <f t="shared" ref="Q78:Q80" si="8">SUM(E78:P78)</f>
        <v>0</v>
      </c>
    </row>
    <row r="79" spans="4:17" ht="20.100000000000001" customHeight="1" x14ac:dyDescent="0.2">
      <c r="D79" s="242" t="s">
        <v>81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1"/>
      <c r="O79" s="182"/>
      <c r="P79" s="181"/>
      <c r="Q79" s="318">
        <f t="shared" si="8"/>
        <v>0</v>
      </c>
    </row>
    <row r="80" spans="4:17" ht="20.100000000000001" customHeight="1" thickBot="1" x14ac:dyDescent="0.25">
      <c r="D80" s="243" t="s">
        <v>81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5"/>
      <c r="O80" s="186"/>
      <c r="P80" s="185"/>
      <c r="Q80" s="400">
        <f t="shared" si="8"/>
        <v>0</v>
      </c>
    </row>
    <row r="81" spans="4:1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41"/>
    </row>
    <row r="82" spans="4:1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41"/>
    </row>
  </sheetData>
  <sheetProtection algorithmName="SHA-512" hashValue="rjARmv8bokaqqj/V5HvHdw4SgmRPnD/zmlffneE/eXeDmXVSib52wh6PNzmxtc7clkWXxvJkyGEEY3WD5dFe6w==" saltValue="ZTXB0BCR5+kr4gAS8e1IOw==" spinCount="100000" sheet="1" objects="1" scenarios="1"/>
  <mergeCells count="7">
    <mergeCell ref="E76:P76"/>
    <mergeCell ref="E1:P1"/>
    <mergeCell ref="A10:B11"/>
    <mergeCell ref="A12:B14"/>
    <mergeCell ref="A15:B18"/>
    <mergeCell ref="E48:P48"/>
    <mergeCell ref="E66:P66"/>
  </mergeCells>
  <conditionalFormatting sqref="B8">
    <cfRule type="cellIs" dxfId="278" priority="5" operator="notEqual">
      <formula>$B$7</formula>
    </cfRule>
  </conditionalFormatting>
  <conditionalFormatting sqref="E3:Q12">
    <cfRule type="cellIs" dxfId="277" priority="4" operator="notBetween">
      <formula>0</formula>
      <formula>100</formula>
    </cfRule>
  </conditionalFormatting>
  <conditionalFormatting sqref="E3:Q14">
    <cfRule type="cellIs" dxfId="276" priority="7" operator="lessThan">
      <formula>0</formula>
    </cfRule>
  </conditionalFormatting>
  <conditionalFormatting sqref="E14:Q14">
    <cfRule type="cellIs" dxfId="275" priority="10" operator="greaterThan">
      <formula>1</formula>
    </cfRule>
  </conditionalFormatting>
  <conditionalFormatting sqref="Q3:Q13">
    <cfRule type="cellIs" dxfId="274" priority="8" operator="equal">
      <formula>0</formula>
    </cfRule>
  </conditionalFormatting>
  <conditionalFormatting sqref="Q13">
    <cfRule type="cellIs" dxfId="273" priority="12" operator="equal">
      <formula>$B$7</formula>
    </cfRule>
  </conditionalFormatting>
  <conditionalFormatting sqref="Q14">
    <cfRule type="cellIs" dxfId="272" priority="9" operator="equal">
      <formula>1</formula>
    </cfRule>
    <cfRule type="cellIs" dxfId="271" priority="11" operator="lessThan">
      <formula>1</formula>
    </cfRule>
  </conditionalFormatting>
  <conditionalFormatting sqref="W4:W15">
    <cfRule type="expression" dxfId="270" priority="13">
      <formula>AND($W4&lt;$W3, NOT(ISBLANK($W4)))</formula>
    </cfRule>
    <cfRule type="cellIs" dxfId="269" priority="14" operator="greaterThan">
      <formula>$B$6</formula>
    </cfRule>
  </conditionalFormatting>
  <conditionalFormatting sqref="X4:X15">
    <cfRule type="cellIs" dxfId="268" priority="6" operator="greaterThan">
      <formula>1</formula>
    </cfRule>
  </conditionalFormatting>
  <conditionalFormatting sqref="D68:D72 D50:D59 D78:D80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3:P12">
    <cfRule type="expression" dxfId="267" priority="15">
      <formula>($D3&lt;=$K$23)</formula>
    </cfRule>
  </conditionalFormatting>
  <conditionalFormatting sqref="Q3:Q12">
    <cfRule type="expression" dxfId="266" priority="16">
      <formula>AND($D3=$K$23, Q3=$J$24)</formula>
    </cfRule>
    <cfRule type="expression" dxfId="265" priority="17">
      <formula>AND($D3=$K$23, MOD(Q3,100)&gt;$J$24)</formula>
    </cfRule>
    <cfRule type="cellIs" dxfId="264" priority="18" operator="equal">
      <formula>100</formula>
    </cfRule>
  </conditionalFormatting>
  <conditionalFormatting sqref="D3:P12">
    <cfRule type="expression" dxfId="263" priority="22">
      <formula>($D3&gt;$K$23)</formula>
    </cfRule>
  </conditionalFormatting>
  <conditionalFormatting sqref="Q50">
    <cfRule type="cellIs" dxfId="262" priority="23" operator="lessThan">
      <formula>0</formula>
    </cfRule>
    <cfRule type="cellIs" dxfId="261" priority="24" operator="equal">
      <formula>0</formula>
    </cfRule>
    <cfRule type="expression" dxfId="260" priority="25">
      <formula>OR(MOD($Q50,100)=0,AND($D50=$K$23,MOD($Q50,100)=$J$24))</formula>
    </cfRule>
  </conditionalFormatting>
  <conditionalFormatting sqref="E50:P59">
    <cfRule type="expression" dxfId="259" priority="2">
      <formula>AND(E50&lt;MAX(E$50:E50), NOT(ISBLANK(E50)), NOT(E50=0))</formula>
    </cfRule>
  </conditionalFormatting>
  <conditionalFormatting sqref="Q52:Q59 Q68:Q72 Q78:Q80">
    <cfRule type="cellIs" dxfId="258" priority="27" operator="lessThan">
      <formula>0</formula>
    </cfRule>
    <cfRule type="cellIs" dxfId="257" priority="28" operator="equal">
      <formula>0</formula>
    </cfRule>
    <cfRule type="expression" dxfId="256" priority="29">
      <formula>OR(MOD($Q52,100)=0,AND($D52=$K$23,MOD($Q52,100)=$J$24))</formula>
    </cfRule>
  </conditionalFormatting>
  <conditionalFormatting sqref="Q51">
    <cfRule type="cellIs" dxfId="255" priority="30" operator="lessThan">
      <formula>0</formula>
    </cfRule>
    <cfRule type="cellIs" dxfId="254" priority="31" operator="equal">
      <formula>0</formula>
    </cfRule>
    <cfRule type="expression" dxfId="253" priority="32">
      <formula>OR(MOD($Q51,100)=0,AND($D50=$K$23,MOD($Q51,100)=$J$24))</formula>
    </cfRule>
  </conditionalFormatting>
  <conditionalFormatting sqref="E50:P59 E68:P72 E78:P80">
    <cfRule type="cellIs" dxfId="250" priority="19" operator="notBetween">
      <formula>0</formula>
      <formula>$B$7</formula>
    </cfRule>
    <cfRule type="expression" dxfId="251" priority="20">
      <formula>($D50&lt;=$K$23)</formula>
    </cfRule>
    <cfRule type="expression" dxfId="252" priority="21">
      <formula>($D50&gt;$K$23)</formula>
    </cfRule>
  </conditionalFormatting>
  <conditionalFormatting sqref="E68:P72">
    <cfRule type="expression" dxfId="249" priority="1">
      <formula>AND(E68&lt;MAX(E$68:E68), NOT(ISBLANK(E68)), NOT(E68=0))</formula>
    </cfRule>
  </conditionalFormatting>
  <conditionalFormatting sqref="E78:P80">
    <cfRule type="expression" dxfId="248" priority="26">
      <formula>AND(E78&lt;MAX(E$78:E78), NOT(ISBLANK(E78)), NOT(E78=0))</formula>
    </cfRule>
  </conditionalFormatting>
  <dataValidations count="2">
    <dataValidation type="list" allowBlank="1" showInputMessage="1" showErrorMessage="1" sqref="D68:D72 D78:D82 D50:D59" xr:uid="{A1EB9AF7-3BEB-4B23-BA8A-6D646E1DF726}">
      <formula1>$D$3:$D$12</formula1>
    </dataValidation>
    <dataValidation type="list" allowBlank="1" showInputMessage="1" showErrorMessage="1" sqref="C50:C59" xr:uid="{A0716BB2-F2D4-4277-BECF-42AE847E2315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08B25-8914-4A43-A159-F33DD647AB99}">
  <sheetPr codeName="Feuil34">
    <tabColor rgb="FFB4A7D6"/>
  </sheetPr>
  <dimension ref="A1:AB82"/>
  <sheetViews>
    <sheetView zoomScale="80" zoomScaleNormal="80" workbookViewId="0">
      <pane xSplit="2" topLeftCell="C1" activePane="topRight" state="frozen"/>
      <selection pane="topRight" activeCell="R3" sqref="R3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4" width="15.7109375" customWidth="1"/>
    <col min="17" max="17" width="12.85546875" customWidth="1"/>
    <col min="18" max="18" width="11.42578125" customWidth="1"/>
    <col min="21" max="21" width="10.42578125" customWidth="1"/>
    <col min="22" max="22" width="15.42578125" customWidth="1"/>
    <col min="23" max="23" width="16.140625" customWidth="1"/>
    <col min="24" max="24" width="12" customWidth="1"/>
    <col min="26" max="26" width="13.28515625" customWidth="1"/>
    <col min="27" max="27" width="14.42578125" customWidth="1"/>
  </cols>
  <sheetData>
    <row r="1" spans="1:28" ht="16.5" customHeight="1" thickBot="1" x14ac:dyDescent="0.25">
      <c r="A1" s="315" t="s">
        <v>11</v>
      </c>
      <c r="B1" s="33">
        <f>Synthèse!B17</f>
        <v>46096</v>
      </c>
      <c r="D1" s="314"/>
      <c r="E1" s="435" t="s">
        <v>66</v>
      </c>
      <c r="F1" s="436"/>
      <c r="G1" s="436"/>
      <c r="H1" s="436"/>
      <c r="I1" s="436"/>
      <c r="J1" s="436"/>
      <c r="K1" s="436"/>
      <c r="L1" s="436"/>
      <c r="M1" s="436"/>
      <c r="N1" s="436"/>
      <c r="O1" s="436"/>
      <c r="P1" s="437"/>
      <c r="Q1" s="443" t="s">
        <v>7</v>
      </c>
    </row>
    <row r="2" spans="1:28" ht="39.75" customHeight="1" thickBot="1" x14ac:dyDescent="0.25">
      <c r="A2" s="316" t="s">
        <v>12</v>
      </c>
      <c r="B2" s="34" t="str">
        <f>Synthèse!B18</f>
        <v>Municipales 1er tour</v>
      </c>
      <c r="D2" s="364" t="s">
        <v>83</v>
      </c>
      <c r="E2" s="365" t="str">
        <f>Synthèse!L2</f>
        <v>Candidat 1</v>
      </c>
      <c r="F2" s="365" t="str">
        <f>Synthèse!M2</f>
        <v>Candidat 2</v>
      </c>
      <c r="G2" s="365" t="str">
        <f>Synthèse!N2</f>
        <v>Candidat 3</v>
      </c>
      <c r="H2" s="365" t="str">
        <f>Synthèse!O2</f>
        <v>Candidat 4</v>
      </c>
      <c r="I2" s="365" t="str">
        <f>Synthèse!P2</f>
        <v>Candidat 5</v>
      </c>
      <c r="J2" s="365" t="str">
        <f>Synthèse!Q2</f>
        <v>Candidat 6</v>
      </c>
      <c r="K2" s="365" t="str">
        <f>Synthèse!R2</f>
        <v>Candidat 7</v>
      </c>
      <c r="L2" s="365" t="str">
        <f>Synthèse!S2</f>
        <v>Candidat 8</v>
      </c>
      <c r="M2" s="365" t="str">
        <f>Synthèse!T2</f>
        <v>Candidat 9</v>
      </c>
      <c r="N2" s="365" t="str">
        <f>Synthèse!U2</f>
        <v>Candidat 10</v>
      </c>
      <c r="O2" s="368" t="s">
        <v>3</v>
      </c>
      <c r="P2" s="369" t="s">
        <v>4</v>
      </c>
      <c r="Q2" s="444" t="s">
        <v>105</v>
      </c>
      <c r="V2" s="381" t="s">
        <v>21</v>
      </c>
      <c r="W2" s="382" t="s">
        <v>57</v>
      </c>
      <c r="X2" s="383" t="s">
        <v>31</v>
      </c>
      <c r="Z2" s="384" t="s">
        <v>59</v>
      </c>
      <c r="AA2" s="384" t="s">
        <v>58</v>
      </c>
    </row>
    <row r="3" spans="1:28" ht="20.100000000000001" customHeight="1" thickBot="1" x14ac:dyDescent="0.25">
      <c r="A3" s="317" t="s">
        <v>13</v>
      </c>
      <c r="B3" s="94" t="str">
        <f>Synthèse!B19</f>
        <v>Cogolin</v>
      </c>
      <c r="D3" s="361" t="str" cm="1">
        <f t="array" ref="D3">IF(ROW(1:1)&lt;=$K$23, (ROW(1:1)), "")</f>
        <v/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70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171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72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318">
        <f t="shared" ref="Q3:Q12" si="0">SUM(E3:P3)</f>
        <v>0</v>
      </c>
      <c r="V3" s="352" t="s">
        <v>32</v>
      </c>
      <c r="W3" s="353">
        <v>0</v>
      </c>
      <c r="X3" s="354">
        <f t="shared" ref="X3" si="1">W3/$B$6</f>
        <v>0</v>
      </c>
      <c r="Z3" s="330"/>
      <c r="AA3" s="330"/>
    </row>
    <row r="4" spans="1:28" ht="20.100000000000001" customHeight="1" x14ac:dyDescent="0.2">
      <c r="A4" s="95" t="s">
        <v>23</v>
      </c>
      <c r="B4" s="168">
        <v>5</v>
      </c>
      <c r="D4" s="362" t="str" cm="1">
        <f t="array" ref="D4">IF(ROW(2:2)&lt;=$K$23, (ROW(2:2)), "")</f>
        <v/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7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158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318">
        <f t="shared" si="0"/>
        <v>0</v>
      </c>
      <c r="V4" s="355" t="s">
        <v>33</v>
      </c>
      <c r="W4" s="356"/>
      <c r="X4" s="357" t="e">
        <f t="shared" ref="X4:X13" si="2">IF(OR(W4=0, W4=""), NA(), W4/$B$6)</f>
        <v>#N/A</v>
      </c>
      <c r="Z4" s="325" t="s">
        <v>45</v>
      </c>
      <c r="AA4" s="385" t="e">
        <f t="shared" ref="AA4:AA13" si="3">IF(W4&lt;&gt;0,W4-W3,NA())</f>
        <v>#N/A</v>
      </c>
    </row>
    <row r="5" spans="1:28" ht="20.100000000000001" customHeight="1" x14ac:dyDescent="0.2">
      <c r="A5" s="96" t="s">
        <v>24</v>
      </c>
      <c r="B5" s="187" t="s">
        <v>28</v>
      </c>
      <c r="D5" s="362" t="str" cm="1">
        <f t="array" ref="D5">IF(ROW(3:3)&lt;=$K$23, (ROW(3:3)), "")</f>
        <v/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173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174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318">
        <f t="shared" si="0"/>
        <v>0</v>
      </c>
      <c r="T5" s="231"/>
      <c r="U5" s="232"/>
      <c r="V5" s="355" t="s">
        <v>34</v>
      </c>
      <c r="W5" s="356"/>
      <c r="X5" s="357" t="e">
        <f t="shared" si="2"/>
        <v>#N/A</v>
      </c>
      <c r="Z5" s="326" t="s">
        <v>46</v>
      </c>
      <c r="AA5" s="386" t="e">
        <f t="shared" si="3"/>
        <v>#N/A</v>
      </c>
    </row>
    <row r="6" spans="1:28" ht="20.100000000000001" customHeight="1" x14ac:dyDescent="0.2">
      <c r="A6" s="96" t="s">
        <v>0</v>
      </c>
      <c r="B6" s="188">
        <v>671</v>
      </c>
      <c r="D6" s="362" t="str" cm="1">
        <f t="array" ref="D6">IF(ROW(4:4)&lt;=$K$23, (ROW(4:4)), "")</f>
        <v/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173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174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318">
        <f t="shared" si="0"/>
        <v>0</v>
      </c>
      <c r="T6" s="231"/>
      <c r="U6" s="232"/>
      <c r="V6" s="355" t="s">
        <v>35</v>
      </c>
      <c r="W6" s="356"/>
      <c r="X6" s="357" t="e">
        <f t="shared" si="2"/>
        <v>#N/A</v>
      </c>
      <c r="Z6" s="326" t="s">
        <v>47</v>
      </c>
      <c r="AA6" s="386" t="e">
        <f t="shared" si="3"/>
        <v>#N/A</v>
      </c>
    </row>
    <row r="7" spans="1:28" ht="20.100000000000001" customHeight="1" x14ac:dyDescent="0.2">
      <c r="A7" s="96" t="s">
        <v>2</v>
      </c>
      <c r="B7" s="165">
        <f>MAX(W4:W15)</f>
        <v>0</v>
      </c>
      <c r="D7" s="362" t="str" cm="1">
        <f t="array" ref="D7">IF(ROW(5:5)&lt;=$K$23, (ROW(5:5)), "")</f>
        <v/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7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158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318">
        <f t="shared" si="0"/>
        <v>0</v>
      </c>
      <c r="T7" s="231"/>
      <c r="U7" s="232"/>
      <c r="V7" s="355" t="s">
        <v>36</v>
      </c>
      <c r="W7" s="356"/>
      <c r="X7" s="357" t="e">
        <f t="shared" si="2"/>
        <v>#N/A</v>
      </c>
      <c r="Z7" s="326" t="s">
        <v>54</v>
      </c>
      <c r="AA7" s="386" t="e">
        <f t="shared" si="3"/>
        <v>#N/A</v>
      </c>
    </row>
    <row r="8" spans="1:28" ht="20.100000000000001" customHeight="1" x14ac:dyDescent="0.2">
      <c r="A8" s="96" t="s">
        <v>1</v>
      </c>
      <c r="B8" s="166">
        <f>B7</f>
        <v>0</v>
      </c>
      <c r="D8" s="362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7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8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318">
        <f t="shared" si="0"/>
        <v>0</v>
      </c>
      <c r="T8" s="231"/>
      <c r="U8" s="232"/>
      <c r="V8" s="355" t="s">
        <v>37</v>
      </c>
      <c r="W8" s="356"/>
      <c r="X8" s="357" t="e">
        <f t="shared" si="2"/>
        <v>#N/A</v>
      </c>
      <c r="Z8" s="326" t="s">
        <v>48</v>
      </c>
      <c r="AA8" s="386" t="e">
        <f t="shared" si="3"/>
        <v>#N/A</v>
      </c>
    </row>
    <row r="9" spans="1:28" ht="20.100000000000001" customHeight="1" thickBot="1" x14ac:dyDescent="0.25">
      <c r="A9" s="97" t="s">
        <v>17</v>
      </c>
      <c r="B9" s="167">
        <f>B6-B7</f>
        <v>671</v>
      </c>
      <c r="D9" s="362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9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60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318">
        <f t="shared" si="0"/>
        <v>0</v>
      </c>
      <c r="T9" s="231"/>
      <c r="U9" s="232"/>
      <c r="V9" s="355" t="s">
        <v>38</v>
      </c>
      <c r="W9" s="356"/>
      <c r="X9" s="357" t="e">
        <f t="shared" si="2"/>
        <v>#N/A</v>
      </c>
      <c r="Z9" s="326" t="s">
        <v>49</v>
      </c>
      <c r="AA9" s="386" t="e">
        <f t="shared" si="3"/>
        <v>#N/A</v>
      </c>
    </row>
    <row r="10" spans="1:28" ht="20.100000000000001" customHeight="1" x14ac:dyDescent="0.2">
      <c r="A10" s="438" t="s">
        <v>60</v>
      </c>
      <c r="B10" s="438"/>
      <c r="D10" s="362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9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60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318">
        <f t="shared" si="0"/>
        <v>0</v>
      </c>
      <c r="T10" s="231"/>
      <c r="U10" s="232"/>
      <c r="V10" s="355" t="s">
        <v>39</v>
      </c>
      <c r="W10" s="356"/>
      <c r="X10" s="357" t="e">
        <f t="shared" si="2"/>
        <v>#N/A</v>
      </c>
      <c r="Z10" s="326" t="s">
        <v>50</v>
      </c>
      <c r="AA10" s="386" t="e">
        <f t="shared" si="3"/>
        <v>#N/A</v>
      </c>
    </row>
    <row r="11" spans="1:28" ht="20.100000000000001" customHeight="1" x14ac:dyDescent="0.2">
      <c r="A11" s="439"/>
      <c r="B11" s="439"/>
      <c r="D11" s="362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9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60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318">
        <f t="shared" si="0"/>
        <v>0</v>
      </c>
      <c r="T11" s="231"/>
      <c r="U11" s="232"/>
      <c r="V11" s="355" t="s">
        <v>40</v>
      </c>
      <c r="W11" s="356"/>
      <c r="X11" s="357" t="e">
        <f t="shared" si="2"/>
        <v>#N/A</v>
      </c>
      <c r="Z11" s="326" t="s">
        <v>51</v>
      </c>
      <c r="AA11" s="386" t="e">
        <f t="shared" si="3"/>
        <v>#N/A</v>
      </c>
    </row>
    <row r="12" spans="1:28" ht="20.100000000000001" customHeight="1" thickBot="1" x14ac:dyDescent="0.25">
      <c r="A12" s="440" t="s">
        <v>61</v>
      </c>
      <c r="B12" s="440"/>
      <c r="D12" s="363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75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7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318">
        <f t="shared" si="0"/>
        <v>0</v>
      </c>
      <c r="T12" s="231"/>
      <c r="U12" s="232"/>
      <c r="V12" s="355" t="s">
        <v>41</v>
      </c>
      <c r="W12" s="356"/>
      <c r="X12" s="357" t="e">
        <f t="shared" si="2"/>
        <v>#N/A</v>
      </c>
      <c r="Z12" s="326" t="s">
        <v>52</v>
      </c>
      <c r="AA12" s="386" t="e">
        <f t="shared" si="3"/>
        <v>#N/A</v>
      </c>
    </row>
    <row r="13" spans="1:28" ht="20.100000000000001" customHeight="1" thickBot="1" x14ac:dyDescent="0.3">
      <c r="A13" s="440"/>
      <c r="B13" s="440"/>
      <c r="D13" s="50" t="s">
        <v>9</v>
      </c>
      <c r="E13" s="161">
        <f t="shared" ref="E13:Q13" si="4">SUM(E3:E12)</f>
        <v>0</v>
      </c>
      <c r="F13" s="162">
        <f t="shared" si="4"/>
        <v>0</v>
      </c>
      <c r="G13" s="162">
        <f t="shared" si="4"/>
        <v>0</v>
      </c>
      <c r="H13" s="162">
        <f t="shared" si="4"/>
        <v>0</v>
      </c>
      <c r="I13" s="162">
        <f t="shared" si="4"/>
        <v>0</v>
      </c>
      <c r="J13" s="162">
        <f t="shared" si="4"/>
        <v>0</v>
      </c>
      <c r="K13" s="162">
        <f t="shared" si="4"/>
        <v>0</v>
      </c>
      <c r="L13" s="162">
        <f t="shared" si="4"/>
        <v>0</v>
      </c>
      <c r="M13" s="162">
        <f t="shared" si="4"/>
        <v>0</v>
      </c>
      <c r="N13" s="162">
        <f t="shared" si="4"/>
        <v>0</v>
      </c>
      <c r="O13" s="163">
        <f t="shared" si="4"/>
        <v>0</v>
      </c>
      <c r="P13" s="164">
        <f t="shared" si="4"/>
        <v>0</v>
      </c>
      <c r="Q13" s="319">
        <f t="shared" si="4"/>
        <v>0</v>
      </c>
      <c r="T13" s="231"/>
      <c r="U13" s="232"/>
      <c r="V13" s="355" t="s">
        <v>42</v>
      </c>
      <c r="W13" s="356"/>
      <c r="X13" s="357" t="e">
        <f t="shared" si="2"/>
        <v>#N/A</v>
      </c>
      <c r="Z13" s="327" t="s">
        <v>53</v>
      </c>
      <c r="AA13" s="387" t="e">
        <f t="shared" si="3"/>
        <v>#N/A</v>
      </c>
    </row>
    <row r="14" spans="1:28" ht="20.100000000000001" customHeight="1" thickBot="1" x14ac:dyDescent="0.3">
      <c r="A14" s="440"/>
      <c r="B14" s="440"/>
      <c r="D14" s="83" t="s">
        <v>10</v>
      </c>
      <c r="E14" s="45">
        <f t="shared" ref="E14:Q14" si="5">IFERROR(E13/$B$7,0)</f>
        <v>0</v>
      </c>
      <c r="F14" s="46">
        <f t="shared" si="5"/>
        <v>0</v>
      </c>
      <c r="G14" s="46">
        <f t="shared" si="5"/>
        <v>0</v>
      </c>
      <c r="H14" s="46">
        <f t="shared" si="5"/>
        <v>0</v>
      </c>
      <c r="I14" s="46">
        <f t="shared" si="5"/>
        <v>0</v>
      </c>
      <c r="J14" s="46">
        <f t="shared" si="5"/>
        <v>0</v>
      </c>
      <c r="K14" s="46">
        <f t="shared" si="5"/>
        <v>0</v>
      </c>
      <c r="L14" s="46">
        <f t="shared" si="5"/>
        <v>0</v>
      </c>
      <c r="M14" s="46">
        <f t="shared" si="5"/>
        <v>0</v>
      </c>
      <c r="N14" s="46">
        <f t="shared" si="5"/>
        <v>0</v>
      </c>
      <c r="O14" s="45">
        <f t="shared" si="5"/>
        <v>0</v>
      </c>
      <c r="P14" s="47">
        <f t="shared" si="5"/>
        <v>0</v>
      </c>
      <c r="Q14" s="329">
        <f t="shared" si="5"/>
        <v>0</v>
      </c>
      <c r="V14" s="391" t="s">
        <v>43</v>
      </c>
      <c r="W14" s="358"/>
      <c r="X14" s="359" t="e">
        <f>IF(OR(W14=0, W14=""), NA(), W14/$B$6)</f>
        <v>#N/A</v>
      </c>
      <c r="Y14" s="389"/>
      <c r="Z14" s="393" t="s">
        <v>55</v>
      </c>
      <c r="AA14" s="388" t="e">
        <f>IF(W14&lt;&gt;0,W14-W13,NA())</f>
        <v>#N/A</v>
      </c>
      <c r="AB14" s="389"/>
    </row>
    <row r="15" spans="1:28" ht="18" customHeight="1" thickBot="1" x14ac:dyDescent="0.25">
      <c r="A15" s="441" t="s">
        <v>68</v>
      </c>
      <c r="B15" s="441"/>
      <c r="C15" s="1"/>
      <c r="D15" s="1"/>
      <c r="Q15" s="328"/>
      <c r="V15" s="324" t="s">
        <v>44</v>
      </c>
      <c r="W15" s="360"/>
      <c r="X15" s="390" t="e">
        <f>IF(OR(W15=0, W15=""), NA(), W15/$B$6)</f>
        <v>#N/A</v>
      </c>
      <c r="Z15" s="394" t="s">
        <v>56</v>
      </c>
      <c r="AA15" s="392" t="e">
        <f>IF(W15&lt;&gt;0,W15-W14,NA())</f>
        <v>#N/A</v>
      </c>
      <c r="AB15" s="389"/>
    </row>
    <row r="16" spans="1:28" ht="12.75" customHeight="1" x14ac:dyDescent="0.2">
      <c r="A16" s="441"/>
      <c r="B16" s="441"/>
      <c r="V16" s="328"/>
      <c r="W16" s="328"/>
      <c r="X16" s="328"/>
      <c r="AA16" s="328"/>
    </row>
    <row r="17" spans="1:11" ht="18" customHeight="1" x14ac:dyDescent="0.25">
      <c r="A17" s="441"/>
      <c r="B17" s="441"/>
      <c r="E17" s="230"/>
    </row>
    <row r="18" spans="1:11" ht="26.25" customHeight="1" x14ac:dyDescent="0.2">
      <c r="A18" s="441"/>
      <c r="B18" s="441"/>
    </row>
    <row r="23" spans="1:11" x14ac:dyDescent="0.2">
      <c r="H23" s="177" t="s">
        <v>64</v>
      </c>
      <c r="J23" s="245">
        <f>CEILING($B$6, 100)/100</f>
        <v>7</v>
      </c>
      <c r="K23" s="245">
        <f>CEILING($B$7,100)/100</f>
        <v>0</v>
      </c>
    </row>
    <row r="24" spans="1:11" x14ac:dyDescent="0.2">
      <c r="H24" s="178">
        <f>IF((ROW()-23)&lt;=$K$24,(ROW()-23),"Choisir")</f>
        <v>1</v>
      </c>
      <c r="J24" s="245">
        <f>MOD($B$7,100)</f>
        <v>0</v>
      </c>
      <c r="K24" s="246">
        <f>CEILING($B$6/300,1)</f>
        <v>3</v>
      </c>
    </row>
    <row r="25" spans="1:11" x14ac:dyDescent="0.2">
      <c r="H25" s="178">
        <f>IF((ROW()-23)&lt;=$K$24,(ROW()-23),"Choisir")</f>
        <v>2</v>
      </c>
    </row>
    <row r="26" spans="1:11" x14ac:dyDescent="0.2">
      <c r="H26" s="178">
        <f>IF((ROW()-23)&lt;=$K$24,(ROW()-23),"Choisir")</f>
        <v>3</v>
      </c>
    </row>
    <row r="27" spans="1:11" x14ac:dyDescent="0.2">
      <c r="H27" s="178" t="str">
        <f>IF((ROW()-23)&lt;=$K$24,(ROW()-23),"Choisir")</f>
        <v>Choisir</v>
      </c>
    </row>
    <row r="46" spans="4:17" x14ac:dyDescent="0.2">
      <c r="E46" s="169"/>
    </row>
    <row r="47" spans="4:17" ht="13.5" thickBot="1" x14ac:dyDescent="0.25">
      <c r="E47" s="169"/>
    </row>
    <row r="48" spans="4:17" ht="20.100000000000001" customHeight="1" thickBot="1" x14ac:dyDescent="0.25">
      <c r="D48" s="235" t="s">
        <v>79</v>
      </c>
      <c r="E48" s="432" t="s">
        <v>103</v>
      </c>
      <c r="F48" s="433"/>
      <c r="G48" s="433"/>
      <c r="H48" s="433"/>
      <c r="I48" s="433"/>
      <c r="J48" s="433"/>
      <c r="K48" s="433"/>
      <c r="L48" s="433"/>
      <c r="M48" s="433"/>
      <c r="N48" s="433"/>
      <c r="O48" s="433"/>
      <c r="P48" s="434"/>
      <c r="Q48" s="395" t="s">
        <v>7</v>
      </c>
    </row>
    <row r="49" spans="3:17" ht="47.25" customHeight="1" thickBot="1" x14ac:dyDescent="0.25">
      <c r="C49" s="233"/>
      <c r="D49" s="371" t="s">
        <v>82</v>
      </c>
      <c r="E49" s="365" t="s">
        <v>69</v>
      </c>
      <c r="F49" s="365" t="s">
        <v>100</v>
      </c>
      <c r="G49" s="365" t="s">
        <v>70</v>
      </c>
      <c r="H49" s="365" t="s">
        <v>71</v>
      </c>
      <c r="I49" s="365" t="s">
        <v>72</v>
      </c>
      <c r="J49" s="365" t="s">
        <v>73</v>
      </c>
      <c r="K49" s="365" t="s">
        <v>74</v>
      </c>
      <c r="L49" s="365" t="s">
        <v>75</v>
      </c>
      <c r="M49" s="365" t="s">
        <v>76</v>
      </c>
      <c r="N49" s="365" t="s">
        <v>77</v>
      </c>
      <c r="O49" s="375" t="s">
        <v>3</v>
      </c>
      <c r="P49" s="374" t="s">
        <v>4</v>
      </c>
      <c r="Q49" s="397" t="s">
        <v>104</v>
      </c>
    </row>
    <row r="50" spans="3:17" ht="19.5" customHeight="1" x14ac:dyDescent="0.2">
      <c r="C50" s="234"/>
      <c r="D50" s="370" t="s">
        <v>81</v>
      </c>
      <c r="E50" s="320"/>
      <c r="F50" s="321"/>
      <c r="G50" s="321"/>
      <c r="H50" s="321"/>
      <c r="I50" s="321"/>
      <c r="J50" s="321"/>
      <c r="K50" s="321"/>
      <c r="L50" s="321"/>
      <c r="M50" s="321"/>
      <c r="N50" s="322"/>
      <c r="O50" s="323"/>
      <c r="P50" s="322"/>
      <c r="Q50" s="396">
        <f t="shared" ref="Q50:Q59" si="6">SUM(E50:P50)</f>
        <v>0</v>
      </c>
    </row>
    <row r="51" spans="3:17" ht="20.100000000000001" customHeight="1" x14ac:dyDescent="0.2">
      <c r="C51" s="234"/>
      <c r="D51" s="370" t="s">
        <v>81</v>
      </c>
      <c r="E51" s="320"/>
      <c r="F51" s="321"/>
      <c r="G51" s="321"/>
      <c r="H51" s="321"/>
      <c r="I51" s="321"/>
      <c r="J51" s="321"/>
      <c r="K51" s="321"/>
      <c r="L51" s="321"/>
      <c r="M51" s="321"/>
      <c r="N51" s="322"/>
      <c r="O51" s="323"/>
      <c r="P51" s="322"/>
      <c r="Q51" s="396">
        <f t="shared" si="6"/>
        <v>0</v>
      </c>
    </row>
    <row r="52" spans="3:17" ht="20.100000000000001" customHeight="1" x14ac:dyDescent="0.2">
      <c r="C52" s="234"/>
      <c r="D52" s="370" t="s">
        <v>81</v>
      </c>
      <c r="E52" s="320"/>
      <c r="F52" s="321"/>
      <c r="G52" s="321"/>
      <c r="H52" s="321"/>
      <c r="I52" s="321"/>
      <c r="J52" s="321"/>
      <c r="K52" s="321"/>
      <c r="L52" s="321"/>
      <c r="M52" s="321"/>
      <c r="N52" s="322"/>
      <c r="O52" s="323"/>
      <c r="P52" s="322"/>
      <c r="Q52" s="396">
        <f t="shared" si="6"/>
        <v>0</v>
      </c>
    </row>
    <row r="53" spans="3:17" ht="20.100000000000001" customHeight="1" x14ac:dyDescent="0.2">
      <c r="C53" s="234"/>
      <c r="D53" s="370" t="s">
        <v>81</v>
      </c>
      <c r="E53" s="320"/>
      <c r="F53" s="321"/>
      <c r="G53" s="321"/>
      <c r="H53" s="321"/>
      <c r="I53" s="321"/>
      <c r="J53" s="321"/>
      <c r="K53" s="321"/>
      <c r="L53" s="321"/>
      <c r="M53" s="321"/>
      <c r="N53" s="322"/>
      <c r="O53" s="323"/>
      <c r="P53" s="322"/>
      <c r="Q53" s="396">
        <f t="shared" si="6"/>
        <v>0</v>
      </c>
    </row>
    <row r="54" spans="3:17" ht="20.100000000000001" customHeight="1" x14ac:dyDescent="0.2">
      <c r="C54" s="234"/>
      <c r="D54" s="370" t="s">
        <v>81</v>
      </c>
      <c r="E54" s="320"/>
      <c r="F54" s="321"/>
      <c r="G54" s="321"/>
      <c r="H54" s="321"/>
      <c r="I54" s="321"/>
      <c r="J54" s="321"/>
      <c r="K54" s="321"/>
      <c r="L54" s="321"/>
      <c r="M54" s="321"/>
      <c r="N54" s="322"/>
      <c r="O54" s="323"/>
      <c r="P54" s="322"/>
      <c r="Q54" s="396">
        <f t="shared" si="6"/>
        <v>0</v>
      </c>
    </row>
    <row r="55" spans="3:17" ht="20.100000000000001" customHeight="1" x14ac:dyDescent="0.2">
      <c r="C55" s="234"/>
      <c r="D55" s="370" t="s">
        <v>81</v>
      </c>
      <c r="E55" s="320"/>
      <c r="F55" s="321"/>
      <c r="G55" s="321"/>
      <c r="H55" s="321"/>
      <c r="I55" s="321"/>
      <c r="J55" s="321"/>
      <c r="K55" s="321"/>
      <c r="L55" s="321"/>
      <c r="M55" s="321"/>
      <c r="N55" s="322"/>
      <c r="O55" s="323"/>
      <c r="P55" s="322"/>
      <c r="Q55" s="396">
        <f t="shared" si="6"/>
        <v>0</v>
      </c>
    </row>
    <row r="56" spans="3:17" ht="20.100000000000001" customHeight="1" x14ac:dyDescent="0.2">
      <c r="C56" s="234"/>
      <c r="D56" s="370" t="s">
        <v>81</v>
      </c>
      <c r="E56" s="320"/>
      <c r="F56" s="321"/>
      <c r="G56" s="321"/>
      <c r="H56" s="321"/>
      <c r="I56" s="321"/>
      <c r="J56" s="321"/>
      <c r="K56" s="321"/>
      <c r="L56" s="321"/>
      <c r="M56" s="321"/>
      <c r="N56" s="322"/>
      <c r="O56" s="323"/>
      <c r="P56" s="322"/>
      <c r="Q56" s="396">
        <f t="shared" si="6"/>
        <v>0</v>
      </c>
    </row>
    <row r="57" spans="3:17" ht="20.100000000000001" customHeight="1" x14ac:dyDescent="0.2">
      <c r="C57" s="234"/>
      <c r="D57" s="370" t="s">
        <v>81</v>
      </c>
      <c r="E57" s="320"/>
      <c r="F57" s="321"/>
      <c r="G57" s="321"/>
      <c r="H57" s="321"/>
      <c r="I57" s="321"/>
      <c r="J57" s="321"/>
      <c r="K57" s="321"/>
      <c r="L57" s="321"/>
      <c r="M57" s="321"/>
      <c r="N57" s="322"/>
      <c r="O57" s="323"/>
      <c r="P57" s="322"/>
      <c r="Q57" s="396">
        <f t="shared" si="6"/>
        <v>0</v>
      </c>
    </row>
    <row r="58" spans="3:17" ht="20.100000000000001" customHeight="1" x14ac:dyDescent="0.2">
      <c r="C58" s="234"/>
      <c r="D58" s="370" t="s">
        <v>81</v>
      </c>
      <c r="E58" s="320"/>
      <c r="F58" s="321"/>
      <c r="G58" s="321"/>
      <c r="H58" s="321"/>
      <c r="I58" s="321"/>
      <c r="J58" s="321"/>
      <c r="K58" s="321"/>
      <c r="L58" s="321"/>
      <c r="M58" s="321"/>
      <c r="N58" s="322"/>
      <c r="O58" s="323"/>
      <c r="P58" s="322"/>
      <c r="Q58" s="396">
        <f t="shared" si="6"/>
        <v>0</v>
      </c>
    </row>
    <row r="59" spans="3:17" ht="20.100000000000001" customHeight="1" thickBot="1" x14ac:dyDescent="0.25">
      <c r="C59" s="234"/>
      <c r="D59" s="376" t="s">
        <v>81</v>
      </c>
      <c r="E59" s="377"/>
      <c r="F59" s="378"/>
      <c r="G59" s="378"/>
      <c r="H59" s="378"/>
      <c r="I59" s="378"/>
      <c r="J59" s="378"/>
      <c r="K59" s="378"/>
      <c r="L59" s="378"/>
      <c r="M59" s="378"/>
      <c r="N59" s="379"/>
      <c r="O59" s="380"/>
      <c r="P59" s="379"/>
      <c r="Q59" s="396">
        <f t="shared" si="6"/>
        <v>0</v>
      </c>
    </row>
    <row r="60" spans="3:17" x14ac:dyDescent="0.2">
      <c r="Q60" s="328"/>
    </row>
    <row r="63" spans="3:17" ht="18" x14ac:dyDescent="0.25">
      <c r="E63" s="230"/>
    </row>
    <row r="65" spans="4:17" ht="13.5" thickBot="1" x14ac:dyDescent="0.25"/>
    <row r="66" spans="4:17" ht="16.5" customHeight="1" thickBot="1" x14ac:dyDescent="0.25">
      <c r="D66" s="235" t="s">
        <v>80</v>
      </c>
      <c r="E66" s="432" t="s">
        <v>102</v>
      </c>
      <c r="F66" s="433"/>
      <c r="G66" s="433"/>
      <c r="H66" s="433"/>
      <c r="I66" s="433"/>
      <c r="J66" s="433"/>
      <c r="K66" s="433"/>
      <c r="L66" s="433"/>
      <c r="M66" s="433"/>
      <c r="N66" s="433"/>
      <c r="O66" s="433"/>
      <c r="P66" s="434"/>
      <c r="Q66" s="395" t="s">
        <v>7</v>
      </c>
    </row>
    <row r="67" spans="4:17" ht="42" customHeight="1" thickBot="1" x14ac:dyDescent="0.25">
      <c r="D67" s="371" t="s">
        <v>82</v>
      </c>
      <c r="E67" s="365" t="s">
        <v>69</v>
      </c>
      <c r="F67" s="365" t="s">
        <v>100</v>
      </c>
      <c r="G67" s="365" t="s">
        <v>70</v>
      </c>
      <c r="H67" s="365" t="s">
        <v>71</v>
      </c>
      <c r="I67" s="365" t="s">
        <v>72</v>
      </c>
      <c r="J67" s="365" t="s">
        <v>73</v>
      </c>
      <c r="K67" s="365" t="s">
        <v>74</v>
      </c>
      <c r="L67" s="365" t="s">
        <v>75</v>
      </c>
      <c r="M67" s="365" t="s">
        <v>76</v>
      </c>
      <c r="N67" s="365" t="s">
        <v>77</v>
      </c>
      <c r="O67" s="375" t="s">
        <v>3</v>
      </c>
      <c r="P67" s="374" t="s">
        <v>4</v>
      </c>
      <c r="Q67" s="402" t="s">
        <v>104</v>
      </c>
    </row>
    <row r="68" spans="4:17" ht="20.100000000000001" customHeight="1" x14ac:dyDescent="0.2">
      <c r="D68" s="244" t="s">
        <v>81</v>
      </c>
      <c r="E68" s="237"/>
      <c r="F68" s="238"/>
      <c r="G68" s="238"/>
      <c r="H68" s="238"/>
      <c r="I68" s="238"/>
      <c r="J68" s="238"/>
      <c r="K68" s="238"/>
      <c r="L68" s="238"/>
      <c r="M68" s="238"/>
      <c r="N68" s="239"/>
      <c r="O68" s="240"/>
      <c r="P68" s="239"/>
      <c r="Q68" s="399">
        <f t="shared" ref="Q68:Q72" si="7">SUM(E68:P68)</f>
        <v>0</v>
      </c>
    </row>
    <row r="69" spans="4:17" ht="20.100000000000001" customHeight="1" x14ac:dyDescent="0.2">
      <c r="D69" s="242" t="s">
        <v>81</v>
      </c>
      <c r="E69" s="179"/>
      <c r="F69" s="180"/>
      <c r="G69" s="180"/>
      <c r="H69" s="180"/>
      <c r="I69" s="180"/>
      <c r="J69" s="180"/>
      <c r="K69" s="180"/>
      <c r="L69" s="180"/>
      <c r="M69" s="180"/>
      <c r="N69" s="181"/>
      <c r="O69" s="182"/>
      <c r="P69" s="181"/>
      <c r="Q69" s="318">
        <f t="shared" si="7"/>
        <v>0</v>
      </c>
    </row>
    <row r="70" spans="4:17" ht="20.100000000000001" customHeight="1" x14ac:dyDescent="0.2">
      <c r="D70" s="242" t="s">
        <v>81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1"/>
      <c r="O70" s="182"/>
      <c r="P70" s="181"/>
      <c r="Q70" s="318">
        <f t="shared" si="7"/>
        <v>0</v>
      </c>
    </row>
    <row r="71" spans="4:17" ht="20.100000000000001" customHeight="1" x14ac:dyDescent="0.2">
      <c r="D71" s="242" t="s">
        <v>81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1"/>
      <c r="O71" s="182"/>
      <c r="P71" s="181"/>
      <c r="Q71" s="318">
        <f t="shared" si="7"/>
        <v>0</v>
      </c>
    </row>
    <row r="72" spans="4:17" ht="20.100000000000001" customHeight="1" thickBot="1" x14ac:dyDescent="0.25">
      <c r="D72" s="243" t="s">
        <v>81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5"/>
      <c r="O72" s="186"/>
      <c r="P72" s="185"/>
      <c r="Q72" s="400">
        <f t="shared" si="7"/>
        <v>0</v>
      </c>
    </row>
    <row r="73" spans="4:1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</row>
    <row r="74" spans="4:1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</row>
    <row r="75" spans="4:1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</row>
    <row r="76" spans="4:17" ht="20.100000000000001" customHeight="1" thickBot="1" x14ac:dyDescent="0.25">
      <c r="D76" s="235" t="s">
        <v>84</v>
      </c>
      <c r="E76" s="432" t="s">
        <v>101</v>
      </c>
      <c r="F76" s="433"/>
      <c r="G76" s="433"/>
      <c r="H76" s="433"/>
      <c r="I76" s="433"/>
      <c r="J76" s="433"/>
      <c r="K76" s="433"/>
      <c r="L76" s="433"/>
      <c r="M76" s="433"/>
      <c r="N76" s="433"/>
      <c r="O76" s="433"/>
      <c r="P76" s="434"/>
      <c r="Q76" s="401" t="s">
        <v>7</v>
      </c>
    </row>
    <row r="77" spans="4:17" ht="39.75" customHeight="1" thickBot="1" x14ac:dyDescent="0.25">
      <c r="D77" s="371" t="s">
        <v>82</v>
      </c>
      <c r="E77" s="365" t="s">
        <v>69</v>
      </c>
      <c r="F77" s="365" t="s">
        <v>100</v>
      </c>
      <c r="G77" s="365" t="s">
        <v>70</v>
      </c>
      <c r="H77" s="365" t="s">
        <v>71</v>
      </c>
      <c r="I77" s="365" t="s">
        <v>72</v>
      </c>
      <c r="J77" s="365" t="s">
        <v>73</v>
      </c>
      <c r="K77" s="365" t="s">
        <v>74</v>
      </c>
      <c r="L77" s="365" t="s">
        <v>75</v>
      </c>
      <c r="M77" s="365" t="s">
        <v>76</v>
      </c>
      <c r="N77" s="365" t="s">
        <v>77</v>
      </c>
      <c r="O77" s="375" t="s">
        <v>3</v>
      </c>
      <c r="P77" s="374" t="s">
        <v>4</v>
      </c>
      <c r="Q77" s="398" t="s">
        <v>104</v>
      </c>
    </row>
    <row r="78" spans="4:17" ht="20.100000000000001" customHeight="1" x14ac:dyDescent="0.2">
      <c r="D78" s="244" t="s">
        <v>81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9"/>
      <c r="O78" s="240"/>
      <c r="P78" s="239"/>
      <c r="Q78" s="399">
        <f t="shared" ref="Q78:Q80" si="8">SUM(E78:P78)</f>
        <v>0</v>
      </c>
    </row>
    <row r="79" spans="4:17" ht="20.100000000000001" customHeight="1" x14ac:dyDescent="0.2">
      <c r="D79" s="242" t="s">
        <v>81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1"/>
      <c r="O79" s="182"/>
      <c r="P79" s="181"/>
      <c r="Q79" s="318">
        <f t="shared" si="8"/>
        <v>0</v>
      </c>
    </row>
    <row r="80" spans="4:17" ht="20.100000000000001" customHeight="1" thickBot="1" x14ac:dyDescent="0.25">
      <c r="D80" s="243" t="s">
        <v>81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5"/>
      <c r="O80" s="186"/>
      <c r="P80" s="185"/>
      <c r="Q80" s="400">
        <f t="shared" si="8"/>
        <v>0</v>
      </c>
    </row>
    <row r="81" spans="4:1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41"/>
    </row>
    <row r="82" spans="4:1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41"/>
    </row>
  </sheetData>
  <sheetProtection algorithmName="SHA-512" hashValue="T2rz4KWgIlhVjWCP+higzLsgt8XZKKqg/I9Bh14ty26OGu+HoXz0u0Lu8rNGSxSfxS9DsmBDPYcJuVPDzl7Kww==" saltValue="WPALssh2+Pit1QGzp6Y6dg==" spinCount="100000" sheet="1" objects="1" scenarios="1"/>
  <mergeCells count="7">
    <mergeCell ref="E76:P76"/>
    <mergeCell ref="E1:P1"/>
    <mergeCell ref="A10:B11"/>
    <mergeCell ref="A12:B14"/>
    <mergeCell ref="A15:B18"/>
    <mergeCell ref="E48:P48"/>
    <mergeCell ref="E66:P66"/>
  </mergeCells>
  <conditionalFormatting sqref="B8">
    <cfRule type="cellIs" dxfId="247" priority="5" operator="notEqual">
      <formula>$B$7</formula>
    </cfRule>
  </conditionalFormatting>
  <conditionalFormatting sqref="E3:Q12">
    <cfRule type="cellIs" dxfId="246" priority="4" operator="notBetween">
      <formula>0</formula>
      <formula>100</formula>
    </cfRule>
  </conditionalFormatting>
  <conditionalFormatting sqref="E3:Q14">
    <cfRule type="cellIs" dxfId="245" priority="7" operator="lessThan">
      <formula>0</formula>
    </cfRule>
  </conditionalFormatting>
  <conditionalFormatting sqref="E14:Q14">
    <cfRule type="cellIs" dxfId="244" priority="10" operator="greaterThan">
      <formula>1</formula>
    </cfRule>
  </conditionalFormatting>
  <conditionalFormatting sqref="Q3:Q13">
    <cfRule type="cellIs" dxfId="243" priority="8" operator="equal">
      <formula>0</formula>
    </cfRule>
  </conditionalFormatting>
  <conditionalFormatting sqref="Q13">
    <cfRule type="cellIs" dxfId="242" priority="12" operator="equal">
      <formula>$B$7</formula>
    </cfRule>
  </conditionalFormatting>
  <conditionalFormatting sqref="Q14">
    <cfRule type="cellIs" dxfId="241" priority="9" operator="equal">
      <formula>1</formula>
    </cfRule>
    <cfRule type="cellIs" dxfId="240" priority="11" operator="lessThan">
      <formula>1</formula>
    </cfRule>
  </conditionalFormatting>
  <conditionalFormatting sqref="W4:W15">
    <cfRule type="expression" dxfId="239" priority="13">
      <formula>AND($W4&lt;$W3, NOT(ISBLANK($W4)))</formula>
    </cfRule>
    <cfRule type="cellIs" dxfId="238" priority="14" operator="greaterThan">
      <formula>$B$6</formula>
    </cfRule>
  </conditionalFormatting>
  <conditionalFormatting sqref="X4:X15">
    <cfRule type="cellIs" dxfId="237" priority="6" operator="greaterThan">
      <formula>1</formula>
    </cfRule>
  </conditionalFormatting>
  <conditionalFormatting sqref="D68:D72 D50:D59 D78:D80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3:P12">
    <cfRule type="expression" dxfId="236" priority="15">
      <formula>($D3&lt;=$K$23)</formula>
    </cfRule>
  </conditionalFormatting>
  <conditionalFormatting sqref="Q3:Q12">
    <cfRule type="expression" dxfId="235" priority="16">
      <formula>AND($D3=$K$23, Q3=$J$24)</formula>
    </cfRule>
    <cfRule type="expression" dxfId="234" priority="17">
      <formula>AND($D3=$K$23, MOD(Q3,100)&gt;$J$24)</formula>
    </cfRule>
    <cfRule type="cellIs" dxfId="233" priority="18" operator="equal">
      <formula>100</formula>
    </cfRule>
  </conditionalFormatting>
  <conditionalFormatting sqref="D3:P12">
    <cfRule type="expression" dxfId="232" priority="22">
      <formula>($D3&gt;$K$23)</formula>
    </cfRule>
  </conditionalFormatting>
  <conditionalFormatting sqref="Q50">
    <cfRule type="cellIs" dxfId="231" priority="23" operator="lessThan">
      <formula>0</formula>
    </cfRule>
    <cfRule type="cellIs" dxfId="230" priority="24" operator="equal">
      <formula>0</formula>
    </cfRule>
    <cfRule type="expression" dxfId="229" priority="25">
      <formula>OR(MOD($Q50,100)=0,AND($D50=$K$23,MOD($Q50,100)=$J$24))</formula>
    </cfRule>
  </conditionalFormatting>
  <conditionalFormatting sqref="E50:P59">
    <cfRule type="expression" dxfId="228" priority="2">
      <formula>AND(E50&lt;MAX(E$50:E50), NOT(ISBLANK(E50)), NOT(E50=0))</formula>
    </cfRule>
  </conditionalFormatting>
  <conditionalFormatting sqref="Q52:Q59 Q68:Q72 Q78:Q80">
    <cfRule type="cellIs" dxfId="227" priority="27" operator="lessThan">
      <formula>0</formula>
    </cfRule>
    <cfRule type="cellIs" dxfId="226" priority="28" operator="equal">
      <formula>0</formula>
    </cfRule>
    <cfRule type="expression" dxfId="225" priority="29">
      <formula>OR(MOD($Q52,100)=0,AND($D52=$K$23,MOD($Q52,100)=$J$24))</formula>
    </cfRule>
  </conditionalFormatting>
  <conditionalFormatting sqref="Q51">
    <cfRule type="cellIs" dxfId="224" priority="30" operator="lessThan">
      <formula>0</formula>
    </cfRule>
    <cfRule type="cellIs" dxfId="223" priority="31" operator="equal">
      <formula>0</formula>
    </cfRule>
    <cfRule type="expression" dxfId="222" priority="32">
      <formula>OR(MOD($Q51,100)=0,AND($D50=$K$23,MOD($Q51,100)=$J$24))</formula>
    </cfRule>
  </conditionalFormatting>
  <conditionalFormatting sqref="E50:P59 E68:P72 E78:P80">
    <cfRule type="cellIs" dxfId="219" priority="19" operator="notBetween">
      <formula>0</formula>
      <formula>$B$7</formula>
    </cfRule>
    <cfRule type="expression" dxfId="220" priority="20">
      <formula>($D50&lt;=$K$23)</formula>
    </cfRule>
    <cfRule type="expression" dxfId="221" priority="21">
      <formula>($D50&gt;$K$23)</formula>
    </cfRule>
  </conditionalFormatting>
  <conditionalFormatting sqref="E68:P72">
    <cfRule type="expression" dxfId="218" priority="1">
      <formula>AND(E68&lt;MAX(E$68:E68), NOT(ISBLANK(E68)), NOT(E68=0))</formula>
    </cfRule>
  </conditionalFormatting>
  <conditionalFormatting sqref="E78:P80">
    <cfRule type="expression" dxfId="217" priority="26">
      <formula>AND(E78&lt;MAX(E$78:E78), NOT(ISBLANK(E78)), NOT(E78=0))</formula>
    </cfRule>
  </conditionalFormatting>
  <dataValidations count="2">
    <dataValidation type="list" allowBlank="1" showInputMessage="1" showErrorMessage="1" sqref="D68:D72 D78:D82 D50:D59" xr:uid="{CF8ACC23-3548-43A6-9B60-64ED75DA6178}">
      <formula1>$D$3:$D$12</formula1>
    </dataValidation>
    <dataValidation type="list" allowBlank="1" showInputMessage="1" showErrorMessage="1" sqref="C50:C59" xr:uid="{0E9EB28D-3152-436A-87E8-04E7468300FD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28888-CB19-4620-9138-BE7A57FD0370}">
  <sheetPr codeName="Feuil35">
    <tabColor rgb="FFB4A7D6"/>
  </sheetPr>
  <dimension ref="A1:AB82"/>
  <sheetViews>
    <sheetView zoomScale="80" zoomScaleNormal="80" workbookViewId="0">
      <pane xSplit="2" topLeftCell="C1" activePane="topRight" state="frozen"/>
      <selection pane="topRight" activeCell="R3" sqref="R3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4" width="15.7109375" customWidth="1"/>
    <col min="17" max="17" width="12.85546875" customWidth="1"/>
    <col min="18" max="18" width="11.42578125" customWidth="1"/>
    <col min="21" max="21" width="10.42578125" customWidth="1"/>
    <col min="22" max="22" width="15.42578125" customWidth="1"/>
    <col min="23" max="23" width="16.140625" customWidth="1"/>
    <col min="24" max="24" width="12" customWidth="1"/>
    <col min="26" max="26" width="13.28515625" customWidth="1"/>
    <col min="27" max="27" width="14.42578125" customWidth="1"/>
  </cols>
  <sheetData>
    <row r="1" spans="1:28" ht="16.5" customHeight="1" thickBot="1" x14ac:dyDescent="0.25">
      <c r="A1" s="315" t="s">
        <v>11</v>
      </c>
      <c r="B1" s="33">
        <f>Synthèse!B17</f>
        <v>46096</v>
      </c>
      <c r="D1" s="314"/>
      <c r="E1" s="435" t="s">
        <v>66</v>
      </c>
      <c r="F1" s="436"/>
      <c r="G1" s="436"/>
      <c r="H1" s="436"/>
      <c r="I1" s="436"/>
      <c r="J1" s="436"/>
      <c r="K1" s="436"/>
      <c r="L1" s="436"/>
      <c r="M1" s="436"/>
      <c r="N1" s="436"/>
      <c r="O1" s="436"/>
      <c r="P1" s="437"/>
      <c r="Q1" s="443" t="s">
        <v>7</v>
      </c>
    </row>
    <row r="2" spans="1:28" ht="39.75" customHeight="1" thickBot="1" x14ac:dyDescent="0.25">
      <c r="A2" s="316" t="s">
        <v>12</v>
      </c>
      <c r="B2" s="34" t="str">
        <f>Synthèse!B18</f>
        <v>Municipales 1er tour</v>
      </c>
      <c r="D2" s="364" t="s">
        <v>83</v>
      </c>
      <c r="E2" s="365" t="str">
        <f>Synthèse!L2</f>
        <v>Candidat 1</v>
      </c>
      <c r="F2" s="365" t="str">
        <f>Synthèse!M2</f>
        <v>Candidat 2</v>
      </c>
      <c r="G2" s="365" t="str">
        <f>Synthèse!N2</f>
        <v>Candidat 3</v>
      </c>
      <c r="H2" s="365" t="str">
        <f>Synthèse!O2</f>
        <v>Candidat 4</v>
      </c>
      <c r="I2" s="365" t="str">
        <f>Synthèse!P2</f>
        <v>Candidat 5</v>
      </c>
      <c r="J2" s="365" t="str">
        <f>Synthèse!Q2</f>
        <v>Candidat 6</v>
      </c>
      <c r="K2" s="365" t="str">
        <f>Synthèse!R2</f>
        <v>Candidat 7</v>
      </c>
      <c r="L2" s="365" t="str">
        <f>Synthèse!S2</f>
        <v>Candidat 8</v>
      </c>
      <c r="M2" s="365" t="str">
        <f>Synthèse!T2</f>
        <v>Candidat 9</v>
      </c>
      <c r="N2" s="365" t="str">
        <f>Synthèse!U2</f>
        <v>Candidat 10</v>
      </c>
      <c r="O2" s="368" t="s">
        <v>3</v>
      </c>
      <c r="P2" s="369" t="s">
        <v>4</v>
      </c>
      <c r="Q2" s="444" t="s">
        <v>105</v>
      </c>
      <c r="V2" s="381" t="s">
        <v>21</v>
      </c>
      <c r="W2" s="382" t="s">
        <v>57</v>
      </c>
      <c r="X2" s="383" t="s">
        <v>31</v>
      </c>
      <c r="Z2" s="384" t="s">
        <v>59</v>
      </c>
      <c r="AA2" s="384" t="s">
        <v>58</v>
      </c>
    </row>
    <row r="3" spans="1:28" ht="20.100000000000001" customHeight="1" thickBot="1" x14ac:dyDescent="0.25">
      <c r="A3" s="317" t="s">
        <v>13</v>
      </c>
      <c r="B3" s="94" t="str">
        <f>Synthèse!B19</f>
        <v>Cogolin</v>
      </c>
      <c r="D3" s="361" t="str" cm="1">
        <f t="array" ref="D3">IF(ROW(1:1)&lt;=$K$23, (ROW(1:1)), "")</f>
        <v/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70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171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72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318">
        <f t="shared" ref="Q3:Q12" si="0">SUM(E3:P3)</f>
        <v>0</v>
      </c>
      <c r="V3" s="352" t="s">
        <v>32</v>
      </c>
      <c r="W3" s="353">
        <v>0</v>
      </c>
      <c r="X3" s="354">
        <f t="shared" ref="X3" si="1">W3/$B$6</f>
        <v>0</v>
      </c>
      <c r="Z3" s="330"/>
      <c r="AA3" s="330"/>
    </row>
    <row r="4" spans="1:28" ht="20.100000000000001" customHeight="1" x14ac:dyDescent="0.2">
      <c r="A4" s="95" t="s">
        <v>23</v>
      </c>
      <c r="B4" s="168">
        <v>6</v>
      </c>
      <c r="D4" s="362" t="str" cm="1">
        <f t="array" ref="D4">IF(ROW(2:2)&lt;=$K$23, (ROW(2:2)), "")</f>
        <v/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7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158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318">
        <f t="shared" si="0"/>
        <v>0</v>
      </c>
      <c r="V4" s="355" t="s">
        <v>33</v>
      </c>
      <c r="W4" s="356"/>
      <c r="X4" s="357" t="e">
        <f t="shared" ref="X4:X13" si="2">IF(OR(W4=0, W4=""), NA(), W4/$B$6)</f>
        <v>#N/A</v>
      </c>
      <c r="Z4" s="325" t="s">
        <v>45</v>
      </c>
      <c r="AA4" s="385" t="e">
        <f t="shared" ref="AA4:AA13" si="3">IF(W4&lt;&gt;0,W4-W3,NA())</f>
        <v>#N/A</v>
      </c>
    </row>
    <row r="5" spans="1:28" ht="20.100000000000001" customHeight="1" x14ac:dyDescent="0.2">
      <c r="A5" s="96" t="s">
        <v>24</v>
      </c>
      <c r="B5" s="187" t="s">
        <v>28</v>
      </c>
      <c r="D5" s="362" t="str" cm="1">
        <f t="array" ref="D5">IF(ROW(3:3)&lt;=$K$23, (ROW(3:3)), "")</f>
        <v/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173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174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318">
        <f t="shared" si="0"/>
        <v>0</v>
      </c>
      <c r="T5" s="231"/>
      <c r="U5" s="232"/>
      <c r="V5" s="355" t="s">
        <v>34</v>
      </c>
      <c r="W5" s="356"/>
      <c r="X5" s="357" t="e">
        <f t="shared" si="2"/>
        <v>#N/A</v>
      </c>
      <c r="Z5" s="326" t="s">
        <v>46</v>
      </c>
      <c r="AA5" s="386" t="e">
        <f t="shared" si="3"/>
        <v>#N/A</v>
      </c>
    </row>
    <row r="6" spans="1:28" ht="20.100000000000001" customHeight="1" x14ac:dyDescent="0.2">
      <c r="A6" s="96" t="s">
        <v>0</v>
      </c>
      <c r="B6" s="188">
        <v>687</v>
      </c>
      <c r="D6" s="362" t="str" cm="1">
        <f t="array" ref="D6">IF(ROW(4:4)&lt;=$K$23, (ROW(4:4)), "")</f>
        <v/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173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174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318">
        <f t="shared" si="0"/>
        <v>0</v>
      </c>
      <c r="T6" s="231"/>
      <c r="U6" s="232"/>
      <c r="V6" s="355" t="s">
        <v>35</v>
      </c>
      <c r="W6" s="356"/>
      <c r="X6" s="357" t="e">
        <f t="shared" si="2"/>
        <v>#N/A</v>
      </c>
      <c r="Z6" s="326" t="s">
        <v>47</v>
      </c>
      <c r="AA6" s="386" t="e">
        <f t="shared" si="3"/>
        <v>#N/A</v>
      </c>
    </row>
    <row r="7" spans="1:28" ht="20.100000000000001" customHeight="1" x14ac:dyDescent="0.2">
      <c r="A7" s="96" t="s">
        <v>2</v>
      </c>
      <c r="B7" s="165">
        <f>MAX(W4:W15)</f>
        <v>0</v>
      </c>
      <c r="D7" s="362" t="str" cm="1">
        <f t="array" ref="D7">IF(ROW(5:5)&lt;=$K$23, (ROW(5:5)), "")</f>
        <v/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7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158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318">
        <f t="shared" si="0"/>
        <v>0</v>
      </c>
      <c r="T7" s="231"/>
      <c r="U7" s="232"/>
      <c r="V7" s="355" t="s">
        <v>36</v>
      </c>
      <c r="W7" s="356"/>
      <c r="X7" s="357" t="e">
        <f t="shared" si="2"/>
        <v>#N/A</v>
      </c>
      <c r="Z7" s="326" t="s">
        <v>54</v>
      </c>
      <c r="AA7" s="386" t="e">
        <f t="shared" si="3"/>
        <v>#N/A</v>
      </c>
    </row>
    <row r="8" spans="1:28" ht="20.100000000000001" customHeight="1" x14ac:dyDescent="0.2">
      <c r="A8" s="96" t="s">
        <v>1</v>
      </c>
      <c r="B8" s="166">
        <f>B7</f>
        <v>0</v>
      </c>
      <c r="D8" s="362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7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8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318">
        <f t="shared" si="0"/>
        <v>0</v>
      </c>
      <c r="T8" s="231"/>
      <c r="U8" s="232"/>
      <c r="V8" s="355" t="s">
        <v>37</v>
      </c>
      <c r="W8" s="356"/>
      <c r="X8" s="357" t="e">
        <f t="shared" si="2"/>
        <v>#N/A</v>
      </c>
      <c r="Z8" s="326" t="s">
        <v>48</v>
      </c>
      <c r="AA8" s="386" t="e">
        <f t="shared" si="3"/>
        <v>#N/A</v>
      </c>
    </row>
    <row r="9" spans="1:28" ht="20.100000000000001" customHeight="1" thickBot="1" x14ac:dyDescent="0.25">
      <c r="A9" s="97" t="s">
        <v>17</v>
      </c>
      <c r="B9" s="167">
        <f>B6-B7</f>
        <v>687</v>
      </c>
      <c r="D9" s="362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9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60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318">
        <f t="shared" si="0"/>
        <v>0</v>
      </c>
      <c r="T9" s="231"/>
      <c r="U9" s="232"/>
      <c r="V9" s="355" t="s">
        <v>38</v>
      </c>
      <c r="W9" s="356"/>
      <c r="X9" s="357" t="e">
        <f t="shared" si="2"/>
        <v>#N/A</v>
      </c>
      <c r="Z9" s="326" t="s">
        <v>49</v>
      </c>
      <c r="AA9" s="386" t="e">
        <f t="shared" si="3"/>
        <v>#N/A</v>
      </c>
    </row>
    <row r="10" spans="1:28" ht="20.100000000000001" customHeight="1" x14ac:dyDescent="0.2">
      <c r="A10" s="438" t="s">
        <v>60</v>
      </c>
      <c r="B10" s="438"/>
      <c r="D10" s="362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9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60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318">
        <f t="shared" si="0"/>
        <v>0</v>
      </c>
      <c r="T10" s="231"/>
      <c r="U10" s="232"/>
      <c r="V10" s="355" t="s">
        <v>39</v>
      </c>
      <c r="W10" s="356"/>
      <c r="X10" s="357" t="e">
        <f t="shared" si="2"/>
        <v>#N/A</v>
      </c>
      <c r="Z10" s="326" t="s">
        <v>50</v>
      </c>
      <c r="AA10" s="386" t="e">
        <f t="shared" si="3"/>
        <v>#N/A</v>
      </c>
    </row>
    <row r="11" spans="1:28" ht="20.100000000000001" customHeight="1" x14ac:dyDescent="0.2">
      <c r="A11" s="439"/>
      <c r="B11" s="439"/>
      <c r="D11" s="362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9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60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318">
        <f t="shared" si="0"/>
        <v>0</v>
      </c>
      <c r="T11" s="231"/>
      <c r="U11" s="232"/>
      <c r="V11" s="355" t="s">
        <v>40</v>
      </c>
      <c r="W11" s="356"/>
      <c r="X11" s="357" t="e">
        <f t="shared" si="2"/>
        <v>#N/A</v>
      </c>
      <c r="Z11" s="326" t="s">
        <v>51</v>
      </c>
      <c r="AA11" s="386" t="e">
        <f t="shared" si="3"/>
        <v>#N/A</v>
      </c>
    </row>
    <row r="12" spans="1:28" ht="20.100000000000001" customHeight="1" thickBot="1" x14ac:dyDescent="0.25">
      <c r="A12" s="440" t="s">
        <v>61</v>
      </c>
      <c r="B12" s="440"/>
      <c r="D12" s="363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75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7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318">
        <f t="shared" si="0"/>
        <v>0</v>
      </c>
      <c r="T12" s="231"/>
      <c r="U12" s="232"/>
      <c r="V12" s="355" t="s">
        <v>41</v>
      </c>
      <c r="W12" s="356"/>
      <c r="X12" s="357" t="e">
        <f t="shared" si="2"/>
        <v>#N/A</v>
      </c>
      <c r="Z12" s="326" t="s">
        <v>52</v>
      </c>
      <c r="AA12" s="386" t="e">
        <f t="shared" si="3"/>
        <v>#N/A</v>
      </c>
    </row>
    <row r="13" spans="1:28" ht="20.100000000000001" customHeight="1" thickBot="1" x14ac:dyDescent="0.3">
      <c r="A13" s="440"/>
      <c r="B13" s="440"/>
      <c r="D13" s="50" t="s">
        <v>9</v>
      </c>
      <c r="E13" s="161">
        <f t="shared" ref="E13:Q13" si="4">SUM(E3:E12)</f>
        <v>0</v>
      </c>
      <c r="F13" s="162">
        <f t="shared" si="4"/>
        <v>0</v>
      </c>
      <c r="G13" s="162">
        <f t="shared" si="4"/>
        <v>0</v>
      </c>
      <c r="H13" s="162">
        <f t="shared" si="4"/>
        <v>0</v>
      </c>
      <c r="I13" s="162">
        <f t="shared" si="4"/>
        <v>0</v>
      </c>
      <c r="J13" s="162">
        <f t="shared" si="4"/>
        <v>0</v>
      </c>
      <c r="K13" s="162">
        <f t="shared" si="4"/>
        <v>0</v>
      </c>
      <c r="L13" s="162">
        <f t="shared" si="4"/>
        <v>0</v>
      </c>
      <c r="M13" s="162">
        <f t="shared" si="4"/>
        <v>0</v>
      </c>
      <c r="N13" s="162">
        <f t="shared" si="4"/>
        <v>0</v>
      </c>
      <c r="O13" s="163">
        <f t="shared" si="4"/>
        <v>0</v>
      </c>
      <c r="P13" s="164">
        <f t="shared" si="4"/>
        <v>0</v>
      </c>
      <c r="Q13" s="319">
        <f t="shared" si="4"/>
        <v>0</v>
      </c>
      <c r="T13" s="231"/>
      <c r="U13" s="232"/>
      <c r="V13" s="355" t="s">
        <v>42</v>
      </c>
      <c r="W13" s="356"/>
      <c r="X13" s="357" t="e">
        <f t="shared" si="2"/>
        <v>#N/A</v>
      </c>
      <c r="Z13" s="327" t="s">
        <v>53</v>
      </c>
      <c r="AA13" s="387" t="e">
        <f t="shared" si="3"/>
        <v>#N/A</v>
      </c>
    </row>
    <row r="14" spans="1:28" ht="20.100000000000001" customHeight="1" thickBot="1" x14ac:dyDescent="0.3">
      <c r="A14" s="440"/>
      <c r="B14" s="440"/>
      <c r="D14" s="83" t="s">
        <v>10</v>
      </c>
      <c r="E14" s="45">
        <f t="shared" ref="E14:Q14" si="5">IFERROR(E13/$B$7,0)</f>
        <v>0</v>
      </c>
      <c r="F14" s="46">
        <f t="shared" si="5"/>
        <v>0</v>
      </c>
      <c r="G14" s="46">
        <f t="shared" si="5"/>
        <v>0</v>
      </c>
      <c r="H14" s="46">
        <f t="shared" si="5"/>
        <v>0</v>
      </c>
      <c r="I14" s="46">
        <f t="shared" si="5"/>
        <v>0</v>
      </c>
      <c r="J14" s="46">
        <f t="shared" si="5"/>
        <v>0</v>
      </c>
      <c r="K14" s="46">
        <f t="shared" si="5"/>
        <v>0</v>
      </c>
      <c r="L14" s="46">
        <f t="shared" si="5"/>
        <v>0</v>
      </c>
      <c r="M14" s="46">
        <f t="shared" si="5"/>
        <v>0</v>
      </c>
      <c r="N14" s="46">
        <f t="shared" si="5"/>
        <v>0</v>
      </c>
      <c r="O14" s="45">
        <f t="shared" si="5"/>
        <v>0</v>
      </c>
      <c r="P14" s="47">
        <f t="shared" si="5"/>
        <v>0</v>
      </c>
      <c r="Q14" s="329">
        <f t="shared" si="5"/>
        <v>0</v>
      </c>
      <c r="V14" s="391" t="s">
        <v>43</v>
      </c>
      <c r="W14" s="358"/>
      <c r="X14" s="359" t="e">
        <f>IF(OR(W14=0, W14=""), NA(), W14/$B$6)</f>
        <v>#N/A</v>
      </c>
      <c r="Y14" s="389"/>
      <c r="Z14" s="393" t="s">
        <v>55</v>
      </c>
      <c r="AA14" s="388" t="e">
        <f>IF(W14&lt;&gt;0,W14-W13,NA())</f>
        <v>#N/A</v>
      </c>
      <c r="AB14" s="389"/>
    </row>
    <row r="15" spans="1:28" ht="18" customHeight="1" thickBot="1" x14ac:dyDescent="0.25">
      <c r="A15" s="441" t="s">
        <v>68</v>
      </c>
      <c r="B15" s="441"/>
      <c r="C15" s="1"/>
      <c r="D15" s="1"/>
      <c r="Q15" s="328"/>
      <c r="V15" s="324" t="s">
        <v>44</v>
      </c>
      <c r="W15" s="360"/>
      <c r="X15" s="390" t="e">
        <f>IF(OR(W15=0, W15=""), NA(), W15/$B$6)</f>
        <v>#N/A</v>
      </c>
      <c r="Z15" s="394" t="s">
        <v>56</v>
      </c>
      <c r="AA15" s="392" t="e">
        <f>IF(W15&lt;&gt;0,W15-W14,NA())</f>
        <v>#N/A</v>
      </c>
      <c r="AB15" s="389"/>
    </row>
    <row r="16" spans="1:28" ht="12.75" customHeight="1" x14ac:dyDescent="0.2">
      <c r="A16" s="441"/>
      <c r="B16" s="441"/>
      <c r="V16" s="328"/>
      <c r="W16" s="328"/>
      <c r="X16" s="328"/>
      <c r="AA16" s="328"/>
    </row>
    <row r="17" spans="1:11" ht="18" customHeight="1" x14ac:dyDescent="0.25">
      <c r="A17" s="441"/>
      <c r="B17" s="441"/>
      <c r="E17" s="230"/>
    </row>
    <row r="18" spans="1:11" ht="26.25" customHeight="1" x14ac:dyDescent="0.2">
      <c r="A18" s="441"/>
      <c r="B18" s="441"/>
    </row>
    <row r="23" spans="1:11" x14ac:dyDescent="0.2">
      <c r="H23" s="177" t="s">
        <v>64</v>
      </c>
      <c r="J23" s="245">
        <f>CEILING($B$6, 100)/100</f>
        <v>7</v>
      </c>
      <c r="K23" s="245">
        <f>CEILING($B$7,100)/100</f>
        <v>0</v>
      </c>
    </row>
    <row r="24" spans="1:11" x14ac:dyDescent="0.2">
      <c r="H24" s="178">
        <f>IF((ROW()-23)&lt;=$K$24,(ROW()-23),"Choisir")</f>
        <v>1</v>
      </c>
      <c r="J24" s="245">
        <f>MOD($B$7,100)</f>
        <v>0</v>
      </c>
      <c r="K24" s="246">
        <f>CEILING($B$6/300,1)</f>
        <v>3</v>
      </c>
    </row>
    <row r="25" spans="1:11" x14ac:dyDescent="0.2">
      <c r="H25" s="178">
        <f>IF((ROW()-23)&lt;=$K$24,(ROW()-23),"Choisir")</f>
        <v>2</v>
      </c>
    </row>
    <row r="26" spans="1:11" x14ac:dyDescent="0.2">
      <c r="H26" s="178">
        <f>IF((ROW()-23)&lt;=$K$24,(ROW()-23),"Choisir")</f>
        <v>3</v>
      </c>
    </row>
    <row r="27" spans="1:11" x14ac:dyDescent="0.2">
      <c r="H27" s="178" t="str">
        <f>IF((ROW()-23)&lt;=$K$24,(ROW()-23),"Choisir")</f>
        <v>Choisir</v>
      </c>
    </row>
    <row r="46" spans="4:17" x14ac:dyDescent="0.2">
      <c r="E46" s="169"/>
    </row>
    <row r="47" spans="4:17" ht="13.5" thickBot="1" x14ac:dyDescent="0.25">
      <c r="E47" s="169"/>
    </row>
    <row r="48" spans="4:17" ht="20.100000000000001" customHeight="1" thickBot="1" x14ac:dyDescent="0.25">
      <c r="D48" s="235" t="s">
        <v>79</v>
      </c>
      <c r="E48" s="432" t="s">
        <v>103</v>
      </c>
      <c r="F48" s="433"/>
      <c r="G48" s="433"/>
      <c r="H48" s="433"/>
      <c r="I48" s="433"/>
      <c r="J48" s="433"/>
      <c r="K48" s="433"/>
      <c r="L48" s="433"/>
      <c r="M48" s="433"/>
      <c r="N48" s="433"/>
      <c r="O48" s="433"/>
      <c r="P48" s="434"/>
      <c r="Q48" s="395" t="s">
        <v>7</v>
      </c>
    </row>
    <row r="49" spans="3:17" ht="47.25" customHeight="1" thickBot="1" x14ac:dyDescent="0.25">
      <c r="C49" s="233"/>
      <c r="D49" s="371" t="s">
        <v>82</v>
      </c>
      <c r="E49" s="365" t="s">
        <v>69</v>
      </c>
      <c r="F49" s="365" t="s">
        <v>100</v>
      </c>
      <c r="G49" s="365" t="s">
        <v>70</v>
      </c>
      <c r="H49" s="365" t="s">
        <v>71</v>
      </c>
      <c r="I49" s="365" t="s">
        <v>72</v>
      </c>
      <c r="J49" s="365" t="s">
        <v>73</v>
      </c>
      <c r="K49" s="365" t="s">
        <v>74</v>
      </c>
      <c r="L49" s="365" t="s">
        <v>75</v>
      </c>
      <c r="M49" s="365" t="s">
        <v>76</v>
      </c>
      <c r="N49" s="365" t="s">
        <v>77</v>
      </c>
      <c r="O49" s="375" t="s">
        <v>3</v>
      </c>
      <c r="P49" s="374" t="s">
        <v>4</v>
      </c>
      <c r="Q49" s="397" t="s">
        <v>104</v>
      </c>
    </row>
    <row r="50" spans="3:17" ht="19.5" customHeight="1" x14ac:dyDescent="0.2">
      <c r="C50" s="234"/>
      <c r="D50" s="370" t="s">
        <v>81</v>
      </c>
      <c r="E50" s="320"/>
      <c r="F50" s="321"/>
      <c r="G50" s="321"/>
      <c r="H50" s="321"/>
      <c r="I50" s="321"/>
      <c r="J50" s="321"/>
      <c r="K50" s="321"/>
      <c r="L50" s="321"/>
      <c r="M50" s="321"/>
      <c r="N50" s="322"/>
      <c r="O50" s="323"/>
      <c r="P50" s="322"/>
      <c r="Q50" s="396">
        <f t="shared" ref="Q50:Q59" si="6">SUM(E50:P50)</f>
        <v>0</v>
      </c>
    </row>
    <row r="51" spans="3:17" ht="20.100000000000001" customHeight="1" x14ac:dyDescent="0.2">
      <c r="C51" s="234"/>
      <c r="D51" s="370" t="s">
        <v>81</v>
      </c>
      <c r="E51" s="320"/>
      <c r="F51" s="321"/>
      <c r="G51" s="321"/>
      <c r="H51" s="321"/>
      <c r="I51" s="321"/>
      <c r="J51" s="321"/>
      <c r="K51" s="321"/>
      <c r="L51" s="321"/>
      <c r="M51" s="321"/>
      <c r="N51" s="322"/>
      <c r="O51" s="323"/>
      <c r="P51" s="322"/>
      <c r="Q51" s="396">
        <f t="shared" si="6"/>
        <v>0</v>
      </c>
    </row>
    <row r="52" spans="3:17" ht="20.100000000000001" customHeight="1" x14ac:dyDescent="0.2">
      <c r="C52" s="234"/>
      <c r="D52" s="370" t="s">
        <v>81</v>
      </c>
      <c r="E52" s="320"/>
      <c r="F52" s="321"/>
      <c r="G52" s="321"/>
      <c r="H52" s="321"/>
      <c r="I52" s="321"/>
      <c r="J52" s="321"/>
      <c r="K52" s="321"/>
      <c r="L52" s="321"/>
      <c r="M52" s="321"/>
      <c r="N52" s="322"/>
      <c r="O52" s="323"/>
      <c r="P52" s="322"/>
      <c r="Q52" s="396">
        <f t="shared" si="6"/>
        <v>0</v>
      </c>
    </row>
    <row r="53" spans="3:17" ht="20.100000000000001" customHeight="1" x14ac:dyDescent="0.2">
      <c r="C53" s="234"/>
      <c r="D53" s="370" t="s">
        <v>81</v>
      </c>
      <c r="E53" s="320"/>
      <c r="F53" s="321"/>
      <c r="G53" s="321"/>
      <c r="H53" s="321"/>
      <c r="I53" s="321"/>
      <c r="J53" s="321"/>
      <c r="K53" s="321"/>
      <c r="L53" s="321"/>
      <c r="M53" s="321"/>
      <c r="N53" s="322"/>
      <c r="O53" s="323"/>
      <c r="P53" s="322"/>
      <c r="Q53" s="396">
        <f t="shared" si="6"/>
        <v>0</v>
      </c>
    </row>
    <row r="54" spans="3:17" ht="20.100000000000001" customHeight="1" x14ac:dyDescent="0.2">
      <c r="C54" s="234"/>
      <c r="D54" s="370" t="s">
        <v>81</v>
      </c>
      <c r="E54" s="320"/>
      <c r="F54" s="321"/>
      <c r="G54" s="321"/>
      <c r="H54" s="321"/>
      <c r="I54" s="321"/>
      <c r="J54" s="321"/>
      <c r="K54" s="321"/>
      <c r="L54" s="321"/>
      <c r="M54" s="321"/>
      <c r="N54" s="322"/>
      <c r="O54" s="323"/>
      <c r="P54" s="322"/>
      <c r="Q54" s="396">
        <f t="shared" si="6"/>
        <v>0</v>
      </c>
    </row>
    <row r="55" spans="3:17" ht="20.100000000000001" customHeight="1" x14ac:dyDescent="0.2">
      <c r="C55" s="234"/>
      <c r="D55" s="370" t="s">
        <v>81</v>
      </c>
      <c r="E55" s="320"/>
      <c r="F55" s="321"/>
      <c r="G55" s="321"/>
      <c r="H55" s="321"/>
      <c r="I55" s="321"/>
      <c r="J55" s="321"/>
      <c r="K55" s="321"/>
      <c r="L55" s="321"/>
      <c r="M55" s="321"/>
      <c r="N55" s="322"/>
      <c r="O55" s="323"/>
      <c r="P55" s="322"/>
      <c r="Q55" s="396">
        <f t="shared" si="6"/>
        <v>0</v>
      </c>
    </row>
    <row r="56" spans="3:17" ht="20.100000000000001" customHeight="1" x14ac:dyDescent="0.2">
      <c r="C56" s="234"/>
      <c r="D56" s="370" t="s">
        <v>81</v>
      </c>
      <c r="E56" s="320"/>
      <c r="F56" s="321"/>
      <c r="G56" s="321"/>
      <c r="H56" s="321"/>
      <c r="I56" s="321"/>
      <c r="J56" s="321"/>
      <c r="K56" s="321"/>
      <c r="L56" s="321"/>
      <c r="M56" s="321"/>
      <c r="N56" s="322"/>
      <c r="O56" s="323"/>
      <c r="P56" s="322"/>
      <c r="Q56" s="396">
        <f t="shared" si="6"/>
        <v>0</v>
      </c>
    </row>
    <row r="57" spans="3:17" ht="20.100000000000001" customHeight="1" x14ac:dyDescent="0.2">
      <c r="C57" s="234"/>
      <c r="D57" s="370" t="s">
        <v>81</v>
      </c>
      <c r="E57" s="320"/>
      <c r="F57" s="321"/>
      <c r="G57" s="321"/>
      <c r="H57" s="321"/>
      <c r="I57" s="321"/>
      <c r="J57" s="321"/>
      <c r="K57" s="321"/>
      <c r="L57" s="321"/>
      <c r="M57" s="321"/>
      <c r="N57" s="322"/>
      <c r="O57" s="323"/>
      <c r="P57" s="322"/>
      <c r="Q57" s="396">
        <f t="shared" si="6"/>
        <v>0</v>
      </c>
    </row>
    <row r="58" spans="3:17" ht="20.100000000000001" customHeight="1" x14ac:dyDescent="0.2">
      <c r="C58" s="234"/>
      <c r="D58" s="370" t="s">
        <v>81</v>
      </c>
      <c r="E58" s="320"/>
      <c r="F58" s="321"/>
      <c r="G58" s="321"/>
      <c r="H58" s="321"/>
      <c r="I58" s="321"/>
      <c r="J58" s="321"/>
      <c r="K58" s="321"/>
      <c r="L58" s="321"/>
      <c r="M58" s="321"/>
      <c r="N58" s="322"/>
      <c r="O58" s="323"/>
      <c r="P58" s="322"/>
      <c r="Q58" s="396">
        <f t="shared" si="6"/>
        <v>0</v>
      </c>
    </row>
    <row r="59" spans="3:17" ht="20.100000000000001" customHeight="1" thickBot="1" x14ac:dyDescent="0.25">
      <c r="C59" s="234"/>
      <c r="D59" s="376" t="s">
        <v>81</v>
      </c>
      <c r="E59" s="377"/>
      <c r="F59" s="378"/>
      <c r="G59" s="378"/>
      <c r="H59" s="378"/>
      <c r="I59" s="378"/>
      <c r="J59" s="378"/>
      <c r="K59" s="378"/>
      <c r="L59" s="378"/>
      <c r="M59" s="378"/>
      <c r="N59" s="379"/>
      <c r="O59" s="380"/>
      <c r="P59" s="379"/>
      <c r="Q59" s="396">
        <f t="shared" si="6"/>
        <v>0</v>
      </c>
    </row>
    <row r="60" spans="3:17" x14ac:dyDescent="0.2">
      <c r="Q60" s="328"/>
    </row>
    <row r="63" spans="3:17" ht="18" x14ac:dyDescent="0.25">
      <c r="E63" s="230"/>
    </row>
    <row r="65" spans="4:17" ht="13.5" thickBot="1" x14ac:dyDescent="0.25"/>
    <row r="66" spans="4:17" ht="16.5" customHeight="1" thickBot="1" x14ac:dyDescent="0.25">
      <c r="D66" s="235" t="s">
        <v>80</v>
      </c>
      <c r="E66" s="432" t="s">
        <v>102</v>
      </c>
      <c r="F66" s="433"/>
      <c r="G66" s="433"/>
      <c r="H66" s="433"/>
      <c r="I66" s="433"/>
      <c r="J66" s="433"/>
      <c r="K66" s="433"/>
      <c r="L66" s="433"/>
      <c r="M66" s="433"/>
      <c r="N66" s="433"/>
      <c r="O66" s="433"/>
      <c r="P66" s="434"/>
      <c r="Q66" s="395" t="s">
        <v>7</v>
      </c>
    </row>
    <row r="67" spans="4:17" ht="42" customHeight="1" thickBot="1" x14ac:dyDescent="0.25">
      <c r="D67" s="371" t="s">
        <v>82</v>
      </c>
      <c r="E67" s="365" t="s">
        <v>69</v>
      </c>
      <c r="F67" s="365" t="s">
        <v>100</v>
      </c>
      <c r="G67" s="365" t="s">
        <v>70</v>
      </c>
      <c r="H67" s="365" t="s">
        <v>71</v>
      </c>
      <c r="I67" s="365" t="s">
        <v>72</v>
      </c>
      <c r="J67" s="365" t="s">
        <v>73</v>
      </c>
      <c r="K67" s="365" t="s">
        <v>74</v>
      </c>
      <c r="L67" s="365" t="s">
        <v>75</v>
      </c>
      <c r="M67" s="365" t="s">
        <v>76</v>
      </c>
      <c r="N67" s="365" t="s">
        <v>77</v>
      </c>
      <c r="O67" s="375" t="s">
        <v>3</v>
      </c>
      <c r="P67" s="374" t="s">
        <v>4</v>
      </c>
      <c r="Q67" s="402" t="s">
        <v>104</v>
      </c>
    </row>
    <row r="68" spans="4:17" ht="20.100000000000001" customHeight="1" x14ac:dyDescent="0.2">
      <c r="D68" s="244" t="s">
        <v>81</v>
      </c>
      <c r="E68" s="237"/>
      <c r="F68" s="238"/>
      <c r="G68" s="238"/>
      <c r="H68" s="238"/>
      <c r="I68" s="238"/>
      <c r="J68" s="238"/>
      <c r="K68" s="238"/>
      <c r="L68" s="238"/>
      <c r="M68" s="238"/>
      <c r="N68" s="239"/>
      <c r="O68" s="240"/>
      <c r="P68" s="239"/>
      <c r="Q68" s="399">
        <f t="shared" ref="Q68:Q72" si="7">SUM(E68:P68)</f>
        <v>0</v>
      </c>
    </row>
    <row r="69" spans="4:17" ht="20.100000000000001" customHeight="1" x14ac:dyDescent="0.2">
      <c r="D69" s="242" t="s">
        <v>81</v>
      </c>
      <c r="E69" s="179"/>
      <c r="F69" s="180"/>
      <c r="G69" s="180"/>
      <c r="H69" s="180"/>
      <c r="I69" s="180"/>
      <c r="J69" s="180"/>
      <c r="K69" s="180"/>
      <c r="L69" s="180"/>
      <c r="M69" s="180"/>
      <c r="N69" s="181"/>
      <c r="O69" s="182"/>
      <c r="P69" s="181"/>
      <c r="Q69" s="318">
        <f t="shared" si="7"/>
        <v>0</v>
      </c>
    </row>
    <row r="70" spans="4:17" ht="20.100000000000001" customHeight="1" x14ac:dyDescent="0.2">
      <c r="D70" s="242" t="s">
        <v>81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1"/>
      <c r="O70" s="182"/>
      <c r="P70" s="181"/>
      <c r="Q70" s="318">
        <f t="shared" si="7"/>
        <v>0</v>
      </c>
    </row>
    <row r="71" spans="4:17" ht="20.100000000000001" customHeight="1" x14ac:dyDescent="0.2">
      <c r="D71" s="242" t="s">
        <v>81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1"/>
      <c r="O71" s="182"/>
      <c r="P71" s="181"/>
      <c r="Q71" s="318">
        <f t="shared" si="7"/>
        <v>0</v>
      </c>
    </row>
    <row r="72" spans="4:17" ht="20.100000000000001" customHeight="1" thickBot="1" x14ac:dyDescent="0.25">
      <c r="D72" s="243" t="s">
        <v>81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5"/>
      <c r="O72" s="186"/>
      <c r="P72" s="185"/>
      <c r="Q72" s="400">
        <f t="shared" si="7"/>
        <v>0</v>
      </c>
    </row>
    <row r="73" spans="4:1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</row>
    <row r="74" spans="4:1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</row>
    <row r="75" spans="4:1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</row>
    <row r="76" spans="4:17" ht="20.100000000000001" customHeight="1" thickBot="1" x14ac:dyDescent="0.25">
      <c r="D76" s="235" t="s">
        <v>84</v>
      </c>
      <c r="E76" s="432" t="s">
        <v>101</v>
      </c>
      <c r="F76" s="433"/>
      <c r="G76" s="433"/>
      <c r="H76" s="433"/>
      <c r="I76" s="433"/>
      <c r="J76" s="433"/>
      <c r="K76" s="433"/>
      <c r="L76" s="433"/>
      <c r="M76" s="433"/>
      <c r="N76" s="433"/>
      <c r="O76" s="433"/>
      <c r="P76" s="434"/>
      <c r="Q76" s="401" t="s">
        <v>7</v>
      </c>
    </row>
    <row r="77" spans="4:17" ht="39.75" customHeight="1" thickBot="1" x14ac:dyDescent="0.25">
      <c r="D77" s="371" t="s">
        <v>82</v>
      </c>
      <c r="E77" s="365" t="s">
        <v>69</v>
      </c>
      <c r="F77" s="365" t="s">
        <v>100</v>
      </c>
      <c r="G77" s="365" t="s">
        <v>70</v>
      </c>
      <c r="H77" s="365" t="s">
        <v>71</v>
      </c>
      <c r="I77" s="365" t="s">
        <v>72</v>
      </c>
      <c r="J77" s="365" t="s">
        <v>73</v>
      </c>
      <c r="K77" s="365" t="s">
        <v>74</v>
      </c>
      <c r="L77" s="365" t="s">
        <v>75</v>
      </c>
      <c r="M77" s="365" t="s">
        <v>76</v>
      </c>
      <c r="N77" s="365" t="s">
        <v>77</v>
      </c>
      <c r="O77" s="375" t="s">
        <v>3</v>
      </c>
      <c r="P77" s="374" t="s">
        <v>4</v>
      </c>
      <c r="Q77" s="398" t="s">
        <v>104</v>
      </c>
    </row>
    <row r="78" spans="4:17" ht="20.100000000000001" customHeight="1" x14ac:dyDescent="0.2">
      <c r="D78" s="244" t="s">
        <v>81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9"/>
      <c r="O78" s="240"/>
      <c r="P78" s="239"/>
      <c r="Q78" s="399">
        <f t="shared" ref="Q78:Q80" si="8">SUM(E78:P78)</f>
        <v>0</v>
      </c>
    </row>
    <row r="79" spans="4:17" ht="20.100000000000001" customHeight="1" x14ac:dyDescent="0.2">
      <c r="D79" s="242" t="s">
        <v>81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1"/>
      <c r="O79" s="182"/>
      <c r="P79" s="181"/>
      <c r="Q79" s="318">
        <f t="shared" si="8"/>
        <v>0</v>
      </c>
    </row>
    <row r="80" spans="4:17" ht="20.100000000000001" customHeight="1" thickBot="1" x14ac:dyDescent="0.25">
      <c r="D80" s="243" t="s">
        <v>81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5"/>
      <c r="O80" s="186"/>
      <c r="P80" s="185"/>
      <c r="Q80" s="400">
        <f t="shared" si="8"/>
        <v>0</v>
      </c>
    </row>
    <row r="81" spans="4:1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41"/>
    </row>
    <row r="82" spans="4:1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41"/>
    </row>
  </sheetData>
  <sheetProtection algorithmName="SHA-512" hashValue="UnxCs8+0G7qiQPsGyY6dDxKaTeY9oUwZUIVf8AcTOyU5QfE8Rc1PvTcMk9DAwc69rNDx6NqDrtqbu4Kimd7s6g==" saltValue="Wb8CbOOs5MKijwa/47yJlA==" spinCount="100000" sheet="1" objects="1" scenarios="1"/>
  <mergeCells count="7">
    <mergeCell ref="E76:P76"/>
    <mergeCell ref="E1:P1"/>
    <mergeCell ref="A10:B11"/>
    <mergeCell ref="A12:B14"/>
    <mergeCell ref="A15:B18"/>
    <mergeCell ref="E48:P48"/>
    <mergeCell ref="E66:P66"/>
  </mergeCells>
  <conditionalFormatting sqref="B8">
    <cfRule type="cellIs" dxfId="216" priority="5" operator="notEqual">
      <formula>$B$7</formula>
    </cfRule>
  </conditionalFormatting>
  <conditionalFormatting sqref="E3:Q12">
    <cfRule type="cellIs" dxfId="215" priority="4" operator="notBetween">
      <formula>0</formula>
      <formula>100</formula>
    </cfRule>
  </conditionalFormatting>
  <conditionalFormatting sqref="E3:Q14">
    <cfRule type="cellIs" dxfId="214" priority="7" operator="lessThan">
      <formula>0</formula>
    </cfRule>
  </conditionalFormatting>
  <conditionalFormatting sqref="E14:Q14">
    <cfRule type="cellIs" dxfId="213" priority="10" operator="greaterThan">
      <formula>1</formula>
    </cfRule>
  </conditionalFormatting>
  <conditionalFormatting sqref="Q3:Q13">
    <cfRule type="cellIs" dxfId="212" priority="8" operator="equal">
      <formula>0</formula>
    </cfRule>
  </conditionalFormatting>
  <conditionalFormatting sqref="Q13">
    <cfRule type="cellIs" dxfId="211" priority="12" operator="equal">
      <formula>$B$7</formula>
    </cfRule>
  </conditionalFormatting>
  <conditionalFormatting sqref="Q14">
    <cfRule type="cellIs" dxfId="210" priority="9" operator="equal">
      <formula>1</formula>
    </cfRule>
    <cfRule type="cellIs" dxfId="209" priority="11" operator="lessThan">
      <formula>1</formula>
    </cfRule>
  </conditionalFormatting>
  <conditionalFormatting sqref="W4:W15">
    <cfRule type="expression" dxfId="208" priority="13">
      <formula>AND($W4&lt;$W3, NOT(ISBLANK($W4)))</formula>
    </cfRule>
    <cfRule type="cellIs" dxfId="207" priority="14" operator="greaterThan">
      <formula>$B$6</formula>
    </cfRule>
  </conditionalFormatting>
  <conditionalFormatting sqref="X4:X15">
    <cfRule type="cellIs" dxfId="206" priority="6" operator="greaterThan">
      <formula>1</formula>
    </cfRule>
  </conditionalFormatting>
  <conditionalFormatting sqref="D68:D72 D50:D59 D78:D80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3:P12">
    <cfRule type="expression" dxfId="205" priority="15">
      <formula>($D3&lt;=$K$23)</formula>
    </cfRule>
  </conditionalFormatting>
  <conditionalFormatting sqref="Q3:Q12">
    <cfRule type="expression" dxfId="204" priority="16">
      <formula>AND($D3=$K$23, Q3=$J$24)</formula>
    </cfRule>
    <cfRule type="expression" dxfId="203" priority="17">
      <formula>AND($D3=$K$23, MOD(Q3,100)&gt;$J$24)</formula>
    </cfRule>
    <cfRule type="cellIs" dxfId="202" priority="18" operator="equal">
      <formula>100</formula>
    </cfRule>
  </conditionalFormatting>
  <conditionalFormatting sqref="D3:P12">
    <cfRule type="expression" dxfId="201" priority="22">
      <formula>($D3&gt;$K$23)</formula>
    </cfRule>
  </conditionalFormatting>
  <conditionalFormatting sqref="Q50">
    <cfRule type="cellIs" dxfId="200" priority="23" operator="lessThan">
      <formula>0</formula>
    </cfRule>
    <cfRule type="cellIs" dxfId="199" priority="24" operator="equal">
      <formula>0</formula>
    </cfRule>
    <cfRule type="expression" dxfId="198" priority="25">
      <formula>OR(MOD($Q50,100)=0,AND($D50=$K$23,MOD($Q50,100)=$J$24))</formula>
    </cfRule>
  </conditionalFormatting>
  <conditionalFormatting sqref="E50:P59">
    <cfRule type="expression" dxfId="197" priority="2">
      <formula>AND(E50&lt;MAX(E$50:E50), NOT(ISBLANK(E50)), NOT(E50=0))</formula>
    </cfRule>
  </conditionalFormatting>
  <conditionalFormatting sqref="Q52:Q59 Q68:Q72 Q78:Q80">
    <cfRule type="cellIs" dxfId="196" priority="27" operator="lessThan">
      <formula>0</formula>
    </cfRule>
    <cfRule type="cellIs" dxfId="195" priority="28" operator="equal">
      <formula>0</formula>
    </cfRule>
    <cfRule type="expression" dxfId="194" priority="29">
      <formula>OR(MOD($Q52,100)=0,AND($D52=$K$23,MOD($Q52,100)=$J$24))</formula>
    </cfRule>
  </conditionalFormatting>
  <conditionalFormatting sqref="Q51">
    <cfRule type="cellIs" dxfId="193" priority="30" operator="lessThan">
      <formula>0</formula>
    </cfRule>
    <cfRule type="cellIs" dxfId="192" priority="31" operator="equal">
      <formula>0</formula>
    </cfRule>
    <cfRule type="expression" dxfId="191" priority="32">
      <formula>OR(MOD($Q51,100)=0,AND($D50=$K$23,MOD($Q51,100)=$J$24))</formula>
    </cfRule>
  </conditionalFormatting>
  <conditionalFormatting sqref="E50:P59 E68:P72 E78:P80">
    <cfRule type="cellIs" dxfId="188" priority="19" operator="notBetween">
      <formula>0</formula>
      <formula>$B$7</formula>
    </cfRule>
    <cfRule type="expression" dxfId="189" priority="20">
      <formula>($D50&lt;=$K$23)</formula>
    </cfRule>
    <cfRule type="expression" dxfId="190" priority="21">
      <formula>($D50&gt;$K$23)</formula>
    </cfRule>
  </conditionalFormatting>
  <conditionalFormatting sqref="E68:P72">
    <cfRule type="expression" dxfId="187" priority="1">
      <formula>AND(E68&lt;MAX(E$68:E68), NOT(ISBLANK(E68)), NOT(E68=0))</formula>
    </cfRule>
  </conditionalFormatting>
  <conditionalFormatting sqref="E78:P80">
    <cfRule type="expression" dxfId="186" priority="26">
      <formula>AND(E78&lt;MAX(E$78:E78), NOT(ISBLANK(E78)), NOT(E78=0))</formula>
    </cfRule>
  </conditionalFormatting>
  <dataValidations count="2">
    <dataValidation type="list" allowBlank="1" showInputMessage="1" showErrorMessage="1" sqref="D68:D72 D78:D82 D50:D59" xr:uid="{F67315B6-BF6C-4918-BE5C-7AA24D43EC55}">
      <formula1>$D$3:$D$12</formula1>
    </dataValidation>
    <dataValidation type="list" allowBlank="1" showInputMessage="1" showErrorMessage="1" sqref="C50:C59" xr:uid="{0AE57417-9753-42E9-9FD5-5266FFE90209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4EEAC-F434-45A4-9AD6-86912AD0418A}">
  <sheetPr codeName="Feuil36">
    <tabColor rgb="FFB4A7D6"/>
  </sheetPr>
  <dimension ref="A1:AB82"/>
  <sheetViews>
    <sheetView zoomScale="80" zoomScaleNormal="80" workbookViewId="0">
      <pane xSplit="2" topLeftCell="C1" activePane="topRight" state="frozen"/>
      <selection pane="topRight" activeCell="R3" sqref="R3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4" width="15.7109375" customWidth="1"/>
    <col min="17" max="17" width="12.85546875" customWidth="1"/>
    <col min="18" max="18" width="11.42578125" customWidth="1"/>
    <col min="21" max="21" width="10.42578125" customWidth="1"/>
    <col min="22" max="22" width="15.42578125" customWidth="1"/>
    <col min="23" max="23" width="16.140625" customWidth="1"/>
    <col min="24" max="24" width="12" customWidth="1"/>
    <col min="26" max="26" width="13.28515625" customWidth="1"/>
    <col min="27" max="27" width="14.42578125" customWidth="1"/>
  </cols>
  <sheetData>
    <row r="1" spans="1:28" ht="16.5" customHeight="1" thickBot="1" x14ac:dyDescent="0.25">
      <c r="A1" s="315" t="s">
        <v>11</v>
      </c>
      <c r="B1" s="33">
        <f>Synthèse!B17</f>
        <v>46096</v>
      </c>
      <c r="D1" s="314"/>
      <c r="E1" s="435" t="s">
        <v>66</v>
      </c>
      <c r="F1" s="436"/>
      <c r="G1" s="436"/>
      <c r="H1" s="436"/>
      <c r="I1" s="436"/>
      <c r="J1" s="436"/>
      <c r="K1" s="436"/>
      <c r="L1" s="436"/>
      <c r="M1" s="436"/>
      <c r="N1" s="436"/>
      <c r="O1" s="436"/>
      <c r="P1" s="437"/>
      <c r="Q1" s="443" t="s">
        <v>7</v>
      </c>
    </row>
    <row r="2" spans="1:28" ht="39.75" customHeight="1" thickBot="1" x14ac:dyDescent="0.25">
      <c r="A2" s="316" t="s">
        <v>12</v>
      </c>
      <c r="B2" s="34" t="str">
        <f>Synthèse!B18</f>
        <v>Municipales 1er tour</v>
      </c>
      <c r="D2" s="364" t="s">
        <v>83</v>
      </c>
      <c r="E2" s="365" t="str">
        <f>Synthèse!L2</f>
        <v>Candidat 1</v>
      </c>
      <c r="F2" s="365" t="str">
        <f>Synthèse!M2</f>
        <v>Candidat 2</v>
      </c>
      <c r="G2" s="365" t="str">
        <f>Synthèse!N2</f>
        <v>Candidat 3</v>
      </c>
      <c r="H2" s="365" t="str">
        <f>Synthèse!O2</f>
        <v>Candidat 4</v>
      </c>
      <c r="I2" s="365" t="str">
        <f>Synthèse!P2</f>
        <v>Candidat 5</v>
      </c>
      <c r="J2" s="365" t="str">
        <f>Synthèse!Q2</f>
        <v>Candidat 6</v>
      </c>
      <c r="K2" s="365" t="str">
        <f>Synthèse!R2</f>
        <v>Candidat 7</v>
      </c>
      <c r="L2" s="365" t="str">
        <f>Synthèse!S2</f>
        <v>Candidat 8</v>
      </c>
      <c r="M2" s="365" t="str">
        <f>Synthèse!T2</f>
        <v>Candidat 9</v>
      </c>
      <c r="N2" s="365" t="str">
        <f>Synthèse!U2</f>
        <v>Candidat 10</v>
      </c>
      <c r="O2" s="368" t="s">
        <v>3</v>
      </c>
      <c r="P2" s="369" t="s">
        <v>4</v>
      </c>
      <c r="Q2" s="444" t="s">
        <v>105</v>
      </c>
      <c r="V2" s="381" t="s">
        <v>21</v>
      </c>
      <c r="W2" s="382" t="s">
        <v>57</v>
      </c>
      <c r="X2" s="383" t="s">
        <v>31</v>
      </c>
      <c r="Z2" s="384" t="s">
        <v>59</v>
      </c>
      <c r="AA2" s="384" t="s">
        <v>58</v>
      </c>
    </row>
    <row r="3" spans="1:28" ht="20.100000000000001" customHeight="1" thickBot="1" x14ac:dyDescent="0.25">
      <c r="A3" s="317" t="s">
        <v>13</v>
      </c>
      <c r="B3" s="94" t="str">
        <f>Synthèse!B19</f>
        <v>Cogolin</v>
      </c>
      <c r="D3" s="361" t="str" cm="1">
        <f t="array" ref="D3">IF(ROW(1:1)&lt;=$K$23, (ROW(1:1)), "")</f>
        <v/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70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171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72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318">
        <f t="shared" ref="Q3:Q12" si="0">SUM(E3:P3)</f>
        <v>0</v>
      </c>
      <c r="V3" s="352" t="s">
        <v>32</v>
      </c>
      <c r="W3" s="353">
        <v>0</v>
      </c>
      <c r="X3" s="354">
        <f t="shared" ref="X3" si="1">W3/$B$6</f>
        <v>0</v>
      </c>
      <c r="Z3" s="330"/>
      <c r="AA3" s="330"/>
    </row>
    <row r="4" spans="1:28" ht="20.100000000000001" customHeight="1" x14ac:dyDescent="0.2">
      <c r="A4" s="95" t="s">
        <v>23</v>
      </c>
      <c r="B4" s="168">
        <v>7</v>
      </c>
      <c r="D4" s="362" t="str" cm="1">
        <f t="array" ref="D4">IF(ROW(2:2)&lt;=$K$23, (ROW(2:2)), "")</f>
        <v/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7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158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318">
        <f t="shared" si="0"/>
        <v>0</v>
      </c>
      <c r="V4" s="355" t="s">
        <v>33</v>
      </c>
      <c r="W4" s="356"/>
      <c r="X4" s="357" t="e">
        <f t="shared" ref="X4:X13" si="2">IF(OR(W4=0, W4=""), NA(), W4/$B$6)</f>
        <v>#N/A</v>
      </c>
      <c r="Z4" s="325" t="s">
        <v>45</v>
      </c>
      <c r="AA4" s="385" t="e">
        <f t="shared" ref="AA4:AA13" si="3">IF(W4&lt;&gt;0,W4-W3,NA())</f>
        <v>#N/A</v>
      </c>
    </row>
    <row r="5" spans="1:28" ht="20.100000000000001" customHeight="1" x14ac:dyDescent="0.2">
      <c r="A5" s="96" t="s">
        <v>24</v>
      </c>
      <c r="B5" s="187" t="s">
        <v>28</v>
      </c>
      <c r="D5" s="362" t="str" cm="1">
        <f t="array" ref="D5">IF(ROW(3:3)&lt;=$K$23, (ROW(3:3)), "")</f>
        <v/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173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174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318">
        <f t="shared" si="0"/>
        <v>0</v>
      </c>
      <c r="T5" s="231"/>
      <c r="U5" s="232"/>
      <c r="V5" s="355" t="s">
        <v>34</v>
      </c>
      <c r="W5" s="356"/>
      <c r="X5" s="357" t="e">
        <f t="shared" si="2"/>
        <v>#N/A</v>
      </c>
      <c r="Z5" s="326" t="s">
        <v>46</v>
      </c>
      <c r="AA5" s="386" t="e">
        <f t="shared" si="3"/>
        <v>#N/A</v>
      </c>
    </row>
    <row r="6" spans="1:28" ht="20.100000000000001" customHeight="1" x14ac:dyDescent="0.2">
      <c r="A6" s="96" t="s">
        <v>0</v>
      </c>
      <c r="B6" s="188">
        <v>692</v>
      </c>
      <c r="D6" s="362" t="str" cm="1">
        <f t="array" ref="D6">IF(ROW(4:4)&lt;=$K$23, (ROW(4:4)), "")</f>
        <v/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173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174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318">
        <f t="shared" si="0"/>
        <v>0</v>
      </c>
      <c r="T6" s="231"/>
      <c r="U6" s="232"/>
      <c r="V6" s="355" t="s">
        <v>35</v>
      </c>
      <c r="W6" s="356"/>
      <c r="X6" s="357" t="e">
        <f t="shared" si="2"/>
        <v>#N/A</v>
      </c>
      <c r="Z6" s="326" t="s">
        <v>47</v>
      </c>
      <c r="AA6" s="386" t="e">
        <f t="shared" si="3"/>
        <v>#N/A</v>
      </c>
    </row>
    <row r="7" spans="1:28" ht="20.100000000000001" customHeight="1" x14ac:dyDescent="0.2">
      <c r="A7" s="96" t="s">
        <v>2</v>
      </c>
      <c r="B7" s="165">
        <f>MAX(W4:W15)</f>
        <v>0</v>
      </c>
      <c r="D7" s="362" t="str" cm="1">
        <f t="array" ref="D7">IF(ROW(5:5)&lt;=$K$23, (ROW(5:5)), "")</f>
        <v/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7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158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318">
        <f t="shared" si="0"/>
        <v>0</v>
      </c>
      <c r="T7" s="231"/>
      <c r="U7" s="232"/>
      <c r="V7" s="355" t="s">
        <v>36</v>
      </c>
      <c r="W7" s="356"/>
      <c r="X7" s="357" t="e">
        <f t="shared" si="2"/>
        <v>#N/A</v>
      </c>
      <c r="Z7" s="326" t="s">
        <v>54</v>
      </c>
      <c r="AA7" s="386" t="e">
        <f t="shared" si="3"/>
        <v>#N/A</v>
      </c>
    </row>
    <row r="8" spans="1:28" ht="20.100000000000001" customHeight="1" x14ac:dyDescent="0.2">
      <c r="A8" s="96" t="s">
        <v>1</v>
      </c>
      <c r="B8" s="166">
        <f>B7</f>
        <v>0</v>
      </c>
      <c r="D8" s="362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7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8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318">
        <f t="shared" si="0"/>
        <v>0</v>
      </c>
      <c r="T8" s="231"/>
      <c r="U8" s="232"/>
      <c r="V8" s="355" t="s">
        <v>37</v>
      </c>
      <c r="W8" s="356"/>
      <c r="X8" s="357" t="e">
        <f t="shared" si="2"/>
        <v>#N/A</v>
      </c>
      <c r="Z8" s="326" t="s">
        <v>48</v>
      </c>
      <c r="AA8" s="386" t="e">
        <f t="shared" si="3"/>
        <v>#N/A</v>
      </c>
    </row>
    <row r="9" spans="1:28" ht="20.100000000000001" customHeight="1" thickBot="1" x14ac:dyDescent="0.25">
      <c r="A9" s="97" t="s">
        <v>17</v>
      </c>
      <c r="B9" s="167">
        <f>B6-B7</f>
        <v>692</v>
      </c>
      <c r="D9" s="362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9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60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318">
        <f t="shared" si="0"/>
        <v>0</v>
      </c>
      <c r="T9" s="231"/>
      <c r="U9" s="232"/>
      <c r="V9" s="355" t="s">
        <v>38</v>
      </c>
      <c r="W9" s="356"/>
      <c r="X9" s="357" t="e">
        <f t="shared" si="2"/>
        <v>#N/A</v>
      </c>
      <c r="Z9" s="326" t="s">
        <v>49</v>
      </c>
      <c r="AA9" s="386" t="e">
        <f t="shared" si="3"/>
        <v>#N/A</v>
      </c>
    </row>
    <row r="10" spans="1:28" ht="20.100000000000001" customHeight="1" x14ac:dyDescent="0.2">
      <c r="A10" s="438" t="s">
        <v>60</v>
      </c>
      <c r="B10" s="438"/>
      <c r="D10" s="362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9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60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318">
        <f t="shared" si="0"/>
        <v>0</v>
      </c>
      <c r="T10" s="231"/>
      <c r="U10" s="232"/>
      <c r="V10" s="355" t="s">
        <v>39</v>
      </c>
      <c r="W10" s="356"/>
      <c r="X10" s="357" t="e">
        <f t="shared" si="2"/>
        <v>#N/A</v>
      </c>
      <c r="Z10" s="326" t="s">
        <v>50</v>
      </c>
      <c r="AA10" s="386" t="e">
        <f t="shared" si="3"/>
        <v>#N/A</v>
      </c>
    </row>
    <row r="11" spans="1:28" ht="20.100000000000001" customHeight="1" x14ac:dyDescent="0.2">
      <c r="A11" s="439"/>
      <c r="B11" s="439"/>
      <c r="D11" s="362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9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60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318">
        <f t="shared" si="0"/>
        <v>0</v>
      </c>
      <c r="T11" s="231"/>
      <c r="U11" s="232"/>
      <c r="V11" s="355" t="s">
        <v>40</v>
      </c>
      <c r="W11" s="356"/>
      <c r="X11" s="357" t="e">
        <f t="shared" si="2"/>
        <v>#N/A</v>
      </c>
      <c r="Z11" s="326" t="s">
        <v>51</v>
      </c>
      <c r="AA11" s="386" t="e">
        <f t="shared" si="3"/>
        <v>#N/A</v>
      </c>
    </row>
    <row r="12" spans="1:28" ht="20.100000000000001" customHeight="1" thickBot="1" x14ac:dyDescent="0.25">
      <c r="A12" s="440" t="s">
        <v>61</v>
      </c>
      <c r="B12" s="440"/>
      <c r="D12" s="363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75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7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318">
        <f t="shared" si="0"/>
        <v>0</v>
      </c>
      <c r="T12" s="231"/>
      <c r="U12" s="232"/>
      <c r="V12" s="355" t="s">
        <v>41</v>
      </c>
      <c r="W12" s="356"/>
      <c r="X12" s="357" t="e">
        <f t="shared" si="2"/>
        <v>#N/A</v>
      </c>
      <c r="Z12" s="326" t="s">
        <v>52</v>
      </c>
      <c r="AA12" s="386" t="e">
        <f t="shared" si="3"/>
        <v>#N/A</v>
      </c>
    </row>
    <row r="13" spans="1:28" ht="20.100000000000001" customHeight="1" thickBot="1" x14ac:dyDescent="0.3">
      <c r="A13" s="440"/>
      <c r="B13" s="440"/>
      <c r="D13" s="50" t="s">
        <v>9</v>
      </c>
      <c r="E13" s="161">
        <f t="shared" ref="E13:Q13" si="4">SUM(E3:E12)</f>
        <v>0</v>
      </c>
      <c r="F13" s="162">
        <f t="shared" si="4"/>
        <v>0</v>
      </c>
      <c r="G13" s="162">
        <f t="shared" si="4"/>
        <v>0</v>
      </c>
      <c r="H13" s="162">
        <f t="shared" si="4"/>
        <v>0</v>
      </c>
      <c r="I13" s="162">
        <f t="shared" si="4"/>
        <v>0</v>
      </c>
      <c r="J13" s="162">
        <f t="shared" si="4"/>
        <v>0</v>
      </c>
      <c r="K13" s="162">
        <f t="shared" si="4"/>
        <v>0</v>
      </c>
      <c r="L13" s="162">
        <f t="shared" si="4"/>
        <v>0</v>
      </c>
      <c r="M13" s="162">
        <f t="shared" si="4"/>
        <v>0</v>
      </c>
      <c r="N13" s="162">
        <f t="shared" si="4"/>
        <v>0</v>
      </c>
      <c r="O13" s="163">
        <f t="shared" si="4"/>
        <v>0</v>
      </c>
      <c r="P13" s="164">
        <f t="shared" si="4"/>
        <v>0</v>
      </c>
      <c r="Q13" s="319">
        <f t="shared" si="4"/>
        <v>0</v>
      </c>
      <c r="T13" s="231"/>
      <c r="U13" s="232"/>
      <c r="V13" s="355" t="s">
        <v>42</v>
      </c>
      <c r="W13" s="356"/>
      <c r="X13" s="357" t="e">
        <f t="shared" si="2"/>
        <v>#N/A</v>
      </c>
      <c r="Z13" s="327" t="s">
        <v>53</v>
      </c>
      <c r="AA13" s="387" t="e">
        <f t="shared" si="3"/>
        <v>#N/A</v>
      </c>
    </row>
    <row r="14" spans="1:28" ht="20.100000000000001" customHeight="1" thickBot="1" x14ac:dyDescent="0.3">
      <c r="A14" s="440"/>
      <c r="B14" s="440"/>
      <c r="D14" s="83" t="s">
        <v>10</v>
      </c>
      <c r="E14" s="45">
        <f t="shared" ref="E14:Q14" si="5">IFERROR(E13/$B$7,0)</f>
        <v>0</v>
      </c>
      <c r="F14" s="46">
        <f t="shared" si="5"/>
        <v>0</v>
      </c>
      <c r="G14" s="46">
        <f t="shared" si="5"/>
        <v>0</v>
      </c>
      <c r="H14" s="46">
        <f t="shared" si="5"/>
        <v>0</v>
      </c>
      <c r="I14" s="46">
        <f t="shared" si="5"/>
        <v>0</v>
      </c>
      <c r="J14" s="46">
        <f t="shared" si="5"/>
        <v>0</v>
      </c>
      <c r="K14" s="46">
        <f t="shared" si="5"/>
        <v>0</v>
      </c>
      <c r="L14" s="46">
        <f t="shared" si="5"/>
        <v>0</v>
      </c>
      <c r="M14" s="46">
        <f t="shared" si="5"/>
        <v>0</v>
      </c>
      <c r="N14" s="46">
        <f t="shared" si="5"/>
        <v>0</v>
      </c>
      <c r="O14" s="45">
        <f t="shared" si="5"/>
        <v>0</v>
      </c>
      <c r="P14" s="47">
        <f t="shared" si="5"/>
        <v>0</v>
      </c>
      <c r="Q14" s="329">
        <f t="shared" si="5"/>
        <v>0</v>
      </c>
      <c r="V14" s="391" t="s">
        <v>43</v>
      </c>
      <c r="W14" s="358"/>
      <c r="X14" s="359" t="e">
        <f>IF(OR(W14=0, W14=""), NA(), W14/$B$6)</f>
        <v>#N/A</v>
      </c>
      <c r="Y14" s="389"/>
      <c r="Z14" s="393" t="s">
        <v>55</v>
      </c>
      <c r="AA14" s="388" t="e">
        <f>IF(W14&lt;&gt;0,W14-W13,NA())</f>
        <v>#N/A</v>
      </c>
      <c r="AB14" s="389"/>
    </row>
    <row r="15" spans="1:28" ht="18" customHeight="1" thickBot="1" x14ac:dyDescent="0.25">
      <c r="A15" s="441" t="s">
        <v>68</v>
      </c>
      <c r="B15" s="441"/>
      <c r="C15" s="1"/>
      <c r="D15" s="1"/>
      <c r="Q15" s="328"/>
      <c r="V15" s="324" t="s">
        <v>44</v>
      </c>
      <c r="W15" s="360"/>
      <c r="X15" s="390" t="e">
        <f>IF(OR(W15=0, W15=""), NA(), W15/$B$6)</f>
        <v>#N/A</v>
      </c>
      <c r="Z15" s="394" t="s">
        <v>56</v>
      </c>
      <c r="AA15" s="392" t="e">
        <f>IF(W15&lt;&gt;0,W15-W14,NA())</f>
        <v>#N/A</v>
      </c>
      <c r="AB15" s="389"/>
    </row>
    <row r="16" spans="1:28" ht="12.75" customHeight="1" x14ac:dyDescent="0.2">
      <c r="A16" s="441"/>
      <c r="B16" s="441"/>
      <c r="V16" s="328"/>
      <c r="W16" s="328"/>
      <c r="X16" s="328"/>
      <c r="AA16" s="328"/>
    </row>
    <row r="17" spans="1:11" ht="18" customHeight="1" x14ac:dyDescent="0.25">
      <c r="A17" s="441"/>
      <c r="B17" s="441"/>
      <c r="E17" s="230"/>
    </row>
    <row r="18" spans="1:11" ht="26.25" customHeight="1" x14ac:dyDescent="0.2">
      <c r="A18" s="441"/>
      <c r="B18" s="441"/>
    </row>
    <row r="23" spans="1:11" x14ac:dyDescent="0.2">
      <c r="H23" s="177" t="s">
        <v>64</v>
      </c>
      <c r="J23" s="245">
        <f>CEILING($B$6, 100)/100</f>
        <v>7</v>
      </c>
      <c r="K23" s="245">
        <f>CEILING($B$7,100)/100</f>
        <v>0</v>
      </c>
    </row>
    <row r="24" spans="1:11" x14ac:dyDescent="0.2">
      <c r="H24" s="178">
        <f>IF((ROW()-23)&lt;=$K$24,(ROW()-23),"Choisir")</f>
        <v>1</v>
      </c>
      <c r="J24" s="245">
        <f>MOD($B$7,100)</f>
        <v>0</v>
      </c>
      <c r="K24" s="246">
        <f>CEILING($B$6/300,1)</f>
        <v>3</v>
      </c>
    </row>
    <row r="25" spans="1:11" x14ac:dyDescent="0.2">
      <c r="H25" s="178">
        <f>IF((ROW()-23)&lt;=$K$24,(ROW()-23),"Choisir")</f>
        <v>2</v>
      </c>
    </row>
    <row r="26" spans="1:11" x14ac:dyDescent="0.2">
      <c r="H26" s="178">
        <f>IF((ROW()-23)&lt;=$K$24,(ROW()-23),"Choisir")</f>
        <v>3</v>
      </c>
    </row>
    <row r="27" spans="1:11" x14ac:dyDescent="0.2">
      <c r="H27" s="178" t="str">
        <f>IF((ROW()-23)&lt;=$K$24,(ROW()-23),"Choisir")</f>
        <v>Choisir</v>
      </c>
    </row>
    <row r="46" spans="4:17" x14ac:dyDescent="0.2">
      <c r="E46" s="169"/>
    </row>
    <row r="47" spans="4:17" ht="13.5" thickBot="1" x14ac:dyDescent="0.25">
      <c r="E47" s="169"/>
    </row>
    <row r="48" spans="4:17" ht="20.100000000000001" customHeight="1" thickBot="1" x14ac:dyDescent="0.25">
      <c r="D48" s="235" t="s">
        <v>79</v>
      </c>
      <c r="E48" s="432" t="s">
        <v>103</v>
      </c>
      <c r="F48" s="433"/>
      <c r="G48" s="433"/>
      <c r="H48" s="433"/>
      <c r="I48" s="433"/>
      <c r="J48" s="433"/>
      <c r="K48" s="433"/>
      <c r="L48" s="433"/>
      <c r="M48" s="433"/>
      <c r="N48" s="433"/>
      <c r="O48" s="433"/>
      <c r="P48" s="434"/>
      <c r="Q48" s="395" t="s">
        <v>7</v>
      </c>
    </row>
    <row r="49" spans="3:17" ht="47.25" customHeight="1" thickBot="1" x14ac:dyDescent="0.25">
      <c r="C49" s="233"/>
      <c r="D49" s="371" t="s">
        <v>82</v>
      </c>
      <c r="E49" s="365" t="s">
        <v>69</v>
      </c>
      <c r="F49" s="365" t="s">
        <v>100</v>
      </c>
      <c r="G49" s="365" t="s">
        <v>70</v>
      </c>
      <c r="H49" s="365" t="s">
        <v>71</v>
      </c>
      <c r="I49" s="365" t="s">
        <v>72</v>
      </c>
      <c r="J49" s="365" t="s">
        <v>73</v>
      </c>
      <c r="K49" s="365" t="s">
        <v>74</v>
      </c>
      <c r="L49" s="365" t="s">
        <v>75</v>
      </c>
      <c r="M49" s="365" t="s">
        <v>76</v>
      </c>
      <c r="N49" s="365" t="s">
        <v>77</v>
      </c>
      <c r="O49" s="375" t="s">
        <v>3</v>
      </c>
      <c r="P49" s="374" t="s">
        <v>4</v>
      </c>
      <c r="Q49" s="397" t="s">
        <v>104</v>
      </c>
    </row>
    <row r="50" spans="3:17" ht="19.5" customHeight="1" x14ac:dyDescent="0.2">
      <c r="C50" s="234"/>
      <c r="D50" s="370" t="s">
        <v>81</v>
      </c>
      <c r="E50" s="320"/>
      <c r="F50" s="321"/>
      <c r="G50" s="321"/>
      <c r="H50" s="321"/>
      <c r="I50" s="321"/>
      <c r="J50" s="321"/>
      <c r="K50" s="321"/>
      <c r="L50" s="321"/>
      <c r="M50" s="321"/>
      <c r="N50" s="322"/>
      <c r="O50" s="323"/>
      <c r="P50" s="322"/>
      <c r="Q50" s="396">
        <f t="shared" ref="Q50:Q59" si="6">SUM(E50:P50)</f>
        <v>0</v>
      </c>
    </row>
    <row r="51" spans="3:17" ht="20.100000000000001" customHeight="1" x14ac:dyDescent="0.2">
      <c r="C51" s="234"/>
      <c r="D51" s="370" t="s">
        <v>81</v>
      </c>
      <c r="E51" s="320"/>
      <c r="F51" s="321"/>
      <c r="G51" s="321"/>
      <c r="H51" s="321"/>
      <c r="I51" s="321"/>
      <c r="J51" s="321"/>
      <c r="K51" s="321"/>
      <c r="L51" s="321"/>
      <c r="M51" s="321"/>
      <c r="N51" s="322"/>
      <c r="O51" s="323"/>
      <c r="P51" s="322"/>
      <c r="Q51" s="396">
        <f t="shared" si="6"/>
        <v>0</v>
      </c>
    </row>
    <row r="52" spans="3:17" ht="20.100000000000001" customHeight="1" x14ac:dyDescent="0.2">
      <c r="C52" s="234"/>
      <c r="D52" s="370" t="s">
        <v>81</v>
      </c>
      <c r="E52" s="320"/>
      <c r="F52" s="321"/>
      <c r="G52" s="321"/>
      <c r="H52" s="321"/>
      <c r="I52" s="321"/>
      <c r="J52" s="321"/>
      <c r="K52" s="321"/>
      <c r="L52" s="321"/>
      <c r="M52" s="321"/>
      <c r="N52" s="322"/>
      <c r="O52" s="323"/>
      <c r="P52" s="322"/>
      <c r="Q52" s="396">
        <f t="shared" si="6"/>
        <v>0</v>
      </c>
    </row>
    <row r="53" spans="3:17" ht="20.100000000000001" customHeight="1" x14ac:dyDescent="0.2">
      <c r="C53" s="234"/>
      <c r="D53" s="370" t="s">
        <v>81</v>
      </c>
      <c r="E53" s="320"/>
      <c r="F53" s="321"/>
      <c r="G53" s="321"/>
      <c r="H53" s="321"/>
      <c r="I53" s="321"/>
      <c r="J53" s="321"/>
      <c r="K53" s="321"/>
      <c r="L53" s="321"/>
      <c r="M53" s="321"/>
      <c r="N53" s="322"/>
      <c r="O53" s="323"/>
      <c r="P53" s="322"/>
      <c r="Q53" s="396">
        <f t="shared" si="6"/>
        <v>0</v>
      </c>
    </row>
    <row r="54" spans="3:17" ht="20.100000000000001" customHeight="1" x14ac:dyDescent="0.2">
      <c r="C54" s="234"/>
      <c r="D54" s="370" t="s">
        <v>81</v>
      </c>
      <c r="E54" s="320"/>
      <c r="F54" s="321"/>
      <c r="G54" s="321"/>
      <c r="H54" s="321"/>
      <c r="I54" s="321"/>
      <c r="J54" s="321"/>
      <c r="K54" s="321"/>
      <c r="L54" s="321"/>
      <c r="M54" s="321"/>
      <c r="N54" s="322"/>
      <c r="O54" s="323"/>
      <c r="P54" s="322"/>
      <c r="Q54" s="396">
        <f t="shared" si="6"/>
        <v>0</v>
      </c>
    </row>
    <row r="55" spans="3:17" ht="20.100000000000001" customHeight="1" x14ac:dyDescent="0.2">
      <c r="C55" s="234"/>
      <c r="D55" s="370" t="s">
        <v>81</v>
      </c>
      <c r="E55" s="320"/>
      <c r="F55" s="321"/>
      <c r="G55" s="321"/>
      <c r="H55" s="321"/>
      <c r="I55" s="321"/>
      <c r="J55" s="321"/>
      <c r="K55" s="321"/>
      <c r="L55" s="321"/>
      <c r="M55" s="321"/>
      <c r="N55" s="322"/>
      <c r="O55" s="323"/>
      <c r="P55" s="322"/>
      <c r="Q55" s="396">
        <f t="shared" si="6"/>
        <v>0</v>
      </c>
    </row>
    <row r="56" spans="3:17" ht="20.100000000000001" customHeight="1" x14ac:dyDescent="0.2">
      <c r="C56" s="234"/>
      <c r="D56" s="370" t="s">
        <v>81</v>
      </c>
      <c r="E56" s="320"/>
      <c r="F56" s="321"/>
      <c r="G56" s="321"/>
      <c r="H56" s="321"/>
      <c r="I56" s="321"/>
      <c r="J56" s="321"/>
      <c r="K56" s="321"/>
      <c r="L56" s="321"/>
      <c r="M56" s="321"/>
      <c r="N56" s="322"/>
      <c r="O56" s="323"/>
      <c r="P56" s="322"/>
      <c r="Q56" s="396">
        <f t="shared" si="6"/>
        <v>0</v>
      </c>
    </row>
    <row r="57" spans="3:17" ht="20.100000000000001" customHeight="1" x14ac:dyDescent="0.2">
      <c r="C57" s="234"/>
      <c r="D57" s="370" t="s">
        <v>81</v>
      </c>
      <c r="E57" s="320"/>
      <c r="F57" s="321"/>
      <c r="G57" s="321"/>
      <c r="H57" s="321"/>
      <c r="I57" s="321"/>
      <c r="J57" s="321"/>
      <c r="K57" s="321"/>
      <c r="L57" s="321"/>
      <c r="M57" s="321"/>
      <c r="N57" s="322"/>
      <c r="O57" s="323"/>
      <c r="P57" s="322"/>
      <c r="Q57" s="396">
        <f t="shared" si="6"/>
        <v>0</v>
      </c>
    </row>
    <row r="58" spans="3:17" ht="20.100000000000001" customHeight="1" x14ac:dyDescent="0.2">
      <c r="C58" s="234"/>
      <c r="D58" s="370" t="s">
        <v>81</v>
      </c>
      <c r="E58" s="320"/>
      <c r="F58" s="321"/>
      <c r="G58" s="321"/>
      <c r="H58" s="321"/>
      <c r="I58" s="321"/>
      <c r="J58" s="321"/>
      <c r="K58" s="321"/>
      <c r="L58" s="321"/>
      <c r="M58" s="321"/>
      <c r="N58" s="322"/>
      <c r="O58" s="323"/>
      <c r="P58" s="322"/>
      <c r="Q58" s="396">
        <f t="shared" si="6"/>
        <v>0</v>
      </c>
    </row>
    <row r="59" spans="3:17" ht="20.100000000000001" customHeight="1" thickBot="1" x14ac:dyDescent="0.25">
      <c r="C59" s="234"/>
      <c r="D59" s="376" t="s">
        <v>81</v>
      </c>
      <c r="E59" s="377"/>
      <c r="F59" s="378"/>
      <c r="G59" s="378"/>
      <c r="H59" s="378"/>
      <c r="I59" s="378"/>
      <c r="J59" s="378"/>
      <c r="K59" s="378"/>
      <c r="L59" s="378"/>
      <c r="M59" s="378"/>
      <c r="N59" s="379"/>
      <c r="O59" s="380"/>
      <c r="P59" s="379"/>
      <c r="Q59" s="396">
        <f t="shared" si="6"/>
        <v>0</v>
      </c>
    </row>
    <row r="60" spans="3:17" x14ac:dyDescent="0.2">
      <c r="Q60" s="328"/>
    </row>
    <row r="63" spans="3:17" ht="18" x14ac:dyDescent="0.25">
      <c r="E63" s="230"/>
    </row>
    <row r="65" spans="4:17" ht="13.5" thickBot="1" x14ac:dyDescent="0.25"/>
    <row r="66" spans="4:17" ht="16.5" customHeight="1" thickBot="1" x14ac:dyDescent="0.25">
      <c r="D66" s="235" t="s">
        <v>80</v>
      </c>
      <c r="E66" s="432" t="s">
        <v>102</v>
      </c>
      <c r="F66" s="433"/>
      <c r="G66" s="433"/>
      <c r="H66" s="433"/>
      <c r="I66" s="433"/>
      <c r="J66" s="433"/>
      <c r="K66" s="433"/>
      <c r="L66" s="433"/>
      <c r="M66" s="433"/>
      <c r="N66" s="433"/>
      <c r="O66" s="433"/>
      <c r="P66" s="434"/>
      <c r="Q66" s="395" t="s">
        <v>7</v>
      </c>
    </row>
    <row r="67" spans="4:17" ht="42" customHeight="1" thickBot="1" x14ac:dyDescent="0.25">
      <c r="D67" s="371" t="s">
        <v>82</v>
      </c>
      <c r="E67" s="365" t="s">
        <v>69</v>
      </c>
      <c r="F67" s="365" t="s">
        <v>100</v>
      </c>
      <c r="G67" s="365" t="s">
        <v>70</v>
      </c>
      <c r="H67" s="365" t="s">
        <v>71</v>
      </c>
      <c r="I67" s="365" t="s">
        <v>72</v>
      </c>
      <c r="J67" s="365" t="s">
        <v>73</v>
      </c>
      <c r="K67" s="365" t="s">
        <v>74</v>
      </c>
      <c r="L67" s="365" t="s">
        <v>75</v>
      </c>
      <c r="M67" s="365" t="s">
        <v>76</v>
      </c>
      <c r="N67" s="365" t="s">
        <v>77</v>
      </c>
      <c r="O67" s="375" t="s">
        <v>3</v>
      </c>
      <c r="P67" s="374" t="s">
        <v>4</v>
      </c>
      <c r="Q67" s="402" t="s">
        <v>104</v>
      </c>
    </row>
    <row r="68" spans="4:17" ht="20.100000000000001" customHeight="1" x14ac:dyDescent="0.2">
      <c r="D68" s="244" t="s">
        <v>81</v>
      </c>
      <c r="E68" s="237"/>
      <c r="F68" s="238"/>
      <c r="G68" s="238"/>
      <c r="H68" s="238"/>
      <c r="I68" s="238"/>
      <c r="J68" s="238"/>
      <c r="K68" s="238"/>
      <c r="L68" s="238"/>
      <c r="M68" s="238"/>
      <c r="N68" s="239"/>
      <c r="O68" s="240"/>
      <c r="P68" s="239"/>
      <c r="Q68" s="399">
        <f t="shared" ref="Q68:Q72" si="7">SUM(E68:P68)</f>
        <v>0</v>
      </c>
    </row>
    <row r="69" spans="4:17" ht="20.100000000000001" customHeight="1" x14ac:dyDescent="0.2">
      <c r="D69" s="242" t="s">
        <v>81</v>
      </c>
      <c r="E69" s="179"/>
      <c r="F69" s="180"/>
      <c r="G69" s="180"/>
      <c r="H69" s="180"/>
      <c r="I69" s="180"/>
      <c r="J69" s="180"/>
      <c r="K69" s="180"/>
      <c r="L69" s="180"/>
      <c r="M69" s="180"/>
      <c r="N69" s="181"/>
      <c r="O69" s="182"/>
      <c r="P69" s="181"/>
      <c r="Q69" s="318">
        <f t="shared" si="7"/>
        <v>0</v>
      </c>
    </row>
    <row r="70" spans="4:17" ht="20.100000000000001" customHeight="1" x14ac:dyDescent="0.2">
      <c r="D70" s="242" t="s">
        <v>81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1"/>
      <c r="O70" s="182"/>
      <c r="P70" s="181"/>
      <c r="Q70" s="318">
        <f t="shared" si="7"/>
        <v>0</v>
      </c>
    </row>
    <row r="71" spans="4:17" ht="20.100000000000001" customHeight="1" x14ac:dyDescent="0.2">
      <c r="D71" s="242" t="s">
        <v>81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1"/>
      <c r="O71" s="182"/>
      <c r="P71" s="181"/>
      <c r="Q71" s="318">
        <f t="shared" si="7"/>
        <v>0</v>
      </c>
    </row>
    <row r="72" spans="4:17" ht="20.100000000000001" customHeight="1" thickBot="1" x14ac:dyDescent="0.25">
      <c r="D72" s="243" t="s">
        <v>81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5"/>
      <c r="O72" s="186"/>
      <c r="P72" s="185"/>
      <c r="Q72" s="400">
        <f t="shared" si="7"/>
        <v>0</v>
      </c>
    </row>
    <row r="73" spans="4:1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</row>
    <row r="74" spans="4:1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</row>
    <row r="75" spans="4:1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</row>
    <row r="76" spans="4:17" ht="20.100000000000001" customHeight="1" thickBot="1" x14ac:dyDescent="0.25">
      <c r="D76" s="235" t="s">
        <v>84</v>
      </c>
      <c r="E76" s="432" t="s">
        <v>101</v>
      </c>
      <c r="F76" s="433"/>
      <c r="G76" s="433"/>
      <c r="H76" s="433"/>
      <c r="I76" s="433"/>
      <c r="J76" s="433"/>
      <c r="K76" s="433"/>
      <c r="L76" s="433"/>
      <c r="M76" s="433"/>
      <c r="N76" s="433"/>
      <c r="O76" s="433"/>
      <c r="P76" s="434"/>
      <c r="Q76" s="401" t="s">
        <v>7</v>
      </c>
    </row>
    <row r="77" spans="4:17" ht="39.75" customHeight="1" thickBot="1" x14ac:dyDescent="0.25">
      <c r="D77" s="371" t="s">
        <v>82</v>
      </c>
      <c r="E77" s="365" t="s">
        <v>69</v>
      </c>
      <c r="F77" s="365" t="s">
        <v>100</v>
      </c>
      <c r="G77" s="365" t="s">
        <v>70</v>
      </c>
      <c r="H77" s="365" t="s">
        <v>71</v>
      </c>
      <c r="I77" s="365" t="s">
        <v>72</v>
      </c>
      <c r="J77" s="365" t="s">
        <v>73</v>
      </c>
      <c r="K77" s="365" t="s">
        <v>74</v>
      </c>
      <c r="L77" s="365" t="s">
        <v>75</v>
      </c>
      <c r="M77" s="365" t="s">
        <v>76</v>
      </c>
      <c r="N77" s="365" t="s">
        <v>77</v>
      </c>
      <c r="O77" s="375" t="s">
        <v>3</v>
      </c>
      <c r="P77" s="374" t="s">
        <v>4</v>
      </c>
      <c r="Q77" s="398" t="s">
        <v>104</v>
      </c>
    </row>
    <row r="78" spans="4:17" ht="20.100000000000001" customHeight="1" x14ac:dyDescent="0.2">
      <c r="D78" s="244" t="s">
        <v>81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9"/>
      <c r="O78" s="240"/>
      <c r="P78" s="239"/>
      <c r="Q78" s="399">
        <f t="shared" ref="Q78:Q80" si="8">SUM(E78:P78)</f>
        <v>0</v>
      </c>
    </row>
    <row r="79" spans="4:17" ht="20.100000000000001" customHeight="1" x14ac:dyDescent="0.2">
      <c r="D79" s="242" t="s">
        <v>81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1"/>
      <c r="O79" s="182"/>
      <c r="P79" s="181"/>
      <c r="Q79" s="318">
        <f t="shared" si="8"/>
        <v>0</v>
      </c>
    </row>
    <row r="80" spans="4:17" ht="20.100000000000001" customHeight="1" thickBot="1" x14ac:dyDescent="0.25">
      <c r="D80" s="243" t="s">
        <v>81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5"/>
      <c r="O80" s="186"/>
      <c r="P80" s="185"/>
      <c r="Q80" s="400">
        <f t="shared" si="8"/>
        <v>0</v>
      </c>
    </row>
    <row r="81" spans="4:1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41"/>
    </row>
    <row r="82" spans="4:1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41"/>
    </row>
  </sheetData>
  <sheetProtection algorithmName="SHA-512" hashValue="FOETe3V5H/key+FsbMPdFQhCLNrVe0EWG6FSq2DsD6bDqQnag4DzKKStH46Hv1l6Tt5IEtorI2c/+UobJEyKJQ==" saltValue="ht+buEem1lgmyOXmesuIJQ==" spinCount="100000" sheet="1" objects="1" scenarios="1"/>
  <mergeCells count="7">
    <mergeCell ref="E76:P76"/>
    <mergeCell ref="E1:P1"/>
    <mergeCell ref="A10:B11"/>
    <mergeCell ref="A12:B14"/>
    <mergeCell ref="A15:B18"/>
    <mergeCell ref="E48:P48"/>
    <mergeCell ref="E66:P66"/>
  </mergeCells>
  <conditionalFormatting sqref="B8">
    <cfRule type="cellIs" dxfId="185" priority="5" operator="notEqual">
      <formula>$B$7</formula>
    </cfRule>
  </conditionalFormatting>
  <conditionalFormatting sqref="E3:Q12">
    <cfRule type="cellIs" dxfId="184" priority="4" operator="notBetween">
      <formula>0</formula>
      <formula>100</formula>
    </cfRule>
  </conditionalFormatting>
  <conditionalFormatting sqref="E3:Q14">
    <cfRule type="cellIs" dxfId="183" priority="7" operator="lessThan">
      <formula>0</formula>
    </cfRule>
  </conditionalFormatting>
  <conditionalFormatting sqref="E14:Q14">
    <cfRule type="cellIs" dxfId="182" priority="10" operator="greaterThan">
      <formula>1</formula>
    </cfRule>
  </conditionalFormatting>
  <conditionalFormatting sqref="Q3:Q13">
    <cfRule type="cellIs" dxfId="181" priority="8" operator="equal">
      <formula>0</formula>
    </cfRule>
  </conditionalFormatting>
  <conditionalFormatting sqref="Q13">
    <cfRule type="cellIs" dxfId="180" priority="12" operator="equal">
      <formula>$B$7</formula>
    </cfRule>
  </conditionalFormatting>
  <conditionalFormatting sqref="Q14">
    <cfRule type="cellIs" dxfId="179" priority="9" operator="equal">
      <formula>1</formula>
    </cfRule>
    <cfRule type="cellIs" dxfId="178" priority="11" operator="lessThan">
      <formula>1</formula>
    </cfRule>
  </conditionalFormatting>
  <conditionalFormatting sqref="W4:W15">
    <cfRule type="expression" dxfId="177" priority="13">
      <formula>AND($W4&lt;$W3, NOT(ISBLANK($W4)))</formula>
    </cfRule>
    <cfRule type="cellIs" dxfId="176" priority="14" operator="greaterThan">
      <formula>$B$6</formula>
    </cfRule>
  </conditionalFormatting>
  <conditionalFormatting sqref="X4:X15">
    <cfRule type="cellIs" dxfId="175" priority="6" operator="greaterThan">
      <formula>1</formula>
    </cfRule>
  </conditionalFormatting>
  <conditionalFormatting sqref="D68:D72 D50:D59 D78:D80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3:P12">
    <cfRule type="expression" dxfId="174" priority="15">
      <formula>($D3&lt;=$K$23)</formula>
    </cfRule>
  </conditionalFormatting>
  <conditionalFormatting sqref="Q3:Q12">
    <cfRule type="expression" dxfId="173" priority="16">
      <formula>AND($D3=$K$23, Q3=$J$24)</formula>
    </cfRule>
    <cfRule type="expression" dxfId="172" priority="17">
      <formula>AND($D3=$K$23, MOD(Q3,100)&gt;$J$24)</formula>
    </cfRule>
    <cfRule type="cellIs" dxfId="171" priority="18" operator="equal">
      <formula>100</formula>
    </cfRule>
  </conditionalFormatting>
  <conditionalFormatting sqref="D3:P12">
    <cfRule type="expression" dxfId="170" priority="22">
      <formula>($D3&gt;$K$23)</formula>
    </cfRule>
  </conditionalFormatting>
  <conditionalFormatting sqref="Q50">
    <cfRule type="cellIs" dxfId="169" priority="23" operator="lessThan">
      <formula>0</formula>
    </cfRule>
    <cfRule type="cellIs" dxfId="168" priority="24" operator="equal">
      <formula>0</formula>
    </cfRule>
    <cfRule type="expression" dxfId="167" priority="25">
      <formula>OR(MOD($Q50,100)=0,AND($D50=$K$23,MOD($Q50,100)=$J$24))</formula>
    </cfRule>
  </conditionalFormatting>
  <conditionalFormatting sqref="E50:P59">
    <cfRule type="expression" dxfId="166" priority="2">
      <formula>AND(E50&lt;MAX(E$50:E50), NOT(ISBLANK(E50)), NOT(E50=0))</formula>
    </cfRule>
  </conditionalFormatting>
  <conditionalFormatting sqref="Q52:Q59 Q68:Q72 Q78:Q80">
    <cfRule type="cellIs" dxfId="165" priority="27" operator="lessThan">
      <formula>0</formula>
    </cfRule>
    <cfRule type="cellIs" dxfId="164" priority="28" operator="equal">
      <formula>0</formula>
    </cfRule>
    <cfRule type="expression" dxfId="163" priority="29">
      <formula>OR(MOD($Q52,100)=0,AND($D52=$K$23,MOD($Q52,100)=$J$24))</formula>
    </cfRule>
  </conditionalFormatting>
  <conditionalFormatting sqref="Q51">
    <cfRule type="cellIs" dxfId="162" priority="30" operator="lessThan">
      <formula>0</formula>
    </cfRule>
    <cfRule type="cellIs" dxfId="161" priority="31" operator="equal">
      <formula>0</formula>
    </cfRule>
    <cfRule type="expression" dxfId="160" priority="32">
      <formula>OR(MOD($Q51,100)=0,AND($D50=$K$23,MOD($Q51,100)=$J$24))</formula>
    </cfRule>
  </conditionalFormatting>
  <conditionalFormatting sqref="E50:P59 E68:P72 E78:P80">
    <cfRule type="cellIs" dxfId="157" priority="19" operator="notBetween">
      <formula>0</formula>
      <formula>$B$7</formula>
    </cfRule>
    <cfRule type="expression" dxfId="158" priority="20">
      <formula>($D50&lt;=$K$23)</formula>
    </cfRule>
    <cfRule type="expression" dxfId="159" priority="21">
      <formula>($D50&gt;$K$23)</formula>
    </cfRule>
  </conditionalFormatting>
  <conditionalFormatting sqref="E68:P72">
    <cfRule type="expression" dxfId="156" priority="1">
      <formula>AND(E68&lt;MAX(E$68:E68), NOT(ISBLANK(E68)), NOT(E68=0))</formula>
    </cfRule>
  </conditionalFormatting>
  <conditionalFormatting sqref="E78:P80">
    <cfRule type="expression" dxfId="155" priority="26">
      <formula>AND(E78&lt;MAX(E$78:E78), NOT(ISBLANK(E78)), NOT(E78=0))</formula>
    </cfRule>
  </conditionalFormatting>
  <dataValidations count="2">
    <dataValidation type="list" allowBlank="1" showInputMessage="1" showErrorMessage="1" sqref="D68:D72 D78:D82 D50:D59" xr:uid="{6403DF73-7E37-4ADE-B832-04533A0D3DB3}">
      <formula1>$D$3:$D$12</formula1>
    </dataValidation>
    <dataValidation type="list" allowBlank="1" showInputMessage="1" showErrorMessage="1" sqref="C50:C59" xr:uid="{F05AD013-468E-4A35-A3EF-DE713EE76CC6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35458-FB73-4251-BF6E-256E402CC936}">
  <sheetPr codeName="Feuil37">
    <tabColor rgb="FFB4A7D6"/>
  </sheetPr>
  <dimension ref="A1:AB82"/>
  <sheetViews>
    <sheetView zoomScale="80" zoomScaleNormal="80" workbookViewId="0">
      <pane xSplit="2" topLeftCell="C1" activePane="topRight" state="frozen"/>
      <selection pane="topRight" activeCell="R3" sqref="R3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4" width="15.7109375" customWidth="1"/>
    <col min="17" max="17" width="12.85546875" customWidth="1"/>
    <col min="18" max="18" width="11.42578125" customWidth="1"/>
    <col min="21" max="21" width="10.42578125" customWidth="1"/>
    <col min="22" max="22" width="15.42578125" customWidth="1"/>
    <col min="23" max="23" width="16.140625" customWidth="1"/>
    <col min="24" max="24" width="12" customWidth="1"/>
    <col min="26" max="26" width="13.28515625" customWidth="1"/>
    <col min="27" max="27" width="14.42578125" customWidth="1"/>
  </cols>
  <sheetData>
    <row r="1" spans="1:28" ht="16.5" customHeight="1" thickBot="1" x14ac:dyDescent="0.25">
      <c r="A1" s="315" t="s">
        <v>11</v>
      </c>
      <c r="B1" s="33">
        <f>Synthèse!B17</f>
        <v>46096</v>
      </c>
      <c r="D1" s="314"/>
      <c r="E1" s="435" t="s">
        <v>66</v>
      </c>
      <c r="F1" s="436"/>
      <c r="G1" s="436"/>
      <c r="H1" s="436"/>
      <c r="I1" s="436"/>
      <c r="J1" s="436"/>
      <c r="K1" s="436"/>
      <c r="L1" s="436"/>
      <c r="M1" s="436"/>
      <c r="N1" s="436"/>
      <c r="O1" s="436"/>
      <c r="P1" s="437"/>
      <c r="Q1" s="443" t="s">
        <v>7</v>
      </c>
    </row>
    <row r="2" spans="1:28" ht="39.75" customHeight="1" thickBot="1" x14ac:dyDescent="0.25">
      <c r="A2" s="316" t="s">
        <v>12</v>
      </c>
      <c r="B2" s="34" t="str">
        <f>Synthèse!B18</f>
        <v>Municipales 1er tour</v>
      </c>
      <c r="D2" s="364" t="s">
        <v>83</v>
      </c>
      <c r="E2" s="365" t="str">
        <f>Synthèse!L2</f>
        <v>Candidat 1</v>
      </c>
      <c r="F2" s="365" t="str">
        <f>Synthèse!M2</f>
        <v>Candidat 2</v>
      </c>
      <c r="G2" s="365" t="str">
        <f>Synthèse!N2</f>
        <v>Candidat 3</v>
      </c>
      <c r="H2" s="365" t="str">
        <f>Synthèse!O2</f>
        <v>Candidat 4</v>
      </c>
      <c r="I2" s="365" t="str">
        <f>Synthèse!P2</f>
        <v>Candidat 5</v>
      </c>
      <c r="J2" s="365" t="str">
        <f>Synthèse!Q2</f>
        <v>Candidat 6</v>
      </c>
      <c r="K2" s="365" t="str">
        <f>Synthèse!R2</f>
        <v>Candidat 7</v>
      </c>
      <c r="L2" s="365" t="str">
        <f>Synthèse!S2</f>
        <v>Candidat 8</v>
      </c>
      <c r="M2" s="365" t="str">
        <f>Synthèse!T2</f>
        <v>Candidat 9</v>
      </c>
      <c r="N2" s="365" t="str">
        <f>Synthèse!U2</f>
        <v>Candidat 10</v>
      </c>
      <c r="O2" s="368" t="s">
        <v>3</v>
      </c>
      <c r="P2" s="369" t="s">
        <v>4</v>
      </c>
      <c r="Q2" s="444" t="s">
        <v>105</v>
      </c>
      <c r="V2" s="381" t="s">
        <v>21</v>
      </c>
      <c r="W2" s="382" t="s">
        <v>57</v>
      </c>
      <c r="X2" s="383" t="s">
        <v>31</v>
      </c>
      <c r="Z2" s="384" t="s">
        <v>59</v>
      </c>
      <c r="AA2" s="384" t="s">
        <v>58</v>
      </c>
    </row>
    <row r="3" spans="1:28" ht="20.100000000000001" customHeight="1" thickBot="1" x14ac:dyDescent="0.25">
      <c r="A3" s="317" t="s">
        <v>13</v>
      </c>
      <c r="B3" s="94" t="str">
        <f>Synthèse!B19</f>
        <v>Cogolin</v>
      </c>
      <c r="D3" s="361" t="str" cm="1">
        <f t="array" ref="D3">IF(ROW(1:1)&lt;=$K$23, (ROW(1:1)), "")</f>
        <v/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70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171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72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318">
        <f t="shared" ref="Q3:Q12" si="0">SUM(E3:P3)</f>
        <v>0</v>
      </c>
      <c r="V3" s="352" t="s">
        <v>32</v>
      </c>
      <c r="W3" s="353">
        <v>0</v>
      </c>
      <c r="X3" s="354">
        <f t="shared" ref="X3" si="1">W3/$B$6</f>
        <v>0</v>
      </c>
      <c r="Z3" s="330"/>
      <c r="AA3" s="330"/>
    </row>
    <row r="4" spans="1:28" ht="20.100000000000001" customHeight="1" x14ac:dyDescent="0.2">
      <c r="A4" s="95" t="s">
        <v>23</v>
      </c>
      <c r="B4" s="168">
        <v>8</v>
      </c>
      <c r="D4" s="362" t="str" cm="1">
        <f t="array" ref="D4">IF(ROW(2:2)&lt;=$K$23, (ROW(2:2)), "")</f>
        <v/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7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158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318">
        <f t="shared" si="0"/>
        <v>0</v>
      </c>
      <c r="V4" s="355" t="s">
        <v>33</v>
      </c>
      <c r="W4" s="356"/>
      <c r="X4" s="357" t="e">
        <f t="shared" ref="X4:X13" si="2">IF(OR(W4=0, W4=""), NA(), W4/$B$6)</f>
        <v>#N/A</v>
      </c>
      <c r="Z4" s="325" t="s">
        <v>45</v>
      </c>
      <c r="AA4" s="385" t="e">
        <f t="shared" ref="AA4:AA13" si="3">IF(W4&lt;&gt;0,W4-W3,NA())</f>
        <v>#N/A</v>
      </c>
    </row>
    <row r="5" spans="1:28" ht="20.100000000000001" customHeight="1" x14ac:dyDescent="0.2">
      <c r="A5" s="96" t="s">
        <v>24</v>
      </c>
      <c r="B5" s="187" t="s">
        <v>28</v>
      </c>
      <c r="D5" s="362" t="str" cm="1">
        <f t="array" ref="D5">IF(ROW(3:3)&lt;=$K$23, (ROW(3:3)), "")</f>
        <v/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173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174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318">
        <f t="shared" si="0"/>
        <v>0</v>
      </c>
      <c r="T5" s="231"/>
      <c r="U5" s="232"/>
      <c r="V5" s="355" t="s">
        <v>34</v>
      </c>
      <c r="W5" s="356"/>
      <c r="X5" s="357" t="e">
        <f t="shared" si="2"/>
        <v>#N/A</v>
      </c>
      <c r="Z5" s="326" t="s">
        <v>46</v>
      </c>
      <c r="AA5" s="386" t="e">
        <f t="shared" si="3"/>
        <v>#N/A</v>
      </c>
    </row>
    <row r="6" spans="1:28" ht="20.100000000000001" customHeight="1" x14ac:dyDescent="0.2">
      <c r="A6" s="96" t="s">
        <v>0</v>
      </c>
      <c r="B6" s="188">
        <v>620</v>
      </c>
      <c r="D6" s="362" t="str" cm="1">
        <f t="array" ref="D6">IF(ROW(4:4)&lt;=$K$23, (ROW(4:4)), "")</f>
        <v/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173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174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318">
        <f t="shared" si="0"/>
        <v>0</v>
      </c>
      <c r="T6" s="231"/>
      <c r="U6" s="232"/>
      <c r="V6" s="355" t="s">
        <v>35</v>
      </c>
      <c r="W6" s="356"/>
      <c r="X6" s="357" t="e">
        <f t="shared" si="2"/>
        <v>#N/A</v>
      </c>
      <c r="Z6" s="326" t="s">
        <v>47</v>
      </c>
      <c r="AA6" s="386" t="e">
        <f t="shared" si="3"/>
        <v>#N/A</v>
      </c>
    </row>
    <row r="7" spans="1:28" ht="20.100000000000001" customHeight="1" x14ac:dyDescent="0.2">
      <c r="A7" s="96" t="s">
        <v>2</v>
      </c>
      <c r="B7" s="165">
        <f>MAX(W4:W15)</f>
        <v>0</v>
      </c>
      <c r="D7" s="362" t="str" cm="1">
        <f t="array" ref="D7">IF(ROW(5:5)&lt;=$K$23, (ROW(5:5)), "")</f>
        <v/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7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158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318">
        <f t="shared" si="0"/>
        <v>0</v>
      </c>
      <c r="T7" s="231"/>
      <c r="U7" s="232"/>
      <c r="V7" s="355" t="s">
        <v>36</v>
      </c>
      <c r="W7" s="356"/>
      <c r="X7" s="357" t="e">
        <f t="shared" si="2"/>
        <v>#N/A</v>
      </c>
      <c r="Z7" s="326" t="s">
        <v>54</v>
      </c>
      <c r="AA7" s="386" t="e">
        <f t="shared" si="3"/>
        <v>#N/A</v>
      </c>
    </row>
    <row r="8" spans="1:28" ht="20.100000000000001" customHeight="1" x14ac:dyDescent="0.2">
      <c r="A8" s="96" t="s">
        <v>1</v>
      </c>
      <c r="B8" s="166">
        <f>B7</f>
        <v>0</v>
      </c>
      <c r="D8" s="362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7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8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318">
        <f t="shared" si="0"/>
        <v>0</v>
      </c>
      <c r="T8" s="231"/>
      <c r="U8" s="232"/>
      <c r="V8" s="355" t="s">
        <v>37</v>
      </c>
      <c r="W8" s="356"/>
      <c r="X8" s="357" t="e">
        <f t="shared" si="2"/>
        <v>#N/A</v>
      </c>
      <c r="Z8" s="326" t="s">
        <v>48</v>
      </c>
      <c r="AA8" s="386" t="e">
        <f t="shared" si="3"/>
        <v>#N/A</v>
      </c>
    </row>
    <row r="9" spans="1:28" ht="20.100000000000001" customHeight="1" thickBot="1" x14ac:dyDescent="0.25">
      <c r="A9" s="97" t="s">
        <v>17</v>
      </c>
      <c r="B9" s="167">
        <f>B6-B7</f>
        <v>620</v>
      </c>
      <c r="D9" s="362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9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60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318">
        <f t="shared" si="0"/>
        <v>0</v>
      </c>
      <c r="T9" s="231"/>
      <c r="U9" s="232"/>
      <c r="V9" s="355" t="s">
        <v>38</v>
      </c>
      <c r="W9" s="356"/>
      <c r="X9" s="357" t="e">
        <f t="shared" si="2"/>
        <v>#N/A</v>
      </c>
      <c r="Z9" s="326" t="s">
        <v>49</v>
      </c>
      <c r="AA9" s="386" t="e">
        <f t="shared" si="3"/>
        <v>#N/A</v>
      </c>
    </row>
    <row r="10" spans="1:28" ht="20.100000000000001" customHeight="1" x14ac:dyDescent="0.2">
      <c r="A10" s="438" t="s">
        <v>60</v>
      </c>
      <c r="B10" s="438"/>
      <c r="D10" s="362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9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60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318">
        <f t="shared" si="0"/>
        <v>0</v>
      </c>
      <c r="T10" s="231"/>
      <c r="U10" s="232"/>
      <c r="V10" s="355" t="s">
        <v>39</v>
      </c>
      <c r="W10" s="356"/>
      <c r="X10" s="357" t="e">
        <f t="shared" si="2"/>
        <v>#N/A</v>
      </c>
      <c r="Z10" s="326" t="s">
        <v>50</v>
      </c>
      <c r="AA10" s="386" t="e">
        <f t="shared" si="3"/>
        <v>#N/A</v>
      </c>
    </row>
    <row r="11" spans="1:28" ht="20.100000000000001" customHeight="1" x14ac:dyDescent="0.2">
      <c r="A11" s="439"/>
      <c r="B11" s="439"/>
      <c r="D11" s="362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9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60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318">
        <f t="shared" si="0"/>
        <v>0</v>
      </c>
      <c r="T11" s="231"/>
      <c r="U11" s="232"/>
      <c r="V11" s="355" t="s">
        <v>40</v>
      </c>
      <c r="W11" s="356"/>
      <c r="X11" s="357" t="e">
        <f t="shared" si="2"/>
        <v>#N/A</v>
      </c>
      <c r="Z11" s="326" t="s">
        <v>51</v>
      </c>
      <c r="AA11" s="386" t="e">
        <f t="shared" si="3"/>
        <v>#N/A</v>
      </c>
    </row>
    <row r="12" spans="1:28" ht="20.100000000000001" customHeight="1" thickBot="1" x14ac:dyDescent="0.25">
      <c r="A12" s="440" t="s">
        <v>61</v>
      </c>
      <c r="B12" s="440"/>
      <c r="D12" s="363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75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7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318">
        <f t="shared" si="0"/>
        <v>0</v>
      </c>
      <c r="T12" s="231"/>
      <c r="U12" s="232"/>
      <c r="V12" s="355" t="s">
        <v>41</v>
      </c>
      <c r="W12" s="356"/>
      <c r="X12" s="357" t="e">
        <f t="shared" si="2"/>
        <v>#N/A</v>
      </c>
      <c r="Z12" s="326" t="s">
        <v>52</v>
      </c>
      <c r="AA12" s="386" t="e">
        <f t="shared" si="3"/>
        <v>#N/A</v>
      </c>
    </row>
    <row r="13" spans="1:28" ht="20.100000000000001" customHeight="1" thickBot="1" x14ac:dyDescent="0.3">
      <c r="A13" s="440"/>
      <c r="B13" s="440"/>
      <c r="D13" s="50" t="s">
        <v>9</v>
      </c>
      <c r="E13" s="161">
        <f t="shared" ref="E13:Q13" si="4">SUM(E3:E12)</f>
        <v>0</v>
      </c>
      <c r="F13" s="162">
        <f t="shared" si="4"/>
        <v>0</v>
      </c>
      <c r="G13" s="162">
        <f t="shared" si="4"/>
        <v>0</v>
      </c>
      <c r="H13" s="162">
        <f t="shared" si="4"/>
        <v>0</v>
      </c>
      <c r="I13" s="162">
        <f t="shared" si="4"/>
        <v>0</v>
      </c>
      <c r="J13" s="162">
        <f t="shared" si="4"/>
        <v>0</v>
      </c>
      <c r="K13" s="162">
        <f t="shared" si="4"/>
        <v>0</v>
      </c>
      <c r="L13" s="162">
        <f t="shared" si="4"/>
        <v>0</v>
      </c>
      <c r="M13" s="162">
        <f t="shared" si="4"/>
        <v>0</v>
      </c>
      <c r="N13" s="162">
        <f t="shared" si="4"/>
        <v>0</v>
      </c>
      <c r="O13" s="163">
        <f t="shared" si="4"/>
        <v>0</v>
      </c>
      <c r="P13" s="164">
        <f t="shared" si="4"/>
        <v>0</v>
      </c>
      <c r="Q13" s="319">
        <f t="shared" si="4"/>
        <v>0</v>
      </c>
      <c r="T13" s="231"/>
      <c r="U13" s="232"/>
      <c r="V13" s="355" t="s">
        <v>42</v>
      </c>
      <c r="W13" s="356"/>
      <c r="X13" s="357" t="e">
        <f t="shared" si="2"/>
        <v>#N/A</v>
      </c>
      <c r="Z13" s="327" t="s">
        <v>53</v>
      </c>
      <c r="AA13" s="387" t="e">
        <f t="shared" si="3"/>
        <v>#N/A</v>
      </c>
    </row>
    <row r="14" spans="1:28" ht="20.100000000000001" customHeight="1" thickBot="1" x14ac:dyDescent="0.3">
      <c r="A14" s="440"/>
      <c r="B14" s="440"/>
      <c r="D14" s="83" t="s">
        <v>10</v>
      </c>
      <c r="E14" s="45">
        <f t="shared" ref="E14:Q14" si="5">IFERROR(E13/$B$7,0)</f>
        <v>0</v>
      </c>
      <c r="F14" s="46">
        <f t="shared" si="5"/>
        <v>0</v>
      </c>
      <c r="G14" s="46">
        <f t="shared" si="5"/>
        <v>0</v>
      </c>
      <c r="H14" s="46">
        <f t="shared" si="5"/>
        <v>0</v>
      </c>
      <c r="I14" s="46">
        <f t="shared" si="5"/>
        <v>0</v>
      </c>
      <c r="J14" s="46">
        <f t="shared" si="5"/>
        <v>0</v>
      </c>
      <c r="K14" s="46">
        <f t="shared" si="5"/>
        <v>0</v>
      </c>
      <c r="L14" s="46">
        <f t="shared" si="5"/>
        <v>0</v>
      </c>
      <c r="M14" s="46">
        <f t="shared" si="5"/>
        <v>0</v>
      </c>
      <c r="N14" s="46">
        <f t="shared" si="5"/>
        <v>0</v>
      </c>
      <c r="O14" s="45">
        <f t="shared" si="5"/>
        <v>0</v>
      </c>
      <c r="P14" s="47">
        <f t="shared" si="5"/>
        <v>0</v>
      </c>
      <c r="Q14" s="329">
        <f t="shared" si="5"/>
        <v>0</v>
      </c>
      <c r="V14" s="391" t="s">
        <v>43</v>
      </c>
      <c r="W14" s="358"/>
      <c r="X14" s="359" t="e">
        <f>IF(OR(W14=0, W14=""), NA(), W14/$B$6)</f>
        <v>#N/A</v>
      </c>
      <c r="Y14" s="389"/>
      <c r="Z14" s="393" t="s">
        <v>55</v>
      </c>
      <c r="AA14" s="388" t="e">
        <f>IF(W14&lt;&gt;0,W14-W13,NA())</f>
        <v>#N/A</v>
      </c>
      <c r="AB14" s="389"/>
    </row>
    <row r="15" spans="1:28" ht="18" customHeight="1" thickBot="1" x14ac:dyDescent="0.25">
      <c r="A15" s="441" t="s">
        <v>68</v>
      </c>
      <c r="B15" s="441"/>
      <c r="C15" s="1"/>
      <c r="D15" s="1"/>
      <c r="Q15" s="328"/>
      <c r="V15" s="324" t="s">
        <v>44</v>
      </c>
      <c r="W15" s="360"/>
      <c r="X15" s="390" t="e">
        <f>IF(OR(W15=0, W15=""), NA(), W15/$B$6)</f>
        <v>#N/A</v>
      </c>
      <c r="Z15" s="394" t="s">
        <v>56</v>
      </c>
      <c r="AA15" s="392" t="e">
        <f>IF(W15&lt;&gt;0,W15-W14,NA())</f>
        <v>#N/A</v>
      </c>
      <c r="AB15" s="389"/>
    </row>
    <row r="16" spans="1:28" ht="12.75" customHeight="1" x14ac:dyDescent="0.2">
      <c r="A16" s="441"/>
      <c r="B16" s="441"/>
      <c r="V16" s="328"/>
      <c r="W16" s="328"/>
      <c r="X16" s="328"/>
      <c r="AA16" s="328"/>
    </row>
    <row r="17" spans="1:11" ht="18" customHeight="1" x14ac:dyDescent="0.25">
      <c r="A17" s="441"/>
      <c r="B17" s="441"/>
      <c r="E17" s="230"/>
    </row>
    <row r="18" spans="1:11" ht="26.25" customHeight="1" x14ac:dyDescent="0.2">
      <c r="A18" s="441"/>
      <c r="B18" s="441"/>
    </row>
    <row r="23" spans="1:11" x14ac:dyDescent="0.2">
      <c r="H23" s="177" t="s">
        <v>64</v>
      </c>
      <c r="J23" s="245">
        <f>CEILING($B$6, 100)/100</f>
        <v>7</v>
      </c>
      <c r="K23" s="245">
        <f>CEILING($B$7,100)/100</f>
        <v>0</v>
      </c>
    </row>
    <row r="24" spans="1:11" x14ac:dyDescent="0.2">
      <c r="H24" s="178">
        <f>IF((ROW()-23)&lt;=$K$24,(ROW()-23),"Choisir")</f>
        <v>1</v>
      </c>
      <c r="J24" s="245">
        <f>MOD($B$7,100)</f>
        <v>0</v>
      </c>
      <c r="K24" s="246">
        <f>CEILING($B$6/300,1)</f>
        <v>3</v>
      </c>
    </row>
    <row r="25" spans="1:11" x14ac:dyDescent="0.2">
      <c r="H25" s="178">
        <f>IF((ROW()-23)&lt;=$K$24,(ROW()-23),"Choisir")</f>
        <v>2</v>
      </c>
    </row>
    <row r="26" spans="1:11" x14ac:dyDescent="0.2">
      <c r="H26" s="178">
        <f>IF((ROW()-23)&lt;=$K$24,(ROW()-23),"Choisir")</f>
        <v>3</v>
      </c>
    </row>
    <row r="27" spans="1:11" x14ac:dyDescent="0.2">
      <c r="H27" s="178" t="str">
        <f>IF((ROW()-23)&lt;=$K$24,(ROW()-23),"Choisir")</f>
        <v>Choisir</v>
      </c>
    </row>
    <row r="46" spans="4:17" x14ac:dyDescent="0.2">
      <c r="E46" s="169"/>
    </row>
    <row r="47" spans="4:17" ht="13.5" thickBot="1" x14ac:dyDescent="0.25">
      <c r="E47" s="169"/>
    </row>
    <row r="48" spans="4:17" ht="20.100000000000001" customHeight="1" thickBot="1" x14ac:dyDescent="0.25">
      <c r="D48" s="235" t="s">
        <v>79</v>
      </c>
      <c r="E48" s="432" t="s">
        <v>103</v>
      </c>
      <c r="F48" s="433"/>
      <c r="G48" s="433"/>
      <c r="H48" s="433"/>
      <c r="I48" s="433"/>
      <c r="J48" s="433"/>
      <c r="K48" s="433"/>
      <c r="L48" s="433"/>
      <c r="M48" s="433"/>
      <c r="N48" s="433"/>
      <c r="O48" s="433"/>
      <c r="P48" s="434"/>
      <c r="Q48" s="395" t="s">
        <v>7</v>
      </c>
    </row>
    <row r="49" spans="3:17" ht="47.25" customHeight="1" thickBot="1" x14ac:dyDescent="0.25">
      <c r="C49" s="233"/>
      <c r="D49" s="371" t="s">
        <v>82</v>
      </c>
      <c r="E49" s="365" t="s">
        <v>69</v>
      </c>
      <c r="F49" s="365" t="s">
        <v>100</v>
      </c>
      <c r="G49" s="365" t="s">
        <v>70</v>
      </c>
      <c r="H49" s="365" t="s">
        <v>71</v>
      </c>
      <c r="I49" s="365" t="s">
        <v>72</v>
      </c>
      <c r="J49" s="365" t="s">
        <v>73</v>
      </c>
      <c r="K49" s="365" t="s">
        <v>74</v>
      </c>
      <c r="L49" s="365" t="s">
        <v>75</v>
      </c>
      <c r="M49" s="365" t="s">
        <v>76</v>
      </c>
      <c r="N49" s="365" t="s">
        <v>77</v>
      </c>
      <c r="O49" s="375" t="s">
        <v>3</v>
      </c>
      <c r="P49" s="374" t="s">
        <v>4</v>
      </c>
      <c r="Q49" s="397" t="s">
        <v>104</v>
      </c>
    </row>
    <row r="50" spans="3:17" ht="19.5" customHeight="1" x14ac:dyDescent="0.2">
      <c r="C50" s="234"/>
      <c r="D50" s="370" t="s">
        <v>81</v>
      </c>
      <c r="E50" s="320"/>
      <c r="F50" s="321"/>
      <c r="G50" s="321"/>
      <c r="H50" s="321"/>
      <c r="I50" s="321"/>
      <c r="J50" s="321"/>
      <c r="K50" s="321"/>
      <c r="L50" s="321"/>
      <c r="M50" s="321"/>
      <c r="N50" s="322"/>
      <c r="O50" s="323"/>
      <c r="P50" s="322"/>
      <c r="Q50" s="396">
        <f t="shared" ref="Q50:Q59" si="6">SUM(E50:P50)</f>
        <v>0</v>
      </c>
    </row>
    <row r="51" spans="3:17" ht="20.100000000000001" customHeight="1" x14ac:dyDescent="0.2">
      <c r="C51" s="234"/>
      <c r="D51" s="370" t="s">
        <v>81</v>
      </c>
      <c r="E51" s="320"/>
      <c r="F51" s="321"/>
      <c r="G51" s="321"/>
      <c r="H51" s="321"/>
      <c r="I51" s="321"/>
      <c r="J51" s="321"/>
      <c r="K51" s="321"/>
      <c r="L51" s="321"/>
      <c r="M51" s="321"/>
      <c r="N51" s="322"/>
      <c r="O51" s="323"/>
      <c r="P51" s="322"/>
      <c r="Q51" s="396">
        <f t="shared" si="6"/>
        <v>0</v>
      </c>
    </row>
    <row r="52" spans="3:17" ht="20.100000000000001" customHeight="1" x14ac:dyDescent="0.2">
      <c r="C52" s="234"/>
      <c r="D52" s="370" t="s">
        <v>81</v>
      </c>
      <c r="E52" s="320"/>
      <c r="F52" s="321"/>
      <c r="G52" s="321"/>
      <c r="H52" s="321"/>
      <c r="I52" s="321"/>
      <c r="J52" s="321"/>
      <c r="K52" s="321"/>
      <c r="L52" s="321"/>
      <c r="M52" s="321"/>
      <c r="N52" s="322"/>
      <c r="O52" s="323"/>
      <c r="P52" s="322"/>
      <c r="Q52" s="396">
        <f t="shared" si="6"/>
        <v>0</v>
      </c>
    </row>
    <row r="53" spans="3:17" ht="20.100000000000001" customHeight="1" x14ac:dyDescent="0.2">
      <c r="C53" s="234"/>
      <c r="D53" s="370" t="s">
        <v>81</v>
      </c>
      <c r="E53" s="320"/>
      <c r="F53" s="321"/>
      <c r="G53" s="321"/>
      <c r="H53" s="321"/>
      <c r="I53" s="321"/>
      <c r="J53" s="321"/>
      <c r="K53" s="321"/>
      <c r="L53" s="321"/>
      <c r="M53" s="321"/>
      <c r="N53" s="322"/>
      <c r="O53" s="323"/>
      <c r="P53" s="322"/>
      <c r="Q53" s="396">
        <f t="shared" si="6"/>
        <v>0</v>
      </c>
    </row>
    <row r="54" spans="3:17" ht="20.100000000000001" customHeight="1" x14ac:dyDescent="0.2">
      <c r="C54" s="234"/>
      <c r="D54" s="370" t="s">
        <v>81</v>
      </c>
      <c r="E54" s="320"/>
      <c r="F54" s="321"/>
      <c r="G54" s="321"/>
      <c r="H54" s="321"/>
      <c r="I54" s="321"/>
      <c r="J54" s="321"/>
      <c r="K54" s="321"/>
      <c r="L54" s="321"/>
      <c r="M54" s="321"/>
      <c r="N54" s="322"/>
      <c r="O54" s="323"/>
      <c r="P54" s="322"/>
      <c r="Q54" s="396">
        <f t="shared" si="6"/>
        <v>0</v>
      </c>
    </row>
    <row r="55" spans="3:17" ht="20.100000000000001" customHeight="1" x14ac:dyDescent="0.2">
      <c r="C55" s="234"/>
      <c r="D55" s="370" t="s">
        <v>81</v>
      </c>
      <c r="E55" s="320"/>
      <c r="F55" s="321"/>
      <c r="G55" s="321"/>
      <c r="H55" s="321"/>
      <c r="I55" s="321"/>
      <c r="J55" s="321"/>
      <c r="K55" s="321"/>
      <c r="L55" s="321"/>
      <c r="M55" s="321"/>
      <c r="N55" s="322"/>
      <c r="O55" s="323"/>
      <c r="P55" s="322"/>
      <c r="Q55" s="396">
        <f t="shared" si="6"/>
        <v>0</v>
      </c>
    </row>
    <row r="56" spans="3:17" ht="20.100000000000001" customHeight="1" x14ac:dyDescent="0.2">
      <c r="C56" s="234"/>
      <c r="D56" s="370" t="s">
        <v>81</v>
      </c>
      <c r="E56" s="320"/>
      <c r="F56" s="321"/>
      <c r="G56" s="321"/>
      <c r="H56" s="321"/>
      <c r="I56" s="321"/>
      <c r="J56" s="321"/>
      <c r="K56" s="321"/>
      <c r="L56" s="321"/>
      <c r="M56" s="321"/>
      <c r="N56" s="322"/>
      <c r="O56" s="323"/>
      <c r="P56" s="322"/>
      <c r="Q56" s="396">
        <f t="shared" si="6"/>
        <v>0</v>
      </c>
    </row>
    <row r="57" spans="3:17" ht="20.100000000000001" customHeight="1" x14ac:dyDescent="0.2">
      <c r="C57" s="234"/>
      <c r="D57" s="370" t="s">
        <v>81</v>
      </c>
      <c r="E57" s="320"/>
      <c r="F57" s="321"/>
      <c r="G57" s="321"/>
      <c r="H57" s="321"/>
      <c r="I57" s="321"/>
      <c r="J57" s="321"/>
      <c r="K57" s="321"/>
      <c r="L57" s="321"/>
      <c r="M57" s="321"/>
      <c r="N57" s="322"/>
      <c r="O57" s="323"/>
      <c r="P57" s="322"/>
      <c r="Q57" s="396">
        <f t="shared" si="6"/>
        <v>0</v>
      </c>
    </row>
    <row r="58" spans="3:17" ht="20.100000000000001" customHeight="1" x14ac:dyDescent="0.2">
      <c r="C58" s="234"/>
      <c r="D58" s="370" t="s">
        <v>81</v>
      </c>
      <c r="E58" s="320"/>
      <c r="F58" s="321"/>
      <c r="G58" s="321"/>
      <c r="H58" s="321"/>
      <c r="I58" s="321"/>
      <c r="J58" s="321"/>
      <c r="K58" s="321"/>
      <c r="L58" s="321"/>
      <c r="M58" s="321"/>
      <c r="N58" s="322"/>
      <c r="O58" s="323"/>
      <c r="P58" s="322"/>
      <c r="Q58" s="396">
        <f t="shared" si="6"/>
        <v>0</v>
      </c>
    </row>
    <row r="59" spans="3:17" ht="20.100000000000001" customHeight="1" thickBot="1" x14ac:dyDescent="0.25">
      <c r="C59" s="234"/>
      <c r="D59" s="376" t="s">
        <v>81</v>
      </c>
      <c r="E59" s="377"/>
      <c r="F59" s="378"/>
      <c r="G59" s="378"/>
      <c r="H59" s="378"/>
      <c r="I59" s="378"/>
      <c r="J59" s="378"/>
      <c r="K59" s="378"/>
      <c r="L59" s="378"/>
      <c r="M59" s="378"/>
      <c r="N59" s="379"/>
      <c r="O59" s="380"/>
      <c r="P59" s="379"/>
      <c r="Q59" s="396">
        <f t="shared" si="6"/>
        <v>0</v>
      </c>
    </row>
    <row r="60" spans="3:17" x14ac:dyDescent="0.2">
      <c r="Q60" s="328"/>
    </row>
    <row r="63" spans="3:17" ht="18" x14ac:dyDescent="0.25">
      <c r="E63" s="230"/>
    </row>
    <row r="65" spans="4:17" ht="13.5" thickBot="1" x14ac:dyDescent="0.25"/>
    <row r="66" spans="4:17" ht="16.5" customHeight="1" thickBot="1" x14ac:dyDescent="0.25">
      <c r="D66" s="235" t="s">
        <v>80</v>
      </c>
      <c r="E66" s="432" t="s">
        <v>102</v>
      </c>
      <c r="F66" s="433"/>
      <c r="G66" s="433"/>
      <c r="H66" s="433"/>
      <c r="I66" s="433"/>
      <c r="J66" s="433"/>
      <c r="K66" s="433"/>
      <c r="L66" s="433"/>
      <c r="M66" s="433"/>
      <c r="N66" s="433"/>
      <c r="O66" s="433"/>
      <c r="P66" s="434"/>
      <c r="Q66" s="395" t="s">
        <v>7</v>
      </c>
    </row>
    <row r="67" spans="4:17" ht="42" customHeight="1" thickBot="1" x14ac:dyDescent="0.25">
      <c r="D67" s="371" t="s">
        <v>82</v>
      </c>
      <c r="E67" s="365" t="s">
        <v>69</v>
      </c>
      <c r="F67" s="365" t="s">
        <v>100</v>
      </c>
      <c r="G67" s="365" t="s">
        <v>70</v>
      </c>
      <c r="H67" s="365" t="s">
        <v>71</v>
      </c>
      <c r="I67" s="365" t="s">
        <v>72</v>
      </c>
      <c r="J67" s="365" t="s">
        <v>73</v>
      </c>
      <c r="K67" s="365" t="s">
        <v>74</v>
      </c>
      <c r="L67" s="365" t="s">
        <v>75</v>
      </c>
      <c r="M67" s="365" t="s">
        <v>76</v>
      </c>
      <c r="N67" s="365" t="s">
        <v>77</v>
      </c>
      <c r="O67" s="375" t="s">
        <v>3</v>
      </c>
      <c r="P67" s="374" t="s">
        <v>4</v>
      </c>
      <c r="Q67" s="402" t="s">
        <v>104</v>
      </c>
    </row>
    <row r="68" spans="4:17" ht="20.100000000000001" customHeight="1" x14ac:dyDescent="0.2">
      <c r="D68" s="244" t="s">
        <v>81</v>
      </c>
      <c r="E68" s="237"/>
      <c r="F68" s="238"/>
      <c r="G68" s="238"/>
      <c r="H68" s="238"/>
      <c r="I68" s="238"/>
      <c r="J68" s="238"/>
      <c r="K68" s="238"/>
      <c r="L68" s="238"/>
      <c r="M68" s="238"/>
      <c r="N68" s="239"/>
      <c r="O68" s="240"/>
      <c r="P68" s="239"/>
      <c r="Q68" s="399">
        <f t="shared" ref="Q68:Q72" si="7">SUM(E68:P68)</f>
        <v>0</v>
      </c>
    </row>
    <row r="69" spans="4:17" ht="20.100000000000001" customHeight="1" x14ac:dyDescent="0.2">
      <c r="D69" s="242" t="s">
        <v>81</v>
      </c>
      <c r="E69" s="179"/>
      <c r="F69" s="180"/>
      <c r="G69" s="180"/>
      <c r="H69" s="180"/>
      <c r="I69" s="180"/>
      <c r="J69" s="180"/>
      <c r="K69" s="180"/>
      <c r="L69" s="180"/>
      <c r="M69" s="180"/>
      <c r="N69" s="181"/>
      <c r="O69" s="182"/>
      <c r="P69" s="181"/>
      <c r="Q69" s="318">
        <f t="shared" si="7"/>
        <v>0</v>
      </c>
    </row>
    <row r="70" spans="4:17" ht="20.100000000000001" customHeight="1" x14ac:dyDescent="0.2">
      <c r="D70" s="242" t="s">
        <v>81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1"/>
      <c r="O70" s="182"/>
      <c r="P70" s="181"/>
      <c r="Q70" s="318">
        <f t="shared" si="7"/>
        <v>0</v>
      </c>
    </row>
    <row r="71" spans="4:17" ht="20.100000000000001" customHeight="1" x14ac:dyDescent="0.2">
      <c r="D71" s="242" t="s">
        <v>81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1"/>
      <c r="O71" s="182"/>
      <c r="P71" s="181"/>
      <c r="Q71" s="318">
        <f t="shared" si="7"/>
        <v>0</v>
      </c>
    </row>
    <row r="72" spans="4:17" ht="20.100000000000001" customHeight="1" thickBot="1" x14ac:dyDescent="0.25">
      <c r="D72" s="243" t="s">
        <v>81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5"/>
      <c r="O72" s="186"/>
      <c r="P72" s="185"/>
      <c r="Q72" s="400">
        <f t="shared" si="7"/>
        <v>0</v>
      </c>
    </row>
    <row r="73" spans="4:1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</row>
    <row r="74" spans="4:1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</row>
    <row r="75" spans="4:1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</row>
    <row r="76" spans="4:17" ht="20.100000000000001" customHeight="1" thickBot="1" x14ac:dyDescent="0.25">
      <c r="D76" s="235" t="s">
        <v>84</v>
      </c>
      <c r="E76" s="432" t="s">
        <v>101</v>
      </c>
      <c r="F76" s="433"/>
      <c r="G76" s="433"/>
      <c r="H76" s="433"/>
      <c r="I76" s="433"/>
      <c r="J76" s="433"/>
      <c r="K76" s="433"/>
      <c r="L76" s="433"/>
      <c r="M76" s="433"/>
      <c r="N76" s="433"/>
      <c r="O76" s="433"/>
      <c r="P76" s="434"/>
      <c r="Q76" s="401" t="s">
        <v>7</v>
      </c>
    </row>
    <row r="77" spans="4:17" ht="39.75" customHeight="1" thickBot="1" x14ac:dyDescent="0.25">
      <c r="D77" s="371" t="s">
        <v>82</v>
      </c>
      <c r="E77" s="365" t="s">
        <v>69</v>
      </c>
      <c r="F77" s="365" t="s">
        <v>100</v>
      </c>
      <c r="G77" s="365" t="s">
        <v>70</v>
      </c>
      <c r="H77" s="365" t="s">
        <v>71</v>
      </c>
      <c r="I77" s="365" t="s">
        <v>72</v>
      </c>
      <c r="J77" s="365" t="s">
        <v>73</v>
      </c>
      <c r="K77" s="365" t="s">
        <v>74</v>
      </c>
      <c r="L77" s="365" t="s">
        <v>75</v>
      </c>
      <c r="M77" s="365" t="s">
        <v>76</v>
      </c>
      <c r="N77" s="365" t="s">
        <v>77</v>
      </c>
      <c r="O77" s="375" t="s">
        <v>3</v>
      </c>
      <c r="P77" s="374" t="s">
        <v>4</v>
      </c>
      <c r="Q77" s="398" t="s">
        <v>104</v>
      </c>
    </row>
    <row r="78" spans="4:17" ht="20.100000000000001" customHeight="1" x14ac:dyDescent="0.2">
      <c r="D78" s="244" t="s">
        <v>81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9"/>
      <c r="O78" s="240"/>
      <c r="P78" s="239"/>
      <c r="Q78" s="399">
        <f t="shared" ref="Q78:Q80" si="8">SUM(E78:P78)</f>
        <v>0</v>
      </c>
    </row>
    <row r="79" spans="4:17" ht="20.100000000000001" customHeight="1" x14ac:dyDescent="0.2">
      <c r="D79" s="242" t="s">
        <v>81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1"/>
      <c r="O79" s="182"/>
      <c r="P79" s="181"/>
      <c r="Q79" s="318">
        <f t="shared" si="8"/>
        <v>0</v>
      </c>
    </row>
    <row r="80" spans="4:17" ht="20.100000000000001" customHeight="1" thickBot="1" x14ac:dyDescent="0.25">
      <c r="D80" s="243" t="s">
        <v>81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5"/>
      <c r="O80" s="186"/>
      <c r="P80" s="185"/>
      <c r="Q80" s="400">
        <f t="shared" si="8"/>
        <v>0</v>
      </c>
    </row>
    <row r="81" spans="4:1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41"/>
    </row>
    <row r="82" spans="4:1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41"/>
    </row>
  </sheetData>
  <sheetProtection algorithmName="SHA-512" hashValue="B4xHucRdFPBUF9meKCG06+fXLZOdY3G65Yu9wU7buY5NZxmLEzEPWEfDqWEomLSR3QP/hzfvfd4A2Hu/UQdZvw==" saltValue="GG7T0CRtLEGCV6JJb5sw/Q==" spinCount="100000" sheet="1" objects="1" scenarios="1"/>
  <mergeCells count="7">
    <mergeCell ref="E76:P76"/>
    <mergeCell ref="E1:P1"/>
    <mergeCell ref="A10:B11"/>
    <mergeCell ref="A12:B14"/>
    <mergeCell ref="A15:B18"/>
    <mergeCell ref="E48:P48"/>
    <mergeCell ref="E66:P66"/>
  </mergeCells>
  <conditionalFormatting sqref="B8">
    <cfRule type="cellIs" dxfId="154" priority="5" operator="notEqual">
      <formula>$B$7</formula>
    </cfRule>
  </conditionalFormatting>
  <conditionalFormatting sqref="E3:Q12">
    <cfRule type="cellIs" dxfId="153" priority="4" operator="notBetween">
      <formula>0</formula>
      <formula>100</formula>
    </cfRule>
  </conditionalFormatting>
  <conditionalFormatting sqref="E3:Q14">
    <cfRule type="cellIs" dxfId="152" priority="7" operator="lessThan">
      <formula>0</formula>
    </cfRule>
  </conditionalFormatting>
  <conditionalFormatting sqref="E14:Q14">
    <cfRule type="cellIs" dxfId="151" priority="10" operator="greaterThan">
      <formula>1</formula>
    </cfRule>
  </conditionalFormatting>
  <conditionalFormatting sqref="Q3:Q13">
    <cfRule type="cellIs" dxfId="150" priority="8" operator="equal">
      <formula>0</formula>
    </cfRule>
  </conditionalFormatting>
  <conditionalFormatting sqref="Q13">
    <cfRule type="cellIs" dxfId="149" priority="12" operator="equal">
      <formula>$B$7</formula>
    </cfRule>
  </conditionalFormatting>
  <conditionalFormatting sqref="Q14">
    <cfRule type="cellIs" dxfId="148" priority="9" operator="equal">
      <formula>1</formula>
    </cfRule>
    <cfRule type="cellIs" dxfId="147" priority="11" operator="lessThan">
      <formula>1</formula>
    </cfRule>
  </conditionalFormatting>
  <conditionalFormatting sqref="W4:W15">
    <cfRule type="expression" dxfId="146" priority="13">
      <formula>AND($W4&lt;$W3, NOT(ISBLANK($W4)))</formula>
    </cfRule>
    <cfRule type="cellIs" dxfId="145" priority="14" operator="greaterThan">
      <formula>$B$6</formula>
    </cfRule>
  </conditionalFormatting>
  <conditionalFormatting sqref="X4:X15">
    <cfRule type="cellIs" dxfId="144" priority="6" operator="greaterThan">
      <formula>1</formula>
    </cfRule>
  </conditionalFormatting>
  <conditionalFormatting sqref="D68:D72 D50:D59 D78:D80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3:P12">
    <cfRule type="expression" dxfId="143" priority="15">
      <formula>($D3&lt;=$K$23)</formula>
    </cfRule>
  </conditionalFormatting>
  <conditionalFormatting sqref="Q3:Q12">
    <cfRule type="expression" dxfId="142" priority="16">
      <formula>AND($D3=$K$23, Q3=$J$24)</formula>
    </cfRule>
    <cfRule type="expression" dxfId="141" priority="17">
      <formula>AND($D3=$K$23, MOD(Q3,100)&gt;$J$24)</formula>
    </cfRule>
    <cfRule type="cellIs" dxfId="140" priority="18" operator="equal">
      <formula>100</formula>
    </cfRule>
  </conditionalFormatting>
  <conditionalFormatting sqref="D3:P12">
    <cfRule type="expression" dxfId="139" priority="22">
      <formula>($D3&gt;$K$23)</formula>
    </cfRule>
  </conditionalFormatting>
  <conditionalFormatting sqref="Q50">
    <cfRule type="cellIs" dxfId="138" priority="23" operator="lessThan">
      <formula>0</formula>
    </cfRule>
    <cfRule type="cellIs" dxfId="137" priority="24" operator="equal">
      <formula>0</formula>
    </cfRule>
    <cfRule type="expression" dxfId="136" priority="25">
      <formula>OR(MOD($Q50,100)=0,AND($D50=$K$23,MOD($Q50,100)=$J$24))</formula>
    </cfRule>
  </conditionalFormatting>
  <conditionalFormatting sqref="E50:P59">
    <cfRule type="expression" dxfId="135" priority="2">
      <formula>AND(E50&lt;MAX(E$50:E50), NOT(ISBLANK(E50)), NOT(E50=0))</formula>
    </cfRule>
  </conditionalFormatting>
  <conditionalFormatting sqref="Q52:Q59 Q68:Q72 Q78:Q80">
    <cfRule type="cellIs" dxfId="134" priority="27" operator="lessThan">
      <formula>0</formula>
    </cfRule>
    <cfRule type="cellIs" dxfId="133" priority="28" operator="equal">
      <formula>0</formula>
    </cfRule>
    <cfRule type="expression" dxfId="132" priority="29">
      <formula>OR(MOD($Q52,100)=0,AND($D52=$K$23,MOD($Q52,100)=$J$24))</formula>
    </cfRule>
  </conditionalFormatting>
  <conditionalFormatting sqref="Q51">
    <cfRule type="cellIs" dxfId="131" priority="30" operator="lessThan">
      <formula>0</formula>
    </cfRule>
    <cfRule type="cellIs" dxfId="130" priority="31" operator="equal">
      <formula>0</formula>
    </cfRule>
    <cfRule type="expression" dxfId="129" priority="32">
      <formula>OR(MOD($Q51,100)=0,AND($D50=$K$23,MOD($Q51,100)=$J$24))</formula>
    </cfRule>
  </conditionalFormatting>
  <conditionalFormatting sqref="E50:P59 E68:P72 E78:P80">
    <cfRule type="cellIs" dxfId="126" priority="19" operator="notBetween">
      <formula>0</formula>
      <formula>$B$7</formula>
    </cfRule>
    <cfRule type="expression" dxfId="127" priority="20">
      <formula>($D50&lt;=$K$23)</formula>
    </cfRule>
    <cfRule type="expression" dxfId="128" priority="21">
      <formula>($D50&gt;$K$23)</formula>
    </cfRule>
  </conditionalFormatting>
  <conditionalFormatting sqref="E68:P72">
    <cfRule type="expression" dxfId="125" priority="1">
      <formula>AND(E68&lt;MAX(E$68:E68), NOT(ISBLANK(E68)), NOT(E68=0))</formula>
    </cfRule>
  </conditionalFormatting>
  <conditionalFormatting sqref="E78:P80">
    <cfRule type="expression" dxfId="124" priority="26">
      <formula>AND(E78&lt;MAX(E$78:E78), NOT(ISBLANK(E78)), NOT(E78=0))</formula>
    </cfRule>
  </conditionalFormatting>
  <dataValidations count="2">
    <dataValidation type="list" allowBlank="1" showInputMessage="1" showErrorMessage="1" sqref="D68:D72 D78:D82 D50:D59" xr:uid="{CBD52333-221E-45F4-8801-4072D149F585}">
      <formula1>$D$3:$D$12</formula1>
    </dataValidation>
    <dataValidation type="list" allowBlank="1" showInputMessage="1" showErrorMessage="1" sqref="C50:C59" xr:uid="{2F5AC966-EF8C-46C9-950E-58B30D679FF8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C8C53-7759-44AD-8E9B-2455AE8FB6FE}">
  <sheetPr codeName="Feuil38">
    <tabColor rgb="FFB4A7D6"/>
  </sheetPr>
  <dimension ref="A1:AB82"/>
  <sheetViews>
    <sheetView zoomScale="80" zoomScaleNormal="80" workbookViewId="0">
      <pane xSplit="2" topLeftCell="C1" activePane="topRight" state="frozen"/>
      <selection pane="topRight" activeCell="R3" sqref="R3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4" width="15.7109375" customWidth="1"/>
    <col min="17" max="17" width="12.85546875" customWidth="1"/>
    <col min="18" max="18" width="11.42578125" customWidth="1"/>
    <col min="21" max="21" width="10.42578125" customWidth="1"/>
    <col min="22" max="22" width="15.42578125" customWidth="1"/>
    <col min="23" max="23" width="16.140625" customWidth="1"/>
    <col min="24" max="24" width="12" customWidth="1"/>
    <col min="26" max="26" width="13.28515625" customWidth="1"/>
    <col min="27" max="27" width="14.42578125" customWidth="1"/>
  </cols>
  <sheetData>
    <row r="1" spans="1:28" ht="16.5" customHeight="1" thickBot="1" x14ac:dyDescent="0.25">
      <c r="A1" s="315" t="s">
        <v>11</v>
      </c>
      <c r="B1" s="33">
        <f>Synthèse!B17</f>
        <v>46096</v>
      </c>
      <c r="D1" s="314"/>
      <c r="E1" s="435" t="s">
        <v>66</v>
      </c>
      <c r="F1" s="436"/>
      <c r="G1" s="436"/>
      <c r="H1" s="436"/>
      <c r="I1" s="436"/>
      <c r="J1" s="436"/>
      <c r="K1" s="436"/>
      <c r="L1" s="436"/>
      <c r="M1" s="436"/>
      <c r="N1" s="436"/>
      <c r="O1" s="436"/>
      <c r="P1" s="437"/>
      <c r="Q1" s="443" t="s">
        <v>7</v>
      </c>
    </row>
    <row r="2" spans="1:28" ht="39.75" customHeight="1" thickBot="1" x14ac:dyDescent="0.25">
      <c r="A2" s="316" t="s">
        <v>12</v>
      </c>
      <c r="B2" s="34" t="str">
        <f>Synthèse!B18</f>
        <v>Municipales 1er tour</v>
      </c>
      <c r="D2" s="364" t="s">
        <v>83</v>
      </c>
      <c r="E2" s="365" t="str">
        <f>Synthèse!L2</f>
        <v>Candidat 1</v>
      </c>
      <c r="F2" s="365" t="str">
        <f>Synthèse!M2</f>
        <v>Candidat 2</v>
      </c>
      <c r="G2" s="365" t="str">
        <f>Synthèse!N2</f>
        <v>Candidat 3</v>
      </c>
      <c r="H2" s="365" t="str">
        <f>Synthèse!O2</f>
        <v>Candidat 4</v>
      </c>
      <c r="I2" s="365" t="str">
        <f>Synthèse!P2</f>
        <v>Candidat 5</v>
      </c>
      <c r="J2" s="365" t="str">
        <f>Synthèse!Q2</f>
        <v>Candidat 6</v>
      </c>
      <c r="K2" s="365" t="str">
        <f>Synthèse!R2</f>
        <v>Candidat 7</v>
      </c>
      <c r="L2" s="365" t="str">
        <f>Synthèse!S2</f>
        <v>Candidat 8</v>
      </c>
      <c r="M2" s="365" t="str">
        <f>Synthèse!T2</f>
        <v>Candidat 9</v>
      </c>
      <c r="N2" s="365" t="str">
        <f>Synthèse!U2</f>
        <v>Candidat 10</v>
      </c>
      <c r="O2" s="368" t="s">
        <v>3</v>
      </c>
      <c r="P2" s="369" t="s">
        <v>4</v>
      </c>
      <c r="Q2" s="444" t="s">
        <v>105</v>
      </c>
      <c r="V2" s="381" t="s">
        <v>21</v>
      </c>
      <c r="W2" s="382" t="s">
        <v>57</v>
      </c>
      <c r="X2" s="383" t="s">
        <v>31</v>
      </c>
      <c r="Z2" s="384" t="s">
        <v>59</v>
      </c>
      <c r="AA2" s="384" t="s">
        <v>58</v>
      </c>
    </row>
    <row r="3" spans="1:28" ht="20.100000000000001" customHeight="1" thickBot="1" x14ac:dyDescent="0.25">
      <c r="A3" s="317" t="s">
        <v>13</v>
      </c>
      <c r="B3" s="94" t="str">
        <f>Synthèse!B19</f>
        <v>Cogolin</v>
      </c>
      <c r="D3" s="361" t="str" cm="1">
        <f t="array" ref="D3">IF(ROW(1:1)&lt;=$K$23, (ROW(1:1)), "")</f>
        <v/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70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171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72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318">
        <f t="shared" ref="Q3:Q12" si="0">SUM(E3:P3)</f>
        <v>0</v>
      </c>
      <c r="V3" s="352" t="s">
        <v>32</v>
      </c>
      <c r="W3" s="353">
        <v>0</v>
      </c>
      <c r="X3" s="354">
        <f t="shared" ref="X3" si="1">W3/$B$6</f>
        <v>0</v>
      </c>
      <c r="Z3" s="330"/>
      <c r="AA3" s="330"/>
    </row>
    <row r="4" spans="1:28" ht="20.100000000000001" customHeight="1" x14ac:dyDescent="0.2">
      <c r="A4" s="95" t="s">
        <v>23</v>
      </c>
      <c r="B4" s="168">
        <v>9</v>
      </c>
      <c r="D4" s="362" t="str" cm="1">
        <f t="array" ref="D4">IF(ROW(2:2)&lt;=$K$23, (ROW(2:2)), "")</f>
        <v/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7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158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318">
        <f t="shared" si="0"/>
        <v>0</v>
      </c>
      <c r="V4" s="355" t="s">
        <v>33</v>
      </c>
      <c r="W4" s="356"/>
      <c r="X4" s="357" t="e">
        <f t="shared" ref="X4:X13" si="2">IF(OR(W4=0, W4=""), NA(), W4/$B$6)</f>
        <v>#N/A</v>
      </c>
      <c r="Z4" s="325" t="s">
        <v>45</v>
      </c>
      <c r="AA4" s="385" t="e">
        <f t="shared" ref="AA4:AA13" si="3">IF(W4&lt;&gt;0,W4-W3,NA())</f>
        <v>#N/A</v>
      </c>
    </row>
    <row r="5" spans="1:28" ht="20.100000000000001" customHeight="1" x14ac:dyDescent="0.2">
      <c r="A5" s="96" t="s">
        <v>24</v>
      </c>
      <c r="B5" s="187" t="s">
        <v>29</v>
      </c>
      <c r="D5" s="362" t="str" cm="1">
        <f t="array" ref="D5">IF(ROW(3:3)&lt;=$K$23, (ROW(3:3)), "")</f>
        <v/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173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174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318">
        <f t="shared" si="0"/>
        <v>0</v>
      </c>
      <c r="T5" s="231"/>
      <c r="U5" s="232"/>
      <c r="V5" s="355" t="s">
        <v>34</v>
      </c>
      <c r="W5" s="356"/>
      <c r="X5" s="357" t="e">
        <f t="shared" si="2"/>
        <v>#N/A</v>
      </c>
      <c r="Z5" s="326" t="s">
        <v>46</v>
      </c>
      <c r="AA5" s="386" t="e">
        <f t="shared" si="3"/>
        <v>#N/A</v>
      </c>
    </row>
    <row r="6" spans="1:28" ht="20.100000000000001" customHeight="1" x14ac:dyDescent="0.2">
      <c r="A6" s="96" t="s">
        <v>0</v>
      </c>
      <c r="B6" s="188">
        <v>671</v>
      </c>
      <c r="D6" s="362" t="str" cm="1">
        <f t="array" ref="D6">IF(ROW(4:4)&lt;=$K$23, (ROW(4:4)), "")</f>
        <v/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173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174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318">
        <f t="shared" si="0"/>
        <v>0</v>
      </c>
      <c r="T6" s="231"/>
      <c r="U6" s="232"/>
      <c r="V6" s="355" t="s">
        <v>35</v>
      </c>
      <c r="W6" s="356"/>
      <c r="X6" s="357" t="e">
        <f t="shared" si="2"/>
        <v>#N/A</v>
      </c>
      <c r="Z6" s="326" t="s">
        <v>47</v>
      </c>
      <c r="AA6" s="386" t="e">
        <f t="shared" si="3"/>
        <v>#N/A</v>
      </c>
    </row>
    <row r="7" spans="1:28" ht="20.100000000000001" customHeight="1" x14ac:dyDescent="0.2">
      <c r="A7" s="96" t="s">
        <v>2</v>
      </c>
      <c r="B7" s="165">
        <f>MAX(W4:W15)</f>
        <v>0</v>
      </c>
      <c r="D7" s="362" t="str" cm="1">
        <f t="array" ref="D7">IF(ROW(5:5)&lt;=$K$23, (ROW(5:5)), "")</f>
        <v/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7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158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318">
        <f t="shared" si="0"/>
        <v>0</v>
      </c>
      <c r="T7" s="231"/>
      <c r="U7" s="232"/>
      <c r="V7" s="355" t="s">
        <v>36</v>
      </c>
      <c r="W7" s="356"/>
      <c r="X7" s="357" t="e">
        <f t="shared" si="2"/>
        <v>#N/A</v>
      </c>
      <c r="Z7" s="326" t="s">
        <v>54</v>
      </c>
      <c r="AA7" s="386" t="e">
        <f t="shared" si="3"/>
        <v>#N/A</v>
      </c>
    </row>
    <row r="8" spans="1:28" ht="20.100000000000001" customHeight="1" x14ac:dyDescent="0.2">
      <c r="A8" s="96" t="s">
        <v>1</v>
      </c>
      <c r="B8" s="166">
        <f>B7</f>
        <v>0</v>
      </c>
      <c r="D8" s="362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7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8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318">
        <f t="shared" si="0"/>
        <v>0</v>
      </c>
      <c r="T8" s="231"/>
      <c r="U8" s="232"/>
      <c r="V8" s="355" t="s">
        <v>37</v>
      </c>
      <c r="W8" s="356"/>
      <c r="X8" s="357" t="e">
        <f t="shared" si="2"/>
        <v>#N/A</v>
      </c>
      <c r="Z8" s="326" t="s">
        <v>48</v>
      </c>
      <c r="AA8" s="386" t="e">
        <f t="shared" si="3"/>
        <v>#N/A</v>
      </c>
    </row>
    <row r="9" spans="1:28" ht="20.100000000000001" customHeight="1" thickBot="1" x14ac:dyDescent="0.25">
      <c r="A9" s="97" t="s">
        <v>17</v>
      </c>
      <c r="B9" s="167">
        <f>B6-B7</f>
        <v>671</v>
      </c>
      <c r="D9" s="362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9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60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318">
        <f t="shared" si="0"/>
        <v>0</v>
      </c>
      <c r="T9" s="231"/>
      <c r="U9" s="232"/>
      <c r="V9" s="355" t="s">
        <v>38</v>
      </c>
      <c r="W9" s="356"/>
      <c r="X9" s="357" t="e">
        <f t="shared" si="2"/>
        <v>#N/A</v>
      </c>
      <c r="Z9" s="326" t="s">
        <v>49</v>
      </c>
      <c r="AA9" s="386" t="e">
        <f t="shared" si="3"/>
        <v>#N/A</v>
      </c>
    </row>
    <row r="10" spans="1:28" ht="20.100000000000001" customHeight="1" x14ac:dyDescent="0.2">
      <c r="A10" s="438" t="s">
        <v>60</v>
      </c>
      <c r="B10" s="438"/>
      <c r="D10" s="362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9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60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318">
        <f t="shared" si="0"/>
        <v>0</v>
      </c>
      <c r="T10" s="231"/>
      <c r="U10" s="232"/>
      <c r="V10" s="355" t="s">
        <v>39</v>
      </c>
      <c r="W10" s="356"/>
      <c r="X10" s="357" t="e">
        <f t="shared" si="2"/>
        <v>#N/A</v>
      </c>
      <c r="Z10" s="326" t="s">
        <v>50</v>
      </c>
      <c r="AA10" s="386" t="e">
        <f t="shared" si="3"/>
        <v>#N/A</v>
      </c>
    </row>
    <row r="11" spans="1:28" ht="20.100000000000001" customHeight="1" x14ac:dyDescent="0.2">
      <c r="A11" s="439"/>
      <c r="B11" s="439"/>
      <c r="D11" s="362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9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60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318">
        <f t="shared" si="0"/>
        <v>0</v>
      </c>
      <c r="T11" s="231"/>
      <c r="U11" s="232"/>
      <c r="V11" s="355" t="s">
        <v>40</v>
      </c>
      <c r="W11" s="356"/>
      <c r="X11" s="357" t="e">
        <f t="shared" si="2"/>
        <v>#N/A</v>
      </c>
      <c r="Z11" s="326" t="s">
        <v>51</v>
      </c>
      <c r="AA11" s="386" t="e">
        <f t="shared" si="3"/>
        <v>#N/A</v>
      </c>
    </row>
    <row r="12" spans="1:28" ht="20.100000000000001" customHeight="1" thickBot="1" x14ac:dyDescent="0.25">
      <c r="A12" s="440" t="s">
        <v>61</v>
      </c>
      <c r="B12" s="440"/>
      <c r="D12" s="363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75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7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318">
        <f t="shared" si="0"/>
        <v>0</v>
      </c>
      <c r="T12" s="231"/>
      <c r="U12" s="232"/>
      <c r="V12" s="355" t="s">
        <v>41</v>
      </c>
      <c r="W12" s="356"/>
      <c r="X12" s="357" t="e">
        <f t="shared" si="2"/>
        <v>#N/A</v>
      </c>
      <c r="Z12" s="326" t="s">
        <v>52</v>
      </c>
      <c r="AA12" s="386" t="e">
        <f t="shared" si="3"/>
        <v>#N/A</v>
      </c>
    </row>
    <row r="13" spans="1:28" ht="20.100000000000001" customHeight="1" thickBot="1" x14ac:dyDescent="0.3">
      <c r="A13" s="440"/>
      <c r="B13" s="440"/>
      <c r="D13" s="50" t="s">
        <v>9</v>
      </c>
      <c r="E13" s="161">
        <f t="shared" ref="E13:Q13" si="4">SUM(E3:E12)</f>
        <v>0</v>
      </c>
      <c r="F13" s="162">
        <f t="shared" si="4"/>
        <v>0</v>
      </c>
      <c r="G13" s="162">
        <f t="shared" si="4"/>
        <v>0</v>
      </c>
      <c r="H13" s="162">
        <f t="shared" si="4"/>
        <v>0</v>
      </c>
      <c r="I13" s="162">
        <f t="shared" si="4"/>
        <v>0</v>
      </c>
      <c r="J13" s="162">
        <f t="shared" si="4"/>
        <v>0</v>
      </c>
      <c r="K13" s="162">
        <f t="shared" si="4"/>
        <v>0</v>
      </c>
      <c r="L13" s="162">
        <f t="shared" si="4"/>
        <v>0</v>
      </c>
      <c r="M13" s="162">
        <f t="shared" si="4"/>
        <v>0</v>
      </c>
      <c r="N13" s="162">
        <f t="shared" si="4"/>
        <v>0</v>
      </c>
      <c r="O13" s="163">
        <f t="shared" si="4"/>
        <v>0</v>
      </c>
      <c r="P13" s="164">
        <f t="shared" si="4"/>
        <v>0</v>
      </c>
      <c r="Q13" s="319">
        <f t="shared" si="4"/>
        <v>0</v>
      </c>
      <c r="T13" s="231"/>
      <c r="U13" s="232"/>
      <c r="V13" s="355" t="s">
        <v>42</v>
      </c>
      <c r="W13" s="356"/>
      <c r="X13" s="357" t="e">
        <f t="shared" si="2"/>
        <v>#N/A</v>
      </c>
      <c r="Z13" s="327" t="s">
        <v>53</v>
      </c>
      <c r="AA13" s="387" t="e">
        <f t="shared" si="3"/>
        <v>#N/A</v>
      </c>
    </row>
    <row r="14" spans="1:28" ht="20.100000000000001" customHeight="1" thickBot="1" x14ac:dyDescent="0.3">
      <c r="A14" s="440"/>
      <c r="B14" s="440"/>
      <c r="D14" s="83" t="s">
        <v>10</v>
      </c>
      <c r="E14" s="45">
        <f t="shared" ref="E14:Q14" si="5">IFERROR(E13/$B$7,0)</f>
        <v>0</v>
      </c>
      <c r="F14" s="46">
        <f t="shared" si="5"/>
        <v>0</v>
      </c>
      <c r="G14" s="46">
        <f t="shared" si="5"/>
        <v>0</v>
      </c>
      <c r="H14" s="46">
        <f t="shared" si="5"/>
        <v>0</v>
      </c>
      <c r="I14" s="46">
        <f t="shared" si="5"/>
        <v>0</v>
      </c>
      <c r="J14" s="46">
        <f t="shared" si="5"/>
        <v>0</v>
      </c>
      <c r="K14" s="46">
        <f t="shared" si="5"/>
        <v>0</v>
      </c>
      <c r="L14" s="46">
        <f t="shared" si="5"/>
        <v>0</v>
      </c>
      <c r="M14" s="46">
        <f t="shared" si="5"/>
        <v>0</v>
      </c>
      <c r="N14" s="46">
        <f t="shared" si="5"/>
        <v>0</v>
      </c>
      <c r="O14" s="45">
        <f t="shared" si="5"/>
        <v>0</v>
      </c>
      <c r="P14" s="47">
        <f t="shared" si="5"/>
        <v>0</v>
      </c>
      <c r="Q14" s="329">
        <f t="shared" si="5"/>
        <v>0</v>
      </c>
      <c r="V14" s="391" t="s">
        <v>43</v>
      </c>
      <c r="W14" s="358"/>
      <c r="X14" s="359" t="e">
        <f>IF(OR(W14=0, W14=""), NA(), W14/$B$6)</f>
        <v>#N/A</v>
      </c>
      <c r="Y14" s="389"/>
      <c r="Z14" s="393" t="s">
        <v>55</v>
      </c>
      <c r="AA14" s="388" t="e">
        <f>IF(W14&lt;&gt;0,W14-W13,NA())</f>
        <v>#N/A</v>
      </c>
      <c r="AB14" s="389"/>
    </row>
    <row r="15" spans="1:28" ht="18" customHeight="1" thickBot="1" x14ac:dyDescent="0.25">
      <c r="A15" s="441" t="s">
        <v>68</v>
      </c>
      <c r="B15" s="441"/>
      <c r="C15" s="1"/>
      <c r="D15" s="1"/>
      <c r="Q15" s="328"/>
      <c r="V15" s="324" t="s">
        <v>44</v>
      </c>
      <c r="W15" s="360"/>
      <c r="X15" s="390" t="e">
        <f>IF(OR(W15=0, W15=""), NA(), W15/$B$6)</f>
        <v>#N/A</v>
      </c>
      <c r="Z15" s="394" t="s">
        <v>56</v>
      </c>
      <c r="AA15" s="392" t="e">
        <f>IF(W15&lt;&gt;0,W15-W14,NA())</f>
        <v>#N/A</v>
      </c>
      <c r="AB15" s="389"/>
    </row>
    <row r="16" spans="1:28" ht="12.75" customHeight="1" x14ac:dyDescent="0.2">
      <c r="A16" s="441"/>
      <c r="B16" s="441"/>
      <c r="V16" s="328"/>
      <c r="W16" s="328"/>
      <c r="X16" s="328"/>
      <c r="AA16" s="328"/>
    </row>
    <row r="17" spans="1:11" ht="18" customHeight="1" x14ac:dyDescent="0.25">
      <c r="A17" s="441"/>
      <c r="B17" s="441"/>
      <c r="E17" s="230"/>
    </row>
    <row r="18" spans="1:11" ht="26.25" customHeight="1" x14ac:dyDescent="0.2">
      <c r="A18" s="441"/>
      <c r="B18" s="441"/>
    </row>
    <row r="23" spans="1:11" x14ac:dyDescent="0.2">
      <c r="H23" s="177" t="s">
        <v>64</v>
      </c>
      <c r="J23" s="245">
        <f>CEILING($B$6, 100)/100</f>
        <v>7</v>
      </c>
      <c r="K23" s="245">
        <f>CEILING($B$7,100)/100</f>
        <v>0</v>
      </c>
    </row>
    <row r="24" spans="1:11" x14ac:dyDescent="0.2">
      <c r="H24" s="178">
        <f>IF((ROW()-23)&lt;=$K$24,(ROW()-23),"Choisir")</f>
        <v>1</v>
      </c>
      <c r="J24" s="245">
        <f>MOD($B$7,100)</f>
        <v>0</v>
      </c>
      <c r="K24" s="246">
        <f>CEILING($B$6/300,1)</f>
        <v>3</v>
      </c>
    </row>
    <row r="25" spans="1:11" x14ac:dyDescent="0.2">
      <c r="H25" s="178">
        <f>IF((ROW()-23)&lt;=$K$24,(ROW()-23),"Choisir")</f>
        <v>2</v>
      </c>
    </row>
    <row r="26" spans="1:11" x14ac:dyDescent="0.2">
      <c r="H26" s="178">
        <f>IF((ROW()-23)&lt;=$K$24,(ROW()-23),"Choisir")</f>
        <v>3</v>
      </c>
    </row>
    <row r="27" spans="1:11" x14ac:dyDescent="0.2">
      <c r="H27" s="178" t="str">
        <f>IF((ROW()-23)&lt;=$K$24,(ROW()-23),"Choisir")</f>
        <v>Choisir</v>
      </c>
    </row>
    <row r="46" spans="4:17" x14ac:dyDescent="0.2">
      <c r="E46" s="169"/>
    </row>
    <row r="47" spans="4:17" ht="13.5" thickBot="1" x14ac:dyDescent="0.25">
      <c r="E47" s="169"/>
    </row>
    <row r="48" spans="4:17" ht="20.100000000000001" customHeight="1" thickBot="1" x14ac:dyDescent="0.25">
      <c r="D48" s="235" t="s">
        <v>79</v>
      </c>
      <c r="E48" s="432" t="s">
        <v>103</v>
      </c>
      <c r="F48" s="433"/>
      <c r="G48" s="433"/>
      <c r="H48" s="433"/>
      <c r="I48" s="433"/>
      <c r="J48" s="433"/>
      <c r="K48" s="433"/>
      <c r="L48" s="433"/>
      <c r="M48" s="433"/>
      <c r="N48" s="433"/>
      <c r="O48" s="433"/>
      <c r="P48" s="434"/>
      <c r="Q48" s="395" t="s">
        <v>7</v>
      </c>
    </row>
    <row r="49" spans="3:17" ht="47.25" customHeight="1" thickBot="1" x14ac:dyDescent="0.25">
      <c r="C49" s="233"/>
      <c r="D49" s="371" t="s">
        <v>82</v>
      </c>
      <c r="E49" s="365" t="s">
        <v>69</v>
      </c>
      <c r="F49" s="365" t="s">
        <v>100</v>
      </c>
      <c r="G49" s="365" t="s">
        <v>70</v>
      </c>
      <c r="H49" s="365" t="s">
        <v>71</v>
      </c>
      <c r="I49" s="365" t="s">
        <v>72</v>
      </c>
      <c r="J49" s="365" t="s">
        <v>73</v>
      </c>
      <c r="K49" s="365" t="s">
        <v>74</v>
      </c>
      <c r="L49" s="365" t="s">
        <v>75</v>
      </c>
      <c r="M49" s="365" t="s">
        <v>76</v>
      </c>
      <c r="N49" s="365" t="s">
        <v>77</v>
      </c>
      <c r="O49" s="375" t="s">
        <v>3</v>
      </c>
      <c r="P49" s="374" t="s">
        <v>4</v>
      </c>
      <c r="Q49" s="397" t="s">
        <v>104</v>
      </c>
    </row>
    <row r="50" spans="3:17" ht="19.5" customHeight="1" x14ac:dyDescent="0.2">
      <c r="C50" s="234"/>
      <c r="D50" s="370" t="s">
        <v>81</v>
      </c>
      <c r="E50" s="320"/>
      <c r="F50" s="321"/>
      <c r="G50" s="321"/>
      <c r="H50" s="321"/>
      <c r="I50" s="321"/>
      <c r="J50" s="321"/>
      <c r="K50" s="321"/>
      <c r="L50" s="321"/>
      <c r="M50" s="321"/>
      <c r="N50" s="322"/>
      <c r="O50" s="323"/>
      <c r="P50" s="322"/>
      <c r="Q50" s="396">
        <f t="shared" ref="Q50:Q59" si="6">SUM(E50:P50)</f>
        <v>0</v>
      </c>
    </row>
    <row r="51" spans="3:17" ht="20.100000000000001" customHeight="1" x14ac:dyDescent="0.2">
      <c r="C51" s="234"/>
      <c r="D51" s="370" t="s">
        <v>81</v>
      </c>
      <c r="E51" s="320"/>
      <c r="F51" s="321"/>
      <c r="G51" s="321"/>
      <c r="H51" s="321"/>
      <c r="I51" s="321"/>
      <c r="J51" s="321"/>
      <c r="K51" s="321"/>
      <c r="L51" s="321"/>
      <c r="M51" s="321"/>
      <c r="N51" s="322"/>
      <c r="O51" s="323"/>
      <c r="P51" s="322"/>
      <c r="Q51" s="396">
        <f t="shared" si="6"/>
        <v>0</v>
      </c>
    </row>
    <row r="52" spans="3:17" ht="20.100000000000001" customHeight="1" x14ac:dyDescent="0.2">
      <c r="C52" s="234"/>
      <c r="D52" s="370" t="s">
        <v>81</v>
      </c>
      <c r="E52" s="320"/>
      <c r="F52" s="321"/>
      <c r="G52" s="321"/>
      <c r="H52" s="321"/>
      <c r="I52" s="321"/>
      <c r="J52" s="321"/>
      <c r="K52" s="321"/>
      <c r="L52" s="321"/>
      <c r="M52" s="321"/>
      <c r="N52" s="322"/>
      <c r="O52" s="323"/>
      <c r="P52" s="322"/>
      <c r="Q52" s="396">
        <f t="shared" si="6"/>
        <v>0</v>
      </c>
    </row>
    <row r="53" spans="3:17" ht="20.100000000000001" customHeight="1" x14ac:dyDescent="0.2">
      <c r="C53" s="234"/>
      <c r="D53" s="370" t="s">
        <v>81</v>
      </c>
      <c r="E53" s="320"/>
      <c r="F53" s="321"/>
      <c r="G53" s="321"/>
      <c r="H53" s="321"/>
      <c r="I53" s="321"/>
      <c r="J53" s="321"/>
      <c r="K53" s="321"/>
      <c r="L53" s="321"/>
      <c r="M53" s="321"/>
      <c r="N53" s="322"/>
      <c r="O53" s="323"/>
      <c r="P53" s="322"/>
      <c r="Q53" s="396">
        <f t="shared" si="6"/>
        <v>0</v>
      </c>
    </row>
    <row r="54" spans="3:17" ht="20.100000000000001" customHeight="1" x14ac:dyDescent="0.2">
      <c r="C54" s="234"/>
      <c r="D54" s="370" t="s">
        <v>81</v>
      </c>
      <c r="E54" s="320"/>
      <c r="F54" s="321"/>
      <c r="G54" s="321"/>
      <c r="H54" s="321"/>
      <c r="I54" s="321"/>
      <c r="J54" s="321"/>
      <c r="K54" s="321"/>
      <c r="L54" s="321"/>
      <c r="M54" s="321"/>
      <c r="N54" s="322"/>
      <c r="O54" s="323"/>
      <c r="P54" s="322"/>
      <c r="Q54" s="396">
        <f t="shared" si="6"/>
        <v>0</v>
      </c>
    </row>
    <row r="55" spans="3:17" ht="20.100000000000001" customHeight="1" x14ac:dyDescent="0.2">
      <c r="C55" s="234"/>
      <c r="D55" s="370" t="s">
        <v>81</v>
      </c>
      <c r="E55" s="320"/>
      <c r="F55" s="321"/>
      <c r="G55" s="321"/>
      <c r="H55" s="321"/>
      <c r="I55" s="321"/>
      <c r="J55" s="321"/>
      <c r="K55" s="321"/>
      <c r="L55" s="321"/>
      <c r="M55" s="321"/>
      <c r="N55" s="322"/>
      <c r="O55" s="323"/>
      <c r="P55" s="322"/>
      <c r="Q55" s="396">
        <f t="shared" si="6"/>
        <v>0</v>
      </c>
    </row>
    <row r="56" spans="3:17" ht="20.100000000000001" customHeight="1" x14ac:dyDescent="0.2">
      <c r="C56" s="234"/>
      <c r="D56" s="370" t="s">
        <v>81</v>
      </c>
      <c r="E56" s="320"/>
      <c r="F56" s="321"/>
      <c r="G56" s="321"/>
      <c r="H56" s="321"/>
      <c r="I56" s="321"/>
      <c r="J56" s="321"/>
      <c r="K56" s="321"/>
      <c r="L56" s="321"/>
      <c r="M56" s="321"/>
      <c r="N56" s="322"/>
      <c r="O56" s="323"/>
      <c r="P56" s="322"/>
      <c r="Q56" s="396">
        <f t="shared" si="6"/>
        <v>0</v>
      </c>
    </row>
    <row r="57" spans="3:17" ht="20.100000000000001" customHeight="1" x14ac:dyDescent="0.2">
      <c r="C57" s="234"/>
      <c r="D57" s="370" t="s">
        <v>81</v>
      </c>
      <c r="E57" s="320"/>
      <c r="F57" s="321"/>
      <c r="G57" s="321"/>
      <c r="H57" s="321"/>
      <c r="I57" s="321"/>
      <c r="J57" s="321"/>
      <c r="K57" s="321"/>
      <c r="L57" s="321"/>
      <c r="M57" s="321"/>
      <c r="N57" s="322"/>
      <c r="O57" s="323"/>
      <c r="P57" s="322"/>
      <c r="Q57" s="396">
        <f t="shared" si="6"/>
        <v>0</v>
      </c>
    </row>
    <row r="58" spans="3:17" ht="20.100000000000001" customHeight="1" x14ac:dyDescent="0.2">
      <c r="C58" s="234"/>
      <c r="D58" s="370" t="s">
        <v>81</v>
      </c>
      <c r="E58" s="320"/>
      <c r="F58" s="321"/>
      <c r="G58" s="321"/>
      <c r="H58" s="321"/>
      <c r="I58" s="321"/>
      <c r="J58" s="321"/>
      <c r="K58" s="321"/>
      <c r="L58" s="321"/>
      <c r="M58" s="321"/>
      <c r="N58" s="322"/>
      <c r="O58" s="323"/>
      <c r="P58" s="322"/>
      <c r="Q58" s="396">
        <f t="shared" si="6"/>
        <v>0</v>
      </c>
    </row>
    <row r="59" spans="3:17" ht="20.100000000000001" customHeight="1" thickBot="1" x14ac:dyDescent="0.25">
      <c r="C59" s="234"/>
      <c r="D59" s="376" t="s">
        <v>81</v>
      </c>
      <c r="E59" s="377"/>
      <c r="F59" s="378"/>
      <c r="G59" s="378"/>
      <c r="H59" s="378"/>
      <c r="I59" s="378"/>
      <c r="J59" s="378"/>
      <c r="K59" s="378"/>
      <c r="L59" s="378"/>
      <c r="M59" s="378"/>
      <c r="N59" s="379"/>
      <c r="O59" s="380"/>
      <c r="P59" s="379"/>
      <c r="Q59" s="396">
        <f t="shared" si="6"/>
        <v>0</v>
      </c>
    </row>
    <row r="60" spans="3:17" x14ac:dyDescent="0.2">
      <c r="Q60" s="328"/>
    </row>
    <row r="63" spans="3:17" ht="18" x14ac:dyDescent="0.25">
      <c r="E63" s="230"/>
    </row>
    <row r="65" spans="4:17" ht="13.5" thickBot="1" x14ac:dyDescent="0.25"/>
    <row r="66" spans="4:17" ht="16.5" customHeight="1" thickBot="1" x14ac:dyDescent="0.25">
      <c r="D66" s="235" t="s">
        <v>80</v>
      </c>
      <c r="E66" s="432" t="s">
        <v>102</v>
      </c>
      <c r="F66" s="433"/>
      <c r="G66" s="433"/>
      <c r="H66" s="433"/>
      <c r="I66" s="433"/>
      <c r="J66" s="433"/>
      <c r="K66" s="433"/>
      <c r="L66" s="433"/>
      <c r="M66" s="433"/>
      <c r="N66" s="433"/>
      <c r="O66" s="433"/>
      <c r="P66" s="434"/>
      <c r="Q66" s="395" t="s">
        <v>7</v>
      </c>
    </row>
    <row r="67" spans="4:17" ht="42" customHeight="1" thickBot="1" x14ac:dyDescent="0.25">
      <c r="D67" s="371" t="s">
        <v>82</v>
      </c>
      <c r="E67" s="365" t="s">
        <v>69</v>
      </c>
      <c r="F67" s="365" t="s">
        <v>100</v>
      </c>
      <c r="G67" s="365" t="s">
        <v>70</v>
      </c>
      <c r="H67" s="365" t="s">
        <v>71</v>
      </c>
      <c r="I67" s="365" t="s">
        <v>72</v>
      </c>
      <c r="J67" s="365" t="s">
        <v>73</v>
      </c>
      <c r="K67" s="365" t="s">
        <v>74</v>
      </c>
      <c r="L67" s="365" t="s">
        <v>75</v>
      </c>
      <c r="M67" s="365" t="s">
        <v>76</v>
      </c>
      <c r="N67" s="365" t="s">
        <v>77</v>
      </c>
      <c r="O67" s="375" t="s">
        <v>3</v>
      </c>
      <c r="P67" s="374" t="s">
        <v>4</v>
      </c>
      <c r="Q67" s="402" t="s">
        <v>104</v>
      </c>
    </row>
    <row r="68" spans="4:17" ht="20.100000000000001" customHeight="1" x14ac:dyDescent="0.2">
      <c r="D68" s="244" t="s">
        <v>81</v>
      </c>
      <c r="E68" s="237"/>
      <c r="F68" s="238"/>
      <c r="G68" s="238"/>
      <c r="H68" s="238"/>
      <c r="I68" s="238"/>
      <c r="J68" s="238"/>
      <c r="K68" s="238"/>
      <c r="L68" s="238"/>
      <c r="M68" s="238"/>
      <c r="N68" s="239"/>
      <c r="O68" s="240"/>
      <c r="P68" s="239"/>
      <c r="Q68" s="399">
        <f t="shared" ref="Q68:Q72" si="7">SUM(E68:P68)</f>
        <v>0</v>
      </c>
    </row>
    <row r="69" spans="4:17" ht="20.100000000000001" customHeight="1" x14ac:dyDescent="0.2">
      <c r="D69" s="242" t="s">
        <v>81</v>
      </c>
      <c r="E69" s="179"/>
      <c r="F69" s="180"/>
      <c r="G69" s="180"/>
      <c r="H69" s="180"/>
      <c r="I69" s="180"/>
      <c r="J69" s="180"/>
      <c r="K69" s="180"/>
      <c r="L69" s="180"/>
      <c r="M69" s="180"/>
      <c r="N69" s="181"/>
      <c r="O69" s="182"/>
      <c r="P69" s="181"/>
      <c r="Q69" s="318">
        <f t="shared" si="7"/>
        <v>0</v>
      </c>
    </row>
    <row r="70" spans="4:17" ht="20.100000000000001" customHeight="1" x14ac:dyDescent="0.2">
      <c r="D70" s="242" t="s">
        <v>81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1"/>
      <c r="O70" s="182"/>
      <c r="P70" s="181"/>
      <c r="Q70" s="318">
        <f t="shared" si="7"/>
        <v>0</v>
      </c>
    </row>
    <row r="71" spans="4:17" ht="20.100000000000001" customHeight="1" x14ac:dyDescent="0.2">
      <c r="D71" s="242" t="s">
        <v>81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1"/>
      <c r="O71" s="182"/>
      <c r="P71" s="181"/>
      <c r="Q71" s="318">
        <f t="shared" si="7"/>
        <v>0</v>
      </c>
    </row>
    <row r="72" spans="4:17" ht="20.100000000000001" customHeight="1" thickBot="1" x14ac:dyDescent="0.25">
      <c r="D72" s="243" t="s">
        <v>81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5"/>
      <c r="O72" s="186"/>
      <c r="P72" s="185"/>
      <c r="Q72" s="400">
        <f t="shared" si="7"/>
        <v>0</v>
      </c>
    </row>
    <row r="73" spans="4:1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</row>
    <row r="74" spans="4:1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</row>
    <row r="75" spans="4:1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</row>
    <row r="76" spans="4:17" ht="20.100000000000001" customHeight="1" thickBot="1" x14ac:dyDescent="0.25">
      <c r="D76" s="235" t="s">
        <v>84</v>
      </c>
      <c r="E76" s="432" t="s">
        <v>101</v>
      </c>
      <c r="F76" s="433"/>
      <c r="G76" s="433"/>
      <c r="H76" s="433"/>
      <c r="I76" s="433"/>
      <c r="J76" s="433"/>
      <c r="K76" s="433"/>
      <c r="L76" s="433"/>
      <c r="M76" s="433"/>
      <c r="N76" s="433"/>
      <c r="O76" s="433"/>
      <c r="P76" s="434"/>
      <c r="Q76" s="401" t="s">
        <v>7</v>
      </c>
    </row>
    <row r="77" spans="4:17" ht="39.75" customHeight="1" thickBot="1" x14ac:dyDescent="0.25">
      <c r="D77" s="371" t="s">
        <v>82</v>
      </c>
      <c r="E77" s="365" t="s">
        <v>69</v>
      </c>
      <c r="F77" s="365" t="s">
        <v>100</v>
      </c>
      <c r="G77" s="365" t="s">
        <v>70</v>
      </c>
      <c r="H77" s="365" t="s">
        <v>71</v>
      </c>
      <c r="I77" s="365" t="s">
        <v>72</v>
      </c>
      <c r="J77" s="365" t="s">
        <v>73</v>
      </c>
      <c r="K77" s="365" t="s">
        <v>74</v>
      </c>
      <c r="L77" s="365" t="s">
        <v>75</v>
      </c>
      <c r="M77" s="365" t="s">
        <v>76</v>
      </c>
      <c r="N77" s="365" t="s">
        <v>77</v>
      </c>
      <c r="O77" s="375" t="s">
        <v>3</v>
      </c>
      <c r="P77" s="374" t="s">
        <v>4</v>
      </c>
      <c r="Q77" s="398" t="s">
        <v>104</v>
      </c>
    </row>
    <row r="78" spans="4:17" ht="20.100000000000001" customHeight="1" x14ac:dyDescent="0.2">
      <c r="D78" s="244" t="s">
        <v>81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9"/>
      <c r="O78" s="240"/>
      <c r="P78" s="239"/>
      <c r="Q78" s="399">
        <f t="shared" ref="Q78:Q80" si="8">SUM(E78:P78)</f>
        <v>0</v>
      </c>
    </row>
    <row r="79" spans="4:17" ht="20.100000000000001" customHeight="1" x14ac:dyDescent="0.2">
      <c r="D79" s="242" t="s">
        <v>81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1"/>
      <c r="O79" s="182"/>
      <c r="P79" s="181"/>
      <c r="Q79" s="318">
        <f t="shared" si="8"/>
        <v>0</v>
      </c>
    </row>
    <row r="80" spans="4:17" ht="20.100000000000001" customHeight="1" thickBot="1" x14ac:dyDescent="0.25">
      <c r="D80" s="243" t="s">
        <v>81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5"/>
      <c r="O80" s="186"/>
      <c r="P80" s="185"/>
      <c r="Q80" s="400">
        <f t="shared" si="8"/>
        <v>0</v>
      </c>
    </row>
    <row r="81" spans="4:1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41"/>
    </row>
    <row r="82" spans="4:1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41"/>
    </row>
  </sheetData>
  <sheetProtection algorithmName="SHA-512" hashValue="Cj1jeWszVWMTMpYRLecSq920jgqCPbOpGN/L31fPJvsXRN3OjEco3LgyTBH5FXFNox3BjiIV9yoyKytdLCSNIQ==" saltValue="kKjrbvE8O7pcWS+wxzbgxg==" spinCount="100000" sheet="1" objects="1" scenarios="1"/>
  <mergeCells count="7">
    <mergeCell ref="E76:P76"/>
    <mergeCell ref="E1:P1"/>
    <mergeCell ref="A10:B11"/>
    <mergeCell ref="A12:B14"/>
    <mergeCell ref="A15:B18"/>
    <mergeCell ref="E48:P48"/>
    <mergeCell ref="E66:P66"/>
  </mergeCells>
  <conditionalFormatting sqref="B8">
    <cfRule type="cellIs" dxfId="123" priority="5" operator="notEqual">
      <formula>$B$7</formula>
    </cfRule>
  </conditionalFormatting>
  <conditionalFormatting sqref="E3:Q12">
    <cfRule type="cellIs" dxfId="122" priority="4" operator="notBetween">
      <formula>0</formula>
      <formula>100</formula>
    </cfRule>
  </conditionalFormatting>
  <conditionalFormatting sqref="E3:Q14">
    <cfRule type="cellIs" dxfId="121" priority="7" operator="lessThan">
      <formula>0</formula>
    </cfRule>
  </conditionalFormatting>
  <conditionalFormatting sqref="E14:Q14">
    <cfRule type="cellIs" dxfId="120" priority="10" operator="greaterThan">
      <formula>1</formula>
    </cfRule>
  </conditionalFormatting>
  <conditionalFormatting sqref="Q3:Q13">
    <cfRule type="cellIs" dxfId="119" priority="8" operator="equal">
      <formula>0</formula>
    </cfRule>
  </conditionalFormatting>
  <conditionalFormatting sqref="Q13">
    <cfRule type="cellIs" dxfId="118" priority="12" operator="equal">
      <formula>$B$7</formula>
    </cfRule>
  </conditionalFormatting>
  <conditionalFormatting sqref="Q14">
    <cfRule type="cellIs" dxfId="117" priority="9" operator="equal">
      <formula>1</formula>
    </cfRule>
    <cfRule type="cellIs" dxfId="116" priority="11" operator="lessThan">
      <formula>1</formula>
    </cfRule>
  </conditionalFormatting>
  <conditionalFormatting sqref="W4:W15">
    <cfRule type="expression" dxfId="115" priority="13">
      <formula>AND($W4&lt;$W3, NOT(ISBLANK($W4)))</formula>
    </cfRule>
    <cfRule type="cellIs" dxfId="114" priority="14" operator="greaterThan">
      <formula>$B$6</formula>
    </cfRule>
  </conditionalFormatting>
  <conditionalFormatting sqref="X4:X15">
    <cfRule type="cellIs" dxfId="113" priority="6" operator="greaterThan">
      <formula>1</formula>
    </cfRule>
  </conditionalFormatting>
  <conditionalFormatting sqref="D68:D72 D50:D59 D78:D80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3:P12">
    <cfRule type="expression" dxfId="112" priority="15">
      <formula>($D3&lt;=$K$23)</formula>
    </cfRule>
  </conditionalFormatting>
  <conditionalFormatting sqref="Q3:Q12">
    <cfRule type="expression" dxfId="111" priority="16">
      <formula>AND($D3=$K$23, Q3=$J$24)</formula>
    </cfRule>
    <cfRule type="expression" dxfId="110" priority="17">
      <formula>AND($D3=$K$23, MOD(Q3,100)&gt;$J$24)</formula>
    </cfRule>
    <cfRule type="cellIs" dxfId="109" priority="18" operator="equal">
      <formula>100</formula>
    </cfRule>
  </conditionalFormatting>
  <conditionalFormatting sqref="D3:P12">
    <cfRule type="expression" dxfId="108" priority="22">
      <formula>($D3&gt;$K$23)</formula>
    </cfRule>
  </conditionalFormatting>
  <conditionalFormatting sqref="Q50">
    <cfRule type="cellIs" dxfId="107" priority="23" operator="lessThan">
      <formula>0</formula>
    </cfRule>
    <cfRule type="cellIs" dxfId="106" priority="24" operator="equal">
      <formula>0</formula>
    </cfRule>
    <cfRule type="expression" dxfId="105" priority="25">
      <formula>OR(MOD($Q50,100)=0,AND($D50=$K$23,MOD($Q50,100)=$J$24))</formula>
    </cfRule>
  </conditionalFormatting>
  <conditionalFormatting sqref="E50:P59">
    <cfRule type="expression" dxfId="104" priority="2">
      <formula>AND(E50&lt;MAX(E$50:E50), NOT(ISBLANK(E50)), NOT(E50=0))</formula>
    </cfRule>
  </conditionalFormatting>
  <conditionalFormatting sqref="Q52:Q59 Q68:Q72 Q78:Q80">
    <cfRule type="cellIs" dxfId="103" priority="27" operator="lessThan">
      <formula>0</formula>
    </cfRule>
    <cfRule type="cellIs" dxfId="102" priority="28" operator="equal">
      <formula>0</formula>
    </cfRule>
    <cfRule type="expression" dxfId="101" priority="29">
      <formula>OR(MOD($Q52,100)=0,AND($D52=$K$23,MOD($Q52,100)=$J$24))</formula>
    </cfRule>
  </conditionalFormatting>
  <conditionalFormatting sqref="Q51">
    <cfRule type="cellIs" dxfId="100" priority="30" operator="lessThan">
      <formula>0</formula>
    </cfRule>
    <cfRule type="cellIs" dxfId="99" priority="31" operator="equal">
      <formula>0</formula>
    </cfRule>
    <cfRule type="expression" dxfId="98" priority="32">
      <formula>OR(MOD($Q51,100)=0,AND($D50=$K$23,MOD($Q51,100)=$J$24))</formula>
    </cfRule>
  </conditionalFormatting>
  <conditionalFormatting sqref="E50:P59 E68:P72 E78:P80">
    <cfRule type="cellIs" dxfId="95" priority="19" operator="notBetween">
      <formula>0</formula>
      <formula>$B$7</formula>
    </cfRule>
    <cfRule type="expression" dxfId="96" priority="20">
      <formula>($D50&lt;=$K$23)</formula>
    </cfRule>
    <cfRule type="expression" dxfId="97" priority="21">
      <formula>($D50&gt;$K$23)</formula>
    </cfRule>
  </conditionalFormatting>
  <conditionalFormatting sqref="E68:P72">
    <cfRule type="expression" dxfId="94" priority="1">
      <formula>AND(E68&lt;MAX(E$68:E68), NOT(ISBLANK(E68)), NOT(E68=0))</formula>
    </cfRule>
  </conditionalFormatting>
  <conditionalFormatting sqref="E78:P80">
    <cfRule type="expression" dxfId="93" priority="26">
      <formula>AND(E78&lt;MAX(E$78:E78), NOT(ISBLANK(E78)), NOT(E78=0))</formula>
    </cfRule>
  </conditionalFormatting>
  <dataValidations count="2">
    <dataValidation type="list" allowBlank="1" showInputMessage="1" showErrorMessage="1" sqref="D68:D72 D78:D82 D50:D59" xr:uid="{08B50DC2-7A9B-4066-8B2B-FBAA51E091B7}">
      <formula1>$D$3:$D$12</formula1>
    </dataValidation>
    <dataValidation type="list" allowBlank="1" showInputMessage="1" showErrorMessage="1" sqref="C50:C59" xr:uid="{A72D90B1-FD77-4CCA-A3F1-38554EA20F66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6A605-9C82-4261-99B7-CBE21A0E7017}">
  <sheetPr codeName="Feuil39">
    <tabColor rgb="FFB4A7D6"/>
  </sheetPr>
  <dimension ref="A1:AB82"/>
  <sheetViews>
    <sheetView zoomScale="80" zoomScaleNormal="80" workbookViewId="0">
      <pane xSplit="2" topLeftCell="C1" activePane="topRight" state="frozen"/>
      <selection pane="topRight" activeCell="R3" sqref="R3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4" width="15.7109375" customWidth="1"/>
    <col min="17" max="17" width="12.85546875" customWidth="1"/>
    <col min="18" max="18" width="11.42578125" customWidth="1"/>
    <col min="21" max="21" width="10.42578125" customWidth="1"/>
    <col min="22" max="22" width="15.42578125" customWidth="1"/>
    <col min="23" max="23" width="16.140625" customWidth="1"/>
    <col min="24" max="24" width="12" customWidth="1"/>
    <col min="26" max="26" width="13.28515625" customWidth="1"/>
    <col min="27" max="27" width="14.42578125" customWidth="1"/>
  </cols>
  <sheetData>
    <row r="1" spans="1:28" ht="16.5" customHeight="1" thickBot="1" x14ac:dyDescent="0.25">
      <c r="A1" s="315" t="s">
        <v>11</v>
      </c>
      <c r="B1" s="33">
        <f>Synthèse!B17</f>
        <v>46096</v>
      </c>
      <c r="D1" s="314"/>
      <c r="E1" s="435" t="s">
        <v>66</v>
      </c>
      <c r="F1" s="436"/>
      <c r="G1" s="436"/>
      <c r="H1" s="436"/>
      <c r="I1" s="436"/>
      <c r="J1" s="436"/>
      <c r="K1" s="436"/>
      <c r="L1" s="436"/>
      <c r="M1" s="436"/>
      <c r="N1" s="436"/>
      <c r="O1" s="436"/>
      <c r="P1" s="437"/>
      <c r="Q1" s="443" t="s">
        <v>7</v>
      </c>
    </row>
    <row r="2" spans="1:28" ht="39.75" customHeight="1" thickBot="1" x14ac:dyDescent="0.25">
      <c r="A2" s="316" t="s">
        <v>12</v>
      </c>
      <c r="B2" s="34" t="str">
        <f>Synthèse!B18</f>
        <v>Municipales 1er tour</v>
      </c>
      <c r="D2" s="364" t="s">
        <v>83</v>
      </c>
      <c r="E2" s="365" t="str">
        <f>Synthèse!L2</f>
        <v>Candidat 1</v>
      </c>
      <c r="F2" s="365" t="str">
        <f>Synthèse!M2</f>
        <v>Candidat 2</v>
      </c>
      <c r="G2" s="365" t="str">
        <f>Synthèse!N2</f>
        <v>Candidat 3</v>
      </c>
      <c r="H2" s="365" t="str">
        <f>Synthèse!O2</f>
        <v>Candidat 4</v>
      </c>
      <c r="I2" s="365" t="str">
        <f>Synthèse!P2</f>
        <v>Candidat 5</v>
      </c>
      <c r="J2" s="365" t="str">
        <f>Synthèse!Q2</f>
        <v>Candidat 6</v>
      </c>
      <c r="K2" s="365" t="str">
        <f>Synthèse!R2</f>
        <v>Candidat 7</v>
      </c>
      <c r="L2" s="365" t="str">
        <f>Synthèse!S2</f>
        <v>Candidat 8</v>
      </c>
      <c r="M2" s="365" t="str">
        <f>Synthèse!T2</f>
        <v>Candidat 9</v>
      </c>
      <c r="N2" s="365" t="str">
        <f>Synthèse!U2</f>
        <v>Candidat 10</v>
      </c>
      <c r="O2" s="368" t="s">
        <v>3</v>
      </c>
      <c r="P2" s="369" t="s">
        <v>4</v>
      </c>
      <c r="Q2" s="444" t="s">
        <v>105</v>
      </c>
      <c r="V2" s="381" t="s">
        <v>21</v>
      </c>
      <c r="W2" s="382" t="s">
        <v>57</v>
      </c>
      <c r="X2" s="383" t="s">
        <v>31</v>
      </c>
      <c r="Z2" s="384" t="s">
        <v>59</v>
      </c>
      <c r="AA2" s="384" t="s">
        <v>58</v>
      </c>
    </row>
    <row r="3" spans="1:28" ht="20.100000000000001" customHeight="1" thickBot="1" x14ac:dyDescent="0.25">
      <c r="A3" s="317" t="s">
        <v>13</v>
      </c>
      <c r="B3" s="94" t="str">
        <f>Synthèse!B19</f>
        <v>Cogolin</v>
      </c>
      <c r="D3" s="361" t="str" cm="1">
        <f t="array" ref="D3">IF(ROW(1:1)&lt;=$K$23, (ROW(1:1)), "")</f>
        <v/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70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171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72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318">
        <f t="shared" ref="Q3:Q12" si="0">SUM(E3:P3)</f>
        <v>0</v>
      </c>
      <c r="V3" s="352" t="s">
        <v>32</v>
      </c>
      <c r="W3" s="353">
        <v>0</v>
      </c>
      <c r="X3" s="354">
        <f t="shared" ref="X3" si="1">W3/$B$6</f>
        <v>0</v>
      </c>
      <c r="Z3" s="330"/>
      <c r="AA3" s="330"/>
    </row>
    <row r="4" spans="1:28" ht="20.100000000000001" customHeight="1" x14ac:dyDescent="0.2">
      <c r="A4" s="95" t="s">
        <v>23</v>
      </c>
      <c r="B4" s="168">
        <v>10</v>
      </c>
      <c r="D4" s="362" t="str" cm="1">
        <f t="array" ref="D4">IF(ROW(2:2)&lt;=$K$23, (ROW(2:2)), "")</f>
        <v/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7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158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318">
        <f t="shared" si="0"/>
        <v>0</v>
      </c>
      <c r="V4" s="355" t="s">
        <v>33</v>
      </c>
      <c r="W4" s="356"/>
      <c r="X4" s="357" t="e">
        <f t="shared" ref="X4:X13" si="2">IF(OR(W4=0, W4=""), NA(), W4/$B$6)</f>
        <v>#N/A</v>
      </c>
      <c r="Z4" s="325" t="s">
        <v>45</v>
      </c>
      <c r="AA4" s="385" t="e">
        <f t="shared" ref="AA4:AA13" si="3">IF(W4&lt;&gt;0,W4-W3,NA())</f>
        <v>#N/A</v>
      </c>
    </row>
    <row r="5" spans="1:28" ht="20.100000000000001" customHeight="1" x14ac:dyDescent="0.2">
      <c r="A5" s="96" t="s">
        <v>24</v>
      </c>
      <c r="B5" s="187" t="s">
        <v>29</v>
      </c>
      <c r="D5" s="362" t="str" cm="1">
        <f t="array" ref="D5">IF(ROW(3:3)&lt;=$K$23, (ROW(3:3)), "")</f>
        <v/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173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174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318">
        <f t="shared" si="0"/>
        <v>0</v>
      </c>
      <c r="T5" s="231"/>
      <c r="U5" s="232"/>
      <c r="V5" s="355" t="s">
        <v>34</v>
      </c>
      <c r="W5" s="356"/>
      <c r="X5" s="357" t="e">
        <f t="shared" si="2"/>
        <v>#N/A</v>
      </c>
      <c r="Z5" s="326" t="s">
        <v>46</v>
      </c>
      <c r="AA5" s="386" t="e">
        <f t="shared" si="3"/>
        <v>#N/A</v>
      </c>
    </row>
    <row r="6" spans="1:28" ht="20.100000000000001" customHeight="1" x14ac:dyDescent="0.2">
      <c r="A6" s="96" t="s">
        <v>0</v>
      </c>
      <c r="B6" s="188">
        <v>581</v>
      </c>
      <c r="D6" s="362" t="str" cm="1">
        <f t="array" ref="D6">IF(ROW(4:4)&lt;=$K$23, (ROW(4:4)), "")</f>
        <v/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173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174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318">
        <f t="shared" si="0"/>
        <v>0</v>
      </c>
      <c r="T6" s="231"/>
      <c r="U6" s="232"/>
      <c r="V6" s="355" t="s">
        <v>35</v>
      </c>
      <c r="W6" s="356"/>
      <c r="X6" s="357" t="e">
        <f t="shared" si="2"/>
        <v>#N/A</v>
      </c>
      <c r="Z6" s="326" t="s">
        <v>47</v>
      </c>
      <c r="AA6" s="386" t="e">
        <f t="shared" si="3"/>
        <v>#N/A</v>
      </c>
    </row>
    <row r="7" spans="1:28" ht="20.100000000000001" customHeight="1" x14ac:dyDescent="0.2">
      <c r="A7" s="96" t="s">
        <v>2</v>
      </c>
      <c r="B7" s="165">
        <f>MAX(W4:W15)</f>
        <v>0</v>
      </c>
      <c r="D7" s="362" t="str" cm="1">
        <f t="array" ref="D7">IF(ROW(5:5)&lt;=$K$23, (ROW(5:5)), "")</f>
        <v/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7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158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318">
        <f t="shared" si="0"/>
        <v>0</v>
      </c>
      <c r="T7" s="231"/>
      <c r="U7" s="232"/>
      <c r="V7" s="355" t="s">
        <v>36</v>
      </c>
      <c r="W7" s="356"/>
      <c r="X7" s="357" t="e">
        <f t="shared" si="2"/>
        <v>#N/A</v>
      </c>
      <c r="Z7" s="326" t="s">
        <v>54</v>
      </c>
      <c r="AA7" s="386" t="e">
        <f t="shared" si="3"/>
        <v>#N/A</v>
      </c>
    </row>
    <row r="8" spans="1:28" ht="20.100000000000001" customHeight="1" x14ac:dyDescent="0.2">
      <c r="A8" s="96" t="s">
        <v>1</v>
      </c>
      <c r="B8" s="166">
        <f>B7</f>
        <v>0</v>
      </c>
      <c r="D8" s="362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7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8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318">
        <f t="shared" si="0"/>
        <v>0</v>
      </c>
      <c r="T8" s="231"/>
      <c r="U8" s="232"/>
      <c r="V8" s="355" t="s">
        <v>37</v>
      </c>
      <c r="W8" s="356"/>
      <c r="X8" s="357" t="e">
        <f t="shared" si="2"/>
        <v>#N/A</v>
      </c>
      <c r="Z8" s="326" t="s">
        <v>48</v>
      </c>
      <c r="AA8" s="386" t="e">
        <f t="shared" si="3"/>
        <v>#N/A</v>
      </c>
    </row>
    <row r="9" spans="1:28" ht="20.100000000000001" customHeight="1" thickBot="1" x14ac:dyDescent="0.25">
      <c r="A9" s="97" t="s">
        <v>17</v>
      </c>
      <c r="B9" s="167">
        <f>B6-B7</f>
        <v>581</v>
      </c>
      <c r="D9" s="362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9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60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318">
        <f t="shared" si="0"/>
        <v>0</v>
      </c>
      <c r="T9" s="231"/>
      <c r="U9" s="232"/>
      <c r="V9" s="355" t="s">
        <v>38</v>
      </c>
      <c r="W9" s="356"/>
      <c r="X9" s="357" t="e">
        <f t="shared" si="2"/>
        <v>#N/A</v>
      </c>
      <c r="Z9" s="326" t="s">
        <v>49</v>
      </c>
      <c r="AA9" s="386" t="e">
        <f t="shared" si="3"/>
        <v>#N/A</v>
      </c>
    </row>
    <row r="10" spans="1:28" ht="20.100000000000001" customHeight="1" x14ac:dyDescent="0.2">
      <c r="A10" s="438" t="s">
        <v>60</v>
      </c>
      <c r="B10" s="438"/>
      <c r="D10" s="362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9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60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318">
        <f t="shared" si="0"/>
        <v>0</v>
      </c>
      <c r="T10" s="231"/>
      <c r="U10" s="232"/>
      <c r="V10" s="355" t="s">
        <v>39</v>
      </c>
      <c r="W10" s="356"/>
      <c r="X10" s="357" t="e">
        <f t="shared" si="2"/>
        <v>#N/A</v>
      </c>
      <c r="Z10" s="326" t="s">
        <v>50</v>
      </c>
      <c r="AA10" s="386" t="e">
        <f t="shared" si="3"/>
        <v>#N/A</v>
      </c>
    </row>
    <row r="11" spans="1:28" ht="20.100000000000001" customHeight="1" x14ac:dyDescent="0.2">
      <c r="A11" s="439"/>
      <c r="B11" s="439"/>
      <c r="D11" s="362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9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60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318">
        <f t="shared" si="0"/>
        <v>0</v>
      </c>
      <c r="T11" s="231"/>
      <c r="U11" s="232"/>
      <c r="V11" s="355" t="s">
        <v>40</v>
      </c>
      <c r="W11" s="356"/>
      <c r="X11" s="357" t="e">
        <f t="shared" si="2"/>
        <v>#N/A</v>
      </c>
      <c r="Z11" s="326" t="s">
        <v>51</v>
      </c>
      <c r="AA11" s="386" t="e">
        <f t="shared" si="3"/>
        <v>#N/A</v>
      </c>
    </row>
    <row r="12" spans="1:28" ht="20.100000000000001" customHeight="1" thickBot="1" x14ac:dyDescent="0.25">
      <c r="A12" s="440" t="s">
        <v>61</v>
      </c>
      <c r="B12" s="440"/>
      <c r="D12" s="363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75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7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318">
        <f t="shared" si="0"/>
        <v>0</v>
      </c>
      <c r="T12" s="231"/>
      <c r="U12" s="232"/>
      <c r="V12" s="355" t="s">
        <v>41</v>
      </c>
      <c r="W12" s="356"/>
      <c r="X12" s="357" t="e">
        <f t="shared" si="2"/>
        <v>#N/A</v>
      </c>
      <c r="Z12" s="326" t="s">
        <v>52</v>
      </c>
      <c r="AA12" s="386" t="e">
        <f t="shared" si="3"/>
        <v>#N/A</v>
      </c>
    </row>
    <row r="13" spans="1:28" ht="20.100000000000001" customHeight="1" thickBot="1" x14ac:dyDescent="0.3">
      <c r="A13" s="440"/>
      <c r="B13" s="440"/>
      <c r="D13" s="50" t="s">
        <v>9</v>
      </c>
      <c r="E13" s="161">
        <f t="shared" ref="E13:Q13" si="4">SUM(E3:E12)</f>
        <v>0</v>
      </c>
      <c r="F13" s="162">
        <f t="shared" si="4"/>
        <v>0</v>
      </c>
      <c r="G13" s="162">
        <f t="shared" si="4"/>
        <v>0</v>
      </c>
      <c r="H13" s="162">
        <f t="shared" si="4"/>
        <v>0</v>
      </c>
      <c r="I13" s="162">
        <f t="shared" si="4"/>
        <v>0</v>
      </c>
      <c r="J13" s="162">
        <f t="shared" si="4"/>
        <v>0</v>
      </c>
      <c r="K13" s="162">
        <f t="shared" si="4"/>
        <v>0</v>
      </c>
      <c r="L13" s="162">
        <f t="shared" si="4"/>
        <v>0</v>
      </c>
      <c r="M13" s="162">
        <f t="shared" si="4"/>
        <v>0</v>
      </c>
      <c r="N13" s="162">
        <f t="shared" si="4"/>
        <v>0</v>
      </c>
      <c r="O13" s="163">
        <f t="shared" si="4"/>
        <v>0</v>
      </c>
      <c r="P13" s="164">
        <f t="shared" si="4"/>
        <v>0</v>
      </c>
      <c r="Q13" s="319">
        <f t="shared" si="4"/>
        <v>0</v>
      </c>
      <c r="T13" s="231"/>
      <c r="U13" s="232"/>
      <c r="V13" s="355" t="s">
        <v>42</v>
      </c>
      <c r="W13" s="356"/>
      <c r="X13" s="357" t="e">
        <f t="shared" si="2"/>
        <v>#N/A</v>
      </c>
      <c r="Z13" s="327" t="s">
        <v>53</v>
      </c>
      <c r="AA13" s="387" t="e">
        <f t="shared" si="3"/>
        <v>#N/A</v>
      </c>
    </row>
    <row r="14" spans="1:28" ht="20.100000000000001" customHeight="1" thickBot="1" x14ac:dyDescent="0.3">
      <c r="A14" s="440"/>
      <c r="B14" s="440"/>
      <c r="D14" s="83" t="s">
        <v>10</v>
      </c>
      <c r="E14" s="45">
        <f t="shared" ref="E14:Q14" si="5">IFERROR(E13/$B$7,0)</f>
        <v>0</v>
      </c>
      <c r="F14" s="46">
        <f t="shared" si="5"/>
        <v>0</v>
      </c>
      <c r="G14" s="46">
        <f t="shared" si="5"/>
        <v>0</v>
      </c>
      <c r="H14" s="46">
        <f t="shared" si="5"/>
        <v>0</v>
      </c>
      <c r="I14" s="46">
        <f t="shared" si="5"/>
        <v>0</v>
      </c>
      <c r="J14" s="46">
        <f t="shared" si="5"/>
        <v>0</v>
      </c>
      <c r="K14" s="46">
        <f t="shared" si="5"/>
        <v>0</v>
      </c>
      <c r="L14" s="46">
        <f t="shared" si="5"/>
        <v>0</v>
      </c>
      <c r="M14" s="46">
        <f t="shared" si="5"/>
        <v>0</v>
      </c>
      <c r="N14" s="46">
        <f t="shared" si="5"/>
        <v>0</v>
      </c>
      <c r="O14" s="45">
        <f t="shared" si="5"/>
        <v>0</v>
      </c>
      <c r="P14" s="47">
        <f t="shared" si="5"/>
        <v>0</v>
      </c>
      <c r="Q14" s="329">
        <f t="shared" si="5"/>
        <v>0</v>
      </c>
      <c r="V14" s="391" t="s">
        <v>43</v>
      </c>
      <c r="W14" s="358"/>
      <c r="X14" s="359" t="e">
        <f>IF(OR(W14=0, W14=""), NA(), W14/$B$6)</f>
        <v>#N/A</v>
      </c>
      <c r="Y14" s="389"/>
      <c r="Z14" s="393" t="s">
        <v>55</v>
      </c>
      <c r="AA14" s="388" t="e">
        <f>IF(W14&lt;&gt;0,W14-W13,NA())</f>
        <v>#N/A</v>
      </c>
      <c r="AB14" s="389"/>
    </row>
    <row r="15" spans="1:28" ht="18" customHeight="1" thickBot="1" x14ac:dyDescent="0.25">
      <c r="A15" s="441" t="s">
        <v>68</v>
      </c>
      <c r="B15" s="441"/>
      <c r="C15" s="1"/>
      <c r="D15" s="1"/>
      <c r="Q15" s="328"/>
      <c r="V15" s="324" t="s">
        <v>44</v>
      </c>
      <c r="W15" s="360"/>
      <c r="X15" s="390" t="e">
        <f>IF(OR(W15=0, W15=""), NA(), W15/$B$6)</f>
        <v>#N/A</v>
      </c>
      <c r="Z15" s="394" t="s">
        <v>56</v>
      </c>
      <c r="AA15" s="392" t="e">
        <f>IF(W15&lt;&gt;0,W15-W14,NA())</f>
        <v>#N/A</v>
      </c>
      <c r="AB15" s="389"/>
    </row>
    <row r="16" spans="1:28" ht="12.75" customHeight="1" x14ac:dyDescent="0.2">
      <c r="A16" s="441"/>
      <c r="B16" s="441"/>
      <c r="V16" s="328"/>
      <c r="W16" s="328"/>
      <c r="X16" s="328"/>
      <c r="AA16" s="328"/>
    </row>
    <row r="17" spans="1:11" ht="18" customHeight="1" x14ac:dyDescent="0.25">
      <c r="A17" s="441"/>
      <c r="B17" s="441"/>
      <c r="E17" s="230"/>
    </row>
    <row r="18" spans="1:11" ht="26.25" customHeight="1" x14ac:dyDescent="0.2">
      <c r="A18" s="441"/>
      <c r="B18" s="441"/>
    </row>
    <row r="23" spans="1:11" x14ac:dyDescent="0.2">
      <c r="H23" s="177" t="s">
        <v>64</v>
      </c>
      <c r="J23" s="245">
        <f>CEILING($B$6, 100)/100</f>
        <v>6</v>
      </c>
      <c r="K23" s="245">
        <f>CEILING($B$7,100)/100</f>
        <v>0</v>
      </c>
    </row>
    <row r="24" spans="1:11" x14ac:dyDescent="0.2">
      <c r="H24" s="178">
        <f>IF((ROW()-23)&lt;=$K$24,(ROW()-23),"Choisir")</f>
        <v>1</v>
      </c>
      <c r="J24" s="245">
        <f>MOD($B$7,100)</f>
        <v>0</v>
      </c>
      <c r="K24" s="246">
        <f>CEILING($B$6/300,1)</f>
        <v>2</v>
      </c>
    </row>
    <row r="25" spans="1:11" x14ac:dyDescent="0.2">
      <c r="H25" s="178">
        <f>IF((ROW()-23)&lt;=$K$24,(ROW()-23),"Choisir")</f>
        <v>2</v>
      </c>
    </row>
    <row r="26" spans="1:11" x14ac:dyDescent="0.2">
      <c r="H26" s="178" t="str">
        <f>IF((ROW()-23)&lt;=$K$24,(ROW()-23),"Choisir")</f>
        <v>Choisir</v>
      </c>
    </row>
    <row r="27" spans="1:11" x14ac:dyDescent="0.2">
      <c r="H27" s="178" t="str">
        <f>IF((ROW()-23)&lt;=$K$24,(ROW()-23),"Choisir")</f>
        <v>Choisir</v>
      </c>
    </row>
    <row r="46" spans="4:17" x14ac:dyDescent="0.2">
      <c r="E46" s="169"/>
    </row>
    <row r="47" spans="4:17" ht="13.5" thickBot="1" x14ac:dyDescent="0.25">
      <c r="E47" s="169"/>
    </row>
    <row r="48" spans="4:17" ht="20.100000000000001" customHeight="1" thickBot="1" x14ac:dyDescent="0.25">
      <c r="D48" s="235" t="s">
        <v>79</v>
      </c>
      <c r="E48" s="432" t="s">
        <v>103</v>
      </c>
      <c r="F48" s="433"/>
      <c r="G48" s="433"/>
      <c r="H48" s="433"/>
      <c r="I48" s="433"/>
      <c r="J48" s="433"/>
      <c r="K48" s="433"/>
      <c r="L48" s="433"/>
      <c r="M48" s="433"/>
      <c r="N48" s="433"/>
      <c r="O48" s="433"/>
      <c r="P48" s="434"/>
      <c r="Q48" s="395" t="s">
        <v>7</v>
      </c>
    </row>
    <row r="49" spans="3:17" ht="47.25" customHeight="1" thickBot="1" x14ac:dyDescent="0.25">
      <c r="C49" s="233"/>
      <c r="D49" s="371" t="s">
        <v>82</v>
      </c>
      <c r="E49" s="365" t="s">
        <v>69</v>
      </c>
      <c r="F49" s="365" t="s">
        <v>100</v>
      </c>
      <c r="G49" s="365" t="s">
        <v>70</v>
      </c>
      <c r="H49" s="365" t="s">
        <v>71</v>
      </c>
      <c r="I49" s="365" t="s">
        <v>72</v>
      </c>
      <c r="J49" s="365" t="s">
        <v>73</v>
      </c>
      <c r="K49" s="365" t="s">
        <v>74</v>
      </c>
      <c r="L49" s="365" t="s">
        <v>75</v>
      </c>
      <c r="M49" s="365" t="s">
        <v>76</v>
      </c>
      <c r="N49" s="365" t="s">
        <v>77</v>
      </c>
      <c r="O49" s="375" t="s">
        <v>3</v>
      </c>
      <c r="P49" s="374" t="s">
        <v>4</v>
      </c>
      <c r="Q49" s="397" t="s">
        <v>104</v>
      </c>
    </row>
    <row r="50" spans="3:17" ht="19.5" customHeight="1" x14ac:dyDescent="0.2">
      <c r="C50" s="234"/>
      <c r="D50" s="370" t="s">
        <v>81</v>
      </c>
      <c r="E50" s="320"/>
      <c r="F50" s="321"/>
      <c r="G50" s="321"/>
      <c r="H50" s="321"/>
      <c r="I50" s="321"/>
      <c r="J50" s="321"/>
      <c r="K50" s="321"/>
      <c r="L50" s="321"/>
      <c r="M50" s="321"/>
      <c r="N50" s="322"/>
      <c r="O50" s="323"/>
      <c r="P50" s="322"/>
      <c r="Q50" s="396">
        <f t="shared" ref="Q50:Q59" si="6">SUM(E50:P50)</f>
        <v>0</v>
      </c>
    </row>
    <row r="51" spans="3:17" ht="20.100000000000001" customHeight="1" x14ac:dyDescent="0.2">
      <c r="C51" s="234"/>
      <c r="D51" s="370" t="s">
        <v>81</v>
      </c>
      <c r="E51" s="320"/>
      <c r="F51" s="321"/>
      <c r="G51" s="321"/>
      <c r="H51" s="321"/>
      <c r="I51" s="321"/>
      <c r="J51" s="321"/>
      <c r="K51" s="321"/>
      <c r="L51" s="321"/>
      <c r="M51" s="321"/>
      <c r="N51" s="322"/>
      <c r="O51" s="323"/>
      <c r="P51" s="322"/>
      <c r="Q51" s="396">
        <f t="shared" si="6"/>
        <v>0</v>
      </c>
    </row>
    <row r="52" spans="3:17" ht="20.100000000000001" customHeight="1" x14ac:dyDescent="0.2">
      <c r="C52" s="234"/>
      <c r="D52" s="370" t="s">
        <v>81</v>
      </c>
      <c r="E52" s="320"/>
      <c r="F52" s="321"/>
      <c r="G52" s="321"/>
      <c r="H52" s="321"/>
      <c r="I52" s="321"/>
      <c r="J52" s="321"/>
      <c r="K52" s="321"/>
      <c r="L52" s="321"/>
      <c r="M52" s="321"/>
      <c r="N52" s="322"/>
      <c r="O52" s="323"/>
      <c r="P52" s="322"/>
      <c r="Q52" s="396">
        <f t="shared" si="6"/>
        <v>0</v>
      </c>
    </row>
    <row r="53" spans="3:17" ht="20.100000000000001" customHeight="1" x14ac:dyDescent="0.2">
      <c r="C53" s="234"/>
      <c r="D53" s="370" t="s">
        <v>81</v>
      </c>
      <c r="E53" s="320"/>
      <c r="F53" s="321"/>
      <c r="G53" s="321"/>
      <c r="H53" s="321"/>
      <c r="I53" s="321"/>
      <c r="J53" s="321"/>
      <c r="K53" s="321"/>
      <c r="L53" s="321"/>
      <c r="M53" s="321"/>
      <c r="N53" s="322"/>
      <c r="O53" s="323"/>
      <c r="P53" s="322"/>
      <c r="Q53" s="396">
        <f t="shared" si="6"/>
        <v>0</v>
      </c>
    </row>
    <row r="54" spans="3:17" ht="20.100000000000001" customHeight="1" x14ac:dyDescent="0.2">
      <c r="C54" s="234"/>
      <c r="D54" s="370" t="s">
        <v>81</v>
      </c>
      <c r="E54" s="320"/>
      <c r="F54" s="321"/>
      <c r="G54" s="321"/>
      <c r="H54" s="321"/>
      <c r="I54" s="321"/>
      <c r="J54" s="321"/>
      <c r="K54" s="321"/>
      <c r="L54" s="321"/>
      <c r="M54" s="321"/>
      <c r="N54" s="322"/>
      <c r="O54" s="323"/>
      <c r="P54" s="322"/>
      <c r="Q54" s="396">
        <f t="shared" si="6"/>
        <v>0</v>
      </c>
    </row>
    <row r="55" spans="3:17" ht="20.100000000000001" customHeight="1" x14ac:dyDescent="0.2">
      <c r="C55" s="234"/>
      <c r="D55" s="370" t="s">
        <v>81</v>
      </c>
      <c r="E55" s="320"/>
      <c r="F55" s="321"/>
      <c r="G55" s="321"/>
      <c r="H55" s="321"/>
      <c r="I55" s="321"/>
      <c r="J55" s="321"/>
      <c r="K55" s="321"/>
      <c r="L55" s="321"/>
      <c r="M55" s="321"/>
      <c r="N55" s="322"/>
      <c r="O55" s="323"/>
      <c r="P55" s="322"/>
      <c r="Q55" s="396">
        <f t="shared" si="6"/>
        <v>0</v>
      </c>
    </row>
    <row r="56" spans="3:17" ht="20.100000000000001" customHeight="1" x14ac:dyDescent="0.2">
      <c r="C56" s="234"/>
      <c r="D56" s="370" t="s">
        <v>81</v>
      </c>
      <c r="E56" s="320"/>
      <c r="F56" s="321"/>
      <c r="G56" s="321"/>
      <c r="H56" s="321"/>
      <c r="I56" s="321"/>
      <c r="J56" s="321"/>
      <c r="K56" s="321"/>
      <c r="L56" s="321"/>
      <c r="M56" s="321"/>
      <c r="N56" s="322"/>
      <c r="O56" s="323"/>
      <c r="P56" s="322"/>
      <c r="Q56" s="396">
        <f t="shared" si="6"/>
        <v>0</v>
      </c>
    </row>
    <row r="57" spans="3:17" ht="20.100000000000001" customHeight="1" x14ac:dyDescent="0.2">
      <c r="C57" s="234"/>
      <c r="D57" s="370" t="s">
        <v>81</v>
      </c>
      <c r="E57" s="320"/>
      <c r="F57" s="321"/>
      <c r="G57" s="321"/>
      <c r="H57" s="321"/>
      <c r="I57" s="321"/>
      <c r="J57" s="321"/>
      <c r="K57" s="321"/>
      <c r="L57" s="321"/>
      <c r="M57" s="321"/>
      <c r="N57" s="322"/>
      <c r="O57" s="323"/>
      <c r="P57" s="322"/>
      <c r="Q57" s="396">
        <f t="shared" si="6"/>
        <v>0</v>
      </c>
    </row>
    <row r="58" spans="3:17" ht="20.100000000000001" customHeight="1" x14ac:dyDescent="0.2">
      <c r="C58" s="234"/>
      <c r="D58" s="370" t="s">
        <v>81</v>
      </c>
      <c r="E58" s="320"/>
      <c r="F58" s="321"/>
      <c r="G58" s="321"/>
      <c r="H58" s="321"/>
      <c r="I58" s="321"/>
      <c r="J58" s="321"/>
      <c r="K58" s="321"/>
      <c r="L58" s="321"/>
      <c r="M58" s="321"/>
      <c r="N58" s="322"/>
      <c r="O58" s="323"/>
      <c r="P58" s="322"/>
      <c r="Q58" s="396">
        <f t="shared" si="6"/>
        <v>0</v>
      </c>
    </row>
    <row r="59" spans="3:17" ht="20.100000000000001" customHeight="1" thickBot="1" x14ac:dyDescent="0.25">
      <c r="C59" s="234"/>
      <c r="D59" s="376" t="s">
        <v>81</v>
      </c>
      <c r="E59" s="377"/>
      <c r="F59" s="378"/>
      <c r="G59" s="378"/>
      <c r="H59" s="378"/>
      <c r="I59" s="378"/>
      <c r="J59" s="378"/>
      <c r="K59" s="378"/>
      <c r="L59" s="378"/>
      <c r="M59" s="378"/>
      <c r="N59" s="379"/>
      <c r="O59" s="380"/>
      <c r="P59" s="379"/>
      <c r="Q59" s="396">
        <f t="shared" si="6"/>
        <v>0</v>
      </c>
    </row>
    <row r="60" spans="3:17" x14ac:dyDescent="0.2">
      <c r="Q60" s="328"/>
    </row>
    <row r="63" spans="3:17" ht="18" x14ac:dyDescent="0.25">
      <c r="E63" s="230"/>
    </row>
    <row r="65" spans="4:17" ht="13.5" thickBot="1" x14ac:dyDescent="0.25"/>
    <row r="66" spans="4:17" ht="16.5" customHeight="1" thickBot="1" x14ac:dyDescent="0.25">
      <c r="D66" s="235" t="s">
        <v>80</v>
      </c>
      <c r="E66" s="432" t="s">
        <v>102</v>
      </c>
      <c r="F66" s="433"/>
      <c r="G66" s="433"/>
      <c r="H66" s="433"/>
      <c r="I66" s="433"/>
      <c r="J66" s="433"/>
      <c r="K66" s="433"/>
      <c r="L66" s="433"/>
      <c r="M66" s="433"/>
      <c r="N66" s="433"/>
      <c r="O66" s="433"/>
      <c r="P66" s="434"/>
      <c r="Q66" s="395" t="s">
        <v>7</v>
      </c>
    </row>
    <row r="67" spans="4:17" ht="42" customHeight="1" thickBot="1" x14ac:dyDescent="0.25">
      <c r="D67" s="371" t="s">
        <v>82</v>
      </c>
      <c r="E67" s="365" t="s">
        <v>69</v>
      </c>
      <c r="F67" s="365" t="s">
        <v>100</v>
      </c>
      <c r="G67" s="365" t="s">
        <v>70</v>
      </c>
      <c r="H67" s="365" t="s">
        <v>71</v>
      </c>
      <c r="I67" s="365" t="s">
        <v>72</v>
      </c>
      <c r="J67" s="365" t="s">
        <v>73</v>
      </c>
      <c r="K67" s="365" t="s">
        <v>74</v>
      </c>
      <c r="L67" s="365" t="s">
        <v>75</v>
      </c>
      <c r="M67" s="365" t="s">
        <v>76</v>
      </c>
      <c r="N67" s="365" t="s">
        <v>77</v>
      </c>
      <c r="O67" s="375" t="s">
        <v>3</v>
      </c>
      <c r="P67" s="374" t="s">
        <v>4</v>
      </c>
      <c r="Q67" s="402" t="s">
        <v>104</v>
      </c>
    </row>
    <row r="68" spans="4:17" ht="20.100000000000001" customHeight="1" x14ac:dyDescent="0.2">
      <c r="D68" s="244" t="s">
        <v>81</v>
      </c>
      <c r="E68" s="237"/>
      <c r="F68" s="238"/>
      <c r="G68" s="238"/>
      <c r="H68" s="238"/>
      <c r="I68" s="238"/>
      <c r="J68" s="238"/>
      <c r="K68" s="238"/>
      <c r="L68" s="238"/>
      <c r="M68" s="238"/>
      <c r="N68" s="239"/>
      <c r="O68" s="240"/>
      <c r="P68" s="239"/>
      <c r="Q68" s="399">
        <f t="shared" ref="Q68:Q72" si="7">SUM(E68:P68)</f>
        <v>0</v>
      </c>
    </row>
    <row r="69" spans="4:17" ht="20.100000000000001" customHeight="1" x14ac:dyDescent="0.2">
      <c r="D69" s="242" t="s">
        <v>81</v>
      </c>
      <c r="E69" s="179"/>
      <c r="F69" s="180"/>
      <c r="G69" s="180"/>
      <c r="H69" s="180"/>
      <c r="I69" s="180"/>
      <c r="J69" s="180"/>
      <c r="K69" s="180"/>
      <c r="L69" s="180"/>
      <c r="M69" s="180"/>
      <c r="N69" s="181"/>
      <c r="O69" s="182"/>
      <c r="P69" s="181"/>
      <c r="Q69" s="318">
        <f t="shared" si="7"/>
        <v>0</v>
      </c>
    </row>
    <row r="70" spans="4:17" ht="20.100000000000001" customHeight="1" x14ac:dyDescent="0.2">
      <c r="D70" s="242" t="s">
        <v>81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1"/>
      <c r="O70" s="182"/>
      <c r="P70" s="181"/>
      <c r="Q70" s="318">
        <f t="shared" si="7"/>
        <v>0</v>
      </c>
    </row>
    <row r="71" spans="4:17" ht="20.100000000000001" customHeight="1" x14ac:dyDescent="0.2">
      <c r="D71" s="242" t="s">
        <v>81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1"/>
      <c r="O71" s="182"/>
      <c r="P71" s="181"/>
      <c r="Q71" s="318">
        <f t="shared" si="7"/>
        <v>0</v>
      </c>
    </row>
    <row r="72" spans="4:17" ht="20.100000000000001" customHeight="1" thickBot="1" x14ac:dyDescent="0.25">
      <c r="D72" s="243" t="s">
        <v>81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5"/>
      <c r="O72" s="186"/>
      <c r="P72" s="185"/>
      <c r="Q72" s="400">
        <f t="shared" si="7"/>
        <v>0</v>
      </c>
    </row>
    <row r="73" spans="4:1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</row>
    <row r="74" spans="4:1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</row>
    <row r="75" spans="4:1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</row>
    <row r="76" spans="4:17" ht="20.100000000000001" customHeight="1" thickBot="1" x14ac:dyDescent="0.25">
      <c r="D76" s="235" t="s">
        <v>84</v>
      </c>
      <c r="E76" s="432" t="s">
        <v>101</v>
      </c>
      <c r="F76" s="433"/>
      <c r="G76" s="433"/>
      <c r="H76" s="433"/>
      <c r="I76" s="433"/>
      <c r="J76" s="433"/>
      <c r="K76" s="433"/>
      <c r="L76" s="433"/>
      <c r="M76" s="433"/>
      <c r="N76" s="433"/>
      <c r="O76" s="433"/>
      <c r="P76" s="434"/>
      <c r="Q76" s="401" t="s">
        <v>7</v>
      </c>
    </row>
    <row r="77" spans="4:17" ht="39.75" customHeight="1" thickBot="1" x14ac:dyDescent="0.25">
      <c r="D77" s="371" t="s">
        <v>82</v>
      </c>
      <c r="E77" s="365" t="s">
        <v>69</v>
      </c>
      <c r="F77" s="365" t="s">
        <v>100</v>
      </c>
      <c r="G77" s="365" t="s">
        <v>70</v>
      </c>
      <c r="H77" s="365" t="s">
        <v>71</v>
      </c>
      <c r="I77" s="365" t="s">
        <v>72</v>
      </c>
      <c r="J77" s="365" t="s">
        <v>73</v>
      </c>
      <c r="K77" s="365" t="s">
        <v>74</v>
      </c>
      <c r="L77" s="365" t="s">
        <v>75</v>
      </c>
      <c r="M77" s="365" t="s">
        <v>76</v>
      </c>
      <c r="N77" s="365" t="s">
        <v>77</v>
      </c>
      <c r="O77" s="375" t="s">
        <v>3</v>
      </c>
      <c r="P77" s="374" t="s">
        <v>4</v>
      </c>
      <c r="Q77" s="398" t="s">
        <v>104</v>
      </c>
    </row>
    <row r="78" spans="4:17" ht="20.100000000000001" customHeight="1" x14ac:dyDescent="0.2">
      <c r="D78" s="244" t="s">
        <v>81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9"/>
      <c r="O78" s="240"/>
      <c r="P78" s="239"/>
      <c r="Q78" s="399">
        <f t="shared" ref="Q78:Q80" si="8">SUM(E78:P78)</f>
        <v>0</v>
      </c>
    </row>
    <row r="79" spans="4:17" ht="20.100000000000001" customHeight="1" x14ac:dyDescent="0.2">
      <c r="D79" s="242" t="s">
        <v>81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1"/>
      <c r="O79" s="182"/>
      <c r="P79" s="181"/>
      <c r="Q79" s="318">
        <f t="shared" si="8"/>
        <v>0</v>
      </c>
    </row>
    <row r="80" spans="4:17" ht="20.100000000000001" customHeight="1" thickBot="1" x14ac:dyDescent="0.25">
      <c r="D80" s="243" t="s">
        <v>81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5"/>
      <c r="O80" s="186"/>
      <c r="P80" s="185"/>
      <c r="Q80" s="400">
        <f t="shared" si="8"/>
        <v>0</v>
      </c>
    </row>
    <row r="81" spans="4:1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41"/>
    </row>
    <row r="82" spans="4:1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41"/>
    </row>
  </sheetData>
  <sheetProtection algorithmName="SHA-512" hashValue="ccbuWJROPOTPJfGqHDypoVQigMC+mZC0xDbzHcNYeHGC+NFlvdVT3jFMS36cCtscnMlfkVJmwhfdilTD+dsclA==" saltValue="CSVRfDm//8Hj6eX7uDhkBw==" spinCount="100000" sheet="1" objects="1" scenarios="1"/>
  <mergeCells count="7">
    <mergeCell ref="E76:P76"/>
    <mergeCell ref="E1:P1"/>
    <mergeCell ref="A10:B11"/>
    <mergeCell ref="A12:B14"/>
    <mergeCell ref="A15:B18"/>
    <mergeCell ref="E48:P48"/>
    <mergeCell ref="E66:P66"/>
  </mergeCells>
  <conditionalFormatting sqref="B8">
    <cfRule type="cellIs" dxfId="92" priority="5" operator="notEqual">
      <formula>$B$7</formula>
    </cfRule>
  </conditionalFormatting>
  <conditionalFormatting sqref="E3:Q12">
    <cfRule type="cellIs" dxfId="91" priority="4" operator="notBetween">
      <formula>0</formula>
      <formula>100</formula>
    </cfRule>
  </conditionalFormatting>
  <conditionalFormatting sqref="E3:Q14">
    <cfRule type="cellIs" dxfId="90" priority="7" operator="lessThan">
      <formula>0</formula>
    </cfRule>
  </conditionalFormatting>
  <conditionalFormatting sqref="E14:Q14">
    <cfRule type="cellIs" dxfId="89" priority="10" operator="greaterThan">
      <formula>1</formula>
    </cfRule>
  </conditionalFormatting>
  <conditionalFormatting sqref="Q3:Q13">
    <cfRule type="cellIs" dxfId="88" priority="8" operator="equal">
      <formula>0</formula>
    </cfRule>
  </conditionalFormatting>
  <conditionalFormatting sqref="Q13">
    <cfRule type="cellIs" dxfId="87" priority="12" operator="equal">
      <formula>$B$7</formula>
    </cfRule>
  </conditionalFormatting>
  <conditionalFormatting sqref="Q14">
    <cfRule type="cellIs" dxfId="86" priority="9" operator="equal">
      <formula>1</formula>
    </cfRule>
    <cfRule type="cellIs" dxfId="85" priority="11" operator="lessThan">
      <formula>1</formula>
    </cfRule>
  </conditionalFormatting>
  <conditionalFormatting sqref="W4:W15">
    <cfRule type="expression" dxfId="84" priority="13">
      <formula>AND($W4&lt;$W3, NOT(ISBLANK($W4)))</formula>
    </cfRule>
    <cfRule type="cellIs" dxfId="83" priority="14" operator="greaterThan">
      <formula>$B$6</formula>
    </cfRule>
  </conditionalFormatting>
  <conditionalFormatting sqref="X4:X15">
    <cfRule type="cellIs" dxfId="82" priority="6" operator="greaterThan">
      <formula>1</formula>
    </cfRule>
  </conditionalFormatting>
  <conditionalFormatting sqref="D68:D72 D50:D59 D78:D80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3:P12">
    <cfRule type="expression" dxfId="81" priority="15">
      <formula>($D3&lt;=$K$23)</formula>
    </cfRule>
  </conditionalFormatting>
  <conditionalFormatting sqref="Q3:Q12">
    <cfRule type="expression" dxfId="80" priority="16">
      <formula>AND($D3=$K$23, Q3=$J$24)</formula>
    </cfRule>
    <cfRule type="expression" dxfId="79" priority="17">
      <formula>AND($D3=$K$23, MOD(Q3,100)&gt;$J$24)</formula>
    </cfRule>
    <cfRule type="cellIs" dxfId="78" priority="18" operator="equal">
      <formula>100</formula>
    </cfRule>
  </conditionalFormatting>
  <conditionalFormatting sqref="D3:P12">
    <cfRule type="expression" dxfId="77" priority="22">
      <formula>($D3&gt;$K$23)</formula>
    </cfRule>
  </conditionalFormatting>
  <conditionalFormatting sqref="Q50">
    <cfRule type="cellIs" dxfId="76" priority="23" operator="lessThan">
      <formula>0</formula>
    </cfRule>
    <cfRule type="cellIs" dxfId="75" priority="24" operator="equal">
      <formula>0</formula>
    </cfRule>
    <cfRule type="expression" dxfId="74" priority="25">
      <formula>OR(MOD($Q50,100)=0,AND($D50=$K$23,MOD($Q50,100)=$J$24))</formula>
    </cfRule>
  </conditionalFormatting>
  <conditionalFormatting sqref="E50:P59">
    <cfRule type="expression" dxfId="73" priority="2">
      <formula>AND(E50&lt;MAX(E$50:E50), NOT(ISBLANK(E50)), NOT(E50=0))</formula>
    </cfRule>
  </conditionalFormatting>
  <conditionalFormatting sqref="Q52:Q59 Q68:Q72 Q78:Q80">
    <cfRule type="cellIs" dxfId="72" priority="27" operator="lessThan">
      <formula>0</formula>
    </cfRule>
    <cfRule type="cellIs" dxfId="71" priority="28" operator="equal">
      <formula>0</formula>
    </cfRule>
    <cfRule type="expression" dxfId="70" priority="29">
      <formula>OR(MOD($Q52,100)=0,AND($D52=$K$23,MOD($Q52,100)=$J$24))</formula>
    </cfRule>
  </conditionalFormatting>
  <conditionalFormatting sqref="Q51">
    <cfRule type="cellIs" dxfId="69" priority="30" operator="lessThan">
      <formula>0</formula>
    </cfRule>
    <cfRule type="cellIs" dxfId="68" priority="31" operator="equal">
      <formula>0</formula>
    </cfRule>
    <cfRule type="expression" dxfId="67" priority="32">
      <formula>OR(MOD($Q51,100)=0,AND($D50=$K$23,MOD($Q51,100)=$J$24))</formula>
    </cfRule>
  </conditionalFormatting>
  <conditionalFormatting sqref="E50:P59 E68:P72 E78:P80">
    <cfRule type="cellIs" dxfId="64" priority="19" operator="notBetween">
      <formula>0</formula>
      <formula>$B$7</formula>
    </cfRule>
    <cfRule type="expression" dxfId="65" priority="20">
      <formula>($D50&lt;=$K$23)</formula>
    </cfRule>
    <cfRule type="expression" dxfId="66" priority="21">
      <formula>($D50&gt;$K$23)</formula>
    </cfRule>
  </conditionalFormatting>
  <conditionalFormatting sqref="E68:P72">
    <cfRule type="expression" dxfId="63" priority="1">
      <formula>AND(E68&lt;MAX(E$68:E68), NOT(ISBLANK(E68)), NOT(E68=0))</formula>
    </cfRule>
  </conditionalFormatting>
  <conditionalFormatting sqref="E78:P80">
    <cfRule type="expression" dxfId="62" priority="26">
      <formula>AND(E78&lt;MAX(E$78:E78), NOT(ISBLANK(E78)), NOT(E78=0))</formula>
    </cfRule>
  </conditionalFormatting>
  <dataValidations count="2">
    <dataValidation type="list" allowBlank="1" showInputMessage="1" showErrorMessage="1" sqref="D68:D72 D78:D82 D50:D59" xr:uid="{EA9A675A-96A8-4E12-B31E-E7BF5E53DB37}">
      <formula1>$D$3:$D$12</formula1>
    </dataValidation>
    <dataValidation type="list" allowBlank="1" showInputMessage="1" showErrorMessage="1" sqref="C50:C59" xr:uid="{03780A4B-5608-429E-B3E8-92E2EA9A3F9B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F9691-525E-48BE-9BAB-979126E0A384}">
  <sheetPr codeName="Feuil40">
    <tabColor rgb="FFB4A7D6"/>
  </sheetPr>
  <dimension ref="A1:AB82"/>
  <sheetViews>
    <sheetView zoomScale="80" zoomScaleNormal="80" workbookViewId="0">
      <pane xSplit="2" topLeftCell="C1" activePane="topRight" state="frozen"/>
      <selection pane="topRight" activeCell="R3" sqref="R3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4" width="15.7109375" customWidth="1"/>
    <col min="17" max="17" width="12.85546875" customWidth="1"/>
    <col min="18" max="18" width="11.42578125" customWidth="1"/>
    <col min="21" max="21" width="10.42578125" customWidth="1"/>
    <col min="22" max="22" width="15.42578125" customWidth="1"/>
    <col min="23" max="23" width="16.140625" customWidth="1"/>
    <col min="24" max="24" width="12" customWidth="1"/>
    <col min="26" max="26" width="13.28515625" customWidth="1"/>
    <col min="27" max="27" width="14.42578125" customWidth="1"/>
  </cols>
  <sheetData>
    <row r="1" spans="1:28" ht="16.5" customHeight="1" thickBot="1" x14ac:dyDescent="0.25">
      <c r="A1" s="315" t="s">
        <v>11</v>
      </c>
      <c r="B1" s="33">
        <f>Synthèse!B17</f>
        <v>46096</v>
      </c>
      <c r="D1" s="314"/>
      <c r="E1" s="435" t="s">
        <v>66</v>
      </c>
      <c r="F1" s="436"/>
      <c r="G1" s="436"/>
      <c r="H1" s="436"/>
      <c r="I1" s="436"/>
      <c r="J1" s="436"/>
      <c r="K1" s="436"/>
      <c r="L1" s="436"/>
      <c r="M1" s="436"/>
      <c r="N1" s="436"/>
      <c r="O1" s="436"/>
      <c r="P1" s="437"/>
      <c r="Q1" s="443" t="s">
        <v>7</v>
      </c>
    </row>
    <row r="2" spans="1:28" ht="39.75" customHeight="1" thickBot="1" x14ac:dyDescent="0.25">
      <c r="A2" s="316" t="s">
        <v>12</v>
      </c>
      <c r="B2" s="34" t="str">
        <f>Synthèse!B18</f>
        <v>Municipales 1er tour</v>
      </c>
      <c r="D2" s="364" t="s">
        <v>83</v>
      </c>
      <c r="E2" s="365" t="str">
        <f>Synthèse!L2</f>
        <v>Candidat 1</v>
      </c>
      <c r="F2" s="365" t="str">
        <f>Synthèse!M2</f>
        <v>Candidat 2</v>
      </c>
      <c r="G2" s="365" t="str">
        <f>Synthèse!N2</f>
        <v>Candidat 3</v>
      </c>
      <c r="H2" s="365" t="str">
        <f>Synthèse!O2</f>
        <v>Candidat 4</v>
      </c>
      <c r="I2" s="365" t="str">
        <f>Synthèse!P2</f>
        <v>Candidat 5</v>
      </c>
      <c r="J2" s="365" t="str">
        <f>Synthèse!Q2</f>
        <v>Candidat 6</v>
      </c>
      <c r="K2" s="365" t="str">
        <f>Synthèse!R2</f>
        <v>Candidat 7</v>
      </c>
      <c r="L2" s="365" t="str">
        <f>Synthèse!S2</f>
        <v>Candidat 8</v>
      </c>
      <c r="M2" s="365" t="str">
        <f>Synthèse!T2</f>
        <v>Candidat 9</v>
      </c>
      <c r="N2" s="365" t="str">
        <f>Synthèse!U2</f>
        <v>Candidat 10</v>
      </c>
      <c r="O2" s="368" t="s">
        <v>3</v>
      </c>
      <c r="P2" s="369" t="s">
        <v>4</v>
      </c>
      <c r="Q2" s="444" t="s">
        <v>105</v>
      </c>
      <c r="V2" s="381" t="s">
        <v>21</v>
      </c>
      <c r="W2" s="382" t="s">
        <v>57</v>
      </c>
      <c r="X2" s="383" t="s">
        <v>31</v>
      </c>
      <c r="Z2" s="384" t="s">
        <v>59</v>
      </c>
      <c r="AA2" s="384" t="s">
        <v>58</v>
      </c>
    </row>
    <row r="3" spans="1:28" ht="20.100000000000001" customHeight="1" thickBot="1" x14ac:dyDescent="0.25">
      <c r="A3" s="317" t="s">
        <v>13</v>
      </c>
      <c r="B3" s="94" t="str">
        <f>Synthèse!B19</f>
        <v>Cogolin</v>
      </c>
      <c r="D3" s="361" t="str" cm="1">
        <f t="array" ref="D3">IF(ROW(1:1)&lt;=$K$23, (ROW(1:1)), "")</f>
        <v/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70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171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72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318">
        <f t="shared" ref="Q3:Q12" si="0">SUM(E3:P3)</f>
        <v>0</v>
      </c>
      <c r="V3" s="352" t="s">
        <v>32</v>
      </c>
      <c r="W3" s="353">
        <v>0</v>
      </c>
      <c r="X3" s="354">
        <f t="shared" ref="X3" si="1">W3/$B$6</f>
        <v>0</v>
      </c>
      <c r="Z3" s="330"/>
      <c r="AA3" s="330"/>
    </row>
    <row r="4" spans="1:28" ht="20.100000000000001" customHeight="1" x14ac:dyDescent="0.2">
      <c r="A4" s="95" t="s">
        <v>23</v>
      </c>
      <c r="B4" s="168">
        <v>11</v>
      </c>
      <c r="D4" s="362" t="str" cm="1">
        <f t="array" ref="D4">IF(ROW(2:2)&lt;=$K$23, (ROW(2:2)), "")</f>
        <v/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7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158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318">
        <f t="shared" si="0"/>
        <v>0</v>
      </c>
      <c r="V4" s="355" t="s">
        <v>33</v>
      </c>
      <c r="W4" s="356"/>
      <c r="X4" s="357" t="e">
        <f t="shared" ref="X4:X13" si="2">IF(OR(W4=0, W4=""), NA(), W4/$B$6)</f>
        <v>#N/A</v>
      </c>
      <c r="Z4" s="325" t="s">
        <v>45</v>
      </c>
      <c r="AA4" s="385" t="e">
        <f t="shared" ref="AA4:AA13" si="3">IF(W4&lt;&gt;0,W4-W3,NA())</f>
        <v>#N/A</v>
      </c>
    </row>
    <row r="5" spans="1:28" ht="20.100000000000001" customHeight="1" x14ac:dyDescent="0.2">
      <c r="A5" s="96" t="s">
        <v>24</v>
      </c>
      <c r="B5" s="187" t="s">
        <v>29</v>
      </c>
      <c r="D5" s="362" t="str" cm="1">
        <f t="array" ref="D5">IF(ROW(3:3)&lt;=$K$23, (ROW(3:3)), "")</f>
        <v/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173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174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318">
        <f t="shared" si="0"/>
        <v>0</v>
      </c>
      <c r="T5" s="231"/>
      <c r="U5" s="232"/>
      <c r="V5" s="355" t="s">
        <v>34</v>
      </c>
      <c r="W5" s="356"/>
      <c r="X5" s="357" t="e">
        <f t="shared" si="2"/>
        <v>#N/A</v>
      </c>
      <c r="Z5" s="326" t="s">
        <v>46</v>
      </c>
      <c r="AA5" s="386" t="e">
        <f t="shared" si="3"/>
        <v>#N/A</v>
      </c>
    </row>
    <row r="6" spans="1:28" ht="20.100000000000001" customHeight="1" x14ac:dyDescent="0.2">
      <c r="A6" s="96" t="s">
        <v>0</v>
      </c>
      <c r="B6" s="188">
        <v>649</v>
      </c>
      <c r="D6" s="362" t="str" cm="1">
        <f t="array" ref="D6">IF(ROW(4:4)&lt;=$K$23, (ROW(4:4)), "")</f>
        <v/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173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174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318">
        <f t="shared" si="0"/>
        <v>0</v>
      </c>
      <c r="T6" s="231"/>
      <c r="U6" s="232"/>
      <c r="V6" s="355" t="s">
        <v>35</v>
      </c>
      <c r="W6" s="356"/>
      <c r="X6" s="357" t="e">
        <f t="shared" si="2"/>
        <v>#N/A</v>
      </c>
      <c r="Z6" s="326" t="s">
        <v>47</v>
      </c>
      <c r="AA6" s="386" t="e">
        <f t="shared" si="3"/>
        <v>#N/A</v>
      </c>
    </row>
    <row r="7" spans="1:28" ht="20.100000000000001" customHeight="1" x14ac:dyDescent="0.2">
      <c r="A7" s="96" t="s">
        <v>2</v>
      </c>
      <c r="B7" s="165">
        <f>MAX(W4:W15)</f>
        <v>0</v>
      </c>
      <c r="D7" s="362" t="str" cm="1">
        <f t="array" ref="D7">IF(ROW(5:5)&lt;=$K$23, (ROW(5:5)), "")</f>
        <v/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7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158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318">
        <f t="shared" si="0"/>
        <v>0</v>
      </c>
      <c r="T7" s="231"/>
      <c r="U7" s="232"/>
      <c r="V7" s="355" t="s">
        <v>36</v>
      </c>
      <c r="W7" s="356"/>
      <c r="X7" s="357" t="e">
        <f t="shared" si="2"/>
        <v>#N/A</v>
      </c>
      <c r="Z7" s="326" t="s">
        <v>54</v>
      </c>
      <c r="AA7" s="386" t="e">
        <f t="shared" si="3"/>
        <v>#N/A</v>
      </c>
    </row>
    <row r="8" spans="1:28" ht="20.100000000000001" customHeight="1" x14ac:dyDescent="0.2">
      <c r="A8" s="96" t="s">
        <v>1</v>
      </c>
      <c r="B8" s="166">
        <f>B7</f>
        <v>0</v>
      </c>
      <c r="D8" s="362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7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8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318">
        <f t="shared" si="0"/>
        <v>0</v>
      </c>
      <c r="T8" s="231"/>
      <c r="U8" s="232"/>
      <c r="V8" s="355" t="s">
        <v>37</v>
      </c>
      <c r="W8" s="356"/>
      <c r="X8" s="357" t="e">
        <f t="shared" si="2"/>
        <v>#N/A</v>
      </c>
      <c r="Z8" s="326" t="s">
        <v>48</v>
      </c>
      <c r="AA8" s="386" t="e">
        <f t="shared" si="3"/>
        <v>#N/A</v>
      </c>
    </row>
    <row r="9" spans="1:28" ht="20.100000000000001" customHeight="1" thickBot="1" x14ac:dyDescent="0.25">
      <c r="A9" s="97" t="s">
        <v>17</v>
      </c>
      <c r="B9" s="167">
        <f>B6-B7</f>
        <v>649</v>
      </c>
      <c r="D9" s="362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9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60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318">
        <f t="shared" si="0"/>
        <v>0</v>
      </c>
      <c r="T9" s="231"/>
      <c r="U9" s="232"/>
      <c r="V9" s="355" t="s">
        <v>38</v>
      </c>
      <c r="W9" s="356"/>
      <c r="X9" s="357" t="e">
        <f t="shared" si="2"/>
        <v>#N/A</v>
      </c>
      <c r="Z9" s="326" t="s">
        <v>49</v>
      </c>
      <c r="AA9" s="386" t="e">
        <f t="shared" si="3"/>
        <v>#N/A</v>
      </c>
    </row>
    <row r="10" spans="1:28" ht="20.100000000000001" customHeight="1" x14ac:dyDescent="0.2">
      <c r="A10" s="438" t="s">
        <v>60</v>
      </c>
      <c r="B10" s="438"/>
      <c r="D10" s="362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9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60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318">
        <f t="shared" si="0"/>
        <v>0</v>
      </c>
      <c r="T10" s="231"/>
      <c r="U10" s="232"/>
      <c r="V10" s="355" t="s">
        <v>39</v>
      </c>
      <c r="W10" s="356"/>
      <c r="X10" s="357" t="e">
        <f t="shared" si="2"/>
        <v>#N/A</v>
      </c>
      <c r="Z10" s="326" t="s">
        <v>50</v>
      </c>
      <c r="AA10" s="386" t="e">
        <f t="shared" si="3"/>
        <v>#N/A</v>
      </c>
    </row>
    <row r="11" spans="1:28" ht="20.100000000000001" customHeight="1" x14ac:dyDescent="0.2">
      <c r="A11" s="439"/>
      <c r="B11" s="439"/>
      <c r="D11" s="362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9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60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318">
        <f t="shared" si="0"/>
        <v>0</v>
      </c>
      <c r="T11" s="231"/>
      <c r="U11" s="232"/>
      <c r="V11" s="355" t="s">
        <v>40</v>
      </c>
      <c r="W11" s="356"/>
      <c r="X11" s="357" t="e">
        <f t="shared" si="2"/>
        <v>#N/A</v>
      </c>
      <c r="Z11" s="326" t="s">
        <v>51</v>
      </c>
      <c r="AA11" s="386" t="e">
        <f t="shared" si="3"/>
        <v>#N/A</v>
      </c>
    </row>
    <row r="12" spans="1:28" ht="20.100000000000001" customHeight="1" thickBot="1" x14ac:dyDescent="0.25">
      <c r="A12" s="440" t="s">
        <v>61</v>
      </c>
      <c r="B12" s="440"/>
      <c r="D12" s="363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75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7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318">
        <f t="shared" si="0"/>
        <v>0</v>
      </c>
      <c r="T12" s="231"/>
      <c r="U12" s="232"/>
      <c r="V12" s="355" t="s">
        <v>41</v>
      </c>
      <c r="W12" s="356"/>
      <c r="X12" s="357" t="e">
        <f t="shared" si="2"/>
        <v>#N/A</v>
      </c>
      <c r="Z12" s="326" t="s">
        <v>52</v>
      </c>
      <c r="AA12" s="386" t="e">
        <f t="shared" si="3"/>
        <v>#N/A</v>
      </c>
    </row>
    <row r="13" spans="1:28" ht="20.100000000000001" customHeight="1" thickBot="1" x14ac:dyDescent="0.3">
      <c r="A13" s="440"/>
      <c r="B13" s="440"/>
      <c r="D13" s="50" t="s">
        <v>9</v>
      </c>
      <c r="E13" s="161">
        <f t="shared" ref="E13:Q13" si="4">SUM(E3:E12)</f>
        <v>0</v>
      </c>
      <c r="F13" s="162">
        <f t="shared" si="4"/>
        <v>0</v>
      </c>
      <c r="G13" s="162">
        <f t="shared" si="4"/>
        <v>0</v>
      </c>
      <c r="H13" s="162">
        <f t="shared" si="4"/>
        <v>0</v>
      </c>
      <c r="I13" s="162">
        <f t="shared" si="4"/>
        <v>0</v>
      </c>
      <c r="J13" s="162">
        <f t="shared" si="4"/>
        <v>0</v>
      </c>
      <c r="K13" s="162">
        <f t="shared" si="4"/>
        <v>0</v>
      </c>
      <c r="L13" s="162">
        <f t="shared" si="4"/>
        <v>0</v>
      </c>
      <c r="M13" s="162">
        <f t="shared" si="4"/>
        <v>0</v>
      </c>
      <c r="N13" s="162">
        <f t="shared" si="4"/>
        <v>0</v>
      </c>
      <c r="O13" s="163">
        <f t="shared" si="4"/>
        <v>0</v>
      </c>
      <c r="P13" s="164">
        <f t="shared" si="4"/>
        <v>0</v>
      </c>
      <c r="Q13" s="319">
        <f t="shared" si="4"/>
        <v>0</v>
      </c>
      <c r="T13" s="231"/>
      <c r="U13" s="232"/>
      <c r="V13" s="355" t="s">
        <v>42</v>
      </c>
      <c r="W13" s="356"/>
      <c r="X13" s="357" t="e">
        <f t="shared" si="2"/>
        <v>#N/A</v>
      </c>
      <c r="Z13" s="327" t="s">
        <v>53</v>
      </c>
      <c r="AA13" s="387" t="e">
        <f t="shared" si="3"/>
        <v>#N/A</v>
      </c>
    </row>
    <row r="14" spans="1:28" ht="20.100000000000001" customHeight="1" thickBot="1" x14ac:dyDescent="0.3">
      <c r="A14" s="440"/>
      <c r="B14" s="440"/>
      <c r="D14" s="83" t="s">
        <v>10</v>
      </c>
      <c r="E14" s="45">
        <f t="shared" ref="E14:Q14" si="5">IFERROR(E13/$B$7,0)</f>
        <v>0</v>
      </c>
      <c r="F14" s="46">
        <f t="shared" si="5"/>
        <v>0</v>
      </c>
      <c r="G14" s="46">
        <f t="shared" si="5"/>
        <v>0</v>
      </c>
      <c r="H14" s="46">
        <f t="shared" si="5"/>
        <v>0</v>
      </c>
      <c r="I14" s="46">
        <f t="shared" si="5"/>
        <v>0</v>
      </c>
      <c r="J14" s="46">
        <f t="shared" si="5"/>
        <v>0</v>
      </c>
      <c r="K14" s="46">
        <f t="shared" si="5"/>
        <v>0</v>
      </c>
      <c r="L14" s="46">
        <f t="shared" si="5"/>
        <v>0</v>
      </c>
      <c r="M14" s="46">
        <f t="shared" si="5"/>
        <v>0</v>
      </c>
      <c r="N14" s="46">
        <f t="shared" si="5"/>
        <v>0</v>
      </c>
      <c r="O14" s="45">
        <f t="shared" si="5"/>
        <v>0</v>
      </c>
      <c r="P14" s="47">
        <f t="shared" si="5"/>
        <v>0</v>
      </c>
      <c r="Q14" s="329">
        <f t="shared" si="5"/>
        <v>0</v>
      </c>
      <c r="V14" s="391" t="s">
        <v>43</v>
      </c>
      <c r="W14" s="358"/>
      <c r="X14" s="359" t="e">
        <f>IF(OR(W14=0, W14=""), NA(), W14/$B$6)</f>
        <v>#N/A</v>
      </c>
      <c r="Y14" s="389"/>
      <c r="Z14" s="393" t="s">
        <v>55</v>
      </c>
      <c r="AA14" s="388" t="e">
        <f>IF(W14&lt;&gt;0,W14-W13,NA())</f>
        <v>#N/A</v>
      </c>
      <c r="AB14" s="389"/>
    </row>
    <row r="15" spans="1:28" ht="18" customHeight="1" thickBot="1" x14ac:dyDescent="0.25">
      <c r="A15" s="441" t="s">
        <v>68</v>
      </c>
      <c r="B15" s="441"/>
      <c r="C15" s="1"/>
      <c r="D15" s="1"/>
      <c r="Q15" s="328"/>
      <c r="V15" s="324" t="s">
        <v>44</v>
      </c>
      <c r="W15" s="360"/>
      <c r="X15" s="390" t="e">
        <f>IF(OR(W15=0, W15=""), NA(), W15/$B$6)</f>
        <v>#N/A</v>
      </c>
      <c r="Z15" s="394" t="s">
        <v>56</v>
      </c>
      <c r="AA15" s="392" t="e">
        <f>IF(W15&lt;&gt;0,W15-W14,NA())</f>
        <v>#N/A</v>
      </c>
      <c r="AB15" s="389"/>
    </row>
    <row r="16" spans="1:28" ht="12.75" customHeight="1" x14ac:dyDescent="0.2">
      <c r="A16" s="441"/>
      <c r="B16" s="441"/>
      <c r="V16" s="328"/>
      <c r="W16" s="328"/>
      <c r="X16" s="328"/>
      <c r="AA16" s="328"/>
    </row>
    <row r="17" spans="1:11" ht="18" customHeight="1" x14ac:dyDescent="0.25">
      <c r="A17" s="441"/>
      <c r="B17" s="441"/>
      <c r="E17" s="230"/>
    </row>
    <row r="18" spans="1:11" ht="26.25" customHeight="1" x14ac:dyDescent="0.2">
      <c r="A18" s="441"/>
      <c r="B18" s="441"/>
    </row>
    <row r="23" spans="1:11" x14ac:dyDescent="0.2">
      <c r="H23" s="177" t="s">
        <v>64</v>
      </c>
      <c r="J23" s="245">
        <f>CEILING($B$6, 100)/100</f>
        <v>7</v>
      </c>
      <c r="K23" s="245">
        <f>CEILING($B$7,100)/100</f>
        <v>0</v>
      </c>
    </row>
    <row r="24" spans="1:11" x14ac:dyDescent="0.2">
      <c r="H24" s="178">
        <f>IF((ROW()-23)&lt;=$K$24,(ROW()-23),"Choisir")</f>
        <v>1</v>
      </c>
      <c r="J24" s="245">
        <f>MOD($B$7,100)</f>
        <v>0</v>
      </c>
      <c r="K24" s="246">
        <f>CEILING($B$6/300,1)</f>
        <v>3</v>
      </c>
    </row>
    <row r="25" spans="1:11" x14ac:dyDescent="0.2">
      <c r="H25" s="178">
        <f>IF((ROW()-23)&lt;=$K$24,(ROW()-23),"Choisir")</f>
        <v>2</v>
      </c>
    </row>
    <row r="26" spans="1:11" x14ac:dyDescent="0.2">
      <c r="H26" s="178">
        <f>IF((ROW()-23)&lt;=$K$24,(ROW()-23),"Choisir")</f>
        <v>3</v>
      </c>
    </row>
    <row r="27" spans="1:11" x14ac:dyDescent="0.2">
      <c r="H27" s="178" t="str">
        <f>IF((ROW()-23)&lt;=$K$24,(ROW()-23),"Choisir")</f>
        <v>Choisir</v>
      </c>
    </row>
    <row r="46" spans="4:17" x14ac:dyDescent="0.2">
      <c r="E46" s="169"/>
    </row>
    <row r="47" spans="4:17" ht="13.5" thickBot="1" x14ac:dyDescent="0.25">
      <c r="E47" s="169"/>
    </row>
    <row r="48" spans="4:17" ht="20.100000000000001" customHeight="1" thickBot="1" x14ac:dyDescent="0.25">
      <c r="D48" s="235" t="s">
        <v>79</v>
      </c>
      <c r="E48" s="432" t="s">
        <v>103</v>
      </c>
      <c r="F48" s="433"/>
      <c r="G48" s="433"/>
      <c r="H48" s="433"/>
      <c r="I48" s="433"/>
      <c r="J48" s="433"/>
      <c r="K48" s="433"/>
      <c r="L48" s="433"/>
      <c r="M48" s="433"/>
      <c r="N48" s="433"/>
      <c r="O48" s="433"/>
      <c r="P48" s="434"/>
      <c r="Q48" s="395" t="s">
        <v>7</v>
      </c>
    </row>
    <row r="49" spans="3:17" ht="47.25" customHeight="1" thickBot="1" x14ac:dyDescent="0.25">
      <c r="C49" s="233"/>
      <c r="D49" s="371" t="s">
        <v>82</v>
      </c>
      <c r="E49" s="365" t="s">
        <v>69</v>
      </c>
      <c r="F49" s="365" t="s">
        <v>100</v>
      </c>
      <c r="G49" s="365" t="s">
        <v>70</v>
      </c>
      <c r="H49" s="365" t="s">
        <v>71</v>
      </c>
      <c r="I49" s="365" t="s">
        <v>72</v>
      </c>
      <c r="J49" s="365" t="s">
        <v>73</v>
      </c>
      <c r="K49" s="365" t="s">
        <v>74</v>
      </c>
      <c r="L49" s="365" t="s">
        <v>75</v>
      </c>
      <c r="M49" s="365" t="s">
        <v>76</v>
      </c>
      <c r="N49" s="365" t="s">
        <v>77</v>
      </c>
      <c r="O49" s="375" t="s">
        <v>3</v>
      </c>
      <c r="P49" s="374" t="s">
        <v>4</v>
      </c>
      <c r="Q49" s="397" t="s">
        <v>104</v>
      </c>
    </row>
    <row r="50" spans="3:17" ht="19.5" customHeight="1" x14ac:dyDescent="0.2">
      <c r="C50" s="234"/>
      <c r="D50" s="370" t="s">
        <v>81</v>
      </c>
      <c r="E50" s="320"/>
      <c r="F50" s="321"/>
      <c r="G50" s="321"/>
      <c r="H50" s="321"/>
      <c r="I50" s="321"/>
      <c r="J50" s="321"/>
      <c r="K50" s="321"/>
      <c r="L50" s="321"/>
      <c r="M50" s="321"/>
      <c r="N50" s="322"/>
      <c r="O50" s="323"/>
      <c r="P50" s="322"/>
      <c r="Q50" s="396">
        <f t="shared" ref="Q50:Q59" si="6">SUM(E50:P50)</f>
        <v>0</v>
      </c>
    </row>
    <row r="51" spans="3:17" ht="20.100000000000001" customHeight="1" x14ac:dyDescent="0.2">
      <c r="C51" s="234"/>
      <c r="D51" s="370" t="s">
        <v>81</v>
      </c>
      <c r="E51" s="320"/>
      <c r="F51" s="321"/>
      <c r="G51" s="321"/>
      <c r="H51" s="321"/>
      <c r="I51" s="321"/>
      <c r="J51" s="321"/>
      <c r="K51" s="321"/>
      <c r="L51" s="321"/>
      <c r="M51" s="321"/>
      <c r="N51" s="322"/>
      <c r="O51" s="323"/>
      <c r="P51" s="322"/>
      <c r="Q51" s="396">
        <f t="shared" si="6"/>
        <v>0</v>
      </c>
    </row>
    <row r="52" spans="3:17" ht="20.100000000000001" customHeight="1" x14ac:dyDescent="0.2">
      <c r="C52" s="234"/>
      <c r="D52" s="370" t="s">
        <v>81</v>
      </c>
      <c r="E52" s="320"/>
      <c r="F52" s="321"/>
      <c r="G52" s="321"/>
      <c r="H52" s="321"/>
      <c r="I52" s="321"/>
      <c r="J52" s="321"/>
      <c r="K52" s="321"/>
      <c r="L52" s="321"/>
      <c r="M52" s="321"/>
      <c r="N52" s="322"/>
      <c r="O52" s="323"/>
      <c r="P52" s="322"/>
      <c r="Q52" s="396">
        <f t="shared" si="6"/>
        <v>0</v>
      </c>
    </row>
    <row r="53" spans="3:17" ht="20.100000000000001" customHeight="1" x14ac:dyDescent="0.2">
      <c r="C53" s="234"/>
      <c r="D53" s="370" t="s">
        <v>81</v>
      </c>
      <c r="E53" s="320"/>
      <c r="F53" s="321"/>
      <c r="G53" s="321"/>
      <c r="H53" s="321"/>
      <c r="I53" s="321"/>
      <c r="J53" s="321"/>
      <c r="K53" s="321"/>
      <c r="L53" s="321"/>
      <c r="M53" s="321"/>
      <c r="N53" s="322"/>
      <c r="O53" s="323"/>
      <c r="P53" s="322"/>
      <c r="Q53" s="396">
        <f t="shared" si="6"/>
        <v>0</v>
      </c>
    </row>
    <row r="54" spans="3:17" ht="20.100000000000001" customHeight="1" x14ac:dyDescent="0.2">
      <c r="C54" s="234"/>
      <c r="D54" s="370" t="s">
        <v>81</v>
      </c>
      <c r="E54" s="320"/>
      <c r="F54" s="321"/>
      <c r="G54" s="321"/>
      <c r="H54" s="321"/>
      <c r="I54" s="321"/>
      <c r="J54" s="321"/>
      <c r="K54" s="321"/>
      <c r="L54" s="321"/>
      <c r="M54" s="321"/>
      <c r="N54" s="322"/>
      <c r="O54" s="323"/>
      <c r="P54" s="322"/>
      <c r="Q54" s="396">
        <f t="shared" si="6"/>
        <v>0</v>
      </c>
    </row>
    <row r="55" spans="3:17" ht="20.100000000000001" customHeight="1" x14ac:dyDescent="0.2">
      <c r="C55" s="234"/>
      <c r="D55" s="370" t="s">
        <v>81</v>
      </c>
      <c r="E55" s="320"/>
      <c r="F55" s="321"/>
      <c r="G55" s="321"/>
      <c r="H55" s="321"/>
      <c r="I55" s="321"/>
      <c r="J55" s="321"/>
      <c r="K55" s="321"/>
      <c r="L55" s="321"/>
      <c r="M55" s="321"/>
      <c r="N55" s="322"/>
      <c r="O55" s="323"/>
      <c r="P55" s="322"/>
      <c r="Q55" s="396">
        <f t="shared" si="6"/>
        <v>0</v>
      </c>
    </row>
    <row r="56" spans="3:17" ht="20.100000000000001" customHeight="1" x14ac:dyDescent="0.2">
      <c r="C56" s="234"/>
      <c r="D56" s="370" t="s">
        <v>81</v>
      </c>
      <c r="E56" s="320"/>
      <c r="F56" s="321"/>
      <c r="G56" s="321"/>
      <c r="H56" s="321"/>
      <c r="I56" s="321"/>
      <c r="J56" s="321"/>
      <c r="K56" s="321"/>
      <c r="L56" s="321"/>
      <c r="M56" s="321"/>
      <c r="N56" s="322"/>
      <c r="O56" s="323"/>
      <c r="P56" s="322"/>
      <c r="Q56" s="396">
        <f t="shared" si="6"/>
        <v>0</v>
      </c>
    </row>
    <row r="57" spans="3:17" ht="20.100000000000001" customHeight="1" x14ac:dyDescent="0.2">
      <c r="C57" s="234"/>
      <c r="D57" s="370" t="s">
        <v>81</v>
      </c>
      <c r="E57" s="320"/>
      <c r="F57" s="321"/>
      <c r="G57" s="321"/>
      <c r="H57" s="321"/>
      <c r="I57" s="321"/>
      <c r="J57" s="321"/>
      <c r="K57" s="321"/>
      <c r="L57" s="321"/>
      <c r="M57" s="321"/>
      <c r="N57" s="322"/>
      <c r="O57" s="323"/>
      <c r="P57" s="322"/>
      <c r="Q57" s="396">
        <f t="shared" si="6"/>
        <v>0</v>
      </c>
    </row>
    <row r="58" spans="3:17" ht="20.100000000000001" customHeight="1" x14ac:dyDescent="0.2">
      <c r="C58" s="234"/>
      <c r="D58" s="370" t="s">
        <v>81</v>
      </c>
      <c r="E58" s="320"/>
      <c r="F58" s="321"/>
      <c r="G58" s="321"/>
      <c r="H58" s="321"/>
      <c r="I58" s="321"/>
      <c r="J58" s="321"/>
      <c r="K58" s="321"/>
      <c r="L58" s="321"/>
      <c r="M58" s="321"/>
      <c r="N58" s="322"/>
      <c r="O58" s="323"/>
      <c r="P58" s="322"/>
      <c r="Q58" s="396">
        <f t="shared" si="6"/>
        <v>0</v>
      </c>
    </row>
    <row r="59" spans="3:17" ht="20.100000000000001" customHeight="1" thickBot="1" x14ac:dyDescent="0.25">
      <c r="C59" s="234"/>
      <c r="D59" s="376" t="s">
        <v>81</v>
      </c>
      <c r="E59" s="377"/>
      <c r="F59" s="378"/>
      <c r="G59" s="378"/>
      <c r="H59" s="378"/>
      <c r="I59" s="378"/>
      <c r="J59" s="378"/>
      <c r="K59" s="378"/>
      <c r="L59" s="378"/>
      <c r="M59" s="378"/>
      <c r="N59" s="379"/>
      <c r="O59" s="380"/>
      <c r="P59" s="379"/>
      <c r="Q59" s="396">
        <f t="shared" si="6"/>
        <v>0</v>
      </c>
    </row>
    <row r="60" spans="3:17" x14ac:dyDescent="0.2">
      <c r="Q60" s="328"/>
    </row>
    <row r="63" spans="3:17" ht="18" x14ac:dyDescent="0.25">
      <c r="E63" s="230"/>
    </row>
    <row r="65" spans="4:17" ht="13.5" thickBot="1" x14ac:dyDescent="0.25"/>
    <row r="66" spans="4:17" ht="16.5" customHeight="1" thickBot="1" x14ac:dyDescent="0.25">
      <c r="D66" s="235" t="s">
        <v>80</v>
      </c>
      <c r="E66" s="432" t="s">
        <v>102</v>
      </c>
      <c r="F66" s="433"/>
      <c r="G66" s="433"/>
      <c r="H66" s="433"/>
      <c r="I66" s="433"/>
      <c r="J66" s="433"/>
      <c r="K66" s="433"/>
      <c r="L66" s="433"/>
      <c r="M66" s="433"/>
      <c r="N66" s="433"/>
      <c r="O66" s="433"/>
      <c r="P66" s="434"/>
      <c r="Q66" s="395" t="s">
        <v>7</v>
      </c>
    </row>
    <row r="67" spans="4:17" ht="42" customHeight="1" thickBot="1" x14ac:dyDescent="0.25">
      <c r="D67" s="371" t="s">
        <v>82</v>
      </c>
      <c r="E67" s="365" t="s">
        <v>69</v>
      </c>
      <c r="F67" s="365" t="s">
        <v>100</v>
      </c>
      <c r="G67" s="365" t="s">
        <v>70</v>
      </c>
      <c r="H67" s="365" t="s">
        <v>71</v>
      </c>
      <c r="I67" s="365" t="s">
        <v>72</v>
      </c>
      <c r="J67" s="365" t="s">
        <v>73</v>
      </c>
      <c r="K67" s="365" t="s">
        <v>74</v>
      </c>
      <c r="L67" s="365" t="s">
        <v>75</v>
      </c>
      <c r="M67" s="365" t="s">
        <v>76</v>
      </c>
      <c r="N67" s="365" t="s">
        <v>77</v>
      </c>
      <c r="O67" s="375" t="s">
        <v>3</v>
      </c>
      <c r="P67" s="374" t="s">
        <v>4</v>
      </c>
      <c r="Q67" s="402" t="s">
        <v>104</v>
      </c>
    </row>
    <row r="68" spans="4:17" ht="20.100000000000001" customHeight="1" x14ac:dyDescent="0.2">
      <c r="D68" s="244" t="s">
        <v>81</v>
      </c>
      <c r="E68" s="237"/>
      <c r="F68" s="238"/>
      <c r="G68" s="238"/>
      <c r="H68" s="238"/>
      <c r="I68" s="238"/>
      <c r="J68" s="238"/>
      <c r="K68" s="238"/>
      <c r="L68" s="238"/>
      <c r="M68" s="238"/>
      <c r="N68" s="239"/>
      <c r="O68" s="240"/>
      <c r="P68" s="239"/>
      <c r="Q68" s="399">
        <f t="shared" ref="Q68:Q72" si="7">SUM(E68:P68)</f>
        <v>0</v>
      </c>
    </row>
    <row r="69" spans="4:17" ht="20.100000000000001" customHeight="1" x14ac:dyDescent="0.2">
      <c r="D69" s="242" t="s">
        <v>81</v>
      </c>
      <c r="E69" s="179"/>
      <c r="F69" s="180"/>
      <c r="G69" s="180"/>
      <c r="H69" s="180"/>
      <c r="I69" s="180"/>
      <c r="J69" s="180"/>
      <c r="K69" s="180"/>
      <c r="L69" s="180"/>
      <c r="M69" s="180"/>
      <c r="N69" s="181"/>
      <c r="O69" s="182"/>
      <c r="P69" s="181"/>
      <c r="Q69" s="318">
        <f t="shared" si="7"/>
        <v>0</v>
      </c>
    </row>
    <row r="70" spans="4:17" ht="20.100000000000001" customHeight="1" x14ac:dyDescent="0.2">
      <c r="D70" s="242" t="s">
        <v>81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1"/>
      <c r="O70" s="182"/>
      <c r="P70" s="181"/>
      <c r="Q70" s="318">
        <f t="shared" si="7"/>
        <v>0</v>
      </c>
    </row>
    <row r="71" spans="4:17" ht="20.100000000000001" customHeight="1" x14ac:dyDescent="0.2">
      <c r="D71" s="242" t="s">
        <v>81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1"/>
      <c r="O71" s="182"/>
      <c r="P71" s="181"/>
      <c r="Q71" s="318">
        <f t="shared" si="7"/>
        <v>0</v>
      </c>
    </row>
    <row r="72" spans="4:17" ht="20.100000000000001" customHeight="1" thickBot="1" x14ac:dyDescent="0.25">
      <c r="D72" s="243" t="s">
        <v>81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5"/>
      <c r="O72" s="186"/>
      <c r="P72" s="185"/>
      <c r="Q72" s="400">
        <f t="shared" si="7"/>
        <v>0</v>
      </c>
    </row>
    <row r="73" spans="4:1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</row>
    <row r="74" spans="4:1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</row>
    <row r="75" spans="4:1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</row>
    <row r="76" spans="4:17" ht="20.100000000000001" customHeight="1" thickBot="1" x14ac:dyDescent="0.25">
      <c r="D76" s="235" t="s">
        <v>84</v>
      </c>
      <c r="E76" s="432" t="s">
        <v>101</v>
      </c>
      <c r="F76" s="433"/>
      <c r="G76" s="433"/>
      <c r="H76" s="433"/>
      <c r="I76" s="433"/>
      <c r="J76" s="433"/>
      <c r="K76" s="433"/>
      <c r="L76" s="433"/>
      <c r="M76" s="433"/>
      <c r="N76" s="433"/>
      <c r="O76" s="433"/>
      <c r="P76" s="434"/>
      <c r="Q76" s="401" t="s">
        <v>7</v>
      </c>
    </row>
    <row r="77" spans="4:17" ht="39.75" customHeight="1" thickBot="1" x14ac:dyDescent="0.25">
      <c r="D77" s="371" t="s">
        <v>82</v>
      </c>
      <c r="E77" s="365" t="s">
        <v>69</v>
      </c>
      <c r="F77" s="365" t="s">
        <v>100</v>
      </c>
      <c r="G77" s="365" t="s">
        <v>70</v>
      </c>
      <c r="H77" s="365" t="s">
        <v>71</v>
      </c>
      <c r="I77" s="365" t="s">
        <v>72</v>
      </c>
      <c r="J77" s="365" t="s">
        <v>73</v>
      </c>
      <c r="K77" s="365" t="s">
        <v>74</v>
      </c>
      <c r="L77" s="365" t="s">
        <v>75</v>
      </c>
      <c r="M77" s="365" t="s">
        <v>76</v>
      </c>
      <c r="N77" s="365" t="s">
        <v>77</v>
      </c>
      <c r="O77" s="375" t="s">
        <v>3</v>
      </c>
      <c r="P77" s="374" t="s">
        <v>4</v>
      </c>
      <c r="Q77" s="398" t="s">
        <v>104</v>
      </c>
    </row>
    <row r="78" spans="4:17" ht="20.100000000000001" customHeight="1" x14ac:dyDescent="0.2">
      <c r="D78" s="244" t="s">
        <v>81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9"/>
      <c r="O78" s="240"/>
      <c r="P78" s="239"/>
      <c r="Q78" s="399">
        <f t="shared" ref="Q78:Q80" si="8">SUM(E78:P78)</f>
        <v>0</v>
      </c>
    </row>
    <row r="79" spans="4:17" ht="20.100000000000001" customHeight="1" x14ac:dyDescent="0.2">
      <c r="D79" s="242" t="s">
        <v>81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1"/>
      <c r="O79" s="182"/>
      <c r="P79" s="181"/>
      <c r="Q79" s="318">
        <f t="shared" si="8"/>
        <v>0</v>
      </c>
    </row>
    <row r="80" spans="4:17" ht="20.100000000000001" customHeight="1" thickBot="1" x14ac:dyDescent="0.25">
      <c r="D80" s="243" t="s">
        <v>81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5"/>
      <c r="O80" s="186"/>
      <c r="P80" s="185"/>
      <c r="Q80" s="400">
        <f t="shared" si="8"/>
        <v>0</v>
      </c>
    </row>
    <row r="81" spans="4:1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41"/>
    </row>
    <row r="82" spans="4:1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41"/>
    </row>
  </sheetData>
  <sheetProtection algorithmName="SHA-512" hashValue="8TtX6w9uEQvr5fKpioXlmKNOToa7pF4BTYRcYZA/iqkTRGLRQ+U1v8nPVwBWkATx5WdsfV/Tq573gkUPFVzBeg==" saltValue="DC6mPA3JF+FLBwsecptMkw==" spinCount="100000" sheet="1" objects="1" scenarios="1"/>
  <mergeCells count="7">
    <mergeCell ref="E76:P76"/>
    <mergeCell ref="E1:P1"/>
    <mergeCell ref="A10:B11"/>
    <mergeCell ref="A12:B14"/>
    <mergeCell ref="A15:B18"/>
    <mergeCell ref="E48:P48"/>
    <mergeCell ref="E66:P66"/>
  </mergeCells>
  <conditionalFormatting sqref="B8">
    <cfRule type="cellIs" dxfId="61" priority="5" operator="notEqual">
      <formula>$B$7</formula>
    </cfRule>
  </conditionalFormatting>
  <conditionalFormatting sqref="E3:Q12">
    <cfRule type="cellIs" dxfId="60" priority="4" operator="notBetween">
      <formula>0</formula>
      <formula>100</formula>
    </cfRule>
  </conditionalFormatting>
  <conditionalFormatting sqref="E3:Q14">
    <cfRule type="cellIs" dxfId="59" priority="7" operator="lessThan">
      <formula>0</formula>
    </cfRule>
  </conditionalFormatting>
  <conditionalFormatting sqref="E14:Q14">
    <cfRule type="cellIs" dxfId="58" priority="10" operator="greaterThan">
      <formula>1</formula>
    </cfRule>
  </conditionalFormatting>
  <conditionalFormatting sqref="Q3:Q13">
    <cfRule type="cellIs" dxfId="57" priority="8" operator="equal">
      <formula>0</formula>
    </cfRule>
  </conditionalFormatting>
  <conditionalFormatting sqref="Q13">
    <cfRule type="cellIs" dxfId="56" priority="12" operator="equal">
      <formula>$B$7</formula>
    </cfRule>
  </conditionalFormatting>
  <conditionalFormatting sqref="Q14">
    <cfRule type="cellIs" dxfId="55" priority="9" operator="equal">
      <formula>1</formula>
    </cfRule>
    <cfRule type="cellIs" dxfId="54" priority="11" operator="lessThan">
      <formula>1</formula>
    </cfRule>
  </conditionalFormatting>
  <conditionalFormatting sqref="W4:W15">
    <cfRule type="expression" dxfId="53" priority="13">
      <formula>AND($W4&lt;$W3, NOT(ISBLANK($W4)))</formula>
    </cfRule>
    <cfRule type="cellIs" dxfId="52" priority="14" operator="greaterThan">
      <formula>$B$6</formula>
    </cfRule>
  </conditionalFormatting>
  <conditionalFormatting sqref="X4:X15">
    <cfRule type="cellIs" dxfId="51" priority="6" operator="greaterThan">
      <formula>1</formula>
    </cfRule>
  </conditionalFormatting>
  <conditionalFormatting sqref="D68:D72 D50:D59 D78:D80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3:P12">
    <cfRule type="expression" dxfId="50" priority="15">
      <formula>($D3&lt;=$K$23)</formula>
    </cfRule>
  </conditionalFormatting>
  <conditionalFormatting sqref="Q3:Q12">
    <cfRule type="expression" dxfId="49" priority="16">
      <formula>AND($D3=$K$23, Q3=$J$24)</formula>
    </cfRule>
    <cfRule type="expression" dxfId="48" priority="17">
      <formula>AND($D3=$K$23, MOD(Q3,100)&gt;$J$24)</formula>
    </cfRule>
    <cfRule type="cellIs" dxfId="47" priority="18" operator="equal">
      <formula>100</formula>
    </cfRule>
  </conditionalFormatting>
  <conditionalFormatting sqref="D3:P12">
    <cfRule type="expression" dxfId="46" priority="22">
      <formula>($D3&gt;$K$23)</formula>
    </cfRule>
  </conditionalFormatting>
  <conditionalFormatting sqref="Q50">
    <cfRule type="cellIs" dxfId="45" priority="23" operator="lessThan">
      <formula>0</formula>
    </cfRule>
    <cfRule type="cellIs" dxfId="44" priority="24" operator="equal">
      <formula>0</formula>
    </cfRule>
    <cfRule type="expression" dxfId="43" priority="25">
      <formula>OR(MOD($Q50,100)=0,AND($D50=$K$23,MOD($Q50,100)=$J$24))</formula>
    </cfRule>
  </conditionalFormatting>
  <conditionalFormatting sqref="E50:P59">
    <cfRule type="expression" dxfId="42" priority="2">
      <formula>AND(E50&lt;MAX(E$50:E50), NOT(ISBLANK(E50)), NOT(E50=0))</formula>
    </cfRule>
  </conditionalFormatting>
  <conditionalFormatting sqref="Q52:Q59 Q68:Q72 Q78:Q80">
    <cfRule type="cellIs" dxfId="41" priority="27" operator="lessThan">
      <formula>0</formula>
    </cfRule>
    <cfRule type="cellIs" dxfId="40" priority="28" operator="equal">
      <formula>0</formula>
    </cfRule>
    <cfRule type="expression" dxfId="39" priority="29">
      <formula>OR(MOD($Q52,100)=0,AND($D52=$K$23,MOD($Q52,100)=$J$24))</formula>
    </cfRule>
  </conditionalFormatting>
  <conditionalFormatting sqref="Q51">
    <cfRule type="cellIs" dxfId="38" priority="30" operator="lessThan">
      <formula>0</formula>
    </cfRule>
    <cfRule type="cellIs" dxfId="37" priority="31" operator="equal">
      <formula>0</formula>
    </cfRule>
    <cfRule type="expression" dxfId="36" priority="32">
      <formula>OR(MOD($Q51,100)=0,AND($D50=$K$23,MOD($Q51,100)=$J$24))</formula>
    </cfRule>
  </conditionalFormatting>
  <conditionalFormatting sqref="E50:P59 E68:P72 E78:P80">
    <cfRule type="cellIs" dxfId="33" priority="19" operator="notBetween">
      <formula>0</formula>
      <formula>$B$7</formula>
    </cfRule>
    <cfRule type="expression" dxfId="34" priority="20">
      <formula>($D50&lt;=$K$23)</formula>
    </cfRule>
    <cfRule type="expression" dxfId="35" priority="21">
      <formula>($D50&gt;$K$23)</formula>
    </cfRule>
  </conditionalFormatting>
  <conditionalFormatting sqref="E68:P72">
    <cfRule type="expression" dxfId="32" priority="1">
      <formula>AND(E68&lt;MAX(E$68:E68), NOT(ISBLANK(E68)), NOT(E68=0))</formula>
    </cfRule>
  </conditionalFormatting>
  <conditionalFormatting sqref="E78:P80">
    <cfRule type="expression" dxfId="31" priority="26">
      <formula>AND(E78&lt;MAX(E$78:E78), NOT(ISBLANK(E78)), NOT(E78=0))</formula>
    </cfRule>
  </conditionalFormatting>
  <dataValidations count="2">
    <dataValidation type="list" allowBlank="1" showInputMessage="1" showErrorMessage="1" sqref="D68:D72 D78:D82 D50:D59" xr:uid="{7AA78727-746D-4628-810B-19C9CAEEA01D}">
      <formula1>$D$3:$D$12</formula1>
    </dataValidation>
    <dataValidation type="list" allowBlank="1" showInputMessage="1" showErrorMessage="1" sqref="C50:C59" xr:uid="{7CF88AC2-2456-4A80-BC40-B501A90E3209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C093-C819-4DA5-9F30-3BBF406D4026}">
  <sheetPr codeName="Feuil41">
    <tabColor rgb="FFB4A7D6"/>
  </sheetPr>
  <dimension ref="A1:AB82"/>
  <sheetViews>
    <sheetView zoomScale="80" zoomScaleNormal="80" workbookViewId="0">
      <pane xSplit="2" topLeftCell="C1" activePane="topRight" state="frozen"/>
      <selection pane="topRight" activeCell="R3" sqref="R3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4" width="15.7109375" customWidth="1"/>
    <col min="17" max="17" width="12.85546875" customWidth="1"/>
    <col min="18" max="18" width="11.42578125" customWidth="1"/>
    <col min="21" max="21" width="10.42578125" customWidth="1"/>
    <col min="22" max="22" width="15.42578125" customWidth="1"/>
    <col min="23" max="23" width="16.140625" customWidth="1"/>
    <col min="24" max="24" width="12" customWidth="1"/>
    <col min="26" max="26" width="13.28515625" customWidth="1"/>
    <col min="27" max="27" width="14.42578125" customWidth="1"/>
  </cols>
  <sheetData>
    <row r="1" spans="1:28" ht="16.5" customHeight="1" thickBot="1" x14ac:dyDescent="0.25">
      <c r="A1" s="315" t="s">
        <v>11</v>
      </c>
      <c r="B1" s="33">
        <f>Synthèse!B17</f>
        <v>46096</v>
      </c>
      <c r="D1" s="314"/>
      <c r="E1" s="435" t="s">
        <v>66</v>
      </c>
      <c r="F1" s="436"/>
      <c r="G1" s="436"/>
      <c r="H1" s="436"/>
      <c r="I1" s="436"/>
      <c r="J1" s="436"/>
      <c r="K1" s="436"/>
      <c r="L1" s="436"/>
      <c r="M1" s="436"/>
      <c r="N1" s="436"/>
      <c r="O1" s="436"/>
      <c r="P1" s="437"/>
      <c r="Q1" s="443" t="s">
        <v>7</v>
      </c>
    </row>
    <row r="2" spans="1:28" ht="39.75" customHeight="1" thickBot="1" x14ac:dyDescent="0.25">
      <c r="A2" s="316" t="s">
        <v>12</v>
      </c>
      <c r="B2" s="34" t="str">
        <f>Synthèse!B18</f>
        <v>Municipales 1er tour</v>
      </c>
      <c r="D2" s="364" t="s">
        <v>83</v>
      </c>
      <c r="E2" s="365" t="str">
        <f>Synthèse!L2</f>
        <v>Candidat 1</v>
      </c>
      <c r="F2" s="365" t="str">
        <f>Synthèse!M2</f>
        <v>Candidat 2</v>
      </c>
      <c r="G2" s="365" t="str">
        <f>Synthèse!N2</f>
        <v>Candidat 3</v>
      </c>
      <c r="H2" s="365" t="str">
        <f>Synthèse!O2</f>
        <v>Candidat 4</v>
      </c>
      <c r="I2" s="365" t="str">
        <f>Synthèse!P2</f>
        <v>Candidat 5</v>
      </c>
      <c r="J2" s="365" t="str">
        <f>Synthèse!Q2</f>
        <v>Candidat 6</v>
      </c>
      <c r="K2" s="365" t="str">
        <f>Synthèse!R2</f>
        <v>Candidat 7</v>
      </c>
      <c r="L2" s="365" t="str">
        <f>Synthèse!S2</f>
        <v>Candidat 8</v>
      </c>
      <c r="M2" s="365" t="str">
        <f>Synthèse!T2</f>
        <v>Candidat 9</v>
      </c>
      <c r="N2" s="365" t="str">
        <f>Synthèse!U2</f>
        <v>Candidat 10</v>
      </c>
      <c r="O2" s="368" t="s">
        <v>3</v>
      </c>
      <c r="P2" s="369" t="s">
        <v>4</v>
      </c>
      <c r="Q2" s="444" t="s">
        <v>105</v>
      </c>
      <c r="V2" s="381" t="s">
        <v>21</v>
      </c>
      <c r="W2" s="382" t="s">
        <v>57</v>
      </c>
      <c r="X2" s="383" t="s">
        <v>31</v>
      </c>
      <c r="Z2" s="384" t="s">
        <v>59</v>
      </c>
      <c r="AA2" s="384" t="s">
        <v>58</v>
      </c>
    </row>
    <row r="3" spans="1:28" ht="20.100000000000001" customHeight="1" thickBot="1" x14ac:dyDescent="0.25">
      <c r="A3" s="317" t="s">
        <v>13</v>
      </c>
      <c r="B3" s="94" t="str">
        <f>Synthèse!B19</f>
        <v>Cogolin</v>
      </c>
      <c r="D3" s="361" t="str" cm="1">
        <f t="array" ref="D3">IF(ROW(1:1)&lt;=$K$23, (ROW(1:1)), "")</f>
        <v/>
      </c>
      <c r="E3" s="155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55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55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55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55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55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55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55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55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70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171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72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318">
        <f t="shared" ref="Q3:Q12" si="0">SUM(E3:P3)</f>
        <v>0</v>
      </c>
      <c r="V3" s="352" t="s">
        <v>32</v>
      </c>
      <c r="W3" s="353">
        <v>0</v>
      </c>
      <c r="X3" s="354">
        <f t="shared" ref="X3" si="1">W3/$B$6</f>
        <v>0</v>
      </c>
      <c r="Z3" s="330"/>
      <c r="AA3" s="330"/>
    </row>
    <row r="4" spans="1:28" ht="20.100000000000001" customHeight="1" x14ac:dyDescent="0.2">
      <c r="A4" s="95" t="s">
        <v>23</v>
      </c>
      <c r="B4" s="168">
        <v>12</v>
      </c>
      <c r="D4" s="362" t="str" cm="1">
        <f t="array" ref="D4">IF(ROW(2:2)&lt;=$K$23, (ROW(2:2)), "")</f>
        <v/>
      </c>
      <c r="E4" s="156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56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56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56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56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56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56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56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5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156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57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158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318">
        <f t="shared" si="0"/>
        <v>0</v>
      </c>
      <c r="V4" s="355" t="s">
        <v>33</v>
      </c>
      <c r="W4" s="356"/>
      <c r="X4" s="357" t="e">
        <f t="shared" ref="X4:X13" si="2">IF(OR(W4=0, W4=""), NA(), W4/$B$6)</f>
        <v>#N/A</v>
      </c>
      <c r="Z4" s="325" t="s">
        <v>45</v>
      </c>
      <c r="AA4" s="385" t="e">
        <f t="shared" ref="AA4:AA13" si="3">IF(W4&lt;&gt;0,W4-W3,NA())</f>
        <v>#N/A</v>
      </c>
    </row>
    <row r="5" spans="1:28" ht="20.100000000000001" customHeight="1" x14ac:dyDescent="0.2">
      <c r="A5" s="96" t="s">
        <v>24</v>
      </c>
      <c r="B5" s="187" t="s">
        <v>30</v>
      </c>
      <c r="D5" s="362" t="str" cm="1">
        <f t="array" ref="D5">IF(ROW(3:3)&lt;=$K$23, (ROW(3:3)), "")</f>
        <v/>
      </c>
      <c r="E5" s="156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56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56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56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56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56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56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56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5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156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173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174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318">
        <f t="shared" si="0"/>
        <v>0</v>
      </c>
      <c r="T5" s="231"/>
      <c r="U5" s="232"/>
      <c r="V5" s="355" t="s">
        <v>34</v>
      </c>
      <c r="W5" s="356"/>
      <c r="X5" s="357" t="e">
        <f t="shared" si="2"/>
        <v>#N/A</v>
      </c>
      <c r="Z5" s="326" t="s">
        <v>46</v>
      </c>
      <c r="AA5" s="386" t="e">
        <f t="shared" si="3"/>
        <v>#N/A</v>
      </c>
    </row>
    <row r="6" spans="1:28" ht="20.100000000000001" customHeight="1" x14ac:dyDescent="0.2">
      <c r="A6" s="96" t="s">
        <v>0</v>
      </c>
      <c r="B6" s="188">
        <v>645</v>
      </c>
      <c r="D6" s="362" t="str" cm="1">
        <f t="array" ref="D6">IF(ROW(4:4)&lt;=$K$23, (ROW(4:4)), "")</f>
        <v/>
      </c>
      <c r="E6" s="156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56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56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56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56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56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56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56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5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156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173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174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318">
        <f t="shared" si="0"/>
        <v>0</v>
      </c>
      <c r="T6" s="231"/>
      <c r="U6" s="232"/>
      <c r="V6" s="355" t="s">
        <v>35</v>
      </c>
      <c r="W6" s="356"/>
      <c r="X6" s="357" t="e">
        <f t="shared" si="2"/>
        <v>#N/A</v>
      </c>
      <c r="Z6" s="326" t="s">
        <v>47</v>
      </c>
      <c r="AA6" s="386" t="e">
        <f t="shared" si="3"/>
        <v>#N/A</v>
      </c>
    </row>
    <row r="7" spans="1:28" ht="20.100000000000001" customHeight="1" x14ac:dyDescent="0.2">
      <c r="A7" s="96" t="s">
        <v>2</v>
      </c>
      <c r="B7" s="165">
        <f>MAX(W4:W15)</f>
        <v>0</v>
      </c>
      <c r="D7" s="362" t="str" cm="1">
        <f t="array" ref="D7">IF(ROW(5:5)&lt;=$K$23, (ROW(5:5)), "")</f>
        <v/>
      </c>
      <c r="E7" s="156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56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56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56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56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56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56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56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5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56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57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158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318">
        <f t="shared" si="0"/>
        <v>0</v>
      </c>
      <c r="T7" s="231"/>
      <c r="U7" s="232"/>
      <c r="V7" s="355" t="s">
        <v>36</v>
      </c>
      <c r="W7" s="356"/>
      <c r="X7" s="357" t="e">
        <f t="shared" si="2"/>
        <v>#N/A</v>
      </c>
      <c r="Z7" s="326" t="s">
        <v>54</v>
      </c>
      <c r="AA7" s="386" t="e">
        <f t="shared" si="3"/>
        <v>#N/A</v>
      </c>
    </row>
    <row r="8" spans="1:28" ht="20.100000000000001" customHeight="1" x14ac:dyDescent="0.2">
      <c r="A8" s="96" t="s">
        <v>1</v>
      </c>
      <c r="B8" s="166">
        <f>B7</f>
        <v>0</v>
      </c>
      <c r="D8" s="362" t="str" cm="1">
        <f t="array" ref="D8">IF(ROW(6:6)&lt;=$K$23, (ROW(6:6)), "")</f>
        <v/>
      </c>
      <c r="E8" s="156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56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56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56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56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56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56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56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5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56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57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58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318">
        <f t="shared" si="0"/>
        <v>0</v>
      </c>
      <c r="T8" s="231"/>
      <c r="U8" s="232"/>
      <c r="V8" s="355" t="s">
        <v>37</v>
      </c>
      <c r="W8" s="356"/>
      <c r="X8" s="357" t="e">
        <f t="shared" si="2"/>
        <v>#N/A</v>
      </c>
      <c r="Z8" s="326" t="s">
        <v>48</v>
      </c>
      <c r="AA8" s="386" t="e">
        <f t="shared" si="3"/>
        <v>#N/A</v>
      </c>
    </row>
    <row r="9" spans="1:28" ht="20.100000000000001" customHeight="1" thickBot="1" x14ac:dyDescent="0.25">
      <c r="A9" s="97" t="s">
        <v>17</v>
      </c>
      <c r="B9" s="167">
        <f>B6-B7</f>
        <v>645</v>
      </c>
      <c r="D9" s="362" t="str" cm="1">
        <f t="array" ref="D9">IF(ROW(7:7)&lt;=$K$23, (ROW(7:7)), "")</f>
        <v/>
      </c>
      <c r="E9" s="156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56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56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56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56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56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56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56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56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56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59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60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318">
        <f t="shared" si="0"/>
        <v>0</v>
      </c>
      <c r="T9" s="231"/>
      <c r="U9" s="232"/>
      <c r="V9" s="355" t="s">
        <v>38</v>
      </c>
      <c r="W9" s="356"/>
      <c r="X9" s="357" t="e">
        <f t="shared" si="2"/>
        <v>#N/A</v>
      </c>
      <c r="Z9" s="326" t="s">
        <v>49</v>
      </c>
      <c r="AA9" s="386" t="e">
        <f t="shared" si="3"/>
        <v>#N/A</v>
      </c>
    </row>
    <row r="10" spans="1:28" ht="20.100000000000001" customHeight="1" x14ac:dyDescent="0.2">
      <c r="A10" s="438" t="s">
        <v>60</v>
      </c>
      <c r="B10" s="438"/>
      <c r="D10" s="362" t="str" cm="1">
        <f t="array" ref="D10">IF(ROW(8:8)&lt;=$K$23, (ROW(8:8)), "")</f>
        <v/>
      </c>
      <c r="E10" s="156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56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56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56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56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56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56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56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56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56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59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60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318">
        <f t="shared" si="0"/>
        <v>0</v>
      </c>
      <c r="T10" s="231"/>
      <c r="U10" s="232"/>
      <c r="V10" s="355" t="s">
        <v>39</v>
      </c>
      <c r="W10" s="356"/>
      <c r="X10" s="357" t="e">
        <f t="shared" si="2"/>
        <v>#N/A</v>
      </c>
      <c r="Z10" s="326" t="s">
        <v>50</v>
      </c>
      <c r="AA10" s="386" t="e">
        <f t="shared" si="3"/>
        <v>#N/A</v>
      </c>
    </row>
    <row r="11" spans="1:28" ht="20.100000000000001" customHeight="1" x14ac:dyDescent="0.2">
      <c r="A11" s="439"/>
      <c r="B11" s="439"/>
      <c r="D11" s="362" t="str" cm="1">
        <f t="array" ref="D11">IF(ROW(9:9)&lt;=$K$23, (ROW(9:9)), "")</f>
        <v/>
      </c>
      <c r="E11" s="156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56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56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56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56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56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56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56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56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56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59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60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318">
        <f t="shared" si="0"/>
        <v>0</v>
      </c>
      <c r="T11" s="231"/>
      <c r="U11" s="232"/>
      <c r="V11" s="355" t="s">
        <v>40</v>
      </c>
      <c r="W11" s="356"/>
      <c r="X11" s="357" t="e">
        <f t="shared" si="2"/>
        <v>#N/A</v>
      </c>
      <c r="Z11" s="326" t="s">
        <v>51</v>
      </c>
      <c r="AA11" s="386" t="e">
        <f t="shared" si="3"/>
        <v>#N/A</v>
      </c>
    </row>
    <row r="12" spans="1:28" ht="20.100000000000001" customHeight="1" thickBot="1" x14ac:dyDescent="0.25">
      <c r="A12" s="440" t="s">
        <v>61</v>
      </c>
      <c r="B12" s="440"/>
      <c r="D12" s="363" t="str" cm="1">
        <f t="array" ref="D12">IF(ROW(10:10)&lt;=$K$23, (ROW(10:10)), "")</f>
        <v/>
      </c>
      <c r="E12" s="156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56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56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56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56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56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56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56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56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56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75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76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318">
        <f t="shared" si="0"/>
        <v>0</v>
      </c>
      <c r="T12" s="231"/>
      <c r="U12" s="232"/>
      <c r="V12" s="355" t="s">
        <v>41</v>
      </c>
      <c r="W12" s="356"/>
      <c r="X12" s="357" t="e">
        <f t="shared" si="2"/>
        <v>#N/A</v>
      </c>
      <c r="Z12" s="326" t="s">
        <v>52</v>
      </c>
      <c r="AA12" s="386" t="e">
        <f t="shared" si="3"/>
        <v>#N/A</v>
      </c>
    </row>
    <row r="13" spans="1:28" ht="20.100000000000001" customHeight="1" thickBot="1" x14ac:dyDescent="0.3">
      <c r="A13" s="440"/>
      <c r="B13" s="440"/>
      <c r="D13" s="50" t="s">
        <v>9</v>
      </c>
      <c r="E13" s="161">
        <f t="shared" ref="E13:Q13" si="4">SUM(E3:E12)</f>
        <v>0</v>
      </c>
      <c r="F13" s="162">
        <f t="shared" si="4"/>
        <v>0</v>
      </c>
      <c r="G13" s="162">
        <f t="shared" si="4"/>
        <v>0</v>
      </c>
      <c r="H13" s="162">
        <f t="shared" si="4"/>
        <v>0</v>
      </c>
      <c r="I13" s="162">
        <f t="shared" si="4"/>
        <v>0</v>
      </c>
      <c r="J13" s="162">
        <f t="shared" si="4"/>
        <v>0</v>
      </c>
      <c r="K13" s="162">
        <f t="shared" si="4"/>
        <v>0</v>
      </c>
      <c r="L13" s="162">
        <f t="shared" si="4"/>
        <v>0</v>
      </c>
      <c r="M13" s="162">
        <f t="shared" si="4"/>
        <v>0</v>
      </c>
      <c r="N13" s="162">
        <f t="shared" si="4"/>
        <v>0</v>
      </c>
      <c r="O13" s="163">
        <f t="shared" si="4"/>
        <v>0</v>
      </c>
      <c r="P13" s="164">
        <f t="shared" si="4"/>
        <v>0</v>
      </c>
      <c r="Q13" s="319">
        <f t="shared" si="4"/>
        <v>0</v>
      </c>
      <c r="T13" s="231"/>
      <c r="U13" s="232"/>
      <c r="V13" s="355" t="s">
        <v>42</v>
      </c>
      <c r="W13" s="356"/>
      <c r="X13" s="357" t="e">
        <f t="shared" si="2"/>
        <v>#N/A</v>
      </c>
      <c r="Z13" s="327" t="s">
        <v>53</v>
      </c>
      <c r="AA13" s="387" t="e">
        <f t="shared" si="3"/>
        <v>#N/A</v>
      </c>
    </row>
    <row r="14" spans="1:28" ht="20.100000000000001" customHeight="1" thickBot="1" x14ac:dyDescent="0.3">
      <c r="A14" s="440"/>
      <c r="B14" s="440"/>
      <c r="D14" s="83" t="s">
        <v>10</v>
      </c>
      <c r="E14" s="45">
        <f t="shared" ref="E14:Q14" si="5">IFERROR(E13/$B$7,0)</f>
        <v>0</v>
      </c>
      <c r="F14" s="46">
        <f t="shared" si="5"/>
        <v>0</v>
      </c>
      <c r="G14" s="46">
        <f t="shared" si="5"/>
        <v>0</v>
      </c>
      <c r="H14" s="46">
        <f t="shared" si="5"/>
        <v>0</v>
      </c>
      <c r="I14" s="46">
        <f t="shared" si="5"/>
        <v>0</v>
      </c>
      <c r="J14" s="46">
        <f t="shared" si="5"/>
        <v>0</v>
      </c>
      <c r="K14" s="46">
        <f t="shared" si="5"/>
        <v>0</v>
      </c>
      <c r="L14" s="46">
        <f t="shared" si="5"/>
        <v>0</v>
      </c>
      <c r="M14" s="46">
        <f t="shared" si="5"/>
        <v>0</v>
      </c>
      <c r="N14" s="46">
        <f t="shared" si="5"/>
        <v>0</v>
      </c>
      <c r="O14" s="45">
        <f t="shared" si="5"/>
        <v>0</v>
      </c>
      <c r="P14" s="47">
        <f t="shared" si="5"/>
        <v>0</v>
      </c>
      <c r="Q14" s="329">
        <f t="shared" si="5"/>
        <v>0</v>
      </c>
      <c r="V14" s="391" t="s">
        <v>43</v>
      </c>
      <c r="W14" s="358"/>
      <c r="X14" s="359" t="e">
        <f>IF(OR(W14=0, W14=""), NA(), W14/$B$6)</f>
        <v>#N/A</v>
      </c>
      <c r="Y14" s="389"/>
      <c r="Z14" s="393" t="s">
        <v>55</v>
      </c>
      <c r="AA14" s="388" t="e">
        <f>IF(W14&lt;&gt;0,W14-W13,NA())</f>
        <v>#N/A</v>
      </c>
      <c r="AB14" s="389"/>
    </row>
    <row r="15" spans="1:28" ht="18" customHeight="1" thickBot="1" x14ac:dyDescent="0.25">
      <c r="A15" s="441" t="s">
        <v>68</v>
      </c>
      <c r="B15" s="441"/>
      <c r="C15" s="1"/>
      <c r="D15" s="1"/>
      <c r="Q15" s="328"/>
      <c r="V15" s="324" t="s">
        <v>44</v>
      </c>
      <c r="W15" s="360"/>
      <c r="X15" s="390" t="e">
        <f>IF(OR(W15=0, W15=""), NA(), W15/$B$6)</f>
        <v>#N/A</v>
      </c>
      <c r="Z15" s="394" t="s">
        <v>56</v>
      </c>
      <c r="AA15" s="392" t="e">
        <f>IF(W15&lt;&gt;0,W15-W14,NA())</f>
        <v>#N/A</v>
      </c>
      <c r="AB15" s="389"/>
    </row>
    <row r="16" spans="1:28" ht="12.75" customHeight="1" x14ac:dyDescent="0.2">
      <c r="A16" s="441"/>
      <c r="B16" s="441"/>
      <c r="V16" s="328"/>
      <c r="W16" s="328"/>
      <c r="X16" s="328"/>
      <c r="AA16" s="328"/>
    </row>
    <row r="17" spans="1:11" ht="18" customHeight="1" x14ac:dyDescent="0.25">
      <c r="A17" s="441"/>
      <c r="B17" s="441"/>
      <c r="E17" s="230"/>
    </row>
    <row r="18" spans="1:11" ht="26.25" customHeight="1" x14ac:dyDescent="0.2">
      <c r="A18" s="441"/>
      <c r="B18" s="441"/>
    </row>
    <row r="23" spans="1:11" x14ac:dyDescent="0.2">
      <c r="H23" s="177" t="s">
        <v>64</v>
      </c>
      <c r="J23" s="245">
        <f>CEILING($B$6, 100)/100</f>
        <v>7</v>
      </c>
      <c r="K23" s="245">
        <f>CEILING($B$7,100)/100</f>
        <v>0</v>
      </c>
    </row>
    <row r="24" spans="1:11" x14ac:dyDescent="0.2">
      <c r="H24" s="178">
        <f>IF((ROW()-23)&lt;=$K$24,(ROW()-23),"Choisir")</f>
        <v>1</v>
      </c>
      <c r="J24" s="245">
        <f>MOD($B$7,100)</f>
        <v>0</v>
      </c>
      <c r="K24" s="246">
        <f>CEILING($B$6/300,1)</f>
        <v>3</v>
      </c>
    </row>
    <row r="25" spans="1:11" x14ac:dyDescent="0.2">
      <c r="H25" s="178">
        <f>IF((ROW()-23)&lt;=$K$24,(ROW()-23),"Choisir")</f>
        <v>2</v>
      </c>
    </row>
    <row r="26" spans="1:11" x14ac:dyDescent="0.2">
      <c r="H26" s="178">
        <f>IF((ROW()-23)&lt;=$K$24,(ROW()-23),"Choisir")</f>
        <v>3</v>
      </c>
    </row>
    <row r="27" spans="1:11" x14ac:dyDescent="0.2">
      <c r="H27" s="178" t="str">
        <f>IF((ROW()-23)&lt;=$K$24,(ROW()-23),"Choisir")</f>
        <v>Choisir</v>
      </c>
    </row>
    <row r="46" spans="4:17" x14ac:dyDescent="0.2">
      <c r="E46" s="169"/>
    </row>
    <row r="47" spans="4:17" ht="13.5" thickBot="1" x14ac:dyDescent="0.25">
      <c r="E47" s="169"/>
    </row>
    <row r="48" spans="4:17" ht="20.100000000000001" customHeight="1" thickBot="1" x14ac:dyDescent="0.25">
      <c r="D48" s="235" t="s">
        <v>79</v>
      </c>
      <c r="E48" s="432" t="s">
        <v>103</v>
      </c>
      <c r="F48" s="433"/>
      <c r="G48" s="433"/>
      <c r="H48" s="433"/>
      <c r="I48" s="433"/>
      <c r="J48" s="433"/>
      <c r="K48" s="433"/>
      <c r="L48" s="433"/>
      <c r="M48" s="433"/>
      <c r="N48" s="433"/>
      <c r="O48" s="433"/>
      <c r="P48" s="434"/>
      <c r="Q48" s="395" t="s">
        <v>7</v>
      </c>
    </row>
    <row r="49" spans="3:17" ht="47.25" customHeight="1" thickBot="1" x14ac:dyDescent="0.25">
      <c r="C49" s="233"/>
      <c r="D49" s="371" t="s">
        <v>82</v>
      </c>
      <c r="E49" s="365" t="s">
        <v>69</v>
      </c>
      <c r="F49" s="365" t="s">
        <v>100</v>
      </c>
      <c r="G49" s="365" t="s">
        <v>70</v>
      </c>
      <c r="H49" s="365" t="s">
        <v>71</v>
      </c>
      <c r="I49" s="365" t="s">
        <v>72</v>
      </c>
      <c r="J49" s="365" t="s">
        <v>73</v>
      </c>
      <c r="K49" s="365" t="s">
        <v>74</v>
      </c>
      <c r="L49" s="365" t="s">
        <v>75</v>
      </c>
      <c r="M49" s="365" t="s">
        <v>76</v>
      </c>
      <c r="N49" s="365" t="s">
        <v>77</v>
      </c>
      <c r="O49" s="375" t="s">
        <v>3</v>
      </c>
      <c r="P49" s="374" t="s">
        <v>4</v>
      </c>
      <c r="Q49" s="397" t="s">
        <v>104</v>
      </c>
    </row>
    <row r="50" spans="3:17" ht="19.5" customHeight="1" x14ac:dyDescent="0.2">
      <c r="C50" s="234"/>
      <c r="D50" s="370" t="s">
        <v>81</v>
      </c>
      <c r="E50" s="320"/>
      <c r="F50" s="321"/>
      <c r="G50" s="321"/>
      <c r="H50" s="321"/>
      <c r="I50" s="321"/>
      <c r="J50" s="321"/>
      <c r="K50" s="321"/>
      <c r="L50" s="321"/>
      <c r="M50" s="321"/>
      <c r="N50" s="322"/>
      <c r="O50" s="323"/>
      <c r="P50" s="322"/>
      <c r="Q50" s="396">
        <f t="shared" ref="Q50:Q59" si="6">SUM(E50:P50)</f>
        <v>0</v>
      </c>
    </row>
    <row r="51" spans="3:17" ht="20.100000000000001" customHeight="1" x14ac:dyDescent="0.2">
      <c r="C51" s="234"/>
      <c r="D51" s="370" t="s">
        <v>81</v>
      </c>
      <c r="E51" s="320"/>
      <c r="F51" s="321"/>
      <c r="G51" s="321"/>
      <c r="H51" s="321"/>
      <c r="I51" s="321"/>
      <c r="J51" s="321"/>
      <c r="K51" s="321"/>
      <c r="L51" s="321"/>
      <c r="M51" s="321"/>
      <c r="N51" s="322"/>
      <c r="O51" s="323"/>
      <c r="P51" s="322"/>
      <c r="Q51" s="396">
        <f t="shared" si="6"/>
        <v>0</v>
      </c>
    </row>
    <row r="52" spans="3:17" ht="20.100000000000001" customHeight="1" x14ac:dyDescent="0.2">
      <c r="C52" s="234"/>
      <c r="D52" s="370" t="s">
        <v>81</v>
      </c>
      <c r="E52" s="320"/>
      <c r="F52" s="321"/>
      <c r="G52" s="321"/>
      <c r="H52" s="321"/>
      <c r="I52" s="321"/>
      <c r="J52" s="321"/>
      <c r="K52" s="321"/>
      <c r="L52" s="321"/>
      <c r="M52" s="321"/>
      <c r="N52" s="322"/>
      <c r="O52" s="323"/>
      <c r="P52" s="322"/>
      <c r="Q52" s="396">
        <f t="shared" si="6"/>
        <v>0</v>
      </c>
    </row>
    <row r="53" spans="3:17" ht="20.100000000000001" customHeight="1" x14ac:dyDescent="0.2">
      <c r="C53" s="234"/>
      <c r="D53" s="370" t="s">
        <v>81</v>
      </c>
      <c r="E53" s="320"/>
      <c r="F53" s="321"/>
      <c r="G53" s="321"/>
      <c r="H53" s="321"/>
      <c r="I53" s="321"/>
      <c r="J53" s="321"/>
      <c r="K53" s="321"/>
      <c r="L53" s="321"/>
      <c r="M53" s="321"/>
      <c r="N53" s="322"/>
      <c r="O53" s="323"/>
      <c r="P53" s="322"/>
      <c r="Q53" s="396">
        <f t="shared" si="6"/>
        <v>0</v>
      </c>
    </row>
    <row r="54" spans="3:17" ht="20.100000000000001" customHeight="1" x14ac:dyDescent="0.2">
      <c r="C54" s="234"/>
      <c r="D54" s="370" t="s">
        <v>81</v>
      </c>
      <c r="E54" s="320"/>
      <c r="F54" s="321"/>
      <c r="G54" s="321"/>
      <c r="H54" s="321"/>
      <c r="I54" s="321"/>
      <c r="J54" s="321"/>
      <c r="K54" s="321"/>
      <c r="L54" s="321"/>
      <c r="M54" s="321"/>
      <c r="N54" s="322"/>
      <c r="O54" s="323"/>
      <c r="P54" s="322"/>
      <c r="Q54" s="396">
        <f t="shared" si="6"/>
        <v>0</v>
      </c>
    </row>
    <row r="55" spans="3:17" ht="20.100000000000001" customHeight="1" x14ac:dyDescent="0.2">
      <c r="C55" s="234"/>
      <c r="D55" s="370" t="s">
        <v>81</v>
      </c>
      <c r="E55" s="320"/>
      <c r="F55" s="321"/>
      <c r="G55" s="321"/>
      <c r="H55" s="321"/>
      <c r="I55" s="321"/>
      <c r="J55" s="321"/>
      <c r="K55" s="321"/>
      <c r="L55" s="321"/>
      <c r="M55" s="321"/>
      <c r="N55" s="322"/>
      <c r="O55" s="323"/>
      <c r="P55" s="322"/>
      <c r="Q55" s="396">
        <f t="shared" si="6"/>
        <v>0</v>
      </c>
    </row>
    <row r="56" spans="3:17" ht="20.100000000000001" customHeight="1" x14ac:dyDescent="0.2">
      <c r="C56" s="234"/>
      <c r="D56" s="370" t="s">
        <v>81</v>
      </c>
      <c r="E56" s="320"/>
      <c r="F56" s="321"/>
      <c r="G56" s="321"/>
      <c r="H56" s="321"/>
      <c r="I56" s="321"/>
      <c r="J56" s="321"/>
      <c r="K56" s="321"/>
      <c r="L56" s="321"/>
      <c r="M56" s="321"/>
      <c r="N56" s="322"/>
      <c r="O56" s="323"/>
      <c r="P56" s="322"/>
      <c r="Q56" s="396">
        <f t="shared" si="6"/>
        <v>0</v>
      </c>
    </row>
    <row r="57" spans="3:17" ht="20.100000000000001" customHeight="1" x14ac:dyDescent="0.2">
      <c r="C57" s="234"/>
      <c r="D57" s="370" t="s">
        <v>81</v>
      </c>
      <c r="E57" s="320"/>
      <c r="F57" s="321"/>
      <c r="G57" s="321"/>
      <c r="H57" s="321"/>
      <c r="I57" s="321"/>
      <c r="J57" s="321"/>
      <c r="K57" s="321"/>
      <c r="L57" s="321"/>
      <c r="M57" s="321"/>
      <c r="N57" s="322"/>
      <c r="O57" s="323"/>
      <c r="P57" s="322"/>
      <c r="Q57" s="396">
        <f t="shared" si="6"/>
        <v>0</v>
      </c>
    </row>
    <row r="58" spans="3:17" ht="20.100000000000001" customHeight="1" x14ac:dyDescent="0.2">
      <c r="C58" s="234"/>
      <c r="D58" s="370" t="s">
        <v>81</v>
      </c>
      <c r="E58" s="320"/>
      <c r="F58" s="321"/>
      <c r="G58" s="321"/>
      <c r="H58" s="321"/>
      <c r="I58" s="321"/>
      <c r="J58" s="321"/>
      <c r="K58" s="321"/>
      <c r="L58" s="321"/>
      <c r="M58" s="321"/>
      <c r="N58" s="322"/>
      <c r="O58" s="323"/>
      <c r="P58" s="322"/>
      <c r="Q58" s="396">
        <f t="shared" si="6"/>
        <v>0</v>
      </c>
    </row>
    <row r="59" spans="3:17" ht="20.100000000000001" customHeight="1" thickBot="1" x14ac:dyDescent="0.25">
      <c r="C59" s="234"/>
      <c r="D59" s="376" t="s">
        <v>81</v>
      </c>
      <c r="E59" s="377"/>
      <c r="F59" s="378"/>
      <c r="G59" s="378"/>
      <c r="H59" s="378"/>
      <c r="I59" s="378"/>
      <c r="J59" s="378"/>
      <c r="K59" s="378"/>
      <c r="L59" s="378"/>
      <c r="M59" s="378"/>
      <c r="N59" s="379"/>
      <c r="O59" s="380"/>
      <c r="P59" s="379"/>
      <c r="Q59" s="396">
        <f t="shared" si="6"/>
        <v>0</v>
      </c>
    </row>
    <row r="60" spans="3:17" x14ac:dyDescent="0.2">
      <c r="Q60" s="328"/>
    </row>
    <row r="63" spans="3:17" ht="18" x14ac:dyDescent="0.25">
      <c r="E63" s="230"/>
    </row>
    <row r="65" spans="4:17" ht="13.5" thickBot="1" x14ac:dyDescent="0.25"/>
    <row r="66" spans="4:17" ht="16.5" customHeight="1" thickBot="1" x14ac:dyDescent="0.25">
      <c r="D66" s="235" t="s">
        <v>80</v>
      </c>
      <c r="E66" s="432" t="s">
        <v>102</v>
      </c>
      <c r="F66" s="433"/>
      <c r="G66" s="433"/>
      <c r="H66" s="433"/>
      <c r="I66" s="433"/>
      <c r="J66" s="433"/>
      <c r="K66" s="433"/>
      <c r="L66" s="433"/>
      <c r="M66" s="433"/>
      <c r="N66" s="433"/>
      <c r="O66" s="433"/>
      <c r="P66" s="434"/>
      <c r="Q66" s="395" t="s">
        <v>7</v>
      </c>
    </row>
    <row r="67" spans="4:17" ht="42" customHeight="1" thickBot="1" x14ac:dyDescent="0.25">
      <c r="D67" s="371" t="s">
        <v>82</v>
      </c>
      <c r="E67" s="365" t="s">
        <v>69</v>
      </c>
      <c r="F67" s="365" t="s">
        <v>100</v>
      </c>
      <c r="G67" s="365" t="s">
        <v>70</v>
      </c>
      <c r="H67" s="365" t="s">
        <v>71</v>
      </c>
      <c r="I67" s="365" t="s">
        <v>72</v>
      </c>
      <c r="J67" s="365" t="s">
        <v>73</v>
      </c>
      <c r="K67" s="365" t="s">
        <v>74</v>
      </c>
      <c r="L67" s="365" t="s">
        <v>75</v>
      </c>
      <c r="M67" s="365" t="s">
        <v>76</v>
      </c>
      <c r="N67" s="365" t="s">
        <v>77</v>
      </c>
      <c r="O67" s="375" t="s">
        <v>3</v>
      </c>
      <c r="P67" s="374" t="s">
        <v>4</v>
      </c>
      <c r="Q67" s="402" t="s">
        <v>104</v>
      </c>
    </row>
    <row r="68" spans="4:17" ht="20.100000000000001" customHeight="1" x14ac:dyDescent="0.2">
      <c r="D68" s="244" t="s">
        <v>81</v>
      </c>
      <c r="E68" s="237"/>
      <c r="F68" s="238"/>
      <c r="G68" s="238"/>
      <c r="H68" s="238"/>
      <c r="I68" s="238"/>
      <c r="J68" s="238"/>
      <c r="K68" s="238"/>
      <c r="L68" s="238"/>
      <c r="M68" s="238"/>
      <c r="N68" s="239"/>
      <c r="O68" s="240"/>
      <c r="P68" s="239"/>
      <c r="Q68" s="399">
        <f t="shared" ref="Q68:Q72" si="7">SUM(E68:P68)</f>
        <v>0</v>
      </c>
    </row>
    <row r="69" spans="4:17" ht="20.100000000000001" customHeight="1" x14ac:dyDescent="0.2">
      <c r="D69" s="242" t="s">
        <v>81</v>
      </c>
      <c r="E69" s="179"/>
      <c r="F69" s="180"/>
      <c r="G69" s="180"/>
      <c r="H69" s="180"/>
      <c r="I69" s="180"/>
      <c r="J69" s="180"/>
      <c r="K69" s="180"/>
      <c r="L69" s="180"/>
      <c r="M69" s="180"/>
      <c r="N69" s="181"/>
      <c r="O69" s="182"/>
      <c r="P69" s="181"/>
      <c r="Q69" s="318">
        <f t="shared" si="7"/>
        <v>0</v>
      </c>
    </row>
    <row r="70" spans="4:17" ht="20.100000000000001" customHeight="1" x14ac:dyDescent="0.2">
      <c r="D70" s="242" t="s">
        <v>81</v>
      </c>
      <c r="E70" s="179"/>
      <c r="F70" s="180"/>
      <c r="G70" s="180"/>
      <c r="H70" s="180"/>
      <c r="I70" s="180"/>
      <c r="J70" s="180"/>
      <c r="K70" s="180"/>
      <c r="L70" s="180"/>
      <c r="M70" s="180"/>
      <c r="N70" s="181"/>
      <c r="O70" s="182"/>
      <c r="P70" s="181"/>
      <c r="Q70" s="318">
        <f t="shared" si="7"/>
        <v>0</v>
      </c>
    </row>
    <row r="71" spans="4:17" ht="20.100000000000001" customHeight="1" x14ac:dyDescent="0.2">
      <c r="D71" s="242" t="s">
        <v>81</v>
      </c>
      <c r="E71" s="179"/>
      <c r="F71" s="180"/>
      <c r="G71" s="180"/>
      <c r="H71" s="180"/>
      <c r="I71" s="180"/>
      <c r="J71" s="180"/>
      <c r="K71" s="180"/>
      <c r="L71" s="180"/>
      <c r="M71" s="180"/>
      <c r="N71" s="181"/>
      <c r="O71" s="182"/>
      <c r="P71" s="181"/>
      <c r="Q71" s="318">
        <f t="shared" si="7"/>
        <v>0</v>
      </c>
    </row>
    <row r="72" spans="4:17" ht="20.100000000000001" customHeight="1" thickBot="1" x14ac:dyDescent="0.25">
      <c r="D72" s="243" t="s">
        <v>81</v>
      </c>
      <c r="E72" s="183"/>
      <c r="F72" s="184"/>
      <c r="G72" s="184"/>
      <c r="H72" s="184"/>
      <c r="I72" s="184"/>
      <c r="J72" s="184"/>
      <c r="K72" s="184"/>
      <c r="L72" s="184"/>
      <c r="M72" s="184"/>
      <c r="N72" s="185"/>
      <c r="O72" s="186"/>
      <c r="P72" s="185"/>
      <c r="Q72" s="400">
        <f t="shared" si="7"/>
        <v>0</v>
      </c>
    </row>
    <row r="73" spans="4:17" ht="20.100000000000001" customHeight="1" x14ac:dyDescent="0.2">
      <c r="D73" s="236"/>
      <c r="E73" s="234"/>
      <c r="F73" s="234"/>
      <c r="G73" s="234"/>
      <c r="H73" s="234"/>
      <c r="I73" s="234"/>
      <c r="J73" s="234"/>
      <c r="K73" s="234"/>
      <c r="L73" s="234"/>
      <c r="M73" s="234"/>
      <c r="N73" s="234"/>
      <c r="O73" s="234"/>
      <c r="P73" s="234"/>
    </row>
    <row r="74" spans="4:17" ht="20.100000000000001" customHeight="1" x14ac:dyDescent="0.2">
      <c r="D74" s="236"/>
      <c r="E74" s="234"/>
      <c r="F74" s="234"/>
      <c r="G74" s="234"/>
      <c r="H74" s="234"/>
      <c r="I74" s="234"/>
      <c r="J74" s="234"/>
      <c r="K74" s="234"/>
      <c r="L74" s="234"/>
      <c r="M74" s="234"/>
      <c r="N74" s="234"/>
      <c r="O74" s="234"/>
      <c r="P74" s="234"/>
    </row>
    <row r="75" spans="4:17" ht="20.100000000000001" customHeight="1" thickBot="1" x14ac:dyDescent="0.25">
      <c r="D75" s="236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</row>
    <row r="76" spans="4:17" ht="20.100000000000001" customHeight="1" thickBot="1" x14ac:dyDescent="0.25">
      <c r="D76" s="235" t="s">
        <v>84</v>
      </c>
      <c r="E76" s="432" t="s">
        <v>101</v>
      </c>
      <c r="F76" s="433"/>
      <c r="G76" s="433"/>
      <c r="H76" s="433"/>
      <c r="I76" s="433"/>
      <c r="J76" s="433"/>
      <c r="K76" s="433"/>
      <c r="L76" s="433"/>
      <c r="M76" s="433"/>
      <c r="N76" s="433"/>
      <c r="O76" s="433"/>
      <c r="P76" s="434"/>
      <c r="Q76" s="401" t="s">
        <v>7</v>
      </c>
    </row>
    <row r="77" spans="4:17" ht="39.75" customHeight="1" thickBot="1" x14ac:dyDescent="0.25">
      <c r="D77" s="371" t="s">
        <v>82</v>
      </c>
      <c r="E77" s="365" t="s">
        <v>69</v>
      </c>
      <c r="F77" s="365" t="s">
        <v>100</v>
      </c>
      <c r="G77" s="365" t="s">
        <v>70</v>
      </c>
      <c r="H77" s="365" t="s">
        <v>71</v>
      </c>
      <c r="I77" s="365" t="s">
        <v>72</v>
      </c>
      <c r="J77" s="365" t="s">
        <v>73</v>
      </c>
      <c r="K77" s="365" t="s">
        <v>74</v>
      </c>
      <c r="L77" s="365" t="s">
        <v>75</v>
      </c>
      <c r="M77" s="365" t="s">
        <v>76</v>
      </c>
      <c r="N77" s="365" t="s">
        <v>77</v>
      </c>
      <c r="O77" s="375" t="s">
        <v>3</v>
      </c>
      <c r="P77" s="374" t="s">
        <v>4</v>
      </c>
      <c r="Q77" s="398" t="s">
        <v>104</v>
      </c>
    </row>
    <row r="78" spans="4:17" ht="20.100000000000001" customHeight="1" x14ac:dyDescent="0.2">
      <c r="D78" s="244" t="s">
        <v>81</v>
      </c>
      <c r="E78" s="237"/>
      <c r="F78" s="238"/>
      <c r="G78" s="238"/>
      <c r="H78" s="238"/>
      <c r="I78" s="238"/>
      <c r="J78" s="238"/>
      <c r="K78" s="238"/>
      <c r="L78" s="238"/>
      <c r="M78" s="238"/>
      <c r="N78" s="239"/>
      <c r="O78" s="240"/>
      <c r="P78" s="239"/>
      <c r="Q78" s="399">
        <f t="shared" ref="Q78:Q80" si="8">SUM(E78:P78)</f>
        <v>0</v>
      </c>
    </row>
    <row r="79" spans="4:17" ht="20.100000000000001" customHeight="1" x14ac:dyDescent="0.2">
      <c r="D79" s="242" t="s">
        <v>81</v>
      </c>
      <c r="E79" s="179"/>
      <c r="F79" s="180"/>
      <c r="G79" s="180"/>
      <c r="H79" s="180"/>
      <c r="I79" s="180"/>
      <c r="J79" s="180"/>
      <c r="K79" s="180"/>
      <c r="L79" s="180"/>
      <c r="M79" s="180"/>
      <c r="N79" s="181"/>
      <c r="O79" s="182"/>
      <c r="P79" s="181"/>
      <c r="Q79" s="318">
        <f t="shared" si="8"/>
        <v>0</v>
      </c>
    </row>
    <row r="80" spans="4:17" ht="20.100000000000001" customHeight="1" thickBot="1" x14ac:dyDescent="0.25">
      <c r="D80" s="243" t="s">
        <v>81</v>
      </c>
      <c r="E80" s="183"/>
      <c r="F80" s="184"/>
      <c r="G80" s="184"/>
      <c r="H80" s="184"/>
      <c r="I80" s="184"/>
      <c r="J80" s="184"/>
      <c r="K80" s="184"/>
      <c r="L80" s="184"/>
      <c r="M80" s="184"/>
      <c r="N80" s="185"/>
      <c r="O80" s="186"/>
      <c r="P80" s="185"/>
      <c r="Q80" s="400">
        <f t="shared" si="8"/>
        <v>0</v>
      </c>
    </row>
    <row r="81" spans="4:17" ht="20.100000000000001" customHeight="1" x14ac:dyDescent="0.2">
      <c r="D81" s="236"/>
      <c r="E81" s="234"/>
      <c r="F81" s="234"/>
      <c r="G81" s="234"/>
      <c r="H81" s="234"/>
      <c r="I81" s="234"/>
      <c r="J81" s="234"/>
      <c r="K81" s="234"/>
      <c r="L81" s="234"/>
      <c r="M81" s="234"/>
      <c r="N81" s="234"/>
      <c r="O81" s="234"/>
      <c r="P81" s="234"/>
      <c r="Q81" s="241"/>
    </row>
    <row r="82" spans="4:17" ht="20.100000000000001" customHeight="1" x14ac:dyDescent="0.2">
      <c r="D82" s="236"/>
      <c r="E82" s="234"/>
      <c r="F82" s="234"/>
      <c r="G82" s="234"/>
      <c r="H82" s="234"/>
      <c r="I82" s="234"/>
      <c r="J82" s="234"/>
      <c r="K82" s="234"/>
      <c r="L82" s="234"/>
      <c r="M82" s="234"/>
      <c r="N82" s="234"/>
      <c r="O82" s="234"/>
      <c r="P82" s="234"/>
      <c r="Q82" s="241"/>
    </row>
  </sheetData>
  <sheetProtection algorithmName="SHA-512" hashValue="/Qg02gqrKk2GCZhHLC3ATbxjLZESB9VS2Jjz6YHyLKFxe0gjgeWtCRMoydXmfc/3X5AUno2usdrY1VW9H3Cj3w==" saltValue="fuRnpepmLSTcoFoqRIo04w==" spinCount="100000" sheet="1" objects="1" scenarios="1"/>
  <mergeCells count="7">
    <mergeCell ref="E76:P76"/>
    <mergeCell ref="E1:P1"/>
    <mergeCell ref="A10:B11"/>
    <mergeCell ref="A12:B14"/>
    <mergeCell ref="A15:B18"/>
    <mergeCell ref="E48:P48"/>
    <mergeCell ref="E66:P66"/>
  </mergeCells>
  <conditionalFormatting sqref="B8">
    <cfRule type="cellIs" dxfId="30" priority="5" operator="notEqual">
      <formula>$B$7</formula>
    </cfRule>
  </conditionalFormatting>
  <conditionalFormatting sqref="E3:Q12">
    <cfRule type="cellIs" dxfId="29" priority="4" operator="notBetween">
      <formula>0</formula>
      <formula>100</formula>
    </cfRule>
  </conditionalFormatting>
  <conditionalFormatting sqref="E3:Q14">
    <cfRule type="cellIs" dxfId="28" priority="7" operator="lessThan">
      <formula>0</formula>
    </cfRule>
  </conditionalFormatting>
  <conditionalFormatting sqref="E14:Q14">
    <cfRule type="cellIs" dxfId="27" priority="10" operator="greaterThan">
      <formula>1</formula>
    </cfRule>
  </conditionalFormatting>
  <conditionalFormatting sqref="Q3:Q13">
    <cfRule type="cellIs" dxfId="26" priority="8" operator="equal">
      <formula>0</formula>
    </cfRule>
  </conditionalFormatting>
  <conditionalFormatting sqref="Q13">
    <cfRule type="cellIs" dxfId="25" priority="12" operator="equal">
      <formula>$B$7</formula>
    </cfRule>
  </conditionalFormatting>
  <conditionalFormatting sqref="Q14">
    <cfRule type="cellIs" dxfId="24" priority="9" operator="equal">
      <formula>1</formula>
    </cfRule>
    <cfRule type="cellIs" dxfId="23" priority="11" operator="lessThan">
      <formula>1</formula>
    </cfRule>
  </conditionalFormatting>
  <conditionalFormatting sqref="W4:W15">
    <cfRule type="expression" dxfId="22" priority="13">
      <formula>AND($W4&lt;$W3, NOT(ISBLANK($W4)))</formula>
    </cfRule>
    <cfRule type="cellIs" dxfId="21" priority="14" operator="greaterThan">
      <formula>$B$6</formula>
    </cfRule>
  </conditionalFormatting>
  <conditionalFormatting sqref="X4:X15">
    <cfRule type="cellIs" dxfId="20" priority="6" operator="greaterThan">
      <formula>1</formula>
    </cfRule>
  </conditionalFormatting>
  <conditionalFormatting sqref="D68:D72 D50:D59 D78:D80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3:P12">
    <cfRule type="expression" dxfId="19" priority="15">
      <formula>($D3&lt;=$K$23)</formula>
    </cfRule>
  </conditionalFormatting>
  <conditionalFormatting sqref="Q3:Q12">
    <cfRule type="expression" dxfId="18" priority="16">
      <formula>AND($D3=$K$23, Q3=$J$24)</formula>
    </cfRule>
    <cfRule type="expression" dxfId="17" priority="17">
      <formula>AND($D3=$K$23, MOD(Q3,100)&gt;$J$24)</formula>
    </cfRule>
    <cfRule type="cellIs" dxfId="16" priority="18" operator="equal">
      <formula>100</formula>
    </cfRule>
  </conditionalFormatting>
  <conditionalFormatting sqref="D3:P12">
    <cfRule type="expression" dxfId="15" priority="22">
      <formula>($D3&gt;$K$23)</formula>
    </cfRule>
  </conditionalFormatting>
  <conditionalFormatting sqref="Q50">
    <cfRule type="cellIs" dxfId="14" priority="23" operator="lessThan">
      <formula>0</formula>
    </cfRule>
    <cfRule type="cellIs" dxfId="13" priority="24" operator="equal">
      <formula>0</formula>
    </cfRule>
    <cfRule type="expression" dxfId="12" priority="25">
      <formula>OR(MOD($Q50,100)=0,AND($D50=$K$23,MOD($Q50,100)=$J$24))</formula>
    </cfRule>
  </conditionalFormatting>
  <conditionalFormatting sqref="E50:P59">
    <cfRule type="expression" dxfId="11" priority="2">
      <formula>AND(E50&lt;MAX(E$50:E50), NOT(ISBLANK(E50)), NOT(E50=0))</formula>
    </cfRule>
  </conditionalFormatting>
  <conditionalFormatting sqref="Q52:Q59 Q68:Q72 Q78:Q80">
    <cfRule type="cellIs" dxfId="10" priority="27" operator="lessThan">
      <formula>0</formula>
    </cfRule>
    <cfRule type="cellIs" dxfId="9" priority="28" operator="equal">
      <formula>0</formula>
    </cfRule>
    <cfRule type="expression" dxfId="8" priority="29">
      <formula>OR(MOD($Q52,100)=0,AND($D52=$K$23,MOD($Q52,100)=$J$24))</formula>
    </cfRule>
  </conditionalFormatting>
  <conditionalFormatting sqref="Q51">
    <cfRule type="cellIs" dxfId="7" priority="30" operator="lessThan">
      <formula>0</formula>
    </cfRule>
    <cfRule type="cellIs" dxfId="6" priority="31" operator="equal">
      <formula>0</formula>
    </cfRule>
    <cfRule type="expression" dxfId="5" priority="32">
      <formula>OR(MOD($Q51,100)=0,AND($D50=$K$23,MOD($Q51,100)=$J$24))</formula>
    </cfRule>
  </conditionalFormatting>
  <conditionalFormatting sqref="E50:P59 E68:P72 E78:P80">
    <cfRule type="cellIs" dxfId="2" priority="19" operator="notBetween">
      <formula>0</formula>
      <formula>$B$7</formula>
    </cfRule>
    <cfRule type="expression" dxfId="3" priority="20">
      <formula>($D50&lt;=$K$23)</formula>
    </cfRule>
    <cfRule type="expression" dxfId="4" priority="21">
      <formula>($D50&gt;$K$23)</formula>
    </cfRule>
  </conditionalFormatting>
  <conditionalFormatting sqref="E68:P72">
    <cfRule type="expression" dxfId="1" priority="1">
      <formula>AND(E68&lt;MAX(E$68:E68), NOT(ISBLANK(E68)), NOT(E68=0))</formula>
    </cfRule>
  </conditionalFormatting>
  <conditionalFormatting sqref="E78:P80">
    <cfRule type="expression" dxfId="0" priority="26">
      <formula>AND(E78&lt;MAX(E$78:E78), NOT(ISBLANK(E78)), NOT(E78=0))</formula>
    </cfRule>
  </conditionalFormatting>
  <dataValidations count="2">
    <dataValidation type="list" allowBlank="1" showInputMessage="1" showErrorMessage="1" sqref="D68:D72 D78:D82 D50:D59" xr:uid="{F15057E9-556B-412E-97F7-ACF9A96255C1}">
      <formula1>$D$3:$D$12</formula1>
    </dataValidation>
    <dataValidation type="list" allowBlank="1" showInputMessage="1" showErrorMessage="1" sqref="C50:C59" xr:uid="{E844BECA-1F81-4B19-A7EF-2FF39D45D369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706643-F7E9-4CF7-B131-5D2E84B119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42</vt:i4>
      </vt:variant>
    </vt:vector>
  </HeadingPairs>
  <TitlesOfParts>
    <vt:vector size="58" baseType="lpstr">
      <vt:lpstr>Synthèse</vt:lpstr>
      <vt:lpstr>Participation horaire</vt:lpstr>
      <vt:lpstr>Exemple</vt:lpstr>
      <vt:lpstr>Bureau 0</vt:lpstr>
      <vt:lpstr>Bureau 1</vt:lpstr>
      <vt:lpstr>Bureau 2</vt:lpstr>
      <vt:lpstr>Bureau 3</vt:lpstr>
      <vt:lpstr>Bureau 4</vt:lpstr>
      <vt:lpstr>Bureau 5</vt:lpstr>
      <vt:lpstr>Bureau 6</vt:lpstr>
      <vt:lpstr>Bureau 7</vt:lpstr>
      <vt:lpstr>Bureau 8</vt:lpstr>
      <vt:lpstr>Bureau 9</vt:lpstr>
      <vt:lpstr>Bureau 10</vt:lpstr>
      <vt:lpstr>Bureau 11</vt:lpstr>
      <vt:lpstr>Bureau 12</vt:lpstr>
      <vt:lpstr>'Bureau 1'!Table1</vt:lpstr>
      <vt:lpstr>'Bureau 10'!Table1</vt:lpstr>
      <vt:lpstr>'Bureau 11'!Table1</vt:lpstr>
      <vt:lpstr>'Bureau 12'!Table1</vt:lpstr>
      <vt:lpstr>'Bureau 2'!Table1</vt:lpstr>
      <vt:lpstr>'Bureau 3'!Table1</vt:lpstr>
      <vt:lpstr>'Bureau 4'!Table1</vt:lpstr>
      <vt:lpstr>'Bureau 5'!Table1</vt:lpstr>
      <vt:lpstr>'Bureau 6'!Table1</vt:lpstr>
      <vt:lpstr>'Bureau 7'!Table1</vt:lpstr>
      <vt:lpstr>'Bureau 8'!Table1</vt:lpstr>
      <vt:lpstr>'Bureau 9'!Table1</vt:lpstr>
      <vt:lpstr>Exemple!Table1</vt:lpstr>
      <vt:lpstr>Table1</vt:lpstr>
      <vt:lpstr>'Bureau 1'!Table2</vt:lpstr>
      <vt:lpstr>'Bureau 10'!Table2</vt:lpstr>
      <vt:lpstr>'Bureau 11'!Table2</vt:lpstr>
      <vt:lpstr>'Bureau 12'!Table2</vt:lpstr>
      <vt:lpstr>'Bureau 2'!Table2</vt:lpstr>
      <vt:lpstr>'Bureau 3'!Table2</vt:lpstr>
      <vt:lpstr>'Bureau 4'!Table2</vt:lpstr>
      <vt:lpstr>'Bureau 5'!Table2</vt:lpstr>
      <vt:lpstr>'Bureau 6'!Table2</vt:lpstr>
      <vt:lpstr>'Bureau 7'!Table2</vt:lpstr>
      <vt:lpstr>'Bureau 8'!Table2</vt:lpstr>
      <vt:lpstr>'Bureau 9'!Table2</vt:lpstr>
      <vt:lpstr>Exemple!Table2</vt:lpstr>
      <vt:lpstr>Table2</vt:lpstr>
      <vt:lpstr>'Bureau 1'!Table3</vt:lpstr>
      <vt:lpstr>'Bureau 10'!Table3</vt:lpstr>
      <vt:lpstr>'Bureau 11'!Table3</vt:lpstr>
      <vt:lpstr>'Bureau 12'!Table3</vt:lpstr>
      <vt:lpstr>'Bureau 2'!Table3</vt:lpstr>
      <vt:lpstr>'Bureau 3'!Table3</vt:lpstr>
      <vt:lpstr>'Bureau 4'!Table3</vt:lpstr>
      <vt:lpstr>'Bureau 5'!Table3</vt:lpstr>
      <vt:lpstr>'Bureau 6'!Table3</vt:lpstr>
      <vt:lpstr>'Bureau 7'!Table3</vt:lpstr>
      <vt:lpstr>'Bureau 8'!Table3</vt:lpstr>
      <vt:lpstr>'Bureau 9'!Table3</vt:lpstr>
      <vt:lpstr>Exemple!Table3</vt:lpstr>
      <vt:lpstr>Table3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Remi Barbero</dc:creator>
  <cp:lastModifiedBy>Rémi Barbero</cp:lastModifiedBy>
  <cp:lastPrinted>2025-04-24T12:11:21Z</cp:lastPrinted>
  <dcterms:created xsi:type="dcterms:W3CDTF">2025-03-13T09:37:21Z</dcterms:created>
  <dcterms:modified xsi:type="dcterms:W3CDTF">2025-09-19T12:52:23Z</dcterms:modified>
</cp:coreProperties>
</file>