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threadedComments/threadedComment17.xml" ContentType="application/vnd.ms-excel.threadedcomment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22001" documentId="8_{DC33D829-A0FA-4DB0-B932-0E9EE973A3AA}" xr6:coauthVersionLast="47" xr6:coauthVersionMax="47" xr10:uidLastSave="{CED6B6D2-BF0D-4223-A7D1-601A078F0159}"/>
  <bookViews>
    <workbookView minimized="1" xWindow="1305" yWindow="1305" windowWidth="23040" windowHeight="12105" tabRatio="699" activeTab="2" xr2:uid="{EE3CEBF9-7AED-41B5-8FB7-0E70FCC0C151}"/>
  </bookViews>
  <sheets>
    <sheet name="Synthèse" sheetId="1" r:id="rId1"/>
    <sheet name="Participation horaire" sheetId="3" r:id="rId2"/>
    <sheet name="Projection" sheetId="757" r:id="rId3"/>
    <sheet name="Exemple" sheetId="578" r:id="rId4"/>
    <sheet name="Bureau 0" sheetId="207" r:id="rId5"/>
    <sheet name="Bureau 1" sheetId="867" r:id="rId6"/>
    <sheet name="Bureau 2" sheetId="868" r:id="rId7"/>
    <sheet name="Bureau 3" sheetId="869" r:id="rId8"/>
    <sheet name="Bureau 4" sheetId="870" r:id="rId9"/>
    <sheet name="Bureau 5" sheetId="871" r:id="rId10"/>
    <sheet name="Bureau 6" sheetId="872" r:id="rId11"/>
    <sheet name="Bureau 7" sheetId="873" r:id="rId12"/>
    <sheet name="Bureau 8" sheetId="874" r:id="rId13"/>
    <sheet name="Bureau 9" sheetId="875" r:id="rId14"/>
    <sheet name="Bureau 10" sheetId="876" r:id="rId15"/>
    <sheet name="Bureau 11" sheetId="877" r:id="rId16"/>
    <sheet name="Bureau 12" sheetId="878" r:id="rId17"/>
  </sheets>
  <functionGroups builtInGroupCount="19"/>
  <definedNames>
    <definedName name="_xleta.NA" hidden="1" xlm="1">#NAME?</definedName>
    <definedName name="_xleta.SUM" hidden="1" xlm="1">#NAME?</definedName>
    <definedName name="Table1" localSheetId="5">'Bureau 1'!$D$49:$M$59</definedName>
    <definedName name="Table1" localSheetId="14">'Bureau 10'!$D$49:$M$59</definedName>
    <definedName name="Table1" localSheetId="15">'Bureau 11'!$D$49:$M$59</definedName>
    <definedName name="Table1" localSheetId="16">'Bureau 12'!$D$49:$M$59</definedName>
    <definedName name="Table1" localSheetId="6">'Bureau 2'!$D$49:$M$59</definedName>
    <definedName name="Table1" localSheetId="7">'Bureau 3'!$D$49:$M$59</definedName>
    <definedName name="Table1" localSheetId="8">'Bureau 4'!$D$49:$M$59</definedName>
    <definedName name="Table1" localSheetId="9">'Bureau 5'!$D$49:$M$59</definedName>
    <definedName name="Table1" localSheetId="10">'Bureau 6'!$D$49:$M$59</definedName>
    <definedName name="Table1" localSheetId="11">'Bureau 7'!$D$49:$M$59</definedName>
    <definedName name="Table1" localSheetId="12">'Bureau 8'!$D$49:$M$59</definedName>
    <definedName name="Table1" localSheetId="13">'Bureau 9'!$D$49:$M$59</definedName>
    <definedName name="Table1" localSheetId="3">Exemple!$D$49:$P$59</definedName>
    <definedName name="Table1">'Bureau 0'!$D$49:$M$59</definedName>
    <definedName name="Table2" localSheetId="5">'Bureau 1'!$D$67:$M$72</definedName>
    <definedName name="Table2" localSheetId="14">'Bureau 10'!$D$67:$M$72</definedName>
    <definedName name="Table2" localSheetId="15">'Bureau 11'!$D$67:$M$72</definedName>
    <definedName name="Table2" localSheetId="16">'Bureau 12'!$D$67:$M$72</definedName>
    <definedName name="Table2" localSheetId="6">'Bureau 2'!$D$67:$M$72</definedName>
    <definedName name="Table2" localSheetId="7">'Bureau 3'!$D$67:$M$72</definedName>
    <definedName name="Table2" localSheetId="8">'Bureau 4'!$D$67:$M$72</definedName>
    <definedName name="Table2" localSheetId="9">'Bureau 5'!$D$67:$M$72</definedName>
    <definedName name="Table2" localSheetId="10">'Bureau 6'!$D$67:$M$72</definedName>
    <definedName name="Table2" localSheetId="11">'Bureau 7'!$D$67:$M$72</definedName>
    <definedName name="Table2" localSheetId="12">'Bureau 8'!$D$67:$M$72</definedName>
    <definedName name="Table2" localSheetId="13">'Bureau 9'!$D$67:$M$72</definedName>
    <definedName name="Table2" localSheetId="3">Exemple!$D$67:$P$72</definedName>
    <definedName name="Table2">'Bureau 0'!$D$67:$M$72</definedName>
    <definedName name="Table3" localSheetId="5">'Bureau 1'!$D$78:$M$80</definedName>
    <definedName name="Table3" localSheetId="14">'Bureau 10'!$D$78:$M$80</definedName>
    <definedName name="Table3" localSheetId="15">'Bureau 11'!$D$78:$M$80</definedName>
    <definedName name="Table3" localSheetId="16">'Bureau 12'!$D$78:$M$80</definedName>
    <definedName name="Table3" localSheetId="6">'Bureau 2'!$D$78:$M$80</definedName>
    <definedName name="Table3" localSheetId="7">'Bureau 3'!$D$78:$M$80</definedName>
    <definedName name="Table3" localSheetId="8">'Bureau 4'!$D$78:$M$80</definedName>
    <definedName name="Table3" localSheetId="9">'Bureau 5'!$D$78:$M$80</definedName>
    <definedName name="Table3" localSheetId="10">'Bureau 6'!$D$78:$M$80</definedName>
    <definedName name="Table3" localSheetId="11">'Bureau 7'!$D$78:$M$80</definedName>
    <definedName name="Table3" localSheetId="12">'Bureau 8'!$D$78:$M$80</definedName>
    <definedName name="Table3" localSheetId="13">'Bureau 9'!$D$78:$M$80</definedName>
    <definedName name="Table3" localSheetId="3">Exemple!$D$78:$P$80</definedName>
    <definedName name="Table3">'Bureau 0'!$D$78:$M$80</definedName>
  </definedNames>
  <calcPr calcId="191029" calcCompleted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878" l="1"/>
  <c r="B5" i="878"/>
  <c r="N80" i="878"/>
  <c r="N79" i="878"/>
  <c r="N78" i="878"/>
  <c r="N72" i="878"/>
  <c r="N71" i="878"/>
  <c r="N70" i="878"/>
  <c r="N69" i="878"/>
  <c r="N68" i="878"/>
  <c r="N59" i="878"/>
  <c r="N58" i="878"/>
  <c r="N57" i="878"/>
  <c r="N56" i="878"/>
  <c r="N55" i="878"/>
  <c r="N54" i="878"/>
  <c r="N53" i="878"/>
  <c r="N52" i="878"/>
  <c r="N51" i="878"/>
  <c r="N50" i="878"/>
  <c r="D25" i="878"/>
  <c r="U15" i="878"/>
  <c r="R15" i="878"/>
  <c r="U14" i="878"/>
  <c r="R14" i="878"/>
  <c r="U13" i="878"/>
  <c r="R13" i="878"/>
  <c r="U12" i="878"/>
  <c r="R12" i="878"/>
  <c r="U11" i="878"/>
  <c r="R11" i="878"/>
  <c r="U10" i="878"/>
  <c r="R10" i="878"/>
  <c r="U9" i="878"/>
  <c r="R9" i="878"/>
  <c r="U8" i="878"/>
  <c r="R8" i="878"/>
  <c r="U7" i="878"/>
  <c r="R7" i="878"/>
  <c r="B7" i="878"/>
  <c r="E24" i="878" s="1"/>
  <c r="U6" i="878"/>
  <c r="R6" i="878"/>
  <c r="U5" i="878"/>
  <c r="R5" i="878"/>
  <c r="U4" i="878"/>
  <c r="R4" i="878"/>
  <c r="B3" i="878"/>
  <c r="K2" i="878"/>
  <c r="J2" i="878"/>
  <c r="I2" i="878"/>
  <c r="H2" i="878"/>
  <c r="G2" i="878"/>
  <c r="F2" i="878"/>
  <c r="E2" i="878"/>
  <c r="B2" i="878"/>
  <c r="B1" i="878"/>
  <c r="B6" i="877"/>
  <c r="B5" i="877"/>
  <c r="N80" i="877"/>
  <c r="N79" i="877"/>
  <c r="N78" i="877"/>
  <c r="N72" i="877"/>
  <c r="N71" i="877"/>
  <c r="N70" i="877"/>
  <c r="N69" i="877"/>
  <c r="N68" i="877"/>
  <c r="N59" i="877"/>
  <c r="N58" i="877"/>
  <c r="N57" i="877"/>
  <c r="N56" i="877"/>
  <c r="N55" i="877"/>
  <c r="N54" i="877"/>
  <c r="N53" i="877"/>
  <c r="N52" i="877"/>
  <c r="N51" i="877"/>
  <c r="N50" i="877"/>
  <c r="D25" i="877"/>
  <c r="U15" i="877"/>
  <c r="R15" i="877"/>
  <c r="U14" i="877"/>
  <c r="R14" i="877"/>
  <c r="U13" i="877"/>
  <c r="R13" i="877"/>
  <c r="U12" i="877"/>
  <c r="R12" i="877"/>
  <c r="U11" i="877"/>
  <c r="R11" i="877"/>
  <c r="U10" i="877"/>
  <c r="R10" i="877"/>
  <c r="U9" i="877"/>
  <c r="R9" i="877"/>
  <c r="U8" i="877"/>
  <c r="R8" i="877"/>
  <c r="U7" i="877"/>
  <c r="R7" i="877"/>
  <c r="B7" i="877"/>
  <c r="E24" i="877" s="1"/>
  <c r="U6" i="877"/>
  <c r="R6" i="877"/>
  <c r="U5" i="877"/>
  <c r="R5" i="877"/>
  <c r="U4" i="877"/>
  <c r="R4" i="877"/>
  <c r="B3" i="877"/>
  <c r="K2" i="877"/>
  <c r="J2" i="877"/>
  <c r="I2" i="877"/>
  <c r="H2" i="877"/>
  <c r="G2" i="877"/>
  <c r="F2" i="877"/>
  <c r="E2" i="877"/>
  <c r="B2" i="877"/>
  <c r="B1" i="877"/>
  <c r="B6" i="876"/>
  <c r="B5" i="876"/>
  <c r="N80" i="876"/>
  <c r="N79" i="876"/>
  <c r="N78" i="876"/>
  <c r="N72" i="876"/>
  <c r="N71" i="876"/>
  <c r="N70" i="876"/>
  <c r="N69" i="876"/>
  <c r="N68" i="876"/>
  <c r="N59" i="876"/>
  <c r="N58" i="876"/>
  <c r="N57" i="876"/>
  <c r="N56" i="876"/>
  <c r="N55" i="876"/>
  <c r="N54" i="876"/>
  <c r="N53" i="876"/>
  <c r="N52" i="876"/>
  <c r="N51" i="876"/>
  <c r="N50" i="876"/>
  <c r="D25" i="876"/>
  <c r="U15" i="876"/>
  <c r="R15" i="876"/>
  <c r="U14" i="876"/>
  <c r="R14" i="876"/>
  <c r="U13" i="876"/>
  <c r="R13" i="876"/>
  <c r="U12" i="876"/>
  <c r="R12" i="876"/>
  <c r="U11" i="876"/>
  <c r="R11" i="876"/>
  <c r="U10" i="876"/>
  <c r="R10" i="876"/>
  <c r="U9" i="876"/>
  <c r="R9" i="876"/>
  <c r="U8" i="876"/>
  <c r="R8" i="876"/>
  <c r="U7" i="876"/>
  <c r="R7" i="876"/>
  <c r="B7" i="876"/>
  <c r="E24" i="876" s="1"/>
  <c r="U6" i="876"/>
  <c r="R6" i="876"/>
  <c r="U5" i="876"/>
  <c r="R5" i="876"/>
  <c r="U4" i="876"/>
  <c r="R4" i="876"/>
  <c r="B3" i="876"/>
  <c r="K2" i="876"/>
  <c r="J2" i="876"/>
  <c r="I2" i="876"/>
  <c r="H2" i="876"/>
  <c r="G2" i="876"/>
  <c r="F2" i="876"/>
  <c r="E2" i="876"/>
  <c r="B2" i="876"/>
  <c r="B1" i="876"/>
  <c r="B6" i="875"/>
  <c r="B5" i="875"/>
  <c r="N80" i="875"/>
  <c r="N79" i="875"/>
  <c r="N78" i="875"/>
  <c r="N72" i="875"/>
  <c r="N71" i="875"/>
  <c r="N70" i="875"/>
  <c r="N69" i="875"/>
  <c r="N68" i="875"/>
  <c r="N59" i="875"/>
  <c r="N58" i="875"/>
  <c r="N57" i="875"/>
  <c r="N56" i="875"/>
  <c r="N55" i="875"/>
  <c r="N54" i="875"/>
  <c r="N53" i="875"/>
  <c r="N52" i="875"/>
  <c r="N51" i="875"/>
  <c r="N50" i="875"/>
  <c r="E24" i="875"/>
  <c r="D12" i="875" s="1" a="1"/>
  <c r="D12" i="875" s="1"/>
  <c r="U15" i="875"/>
  <c r="R15" i="875"/>
  <c r="U14" i="875"/>
  <c r="R14" i="875"/>
  <c r="U13" i="875"/>
  <c r="R13" i="875"/>
  <c r="U12" i="875"/>
  <c r="R12" i="875"/>
  <c r="U11" i="875"/>
  <c r="R11" i="875"/>
  <c r="U10" i="875"/>
  <c r="R10" i="875"/>
  <c r="U9" i="875"/>
  <c r="R9" i="875"/>
  <c r="U8" i="875"/>
  <c r="R8" i="875"/>
  <c r="U7" i="875"/>
  <c r="R7" i="875"/>
  <c r="D7" i="875" a="1"/>
  <c r="D7" i="875" s="1"/>
  <c r="B7" i="875"/>
  <c r="D25" i="875" s="1"/>
  <c r="U6" i="875"/>
  <c r="R6" i="875"/>
  <c r="D6" i="875" a="1"/>
  <c r="D6" i="875" s="1"/>
  <c r="U5" i="875"/>
  <c r="R5" i="875"/>
  <c r="U4" i="875"/>
  <c r="R4" i="875"/>
  <c r="D4" i="875" a="1"/>
  <c r="D4" i="875" s="1"/>
  <c r="D3" i="875" a="1"/>
  <c r="D3" i="875" s="1"/>
  <c r="B3" i="875"/>
  <c r="K2" i="875"/>
  <c r="J2" i="875"/>
  <c r="I2" i="875"/>
  <c r="H2" i="875"/>
  <c r="G2" i="875"/>
  <c r="F2" i="875"/>
  <c r="E2" i="875"/>
  <c r="B2" i="875"/>
  <c r="B1" i="875"/>
  <c r="B6" i="874"/>
  <c r="B5" i="874"/>
  <c r="N80" i="874"/>
  <c r="N79" i="874"/>
  <c r="N78" i="874"/>
  <c r="N72" i="874"/>
  <c r="N71" i="874"/>
  <c r="N70" i="874"/>
  <c r="N69" i="874"/>
  <c r="N68" i="874"/>
  <c r="N59" i="874"/>
  <c r="N58" i="874"/>
  <c r="N57" i="874"/>
  <c r="N56" i="874"/>
  <c r="N55" i="874"/>
  <c r="N54" i="874"/>
  <c r="N53" i="874"/>
  <c r="N52" i="874"/>
  <c r="N51" i="874"/>
  <c r="N50" i="874"/>
  <c r="D25" i="874"/>
  <c r="U15" i="874"/>
  <c r="R15" i="874"/>
  <c r="U14" i="874"/>
  <c r="R14" i="874"/>
  <c r="U13" i="874"/>
  <c r="R13" i="874"/>
  <c r="U12" i="874"/>
  <c r="R12" i="874"/>
  <c r="U11" i="874"/>
  <c r="R11" i="874"/>
  <c r="U10" i="874"/>
  <c r="R10" i="874"/>
  <c r="U9" i="874"/>
  <c r="R9" i="874"/>
  <c r="U8" i="874"/>
  <c r="R8" i="874"/>
  <c r="U7" i="874"/>
  <c r="R7" i="874"/>
  <c r="B7" i="874"/>
  <c r="E24" i="874" s="1"/>
  <c r="U6" i="874"/>
  <c r="R6" i="874"/>
  <c r="U5" i="874"/>
  <c r="R5" i="874"/>
  <c r="U4" i="874"/>
  <c r="R4" i="874"/>
  <c r="B3" i="874"/>
  <c r="K2" i="874"/>
  <c r="J2" i="874"/>
  <c r="I2" i="874"/>
  <c r="H2" i="874"/>
  <c r="G2" i="874"/>
  <c r="F2" i="874"/>
  <c r="E2" i="874"/>
  <c r="B2" i="874"/>
  <c r="B1" i="874"/>
  <c r="B6" i="873"/>
  <c r="B5" i="873"/>
  <c r="N80" i="873"/>
  <c r="N79" i="873"/>
  <c r="N78" i="873"/>
  <c r="N72" i="873"/>
  <c r="N71" i="873"/>
  <c r="N70" i="873"/>
  <c r="N69" i="873"/>
  <c r="N68" i="873"/>
  <c r="N59" i="873"/>
  <c r="N58" i="873"/>
  <c r="N57" i="873"/>
  <c r="N56" i="873"/>
  <c r="N55" i="873"/>
  <c r="N54" i="873"/>
  <c r="N53" i="873"/>
  <c r="N52" i="873"/>
  <c r="N51" i="873"/>
  <c r="N50" i="873"/>
  <c r="D25" i="873"/>
  <c r="U15" i="873"/>
  <c r="R15" i="873"/>
  <c r="U14" i="873"/>
  <c r="R14" i="873"/>
  <c r="U13" i="873"/>
  <c r="R13" i="873"/>
  <c r="U12" i="873"/>
  <c r="R12" i="873"/>
  <c r="U11" i="873"/>
  <c r="R11" i="873"/>
  <c r="U10" i="873"/>
  <c r="R10" i="873"/>
  <c r="U9" i="873"/>
  <c r="R9" i="873"/>
  <c r="U8" i="873"/>
  <c r="R8" i="873"/>
  <c r="U7" i="873"/>
  <c r="R7" i="873"/>
  <c r="B7" i="873"/>
  <c r="E24" i="873" s="1"/>
  <c r="U6" i="873"/>
  <c r="R6" i="873"/>
  <c r="U5" i="873"/>
  <c r="R5" i="873"/>
  <c r="U4" i="873"/>
  <c r="R4" i="873"/>
  <c r="B3" i="873"/>
  <c r="K2" i="873"/>
  <c r="J2" i="873"/>
  <c r="I2" i="873"/>
  <c r="H2" i="873"/>
  <c r="G2" i="873"/>
  <c r="F2" i="873"/>
  <c r="E2" i="873"/>
  <c r="B2" i="873"/>
  <c r="B1" i="873"/>
  <c r="B6" i="872"/>
  <c r="B5" i="872"/>
  <c r="N80" i="872"/>
  <c r="N79" i="872"/>
  <c r="N78" i="872"/>
  <c r="N72" i="872"/>
  <c r="N71" i="872"/>
  <c r="N70" i="872"/>
  <c r="N69" i="872"/>
  <c r="N68" i="872"/>
  <c r="N59" i="872"/>
  <c r="N58" i="872"/>
  <c r="N57" i="872"/>
  <c r="N56" i="872"/>
  <c r="N55" i="872"/>
  <c r="N54" i="872"/>
  <c r="N53" i="872"/>
  <c r="N52" i="872"/>
  <c r="N51" i="872"/>
  <c r="N50" i="872"/>
  <c r="D25" i="872"/>
  <c r="U15" i="872"/>
  <c r="R15" i="872"/>
  <c r="U14" i="872"/>
  <c r="R14" i="872"/>
  <c r="U13" i="872"/>
  <c r="R13" i="872"/>
  <c r="U12" i="872"/>
  <c r="R12" i="872"/>
  <c r="U11" i="872"/>
  <c r="R11" i="872"/>
  <c r="U10" i="872"/>
  <c r="R10" i="872"/>
  <c r="U9" i="872"/>
  <c r="R9" i="872"/>
  <c r="U8" i="872"/>
  <c r="R8" i="872"/>
  <c r="U7" i="872"/>
  <c r="R7" i="872"/>
  <c r="B7" i="872"/>
  <c r="E24" i="872" s="1"/>
  <c r="U6" i="872"/>
  <c r="R6" i="872"/>
  <c r="U5" i="872"/>
  <c r="R5" i="872"/>
  <c r="U4" i="872"/>
  <c r="R4" i="872"/>
  <c r="B3" i="872"/>
  <c r="K2" i="872"/>
  <c r="J2" i="872"/>
  <c r="I2" i="872"/>
  <c r="H2" i="872"/>
  <c r="G2" i="872"/>
  <c r="F2" i="872"/>
  <c r="E2" i="872"/>
  <c r="B2" i="872"/>
  <c r="B1" i="872"/>
  <c r="B6" i="871"/>
  <c r="B5" i="871"/>
  <c r="N80" i="871"/>
  <c r="N79" i="871"/>
  <c r="N78" i="871"/>
  <c r="N72" i="871"/>
  <c r="N71" i="871"/>
  <c r="N70" i="871"/>
  <c r="N69" i="871"/>
  <c r="N68" i="871"/>
  <c r="N59" i="871"/>
  <c r="N58" i="871"/>
  <c r="N57" i="871"/>
  <c r="N56" i="871"/>
  <c r="N55" i="871"/>
  <c r="N54" i="871"/>
  <c r="N53" i="871"/>
  <c r="N52" i="871"/>
  <c r="N51" i="871"/>
  <c r="N50" i="871"/>
  <c r="U15" i="871"/>
  <c r="R15" i="871"/>
  <c r="U14" i="871"/>
  <c r="R14" i="871"/>
  <c r="U13" i="871"/>
  <c r="R13" i="871"/>
  <c r="U12" i="871"/>
  <c r="R12" i="871"/>
  <c r="U11" i="871"/>
  <c r="R11" i="871"/>
  <c r="U10" i="871"/>
  <c r="R10" i="871"/>
  <c r="U9" i="871"/>
  <c r="R9" i="871"/>
  <c r="U8" i="871"/>
  <c r="R8" i="871"/>
  <c r="U7" i="871"/>
  <c r="R7" i="871"/>
  <c r="B7" i="871"/>
  <c r="D25" i="871" s="1"/>
  <c r="U6" i="871"/>
  <c r="R6" i="871"/>
  <c r="U5" i="871"/>
  <c r="R5" i="871"/>
  <c r="U4" i="871"/>
  <c r="R4" i="871"/>
  <c r="B3" i="871"/>
  <c r="K2" i="871"/>
  <c r="J2" i="871"/>
  <c r="I2" i="871"/>
  <c r="H2" i="871"/>
  <c r="G2" i="871"/>
  <c r="F2" i="871"/>
  <c r="E2" i="871"/>
  <c r="B2" i="871"/>
  <c r="B1" i="871"/>
  <c r="B6" i="870"/>
  <c r="B5" i="870"/>
  <c r="N80" i="870"/>
  <c r="N79" i="870"/>
  <c r="N78" i="870"/>
  <c r="N72" i="870"/>
  <c r="N71" i="870"/>
  <c r="N70" i="870"/>
  <c r="N69" i="870"/>
  <c r="N68" i="870"/>
  <c r="N59" i="870"/>
  <c r="N58" i="870"/>
  <c r="N57" i="870"/>
  <c r="N56" i="870"/>
  <c r="N55" i="870"/>
  <c r="N54" i="870"/>
  <c r="N53" i="870"/>
  <c r="N52" i="870"/>
  <c r="N51" i="870"/>
  <c r="N50" i="870"/>
  <c r="U15" i="870"/>
  <c r="R15" i="870"/>
  <c r="U14" i="870"/>
  <c r="R14" i="870"/>
  <c r="U13" i="870"/>
  <c r="R13" i="870"/>
  <c r="U12" i="870"/>
  <c r="R12" i="870"/>
  <c r="U11" i="870"/>
  <c r="R11" i="870"/>
  <c r="U10" i="870"/>
  <c r="R10" i="870"/>
  <c r="U9" i="870"/>
  <c r="R9" i="870"/>
  <c r="U8" i="870"/>
  <c r="R8" i="870"/>
  <c r="U7" i="870"/>
  <c r="R7" i="870"/>
  <c r="B7" i="870"/>
  <c r="D25" i="870" s="1"/>
  <c r="U6" i="870"/>
  <c r="R6" i="870"/>
  <c r="E25" i="870"/>
  <c r="U5" i="870"/>
  <c r="R5" i="870"/>
  <c r="U4" i="870"/>
  <c r="R4" i="870"/>
  <c r="B3" i="870"/>
  <c r="K2" i="870"/>
  <c r="J2" i="870"/>
  <c r="I2" i="870"/>
  <c r="H2" i="870"/>
  <c r="G2" i="870"/>
  <c r="F2" i="870"/>
  <c r="E2" i="870"/>
  <c r="B2" i="870"/>
  <c r="B1" i="870"/>
  <c r="B6" i="869"/>
  <c r="B5" i="869"/>
  <c r="N80" i="869"/>
  <c r="N79" i="869"/>
  <c r="N78" i="869"/>
  <c r="N72" i="869"/>
  <c r="N71" i="869"/>
  <c r="N70" i="869"/>
  <c r="N69" i="869"/>
  <c r="N68" i="869"/>
  <c r="N59" i="869"/>
  <c r="N58" i="869"/>
  <c r="N57" i="869"/>
  <c r="N56" i="869"/>
  <c r="N55" i="869"/>
  <c r="N54" i="869"/>
  <c r="N53" i="869"/>
  <c r="N52" i="869"/>
  <c r="N51" i="869"/>
  <c r="N50" i="869"/>
  <c r="U15" i="869"/>
  <c r="R15" i="869"/>
  <c r="U14" i="869"/>
  <c r="R14" i="869"/>
  <c r="U13" i="869"/>
  <c r="R13" i="869"/>
  <c r="U12" i="869"/>
  <c r="R12" i="869"/>
  <c r="U11" i="869"/>
  <c r="R11" i="869"/>
  <c r="U10" i="869"/>
  <c r="R10" i="869"/>
  <c r="U9" i="869"/>
  <c r="R9" i="869"/>
  <c r="U8" i="869"/>
  <c r="R8" i="869"/>
  <c r="U7" i="869"/>
  <c r="R7" i="869"/>
  <c r="B7" i="869"/>
  <c r="D25" i="869" s="1"/>
  <c r="U6" i="869"/>
  <c r="R6" i="869"/>
  <c r="U5" i="869"/>
  <c r="R5" i="869"/>
  <c r="U4" i="869"/>
  <c r="R4" i="869"/>
  <c r="B3" i="869"/>
  <c r="K2" i="869"/>
  <c r="J2" i="869"/>
  <c r="I2" i="869"/>
  <c r="H2" i="869"/>
  <c r="G2" i="869"/>
  <c r="F2" i="869"/>
  <c r="E2" i="869"/>
  <c r="B2" i="869"/>
  <c r="B1" i="869"/>
  <c r="B6" i="868"/>
  <c r="B5" i="868"/>
  <c r="N80" i="868"/>
  <c r="N79" i="868"/>
  <c r="N78" i="868"/>
  <c r="N72" i="868"/>
  <c r="N71" i="868"/>
  <c r="N70" i="868"/>
  <c r="N69" i="868"/>
  <c r="N68" i="868"/>
  <c r="N59" i="868"/>
  <c r="N58" i="868"/>
  <c r="N57" i="868"/>
  <c r="N56" i="868"/>
  <c r="N55" i="868"/>
  <c r="N54" i="868"/>
  <c r="N53" i="868"/>
  <c r="N52" i="868"/>
  <c r="N51" i="868"/>
  <c r="N50" i="868"/>
  <c r="U15" i="868"/>
  <c r="R15" i="868"/>
  <c r="U14" i="868"/>
  <c r="R14" i="868"/>
  <c r="U13" i="868"/>
  <c r="R13" i="868"/>
  <c r="U12" i="868"/>
  <c r="R12" i="868"/>
  <c r="U11" i="868"/>
  <c r="R11" i="868"/>
  <c r="U10" i="868"/>
  <c r="R10" i="868"/>
  <c r="U9" i="868"/>
  <c r="R9" i="868"/>
  <c r="U8" i="868"/>
  <c r="R8" i="868"/>
  <c r="U7" i="868"/>
  <c r="R7" i="868"/>
  <c r="B7" i="868"/>
  <c r="D25" i="868" s="1"/>
  <c r="U6" i="868"/>
  <c r="R6" i="868"/>
  <c r="U5" i="868"/>
  <c r="R5" i="868"/>
  <c r="U4" i="868"/>
  <c r="R4" i="868"/>
  <c r="B3" i="868"/>
  <c r="K2" i="868"/>
  <c r="J2" i="868"/>
  <c r="I2" i="868"/>
  <c r="H2" i="868"/>
  <c r="G2" i="868"/>
  <c r="F2" i="868"/>
  <c r="E2" i="868"/>
  <c r="B2" i="868"/>
  <c r="B1" i="868"/>
  <c r="B6" i="867"/>
  <c r="B5" i="867"/>
  <c r="N80" i="867"/>
  <c r="N79" i="867"/>
  <c r="N78" i="867"/>
  <c r="N72" i="867"/>
  <c r="N71" i="867"/>
  <c r="N70" i="867"/>
  <c r="N69" i="867"/>
  <c r="N68" i="867"/>
  <c r="N59" i="867"/>
  <c r="N58" i="867"/>
  <c r="N57" i="867"/>
  <c r="N56" i="867"/>
  <c r="N55" i="867"/>
  <c r="N54" i="867"/>
  <c r="N53" i="867"/>
  <c r="N52" i="867"/>
  <c r="N51" i="867"/>
  <c r="N50" i="867"/>
  <c r="U15" i="867"/>
  <c r="R15" i="867"/>
  <c r="U14" i="867"/>
  <c r="R14" i="867"/>
  <c r="U13" i="867"/>
  <c r="R13" i="867"/>
  <c r="U12" i="867"/>
  <c r="R12" i="867"/>
  <c r="U11" i="867"/>
  <c r="R11" i="867"/>
  <c r="U10" i="867"/>
  <c r="R10" i="867"/>
  <c r="U9" i="867"/>
  <c r="R9" i="867"/>
  <c r="U8" i="867"/>
  <c r="R8" i="867"/>
  <c r="U7" i="867"/>
  <c r="R7" i="867"/>
  <c r="B7" i="867"/>
  <c r="D25" i="867" s="1"/>
  <c r="U6" i="867"/>
  <c r="R6" i="867"/>
  <c r="U5" i="867"/>
  <c r="R5" i="867"/>
  <c r="U4" i="867"/>
  <c r="R4" i="867"/>
  <c r="B3" i="867"/>
  <c r="K2" i="867"/>
  <c r="J2" i="867"/>
  <c r="I2" i="867"/>
  <c r="H2" i="867"/>
  <c r="G2" i="867"/>
  <c r="F2" i="867"/>
  <c r="E2" i="867"/>
  <c r="B2" i="867"/>
  <c r="B1" i="867"/>
  <c r="I3" i="757"/>
  <c r="J3" i="757"/>
  <c r="K3" i="757"/>
  <c r="L3" i="757"/>
  <c r="M3" i="757"/>
  <c r="N3" i="757"/>
  <c r="H3" i="757"/>
  <c r="B3" i="3"/>
  <c r="B4" i="3"/>
  <c r="B5" i="3"/>
  <c r="B6" i="3"/>
  <c r="B7" i="3"/>
  <c r="B8" i="3"/>
  <c r="B9" i="3"/>
  <c r="B10" i="3"/>
  <c r="B11" i="3"/>
  <c r="B12" i="3"/>
  <c r="B13" i="3"/>
  <c r="B2" i="3"/>
  <c r="AB5" i="757"/>
  <c r="AB6" i="757"/>
  <c r="AB7" i="757"/>
  <c r="AB8" i="757"/>
  <c r="AB9" i="757"/>
  <c r="AB10" i="757"/>
  <c r="AB11" i="757"/>
  <c r="AB12" i="757"/>
  <c r="AB13" i="757"/>
  <c r="AB14" i="757"/>
  <c r="AB15" i="757"/>
  <c r="AB16" i="757"/>
  <c r="AB4" i="757"/>
  <c r="AA5" i="757"/>
  <c r="AA6" i="757"/>
  <c r="AA7" i="757"/>
  <c r="AA8" i="757"/>
  <c r="AA9" i="757"/>
  <c r="AA10" i="757"/>
  <c r="AA11" i="757"/>
  <c r="AA12" i="757"/>
  <c r="AA13" i="757"/>
  <c r="AA14" i="757"/>
  <c r="AA15" i="757"/>
  <c r="AA4" i="757"/>
  <c r="G23" i="757"/>
  <c r="G24" i="757"/>
  <c r="G25" i="757"/>
  <c r="G26" i="757"/>
  <c r="G27" i="757"/>
  <c r="G28" i="757"/>
  <c r="G29" i="757"/>
  <c r="G30" i="757"/>
  <c r="G31" i="757"/>
  <c r="G32" i="757"/>
  <c r="G33" i="757"/>
  <c r="G34" i="757"/>
  <c r="G22" i="757"/>
  <c r="G5" i="757"/>
  <c r="G6" i="757"/>
  <c r="G7" i="757"/>
  <c r="G8" i="757"/>
  <c r="G9" i="757"/>
  <c r="G10" i="757"/>
  <c r="G11" i="757"/>
  <c r="G12" i="757"/>
  <c r="G13" i="757"/>
  <c r="G14" i="757"/>
  <c r="G15" i="757"/>
  <c r="G16" i="757"/>
  <c r="G4" i="757"/>
  <c r="B17" i="3"/>
  <c r="B16" i="3"/>
  <c r="B15" i="3"/>
  <c r="B3" i="207"/>
  <c r="B2" i="207"/>
  <c r="B1" i="207"/>
  <c r="B3" i="578"/>
  <c r="B2" i="578"/>
  <c r="B1" i="578"/>
  <c r="AJ4" i="757"/>
  <c r="AJ3" i="757"/>
  <c r="AJ2" i="757"/>
  <c r="C4" i="757"/>
  <c r="C3" i="757"/>
  <c r="C2" i="757"/>
  <c r="B5" i="207" a="1"/>
  <c r="B5" i="207" s="1"/>
  <c r="F14" i="757" a="1"/>
  <c r="F11" i="757" a="1"/>
  <c r="F13" i="757" a="1"/>
  <c r="F4" i="757" a="1"/>
  <c r="F7" i="757" a="1"/>
  <c r="F15" i="757" a="1"/>
  <c r="F6" i="757" a="1"/>
  <c r="F5" i="757" a="1"/>
  <c r="F10" i="757" a="1"/>
  <c r="F12" i="757" a="1"/>
  <c r="F8" i="757" a="1"/>
  <c r="F9" i="757" a="1"/>
  <c r="G4" i="1"/>
  <c r="E25" i="878" l="1"/>
  <c r="D24" i="878"/>
  <c r="B9" i="878"/>
  <c r="R3" i="878"/>
  <c r="D12" i="878" a="1"/>
  <c r="D12" i="878" s="1"/>
  <c r="D7" i="878" a="1"/>
  <c r="D7" i="878" s="1"/>
  <c r="D6" i="878" a="1"/>
  <c r="D6" i="878" s="1"/>
  <c r="D3" i="878" a="1"/>
  <c r="D3" i="878" s="1"/>
  <c r="D9" i="878" a="1"/>
  <c r="D9" i="878" s="1"/>
  <c r="D8" i="878" a="1"/>
  <c r="D8" i="878" s="1"/>
  <c r="D5" i="878" a="1"/>
  <c r="D5" i="878" s="1"/>
  <c r="D10" i="878" a="1"/>
  <c r="D10" i="878" s="1"/>
  <c r="D4" i="878" a="1"/>
  <c r="D4" i="878" s="1"/>
  <c r="D11" i="878" a="1"/>
  <c r="D11" i="878" s="1"/>
  <c r="E25" i="877"/>
  <c r="R3" i="877"/>
  <c r="D24" i="877"/>
  <c r="B9" i="877"/>
  <c r="D11" i="877" a="1"/>
  <c r="D11" i="877" s="1"/>
  <c r="D12" i="877" a="1"/>
  <c r="D12" i="877" s="1"/>
  <c r="D7" i="877" a="1"/>
  <c r="D7" i="877" s="1"/>
  <c r="D6" i="877" a="1"/>
  <c r="D6" i="877" s="1"/>
  <c r="D3" i="877" a="1"/>
  <c r="D3" i="877" s="1"/>
  <c r="D9" i="877" a="1"/>
  <c r="D9" i="877" s="1"/>
  <c r="D8" i="877" a="1"/>
  <c r="D8" i="877" s="1"/>
  <c r="D5" i="877" a="1"/>
  <c r="D5" i="877" s="1"/>
  <c r="D10" i="877" a="1"/>
  <c r="D10" i="877" s="1"/>
  <c r="D4" i="877" a="1"/>
  <c r="D4" i="877" s="1"/>
  <c r="D12" i="876" a="1"/>
  <c r="D12" i="876" s="1"/>
  <c r="D7" i="876" a="1"/>
  <c r="D7" i="876" s="1"/>
  <c r="D6" i="876" a="1"/>
  <c r="D6" i="876" s="1"/>
  <c r="D3" i="876" a="1"/>
  <c r="D3" i="876" s="1"/>
  <c r="D11" i="876" a="1"/>
  <c r="D11" i="876" s="1"/>
  <c r="D9" i="876" a="1"/>
  <c r="D9" i="876" s="1"/>
  <c r="D8" i="876" a="1"/>
  <c r="D8" i="876" s="1"/>
  <c r="D5" i="876" a="1"/>
  <c r="D5" i="876" s="1"/>
  <c r="D10" i="876" a="1"/>
  <c r="D10" i="876" s="1"/>
  <c r="D4" i="876" a="1"/>
  <c r="D4" i="876" s="1"/>
  <c r="R3" i="876"/>
  <c r="E25" i="876"/>
  <c r="D24" i="876"/>
  <c r="B9" i="876"/>
  <c r="J3" i="875" a="1"/>
  <c r="J3" i="875" s="1"/>
  <c r="F3" i="875" a="1"/>
  <c r="F3" i="875" s="1"/>
  <c r="M3" i="875" a="1"/>
  <c r="M3" i="875" s="1"/>
  <c r="I3" i="875" a="1"/>
  <c r="I3" i="875" s="1"/>
  <c r="E3" i="875" a="1"/>
  <c r="E3" i="875" s="1"/>
  <c r="L3" i="875" a="1"/>
  <c r="L3" i="875" s="1"/>
  <c r="H3" i="875" a="1"/>
  <c r="H3" i="875" s="1"/>
  <c r="K3" i="875" a="1"/>
  <c r="K3" i="875" s="1"/>
  <c r="G3" i="875" a="1"/>
  <c r="G3" i="875" s="1"/>
  <c r="K4" i="875" a="1"/>
  <c r="K4" i="875" s="1"/>
  <c r="G4" i="875" a="1"/>
  <c r="G4" i="875" s="1"/>
  <c r="J4" i="875" a="1"/>
  <c r="J4" i="875" s="1"/>
  <c r="F4" i="875" a="1"/>
  <c r="F4" i="875" s="1"/>
  <c r="E4" i="875" a="1"/>
  <c r="E4" i="875" s="1"/>
  <c r="M4" i="875" a="1"/>
  <c r="M4" i="875" s="1"/>
  <c r="I4" i="875" a="1"/>
  <c r="I4" i="875" s="1"/>
  <c r="L4" i="875" a="1"/>
  <c r="L4" i="875" s="1"/>
  <c r="H4" i="875" a="1"/>
  <c r="H4" i="875" s="1"/>
  <c r="J6" i="875" a="1"/>
  <c r="J6" i="875" s="1"/>
  <c r="F6" i="875" a="1"/>
  <c r="F6" i="875" s="1"/>
  <c r="M6" i="875" a="1"/>
  <c r="M6" i="875" s="1"/>
  <c r="I6" i="875" a="1"/>
  <c r="I6" i="875" s="1"/>
  <c r="E6" i="875" a="1"/>
  <c r="E6" i="875" s="1"/>
  <c r="L6" i="875" a="1"/>
  <c r="L6" i="875" s="1"/>
  <c r="H6" i="875" a="1"/>
  <c r="H6" i="875" s="1"/>
  <c r="K6" i="875" a="1"/>
  <c r="K6" i="875" s="1"/>
  <c r="G6" i="875" a="1"/>
  <c r="G6" i="875" s="1"/>
  <c r="J7" i="875" a="1"/>
  <c r="J7" i="875" s="1"/>
  <c r="F7" i="875" a="1"/>
  <c r="F7" i="875" s="1"/>
  <c r="M7" i="875" a="1"/>
  <c r="M7" i="875" s="1"/>
  <c r="I7" i="875" a="1"/>
  <c r="I7" i="875" s="1"/>
  <c r="E7" i="875" a="1"/>
  <c r="E7" i="875" s="1"/>
  <c r="L7" i="875" a="1"/>
  <c r="L7" i="875" s="1"/>
  <c r="H7" i="875" a="1"/>
  <c r="H7" i="875" s="1"/>
  <c r="K7" i="875" a="1"/>
  <c r="K7" i="875" s="1"/>
  <c r="G7" i="875" a="1"/>
  <c r="G7" i="875" s="1"/>
  <c r="E25" i="875"/>
  <c r="D24" i="875"/>
  <c r="B9" i="875"/>
  <c r="R3" i="875"/>
  <c r="M12" i="875" a="1"/>
  <c r="M12" i="875" s="1"/>
  <c r="I12" i="875" a="1"/>
  <c r="I12" i="875" s="1"/>
  <c r="E12" i="875" a="1"/>
  <c r="E12" i="875" s="1"/>
  <c r="L12" i="875" a="1"/>
  <c r="L12" i="875" s="1"/>
  <c r="H12" i="875" a="1"/>
  <c r="H12" i="875" s="1"/>
  <c r="K12" i="875" a="1"/>
  <c r="K12" i="875" s="1"/>
  <c r="G12" i="875" a="1"/>
  <c r="G12" i="875" s="1"/>
  <c r="J12" i="875" a="1"/>
  <c r="J12" i="875" s="1"/>
  <c r="F12" i="875" a="1"/>
  <c r="F12" i="875" s="1"/>
  <c r="D11" i="875" a="1"/>
  <c r="D11" i="875" s="1"/>
  <c r="D10" i="875" a="1"/>
  <c r="D10" i="875" s="1"/>
  <c r="D5" i="875" a="1"/>
  <c r="D5" i="875" s="1"/>
  <c r="D8" i="875" a="1"/>
  <c r="D8" i="875" s="1"/>
  <c r="D9" i="875" a="1"/>
  <c r="D9" i="875" s="1"/>
  <c r="E25" i="874"/>
  <c r="D24" i="874"/>
  <c r="B9" i="874"/>
  <c r="R3" i="874"/>
  <c r="D11" i="874" a="1"/>
  <c r="D11" i="874" s="1"/>
  <c r="D12" i="874" a="1"/>
  <c r="D12" i="874" s="1"/>
  <c r="D7" i="874" a="1"/>
  <c r="D7" i="874" s="1"/>
  <c r="D6" i="874" a="1"/>
  <c r="D6" i="874" s="1"/>
  <c r="D3" i="874" a="1"/>
  <c r="D3" i="874" s="1"/>
  <c r="D9" i="874" a="1"/>
  <c r="D9" i="874" s="1"/>
  <c r="D8" i="874" a="1"/>
  <c r="D8" i="874" s="1"/>
  <c r="D5" i="874" a="1"/>
  <c r="D5" i="874" s="1"/>
  <c r="D10" i="874" a="1"/>
  <c r="D10" i="874" s="1"/>
  <c r="D4" i="874" a="1"/>
  <c r="D4" i="874" s="1"/>
  <c r="E25" i="873"/>
  <c r="D24" i="873"/>
  <c r="B9" i="873"/>
  <c r="R3" i="873"/>
  <c r="D12" i="873" a="1"/>
  <c r="D12" i="873" s="1"/>
  <c r="D7" i="873" a="1"/>
  <c r="D7" i="873" s="1"/>
  <c r="D6" i="873" a="1"/>
  <c r="D6" i="873" s="1"/>
  <c r="D3" i="873" a="1"/>
  <c r="D3" i="873" s="1"/>
  <c r="D11" i="873" a="1"/>
  <c r="D11" i="873" s="1"/>
  <c r="D9" i="873" a="1"/>
  <c r="D9" i="873" s="1"/>
  <c r="D8" i="873" a="1"/>
  <c r="D8" i="873" s="1"/>
  <c r="D5" i="873" a="1"/>
  <c r="D5" i="873" s="1"/>
  <c r="D10" i="873" a="1"/>
  <c r="D10" i="873" s="1"/>
  <c r="D4" i="873" a="1"/>
  <c r="D4" i="873" s="1"/>
  <c r="D12" i="872" a="1"/>
  <c r="D12" i="872" s="1"/>
  <c r="D7" i="872" a="1"/>
  <c r="D7" i="872" s="1"/>
  <c r="D6" i="872" a="1"/>
  <c r="D6" i="872" s="1"/>
  <c r="D3" i="872" a="1"/>
  <c r="D3" i="872" s="1"/>
  <c r="D9" i="872" a="1"/>
  <c r="D9" i="872" s="1"/>
  <c r="D8" i="872" a="1"/>
  <c r="D8" i="872" s="1"/>
  <c r="D5" i="872" a="1"/>
  <c r="D5" i="872" s="1"/>
  <c r="D10" i="872" a="1"/>
  <c r="D10" i="872" s="1"/>
  <c r="D4" i="872" a="1"/>
  <c r="D4" i="872" s="1"/>
  <c r="D11" i="872" a="1"/>
  <c r="D11" i="872" s="1"/>
  <c r="E25" i="872"/>
  <c r="D24" i="872"/>
  <c r="B9" i="872"/>
  <c r="R3" i="872"/>
  <c r="E25" i="871"/>
  <c r="D24" i="871"/>
  <c r="R3" i="871"/>
  <c r="B9" i="871"/>
  <c r="E24" i="871"/>
  <c r="D20" i="870"/>
  <c r="D19" i="870"/>
  <c r="D22" i="870"/>
  <c r="D21" i="870"/>
  <c r="R3" i="870"/>
  <c r="B9" i="870"/>
  <c r="D24" i="870"/>
  <c r="E24" i="870"/>
  <c r="R3" i="869"/>
  <c r="E25" i="869"/>
  <c r="D24" i="869"/>
  <c r="B9" i="869"/>
  <c r="E24" i="869"/>
  <c r="E25" i="868"/>
  <c r="D24" i="868"/>
  <c r="R3" i="868"/>
  <c r="B9" i="868"/>
  <c r="E24" i="868"/>
  <c r="R3" i="867"/>
  <c r="E25" i="867"/>
  <c r="D24" i="867"/>
  <c r="B9" i="867"/>
  <c r="E24" i="867"/>
  <c r="F8" i="757"/>
  <c r="F7" i="757"/>
  <c r="F6" i="757"/>
  <c r="F12" i="757"/>
  <c r="F15" i="757"/>
  <c r="F11" i="757"/>
  <c r="F14" i="757"/>
  <c r="F10" i="757"/>
  <c r="F13" i="757"/>
  <c r="F9" i="757"/>
  <c r="F5" i="757"/>
  <c r="F4" i="757"/>
  <c r="AO8" i="3"/>
  <c r="AO7" i="3"/>
  <c r="AO6" i="3"/>
  <c r="AO5" i="3"/>
  <c r="AO4" i="3"/>
  <c r="AO3" i="3"/>
  <c r="AO2" i="3"/>
  <c r="E34" i="757"/>
  <c r="B6" i="207" a="1"/>
  <c r="B6" i="207" s="1"/>
  <c r="J6" i="878" l="1" a="1"/>
  <c r="J6" i="878" s="1"/>
  <c r="F6" i="878" a="1"/>
  <c r="F6" i="878" s="1"/>
  <c r="M6" i="878" a="1"/>
  <c r="M6" i="878" s="1"/>
  <c r="I6" i="878" a="1"/>
  <c r="I6" i="878" s="1"/>
  <c r="E6" i="878" a="1"/>
  <c r="E6" i="878" s="1"/>
  <c r="L6" i="878" a="1"/>
  <c r="L6" i="878" s="1"/>
  <c r="H6" i="878" a="1"/>
  <c r="H6" i="878" s="1"/>
  <c r="K6" i="878" a="1"/>
  <c r="K6" i="878" s="1"/>
  <c r="G6" i="878" a="1"/>
  <c r="G6" i="878" s="1"/>
  <c r="J3" i="878" a="1"/>
  <c r="J3" i="878" s="1"/>
  <c r="F3" i="878" a="1"/>
  <c r="F3" i="878" s="1"/>
  <c r="M3" i="878" a="1"/>
  <c r="M3" i="878" s="1"/>
  <c r="I3" i="878" a="1"/>
  <c r="I3" i="878" s="1"/>
  <c r="E3" i="878" a="1"/>
  <c r="E3" i="878" s="1"/>
  <c r="L3" i="878" a="1"/>
  <c r="L3" i="878" s="1"/>
  <c r="H3" i="878" a="1"/>
  <c r="H3" i="878" s="1"/>
  <c r="K3" i="878" a="1"/>
  <c r="K3" i="878" s="1"/>
  <c r="G3" i="878" a="1"/>
  <c r="G3" i="878" s="1"/>
  <c r="L11" i="878" a="1"/>
  <c r="L11" i="878" s="1"/>
  <c r="G11" i="878" a="1"/>
  <c r="G11" i="878" s="1"/>
  <c r="J11" i="878" a="1"/>
  <c r="J11" i="878" s="1"/>
  <c r="F11" i="878" a="1"/>
  <c r="F11" i="878" s="1"/>
  <c r="I11" i="878" a="1"/>
  <c r="I11" i="878" s="1"/>
  <c r="E11" i="878" a="1"/>
  <c r="E11" i="878" s="1"/>
  <c r="M11" i="878" a="1"/>
  <c r="M11" i="878" s="1"/>
  <c r="H11" i="878" a="1"/>
  <c r="H11" i="878" s="1"/>
  <c r="J7" i="878" a="1"/>
  <c r="J7" i="878" s="1"/>
  <c r="F7" i="878" a="1"/>
  <c r="F7" i="878" s="1"/>
  <c r="M7" i="878" a="1"/>
  <c r="M7" i="878" s="1"/>
  <c r="I7" i="878" a="1"/>
  <c r="I7" i="878" s="1"/>
  <c r="E7" i="878" a="1"/>
  <c r="E7" i="878" s="1"/>
  <c r="L7" i="878" a="1"/>
  <c r="L7" i="878" s="1"/>
  <c r="H7" i="878" a="1"/>
  <c r="H7" i="878" s="1"/>
  <c r="K7" i="878" a="1"/>
  <c r="K7" i="878" s="1"/>
  <c r="G7" i="878" a="1"/>
  <c r="G7" i="878" s="1"/>
  <c r="K4" i="878" a="1"/>
  <c r="K4" i="878" s="1"/>
  <c r="G4" i="878" a="1"/>
  <c r="G4" i="878" s="1"/>
  <c r="J4" i="878" a="1"/>
  <c r="J4" i="878" s="1"/>
  <c r="F4" i="878" a="1"/>
  <c r="F4" i="878" s="1"/>
  <c r="M4" i="878" a="1"/>
  <c r="M4" i="878" s="1"/>
  <c r="I4" i="878" a="1"/>
  <c r="I4" i="878" s="1"/>
  <c r="E4" i="878" a="1"/>
  <c r="E4" i="878" s="1"/>
  <c r="L4" i="878" a="1"/>
  <c r="L4" i="878" s="1"/>
  <c r="H4" i="878" a="1"/>
  <c r="H4" i="878" s="1"/>
  <c r="M12" i="878" a="1"/>
  <c r="M12" i="878" s="1"/>
  <c r="I12" i="878" a="1"/>
  <c r="I12" i="878" s="1"/>
  <c r="E12" i="878" a="1"/>
  <c r="E12" i="878" s="1"/>
  <c r="L12" i="878" a="1"/>
  <c r="L12" i="878" s="1"/>
  <c r="H12" i="878" a="1"/>
  <c r="H12" i="878" s="1"/>
  <c r="K12" i="878" a="1"/>
  <c r="K12" i="878" s="1"/>
  <c r="G12" i="878" a="1"/>
  <c r="G12" i="878" s="1"/>
  <c r="J12" i="878" a="1"/>
  <c r="J12" i="878" s="1"/>
  <c r="F12" i="878" a="1"/>
  <c r="F12" i="878" s="1"/>
  <c r="K10" i="878" a="1"/>
  <c r="K10" i="878" s="1"/>
  <c r="G10" i="878" a="1"/>
  <c r="G10" i="878" s="1"/>
  <c r="J10" i="878" a="1"/>
  <c r="J10" i="878" s="1"/>
  <c r="F10" i="878" a="1"/>
  <c r="F10" i="878" s="1"/>
  <c r="M10" i="878" a="1"/>
  <c r="M10" i="878" s="1"/>
  <c r="I10" i="878" a="1"/>
  <c r="I10" i="878" s="1"/>
  <c r="E10" i="878" a="1"/>
  <c r="E10" i="878" s="1"/>
  <c r="L10" i="878" a="1"/>
  <c r="L10" i="878" s="1"/>
  <c r="H10" i="878" a="1"/>
  <c r="H10" i="878" s="1"/>
  <c r="J5" i="878" a="1"/>
  <c r="J5" i="878" s="1"/>
  <c r="F5" i="878" a="1"/>
  <c r="F5" i="878" s="1"/>
  <c r="M5" i="878" a="1"/>
  <c r="M5" i="878" s="1"/>
  <c r="I5" i="878" a="1"/>
  <c r="I5" i="878" s="1"/>
  <c r="E5" i="878" a="1"/>
  <c r="E5" i="878" s="1"/>
  <c r="L5" i="878" a="1"/>
  <c r="L5" i="878" s="1"/>
  <c r="H5" i="878" a="1"/>
  <c r="H5" i="878" s="1"/>
  <c r="K5" i="878" a="1"/>
  <c r="K5" i="878" s="1"/>
  <c r="G5" i="878" a="1"/>
  <c r="G5" i="878" s="1"/>
  <c r="J8" i="878" a="1"/>
  <c r="J8" i="878" s="1"/>
  <c r="F8" i="878" a="1"/>
  <c r="F8" i="878" s="1"/>
  <c r="M8" i="878" a="1"/>
  <c r="M8" i="878" s="1"/>
  <c r="I8" i="878" a="1"/>
  <c r="I8" i="878" s="1"/>
  <c r="E8" i="878" a="1"/>
  <c r="E8" i="878" s="1"/>
  <c r="L8" i="878" a="1"/>
  <c r="L8" i="878" s="1"/>
  <c r="H8" i="878" a="1"/>
  <c r="H8" i="878" s="1"/>
  <c r="K8" i="878" a="1"/>
  <c r="K8" i="878" s="1"/>
  <c r="G8" i="878" a="1"/>
  <c r="G8" i="878" s="1"/>
  <c r="J9" i="878" a="1"/>
  <c r="J9" i="878" s="1"/>
  <c r="F9" i="878" a="1"/>
  <c r="F9" i="878" s="1"/>
  <c r="M9" i="878" a="1"/>
  <c r="M9" i="878" s="1"/>
  <c r="I9" i="878" a="1"/>
  <c r="I9" i="878" s="1"/>
  <c r="E9" i="878" a="1"/>
  <c r="E9" i="878" s="1"/>
  <c r="L9" i="878" a="1"/>
  <c r="L9" i="878" s="1"/>
  <c r="H9" i="878" a="1"/>
  <c r="H9" i="878" s="1"/>
  <c r="K9" i="878" a="1"/>
  <c r="K9" i="878" s="1"/>
  <c r="G9" i="878" a="1"/>
  <c r="G9" i="878" s="1"/>
  <c r="D20" i="878"/>
  <c r="D19" i="878"/>
  <c r="D22" i="878"/>
  <c r="D21" i="878"/>
  <c r="J6" i="877" a="1"/>
  <c r="J6" i="877" s="1"/>
  <c r="F6" i="877" a="1"/>
  <c r="F6" i="877" s="1"/>
  <c r="M6" i="877" a="1"/>
  <c r="M6" i="877" s="1"/>
  <c r="I6" i="877" a="1"/>
  <c r="I6" i="877" s="1"/>
  <c r="E6" i="877" a="1"/>
  <c r="E6" i="877" s="1"/>
  <c r="L6" i="877" a="1"/>
  <c r="L6" i="877" s="1"/>
  <c r="H6" i="877" a="1"/>
  <c r="H6" i="877" s="1"/>
  <c r="K6" i="877" a="1"/>
  <c r="K6" i="877" s="1"/>
  <c r="G6" i="877" a="1"/>
  <c r="G6" i="877" s="1"/>
  <c r="J7" i="877" a="1"/>
  <c r="J7" i="877" s="1"/>
  <c r="F7" i="877" a="1"/>
  <c r="F7" i="877" s="1"/>
  <c r="M7" i="877" a="1"/>
  <c r="M7" i="877" s="1"/>
  <c r="I7" i="877" a="1"/>
  <c r="I7" i="877" s="1"/>
  <c r="E7" i="877" a="1"/>
  <c r="E7" i="877" s="1"/>
  <c r="L7" i="877" a="1"/>
  <c r="L7" i="877" s="1"/>
  <c r="H7" i="877" a="1"/>
  <c r="H7" i="877" s="1"/>
  <c r="K7" i="877" a="1"/>
  <c r="K7" i="877" s="1"/>
  <c r="G7" i="877" a="1"/>
  <c r="G7" i="877" s="1"/>
  <c r="K4" i="877" a="1"/>
  <c r="K4" i="877" s="1"/>
  <c r="G4" i="877" a="1"/>
  <c r="G4" i="877" s="1"/>
  <c r="J4" i="877" a="1"/>
  <c r="J4" i="877" s="1"/>
  <c r="F4" i="877" a="1"/>
  <c r="F4" i="877" s="1"/>
  <c r="M4" i="877" a="1"/>
  <c r="M4" i="877" s="1"/>
  <c r="I4" i="877" a="1"/>
  <c r="I4" i="877" s="1"/>
  <c r="E4" i="877" a="1"/>
  <c r="E4" i="877" s="1"/>
  <c r="L4" i="877" a="1"/>
  <c r="L4" i="877" s="1"/>
  <c r="H4" i="877" a="1"/>
  <c r="H4" i="877" s="1"/>
  <c r="M12" i="877" a="1"/>
  <c r="M12" i="877" s="1"/>
  <c r="I12" i="877" a="1"/>
  <c r="I12" i="877" s="1"/>
  <c r="E12" i="877" a="1"/>
  <c r="E12" i="877" s="1"/>
  <c r="L12" i="877" a="1"/>
  <c r="L12" i="877" s="1"/>
  <c r="H12" i="877" a="1"/>
  <c r="H12" i="877" s="1"/>
  <c r="K12" i="877" a="1"/>
  <c r="K12" i="877" s="1"/>
  <c r="G12" i="877" a="1"/>
  <c r="G12" i="877" s="1"/>
  <c r="J12" i="877" a="1"/>
  <c r="J12" i="877" s="1"/>
  <c r="F12" i="877" a="1"/>
  <c r="F12" i="877" s="1"/>
  <c r="K10" i="877" a="1"/>
  <c r="K10" i="877" s="1"/>
  <c r="G10" i="877" a="1"/>
  <c r="G10" i="877" s="1"/>
  <c r="J10" i="877" a="1"/>
  <c r="J10" i="877" s="1"/>
  <c r="F10" i="877" a="1"/>
  <c r="F10" i="877" s="1"/>
  <c r="M10" i="877" a="1"/>
  <c r="M10" i="877" s="1"/>
  <c r="I10" i="877" a="1"/>
  <c r="I10" i="877" s="1"/>
  <c r="E10" i="877" a="1"/>
  <c r="E10" i="877" s="1"/>
  <c r="L10" i="877" a="1"/>
  <c r="L10" i="877" s="1"/>
  <c r="H10" i="877" a="1"/>
  <c r="H10" i="877" s="1"/>
  <c r="L11" i="877" a="1"/>
  <c r="L11" i="877" s="1"/>
  <c r="G11" i="877" a="1"/>
  <c r="G11" i="877" s="1"/>
  <c r="M11" i="877" a="1"/>
  <c r="M11" i="877" s="1"/>
  <c r="J11" i="877" a="1"/>
  <c r="J11" i="877" s="1"/>
  <c r="F11" i="877" a="1"/>
  <c r="F11" i="877" s="1"/>
  <c r="H11" i="877" a="1"/>
  <c r="H11" i="877" s="1"/>
  <c r="I11" i="877" a="1"/>
  <c r="I11" i="877" s="1"/>
  <c r="E11" i="877" a="1"/>
  <c r="E11" i="877" s="1"/>
  <c r="J9" i="877" a="1"/>
  <c r="J9" i="877" s="1"/>
  <c r="F9" i="877" a="1"/>
  <c r="F9" i="877" s="1"/>
  <c r="M9" i="877" a="1"/>
  <c r="M9" i="877" s="1"/>
  <c r="I9" i="877" a="1"/>
  <c r="I9" i="877" s="1"/>
  <c r="E9" i="877" a="1"/>
  <c r="E9" i="877" s="1"/>
  <c r="K9" i="877" a="1"/>
  <c r="K9" i="877" s="1"/>
  <c r="G9" i="877" a="1"/>
  <c r="G9" i="877" s="1"/>
  <c r="L9" i="877" a="1"/>
  <c r="L9" i="877" s="1"/>
  <c r="H9" i="877" a="1"/>
  <c r="H9" i="877" s="1"/>
  <c r="J5" i="877" a="1"/>
  <c r="J5" i="877" s="1"/>
  <c r="F5" i="877" a="1"/>
  <c r="F5" i="877" s="1"/>
  <c r="K5" i="877" a="1"/>
  <c r="K5" i="877" s="1"/>
  <c r="M5" i="877" a="1"/>
  <c r="M5" i="877" s="1"/>
  <c r="I5" i="877" a="1"/>
  <c r="I5" i="877" s="1"/>
  <c r="E5" i="877" a="1"/>
  <c r="E5" i="877" s="1"/>
  <c r="L5" i="877" a="1"/>
  <c r="L5" i="877" s="1"/>
  <c r="H5" i="877" a="1"/>
  <c r="H5" i="877" s="1"/>
  <c r="G5" i="877" a="1"/>
  <c r="G5" i="877" s="1"/>
  <c r="J8" i="877" a="1"/>
  <c r="J8" i="877" s="1"/>
  <c r="F8" i="877" a="1"/>
  <c r="F8" i="877" s="1"/>
  <c r="M8" i="877" a="1"/>
  <c r="M8" i="877" s="1"/>
  <c r="I8" i="877" a="1"/>
  <c r="I8" i="877" s="1"/>
  <c r="E8" i="877" a="1"/>
  <c r="E8" i="877" s="1"/>
  <c r="K8" i="877" a="1"/>
  <c r="K8" i="877" s="1"/>
  <c r="L8" i="877" a="1"/>
  <c r="L8" i="877" s="1"/>
  <c r="H8" i="877" a="1"/>
  <c r="H8" i="877" s="1"/>
  <c r="G8" i="877" a="1"/>
  <c r="G8" i="877" s="1"/>
  <c r="J3" i="877" a="1"/>
  <c r="J3" i="877" s="1"/>
  <c r="F3" i="877" a="1"/>
  <c r="F3" i="877" s="1"/>
  <c r="M3" i="877" a="1"/>
  <c r="M3" i="877" s="1"/>
  <c r="I3" i="877" a="1"/>
  <c r="I3" i="877" s="1"/>
  <c r="E3" i="877" a="1"/>
  <c r="E3" i="877" s="1"/>
  <c r="L3" i="877" a="1"/>
  <c r="L3" i="877" s="1"/>
  <c r="H3" i="877" a="1"/>
  <c r="H3" i="877" s="1"/>
  <c r="K3" i="877" a="1"/>
  <c r="K3" i="877" s="1"/>
  <c r="G3" i="877" a="1"/>
  <c r="G3" i="877" s="1"/>
  <c r="D20" i="877"/>
  <c r="D19" i="877"/>
  <c r="D21" i="877"/>
  <c r="D22" i="877"/>
  <c r="J5" i="876" a="1"/>
  <c r="J5" i="876" s="1"/>
  <c r="F5" i="876" a="1"/>
  <c r="F5" i="876" s="1"/>
  <c r="G5" i="876" a="1"/>
  <c r="G5" i="876" s="1"/>
  <c r="M5" i="876" a="1"/>
  <c r="M5" i="876" s="1"/>
  <c r="I5" i="876" a="1"/>
  <c r="I5" i="876" s="1"/>
  <c r="E5" i="876" a="1"/>
  <c r="E5" i="876" s="1"/>
  <c r="L5" i="876" a="1"/>
  <c r="L5" i="876" s="1"/>
  <c r="H5" i="876" a="1"/>
  <c r="H5" i="876" s="1"/>
  <c r="K5" i="876" a="1"/>
  <c r="K5" i="876" s="1"/>
  <c r="K8" i="876" a="1"/>
  <c r="K8" i="876" s="1"/>
  <c r="J8" i="876" a="1"/>
  <c r="J8" i="876" s="1"/>
  <c r="F8" i="876" a="1"/>
  <c r="F8" i="876" s="1"/>
  <c r="M8" i="876" a="1"/>
  <c r="M8" i="876" s="1"/>
  <c r="I8" i="876" a="1"/>
  <c r="I8" i="876" s="1"/>
  <c r="E8" i="876" a="1"/>
  <c r="E8" i="876" s="1"/>
  <c r="G8" i="876" a="1"/>
  <c r="G8" i="876" s="1"/>
  <c r="L8" i="876" a="1"/>
  <c r="L8" i="876" s="1"/>
  <c r="H8" i="876" a="1"/>
  <c r="H8" i="876" s="1"/>
  <c r="K9" i="876" a="1"/>
  <c r="K9" i="876" s="1"/>
  <c r="J9" i="876" a="1"/>
  <c r="J9" i="876" s="1"/>
  <c r="F9" i="876" a="1"/>
  <c r="F9" i="876" s="1"/>
  <c r="G9" i="876" a="1"/>
  <c r="G9" i="876" s="1"/>
  <c r="M9" i="876" a="1"/>
  <c r="M9" i="876" s="1"/>
  <c r="I9" i="876" a="1"/>
  <c r="I9" i="876" s="1"/>
  <c r="E9" i="876" a="1"/>
  <c r="E9" i="876" s="1"/>
  <c r="L9" i="876" a="1"/>
  <c r="L9" i="876" s="1"/>
  <c r="H9" i="876" a="1"/>
  <c r="H9" i="876" s="1"/>
  <c r="K4" i="876" a="1"/>
  <c r="K4" i="876" s="1"/>
  <c r="G4" i="876" a="1"/>
  <c r="G4" i="876" s="1"/>
  <c r="J4" i="876" a="1"/>
  <c r="J4" i="876" s="1"/>
  <c r="F4" i="876" a="1"/>
  <c r="F4" i="876" s="1"/>
  <c r="M4" i="876" a="1"/>
  <c r="M4" i="876" s="1"/>
  <c r="I4" i="876" a="1"/>
  <c r="I4" i="876" s="1"/>
  <c r="E4" i="876" a="1"/>
  <c r="E4" i="876" s="1"/>
  <c r="L4" i="876" a="1"/>
  <c r="L4" i="876" s="1"/>
  <c r="H4" i="876" a="1"/>
  <c r="H4" i="876" s="1"/>
  <c r="H11" i="876" a="1"/>
  <c r="H11" i="876" s="1"/>
  <c r="L11" i="876" a="1"/>
  <c r="L11" i="876" s="1"/>
  <c r="G11" i="876" a="1"/>
  <c r="G11" i="876" s="1"/>
  <c r="M11" i="876" a="1"/>
  <c r="M11" i="876" s="1"/>
  <c r="J11" i="876" a="1"/>
  <c r="J11" i="876" s="1"/>
  <c r="F11" i="876" a="1"/>
  <c r="F11" i="876" s="1"/>
  <c r="I11" i="876" a="1"/>
  <c r="I11" i="876" s="1"/>
  <c r="E11" i="876" a="1"/>
  <c r="E11" i="876" s="1"/>
  <c r="D20" i="876"/>
  <c r="D19" i="876"/>
  <c r="D21" i="876"/>
  <c r="D22" i="876"/>
  <c r="J3" i="876" a="1"/>
  <c r="J3" i="876" s="1"/>
  <c r="F3" i="876" a="1"/>
  <c r="F3" i="876" s="1"/>
  <c r="M3" i="876" a="1"/>
  <c r="M3" i="876" s="1"/>
  <c r="I3" i="876" a="1"/>
  <c r="I3" i="876" s="1"/>
  <c r="E3" i="876" a="1"/>
  <c r="E3" i="876" s="1"/>
  <c r="L3" i="876" a="1"/>
  <c r="L3" i="876" s="1"/>
  <c r="H3" i="876" a="1"/>
  <c r="H3" i="876" s="1"/>
  <c r="K3" i="876" a="1"/>
  <c r="K3" i="876" s="1"/>
  <c r="G3" i="876" a="1"/>
  <c r="G3" i="876" s="1"/>
  <c r="J6" i="876" a="1"/>
  <c r="J6" i="876" s="1"/>
  <c r="F6" i="876" a="1"/>
  <c r="F6" i="876" s="1"/>
  <c r="M6" i="876" a="1"/>
  <c r="M6" i="876" s="1"/>
  <c r="I6" i="876" a="1"/>
  <c r="I6" i="876" s="1"/>
  <c r="E6" i="876" a="1"/>
  <c r="E6" i="876" s="1"/>
  <c r="L6" i="876" a="1"/>
  <c r="L6" i="876" s="1"/>
  <c r="H6" i="876" a="1"/>
  <c r="H6" i="876" s="1"/>
  <c r="K6" i="876" a="1"/>
  <c r="K6" i="876" s="1"/>
  <c r="G6" i="876" a="1"/>
  <c r="G6" i="876" s="1"/>
  <c r="J7" i="876" a="1"/>
  <c r="J7" i="876" s="1"/>
  <c r="F7" i="876" a="1"/>
  <c r="F7" i="876" s="1"/>
  <c r="M7" i="876" a="1"/>
  <c r="M7" i="876" s="1"/>
  <c r="I7" i="876" a="1"/>
  <c r="I7" i="876" s="1"/>
  <c r="E7" i="876" a="1"/>
  <c r="E7" i="876" s="1"/>
  <c r="L7" i="876" a="1"/>
  <c r="L7" i="876" s="1"/>
  <c r="H7" i="876" a="1"/>
  <c r="H7" i="876" s="1"/>
  <c r="K7" i="876" a="1"/>
  <c r="K7" i="876" s="1"/>
  <c r="G7" i="876" a="1"/>
  <c r="G7" i="876" s="1"/>
  <c r="K10" i="876" a="1"/>
  <c r="K10" i="876" s="1"/>
  <c r="G10" i="876" a="1"/>
  <c r="G10" i="876" s="1"/>
  <c r="J10" i="876" a="1"/>
  <c r="J10" i="876" s="1"/>
  <c r="F10" i="876" a="1"/>
  <c r="F10" i="876" s="1"/>
  <c r="M10" i="876" a="1"/>
  <c r="M10" i="876" s="1"/>
  <c r="I10" i="876" a="1"/>
  <c r="I10" i="876" s="1"/>
  <c r="E10" i="876" a="1"/>
  <c r="E10" i="876" s="1"/>
  <c r="L10" i="876" a="1"/>
  <c r="L10" i="876" s="1"/>
  <c r="H10" i="876" a="1"/>
  <c r="H10" i="876" s="1"/>
  <c r="M12" i="876" a="1"/>
  <c r="M12" i="876" s="1"/>
  <c r="I12" i="876" a="1"/>
  <c r="I12" i="876" s="1"/>
  <c r="E12" i="876" a="1"/>
  <c r="E12" i="876" s="1"/>
  <c r="L12" i="876" a="1"/>
  <c r="L12" i="876" s="1"/>
  <c r="H12" i="876" a="1"/>
  <c r="H12" i="876" s="1"/>
  <c r="K12" i="876" a="1"/>
  <c r="K12" i="876" s="1"/>
  <c r="G12" i="876" a="1"/>
  <c r="G12" i="876" s="1"/>
  <c r="J12" i="876" a="1"/>
  <c r="J12" i="876" s="1"/>
  <c r="F12" i="876" a="1"/>
  <c r="F12" i="876" s="1"/>
  <c r="L11" i="875" a="1"/>
  <c r="L11" i="875" s="1"/>
  <c r="G11" i="875" a="1"/>
  <c r="G11" i="875" s="1"/>
  <c r="J11" i="875" a="1"/>
  <c r="J11" i="875" s="1"/>
  <c r="F11" i="875" a="1"/>
  <c r="F11" i="875" s="1"/>
  <c r="I11" i="875" a="1"/>
  <c r="I11" i="875" s="1"/>
  <c r="E11" i="875" a="1"/>
  <c r="E11" i="875" s="1"/>
  <c r="M11" i="875" a="1"/>
  <c r="M11" i="875" s="1"/>
  <c r="H11" i="875" a="1"/>
  <c r="H11" i="875" s="1"/>
  <c r="N7" i="875"/>
  <c r="N6" i="875"/>
  <c r="J8" i="875" a="1"/>
  <c r="J8" i="875" s="1"/>
  <c r="F8" i="875" a="1"/>
  <c r="F8" i="875" s="1"/>
  <c r="M8" i="875" a="1"/>
  <c r="M8" i="875" s="1"/>
  <c r="I8" i="875" a="1"/>
  <c r="I8" i="875" s="1"/>
  <c r="E8" i="875" a="1"/>
  <c r="E8" i="875" s="1"/>
  <c r="L8" i="875" a="1"/>
  <c r="L8" i="875" s="1"/>
  <c r="H8" i="875" a="1"/>
  <c r="H8" i="875" s="1"/>
  <c r="K8" i="875" a="1"/>
  <c r="K8" i="875" s="1"/>
  <c r="G8" i="875" a="1"/>
  <c r="G8" i="875" s="1"/>
  <c r="N3" i="875"/>
  <c r="J9" i="875" a="1"/>
  <c r="J9" i="875" s="1"/>
  <c r="F9" i="875" a="1"/>
  <c r="F9" i="875" s="1"/>
  <c r="M9" i="875" a="1"/>
  <c r="M9" i="875" s="1"/>
  <c r="I9" i="875" a="1"/>
  <c r="I9" i="875" s="1"/>
  <c r="E9" i="875" a="1"/>
  <c r="E9" i="875" s="1"/>
  <c r="L9" i="875" a="1"/>
  <c r="L9" i="875" s="1"/>
  <c r="H9" i="875" a="1"/>
  <c r="H9" i="875" s="1"/>
  <c r="K9" i="875" a="1"/>
  <c r="K9" i="875" s="1"/>
  <c r="G9" i="875" a="1"/>
  <c r="G9" i="875" s="1"/>
  <c r="D20" i="875"/>
  <c r="D19" i="875"/>
  <c r="D22" i="875"/>
  <c r="D21" i="875"/>
  <c r="J5" i="875" a="1"/>
  <c r="J5" i="875" s="1"/>
  <c r="F5" i="875" a="1"/>
  <c r="F5" i="875" s="1"/>
  <c r="M5" i="875" a="1"/>
  <c r="M5" i="875" s="1"/>
  <c r="I5" i="875" a="1"/>
  <c r="I5" i="875" s="1"/>
  <c r="E5" i="875" a="1"/>
  <c r="E5" i="875" s="1"/>
  <c r="L5" i="875" a="1"/>
  <c r="L5" i="875" s="1"/>
  <c r="H5" i="875" a="1"/>
  <c r="H5" i="875" s="1"/>
  <c r="K5" i="875" a="1"/>
  <c r="K5" i="875" s="1"/>
  <c r="G5" i="875" a="1"/>
  <c r="G5" i="875" s="1"/>
  <c r="N4" i="875"/>
  <c r="K10" i="875" a="1"/>
  <c r="K10" i="875" s="1"/>
  <c r="G10" i="875" a="1"/>
  <c r="G10" i="875" s="1"/>
  <c r="J10" i="875" a="1"/>
  <c r="J10" i="875" s="1"/>
  <c r="F10" i="875" a="1"/>
  <c r="F10" i="875" s="1"/>
  <c r="M10" i="875" a="1"/>
  <c r="M10" i="875" s="1"/>
  <c r="I10" i="875" a="1"/>
  <c r="I10" i="875" s="1"/>
  <c r="E10" i="875" a="1"/>
  <c r="E10" i="875" s="1"/>
  <c r="L10" i="875" a="1"/>
  <c r="L10" i="875" s="1"/>
  <c r="H10" i="875" a="1"/>
  <c r="H10" i="875" s="1"/>
  <c r="N12" i="875"/>
  <c r="K9" i="874" a="1"/>
  <c r="K9" i="874" s="1"/>
  <c r="J9" i="874" a="1"/>
  <c r="J9" i="874" s="1"/>
  <c r="F9" i="874" a="1"/>
  <c r="F9" i="874" s="1"/>
  <c r="M9" i="874" a="1"/>
  <c r="M9" i="874" s="1"/>
  <c r="I9" i="874" a="1"/>
  <c r="I9" i="874" s="1"/>
  <c r="E9" i="874" a="1"/>
  <c r="E9" i="874" s="1"/>
  <c r="G9" i="874" a="1"/>
  <c r="G9" i="874" s="1"/>
  <c r="L9" i="874" a="1"/>
  <c r="L9" i="874" s="1"/>
  <c r="H9" i="874" a="1"/>
  <c r="H9" i="874" s="1"/>
  <c r="J3" i="874" a="1"/>
  <c r="J3" i="874" s="1"/>
  <c r="F3" i="874" a="1"/>
  <c r="F3" i="874" s="1"/>
  <c r="M3" i="874" a="1"/>
  <c r="M3" i="874" s="1"/>
  <c r="I3" i="874" a="1"/>
  <c r="I3" i="874" s="1"/>
  <c r="E3" i="874" a="1"/>
  <c r="E3" i="874" s="1"/>
  <c r="L3" i="874" a="1"/>
  <c r="L3" i="874" s="1"/>
  <c r="H3" i="874" a="1"/>
  <c r="H3" i="874" s="1"/>
  <c r="K3" i="874" a="1"/>
  <c r="K3" i="874" s="1"/>
  <c r="G3" i="874" a="1"/>
  <c r="G3" i="874" s="1"/>
  <c r="D20" i="874"/>
  <c r="D19" i="874"/>
  <c r="D21" i="874"/>
  <c r="D22" i="874"/>
  <c r="J6" i="874" a="1"/>
  <c r="J6" i="874" s="1"/>
  <c r="F6" i="874" a="1"/>
  <c r="F6" i="874" s="1"/>
  <c r="M6" i="874" a="1"/>
  <c r="M6" i="874" s="1"/>
  <c r="I6" i="874" a="1"/>
  <c r="I6" i="874" s="1"/>
  <c r="E6" i="874" a="1"/>
  <c r="E6" i="874" s="1"/>
  <c r="L6" i="874" a="1"/>
  <c r="L6" i="874" s="1"/>
  <c r="H6" i="874" a="1"/>
  <c r="H6" i="874" s="1"/>
  <c r="K6" i="874" a="1"/>
  <c r="K6" i="874" s="1"/>
  <c r="G6" i="874" a="1"/>
  <c r="G6" i="874" s="1"/>
  <c r="J7" i="874" a="1"/>
  <c r="J7" i="874" s="1"/>
  <c r="F7" i="874" a="1"/>
  <c r="F7" i="874" s="1"/>
  <c r="M7" i="874" a="1"/>
  <c r="M7" i="874" s="1"/>
  <c r="I7" i="874" a="1"/>
  <c r="I7" i="874" s="1"/>
  <c r="E7" i="874" a="1"/>
  <c r="E7" i="874" s="1"/>
  <c r="L7" i="874" a="1"/>
  <c r="L7" i="874" s="1"/>
  <c r="H7" i="874" a="1"/>
  <c r="H7" i="874" s="1"/>
  <c r="K7" i="874" a="1"/>
  <c r="K7" i="874" s="1"/>
  <c r="G7" i="874" a="1"/>
  <c r="G7" i="874" s="1"/>
  <c r="K4" i="874" a="1"/>
  <c r="K4" i="874" s="1"/>
  <c r="G4" i="874" a="1"/>
  <c r="G4" i="874" s="1"/>
  <c r="J4" i="874" a="1"/>
  <c r="J4" i="874" s="1"/>
  <c r="F4" i="874" a="1"/>
  <c r="F4" i="874" s="1"/>
  <c r="M4" i="874" a="1"/>
  <c r="M4" i="874" s="1"/>
  <c r="I4" i="874" a="1"/>
  <c r="I4" i="874" s="1"/>
  <c r="E4" i="874" a="1"/>
  <c r="E4" i="874" s="1"/>
  <c r="L4" i="874" a="1"/>
  <c r="L4" i="874" s="1"/>
  <c r="H4" i="874" a="1"/>
  <c r="H4" i="874" s="1"/>
  <c r="M12" i="874" a="1"/>
  <c r="M12" i="874" s="1"/>
  <c r="I12" i="874" a="1"/>
  <c r="I12" i="874" s="1"/>
  <c r="E12" i="874" a="1"/>
  <c r="E12" i="874" s="1"/>
  <c r="L12" i="874" a="1"/>
  <c r="L12" i="874" s="1"/>
  <c r="H12" i="874" a="1"/>
  <c r="H12" i="874" s="1"/>
  <c r="K12" i="874" a="1"/>
  <c r="K12" i="874" s="1"/>
  <c r="G12" i="874" a="1"/>
  <c r="G12" i="874" s="1"/>
  <c r="J12" i="874" a="1"/>
  <c r="J12" i="874" s="1"/>
  <c r="F12" i="874" a="1"/>
  <c r="F12" i="874" s="1"/>
  <c r="K10" i="874" a="1"/>
  <c r="K10" i="874" s="1"/>
  <c r="G10" i="874" a="1"/>
  <c r="G10" i="874" s="1"/>
  <c r="J10" i="874" a="1"/>
  <c r="J10" i="874" s="1"/>
  <c r="F10" i="874" a="1"/>
  <c r="F10" i="874" s="1"/>
  <c r="M10" i="874" a="1"/>
  <c r="M10" i="874" s="1"/>
  <c r="I10" i="874" a="1"/>
  <c r="I10" i="874" s="1"/>
  <c r="E10" i="874" a="1"/>
  <c r="E10" i="874" s="1"/>
  <c r="L10" i="874" a="1"/>
  <c r="L10" i="874" s="1"/>
  <c r="H10" i="874" a="1"/>
  <c r="H10" i="874" s="1"/>
  <c r="H11" i="874" a="1"/>
  <c r="H11" i="874" s="1"/>
  <c r="L11" i="874" a="1"/>
  <c r="L11" i="874" s="1"/>
  <c r="G11" i="874" a="1"/>
  <c r="G11" i="874" s="1"/>
  <c r="J11" i="874" a="1"/>
  <c r="J11" i="874" s="1"/>
  <c r="F11" i="874" a="1"/>
  <c r="F11" i="874" s="1"/>
  <c r="M11" i="874" a="1"/>
  <c r="M11" i="874" s="1"/>
  <c r="I11" i="874" a="1"/>
  <c r="I11" i="874" s="1"/>
  <c r="E11" i="874" a="1"/>
  <c r="E11" i="874" s="1"/>
  <c r="J5" i="874" a="1"/>
  <c r="J5" i="874" s="1"/>
  <c r="F5" i="874" a="1"/>
  <c r="F5" i="874" s="1"/>
  <c r="G5" i="874" a="1"/>
  <c r="G5" i="874" s="1"/>
  <c r="M5" i="874" a="1"/>
  <c r="M5" i="874" s="1"/>
  <c r="I5" i="874" a="1"/>
  <c r="I5" i="874" s="1"/>
  <c r="E5" i="874" a="1"/>
  <c r="E5" i="874" s="1"/>
  <c r="L5" i="874" a="1"/>
  <c r="L5" i="874" s="1"/>
  <c r="H5" i="874" a="1"/>
  <c r="H5" i="874" s="1"/>
  <c r="K5" i="874" a="1"/>
  <c r="K5" i="874" s="1"/>
  <c r="G8" i="874" a="1"/>
  <c r="G8" i="874" s="1"/>
  <c r="J8" i="874" a="1"/>
  <c r="J8" i="874" s="1"/>
  <c r="F8" i="874" a="1"/>
  <c r="F8" i="874" s="1"/>
  <c r="K8" i="874" a="1"/>
  <c r="K8" i="874" s="1"/>
  <c r="M8" i="874" a="1"/>
  <c r="M8" i="874" s="1"/>
  <c r="I8" i="874" a="1"/>
  <c r="I8" i="874" s="1"/>
  <c r="E8" i="874" a="1"/>
  <c r="E8" i="874" s="1"/>
  <c r="L8" i="874" a="1"/>
  <c r="L8" i="874" s="1"/>
  <c r="H8" i="874" a="1"/>
  <c r="H8" i="874" s="1"/>
  <c r="J8" i="873" a="1"/>
  <c r="J8" i="873" s="1"/>
  <c r="F8" i="873" a="1"/>
  <c r="F8" i="873" s="1"/>
  <c r="I8" i="873" a="1"/>
  <c r="I8" i="873" s="1"/>
  <c r="M8" i="873" a="1"/>
  <c r="M8" i="873" s="1"/>
  <c r="E8" i="873" a="1"/>
  <c r="E8" i="873" s="1"/>
  <c r="K8" i="873" a="1"/>
  <c r="K8" i="873" s="1"/>
  <c r="L8" i="873" a="1"/>
  <c r="L8" i="873" s="1"/>
  <c r="H8" i="873" a="1"/>
  <c r="H8" i="873" s="1"/>
  <c r="G8" i="873" a="1"/>
  <c r="G8" i="873" s="1"/>
  <c r="D20" i="873"/>
  <c r="D19" i="873"/>
  <c r="D22" i="873"/>
  <c r="D21" i="873"/>
  <c r="J3" i="873" a="1"/>
  <c r="J3" i="873" s="1"/>
  <c r="M3" i="873" a="1"/>
  <c r="M3" i="873" s="1"/>
  <c r="I3" i="873" a="1"/>
  <c r="I3" i="873" s="1"/>
  <c r="E3" i="873" a="1"/>
  <c r="E3" i="873" s="1"/>
  <c r="L3" i="873" a="1"/>
  <c r="L3" i="873" s="1"/>
  <c r="H3" i="873" a="1"/>
  <c r="H3" i="873" s="1"/>
  <c r="F3" i="873" a="1"/>
  <c r="F3" i="873" s="1"/>
  <c r="K3" i="873" a="1"/>
  <c r="K3" i="873" s="1"/>
  <c r="G3" i="873" a="1"/>
  <c r="G3" i="873" s="1"/>
  <c r="J6" i="873" a="1"/>
  <c r="J6" i="873" s="1"/>
  <c r="F6" i="873" a="1"/>
  <c r="F6" i="873" s="1"/>
  <c r="M6" i="873" a="1"/>
  <c r="M6" i="873" s="1"/>
  <c r="I6" i="873" a="1"/>
  <c r="I6" i="873" s="1"/>
  <c r="E6" i="873" a="1"/>
  <c r="E6" i="873" s="1"/>
  <c r="L6" i="873" a="1"/>
  <c r="L6" i="873" s="1"/>
  <c r="H6" i="873" a="1"/>
  <c r="H6" i="873" s="1"/>
  <c r="K6" i="873" a="1"/>
  <c r="K6" i="873" s="1"/>
  <c r="G6" i="873" a="1"/>
  <c r="G6" i="873" s="1"/>
  <c r="K4" i="873" a="1"/>
  <c r="K4" i="873" s="1"/>
  <c r="J4" i="873" a="1"/>
  <c r="J4" i="873" s="1"/>
  <c r="F4" i="873" a="1"/>
  <c r="F4" i="873" s="1"/>
  <c r="G4" i="873" a="1"/>
  <c r="G4" i="873" s="1"/>
  <c r="M4" i="873" a="1"/>
  <c r="M4" i="873" s="1"/>
  <c r="I4" i="873" a="1"/>
  <c r="I4" i="873" s="1"/>
  <c r="E4" i="873" a="1"/>
  <c r="E4" i="873" s="1"/>
  <c r="L4" i="873" a="1"/>
  <c r="L4" i="873" s="1"/>
  <c r="H4" i="873" a="1"/>
  <c r="H4" i="873" s="1"/>
  <c r="J7" i="873" a="1"/>
  <c r="J7" i="873" s="1"/>
  <c r="F7" i="873" a="1"/>
  <c r="F7" i="873" s="1"/>
  <c r="M7" i="873" a="1"/>
  <c r="M7" i="873" s="1"/>
  <c r="I7" i="873" a="1"/>
  <c r="I7" i="873" s="1"/>
  <c r="E7" i="873" a="1"/>
  <c r="E7" i="873" s="1"/>
  <c r="L7" i="873" a="1"/>
  <c r="L7" i="873" s="1"/>
  <c r="H7" i="873" a="1"/>
  <c r="H7" i="873" s="1"/>
  <c r="K7" i="873" a="1"/>
  <c r="K7" i="873" s="1"/>
  <c r="G7" i="873" a="1"/>
  <c r="G7" i="873" s="1"/>
  <c r="J9" i="873" a="1"/>
  <c r="J9" i="873" s="1"/>
  <c r="F9" i="873" a="1"/>
  <c r="F9" i="873" s="1"/>
  <c r="I9" i="873" a="1"/>
  <c r="I9" i="873" s="1"/>
  <c r="E9" i="873" a="1"/>
  <c r="E9" i="873" s="1"/>
  <c r="M9" i="873" a="1"/>
  <c r="M9" i="873" s="1"/>
  <c r="G9" i="873" a="1"/>
  <c r="G9" i="873" s="1"/>
  <c r="L9" i="873" a="1"/>
  <c r="L9" i="873" s="1"/>
  <c r="H9" i="873" a="1"/>
  <c r="H9" i="873" s="1"/>
  <c r="K9" i="873" a="1"/>
  <c r="K9" i="873" s="1"/>
  <c r="L11" i="873" a="1"/>
  <c r="L11" i="873" s="1"/>
  <c r="G11" i="873" a="1"/>
  <c r="G11" i="873" s="1"/>
  <c r="J11" i="873" a="1"/>
  <c r="J11" i="873" s="1"/>
  <c r="F11" i="873" a="1"/>
  <c r="F11" i="873" s="1"/>
  <c r="I11" i="873" a="1"/>
  <c r="I11" i="873" s="1"/>
  <c r="E11" i="873" a="1"/>
  <c r="E11" i="873" s="1"/>
  <c r="H11" i="873" a="1"/>
  <c r="H11" i="873" s="1"/>
  <c r="M11" i="873" a="1"/>
  <c r="M11" i="873" s="1"/>
  <c r="K10" i="873" a="1"/>
  <c r="K10" i="873" s="1"/>
  <c r="G10" i="873" a="1"/>
  <c r="G10" i="873" s="1"/>
  <c r="J10" i="873" a="1"/>
  <c r="J10" i="873" s="1"/>
  <c r="F10" i="873" a="1"/>
  <c r="F10" i="873" s="1"/>
  <c r="M10" i="873" a="1"/>
  <c r="M10" i="873" s="1"/>
  <c r="I10" i="873" a="1"/>
  <c r="I10" i="873" s="1"/>
  <c r="E10" i="873" a="1"/>
  <c r="E10" i="873" s="1"/>
  <c r="L10" i="873" a="1"/>
  <c r="L10" i="873" s="1"/>
  <c r="H10" i="873" a="1"/>
  <c r="H10" i="873" s="1"/>
  <c r="M12" i="873" a="1"/>
  <c r="M12" i="873" s="1"/>
  <c r="I12" i="873" a="1"/>
  <c r="I12" i="873" s="1"/>
  <c r="E12" i="873" a="1"/>
  <c r="E12" i="873" s="1"/>
  <c r="L12" i="873" a="1"/>
  <c r="L12" i="873" s="1"/>
  <c r="H12" i="873" a="1"/>
  <c r="H12" i="873" s="1"/>
  <c r="K12" i="873" a="1"/>
  <c r="K12" i="873" s="1"/>
  <c r="G12" i="873" a="1"/>
  <c r="G12" i="873" s="1"/>
  <c r="J12" i="873" a="1"/>
  <c r="J12" i="873" s="1"/>
  <c r="F12" i="873" a="1"/>
  <c r="F12" i="873" s="1"/>
  <c r="J5" i="873" a="1"/>
  <c r="J5" i="873" s="1"/>
  <c r="F5" i="873" a="1"/>
  <c r="F5" i="873" s="1"/>
  <c r="M5" i="873" a="1"/>
  <c r="M5" i="873" s="1"/>
  <c r="E5" i="873" a="1"/>
  <c r="E5" i="873" s="1"/>
  <c r="I5" i="873" a="1"/>
  <c r="I5" i="873" s="1"/>
  <c r="K5" i="873" a="1"/>
  <c r="K5" i="873" s="1"/>
  <c r="L5" i="873" a="1"/>
  <c r="L5" i="873" s="1"/>
  <c r="H5" i="873" a="1"/>
  <c r="H5" i="873" s="1"/>
  <c r="G5" i="873" a="1"/>
  <c r="G5" i="873" s="1"/>
  <c r="M12" i="872" a="1"/>
  <c r="M12" i="872" s="1"/>
  <c r="I12" i="872" a="1"/>
  <c r="I12" i="872" s="1"/>
  <c r="E12" i="872" a="1"/>
  <c r="E12" i="872" s="1"/>
  <c r="L12" i="872" a="1"/>
  <c r="L12" i="872" s="1"/>
  <c r="H12" i="872" a="1"/>
  <c r="H12" i="872" s="1"/>
  <c r="K12" i="872" a="1"/>
  <c r="K12" i="872" s="1"/>
  <c r="G12" i="872" a="1"/>
  <c r="G12" i="872" s="1"/>
  <c r="J12" i="872" a="1"/>
  <c r="J12" i="872" s="1"/>
  <c r="F12" i="872" a="1"/>
  <c r="F12" i="872" s="1"/>
  <c r="K10" i="872" a="1"/>
  <c r="K10" i="872" s="1"/>
  <c r="G10" i="872" a="1"/>
  <c r="G10" i="872" s="1"/>
  <c r="J10" i="872" a="1"/>
  <c r="J10" i="872" s="1"/>
  <c r="F10" i="872" a="1"/>
  <c r="F10" i="872" s="1"/>
  <c r="M10" i="872" a="1"/>
  <c r="M10" i="872" s="1"/>
  <c r="I10" i="872" a="1"/>
  <c r="I10" i="872" s="1"/>
  <c r="E10" i="872" a="1"/>
  <c r="E10" i="872" s="1"/>
  <c r="L10" i="872" a="1"/>
  <c r="L10" i="872" s="1"/>
  <c r="H10" i="872" a="1"/>
  <c r="H10" i="872" s="1"/>
  <c r="F5" i="872" a="1"/>
  <c r="F5" i="872" s="1"/>
  <c r="J5" i="872" a="1"/>
  <c r="J5" i="872" s="1"/>
  <c r="M5" i="872" a="1"/>
  <c r="M5" i="872" s="1"/>
  <c r="E5" i="872" a="1"/>
  <c r="E5" i="872" s="1"/>
  <c r="I5" i="872" a="1"/>
  <c r="I5" i="872" s="1"/>
  <c r="L5" i="872" a="1"/>
  <c r="L5" i="872" s="1"/>
  <c r="H5" i="872" a="1"/>
  <c r="H5" i="872" s="1"/>
  <c r="K5" i="872" a="1"/>
  <c r="K5" i="872" s="1"/>
  <c r="G5" i="872" a="1"/>
  <c r="G5" i="872" s="1"/>
  <c r="J8" i="872" a="1"/>
  <c r="J8" i="872" s="1"/>
  <c r="F8" i="872" a="1"/>
  <c r="F8" i="872" s="1"/>
  <c r="M8" i="872" a="1"/>
  <c r="M8" i="872" s="1"/>
  <c r="I8" i="872" a="1"/>
  <c r="I8" i="872" s="1"/>
  <c r="E8" i="872" a="1"/>
  <c r="E8" i="872" s="1"/>
  <c r="G8" i="872" a="1"/>
  <c r="G8" i="872" s="1"/>
  <c r="L8" i="872" a="1"/>
  <c r="L8" i="872" s="1"/>
  <c r="H8" i="872" a="1"/>
  <c r="H8" i="872" s="1"/>
  <c r="K8" i="872" a="1"/>
  <c r="K8" i="872" s="1"/>
  <c r="J3" i="872" a="1"/>
  <c r="J3" i="872" s="1"/>
  <c r="F3" i="872" a="1"/>
  <c r="F3" i="872" s="1"/>
  <c r="M3" i="872" a="1"/>
  <c r="M3" i="872" s="1"/>
  <c r="I3" i="872" a="1"/>
  <c r="I3" i="872" s="1"/>
  <c r="E3" i="872" a="1"/>
  <c r="E3" i="872" s="1"/>
  <c r="L3" i="872" a="1"/>
  <c r="L3" i="872" s="1"/>
  <c r="H3" i="872" a="1"/>
  <c r="H3" i="872" s="1"/>
  <c r="K3" i="872" a="1"/>
  <c r="K3" i="872" s="1"/>
  <c r="G3" i="872" a="1"/>
  <c r="G3" i="872" s="1"/>
  <c r="F9" i="872" a="1"/>
  <c r="F9" i="872" s="1"/>
  <c r="J9" i="872" a="1"/>
  <c r="J9" i="872" s="1"/>
  <c r="M9" i="872" a="1"/>
  <c r="M9" i="872" s="1"/>
  <c r="I9" i="872" a="1"/>
  <c r="I9" i="872" s="1"/>
  <c r="E9" i="872" a="1"/>
  <c r="E9" i="872" s="1"/>
  <c r="K9" i="872" a="1"/>
  <c r="K9" i="872" s="1"/>
  <c r="L9" i="872" a="1"/>
  <c r="L9" i="872" s="1"/>
  <c r="H9" i="872" a="1"/>
  <c r="H9" i="872" s="1"/>
  <c r="G9" i="872" a="1"/>
  <c r="G9" i="872" s="1"/>
  <c r="D20" i="872"/>
  <c r="D19" i="872"/>
  <c r="D21" i="872"/>
  <c r="D22" i="872"/>
  <c r="J6" i="872" a="1"/>
  <c r="J6" i="872" s="1"/>
  <c r="F6" i="872" a="1"/>
  <c r="F6" i="872" s="1"/>
  <c r="M6" i="872" a="1"/>
  <c r="M6" i="872" s="1"/>
  <c r="I6" i="872" a="1"/>
  <c r="I6" i="872" s="1"/>
  <c r="E6" i="872" a="1"/>
  <c r="E6" i="872" s="1"/>
  <c r="L6" i="872" a="1"/>
  <c r="L6" i="872" s="1"/>
  <c r="H6" i="872" a="1"/>
  <c r="H6" i="872" s="1"/>
  <c r="K6" i="872" a="1"/>
  <c r="K6" i="872" s="1"/>
  <c r="G6" i="872" a="1"/>
  <c r="G6" i="872" s="1"/>
  <c r="K4" i="872" a="1"/>
  <c r="K4" i="872" s="1"/>
  <c r="G4" i="872" a="1"/>
  <c r="G4" i="872" s="1"/>
  <c r="J4" i="872" a="1"/>
  <c r="J4" i="872" s="1"/>
  <c r="F4" i="872" a="1"/>
  <c r="F4" i="872" s="1"/>
  <c r="M4" i="872" a="1"/>
  <c r="M4" i="872" s="1"/>
  <c r="I4" i="872" a="1"/>
  <c r="I4" i="872" s="1"/>
  <c r="E4" i="872" a="1"/>
  <c r="E4" i="872" s="1"/>
  <c r="L4" i="872" a="1"/>
  <c r="L4" i="872" s="1"/>
  <c r="H4" i="872" a="1"/>
  <c r="H4" i="872" s="1"/>
  <c r="L11" i="872" a="1"/>
  <c r="L11" i="872" s="1"/>
  <c r="G11" i="872" a="1"/>
  <c r="G11" i="872" s="1"/>
  <c r="J11" i="872" a="1"/>
  <c r="J11" i="872" s="1"/>
  <c r="F11" i="872" a="1"/>
  <c r="F11" i="872" s="1"/>
  <c r="I11" i="872" a="1"/>
  <c r="I11" i="872" s="1"/>
  <c r="E11" i="872" a="1"/>
  <c r="E11" i="872" s="1"/>
  <c r="M11" i="872" a="1"/>
  <c r="M11" i="872" s="1"/>
  <c r="H11" i="872" a="1"/>
  <c r="H11" i="872" s="1"/>
  <c r="J7" i="872" a="1"/>
  <c r="J7" i="872" s="1"/>
  <c r="F7" i="872" a="1"/>
  <c r="F7" i="872" s="1"/>
  <c r="M7" i="872" a="1"/>
  <c r="M7" i="872" s="1"/>
  <c r="I7" i="872" a="1"/>
  <c r="I7" i="872" s="1"/>
  <c r="E7" i="872" a="1"/>
  <c r="E7" i="872" s="1"/>
  <c r="L7" i="872" a="1"/>
  <c r="L7" i="872" s="1"/>
  <c r="H7" i="872" a="1"/>
  <c r="H7" i="872" s="1"/>
  <c r="K7" i="872" a="1"/>
  <c r="K7" i="872" s="1"/>
  <c r="G7" i="872" a="1"/>
  <c r="G7" i="872" s="1"/>
  <c r="D20" i="871"/>
  <c r="D19" i="871"/>
  <c r="D21" i="871"/>
  <c r="D22" i="871"/>
  <c r="D12" i="871" a="1"/>
  <c r="D12" i="871" s="1"/>
  <c r="D7" i="871" a="1"/>
  <c r="D7" i="871" s="1"/>
  <c r="D6" i="871" a="1"/>
  <c r="D6" i="871" s="1"/>
  <c r="D3" i="871" a="1"/>
  <c r="D3" i="871" s="1"/>
  <c r="D9" i="871" a="1"/>
  <c r="D9" i="871" s="1"/>
  <c r="D8" i="871" a="1"/>
  <c r="D8" i="871" s="1"/>
  <c r="D5" i="871" a="1"/>
  <c r="D5" i="871" s="1"/>
  <c r="D10" i="871" a="1"/>
  <c r="D10" i="871" s="1"/>
  <c r="D4" i="871" a="1"/>
  <c r="D4" i="871" s="1"/>
  <c r="D11" i="871" a="1"/>
  <c r="D11" i="871" s="1"/>
  <c r="D12" i="870" a="1"/>
  <c r="D12" i="870" s="1"/>
  <c r="D7" i="870" a="1"/>
  <c r="D7" i="870" s="1"/>
  <c r="D6" i="870" a="1"/>
  <c r="D6" i="870" s="1"/>
  <c r="D3" i="870" a="1"/>
  <c r="D3" i="870" s="1"/>
  <c r="D9" i="870" a="1"/>
  <c r="D9" i="870" s="1"/>
  <c r="D8" i="870" a="1"/>
  <c r="D8" i="870" s="1"/>
  <c r="D5" i="870" a="1"/>
  <c r="D5" i="870" s="1"/>
  <c r="D10" i="870" a="1"/>
  <c r="D10" i="870" s="1"/>
  <c r="D4" i="870" a="1"/>
  <c r="D4" i="870" s="1"/>
  <c r="D11" i="870" a="1"/>
  <c r="D11" i="870" s="1"/>
  <c r="D11" i="869" a="1"/>
  <c r="D11" i="869" s="1"/>
  <c r="D12" i="869" a="1"/>
  <c r="D12" i="869" s="1"/>
  <c r="D7" i="869" a="1"/>
  <c r="D7" i="869" s="1"/>
  <c r="D6" i="869" a="1"/>
  <c r="D6" i="869" s="1"/>
  <c r="D3" i="869" a="1"/>
  <c r="D3" i="869" s="1"/>
  <c r="D9" i="869" a="1"/>
  <c r="D9" i="869" s="1"/>
  <c r="D8" i="869" a="1"/>
  <c r="D8" i="869" s="1"/>
  <c r="D5" i="869" a="1"/>
  <c r="D5" i="869" s="1"/>
  <c r="D10" i="869" a="1"/>
  <c r="D10" i="869" s="1"/>
  <c r="D4" i="869" a="1"/>
  <c r="D4" i="869" s="1"/>
  <c r="D20" i="869"/>
  <c r="D19" i="869"/>
  <c r="D21" i="869"/>
  <c r="D22" i="869"/>
  <c r="D11" i="868" a="1"/>
  <c r="D11" i="868" s="1"/>
  <c r="D12" i="868" a="1"/>
  <c r="D12" i="868" s="1"/>
  <c r="D7" i="868" a="1"/>
  <c r="D7" i="868" s="1"/>
  <c r="D6" i="868" a="1"/>
  <c r="D6" i="868" s="1"/>
  <c r="D3" i="868" a="1"/>
  <c r="D3" i="868" s="1"/>
  <c r="D9" i="868" a="1"/>
  <c r="D9" i="868" s="1"/>
  <c r="D8" i="868" a="1"/>
  <c r="D8" i="868" s="1"/>
  <c r="D5" i="868" a="1"/>
  <c r="D5" i="868" s="1"/>
  <c r="D10" i="868" a="1"/>
  <c r="D10" i="868" s="1"/>
  <c r="D4" i="868" a="1"/>
  <c r="D4" i="868" s="1"/>
  <c r="D20" i="868"/>
  <c r="D21" i="868"/>
  <c r="D19" i="868"/>
  <c r="D22" i="868"/>
  <c r="D20" i="867"/>
  <c r="D19" i="867"/>
  <c r="D22" i="867"/>
  <c r="D21" i="867"/>
  <c r="D12" i="867" a="1"/>
  <c r="D12" i="867" s="1"/>
  <c r="D11" i="867" a="1"/>
  <c r="D11" i="867" s="1"/>
  <c r="D7" i="867" a="1"/>
  <c r="D7" i="867" s="1"/>
  <c r="D6" i="867" a="1"/>
  <c r="D6" i="867" s="1"/>
  <c r="D3" i="867" a="1"/>
  <c r="D3" i="867" s="1"/>
  <c r="D9" i="867" a="1"/>
  <c r="D9" i="867" s="1"/>
  <c r="D8" i="867" a="1"/>
  <c r="D8" i="867" s="1"/>
  <c r="D5" i="867" a="1"/>
  <c r="D5" i="867" s="1"/>
  <c r="D10" i="867" a="1"/>
  <c r="D10" i="867" s="1"/>
  <c r="D4" i="867" a="1"/>
  <c r="D4" i="867" s="1"/>
  <c r="F22" i="757"/>
  <c r="H13" i="878" l="1"/>
  <c r="H14" i="878" s="1"/>
  <c r="N11" i="878"/>
  <c r="N12" i="878"/>
  <c r="N7" i="878"/>
  <c r="L13" i="878"/>
  <c r="L14" i="878" s="1"/>
  <c r="N3" i="878"/>
  <c r="E13" i="878"/>
  <c r="E14" i="878" s="1"/>
  <c r="K13" i="877"/>
  <c r="K14" i="877" s="1"/>
  <c r="N9" i="878"/>
  <c r="I13" i="878"/>
  <c r="I14" i="878" s="1"/>
  <c r="N6" i="878"/>
  <c r="N8" i="878"/>
  <c r="N10" i="878"/>
  <c r="M13" i="878"/>
  <c r="M14" i="878" s="1"/>
  <c r="N5" i="878"/>
  <c r="F13" i="878"/>
  <c r="F14" i="878" s="1"/>
  <c r="N4" i="878"/>
  <c r="G13" i="878"/>
  <c r="G14" i="878" s="1"/>
  <c r="J13" i="878"/>
  <c r="J14" i="878" s="1"/>
  <c r="K13" i="878"/>
  <c r="K14" i="878" s="1"/>
  <c r="H13" i="877"/>
  <c r="H14" i="877" s="1"/>
  <c r="L13" i="877"/>
  <c r="L14" i="877" s="1"/>
  <c r="N12" i="877"/>
  <c r="N7" i="877"/>
  <c r="K13" i="876"/>
  <c r="K14" i="876" s="1"/>
  <c r="N3" i="877"/>
  <c r="E13" i="877"/>
  <c r="E14" i="877" s="1"/>
  <c r="N11" i="877"/>
  <c r="N6" i="877"/>
  <c r="I13" i="877"/>
  <c r="I14" i="877" s="1"/>
  <c r="N8" i="877"/>
  <c r="N5" i="877"/>
  <c r="M13" i="877"/>
  <c r="M14" i="877" s="1"/>
  <c r="N10" i="877"/>
  <c r="F13" i="877"/>
  <c r="F14" i="877" s="1"/>
  <c r="N9" i="877"/>
  <c r="G13" i="877"/>
  <c r="G14" i="877" s="1"/>
  <c r="J13" i="877"/>
  <c r="J14" i="877" s="1"/>
  <c r="N4" i="877"/>
  <c r="N12" i="876"/>
  <c r="N7" i="876"/>
  <c r="H13" i="876"/>
  <c r="H14" i="876" s="1"/>
  <c r="N8" i="876"/>
  <c r="N6" i="876"/>
  <c r="L13" i="876"/>
  <c r="L14" i="876" s="1"/>
  <c r="N5" i="876"/>
  <c r="N3" i="876"/>
  <c r="E13" i="876"/>
  <c r="E14" i="876" s="1"/>
  <c r="I13" i="876"/>
  <c r="I14" i="876" s="1"/>
  <c r="N11" i="876"/>
  <c r="M13" i="876"/>
  <c r="M14" i="876" s="1"/>
  <c r="N10" i="876"/>
  <c r="F13" i="876"/>
  <c r="F14" i="876" s="1"/>
  <c r="N4" i="876"/>
  <c r="G13" i="876"/>
  <c r="G14" i="876" s="1"/>
  <c r="J13" i="876"/>
  <c r="J14" i="876" s="1"/>
  <c r="N9" i="876"/>
  <c r="L13" i="875"/>
  <c r="L14" i="875" s="1"/>
  <c r="F13" i="875"/>
  <c r="F14" i="875" s="1"/>
  <c r="K13" i="875"/>
  <c r="K14" i="875" s="1"/>
  <c r="G13" i="875"/>
  <c r="G14" i="875" s="1"/>
  <c r="E13" i="875"/>
  <c r="E14" i="875" s="1"/>
  <c r="H13" i="875"/>
  <c r="H14" i="875" s="1"/>
  <c r="I13" i="875"/>
  <c r="I14" i="875" s="1"/>
  <c r="J13" i="875"/>
  <c r="J14" i="875" s="1"/>
  <c r="M13" i="875"/>
  <c r="M14" i="875" s="1"/>
  <c r="N10" i="875"/>
  <c r="N11" i="875"/>
  <c r="N9" i="875"/>
  <c r="N5" i="875"/>
  <c r="N8" i="875"/>
  <c r="H13" i="874"/>
  <c r="H14" i="874" s="1"/>
  <c r="N4" i="874"/>
  <c r="L13" i="874"/>
  <c r="L14" i="874" s="1"/>
  <c r="N3" i="874"/>
  <c r="E13" i="874"/>
  <c r="E14" i="874" s="1"/>
  <c r="N9" i="874"/>
  <c r="I13" i="874"/>
  <c r="I14" i="874" s="1"/>
  <c r="N7" i="874"/>
  <c r="M13" i="874"/>
  <c r="M14" i="874" s="1"/>
  <c r="N12" i="874"/>
  <c r="N8" i="874"/>
  <c r="N11" i="874"/>
  <c r="N6" i="874"/>
  <c r="F13" i="874"/>
  <c r="F14" i="874" s="1"/>
  <c r="G13" i="874"/>
  <c r="G14" i="874" s="1"/>
  <c r="J13" i="874"/>
  <c r="J14" i="874" s="1"/>
  <c r="N5" i="874"/>
  <c r="N10" i="874"/>
  <c r="K13" i="874"/>
  <c r="K14" i="874" s="1"/>
  <c r="N5" i="873"/>
  <c r="N11" i="873"/>
  <c r="M13" i="873"/>
  <c r="M14" i="873" s="1"/>
  <c r="I13" i="873"/>
  <c r="I14" i="873" s="1"/>
  <c r="N12" i="873"/>
  <c r="N4" i="873"/>
  <c r="G13" i="873"/>
  <c r="G14" i="873" s="1"/>
  <c r="J13" i="873"/>
  <c r="J14" i="873" s="1"/>
  <c r="N9" i="873"/>
  <c r="N7" i="873"/>
  <c r="K13" i="873"/>
  <c r="K14" i="873" s="1"/>
  <c r="N8" i="873"/>
  <c r="F13" i="873"/>
  <c r="F14" i="873" s="1"/>
  <c r="N6" i="873"/>
  <c r="H13" i="873"/>
  <c r="H14" i="873" s="1"/>
  <c r="L13" i="873"/>
  <c r="L14" i="873" s="1"/>
  <c r="N10" i="873"/>
  <c r="N3" i="873"/>
  <c r="E13" i="873"/>
  <c r="E14" i="873" s="1"/>
  <c r="N11" i="872"/>
  <c r="L13" i="872"/>
  <c r="L14" i="872" s="1"/>
  <c r="I13" i="872"/>
  <c r="I14" i="872" s="1"/>
  <c r="N8" i="872"/>
  <c r="N10" i="872"/>
  <c r="N3" i="872"/>
  <c r="E13" i="872"/>
  <c r="E14" i="872" s="1"/>
  <c r="N6" i="872"/>
  <c r="M13" i="872"/>
  <c r="M14" i="872" s="1"/>
  <c r="N4" i="872"/>
  <c r="N7" i="872"/>
  <c r="F13" i="872"/>
  <c r="F14" i="872" s="1"/>
  <c r="N5" i="872"/>
  <c r="G13" i="872"/>
  <c r="G14" i="872" s="1"/>
  <c r="J13" i="872"/>
  <c r="J14" i="872" s="1"/>
  <c r="K13" i="872"/>
  <c r="K14" i="872" s="1"/>
  <c r="H13" i="872"/>
  <c r="H14" i="872" s="1"/>
  <c r="N12" i="872"/>
  <c r="N9" i="872"/>
  <c r="J9" i="871" a="1"/>
  <c r="J9" i="871" s="1"/>
  <c r="F9" i="871" a="1"/>
  <c r="F9" i="871" s="1"/>
  <c r="M9" i="871" a="1"/>
  <c r="M9" i="871" s="1"/>
  <c r="I9" i="871" a="1"/>
  <c r="I9" i="871" s="1"/>
  <c r="E9" i="871" a="1"/>
  <c r="E9" i="871" s="1"/>
  <c r="K9" i="871" a="1"/>
  <c r="K9" i="871" s="1"/>
  <c r="G9" i="871" a="1"/>
  <c r="G9" i="871" s="1"/>
  <c r="L9" i="871" a="1"/>
  <c r="L9" i="871" s="1"/>
  <c r="H9" i="871" a="1"/>
  <c r="H9" i="871" s="1"/>
  <c r="J3" i="871" a="1"/>
  <c r="J3" i="871" s="1"/>
  <c r="F3" i="871" a="1"/>
  <c r="F3" i="871" s="1"/>
  <c r="M3" i="871" a="1"/>
  <c r="M3" i="871" s="1"/>
  <c r="I3" i="871" a="1"/>
  <c r="I3" i="871" s="1"/>
  <c r="E3" i="871" a="1"/>
  <c r="E3" i="871" s="1"/>
  <c r="L3" i="871" a="1"/>
  <c r="L3" i="871" s="1"/>
  <c r="H3" i="871" a="1"/>
  <c r="H3" i="871" s="1"/>
  <c r="K3" i="871" a="1"/>
  <c r="K3" i="871" s="1"/>
  <c r="G3" i="871" a="1"/>
  <c r="G3" i="871" s="1"/>
  <c r="J6" i="871" a="1"/>
  <c r="J6" i="871" s="1"/>
  <c r="F6" i="871" a="1"/>
  <c r="F6" i="871" s="1"/>
  <c r="M6" i="871" a="1"/>
  <c r="M6" i="871" s="1"/>
  <c r="I6" i="871" a="1"/>
  <c r="I6" i="871" s="1"/>
  <c r="E6" i="871" a="1"/>
  <c r="E6" i="871" s="1"/>
  <c r="L6" i="871" a="1"/>
  <c r="L6" i="871" s="1"/>
  <c r="H6" i="871" a="1"/>
  <c r="H6" i="871" s="1"/>
  <c r="K6" i="871" a="1"/>
  <c r="K6" i="871" s="1"/>
  <c r="G6" i="871" a="1"/>
  <c r="G6" i="871" s="1"/>
  <c r="J8" i="871" a="1"/>
  <c r="J8" i="871" s="1"/>
  <c r="F8" i="871" a="1"/>
  <c r="F8" i="871" s="1"/>
  <c r="M8" i="871" a="1"/>
  <c r="M8" i="871" s="1"/>
  <c r="I8" i="871" a="1"/>
  <c r="I8" i="871" s="1"/>
  <c r="E8" i="871" a="1"/>
  <c r="E8" i="871" s="1"/>
  <c r="G8" i="871" a="1"/>
  <c r="G8" i="871" s="1"/>
  <c r="L8" i="871" a="1"/>
  <c r="L8" i="871" s="1"/>
  <c r="H8" i="871" a="1"/>
  <c r="H8" i="871" s="1"/>
  <c r="K8" i="871" a="1"/>
  <c r="K8" i="871" s="1"/>
  <c r="H11" i="871" a="1"/>
  <c r="H11" i="871" s="1"/>
  <c r="L11" i="871" a="1"/>
  <c r="L11" i="871" s="1"/>
  <c r="G11" i="871" a="1"/>
  <c r="G11" i="871" s="1"/>
  <c r="M11" i="871" a="1"/>
  <c r="M11" i="871" s="1"/>
  <c r="J11" i="871" a="1"/>
  <c r="J11" i="871" s="1"/>
  <c r="F11" i="871" a="1"/>
  <c r="F11" i="871" s="1"/>
  <c r="I11" i="871" a="1"/>
  <c r="I11" i="871" s="1"/>
  <c r="E11" i="871" a="1"/>
  <c r="E11" i="871" s="1"/>
  <c r="J7" i="871" a="1"/>
  <c r="J7" i="871" s="1"/>
  <c r="F7" i="871" a="1"/>
  <c r="F7" i="871" s="1"/>
  <c r="M7" i="871" a="1"/>
  <c r="M7" i="871" s="1"/>
  <c r="I7" i="871" a="1"/>
  <c r="I7" i="871" s="1"/>
  <c r="E7" i="871" a="1"/>
  <c r="E7" i="871" s="1"/>
  <c r="L7" i="871" a="1"/>
  <c r="L7" i="871" s="1"/>
  <c r="H7" i="871" a="1"/>
  <c r="H7" i="871" s="1"/>
  <c r="K7" i="871" a="1"/>
  <c r="K7" i="871" s="1"/>
  <c r="G7" i="871" a="1"/>
  <c r="G7" i="871" s="1"/>
  <c r="M12" i="871" a="1"/>
  <c r="M12" i="871" s="1"/>
  <c r="I12" i="871" a="1"/>
  <c r="I12" i="871" s="1"/>
  <c r="E12" i="871" a="1"/>
  <c r="E12" i="871" s="1"/>
  <c r="L12" i="871" a="1"/>
  <c r="L12" i="871" s="1"/>
  <c r="H12" i="871" a="1"/>
  <c r="H12" i="871" s="1"/>
  <c r="K12" i="871" a="1"/>
  <c r="K12" i="871" s="1"/>
  <c r="G12" i="871" a="1"/>
  <c r="G12" i="871" s="1"/>
  <c r="J12" i="871" a="1"/>
  <c r="J12" i="871" s="1"/>
  <c r="F12" i="871" a="1"/>
  <c r="F12" i="871" s="1"/>
  <c r="K4" i="871" a="1"/>
  <c r="K4" i="871" s="1"/>
  <c r="G4" i="871" a="1"/>
  <c r="G4" i="871" s="1"/>
  <c r="J4" i="871" a="1"/>
  <c r="J4" i="871" s="1"/>
  <c r="F4" i="871" a="1"/>
  <c r="F4" i="871" s="1"/>
  <c r="M4" i="871" a="1"/>
  <c r="M4" i="871" s="1"/>
  <c r="I4" i="871" a="1"/>
  <c r="I4" i="871" s="1"/>
  <c r="E4" i="871" a="1"/>
  <c r="E4" i="871" s="1"/>
  <c r="L4" i="871" a="1"/>
  <c r="L4" i="871" s="1"/>
  <c r="H4" i="871" a="1"/>
  <c r="H4" i="871" s="1"/>
  <c r="K10" i="871" a="1"/>
  <c r="K10" i="871" s="1"/>
  <c r="G10" i="871" a="1"/>
  <c r="G10" i="871" s="1"/>
  <c r="J10" i="871" a="1"/>
  <c r="J10" i="871" s="1"/>
  <c r="F10" i="871" a="1"/>
  <c r="F10" i="871" s="1"/>
  <c r="M10" i="871" a="1"/>
  <c r="M10" i="871" s="1"/>
  <c r="I10" i="871" a="1"/>
  <c r="I10" i="871" s="1"/>
  <c r="E10" i="871" a="1"/>
  <c r="E10" i="871" s="1"/>
  <c r="L10" i="871" a="1"/>
  <c r="L10" i="871" s="1"/>
  <c r="H10" i="871" a="1"/>
  <c r="H10" i="871" s="1"/>
  <c r="J5" i="871" a="1"/>
  <c r="J5" i="871" s="1"/>
  <c r="F5" i="871" a="1"/>
  <c r="F5" i="871" s="1"/>
  <c r="M5" i="871" a="1"/>
  <c r="M5" i="871" s="1"/>
  <c r="I5" i="871" a="1"/>
  <c r="I5" i="871" s="1"/>
  <c r="E5" i="871" a="1"/>
  <c r="E5" i="871" s="1"/>
  <c r="K5" i="871" a="1"/>
  <c r="K5" i="871" s="1"/>
  <c r="L5" i="871" a="1"/>
  <c r="L5" i="871" s="1"/>
  <c r="H5" i="871" a="1"/>
  <c r="H5" i="871" s="1"/>
  <c r="G5" i="871" a="1"/>
  <c r="G5" i="871" s="1"/>
  <c r="J6" i="870" a="1"/>
  <c r="J6" i="870" s="1"/>
  <c r="F6" i="870" a="1"/>
  <c r="F6" i="870" s="1"/>
  <c r="M6" i="870" a="1"/>
  <c r="M6" i="870" s="1"/>
  <c r="I6" i="870" a="1"/>
  <c r="I6" i="870" s="1"/>
  <c r="E6" i="870" a="1"/>
  <c r="E6" i="870" s="1"/>
  <c r="L6" i="870" a="1"/>
  <c r="L6" i="870" s="1"/>
  <c r="H6" i="870" a="1"/>
  <c r="H6" i="870" s="1"/>
  <c r="K6" i="870" a="1"/>
  <c r="K6" i="870" s="1"/>
  <c r="G6" i="870" a="1"/>
  <c r="G6" i="870" s="1"/>
  <c r="J7" i="870" a="1"/>
  <c r="J7" i="870" s="1"/>
  <c r="F7" i="870" a="1"/>
  <c r="F7" i="870" s="1"/>
  <c r="M7" i="870" a="1"/>
  <c r="M7" i="870" s="1"/>
  <c r="I7" i="870" a="1"/>
  <c r="I7" i="870" s="1"/>
  <c r="E7" i="870" a="1"/>
  <c r="E7" i="870" s="1"/>
  <c r="L7" i="870" a="1"/>
  <c r="L7" i="870" s="1"/>
  <c r="H7" i="870" a="1"/>
  <c r="H7" i="870" s="1"/>
  <c r="K7" i="870" a="1"/>
  <c r="K7" i="870" s="1"/>
  <c r="G7" i="870" a="1"/>
  <c r="G7" i="870" s="1"/>
  <c r="M12" i="870" a="1"/>
  <c r="M12" i="870" s="1"/>
  <c r="I12" i="870" a="1"/>
  <c r="I12" i="870" s="1"/>
  <c r="E12" i="870" a="1"/>
  <c r="E12" i="870" s="1"/>
  <c r="L12" i="870" a="1"/>
  <c r="L12" i="870" s="1"/>
  <c r="H12" i="870" a="1"/>
  <c r="H12" i="870" s="1"/>
  <c r="K12" i="870" a="1"/>
  <c r="K12" i="870" s="1"/>
  <c r="G12" i="870" a="1"/>
  <c r="G12" i="870" s="1"/>
  <c r="J12" i="870" a="1"/>
  <c r="J12" i="870" s="1"/>
  <c r="F12" i="870" a="1"/>
  <c r="F12" i="870" s="1"/>
  <c r="K10" i="870" a="1"/>
  <c r="K10" i="870" s="1"/>
  <c r="G10" i="870" a="1"/>
  <c r="G10" i="870" s="1"/>
  <c r="J10" i="870" a="1"/>
  <c r="J10" i="870" s="1"/>
  <c r="F10" i="870" a="1"/>
  <c r="F10" i="870" s="1"/>
  <c r="M10" i="870" a="1"/>
  <c r="M10" i="870" s="1"/>
  <c r="I10" i="870" a="1"/>
  <c r="I10" i="870" s="1"/>
  <c r="E10" i="870" a="1"/>
  <c r="E10" i="870" s="1"/>
  <c r="L10" i="870" a="1"/>
  <c r="L10" i="870" s="1"/>
  <c r="H10" i="870" a="1"/>
  <c r="H10" i="870" s="1"/>
  <c r="L11" i="870" a="1"/>
  <c r="L11" i="870" s="1"/>
  <c r="G11" i="870" a="1"/>
  <c r="G11" i="870" s="1"/>
  <c r="J11" i="870" a="1"/>
  <c r="J11" i="870" s="1"/>
  <c r="F11" i="870" a="1"/>
  <c r="F11" i="870" s="1"/>
  <c r="I11" i="870" a="1"/>
  <c r="I11" i="870" s="1"/>
  <c r="E11" i="870" a="1"/>
  <c r="E11" i="870" s="1"/>
  <c r="M11" i="870" a="1"/>
  <c r="M11" i="870" s="1"/>
  <c r="H11" i="870" a="1"/>
  <c r="H11" i="870" s="1"/>
  <c r="K4" i="870" a="1"/>
  <c r="K4" i="870" s="1"/>
  <c r="G4" i="870" a="1"/>
  <c r="G4" i="870" s="1"/>
  <c r="J4" i="870" a="1"/>
  <c r="J4" i="870" s="1"/>
  <c r="F4" i="870" a="1"/>
  <c r="F4" i="870" s="1"/>
  <c r="M4" i="870" a="1"/>
  <c r="M4" i="870" s="1"/>
  <c r="I4" i="870" a="1"/>
  <c r="I4" i="870" s="1"/>
  <c r="E4" i="870" a="1"/>
  <c r="E4" i="870" s="1"/>
  <c r="L4" i="870" a="1"/>
  <c r="L4" i="870" s="1"/>
  <c r="H4" i="870" a="1"/>
  <c r="H4" i="870" s="1"/>
  <c r="J5" i="870" a="1"/>
  <c r="J5" i="870" s="1"/>
  <c r="F5" i="870" a="1"/>
  <c r="F5" i="870" s="1"/>
  <c r="M5" i="870" a="1"/>
  <c r="M5" i="870" s="1"/>
  <c r="I5" i="870" a="1"/>
  <c r="I5" i="870" s="1"/>
  <c r="E5" i="870" a="1"/>
  <c r="E5" i="870" s="1"/>
  <c r="L5" i="870" a="1"/>
  <c r="L5" i="870" s="1"/>
  <c r="H5" i="870" a="1"/>
  <c r="H5" i="870" s="1"/>
  <c r="K5" i="870" a="1"/>
  <c r="K5" i="870" s="1"/>
  <c r="G5" i="870" a="1"/>
  <c r="G5" i="870" s="1"/>
  <c r="J8" i="870" a="1"/>
  <c r="J8" i="870" s="1"/>
  <c r="F8" i="870" a="1"/>
  <c r="F8" i="870" s="1"/>
  <c r="M8" i="870" a="1"/>
  <c r="M8" i="870" s="1"/>
  <c r="I8" i="870" a="1"/>
  <c r="I8" i="870" s="1"/>
  <c r="E8" i="870" a="1"/>
  <c r="E8" i="870" s="1"/>
  <c r="L8" i="870" a="1"/>
  <c r="L8" i="870" s="1"/>
  <c r="H8" i="870" a="1"/>
  <c r="H8" i="870" s="1"/>
  <c r="K8" i="870" a="1"/>
  <c r="K8" i="870" s="1"/>
  <c r="G8" i="870" a="1"/>
  <c r="G8" i="870" s="1"/>
  <c r="J9" i="870" a="1"/>
  <c r="J9" i="870" s="1"/>
  <c r="F9" i="870" a="1"/>
  <c r="F9" i="870" s="1"/>
  <c r="M9" i="870" a="1"/>
  <c r="M9" i="870" s="1"/>
  <c r="I9" i="870" a="1"/>
  <c r="I9" i="870" s="1"/>
  <c r="E9" i="870" a="1"/>
  <c r="E9" i="870" s="1"/>
  <c r="L9" i="870" a="1"/>
  <c r="L9" i="870" s="1"/>
  <c r="H9" i="870" a="1"/>
  <c r="H9" i="870" s="1"/>
  <c r="K9" i="870" a="1"/>
  <c r="K9" i="870" s="1"/>
  <c r="G9" i="870" a="1"/>
  <c r="G9" i="870" s="1"/>
  <c r="J3" i="870" a="1"/>
  <c r="J3" i="870" s="1"/>
  <c r="F3" i="870" a="1"/>
  <c r="F3" i="870" s="1"/>
  <c r="M3" i="870" a="1"/>
  <c r="M3" i="870" s="1"/>
  <c r="I3" i="870" a="1"/>
  <c r="I3" i="870" s="1"/>
  <c r="E3" i="870" a="1"/>
  <c r="E3" i="870" s="1"/>
  <c r="L3" i="870" a="1"/>
  <c r="L3" i="870" s="1"/>
  <c r="H3" i="870" a="1"/>
  <c r="H3" i="870" s="1"/>
  <c r="K3" i="870" a="1"/>
  <c r="K3" i="870" s="1"/>
  <c r="G3" i="870" a="1"/>
  <c r="G3" i="870" s="1"/>
  <c r="J8" i="869" a="1"/>
  <c r="J8" i="869" s="1"/>
  <c r="F8" i="869" a="1"/>
  <c r="F8" i="869" s="1"/>
  <c r="G8" i="869" a="1"/>
  <c r="G8" i="869" s="1"/>
  <c r="M8" i="869" a="1"/>
  <c r="M8" i="869" s="1"/>
  <c r="I8" i="869" a="1"/>
  <c r="I8" i="869" s="1"/>
  <c r="E8" i="869" a="1"/>
  <c r="E8" i="869" s="1"/>
  <c r="K8" i="869" a="1"/>
  <c r="K8" i="869" s="1"/>
  <c r="L8" i="869" a="1"/>
  <c r="L8" i="869" s="1"/>
  <c r="H8" i="869" a="1"/>
  <c r="H8" i="869" s="1"/>
  <c r="K10" i="869" a="1"/>
  <c r="K10" i="869" s="1"/>
  <c r="G10" i="869" a="1"/>
  <c r="G10" i="869" s="1"/>
  <c r="J10" i="869" a="1"/>
  <c r="J10" i="869" s="1"/>
  <c r="F10" i="869" a="1"/>
  <c r="F10" i="869" s="1"/>
  <c r="M10" i="869" a="1"/>
  <c r="M10" i="869" s="1"/>
  <c r="I10" i="869" a="1"/>
  <c r="I10" i="869" s="1"/>
  <c r="E10" i="869" a="1"/>
  <c r="E10" i="869" s="1"/>
  <c r="L10" i="869" a="1"/>
  <c r="L10" i="869" s="1"/>
  <c r="H10" i="869" a="1"/>
  <c r="H10" i="869" s="1"/>
  <c r="J9" i="869" a="1"/>
  <c r="J9" i="869" s="1"/>
  <c r="F9" i="869" a="1"/>
  <c r="F9" i="869" s="1"/>
  <c r="K9" i="869" a="1"/>
  <c r="K9" i="869" s="1"/>
  <c r="M9" i="869" a="1"/>
  <c r="M9" i="869" s="1"/>
  <c r="I9" i="869" a="1"/>
  <c r="I9" i="869" s="1"/>
  <c r="E9" i="869" a="1"/>
  <c r="E9" i="869" s="1"/>
  <c r="L9" i="869" a="1"/>
  <c r="L9" i="869" s="1"/>
  <c r="H9" i="869" a="1"/>
  <c r="H9" i="869" s="1"/>
  <c r="G9" i="869" a="1"/>
  <c r="G9" i="869" s="1"/>
  <c r="L11" i="869" a="1"/>
  <c r="L11" i="869" s="1"/>
  <c r="G11" i="869" a="1"/>
  <c r="G11" i="869" s="1"/>
  <c r="M11" i="869" a="1"/>
  <c r="M11" i="869" s="1"/>
  <c r="J11" i="869" a="1"/>
  <c r="J11" i="869" s="1"/>
  <c r="F11" i="869" a="1"/>
  <c r="F11" i="869" s="1"/>
  <c r="H11" i="869" a="1"/>
  <c r="H11" i="869" s="1"/>
  <c r="I11" i="869" a="1"/>
  <c r="I11" i="869" s="1"/>
  <c r="E11" i="869" a="1"/>
  <c r="E11" i="869" s="1"/>
  <c r="J6" i="869" a="1"/>
  <c r="J6" i="869" s="1"/>
  <c r="F6" i="869" a="1"/>
  <c r="F6" i="869" s="1"/>
  <c r="M6" i="869" a="1"/>
  <c r="M6" i="869" s="1"/>
  <c r="I6" i="869" a="1"/>
  <c r="I6" i="869" s="1"/>
  <c r="E6" i="869" a="1"/>
  <c r="E6" i="869" s="1"/>
  <c r="L6" i="869" a="1"/>
  <c r="L6" i="869" s="1"/>
  <c r="H6" i="869" a="1"/>
  <c r="H6" i="869" s="1"/>
  <c r="K6" i="869" a="1"/>
  <c r="K6" i="869" s="1"/>
  <c r="G6" i="869" a="1"/>
  <c r="G6" i="869" s="1"/>
  <c r="J3" i="869" a="1"/>
  <c r="J3" i="869" s="1"/>
  <c r="F3" i="869" a="1"/>
  <c r="F3" i="869" s="1"/>
  <c r="M3" i="869" a="1"/>
  <c r="M3" i="869" s="1"/>
  <c r="I3" i="869" a="1"/>
  <c r="I3" i="869" s="1"/>
  <c r="E3" i="869" a="1"/>
  <c r="E3" i="869" s="1"/>
  <c r="L3" i="869" a="1"/>
  <c r="L3" i="869" s="1"/>
  <c r="H3" i="869" a="1"/>
  <c r="H3" i="869" s="1"/>
  <c r="K3" i="869" a="1"/>
  <c r="K3" i="869" s="1"/>
  <c r="G3" i="869" a="1"/>
  <c r="G3" i="869" s="1"/>
  <c r="J7" i="869" a="1"/>
  <c r="J7" i="869" s="1"/>
  <c r="F7" i="869" a="1"/>
  <c r="F7" i="869" s="1"/>
  <c r="M7" i="869" a="1"/>
  <c r="M7" i="869" s="1"/>
  <c r="I7" i="869" a="1"/>
  <c r="I7" i="869" s="1"/>
  <c r="E7" i="869" a="1"/>
  <c r="E7" i="869" s="1"/>
  <c r="L7" i="869" a="1"/>
  <c r="L7" i="869" s="1"/>
  <c r="H7" i="869" a="1"/>
  <c r="H7" i="869" s="1"/>
  <c r="K7" i="869" a="1"/>
  <c r="K7" i="869" s="1"/>
  <c r="G7" i="869" a="1"/>
  <c r="G7" i="869" s="1"/>
  <c r="K5" i="869" a="1"/>
  <c r="K5" i="869" s="1"/>
  <c r="J5" i="869" a="1"/>
  <c r="J5" i="869" s="1"/>
  <c r="F5" i="869" a="1"/>
  <c r="F5" i="869" s="1"/>
  <c r="M5" i="869" a="1"/>
  <c r="M5" i="869" s="1"/>
  <c r="I5" i="869" a="1"/>
  <c r="I5" i="869" s="1"/>
  <c r="E5" i="869" a="1"/>
  <c r="E5" i="869" s="1"/>
  <c r="L5" i="869" a="1"/>
  <c r="L5" i="869" s="1"/>
  <c r="H5" i="869" a="1"/>
  <c r="H5" i="869" s="1"/>
  <c r="G5" i="869" a="1"/>
  <c r="G5" i="869" s="1"/>
  <c r="K4" i="869" a="1"/>
  <c r="K4" i="869" s="1"/>
  <c r="G4" i="869" a="1"/>
  <c r="G4" i="869" s="1"/>
  <c r="J4" i="869" a="1"/>
  <c r="J4" i="869" s="1"/>
  <c r="F4" i="869" a="1"/>
  <c r="F4" i="869" s="1"/>
  <c r="M4" i="869" a="1"/>
  <c r="M4" i="869" s="1"/>
  <c r="I4" i="869" a="1"/>
  <c r="I4" i="869" s="1"/>
  <c r="E4" i="869" a="1"/>
  <c r="E4" i="869" s="1"/>
  <c r="L4" i="869" a="1"/>
  <c r="L4" i="869" s="1"/>
  <c r="H4" i="869" a="1"/>
  <c r="H4" i="869" s="1"/>
  <c r="M12" i="869" a="1"/>
  <c r="M12" i="869" s="1"/>
  <c r="I12" i="869" a="1"/>
  <c r="I12" i="869" s="1"/>
  <c r="E12" i="869" a="1"/>
  <c r="E12" i="869" s="1"/>
  <c r="L12" i="869" a="1"/>
  <c r="L12" i="869" s="1"/>
  <c r="H12" i="869" a="1"/>
  <c r="H12" i="869" s="1"/>
  <c r="K12" i="869" a="1"/>
  <c r="K12" i="869" s="1"/>
  <c r="G12" i="869" a="1"/>
  <c r="G12" i="869" s="1"/>
  <c r="J12" i="869" a="1"/>
  <c r="J12" i="869" s="1"/>
  <c r="F12" i="869" a="1"/>
  <c r="F12" i="869" s="1"/>
  <c r="K10" i="868" a="1"/>
  <c r="K10" i="868" s="1"/>
  <c r="G10" i="868" a="1"/>
  <c r="G10" i="868" s="1"/>
  <c r="J10" i="868" a="1"/>
  <c r="J10" i="868" s="1"/>
  <c r="F10" i="868" a="1"/>
  <c r="F10" i="868" s="1"/>
  <c r="M10" i="868" a="1"/>
  <c r="M10" i="868" s="1"/>
  <c r="I10" i="868" a="1"/>
  <c r="I10" i="868" s="1"/>
  <c r="E10" i="868" a="1"/>
  <c r="E10" i="868" s="1"/>
  <c r="L10" i="868" a="1"/>
  <c r="L10" i="868" s="1"/>
  <c r="H10" i="868" a="1"/>
  <c r="H10" i="868" s="1"/>
  <c r="J5" i="868" a="1"/>
  <c r="J5" i="868" s="1"/>
  <c r="F5" i="868" a="1"/>
  <c r="F5" i="868" s="1"/>
  <c r="K5" i="868" a="1"/>
  <c r="K5" i="868" s="1"/>
  <c r="M5" i="868" a="1"/>
  <c r="M5" i="868" s="1"/>
  <c r="I5" i="868" a="1"/>
  <c r="I5" i="868" s="1"/>
  <c r="E5" i="868" a="1"/>
  <c r="E5" i="868" s="1"/>
  <c r="L5" i="868" a="1"/>
  <c r="L5" i="868" s="1"/>
  <c r="H5" i="868" a="1"/>
  <c r="H5" i="868" s="1"/>
  <c r="G5" i="868" a="1"/>
  <c r="G5" i="868" s="1"/>
  <c r="J8" i="868" a="1"/>
  <c r="J8" i="868" s="1"/>
  <c r="F8" i="868" a="1"/>
  <c r="F8" i="868" s="1"/>
  <c r="K8" i="868" a="1"/>
  <c r="K8" i="868" s="1"/>
  <c r="M8" i="868" a="1"/>
  <c r="M8" i="868" s="1"/>
  <c r="I8" i="868" a="1"/>
  <c r="I8" i="868" s="1"/>
  <c r="E8" i="868" a="1"/>
  <c r="E8" i="868" s="1"/>
  <c r="L8" i="868" a="1"/>
  <c r="L8" i="868" s="1"/>
  <c r="H8" i="868" a="1"/>
  <c r="H8" i="868" s="1"/>
  <c r="G8" i="868" a="1"/>
  <c r="G8" i="868" s="1"/>
  <c r="J9" i="868" a="1"/>
  <c r="J9" i="868" s="1"/>
  <c r="F9" i="868" a="1"/>
  <c r="F9" i="868" s="1"/>
  <c r="G9" i="868" a="1"/>
  <c r="G9" i="868" s="1"/>
  <c r="M9" i="868" a="1"/>
  <c r="M9" i="868" s="1"/>
  <c r="I9" i="868" a="1"/>
  <c r="I9" i="868" s="1"/>
  <c r="E9" i="868" a="1"/>
  <c r="E9" i="868" s="1"/>
  <c r="L9" i="868" a="1"/>
  <c r="L9" i="868" s="1"/>
  <c r="H9" i="868" a="1"/>
  <c r="H9" i="868" s="1"/>
  <c r="K9" i="868" a="1"/>
  <c r="K9" i="868" s="1"/>
  <c r="K4" i="868" a="1"/>
  <c r="K4" i="868" s="1"/>
  <c r="G4" i="868" a="1"/>
  <c r="G4" i="868" s="1"/>
  <c r="J4" i="868" a="1"/>
  <c r="J4" i="868" s="1"/>
  <c r="F4" i="868" a="1"/>
  <c r="F4" i="868" s="1"/>
  <c r="M4" i="868" a="1"/>
  <c r="M4" i="868" s="1"/>
  <c r="I4" i="868" a="1"/>
  <c r="I4" i="868" s="1"/>
  <c r="E4" i="868" a="1"/>
  <c r="E4" i="868" s="1"/>
  <c r="L4" i="868" a="1"/>
  <c r="L4" i="868" s="1"/>
  <c r="H4" i="868" a="1"/>
  <c r="H4" i="868" s="1"/>
  <c r="J3" i="868" a="1"/>
  <c r="J3" i="868" s="1"/>
  <c r="F3" i="868" a="1"/>
  <c r="F3" i="868" s="1"/>
  <c r="M3" i="868" a="1"/>
  <c r="M3" i="868" s="1"/>
  <c r="I3" i="868" a="1"/>
  <c r="I3" i="868" s="1"/>
  <c r="E3" i="868" a="1"/>
  <c r="E3" i="868" s="1"/>
  <c r="L3" i="868" a="1"/>
  <c r="L3" i="868" s="1"/>
  <c r="H3" i="868" a="1"/>
  <c r="H3" i="868" s="1"/>
  <c r="K3" i="868" a="1"/>
  <c r="K3" i="868" s="1"/>
  <c r="G3" i="868" a="1"/>
  <c r="G3" i="868" s="1"/>
  <c r="J6" i="868" a="1"/>
  <c r="J6" i="868" s="1"/>
  <c r="F6" i="868" a="1"/>
  <c r="F6" i="868" s="1"/>
  <c r="M6" i="868" a="1"/>
  <c r="M6" i="868" s="1"/>
  <c r="I6" i="868" a="1"/>
  <c r="I6" i="868" s="1"/>
  <c r="E6" i="868" a="1"/>
  <c r="E6" i="868" s="1"/>
  <c r="L6" i="868" a="1"/>
  <c r="L6" i="868" s="1"/>
  <c r="H6" i="868" a="1"/>
  <c r="H6" i="868" s="1"/>
  <c r="K6" i="868" a="1"/>
  <c r="K6" i="868" s="1"/>
  <c r="G6" i="868" a="1"/>
  <c r="G6" i="868" s="1"/>
  <c r="M12" i="868" a="1"/>
  <c r="M12" i="868" s="1"/>
  <c r="I12" i="868" a="1"/>
  <c r="I12" i="868" s="1"/>
  <c r="E12" i="868" a="1"/>
  <c r="E12" i="868" s="1"/>
  <c r="L12" i="868" a="1"/>
  <c r="L12" i="868" s="1"/>
  <c r="H12" i="868" a="1"/>
  <c r="H12" i="868" s="1"/>
  <c r="K12" i="868" a="1"/>
  <c r="K12" i="868" s="1"/>
  <c r="G12" i="868" a="1"/>
  <c r="G12" i="868" s="1"/>
  <c r="J12" i="868" a="1"/>
  <c r="J12" i="868" s="1"/>
  <c r="F12" i="868" a="1"/>
  <c r="F12" i="868" s="1"/>
  <c r="L11" i="868" a="1"/>
  <c r="L11" i="868" s="1"/>
  <c r="G11" i="868" a="1"/>
  <c r="G11" i="868" s="1"/>
  <c r="H11" i="868" a="1"/>
  <c r="H11" i="868" s="1"/>
  <c r="J11" i="868" a="1"/>
  <c r="J11" i="868" s="1"/>
  <c r="F11" i="868" a="1"/>
  <c r="F11" i="868" s="1"/>
  <c r="I11" i="868" a="1"/>
  <c r="I11" i="868" s="1"/>
  <c r="E11" i="868" a="1"/>
  <c r="E11" i="868" s="1"/>
  <c r="M11" i="868" a="1"/>
  <c r="M11" i="868" s="1"/>
  <c r="J7" i="868" a="1"/>
  <c r="J7" i="868" s="1"/>
  <c r="F7" i="868" a="1"/>
  <c r="F7" i="868" s="1"/>
  <c r="M7" i="868" a="1"/>
  <c r="M7" i="868" s="1"/>
  <c r="I7" i="868" a="1"/>
  <c r="I7" i="868" s="1"/>
  <c r="E7" i="868" a="1"/>
  <c r="E7" i="868" s="1"/>
  <c r="L7" i="868" a="1"/>
  <c r="L7" i="868" s="1"/>
  <c r="H7" i="868" a="1"/>
  <c r="H7" i="868" s="1"/>
  <c r="K7" i="868" a="1"/>
  <c r="K7" i="868" s="1"/>
  <c r="G7" i="868" a="1"/>
  <c r="G7" i="868" s="1"/>
  <c r="J3" i="867" a="1"/>
  <c r="J3" i="867" s="1"/>
  <c r="F3" i="867" a="1"/>
  <c r="F3" i="867" s="1"/>
  <c r="M3" i="867" a="1"/>
  <c r="M3" i="867" s="1"/>
  <c r="I3" i="867" a="1"/>
  <c r="I3" i="867" s="1"/>
  <c r="E3" i="867" a="1"/>
  <c r="E3" i="867" s="1"/>
  <c r="L3" i="867" a="1"/>
  <c r="L3" i="867" s="1"/>
  <c r="H3" i="867" a="1"/>
  <c r="H3" i="867" s="1"/>
  <c r="K3" i="867" a="1"/>
  <c r="K3" i="867" s="1"/>
  <c r="G3" i="867" a="1"/>
  <c r="G3" i="867" s="1"/>
  <c r="J6" i="867" a="1"/>
  <c r="J6" i="867" s="1"/>
  <c r="F6" i="867" a="1"/>
  <c r="F6" i="867" s="1"/>
  <c r="M6" i="867" a="1"/>
  <c r="M6" i="867" s="1"/>
  <c r="I6" i="867" a="1"/>
  <c r="I6" i="867" s="1"/>
  <c r="E6" i="867" a="1"/>
  <c r="E6" i="867" s="1"/>
  <c r="L6" i="867" a="1"/>
  <c r="L6" i="867" s="1"/>
  <c r="H6" i="867" a="1"/>
  <c r="H6" i="867" s="1"/>
  <c r="K6" i="867" a="1"/>
  <c r="K6" i="867" s="1"/>
  <c r="G6" i="867" a="1"/>
  <c r="G6" i="867" s="1"/>
  <c r="J7" i="867" a="1"/>
  <c r="J7" i="867" s="1"/>
  <c r="F7" i="867" a="1"/>
  <c r="F7" i="867" s="1"/>
  <c r="M7" i="867" a="1"/>
  <c r="M7" i="867" s="1"/>
  <c r="I7" i="867" a="1"/>
  <c r="I7" i="867" s="1"/>
  <c r="E7" i="867" a="1"/>
  <c r="E7" i="867" s="1"/>
  <c r="L7" i="867" a="1"/>
  <c r="L7" i="867" s="1"/>
  <c r="H7" i="867" a="1"/>
  <c r="H7" i="867" s="1"/>
  <c r="K7" i="867" a="1"/>
  <c r="K7" i="867" s="1"/>
  <c r="G7" i="867" a="1"/>
  <c r="G7" i="867" s="1"/>
  <c r="J5" i="867" a="1"/>
  <c r="J5" i="867" s="1"/>
  <c r="F5" i="867" a="1"/>
  <c r="F5" i="867" s="1"/>
  <c r="M5" i="867" a="1"/>
  <c r="M5" i="867" s="1"/>
  <c r="I5" i="867" a="1"/>
  <c r="I5" i="867" s="1"/>
  <c r="E5" i="867" a="1"/>
  <c r="E5" i="867" s="1"/>
  <c r="L5" i="867" a="1"/>
  <c r="L5" i="867" s="1"/>
  <c r="H5" i="867" a="1"/>
  <c r="H5" i="867" s="1"/>
  <c r="K5" i="867" a="1"/>
  <c r="K5" i="867" s="1"/>
  <c r="G5" i="867" a="1"/>
  <c r="G5" i="867" s="1"/>
  <c r="J8" i="867" a="1"/>
  <c r="J8" i="867" s="1"/>
  <c r="F8" i="867" a="1"/>
  <c r="F8" i="867" s="1"/>
  <c r="M8" i="867" a="1"/>
  <c r="M8" i="867" s="1"/>
  <c r="I8" i="867" a="1"/>
  <c r="I8" i="867" s="1"/>
  <c r="E8" i="867" a="1"/>
  <c r="E8" i="867" s="1"/>
  <c r="K8" i="867" a="1"/>
  <c r="K8" i="867" s="1"/>
  <c r="L8" i="867" a="1"/>
  <c r="L8" i="867" s="1"/>
  <c r="H8" i="867" a="1"/>
  <c r="H8" i="867" s="1"/>
  <c r="G8" i="867" a="1"/>
  <c r="G8" i="867" s="1"/>
  <c r="L11" i="867" a="1"/>
  <c r="L11" i="867" s="1"/>
  <c r="G11" i="867" a="1"/>
  <c r="G11" i="867" s="1"/>
  <c r="M11" i="867" a="1"/>
  <c r="M11" i="867" s="1"/>
  <c r="J11" i="867" a="1"/>
  <c r="J11" i="867" s="1"/>
  <c r="F11" i="867" a="1"/>
  <c r="F11" i="867" s="1"/>
  <c r="I11" i="867" a="1"/>
  <c r="I11" i="867" s="1"/>
  <c r="E11" i="867" a="1"/>
  <c r="E11" i="867" s="1"/>
  <c r="H11" i="867" a="1"/>
  <c r="H11" i="867" s="1"/>
  <c r="J9" i="867" a="1"/>
  <c r="J9" i="867" s="1"/>
  <c r="F9" i="867" a="1"/>
  <c r="F9" i="867" s="1"/>
  <c r="G9" i="867" a="1"/>
  <c r="G9" i="867" s="1"/>
  <c r="M9" i="867" a="1"/>
  <c r="M9" i="867" s="1"/>
  <c r="I9" i="867" a="1"/>
  <c r="I9" i="867" s="1"/>
  <c r="E9" i="867" a="1"/>
  <c r="E9" i="867" s="1"/>
  <c r="K9" i="867" a="1"/>
  <c r="K9" i="867" s="1"/>
  <c r="L9" i="867" a="1"/>
  <c r="L9" i="867" s="1"/>
  <c r="H9" i="867" a="1"/>
  <c r="H9" i="867" s="1"/>
  <c r="K4" i="867" a="1"/>
  <c r="K4" i="867" s="1"/>
  <c r="G4" i="867" a="1"/>
  <c r="G4" i="867" s="1"/>
  <c r="J4" i="867" a="1"/>
  <c r="J4" i="867" s="1"/>
  <c r="F4" i="867" a="1"/>
  <c r="F4" i="867" s="1"/>
  <c r="M4" i="867" a="1"/>
  <c r="M4" i="867" s="1"/>
  <c r="I4" i="867" a="1"/>
  <c r="I4" i="867" s="1"/>
  <c r="E4" i="867" a="1"/>
  <c r="E4" i="867" s="1"/>
  <c r="L4" i="867" a="1"/>
  <c r="L4" i="867" s="1"/>
  <c r="H4" i="867" a="1"/>
  <c r="H4" i="867" s="1"/>
  <c r="K10" i="867" a="1"/>
  <c r="K10" i="867" s="1"/>
  <c r="G10" i="867" a="1"/>
  <c r="G10" i="867" s="1"/>
  <c r="J10" i="867" a="1"/>
  <c r="J10" i="867" s="1"/>
  <c r="F10" i="867" a="1"/>
  <c r="F10" i="867" s="1"/>
  <c r="M10" i="867" a="1"/>
  <c r="M10" i="867" s="1"/>
  <c r="I10" i="867" a="1"/>
  <c r="I10" i="867" s="1"/>
  <c r="E10" i="867" a="1"/>
  <c r="E10" i="867" s="1"/>
  <c r="L10" i="867" a="1"/>
  <c r="L10" i="867" s="1"/>
  <c r="H10" i="867" a="1"/>
  <c r="H10" i="867" s="1"/>
  <c r="M12" i="867" a="1"/>
  <c r="M12" i="867" s="1"/>
  <c r="I12" i="867" a="1"/>
  <c r="I12" i="867" s="1"/>
  <c r="E12" i="867" a="1"/>
  <c r="E12" i="867" s="1"/>
  <c r="L12" i="867" a="1"/>
  <c r="L12" i="867" s="1"/>
  <c r="H12" i="867" a="1"/>
  <c r="H12" i="867" s="1"/>
  <c r="K12" i="867" a="1"/>
  <c r="K12" i="867" s="1"/>
  <c r="G12" i="867" a="1"/>
  <c r="G12" i="867" s="1"/>
  <c r="J12" i="867" a="1"/>
  <c r="J12" i="867" s="1"/>
  <c r="F12" i="867" a="1"/>
  <c r="F12" i="867" s="1"/>
  <c r="F29" i="757"/>
  <c r="F25" i="757"/>
  <c r="F26" i="757"/>
  <c r="F33" i="757"/>
  <c r="F32" i="757"/>
  <c r="F28" i="757"/>
  <c r="F24" i="757"/>
  <c r="F30" i="757"/>
  <c r="F31" i="757"/>
  <c r="F27" i="757"/>
  <c r="F23" i="757"/>
  <c r="F14" i="3"/>
  <c r="U11" i="3" a="1"/>
  <c r="Q12" i="3" a="1"/>
  <c r="I9" i="3" a="1"/>
  <c r="AC10" i="3" a="1"/>
  <c r="S4" i="3" a="1"/>
  <c r="Y2" i="3" a="1"/>
  <c r="K7" i="3" a="1"/>
  <c r="AC11" i="3" a="1"/>
  <c r="AC6" i="3" a="1"/>
  <c r="U10" i="3" a="1"/>
  <c r="U4" i="3" a="1"/>
  <c r="AA12" i="3" a="1"/>
  <c r="I11" i="3" a="1"/>
  <c r="U13" i="3" a="1"/>
  <c r="U6" i="3" a="1"/>
  <c r="M13" i="3" a="1"/>
  <c r="O6" i="3" a="1"/>
  <c r="K13" i="3" a="1"/>
  <c r="I8" i="3" a="1"/>
  <c r="M9" i="3" a="1"/>
  <c r="S13" i="3" a="1"/>
  <c r="M10" i="3" a="1"/>
  <c r="G5" i="3" a="1"/>
  <c r="W2" i="3" a="1"/>
  <c r="U5" i="3" a="1"/>
  <c r="Q8" i="3" a="1"/>
  <c r="Y11" i="3" a="1"/>
  <c r="G10" i="3" a="1"/>
  <c r="S2" i="3" a="1"/>
  <c r="AA13" i="3" a="1"/>
  <c r="S3" i="3" a="1"/>
  <c r="AA10" i="3" a="1"/>
  <c r="S8" i="3" a="1"/>
  <c r="M3" i="3" a="1"/>
  <c r="U7" i="3" a="1"/>
  <c r="M6" i="3" a="1"/>
  <c r="O9" i="3" a="1"/>
  <c r="W4" i="3" a="1"/>
  <c r="W9" i="3" a="1"/>
  <c r="U2" i="3" a="1"/>
  <c r="O8" i="3" a="1"/>
  <c r="O13" i="3" a="1"/>
  <c r="AA7" i="3" a="1"/>
  <c r="M7" i="3" a="1"/>
  <c r="W7" i="3" a="1"/>
  <c r="I12" i="3" a="1"/>
  <c r="K4" i="3" a="1"/>
  <c r="Y13" i="3" a="1"/>
  <c r="Q7" i="3" a="1"/>
  <c r="G12" i="3" a="1"/>
  <c r="W8" i="3" a="1"/>
  <c r="S11" i="3" a="1"/>
  <c r="O5" i="3" a="1"/>
  <c r="AA5" i="3" a="1"/>
  <c r="K12" i="3" a="1"/>
  <c r="Y10" i="3" a="1"/>
  <c r="AA11" i="3" a="1"/>
  <c r="M8" i="3" a="1"/>
  <c r="AA9" i="3" a="1"/>
  <c r="Y4" i="3" a="1"/>
  <c r="K3" i="3" a="1"/>
  <c r="Y5" i="3" a="1"/>
  <c r="AC5" i="3" a="1"/>
  <c r="AC7" i="3" a="1"/>
  <c r="K5" i="3" a="1"/>
  <c r="K11" i="3" a="1"/>
  <c r="G11" i="3" a="1"/>
  <c r="I3" i="3" a="1"/>
  <c r="AA3" i="3" a="1"/>
  <c r="O7" i="3" a="1"/>
  <c r="U9" i="3" a="1"/>
  <c r="M5" i="3" a="1"/>
  <c r="AA8" i="3" a="1"/>
  <c r="AA2" i="3" a="1"/>
  <c r="Y9" i="3" a="1"/>
  <c r="AC9" i="3" a="1"/>
  <c r="Q11" i="3" a="1"/>
  <c r="W12" i="3" a="1"/>
  <c r="S6" i="3" a="1"/>
  <c r="Q3" i="3" a="1"/>
  <c r="O12" i="3" a="1"/>
  <c r="O11" i="3" a="1"/>
  <c r="W13" i="3" a="1"/>
  <c r="AC4" i="3" a="1"/>
  <c r="I10" i="3" a="1"/>
  <c r="Q6" i="3" a="1"/>
  <c r="G9" i="3" a="1"/>
  <c r="Y12" i="3" a="1"/>
  <c r="W10" i="3" a="1"/>
  <c r="Q2" i="3" a="1"/>
  <c r="AA4" i="3" a="1"/>
  <c r="AC8" i="3" a="1"/>
  <c r="Q4" i="3" a="1"/>
  <c r="O3" i="3" a="1"/>
  <c r="W3" i="3" a="1"/>
  <c r="M12" i="3" a="1"/>
  <c r="AC3" i="3" a="1"/>
  <c r="I2" i="3" a="1"/>
  <c r="U12" i="3" a="1"/>
  <c r="O2" i="3" a="1"/>
  <c r="G7" i="3" a="1"/>
  <c r="I13" i="3" a="1"/>
  <c r="O10" i="3" a="1"/>
  <c r="Q9" i="3" a="1"/>
  <c r="Y8" i="3" a="1"/>
  <c r="W11" i="3" a="1"/>
  <c r="G6" i="3" a="1"/>
  <c r="Q10" i="3" a="1"/>
  <c r="AC13" i="3" a="1"/>
  <c r="Q13" i="3" a="1"/>
  <c r="AA6" i="3" a="1"/>
  <c r="O4" i="3" a="1"/>
  <c r="K6" i="3" a="1"/>
  <c r="I7" i="3" a="1"/>
  <c r="AC2" i="3" a="1"/>
  <c r="Y6" i="3" a="1"/>
  <c r="Y3" i="3" a="1"/>
  <c r="G3" i="3" a="1"/>
  <c r="S12" i="3" a="1"/>
  <c r="K8" i="3" a="1"/>
  <c r="Q5" i="3" a="1"/>
  <c r="K10" i="3" a="1"/>
  <c r="M4" i="3" a="1"/>
  <c r="K9" i="3" a="1"/>
  <c r="G8" i="3" a="1"/>
  <c r="S10" i="3" a="1"/>
  <c r="S7" i="3" a="1"/>
  <c r="S9" i="3" a="1"/>
  <c r="Y7" i="3" a="1"/>
  <c r="AC12" i="3" a="1"/>
  <c r="I4" i="3" a="1"/>
  <c r="G2" i="3" a="1"/>
  <c r="G13" i="3" a="1"/>
  <c r="M2" i="3" a="1"/>
  <c r="W6" i="3" a="1"/>
  <c r="U8" i="3" a="1"/>
  <c r="I5" i="3" a="1"/>
  <c r="I6" i="3" a="1"/>
  <c r="U3" i="3" a="1"/>
  <c r="K2" i="3" a="1"/>
  <c r="G4" i="3" a="1"/>
  <c r="W5" i="3" a="1"/>
  <c r="M11" i="3" a="1"/>
  <c r="S5" i="3" a="1"/>
  <c r="N13" i="878" l="1"/>
  <c r="N14" i="878" s="1"/>
  <c r="N13" i="877"/>
  <c r="N14" i="877" s="1"/>
  <c r="N13" i="876"/>
  <c r="N14" i="876" s="1"/>
  <c r="N13" i="875"/>
  <c r="N14" i="875" s="1"/>
  <c r="N13" i="874"/>
  <c r="N14" i="874" s="1"/>
  <c r="N13" i="873"/>
  <c r="N14" i="873" s="1"/>
  <c r="N13" i="872"/>
  <c r="N14" i="872" s="1"/>
  <c r="N12" i="871"/>
  <c r="N8" i="871"/>
  <c r="H13" i="871"/>
  <c r="H14" i="871" s="1"/>
  <c r="N6" i="871"/>
  <c r="L13" i="871"/>
  <c r="L14" i="871" s="1"/>
  <c r="N10" i="871"/>
  <c r="N3" i="871"/>
  <c r="E13" i="871"/>
  <c r="E14" i="871" s="1"/>
  <c r="N5" i="871"/>
  <c r="N4" i="871"/>
  <c r="I13" i="871"/>
  <c r="I14" i="871" s="1"/>
  <c r="N9" i="871"/>
  <c r="N11" i="871"/>
  <c r="M13" i="871"/>
  <c r="M14" i="871" s="1"/>
  <c r="F13" i="871"/>
  <c r="F14" i="871" s="1"/>
  <c r="G13" i="871"/>
  <c r="G14" i="871" s="1"/>
  <c r="J13" i="871"/>
  <c r="J14" i="871" s="1"/>
  <c r="N7" i="871"/>
  <c r="K13" i="871"/>
  <c r="K14" i="871" s="1"/>
  <c r="N12" i="870"/>
  <c r="M13" i="870"/>
  <c r="M14" i="870" s="1"/>
  <c r="F13" i="870"/>
  <c r="F14" i="870" s="1"/>
  <c r="N5" i="870"/>
  <c r="N11" i="870"/>
  <c r="G13" i="870"/>
  <c r="G14" i="870" s="1"/>
  <c r="J13" i="870"/>
  <c r="J14" i="870" s="1"/>
  <c r="N10" i="869"/>
  <c r="K13" i="870"/>
  <c r="K14" i="870" s="1"/>
  <c r="H13" i="870"/>
  <c r="H14" i="870" s="1"/>
  <c r="L13" i="870"/>
  <c r="L14" i="870" s="1"/>
  <c r="N7" i="870"/>
  <c r="N3" i="870"/>
  <c r="E13" i="870"/>
  <c r="E14" i="870" s="1"/>
  <c r="N6" i="870"/>
  <c r="I13" i="870"/>
  <c r="I14" i="870" s="1"/>
  <c r="N9" i="870"/>
  <c r="N8" i="870"/>
  <c r="N4" i="870"/>
  <c r="N10" i="870"/>
  <c r="N6" i="869"/>
  <c r="N9" i="869"/>
  <c r="M13" i="869"/>
  <c r="M14" i="869" s="1"/>
  <c r="I13" i="869"/>
  <c r="I14" i="869" s="1"/>
  <c r="N4" i="869"/>
  <c r="F13" i="869"/>
  <c r="F14" i="869" s="1"/>
  <c r="N8" i="869"/>
  <c r="G13" i="869"/>
  <c r="G14" i="869" s="1"/>
  <c r="J13" i="869"/>
  <c r="J14" i="869" s="1"/>
  <c r="K13" i="869"/>
  <c r="K14" i="869" s="1"/>
  <c r="N5" i="869"/>
  <c r="N12" i="869"/>
  <c r="H13" i="869"/>
  <c r="H14" i="869" s="1"/>
  <c r="N11" i="869"/>
  <c r="N7" i="869"/>
  <c r="L13" i="869"/>
  <c r="L14" i="869" s="1"/>
  <c r="N3" i="869"/>
  <c r="E13" i="869"/>
  <c r="E14" i="869" s="1"/>
  <c r="N8" i="868"/>
  <c r="M13" i="868"/>
  <c r="M14" i="868" s="1"/>
  <c r="N5" i="868"/>
  <c r="G13" i="868"/>
  <c r="G14" i="868" s="1"/>
  <c r="J13" i="868"/>
  <c r="J14" i="868" s="1"/>
  <c r="F13" i="868"/>
  <c r="F14" i="868" s="1"/>
  <c r="N7" i="868"/>
  <c r="K13" i="868"/>
  <c r="K14" i="868" s="1"/>
  <c r="H13" i="868"/>
  <c r="H14" i="868" s="1"/>
  <c r="N11" i="868"/>
  <c r="N10" i="868"/>
  <c r="N6" i="868"/>
  <c r="L13" i="868"/>
  <c r="L14" i="868" s="1"/>
  <c r="N4" i="868"/>
  <c r="N12" i="868"/>
  <c r="N3" i="868"/>
  <c r="E13" i="868"/>
  <c r="E14" i="868" s="1"/>
  <c r="I13" i="868"/>
  <c r="I14" i="868" s="1"/>
  <c r="N9" i="868"/>
  <c r="N9" i="867"/>
  <c r="M13" i="867"/>
  <c r="M14" i="867" s="1"/>
  <c r="N12" i="867"/>
  <c r="N7" i="867"/>
  <c r="H13" i="867"/>
  <c r="H14" i="867" s="1"/>
  <c r="N10" i="867"/>
  <c r="N6" i="867"/>
  <c r="L13" i="867"/>
  <c r="L14" i="867" s="1"/>
  <c r="F13" i="867"/>
  <c r="F14" i="867" s="1"/>
  <c r="N5" i="867"/>
  <c r="K13" i="867"/>
  <c r="K14" i="867" s="1"/>
  <c r="N4" i="867"/>
  <c r="N3" i="867"/>
  <c r="E13" i="867"/>
  <c r="E14" i="867" s="1"/>
  <c r="N11" i="867"/>
  <c r="I13" i="867"/>
  <c r="I14" i="867" s="1"/>
  <c r="N8" i="867"/>
  <c r="G13" i="867"/>
  <c r="G14" i="867" s="1"/>
  <c r="J13" i="867"/>
  <c r="J14" i="867" s="1"/>
  <c r="AC12" i="3"/>
  <c r="AD12" i="3" s="1"/>
  <c r="K7" i="3"/>
  <c r="L7" i="3" s="1"/>
  <c r="Q13" i="3"/>
  <c r="R13" i="3" s="1"/>
  <c r="W12" i="3"/>
  <c r="X12" i="3" s="1"/>
  <c r="AC11" i="3"/>
  <c r="AD11" i="3" s="1"/>
  <c r="M11" i="3"/>
  <c r="N11" i="3" s="1"/>
  <c r="S10" i="3"/>
  <c r="T10" i="3" s="1"/>
  <c r="Y9" i="3"/>
  <c r="Z9" i="3" s="1"/>
  <c r="I9" i="3"/>
  <c r="J9" i="3" s="1"/>
  <c r="O8" i="3"/>
  <c r="P8" i="3" s="1"/>
  <c r="U7" i="3"/>
  <c r="V7" i="3" s="1"/>
  <c r="AA6" i="3"/>
  <c r="AB6" i="3" s="1"/>
  <c r="K6" i="3"/>
  <c r="L6" i="3" s="1"/>
  <c r="Q5" i="3"/>
  <c r="R5" i="3" s="1"/>
  <c r="W4" i="3"/>
  <c r="X4" i="3" s="1"/>
  <c r="AC3" i="3"/>
  <c r="AD3" i="3" s="1"/>
  <c r="M3" i="3"/>
  <c r="N3" i="3" s="1"/>
  <c r="O9" i="3"/>
  <c r="P9" i="3" s="1"/>
  <c r="Q6" i="3"/>
  <c r="R6" i="3" s="1"/>
  <c r="AC4" i="3"/>
  <c r="AD4" i="3" s="1"/>
  <c r="AA13" i="3"/>
  <c r="AB13" i="3" s="1"/>
  <c r="K13" i="3"/>
  <c r="L13" i="3" s="1"/>
  <c r="Q12" i="3"/>
  <c r="R12" i="3" s="1"/>
  <c r="W11" i="3"/>
  <c r="X11" i="3" s="1"/>
  <c r="AC10" i="3"/>
  <c r="AD10" i="3" s="1"/>
  <c r="M10" i="3"/>
  <c r="N10" i="3" s="1"/>
  <c r="S9" i="3"/>
  <c r="T9" i="3" s="1"/>
  <c r="Y8" i="3"/>
  <c r="Z8" i="3" s="1"/>
  <c r="I8" i="3"/>
  <c r="J8" i="3" s="1"/>
  <c r="O7" i="3"/>
  <c r="P7" i="3" s="1"/>
  <c r="U6" i="3"/>
  <c r="V6" i="3" s="1"/>
  <c r="AA5" i="3"/>
  <c r="AB5" i="3" s="1"/>
  <c r="K5" i="3"/>
  <c r="L5" i="3" s="1"/>
  <c r="Q4" i="3"/>
  <c r="R4" i="3" s="1"/>
  <c r="W3" i="3"/>
  <c r="X3" i="3" s="1"/>
  <c r="M12" i="3"/>
  <c r="N12" i="3" s="1"/>
  <c r="S3" i="3"/>
  <c r="T3" i="3" s="1"/>
  <c r="U13" i="3"/>
  <c r="V13" i="3" s="1"/>
  <c r="AA12" i="3"/>
  <c r="AB12" i="3" s="1"/>
  <c r="K12" i="3"/>
  <c r="L12" i="3" s="1"/>
  <c r="Q11" i="3"/>
  <c r="R11" i="3" s="1"/>
  <c r="W10" i="3"/>
  <c r="X10" i="3" s="1"/>
  <c r="AC9" i="3"/>
  <c r="AD9" i="3" s="1"/>
  <c r="M9" i="3"/>
  <c r="N9" i="3" s="1"/>
  <c r="S8" i="3"/>
  <c r="T8" i="3" s="1"/>
  <c r="Y7" i="3"/>
  <c r="Z7" i="3" s="1"/>
  <c r="I7" i="3"/>
  <c r="J7" i="3" s="1"/>
  <c r="O6" i="3"/>
  <c r="P6" i="3" s="1"/>
  <c r="U5" i="3"/>
  <c r="V5" i="3" s="1"/>
  <c r="AA4" i="3"/>
  <c r="AB4" i="3" s="1"/>
  <c r="K4" i="3"/>
  <c r="L4" i="3" s="1"/>
  <c r="Q3" i="3"/>
  <c r="R3" i="3" s="1"/>
  <c r="M13" i="3"/>
  <c r="N13" i="3" s="1"/>
  <c r="O13" i="3"/>
  <c r="P13" i="3" s="1"/>
  <c r="U12" i="3"/>
  <c r="V12" i="3" s="1"/>
  <c r="AA11" i="3"/>
  <c r="AB11" i="3" s="1"/>
  <c r="K11" i="3"/>
  <c r="L11" i="3" s="1"/>
  <c r="Q10" i="3"/>
  <c r="R10" i="3" s="1"/>
  <c r="W9" i="3"/>
  <c r="X9" i="3" s="1"/>
  <c r="AC8" i="3"/>
  <c r="AD8" i="3" s="1"/>
  <c r="M8" i="3"/>
  <c r="N8" i="3" s="1"/>
  <c r="S7" i="3"/>
  <c r="T7" i="3" s="1"/>
  <c r="Y6" i="3"/>
  <c r="Z6" i="3" s="1"/>
  <c r="I6" i="3"/>
  <c r="J6" i="3" s="1"/>
  <c r="O5" i="3"/>
  <c r="P5" i="3" s="1"/>
  <c r="U4" i="3"/>
  <c r="V4" i="3" s="1"/>
  <c r="AA3" i="3"/>
  <c r="AB3" i="3" s="1"/>
  <c r="K3" i="3"/>
  <c r="L3" i="3" s="1"/>
  <c r="S12" i="3"/>
  <c r="T12" i="3" s="1"/>
  <c r="Y10" i="3"/>
  <c r="Z10" i="3" s="1"/>
  <c r="AA7" i="3"/>
  <c r="AB7" i="3" s="1"/>
  <c r="M4" i="3"/>
  <c r="N4" i="3" s="1"/>
  <c r="Y13" i="3"/>
  <c r="Z13" i="3" s="1"/>
  <c r="I13" i="3"/>
  <c r="J13" i="3" s="1"/>
  <c r="O12" i="3"/>
  <c r="P12" i="3" s="1"/>
  <c r="U11" i="3"/>
  <c r="V11" i="3" s="1"/>
  <c r="AA10" i="3"/>
  <c r="AB10" i="3" s="1"/>
  <c r="K10" i="3"/>
  <c r="L10" i="3" s="1"/>
  <c r="Q9" i="3"/>
  <c r="R9" i="3" s="1"/>
  <c r="W8" i="3"/>
  <c r="X8" i="3" s="1"/>
  <c r="AC7" i="3"/>
  <c r="AD7" i="3" s="1"/>
  <c r="M7" i="3"/>
  <c r="N7" i="3" s="1"/>
  <c r="S6" i="3"/>
  <c r="T6" i="3" s="1"/>
  <c r="Y5" i="3"/>
  <c r="Z5" i="3" s="1"/>
  <c r="I5" i="3"/>
  <c r="J5" i="3" s="1"/>
  <c r="O4" i="3"/>
  <c r="P4" i="3" s="1"/>
  <c r="U3" i="3"/>
  <c r="V3" i="3" s="1"/>
  <c r="W13" i="3"/>
  <c r="X13" i="3" s="1"/>
  <c r="S11" i="3"/>
  <c r="T11" i="3" s="1"/>
  <c r="I10" i="3"/>
  <c r="J10" i="3" s="1"/>
  <c r="U8" i="3"/>
  <c r="V8" i="3" s="1"/>
  <c r="W5" i="3"/>
  <c r="X5" i="3" s="1"/>
  <c r="S13" i="3"/>
  <c r="T13" i="3" s="1"/>
  <c r="Y12" i="3"/>
  <c r="Z12" i="3" s="1"/>
  <c r="I12" i="3"/>
  <c r="J12" i="3" s="1"/>
  <c r="O11" i="3"/>
  <c r="P11" i="3" s="1"/>
  <c r="U10" i="3"/>
  <c r="V10" i="3" s="1"/>
  <c r="AA9" i="3"/>
  <c r="AB9" i="3" s="1"/>
  <c r="K9" i="3"/>
  <c r="L9" i="3" s="1"/>
  <c r="Q8" i="3"/>
  <c r="R8" i="3" s="1"/>
  <c r="W7" i="3"/>
  <c r="X7" i="3" s="1"/>
  <c r="AC6" i="3"/>
  <c r="AD6" i="3" s="1"/>
  <c r="M6" i="3"/>
  <c r="N6" i="3" s="1"/>
  <c r="S5" i="3"/>
  <c r="T5" i="3" s="1"/>
  <c r="Y4" i="3"/>
  <c r="Z4" i="3" s="1"/>
  <c r="I4" i="3"/>
  <c r="J4" i="3" s="1"/>
  <c r="O3" i="3"/>
  <c r="P3" i="3" s="1"/>
  <c r="AC13" i="3"/>
  <c r="AD13" i="3" s="1"/>
  <c r="Y11" i="3"/>
  <c r="Z11" i="3" s="1"/>
  <c r="I11" i="3"/>
  <c r="J11" i="3" s="1"/>
  <c r="O10" i="3"/>
  <c r="P10" i="3" s="1"/>
  <c r="U9" i="3"/>
  <c r="V9" i="3" s="1"/>
  <c r="AA8" i="3"/>
  <c r="AB8" i="3" s="1"/>
  <c r="K8" i="3"/>
  <c r="L8" i="3" s="1"/>
  <c r="Q7" i="3"/>
  <c r="R7" i="3" s="1"/>
  <c r="W6" i="3"/>
  <c r="X6" i="3" s="1"/>
  <c r="AC5" i="3"/>
  <c r="AD5" i="3" s="1"/>
  <c r="M5" i="3"/>
  <c r="N5" i="3" s="1"/>
  <c r="S4" i="3"/>
  <c r="T4" i="3" s="1"/>
  <c r="Y3" i="3"/>
  <c r="Z3" i="3" s="1"/>
  <c r="I3" i="3"/>
  <c r="J3" i="3" s="1"/>
  <c r="AC2" i="3"/>
  <c r="AA2" i="3"/>
  <c r="Y2" i="3"/>
  <c r="W2" i="3"/>
  <c r="U2" i="3"/>
  <c r="S2" i="3"/>
  <c r="Q2" i="3"/>
  <c r="O2" i="3"/>
  <c r="M2" i="3"/>
  <c r="K2" i="3"/>
  <c r="I2" i="3"/>
  <c r="G6" i="3"/>
  <c r="G13" i="3"/>
  <c r="G9" i="3"/>
  <c r="G5" i="3"/>
  <c r="G12" i="3"/>
  <c r="G8" i="3"/>
  <c r="G4" i="3"/>
  <c r="G10" i="3"/>
  <c r="G11" i="3"/>
  <c r="G7" i="3"/>
  <c r="G3" i="3"/>
  <c r="G2" i="3"/>
  <c r="N13" i="871" l="1"/>
  <c r="N14" i="871" s="1"/>
  <c r="N13" i="870"/>
  <c r="N14" i="870" s="1"/>
  <c r="N13" i="869"/>
  <c r="N14" i="869" s="1"/>
  <c r="N13" i="868"/>
  <c r="N14" i="868" s="1"/>
  <c r="N13" i="867"/>
  <c r="N14" i="867" s="1"/>
  <c r="H7" i="3"/>
  <c r="C7" i="3"/>
  <c r="D7" i="3" s="1"/>
  <c r="E7" i="3" s="1"/>
  <c r="J2" i="3"/>
  <c r="I14" i="3"/>
  <c r="J14" i="3" s="1"/>
  <c r="Z2" i="3"/>
  <c r="Y14" i="3"/>
  <c r="Z14" i="3" s="1"/>
  <c r="H11" i="3"/>
  <c r="C11" i="3"/>
  <c r="D11" i="3" s="1"/>
  <c r="E11" i="3" s="1"/>
  <c r="M14" i="3"/>
  <c r="N14" i="3" s="1"/>
  <c r="N2" i="3"/>
  <c r="X2" i="3"/>
  <c r="W14" i="3"/>
  <c r="X14" i="3" s="1"/>
  <c r="K14" i="3"/>
  <c r="L14" i="3" s="1"/>
  <c r="L2" i="3"/>
  <c r="O14" i="3"/>
  <c r="P14" i="3" s="1"/>
  <c r="P2" i="3"/>
  <c r="T2" i="3"/>
  <c r="S14" i="3"/>
  <c r="T14" i="3" s="1"/>
  <c r="U14" i="3"/>
  <c r="V14" i="3" s="1"/>
  <c r="V2" i="3"/>
  <c r="C4" i="3"/>
  <c r="D4" i="3" s="1"/>
  <c r="E4" i="3" s="1"/>
  <c r="H4" i="3"/>
  <c r="H2" i="3"/>
  <c r="C2" i="3"/>
  <c r="G14" i="3"/>
  <c r="H14" i="3" s="1"/>
  <c r="C5" i="3"/>
  <c r="D5" i="3" s="1"/>
  <c r="E5" i="3" s="1"/>
  <c r="H5" i="3"/>
  <c r="AC14" i="3"/>
  <c r="AD14" i="3" s="1"/>
  <c r="AD2" i="3"/>
  <c r="C8" i="3"/>
  <c r="D8" i="3" s="1"/>
  <c r="E8" i="3" s="1"/>
  <c r="H8" i="3"/>
  <c r="H6" i="3"/>
  <c r="C6" i="3"/>
  <c r="D6" i="3" s="1"/>
  <c r="E6" i="3" s="1"/>
  <c r="AA14" i="3"/>
  <c r="AB14" i="3" s="1"/>
  <c r="AB2" i="3"/>
  <c r="C9" i="3"/>
  <c r="D9" i="3" s="1"/>
  <c r="E9" i="3" s="1"/>
  <c r="H9" i="3"/>
  <c r="C12" i="3"/>
  <c r="D12" i="3" s="1"/>
  <c r="E12" i="3" s="1"/>
  <c r="H12" i="3"/>
  <c r="H3" i="3"/>
  <c r="C3" i="3"/>
  <c r="D3" i="3" s="1"/>
  <c r="E3" i="3" s="1"/>
  <c r="C10" i="3"/>
  <c r="D10" i="3" s="1"/>
  <c r="E10" i="3" s="1"/>
  <c r="H10" i="3"/>
  <c r="C13" i="3"/>
  <c r="D13" i="3" s="1"/>
  <c r="E13" i="3" s="1"/>
  <c r="H13" i="3"/>
  <c r="Q14" i="3"/>
  <c r="R14" i="3" s="1"/>
  <c r="R2" i="3"/>
  <c r="R11" i="1"/>
  <c r="R10" i="1"/>
  <c r="R7" i="1"/>
  <c r="R13" i="1"/>
  <c r="R12" i="1"/>
  <c r="R14" i="1"/>
  <c r="R9" i="1"/>
  <c r="R8" i="1"/>
  <c r="R3" i="1"/>
  <c r="R5" i="1"/>
  <c r="R6" i="1"/>
  <c r="R4" i="1"/>
  <c r="N8" i="757" l="1"/>
  <c r="N7" i="757"/>
  <c r="N11" i="757"/>
  <c r="N9" i="757"/>
  <c r="N10" i="757"/>
  <c r="N13" i="757"/>
  <c r="N14" i="757"/>
  <c r="N12" i="757"/>
  <c r="N5" i="757"/>
  <c r="N6" i="757"/>
  <c r="N15" i="757"/>
  <c r="N4" i="757"/>
  <c r="N21" i="757"/>
  <c r="D2" i="3"/>
  <c r="E2" i="3" s="1"/>
  <c r="C14" i="3"/>
  <c r="D14" i="3" s="1"/>
  <c r="E14" i="3" s="1"/>
  <c r="K2" i="207" l="1"/>
  <c r="Q11" i="1"/>
  <c r="Q4" i="1"/>
  <c r="Q6" i="1"/>
  <c r="Q7" i="1"/>
  <c r="Q10" i="1"/>
  <c r="Q9" i="1"/>
  <c r="Q12" i="1"/>
  <c r="Q8" i="1"/>
  <c r="Q13" i="1"/>
  <c r="Q5" i="1"/>
  <c r="Q14" i="1"/>
  <c r="M10" i="757" l="1"/>
  <c r="M5" i="757"/>
  <c r="M11" i="757"/>
  <c r="M12" i="757"/>
  <c r="M13" i="757"/>
  <c r="M15" i="757"/>
  <c r="M6" i="757"/>
  <c r="M7" i="757"/>
  <c r="M14" i="757"/>
  <c r="M9" i="757"/>
  <c r="M8" i="757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E2" i="207"/>
  <c r="X13" i="578" l="1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H27" i="578" l="1"/>
  <c r="H26" i="578"/>
  <c r="H25" i="578"/>
  <c r="B8" i="578"/>
  <c r="J24" i="578"/>
  <c r="K23" i="578"/>
  <c r="B9" i="578"/>
  <c r="G10" i="1"/>
  <c r="H4" i="1"/>
  <c r="H9" i="1"/>
  <c r="G5" i="1"/>
  <c r="G12" i="1"/>
  <c r="H13" i="1"/>
  <c r="G13" i="1"/>
  <c r="G3" i="1"/>
  <c r="H3" i="1"/>
  <c r="H6" i="1"/>
  <c r="G11" i="1"/>
  <c r="G6" i="1"/>
  <c r="H10" i="1"/>
  <c r="H8" i="1"/>
  <c r="H11" i="1"/>
  <c r="G9" i="1"/>
  <c r="H14" i="1"/>
  <c r="G14" i="1"/>
  <c r="H12" i="1"/>
  <c r="G7" i="1"/>
  <c r="H7" i="1"/>
  <c r="G8" i="1"/>
  <c r="H5" i="1"/>
  <c r="P8" i="757" l="1"/>
  <c r="O10" i="757"/>
  <c r="P14" i="757"/>
  <c r="O6" i="757"/>
  <c r="P10" i="757"/>
  <c r="O15" i="757"/>
  <c r="P15" i="757"/>
  <c r="O8" i="757"/>
  <c r="P12" i="757"/>
  <c r="O5" i="757"/>
  <c r="O12" i="757"/>
  <c r="P7" i="757"/>
  <c r="P5" i="757"/>
  <c r="P11" i="757"/>
  <c r="O14" i="757"/>
  <c r="O9" i="757"/>
  <c r="P13" i="757"/>
  <c r="P9" i="757"/>
  <c r="O13" i="757"/>
  <c r="O11" i="757"/>
  <c r="P6" i="757"/>
  <c r="O7" i="757"/>
  <c r="P4" i="757"/>
  <c r="O4" i="757"/>
  <c r="D7" i="578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N80" i="207"/>
  <c r="N79" i="207"/>
  <c r="N78" i="207"/>
  <c r="N72" i="207"/>
  <c r="N71" i="207"/>
  <c r="N70" i="207"/>
  <c r="N69" i="207"/>
  <c r="N68" i="207"/>
  <c r="N59" i="207"/>
  <c r="N58" i="207"/>
  <c r="N57" i="207"/>
  <c r="N56" i="207"/>
  <c r="N55" i="207"/>
  <c r="N54" i="207"/>
  <c r="N53" i="207"/>
  <c r="N52" i="207"/>
  <c r="N51" i="207"/>
  <c r="N50" i="207"/>
  <c r="U4" i="207" l="1"/>
  <c r="U5" i="207"/>
  <c r="U6" i="207"/>
  <c r="U7" i="207"/>
  <c r="U8" i="207"/>
  <c r="U9" i="207"/>
  <c r="U10" i="207"/>
  <c r="U11" i="207"/>
  <c r="U12" i="207"/>
  <c r="U13" i="207"/>
  <c r="R6" i="207"/>
  <c r="R7" i="207"/>
  <c r="R8" i="207"/>
  <c r="R9" i="207"/>
  <c r="R11" i="207"/>
  <c r="U15" i="207"/>
  <c r="U14" i="207"/>
  <c r="R15" i="207"/>
  <c r="R14" i="207"/>
  <c r="E8" i="1" a="1"/>
  <c r="L5" i="1"/>
  <c r="D13" i="1" a="1"/>
  <c r="P8" i="1"/>
  <c r="M6" i="1"/>
  <c r="E4" i="1" a="1"/>
  <c r="M5" i="1"/>
  <c r="D4" i="1" a="1"/>
  <c r="P6" i="1"/>
  <c r="M14" i="1"/>
  <c r="M7" i="1"/>
  <c r="P13" i="1"/>
  <c r="E6" i="1" a="1"/>
  <c r="M10" i="1"/>
  <c r="L8" i="1"/>
  <c r="P7" i="1"/>
  <c r="E14" i="1" a="1"/>
  <c r="P14" i="1"/>
  <c r="N13" i="1"/>
  <c r="E7" i="1" a="1"/>
  <c r="M13" i="1"/>
  <c r="O10" i="1"/>
  <c r="L14" i="1"/>
  <c r="L12" i="1"/>
  <c r="O9" i="1"/>
  <c r="P9" i="1"/>
  <c r="M4" i="1"/>
  <c r="O4" i="1"/>
  <c r="L4" i="1"/>
  <c r="O6" i="1"/>
  <c r="D5" i="1" a="1"/>
  <c r="O5" i="1"/>
  <c r="P10" i="1"/>
  <c r="M12" i="1"/>
  <c r="D3" i="1" a="1"/>
  <c r="D8" i="1" a="1"/>
  <c r="P4" i="1"/>
  <c r="M8" i="1"/>
  <c r="E10" i="1" a="1"/>
  <c r="D14" i="1" a="1"/>
  <c r="E11" i="1" a="1"/>
  <c r="N9" i="1"/>
  <c r="O11" i="1"/>
  <c r="N14" i="1"/>
  <c r="L13" i="1"/>
  <c r="O13" i="1"/>
  <c r="N12" i="1"/>
  <c r="P5" i="1"/>
  <c r="L10" i="1"/>
  <c r="O12" i="1"/>
  <c r="P11" i="1"/>
  <c r="O7" i="1"/>
  <c r="P12" i="1"/>
  <c r="D9" i="1" a="1"/>
  <c r="D12" i="1" a="1"/>
  <c r="D7" i="1" a="1"/>
  <c r="E5" i="1" a="1"/>
  <c r="N4" i="1"/>
  <c r="E9" i="1" a="1"/>
  <c r="N7" i="1"/>
  <c r="N6" i="1"/>
  <c r="N11" i="1"/>
  <c r="O14" i="1"/>
  <c r="D6" i="1" a="1"/>
  <c r="L7" i="1"/>
  <c r="M11" i="1"/>
  <c r="N8" i="1"/>
  <c r="L11" i="1"/>
  <c r="N10" i="1"/>
  <c r="O8" i="1"/>
  <c r="L6" i="1"/>
  <c r="D10" i="1" a="1"/>
  <c r="N5" i="1"/>
  <c r="E13" i="1" a="1"/>
  <c r="M9" i="1"/>
  <c r="E12" i="1" a="1"/>
  <c r="E3" i="1" a="1"/>
  <c r="D11" i="1" a="1"/>
  <c r="L9" i="1"/>
  <c r="I5" i="757" l="1"/>
  <c r="I15" i="757"/>
  <c r="J12" i="757"/>
  <c r="L8" i="757"/>
  <c r="J5" i="757"/>
  <c r="J15" i="757"/>
  <c r="J10" i="757"/>
  <c r="L10" i="757"/>
  <c r="L7" i="757"/>
  <c r="K9" i="757"/>
  <c r="L6" i="757"/>
  <c r="I11" i="757"/>
  <c r="I8" i="757"/>
  <c r="K10" i="757"/>
  <c r="K7" i="757"/>
  <c r="I6" i="757"/>
  <c r="L11" i="757"/>
  <c r="K14" i="757"/>
  <c r="I12" i="757"/>
  <c r="K12" i="757"/>
  <c r="I10" i="757"/>
  <c r="I9" i="757"/>
  <c r="K11" i="757"/>
  <c r="I7" i="757"/>
  <c r="J8" i="757"/>
  <c r="L14" i="757"/>
  <c r="L5" i="757"/>
  <c r="I14" i="757"/>
  <c r="L9" i="757"/>
  <c r="J7" i="757"/>
  <c r="K5" i="757"/>
  <c r="L13" i="757"/>
  <c r="K6" i="757"/>
  <c r="J13" i="757"/>
  <c r="J6" i="757"/>
  <c r="K8" i="757"/>
  <c r="J14" i="757"/>
  <c r="J11" i="757"/>
  <c r="J9" i="757"/>
  <c r="L12" i="757"/>
  <c r="I13" i="757"/>
  <c r="L15" i="757"/>
  <c r="K15" i="757"/>
  <c r="K13" i="757"/>
  <c r="H5" i="757"/>
  <c r="H10" i="757"/>
  <c r="H14" i="757"/>
  <c r="H13" i="757"/>
  <c r="H12" i="757"/>
  <c r="H15" i="757"/>
  <c r="H11" i="757"/>
  <c r="H9" i="757"/>
  <c r="H8" i="757"/>
  <c r="H6" i="757"/>
  <c r="H7" i="757"/>
  <c r="S12" i="1" a="1"/>
  <c r="S12" i="1" s="1"/>
  <c r="D3" i="1"/>
  <c r="D5" i="1"/>
  <c r="E11" i="1"/>
  <c r="AC12" i="757" s="1"/>
  <c r="E9" i="1"/>
  <c r="AC10" i="757" s="1"/>
  <c r="D4" i="1"/>
  <c r="D6" i="1"/>
  <c r="E14" i="1"/>
  <c r="AC15" i="757" s="1"/>
  <c r="D9" i="1"/>
  <c r="D13" i="1"/>
  <c r="D10" i="1"/>
  <c r="E6" i="1"/>
  <c r="AC7" i="757" s="1"/>
  <c r="E13" i="1"/>
  <c r="AC14" i="757" s="1"/>
  <c r="E4" i="1"/>
  <c r="AC5" i="757" s="1"/>
  <c r="E12" i="1"/>
  <c r="AC13" i="757" s="1"/>
  <c r="E10" i="1"/>
  <c r="AC11" i="757" s="1"/>
  <c r="E25" i="207"/>
  <c r="E3" i="1"/>
  <c r="D7" i="1"/>
  <c r="D8" i="1"/>
  <c r="D11" i="1"/>
  <c r="D14" i="1"/>
  <c r="E5" i="1"/>
  <c r="AC6" i="757" s="1"/>
  <c r="E8" i="1"/>
  <c r="AC9" i="757" s="1"/>
  <c r="D12" i="1"/>
  <c r="E7" i="1"/>
  <c r="AC8" i="757" s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E24" i="207" s="1"/>
  <c r="M3" i="1"/>
  <c r="O3" i="1"/>
  <c r="Q3" i="1"/>
  <c r="L3" i="1"/>
  <c r="P3" i="1"/>
  <c r="N3" i="1"/>
  <c r="L4" i="757" l="1"/>
  <c r="K4" i="757"/>
  <c r="I4" i="757"/>
  <c r="M4" i="757"/>
  <c r="J4" i="757"/>
  <c r="H4" i="757"/>
  <c r="AD9" i="757"/>
  <c r="AD11" i="757"/>
  <c r="AD15" i="757"/>
  <c r="AE6" i="757"/>
  <c r="AD13" i="757"/>
  <c r="AD5" i="757"/>
  <c r="AD14" i="757"/>
  <c r="AE10" i="757"/>
  <c r="AD8" i="757"/>
  <c r="AD7" i="757"/>
  <c r="AD12" i="757"/>
  <c r="AC4" i="757"/>
  <c r="AE4" i="757" s="1"/>
  <c r="K21" i="757"/>
  <c r="M21" i="757"/>
  <c r="J21" i="757"/>
  <c r="L21" i="757"/>
  <c r="I21" i="757"/>
  <c r="H21" i="757"/>
  <c r="AE11" i="757"/>
  <c r="AE15" i="757"/>
  <c r="AE13" i="757"/>
  <c r="AE5" i="757"/>
  <c r="AE7" i="757"/>
  <c r="AE12" i="757"/>
  <c r="AE14" i="757"/>
  <c r="AE8" i="757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R12" i="207"/>
  <c r="R10" i="207"/>
  <c r="R5" i="207"/>
  <c r="R13" i="207"/>
  <c r="D24" i="207"/>
  <c r="R4" i="207"/>
  <c r="R3" i="207"/>
  <c r="D25" i="207"/>
  <c r="B9" i="207"/>
  <c r="Q15" i="757" l="1" a="1"/>
  <c r="Q15" i="757" s="1"/>
  <c r="Q8" i="757" a="1"/>
  <c r="Q8" i="757" s="1"/>
  <c r="M26" i="757" s="1"/>
  <c r="Q5" i="757" a="1"/>
  <c r="Q5" i="757" s="1"/>
  <c r="M23" i="757" s="1"/>
  <c r="Q9" i="757" a="1"/>
  <c r="Q9" i="757" s="1"/>
  <c r="Q13" i="757" a="1"/>
  <c r="Q13" i="757" s="1"/>
  <c r="I31" i="757" s="1"/>
  <c r="Q12" i="757" a="1"/>
  <c r="Q12" i="757" s="1"/>
  <c r="H30" i="757" s="1"/>
  <c r="Q10" i="757" a="1"/>
  <c r="Q10" i="757" s="1"/>
  <c r="Q14" i="757" a="1"/>
  <c r="Q14" i="757" s="1"/>
  <c r="K32" i="757" s="1"/>
  <c r="Q11" i="757" a="1"/>
  <c r="Q11" i="757" s="1"/>
  <c r="M29" i="757" s="1"/>
  <c r="Q6" i="757" a="1"/>
  <c r="Q6" i="757" s="1"/>
  <c r="N24" i="757" s="1"/>
  <c r="Q7" i="757" a="1"/>
  <c r="Q7" i="757" s="1"/>
  <c r="I25" i="757" s="1"/>
  <c r="AD4" i="757"/>
  <c r="AE9" i="757"/>
  <c r="AD10" i="757"/>
  <c r="AD6" i="757"/>
  <c r="E3" i="207" a="1"/>
  <c r="E3" i="207" s="1"/>
  <c r="K3" i="207" a="1"/>
  <c r="K3" i="207" s="1"/>
  <c r="K4" i="207" a="1"/>
  <c r="K4" i="207" s="1"/>
  <c r="K12" i="207" a="1"/>
  <c r="K12" i="207" s="1"/>
  <c r="K8" i="207" a="1"/>
  <c r="K8" i="207" s="1"/>
  <c r="K9" i="207" a="1"/>
  <c r="K9" i="207" s="1"/>
  <c r="K7" i="207" a="1"/>
  <c r="K7" i="207" s="1"/>
  <c r="K5" i="207" a="1"/>
  <c r="K5" i="207" s="1"/>
  <c r="K10" i="207" a="1"/>
  <c r="K10" i="207" s="1"/>
  <c r="K6" i="207" a="1"/>
  <c r="K6" i="207" s="1"/>
  <c r="E4" i="207" a="1"/>
  <c r="E4" i="207" s="1"/>
  <c r="G4" i="207" a="1"/>
  <c r="G4" i="207" s="1"/>
  <c r="M4" i="207" a="1"/>
  <c r="M4" i="207" s="1"/>
  <c r="J4" i="207" a="1"/>
  <c r="J4" i="207" s="1"/>
  <c r="L4" i="207" a="1"/>
  <c r="L4" i="207" s="1"/>
  <c r="F4" i="207" a="1"/>
  <c r="F4" i="207" s="1"/>
  <c r="H4" i="207" a="1"/>
  <c r="H4" i="207" s="1"/>
  <c r="I4" i="207" a="1"/>
  <c r="I4" i="207" s="1"/>
  <c r="E12" i="207" a="1"/>
  <c r="E12" i="207" s="1"/>
  <c r="L12" i="207" a="1"/>
  <c r="L12" i="207" s="1"/>
  <c r="H12" i="207" a="1"/>
  <c r="H12" i="207" s="1"/>
  <c r="M12" i="207" a="1"/>
  <c r="M12" i="207" s="1"/>
  <c r="G12" i="207" a="1"/>
  <c r="G12" i="207" s="1"/>
  <c r="J12" i="207" a="1"/>
  <c r="J12" i="207" s="1"/>
  <c r="I12" i="207" a="1"/>
  <c r="I12" i="207" s="1"/>
  <c r="F12" i="207" a="1"/>
  <c r="F12" i="207" s="1"/>
  <c r="E11" i="207" a="1"/>
  <c r="E11" i="207" s="1"/>
  <c r="M11" i="207" a="1"/>
  <c r="M11" i="207" s="1"/>
  <c r="I11" i="207" a="1"/>
  <c r="I11" i="207" s="1"/>
  <c r="J11" i="207" a="1"/>
  <c r="J11" i="207" s="1"/>
  <c r="F11" i="207" a="1"/>
  <c r="F11" i="207" s="1"/>
  <c r="L11" i="207" a="1"/>
  <c r="L11" i="207" s="1"/>
  <c r="H11" i="207" a="1"/>
  <c r="H11" i="207" s="1"/>
  <c r="G11" i="207" a="1"/>
  <c r="G11" i="207" s="1"/>
  <c r="I5" i="207" a="1"/>
  <c r="I5" i="207" s="1"/>
  <c r="F5" i="207" a="1"/>
  <c r="F5" i="207" s="1"/>
  <c r="E5" i="207" a="1"/>
  <c r="E5" i="207" s="1"/>
  <c r="H5" i="207" a="1"/>
  <c r="H5" i="207" s="1"/>
  <c r="L5" i="207" a="1"/>
  <c r="L5" i="207" s="1"/>
  <c r="M5" i="207" a="1"/>
  <c r="M5" i="207" s="1"/>
  <c r="J5" i="207" a="1"/>
  <c r="J5" i="207" s="1"/>
  <c r="G5" i="207" a="1"/>
  <c r="G5" i="207" s="1"/>
  <c r="E6" i="207" a="1"/>
  <c r="E6" i="207" s="1"/>
  <c r="J6" i="207" a="1"/>
  <c r="J6" i="207" s="1"/>
  <c r="L6" i="207" a="1"/>
  <c r="L6" i="207" s="1"/>
  <c r="I6" i="207" a="1"/>
  <c r="I6" i="207" s="1"/>
  <c r="F6" i="207" a="1"/>
  <c r="F6" i="207" s="1"/>
  <c r="M6" i="207" a="1"/>
  <c r="M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M3" i="207" a="1"/>
  <c r="M3" i="207" s="1"/>
  <c r="F3" i="207" a="1"/>
  <c r="F3" i="207" s="1"/>
  <c r="H3" i="207" a="1"/>
  <c r="H3" i="207" s="1"/>
  <c r="I3" i="207" a="1"/>
  <c r="I3" i="207" s="1"/>
  <c r="E8" i="207" a="1"/>
  <c r="E8" i="207" s="1"/>
  <c r="J8" i="207" a="1"/>
  <c r="J8" i="207" s="1"/>
  <c r="G8" i="207" a="1"/>
  <c r="G8" i="207" s="1"/>
  <c r="I8" i="207" a="1"/>
  <c r="I8" i="207" s="1"/>
  <c r="F8" i="207" a="1"/>
  <c r="F8" i="207" s="1"/>
  <c r="M8" i="207" a="1"/>
  <c r="M8" i="207" s="1"/>
  <c r="H8" i="207" a="1"/>
  <c r="H8" i="207" s="1"/>
  <c r="L8" i="207" a="1"/>
  <c r="L8" i="207" s="1"/>
  <c r="E9" i="207" a="1"/>
  <c r="E9" i="207" s="1"/>
  <c r="F9" i="207" a="1"/>
  <c r="F9" i="207" s="1"/>
  <c r="H9" i="207" a="1"/>
  <c r="H9" i="207" s="1"/>
  <c r="M9" i="207" a="1"/>
  <c r="M9" i="207" s="1"/>
  <c r="J9" i="207" a="1"/>
  <c r="J9" i="207" s="1"/>
  <c r="L9" i="207" a="1"/>
  <c r="L9" i="207" s="1"/>
  <c r="G9" i="207" a="1"/>
  <c r="G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J10" i="207" a="1"/>
  <c r="J10" i="207" s="1"/>
  <c r="F10" i="207" a="1"/>
  <c r="F10" i="207" s="1"/>
  <c r="L10" i="207" a="1"/>
  <c r="L10" i="207" s="1"/>
  <c r="E7" i="207" a="1"/>
  <c r="E7" i="207" s="1"/>
  <c r="I7" i="207" a="1"/>
  <c r="I7" i="207" s="1"/>
  <c r="F7" i="207" a="1"/>
  <c r="F7" i="207" s="1"/>
  <c r="L7" i="207" a="1"/>
  <c r="L7" i="207" s="1"/>
  <c r="G7" i="207" a="1"/>
  <c r="G7" i="207" s="1"/>
  <c r="H7" i="207" a="1"/>
  <c r="H7" i="207" s="1"/>
  <c r="J7" i="207" a="1"/>
  <c r="J7" i="207" s="1"/>
  <c r="M7" i="207" a="1"/>
  <c r="M7" i="207" s="1"/>
  <c r="Q15" i="1" a="1"/>
  <c r="Q15" i="1" s="1"/>
  <c r="M16" i="757" s="1"/>
  <c r="L31" i="757" l="1"/>
  <c r="L30" i="757"/>
  <c r="N31" i="757"/>
  <c r="I23" i="757"/>
  <c r="M31" i="757"/>
  <c r="H23" i="757"/>
  <c r="L23" i="757"/>
  <c r="K31" i="757"/>
  <c r="J23" i="757"/>
  <c r="J31" i="757"/>
  <c r="J30" i="757"/>
  <c r="N23" i="757"/>
  <c r="H31" i="757"/>
  <c r="J25" i="757"/>
  <c r="K23" i="757"/>
  <c r="N30" i="757"/>
  <c r="M30" i="757"/>
  <c r="I24" i="757"/>
  <c r="K30" i="757"/>
  <c r="I30" i="757"/>
  <c r="K29" i="757"/>
  <c r="M32" i="757"/>
  <c r="L29" i="757"/>
  <c r="L32" i="757"/>
  <c r="J29" i="757"/>
  <c r="H29" i="757"/>
  <c r="I29" i="757"/>
  <c r="N29" i="757"/>
  <c r="H24" i="757"/>
  <c r="M24" i="757"/>
  <c r="L24" i="757"/>
  <c r="J24" i="757"/>
  <c r="H25" i="757"/>
  <c r="I26" i="757"/>
  <c r="N25" i="757"/>
  <c r="I32" i="757"/>
  <c r="J26" i="757"/>
  <c r="J32" i="757"/>
  <c r="H26" i="757"/>
  <c r="M25" i="757"/>
  <c r="K24" i="757"/>
  <c r="L26" i="757"/>
  <c r="K26" i="757"/>
  <c r="N26" i="757"/>
  <c r="L25" i="757"/>
  <c r="H32" i="757"/>
  <c r="K25" i="757"/>
  <c r="N32" i="757"/>
  <c r="K13" i="207"/>
  <c r="K14" i="207" s="1"/>
  <c r="L13" i="207"/>
  <c r="L14" i="207" s="1"/>
  <c r="N7" i="207"/>
  <c r="N9" i="207"/>
  <c r="E13" i="207"/>
  <c r="E14" i="207" s="1"/>
  <c r="N3" i="207"/>
  <c r="J13" i="207"/>
  <c r="J14" i="207" s="1"/>
  <c r="N12" i="207"/>
  <c r="G13" i="207"/>
  <c r="G14" i="207" s="1"/>
  <c r="H13" i="207"/>
  <c r="H14" i="207" s="1"/>
  <c r="F13" i="207"/>
  <c r="F14" i="207" s="1"/>
  <c r="M13" i="207"/>
  <c r="M14" i="207" s="1"/>
  <c r="I13" i="207"/>
  <c r="I14" i="207" s="1"/>
  <c r="N10" i="207"/>
  <c r="N8" i="207"/>
  <c r="N6" i="207"/>
  <c r="N5" i="207"/>
  <c r="N11" i="207"/>
  <c r="N4" i="207"/>
  <c r="R15" i="1" a="1"/>
  <c r="R15" i="1" s="1"/>
  <c r="N16" i="757" s="1"/>
  <c r="S6" i="1" a="1"/>
  <c r="S6" i="1" s="1"/>
  <c r="N13" i="207" l="1"/>
  <c r="N14" i="207" s="1"/>
  <c r="S10" i="1" l="1" a="1"/>
  <c r="S10" i="1" s="1"/>
  <c r="S11" i="1" a="1"/>
  <c r="S11" i="1" s="1"/>
  <c r="S8" i="1" a="1"/>
  <c r="S8" i="1" s="1"/>
  <c r="S13" i="1" a="1"/>
  <c r="S13" i="1" s="1"/>
  <c r="S14" i="1" a="1"/>
  <c r="S14" i="1" s="1"/>
  <c r="S9" i="1" a="1"/>
  <c r="S9" i="1" s="1"/>
  <c r="S7" i="1" a="1"/>
  <c r="S7" i="1" s="1"/>
  <c r="S5" i="1" a="1"/>
  <c r="S5" i="1" s="1"/>
  <c r="S4" i="1" a="1"/>
  <c r="S4" i="1" s="1"/>
  <c r="N15" i="1" a="1"/>
  <c r="N15" i="1" s="1"/>
  <c r="J16" i="757" s="1"/>
  <c r="M15" i="1" a="1"/>
  <c r="M15" i="1" s="1"/>
  <c r="I16" i="757" s="1"/>
  <c r="O15" i="1" a="1"/>
  <c r="O15" i="1" s="1"/>
  <c r="K16" i="757" s="1"/>
  <c r="P15" i="1" a="1"/>
  <c r="P15" i="1" s="1"/>
  <c r="L16" i="757" s="1"/>
  <c r="D15" i="1" a="1"/>
  <c r="D15" i="1" s="1"/>
  <c r="G15" i="1" a="1"/>
  <c r="G15" i="1" s="1"/>
  <c r="O16" i="757" s="1"/>
  <c r="H15" i="1" a="1"/>
  <c r="H15" i="1" s="1"/>
  <c r="P16" i="757" s="1"/>
  <c r="E15" i="1" a="1"/>
  <c r="E15" i="1" s="1"/>
  <c r="AC16" i="757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AD16" i="757" l="1"/>
  <c r="AE16" i="757"/>
  <c r="J15" i="1"/>
  <c r="J16" i="1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Q45" i="3"/>
  <c r="Q42" i="3"/>
  <c r="Q39" i="3"/>
  <c r="Q40" i="3"/>
  <c r="Q43" i="3"/>
  <c r="Q41" i="3"/>
  <c r="Q44" i="3"/>
  <c r="G39" i="3"/>
  <c r="G45" i="3"/>
  <c r="G40" i="3"/>
  <c r="G41" i="3"/>
  <c r="G42" i="3"/>
  <c r="G43" i="3"/>
  <c r="G44" i="3"/>
  <c r="K43" i="3"/>
  <c r="K44" i="3"/>
  <c r="K45" i="3"/>
  <c r="K40" i="3"/>
  <c r="K39" i="3"/>
  <c r="K41" i="3"/>
  <c r="K42" i="3"/>
  <c r="O39" i="3"/>
  <c r="O40" i="3"/>
  <c r="O41" i="3"/>
  <c r="O42" i="3"/>
  <c r="O43" i="3"/>
  <c r="O45" i="3"/>
  <c r="O44" i="3"/>
  <c r="N40" i="3"/>
  <c r="N45" i="3"/>
  <c r="N41" i="3"/>
  <c r="N42" i="3"/>
  <c r="N43" i="3"/>
  <c r="N44" i="3"/>
  <c r="N39" i="3"/>
  <c r="H39" i="3"/>
  <c r="H41" i="3"/>
  <c r="H43" i="3"/>
  <c r="H42" i="3"/>
  <c r="H44" i="3"/>
  <c r="H45" i="3"/>
  <c r="M41" i="3"/>
  <c r="M42" i="3"/>
  <c r="M43" i="3"/>
  <c r="M44" i="3"/>
  <c r="M39" i="3"/>
  <c r="M45" i="3"/>
  <c r="M40" i="3"/>
  <c r="L42" i="3"/>
  <c r="L39" i="3"/>
  <c r="L43" i="3"/>
  <c r="L44" i="3"/>
  <c r="L45" i="3"/>
  <c r="L41" i="3"/>
  <c r="L40" i="3"/>
  <c r="P43" i="3"/>
  <c r="P39" i="3"/>
  <c r="P40" i="3"/>
  <c r="P44" i="3"/>
  <c r="P41" i="3"/>
  <c r="P42" i="3"/>
  <c r="P45" i="3"/>
  <c r="R44" i="3"/>
  <c r="R45" i="3"/>
  <c r="R42" i="3"/>
  <c r="R39" i="3"/>
  <c r="R41" i="3"/>
  <c r="R40" i="3"/>
  <c r="R43" i="3"/>
  <c r="J44" i="3"/>
  <c r="J45" i="3"/>
  <c r="J41" i="3"/>
  <c r="J42" i="3"/>
  <c r="J39" i="3"/>
  <c r="J40" i="3"/>
  <c r="J43" i="3"/>
  <c r="I45" i="3"/>
  <c r="I39" i="3"/>
  <c r="I40" i="3"/>
  <c r="I41" i="3"/>
  <c r="I44" i="3"/>
  <c r="I42" i="3"/>
  <c r="I43" i="3"/>
  <c r="I15" i="1" a="1"/>
  <c r="I15" i="1" s="1"/>
  <c r="K15" i="1" a="1"/>
  <c r="K15" i="1" s="1"/>
  <c r="H16" i="1"/>
  <c r="G16" i="1"/>
  <c r="E16" i="1"/>
  <c r="D16" i="1"/>
  <c r="I27" i="757" l="1"/>
  <c r="M27" i="757"/>
  <c r="J27" i="757"/>
  <c r="L27" i="757"/>
  <c r="K27" i="757"/>
  <c r="H27" i="757"/>
  <c r="N27" i="757"/>
  <c r="R16" i="1"/>
  <c r="Q50" i="3"/>
  <c r="G49" i="3"/>
  <c r="H50" i="3"/>
  <c r="M47" i="3"/>
  <c r="K48" i="3"/>
  <c r="H48" i="3"/>
  <c r="O46" i="3"/>
  <c r="P46" i="3"/>
  <c r="R50" i="3"/>
  <c r="I49" i="3"/>
  <c r="P47" i="3"/>
  <c r="J49" i="3"/>
  <c r="J48" i="3"/>
  <c r="I50" i="3"/>
  <c r="N48" i="3"/>
  <c r="G46" i="3"/>
  <c r="L47" i="3"/>
  <c r="N49" i="3"/>
  <c r="R49" i="3"/>
  <c r="H46" i="3"/>
  <c r="R48" i="3"/>
  <c r="R46" i="3"/>
  <c r="N47" i="3"/>
  <c r="K47" i="3"/>
  <c r="Q47" i="3"/>
  <c r="Q48" i="3"/>
  <c r="Q49" i="3"/>
  <c r="K50" i="3"/>
  <c r="M49" i="3"/>
  <c r="G47" i="3"/>
  <c r="M48" i="3"/>
  <c r="M50" i="3"/>
  <c r="L46" i="3"/>
  <c r="O47" i="3"/>
  <c r="H47" i="3"/>
  <c r="N46" i="3"/>
  <c r="J47" i="3"/>
  <c r="J50" i="3"/>
  <c r="J46" i="3"/>
  <c r="N50" i="3"/>
  <c r="L48" i="3"/>
  <c r="L50" i="3"/>
  <c r="P48" i="3"/>
  <c r="O49" i="3"/>
  <c r="I47" i="3"/>
  <c r="K46" i="3"/>
  <c r="Q46" i="3"/>
  <c r="H49" i="3"/>
  <c r="K49" i="3"/>
  <c r="I48" i="3"/>
  <c r="R47" i="3"/>
  <c r="L49" i="3"/>
  <c r="P50" i="3"/>
  <c r="M46" i="3"/>
  <c r="G50" i="3"/>
  <c r="O48" i="3"/>
  <c r="G48" i="3"/>
  <c r="P49" i="3"/>
  <c r="O50" i="3"/>
  <c r="I46" i="3"/>
  <c r="K16" i="1"/>
  <c r="Q16" i="1"/>
  <c r="H40" i="3"/>
  <c r="P16" i="1"/>
  <c r="M16" i="1"/>
  <c r="O16" i="1"/>
  <c r="N16" i="1"/>
  <c r="I16" i="1"/>
  <c r="S43" i="3"/>
  <c r="S44" i="3"/>
  <c r="S42" i="3"/>
  <c r="S39" i="3"/>
  <c r="S45" i="3"/>
  <c r="S40" i="3"/>
  <c r="S41" i="3"/>
  <c r="S47" i="3" l="1"/>
  <c r="S48" i="3"/>
  <c r="S50" i="3"/>
  <c r="S46" i="3"/>
  <c r="S49" i="3"/>
  <c r="L15" i="1" a="1"/>
  <c r="L15" i="1" s="1"/>
  <c r="H16" i="757" s="1"/>
  <c r="S3" i="1" a="1"/>
  <c r="S3" i="1" s="1"/>
  <c r="Q4" i="757" l="1" a="1"/>
  <c r="Q4" i="757" s="1"/>
  <c r="I22" i="757" s="1"/>
  <c r="Q16" i="757" a="1"/>
  <c r="Q16" i="757" s="1"/>
  <c r="H18" i="757" s="1"/>
  <c r="L16" i="1"/>
  <c r="S15" i="1" a="1"/>
  <c r="S15" i="1" s="1"/>
  <c r="M22" i="757" l="1"/>
  <c r="J22" i="757"/>
  <c r="H22" i="757"/>
  <c r="K22" i="757"/>
  <c r="N22" i="757"/>
  <c r="L22" i="757"/>
  <c r="S16" i="1"/>
  <c r="I33" i="757"/>
  <c r="N33" i="757"/>
  <c r="H33" i="757"/>
  <c r="K33" i="757"/>
  <c r="L33" i="757"/>
  <c r="J33" i="757"/>
  <c r="M33" i="757"/>
  <c r="J28" i="757"/>
  <c r="H28" i="757"/>
  <c r="M28" i="757"/>
  <c r="L28" i="757"/>
  <c r="K28" i="757"/>
  <c r="N28" i="757"/>
  <c r="I28" i="757"/>
  <c r="H34" i="757" l="1"/>
  <c r="L34" i="757"/>
  <c r="N34" i="757"/>
  <c r="K34" i="757"/>
  <c r="J34" i="757"/>
  <c r="M34" i="757"/>
  <c r="I34" i="7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L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tc={65DB40AA-DD56-471D-A7C3-85C8B9AF5486}</author>
    <author>tc={6A055572-6686-4005-9345-5E8979AA97F6}</author>
  </authors>
  <commentList>
    <comment ref="C1" authorId="0" shapeId="0" xr:uid="{65DB40AA-DD56-471D-A7C3-85C8B9AF54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6A055572-6686-4005-9345-5E8979AA97F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tc={2C3B2D44-FB81-425B-B9DC-A7AF0303AB89}</author>
  </authors>
  <commentList>
    <comment ref="AB3" authorId="0" shapeId="0" xr:uid="{2C3B2D44-FB81-425B-B9DC-A7AF0303AB8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  <author>tc={BD3C10F1-FEEF-4E9E-94C9-D4F9E0A553EB}</author>
    <author>tc={F7333F9D-D46A-4B8B-AFBD-6ED4ACACBE9F}</author>
    <author>tc={2FCCA48F-2713-4355-98C8-DDE96C91DF85}</author>
    <author>tc={B8C745D0-104B-45E0-8786-3CD12483CBBB}</author>
  </authors>
  <commentList>
    <comment ref="Q3" authorId="0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F7333F9D-D46A-4B8B-AFBD-6ED4ACACBE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B8C745D0-104B-45E0-8786-3CD12483CB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tc={936817AE-9830-4C8D-89F8-ABDFFEFD0B09}</author>
    <author>tc={630E7F63-5694-4C3D-96BC-8BD5C3119609}</author>
    <author>tc={49EBB849-4326-4809-AAAE-80204A9F1640}</author>
    <author>tc={AF3F8D22-BF4D-404D-846C-68E9586FC314}</author>
    <author>tc={F6F23963-E320-47F0-B2D2-BDAB2024B4D3}</author>
    <author>tc={161DFD25-A617-4F65-9291-1A6D33AAEF3F}</author>
    <author>tc={730C2077-DF5E-44A3-929C-5FFBC0DEA812}</author>
    <author>tc={0E59915F-27E6-4806-A735-BE7A03146510}</author>
    <author>tc={C87E0FFA-00B6-4CF6-8A0A-A5A3070F2143}</author>
    <author>tc={F06E3C0C-5649-41E3-B8B2-B5E1960D4DFB}</author>
  </authors>
  <commentList>
    <comment ref="Q3" authorId="0" shapeId="0" xr:uid="{936817AE-9830-4C8D-89F8-ABDFFEFD0B0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30E7F63-5694-4C3D-96BC-8BD5C311960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49EBB849-4326-4809-AAAE-80204A9F164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AF3F8D22-BF4D-404D-846C-68E9586FC3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F6F23963-E320-47F0-B2D2-BDAB2024B4D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161DFD25-A617-4F65-9291-1A6D33AAEF3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730C2077-DF5E-44A3-929C-5FFBC0DEA8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0E59915F-27E6-4806-A735-BE7A031465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C87E0FFA-00B6-4CF6-8A0A-A5A3070F21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F06E3C0C-5649-41E3-B8B2-B5E1960D4DF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tc={DC68A95C-2A7D-4C02-9DBB-7D404A8E032B}</author>
    <author>tc={90709C49-BF46-4A9D-AA37-DFDD6CC48ED8}</author>
    <author>tc={A40D30F5-AB99-43B2-96B4-61BA17426609}</author>
    <author>tc={EB8A292F-3934-46BA-80F3-56BA97BDF558}</author>
    <author>tc={AC45BD61-F6D0-44BC-AF4D-0F88119C1B03}</author>
    <author>tc={0AFBD847-A41C-46A4-9E69-D01065A1826C}</author>
    <author>tc={B8B5921D-D7A8-45F6-8DB6-6FF7864BE6C9}</author>
    <author>tc={0909F93E-90A8-4A87-AA72-2BAAFFE4DFA3}</author>
    <author>tc={069EA439-9807-43F0-99E8-C2784839FC17}</author>
    <author>tc={5AAE020C-BE10-4816-80FB-92BBCAD45AC4}</author>
  </authors>
  <commentList>
    <comment ref="Q3" authorId="0" shapeId="0" xr:uid="{DC68A95C-2A7D-4C02-9DBB-7D404A8E032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90709C49-BF46-4A9D-AA37-DFDD6CC48E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A40D30F5-AB99-43B2-96B4-61BA1742660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B8A292F-3934-46BA-80F3-56BA97BDF55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AC45BD61-F6D0-44BC-AF4D-0F88119C1B0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0AFBD847-A41C-46A4-9E69-D01065A182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B8B5921D-D7A8-45F6-8DB6-6FF7864BE6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0909F93E-90A8-4A87-AA72-2BAAFFE4DF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069EA439-9807-43F0-99E8-C2784839FC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5AAE020C-BE10-4816-80FB-92BBCAD45A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tc={464A60D4-3174-475B-8906-C1847375851D}</author>
    <author>tc={06E204BE-7886-4A9F-8478-CEE1E9644E97}</author>
    <author>tc={A29836AA-7F5F-454C-BFF1-BC786432D858}</author>
    <author>tc={E968FCE9-6871-41A4-B79C-6E49BBCE5A62}</author>
    <author>tc={AC434951-7DF7-4D9E-BDFD-62142C151695}</author>
    <author>tc={F734F09E-921F-4D3D-AF0F-C9C435B0358C}</author>
    <author>tc={FA968E2D-E740-457F-8ADC-C3906593B8B7}</author>
    <author>tc={734C81B1-ADEC-4504-9734-54F7C7E72F77}</author>
    <author>tc={43444BBB-A901-4373-8605-4A0193D365A6}</author>
    <author>tc={DE26D252-4386-4D90-A690-934291F74F43}</author>
  </authors>
  <commentList>
    <comment ref="Q3" authorId="0" shapeId="0" xr:uid="{464A60D4-3174-475B-8906-C184737585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6E204BE-7886-4A9F-8478-CEE1E9644E9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A29836AA-7F5F-454C-BFF1-BC786432D85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968FCE9-6871-41A4-B79C-6E49BBCE5A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AC434951-7DF7-4D9E-BDFD-62142C151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F734F09E-921F-4D3D-AF0F-C9C435B0358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FA968E2D-E740-457F-8ADC-C3906593B8B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734C81B1-ADEC-4504-9734-54F7C7E72F7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43444BBB-A901-4373-8605-4A0193D365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DE26D252-4386-4D90-A690-934291F74F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tc={A412C186-7753-4866-B78E-1D59D25C727F}</author>
    <author>tc={78240399-CC06-4FF2-88C3-B959967E0E50}</author>
    <author>tc={99EC913F-DD44-470B-97A1-88FCBC61C75C}</author>
    <author>tc={C0128AFC-5217-45B7-A894-F927A7FF4DA2}</author>
    <author>tc={221521BF-6D12-43CF-A29B-3FC89461FB3E}</author>
    <author>tc={BB8EBB46-65A2-4EC8-9EC5-1FD512401DBA}</author>
    <author>tc={6AF60F75-9769-4E7C-A7E8-65AD9BC1D393}</author>
    <author>tc={E35B4F9A-D956-4D13-AC07-30E0E3E9944C}</author>
    <author>tc={C8C73CE5-49AF-4316-AC87-8A6711981AD0}</author>
    <author>tc={5617E09C-9757-474F-99DC-2A26BD0610FC}</author>
  </authors>
  <commentList>
    <comment ref="Q3" authorId="0" shapeId="0" xr:uid="{A412C186-7753-4866-B78E-1D59D25C727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8240399-CC06-4FF2-88C3-B959967E0E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9EC913F-DD44-470B-97A1-88FCBC61C75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C0128AFC-5217-45B7-A894-F927A7FF4DA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221521BF-6D12-43CF-A29B-3FC89461FB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BB8EBB46-65A2-4EC8-9EC5-1FD512401DB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6AF60F75-9769-4E7C-A7E8-65AD9BC1D3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E35B4F9A-D956-4D13-AC07-30E0E3E9944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C8C73CE5-49AF-4316-AC87-8A6711981AD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5617E09C-9757-474F-99DC-2A26BD0610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tc={4E2F5D3F-3A2C-4158-AE11-8893D068BBDD}</author>
    <author>tc={723306FF-F434-4DC7-AFB7-CBF2F752B7FA}</author>
    <author>tc={70956D72-B986-466B-A843-085C8FD15CA4}</author>
    <author>tc={7C551228-31B5-404F-AFA4-7133A53E8933}</author>
    <author>tc={7E87EB68-314B-4BFD-AAC7-28CFF4747962}</author>
    <author>tc={8202F3C7-4783-4C90-93BA-312DD9F4595A}</author>
    <author>tc={5964D1FA-CCD3-41DE-8897-2FBAACD80339}</author>
    <author>tc={91E21969-52C7-4471-951F-A47EDD56C49D}</author>
    <author>tc={AADC4311-9889-46A6-9434-D4FC0C918838}</author>
    <author>tc={CF2B44F1-4C2D-412E-9361-2A92C99DA9FE}</author>
  </authors>
  <commentList>
    <comment ref="Q3" authorId="0" shapeId="0" xr:uid="{4E2F5D3F-3A2C-4158-AE11-8893D068BB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23306FF-F434-4DC7-AFB7-CBF2F752B7F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0956D72-B986-466B-A843-085C8FD15C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7C551228-31B5-404F-AFA4-7133A53E893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E87EB68-314B-4BFD-AAC7-28CFF47479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8202F3C7-4783-4C90-93BA-312DD9F4595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5964D1FA-CCD3-41DE-8897-2FBAACD8033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91E21969-52C7-4471-951F-A47EDD56C49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AADC4311-9889-46A6-9434-D4FC0C9188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CF2B44F1-4C2D-412E-9361-2A92C99DA9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tc={9DC3D3B2-B912-43D8-BEC0-7D126B8D9B24}</author>
    <author>tc={33DCFF2A-52F0-4DAE-A228-C644994C8F9D}</author>
    <author>tc={C7BB8E2E-B689-4838-8C6D-1E2E9A2B410C}</author>
    <author>tc={A164CECA-CB74-44EE-A465-DB69F53C75C5}</author>
    <author>tc={5E35F57A-4F33-48DA-AD76-EDD22DDFE922}</author>
    <author>tc={6436D40D-6F41-49E0-8405-87ABC7DBB4C3}</author>
    <author>tc={F337D4A2-6A01-4C67-B91A-993DEDCF2A55}</author>
    <author>tc={79502178-5E00-49E8-8BE8-280010565EAF}</author>
    <author>tc={7C5FED4D-7B20-4E39-8D38-FD0AE6E90A18}</author>
    <author>tc={461FAA84-7CCA-41D4-AD44-2FB6517201EA}</author>
  </authors>
  <commentList>
    <comment ref="Q3" authorId="0" shapeId="0" xr:uid="{9DC3D3B2-B912-43D8-BEC0-7D126B8D9B2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3DCFF2A-52F0-4DAE-A228-C644994C8F9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C7BB8E2E-B689-4838-8C6D-1E2E9A2B410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A164CECA-CB74-44EE-A465-DB69F53C75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5E35F57A-4F33-48DA-AD76-EDD22DDFE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6436D40D-6F41-49E0-8405-87ABC7DBB4C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F337D4A2-6A01-4C67-B91A-993DEDCF2A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79502178-5E00-49E8-8BE8-280010565EA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7C5FED4D-7B20-4E39-8D38-FD0AE6E90A1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461FAA84-7CCA-41D4-AD44-2FB6517201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tc={6F08443B-D024-444F-9BE9-63708191A267}</author>
    <author>tc={F04AB53E-4BCF-43E1-97DF-3519368031C5}</author>
    <author>tc={CD5A9996-AC46-4DF3-A665-2A8FD66502EA}</author>
    <author>tc={E85B7A59-C90A-4084-BD9A-AA664931A921}</author>
    <author>tc={E4AFA477-45E3-4B95-8FA0-27A9ABAD08B8}</author>
    <author>tc={954723D8-1C7B-4295-8417-B9A3A8AE49CD}</author>
    <author>tc={6645279C-5969-4EA1-9411-C31275AB84B0}</author>
    <author>tc={C8D42456-CD0F-4A9E-9BE8-FEA61466A406}</author>
    <author>tc={478EBB5E-F70C-4F15-8712-5B822E890539}</author>
    <author>tc={C61CC0CC-49E6-4037-9310-B8B195E3BBFF}</author>
  </authors>
  <commentList>
    <comment ref="Q3" authorId="0" shapeId="0" xr:uid="{6F08443B-D024-444F-9BE9-63708191A26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F04AB53E-4BCF-43E1-97DF-3519368031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CD5A9996-AC46-4DF3-A665-2A8FD66502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85B7A59-C90A-4084-BD9A-AA664931A92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4AFA477-45E3-4B95-8FA0-27A9ABAD08B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954723D8-1C7B-4295-8417-B9A3A8AE49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6645279C-5969-4EA1-9411-C31275AB84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C8D42456-CD0F-4A9E-9BE8-FEA61466A4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478EBB5E-F70C-4F15-8712-5B822E89053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C61CC0CC-49E6-4037-9310-B8B195E3BB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tc={7FF5DBF7-4B15-4003-9578-2CCEF51B2AF1}</author>
    <author>tc={33041C41-8B36-4E66-91EB-A6842CA146B9}</author>
    <author>tc={9E9FA006-2FCE-4D20-BEB8-44635967BCEA}</author>
    <author>tc={D6E94D9C-FC2C-427D-BF62-B0A25FE01205}</author>
    <author>tc={DD69F3B0-6EE0-45F5-A7D2-D3B513B7A59C}</author>
    <author>tc={AF1264A1-8BDD-4C98-A36C-66C3CC2414D1}</author>
    <author>tc={D5403E2D-BBD3-411C-8D8C-747774306520}</author>
    <author>tc={38F99DD8-0D16-4C91-9611-BFB9C3BCFB0F}</author>
    <author>tc={8EC9FA8D-F5C0-4F8E-895A-8D8EC3D79A56}</author>
    <author>tc={B75DDB8B-E8CA-4580-9F8A-DC158AEEA87D}</author>
  </authors>
  <commentList>
    <comment ref="Q3" authorId="0" shapeId="0" xr:uid="{7FF5DBF7-4B15-4003-9578-2CCEF51B2A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3041C41-8B36-4E66-91EB-A6842CA146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E9FA006-2FCE-4D20-BEB8-44635967BC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6E94D9C-FC2C-427D-BF62-B0A25FE012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DD69F3B0-6EE0-45F5-A7D2-D3B513B7A59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AF1264A1-8BDD-4C98-A36C-66C3CC2414D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D5403E2D-BBD3-411C-8D8C-7477743065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38F99DD8-0D16-4C91-9611-BFB9C3BCFB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8EC9FA8D-F5C0-4F8E-895A-8D8EC3D79A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B75DDB8B-E8CA-4580-9F8A-DC158AEEA8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tc={600F6DBD-2175-40DE-A3F8-8A88B2B07F8F}</author>
    <author>tc={58FC17C7-BD18-4A87-92BC-125F23DD4EA9}</author>
    <author>tc={87762479-2BD1-4698-BFBE-DBB0834AD395}</author>
    <author>tc={DB1E35F7-7F75-4B6C-99F0-90BEB8949045}</author>
    <author>tc={DD1C4D88-D837-4CA5-9E1F-BE5CBDFD8E2A}</author>
    <author>tc={C8A6BEDF-4EC8-4203-8028-0D5D764C3AC1}</author>
    <author>tc={67A94725-34AE-49D2-B358-3F8C333C0057}</author>
    <author>tc={4BEC5116-B2B2-4090-82CA-D14EC94EB284}</author>
    <author>tc={D537BD35-1E27-403F-A2AE-7D5C9DA4FD55}</author>
    <author>tc={AD01EC06-F45E-4CD6-B2AF-B9D266C04428}</author>
  </authors>
  <commentList>
    <comment ref="Q3" authorId="0" shapeId="0" xr:uid="{600F6DBD-2175-40DE-A3F8-8A88B2B07F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8FC17C7-BD18-4A87-92BC-125F23DD4E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87762479-2BD1-4698-BFBE-DBB0834AD3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B1E35F7-7F75-4B6C-99F0-90BEB89490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DD1C4D88-D837-4CA5-9E1F-BE5CBDFD8E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C8A6BEDF-4EC8-4203-8028-0D5D764C3AC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67A94725-34AE-49D2-B358-3F8C333C00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4BEC5116-B2B2-4090-82CA-D14EC94EB2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D537BD35-1E27-403F-A2AE-7D5C9DA4FD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AD01EC06-F45E-4CD6-B2AF-B9D266C044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tc={22FFCC1D-6D30-4088-8457-D7C4AE417C3B}</author>
    <author>tc={75766D10-F4FD-449A-9E96-82D4D40797B2}</author>
    <author>tc={CDA61EAB-9D28-4217-90BB-08ADA0830CF8}</author>
    <author>tc={C6E6D6A3-11D7-4E19-B1D4-F0B282928DBF}</author>
    <author>tc={2E9DBD7E-24B9-4724-BD54-26C3C87F28F9}</author>
    <author>tc={A662E440-EE2D-4DB9-82B9-FEEF69A48451}</author>
    <author>tc={FA24B8A2-D357-4A8D-8E5A-4720DAF29B9F}</author>
    <author>tc={DF8B733A-905F-4B29-B66D-61E47B9AE423}</author>
    <author>tc={4016D54A-535B-4F83-8D9F-43DA977BD535}</author>
    <author>tc={FC1B9ACA-C238-4DE9-BF8F-5F4A6BC8CAF9}</author>
  </authors>
  <commentList>
    <comment ref="Q3" authorId="0" shapeId="0" xr:uid="{22FFCC1D-6D30-4088-8457-D7C4AE417C3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5766D10-F4FD-449A-9E96-82D4D40797B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CDA61EAB-9D28-4217-90BB-08ADA0830C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C6E6D6A3-11D7-4E19-B1D4-F0B282928DB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2E9DBD7E-24B9-4724-BD54-26C3C87F28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A662E440-EE2D-4DB9-82B9-FEEF69A4845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FA24B8A2-D357-4A8D-8E5A-4720DAF29B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DF8B733A-905F-4B29-B66D-61E47B9AE42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4016D54A-535B-4F83-8D9F-43DA977BD53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FC1B9ACA-C238-4DE9-BF8F-5F4A6BC8CA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tc={1155DE2B-579D-4D51-9268-21A2701D850D}</author>
    <author>tc={03DD694F-08A1-4116-BB1B-FE3B521AC564}</author>
    <author>tc={CCFA4750-A6F0-4C45-8B66-680D5F1BECEC}</author>
    <author>tc={2BECD375-33FD-4845-A198-FE22B4131671}</author>
    <author>tc={0BE8F8A6-D653-449F-B257-77961F381A13}</author>
    <author>tc={C01E24EE-04F3-444E-9F15-6248064116FF}</author>
    <author>tc={C5B6EB97-9D5C-4F1A-84BF-1BBCEB934D3B}</author>
    <author>tc={ACE90146-6042-44EC-B320-D95204569F94}</author>
    <author>tc={BF87280E-F768-4BEF-8358-A0DAC381CDA0}</author>
    <author>tc={B2E8BF25-90BC-40F2-843E-0D5638D3422B}</author>
  </authors>
  <commentList>
    <comment ref="Q3" authorId="0" shapeId="0" xr:uid="{1155DE2B-579D-4D51-9268-21A2701D85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3DD694F-08A1-4116-BB1B-FE3B521AC5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CCFA4750-A6F0-4C45-8B66-680D5F1BECE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2BECD375-33FD-4845-A198-FE22B41316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0BE8F8A6-D653-449F-B257-77961F381A1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C01E24EE-04F3-444E-9F15-6248064116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C5B6EB97-9D5C-4F1A-84BF-1BBCEB934D3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ACE90146-6042-44EC-B320-D95204569F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BF87280E-F768-4BEF-8358-A0DAC381CDA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B2E8BF25-90BC-40F2-843E-0D5638D3422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tc={4596404F-71B2-4661-BD23-EC7CE58B612B}</author>
    <author>tc={D9890B1D-724B-47B4-A78A-8C629242DE50}</author>
    <author>tc={B277F4CB-37DA-467F-B7A6-283890EAB4E5}</author>
    <author>tc={632E9BB5-294A-45F1-927A-B0DE2A3A34B2}</author>
    <author>tc={FAD2FB1C-4A7C-4289-A886-8C598236E8FE}</author>
    <author>tc={F6844027-ED8C-4DE5-AB7A-FA925C792047}</author>
    <author>tc={2ECC2653-719B-4ECE-BFAA-5A8F6DB79C4F}</author>
    <author>tc={4E158306-C29C-445D-B95B-0FAAFCBF7342}</author>
    <author>tc={4DD1A991-31B8-4D6F-A536-13C89243FA38}</author>
    <author>tc={AE62FEB6-B99B-4B2D-9EDB-6849C61791EA}</author>
  </authors>
  <commentList>
    <comment ref="Q3" authorId="0" shapeId="0" xr:uid="{4596404F-71B2-4661-BD23-EC7CE58B612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D9890B1D-724B-47B4-A78A-8C629242DE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277F4CB-37DA-467F-B7A6-283890EAB4E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632E9BB5-294A-45F1-927A-B0DE2A3A34B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FAD2FB1C-4A7C-4289-A886-8C598236E8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F6844027-ED8C-4DE5-AB7A-FA925C7920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2ECC2653-719B-4ECE-BFAA-5A8F6DB79C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4E158306-C29C-445D-B95B-0FAAFCBF734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4DD1A991-31B8-4D6F-A536-13C89243FA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AE62FEB6-B99B-4B2D-9EDB-6849C61791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<sst xmlns="http://schemas.openxmlformats.org/spreadsheetml/2006/main" count="1737" uniqueCount="117">
  <si>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</si>
  <si>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</si>
  <si>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</si>
  <si>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</si>
  <si>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</si>
  <si>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</si>
  <si>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</si>
  <si>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</si>
  <si>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</si>
  <si>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</si>
  <si>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</si>
  <si>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</si>
  <si>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</si>
  <si>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</si>
  <si>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</si>
  <si>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</si>
  <si>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</si>
  <si>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</si>
  <si>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</si>
  <si>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</si>
  <si>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</si>
  <si>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</si>
  <si>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</si>
  <si>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</si>
  <si>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</si>
  <si>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</si>
  <si>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</si>
  <si>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</si>
  <si>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</si>
  <si>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</si>
  <si>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</si>
  <si>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</si>
  <si>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</si>
  <si>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</si>
  <si>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</si>
  <si>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</si>
  <si>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</si>
  <si>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</si>
  <si>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</si>
  <si>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</si>
  <si>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</si>
  <si>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</si>
  <si>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</si>
  <si>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</si>
  <si>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</si>
  <si>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</si>
  <si>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</si>
  <si>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</si>
  <si>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</si>
  <si>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</si>
  <si>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</si>
  <si>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</si>
  <si>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</si>
  <si>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</si>
  <si>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</si>
  <si>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</si>
  <si>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</si>
  <si>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</si>
  <si>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</si>
  <si>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</si>
  <si>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</si>
  <si>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</si>
  <si>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</si>
  <si>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</si>
  <si>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</si>
  <si>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</si>
  <si>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</si>
  <si>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</si>
  <si>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</si>
  <si>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</si>
  <si>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</si>
  <si>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</si>
  <si>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</si>
  <si>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</si>
  <si>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</si>
  <si>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</si>
  <si>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</si>
  <si>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</si>
  <si>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</si>
  <si>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</si>
  <si>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</si>
  <si>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</si>
  <si>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</si>
  <si>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</si>
  <si>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</si>
  <si>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</si>
  <si>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</si>
  <si>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</si>
  <si>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</si>
  <si>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</si>
  <si>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</si>
  <si>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</si>
  <si>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</si>
  <si>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</si>
  <si>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</si>
  <si>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</si>
  <si>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</si>
  <si>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</si>
  <si>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</si>
  <si>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</si>
  <si>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</si>
  <si>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</si>
  <si>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</si>
  <si>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</si>
  <si>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</si>
  <si>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Dépouillement</t>
  </si>
  <si>
    <t>Total dépouillé</t>
  </si>
  <si>
    <t>Astuces de projection :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</si>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</sst>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m\ yyyy"/>
    <numFmt numFmtId="165" formatCode="[$-F400]h:mm:ss\ AM/PM"/>
    <numFmt numFmtId="166" formatCode="0.0%"/>
  </numFmts>
  <fonts count="73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10"/>
      <color theme="1"/>
      <name val="Marianne"/>
      <family val="3"/>
    </font>
    <font>
      <b/>
      <sz val="10"/>
      <color theme="1"/>
      <name val="Marianne"/>
      <family val="3"/>
    </font>
    <font>
      <sz val="10"/>
      <color rgb="FF000000"/>
      <name val="Marianne"/>
      <family val="3"/>
    </font>
    <font>
      <b/>
      <sz val="10"/>
      <color rgb="FF666666"/>
      <name val="Marianne"/>
      <family val="3"/>
    </font>
    <font>
      <b/>
      <sz val="10"/>
      <name val="Marianne"/>
      <family val="3"/>
    </font>
    <font>
      <i/>
      <sz val="10"/>
      <color rgb="FF666666"/>
      <name val="Marianne"/>
      <family val="3"/>
    </font>
    <font>
      <b/>
      <sz val="10"/>
      <color rgb="FF000000"/>
      <name val="Marianne"/>
      <family val="3"/>
    </font>
    <font>
      <sz val="10"/>
      <name val="Marianne"/>
      <family val="3"/>
    </font>
    <font>
      <i/>
      <sz val="10"/>
      <color theme="0" tint="-0.499984740745262"/>
      <name val="Marianne"/>
      <family val="3"/>
    </font>
    <font>
      <sz val="10"/>
      <color rgb="FF718C00"/>
      <name val="Marianne"/>
      <family val="3"/>
    </font>
    <font>
      <b/>
      <sz val="12"/>
      <color rgb="FF000000"/>
      <name val="Marianne"/>
      <family val="3"/>
    </font>
    <font>
      <b/>
      <sz val="16"/>
      <name val="Marianne"/>
      <family val="3"/>
    </font>
  </fonts>
  <fills count="7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rgb="FF8CB5F9"/>
        <bgColor indexed="64"/>
      </patternFill>
    </fill>
    <fill>
      <patternFill patternType="solid">
        <fgColor rgb="FFB3CEFB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FFE1CC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</fills>
  <borders count="23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rgb="FF000000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602">
    <xf numFmtId="0" fontId="0" fillId="0" borderId="0" xfId="0"/>
    <xf numFmtId="0" fontId="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10" borderId="39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9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6" borderId="0" xfId="0" applyFont="1" applyFill="1"/>
    <xf numFmtId="0" fontId="6" fillId="16" borderId="0" xfId="0" applyFont="1" applyFill="1" applyAlignment="1">
      <alignment horizontal="right"/>
    </xf>
    <xf numFmtId="0" fontId="10" fillId="14" borderId="0" xfId="0" applyFont="1" applyFill="1"/>
    <xf numFmtId="0" fontId="6" fillId="15" borderId="0" xfId="0" applyFont="1" applyFill="1" applyAlignment="1">
      <alignment horizontal="right"/>
    </xf>
    <xf numFmtId="0" fontId="16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9" fillId="19" borderId="46" xfId="0" applyNumberFormat="1" applyFont="1" applyFill="1" applyBorder="1" applyAlignment="1">
      <alignment horizontal="right"/>
    </xf>
    <xf numFmtId="3" fontId="9" fillId="19" borderId="56" xfId="0" applyNumberFormat="1" applyFont="1" applyFill="1" applyBorder="1" applyAlignment="1">
      <alignment horizontal="right"/>
    </xf>
    <xf numFmtId="10" fontId="9" fillId="14" borderId="50" xfId="0" applyNumberFormat="1" applyFont="1" applyFill="1" applyBorder="1"/>
    <xf numFmtId="10" fontId="9" fillId="14" borderId="57" xfId="0" applyNumberFormat="1" applyFont="1" applyFill="1" applyBorder="1"/>
    <xf numFmtId="10" fontId="9" fillId="14" borderId="51" xfId="0" applyNumberFormat="1" applyFont="1" applyFill="1" applyBorder="1"/>
    <xf numFmtId="10" fontId="9" fillId="8" borderId="59" xfId="0" applyNumberFormat="1" applyFont="1" applyFill="1" applyBorder="1"/>
    <xf numFmtId="10" fontId="9" fillId="14" borderId="59" xfId="0" applyNumberFormat="1" applyFont="1" applyFill="1" applyBorder="1"/>
    <xf numFmtId="0" fontId="8" fillId="2" borderId="68" xfId="0" applyFont="1" applyFill="1" applyBorder="1" applyAlignment="1">
      <alignment horizontal="center"/>
    </xf>
    <xf numFmtId="3" fontId="9" fillId="19" borderId="65" xfId="0" applyNumberFormat="1" applyFont="1" applyFill="1" applyBorder="1" applyAlignment="1">
      <alignment horizontal="right"/>
    </xf>
    <xf numFmtId="10" fontId="32" fillId="5" borderId="78" xfId="0" applyNumberFormat="1" applyFont="1" applyFill="1" applyBorder="1"/>
    <xf numFmtId="10" fontId="32" fillId="5" borderId="79" xfId="0" applyNumberFormat="1" applyFont="1" applyFill="1" applyBorder="1"/>
    <xf numFmtId="10" fontId="3" fillId="10" borderId="11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14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29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20" fillId="28" borderId="26" xfId="0" applyNumberFormat="1" applyFont="1" applyFill="1" applyBorder="1" applyAlignment="1">
      <alignment horizontal="center" vertical="center"/>
    </xf>
    <xf numFmtId="10" fontId="20" fillId="28" borderId="28" xfId="0" applyNumberFormat="1" applyFont="1" applyFill="1" applyBorder="1" applyAlignment="1">
      <alignment horizontal="center" vertical="center"/>
    </xf>
    <xf numFmtId="10" fontId="20" fillId="28" borderId="30" xfId="0" applyNumberFormat="1" applyFont="1" applyFill="1" applyBorder="1" applyAlignment="1">
      <alignment horizontal="center" vertical="center"/>
    </xf>
    <xf numFmtId="0" fontId="1" fillId="30" borderId="83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10" borderId="84" xfId="0" applyNumberFormat="1" applyFont="1" applyFill="1" applyBorder="1" applyAlignment="1">
      <alignment horizontal="center" vertical="center"/>
    </xf>
    <xf numFmtId="10" fontId="3" fillId="10" borderId="85" xfId="0" applyNumberFormat="1" applyFont="1" applyFill="1" applyBorder="1" applyAlignment="1">
      <alignment horizontal="center" vertic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3" fontId="14" fillId="29" borderId="43" xfId="0" applyNumberFormat="1" applyFont="1" applyFill="1" applyBorder="1" applyAlignment="1">
      <alignment horizontal="right"/>
    </xf>
    <xf numFmtId="10" fontId="3" fillId="29" borderId="44" xfId="0" applyNumberFormat="1" applyFont="1" applyFill="1" applyBorder="1" applyAlignment="1">
      <alignment horizontal="center" vertical="center"/>
    </xf>
    <xf numFmtId="3" fontId="14" fillId="29" borderId="88" xfId="0" applyNumberFormat="1" applyFont="1" applyFill="1" applyBorder="1" applyAlignment="1">
      <alignment horizontal="right"/>
    </xf>
    <xf numFmtId="10" fontId="3" fillId="29" borderId="89" xfId="0" applyNumberFormat="1" applyFont="1" applyFill="1" applyBorder="1" applyAlignment="1">
      <alignment horizontal="center" vertical="center"/>
    </xf>
    <xf numFmtId="0" fontId="14" fillId="29" borderId="88" xfId="0" applyFont="1" applyFill="1" applyBorder="1" applyAlignment="1">
      <alignment horizontal="right"/>
    </xf>
    <xf numFmtId="10" fontId="3" fillId="29" borderId="90" xfId="0" applyNumberFormat="1" applyFont="1" applyFill="1" applyBorder="1" applyAlignment="1">
      <alignment horizontal="center" vertical="center"/>
    </xf>
    <xf numFmtId="10" fontId="3" fillId="29" borderId="91" xfId="0" applyNumberFormat="1" applyFont="1" applyFill="1" applyBorder="1" applyAlignment="1">
      <alignment horizontal="center" vertical="center"/>
    </xf>
    <xf numFmtId="0" fontId="28" fillId="0" borderId="0" xfId="0" applyFont="1"/>
    <xf numFmtId="3" fontId="9" fillId="31" borderId="66" xfId="0" applyNumberFormat="1" applyFont="1" applyFill="1" applyBorder="1" applyAlignment="1">
      <alignment horizontal="right"/>
    </xf>
    <xf numFmtId="10" fontId="9" fillId="32" borderId="59" xfId="0" applyNumberFormat="1" applyFont="1" applyFill="1" applyBorder="1"/>
    <xf numFmtId="10" fontId="8" fillId="2" borderId="67" xfId="0" applyNumberFormat="1" applyFont="1" applyFill="1" applyBorder="1" applyAlignment="1">
      <alignment horizontal="center"/>
    </xf>
    <xf numFmtId="0" fontId="31" fillId="5" borderId="47" xfId="0" applyFont="1" applyFill="1" applyBorder="1" applyAlignment="1">
      <alignment horizontal="right"/>
    </xf>
    <xf numFmtId="10" fontId="9" fillId="7" borderId="50" xfId="0" applyNumberFormat="1" applyFont="1" applyFill="1" applyBorder="1"/>
    <xf numFmtId="10" fontId="32" fillId="5" borderId="57" xfId="0" applyNumberFormat="1" applyFont="1" applyFill="1" applyBorder="1"/>
    <xf numFmtId="3" fontId="9" fillId="19" borderId="58" xfId="0" applyNumberFormat="1" applyFont="1" applyFill="1" applyBorder="1" applyAlignment="1">
      <alignment horizontal="right"/>
    </xf>
    <xf numFmtId="3" fontId="9" fillId="20" borderId="65" xfId="0" applyNumberFormat="1" applyFont="1" applyFill="1" applyBorder="1" applyAlignment="1">
      <alignment horizontal="right"/>
    </xf>
    <xf numFmtId="3" fontId="9" fillId="21" borderId="66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4" xfId="0" applyNumberFormat="1" applyFont="1" applyFill="1" applyBorder="1" applyAlignment="1">
      <alignment horizontal="center" vertical="center"/>
    </xf>
    <xf numFmtId="10" fontId="3" fillId="10" borderId="105" xfId="0" applyNumberFormat="1" applyFont="1" applyFill="1" applyBorder="1" applyAlignment="1">
      <alignment horizontal="center" vertical="center"/>
    </xf>
    <xf numFmtId="0" fontId="14" fillId="29" borderId="43" xfId="0" applyFont="1" applyFill="1" applyBorder="1" applyAlignment="1">
      <alignment horizontal="right"/>
    </xf>
    <xf numFmtId="0" fontId="28" fillId="13" borderId="46" xfId="0" applyFont="1" applyFill="1" applyBorder="1"/>
    <xf numFmtId="0" fontId="28" fillId="13" borderId="48" xfId="0" applyFont="1" applyFill="1" applyBorder="1"/>
    <xf numFmtId="0" fontId="28" fillId="13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6" fillId="11" borderId="114" xfId="1" applyNumberFormat="1" applyFont="1" applyFill="1" applyBorder="1" applyAlignment="1">
      <alignment horizontal="center"/>
    </xf>
    <xf numFmtId="10" fontId="36" fillId="11" borderId="93" xfId="1" applyNumberFormat="1" applyFont="1" applyFill="1" applyBorder="1" applyAlignment="1">
      <alignment horizontal="center"/>
    </xf>
    <xf numFmtId="0" fontId="36" fillId="13" borderId="115" xfId="0" applyFont="1" applyFill="1" applyBorder="1" applyAlignment="1">
      <alignment horizontal="center"/>
    </xf>
    <xf numFmtId="0" fontId="36" fillId="13" borderId="119" xfId="0" applyFont="1" applyFill="1" applyBorder="1" applyAlignment="1">
      <alignment horizontal="center"/>
    </xf>
    <xf numFmtId="10" fontId="36" fillId="11" borderId="120" xfId="1" applyNumberFormat="1" applyFont="1" applyFill="1" applyBorder="1" applyAlignment="1">
      <alignment horizontal="center"/>
    </xf>
    <xf numFmtId="10" fontId="36" fillId="11" borderId="121" xfId="1" applyNumberFormat="1" applyFont="1" applyFill="1" applyBorder="1" applyAlignment="1">
      <alignment horizontal="center"/>
    </xf>
    <xf numFmtId="10" fontId="37" fillId="13" borderId="124" xfId="1" applyNumberFormat="1" applyFont="1" applyFill="1" applyBorder="1" applyAlignment="1">
      <alignment horizontal="right"/>
    </xf>
    <xf numFmtId="10" fontId="37" fillId="13" borderId="125" xfId="1" applyNumberFormat="1" applyFont="1" applyFill="1" applyBorder="1" applyAlignment="1">
      <alignment horizontal="right"/>
    </xf>
    <xf numFmtId="0" fontId="20" fillId="27" borderId="25" xfId="0" applyFont="1" applyFill="1" applyBorder="1" applyAlignment="1">
      <alignment horizontal="center" vertical="center"/>
    </xf>
    <xf numFmtId="0" fontId="20" fillId="27" borderId="27" xfId="0" applyFont="1" applyFill="1" applyBorder="1" applyAlignment="1">
      <alignment horizontal="center" vertical="center"/>
    </xf>
    <xf numFmtId="0" fontId="36" fillId="13" borderId="116" xfId="0" applyFont="1" applyFill="1" applyBorder="1" applyAlignment="1">
      <alignment horizontal="center"/>
    </xf>
    <xf numFmtId="0" fontId="36" fillId="13" borderId="69" xfId="0" applyFont="1" applyFill="1" applyBorder="1" applyAlignment="1">
      <alignment horizontal="center"/>
    </xf>
    <xf numFmtId="0" fontId="36" fillId="13" borderId="108" xfId="0" applyFont="1" applyFill="1" applyBorder="1" applyAlignment="1">
      <alignment horizontal="center"/>
    </xf>
    <xf numFmtId="0" fontId="36" fillId="13" borderId="109" xfId="0" applyFont="1" applyFill="1" applyBorder="1" applyAlignment="1">
      <alignment horizontal="center"/>
    </xf>
    <xf numFmtId="0" fontId="36" fillId="34" borderId="117" xfId="0" applyFont="1" applyFill="1" applyBorder="1" applyAlignment="1">
      <alignment horizontal="center"/>
    </xf>
    <xf numFmtId="10" fontId="36" fillId="11" borderId="65" xfId="1" applyNumberFormat="1" applyFont="1" applyFill="1" applyBorder="1" applyAlignment="1">
      <alignment horizontal="center"/>
    </xf>
    <xf numFmtId="10" fontId="36" fillId="11" borderId="107" xfId="1" applyNumberFormat="1" applyFont="1" applyFill="1" applyBorder="1" applyAlignment="1">
      <alignment horizontal="center"/>
    </xf>
    <xf numFmtId="10" fontId="36" fillId="11" borderId="92" xfId="1" applyNumberFormat="1" applyFont="1" applyFill="1" applyBorder="1" applyAlignment="1">
      <alignment horizontal="center"/>
    </xf>
    <xf numFmtId="10" fontId="36" fillId="11" borderId="48" xfId="1" applyNumberFormat="1" applyFont="1" applyFill="1" applyBorder="1" applyAlignment="1">
      <alignment horizontal="center"/>
    </xf>
    <xf numFmtId="10" fontId="36" fillId="11" borderId="34" xfId="1" applyNumberFormat="1" applyFont="1" applyFill="1" applyBorder="1" applyAlignment="1">
      <alignment horizontal="center"/>
    </xf>
    <xf numFmtId="10" fontId="36" fillId="11" borderId="49" xfId="1" applyNumberFormat="1" applyFont="1" applyFill="1" applyBorder="1" applyAlignment="1">
      <alignment horizontal="center"/>
    </xf>
    <xf numFmtId="0" fontId="36" fillId="34" borderId="118" xfId="0" applyFont="1" applyFill="1" applyBorder="1" applyAlignment="1">
      <alignment horizontal="center"/>
    </xf>
    <xf numFmtId="10" fontId="36" fillId="11" borderId="81" xfId="1" applyNumberFormat="1" applyFont="1" applyFill="1" applyBorder="1" applyAlignment="1">
      <alignment horizontal="center"/>
    </xf>
    <xf numFmtId="10" fontId="36" fillId="11" borderId="97" xfId="1" applyNumberFormat="1" applyFont="1" applyFill="1" applyBorder="1" applyAlignment="1">
      <alignment horizontal="center"/>
    </xf>
    <xf numFmtId="10" fontId="36" fillId="11" borderId="54" xfId="1" applyNumberFormat="1" applyFont="1" applyFill="1" applyBorder="1" applyAlignment="1">
      <alignment horizontal="center"/>
    </xf>
    <xf numFmtId="0" fontId="37" fillId="13" borderId="122" xfId="0" applyFont="1" applyFill="1" applyBorder="1" applyAlignment="1">
      <alignment horizontal="right"/>
    </xf>
    <xf numFmtId="10" fontId="37" fillId="13" borderId="123" xfId="1" applyNumberFormat="1" applyFont="1" applyFill="1" applyBorder="1" applyAlignment="1">
      <alignment horizontal="right"/>
    </xf>
    <xf numFmtId="10" fontId="37" fillId="13" borderId="112" xfId="1" applyNumberFormat="1" applyFont="1" applyFill="1" applyBorder="1" applyAlignment="1">
      <alignment horizontal="right"/>
    </xf>
    <xf numFmtId="10" fontId="37" fillId="13" borderId="113" xfId="1" applyNumberFormat="1" applyFont="1" applyFill="1" applyBorder="1" applyAlignment="1">
      <alignment horizontal="right"/>
    </xf>
    <xf numFmtId="0" fontId="0" fillId="13" borderId="0" xfId="0" applyFill="1"/>
    <xf numFmtId="0" fontId="38" fillId="0" borderId="0" xfId="0" applyFont="1" applyAlignment="1">
      <alignment vertical="center"/>
    </xf>
    <xf numFmtId="0" fontId="6" fillId="33" borderId="138" xfId="0" applyFont="1" applyFill="1" applyBorder="1"/>
    <xf numFmtId="0" fontId="6" fillId="33" borderId="0" xfId="0" applyFont="1" applyFill="1"/>
    <xf numFmtId="0" fontId="6" fillId="33" borderId="94" xfId="0" applyFont="1" applyFill="1" applyBorder="1"/>
    <xf numFmtId="0" fontId="0" fillId="33" borderId="138" xfId="0" applyFill="1" applyBorder="1"/>
    <xf numFmtId="0" fontId="0" fillId="33" borderId="0" xfId="0" applyFill="1"/>
    <xf numFmtId="0" fontId="0" fillId="33" borderId="94" xfId="0" applyFill="1" applyBorder="1"/>
    <xf numFmtId="0" fontId="0" fillId="13" borderId="138" xfId="0" applyFill="1" applyBorder="1"/>
    <xf numFmtId="0" fontId="0" fillId="13" borderId="94" xfId="0" applyFill="1" applyBorder="1"/>
    <xf numFmtId="0" fontId="0" fillId="13" borderId="67" xfId="0" applyFill="1" applyBorder="1"/>
    <xf numFmtId="0" fontId="0" fillId="13" borderId="79" xfId="0" applyFill="1" applyBorder="1"/>
    <xf numFmtId="0" fontId="0" fillId="13" borderId="75" xfId="0" applyFill="1" applyBorder="1"/>
    <xf numFmtId="0" fontId="29" fillId="16" borderId="60" xfId="0" applyFont="1" applyFill="1" applyBorder="1" applyAlignment="1" applyProtection="1">
      <alignment horizontal="center" vertical="center"/>
      <protection locked="0"/>
    </xf>
    <xf numFmtId="0" fontId="29" fillId="16" borderId="64" xfId="0" applyFont="1" applyFill="1" applyBorder="1" applyAlignment="1" applyProtection="1">
      <alignment horizontal="center" vertical="center"/>
      <protection locked="0"/>
    </xf>
    <xf numFmtId="3" fontId="29" fillId="16" borderId="48" xfId="0" applyNumberFormat="1" applyFont="1" applyFill="1" applyBorder="1" applyAlignment="1" applyProtection="1">
      <alignment horizontal="center" vertical="center"/>
      <protection locked="0"/>
    </xf>
    <xf numFmtId="3" fontId="29" fillId="16" borderId="49" xfId="0" applyNumberFormat="1" applyFont="1" applyFill="1" applyBorder="1" applyAlignment="1" applyProtection="1">
      <alignment horizontal="center" vertical="center"/>
      <protection locked="0"/>
    </xf>
    <xf numFmtId="3" fontId="29" fillId="16" borderId="81" xfId="0" applyNumberFormat="1" applyFont="1" applyFill="1" applyBorder="1" applyAlignment="1" applyProtection="1">
      <alignment horizontal="center" vertical="center"/>
      <protection locked="0"/>
    </xf>
    <xf numFmtId="3" fontId="29" fillId="16" borderId="54" xfId="0" applyNumberFormat="1" applyFont="1" applyFill="1" applyBorder="1" applyAlignment="1" applyProtection="1">
      <alignment horizontal="center" vertical="center"/>
      <protection locked="0"/>
    </xf>
    <xf numFmtId="0" fontId="11" fillId="14" borderId="46" xfId="0" applyFont="1" applyFill="1" applyBorder="1" applyAlignment="1" applyProtection="1">
      <alignment horizontal="right"/>
      <protection locked="0"/>
    </xf>
    <xf numFmtId="0" fontId="11" fillId="14" borderId="56" xfId="0" applyFont="1" applyFill="1" applyBorder="1" applyAlignment="1" applyProtection="1">
      <alignment horizontal="right"/>
      <protection locked="0"/>
    </xf>
    <xf numFmtId="3" fontId="27" fillId="14" borderId="46" xfId="0" applyNumberFormat="1" applyFont="1" applyFill="1" applyBorder="1" applyAlignment="1" applyProtection="1">
      <alignment horizontal="right"/>
      <protection locked="0"/>
    </xf>
    <xf numFmtId="3" fontId="27" fillId="14" borderId="47" xfId="0" applyNumberFormat="1" applyFont="1" applyFill="1" applyBorder="1" applyAlignment="1" applyProtection="1">
      <alignment horizontal="right"/>
      <protection locked="0"/>
    </xf>
    <xf numFmtId="3" fontId="45" fillId="13" borderId="49" xfId="0" applyNumberFormat="1" applyFont="1" applyFill="1" applyBorder="1" applyAlignment="1">
      <alignment horizontal="center" vertical="center"/>
    </xf>
    <xf numFmtId="3" fontId="45" fillId="22" borderId="49" xfId="0" applyNumberFormat="1" applyFont="1" applyFill="1" applyBorder="1" applyAlignment="1" applyProtection="1">
      <alignment horizontal="center" vertical="center"/>
      <protection locked="0"/>
    </xf>
    <xf numFmtId="3" fontId="45" fillId="13" borderId="51" xfId="0" applyNumberFormat="1" applyFont="1" applyFill="1" applyBorder="1" applyAlignment="1">
      <alignment horizontal="center" vertical="center"/>
    </xf>
    <xf numFmtId="0" fontId="46" fillId="13" borderId="47" xfId="0" applyFont="1" applyFill="1" applyBorder="1" applyAlignment="1">
      <alignment horizontal="center" vertical="center"/>
    </xf>
    <xf numFmtId="0" fontId="25" fillId="0" borderId="0" xfId="0" applyFont="1"/>
    <xf numFmtId="0" fontId="29" fillId="16" borderId="139" xfId="0" applyFont="1" applyFill="1" applyBorder="1" applyAlignment="1" applyProtection="1">
      <alignment horizontal="center" vertical="center"/>
      <protection locked="0"/>
    </xf>
    <xf numFmtId="0" fontId="29" fillId="16" borderId="46" xfId="0" applyFont="1" applyFill="1" applyBorder="1" applyAlignment="1" applyProtection="1">
      <alignment horizontal="center" vertical="center"/>
      <protection locked="0"/>
    </xf>
    <xf numFmtId="0" fontId="29" fillId="16" borderId="80" xfId="0" applyFont="1" applyFill="1" applyBorder="1" applyAlignment="1" applyProtection="1">
      <alignment horizontal="center" vertical="center"/>
      <protection locked="0"/>
    </xf>
    <xf numFmtId="0" fontId="29" fillId="16" borderId="48" xfId="0" applyFont="1" applyFill="1" applyBorder="1" applyAlignment="1" applyProtection="1">
      <alignment horizontal="center" vertical="center"/>
      <protection locked="0"/>
    </xf>
    <xf numFmtId="0" fontId="29" fillId="16" borderId="95" xfId="0" applyFont="1" applyFill="1" applyBorder="1" applyAlignment="1" applyProtection="1">
      <alignment horizontal="center" vertical="center"/>
      <protection locked="0"/>
    </xf>
    <xf numFmtId="3" fontId="29" fillId="16" borderId="50" xfId="0" applyNumberFormat="1" applyFont="1" applyFill="1" applyBorder="1" applyAlignment="1" applyProtection="1">
      <alignment horizontal="center" vertical="center"/>
      <protection locked="0"/>
    </xf>
    <xf numFmtId="3" fontId="29" fillId="16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6" borderId="64" xfId="0" applyFill="1" applyBorder="1" applyAlignment="1" applyProtection="1">
      <alignment horizontal="center" vertical="center"/>
      <protection locked="0"/>
    </xf>
    <xf numFmtId="0" fontId="0" fillId="16" borderId="34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47" fillId="13" borderId="49" xfId="0" applyFont="1" applyFill="1" applyBorder="1" applyAlignment="1">
      <alignment horizontal="center" vertical="center"/>
    </xf>
    <xf numFmtId="0" fontId="45" fillId="13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7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40" fillId="35" borderId="130" xfId="0" applyFont="1" applyFill="1" applyBorder="1" applyProtection="1">
      <protection hidden="1"/>
    </xf>
    <xf numFmtId="0" fontId="40" fillId="36" borderId="131" xfId="0" applyFont="1" applyFill="1" applyBorder="1" applyProtection="1">
      <protection hidden="1"/>
    </xf>
    <xf numFmtId="0" fontId="40" fillId="37" borderId="131" xfId="0" applyFont="1" applyFill="1" applyBorder="1" applyProtection="1">
      <protection hidden="1"/>
    </xf>
    <xf numFmtId="0" fontId="40" fillId="38" borderId="131" xfId="0" applyFont="1" applyFill="1" applyBorder="1" applyProtection="1">
      <protection hidden="1"/>
    </xf>
    <xf numFmtId="0" fontId="40" fillId="39" borderId="131" xfId="0" applyFont="1" applyFill="1" applyBorder="1" applyProtection="1">
      <protection hidden="1"/>
    </xf>
    <xf numFmtId="0" fontId="40" fillId="40" borderId="131" xfId="0" applyFont="1" applyFill="1" applyBorder="1" applyProtection="1">
      <protection hidden="1"/>
    </xf>
    <xf numFmtId="0" fontId="40" fillId="35" borderId="131" xfId="0" applyFont="1" applyFill="1" applyBorder="1" applyProtection="1">
      <protection hidden="1"/>
    </xf>
    <xf numFmtId="0" fontId="42" fillId="41" borderId="90" xfId="0" applyFont="1" applyFill="1" applyBorder="1" applyProtection="1">
      <protection hidden="1"/>
    </xf>
    <xf numFmtId="0" fontId="6" fillId="6" borderId="132" xfId="0" applyFont="1" applyFill="1" applyBorder="1" applyProtection="1">
      <protection hidden="1"/>
    </xf>
    <xf numFmtId="0" fontId="40" fillId="42" borderId="130" xfId="0" applyFont="1" applyFill="1" applyBorder="1" applyProtection="1">
      <protection hidden="1"/>
    </xf>
    <xf numFmtId="0" fontId="40" fillId="43" borderId="131" xfId="0" applyFont="1" applyFill="1" applyBorder="1" applyProtection="1">
      <protection hidden="1"/>
    </xf>
    <xf numFmtId="0" fontId="40" fillId="44" borderId="131" xfId="0" applyFont="1" applyFill="1" applyBorder="1" applyProtection="1">
      <protection hidden="1"/>
    </xf>
    <xf numFmtId="0" fontId="40" fillId="45" borderId="131" xfId="0" applyFont="1" applyFill="1" applyBorder="1" applyProtection="1">
      <protection hidden="1"/>
    </xf>
    <xf numFmtId="0" fontId="40" fillId="46" borderId="131" xfId="0" applyFont="1" applyFill="1" applyBorder="1" applyProtection="1">
      <protection hidden="1"/>
    </xf>
    <xf numFmtId="0" fontId="40" fillId="47" borderId="131" xfId="0" applyFont="1" applyFill="1" applyBorder="1" applyProtection="1">
      <protection hidden="1"/>
    </xf>
    <xf numFmtId="0" fontId="40" fillId="42" borderId="131" xfId="0" applyFont="1" applyFill="1" applyBorder="1" applyProtection="1">
      <protection hidden="1"/>
    </xf>
    <xf numFmtId="0" fontId="42" fillId="48" borderId="90" xfId="0" applyFont="1" applyFill="1" applyBorder="1" applyProtection="1">
      <protection hidden="1"/>
    </xf>
    <xf numFmtId="0" fontId="28" fillId="6" borderId="129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6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5" xfId="0" applyFont="1" applyFill="1" applyBorder="1" applyProtection="1">
      <protection hidden="1"/>
    </xf>
    <xf numFmtId="0" fontId="43" fillId="6" borderId="62" xfId="0" applyFont="1" applyFill="1" applyBorder="1" applyProtection="1">
      <protection hidden="1"/>
    </xf>
    <xf numFmtId="10" fontId="43" fillId="6" borderId="17" xfId="0" applyNumberFormat="1" applyFont="1" applyFill="1" applyBorder="1" applyProtection="1">
      <protection hidden="1"/>
    </xf>
    <xf numFmtId="10" fontId="43" fillId="6" borderId="16" xfId="0" applyNumberFormat="1" applyFont="1" applyFill="1" applyBorder="1" applyProtection="1">
      <protection hidden="1"/>
    </xf>
    <xf numFmtId="10" fontId="43" fillId="6" borderId="9" xfId="0" applyNumberFormat="1" applyFont="1" applyFill="1" applyBorder="1" applyProtection="1">
      <protection hidden="1"/>
    </xf>
    <xf numFmtId="0" fontId="43" fillId="6" borderId="135" xfId="0" applyFont="1" applyFill="1" applyBorder="1" applyProtection="1">
      <protection hidden="1"/>
    </xf>
    <xf numFmtId="0" fontId="43" fillId="6" borderId="128" xfId="0" applyFont="1" applyFill="1" applyBorder="1" applyProtection="1">
      <protection hidden="1"/>
    </xf>
    <xf numFmtId="10" fontId="43" fillId="6" borderId="98" xfId="0" applyNumberFormat="1" applyFont="1" applyFill="1" applyBorder="1" applyProtection="1">
      <protection hidden="1"/>
    </xf>
    <xf numFmtId="10" fontId="43" fillId="6" borderId="127" xfId="0" applyNumberFormat="1" applyFont="1" applyFill="1" applyBorder="1" applyProtection="1">
      <protection hidden="1"/>
    </xf>
    <xf numFmtId="10" fontId="43" fillId="6" borderId="133" xfId="0" applyNumberFormat="1" applyFont="1" applyFill="1" applyBorder="1" applyProtection="1">
      <protection hidden="1"/>
    </xf>
    <xf numFmtId="0" fontId="43" fillId="6" borderId="136" xfId="0" applyFont="1" applyFill="1" applyBorder="1" applyProtection="1">
      <protection hidden="1"/>
    </xf>
    <xf numFmtId="10" fontId="9" fillId="51" borderId="77" xfId="0" applyNumberFormat="1" applyFont="1" applyFill="1" applyBorder="1"/>
    <xf numFmtId="0" fontId="49" fillId="0" borderId="0" xfId="0" applyFont="1"/>
    <xf numFmtId="0" fontId="50" fillId="0" borderId="94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8" fillId="1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0" xfId="0" applyFill="1" applyBorder="1" applyAlignment="1" applyProtection="1">
      <alignment horizontal="center" vertical="center"/>
      <protection locked="0"/>
    </xf>
    <xf numFmtId="0" fontId="0" fillId="16" borderId="56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0" fillId="16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53" borderId="37" xfId="0" applyFill="1" applyBorder="1" applyAlignment="1" applyProtection="1">
      <alignment horizontal="center" vertical="center"/>
      <protection locked="0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6" xfId="0" applyFill="1" applyBorder="1" applyAlignment="1" applyProtection="1">
      <alignment horizontal="center" vertical="center"/>
      <protection locked="0"/>
    </xf>
    <xf numFmtId="0" fontId="2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9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3" xfId="0" applyFont="1" applyFill="1" applyBorder="1" applyAlignment="1">
      <alignment horizontal="center"/>
    </xf>
    <xf numFmtId="0" fontId="1" fillId="50" borderId="90" xfId="0" applyFont="1" applyFill="1" applyBorder="1" applyAlignment="1">
      <alignment horizontal="center"/>
    </xf>
    <xf numFmtId="0" fontId="31" fillId="5" borderId="7" xfId="0" applyFont="1" applyFill="1" applyBorder="1" applyAlignment="1">
      <alignment horizontal="right"/>
    </xf>
    <xf numFmtId="0" fontId="31" fillId="5" borderId="6" xfId="0" applyFont="1" applyFill="1" applyBorder="1" applyAlignment="1">
      <alignment horizontal="right"/>
    </xf>
    <xf numFmtId="0" fontId="31" fillId="5" borderId="107" xfId="0" applyFont="1" applyFill="1" applyBorder="1" applyAlignment="1">
      <alignment horizontal="right"/>
    </xf>
    <xf numFmtId="0" fontId="31" fillId="5" borderId="145" xfId="0" applyFont="1" applyFill="1" applyBorder="1" applyAlignment="1">
      <alignment horizontal="right"/>
    </xf>
    <xf numFmtId="10" fontId="32" fillId="5" borderId="146" xfId="0" applyNumberFormat="1" applyFont="1" applyFill="1" applyBorder="1"/>
    <xf numFmtId="0" fontId="1" fillId="50" borderId="147" xfId="0" applyFont="1" applyFill="1" applyBorder="1" applyAlignment="1">
      <alignment horizontal="center"/>
    </xf>
    <xf numFmtId="0" fontId="55" fillId="50" borderId="148" xfId="0" applyFont="1" applyFill="1" applyBorder="1" applyAlignment="1">
      <alignment horizontal="center" vertical="center"/>
    </xf>
    <xf numFmtId="0" fontId="55" fillId="50" borderId="96" xfId="0" applyFont="1" applyFill="1" applyBorder="1" applyAlignment="1">
      <alignment horizontal="center" vertical="center"/>
    </xf>
    <xf numFmtId="0" fontId="55" fillId="50" borderId="149" xfId="0" applyFont="1" applyFill="1" applyBorder="1" applyAlignment="1">
      <alignment horizontal="center" vertical="center"/>
    </xf>
    <xf numFmtId="0" fontId="55" fillId="50" borderId="150" xfId="0" applyFont="1" applyFill="1" applyBorder="1" applyAlignment="1">
      <alignment horizontal="center" vertical="center"/>
    </xf>
    <xf numFmtId="0" fontId="55" fillId="50" borderId="72" xfId="0" applyFont="1" applyFill="1" applyBorder="1" applyAlignment="1">
      <alignment horizontal="center" vertical="center"/>
    </xf>
    <xf numFmtId="0" fontId="55" fillId="50" borderId="151" xfId="0" applyFont="1" applyFill="1" applyBorder="1" applyAlignment="1">
      <alignment horizontal="center" vertical="center"/>
    </xf>
    <xf numFmtId="3" fontId="6" fillId="11" borderId="72" xfId="0" applyNumberFormat="1" applyFont="1" applyFill="1" applyBorder="1" applyAlignment="1">
      <alignment horizontal="center"/>
    </xf>
    <xf numFmtId="3" fontId="6" fillId="11" borderId="149" xfId="0" applyNumberFormat="1" applyFont="1" applyFill="1" applyBorder="1" applyAlignment="1">
      <alignment horizontal="center"/>
    </xf>
    <xf numFmtId="3" fontId="6" fillId="14" borderId="149" xfId="0" applyNumberFormat="1" applyFont="1" applyFill="1" applyBorder="1" applyAlignment="1">
      <alignment horizontal="center"/>
    </xf>
    <xf numFmtId="3" fontId="6" fillId="11" borderId="96" xfId="0" applyNumberFormat="1" applyFont="1" applyFill="1" applyBorder="1" applyAlignment="1">
      <alignment horizontal="center"/>
    </xf>
    <xf numFmtId="3" fontId="6" fillId="14" borderId="96" xfId="0" applyNumberFormat="1" applyFont="1" applyFill="1" applyBorder="1" applyAlignment="1">
      <alignment horizontal="center" vertical="center"/>
    </xf>
    <xf numFmtId="10" fontId="6" fillId="14" borderId="72" xfId="0" applyNumberFormat="1" applyFont="1" applyFill="1" applyBorder="1" applyAlignment="1">
      <alignment horizontal="center"/>
    </xf>
    <xf numFmtId="10" fontId="6" fillId="14" borderId="152" xfId="1" applyNumberFormat="1" applyFont="1" applyFill="1" applyBorder="1" applyAlignment="1">
      <alignment horizontal="center"/>
    </xf>
    <xf numFmtId="3" fontId="6" fillId="11" borderId="106" xfId="0" applyNumberFormat="1" applyFont="1" applyFill="1" applyBorder="1" applyAlignment="1">
      <alignment horizontal="center"/>
    </xf>
    <xf numFmtId="3" fontId="6" fillId="11" borderId="141" xfId="0" applyNumberFormat="1" applyFont="1" applyFill="1" applyBorder="1" applyAlignment="1">
      <alignment horizontal="center"/>
    </xf>
    <xf numFmtId="3" fontId="6" fillId="14" borderId="141" xfId="0" applyNumberFormat="1" applyFont="1" applyFill="1" applyBorder="1" applyAlignment="1">
      <alignment horizontal="center"/>
    </xf>
    <xf numFmtId="3" fontId="6" fillId="11" borderId="153" xfId="0" applyNumberFormat="1" applyFont="1" applyFill="1" applyBorder="1" applyAlignment="1">
      <alignment horizontal="center"/>
    </xf>
    <xf numFmtId="3" fontId="6" fillId="11" borderId="19" xfId="0" applyNumberFormat="1" applyFont="1" applyFill="1" applyBorder="1" applyAlignment="1">
      <alignment horizontal="center"/>
    </xf>
    <xf numFmtId="3" fontId="6" fillId="14" borderId="19" xfId="0" applyNumberFormat="1" applyFont="1" applyFill="1" applyBorder="1" applyAlignment="1">
      <alignment horizontal="center" vertical="center"/>
    </xf>
    <xf numFmtId="10" fontId="6" fillId="14" borderId="106" xfId="0" applyNumberFormat="1" applyFont="1" applyFill="1" applyBorder="1" applyAlignment="1">
      <alignment horizontal="center"/>
    </xf>
    <xf numFmtId="10" fontId="6" fillId="14" borderId="154" xfId="1" applyNumberFormat="1" applyFont="1" applyFill="1" applyBorder="1" applyAlignment="1">
      <alignment horizontal="center"/>
    </xf>
    <xf numFmtId="3" fontId="6" fillId="11" borderId="53" xfId="0" applyNumberFormat="1" applyFont="1" applyFill="1" applyBorder="1" applyAlignment="1">
      <alignment horizontal="center"/>
    </xf>
    <xf numFmtId="3" fontId="6" fillId="11" borderId="59" xfId="0" applyNumberFormat="1" applyFont="1" applyFill="1" applyBorder="1" applyAlignment="1">
      <alignment horizontal="center"/>
    </xf>
    <xf numFmtId="3" fontId="6" fillId="14" borderId="59" xfId="0" applyNumberFormat="1" applyFont="1" applyFill="1" applyBorder="1" applyAlignment="1">
      <alignment horizontal="center"/>
    </xf>
    <xf numFmtId="3" fontId="6" fillId="11" borderId="155" xfId="0" applyNumberFormat="1" applyFont="1" applyFill="1" applyBorder="1" applyAlignment="1">
      <alignment horizontal="center"/>
    </xf>
    <xf numFmtId="3" fontId="6" fillId="11" borderId="9" xfId="0" applyNumberFormat="1" applyFont="1" applyFill="1" applyBorder="1" applyAlignment="1">
      <alignment horizontal="center"/>
    </xf>
    <xf numFmtId="3" fontId="6" fillId="14" borderId="156" xfId="0" applyNumberFormat="1" applyFont="1" applyFill="1" applyBorder="1" applyAlignment="1">
      <alignment horizontal="center" vertical="center"/>
    </xf>
    <xf numFmtId="10" fontId="6" fillId="14" borderId="53" xfId="0" applyNumberFormat="1" applyFont="1" applyFill="1" applyBorder="1" applyAlignment="1">
      <alignment horizontal="center"/>
    </xf>
    <xf numFmtId="10" fontId="6" fillId="14" borderId="144" xfId="1" applyNumberFormat="1" applyFont="1" applyFill="1" applyBorder="1" applyAlignment="1">
      <alignment horizontal="center"/>
    </xf>
    <xf numFmtId="0" fontId="54" fillId="13" borderId="149" xfId="0" applyFont="1" applyFill="1" applyBorder="1" applyAlignment="1">
      <alignment horizontal="center" vertical="center"/>
    </xf>
    <xf numFmtId="0" fontId="54" fillId="13" borderId="142" xfId="0" applyFont="1" applyFill="1" applyBorder="1" applyAlignment="1">
      <alignment horizontal="center" vertical="center"/>
    </xf>
    <xf numFmtId="0" fontId="6" fillId="17" borderId="96" xfId="0" applyFont="1" applyFill="1" applyBorder="1" applyAlignment="1">
      <alignment horizontal="center"/>
    </xf>
    <xf numFmtId="3" fontId="6" fillId="49" borderId="157" xfId="0" applyNumberFormat="1" applyFont="1" applyFill="1" applyBorder="1" applyAlignment="1">
      <alignment horizontal="center" vertical="center"/>
    </xf>
    <xf numFmtId="0" fontId="6" fillId="17" borderId="19" xfId="0" applyFont="1" applyFill="1" applyBorder="1" applyAlignment="1">
      <alignment horizontal="center"/>
    </xf>
    <xf numFmtId="3" fontId="6" fillId="49" borderId="158" xfId="0" applyNumberFormat="1" applyFont="1" applyFill="1" applyBorder="1" applyAlignment="1">
      <alignment horizontal="center" vertical="center"/>
    </xf>
    <xf numFmtId="0" fontId="6" fillId="17" borderId="159" xfId="0" applyFont="1" applyFill="1" applyBorder="1" applyAlignment="1">
      <alignment horizontal="center"/>
    </xf>
    <xf numFmtId="3" fontId="6" fillId="49" borderId="160" xfId="0" applyNumberFormat="1" applyFont="1" applyFill="1" applyBorder="1" applyAlignment="1">
      <alignment horizontal="center" vertical="center"/>
    </xf>
    <xf numFmtId="0" fontId="6" fillId="15" borderId="161" xfId="0" applyFont="1" applyFill="1" applyBorder="1" applyAlignment="1">
      <alignment horizontal="center"/>
    </xf>
    <xf numFmtId="0" fontId="6" fillId="15" borderId="96" xfId="0" applyFont="1" applyFill="1" applyBorder="1" applyAlignment="1">
      <alignment horizontal="center"/>
    </xf>
    <xf numFmtId="0" fontId="6" fillId="15" borderId="149" xfId="0" applyFont="1" applyFill="1" applyBorder="1" applyAlignment="1">
      <alignment horizontal="center"/>
    </xf>
    <xf numFmtId="0" fontId="6" fillId="15" borderId="163" xfId="0" applyFont="1" applyFill="1" applyBorder="1" applyAlignment="1">
      <alignment horizontal="center"/>
    </xf>
    <xf numFmtId="0" fontId="6" fillId="15" borderId="19" xfId="0" applyFont="1" applyFill="1" applyBorder="1" applyAlignment="1">
      <alignment horizontal="center"/>
    </xf>
    <xf numFmtId="0" fontId="6" fillId="15" borderId="141" xfId="0" applyFont="1" applyFill="1" applyBorder="1" applyAlignment="1">
      <alignment horizontal="center"/>
    </xf>
    <xf numFmtId="0" fontId="6" fillId="15" borderId="164" xfId="0" applyFont="1" applyFill="1" applyBorder="1" applyAlignment="1">
      <alignment horizontal="center"/>
    </xf>
    <xf numFmtId="0" fontId="6" fillId="15" borderId="133" xfId="0" applyFont="1" applyFill="1" applyBorder="1" applyAlignment="1">
      <alignment horizontal="center"/>
    </xf>
    <xf numFmtId="0" fontId="6" fillId="15" borderId="59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65" xfId="0" applyFont="1" applyFill="1" applyBorder="1" applyAlignment="1">
      <alignment horizontal="center" vertical="center"/>
    </xf>
    <xf numFmtId="0" fontId="12" fillId="4" borderId="167" xfId="0" applyFont="1" applyFill="1" applyBorder="1" applyAlignment="1">
      <alignment horizontal="right"/>
    </xf>
    <xf numFmtId="0" fontId="57" fillId="16" borderId="64" xfId="0" applyFont="1" applyFill="1" applyBorder="1" applyAlignment="1" applyProtection="1">
      <alignment horizontal="center" vertical="center"/>
      <protection locked="0"/>
    </xf>
    <xf numFmtId="0" fontId="57" fillId="16" borderId="34" xfId="0" applyFont="1" applyFill="1" applyBorder="1" applyAlignment="1" applyProtection="1">
      <alignment horizontal="center" vertical="center"/>
      <protection locked="0"/>
    </xf>
    <xf numFmtId="0" fontId="57" fillId="16" borderId="49" xfId="0" applyFont="1" applyFill="1" applyBorder="1" applyAlignment="1" applyProtection="1">
      <alignment horizontal="center" vertical="center"/>
      <protection locked="0"/>
    </xf>
    <xf numFmtId="0" fontId="57" fillId="16" borderId="48" xfId="0" applyFont="1" applyFill="1" applyBorder="1" applyAlignment="1" applyProtection="1">
      <alignment horizontal="center" vertical="center"/>
      <protection locked="0"/>
    </xf>
    <xf numFmtId="165" fontId="33" fillId="25" borderId="82" xfId="0" applyNumberFormat="1" applyFont="1" applyFill="1" applyBorder="1" applyAlignment="1">
      <alignment horizontal="center" vertical="center"/>
    </xf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0" borderId="168" xfId="0" applyBorder="1"/>
    <xf numFmtId="10" fontId="59" fillId="14" borderId="166" xfId="0" applyNumberFormat="1" applyFont="1" applyFill="1" applyBorder="1"/>
    <xf numFmtId="0" fontId="57" fillId="11" borderId="63" xfId="0" applyFont="1" applyFill="1" applyBorder="1" applyAlignment="1">
      <alignment horizontal="center" vertical="center" wrapText="1"/>
    </xf>
    <xf numFmtId="0" fontId="7" fillId="4" borderId="169" xfId="0" applyFont="1" applyFill="1" applyBorder="1" applyAlignment="1">
      <alignment horizontal="center"/>
    </xf>
    <xf numFmtId="0" fontId="5" fillId="2" borderId="82" xfId="0" applyFont="1" applyFill="1" applyBorder="1" applyAlignment="1">
      <alignment horizontal="center" vertical="center"/>
    </xf>
    <xf numFmtId="0" fontId="7" fillId="4" borderId="170" xfId="0" applyFont="1" applyFill="1" applyBorder="1" applyAlignment="1">
      <alignment horizontal="center"/>
    </xf>
    <xf numFmtId="0" fontId="4" fillId="2" borderId="171" xfId="0" applyFont="1" applyFill="1" applyBorder="1" applyAlignment="1">
      <alignment horizontal="center"/>
    </xf>
    <xf numFmtId="0" fontId="60" fillId="5" borderId="172" xfId="0" applyFont="1" applyFill="1" applyBorder="1" applyAlignment="1">
      <alignment horizontal="right"/>
    </xf>
    <xf numFmtId="10" fontId="59" fillId="5" borderId="173" xfId="0" applyNumberFormat="1" applyFont="1" applyFill="1" applyBorder="1"/>
    <xf numFmtId="0" fontId="6" fillId="50" borderId="8" xfId="0" applyFont="1" applyFill="1" applyBorder="1" applyAlignment="1">
      <alignment vertical="center"/>
    </xf>
    <xf numFmtId="0" fontId="6" fillId="50" borderId="10" xfId="0" applyFont="1" applyFill="1" applyBorder="1" applyAlignment="1">
      <alignment vertical="center"/>
    </xf>
    <xf numFmtId="0" fontId="6" fillId="50" borderId="12" xfId="0" applyFont="1" applyFill="1" applyBorder="1" applyAlignment="1">
      <alignment vertical="center"/>
    </xf>
    <xf numFmtId="164" fontId="15" fillId="17" borderId="71" xfId="0" applyNumberFormat="1" applyFont="1" applyFill="1" applyBorder="1" applyAlignment="1" applyProtection="1">
      <alignment horizontal="center" vertical="center"/>
      <protection locked="0"/>
    </xf>
    <xf numFmtId="0" fontId="13" fillId="17" borderId="14" xfId="0" applyFont="1" applyFill="1" applyBorder="1" applyAlignment="1" applyProtection="1">
      <alignment horizontal="center" vertical="center"/>
      <protection locked="0"/>
    </xf>
    <xf numFmtId="0" fontId="15" fillId="17" borderId="13" xfId="0" applyFont="1" applyFill="1" applyBorder="1" applyAlignment="1" applyProtection="1">
      <alignment horizontal="center" vertical="center"/>
      <protection locked="0"/>
    </xf>
    <xf numFmtId="0" fontId="54" fillId="13" borderId="72" xfId="0" applyFont="1" applyFill="1" applyBorder="1" applyAlignment="1">
      <alignment horizontal="center" vertical="center"/>
    </xf>
    <xf numFmtId="0" fontId="6" fillId="50" borderId="72" xfId="0" applyFont="1" applyFill="1" applyBorder="1" applyAlignment="1">
      <alignment horizontal="center"/>
    </xf>
    <xf numFmtId="0" fontId="6" fillId="50" borderId="153" xfId="0" applyFont="1" applyFill="1" applyBorder="1" applyAlignment="1">
      <alignment horizontal="center"/>
    </xf>
    <xf numFmtId="0" fontId="6" fillId="50" borderId="174" xfId="0" applyFont="1" applyFill="1" applyBorder="1" applyAlignment="1">
      <alignment horizontal="center"/>
    </xf>
    <xf numFmtId="0" fontId="6" fillId="15" borderId="54" xfId="0" applyFont="1" applyFill="1" applyBorder="1" applyAlignment="1">
      <alignment horizontal="center"/>
    </xf>
    <xf numFmtId="0" fontId="6" fillId="15" borderId="51" xfId="0" applyFont="1" applyFill="1" applyBorder="1" applyAlignment="1">
      <alignment horizontal="center"/>
    </xf>
    <xf numFmtId="165" fontId="6" fillId="25" borderId="72" xfId="0" applyNumberFormat="1" applyFont="1" applyFill="1" applyBorder="1" applyAlignment="1">
      <alignment horizontal="center" vertical="center"/>
    </xf>
    <xf numFmtId="0" fontId="6" fillId="25" borderId="72" xfId="0" applyFont="1" applyFill="1" applyBorder="1" applyAlignment="1">
      <alignment horizontal="center" vertical="center"/>
    </xf>
    <xf numFmtId="10" fontId="22" fillId="11" borderId="113" xfId="1" applyNumberFormat="1" applyFont="1" applyFill="1" applyBorder="1" applyAlignment="1">
      <alignment horizontal="center" vertical="center"/>
    </xf>
    <xf numFmtId="165" fontId="6" fillId="25" borderId="106" xfId="0" applyNumberFormat="1" applyFont="1" applyFill="1" applyBorder="1" applyAlignment="1">
      <alignment horizontal="center" vertical="center"/>
    </xf>
    <xf numFmtId="0" fontId="6" fillId="24" borderId="106" xfId="0" applyFont="1" applyFill="1" applyBorder="1" applyAlignment="1">
      <alignment horizontal="center" vertical="center"/>
    </xf>
    <xf numFmtId="10" fontId="22" fillId="11" borderId="54" xfId="1" applyNumberFormat="1" applyFont="1" applyFill="1" applyBorder="1" applyAlignment="1">
      <alignment horizontal="center" vertical="center"/>
    </xf>
    <xf numFmtId="0" fontId="33" fillId="26" borderId="175" xfId="0" applyFont="1" applyFill="1" applyBorder="1" applyAlignment="1">
      <alignment horizontal="center" vertical="center"/>
    </xf>
    <xf numFmtId="10" fontId="34" fillId="11" borderId="176" xfId="1" applyNumberFormat="1" applyFont="1" applyFill="1" applyBorder="1" applyAlignment="1">
      <alignment horizontal="center" vertical="center"/>
    </xf>
    <xf numFmtId="0" fontId="33" fillId="26" borderId="17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23" borderId="35" xfId="0" applyFont="1" applyFill="1" applyBorder="1" applyAlignment="1">
      <alignment horizontal="center" vertical="center" wrapText="1"/>
    </xf>
    <xf numFmtId="0" fontId="55" fillId="2" borderId="69" xfId="0" applyFont="1" applyFill="1" applyBorder="1" applyAlignment="1">
      <alignment horizontal="center" vertical="center"/>
    </xf>
    <xf numFmtId="0" fontId="55" fillId="2" borderId="109" xfId="0" applyFont="1" applyFill="1" applyBorder="1" applyAlignment="1">
      <alignment horizontal="center" vertical="center"/>
    </xf>
    <xf numFmtId="0" fontId="57" fillId="53" borderId="37" xfId="0" applyFont="1" applyFill="1" applyBorder="1" applyAlignment="1" applyProtection="1">
      <alignment horizontal="center" vertical="center"/>
      <protection locked="0"/>
    </xf>
    <xf numFmtId="0" fontId="57" fillId="11" borderId="35" xfId="0" applyFont="1" applyFill="1" applyBorder="1" applyAlignment="1">
      <alignment horizontal="center" vertical="center"/>
    </xf>
    <xf numFmtId="0" fontId="58" fillId="11" borderId="109" xfId="0" applyFont="1" applyFill="1" applyBorder="1" applyAlignment="1">
      <alignment horizontal="center" vertical="center" wrapText="1"/>
    </xf>
    <xf numFmtId="0" fontId="58" fillId="11" borderId="69" xfId="0" applyFont="1" applyFill="1" applyBorder="1" applyAlignment="1">
      <alignment horizontal="center" vertical="center" wrapText="1"/>
    </xf>
    <xf numFmtId="0" fontId="57" fillId="53" borderId="38" xfId="0" applyFont="1" applyFill="1" applyBorder="1" applyAlignment="1" applyProtection="1">
      <alignment horizontal="center" vertical="center"/>
      <protection locked="0"/>
    </xf>
    <xf numFmtId="0" fontId="57" fillId="16" borderId="61" xfId="0" applyFont="1" applyFill="1" applyBorder="1" applyAlignment="1" applyProtection="1">
      <alignment horizontal="center" vertical="center"/>
      <protection locked="0"/>
    </xf>
    <xf numFmtId="0" fontId="57" fillId="16" borderId="57" xfId="0" applyFont="1" applyFill="1" applyBorder="1" applyAlignment="1" applyProtection="1">
      <alignment horizontal="center" vertical="center"/>
      <protection locked="0"/>
    </xf>
    <xf numFmtId="0" fontId="57" fillId="16" borderId="51" xfId="0" applyFont="1" applyFill="1" applyBorder="1" applyAlignment="1" applyProtection="1">
      <alignment horizontal="center" vertical="center"/>
      <protection locked="0"/>
    </xf>
    <xf numFmtId="0" fontId="57" fillId="16" borderId="50" xfId="0" applyFont="1" applyFill="1" applyBorder="1" applyAlignment="1" applyProtection="1">
      <alignment horizontal="center" vertical="center"/>
      <protection locked="0"/>
    </xf>
    <xf numFmtId="0" fontId="55" fillId="25" borderId="72" xfId="0" applyFont="1" applyFill="1" applyBorder="1" applyAlignment="1">
      <alignment horizontal="center" vertical="center"/>
    </xf>
    <xf numFmtId="0" fontId="55" fillId="25" borderId="72" xfId="0" applyFont="1" applyFill="1" applyBorder="1" applyAlignment="1">
      <alignment horizontal="center" vertical="center" wrapText="1"/>
    </xf>
    <xf numFmtId="0" fontId="58" fillId="11" borderId="55" xfId="0" applyFont="1" applyFill="1" applyBorder="1" applyAlignment="1">
      <alignment horizontal="center" vertical="center"/>
    </xf>
    <xf numFmtId="0" fontId="58" fillId="11" borderId="55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/>
    </xf>
    <xf numFmtId="0" fontId="34" fillId="11" borderId="179" xfId="0" applyFont="1" applyFill="1" applyBorder="1" applyAlignment="1">
      <alignment horizontal="center" vertical="center"/>
    </xf>
    <xf numFmtId="0" fontId="0" fillId="0" borderId="178" xfId="0" applyBorder="1"/>
    <xf numFmtId="10" fontId="34" fillId="11" borderId="180" xfId="1" applyNumberFormat="1" applyFont="1" applyFill="1" applyBorder="1" applyAlignment="1">
      <alignment horizontal="center" vertical="center"/>
    </xf>
    <xf numFmtId="165" fontId="33" fillId="25" borderId="181" xfId="0" applyNumberFormat="1" applyFont="1" applyFill="1" applyBorder="1" applyAlignment="1">
      <alignment horizontal="center" vertical="center"/>
    </xf>
    <xf numFmtId="0" fontId="34" fillId="11" borderId="182" xfId="0" applyFont="1" applyFill="1" applyBorder="1" applyAlignment="1">
      <alignment horizontal="center" vertical="center"/>
    </xf>
    <xf numFmtId="165" fontId="34" fillId="11" borderId="183" xfId="0" applyNumberFormat="1" applyFont="1" applyFill="1" applyBorder="1" applyAlignment="1">
      <alignment horizontal="center" vertical="center"/>
    </xf>
    <xf numFmtId="165" fontId="34" fillId="11" borderId="184" xfId="0" applyNumberFormat="1" applyFont="1" applyFill="1" applyBorder="1" applyAlignment="1">
      <alignment horizontal="center" vertical="center"/>
    </xf>
    <xf numFmtId="0" fontId="7" fillId="2" borderId="185" xfId="0" applyFont="1" applyFill="1" applyBorder="1" applyAlignment="1">
      <alignment horizontal="center"/>
    </xf>
    <xf numFmtId="0" fontId="7" fillId="4" borderId="186" xfId="0" applyFont="1" applyFill="1" applyBorder="1" applyAlignment="1">
      <alignment horizontal="center" vertical="center"/>
    </xf>
    <xf numFmtId="0" fontId="51" fillId="2" borderId="185" xfId="0" applyFont="1" applyFill="1" applyBorder="1" applyAlignment="1">
      <alignment horizontal="center" vertical="center" wrapText="1"/>
    </xf>
    <xf numFmtId="0" fontId="51" fillId="2" borderId="165" xfId="0" applyFont="1" applyFill="1" applyBorder="1" applyAlignment="1">
      <alignment horizontal="center" vertical="center" wrapText="1"/>
    </xf>
    <xf numFmtId="0" fontId="7" fillId="4" borderId="187" xfId="0" applyFont="1" applyFill="1" applyBorder="1" applyAlignment="1">
      <alignment horizontal="center" vertical="center"/>
    </xf>
    <xf numFmtId="0" fontId="7" fillId="4" borderId="188" xfId="0" applyFont="1" applyFill="1" applyBorder="1" applyAlignment="1">
      <alignment horizontal="center" vertical="center"/>
    </xf>
    <xf numFmtId="0" fontId="7" fillId="2" borderId="189" xfId="0" applyFont="1" applyFill="1" applyBorder="1" applyAlignment="1">
      <alignment horizontal="center"/>
    </xf>
    <xf numFmtId="0" fontId="51" fillId="2" borderId="187" xfId="0" applyFont="1" applyFill="1" applyBorder="1" applyAlignment="1">
      <alignment horizontal="center" vertical="center" wrapText="1"/>
    </xf>
    <xf numFmtId="3" fontId="9" fillId="56" borderId="4" xfId="0" applyNumberFormat="1" applyFont="1" applyFill="1" applyBorder="1" applyAlignment="1">
      <alignment horizontal="right"/>
    </xf>
    <xf numFmtId="0" fontId="0" fillId="0" borderId="0" xfId="0" applyBorder="1"/>
    <xf numFmtId="0" fontId="51" fillId="2" borderId="190" xfId="0" applyFont="1" applyFill="1" applyBorder="1" applyAlignment="1">
      <alignment horizontal="center" vertical="center" wrapText="1"/>
    </xf>
    <xf numFmtId="0" fontId="7" fillId="2" borderId="192" xfId="0" applyFont="1" applyFill="1" applyBorder="1" applyAlignment="1">
      <alignment horizontal="center"/>
    </xf>
    <xf numFmtId="0" fontId="51" fillId="2" borderId="191" xfId="0" applyFont="1" applyFill="1" applyBorder="1" applyAlignment="1">
      <alignment horizontal="center" vertical="center" wrapText="1"/>
    </xf>
    <xf numFmtId="0" fontId="7" fillId="2" borderId="193" xfId="0" applyFont="1" applyFill="1" applyBorder="1" applyAlignment="1">
      <alignment horizontal="center"/>
    </xf>
    <xf numFmtId="0" fontId="55" fillId="57" borderId="140" xfId="0" applyFont="1" applyFill="1" applyBorder="1" applyAlignment="1">
      <alignment horizontal="center" vertical="center" wrapText="1"/>
    </xf>
    <xf numFmtId="0" fontId="55" fillId="58" borderId="140" xfId="0" applyFont="1" applyFill="1" applyBorder="1" applyAlignment="1">
      <alignment horizontal="center" vertical="center" wrapText="1"/>
    </xf>
    <xf numFmtId="0" fontId="55" fillId="59" borderId="140" xfId="0" applyFont="1" applyFill="1" applyBorder="1" applyAlignment="1">
      <alignment horizontal="center" vertical="center" wrapText="1"/>
    </xf>
    <xf numFmtId="0" fontId="55" fillId="60" borderId="162" xfId="0" applyFont="1" applyFill="1" applyBorder="1" applyAlignment="1">
      <alignment horizontal="center" vertical="center" wrapText="1"/>
    </xf>
    <xf numFmtId="0" fontId="55" fillId="22" borderId="161" xfId="0" applyFont="1" applyFill="1" applyBorder="1" applyAlignment="1">
      <alignment horizontal="center" vertical="center" wrapText="1"/>
    </xf>
    <xf numFmtId="0" fontId="55" fillId="53" borderId="96" xfId="0" applyFont="1" applyFill="1" applyBorder="1" applyAlignment="1">
      <alignment horizontal="center" vertical="center" wrapText="1"/>
    </xf>
    <xf numFmtId="0" fontId="55" fillId="54" borderId="96" xfId="0" applyFont="1" applyFill="1" applyBorder="1" applyAlignment="1">
      <alignment horizontal="center" vertical="center" wrapText="1"/>
    </xf>
    <xf numFmtId="0" fontId="55" fillId="62" borderId="140" xfId="0" applyFont="1" applyFill="1" applyBorder="1" applyAlignment="1">
      <alignment horizontal="center" vertical="center" wrapText="1"/>
    </xf>
    <xf numFmtId="0" fontId="55" fillId="63" borderId="140" xfId="0" applyFont="1" applyFill="1" applyBorder="1" applyAlignment="1">
      <alignment horizontal="center" vertical="center" wrapText="1"/>
    </xf>
    <xf numFmtId="0" fontId="55" fillId="64" borderId="140" xfId="0" applyFont="1" applyFill="1" applyBorder="1" applyAlignment="1">
      <alignment horizontal="center" vertical="center" wrapText="1"/>
    </xf>
    <xf numFmtId="0" fontId="55" fillId="65" borderId="69" xfId="0" applyFont="1" applyFill="1" applyBorder="1" applyAlignment="1">
      <alignment horizontal="center" vertical="center"/>
    </xf>
    <xf numFmtId="0" fontId="55" fillId="65" borderId="109" xfId="0" applyFont="1" applyFill="1" applyBorder="1" applyAlignment="1">
      <alignment horizontal="center" vertical="center"/>
    </xf>
    <xf numFmtId="0" fontId="58" fillId="66" borderId="69" xfId="0" applyFont="1" applyFill="1" applyBorder="1" applyAlignment="1">
      <alignment horizontal="center" vertical="center" wrapText="1"/>
    </xf>
    <xf numFmtId="0" fontId="58" fillId="66" borderId="109" xfId="0" applyFont="1" applyFill="1" applyBorder="1" applyAlignment="1">
      <alignment horizontal="center" vertical="center" wrapText="1"/>
    </xf>
    <xf numFmtId="0" fontId="6" fillId="24" borderId="106" xfId="0" applyFont="1" applyFill="1" applyBorder="1" applyAlignment="1" applyProtection="1">
      <alignment horizontal="center" vertical="center"/>
      <protection locked="0"/>
    </xf>
    <xf numFmtId="0" fontId="33" fillId="26" borderId="175" xfId="0" applyFont="1" applyFill="1" applyBorder="1" applyAlignment="1" applyProtection="1">
      <alignment horizontal="center" vertical="center"/>
      <protection locked="0"/>
    </xf>
    <xf numFmtId="0" fontId="33" fillId="26" borderId="177" xfId="0" applyFont="1" applyFill="1" applyBorder="1" applyAlignment="1" applyProtection="1">
      <alignment horizontal="center" vertical="center"/>
      <protection locked="0"/>
    </xf>
    <xf numFmtId="0" fontId="55" fillId="55" borderId="113" xfId="0" applyFont="1" applyFill="1" applyBorder="1" applyAlignment="1">
      <alignment horizontal="center" vertical="center" wrapText="1"/>
    </xf>
    <xf numFmtId="0" fontId="55" fillId="61" borderId="96" xfId="0" applyFont="1" applyFill="1" applyBorder="1" applyAlignment="1">
      <alignment horizontal="center" vertical="center" wrapText="1"/>
    </xf>
    <xf numFmtId="0" fontId="55" fillId="52" borderId="96" xfId="0" applyFont="1" applyFill="1" applyBorder="1" applyAlignment="1">
      <alignment horizontal="center" vertical="center" wrapText="1"/>
    </xf>
    <xf numFmtId="0" fontId="55" fillId="67" borderId="140" xfId="0" applyFont="1" applyFill="1" applyBorder="1" applyAlignment="1">
      <alignment horizontal="center" vertical="center" wrapText="1"/>
    </xf>
    <xf numFmtId="0" fontId="55" fillId="55" borderId="140" xfId="0" applyFont="1" applyFill="1" applyBorder="1" applyAlignment="1">
      <alignment horizontal="center" vertical="center" wrapText="1"/>
    </xf>
    <xf numFmtId="0" fontId="55" fillId="22" borderId="140" xfId="0" applyFont="1" applyFill="1" applyBorder="1" applyAlignment="1">
      <alignment horizontal="center" vertical="center" wrapText="1"/>
    </xf>
    <xf numFmtId="0" fontId="55" fillId="60" borderId="140" xfId="0" applyFont="1" applyFill="1" applyBorder="1" applyAlignment="1">
      <alignment horizontal="center" vertical="center" wrapText="1"/>
    </xf>
    <xf numFmtId="0" fontId="55" fillId="61" borderId="140" xfId="0" applyFont="1" applyFill="1" applyBorder="1" applyAlignment="1">
      <alignment horizontal="center" vertical="center" wrapText="1"/>
    </xf>
    <xf numFmtId="0" fontId="55" fillId="52" borderId="140" xfId="0" applyFont="1" applyFill="1" applyBorder="1" applyAlignment="1">
      <alignment horizontal="center" vertical="center" wrapText="1"/>
    </xf>
    <xf numFmtId="0" fontId="55" fillId="68" borderId="140" xfId="0" applyFont="1" applyFill="1" applyBorder="1" applyAlignment="1">
      <alignment horizontal="center" vertical="center" wrapText="1"/>
    </xf>
    <xf numFmtId="0" fontId="55" fillId="53" borderId="140" xfId="0" applyFont="1" applyFill="1" applyBorder="1" applyAlignment="1">
      <alignment horizontal="center" vertical="center" wrapText="1"/>
    </xf>
    <xf numFmtId="0" fontId="55" fillId="69" borderId="140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3" fontId="3" fillId="11" borderId="36" xfId="0" applyNumberFormat="1" applyFont="1" applyFill="1" applyBorder="1" applyAlignment="1">
      <alignment horizontal="center" vertical="center" wrapText="1"/>
    </xf>
    <xf numFmtId="3" fontId="3" fillId="12" borderId="84" xfId="0" applyNumberFormat="1" applyFont="1" applyFill="1" applyBorder="1" applyAlignment="1">
      <alignment horizontal="center"/>
    </xf>
    <xf numFmtId="3" fontId="3" fillId="11" borderId="17" xfId="0" applyNumberFormat="1" applyFont="1" applyFill="1" applyBorder="1" applyAlignment="1">
      <alignment horizontal="center" vertical="center"/>
    </xf>
    <xf numFmtId="3" fontId="3" fillId="11" borderId="16" xfId="0" applyNumberFormat="1" applyFont="1" applyFill="1" applyBorder="1" applyAlignment="1">
      <alignment horizontal="center" vertical="center"/>
    </xf>
    <xf numFmtId="0" fontId="3" fillId="11" borderId="46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02" xfId="0" applyFont="1" applyFill="1" applyBorder="1" applyAlignment="1">
      <alignment horizontal="center" vertical="center"/>
    </xf>
    <xf numFmtId="0" fontId="3" fillId="11" borderId="99" xfId="0" applyFont="1" applyFill="1" applyBorder="1" applyAlignment="1">
      <alignment horizontal="center" vertical="center"/>
    </xf>
    <xf numFmtId="3" fontId="3" fillId="11" borderId="37" xfId="0" applyNumberFormat="1" applyFont="1" applyFill="1" applyBorder="1" applyAlignment="1">
      <alignment horizontal="center" vertical="center" wrapText="1"/>
    </xf>
    <xf numFmtId="3" fontId="3" fillId="12" borderId="73" xfId="0" applyNumberFormat="1" applyFont="1" applyFill="1" applyBorder="1" applyAlignment="1">
      <alignment horizontal="center"/>
    </xf>
    <xf numFmtId="0" fontId="3" fillId="11" borderId="48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3" fontId="3" fillId="11" borderId="42" xfId="0" applyNumberFormat="1" applyFont="1" applyFill="1" applyBorder="1" applyAlignment="1">
      <alignment horizontal="center" vertical="center" wrapText="1"/>
    </xf>
    <xf numFmtId="3" fontId="3" fillId="12" borderId="75" xfId="0" applyNumberFormat="1" applyFont="1" applyFill="1" applyBorder="1" applyAlignment="1">
      <alignment horizontal="center"/>
    </xf>
    <xf numFmtId="0" fontId="3" fillId="11" borderId="74" xfId="0" applyFont="1" applyFill="1" applyBorder="1" applyAlignment="1">
      <alignment horizontal="center" vertical="center"/>
    </xf>
    <xf numFmtId="0" fontId="3" fillId="11" borderId="81" xfId="0" applyFont="1" applyFill="1" applyBorder="1" applyAlignment="1">
      <alignment horizontal="center" vertical="center"/>
    </xf>
    <xf numFmtId="0" fontId="3" fillId="11" borderId="101" xfId="0" applyFont="1" applyFill="1" applyBorder="1" applyAlignment="1">
      <alignment horizontal="center" vertical="center"/>
    </xf>
    <xf numFmtId="0" fontId="25" fillId="13" borderId="34" xfId="0" applyFont="1" applyFill="1" applyBorder="1"/>
    <xf numFmtId="0" fontId="0" fillId="13" borderId="34" xfId="0" applyFill="1" applyBorder="1"/>
    <xf numFmtId="0" fontId="12" fillId="4" borderId="171" xfId="0" applyFont="1" applyFill="1" applyBorder="1" applyAlignment="1">
      <alignment horizontal="right"/>
    </xf>
    <xf numFmtId="10" fontId="59" fillId="14" borderId="200" xfId="0" applyNumberFormat="1" applyFont="1" applyFill="1" applyBorder="1"/>
    <xf numFmtId="0" fontId="0" fillId="0" borderId="0" xfId="0" applyFill="1" applyAlignment="1"/>
    <xf numFmtId="0" fontId="6" fillId="50" borderId="99" xfId="0" applyFont="1" applyFill="1" applyBorder="1" applyAlignment="1">
      <alignment vertical="center"/>
    </xf>
    <xf numFmtId="0" fontId="6" fillId="50" borderId="100" xfId="0" applyFont="1" applyFill="1" applyBorder="1" applyAlignment="1">
      <alignment vertical="center"/>
    </xf>
    <xf numFmtId="0" fontId="6" fillId="50" borderId="204" xfId="0" applyFont="1" applyFill="1" applyBorder="1" applyAlignment="1">
      <alignment vertical="center"/>
    </xf>
    <xf numFmtId="164" fontId="15" fillId="23" borderId="104" xfId="0" applyNumberFormat="1" applyFont="1" applyFill="1" applyBorder="1" applyAlignment="1" applyProtection="1">
      <alignment horizontal="center" vertical="center"/>
    </xf>
    <xf numFmtId="0" fontId="13" fillId="23" borderId="105" xfId="0" applyFont="1" applyFill="1" applyBorder="1" applyAlignment="1" applyProtection="1">
      <alignment horizontal="center" vertical="center"/>
    </xf>
    <xf numFmtId="0" fontId="15" fillId="23" borderId="205" xfId="0" applyFont="1" applyFill="1" applyBorder="1" applyAlignment="1" applyProtection="1">
      <alignment horizontal="center" vertical="center"/>
    </xf>
    <xf numFmtId="164" fontId="15" fillId="50" borderId="104" xfId="0" applyNumberFormat="1" applyFont="1" applyFill="1" applyBorder="1" applyAlignment="1" applyProtection="1">
      <alignment horizontal="center" vertical="center"/>
    </xf>
    <xf numFmtId="0" fontId="13" fillId="50" borderId="105" xfId="0" applyFont="1" applyFill="1" applyBorder="1" applyAlignment="1" applyProtection="1">
      <alignment horizontal="center" vertical="center"/>
    </xf>
    <xf numFmtId="0" fontId="15" fillId="50" borderId="205" xfId="0" applyFont="1" applyFill="1" applyBorder="1" applyAlignment="1" applyProtection="1">
      <alignment horizontal="center" vertical="center"/>
    </xf>
    <xf numFmtId="0" fontId="0" fillId="0" borderId="208" xfId="0" applyBorder="1"/>
    <xf numFmtId="0" fontId="55" fillId="25" borderId="76" xfId="0" applyFont="1" applyFill="1" applyBorder="1" applyAlignment="1">
      <alignment horizontal="center" vertical="center"/>
    </xf>
    <xf numFmtId="165" fontId="6" fillId="25" borderId="76" xfId="0" applyNumberFormat="1" applyFont="1" applyFill="1" applyBorder="1" applyAlignment="1">
      <alignment horizontal="center" vertical="center"/>
    </xf>
    <xf numFmtId="165" fontId="6" fillId="25" borderId="203" xfId="0" applyNumberFormat="1" applyFont="1" applyFill="1" applyBorder="1" applyAlignment="1">
      <alignment horizontal="center" vertical="center"/>
    </xf>
    <xf numFmtId="165" fontId="33" fillId="25" borderId="210" xfId="0" applyNumberFormat="1" applyFont="1" applyFill="1" applyBorder="1" applyAlignment="1">
      <alignment horizontal="center" vertical="center"/>
    </xf>
    <xf numFmtId="165" fontId="33" fillId="25" borderId="198" xfId="0" applyNumberFormat="1" applyFont="1" applyFill="1" applyBorder="1" applyAlignment="1">
      <alignment horizontal="center" vertical="center"/>
    </xf>
    <xf numFmtId="0" fontId="0" fillId="0" borderId="209" xfId="0" applyBorder="1"/>
    <xf numFmtId="0" fontId="50" fillId="0" borderId="209" xfId="0" applyFont="1" applyBorder="1" applyAlignment="1">
      <alignment vertical="top" wrapText="1"/>
    </xf>
    <xf numFmtId="0" fontId="0" fillId="0" borderId="211" xfId="0" applyBorder="1"/>
    <xf numFmtId="0" fontId="46" fillId="11" borderId="47" xfId="0" applyFont="1" applyFill="1" applyBorder="1" applyAlignment="1">
      <alignment horizontal="center" vertical="center"/>
    </xf>
    <xf numFmtId="0" fontId="47" fillId="11" borderId="49" xfId="0" applyFont="1" applyFill="1" applyBorder="1" applyAlignment="1">
      <alignment horizontal="center" vertical="center"/>
    </xf>
    <xf numFmtId="0" fontId="25" fillId="0" borderId="208" xfId="0" applyFont="1" applyBorder="1"/>
    <xf numFmtId="0" fontId="61" fillId="50" borderId="99" xfId="0" applyFont="1" applyFill="1" applyBorder="1" applyAlignment="1">
      <alignment vertical="center"/>
    </xf>
    <xf numFmtId="164" fontId="62" fillId="23" borderId="104" xfId="0" applyNumberFormat="1" applyFont="1" applyFill="1" applyBorder="1" applyAlignment="1" applyProtection="1">
      <alignment horizontal="center" vertical="center"/>
    </xf>
    <xf numFmtId="164" fontId="62" fillId="0" borderId="0" xfId="0" applyNumberFormat="1" applyFont="1" applyFill="1" applyBorder="1" applyAlignment="1" applyProtection="1">
      <alignment horizontal="center" vertical="center"/>
      <protection locked="0"/>
    </xf>
    <xf numFmtId="0" fontId="63" fillId="0" borderId="0" xfId="0" applyFont="1"/>
    <xf numFmtId="0" fontId="63" fillId="0" borderId="0" xfId="0" applyFont="1" applyBorder="1"/>
    <xf numFmtId="0" fontId="61" fillId="50" borderId="100" xfId="0" applyFont="1" applyFill="1" applyBorder="1" applyAlignment="1">
      <alignment vertical="center"/>
    </xf>
    <xf numFmtId="0" fontId="62" fillId="23" borderId="105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center" vertical="center"/>
      <protection locked="0"/>
    </xf>
    <xf numFmtId="0" fontId="63" fillId="50" borderId="43" xfId="0" applyFont="1" applyFill="1" applyBorder="1" applyAlignment="1">
      <alignment horizontal="center"/>
    </xf>
    <xf numFmtId="0" fontId="63" fillId="50" borderId="143" xfId="0" applyFont="1" applyFill="1" applyBorder="1" applyAlignment="1">
      <alignment horizontal="center"/>
    </xf>
    <xf numFmtId="0" fontId="63" fillId="50" borderId="90" xfId="0" applyFont="1" applyFill="1" applyBorder="1" applyAlignment="1">
      <alignment horizontal="center"/>
    </xf>
    <xf numFmtId="0" fontId="63" fillId="50" borderId="91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center"/>
    </xf>
    <xf numFmtId="0" fontId="61" fillId="50" borderId="204" xfId="0" applyFont="1" applyFill="1" applyBorder="1" applyAlignment="1">
      <alignment vertical="center"/>
    </xf>
    <xf numFmtId="0" fontId="62" fillId="23" borderId="205" xfId="0" applyFont="1" applyFill="1" applyBorder="1" applyAlignment="1" applyProtection="1">
      <alignment horizontal="center" vertical="center"/>
    </xf>
    <xf numFmtId="0" fontId="63" fillId="30" borderId="109" xfId="0" applyFont="1" applyFill="1" applyBorder="1" applyAlignment="1">
      <alignment horizontal="center" vertical="center"/>
    </xf>
    <xf numFmtId="0" fontId="65" fillId="22" borderId="72" xfId="0" applyFont="1" applyFill="1" applyBorder="1" applyAlignment="1">
      <alignment horizontal="center" vertical="center" wrapText="1"/>
    </xf>
    <xf numFmtId="0" fontId="65" fillId="53" borderId="96" xfId="0" applyFont="1" applyFill="1" applyBorder="1" applyAlignment="1">
      <alignment horizontal="center" vertical="center" wrapText="1"/>
    </xf>
    <xf numFmtId="0" fontId="65" fillId="54" borderId="96" xfId="0" applyFont="1" applyFill="1" applyBorder="1" applyAlignment="1">
      <alignment horizontal="center" vertical="center" wrapText="1"/>
    </xf>
    <xf numFmtId="0" fontId="65" fillId="52" borderId="96" xfId="0" applyFont="1" applyFill="1" applyBorder="1" applyAlignment="1">
      <alignment horizontal="center" vertical="center" wrapText="1"/>
    </xf>
    <xf numFmtId="0" fontId="65" fillId="61" borderId="96" xfId="0" applyFont="1" applyFill="1" applyBorder="1" applyAlignment="1">
      <alignment horizontal="center" vertical="center" wrapText="1"/>
    </xf>
    <xf numFmtId="0" fontId="65" fillId="60" borderId="149" xfId="0" applyFont="1" applyFill="1" applyBorder="1" applyAlignment="1">
      <alignment horizontal="center" vertical="center" wrapText="1"/>
    </xf>
    <xf numFmtId="0" fontId="65" fillId="55" borderId="113" xfId="0" applyFont="1" applyFill="1" applyBorder="1" applyAlignment="1">
      <alignment horizontal="center" vertical="center" wrapText="1"/>
    </xf>
    <xf numFmtId="0" fontId="66" fillId="2" borderId="218" xfId="0" applyFont="1" applyFill="1" applyBorder="1" applyAlignment="1">
      <alignment horizontal="center" vertical="center"/>
    </xf>
    <xf numFmtId="0" fontId="66" fillId="2" borderId="223" xfId="0" applyFont="1" applyFill="1" applyBorder="1" applyAlignment="1">
      <alignment horizontal="center" vertical="center"/>
    </xf>
    <xf numFmtId="0" fontId="66" fillId="2" borderId="212" xfId="0" applyFont="1" applyFill="1" applyBorder="1" applyAlignment="1">
      <alignment horizontal="center" vertical="center"/>
    </xf>
    <xf numFmtId="0" fontId="67" fillId="30" borderId="111" xfId="0" applyFont="1" applyFill="1" applyBorder="1" applyAlignment="1">
      <alignment horizontal="center" vertical="center"/>
    </xf>
    <xf numFmtId="0" fontId="63" fillId="18" borderId="206" xfId="0" applyFont="1" applyFill="1" applyBorder="1" applyAlignment="1">
      <alignment horizontal="center"/>
    </xf>
    <xf numFmtId="0" fontId="63" fillId="18" borderId="56" xfId="0" applyFont="1" applyFill="1" applyBorder="1" applyAlignment="1">
      <alignment horizontal="center"/>
    </xf>
    <xf numFmtId="3" fontId="63" fillId="18" borderId="47" xfId="0" applyNumberFormat="1" applyFont="1" applyFill="1" applyBorder="1" applyAlignment="1">
      <alignment horizontal="center"/>
    </xf>
    <xf numFmtId="0" fontId="61" fillId="15" borderId="72" xfId="0" applyFont="1" applyFill="1" applyBorder="1" applyAlignment="1">
      <alignment horizontal="center"/>
    </xf>
    <xf numFmtId="0" fontId="61" fillId="15" borderId="96" xfId="0" applyFont="1" applyFill="1" applyBorder="1" applyAlignment="1">
      <alignment horizontal="center"/>
    </xf>
    <xf numFmtId="0" fontId="61" fillId="15" borderId="149" xfId="0" applyFont="1" applyFill="1" applyBorder="1" applyAlignment="1">
      <alignment horizontal="center"/>
    </xf>
    <xf numFmtId="0" fontId="61" fillId="15" borderId="113" xfId="0" applyFont="1" applyFill="1" applyBorder="1" applyAlignment="1">
      <alignment horizontal="center"/>
    </xf>
    <xf numFmtId="0" fontId="69" fillId="12" borderId="216" xfId="0" applyFont="1" applyFill="1" applyBorder="1" applyAlignment="1">
      <alignment horizontal="center"/>
    </xf>
    <xf numFmtId="0" fontId="63" fillId="34" borderId="8" xfId="0" applyFont="1" applyFill="1" applyBorder="1" applyAlignment="1">
      <alignment horizontal="center"/>
    </xf>
    <xf numFmtId="0" fontId="63" fillId="34" borderId="6" xfId="0" applyFont="1" applyFill="1" applyBorder="1" applyAlignment="1">
      <alignment horizontal="center"/>
    </xf>
    <xf numFmtId="3" fontId="63" fillId="13" borderId="201" xfId="0" applyNumberFormat="1" applyFont="1" applyFill="1" applyBorder="1" applyAlignment="1">
      <alignment horizontal="center" vertical="center" wrapText="1"/>
    </xf>
    <xf numFmtId="3" fontId="61" fillId="11" borderId="46" xfId="0" applyNumberFormat="1" applyFont="1" applyFill="1" applyBorder="1" applyAlignment="1">
      <alignment horizontal="center"/>
    </xf>
    <xf numFmtId="9" fontId="70" fillId="23" borderId="201" xfId="1" applyFont="1" applyFill="1" applyBorder="1"/>
    <xf numFmtId="0" fontId="63" fillId="18" borderId="68" xfId="0" applyFont="1" applyFill="1" applyBorder="1" applyAlignment="1">
      <alignment horizontal="center"/>
    </xf>
    <xf numFmtId="0" fontId="63" fillId="18" borderId="34" xfId="0" applyFont="1" applyFill="1" applyBorder="1" applyAlignment="1">
      <alignment horizontal="center"/>
    </xf>
    <xf numFmtId="0" fontId="63" fillId="18" borderId="49" xfId="0" applyFont="1" applyFill="1" applyBorder="1" applyAlignment="1">
      <alignment horizontal="center"/>
    </xf>
    <xf numFmtId="0" fontId="61" fillId="15" borderId="153" xfId="0" applyFont="1" applyFill="1" applyBorder="1" applyAlignment="1">
      <alignment horizontal="center"/>
    </xf>
    <xf numFmtId="0" fontId="61" fillId="15" borderId="19" xfId="0" applyFont="1" applyFill="1" applyBorder="1" applyAlignment="1">
      <alignment horizontal="center"/>
    </xf>
    <xf numFmtId="0" fontId="61" fillId="15" borderId="141" xfId="0" applyFont="1" applyFill="1" applyBorder="1" applyAlignment="1">
      <alignment horizontal="center"/>
    </xf>
    <xf numFmtId="0" fontId="61" fillId="15" borderId="54" xfId="0" applyFont="1" applyFill="1" applyBorder="1" applyAlignment="1">
      <alignment horizontal="center"/>
    </xf>
    <xf numFmtId="0" fontId="66" fillId="12" borderId="220" xfId="0" applyFont="1" applyFill="1" applyBorder="1" applyAlignment="1">
      <alignment horizontal="center"/>
    </xf>
    <xf numFmtId="0" fontId="66" fillId="12" borderId="215" xfId="0" applyFont="1" applyFill="1" applyBorder="1" applyAlignment="1">
      <alignment horizontal="center"/>
    </xf>
    <xf numFmtId="0" fontId="66" fillId="12" borderId="217" xfId="0" applyFont="1" applyFill="1" applyBorder="1" applyAlignment="1">
      <alignment horizontal="center"/>
    </xf>
    <xf numFmtId="3" fontId="63" fillId="13" borderId="37" xfId="0" applyNumberFormat="1" applyFont="1" applyFill="1" applyBorder="1" applyAlignment="1">
      <alignment horizontal="center" vertical="center" wrapText="1"/>
    </xf>
    <xf numFmtId="3" fontId="61" fillId="11" borderId="48" xfId="0" applyNumberFormat="1" applyFont="1" applyFill="1" applyBorder="1" applyAlignment="1">
      <alignment horizontal="center"/>
    </xf>
    <xf numFmtId="0" fontId="63" fillId="18" borderId="67" xfId="0" applyFont="1" applyFill="1" applyBorder="1" applyAlignment="1">
      <alignment horizontal="center"/>
    </xf>
    <xf numFmtId="0" fontId="63" fillId="18" borderId="57" xfId="0" applyFont="1" applyFill="1" applyBorder="1" applyAlignment="1">
      <alignment horizontal="center"/>
    </xf>
    <xf numFmtId="0" fontId="63" fillId="18" borderId="51" xfId="0" applyFont="1" applyFill="1" applyBorder="1" applyAlignment="1">
      <alignment horizontal="center"/>
    </xf>
    <xf numFmtId="0" fontId="66" fillId="12" borderId="221" xfId="0" applyFont="1" applyFill="1" applyBorder="1" applyAlignment="1">
      <alignment horizontal="center"/>
    </xf>
    <xf numFmtId="0" fontId="66" fillId="12" borderId="222" xfId="0" applyFont="1" applyFill="1" applyBorder="1" applyAlignment="1">
      <alignment horizontal="center"/>
    </xf>
    <xf numFmtId="0" fontId="66" fillId="12" borderId="224" xfId="0" applyFont="1" applyFill="1" applyBorder="1" applyAlignment="1">
      <alignment horizontal="center"/>
    </xf>
    <xf numFmtId="0" fontId="63" fillId="34" borderId="5" xfId="0" applyFont="1" applyFill="1" applyBorder="1" applyAlignment="1">
      <alignment horizontal="center"/>
    </xf>
    <xf numFmtId="3" fontId="63" fillId="13" borderId="42" xfId="0" applyNumberFormat="1" applyFont="1" applyFill="1" applyBorder="1" applyAlignment="1">
      <alignment horizontal="center" vertical="center" wrapText="1"/>
    </xf>
    <xf numFmtId="3" fontId="61" fillId="11" borderId="50" xfId="0" applyNumberFormat="1" applyFont="1" applyFill="1" applyBorder="1" applyAlignment="1">
      <alignment horizontal="center"/>
    </xf>
    <xf numFmtId="0" fontId="67" fillId="18" borderId="225" xfId="0" applyFont="1" applyFill="1" applyBorder="1" applyAlignment="1">
      <alignment horizontal="center"/>
    </xf>
    <xf numFmtId="0" fontId="62" fillId="15" borderId="226" xfId="0" applyFont="1" applyFill="1" applyBorder="1" applyAlignment="1">
      <alignment horizontal="center"/>
    </xf>
    <xf numFmtId="0" fontId="62" fillId="15" borderId="227" xfId="0" applyFont="1" applyFill="1" applyBorder="1" applyAlignment="1">
      <alignment horizontal="center"/>
    </xf>
    <xf numFmtId="0" fontId="62" fillId="15" borderId="228" xfId="0" applyFont="1" applyFill="1" applyBorder="1" applyAlignment="1">
      <alignment horizontal="center"/>
    </xf>
    <xf numFmtId="0" fontId="62" fillId="15" borderId="229" xfId="0" applyFont="1" applyFill="1" applyBorder="1" applyAlignment="1">
      <alignment horizontal="center"/>
    </xf>
    <xf numFmtId="0" fontId="66" fillId="12" borderId="218" xfId="0" applyFont="1" applyFill="1" applyBorder="1" applyAlignment="1">
      <alignment horizontal="center"/>
    </xf>
    <xf numFmtId="0" fontId="66" fillId="12" borderId="213" xfId="0" applyFont="1" applyFill="1" applyBorder="1" applyAlignment="1">
      <alignment horizontal="center"/>
    </xf>
    <xf numFmtId="0" fontId="66" fillId="12" borderId="212" xfId="0" applyFont="1" applyFill="1" applyBorder="1" applyAlignment="1">
      <alignment horizontal="center"/>
    </xf>
    <xf numFmtId="0" fontId="67" fillId="50" borderId="20" xfId="0" applyFont="1" applyFill="1" applyBorder="1" applyAlignment="1">
      <alignment horizontal="center"/>
    </xf>
    <xf numFmtId="0" fontId="68" fillId="13" borderId="41" xfId="0" applyFont="1" applyFill="1" applyBorder="1"/>
    <xf numFmtId="3" fontId="71" fillId="72" borderId="43" xfId="0" applyNumberFormat="1" applyFont="1" applyFill="1" applyBorder="1" applyAlignment="1">
      <alignment horizontal="right"/>
    </xf>
    <xf numFmtId="3" fontId="71" fillId="71" borderId="103" xfId="0" applyNumberFormat="1" applyFont="1" applyFill="1" applyBorder="1" applyAlignment="1">
      <alignment horizontal="right"/>
    </xf>
    <xf numFmtId="10" fontId="71" fillId="70" borderId="35" xfId="1" applyNumberFormat="1" applyFont="1" applyFill="1" applyBorder="1" applyAlignment="1">
      <alignment horizontal="right"/>
    </xf>
    <xf numFmtId="9" fontId="70" fillId="23" borderId="75" xfId="1" applyFont="1" applyFill="1" applyBorder="1"/>
    <xf numFmtId="0" fontId="67" fillId="0" borderId="0" xfId="0" applyFont="1" applyAlignment="1">
      <alignment horizontal="center"/>
    </xf>
    <xf numFmtId="0" fontId="67" fillId="50" borderId="43" xfId="0" applyFont="1" applyFill="1" applyBorder="1" applyAlignment="1">
      <alignment horizontal="center"/>
    </xf>
    <xf numFmtId="0" fontId="67" fillId="50" borderId="143" xfId="0" applyFont="1" applyFill="1" applyBorder="1" applyAlignment="1">
      <alignment horizontal="center"/>
    </xf>
    <xf numFmtId="0" fontId="67" fillId="50" borderId="90" xfId="0" applyFont="1" applyFill="1" applyBorder="1" applyAlignment="1">
      <alignment horizontal="center"/>
    </xf>
    <xf numFmtId="0" fontId="67" fillId="50" borderId="91" xfId="0" applyFont="1" applyFill="1" applyBorder="1" applyAlignment="1">
      <alignment horizontal="center"/>
    </xf>
    <xf numFmtId="0" fontId="67" fillId="30" borderId="109" xfId="0" applyFont="1" applyFill="1" applyBorder="1" applyAlignment="1">
      <alignment horizontal="center" vertical="center"/>
    </xf>
    <xf numFmtId="0" fontId="65" fillId="60" borderId="162" xfId="0" applyFont="1" applyFill="1" applyBorder="1" applyAlignment="1">
      <alignment horizontal="center" vertical="center" wrapText="1"/>
    </xf>
    <xf numFmtId="0" fontId="63" fillId="18" borderId="99" xfId="0" applyFont="1" applyFill="1" applyBorder="1" applyAlignment="1">
      <alignment horizontal="center"/>
    </xf>
    <xf numFmtId="0" fontId="63" fillId="18" borderId="194" xfId="0" applyFont="1" applyFill="1" applyBorder="1" applyAlignment="1">
      <alignment horizontal="center"/>
    </xf>
    <xf numFmtId="10" fontId="61" fillId="15" borderId="72" xfId="1" applyNumberFormat="1" applyFont="1" applyFill="1" applyBorder="1" applyAlignment="1">
      <alignment horizontal="center"/>
    </xf>
    <xf numFmtId="10" fontId="61" fillId="15" borderId="96" xfId="1" applyNumberFormat="1" applyFont="1" applyFill="1" applyBorder="1" applyAlignment="1">
      <alignment horizontal="center"/>
    </xf>
    <xf numFmtId="10" fontId="61" fillId="15" borderId="149" xfId="1" applyNumberFormat="1" applyFont="1" applyFill="1" applyBorder="1" applyAlignment="1">
      <alignment horizontal="center"/>
    </xf>
    <xf numFmtId="10" fontId="61" fillId="15" borderId="113" xfId="1" applyNumberFormat="1" applyFont="1" applyFill="1" applyBorder="1" applyAlignment="1">
      <alignment horizontal="center"/>
    </xf>
    <xf numFmtId="0" fontId="63" fillId="18" borderId="195" xfId="0" applyFont="1" applyFill="1" applyBorder="1" applyAlignment="1">
      <alignment horizontal="center"/>
    </xf>
    <xf numFmtId="0" fontId="63" fillId="18" borderId="6" xfId="0" applyFont="1" applyFill="1" applyBorder="1" applyAlignment="1">
      <alignment horizontal="center"/>
    </xf>
    <xf numFmtId="10" fontId="61" fillId="15" borderId="153" xfId="1" applyNumberFormat="1" applyFont="1" applyFill="1" applyBorder="1" applyAlignment="1">
      <alignment horizontal="center"/>
    </xf>
    <xf numFmtId="10" fontId="61" fillId="15" borderId="19" xfId="1" applyNumberFormat="1" applyFont="1" applyFill="1" applyBorder="1" applyAlignment="1">
      <alignment horizontal="center"/>
    </xf>
    <xf numFmtId="10" fontId="61" fillId="15" borderId="141" xfId="1" applyNumberFormat="1" applyFont="1" applyFill="1" applyBorder="1" applyAlignment="1">
      <alignment horizontal="center"/>
    </xf>
    <xf numFmtId="10" fontId="61" fillId="15" borderId="54" xfId="1" applyNumberFormat="1" applyFont="1" applyFill="1" applyBorder="1" applyAlignment="1">
      <alignment horizontal="center"/>
    </xf>
    <xf numFmtId="0" fontId="63" fillId="18" borderId="196" xfId="0" applyFont="1" applyFill="1" applyBorder="1" applyAlignment="1">
      <alignment horizontal="center"/>
    </xf>
    <xf numFmtId="0" fontId="63" fillId="18" borderId="79" xfId="0" applyFont="1" applyFill="1" applyBorder="1" applyAlignment="1">
      <alignment horizontal="center"/>
    </xf>
    <xf numFmtId="10" fontId="61" fillId="15" borderId="197" xfId="1" applyNumberFormat="1" applyFont="1" applyFill="1" applyBorder="1" applyAlignment="1">
      <alignment horizontal="center"/>
    </xf>
    <xf numFmtId="10" fontId="61" fillId="15" borderId="133" xfId="1" applyNumberFormat="1" applyFont="1" applyFill="1" applyBorder="1" applyAlignment="1">
      <alignment horizontal="center"/>
    </xf>
    <xf numFmtId="10" fontId="61" fillId="15" borderId="59" xfId="1" applyNumberFormat="1" applyFont="1" applyFill="1" applyBorder="1" applyAlignment="1">
      <alignment horizontal="center"/>
    </xf>
    <xf numFmtId="10" fontId="61" fillId="15" borderId="51" xfId="1" applyNumberFormat="1" applyFont="1" applyFill="1" applyBorder="1" applyAlignment="1">
      <alignment horizontal="center"/>
    </xf>
    <xf numFmtId="0" fontId="67" fillId="18" borderId="109" xfId="0" applyFont="1" applyFill="1" applyBorder="1" applyAlignment="1">
      <alignment horizontal="center"/>
    </xf>
    <xf numFmtId="10" fontId="62" fillId="15" borderId="197" xfId="1" applyNumberFormat="1" applyFont="1" applyFill="1" applyBorder="1" applyAlignment="1">
      <alignment horizontal="center"/>
    </xf>
    <xf numFmtId="10" fontId="62" fillId="15" borderId="133" xfId="1" applyNumberFormat="1" applyFont="1" applyFill="1" applyBorder="1" applyAlignment="1">
      <alignment horizontal="center"/>
    </xf>
    <xf numFmtId="10" fontId="62" fillId="15" borderId="59" xfId="1" applyNumberFormat="1" applyFont="1" applyFill="1" applyBorder="1" applyAlignment="1">
      <alignment horizontal="center"/>
    </xf>
    <xf numFmtId="10" fontId="62" fillId="15" borderId="51" xfId="1" applyNumberFormat="1" applyFont="1" applyFill="1" applyBorder="1" applyAlignment="1">
      <alignment horizontal="center"/>
    </xf>
    <xf numFmtId="0" fontId="67" fillId="0" borderId="0" xfId="0" applyFont="1"/>
    <xf numFmtId="166" fontId="61" fillId="11" borderId="47" xfId="1" applyNumberFormat="1" applyFont="1" applyFill="1" applyBorder="1" applyAlignment="1">
      <alignment horizontal="center"/>
    </xf>
    <xf numFmtId="166" fontId="61" fillId="11" borderId="49" xfId="1" applyNumberFormat="1" applyFont="1" applyFill="1" applyBorder="1" applyAlignment="1">
      <alignment horizontal="center"/>
    </xf>
    <xf numFmtId="166" fontId="61" fillId="11" borderId="51" xfId="1" applyNumberFormat="1" applyFont="1" applyFill="1" applyBorder="1" applyAlignment="1">
      <alignment horizontal="center"/>
    </xf>
    <xf numFmtId="3" fontId="69" fillId="12" borderId="219" xfId="0" applyNumberFormat="1" applyFont="1" applyFill="1" applyBorder="1" applyAlignment="1">
      <alignment horizontal="center"/>
    </xf>
    <xf numFmtId="3" fontId="69" fillId="12" borderId="214" xfId="0" applyNumberFormat="1" applyFont="1" applyFill="1" applyBorder="1" applyAlignment="1">
      <alignment horizontal="center"/>
    </xf>
    <xf numFmtId="0" fontId="7" fillId="4" borderId="233" xfId="0" applyFont="1" applyFill="1" applyBorder="1" applyAlignment="1">
      <alignment horizontal="center"/>
    </xf>
    <xf numFmtId="0" fontId="6" fillId="15" borderId="47" xfId="0" applyFont="1" applyFill="1" applyBorder="1" applyAlignment="1">
      <alignment horizontal="center"/>
    </xf>
    <xf numFmtId="0" fontId="8" fillId="50" borderId="68" xfId="0" applyFont="1" applyFill="1" applyBorder="1" applyAlignment="1">
      <alignment horizontal="center"/>
    </xf>
    <xf numFmtId="0" fontId="2" fillId="13" borderId="73" xfId="0" applyFont="1" applyFill="1" applyBorder="1"/>
    <xf numFmtId="10" fontId="8" fillId="50" borderId="67" xfId="0" applyNumberFormat="1" applyFont="1" applyFill="1" applyBorder="1" applyAlignment="1">
      <alignment horizontal="center"/>
    </xf>
    <xf numFmtId="0" fontId="2" fillId="13" borderId="75" xfId="0" applyFont="1" applyFill="1" applyBorder="1"/>
    <xf numFmtId="0" fontId="1" fillId="30" borderId="1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30" fillId="33" borderId="103" xfId="0" applyFont="1" applyFill="1" applyBorder="1" applyAlignment="1" applyProtection="1">
      <alignment horizontal="center"/>
      <protection hidden="1"/>
    </xf>
    <xf numFmtId="0" fontId="30" fillId="33" borderId="111" xfId="0" applyFont="1" applyFill="1" applyBorder="1" applyAlignment="1" applyProtection="1">
      <alignment horizontal="center"/>
      <protection hidden="1"/>
    </xf>
    <xf numFmtId="0" fontId="32" fillId="33" borderId="103" xfId="0" applyFont="1" applyFill="1" applyBorder="1" applyAlignment="1">
      <alignment horizontal="center"/>
    </xf>
    <xf numFmtId="0" fontId="32" fillId="33" borderId="111" xfId="0" applyFont="1" applyFill="1" applyBorder="1" applyAlignment="1">
      <alignment horizontal="center"/>
    </xf>
    <xf numFmtId="0" fontId="32" fillId="33" borderId="45" xfId="0" applyFont="1" applyFill="1" applyBorder="1" applyAlignment="1">
      <alignment horizontal="center"/>
    </xf>
    <xf numFmtId="0" fontId="18" fillId="29" borderId="22" xfId="0" applyFont="1" applyFill="1" applyBorder="1" applyAlignment="1">
      <alignment horizontal="center" vertical="center"/>
    </xf>
    <xf numFmtId="0" fontId="2" fillId="13" borderId="23" xfId="0" applyFont="1" applyFill="1" applyBorder="1"/>
    <xf numFmtId="0" fontId="18" fillId="29" borderId="24" xfId="0" applyFont="1" applyFill="1" applyBorder="1" applyAlignment="1">
      <alignment horizontal="center" vertical="center"/>
    </xf>
    <xf numFmtId="0" fontId="2" fillId="13" borderId="110" xfId="0" applyFont="1" applyFill="1" applyBorder="1"/>
    <xf numFmtId="0" fontId="1" fillId="30" borderId="20" xfId="0" applyFont="1" applyFill="1" applyBorder="1" applyAlignment="1">
      <alignment horizontal="center" vertical="center"/>
    </xf>
    <xf numFmtId="0" fontId="2" fillId="13" borderId="21" xfId="0" applyFont="1" applyFill="1" applyBorder="1"/>
    <xf numFmtId="0" fontId="38" fillId="13" borderId="103" xfId="0" applyFont="1" applyFill="1" applyBorder="1" applyAlignment="1">
      <alignment horizontal="center" vertical="center"/>
    </xf>
    <xf numFmtId="0" fontId="38" fillId="13" borderId="45" xfId="0" applyFont="1" applyFill="1" applyBorder="1" applyAlignment="1">
      <alignment horizontal="center" vertical="center"/>
    </xf>
    <xf numFmtId="0" fontId="41" fillId="13" borderId="103" xfId="0" applyFont="1" applyFill="1" applyBorder="1" applyAlignment="1">
      <alignment horizontal="center" vertical="center"/>
    </xf>
    <xf numFmtId="0" fontId="41" fillId="13" borderId="11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3" borderId="2" xfId="0" applyFont="1" applyFill="1" applyBorder="1"/>
    <xf numFmtId="0" fontId="1" fillId="30" borderId="103" xfId="0" applyFont="1" applyFill="1" applyBorder="1" applyAlignment="1">
      <alignment horizontal="center" vertical="center"/>
    </xf>
    <xf numFmtId="0" fontId="2" fillId="13" borderId="45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67" fillId="18" borderId="103" xfId="0" applyFont="1" applyFill="1" applyBorder="1" applyAlignment="1">
      <alignment horizontal="center"/>
    </xf>
    <xf numFmtId="0" fontId="67" fillId="18" borderId="111" xfId="0" applyFont="1" applyFill="1" applyBorder="1" applyAlignment="1">
      <alignment horizontal="center"/>
    </xf>
    <xf numFmtId="166" fontId="72" fillId="0" borderId="226" xfId="1" applyNumberFormat="1" applyFont="1" applyBorder="1" applyAlignment="1">
      <alignment horizontal="center" vertical="center"/>
    </xf>
    <xf numFmtId="166" fontId="72" fillId="0" borderId="230" xfId="1" applyNumberFormat="1" applyFont="1" applyBorder="1" applyAlignment="1">
      <alignment horizontal="center" vertical="center"/>
    </xf>
    <xf numFmtId="166" fontId="72" fillId="0" borderId="231" xfId="1" applyNumberFormat="1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232" xfId="0" applyFont="1" applyBorder="1" applyAlignment="1">
      <alignment horizontal="center" vertical="center"/>
    </xf>
    <xf numFmtId="0" fontId="67" fillId="30" borderId="103" xfId="0" applyFont="1" applyFill="1" applyBorder="1" applyAlignment="1">
      <alignment horizontal="center" vertical="center"/>
    </xf>
    <xf numFmtId="0" fontId="68" fillId="13" borderId="202" xfId="0" applyFont="1" applyFill="1" applyBorder="1"/>
    <xf numFmtId="0" fontId="65" fillId="50" borderId="103" xfId="0" applyFont="1" applyFill="1" applyBorder="1" applyAlignment="1">
      <alignment horizontal="center" vertical="center"/>
    </xf>
    <xf numFmtId="0" fontId="65" fillId="50" borderId="111" xfId="0" applyFont="1" applyFill="1" applyBorder="1" applyAlignment="1">
      <alignment horizontal="center" vertical="center"/>
    </xf>
    <xf numFmtId="0" fontId="65" fillId="50" borderId="45" xfId="0" applyFont="1" applyFill="1" applyBorder="1" applyAlignment="1">
      <alignment horizontal="center" vertical="center"/>
    </xf>
    <xf numFmtId="0" fontId="63" fillId="30" borderId="1" xfId="0" applyFont="1" applyFill="1" applyBorder="1" applyAlignment="1">
      <alignment horizontal="center" vertical="center"/>
    </xf>
    <xf numFmtId="0" fontId="63" fillId="30" borderId="2" xfId="0" applyFont="1" applyFill="1" applyBorder="1" applyAlignment="1">
      <alignment horizontal="center" vertical="center"/>
    </xf>
    <xf numFmtId="0" fontId="67" fillId="18" borderId="67" xfId="0" applyFont="1" applyFill="1" applyBorder="1" applyAlignment="1">
      <alignment horizontal="center"/>
    </xf>
    <xf numFmtId="0" fontId="67" fillId="18" borderId="79" xfId="0" applyFont="1" applyFill="1" applyBorder="1" applyAlignment="1">
      <alignment horizontal="center"/>
    </xf>
    <xf numFmtId="0" fontId="67" fillId="30" borderId="199" xfId="0" applyFont="1" applyFill="1" applyBorder="1" applyAlignment="1">
      <alignment horizontal="center" vertical="center"/>
    </xf>
    <xf numFmtId="0" fontId="67" fillId="30" borderId="207" xfId="0" applyFont="1" applyFill="1" applyBorder="1" applyAlignment="1">
      <alignment horizontal="center" vertical="center"/>
    </xf>
    <xf numFmtId="0" fontId="48" fillId="11" borderId="103" xfId="0" applyFont="1" applyFill="1" applyBorder="1" applyAlignment="1">
      <alignment horizontal="center" vertical="center"/>
    </xf>
    <xf numFmtId="0" fontId="48" fillId="11" borderId="111" xfId="0" applyFont="1" applyFill="1" applyBorder="1" applyAlignment="1">
      <alignment horizontal="center" vertical="center"/>
    </xf>
    <xf numFmtId="0" fontId="48" fillId="11" borderId="45" xfId="0" applyFont="1" applyFill="1" applyBorder="1" applyAlignment="1">
      <alignment horizontal="center" vertical="center"/>
    </xf>
    <xf numFmtId="0" fontId="38" fillId="11" borderId="103" xfId="0" applyFont="1" applyFill="1" applyBorder="1" applyAlignment="1">
      <alignment horizontal="center" vertical="center"/>
    </xf>
    <xf numFmtId="0" fontId="38" fillId="11" borderId="111" xfId="0" applyFont="1" applyFill="1" applyBorder="1" applyAlignment="1">
      <alignment horizontal="center" vertical="center"/>
    </xf>
    <xf numFmtId="0" fontId="38" fillId="11" borderId="45" xfId="0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0" fontId="52" fillId="52" borderId="0" xfId="0" applyFont="1" applyFill="1" applyAlignment="1">
      <alignment horizontal="center" vertical="center" wrapText="1"/>
    </xf>
    <xf numFmtId="0" fontId="52" fillId="55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422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E1C1D1"/>
      <color rgb="FFFFFFFF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8CB5F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527-41BE-A6F5-3ADC9F067884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527-41BE-A6F5-3ADC9F067884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27-41BE-A6F5-3ADC9F067884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27-41BE-A6F5-3ADC9F067884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27-41BE-A6F5-3ADC9F067884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27-41BE-A6F5-3ADC9F067884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27-41BE-A6F5-3ADC9F067884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27-41BE-A6F5-3ADC9F067884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7-41BE-A6F5-3ADC9F067884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7-41BE-A6F5-3ADC9F067884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7-41BE-A6F5-3ADC9F067884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7-41BE-A6F5-3ADC9F067884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7-41BE-A6F5-3ADC9F06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Total des 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8CB5F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3989080979742214"/>
          <c:h val="0.80777299530896007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3-453C-8FEA-EA6F406B7B39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3-453C-8FEA-EA6F406B7B39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3-453C-8FEA-EA6F406B7B39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3-453C-8FEA-EA6F406B7B39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53-453C-8FEA-EA6F406B7B39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53-453C-8FEA-EA6F406B7B39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53-453C-8FEA-EA6F406B7B39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53-453C-8FEA-EA6F406B7B39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53-453C-8FEA-EA6F406B7B39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53-453C-8FEA-EA6F406B7B39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53-453C-8FEA-EA6F406B7B39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25-4F08-860E-0636CCD4E2E6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25-4F08-860E-0636CCD4E2E6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25-4F08-860E-0636CCD4E2E6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25-4F08-860E-0636CCD4E2E6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25-4F08-860E-0636CCD4E2E6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A25-4F08-860E-0636CCD4E2E6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A25-4F08-860E-0636CCD4E2E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A25-4F08-860E-0636CCD4E2E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A25-4F08-860E-0636CCD4E2E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A25-4F08-860E-0636CCD4E2E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A25-4F08-860E-0636CCD4E2E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A25-4F08-860E-0636CCD4E2E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A25-4F08-860E-0636CCD4E2E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A25-4F08-860E-0636CCD4E2E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A25-4F08-860E-0636CCD4E2E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A25-4F08-860E-0636CCD4E2E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A25-4F08-860E-0636CCD4E2E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A25-4F08-860E-0636CCD4E2E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A25-4F08-860E-0636CCD4E2E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A25-4F08-860E-0636CCD4E2E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A25-4F08-860E-0636CCD4E2E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A25-4F08-860E-0636CCD4E2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A25-4F08-860E-0636CCD4E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ED7-422A-AE64-8FD6159743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ED7-422A-AE64-8FD6159743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ED7-422A-AE64-8FD6159743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ED7-422A-AE64-8FD6159743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ED7-422A-AE64-8FD6159743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ED7-422A-AE64-8FD6159743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ED7-422A-AE64-8FD6159743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ED7-422A-AE64-8FD6159743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D7-422A-AE64-8FD6159743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ED7-422A-AE64-8FD6159743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ED7-422A-AE64-8FD6159743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ED7-422A-AE64-8FD6159743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ED7-422A-AE64-8FD6159743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D7-422A-AE64-8FD615974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B16-471B-9E01-D822591C523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B16-471B-9E01-D822591C523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B16-471B-9E01-D822591C523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B16-471B-9E01-D822591C523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B16-471B-9E01-D822591C523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B16-471B-9E01-D822591C523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B16-471B-9E01-D822591C523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B16-471B-9E01-D822591C523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B16-471B-9E01-D822591C523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B16-471B-9E01-D822591C523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16-471B-9E01-D822591C523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B16-471B-9E01-D822591C523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B16-471B-9E01-D822591C523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B16-471B-9E01-D822591C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D4B-4232-9539-3EE51852B37C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4B-4232-9539-3EE51852B37C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4B-4232-9539-3EE51852B37C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4B-4232-9539-3EE51852B37C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4B-4232-9539-3EE51852B37C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4B-4232-9539-3EE51852B37C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4B-4232-9539-3EE51852B37C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4B-4232-9539-3EE51852B37C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4B-4232-9539-3EE51852B37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4B-4232-9539-3EE51852B37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4B-4232-9539-3EE51852B37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4B-4232-9539-3EE51852B37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D4B-4232-9539-3EE51852B37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D4B-4232-9539-3EE51852B37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D4B-4232-9539-3EE51852B37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D4B-4232-9539-3EE51852B37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D4B-4232-9539-3EE51852B37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D4B-4232-9539-3EE51852B37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D4B-4232-9539-3EE51852B37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D4B-4232-9539-3EE51852B37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D4B-4232-9539-3EE51852B37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D4B-4232-9539-3EE51852B3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D4B-4232-9539-3EE51852B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8C6-4521-85B0-09D77895DB4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C6-4521-85B0-09D77895DB4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8C6-4521-85B0-09D77895DB4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8C6-4521-85B0-09D77895DB4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8C6-4521-85B0-09D77895DB4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8C6-4521-85B0-09D77895DB4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8C6-4521-85B0-09D77895DB4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8C6-4521-85B0-09D77895DB4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C6-4521-85B0-09D77895DB4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8C6-4521-85B0-09D77895DB4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8C6-4521-85B0-09D77895DB4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8C6-4521-85B0-09D77895DB4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8C6-4521-85B0-09D77895DB4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8C6-4521-85B0-09D77895D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761-4634-A744-A93633C3A08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761-4634-A744-A93633C3A08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761-4634-A744-A93633C3A08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761-4634-A744-A93633C3A08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761-4634-A744-A93633C3A08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761-4634-A744-A93633C3A08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761-4634-A744-A93633C3A08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761-4634-A744-A93633C3A08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761-4634-A744-A93633C3A08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761-4634-A744-A93633C3A08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761-4634-A744-A93633C3A08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761-4634-A744-A93633C3A08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761-4634-A744-A93633C3A08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61-4634-A744-A93633C3A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AD-4D20-9095-792BD08267C9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AD-4D20-9095-792BD08267C9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AD-4D20-9095-792BD08267C9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AD-4D20-9095-792BD08267C9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AD-4D20-9095-792BD08267C9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AD-4D20-9095-792BD08267C9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CAD-4D20-9095-792BD08267C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CAD-4D20-9095-792BD08267C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CAD-4D20-9095-792BD08267C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CAD-4D20-9095-792BD08267C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CAD-4D20-9095-792BD08267C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CAD-4D20-9095-792BD08267C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CAD-4D20-9095-792BD08267C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CAD-4D20-9095-792BD08267C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CAD-4D20-9095-792BD08267C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CAD-4D20-9095-792BD08267C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CAD-4D20-9095-792BD08267C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CAD-4D20-9095-792BD08267C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CAD-4D20-9095-792BD08267C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CAD-4D20-9095-792BD08267C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CAD-4D20-9095-792BD08267C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CAD-4D20-9095-792BD08267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3'!$E$14:$M$14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CAD-4D20-9095-792BD082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C7D-4D9C-8094-18662B3A55B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C7D-4D9C-8094-18662B3A55B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C7D-4D9C-8094-18662B3A55B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C7D-4D9C-8094-18662B3A55B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C7D-4D9C-8094-18662B3A55B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C7D-4D9C-8094-18662B3A55B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C7D-4D9C-8094-18662B3A55B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C7D-4D9C-8094-18662B3A55B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C7D-4D9C-8094-18662B3A55B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C7D-4D9C-8094-18662B3A55B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C7D-4D9C-8094-18662B3A55B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C7D-4D9C-8094-18662B3A55B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C7D-4D9C-8094-18662B3A55B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C7D-4D9C-8094-18662B3A5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3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582-4FC3-97B9-1DC0DEB3D31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82-4FC3-97B9-1DC0DEB3D31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82-4FC3-97B9-1DC0DEB3D31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82-4FC3-97B9-1DC0DEB3D31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582-4FC3-97B9-1DC0DEB3D31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82-4FC3-97B9-1DC0DEB3D31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82-4FC3-97B9-1DC0DEB3D31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582-4FC3-97B9-1DC0DEB3D31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582-4FC3-97B9-1DC0DEB3D31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582-4FC3-97B9-1DC0DEB3D31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582-4FC3-97B9-1DC0DEB3D31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582-4FC3-97B9-1DC0DEB3D31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582-4FC3-97B9-1DC0DEB3D31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82-4FC3-97B9-1DC0DEB3D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A1-44A5-BD4B-FA8E8362B3CE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A1-44A5-BD4B-FA8E8362B3CE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A1-44A5-BD4B-FA8E8362B3CE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FA1-44A5-BD4B-FA8E8362B3CE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FA1-44A5-BD4B-FA8E8362B3CE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FA1-44A5-BD4B-FA8E8362B3CE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FA1-44A5-BD4B-FA8E8362B3CE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FA1-44A5-BD4B-FA8E8362B3CE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FA1-44A5-BD4B-FA8E8362B3CE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FA1-44A5-BD4B-FA8E8362B3CE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FA1-44A5-BD4B-FA8E8362B3CE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FA1-44A5-BD4B-FA8E8362B3CE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FA1-44A5-BD4B-FA8E8362B3CE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FA1-44A5-BD4B-FA8E8362B3CE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FA1-44A5-BD4B-FA8E8362B3CE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FA1-44A5-BD4B-FA8E8362B3CE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FA1-44A5-BD4B-FA8E8362B3CE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FA1-44A5-BD4B-FA8E8362B3CE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FA1-44A5-BD4B-FA8E8362B3CE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FA1-44A5-BD4B-FA8E8362B3CE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FA1-44A5-BD4B-FA8E8362B3CE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FA1-44A5-BD4B-FA8E8362B3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4'!$E$14:$M$14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FA1-44A5-BD4B-FA8E8362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212-437B-B23A-3FA4441BA25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212-437B-B23A-3FA4441BA25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212-437B-B23A-3FA4441BA25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212-437B-B23A-3FA4441BA25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212-437B-B23A-3FA4441BA25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212-437B-B23A-3FA4441BA25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212-437B-B23A-3FA4441BA25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212-437B-B23A-3FA4441BA25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212-437B-B23A-3FA4441BA25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212-437B-B23A-3FA4441BA25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212-437B-B23A-3FA4441BA25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212-437B-B23A-3FA4441BA25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212-437B-B23A-3FA4441BA25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12-437B-B23A-3FA4441BA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4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87F-4A97-8B32-3569A029335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87F-4A97-8B32-3569A029335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87F-4A97-8B32-3569A029335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87F-4A97-8B32-3569A029335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87F-4A97-8B32-3569A029335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87F-4A97-8B32-3569A029335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87F-4A97-8B32-3569A029335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87F-4A97-8B32-3569A029335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87F-4A97-8B32-3569A029335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87F-4A97-8B32-3569A029335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87F-4A97-8B32-3569A029335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87F-4A97-8B32-3569A029335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87F-4A97-8B32-3569A029335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7F-4A97-8B32-3569A0293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95-4F8E-BBD7-EAA5189B07CE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95-4F8E-BBD7-EAA5189B07CE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95-4F8E-BBD7-EAA5189B07CE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95-4F8E-BBD7-EAA5189B07CE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95-4F8E-BBD7-EAA5189B07CE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AE95-4F8E-BBD7-EAA5189B07CE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AE95-4F8E-BBD7-EAA5189B07CE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AE95-4F8E-BBD7-EAA5189B07CE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AE95-4F8E-BBD7-EAA5189B07CE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AE95-4F8E-BBD7-EAA5189B07CE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AE95-4F8E-BBD7-EAA5189B07CE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AE95-4F8E-BBD7-EAA5189B07CE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E95-4F8E-BBD7-EAA5189B07CE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AE95-4F8E-BBD7-EAA5189B07CE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AE95-4F8E-BBD7-EAA5189B07CE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AE95-4F8E-BBD7-EAA5189B07CE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E95-4F8E-BBD7-EAA5189B07CE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AE95-4F8E-BBD7-EAA5189B07CE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AE95-4F8E-BBD7-EAA5189B07CE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AE95-4F8E-BBD7-EAA5189B07CE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AE95-4F8E-BBD7-EAA5189B07CE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AE95-4F8E-BBD7-EAA5189B07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5'!$E$14:$M$14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95-4F8E-BBD7-EAA5189B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A2A-4E2B-8539-E38A771D422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A2A-4E2B-8539-E38A771D422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A2A-4E2B-8539-E38A771D422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A2A-4E2B-8539-E38A771D422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A2A-4E2B-8539-E38A771D422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A2A-4E2B-8539-E38A771D422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A2A-4E2B-8539-E38A771D422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A2A-4E2B-8539-E38A771D422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A2A-4E2B-8539-E38A771D422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A2A-4E2B-8539-E38A771D422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A2A-4E2B-8539-E38A771D422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A2A-4E2B-8539-E38A771D422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A2A-4E2B-8539-E38A771D422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2A-4E2B-8539-E38A771D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5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482-454F-AE75-75EF896173F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482-454F-AE75-75EF896173F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482-454F-AE75-75EF896173F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82-454F-AE75-75EF896173F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482-454F-AE75-75EF896173F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82-454F-AE75-75EF896173F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482-454F-AE75-75EF896173F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82-454F-AE75-75EF896173F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482-454F-AE75-75EF896173F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482-454F-AE75-75EF896173F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482-454F-AE75-75EF896173F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482-454F-AE75-75EF896173F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482-454F-AE75-75EF896173F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82-454F-AE75-75EF89617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90-4261-8F93-E8473570F6C6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90-4261-8F93-E8473570F6C6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90-4261-8F93-E8473570F6C6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90-4261-8F93-E8473570F6C6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790-4261-8F93-E8473570F6C6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790-4261-8F93-E8473570F6C6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790-4261-8F93-E8473570F6C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790-4261-8F93-E8473570F6C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90-4261-8F93-E8473570F6C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90-4261-8F93-E8473570F6C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90-4261-8F93-E8473570F6C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790-4261-8F93-E8473570F6C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790-4261-8F93-E8473570F6C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790-4261-8F93-E8473570F6C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790-4261-8F93-E8473570F6C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790-4261-8F93-E8473570F6C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790-4261-8F93-E8473570F6C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790-4261-8F93-E8473570F6C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790-4261-8F93-E8473570F6C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790-4261-8F93-E8473570F6C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790-4261-8F93-E8473570F6C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790-4261-8F93-E8473570F6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6'!$E$14:$M$14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790-4261-8F93-E8473570F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DDB-4A99-9605-EFDD4407800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DDB-4A99-9605-EFDD4407800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DDB-4A99-9605-EFDD4407800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DDB-4A99-9605-EFDD4407800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DDB-4A99-9605-EFDD4407800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DDB-4A99-9605-EFDD4407800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DDB-4A99-9605-EFDD4407800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DDB-4A99-9605-EFDD4407800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DDB-4A99-9605-EFDD4407800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DDB-4A99-9605-EFDD4407800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DDB-4A99-9605-EFDD4407800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DDB-4A99-9605-EFDD4407800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DDB-4A99-9605-EFDD4407800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DDB-4A99-9605-EFDD44078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6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3F5-4807-A0D2-A266AB33C96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3F5-4807-A0D2-A266AB33C96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3F5-4807-A0D2-A266AB33C96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3F5-4807-A0D2-A266AB33C96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3F5-4807-A0D2-A266AB33C96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3F5-4807-A0D2-A266AB33C96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3F5-4807-A0D2-A266AB33C96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3F5-4807-A0D2-A266AB33C96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3F5-4807-A0D2-A266AB33C96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3F5-4807-A0D2-A266AB33C96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3F5-4807-A0D2-A266AB33C96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3F5-4807-A0D2-A266AB33C96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3F5-4807-A0D2-A266AB33C96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F5-4807-A0D2-A266AB33C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D5-4753-A4CB-2C55A8FFAE0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5D5-4753-A4CB-2C55A8FFAE0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D5-4753-A4CB-2C55A8FFAE05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D5-4753-A4CB-2C55A8FFAE05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5D5-4753-A4CB-2C55A8FFAE0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5D5-4753-A4CB-2C55A8FFAE05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5D5-4753-A4CB-2C55A8FFAE0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5D5-4753-A4CB-2C55A8FFAE0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5D5-4753-A4CB-2C55A8FFAE0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5D5-4753-A4CB-2C55A8FFAE0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5D5-4753-A4CB-2C55A8FFAE0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5D5-4753-A4CB-2C55A8FFAE0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5D5-4753-A4CB-2C55A8FFAE0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5D5-4753-A4CB-2C55A8FFAE0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5D5-4753-A4CB-2C55A8FFAE0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5D5-4753-A4CB-2C55A8FFAE0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5D5-4753-A4CB-2C55A8FFAE0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5D5-4753-A4CB-2C55A8FFAE0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5D5-4753-A4CB-2C55A8FFAE0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5D5-4753-A4CB-2C55A8FFAE0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5D5-4753-A4CB-2C55A8FFAE0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5D5-4753-A4CB-2C55A8FFAE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7'!$E$14:$M$14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5D5-4753-A4CB-2C55A8FFA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D8D-47C8-A0DF-77DF3DD6A8A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D8D-47C8-A0DF-77DF3DD6A8A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D8D-47C8-A0DF-77DF3DD6A8A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D8D-47C8-A0DF-77DF3DD6A8A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D8D-47C8-A0DF-77DF3DD6A8A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D8D-47C8-A0DF-77DF3DD6A8A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D8D-47C8-A0DF-77DF3DD6A8A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D8D-47C8-A0DF-77DF3DD6A8A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D8D-47C8-A0DF-77DF3DD6A8A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D8D-47C8-A0DF-77DF3DD6A8A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D8D-47C8-A0DF-77DF3DD6A8A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D8D-47C8-A0DF-77DF3DD6A8A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D8D-47C8-A0DF-77DF3DD6A8A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8D-47C8-A0DF-77DF3DD6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7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F72-495E-97DC-ECAEB67CB72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F72-495E-97DC-ECAEB67CB72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F72-495E-97DC-ECAEB67CB72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F72-495E-97DC-ECAEB67CB72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F72-495E-97DC-ECAEB67CB72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F72-495E-97DC-ECAEB67CB72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F72-495E-97DC-ECAEB67CB72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72-495E-97DC-ECAEB67CB72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F72-495E-97DC-ECAEB67CB72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F72-495E-97DC-ECAEB67CB72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F72-495E-97DC-ECAEB67CB72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F72-495E-97DC-ECAEB67CB72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F72-495E-97DC-ECAEB67CB72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72-495E-97DC-ECAEB67CB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22-415D-829D-53735F6CDABB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22-415D-829D-53735F6CDABB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22-415D-829D-53735F6CDABB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22-415D-829D-53735F6CDABB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22-415D-829D-53735F6CDABB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022-415D-829D-53735F6CDABB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022-415D-829D-53735F6CDABB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022-415D-829D-53735F6CDABB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022-415D-829D-53735F6CDABB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022-415D-829D-53735F6CDABB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022-415D-829D-53735F6CDABB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022-415D-829D-53735F6CDABB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022-415D-829D-53735F6CDABB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022-415D-829D-53735F6CDABB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022-415D-829D-53735F6CDABB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022-415D-829D-53735F6CDABB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022-415D-829D-53735F6CDABB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022-415D-829D-53735F6CDABB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022-415D-829D-53735F6CDABB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022-415D-829D-53735F6CDABB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D022-415D-829D-53735F6CDABB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D022-415D-829D-53735F6CDA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8'!$E$14:$M$14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022-415D-829D-53735F6CD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0F9-46E9-92E6-0CF21A684CC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0F9-46E9-92E6-0CF21A684CC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0F9-46E9-92E6-0CF21A684CC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0F9-46E9-92E6-0CF21A684CC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0F9-46E9-92E6-0CF21A684CC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0F9-46E9-92E6-0CF21A684CC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F9-46E9-92E6-0CF21A684CC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0F9-46E9-92E6-0CF21A684CC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F9-46E9-92E6-0CF21A684CC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0F9-46E9-92E6-0CF21A684CC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F9-46E9-92E6-0CF21A684CC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0F9-46E9-92E6-0CF21A684CC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0F9-46E9-92E6-0CF21A684CC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0F9-46E9-92E6-0CF21A684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8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A7A-43A6-B29F-68EF95C8904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A7A-43A6-B29F-68EF95C8904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A7A-43A6-B29F-68EF95C8904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7A-43A6-B29F-68EF95C8904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A7A-43A6-B29F-68EF95C8904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A7A-43A6-B29F-68EF95C8904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A7A-43A6-B29F-68EF95C8904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A7A-43A6-B29F-68EF95C8904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A7A-43A6-B29F-68EF95C8904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A7A-43A6-B29F-68EF95C8904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A7A-43A6-B29F-68EF95C8904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A7A-43A6-B29F-68EF95C8904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A7A-43A6-B29F-68EF95C8904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7A-43A6-B29F-68EF95C8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7D-4EA3-9EF2-B6A8DBB060A8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7D-4EA3-9EF2-B6A8DBB060A8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7D-4EA3-9EF2-B6A8DBB060A8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7D-4EA3-9EF2-B6A8DBB060A8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7D-4EA3-9EF2-B6A8DBB060A8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7D-4EA3-9EF2-B6A8DBB060A8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7D-4EA3-9EF2-B6A8DBB060A8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7D-4EA3-9EF2-B6A8DBB060A8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17D-4EA3-9EF2-B6A8DBB060A8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7D-4EA3-9EF2-B6A8DBB060A8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17D-4EA3-9EF2-B6A8DBB060A8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17D-4EA3-9EF2-B6A8DBB060A8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17D-4EA3-9EF2-B6A8DBB060A8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17D-4EA3-9EF2-B6A8DBB060A8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17D-4EA3-9EF2-B6A8DBB060A8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17D-4EA3-9EF2-B6A8DBB060A8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17D-4EA3-9EF2-B6A8DBB060A8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17D-4EA3-9EF2-B6A8DBB060A8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17D-4EA3-9EF2-B6A8DBB060A8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17D-4EA3-9EF2-B6A8DBB060A8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17D-4EA3-9EF2-B6A8DBB060A8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17D-4EA3-9EF2-B6A8DBB060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9'!$E$14:$M$14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17D-4EA3-9EF2-B6A8DBB06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CFE-41E0-B93C-1FD5C49AF68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FE-41E0-B93C-1FD5C49AF68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CFE-41E0-B93C-1FD5C49AF68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CFE-41E0-B93C-1FD5C49AF68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CFE-41E0-B93C-1FD5C49AF68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CFE-41E0-B93C-1FD5C49AF68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CFE-41E0-B93C-1FD5C49AF68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CFE-41E0-B93C-1FD5C49AF68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CFE-41E0-B93C-1FD5C49AF68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CFE-41E0-B93C-1FD5C49AF68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CFE-41E0-B93C-1FD5C49AF68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CFE-41E0-B93C-1FD5C49AF68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CFE-41E0-B93C-1FD5C49AF68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CFE-41E0-B93C-1FD5C49AF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9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914-436F-9798-BFE152CCAD9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914-436F-9798-BFE152CCAD9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914-436F-9798-BFE152CCAD9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914-436F-9798-BFE152CCAD9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914-436F-9798-BFE152CCAD9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914-436F-9798-BFE152CCAD9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914-436F-9798-BFE152CCAD9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914-436F-9798-BFE152CCAD9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914-436F-9798-BFE152CCAD9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914-436F-9798-BFE152CCAD9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914-436F-9798-BFE152CCAD9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914-436F-9798-BFE152CCAD9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914-436F-9798-BFE152CCAD9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14-436F-9798-BFE152CCA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4-411B-B1E0-204105164D0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4-411B-B1E0-204105164D0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4-411B-B1E0-204105164D05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4-411B-B1E0-204105164D05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4-411B-B1E0-204105164D0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4-411B-B1E0-204105164D05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4-411B-B1E0-204105164D0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4-411B-B1E0-204105164D0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184-411B-B1E0-204105164D0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84-411B-B1E0-204105164D0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184-411B-B1E0-204105164D0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184-411B-B1E0-204105164D0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184-411B-B1E0-204105164D0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184-411B-B1E0-204105164D0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184-411B-B1E0-204105164D0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184-411B-B1E0-204105164D0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184-411B-B1E0-204105164D0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184-411B-B1E0-204105164D0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184-411B-B1E0-204105164D0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184-411B-B1E0-204105164D0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184-411B-B1E0-204105164D0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184-411B-B1E0-204105164D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184-411B-B1E0-204105164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08E-4DAF-8989-0B33D92C21B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08E-4DAF-8989-0B33D92C21B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08E-4DAF-8989-0B33D92C21B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08E-4DAF-8989-0B33D92C21B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08E-4DAF-8989-0B33D92C21B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08E-4DAF-8989-0B33D92C21B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08E-4DAF-8989-0B33D92C21B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08E-4DAF-8989-0B33D92C21B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08E-4DAF-8989-0B33D92C21B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08E-4DAF-8989-0B33D92C21B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08E-4DAF-8989-0B33D92C21B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08E-4DAF-8989-0B33D92C21B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08E-4DAF-8989-0B33D92C21B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08E-4DAF-8989-0B33D92C2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41E-4B8A-A032-75444AF1834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1E-4B8A-A032-75444AF1834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41E-4B8A-A032-75444AF1834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41E-4B8A-A032-75444AF1834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41E-4B8A-A032-75444AF1834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41E-4B8A-A032-75444AF1834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41E-4B8A-A032-75444AF1834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1E-4B8A-A032-75444AF1834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41E-4B8A-A032-75444AF1834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41E-4B8A-A032-75444AF1834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41E-4B8A-A032-75444AF1834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41E-4B8A-A032-75444AF1834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1E-4B8A-A032-75444AF1834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1E-4B8A-A032-75444AF1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1F-4465-ABA3-E83A6C4D6A1F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51F-4465-ABA3-E83A6C4D6A1F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51F-4465-ABA3-E83A6C4D6A1F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51F-4465-ABA3-E83A6C4D6A1F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51F-4465-ABA3-E83A6C4D6A1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51F-4465-ABA3-E83A6C4D6A1F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51F-4465-ABA3-E83A6C4D6A1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51F-4465-ABA3-E83A6C4D6A1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51F-4465-ABA3-E83A6C4D6A1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51F-4465-ABA3-E83A6C4D6A1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51F-4465-ABA3-E83A6C4D6A1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51F-4465-ABA3-E83A6C4D6A1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51F-4465-ABA3-E83A6C4D6A1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51F-4465-ABA3-E83A6C4D6A1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51F-4465-ABA3-E83A6C4D6A1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51F-4465-ABA3-E83A6C4D6A1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51F-4465-ABA3-E83A6C4D6A1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51F-4465-ABA3-E83A6C4D6A1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51F-4465-ABA3-E83A6C4D6A1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51F-4465-ABA3-E83A6C4D6A1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51F-4465-ABA3-E83A6C4D6A1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51F-4465-ABA3-E83A6C4D6A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51F-4465-ABA3-E83A6C4D6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8EE-4993-AB87-66C21C84B97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8EE-4993-AB87-66C21C84B97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8EE-4993-AB87-66C21C84B97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8EE-4993-AB87-66C21C84B97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8EE-4993-AB87-66C21C84B97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8EE-4993-AB87-66C21C84B97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8EE-4993-AB87-66C21C84B97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8EE-4993-AB87-66C21C84B97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8EE-4993-AB87-66C21C84B97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8EE-4993-AB87-66C21C84B97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8EE-4993-AB87-66C21C84B97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8EE-4993-AB87-66C21C84B97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8EE-4993-AB87-66C21C84B97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EE-4993-AB87-66C21C84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C31-4CF1-834C-6FA5339E6B2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C31-4CF1-834C-6FA5339E6B2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C31-4CF1-834C-6FA5339E6B2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C31-4CF1-834C-6FA5339E6B2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31-4CF1-834C-6FA5339E6B2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C31-4CF1-834C-6FA5339E6B2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C31-4CF1-834C-6FA5339E6B2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C31-4CF1-834C-6FA5339E6B2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C31-4CF1-834C-6FA5339E6B2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C31-4CF1-834C-6FA5339E6B2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C31-4CF1-834C-6FA5339E6B2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C31-4CF1-834C-6FA5339E6B2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C31-4CF1-834C-6FA5339E6B2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31-4CF1-834C-6FA5339E6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8F-49EE-AD35-D84E0DB7AC5F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8F-49EE-AD35-D84E0DB7AC5F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8F-49EE-AD35-D84E0DB7AC5F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8F-49EE-AD35-D84E0DB7AC5F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8F-49EE-AD35-D84E0DB7AC5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8F-49EE-AD35-D84E0DB7AC5F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8F-49EE-AD35-D84E0DB7AC5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8F-49EE-AD35-D84E0DB7AC5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8F-49EE-AD35-D84E0DB7AC5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8F-49EE-AD35-D84E0DB7AC5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8F-49EE-AD35-D84E0DB7AC5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68F-49EE-AD35-D84E0DB7AC5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68F-49EE-AD35-D84E0DB7AC5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68F-49EE-AD35-D84E0DB7AC5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68F-49EE-AD35-D84E0DB7AC5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68F-49EE-AD35-D84E0DB7AC5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68F-49EE-AD35-D84E0DB7AC5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68F-49EE-AD35-D84E0DB7AC5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68F-49EE-AD35-D84E0DB7AC5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68F-49EE-AD35-D84E0DB7AC5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68F-49EE-AD35-D84E0DB7AC5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68F-49EE-AD35-D84E0DB7AC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68F-49EE-AD35-D84E0DB7A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701-4FF5-8881-AFEC4DCB9EE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701-4FF5-8881-AFEC4DCB9EE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701-4FF5-8881-AFEC4DCB9EE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701-4FF5-8881-AFEC4DCB9EE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701-4FF5-8881-AFEC4DCB9EE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701-4FF5-8881-AFEC4DCB9EE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701-4FF5-8881-AFEC4DCB9EE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701-4FF5-8881-AFEC4DCB9EE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701-4FF5-8881-AFEC4DCB9EE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701-4FF5-8881-AFEC4DCB9EE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701-4FF5-8881-AFEC4DCB9EE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701-4FF5-8881-AFEC4DCB9EE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701-4FF5-8881-AFEC4DCB9EE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701-4FF5-8881-AFEC4DCB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BA6-4D8B-AE80-559978B3EBE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BA6-4D8B-AE80-559978B3EBE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BA6-4D8B-AE80-559978B3EBE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BA6-4D8B-AE80-559978B3EBE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BA6-4D8B-AE80-559978B3EBE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BA6-4D8B-AE80-559978B3EBE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BA6-4D8B-AE80-559978B3EBE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BA6-4D8B-AE80-559978B3EBE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BA6-4D8B-AE80-559978B3EBE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BA6-4D8B-AE80-559978B3EBE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BA6-4D8B-AE80-559978B3EBE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BA6-4D8B-AE80-559978B3EBE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BA6-4D8B-AE80-559978B3EBE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A6-4D8B-AE80-559978B3E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151023</xdr:colOff>
      <xdr:row>17</xdr:row>
      <xdr:rowOff>138225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88880" y="4900246"/>
          <a:ext cx="4129535" cy="6169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15382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62938"/>
              <a:gd name="adj4" fmla="val -1940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264583</xdr:colOff>
      <xdr:row>17</xdr:row>
      <xdr:rowOff>70665</xdr:rowOff>
    </xdr:from>
    <xdr:to>
      <xdr:col>8</xdr:col>
      <xdr:colOff>109904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940983" y="3394890"/>
          <a:ext cx="4083946" cy="809624"/>
          <a:chOff x="1739151" y="3805767"/>
          <a:chExt cx="3647766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39151" y="3921841"/>
            <a:ext cx="435403" cy="355646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19</xdr:col>
      <xdr:colOff>197908</xdr:colOff>
      <xdr:row>8</xdr:row>
      <xdr:rowOff>125940</xdr:rowOff>
    </xdr:from>
    <xdr:to>
      <xdr:col>23</xdr:col>
      <xdr:colOff>580943</xdr:colOff>
      <xdr:row>12</xdr:row>
      <xdr:rowOff>95166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16828558" y="1811865"/>
          <a:ext cx="3735835" cy="616926"/>
          <a:chOff x="1767975" y="2787681"/>
          <a:chExt cx="3749205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67975" y="2852023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301963" y="2787681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92585"/>
              <a:gd name="adj4" fmla="val -5395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13</xdr:row>
          <xdr:rowOff>133350</xdr:rowOff>
        </xdr:from>
        <xdr:to>
          <xdr:col>23</xdr:col>
          <xdr:colOff>209550</xdr:colOff>
          <xdr:row>16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288258</xdr:colOff>
      <xdr:row>15</xdr:row>
      <xdr:rowOff>64006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154907</xdr:colOff>
      <xdr:row>18</xdr:row>
      <xdr:rowOff>119709</xdr:rowOff>
    </xdr:from>
    <xdr:ext cx="12780043" cy="3614837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24</xdr:col>
      <xdr:colOff>298958</xdr:colOff>
      <xdr:row>17</xdr:row>
      <xdr:rowOff>260020</xdr:rowOff>
    </xdr:from>
    <xdr:ext cx="11395975" cy="4046484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100478"/>
          <a:ext cx="1893358" cy="192767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3496" y="4141977"/>
          <a:ext cx="10670118" cy="486871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8400" y="13275272"/>
          <a:ext cx="9564310" cy="456930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7281" y="4189106"/>
          <a:ext cx="3693319" cy="5465541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3281" y="12805910"/>
          <a:ext cx="12913178" cy="479421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4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B85A6D9-1ADC-430C-948A-53E1EF8743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97691B0C-48C3-4965-A2C9-516A4A193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B180950-CE14-4D28-9FBF-9FADA5DE6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73B77DB-94D9-4A52-B513-6A0CFD51E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E6874A2-01CD-42DE-A5BD-366781655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0C4290C8-7735-4625-AC79-32AD18F1F1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5AD3844-FD15-4C65-91A9-C704E8949C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A291628-16C6-49F8-BAF2-F6953A6B8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CCD6EF4-821F-48D3-B46C-BC9296F86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F760BC42-FCF5-4C95-AD33-CB8ECBD2A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90E4F49-8C43-4B40-8C3C-528D513CC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305D2BB-DF3B-4F8B-B6C8-AEDC3E2E7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094798A-42F9-4FB8-A609-0CA1214BE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5B90875-6B53-4415-B77F-F5D1D612A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18BD458-AE79-49EE-A3FB-880A58C85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597D13F-0C9E-447C-87D4-18A63F284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AAA4824D-064E-4E00-BB40-490DCBF9A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4889BB4-7614-494F-90C7-F701ADD5A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3DB5942-6D4D-4D38-BAAC-5ACD36735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F5032D4A-6A12-4EC7-AE90-EF2B2AA94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E606E93-3BB2-4CCB-9683-492C36ECF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62329E5-D877-45EC-9CEE-A229EE307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4618000C-B870-4F05-A25E-C2E9F08A2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9FF7C53-E533-4532-B2DD-B93D3875A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16D6C6A-EC44-4D40-8596-A50E64798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2917E70-8BF6-4711-8148-7E8A13A00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47969BCD-775F-4444-A058-E9E37BCD2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D230DEF-72DC-4268-B4DC-C86B0F8F8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6AEE0E1-25BC-4EE3-B107-140EF0E2E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2BA9F475-FF00-4ABE-BAAF-3C1A199FA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D1BA14D-4A12-4C5E-A811-E7758121C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4AF65698-788B-42A8-A969-5368C0FC0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FF14B6A-89BD-45F1-9853-1A651663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1F454C1F-6C1A-42F3-9085-A27FD8673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DFB66FF-46AC-4225-8B33-B5EA60D44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CE914C91-9D31-4861-8399-62429306A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65DB40AA-DD56-471D-A7C3-85C8B9AF5486}" done="1">
    <text>Nombre d'enveloppes distribuées</text>
  </threadedComment>
  <threadedComment ref="AA14" dT="2025-03-14T10:48:31.20" personId="{B9D14DDA-5DA4-4748-A3A4-6D74DB2F48C1}" id="{6A055572-6686-4005-9345-5E8979AA97F6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B3" dT="2025-04-14T07:52:19.44" personId="{B9D14DDA-5DA4-4748-A3A4-6D74DB2F48C1}" id="{2C3B2D44-FB81-425B-B9DC-A7AF0303AB89}" done="1">
    <text>Nombre d'enveloppes distribuées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N13" dT="2025-04-14T12:15:13.05" personId="{B9D14DDA-5DA4-4748-A3A4-6D74DB2F48C1}" id="{F45EA83B-F2A7-4B0E-A9DC-7FB934E46695}" done="1">
    <text>Doit être égal au nombre de votants</text>
  </threadedComment>
  <threadedComment ref="D24" dT="2025-04-14T09:07:42.81" personId="{B9D14DDA-5DA4-4748-A3A4-6D74DB2F48C1}" id="{BD3C10F1-FEEF-4E9E-94C9-D4F9E0A553EB}" done="1">
    <text>Nombre de centaines d'enveloppes nécessaires pour ce bureau</text>
  </threadedComment>
  <threadedComment ref="E24" dT="2025-04-24T12:32:34.89" personId="{B9D14DDA-5DA4-4748-A3A4-6D74DB2F48C1}" id="{F7333F9D-D46A-4B8B-AFBD-6ED4ACACBE9F}" done="1">
    <text>Index de la dernière centaine d'enveloppes</text>
  </threadedComment>
  <threadedComment ref="D25" dT="2025-04-24T12:31:05.29" personId="{B9D14DDA-5DA4-4748-A3A4-6D74DB2F48C1}" id="{2FCCA48F-2713-4355-98C8-DDE96C91DF85}" done="1">
    <text>Modulo 100 de la dernière centaine d'enveloppes</text>
  </threadedComment>
  <threadedComment ref="E25" dT="2025-08-05T07:48:39.46" personId="{B9D14DDA-5DA4-4748-A3A4-6D74DB2F48C1}" id="{B8C745D0-104B-45E0-8786-3CD12483CBBB}" done="1">
    <text>Nombre d’isoloirs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936817AE-9830-4C8D-89F8-ABDFFEFD0B09}" done="1">
    <text>A l'ouverture du bureau il n'y a pas encore de vote</text>
  </threadedComment>
  <threadedComment ref="A7" dT="2025-04-14T11:49:35.58" personId="{B9D14DDA-5DA4-4748-A3A4-6D74DB2F48C1}" id="{630E7F63-5694-4C3D-96BC-8BD5C3119609}" done="1">
    <text>Nombre d'enveloppes et de bulletins sans enveloppe trouvés dans l'urne</text>
  </threadedComment>
  <threadedComment ref="B7" dT="2025-03-13T15:42:36.25" personId="{B9D14DDA-5DA4-4748-A3A4-6D74DB2F48C1}" id="{49EBB849-4326-4809-AAAE-80204A9F1640}" done="1">
    <text>Doit être égal à la participation horaire de cloture</text>
  </threadedComment>
  <threadedComment ref="A8" dT="2025-04-14T11:49:47.49" personId="{B9D14DDA-5DA4-4748-A3A4-6D74DB2F48C1}" id="{AF3F8D22-BF4D-404D-846C-68E9586FC314}" done="1">
    <text>Nombre de signatures sur le registre</text>
  </threadedComment>
  <threadedComment ref="B8" dT="2025-03-13T15:44:24.83" personId="{B9D14DDA-5DA4-4748-A3A4-6D74DB2F48C1}" id="{F6F23963-E320-47F0-B2D2-BDAB2024B4D3}" done="1">
    <text>Doit être normalement égal aux votants</text>
  </threadedComment>
  <threadedComment ref="N13" dT="2025-04-14T12:15:13.05" personId="{B9D14DDA-5DA4-4748-A3A4-6D74DB2F48C1}" id="{161DFD25-A617-4F65-9291-1A6D33AAEF3F}" done="1">
    <text>Doit être égal au nombre de votants</text>
  </threadedComment>
  <threadedComment ref="D24" dT="2025-04-14T09:07:42.81" personId="{B9D14DDA-5DA4-4748-A3A4-6D74DB2F48C1}" id="{730C2077-DF5E-44A3-929C-5FFBC0DEA812}" done="1">
    <text>Nombre de centaines d'enveloppes nécessaires pour ce bureau</text>
  </threadedComment>
  <threadedComment ref="E24" dT="2025-04-24T12:32:34.89" personId="{B9D14DDA-5DA4-4748-A3A4-6D74DB2F48C1}" id="{0E59915F-27E6-4806-A735-BE7A03146510}" done="1">
    <text>Index de la dernière centaine d'enveloppes</text>
  </threadedComment>
  <threadedComment ref="D25" dT="2025-04-24T12:31:05.29" personId="{B9D14DDA-5DA4-4748-A3A4-6D74DB2F48C1}" id="{C87E0FFA-00B6-4CF6-8A0A-A5A3070F2143}" done="1">
    <text>Modulo 100 de la dernière centaine d'enveloppes</text>
  </threadedComment>
  <threadedComment ref="E25" dT="2025-08-05T07:48:39.46" personId="{B9D14DDA-5DA4-4748-A3A4-6D74DB2F48C1}" id="{F06E3C0C-5649-41E3-B8B2-B5E1960D4DFB}" done="1">
    <text>Nombre d’isoloirs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DC68A95C-2A7D-4C02-9DBB-7D404A8E032B}" done="1">
    <text>A l'ouverture du bureau il n'y a pas encore de vote</text>
  </threadedComment>
  <threadedComment ref="A7" dT="2025-04-14T11:49:35.58" personId="{B9D14DDA-5DA4-4748-A3A4-6D74DB2F48C1}" id="{90709C49-BF46-4A9D-AA37-DFDD6CC48ED8}" done="1">
    <text>Nombre d'enveloppes et de bulletins sans enveloppe trouvés dans l'urne</text>
  </threadedComment>
  <threadedComment ref="B7" dT="2025-03-13T15:42:36.25" personId="{B9D14DDA-5DA4-4748-A3A4-6D74DB2F48C1}" id="{A40D30F5-AB99-43B2-96B4-61BA17426609}" done="1">
    <text>Doit être égal à la participation horaire de cloture</text>
  </threadedComment>
  <threadedComment ref="A8" dT="2025-04-14T11:49:47.49" personId="{B9D14DDA-5DA4-4748-A3A4-6D74DB2F48C1}" id="{EB8A292F-3934-46BA-80F3-56BA97BDF558}" done="1">
    <text>Nombre de signatures sur le registre</text>
  </threadedComment>
  <threadedComment ref="B8" dT="2025-03-13T15:44:24.83" personId="{B9D14DDA-5DA4-4748-A3A4-6D74DB2F48C1}" id="{AC45BD61-F6D0-44BC-AF4D-0F88119C1B03}" done="1">
    <text>Doit être normalement égal aux votants</text>
  </threadedComment>
  <threadedComment ref="N13" dT="2025-04-14T12:15:13.05" personId="{B9D14DDA-5DA4-4748-A3A4-6D74DB2F48C1}" id="{0AFBD847-A41C-46A4-9E69-D01065A1826C}" done="1">
    <text>Doit être égal au nombre de votants</text>
  </threadedComment>
  <threadedComment ref="D24" dT="2025-04-14T09:07:42.81" personId="{B9D14DDA-5DA4-4748-A3A4-6D74DB2F48C1}" id="{B8B5921D-D7A8-45F6-8DB6-6FF7864BE6C9}" done="1">
    <text>Nombre de centaines d'enveloppes nécessaires pour ce bureau</text>
  </threadedComment>
  <threadedComment ref="E24" dT="2025-04-24T12:32:34.89" personId="{B9D14DDA-5DA4-4748-A3A4-6D74DB2F48C1}" id="{0909F93E-90A8-4A87-AA72-2BAAFFE4DFA3}" done="1">
    <text>Index de la dernière centaine d'enveloppes</text>
  </threadedComment>
  <threadedComment ref="D25" dT="2025-04-24T12:31:05.29" personId="{B9D14DDA-5DA4-4748-A3A4-6D74DB2F48C1}" id="{069EA439-9807-43F0-99E8-C2784839FC17}" done="1">
    <text>Modulo 100 de la dernière centaine d'enveloppes</text>
  </threadedComment>
  <threadedComment ref="E25" dT="2025-08-05T07:48:39.46" personId="{B9D14DDA-5DA4-4748-A3A4-6D74DB2F48C1}" id="{5AAE020C-BE10-4816-80FB-92BBCAD45AC4}" done="1">
    <text>Nombre d’isoloirs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64A60D4-3174-475B-8906-C1847375851D}" done="1">
    <text>A l'ouverture du bureau il n'y a pas encore de vote</text>
  </threadedComment>
  <threadedComment ref="A7" dT="2025-04-14T11:49:35.58" personId="{B9D14DDA-5DA4-4748-A3A4-6D74DB2F48C1}" id="{06E204BE-7886-4A9F-8478-CEE1E9644E97}" done="1">
    <text>Nombre d'enveloppes et de bulletins sans enveloppe trouvés dans l'urne</text>
  </threadedComment>
  <threadedComment ref="B7" dT="2025-03-13T15:42:36.25" personId="{B9D14DDA-5DA4-4748-A3A4-6D74DB2F48C1}" id="{A29836AA-7F5F-454C-BFF1-BC786432D858}" done="1">
    <text>Doit être égal à la participation horaire de cloture</text>
  </threadedComment>
  <threadedComment ref="A8" dT="2025-04-14T11:49:47.49" personId="{B9D14DDA-5DA4-4748-A3A4-6D74DB2F48C1}" id="{E968FCE9-6871-41A4-B79C-6E49BBCE5A62}" done="1">
    <text>Nombre de signatures sur le registre</text>
  </threadedComment>
  <threadedComment ref="B8" dT="2025-03-13T15:44:24.83" personId="{B9D14DDA-5DA4-4748-A3A4-6D74DB2F48C1}" id="{AC434951-7DF7-4D9E-BDFD-62142C151695}" done="1">
    <text>Doit être normalement égal aux votants</text>
  </threadedComment>
  <threadedComment ref="N13" dT="2025-04-14T12:15:13.05" personId="{B9D14DDA-5DA4-4748-A3A4-6D74DB2F48C1}" id="{F734F09E-921F-4D3D-AF0F-C9C435B0358C}" done="1">
    <text>Doit être égal au nombre de votants</text>
  </threadedComment>
  <threadedComment ref="D24" dT="2025-04-14T09:07:42.81" personId="{B9D14DDA-5DA4-4748-A3A4-6D74DB2F48C1}" id="{FA968E2D-E740-457F-8ADC-C3906593B8B7}" done="1">
    <text>Nombre de centaines d'enveloppes nécessaires pour ce bureau</text>
  </threadedComment>
  <threadedComment ref="E24" dT="2025-04-24T12:32:34.89" personId="{B9D14DDA-5DA4-4748-A3A4-6D74DB2F48C1}" id="{734C81B1-ADEC-4504-9734-54F7C7E72F77}" done="1">
    <text>Index de la dernière centaine d'enveloppes</text>
  </threadedComment>
  <threadedComment ref="D25" dT="2025-04-24T12:31:05.29" personId="{B9D14DDA-5DA4-4748-A3A4-6D74DB2F48C1}" id="{43444BBB-A901-4373-8605-4A0193D365A6}" done="1">
    <text>Modulo 100 de la dernière centaine d'enveloppes</text>
  </threadedComment>
  <threadedComment ref="E25" dT="2025-08-05T07:48:39.46" personId="{B9D14DDA-5DA4-4748-A3A4-6D74DB2F48C1}" id="{DE26D252-4386-4D90-A690-934291F74F43}" done="1">
    <text>Nombre d’isoloirs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A412C186-7753-4866-B78E-1D59D25C727F}" done="1">
    <text>A l'ouverture du bureau il n'y a pas encore de vote</text>
  </threadedComment>
  <threadedComment ref="A7" dT="2025-04-14T11:49:35.58" personId="{B9D14DDA-5DA4-4748-A3A4-6D74DB2F48C1}" id="{78240399-CC06-4FF2-88C3-B959967E0E50}" done="1">
    <text>Nombre d'enveloppes et de bulletins sans enveloppe trouvés dans l'urne</text>
  </threadedComment>
  <threadedComment ref="B7" dT="2025-03-13T15:42:36.25" personId="{B9D14DDA-5DA4-4748-A3A4-6D74DB2F48C1}" id="{99EC913F-DD44-470B-97A1-88FCBC61C75C}" done="1">
    <text>Doit être égal à la participation horaire de cloture</text>
  </threadedComment>
  <threadedComment ref="A8" dT="2025-04-14T11:49:47.49" personId="{B9D14DDA-5DA4-4748-A3A4-6D74DB2F48C1}" id="{C0128AFC-5217-45B7-A894-F927A7FF4DA2}" done="1">
    <text>Nombre de signatures sur le registre</text>
  </threadedComment>
  <threadedComment ref="B8" dT="2025-03-13T15:44:24.83" personId="{B9D14DDA-5DA4-4748-A3A4-6D74DB2F48C1}" id="{221521BF-6D12-43CF-A29B-3FC89461FB3E}" done="1">
    <text>Doit être normalement égal aux votants</text>
  </threadedComment>
  <threadedComment ref="N13" dT="2025-04-14T12:15:13.05" personId="{B9D14DDA-5DA4-4748-A3A4-6D74DB2F48C1}" id="{BB8EBB46-65A2-4EC8-9EC5-1FD512401DBA}" done="1">
    <text>Doit être égal au nombre de votants</text>
  </threadedComment>
  <threadedComment ref="D24" dT="2025-04-14T09:07:42.81" personId="{B9D14DDA-5DA4-4748-A3A4-6D74DB2F48C1}" id="{6AF60F75-9769-4E7C-A7E8-65AD9BC1D393}" done="1">
    <text>Nombre de centaines d'enveloppes nécessaires pour ce bureau</text>
  </threadedComment>
  <threadedComment ref="E24" dT="2025-04-24T12:32:34.89" personId="{B9D14DDA-5DA4-4748-A3A4-6D74DB2F48C1}" id="{E35B4F9A-D956-4D13-AC07-30E0E3E9944C}" done="1">
    <text>Index de la dernière centaine d'enveloppes</text>
  </threadedComment>
  <threadedComment ref="D25" dT="2025-04-24T12:31:05.29" personId="{B9D14DDA-5DA4-4748-A3A4-6D74DB2F48C1}" id="{C8C73CE5-49AF-4316-AC87-8A6711981AD0}" done="1">
    <text>Modulo 100 de la dernière centaine d'enveloppes</text>
  </threadedComment>
  <threadedComment ref="E25" dT="2025-08-05T07:48:39.46" personId="{B9D14DDA-5DA4-4748-A3A4-6D74DB2F48C1}" id="{5617E09C-9757-474F-99DC-2A26BD0610FC}" done="1">
    <text>Nombre d’isoloirs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E2F5D3F-3A2C-4158-AE11-8893D068BBDD}" done="1">
    <text>A l'ouverture du bureau il n'y a pas encore de vote</text>
  </threadedComment>
  <threadedComment ref="A7" dT="2025-04-14T11:49:35.58" personId="{B9D14DDA-5DA4-4748-A3A4-6D74DB2F48C1}" id="{723306FF-F434-4DC7-AFB7-CBF2F752B7FA}" done="1">
    <text>Nombre d'enveloppes et de bulletins sans enveloppe trouvés dans l'urne</text>
  </threadedComment>
  <threadedComment ref="B7" dT="2025-03-13T15:42:36.25" personId="{B9D14DDA-5DA4-4748-A3A4-6D74DB2F48C1}" id="{70956D72-B986-466B-A843-085C8FD15CA4}" done="1">
    <text>Doit être égal à la participation horaire de cloture</text>
  </threadedComment>
  <threadedComment ref="A8" dT="2025-04-14T11:49:47.49" personId="{B9D14DDA-5DA4-4748-A3A4-6D74DB2F48C1}" id="{7C551228-31B5-404F-AFA4-7133A53E8933}" done="1">
    <text>Nombre de signatures sur le registre</text>
  </threadedComment>
  <threadedComment ref="B8" dT="2025-03-13T15:44:24.83" personId="{B9D14DDA-5DA4-4748-A3A4-6D74DB2F48C1}" id="{7E87EB68-314B-4BFD-AAC7-28CFF4747962}" done="1">
    <text>Doit être normalement égal aux votants</text>
  </threadedComment>
  <threadedComment ref="N13" dT="2025-04-14T12:15:13.05" personId="{B9D14DDA-5DA4-4748-A3A4-6D74DB2F48C1}" id="{8202F3C7-4783-4C90-93BA-312DD9F4595A}" done="1">
    <text>Doit être égal au nombre de votants</text>
  </threadedComment>
  <threadedComment ref="D24" dT="2025-04-14T09:07:42.81" personId="{B9D14DDA-5DA4-4748-A3A4-6D74DB2F48C1}" id="{5964D1FA-CCD3-41DE-8897-2FBAACD80339}" done="1">
    <text>Nombre de centaines d'enveloppes nécessaires pour ce bureau</text>
  </threadedComment>
  <threadedComment ref="E24" dT="2025-04-24T12:32:34.89" personId="{B9D14DDA-5DA4-4748-A3A4-6D74DB2F48C1}" id="{91E21969-52C7-4471-951F-A47EDD56C49D}" done="1">
    <text>Index de la dernière centaine d'enveloppes</text>
  </threadedComment>
  <threadedComment ref="D25" dT="2025-04-24T12:31:05.29" personId="{B9D14DDA-5DA4-4748-A3A4-6D74DB2F48C1}" id="{AADC4311-9889-46A6-9434-D4FC0C918838}" done="1">
    <text>Modulo 100 de la dernière centaine d'enveloppes</text>
  </threadedComment>
  <threadedComment ref="E25" dT="2025-08-05T07:48:39.46" personId="{B9D14DDA-5DA4-4748-A3A4-6D74DB2F48C1}" id="{CF2B44F1-4C2D-412E-9361-2A92C99DA9FE}" done="1">
    <text>Nombre d’isoloirs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9DC3D3B2-B912-43D8-BEC0-7D126B8D9B24}" done="1">
    <text>A l'ouverture du bureau il n'y a pas encore de vote</text>
  </threadedComment>
  <threadedComment ref="A7" dT="2025-04-14T11:49:35.58" personId="{B9D14DDA-5DA4-4748-A3A4-6D74DB2F48C1}" id="{33DCFF2A-52F0-4DAE-A228-C644994C8F9D}" done="1">
    <text>Nombre d'enveloppes et de bulletins sans enveloppe trouvés dans l'urne</text>
  </threadedComment>
  <threadedComment ref="B7" dT="2025-03-13T15:42:36.25" personId="{B9D14DDA-5DA4-4748-A3A4-6D74DB2F48C1}" id="{C7BB8E2E-B689-4838-8C6D-1E2E9A2B410C}" done="1">
    <text>Doit être égal à la participation horaire de cloture</text>
  </threadedComment>
  <threadedComment ref="A8" dT="2025-04-14T11:49:47.49" personId="{B9D14DDA-5DA4-4748-A3A4-6D74DB2F48C1}" id="{A164CECA-CB74-44EE-A465-DB69F53C75C5}" done="1">
    <text>Nombre de signatures sur le registre</text>
  </threadedComment>
  <threadedComment ref="B8" dT="2025-03-13T15:44:24.83" personId="{B9D14DDA-5DA4-4748-A3A4-6D74DB2F48C1}" id="{5E35F57A-4F33-48DA-AD76-EDD22DDFE922}" done="1">
    <text>Doit être normalement égal aux votants</text>
  </threadedComment>
  <threadedComment ref="N13" dT="2025-04-14T12:15:13.05" personId="{B9D14DDA-5DA4-4748-A3A4-6D74DB2F48C1}" id="{6436D40D-6F41-49E0-8405-87ABC7DBB4C3}" done="1">
    <text>Doit être égal au nombre de votants</text>
  </threadedComment>
  <threadedComment ref="D24" dT="2025-04-14T09:07:42.81" personId="{B9D14DDA-5DA4-4748-A3A4-6D74DB2F48C1}" id="{F337D4A2-6A01-4C67-B91A-993DEDCF2A55}" done="1">
    <text>Nombre de centaines d'enveloppes nécessaires pour ce bureau</text>
  </threadedComment>
  <threadedComment ref="E24" dT="2025-04-24T12:32:34.89" personId="{B9D14DDA-5DA4-4748-A3A4-6D74DB2F48C1}" id="{79502178-5E00-49E8-8BE8-280010565EAF}" done="1">
    <text>Index de la dernière centaine d'enveloppes</text>
  </threadedComment>
  <threadedComment ref="D25" dT="2025-04-24T12:31:05.29" personId="{B9D14DDA-5DA4-4748-A3A4-6D74DB2F48C1}" id="{7C5FED4D-7B20-4E39-8D38-FD0AE6E90A18}" done="1">
    <text>Modulo 100 de la dernière centaine d'enveloppes</text>
  </threadedComment>
  <threadedComment ref="E25" dT="2025-08-05T07:48:39.46" personId="{B9D14DDA-5DA4-4748-A3A4-6D74DB2F48C1}" id="{461FAA84-7CCA-41D4-AD44-2FB6517201EA}" done="1">
    <text>Nombre d’isoloirs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6F08443B-D024-444F-9BE9-63708191A267}" done="1">
    <text>A l'ouverture du bureau il n'y a pas encore de vote</text>
  </threadedComment>
  <threadedComment ref="A7" dT="2025-04-14T11:49:35.58" personId="{B9D14DDA-5DA4-4748-A3A4-6D74DB2F48C1}" id="{F04AB53E-4BCF-43E1-97DF-3519368031C5}" done="1">
    <text>Nombre d'enveloppes et de bulletins sans enveloppe trouvés dans l'urne</text>
  </threadedComment>
  <threadedComment ref="B7" dT="2025-03-13T15:42:36.25" personId="{B9D14DDA-5DA4-4748-A3A4-6D74DB2F48C1}" id="{CD5A9996-AC46-4DF3-A665-2A8FD66502EA}" done="1">
    <text>Doit être égal à la participation horaire de cloture</text>
  </threadedComment>
  <threadedComment ref="A8" dT="2025-04-14T11:49:47.49" personId="{B9D14DDA-5DA4-4748-A3A4-6D74DB2F48C1}" id="{E85B7A59-C90A-4084-BD9A-AA664931A921}" done="1">
    <text>Nombre de signatures sur le registre</text>
  </threadedComment>
  <threadedComment ref="B8" dT="2025-03-13T15:44:24.83" personId="{B9D14DDA-5DA4-4748-A3A4-6D74DB2F48C1}" id="{E4AFA477-45E3-4B95-8FA0-27A9ABAD08B8}" done="1">
    <text>Doit être normalement égal aux votants</text>
  </threadedComment>
  <threadedComment ref="N13" dT="2025-04-14T12:15:13.05" personId="{B9D14DDA-5DA4-4748-A3A4-6D74DB2F48C1}" id="{954723D8-1C7B-4295-8417-B9A3A8AE49CD}" done="1">
    <text>Doit être égal au nombre de votants</text>
  </threadedComment>
  <threadedComment ref="D24" dT="2025-04-14T09:07:42.81" personId="{B9D14DDA-5DA4-4748-A3A4-6D74DB2F48C1}" id="{6645279C-5969-4EA1-9411-C31275AB84B0}" done="1">
    <text>Nombre de centaines d'enveloppes nécessaires pour ce bureau</text>
  </threadedComment>
  <threadedComment ref="E24" dT="2025-04-24T12:32:34.89" personId="{B9D14DDA-5DA4-4748-A3A4-6D74DB2F48C1}" id="{C8D42456-CD0F-4A9E-9BE8-FEA61466A406}" done="1">
    <text>Index de la dernière centaine d'enveloppes</text>
  </threadedComment>
  <threadedComment ref="D25" dT="2025-04-24T12:31:05.29" personId="{B9D14DDA-5DA4-4748-A3A4-6D74DB2F48C1}" id="{478EBB5E-F70C-4F15-8712-5B822E890539}" done="1">
    <text>Modulo 100 de la dernière centaine d'enveloppes</text>
  </threadedComment>
  <threadedComment ref="E25" dT="2025-08-05T07:48:39.46" personId="{B9D14DDA-5DA4-4748-A3A4-6D74DB2F48C1}" id="{C61CC0CC-49E6-4037-9310-B8B195E3BBFF}" done="1">
    <text>Nombre d’isoloirs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7FF5DBF7-4B15-4003-9578-2CCEF51B2AF1}" done="1">
    <text>A l'ouverture du bureau il n'y a pas encore de vote</text>
  </threadedComment>
  <threadedComment ref="A7" dT="2025-04-14T11:49:35.58" personId="{B9D14DDA-5DA4-4748-A3A4-6D74DB2F48C1}" id="{33041C41-8B36-4E66-91EB-A6842CA146B9}" done="1">
    <text>Nombre d'enveloppes et de bulletins sans enveloppe trouvés dans l'urne</text>
  </threadedComment>
  <threadedComment ref="B7" dT="2025-03-13T15:42:36.25" personId="{B9D14DDA-5DA4-4748-A3A4-6D74DB2F48C1}" id="{9E9FA006-2FCE-4D20-BEB8-44635967BCEA}" done="1">
    <text>Doit être égal à la participation horaire de cloture</text>
  </threadedComment>
  <threadedComment ref="A8" dT="2025-04-14T11:49:47.49" personId="{B9D14DDA-5DA4-4748-A3A4-6D74DB2F48C1}" id="{D6E94D9C-FC2C-427D-BF62-B0A25FE01205}" done="1">
    <text>Nombre de signatures sur le registre</text>
  </threadedComment>
  <threadedComment ref="B8" dT="2025-03-13T15:44:24.83" personId="{B9D14DDA-5DA4-4748-A3A4-6D74DB2F48C1}" id="{DD69F3B0-6EE0-45F5-A7D2-D3B513B7A59C}" done="1">
    <text>Doit être normalement égal aux votants</text>
  </threadedComment>
  <threadedComment ref="N13" dT="2025-04-14T12:15:13.05" personId="{B9D14DDA-5DA4-4748-A3A4-6D74DB2F48C1}" id="{AF1264A1-8BDD-4C98-A36C-66C3CC2414D1}" done="1">
    <text>Doit être égal au nombre de votants</text>
  </threadedComment>
  <threadedComment ref="D24" dT="2025-04-14T09:07:42.81" personId="{B9D14DDA-5DA4-4748-A3A4-6D74DB2F48C1}" id="{D5403E2D-BBD3-411C-8D8C-747774306520}" done="1">
    <text>Nombre de centaines d'enveloppes nécessaires pour ce bureau</text>
  </threadedComment>
  <threadedComment ref="E24" dT="2025-04-24T12:32:34.89" personId="{B9D14DDA-5DA4-4748-A3A4-6D74DB2F48C1}" id="{38F99DD8-0D16-4C91-9611-BFB9C3BCFB0F}" done="1">
    <text>Index de la dernière centaine d'enveloppes</text>
  </threadedComment>
  <threadedComment ref="D25" dT="2025-04-24T12:31:05.29" personId="{B9D14DDA-5DA4-4748-A3A4-6D74DB2F48C1}" id="{8EC9FA8D-F5C0-4F8E-895A-8D8EC3D79A56}" done="1">
    <text>Modulo 100 de la dernière centaine d'enveloppes</text>
  </threadedComment>
  <threadedComment ref="E25" dT="2025-08-05T07:48:39.46" personId="{B9D14DDA-5DA4-4748-A3A4-6D74DB2F48C1}" id="{B75DDB8B-E8CA-4580-9F8A-DC158AEEA87D}" done="1">
    <text>Nombre d’isoloirs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600F6DBD-2175-40DE-A3F8-8A88B2B07F8F}" done="1">
    <text>A l'ouverture du bureau il n'y a pas encore de vote</text>
  </threadedComment>
  <threadedComment ref="A7" dT="2025-04-14T11:49:35.58" personId="{B9D14DDA-5DA4-4748-A3A4-6D74DB2F48C1}" id="{58FC17C7-BD18-4A87-92BC-125F23DD4EA9}" done="1">
    <text>Nombre d'enveloppes et de bulletins sans enveloppe trouvés dans l'urne</text>
  </threadedComment>
  <threadedComment ref="B7" dT="2025-03-13T15:42:36.25" personId="{B9D14DDA-5DA4-4748-A3A4-6D74DB2F48C1}" id="{87762479-2BD1-4698-BFBE-DBB0834AD395}" done="1">
    <text>Doit être égal à la participation horaire de cloture</text>
  </threadedComment>
  <threadedComment ref="A8" dT="2025-04-14T11:49:47.49" personId="{B9D14DDA-5DA4-4748-A3A4-6D74DB2F48C1}" id="{DB1E35F7-7F75-4B6C-99F0-90BEB8949045}" done="1">
    <text>Nombre de signatures sur le registre</text>
  </threadedComment>
  <threadedComment ref="B8" dT="2025-03-13T15:44:24.83" personId="{B9D14DDA-5DA4-4748-A3A4-6D74DB2F48C1}" id="{DD1C4D88-D837-4CA5-9E1F-BE5CBDFD8E2A}" done="1">
    <text>Doit être normalement égal aux votants</text>
  </threadedComment>
  <threadedComment ref="N13" dT="2025-04-14T12:15:13.05" personId="{B9D14DDA-5DA4-4748-A3A4-6D74DB2F48C1}" id="{C8A6BEDF-4EC8-4203-8028-0D5D764C3AC1}" done="1">
    <text>Doit être égal au nombre de votants</text>
  </threadedComment>
  <threadedComment ref="D24" dT="2025-04-14T09:07:42.81" personId="{B9D14DDA-5DA4-4748-A3A4-6D74DB2F48C1}" id="{67A94725-34AE-49D2-B358-3F8C333C0057}" done="1">
    <text>Nombre de centaines d'enveloppes nécessaires pour ce bureau</text>
  </threadedComment>
  <threadedComment ref="E24" dT="2025-04-24T12:32:34.89" personId="{B9D14DDA-5DA4-4748-A3A4-6D74DB2F48C1}" id="{4BEC5116-B2B2-4090-82CA-D14EC94EB284}" done="1">
    <text>Index de la dernière centaine d'enveloppes</text>
  </threadedComment>
  <threadedComment ref="D25" dT="2025-04-24T12:31:05.29" personId="{B9D14DDA-5DA4-4748-A3A4-6D74DB2F48C1}" id="{D537BD35-1E27-403F-A2AE-7D5C9DA4FD55}" done="1">
    <text>Modulo 100 de la dernière centaine d'enveloppes</text>
  </threadedComment>
  <threadedComment ref="E25" dT="2025-08-05T07:48:39.46" personId="{B9D14DDA-5DA4-4748-A3A4-6D74DB2F48C1}" id="{AD01EC06-F45E-4CD6-B2AF-B9D266C04428}" done="1">
    <text>Nombre d’isoloirs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22FFCC1D-6D30-4088-8457-D7C4AE417C3B}" done="1">
    <text>A l'ouverture du bureau il n'y a pas encore de vote</text>
  </threadedComment>
  <threadedComment ref="A7" dT="2025-04-14T11:49:35.58" personId="{B9D14DDA-5DA4-4748-A3A4-6D74DB2F48C1}" id="{75766D10-F4FD-449A-9E96-82D4D40797B2}" done="1">
    <text>Nombre d'enveloppes et de bulletins sans enveloppe trouvés dans l'urne</text>
  </threadedComment>
  <threadedComment ref="B7" dT="2025-03-13T15:42:36.25" personId="{B9D14DDA-5DA4-4748-A3A4-6D74DB2F48C1}" id="{CDA61EAB-9D28-4217-90BB-08ADA0830CF8}" done="1">
    <text>Doit être égal à la participation horaire de cloture</text>
  </threadedComment>
  <threadedComment ref="A8" dT="2025-04-14T11:49:47.49" personId="{B9D14DDA-5DA4-4748-A3A4-6D74DB2F48C1}" id="{C6E6D6A3-11D7-4E19-B1D4-F0B282928DBF}" done="1">
    <text>Nombre de signatures sur le registre</text>
  </threadedComment>
  <threadedComment ref="B8" dT="2025-03-13T15:44:24.83" personId="{B9D14DDA-5DA4-4748-A3A4-6D74DB2F48C1}" id="{2E9DBD7E-24B9-4724-BD54-26C3C87F28F9}" done="1">
    <text>Doit être normalement égal aux votants</text>
  </threadedComment>
  <threadedComment ref="N13" dT="2025-04-14T12:15:13.05" personId="{B9D14DDA-5DA4-4748-A3A4-6D74DB2F48C1}" id="{A662E440-EE2D-4DB9-82B9-FEEF69A48451}" done="1">
    <text>Doit être égal au nombre de votants</text>
  </threadedComment>
  <threadedComment ref="D24" dT="2025-04-14T09:07:42.81" personId="{B9D14DDA-5DA4-4748-A3A4-6D74DB2F48C1}" id="{FA24B8A2-D357-4A8D-8E5A-4720DAF29B9F}" done="1">
    <text>Nombre de centaines d'enveloppes nécessaires pour ce bureau</text>
  </threadedComment>
  <threadedComment ref="E24" dT="2025-04-24T12:32:34.89" personId="{B9D14DDA-5DA4-4748-A3A4-6D74DB2F48C1}" id="{DF8B733A-905F-4B29-B66D-61E47B9AE423}" done="1">
    <text>Index de la dernière centaine d'enveloppes</text>
  </threadedComment>
  <threadedComment ref="D25" dT="2025-04-24T12:31:05.29" personId="{B9D14DDA-5DA4-4748-A3A4-6D74DB2F48C1}" id="{4016D54A-535B-4F83-8D9F-43DA977BD535}" done="1">
    <text>Modulo 100 de la dernière centaine d'enveloppes</text>
  </threadedComment>
  <threadedComment ref="E25" dT="2025-08-05T07:48:39.46" personId="{B9D14DDA-5DA4-4748-A3A4-6D74DB2F48C1}" id="{FC1B9ACA-C238-4DE9-BF8F-5F4A6BC8CAF9}" done="1">
    <text>Nombre d’isoloirs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1155DE2B-579D-4D51-9268-21A2701D850D}" done="1">
    <text>A l'ouverture du bureau il n'y a pas encore de vote</text>
  </threadedComment>
  <threadedComment ref="A7" dT="2025-04-14T11:49:35.58" personId="{B9D14DDA-5DA4-4748-A3A4-6D74DB2F48C1}" id="{03DD694F-08A1-4116-BB1B-FE3B521AC564}" done="1">
    <text>Nombre d'enveloppes et de bulletins sans enveloppe trouvés dans l'urne</text>
  </threadedComment>
  <threadedComment ref="B7" dT="2025-03-13T15:42:36.25" personId="{B9D14DDA-5DA4-4748-A3A4-6D74DB2F48C1}" id="{CCFA4750-A6F0-4C45-8B66-680D5F1BECEC}" done="1">
    <text>Doit être égal à la participation horaire de cloture</text>
  </threadedComment>
  <threadedComment ref="A8" dT="2025-04-14T11:49:47.49" personId="{B9D14DDA-5DA4-4748-A3A4-6D74DB2F48C1}" id="{2BECD375-33FD-4845-A198-FE22B4131671}" done="1">
    <text>Nombre de signatures sur le registre</text>
  </threadedComment>
  <threadedComment ref="B8" dT="2025-03-13T15:44:24.83" personId="{B9D14DDA-5DA4-4748-A3A4-6D74DB2F48C1}" id="{0BE8F8A6-D653-449F-B257-77961F381A13}" done="1">
    <text>Doit être normalement égal aux votants</text>
  </threadedComment>
  <threadedComment ref="N13" dT="2025-04-14T12:15:13.05" personId="{B9D14DDA-5DA4-4748-A3A4-6D74DB2F48C1}" id="{C01E24EE-04F3-444E-9F15-6248064116FF}" done="1">
    <text>Doit être égal au nombre de votants</text>
  </threadedComment>
  <threadedComment ref="D24" dT="2025-04-14T09:07:42.81" personId="{B9D14DDA-5DA4-4748-A3A4-6D74DB2F48C1}" id="{C5B6EB97-9D5C-4F1A-84BF-1BBCEB934D3B}" done="1">
    <text>Nombre de centaines d'enveloppes nécessaires pour ce bureau</text>
  </threadedComment>
  <threadedComment ref="E24" dT="2025-04-24T12:32:34.89" personId="{B9D14DDA-5DA4-4748-A3A4-6D74DB2F48C1}" id="{ACE90146-6042-44EC-B320-D95204569F94}" done="1">
    <text>Index de la dernière centaine d'enveloppes</text>
  </threadedComment>
  <threadedComment ref="D25" dT="2025-04-24T12:31:05.29" personId="{B9D14DDA-5DA4-4748-A3A4-6D74DB2F48C1}" id="{BF87280E-F768-4BEF-8358-A0DAC381CDA0}" done="1">
    <text>Modulo 100 de la dernière centaine d'enveloppes</text>
  </threadedComment>
  <threadedComment ref="E25" dT="2025-08-05T07:48:39.46" personId="{B9D14DDA-5DA4-4748-A3A4-6D74DB2F48C1}" id="{B2E8BF25-90BC-40F2-843E-0D5638D3422B}" done="1">
    <text>Nombre d’isoloirs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596404F-71B2-4661-BD23-EC7CE58B612B}" done="1">
    <text>A l'ouverture du bureau il n'y a pas encore de vote</text>
  </threadedComment>
  <threadedComment ref="A7" dT="2025-04-14T11:49:35.58" personId="{B9D14DDA-5DA4-4748-A3A4-6D74DB2F48C1}" id="{D9890B1D-724B-47B4-A78A-8C629242DE50}" done="1">
    <text>Nombre d'enveloppes et de bulletins sans enveloppe trouvés dans l'urne</text>
  </threadedComment>
  <threadedComment ref="B7" dT="2025-03-13T15:42:36.25" personId="{B9D14DDA-5DA4-4748-A3A4-6D74DB2F48C1}" id="{B277F4CB-37DA-467F-B7A6-283890EAB4E5}" done="1">
    <text>Doit être égal à la participation horaire de cloture</text>
  </threadedComment>
  <threadedComment ref="A8" dT="2025-04-14T11:49:47.49" personId="{B9D14DDA-5DA4-4748-A3A4-6D74DB2F48C1}" id="{632E9BB5-294A-45F1-927A-B0DE2A3A34B2}" done="1">
    <text>Nombre de signatures sur le registre</text>
  </threadedComment>
  <threadedComment ref="B8" dT="2025-03-13T15:44:24.83" personId="{B9D14DDA-5DA4-4748-A3A4-6D74DB2F48C1}" id="{FAD2FB1C-4A7C-4289-A886-8C598236E8FE}" done="1">
    <text>Doit être normalement égal aux votants</text>
  </threadedComment>
  <threadedComment ref="N13" dT="2025-04-14T12:15:13.05" personId="{B9D14DDA-5DA4-4748-A3A4-6D74DB2F48C1}" id="{F6844027-ED8C-4DE5-AB7A-FA925C792047}" done="1">
    <text>Doit être égal au nombre de votants</text>
  </threadedComment>
  <threadedComment ref="D24" dT="2025-04-14T09:07:42.81" personId="{B9D14DDA-5DA4-4748-A3A4-6D74DB2F48C1}" id="{2ECC2653-719B-4ECE-BFAA-5A8F6DB79C4F}" done="1">
    <text>Nombre de centaines d'enveloppes nécessaires pour ce bureau</text>
  </threadedComment>
  <threadedComment ref="E24" dT="2025-04-24T12:32:34.89" personId="{B9D14DDA-5DA4-4748-A3A4-6D74DB2F48C1}" id="{4E158306-C29C-445D-B95B-0FAAFCBF7342}" done="1">
    <text>Index de la dernière centaine d'enveloppes</text>
  </threadedComment>
  <threadedComment ref="D25" dT="2025-04-24T12:31:05.29" personId="{B9D14DDA-5DA4-4748-A3A4-6D74DB2F48C1}" id="{4DD1A991-31B8-4D6F-A536-13C89243FA38}" done="1">
    <text>Modulo 100 de la dernière centaine d'enveloppes</text>
  </threadedComment>
  <threadedComment ref="E25" dT="2025-08-05T07:48:39.46" personId="{B9D14DDA-5DA4-4748-A3A4-6D74DB2F48C1}" id="{AE62FEB6-B99B-4B2D-9EDB-6849C61791EA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microsoft.com/office/2017/10/relationships/threadedComment" Target="../threadedComments/threadedComment17.xml"/><Relationship Id="rId4" Type="http://schemas.openxmlformats.org/officeDocument/2006/relationships/comments" Target="../comments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T32"/>
  <sheetViews>
    <sheetView workbookViewId="0">
      <selection activeCell="L2" sqref="L2"/>
    </sheetView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8" width="15.7109375" customWidth="1"/>
  </cols>
  <sheetData>
    <row r="1" spans="1:20" ht="13.5" thickBot="1" x14ac:dyDescent="0.25">
      <c r="A1" s="220"/>
      <c r="B1" s="221"/>
      <c r="C1" s="220"/>
      <c r="D1" s="220"/>
      <c r="E1" s="220"/>
      <c r="F1" s="220"/>
      <c r="G1" s="220"/>
      <c r="H1" s="220"/>
      <c r="I1" s="220"/>
      <c r="J1" s="220"/>
      <c r="K1" s="220"/>
      <c r="L1" s="229">
        <v>1</v>
      </c>
      <c r="M1" s="222">
        <v>2</v>
      </c>
      <c r="N1" s="222">
        <v>3</v>
      </c>
      <c r="O1" s="222">
        <v>4</v>
      </c>
      <c r="P1" s="222">
        <v>5</v>
      </c>
      <c r="Q1" s="223">
        <v>6</v>
      </c>
      <c r="R1" s="223">
        <v>7</v>
      </c>
      <c r="S1" s="293" t="s">
        <v>7</v>
      </c>
    </row>
    <row r="2" spans="1:20" ht="42.75" customHeight="1" thickBot="1" x14ac:dyDescent="0.25">
      <c r="A2" s="302" t="s">
        <v>96</v>
      </c>
      <c r="B2" s="259" t="s">
        <v>24</v>
      </c>
      <c r="C2" s="260" t="s">
        <v>0</v>
      </c>
      <c r="D2" s="230" t="s">
        <v>1</v>
      </c>
      <c r="E2" s="231" t="s">
        <v>2</v>
      </c>
      <c r="F2" s="232" t="s">
        <v>17</v>
      </c>
      <c r="G2" s="233" t="s">
        <v>3</v>
      </c>
      <c r="H2" s="231" t="s">
        <v>4</v>
      </c>
      <c r="I2" s="231" t="s">
        <v>5</v>
      </c>
      <c r="J2" s="234" t="s">
        <v>6</v>
      </c>
      <c r="K2" s="235" t="s">
        <v>97</v>
      </c>
      <c r="L2" s="364" t="s">
        <v>68</v>
      </c>
      <c r="M2" s="365" t="s">
        <v>98</v>
      </c>
      <c r="N2" s="366" t="s">
        <v>69</v>
      </c>
      <c r="O2" s="379" t="s">
        <v>70</v>
      </c>
      <c r="P2" s="378" t="s">
        <v>71</v>
      </c>
      <c r="Q2" s="363" t="s">
        <v>72</v>
      </c>
      <c r="R2" s="377" t="s">
        <v>73</v>
      </c>
      <c r="S2" s="291" t="s">
        <v>8</v>
      </c>
    </row>
    <row r="3" spans="1:20" ht="12.75" x14ac:dyDescent="0.2">
      <c r="A3" s="303">
        <v>1</v>
      </c>
      <c r="B3" s="261" t="s">
        <v>104</v>
      </c>
      <c r="C3" s="262">
        <v>520</v>
      </c>
      <c r="D3" s="236" cm="1">
        <f t="array" aca="1" ref="D3" ca="1">INDIRECT("'Bureau " &amp; ROW()-2 &amp; "'!$B$8")</f>
        <v>0</v>
      </c>
      <c r="E3" s="237" cm="1">
        <f t="array" aca="1" ref="E3" ca="1">INDIRECT("'Bureau " &amp; ROW()-2 &amp; "'!$B$7")</f>
        <v>0</v>
      </c>
      <c r="F3" s="238">
        <f t="shared" ref="F3:F14" ca="1" si="0">C3-E3</f>
        <v>520</v>
      </c>
      <c r="G3" s="236">
        <f ca="1">INDEX(INDIRECT("'Bureau "&amp;(ROW()-2)&amp;"'!13:13"),1,MATCH("Blancs",INDIRECT("'Bureau "&amp;(ROW()-2)&amp;"'!2:2"),0))</f>
        <v>0</v>
      </c>
      <c r="H3" s="239">
        <f ca="1">INDEX(INDIRECT("'Bureau "&amp;(ROW()-2)&amp;"'!13:13"),1,MATCH("Nuls",INDIRECT("'Bureau "&amp;(ROW()-2)&amp;"'!2:2"),0))</f>
        <v>0</v>
      </c>
      <c r="I3" s="240">
        <f t="shared" ref="I3:I14" ca="1" si="1">E3-G3-H3</f>
        <v>0</v>
      </c>
      <c r="J3" s="241">
        <f t="shared" ref="J3:J14" ca="1" si="2">E3/C3</f>
        <v>0</v>
      </c>
      <c r="K3" s="242">
        <f t="shared" ref="K3:K14" ca="1" si="3">F3/C3</f>
        <v>1</v>
      </c>
      <c r="L3" s="267">
        <f t="shared" ref="L3:L14" ca="1" si="4">INDEX(INDIRECT("'Bureau " &amp; ROW()-2 &amp; "'!E:E"), MATCH("TOTAL", INDIRECT("'Bureau " &amp; ROW() -2&amp; "'!D:D"), 0))</f>
        <v>0</v>
      </c>
      <c r="M3" s="268">
        <f t="shared" ref="M3:M14" ca="1" si="5">INDEX(INDIRECT("'Bureau " &amp; ROW()-2 &amp; "'!F:F"), MATCH("TOTAL", INDIRECT("'Bureau " &amp; ROW() -2&amp; "'!D:D"), 0))</f>
        <v>0</v>
      </c>
      <c r="N3" s="268">
        <f t="shared" ref="N3:N14" ca="1" si="6">INDEX(INDIRECT("'Bureau " &amp; ROW()-2 &amp; "'!G:G"), MATCH("TOTAL", INDIRECT("'Bureau " &amp; ROW() -2&amp; "'!D:D"), 0))</f>
        <v>0</v>
      </c>
      <c r="O3" s="268">
        <f t="shared" ref="O3:O14" ca="1" si="7">INDEX(INDIRECT("'Bureau " &amp; ROW()-2 &amp; "'!H:H"), MATCH("TOTAL", INDIRECT("'Bureau " &amp; ROW() -2&amp; "'!D:D"), 0))</f>
        <v>0</v>
      </c>
      <c r="P3" s="268">
        <f t="shared" ref="P3:P14" ca="1" si="8">INDEX(INDIRECT("'Bureau " &amp; ROW()-2 &amp; "'!I:I"), MATCH("TOTAL", INDIRECT("'Bureau " &amp; ROW() -2&amp; "'!D:D"), 0))</f>
        <v>0</v>
      </c>
      <c r="Q3" s="269">
        <f t="shared" ref="Q3:Q14" ca="1" si="9">INDEX(INDIRECT("'Bureau " &amp; ROW()-2 &amp; "'!J:J"), MATCH("TOTAL", INDIRECT("'Bureau " &amp; ROW() -2&amp; "'!D:D"), 0))</f>
        <v>0</v>
      </c>
      <c r="R3" s="545">
        <f ca="1">INDEX(INDIRECT("'Bureau " &amp; ROW()-2 &amp; "'!K:K"), MATCH("TOTAL", INDIRECT("'Bureau " &amp; ROW() -2&amp; "'!D:D"), 0))</f>
        <v>0</v>
      </c>
      <c r="S3" s="544" cm="1">
        <f t="array" aca="1" ref="S3" ca="1">SUM(IFERROR(L3:R3,0))</f>
        <v>0</v>
      </c>
    </row>
    <row r="4" spans="1:20" ht="12.75" x14ac:dyDescent="0.2">
      <c r="A4" s="304">
        <v>2</v>
      </c>
      <c r="B4" s="263" t="s">
        <v>27</v>
      </c>
      <c r="C4" s="264">
        <v>700</v>
      </c>
      <c r="D4" s="243" cm="1">
        <f t="array" aca="1" ref="D4" ca="1">INDIRECT("'Bureau " &amp; ROW()-2 &amp; "'!$B$8")</f>
        <v>0</v>
      </c>
      <c r="E4" s="244" cm="1">
        <f t="array" aca="1" ref="E4" ca="1">INDIRECT("'Bureau " &amp; ROW()-2 &amp; "'!$B$7")</f>
        <v>0</v>
      </c>
      <c r="F4" s="245">
        <f t="shared" ca="1" si="0"/>
        <v>700</v>
      </c>
      <c r="G4" s="246">
        <f ca="1">INDEX(INDIRECT("'Bureau "&amp;(ROW()-2)&amp;"'!13:13"),1,MATCH("Blancs",INDIRECT("'Bureau "&amp;(ROW()-2)&amp;"'!2:2"),0))</f>
        <v>0</v>
      </c>
      <c r="H4" s="247">
        <f t="shared" ref="H4:H14" ca="1" si="10">INDEX(INDIRECT("'Bureau "&amp;(ROW()-2)&amp;"'!13:13"),1,MATCH("Nuls",INDIRECT("'Bureau "&amp;(ROW()-2)&amp;"'!2:2"),0))</f>
        <v>0</v>
      </c>
      <c r="I4" s="248">
        <f t="shared" ca="1" si="1"/>
        <v>0</v>
      </c>
      <c r="J4" s="249">
        <f t="shared" ca="1" si="2"/>
        <v>0</v>
      </c>
      <c r="K4" s="250">
        <f t="shared" ca="1" si="3"/>
        <v>1</v>
      </c>
      <c r="L4" s="270">
        <f t="shared" ca="1" si="4"/>
        <v>0</v>
      </c>
      <c r="M4" s="271">
        <f t="shared" ca="1" si="5"/>
        <v>0</v>
      </c>
      <c r="N4" s="271">
        <f t="shared" ca="1" si="6"/>
        <v>0</v>
      </c>
      <c r="O4" s="271">
        <f t="shared" ca="1" si="7"/>
        <v>0</v>
      </c>
      <c r="P4" s="271">
        <f t="shared" ca="1" si="8"/>
        <v>0</v>
      </c>
      <c r="Q4" s="272">
        <f t="shared" ca="1" si="9"/>
        <v>0</v>
      </c>
      <c r="R4" s="306">
        <f t="shared" ref="R4:R14" ca="1" si="11">INDEX(INDIRECT("'Bureau " &amp; ROW()-2 &amp; "'!K:K"), MATCH("TOTAL", INDIRECT("'Bureau " &amp; ROW() -2&amp; "'!D:D"), 0))</f>
        <v>0</v>
      </c>
      <c r="S4" s="290" cm="1">
        <f t="array" aca="1" ref="S4" ca="1">SUM(IFERROR(L4:R4,0))</f>
        <v>0</v>
      </c>
    </row>
    <row r="5" spans="1:20" ht="12.75" x14ac:dyDescent="0.2">
      <c r="A5" s="304">
        <v>3</v>
      </c>
      <c r="B5" s="263" t="s">
        <v>27</v>
      </c>
      <c r="C5" s="264">
        <v>669</v>
      </c>
      <c r="D5" s="243" cm="1">
        <f t="array" aca="1" ref="D5" ca="1">INDIRECT("'Bureau " &amp; ROW()-2 &amp; "'!$B$8")</f>
        <v>0</v>
      </c>
      <c r="E5" s="244" cm="1">
        <f t="array" aca="1" ref="E5" ca="1">INDIRECT("'Bureau " &amp; ROW()-2 &amp; "'!$B$7")</f>
        <v>0</v>
      </c>
      <c r="F5" s="245">
        <f t="shared" ca="1" si="0"/>
        <v>669</v>
      </c>
      <c r="G5" s="246">
        <f t="shared" ref="G5:G14" ca="1" si="12">INDEX(INDIRECT("'Bureau "&amp;(ROW()-2)&amp;"'!13:13"),1,MATCH("Blancs",INDIRECT("'Bureau "&amp;(ROW()-2)&amp;"'!2:2"),0))</f>
        <v>0</v>
      </c>
      <c r="H5" s="247">
        <f t="shared" ca="1" si="10"/>
        <v>0</v>
      </c>
      <c r="I5" s="248">
        <f t="shared" ca="1" si="1"/>
        <v>0</v>
      </c>
      <c r="J5" s="249">
        <f t="shared" ca="1" si="2"/>
        <v>0</v>
      </c>
      <c r="K5" s="250">
        <f t="shared" ca="1" si="3"/>
        <v>1</v>
      </c>
      <c r="L5" s="270">
        <f t="shared" ca="1" si="4"/>
        <v>0</v>
      </c>
      <c r="M5" s="271">
        <f t="shared" ca="1" si="5"/>
        <v>0</v>
      </c>
      <c r="N5" s="271">
        <f t="shared" ca="1" si="6"/>
        <v>0</v>
      </c>
      <c r="O5" s="271">
        <f t="shared" ca="1" si="7"/>
        <v>0</v>
      </c>
      <c r="P5" s="271">
        <f t="shared" ca="1" si="8"/>
        <v>0</v>
      </c>
      <c r="Q5" s="272">
        <f t="shared" ca="1" si="9"/>
        <v>0</v>
      </c>
      <c r="R5" s="306">
        <f t="shared" ca="1" si="11"/>
        <v>0</v>
      </c>
      <c r="S5" s="290" cm="1">
        <f t="array" aca="1" ref="S5" ca="1">SUM(IFERROR(L5:R5,0))</f>
        <v>0</v>
      </c>
    </row>
    <row r="6" spans="1:20" ht="12.75" x14ac:dyDescent="0.2">
      <c r="A6" s="304">
        <v>4</v>
      </c>
      <c r="B6" s="263" t="s">
        <v>27</v>
      </c>
      <c r="C6" s="264">
        <v>651</v>
      </c>
      <c r="D6" s="243" cm="1">
        <f t="array" aca="1" ref="D6" ca="1">INDIRECT("'Bureau " &amp; ROW()-2 &amp; "'!$B$8")</f>
        <v>0</v>
      </c>
      <c r="E6" s="244" cm="1">
        <f t="array" aca="1" ref="E6" ca="1">INDIRECT("'Bureau " &amp; ROW()-2 &amp; "'!$B$7")</f>
        <v>0</v>
      </c>
      <c r="F6" s="245">
        <f t="shared" ca="1" si="0"/>
        <v>651</v>
      </c>
      <c r="G6" s="246">
        <f t="shared" ca="1" si="12"/>
        <v>0</v>
      </c>
      <c r="H6" s="247">
        <f t="shared" ca="1" si="10"/>
        <v>0</v>
      </c>
      <c r="I6" s="248">
        <f t="shared" ca="1" si="1"/>
        <v>0</v>
      </c>
      <c r="J6" s="249">
        <f t="shared" ca="1" si="2"/>
        <v>0</v>
      </c>
      <c r="K6" s="250">
        <f t="shared" ca="1" si="3"/>
        <v>1</v>
      </c>
      <c r="L6" s="270">
        <f t="shared" ca="1" si="4"/>
        <v>0</v>
      </c>
      <c r="M6" s="271">
        <f t="shared" ca="1" si="5"/>
        <v>0</v>
      </c>
      <c r="N6" s="271">
        <f t="shared" ca="1" si="6"/>
        <v>0</v>
      </c>
      <c r="O6" s="271">
        <f t="shared" ca="1" si="7"/>
        <v>0</v>
      </c>
      <c r="P6" s="271">
        <f t="shared" ca="1" si="8"/>
        <v>0</v>
      </c>
      <c r="Q6" s="272">
        <f t="shared" ca="1" si="9"/>
        <v>0</v>
      </c>
      <c r="R6" s="306">
        <f t="shared" ca="1" si="11"/>
        <v>0</v>
      </c>
      <c r="S6" s="290" cm="1">
        <f t="array" aca="1" ref="S6" ca="1">SUM(IFERROR(L6:R6,0))</f>
        <v>0</v>
      </c>
    </row>
    <row r="7" spans="1:20" ht="12.75" x14ac:dyDescent="0.2">
      <c r="A7" s="304">
        <v>5</v>
      </c>
      <c r="B7" s="263" t="s">
        <v>28</v>
      </c>
      <c r="C7" s="264">
        <v>671</v>
      </c>
      <c r="D7" s="243" cm="1">
        <f t="array" aca="1" ref="D7" ca="1">INDIRECT("'Bureau " &amp; ROW()-2 &amp; "'!$B$8")</f>
        <v>0</v>
      </c>
      <c r="E7" s="244" cm="1">
        <f t="array" aca="1" ref="E7" ca="1">INDIRECT("'Bureau " &amp; ROW()-2 &amp; "'!$B$7")</f>
        <v>0</v>
      </c>
      <c r="F7" s="245">
        <f t="shared" ca="1" si="0"/>
        <v>671</v>
      </c>
      <c r="G7" s="246">
        <f t="shared" ca="1" si="12"/>
        <v>0</v>
      </c>
      <c r="H7" s="247">
        <f t="shared" ca="1" si="10"/>
        <v>0</v>
      </c>
      <c r="I7" s="248">
        <f t="shared" ca="1" si="1"/>
        <v>0</v>
      </c>
      <c r="J7" s="249">
        <f t="shared" ca="1" si="2"/>
        <v>0</v>
      </c>
      <c r="K7" s="250">
        <f t="shared" ca="1" si="3"/>
        <v>1</v>
      </c>
      <c r="L7" s="270">
        <f t="shared" ca="1" si="4"/>
        <v>0</v>
      </c>
      <c r="M7" s="271">
        <f t="shared" ca="1" si="5"/>
        <v>0</v>
      </c>
      <c r="N7" s="271">
        <f t="shared" ca="1" si="6"/>
        <v>0</v>
      </c>
      <c r="O7" s="271">
        <f t="shared" ca="1" si="7"/>
        <v>0</v>
      </c>
      <c r="P7" s="271">
        <f t="shared" ca="1" si="8"/>
        <v>0</v>
      </c>
      <c r="Q7" s="272">
        <f t="shared" ca="1" si="9"/>
        <v>0</v>
      </c>
      <c r="R7" s="306">
        <f t="shared" ca="1" si="11"/>
        <v>0</v>
      </c>
      <c r="S7" s="290" cm="1">
        <f t="array" aca="1" ref="S7" ca="1">SUM(IFERROR(L7:R7,0))</f>
        <v>0</v>
      </c>
    </row>
    <row r="8" spans="1:20" ht="12.75" x14ac:dyDescent="0.2">
      <c r="A8" s="304">
        <v>6</v>
      </c>
      <c r="B8" s="263" t="s">
        <v>28</v>
      </c>
      <c r="C8" s="264">
        <v>687</v>
      </c>
      <c r="D8" s="243" cm="1">
        <f t="array" aca="1" ref="D8" ca="1">INDIRECT("'Bureau " &amp; ROW()-2 &amp; "'!$B$8")</f>
        <v>0</v>
      </c>
      <c r="E8" s="244" cm="1">
        <f t="array" aca="1" ref="E8" ca="1">INDIRECT("'Bureau " &amp; ROW()-2 &amp; "'!$B$7")</f>
        <v>0</v>
      </c>
      <c r="F8" s="245">
        <f t="shared" ca="1" si="0"/>
        <v>687</v>
      </c>
      <c r="G8" s="246">
        <f t="shared" ca="1" si="12"/>
        <v>0</v>
      </c>
      <c r="H8" s="247">
        <f t="shared" ca="1" si="10"/>
        <v>0</v>
      </c>
      <c r="I8" s="248">
        <f t="shared" ca="1" si="1"/>
        <v>0</v>
      </c>
      <c r="J8" s="249">
        <f t="shared" ca="1" si="2"/>
        <v>0</v>
      </c>
      <c r="K8" s="250">
        <f t="shared" ca="1" si="3"/>
        <v>1</v>
      </c>
      <c r="L8" s="270">
        <f t="shared" ca="1" si="4"/>
        <v>0</v>
      </c>
      <c r="M8" s="271">
        <f t="shared" ca="1" si="5"/>
        <v>0</v>
      </c>
      <c r="N8" s="271">
        <f t="shared" ca="1" si="6"/>
        <v>0</v>
      </c>
      <c r="O8" s="271">
        <f t="shared" ca="1" si="7"/>
        <v>0</v>
      </c>
      <c r="P8" s="271">
        <f t="shared" ca="1" si="8"/>
        <v>0</v>
      </c>
      <c r="Q8" s="272">
        <f t="shared" ca="1" si="9"/>
        <v>0</v>
      </c>
      <c r="R8" s="306">
        <f t="shared" ca="1" si="11"/>
        <v>0</v>
      </c>
      <c r="S8" s="290" cm="1">
        <f t="array" aca="1" ref="S8" ca="1">SUM(IFERROR(L8:R8,0))</f>
        <v>0</v>
      </c>
    </row>
    <row r="9" spans="1:20" ht="12.75" x14ac:dyDescent="0.2">
      <c r="A9" s="304">
        <v>7</v>
      </c>
      <c r="B9" s="263" t="s">
        <v>28</v>
      </c>
      <c r="C9" s="264">
        <v>692</v>
      </c>
      <c r="D9" s="243" cm="1">
        <f t="array" aca="1" ref="D9" ca="1">INDIRECT("'Bureau " &amp; ROW()-2 &amp; "'!$B$8")</f>
        <v>0</v>
      </c>
      <c r="E9" s="244" cm="1">
        <f t="array" aca="1" ref="E9" ca="1">INDIRECT("'Bureau " &amp; ROW()-2 &amp; "'!$B$7")</f>
        <v>0</v>
      </c>
      <c r="F9" s="245">
        <f t="shared" ca="1" si="0"/>
        <v>692</v>
      </c>
      <c r="G9" s="246">
        <f t="shared" ca="1" si="12"/>
        <v>0</v>
      </c>
      <c r="H9" s="247">
        <f t="shared" ca="1" si="10"/>
        <v>0</v>
      </c>
      <c r="I9" s="248">
        <f t="shared" ca="1" si="1"/>
        <v>0</v>
      </c>
      <c r="J9" s="249">
        <f t="shared" ca="1" si="2"/>
        <v>0</v>
      </c>
      <c r="K9" s="250">
        <f t="shared" ca="1" si="3"/>
        <v>1</v>
      </c>
      <c r="L9" s="270">
        <f t="shared" ca="1" si="4"/>
        <v>0</v>
      </c>
      <c r="M9" s="271">
        <f t="shared" ca="1" si="5"/>
        <v>0</v>
      </c>
      <c r="N9" s="271">
        <f t="shared" ca="1" si="6"/>
        <v>0</v>
      </c>
      <c r="O9" s="271">
        <f t="shared" ca="1" si="7"/>
        <v>0</v>
      </c>
      <c r="P9" s="271">
        <f t="shared" ca="1" si="8"/>
        <v>0</v>
      </c>
      <c r="Q9" s="272">
        <f t="shared" ca="1" si="9"/>
        <v>0</v>
      </c>
      <c r="R9" s="306">
        <f t="shared" ca="1" si="11"/>
        <v>0</v>
      </c>
      <c r="S9" s="290" cm="1">
        <f t="array" aca="1" ref="S9" ca="1">SUM(IFERROR(L9:R9,0))</f>
        <v>0</v>
      </c>
    </row>
    <row r="10" spans="1:20" ht="12.75" x14ac:dyDescent="0.2">
      <c r="A10" s="304">
        <v>8</v>
      </c>
      <c r="B10" s="263" t="s">
        <v>28</v>
      </c>
      <c r="C10" s="264">
        <v>620</v>
      </c>
      <c r="D10" s="243" cm="1">
        <f t="array" aca="1" ref="D10" ca="1">INDIRECT("'Bureau " &amp; ROW()-2 &amp; "'!$B$8")</f>
        <v>0</v>
      </c>
      <c r="E10" s="244" cm="1">
        <f t="array" aca="1" ref="E10" ca="1">INDIRECT("'Bureau " &amp; ROW()-2 &amp; "'!$B$7")</f>
        <v>0</v>
      </c>
      <c r="F10" s="245">
        <f t="shared" ca="1" si="0"/>
        <v>620</v>
      </c>
      <c r="G10" s="246">
        <f t="shared" ca="1" si="12"/>
        <v>0</v>
      </c>
      <c r="H10" s="247">
        <f t="shared" ca="1" si="10"/>
        <v>0</v>
      </c>
      <c r="I10" s="248">
        <f t="shared" ca="1" si="1"/>
        <v>0</v>
      </c>
      <c r="J10" s="249">
        <f t="shared" ca="1" si="2"/>
        <v>0</v>
      </c>
      <c r="K10" s="250">
        <f t="shared" ca="1" si="3"/>
        <v>1</v>
      </c>
      <c r="L10" s="270">
        <f t="shared" ca="1" si="4"/>
        <v>0</v>
      </c>
      <c r="M10" s="271">
        <f t="shared" ca="1" si="5"/>
        <v>0</v>
      </c>
      <c r="N10" s="271">
        <f t="shared" ca="1" si="6"/>
        <v>0</v>
      </c>
      <c r="O10" s="271">
        <f t="shared" ca="1" si="7"/>
        <v>0</v>
      </c>
      <c r="P10" s="271">
        <f t="shared" ca="1" si="8"/>
        <v>0</v>
      </c>
      <c r="Q10" s="272">
        <f t="shared" ca="1" si="9"/>
        <v>0</v>
      </c>
      <c r="R10" s="306">
        <f t="shared" ca="1" si="11"/>
        <v>0</v>
      </c>
      <c r="S10" s="290" cm="1">
        <f t="array" aca="1" ref="S10" ca="1">SUM(IFERROR(L10:R10,0))</f>
        <v>0</v>
      </c>
    </row>
    <row r="11" spans="1:20" ht="12.75" x14ac:dyDescent="0.2">
      <c r="A11" s="304">
        <v>9</v>
      </c>
      <c r="B11" s="263" t="s">
        <v>29</v>
      </c>
      <c r="C11" s="264">
        <v>671</v>
      </c>
      <c r="D11" s="243" cm="1">
        <f t="array" aca="1" ref="D11" ca="1">INDIRECT("'Bureau " &amp; ROW()-2 &amp; "'!$B$8")</f>
        <v>0</v>
      </c>
      <c r="E11" s="244" cm="1">
        <f t="array" aca="1" ref="E11" ca="1">INDIRECT("'Bureau " &amp; ROW()-2 &amp; "'!$B$7")</f>
        <v>0</v>
      </c>
      <c r="F11" s="245">
        <f t="shared" ca="1" si="0"/>
        <v>671</v>
      </c>
      <c r="G11" s="246">
        <f t="shared" ca="1" si="12"/>
        <v>0</v>
      </c>
      <c r="H11" s="247">
        <f t="shared" ca="1" si="10"/>
        <v>0</v>
      </c>
      <c r="I11" s="248">
        <f t="shared" ca="1" si="1"/>
        <v>0</v>
      </c>
      <c r="J11" s="249">
        <f t="shared" ca="1" si="2"/>
        <v>0</v>
      </c>
      <c r="K11" s="250">
        <f t="shared" ca="1" si="3"/>
        <v>1</v>
      </c>
      <c r="L11" s="270">
        <f t="shared" ca="1" si="4"/>
        <v>0</v>
      </c>
      <c r="M11" s="271">
        <f t="shared" ca="1" si="5"/>
        <v>0</v>
      </c>
      <c r="N11" s="271">
        <f t="shared" ca="1" si="6"/>
        <v>0</v>
      </c>
      <c r="O11" s="271">
        <f t="shared" ca="1" si="7"/>
        <v>0</v>
      </c>
      <c r="P11" s="271">
        <f t="shared" ca="1" si="8"/>
        <v>0</v>
      </c>
      <c r="Q11" s="272">
        <f t="shared" ca="1" si="9"/>
        <v>0</v>
      </c>
      <c r="R11" s="306">
        <f t="shared" ca="1" si="11"/>
        <v>0</v>
      </c>
      <c r="S11" s="290" cm="1">
        <f t="array" aca="1" ref="S11" ca="1">SUM(IFERROR(L11:R11,0))</f>
        <v>0</v>
      </c>
    </row>
    <row r="12" spans="1:20" ht="12.75" x14ac:dyDescent="0.2">
      <c r="A12" s="304">
        <v>10</v>
      </c>
      <c r="B12" s="263" t="s">
        <v>29</v>
      </c>
      <c r="C12" s="264">
        <v>581</v>
      </c>
      <c r="D12" s="243" cm="1">
        <f t="array" aca="1" ref="D12" ca="1">INDIRECT("'Bureau " &amp; ROW()-2 &amp; "'!$B$8")</f>
        <v>0</v>
      </c>
      <c r="E12" s="244" cm="1">
        <f t="array" aca="1" ref="E12" ca="1">INDIRECT("'Bureau " &amp; ROW()-2 &amp; "'!$B$7")</f>
        <v>0</v>
      </c>
      <c r="F12" s="245">
        <f t="shared" ca="1" si="0"/>
        <v>581</v>
      </c>
      <c r="G12" s="246">
        <f t="shared" ca="1" si="12"/>
        <v>0</v>
      </c>
      <c r="H12" s="247">
        <f t="shared" ca="1" si="10"/>
        <v>0</v>
      </c>
      <c r="I12" s="248">
        <f t="shared" ca="1" si="1"/>
        <v>0</v>
      </c>
      <c r="J12" s="249">
        <f t="shared" ca="1" si="2"/>
        <v>0</v>
      </c>
      <c r="K12" s="250">
        <f t="shared" ca="1" si="3"/>
        <v>1</v>
      </c>
      <c r="L12" s="270">
        <f t="shared" ca="1" si="4"/>
        <v>0</v>
      </c>
      <c r="M12" s="271">
        <f t="shared" ca="1" si="5"/>
        <v>0</v>
      </c>
      <c r="N12" s="271">
        <f t="shared" ca="1" si="6"/>
        <v>0</v>
      </c>
      <c r="O12" s="271">
        <f t="shared" ca="1" si="7"/>
        <v>0</v>
      </c>
      <c r="P12" s="271">
        <f t="shared" ca="1" si="8"/>
        <v>0</v>
      </c>
      <c r="Q12" s="272">
        <f t="shared" ca="1" si="9"/>
        <v>0</v>
      </c>
      <c r="R12" s="306">
        <f t="shared" ca="1" si="11"/>
        <v>0</v>
      </c>
      <c r="S12" s="290" cm="1">
        <f t="array" aca="1" ref="S12" ca="1">SUM(IFERROR(L12:R12,0))</f>
        <v>0</v>
      </c>
      <c r="T12" s="355"/>
    </row>
    <row r="13" spans="1:20" ht="12.75" x14ac:dyDescent="0.2">
      <c r="A13" s="304">
        <v>11</v>
      </c>
      <c r="B13" s="263" t="s">
        <v>29</v>
      </c>
      <c r="C13" s="264">
        <v>649</v>
      </c>
      <c r="D13" s="243" cm="1">
        <f t="array" aca="1" ref="D13" ca="1">INDIRECT("'Bureau " &amp; ROW()-2 &amp; "'!$B$8")</f>
        <v>0</v>
      </c>
      <c r="E13" s="244" cm="1">
        <f t="array" aca="1" ref="E13" ca="1">INDIRECT("'Bureau " &amp; ROW()-2 &amp; "'!$B$7")</f>
        <v>0</v>
      </c>
      <c r="F13" s="245">
        <f t="shared" ca="1" si="0"/>
        <v>649</v>
      </c>
      <c r="G13" s="246">
        <f t="shared" ca="1" si="12"/>
        <v>0</v>
      </c>
      <c r="H13" s="247">
        <f t="shared" ca="1" si="10"/>
        <v>0</v>
      </c>
      <c r="I13" s="248">
        <f t="shared" ca="1" si="1"/>
        <v>0</v>
      </c>
      <c r="J13" s="249">
        <f t="shared" ca="1" si="2"/>
        <v>0</v>
      </c>
      <c r="K13" s="250">
        <f t="shared" ca="1" si="3"/>
        <v>1</v>
      </c>
      <c r="L13" s="270">
        <f t="shared" ca="1" si="4"/>
        <v>0</v>
      </c>
      <c r="M13" s="271">
        <f t="shared" ca="1" si="5"/>
        <v>0</v>
      </c>
      <c r="N13" s="271">
        <f t="shared" ca="1" si="6"/>
        <v>0</v>
      </c>
      <c r="O13" s="271">
        <f t="shared" ca="1" si="7"/>
        <v>0</v>
      </c>
      <c r="P13" s="271">
        <f t="shared" ca="1" si="8"/>
        <v>0</v>
      </c>
      <c r="Q13" s="272">
        <f t="shared" ca="1" si="9"/>
        <v>0</v>
      </c>
      <c r="R13" s="306">
        <f t="shared" ca="1" si="11"/>
        <v>0</v>
      </c>
      <c r="S13" s="290" cm="1">
        <f t="array" aca="1" ref="S13" ca="1">SUM(IFERROR(L13:R13,0))</f>
        <v>0</v>
      </c>
    </row>
    <row r="14" spans="1:20" ht="13.5" thickBot="1" x14ac:dyDescent="0.25">
      <c r="A14" s="305">
        <v>12</v>
      </c>
      <c r="B14" s="265" t="s">
        <v>30</v>
      </c>
      <c r="C14" s="266">
        <v>645</v>
      </c>
      <c r="D14" s="251" cm="1">
        <f t="array" aca="1" ref="D14" ca="1">INDIRECT("'Bureau " &amp; ROW()-2 &amp; "'!$B$8")</f>
        <v>0</v>
      </c>
      <c r="E14" s="252" cm="1">
        <f t="array" aca="1" ref="E14" ca="1">INDIRECT("'Bureau " &amp; ROW()-2 &amp; "'!$B$7")</f>
        <v>0</v>
      </c>
      <c r="F14" s="253">
        <f t="shared" ca="1" si="0"/>
        <v>645</v>
      </c>
      <c r="G14" s="254">
        <f t="shared" ca="1" si="12"/>
        <v>0</v>
      </c>
      <c r="H14" s="255">
        <f t="shared" ca="1" si="10"/>
        <v>0</v>
      </c>
      <c r="I14" s="256">
        <f t="shared" ca="1" si="1"/>
        <v>0</v>
      </c>
      <c r="J14" s="257">
        <f t="shared" ca="1" si="2"/>
        <v>0</v>
      </c>
      <c r="K14" s="258">
        <f t="shared" ca="1" si="3"/>
        <v>1</v>
      </c>
      <c r="L14" s="273">
        <f t="shared" ca="1" si="4"/>
        <v>0</v>
      </c>
      <c r="M14" s="274">
        <f t="shared" ca="1" si="5"/>
        <v>0</v>
      </c>
      <c r="N14" s="274">
        <f t="shared" ca="1" si="6"/>
        <v>0</v>
      </c>
      <c r="O14" s="274">
        <f t="shared" ca="1" si="7"/>
        <v>0</v>
      </c>
      <c r="P14" s="274">
        <f t="shared" ca="1" si="8"/>
        <v>0</v>
      </c>
      <c r="Q14" s="275">
        <f t="shared" ca="1" si="9"/>
        <v>0</v>
      </c>
      <c r="R14" s="307">
        <f t="shared" ca="1" si="11"/>
        <v>0</v>
      </c>
      <c r="S14" s="292" cm="1">
        <f t="array" aca="1" ref="S14" ca="1">SUM(IFERROR(L14:R14,0))</f>
        <v>0</v>
      </c>
    </row>
    <row r="15" spans="1:20" ht="15.75" customHeight="1" x14ac:dyDescent="0.25">
      <c r="A15" s="546" t="s">
        <v>9</v>
      </c>
      <c r="B15" s="547"/>
      <c r="C15" s="219" cm="1">
        <f t="array" ref="C15">SUM(IFERROR(C3:C14,0))</f>
        <v>7756</v>
      </c>
      <c r="D15" s="40" cm="1">
        <f t="array" aca="1" ref="D15" ca="1">SUM(IFERROR(D3:D14,0))</f>
        <v>0</v>
      </c>
      <c r="E15" s="67" cm="1">
        <f t="array" aca="1" ref="E15" ca="1">SUM(IFERROR(E3:E14,0))</f>
        <v>0</v>
      </c>
      <c r="F15" s="67" cm="1">
        <f t="array" aca="1" ref="F15" ca="1">SUM(IFERROR(F3:F14,0))</f>
        <v>7756</v>
      </c>
      <c r="G15" s="32" cm="1">
        <f t="array" aca="1" ref="G15" ca="1">SUM(IFERROR(G3:G14,0))</f>
        <v>0</v>
      </c>
      <c r="H15" s="33" cm="1">
        <f t="array" aca="1" ref="H15" ca="1">SUM(IFERROR(H3:H14,0))</f>
        <v>0</v>
      </c>
      <c r="I15" s="73" cm="1">
        <f t="array" aca="1" ref="I15" ca="1">SUM(IFERROR(I3:I14,0))</f>
        <v>0</v>
      </c>
      <c r="J15" s="74">
        <f ca="1">E15</f>
        <v>0</v>
      </c>
      <c r="K15" s="75" cm="1">
        <f t="array" aca="1" ref="K15" ca="1">SUM(IFERROR(F3:F14,0))</f>
        <v>7756</v>
      </c>
      <c r="L15" s="227" cm="1">
        <f t="array" aca="1" ref="L15" ca="1">SUM(IFERROR(L3:L14,0))</f>
        <v>0</v>
      </c>
      <c r="M15" s="224" cm="1">
        <f t="array" aca="1" ref="M15" ca="1">SUM(IFERROR(M3:M14,0))</f>
        <v>0</v>
      </c>
      <c r="N15" s="224" cm="1">
        <f t="array" aca="1" ref="N15" ca="1">SUM(IFERROR(N3:N14,0))</f>
        <v>0</v>
      </c>
      <c r="O15" s="224" cm="1">
        <f t="array" aca="1" ref="O15" ca="1">SUM(IFERROR(O3:O14,0))</f>
        <v>0</v>
      </c>
      <c r="P15" s="225" cm="1">
        <f t="array" aca="1" ref="P15" ca="1">SUM(IFERROR(P3:P14,0))</f>
        <v>0</v>
      </c>
      <c r="Q15" s="226" cm="1">
        <f t="array" aca="1" ref="Q15" ca="1">SUM(IFERROR(Q3:Q14,0))</f>
        <v>0</v>
      </c>
      <c r="R15" s="70" cm="1">
        <f t="array" aca="1" ref="R15" ca="1">SUM(IFERROR(R3:R14,0))</f>
        <v>0</v>
      </c>
      <c r="S15" s="294" cm="1">
        <f t="array" aca="1" ref="S15" ca="1">SUM(IFERROR(S3:S14,0))</f>
        <v>0</v>
      </c>
    </row>
    <row r="16" spans="1:20" ht="15.75" customHeight="1" thickBot="1" x14ac:dyDescent="0.3">
      <c r="A16" s="548" t="s">
        <v>10</v>
      </c>
      <c r="B16" s="549"/>
      <c r="C16" s="202"/>
      <c r="D16" s="34">
        <f t="shared" ref="D16:K16" ca="1" si="13">D15/$C15</f>
        <v>0</v>
      </c>
      <c r="E16" s="68">
        <f t="shared" ca="1" si="13"/>
        <v>0</v>
      </c>
      <c r="F16" s="68">
        <f t="shared" ca="1" si="13"/>
        <v>1</v>
      </c>
      <c r="G16" s="34">
        <f t="shared" ca="1" si="13"/>
        <v>0</v>
      </c>
      <c r="H16" s="35">
        <f t="shared" ca="1" si="13"/>
        <v>0</v>
      </c>
      <c r="I16" s="38">
        <f t="shared" ca="1" si="13"/>
        <v>0</v>
      </c>
      <c r="J16" s="71">
        <f t="shared" ca="1" si="13"/>
        <v>0</v>
      </c>
      <c r="K16" s="37">
        <f t="shared" ca="1" si="13"/>
        <v>1</v>
      </c>
      <c r="L16" s="228">
        <f t="shared" ref="L16:S16" ca="1" si="14">IFERROR(L15/$I15,0)</f>
        <v>0</v>
      </c>
      <c r="M16" s="41">
        <f t="shared" ca="1" si="14"/>
        <v>0</v>
      </c>
      <c r="N16" s="41">
        <f t="shared" ca="1" si="14"/>
        <v>0</v>
      </c>
      <c r="O16" s="41">
        <f t="shared" ca="1" si="14"/>
        <v>0</v>
      </c>
      <c r="P16" s="42">
        <f t="shared" ca="1" si="14"/>
        <v>0</v>
      </c>
      <c r="Q16" s="72">
        <f t="shared" ca="1" si="14"/>
        <v>0</v>
      </c>
      <c r="R16" s="72">
        <f t="shared" ca="1" si="14"/>
        <v>0</v>
      </c>
      <c r="S16" s="295">
        <f t="shared" ca="1" si="14"/>
        <v>0</v>
      </c>
    </row>
    <row r="17" spans="1:19" ht="20.25" customHeight="1" x14ac:dyDescent="0.2">
      <c r="A17" s="296" t="s">
        <v>11</v>
      </c>
      <c r="B17" s="299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0.25" customHeight="1" x14ac:dyDescent="0.2">
      <c r="A18" s="297" t="s">
        <v>12</v>
      </c>
      <c r="B18" s="300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1" customHeight="1" thickBot="1" x14ac:dyDescent="0.25">
      <c r="A19" s="298" t="s">
        <v>13</v>
      </c>
      <c r="B19" s="301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2.75" x14ac:dyDescent="0.2">
      <c r="A24" s="24" t="s">
        <v>25</v>
      </c>
      <c r="B24" s="25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2.75" x14ac:dyDescent="0.2">
      <c r="A25" s="24" t="s">
        <v>26</v>
      </c>
      <c r="B25" s="2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2.75" x14ac:dyDescent="0.2">
      <c r="A30" s="26" t="s">
        <v>18</v>
      </c>
      <c r="B30" s="2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2.75" x14ac:dyDescent="0.2">
      <c r="A31" s="28" t="s">
        <v>19</v>
      </c>
      <c r="B31" s="2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2.75" x14ac:dyDescent="0.2">
      <c r="A32" s="26" t="s">
        <v>20</v>
      </c>
      <c r="B32" s="2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mergeCells count="2">
    <mergeCell ref="A15:B15"/>
    <mergeCell ref="A16:B16"/>
  </mergeCells>
  <phoneticPr fontId="26" type="noConversion"/>
  <conditionalFormatting sqref="D16:S16">
    <cfRule type="cellIs" dxfId="421" priority="19" operator="greaterThan">
      <formula>"100%"</formula>
    </cfRule>
  </conditionalFormatting>
  <conditionalFormatting sqref="J3:J14">
    <cfRule type="cellIs" dxfId="420" priority="25" operator="notBetween">
      <formula>0</formula>
      <formula>"100%"</formula>
    </cfRule>
  </conditionalFormatting>
  <conditionalFormatting sqref="F3:F14 K3:K14">
    <cfRule type="cellIs" dxfId="419" priority="24" operator="lessThan">
      <formula>0</formula>
    </cfRule>
  </conditionalFormatting>
  <conditionalFormatting sqref="L3:S16">
    <cfRule type="cellIs" dxfId="418" priority="3" operator="lessThan">
      <formula>0</formula>
    </cfRule>
  </conditionalFormatting>
  <conditionalFormatting sqref="S3:S14">
    <cfRule type="cellIs" dxfId="417" priority="5" operator="equal">
      <formula>I3</formula>
    </cfRule>
  </conditionalFormatting>
  <conditionalFormatting sqref="S3:S16">
    <cfRule type="cellIs" dxfId="416" priority="1" operator="equal">
      <formula>0</formula>
    </cfRule>
  </conditionalFormatting>
  <conditionalFormatting sqref="S15">
    <cfRule type="cellIs" dxfId="415" priority="2" operator="equal">
      <formula>$I$15</formula>
    </cfRule>
    <cfRule type="cellIs" dxfId="414" priority="4" operator="lessThan">
      <formula>E14</formula>
    </cfRule>
  </conditionalFormatting>
  <conditionalFormatting sqref="S16">
    <cfRule type="cellIs" dxfId="413" priority="18" operator="equal">
      <formula>1</formula>
    </cfRule>
    <cfRule type="cellIs" dxfId="412" priority="23" operator="lessThan">
      <formula>1</formula>
    </cfRule>
  </conditionalFormatting>
  <conditionalFormatting sqref="L15:R15">
    <cfRule type="colorScale" priority="206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R16">
    <cfRule type="colorScale" priority="208">
      <colorScale>
        <cfvo type="percent" val="0"/>
        <cfvo type="max"/>
        <color theme="0" tint="-0.14999847407452621"/>
        <color theme="0" tint="-0.34998626667073579"/>
      </colorScale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20</xdr:col>
                    <xdr:colOff>438150</xdr:colOff>
                    <xdr:row>13</xdr:row>
                    <xdr:rowOff>133350</xdr:rowOff>
                  </from>
                  <to>
                    <xdr:col>23</xdr:col>
                    <xdr:colOff>209550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workbookViewId="0">
      <selection activeCell="D2" sqref="D2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561" t="s">
        <v>15</v>
      </c>
      <c r="B1" s="562"/>
      <c r="C1" s="572" t="s">
        <v>2</v>
      </c>
      <c r="D1" s="569"/>
      <c r="E1" s="551"/>
      <c r="F1" s="52" t="s">
        <v>0</v>
      </c>
      <c r="G1" s="561" t="s">
        <v>33</v>
      </c>
      <c r="H1" s="562"/>
      <c r="I1" s="561" t="s">
        <v>34</v>
      </c>
      <c r="J1" s="562"/>
      <c r="K1" s="561" t="s">
        <v>35</v>
      </c>
      <c r="L1" s="562"/>
      <c r="M1" s="550" t="s">
        <v>36</v>
      </c>
      <c r="N1" s="551"/>
      <c r="O1" s="561" t="s">
        <v>37</v>
      </c>
      <c r="P1" s="562"/>
      <c r="Q1" s="550" t="s">
        <v>38</v>
      </c>
      <c r="R1" s="569"/>
      <c r="S1" s="570" t="s">
        <v>39</v>
      </c>
      <c r="T1" s="571"/>
      <c r="U1" s="572" t="s">
        <v>40</v>
      </c>
      <c r="V1" s="551"/>
      <c r="W1" s="561" t="s">
        <v>41</v>
      </c>
      <c r="X1" s="562"/>
      <c r="Y1" s="550" t="s">
        <v>42</v>
      </c>
      <c r="Z1" s="551"/>
      <c r="AA1" s="557" t="s">
        <v>43</v>
      </c>
      <c r="AB1" s="558"/>
      <c r="AC1" s="559" t="s">
        <v>44</v>
      </c>
      <c r="AD1" s="560"/>
      <c r="AE1" s="96" t="s">
        <v>15</v>
      </c>
      <c r="AF1" s="97" t="s">
        <v>33</v>
      </c>
      <c r="AG1" s="98" t="s">
        <v>34</v>
      </c>
      <c r="AH1" s="98" t="s">
        <v>35</v>
      </c>
      <c r="AI1" s="98" t="s">
        <v>36</v>
      </c>
      <c r="AJ1" s="98" t="s">
        <v>37</v>
      </c>
      <c r="AK1" s="98" t="s">
        <v>38</v>
      </c>
      <c r="AL1" s="98" t="s">
        <v>39</v>
      </c>
      <c r="AM1" s="98" t="s">
        <v>40</v>
      </c>
      <c r="AN1" s="98" t="s">
        <v>41</v>
      </c>
      <c r="AO1" s="99" t="s">
        <v>42</v>
      </c>
      <c r="AP1" s="89" t="s">
        <v>43</v>
      </c>
      <c r="AQ1" s="88" t="s">
        <v>44</v>
      </c>
    </row>
    <row r="2" spans="1:43" ht="15.75" customHeight="1" x14ac:dyDescent="0.2">
      <c r="A2" s="29">
        <v>1</v>
      </c>
      <c r="B2" s="30" t="str">
        <f>Synthèse!B3</f>
        <v>Ecole Chabaud</v>
      </c>
      <c r="C2" s="390">
        <f ca="1">MAX(G2,I2,K2,M2,O2,Q2,S2,U2,W2,Y2,AA2,AC2)</f>
        <v>0</v>
      </c>
      <c r="D2" s="15">
        <f t="shared" ref="D2:D14" ca="1" si="0">C2/$F2</f>
        <v>0</v>
      </c>
      <c r="E2" s="18">
        <f ca="1">D2</f>
        <v>0</v>
      </c>
      <c r="F2" s="391">
        <v>506</v>
      </c>
      <c r="G2" s="392" cm="1">
        <f t="array" aca="1" ref="G2" ca="1">INDIRECT("'Bureau " &amp; ROW()-1 &amp; "'!$Q4")</f>
        <v>0</v>
      </c>
      <c r="H2" s="43">
        <f t="shared" ref="H2:H13" ca="1" si="1">G2/$F2</f>
        <v>0</v>
      </c>
      <c r="I2" s="393" cm="1">
        <f t="array" aca="1" ref="I2" ca="1">INDIRECT("'Bureau " &amp; ROW()-1 &amp; "'!$Q5")</f>
        <v>0</v>
      </c>
      <c r="J2" s="43">
        <f t="shared" ref="J2:J14" ca="1" si="2">I2/$F2</f>
        <v>0</v>
      </c>
      <c r="K2" s="393" cm="1">
        <f t="array" aca="1" ref="K2" ca="1">INDIRECT("'Bureau " &amp; ROW()-1 &amp; "'!$Q6")</f>
        <v>0</v>
      </c>
      <c r="L2" s="44">
        <f t="shared" ref="L2:L14" ca="1" si="3">K2/$F2</f>
        <v>0</v>
      </c>
      <c r="M2" s="394" cm="1">
        <f t="array" aca="1" ref="M2" ca="1">INDIRECT("'Bureau " &amp; ROW()-1 &amp; "'!$Q7")</f>
        <v>0</v>
      </c>
      <c r="N2" s="55">
        <f t="shared" ref="N2:N14" ca="1" si="4">M2/$F2</f>
        <v>0</v>
      </c>
      <c r="O2" s="395" cm="1">
        <f t="array" aca="1" ref="O2" ca="1">INDIRECT("'Bureau " &amp; ROW()-1 &amp; "'!$Q8")</f>
        <v>0</v>
      </c>
      <c r="P2" s="44">
        <f t="shared" ref="P2:P14" ca="1" si="5">O2/$F2</f>
        <v>0</v>
      </c>
      <c r="Q2" s="394" cm="1">
        <f t="array" aca="1" ref="Q2" ca="1">INDIRECT("'Bureau " &amp; ROW()-1 &amp; "'!$Q9")</f>
        <v>0</v>
      </c>
      <c r="R2" s="55">
        <f t="shared" ref="R2:R14" ca="1" si="6">Q2/$F2</f>
        <v>0</v>
      </c>
      <c r="S2" s="396" cm="1">
        <f t="array" aca="1" ref="S2" ca="1">INDIRECT("'Bureau " &amp; ROW()-1 &amp; "'!$Q10")</f>
        <v>0</v>
      </c>
      <c r="T2" s="76">
        <f t="shared" ref="T2:T14" ca="1" si="7">S2/$F2</f>
        <v>0</v>
      </c>
      <c r="U2" s="394" cm="1">
        <f t="array" aca="1" ref="U2" ca="1">INDIRECT("'Bureau " &amp; ROW()-1 &amp; "'!$Q11")</f>
        <v>0</v>
      </c>
      <c r="V2" s="55">
        <f t="shared" ref="V2:V14" ca="1" si="8">U2/$F2</f>
        <v>0</v>
      </c>
      <c r="W2" s="395" cm="1">
        <f t="array" aca="1" ref="W2" ca="1">INDIRECT("'Bureau " &amp; ROW()-1 &amp; "'!$Q12")</f>
        <v>0</v>
      </c>
      <c r="X2" s="44">
        <f t="shared" ref="X2:X14" ca="1" si="9">W2/$F2</f>
        <v>0</v>
      </c>
      <c r="Y2" s="397" cm="1">
        <f t="array" aca="1" ref="Y2" ca="1">INDIRECT("'Bureau " &amp; ROW()-1 &amp; "'!$Q13")</f>
        <v>0</v>
      </c>
      <c r="Z2" s="77">
        <f t="shared" ref="Z2:Z14" ca="1" si="10">Y2/$F2</f>
        <v>0</v>
      </c>
      <c r="AA2" s="94" cm="1">
        <f t="array" aca="1" ref="AA2" ca="1">INDIRECT("'Bureau " &amp; ROW()-1 &amp; "'!$Q14")</f>
        <v>0</v>
      </c>
      <c r="AB2" s="49">
        <f t="shared" ref="AB2:AB14" ca="1" si="11">AA2/$F2</f>
        <v>0</v>
      </c>
      <c r="AC2" s="95" cm="1">
        <f t="array" aca="1" ref="AC2" ca="1">INDIRECT("'Bureau " &amp; ROW()-1 &amp; "'!$Q15")</f>
        <v>0</v>
      </c>
      <c r="AD2" s="83">
        <f t="shared" ref="AD2:AD14" ca="1" si="12">AC2/$F2</f>
        <v>0</v>
      </c>
      <c r="AE2" s="100">
        <v>1</v>
      </c>
      <c r="AF2" s="101"/>
      <c r="AG2" s="102"/>
      <c r="AH2" s="102"/>
      <c r="AI2" s="102"/>
      <c r="AJ2" s="102"/>
      <c r="AK2" s="102"/>
      <c r="AL2" s="102"/>
      <c r="AM2" s="102"/>
      <c r="AN2" s="102"/>
      <c r="AO2" s="103">
        <f>583/1232</f>
        <v>0.4732142857142857</v>
      </c>
      <c r="AP2" s="90"/>
      <c r="AQ2" s="87"/>
    </row>
    <row r="3" spans="1:43" ht="15.75" customHeight="1" x14ac:dyDescent="0.2">
      <c r="A3" s="29">
        <v>2</v>
      </c>
      <c r="B3" s="30" t="str">
        <f>Synthèse!B4</f>
        <v>Gymnase B</v>
      </c>
      <c r="C3" s="398">
        <f t="shared" ref="C3:C13" ca="1" si="13">MAX(G3,I3,K3,M3,O3,Q3,S3,U3,W3,Y3,AA3,AC3)</f>
        <v>0</v>
      </c>
      <c r="D3" s="16">
        <f t="shared" ca="1" si="0"/>
        <v>0</v>
      </c>
      <c r="E3" s="19">
        <f t="shared" ref="E3:E14" ca="1" si="14">D3</f>
        <v>0</v>
      </c>
      <c r="F3" s="399">
        <v>700</v>
      </c>
      <c r="G3" s="392" cm="1">
        <f t="array" aca="1" ref="G3" ca="1">INDIRECT("'Bureau " &amp; ROW()-1 &amp; "'!$Q4")</f>
        <v>0</v>
      </c>
      <c r="H3" s="45">
        <f t="shared" ca="1" si="1"/>
        <v>0</v>
      </c>
      <c r="I3" s="393" cm="1">
        <f t="array" aca="1" ref="I3" ca="1">INDIRECT("'Bureau " &amp; ROW()-1 &amp; "'!$Q5")</f>
        <v>0</v>
      </c>
      <c r="J3" s="45">
        <f t="shared" ref="J3:J13" ca="1" si="15">I3/$F3</f>
        <v>0</v>
      </c>
      <c r="K3" s="393" cm="1">
        <f t="array" aca="1" ref="K3" ca="1">INDIRECT("'Bureau " &amp; ROW()-1 &amp; "'!$Q6")</f>
        <v>0</v>
      </c>
      <c r="L3" s="46">
        <f t="shared" ref="L3:L13" ca="1" si="16">K3/$F3</f>
        <v>0</v>
      </c>
      <c r="M3" s="400" cm="1">
        <f t="array" aca="1" ref="M3" ca="1">INDIRECT("'Bureau " &amp; ROW()-1 &amp; "'!$Q7")</f>
        <v>0</v>
      </c>
      <c r="N3" s="56">
        <f t="shared" ref="N3:N13" ca="1" si="17">M3/$F3</f>
        <v>0</v>
      </c>
      <c r="O3" s="395" cm="1">
        <f t="array" aca="1" ref="O3" ca="1">INDIRECT("'Bureau " &amp; ROW()-1 &amp; "'!$Q8")</f>
        <v>0</v>
      </c>
      <c r="P3" s="46">
        <f t="shared" ref="P3:P13" ca="1" si="18">O3/$F3</f>
        <v>0</v>
      </c>
      <c r="Q3" s="400" cm="1">
        <f t="array" aca="1" ref="Q3" ca="1">INDIRECT("'Bureau " &amp; ROW()-1 &amp; "'!$Q9")</f>
        <v>0</v>
      </c>
      <c r="R3" s="56">
        <f t="shared" ref="R3:R13" ca="1" si="19">Q3/$F3</f>
        <v>0</v>
      </c>
      <c r="S3" s="396" cm="1">
        <f t="array" aca="1" ref="S3" ca="1">INDIRECT("'Bureau " &amp; ROW()-1 &amp; "'!$Q10")</f>
        <v>0</v>
      </c>
      <c r="T3" s="16">
        <f t="shared" ref="T3:T13" ca="1" si="20">S3/$F3</f>
        <v>0</v>
      </c>
      <c r="U3" s="400" cm="1">
        <f t="array" aca="1" ref="U3" ca="1">INDIRECT("'Bureau " &amp; ROW()-1 &amp; "'!$Q11")</f>
        <v>0</v>
      </c>
      <c r="V3" s="56">
        <f t="shared" ref="V3:V13" ca="1" si="21">U3/$F3</f>
        <v>0</v>
      </c>
      <c r="W3" s="395" cm="1">
        <f t="array" aca="1" ref="W3" ca="1">INDIRECT("'Bureau " &amp; ROW()-1 &amp; "'!$Q12")</f>
        <v>0</v>
      </c>
      <c r="X3" s="46">
        <f t="shared" ref="X3:X13" ca="1" si="22">W3/$F3</f>
        <v>0</v>
      </c>
      <c r="Y3" s="401" cm="1">
        <f t="array" aca="1" ref="Y3" ca="1">INDIRECT("'Bureau " &amp; ROW()-1 &amp; "'!$Q13")</f>
        <v>0</v>
      </c>
      <c r="Z3" s="78">
        <f t="shared" ref="Z3:Z13" ca="1" si="23">Y3/$F3</f>
        <v>0</v>
      </c>
      <c r="AA3" s="94" cm="1">
        <f t="array" aca="1" ref="AA3" ca="1">INDIRECT("'Bureau " &amp; ROW()-1 &amp; "'!$Q14")</f>
        <v>0</v>
      </c>
      <c r="AB3" s="50">
        <f t="shared" ref="AB3:AB13" ca="1" si="24">AA3/$F3</f>
        <v>0</v>
      </c>
      <c r="AC3" s="95" cm="1">
        <f t="array" aca="1" ref="AC3" ca="1">INDIRECT("'Bureau " &amp; ROW()-1 &amp; "'!$Q15")</f>
        <v>0</v>
      </c>
      <c r="AD3" s="84">
        <f t="shared" ref="AD3:AD13" ca="1" si="25">AC3/$F3</f>
        <v>0</v>
      </c>
      <c r="AE3" s="100">
        <v>2</v>
      </c>
      <c r="AF3" s="104"/>
      <c r="AG3" s="105"/>
      <c r="AH3" s="105"/>
      <c r="AI3" s="105"/>
      <c r="AJ3" s="105"/>
      <c r="AK3" s="105"/>
      <c r="AL3" s="105"/>
      <c r="AM3" s="105"/>
      <c r="AN3" s="105"/>
      <c r="AO3" s="106">
        <f>536/1078</f>
        <v>0.49721706864564008</v>
      </c>
      <c r="AP3" s="91"/>
      <c r="AQ3" s="86"/>
    </row>
    <row r="4" spans="1:43" ht="15.75" customHeight="1" x14ac:dyDescent="0.2">
      <c r="A4" s="29">
        <v>3</v>
      </c>
      <c r="B4" s="30" t="str">
        <f>Synthèse!B5</f>
        <v>Gymnase B</v>
      </c>
      <c r="C4" s="398">
        <f t="shared" ca="1" si="13"/>
        <v>0</v>
      </c>
      <c r="D4" s="16">
        <f t="shared" ca="1" si="0"/>
        <v>0</v>
      </c>
      <c r="E4" s="19">
        <f t="shared" ca="1" si="14"/>
        <v>0</v>
      </c>
      <c r="F4" s="399">
        <v>669</v>
      </c>
      <c r="G4" s="392" cm="1">
        <f t="array" aca="1" ref="G4" ca="1">INDIRECT("'Bureau " &amp; ROW()-1 &amp; "'!$Q4")</f>
        <v>0</v>
      </c>
      <c r="H4" s="45">
        <f t="shared" ca="1" si="1"/>
        <v>0</v>
      </c>
      <c r="I4" s="393" cm="1">
        <f t="array" aca="1" ref="I4" ca="1">INDIRECT("'Bureau " &amp; ROW()-1 &amp; "'!$Q5")</f>
        <v>0</v>
      </c>
      <c r="J4" s="45">
        <f t="shared" ca="1" si="15"/>
        <v>0</v>
      </c>
      <c r="K4" s="393" cm="1">
        <f t="array" aca="1" ref="K4" ca="1">INDIRECT("'Bureau " &amp; ROW()-1 &amp; "'!$Q6")</f>
        <v>0</v>
      </c>
      <c r="L4" s="46">
        <f t="shared" ca="1" si="16"/>
        <v>0</v>
      </c>
      <c r="M4" s="400" cm="1">
        <f t="array" aca="1" ref="M4" ca="1">INDIRECT("'Bureau " &amp; ROW()-1 &amp; "'!$Q7")</f>
        <v>0</v>
      </c>
      <c r="N4" s="56">
        <f t="shared" ca="1" si="17"/>
        <v>0</v>
      </c>
      <c r="O4" s="395" cm="1">
        <f t="array" aca="1" ref="O4" ca="1">INDIRECT("'Bureau " &amp; ROW()-1 &amp; "'!$Q8")</f>
        <v>0</v>
      </c>
      <c r="P4" s="46">
        <f t="shared" ca="1" si="18"/>
        <v>0</v>
      </c>
      <c r="Q4" s="400" cm="1">
        <f t="array" aca="1" ref="Q4" ca="1">INDIRECT("'Bureau " &amp; ROW()-1 &amp; "'!$Q9")</f>
        <v>0</v>
      </c>
      <c r="R4" s="56">
        <f t="shared" ca="1" si="19"/>
        <v>0</v>
      </c>
      <c r="S4" s="396" cm="1">
        <f t="array" aca="1" ref="S4" ca="1">INDIRECT("'Bureau " &amp; ROW()-1 &amp; "'!$Q10")</f>
        <v>0</v>
      </c>
      <c r="T4" s="16">
        <f t="shared" ca="1" si="20"/>
        <v>0</v>
      </c>
      <c r="U4" s="400" cm="1">
        <f t="array" aca="1" ref="U4" ca="1">INDIRECT("'Bureau " &amp; ROW()-1 &amp; "'!$Q11")</f>
        <v>0</v>
      </c>
      <c r="V4" s="56">
        <f t="shared" ca="1" si="21"/>
        <v>0</v>
      </c>
      <c r="W4" s="395" cm="1">
        <f t="array" aca="1" ref="W4" ca="1">INDIRECT("'Bureau " &amp; ROW()-1 &amp; "'!$Q12")</f>
        <v>0</v>
      </c>
      <c r="X4" s="46">
        <f t="shared" ca="1" si="22"/>
        <v>0</v>
      </c>
      <c r="Y4" s="401" cm="1">
        <f t="array" aca="1" ref="Y4" ca="1">INDIRECT("'Bureau " &amp; ROW()-1 &amp; "'!$Q13")</f>
        <v>0</v>
      </c>
      <c r="Z4" s="78">
        <f t="shared" ca="1" si="23"/>
        <v>0</v>
      </c>
      <c r="AA4" s="94" cm="1">
        <f t="array" aca="1" ref="AA4" ca="1">INDIRECT("'Bureau " &amp; ROW()-1 &amp; "'!$Q14")</f>
        <v>0</v>
      </c>
      <c r="AB4" s="50">
        <f t="shared" ca="1" si="24"/>
        <v>0</v>
      </c>
      <c r="AC4" s="95" cm="1">
        <f t="array" aca="1" ref="AC4" ca="1">INDIRECT("'Bureau " &amp; ROW()-1 &amp; "'!$Q15")</f>
        <v>0</v>
      </c>
      <c r="AD4" s="84">
        <f t="shared" ca="1" si="25"/>
        <v>0</v>
      </c>
      <c r="AE4" s="100">
        <v>3</v>
      </c>
      <c r="AF4" s="104"/>
      <c r="AG4" s="105"/>
      <c r="AH4" s="105"/>
      <c r="AI4" s="105"/>
      <c r="AJ4" s="105"/>
      <c r="AK4" s="105"/>
      <c r="AL4" s="105"/>
      <c r="AM4" s="105"/>
      <c r="AN4" s="105"/>
      <c r="AO4" s="106">
        <f>614/1109</f>
        <v>0.5536519386834986</v>
      </c>
      <c r="AP4" s="91"/>
      <c r="AQ4" s="86"/>
    </row>
    <row r="5" spans="1:43" ht="15.75" customHeight="1" x14ac:dyDescent="0.2">
      <c r="A5" s="29">
        <v>4</v>
      </c>
      <c r="B5" s="30" t="str">
        <f>Synthèse!B6</f>
        <v>Gymnase B</v>
      </c>
      <c r="C5" s="398">
        <f t="shared" ca="1" si="13"/>
        <v>0</v>
      </c>
      <c r="D5" s="16">
        <f t="shared" ca="1" si="0"/>
        <v>0</v>
      </c>
      <c r="E5" s="19">
        <f t="shared" ca="1" si="14"/>
        <v>0</v>
      </c>
      <c r="F5" s="399">
        <v>651</v>
      </c>
      <c r="G5" s="392" cm="1">
        <f t="array" aca="1" ref="G5" ca="1">INDIRECT("'Bureau " &amp; ROW()-1 &amp; "'!$Q4")</f>
        <v>0</v>
      </c>
      <c r="H5" s="45">
        <f t="shared" ca="1" si="1"/>
        <v>0</v>
      </c>
      <c r="I5" s="393" cm="1">
        <f t="array" aca="1" ref="I5" ca="1">INDIRECT("'Bureau " &amp; ROW()-1 &amp; "'!$Q5")</f>
        <v>0</v>
      </c>
      <c r="J5" s="45">
        <f t="shared" ca="1" si="15"/>
        <v>0</v>
      </c>
      <c r="K5" s="393" cm="1">
        <f t="array" aca="1" ref="K5" ca="1">INDIRECT("'Bureau " &amp; ROW()-1 &amp; "'!$Q6")</f>
        <v>0</v>
      </c>
      <c r="L5" s="46">
        <f t="shared" ca="1" si="16"/>
        <v>0</v>
      </c>
      <c r="M5" s="400" cm="1">
        <f t="array" aca="1" ref="M5" ca="1">INDIRECT("'Bureau " &amp; ROW()-1 &amp; "'!$Q7")</f>
        <v>0</v>
      </c>
      <c r="N5" s="56">
        <f t="shared" ca="1" si="17"/>
        <v>0</v>
      </c>
      <c r="O5" s="395" cm="1">
        <f t="array" aca="1" ref="O5" ca="1">INDIRECT("'Bureau " &amp; ROW()-1 &amp; "'!$Q8")</f>
        <v>0</v>
      </c>
      <c r="P5" s="46">
        <f t="shared" ca="1" si="18"/>
        <v>0</v>
      </c>
      <c r="Q5" s="400" cm="1">
        <f t="array" aca="1" ref="Q5" ca="1">INDIRECT("'Bureau " &amp; ROW()-1 &amp; "'!$Q9")</f>
        <v>0</v>
      </c>
      <c r="R5" s="56">
        <f t="shared" ca="1" si="19"/>
        <v>0</v>
      </c>
      <c r="S5" s="396" cm="1">
        <f t="array" aca="1" ref="S5" ca="1">INDIRECT("'Bureau " &amp; ROW()-1 &amp; "'!$Q10")</f>
        <v>0</v>
      </c>
      <c r="T5" s="16">
        <f t="shared" ca="1" si="20"/>
        <v>0</v>
      </c>
      <c r="U5" s="400" cm="1">
        <f t="array" aca="1" ref="U5" ca="1">INDIRECT("'Bureau " &amp; ROW()-1 &amp; "'!$Q11")</f>
        <v>0</v>
      </c>
      <c r="V5" s="56">
        <f t="shared" ca="1" si="21"/>
        <v>0</v>
      </c>
      <c r="W5" s="395" cm="1">
        <f t="array" aca="1" ref="W5" ca="1">INDIRECT("'Bureau " &amp; ROW()-1 &amp; "'!$Q12")</f>
        <v>0</v>
      </c>
      <c r="X5" s="46">
        <f t="shared" ca="1" si="22"/>
        <v>0</v>
      </c>
      <c r="Y5" s="401" cm="1">
        <f t="array" aca="1" ref="Y5" ca="1">INDIRECT("'Bureau " &amp; ROW()-1 &amp; "'!$Q13")</f>
        <v>0</v>
      </c>
      <c r="Z5" s="78">
        <f t="shared" ca="1" si="23"/>
        <v>0</v>
      </c>
      <c r="AA5" s="94" cm="1">
        <f t="array" aca="1" ref="AA5" ca="1">INDIRECT("'Bureau " &amp; ROW()-1 &amp; "'!$Q14")</f>
        <v>0</v>
      </c>
      <c r="AB5" s="50">
        <f t="shared" ca="1" si="24"/>
        <v>0</v>
      </c>
      <c r="AC5" s="95" cm="1">
        <f t="array" aca="1" ref="AC5" ca="1">INDIRECT("'Bureau " &amp; ROW()-1 &amp; "'!$Q15")</f>
        <v>0</v>
      </c>
      <c r="AD5" s="84">
        <f t="shared" ca="1" si="25"/>
        <v>0</v>
      </c>
      <c r="AE5" s="100">
        <v>4</v>
      </c>
      <c r="AF5" s="104"/>
      <c r="AG5" s="105"/>
      <c r="AH5" s="105"/>
      <c r="AI5" s="105"/>
      <c r="AJ5" s="105"/>
      <c r="AK5" s="105"/>
      <c r="AL5" s="105"/>
      <c r="AM5" s="105"/>
      <c r="AN5" s="105"/>
      <c r="AO5" s="106">
        <f>575/1253</f>
        <v>0.45889864325618518</v>
      </c>
      <c r="AP5" s="91"/>
      <c r="AQ5" s="86"/>
    </row>
    <row r="6" spans="1:43" ht="15.75" customHeight="1" x14ac:dyDescent="0.2">
      <c r="A6" s="29">
        <v>5</v>
      </c>
      <c r="B6" s="30" t="str">
        <f>Synthèse!B7</f>
        <v>COSEC</v>
      </c>
      <c r="C6" s="398">
        <f t="shared" ca="1" si="13"/>
        <v>0</v>
      </c>
      <c r="D6" s="16">
        <f t="shared" ca="1" si="0"/>
        <v>0</v>
      </c>
      <c r="E6" s="19">
        <f t="shared" ca="1" si="14"/>
        <v>0</v>
      </c>
      <c r="F6" s="399">
        <v>671</v>
      </c>
      <c r="G6" s="392" cm="1">
        <f t="array" aca="1" ref="G6" ca="1">INDIRECT("'Bureau " &amp; ROW()-1 &amp; "'!$Q4")</f>
        <v>0</v>
      </c>
      <c r="H6" s="45">
        <f t="shared" ca="1" si="1"/>
        <v>0</v>
      </c>
      <c r="I6" s="393" cm="1">
        <f t="array" aca="1" ref="I6" ca="1">INDIRECT("'Bureau " &amp; ROW()-1 &amp; "'!$Q5")</f>
        <v>0</v>
      </c>
      <c r="J6" s="45">
        <f t="shared" ca="1" si="15"/>
        <v>0</v>
      </c>
      <c r="K6" s="393" cm="1">
        <f t="array" aca="1" ref="K6" ca="1">INDIRECT("'Bureau " &amp; ROW()-1 &amp; "'!$Q6")</f>
        <v>0</v>
      </c>
      <c r="L6" s="46">
        <f t="shared" ca="1" si="16"/>
        <v>0</v>
      </c>
      <c r="M6" s="400" cm="1">
        <f t="array" aca="1" ref="M6" ca="1">INDIRECT("'Bureau " &amp; ROW()-1 &amp; "'!$Q7")</f>
        <v>0</v>
      </c>
      <c r="N6" s="56">
        <f t="shared" ca="1" si="17"/>
        <v>0</v>
      </c>
      <c r="O6" s="395" cm="1">
        <f t="array" aca="1" ref="O6" ca="1">INDIRECT("'Bureau " &amp; ROW()-1 &amp; "'!$Q8")</f>
        <v>0</v>
      </c>
      <c r="P6" s="46">
        <f t="shared" ca="1" si="18"/>
        <v>0</v>
      </c>
      <c r="Q6" s="400" cm="1">
        <f t="array" aca="1" ref="Q6" ca="1">INDIRECT("'Bureau " &amp; ROW()-1 &amp; "'!$Q9")</f>
        <v>0</v>
      </c>
      <c r="R6" s="56">
        <f t="shared" ca="1" si="19"/>
        <v>0</v>
      </c>
      <c r="S6" s="396" cm="1">
        <f t="array" aca="1" ref="S6" ca="1">INDIRECT("'Bureau " &amp; ROW()-1 &amp; "'!$Q10")</f>
        <v>0</v>
      </c>
      <c r="T6" s="16">
        <f t="shared" ca="1" si="20"/>
        <v>0</v>
      </c>
      <c r="U6" s="400" cm="1">
        <f t="array" aca="1" ref="U6" ca="1">INDIRECT("'Bureau " &amp; ROW()-1 &amp; "'!$Q11")</f>
        <v>0</v>
      </c>
      <c r="V6" s="56">
        <f t="shared" ca="1" si="21"/>
        <v>0</v>
      </c>
      <c r="W6" s="395" cm="1">
        <f t="array" aca="1" ref="W6" ca="1">INDIRECT("'Bureau " &amp; ROW()-1 &amp; "'!$Q12")</f>
        <v>0</v>
      </c>
      <c r="X6" s="46">
        <f t="shared" ca="1" si="22"/>
        <v>0</v>
      </c>
      <c r="Y6" s="401" cm="1">
        <f t="array" aca="1" ref="Y6" ca="1">INDIRECT("'Bureau " &amp; ROW()-1 &amp; "'!$Q13")</f>
        <v>0</v>
      </c>
      <c r="Z6" s="78">
        <f t="shared" ca="1" si="23"/>
        <v>0</v>
      </c>
      <c r="AA6" s="94" cm="1">
        <f t="array" aca="1" ref="AA6" ca="1">INDIRECT("'Bureau " &amp; ROW()-1 &amp; "'!$Q14")</f>
        <v>0</v>
      </c>
      <c r="AB6" s="50">
        <f t="shared" ca="1" si="24"/>
        <v>0</v>
      </c>
      <c r="AC6" s="95" cm="1">
        <f t="array" aca="1" ref="AC6" ca="1">INDIRECT("'Bureau " &amp; ROW()-1 &amp; "'!$Q15")</f>
        <v>0</v>
      </c>
      <c r="AD6" s="84">
        <f t="shared" ca="1" si="25"/>
        <v>0</v>
      </c>
      <c r="AE6" s="100">
        <v>5</v>
      </c>
      <c r="AF6" s="104"/>
      <c r="AG6" s="105"/>
      <c r="AH6" s="105"/>
      <c r="AI6" s="105"/>
      <c r="AJ6" s="105"/>
      <c r="AK6" s="105"/>
      <c r="AL6" s="105"/>
      <c r="AM6" s="105"/>
      <c r="AN6" s="105"/>
      <c r="AO6" s="106">
        <f>621/1311</f>
        <v>0.47368421052631576</v>
      </c>
      <c r="AP6" s="91"/>
      <c r="AQ6" s="86"/>
    </row>
    <row r="7" spans="1:43" ht="15.75" customHeight="1" x14ac:dyDescent="0.2">
      <c r="A7" s="29">
        <v>6</v>
      </c>
      <c r="B7" s="30" t="str">
        <f>Synthèse!B8</f>
        <v>COSEC</v>
      </c>
      <c r="C7" s="398">
        <f t="shared" ca="1" si="13"/>
        <v>0</v>
      </c>
      <c r="D7" s="16">
        <f t="shared" ca="1" si="0"/>
        <v>0</v>
      </c>
      <c r="E7" s="19">
        <f t="shared" ca="1" si="14"/>
        <v>0</v>
      </c>
      <c r="F7" s="399">
        <v>687</v>
      </c>
      <c r="G7" s="392" cm="1">
        <f t="array" aca="1" ref="G7" ca="1">INDIRECT("'Bureau " &amp; ROW()-1 &amp; "'!$Q4")</f>
        <v>0</v>
      </c>
      <c r="H7" s="45">
        <f t="shared" ca="1" si="1"/>
        <v>0</v>
      </c>
      <c r="I7" s="393" cm="1">
        <f t="array" aca="1" ref="I7" ca="1">INDIRECT("'Bureau " &amp; ROW()-1 &amp; "'!$Q5")</f>
        <v>0</v>
      </c>
      <c r="J7" s="45">
        <f t="shared" ca="1" si="15"/>
        <v>0</v>
      </c>
      <c r="K7" s="393" cm="1">
        <f t="array" aca="1" ref="K7" ca="1">INDIRECT("'Bureau " &amp; ROW()-1 &amp; "'!$Q6")</f>
        <v>0</v>
      </c>
      <c r="L7" s="46">
        <f t="shared" ca="1" si="16"/>
        <v>0</v>
      </c>
      <c r="M7" s="400" cm="1">
        <f t="array" aca="1" ref="M7" ca="1">INDIRECT("'Bureau " &amp; ROW()-1 &amp; "'!$Q7")</f>
        <v>0</v>
      </c>
      <c r="N7" s="56">
        <f t="shared" ca="1" si="17"/>
        <v>0</v>
      </c>
      <c r="O7" s="395" cm="1">
        <f t="array" aca="1" ref="O7" ca="1">INDIRECT("'Bureau " &amp; ROW()-1 &amp; "'!$Q8")</f>
        <v>0</v>
      </c>
      <c r="P7" s="46">
        <f t="shared" ca="1" si="18"/>
        <v>0</v>
      </c>
      <c r="Q7" s="400" cm="1">
        <f t="array" aca="1" ref="Q7" ca="1">INDIRECT("'Bureau " &amp; ROW()-1 &amp; "'!$Q9")</f>
        <v>0</v>
      </c>
      <c r="R7" s="56">
        <f t="shared" ca="1" si="19"/>
        <v>0</v>
      </c>
      <c r="S7" s="396" cm="1">
        <f t="array" aca="1" ref="S7" ca="1">INDIRECT("'Bureau " &amp; ROW()-1 &amp; "'!$Q10")</f>
        <v>0</v>
      </c>
      <c r="T7" s="16">
        <f t="shared" ca="1" si="20"/>
        <v>0</v>
      </c>
      <c r="U7" s="400" cm="1">
        <f t="array" aca="1" ref="U7" ca="1">INDIRECT("'Bureau " &amp; ROW()-1 &amp; "'!$Q11")</f>
        <v>0</v>
      </c>
      <c r="V7" s="56">
        <f t="shared" ca="1" si="21"/>
        <v>0</v>
      </c>
      <c r="W7" s="395" cm="1">
        <f t="array" aca="1" ref="W7" ca="1">INDIRECT("'Bureau " &amp; ROW()-1 &amp; "'!$Q12")</f>
        <v>0</v>
      </c>
      <c r="X7" s="46">
        <f t="shared" ca="1" si="22"/>
        <v>0</v>
      </c>
      <c r="Y7" s="401" cm="1">
        <f t="array" aca="1" ref="Y7" ca="1">INDIRECT("'Bureau " &amp; ROW()-1 &amp; "'!$Q13")</f>
        <v>0</v>
      </c>
      <c r="Z7" s="78">
        <f t="shared" ca="1" si="23"/>
        <v>0</v>
      </c>
      <c r="AA7" s="94" cm="1">
        <f t="array" aca="1" ref="AA7" ca="1">INDIRECT("'Bureau " &amp; ROW()-1 &amp; "'!$Q14")</f>
        <v>0</v>
      </c>
      <c r="AB7" s="50">
        <f t="shared" ca="1" si="24"/>
        <v>0</v>
      </c>
      <c r="AC7" s="95" cm="1">
        <f t="array" aca="1" ref="AC7" ca="1">INDIRECT("'Bureau " &amp; ROW()-1 &amp; "'!$Q15")</f>
        <v>0</v>
      </c>
      <c r="AD7" s="84">
        <f t="shared" ca="1" si="25"/>
        <v>0</v>
      </c>
      <c r="AE7" s="100">
        <v>6</v>
      </c>
      <c r="AF7" s="104"/>
      <c r="AG7" s="105"/>
      <c r="AH7" s="105"/>
      <c r="AI7" s="105"/>
      <c r="AJ7" s="105"/>
      <c r="AK7" s="105"/>
      <c r="AL7" s="105"/>
      <c r="AM7" s="105"/>
      <c r="AN7" s="105"/>
      <c r="AO7" s="106">
        <f>268/627</f>
        <v>0.42743221690590111</v>
      </c>
      <c r="AP7" s="91"/>
      <c r="AQ7" s="86"/>
    </row>
    <row r="8" spans="1:43" ht="15.75" customHeight="1" x14ac:dyDescent="0.2">
      <c r="A8" s="29">
        <v>7</v>
      </c>
      <c r="B8" s="30" t="str">
        <f>Synthèse!B9</f>
        <v>COSEC</v>
      </c>
      <c r="C8" s="398">
        <f t="shared" ca="1" si="13"/>
        <v>0</v>
      </c>
      <c r="D8" s="16">
        <f t="shared" ca="1" si="0"/>
        <v>0</v>
      </c>
      <c r="E8" s="19">
        <f t="shared" ca="1" si="14"/>
        <v>0</v>
      </c>
      <c r="F8" s="399">
        <v>692</v>
      </c>
      <c r="G8" s="392" cm="1">
        <f t="array" aca="1" ref="G8" ca="1">INDIRECT("'Bureau " &amp; ROW()-1 &amp; "'!$Q4")</f>
        <v>0</v>
      </c>
      <c r="H8" s="45">
        <f t="shared" ca="1" si="1"/>
        <v>0</v>
      </c>
      <c r="I8" s="393" cm="1">
        <f t="array" aca="1" ref="I8" ca="1">INDIRECT("'Bureau " &amp; ROW()-1 &amp; "'!$Q5")</f>
        <v>0</v>
      </c>
      <c r="J8" s="45">
        <f t="shared" ca="1" si="15"/>
        <v>0</v>
      </c>
      <c r="K8" s="393" cm="1">
        <f t="array" aca="1" ref="K8" ca="1">INDIRECT("'Bureau " &amp; ROW()-1 &amp; "'!$Q6")</f>
        <v>0</v>
      </c>
      <c r="L8" s="46">
        <f t="shared" ca="1" si="16"/>
        <v>0</v>
      </c>
      <c r="M8" s="400" cm="1">
        <f t="array" aca="1" ref="M8" ca="1">INDIRECT("'Bureau " &amp; ROW()-1 &amp; "'!$Q7")</f>
        <v>0</v>
      </c>
      <c r="N8" s="56">
        <f t="shared" ca="1" si="17"/>
        <v>0</v>
      </c>
      <c r="O8" s="395" cm="1">
        <f t="array" aca="1" ref="O8" ca="1">INDIRECT("'Bureau " &amp; ROW()-1 &amp; "'!$Q8")</f>
        <v>0</v>
      </c>
      <c r="P8" s="46">
        <f t="shared" ca="1" si="18"/>
        <v>0</v>
      </c>
      <c r="Q8" s="400" cm="1">
        <f t="array" aca="1" ref="Q8" ca="1">INDIRECT("'Bureau " &amp; ROW()-1 &amp; "'!$Q9")</f>
        <v>0</v>
      </c>
      <c r="R8" s="56">
        <f t="shared" ca="1" si="19"/>
        <v>0</v>
      </c>
      <c r="S8" s="396" cm="1">
        <f t="array" aca="1" ref="S8" ca="1">INDIRECT("'Bureau " &amp; ROW()-1 &amp; "'!$Q10")</f>
        <v>0</v>
      </c>
      <c r="T8" s="16">
        <f t="shared" ca="1" si="20"/>
        <v>0</v>
      </c>
      <c r="U8" s="400" cm="1">
        <f t="array" aca="1" ref="U8" ca="1">INDIRECT("'Bureau " &amp; ROW()-1 &amp; "'!$Q11")</f>
        <v>0</v>
      </c>
      <c r="V8" s="56">
        <f t="shared" ca="1" si="21"/>
        <v>0</v>
      </c>
      <c r="W8" s="395" cm="1">
        <f t="array" aca="1" ref="W8" ca="1">INDIRECT("'Bureau " &amp; ROW()-1 &amp; "'!$Q12")</f>
        <v>0</v>
      </c>
      <c r="X8" s="46">
        <f t="shared" ca="1" si="22"/>
        <v>0</v>
      </c>
      <c r="Y8" s="401" cm="1">
        <f t="array" aca="1" ref="Y8" ca="1">INDIRECT("'Bureau " &amp; ROW()-1 &amp; "'!$Q13")</f>
        <v>0</v>
      </c>
      <c r="Z8" s="78">
        <f t="shared" ca="1" si="23"/>
        <v>0</v>
      </c>
      <c r="AA8" s="94" cm="1">
        <f t="array" aca="1" ref="AA8" ca="1">INDIRECT("'Bureau " &amp; ROW()-1 &amp; "'!$Q14")</f>
        <v>0</v>
      </c>
      <c r="AB8" s="50">
        <f t="shared" ca="1" si="24"/>
        <v>0</v>
      </c>
      <c r="AC8" s="95" cm="1">
        <f t="array" aca="1" ref="AC8" ca="1">INDIRECT("'Bureau " &amp; ROW()-1 &amp; "'!$Q15")</f>
        <v>0</v>
      </c>
      <c r="AD8" s="84">
        <f t="shared" ca="1" si="25"/>
        <v>0</v>
      </c>
      <c r="AE8" s="100">
        <v>7</v>
      </c>
      <c r="AF8" s="104"/>
      <c r="AG8" s="105"/>
      <c r="AH8" s="105"/>
      <c r="AI8" s="105"/>
      <c r="AJ8" s="105"/>
      <c r="AK8" s="105"/>
      <c r="AL8" s="105"/>
      <c r="AM8" s="105"/>
      <c r="AN8" s="105"/>
      <c r="AO8" s="106">
        <f>717/1321</f>
        <v>0.54277062831188494</v>
      </c>
      <c r="AP8" s="91"/>
      <c r="AQ8" s="86"/>
    </row>
    <row r="9" spans="1:43" ht="15.75" customHeight="1" x14ac:dyDescent="0.2">
      <c r="A9" s="29">
        <v>8</v>
      </c>
      <c r="B9" s="30" t="str">
        <f>Synthèse!B10</f>
        <v>COSEC</v>
      </c>
      <c r="C9" s="398">
        <f t="shared" ca="1" si="13"/>
        <v>0</v>
      </c>
      <c r="D9" s="16">
        <f t="shared" ca="1" si="0"/>
        <v>0</v>
      </c>
      <c r="E9" s="19">
        <f t="shared" ca="1" si="14"/>
        <v>0</v>
      </c>
      <c r="F9" s="399">
        <v>620</v>
      </c>
      <c r="G9" s="392" cm="1">
        <f t="array" aca="1" ref="G9" ca="1">INDIRECT("'Bureau " &amp; ROW()-1 &amp; "'!$Q4")</f>
        <v>0</v>
      </c>
      <c r="H9" s="45">
        <f t="shared" ca="1" si="1"/>
        <v>0</v>
      </c>
      <c r="I9" s="393" cm="1">
        <f t="array" aca="1" ref="I9" ca="1">INDIRECT("'Bureau " &amp; ROW()-1 &amp; "'!$Q5")</f>
        <v>0</v>
      </c>
      <c r="J9" s="45">
        <f t="shared" ca="1" si="15"/>
        <v>0</v>
      </c>
      <c r="K9" s="393" cm="1">
        <f t="array" aca="1" ref="K9" ca="1">INDIRECT("'Bureau " &amp; ROW()-1 &amp; "'!$Q6")</f>
        <v>0</v>
      </c>
      <c r="L9" s="46">
        <f t="shared" ca="1" si="16"/>
        <v>0</v>
      </c>
      <c r="M9" s="400" cm="1">
        <f t="array" aca="1" ref="M9" ca="1">INDIRECT("'Bureau " &amp; ROW()-1 &amp; "'!$Q7")</f>
        <v>0</v>
      </c>
      <c r="N9" s="56">
        <f t="shared" ca="1" si="17"/>
        <v>0</v>
      </c>
      <c r="O9" s="395" cm="1">
        <f t="array" aca="1" ref="O9" ca="1">INDIRECT("'Bureau " &amp; ROW()-1 &amp; "'!$Q8")</f>
        <v>0</v>
      </c>
      <c r="P9" s="46">
        <f t="shared" ca="1" si="18"/>
        <v>0</v>
      </c>
      <c r="Q9" s="400" cm="1">
        <f t="array" aca="1" ref="Q9" ca="1">INDIRECT("'Bureau " &amp; ROW()-1 &amp; "'!$Q9")</f>
        <v>0</v>
      </c>
      <c r="R9" s="56">
        <f t="shared" ca="1" si="19"/>
        <v>0</v>
      </c>
      <c r="S9" s="396" cm="1">
        <f t="array" aca="1" ref="S9" ca="1">INDIRECT("'Bureau " &amp; ROW()-1 &amp; "'!$Q10")</f>
        <v>0</v>
      </c>
      <c r="T9" s="16">
        <f t="shared" ca="1" si="20"/>
        <v>0</v>
      </c>
      <c r="U9" s="400" cm="1">
        <f t="array" aca="1" ref="U9" ca="1">INDIRECT("'Bureau " &amp; ROW()-1 &amp; "'!$Q11")</f>
        <v>0</v>
      </c>
      <c r="V9" s="56">
        <f t="shared" ca="1" si="21"/>
        <v>0</v>
      </c>
      <c r="W9" s="395" cm="1">
        <f t="array" aca="1" ref="W9" ca="1">INDIRECT("'Bureau " &amp; ROW()-1 &amp; "'!$Q12")</f>
        <v>0</v>
      </c>
      <c r="X9" s="46">
        <f t="shared" ca="1" si="22"/>
        <v>0</v>
      </c>
      <c r="Y9" s="401" cm="1">
        <f t="array" aca="1" ref="Y9" ca="1">INDIRECT("'Bureau " &amp; ROW()-1 &amp; "'!$Q13")</f>
        <v>0</v>
      </c>
      <c r="Z9" s="78">
        <f t="shared" ca="1" si="23"/>
        <v>0</v>
      </c>
      <c r="AA9" s="94" cm="1">
        <f t="array" aca="1" ref="AA9" ca="1">INDIRECT("'Bureau " &amp; ROW()-1 &amp; "'!$Q14")</f>
        <v>0</v>
      </c>
      <c r="AB9" s="50">
        <f t="shared" ca="1" si="24"/>
        <v>0</v>
      </c>
      <c r="AC9" s="95" cm="1">
        <f t="array" aca="1" ref="AC9" ca="1">INDIRECT("'Bureau " &amp; ROW()-1 &amp; "'!$Q15")</f>
        <v>0</v>
      </c>
      <c r="AD9" s="84">
        <f t="shared" ca="1" si="25"/>
        <v>0</v>
      </c>
      <c r="AE9" s="100">
        <v>8</v>
      </c>
      <c r="AF9" s="104"/>
      <c r="AG9" s="105"/>
      <c r="AH9" s="105"/>
      <c r="AI9" s="105"/>
      <c r="AJ9" s="105"/>
      <c r="AK9" s="105"/>
      <c r="AL9" s="105"/>
      <c r="AM9" s="105"/>
      <c r="AN9" s="105"/>
      <c r="AO9" s="106"/>
      <c r="AP9" s="91"/>
      <c r="AQ9" s="86"/>
    </row>
    <row r="10" spans="1:43" ht="15.75" customHeight="1" x14ac:dyDescent="0.2">
      <c r="A10" s="29">
        <v>9</v>
      </c>
      <c r="B10" s="30" t="str">
        <f>Synthèse!B11</f>
        <v>CMM</v>
      </c>
      <c r="C10" s="398">
        <f t="shared" ca="1" si="13"/>
        <v>0</v>
      </c>
      <c r="D10" s="16">
        <f t="shared" ca="1" si="0"/>
        <v>0</v>
      </c>
      <c r="E10" s="19">
        <f t="shared" ca="1" si="14"/>
        <v>0</v>
      </c>
      <c r="F10" s="399">
        <v>671</v>
      </c>
      <c r="G10" s="392" cm="1">
        <f t="array" aca="1" ref="G10" ca="1">INDIRECT("'Bureau " &amp; ROW()-1 &amp; "'!$Q4")</f>
        <v>0</v>
      </c>
      <c r="H10" s="45">
        <f t="shared" ca="1" si="1"/>
        <v>0</v>
      </c>
      <c r="I10" s="393" cm="1">
        <f t="array" aca="1" ref="I10" ca="1">INDIRECT("'Bureau " &amp; ROW()-1 &amp; "'!$Q5")</f>
        <v>0</v>
      </c>
      <c r="J10" s="45">
        <f t="shared" ca="1" si="15"/>
        <v>0</v>
      </c>
      <c r="K10" s="393" cm="1">
        <f t="array" aca="1" ref="K10" ca="1">INDIRECT("'Bureau " &amp; ROW()-1 &amp; "'!$Q6")</f>
        <v>0</v>
      </c>
      <c r="L10" s="46">
        <f t="shared" ca="1" si="16"/>
        <v>0</v>
      </c>
      <c r="M10" s="400" cm="1">
        <f t="array" aca="1" ref="M10" ca="1">INDIRECT("'Bureau " &amp; ROW()-1 &amp; "'!$Q7")</f>
        <v>0</v>
      </c>
      <c r="N10" s="56">
        <f t="shared" ca="1" si="17"/>
        <v>0</v>
      </c>
      <c r="O10" s="395" cm="1">
        <f t="array" aca="1" ref="O10" ca="1">INDIRECT("'Bureau " &amp; ROW()-1 &amp; "'!$Q8")</f>
        <v>0</v>
      </c>
      <c r="P10" s="46">
        <f t="shared" ca="1" si="18"/>
        <v>0</v>
      </c>
      <c r="Q10" s="400" cm="1">
        <f t="array" aca="1" ref="Q10" ca="1">INDIRECT("'Bureau " &amp; ROW()-1 &amp; "'!$Q9")</f>
        <v>0</v>
      </c>
      <c r="R10" s="56">
        <f t="shared" ca="1" si="19"/>
        <v>0</v>
      </c>
      <c r="S10" s="396" cm="1">
        <f t="array" aca="1" ref="S10" ca="1">INDIRECT("'Bureau " &amp; ROW()-1 &amp; "'!$Q10")</f>
        <v>0</v>
      </c>
      <c r="T10" s="16">
        <f t="shared" ca="1" si="20"/>
        <v>0</v>
      </c>
      <c r="U10" s="400" cm="1">
        <f t="array" aca="1" ref="U10" ca="1">INDIRECT("'Bureau " &amp; ROW()-1 &amp; "'!$Q11")</f>
        <v>0</v>
      </c>
      <c r="V10" s="56">
        <f t="shared" ca="1" si="21"/>
        <v>0</v>
      </c>
      <c r="W10" s="395" cm="1">
        <f t="array" aca="1" ref="W10" ca="1">INDIRECT("'Bureau " &amp; ROW()-1 &amp; "'!$Q12")</f>
        <v>0</v>
      </c>
      <c r="X10" s="46">
        <f t="shared" ca="1" si="22"/>
        <v>0</v>
      </c>
      <c r="Y10" s="401" cm="1">
        <f t="array" aca="1" ref="Y10" ca="1">INDIRECT("'Bureau " &amp; ROW()-1 &amp; "'!$Q13")</f>
        <v>0</v>
      </c>
      <c r="Z10" s="78">
        <f t="shared" ca="1" si="23"/>
        <v>0</v>
      </c>
      <c r="AA10" s="94" cm="1">
        <f t="array" aca="1" ref="AA10" ca="1">INDIRECT("'Bureau " &amp; ROW()-1 &amp; "'!$Q14")</f>
        <v>0</v>
      </c>
      <c r="AB10" s="50">
        <f t="shared" ca="1" si="24"/>
        <v>0</v>
      </c>
      <c r="AC10" s="95" cm="1">
        <f t="array" aca="1" ref="AC10" ca="1">INDIRECT("'Bureau " &amp; ROW()-1 &amp; "'!$Q15")</f>
        <v>0</v>
      </c>
      <c r="AD10" s="84">
        <f t="shared" ca="1" si="25"/>
        <v>0</v>
      </c>
      <c r="AE10" s="100">
        <v>9</v>
      </c>
      <c r="AF10" s="104"/>
      <c r="AG10" s="105"/>
      <c r="AH10" s="105"/>
      <c r="AI10" s="105"/>
      <c r="AJ10" s="105"/>
      <c r="AK10" s="105"/>
      <c r="AL10" s="105"/>
      <c r="AM10" s="105"/>
      <c r="AN10" s="105"/>
      <c r="AO10" s="106"/>
      <c r="AP10" s="91"/>
      <c r="AQ10" s="86"/>
    </row>
    <row r="11" spans="1:43" ht="15.75" customHeight="1" x14ac:dyDescent="0.2">
      <c r="A11" s="29">
        <v>10</v>
      </c>
      <c r="B11" s="30" t="str">
        <f>Synthèse!B12</f>
        <v>CMM</v>
      </c>
      <c r="C11" s="398">
        <f t="shared" ca="1" si="13"/>
        <v>0</v>
      </c>
      <c r="D11" s="16">
        <f t="shared" ca="1" si="0"/>
        <v>0</v>
      </c>
      <c r="E11" s="19">
        <f t="shared" ca="1" si="14"/>
        <v>0</v>
      </c>
      <c r="F11" s="399">
        <v>581</v>
      </c>
      <c r="G11" s="392" cm="1">
        <f t="array" aca="1" ref="G11" ca="1">INDIRECT("'Bureau " &amp; ROW()-1 &amp; "'!$Q4")</f>
        <v>0</v>
      </c>
      <c r="H11" s="45">
        <f t="shared" ca="1" si="1"/>
        <v>0</v>
      </c>
      <c r="I11" s="393" cm="1">
        <f t="array" aca="1" ref="I11" ca="1">INDIRECT("'Bureau " &amp; ROW()-1 &amp; "'!$Q5")</f>
        <v>0</v>
      </c>
      <c r="J11" s="45">
        <f t="shared" ca="1" si="15"/>
        <v>0</v>
      </c>
      <c r="K11" s="393" cm="1">
        <f t="array" aca="1" ref="K11" ca="1">INDIRECT("'Bureau " &amp; ROW()-1 &amp; "'!$Q6")</f>
        <v>0</v>
      </c>
      <c r="L11" s="46">
        <f t="shared" ca="1" si="16"/>
        <v>0</v>
      </c>
      <c r="M11" s="400" cm="1">
        <f t="array" aca="1" ref="M11" ca="1">INDIRECT("'Bureau " &amp; ROW()-1 &amp; "'!$Q7")</f>
        <v>0</v>
      </c>
      <c r="N11" s="56">
        <f t="shared" ca="1" si="17"/>
        <v>0</v>
      </c>
      <c r="O11" s="395" cm="1">
        <f t="array" aca="1" ref="O11" ca="1">INDIRECT("'Bureau " &amp; ROW()-1 &amp; "'!$Q8")</f>
        <v>0</v>
      </c>
      <c r="P11" s="46">
        <f t="shared" ca="1" si="18"/>
        <v>0</v>
      </c>
      <c r="Q11" s="400" cm="1">
        <f t="array" aca="1" ref="Q11" ca="1">INDIRECT("'Bureau " &amp; ROW()-1 &amp; "'!$Q9")</f>
        <v>0</v>
      </c>
      <c r="R11" s="56">
        <f t="shared" ca="1" si="19"/>
        <v>0</v>
      </c>
      <c r="S11" s="396" cm="1">
        <f t="array" aca="1" ref="S11" ca="1">INDIRECT("'Bureau " &amp; ROW()-1 &amp; "'!$Q10")</f>
        <v>0</v>
      </c>
      <c r="T11" s="16">
        <f t="shared" ca="1" si="20"/>
        <v>0</v>
      </c>
      <c r="U11" s="400" cm="1">
        <f t="array" aca="1" ref="U11" ca="1">INDIRECT("'Bureau " &amp; ROW()-1 &amp; "'!$Q11")</f>
        <v>0</v>
      </c>
      <c r="V11" s="56">
        <f t="shared" ca="1" si="21"/>
        <v>0</v>
      </c>
      <c r="W11" s="395" cm="1">
        <f t="array" aca="1" ref="W11" ca="1">INDIRECT("'Bureau " &amp; ROW()-1 &amp; "'!$Q12")</f>
        <v>0</v>
      </c>
      <c r="X11" s="46">
        <f t="shared" ca="1" si="22"/>
        <v>0</v>
      </c>
      <c r="Y11" s="401" cm="1">
        <f t="array" aca="1" ref="Y11" ca="1">INDIRECT("'Bureau " &amp; ROW()-1 &amp; "'!$Q13")</f>
        <v>0</v>
      </c>
      <c r="Z11" s="78">
        <f t="shared" ca="1" si="23"/>
        <v>0</v>
      </c>
      <c r="AA11" s="94" cm="1">
        <f t="array" aca="1" ref="AA11" ca="1">INDIRECT("'Bureau " &amp; ROW()-1 &amp; "'!$Q14")</f>
        <v>0</v>
      </c>
      <c r="AB11" s="50">
        <f t="shared" ca="1" si="24"/>
        <v>0</v>
      </c>
      <c r="AC11" s="95" cm="1">
        <f t="array" aca="1" ref="AC11" ca="1">INDIRECT("'Bureau " &amp; ROW()-1 &amp; "'!$Q15")</f>
        <v>0</v>
      </c>
      <c r="AD11" s="84">
        <f t="shared" ca="1" si="25"/>
        <v>0</v>
      </c>
      <c r="AE11" s="100">
        <v>10</v>
      </c>
      <c r="AF11" s="104"/>
      <c r="AG11" s="105"/>
      <c r="AH11" s="105"/>
      <c r="AI11" s="105"/>
      <c r="AJ11" s="105"/>
      <c r="AK11" s="105"/>
      <c r="AL11" s="105"/>
      <c r="AM11" s="105"/>
      <c r="AN11" s="105"/>
      <c r="AO11" s="106"/>
      <c r="AP11" s="91"/>
      <c r="AQ11" s="86"/>
    </row>
    <row r="12" spans="1:43" ht="15.75" customHeight="1" x14ac:dyDescent="0.2">
      <c r="A12" s="29">
        <v>11</v>
      </c>
      <c r="B12" s="30" t="str">
        <f>Synthèse!B13</f>
        <v>CMM</v>
      </c>
      <c r="C12" s="398">
        <f t="shared" ca="1" si="13"/>
        <v>0</v>
      </c>
      <c r="D12" s="16">
        <f t="shared" ca="1" si="0"/>
        <v>0</v>
      </c>
      <c r="E12" s="19">
        <f t="shared" ca="1" si="14"/>
        <v>0</v>
      </c>
      <c r="F12" s="399">
        <v>649</v>
      </c>
      <c r="G12" s="392" cm="1">
        <f t="array" aca="1" ref="G12" ca="1">INDIRECT("'Bureau " &amp; ROW()-1 &amp; "'!$Q4")</f>
        <v>0</v>
      </c>
      <c r="H12" s="45">
        <f t="shared" ca="1" si="1"/>
        <v>0</v>
      </c>
      <c r="I12" s="393" cm="1">
        <f t="array" aca="1" ref="I12" ca="1">INDIRECT("'Bureau " &amp; ROW()-1 &amp; "'!$Q5")</f>
        <v>0</v>
      </c>
      <c r="J12" s="45">
        <f t="shared" ca="1" si="15"/>
        <v>0</v>
      </c>
      <c r="K12" s="393" cm="1">
        <f t="array" aca="1" ref="K12" ca="1">INDIRECT("'Bureau " &amp; ROW()-1 &amp; "'!$Q6")</f>
        <v>0</v>
      </c>
      <c r="L12" s="46">
        <f t="shared" ca="1" si="16"/>
        <v>0</v>
      </c>
      <c r="M12" s="400" cm="1">
        <f t="array" aca="1" ref="M12" ca="1">INDIRECT("'Bureau " &amp; ROW()-1 &amp; "'!$Q7")</f>
        <v>0</v>
      </c>
      <c r="N12" s="56">
        <f t="shared" ca="1" si="17"/>
        <v>0</v>
      </c>
      <c r="O12" s="395" cm="1">
        <f t="array" aca="1" ref="O12" ca="1">INDIRECT("'Bureau " &amp; ROW()-1 &amp; "'!$Q8")</f>
        <v>0</v>
      </c>
      <c r="P12" s="46">
        <f t="shared" ca="1" si="18"/>
        <v>0</v>
      </c>
      <c r="Q12" s="400" cm="1">
        <f t="array" aca="1" ref="Q12" ca="1">INDIRECT("'Bureau " &amp; ROW()-1 &amp; "'!$Q9")</f>
        <v>0</v>
      </c>
      <c r="R12" s="56">
        <f t="shared" ca="1" si="19"/>
        <v>0</v>
      </c>
      <c r="S12" s="396" cm="1">
        <f t="array" aca="1" ref="S12" ca="1">INDIRECT("'Bureau " &amp; ROW()-1 &amp; "'!$Q10")</f>
        <v>0</v>
      </c>
      <c r="T12" s="16">
        <f t="shared" ca="1" si="20"/>
        <v>0</v>
      </c>
      <c r="U12" s="400" cm="1">
        <f t="array" aca="1" ref="U12" ca="1">INDIRECT("'Bureau " &amp; ROW()-1 &amp; "'!$Q11")</f>
        <v>0</v>
      </c>
      <c r="V12" s="56">
        <f t="shared" ca="1" si="21"/>
        <v>0</v>
      </c>
      <c r="W12" s="395" cm="1">
        <f t="array" aca="1" ref="W12" ca="1">INDIRECT("'Bureau " &amp; ROW()-1 &amp; "'!$Q12")</f>
        <v>0</v>
      </c>
      <c r="X12" s="46">
        <f t="shared" ca="1" si="22"/>
        <v>0</v>
      </c>
      <c r="Y12" s="401" cm="1">
        <f t="array" aca="1" ref="Y12" ca="1">INDIRECT("'Bureau " &amp; ROW()-1 &amp; "'!$Q13")</f>
        <v>0</v>
      </c>
      <c r="Z12" s="78">
        <f t="shared" ca="1" si="23"/>
        <v>0</v>
      </c>
      <c r="AA12" s="94" cm="1">
        <f t="array" aca="1" ref="AA12" ca="1">INDIRECT("'Bureau " &amp; ROW()-1 &amp; "'!$Q14")</f>
        <v>0</v>
      </c>
      <c r="AB12" s="50">
        <f t="shared" ca="1" si="24"/>
        <v>0</v>
      </c>
      <c r="AC12" s="95" cm="1">
        <f t="array" aca="1" ref="AC12" ca="1">INDIRECT("'Bureau " &amp; ROW()-1 &amp; "'!$Q15")</f>
        <v>0</v>
      </c>
      <c r="AD12" s="84">
        <f t="shared" ca="1" si="25"/>
        <v>0</v>
      </c>
      <c r="AE12" s="100">
        <v>11</v>
      </c>
      <c r="AF12" s="104"/>
      <c r="AG12" s="105"/>
      <c r="AH12" s="105"/>
      <c r="AI12" s="105"/>
      <c r="AJ12" s="105"/>
      <c r="AK12" s="105"/>
      <c r="AL12" s="105"/>
      <c r="AM12" s="105"/>
      <c r="AN12" s="105"/>
      <c r="AO12" s="106"/>
      <c r="AP12" s="91"/>
      <c r="AQ12" s="86"/>
    </row>
    <row r="13" spans="1:43" ht="15.75" customHeight="1" thickBot="1" x14ac:dyDescent="0.25">
      <c r="A13" s="31">
        <v>12</v>
      </c>
      <c r="B13" s="30" t="str">
        <f>Synthèse!B14</f>
        <v>Base nautique</v>
      </c>
      <c r="C13" s="402">
        <f t="shared" ca="1" si="13"/>
        <v>0</v>
      </c>
      <c r="D13" s="17">
        <f t="shared" ca="1" si="0"/>
        <v>0</v>
      </c>
      <c r="E13" s="54">
        <f t="shared" ca="1" si="14"/>
        <v>0</v>
      </c>
      <c r="F13" s="403">
        <v>645</v>
      </c>
      <c r="G13" s="392" cm="1">
        <f t="array" aca="1" ref="G13" ca="1">INDIRECT("'Bureau " &amp; ROW()-1 &amp; "'!$Q4")</f>
        <v>0</v>
      </c>
      <c r="H13" s="47">
        <f t="shared" ca="1" si="1"/>
        <v>0</v>
      </c>
      <c r="I13" s="393" cm="1">
        <f t="array" aca="1" ref="I13" ca="1">INDIRECT("'Bureau " &amp; ROW()-1 &amp; "'!$Q5")</f>
        <v>0</v>
      </c>
      <c r="J13" s="47">
        <f t="shared" ca="1" si="15"/>
        <v>0</v>
      </c>
      <c r="K13" s="393" cm="1">
        <f t="array" aca="1" ref="K13" ca="1">INDIRECT("'Bureau " &amp; ROW()-1 &amp; "'!$Q6")</f>
        <v>0</v>
      </c>
      <c r="L13" s="48">
        <f t="shared" ca="1" si="16"/>
        <v>0</v>
      </c>
      <c r="M13" s="404" cm="1">
        <f t="array" aca="1" ref="M13" ca="1">INDIRECT("'Bureau " &amp; ROW()-1 &amp; "'!$Q7")</f>
        <v>0</v>
      </c>
      <c r="N13" s="57">
        <f t="shared" ca="1" si="17"/>
        <v>0</v>
      </c>
      <c r="O13" s="395" cm="1">
        <f t="array" aca="1" ref="O13" ca="1">INDIRECT("'Bureau " &amp; ROW()-1 &amp; "'!$Q8")</f>
        <v>0</v>
      </c>
      <c r="P13" s="48">
        <f t="shared" ca="1" si="18"/>
        <v>0</v>
      </c>
      <c r="Q13" s="405" cm="1">
        <f t="array" aca="1" ref="Q13" ca="1">INDIRECT("'Bureau " &amp; ROW()-1 &amp; "'!$Q9")</f>
        <v>0</v>
      </c>
      <c r="R13" s="58">
        <f t="shared" ca="1" si="19"/>
        <v>0</v>
      </c>
      <c r="S13" s="396" cm="1">
        <f t="array" aca="1" ref="S13" ca="1">INDIRECT("'Bureau " &amp; ROW()-1 &amp; "'!$Q10")</f>
        <v>0</v>
      </c>
      <c r="T13" s="17">
        <f t="shared" ca="1" si="20"/>
        <v>0</v>
      </c>
      <c r="U13" s="404" cm="1">
        <f t="array" aca="1" ref="U13" ca="1">INDIRECT("'Bureau " &amp; ROW()-1 &amp; "'!$Q11")</f>
        <v>0</v>
      </c>
      <c r="V13" s="57">
        <f t="shared" ca="1" si="21"/>
        <v>0</v>
      </c>
      <c r="W13" s="395" cm="1">
        <f t="array" aca="1" ref="W13" ca="1">INDIRECT("'Bureau " &amp; ROW()-1 &amp; "'!$Q12")</f>
        <v>0</v>
      </c>
      <c r="X13" s="48">
        <f t="shared" ca="1" si="22"/>
        <v>0</v>
      </c>
      <c r="Y13" s="406" cm="1">
        <f t="array" aca="1" ref="Y13" ca="1">INDIRECT("'Bureau " &amp; ROW()-1 &amp; "'!$Q13")</f>
        <v>0</v>
      </c>
      <c r="Z13" s="57">
        <f t="shared" ca="1" si="23"/>
        <v>0</v>
      </c>
      <c r="AA13" s="94" cm="1">
        <f t="array" aca="1" ref="AA13" ca="1">INDIRECT("'Bureau " &amp; ROW()-1 &amp; "'!$Q14")</f>
        <v>0</v>
      </c>
      <c r="AB13" s="51">
        <f t="shared" ca="1" si="24"/>
        <v>0</v>
      </c>
      <c r="AC13" s="95" cm="1">
        <f t="array" aca="1" ref="AC13" ca="1">INDIRECT("'Bureau " &amp; ROW()-1 &amp; "'!$Q15")</f>
        <v>0</v>
      </c>
      <c r="AD13" s="85">
        <f t="shared" ca="1" si="25"/>
        <v>0</v>
      </c>
      <c r="AE13" s="107">
        <v>12</v>
      </c>
      <c r="AF13" s="108"/>
      <c r="AG13" s="109"/>
      <c r="AH13" s="109"/>
      <c r="AI13" s="109"/>
      <c r="AJ13" s="109"/>
      <c r="AK13" s="109"/>
      <c r="AL13" s="109"/>
      <c r="AM13" s="109"/>
      <c r="AN13" s="109"/>
      <c r="AO13" s="110"/>
      <c r="AP13" s="91"/>
      <c r="AQ13" s="86"/>
    </row>
    <row r="14" spans="1:43" ht="15.75" customHeight="1" thickBot="1" x14ac:dyDescent="0.3">
      <c r="A14" s="567" t="s">
        <v>9</v>
      </c>
      <c r="B14" s="568"/>
      <c r="C14" s="20">
        <f ca="1">SUM(C2:C13)</f>
        <v>0</v>
      </c>
      <c r="D14" s="21">
        <f t="shared" ca="1" si="0"/>
        <v>0</v>
      </c>
      <c r="E14" s="53">
        <f t="shared" ca="1" si="14"/>
        <v>0</v>
      </c>
      <c r="F14" s="354">
        <f t="shared" ref="F14:G14" si="26">SUM(F2:F13)</f>
        <v>7742</v>
      </c>
      <c r="G14" s="59">
        <f t="shared" ca="1" si="26"/>
        <v>0</v>
      </c>
      <c r="H14" s="60">
        <f ca="1">G14/$F14</f>
        <v>0</v>
      </c>
      <c r="I14" s="61">
        <f ca="1">SUM(I2:I13)</f>
        <v>0</v>
      </c>
      <c r="J14" s="60">
        <f t="shared" ca="1" si="2"/>
        <v>0</v>
      </c>
      <c r="K14" s="61">
        <f ca="1">SUM(K2:K13)</f>
        <v>0</v>
      </c>
      <c r="L14" s="62">
        <f t="shared" ca="1" si="3"/>
        <v>0</v>
      </c>
      <c r="M14" s="63">
        <f ca="1">SUM(M2:M13)</f>
        <v>0</v>
      </c>
      <c r="N14" s="62">
        <f t="shared" ca="1" si="4"/>
        <v>0</v>
      </c>
      <c r="O14" s="63">
        <f ca="1">SUM(O2:O13)</f>
        <v>0</v>
      </c>
      <c r="P14" s="62">
        <f t="shared" ca="1" si="5"/>
        <v>0</v>
      </c>
      <c r="Q14" s="63">
        <f ca="1">SUM(Q2:Q13)</f>
        <v>0</v>
      </c>
      <c r="R14" s="62">
        <f t="shared" ca="1" si="6"/>
        <v>0</v>
      </c>
      <c r="S14" s="63">
        <f ca="1">SUM(S2:S13)</f>
        <v>0</v>
      </c>
      <c r="T14" s="62">
        <f t="shared" ca="1" si="7"/>
        <v>0</v>
      </c>
      <c r="U14" s="63">
        <f ca="1">SUM(U2:U13)</f>
        <v>0</v>
      </c>
      <c r="V14" s="62">
        <f t="shared" ca="1" si="8"/>
        <v>0</v>
      </c>
      <c r="W14" s="63">
        <f ca="1">SUM(W2:W13)</f>
        <v>0</v>
      </c>
      <c r="X14" s="64">
        <f t="shared" ca="1" si="9"/>
        <v>0</v>
      </c>
      <c r="Y14" s="79">
        <f ca="1">SUM(Y2:Y13)</f>
        <v>0</v>
      </c>
      <c r="Z14" s="65">
        <f t="shared" ca="1" si="10"/>
        <v>0</v>
      </c>
      <c r="AA14" s="9">
        <f ca="1">SUM(AA2:AA13)</f>
        <v>0</v>
      </c>
      <c r="AB14" s="10">
        <f t="shared" ca="1" si="11"/>
        <v>0</v>
      </c>
      <c r="AC14" s="11">
        <f ca="1">SUM(AC2:AC13)</f>
        <v>0</v>
      </c>
      <c r="AD14" s="10">
        <f t="shared" ca="1" si="12"/>
        <v>0</v>
      </c>
      <c r="AE14" s="111" t="s">
        <v>16</v>
      </c>
      <c r="AF14" s="112"/>
      <c r="AG14" s="113"/>
      <c r="AH14" s="113"/>
      <c r="AI14" s="113"/>
      <c r="AJ14" s="113"/>
      <c r="AK14" s="113"/>
      <c r="AL14" s="113"/>
      <c r="AM14" s="113"/>
      <c r="AN14" s="113"/>
      <c r="AO14" s="114"/>
      <c r="AP14" s="92"/>
      <c r="AQ14" s="93"/>
    </row>
    <row r="15" spans="1:43" ht="16.5" thickBot="1" x14ac:dyDescent="0.3">
      <c r="A15" s="412" t="s">
        <v>11</v>
      </c>
      <c r="B15" s="415">
        <f>Synthèse!$B$17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2"/>
      <c r="AB15" s="12"/>
      <c r="AC15" s="12"/>
      <c r="AD15" s="12"/>
      <c r="AE15" s="554" t="s">
        <v>65</v>
      </c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6"/>
    </row>
    <row r="16" spans="1:43" ht="15" customHeight="1" x14ac:dyDescent="0.2">
      <c r="A16" s="413" t="s">
        <v>12</v>
      </c>
      <c r="B16" s="416" t="str">
        <f>Synthèse!$B$18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2"/>
      <c r="AB16" s="12"/>
      <c r="AC16" s="12"/>
      <c r="AD16" s="1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414" t="s">
        <v>13</v>
      </c>
      <c r="B17" s="417" t="str">
        <f>Synthèse!$B$19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2"/>
      <c r="AC17" s="12"/>
      <c r="AD17" s="1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2"/>
      <c r="AB18" s="12"/>
      <c r="AC18" s="12"/>
      <c r="AD18" s="1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2"/>
      <c r="AB19" s="12"/>
      <c r="AC19" s="12"/>
      <c r="AD19" s="1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2"/>
      <c r="AB20" s="12"/>
      <c r="AC20" s="12"/>
      <c r="AD20" s="1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2"/>
      <c r="AB21" s="12"/>
      <c r="AC21" s="12"/>
      <c r="AD21" s="12"/>
      <c r="AE21" s="1"/>
      <c r="AF21" s="1"/>
      <c r="AG21" s="1"/>
      <c r="AH21" s="565" t="s">
        <v>62</v>
      </c>
      <c r="AI21" s="566"/>
      <c r="AJ21" s="563" t="s">
        <v>63</v>
      </c>
      <c r="AK21" s="564"/>
      <c r="AL21" s="116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2"/>
      <c r="AB22" s="12"/>
      <c r="AC22" s="12"/>
      <c r="AD22" s="12"/>
      <c r="AE22" s="1"/>
      <c r="AF22" s="1"/>
      <c r="AG22" s="1"/>
      <c r="AH22" s="117"/>
      <c r="AI22" s="118"/>
      <c r="AJ22" s="117"/>
      <c r="AK22" s="119"/>
      <c r="AL22" s="1"/>
      <c r="AO22" s="1"/>
      <c r="AP22" s="1"/>
      <c r="AQ22" s="1"/>
    </row>
    <row r="23" spans="1:43" ht="12.75" x14ac:dyDescent="0.2">
      <c r="A23" s="1"/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2"/>
      <c r="AB23" s="12"/>
      <c r="AC23" s="12"/>
      <c r="AD23" s="12"/>
      <c r="AE23" s="1"/>
      <c r="AF23" s="1"/>
      <c r="AG23" s="1"/>
      <c r="AH23" s="117"/>
      <c r="AI23" s="118"/>
      <c r="AJ23" s="117"/>
      <c r="AK23" s="119"/>
      <c r="AL23" s="1"/>
      <c r="AO23" s="1"/>
      <c r="AP23" s="1"/>
      <c r="AQ23" s="1"/>
    </row>
    <row r="24" spans="1:43" ht="12.75" x14ac:dyDescent="0.2">
      <c r="A24" s="1"/>
      <c r="B24" s="66"/>
      <c r="C24" s="22"/>
      <c r="D24" s="2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2"/>
      <c r="AB24" s="12"/>
      <c r="AC24" s="12"/>
      <c r="AD24" s="12"/>
      <c r="AE24" s="1"/>
      <c r="AF24" s="1"/>
      <c r="AG24" s="1"/>
      <c r="AH24" s="117"/>
      <c r="AI24" s="118"/>
      <c r="AJ24" s="117"/>
      <c r="AK24" s="119"/>
      <c r="AL24" s="1"/>
      <c r="AO24" s="1"/>
      <c r="AP24" s="1"/>
      <c r="AQ24" s="1"/>
    </row>
    <row r="25" spans="1:43" ht="12.75" x14ac:dyDescent="0.2">
      <c r="A25" s="1"/>
      <c r="B25" s="1"/>
      <c r="C25" s="22"/>
      <c r="D25" s="2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2"/>
      <c r="AB25" s="12"/>
      <c r="AC25" s="12"/>
      <c r="AD25" s="12"/>
      <c r="AE25" s="1"/>
      <c r="AF25" s="1"/>
      <c r="AG25" s="1"/>
      <c r="AH25" s="117"/>
      <c r="AI25" s="118"/>
      <c r="AJ25" s="117"/>
      <c r="AK25" s="119"/>
      <c r="AL25" s="1"/>
      <c r="AO25" s="1"/>
      <c r="AP25" s="1"/>
      <c r="AQ25" s="1"/>
    </row>
    <row r="26" spans="1:43" ht="12.75" x14ac:dyDescent="0.2">
      <c r="A26" s="1"/>
      <c r="B26" s="1"/>
      <c r="C26" s="22"/>
      <c r="D26" s="2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2"/>
      <c r="AB26" s="12"/>
      <c r="AC26" s="12"/>
      <c r="AD26" s="12"/>
      <c r="AE26" s="1"/>
      <c r="AF26" s="1"/>
      <c r="AG26" s="1"/>
      <c r="AH26" s="117"/>
      <c r="AI26" s="118"/>
      <c r="AJ26" s="117"/>
      <c r="AK26" s="119"/>
      <c r="AL26" s="1"/>
      <c r="AO26" s="1"/>
      <c r="AP26" s="1"/>
      <c r="AQ26" s="1"/>
    </row>
    <row r="27" spans="1:43" ht="12.75" x14ac:dyDescent="0.2">
      <c r="A27" s="1"/>
      <c r="B27" s="1"/>
      <c r="C27" s="22"/>
      <c r="D27" s="2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2"/>
      <c r="AB27" s="12"/>
      <c r="AC27" s="12"/>
      <c r="AD27" s="12"/>
      <c r="AE27" s="1"/>
      <c r="AF27" s="1"/>
      <c r="AG27" s="1"/>
      <c r="AH27" s="117"/>
      <c r="AI27" s="118"/>
      <c r="AJ27" s="117"/>
      <c r="AK27" s="119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2"/>
      <c r="AB28" s="12"/>
      <c r="AC28" s="12"/>
      <c r="AD28" s="12"/>
      <c r="AE28" s="1"/>
      <c r="AF28" s="1"/>
      <c r="AG28" s="1"/>
      <c r="AH28" s="117"/>
      <c r="AI28" s="118"/>
      <c r="AJ28" s="117"/>
      <c r="AK28" s="119"/>
      <c r="AL28" s="1"/>
      <c r="AO28" s="1"/>
      <c r="AP28" s="1"/>
      <c r="AQ28" s="1"/>
    </row>
    <row r="29" spans="1:43" ht="12.75" x14ac:dyDescent="0.2">
      <c r="A29" s="1"/>
      <c r="B29" s="13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2"/>
      <c r="AB29" s="12"/>
      <c r="AC29" s="12"/>
      <c r="AD29" s="12"/>
      <c r="AE29" s="1"/>
      <c r="AF29" s="1"/>
      <c r="AG29" s="1"/>
      <c r="AH29" s="117"/>
      <c r="AI29" s="118"/>
      <c r="AJ29" s="117"/>
      <c r="AK29" s="119"/>
      <c r="AL29" s="1"/>
      <c r="AO29" s="1"/>
      <c r="AP29" s="1"/>
      <c r="AQ29" s="1"/>
    </row>
    <row r="30" spans="1:43" ht="12.75" x14ac:dyDescent="0.2">
      <c r="A30" s="1"/>
      <c r="B30" s="14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2"/>
      <c r="AB30" s="12"/>
      <c r="AC30" s="12"/>
      <c r="AD30" s="12"/>
      <c r="AE30" s="1"/>
      <c r="AF30" s="1"/>
      <c r="AG30" s="1"/>
      <c r="AH30" s="117"/>
      <c r="AI30" s="118"/>
      <c r="AJ30" s="117"/>
      <c r="AK30" s="119"/>
      <c r="AL30" s="1"/>
      <c r="AO30" s="1"/>
      <c r="AP30" s="1"/>
      <c r="AQ30" s="1"/>
    </row>
    <row r="31" spans="1:43" ht="12.75" x14ac:dyDescent="0.2">
      <c r="A31" s="1"/>
      <c r="B31" s="13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2"/>
      <c r="AB31" s="12"/>
      <c r="AC31" s="12"/>
      <c r="AD31" s="12"/>
      <c r="AE31" s="1"/>
      <c r="AF31" s="1"/>
      <c r="AG31" s="1"/>
      <c r="AH31" s="117"/>
      <c r="AI31" s="118"/>
      <c r="AJ31" s="117"/>
      <c r="AK31" s="119"/>
      <c r="AL31" s="1"/>
      <c r="AO31" s="1"/>
      <c r="AP31" s="1"/>
      <c r="AQ31" s="1"/>
    </row>
    <row r="32" spans="1:43" ht="15.75" customHeight="1" x14ac:dyDescent="0.2">
      <c r="AH32" s="120"/>
      <c r="AI32" s="121"/>
      <c r="AJ32" s="120"/>
      <c r="AK32" s="122"/>
    </row>
    <row r="33" spans="6:37" ht="15.75" customHeight="1" x14ac:dyDescent="0.2">
      <c r="AH33" s="120"/>
      <c r="AI33" s="121"/>
      <c r="AJ33" s="120"/>
      <c r="AK33" s="122"/>
    </row>
    <row r="34" spans="6:37" ht="15.75" customHeight="1" x14ac:dyDescent="0.2">
      <c r="AH34" s="120"/>
      <c r="AI34" s="121"/>
      <c r="AJ34" s="120"/>
      <c r="AK34" s="122"/>
    </row>
    <row r="35" spans="6:37" ht="15.75" customHeight="1" thickBot="1" x14ac:dyDescent="0.25">
      <c r="AH35" s="120"/>
      <c r="AI35" s="121"/>
      <c r="AJ35" s="120"/>
      <c r="AK35" s="122"/>
    </row>
    <row r="36" spans="6:37" ht="13.5" thickBot="1" x14ac:dyDescent="0.25">
      <c r="F36" s="162"/>
      <c r="G36" s="552" t="s">
        <v>62</v>
      </c>
      <c r="H36" s="553"/>
      <c r="I36" s="553"/>
      <c r="J36" s="553"/>
      <c r="K36" s="553"/>
      <c r="L36" s="553"/>
      <c r="M36" s="553"/>
      <c r="N36" s="553"/>
      <c r="O36" s="553"/>
      <c r="P36" s="553"/>
      <c r="Q36" s="553"/>
      <c r="R36" s="553"/>
      <c r="S36" s="553"/>
      <c r="T36" s="163"/>
      <c r="U36" s="553" t="s">
        <v>63</v>
      </c>
      <c r="V36" s="553"/>
      <c r="W36" s="553"/>
      <c r="X36" s="553"/>
      <c r="Y36" s="553"/>
      <c r="Z36" s="553"/>
      <c r="AA36" s="553"/>
      <c r="AB36" s="553"/>
      <c r="AC36" s="553"/>
      <c r="AD36" s="553"/>
      <c r="AE36" s="553"/>
      <c r="AF36" s="553"/>
      <c r="AG36" s="553"/>
      <c r="AH36" s="120"/>
      <c r="AI36" s="121"/>
      <c r="AJ36" s="120"/>
      <c r="AK36" s="122"/>
    </row>
    <row r="37" spans="6:37" ht="13.5" thickBot="1" x14ac:dyDescent="0.25">
      <c r="F37" s="164" t="s">
        <v>21</v>
      </c>
      <c r="G37" s="165" t="s">
        <v>83</v>
      </c>
      <c r="H37" s="166" t="s">
        <v>84</v>
      </c>
      <c r="I37" s="167" t="s">
        <v>85</v>
      </c>
      <c r="J37" s="168" t="s">
        <v>86</v>
      </c>
      <c r="K37" s="169" t="s">
        <v>87</v>
      </c>
      <c r="L37" s="170" t="s">
        <v>88</v>
      </c>
      <c r="M37" s="171" t="s">
        <v>89</v>
      </c>
      <c r="N37" s="166" t="s">
        <v>90</v>
      </c>
      <c r="O37" s="167" t="s">
        <v>91</v>
      </c>
      <c r="P37" s="168" t="s">
        <v>92</v>
      </c>
      <c r="Q37" s="169" t="s">
        <v>93</v>
      </c>
      <c r="R37" s="170" t="s">
        <v>94</v>
      </c>
      <c r="S37" s="172" t="s">
        <v>16</v>
      </c>
      <c r="T37" s="173" t="s">
        <v>21</v>
      </c>
      <c r="U37" s="174" t="s">
        <v>83</v>
      </c>
      <c r="V37" s="175" t="s">
        <v>84</v>
      </c>
      <c r="W37" s="176" t="s">
        <v>85</v>
      </c>
      <c r="X37" s="177" t="s">
        <v>86</v>
      </c>
      <c r="Y37" s="178" t="s">
        <v>87</v>
      </c>
      <c r="Z37" s="179" t="s">
        <v>88</v>
      </c>
      <c r="AA37" s="180" t="s">
        <v>89</v>
      </c>
      <c r="AB37" s="175" t="s">
        <v>90</v>
      </c>
      <c r="AC37" s="176" t="s">
        <v>91</v>
      </c>
      <c r="AD37" s="177" t="s">
        <v>92</v>
      </c>
      <c r="AE37" s="178" t="s">
        <v>93</v>
      </c>
      <c r="AF37" s="179" t="s">
        <v>94</v>
      </c>
      <c r="AG37" s="181" t="s">
        <v>16</v>
      </c>
      <c r="AH37" s="120"/>
      <c r="AI37" s="121"/>
      <c r="AJ37" s="120"/>
      <c r="AK37" s="122"/>
    </row>
    <row r="38" spans="6:37" ht="12.75" x14ac:dyDescent="0.2">
      <c r="F38" s="182" t="s">
        <v>32</v>
      </c>
      <c r="G38" s="183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s="185">
        <v>0</v>
      </c>
      <c r="T38" s="186" t="s">
        <v>32</v>
      </c>
      <c r="U38" s="183">
        <v>0</v>
      </c>
      <c r="V38" s="184">
        <v>0</v>
      </c>
      <c r="W38" s="184">
        <v>0</v>
      </c>
      <c r="X38" s="184">
        <v>0</v>
      </c>
      <c r="Y38" s="184">
        <v>0</v>
      </c>
      <c r="Z38" s="184">
        <v>0</v>
      </c>
      <c r="AA38" s="184">
        <v>0</v>
      </c>
      <c r="AB38" s="184">
        <v>0</v>
      </c>
      <c r="AC38" s="184">
        <v>0</v>
      </c>
      <c r="AD38" s="184">
        <v>0</v>
      </c>
      <c r="AE38" s="184">
        <v>0</v>
      </c>
      <c r="AF38" s="184">
        <v>0</v>
      </c>
      <c r="AG38" s="185">
        <v>0</v>
      </c>
      <c r="AH38" s="120"/>
      <c r="AI38" s="121"/>
      <c r="AJ38" s="120"/>
      <c r="AK38" s="122"/>
    </row>
    <row r="39" spans="6:37" ht="12.75" x14ac:dyDescent="0.2">
      <c r="F39" s="187" t="s">
        <v>33</v>
      </c>
      <c r="G39" s="188">
        <f ca="1">H2</f>
        <v>0</v>
      </c>
      <c r="H39" s="189">
        <f ca="1">H3</f>
        <v>0</v>
      </c>
      <c r="I39" s="189">
        <f ca="1">H4</f>
        <v>0</v>
      </c>
      <c r="J39" s="189">
        <f ca="1">H5</f>
        <v>0</v>
      </c>
      <c r="K39" s="189">
        <f ca="1">H6</f>
        <v>0</v>
      </c>
      <c r="L39" s="189">
        <f ca="1">H7</f>
        <v>0</v>
      </c>
      <c r="M39" s="189">
        <f ca="1">H8</f>
        <v>0</v>
      </c>
      <c r="N39" s="189">
        <f ca="1">H9</f>
        <v>0</v>
      </c>
      <c r="O39" s="189">
        <f ca="1">H10</f>
        <v>0</v>
      </c>
      <c r="P39" s="189">
        <f ca="1">H11</f>
        <v>0</v>
      </c>
      <c r="Q39" s="189">
        <f ca="1">H12</f>
        <v>0</v>
      </c>
      <c r="R39" s="189">
        <f ca="1">H13</f>
        <v>0</v>
      </c>
      <c r="S39" s="190">
        <f ca="1">H14</f>
        <v>0</v>
      </c>
      <c r="T39" s="191" t="s">
        <v>33</v>
      </c>
      <c r="U39" s="188">
        <f>AF2</f>
        <v>0</v>
      </c>
      <c r="V39" s="189">
        <f>AF3</f>
        <v>0</v>
      </c>
      <c r="W39" s="189">
        <f>AF4</f>
        <v>0</v>
      </c>
      <c r="X39" s="189">
        <f>AF5</f>
        <v>0</v>
      </c>
      <c r="Y39" s="189">
        <f>AF6</f>
        <v>0</v>
      </c>
      <c r="Z39" s="189">
        <f>AF7</f>
        <v>0</v>
      </c>
      <c r="AA39" s="189">
        <f>AF8</f>
        <v>0</v>
      </c>
      <c r="AB39" s="189">
        <f>AF9</f>
        <v>0</v>
      </c>
      <c r="AC39" s="189">
        <f>AF10</f>
        <v>0</v>
      </c>
      <c r="AD39" s="189">
        <f>AF11</f>
        <v>0</v>
      </c>
      <c r="AE39" s="189">
        <f>AF12</f>
        <v>0</v>
      </c>
      <c r="AF39" s="189">
        <f>AF13</f>
        <v>0</v>
      </c>
      <c r="AG39" s="190">
        <f>AF14</f>
        <v>0</v>
      </c>
      <c r="AH39" s="120"/>
      <c r="AI39" s="121"/>
      <c r="AJ39" s="120"/>
      <c r="AK39" s="122"/>
    </row>
    <row r="40" spans="6:37" ht="12.75" x14ac:dyDescent="0.2">
      <c r="F40" s="187" t="s">
        <v>34</v>
      </c>
      <c r="G40" s="188">
        <f ca="1">J2</f>
        <v>0</v>
      </c>
      <c r="H40" s="189">
        <f ca="1">J3</f>
        <v>0</v>
      </c>
      <c r="I40" s="189">
        <f ca="1">J4</f>
        <v>0</v>
      </c>
      <c r="J40" s="189">
        <f ca="1">J5</f>
        <v>0</v>
      </c>
      <c r="K40" s="189">
        <f ca="1">J6</f>
        <v>0</v>
      </c>
      <c r="L40" s="189">
        <f ca="1">J7</f>
        <v>0</v>
      </c>
      <c r="M40" s="189">
        <f ca="1">J8</f>
        <v>0</v>
      </c>
      <c r="N40" s="189">
        <f ca="1">J9</f>
        <v>0</v>
      </c>
      <c r="O40" s="189">
        <f ca="1">J10</f>
        <v>0</v>
      </c>
      <c r="P40" s="189">
        <f ca="1">J11</f>
        <v>0</v>
      </c>
      <c r="Q40" s="189">
        <f ca="1">J12</f>
        <v>0</v>
      </c>
      <c r="R40" s="189">
        <f ca="1">J13</f>
        <v>0</v>
      </c>
      <c r="S40" s="190">
        <f ca="1">J14</f>
        <v>0</v>
      </c>
      <c r="T40" s="191" t="s">
        <v>34</v>
      </c>
      <c r="U40" s="188">
        <f>AG2</f>
        <v>0</v>
      </c>
      <c r="V40" s="189">
        <f>AG3</f>
        <v>0</v>
      </c>
      <c r="W40" s="189">
        <f>AG4</f>
        <v>0</v>
      </c>
      <c r="X40" s="189">
        <f>AG5</f>
        <v>0</v>
      </c>
      <c r="Y40" s="189">
        <f>AG6</f>
        <v>0</v>
      </c>
      <c r="Z40" s="189">
        <f>AG7</f>
        <v>0</v>
      </c>
      <c r="AA40" s="189">
        <f>AG8</f>
        <v>0</v>
      </c>
      <c r="AB40" s="189">
        <f>AG9</f>
        <v>0</v>
      </c>
      <c r="AC40" s="189">
        <f>AG10</f>
        <v>0</v>
      </c>
      <c r="AD40" s="189">
        <f>AG11</f>
        <v>0</v>
      </c>
      <c r="AE40" s="189">
        <f>AG12</f>
        <v>0</v>
      </c>
      <c r="AF40" s="189">
        <f>AG13</f>
        <v>0</v>
      </c>
      <c r="AG40" s="190">
        <f>AG14</f>
        <v>0</v>
      </c>
      <c r="AH40" s="120"/>
      <c r="AI40" s="121"/>
      <c r="AJ40" s="120"/>
      <c r="AK40" s="122"/>
    </row>
    <row r="41" spans="6:37" ht="12.75" x14ac:dyDescent="0.2">
      <c r="F41" s="187" t="s">
        <v>35</v>
      </c>
      <c r="G41" s="188">
        <f ca="1">L2</f>
        <v>0</v>
      </c>
      <c r="H41" s="189">
        <f ca="1">L3</f>
        <v>0</v>
      </c>
      <c r="I41" s="189">
        <f ca="1">L4</f>
        <v>0</v>
      </c>
      <c r="J41" s="189">
        <f ca="1">L5</f>
        <v>0</v>
      </c>
      <c r="K41" s="189">
        <f ca="1">L6</f>
        <v>0</v>
      </c>
      <c r="L41" s="189">
        <f ca="1">L7</f>
        <v>0</v>
      </c>
      <c r="M41" s="189">
        <f ca="1">L8</f>
        <v>0</v>
      </c>
      <c r="N41" s="189">
        <f ca="1">L9</f>
        <v>0</v>
      </c>
      <c r="O41" s="189">
        <f ca="1">L10</f>
        <v>0</v>
      </c>
      <c r="P41" s="189">
        <f ca="1">L11</f>
        <v>0</v>
      </c>
      <c r="Q41" s="189">
        <f ca="1">L12</f>
        <v>0</v>
      </c>
      <c r="R41" s="189">
        <f ca="1">L13</f>
        <v>0</v>
      </c>
      <c r="S41" s="190">
        <f ca="1">L14</f>
        <v>0</v>
      </c>
      <c r="T41" s="191" t="s">
        <v>35</v>
      </c>
      <c r="U41" s="188">
        <f>AH2</f>
        <v>0</v>
      </c>
      <c r="V41" s="189">
        <f>AH3</f>
        <v>0</v>
      </c>
      <c r="W41" s="189">
        <f>AH4</f>
        <v>0</v>
      </c>
      <c r="X41" s="189">
        <f>AH5</f>
        <v>0</v>
      </c>
      <c r="Y41" s="189">
        <f>AH6</f>
        <v>0</v>
      </c>
      <c r="Z41" s="189">
        <f>AH7</f>
        <v>0</v>
      </c>
      <c r="AA41" s="189">
        <f>AH8</f>
        <v>0</v>
      </c>
      <c r="AB41" s="189">
        <f>AH9</f>
        <v>0</v>
      </c>
      <c r="AC41" s="189">
        <f>AH10</f>
        <v>0</v>
      </c>
      <c r="AD41" s="189">
        <f>AH11</f>
        <v>0</v>
      </c>
      <c r="AE41" s="189">
        <f>AH12</f>
        <v>0</v>
      </c>
      <c r="AF41" s="189">
        <f>AH13</f>
        <v>0</v>
      </c>
      <c r="AG41" s="190">
        <f>AH14</f>
        <v>0</v>
      </c>
      <c r="AH41" s="120"/>
      <c r="AI41" s="121"/>
      <c r="AJ41" s="120"/>
      <c r="AK41" s="122"/>
    </row>
    <row r="42" spans="6:37" ht="12.75" x14ac:dyDescent="0.2">
      <c r="F42" s="187" t="s">
        <v>36</v>
      </c>
      <c r="G42" s="188">
        <f ca="1">N2</f>
        <v>0</v>
      </c>
      <c r="H42" s="189">
        <f ca="1">N3</f>
        <v>0</v>
      </c>
      <c r="I42" s="189">
        <f ca="1">N4</f>
        <v>0</v>
      </c>
      <c r="J42" s="189">
        <f ca="1">N5</f>
        <v>0</v>
      </c>
      <c r="K42" s="189">
        <f ca="1">N6</f>
        <v>0</v>
      </c>
      <c r="L42" s="189">
        <f ca="1">N7</f>
        <v>0</v>
      </c>
      <c r="M42" s="189">
        <f ca="1">N8</f>
        <v>0</v>
      </c>
      <c r="N42" s="189">
        <f ca="1">N9</f>
        <v>0</v>
      </c>
      <c r="O42" s="189">
        <f ca="1">N10</f>
        <v>0</v>
      </c>
      <c r="P42" s="189">
        <f ca="1">N11</f>
        <v>0</v>
      </c>
      <c r="Q42" s="189">
        <f ca="1">N12</f>
        <v>0</v>
      </c>
      <c r="R42" s="189">
        <f ca="1">N13</f>
        <v>0</v>
      </c>
      <c r="S42" s="190">
        <f ca="1">N14</f>
        <v>0</v>
      </c>
      <c r="T42" s="191" t="s">
        <v>36</v>
      </c>
      <c r="U42" s="188">
        <f>AI2</f>
        <v>0</v>
      </c>
      <c r="V42" s="189">
        <f>AI3</f>
        <v>0</v>
      </c>
      <c r="W42" s="189">
        <f>AI4</f>
        <v>0</v>
      </c>
      <c r="X42" s="189">
        <f>AI5</f>
        <v>0</v>
      </c>
      <c r="Y42" s="189">
        <f>AI6</f>
        <v>0</v>
      </c>
      <c r="Z42" s="189">
        <f>AI7</f>
        <v>0</v>
      </c>
      <c r="AA42" s="189">
        <f>AI8</f>
        <v>0</v>
      </c>
      <c r="AB42" s="189">
        <f>AI9</f>
        <v>0</v>
      </c>
      <c r="AC42" s="189">
        <f>AI10</f>
        <v>0</v>
      </c>
      <c r="AD42" s="189">
        <f>AI11</f>
        <v>0</v>
      </c>
      <c r="AE42" s="189">
        <f>AI12</f>
        <v>0</v>
      </c>
      <c r="AF42" s="189">
        <f>AI13</f>
        <v>0</v>
      </c>
      <c r="AG42" s="190">
        <f>AI14</f>
        <v>0</v>
      </c>
      <c r="AH42" s="120"/>
      <c r="AI42" s="121"/>
      <c r="AJ42" s="120"/>
      <c r="AK42" s="122"/>
    </row>
    <row r="43" spans="6:37" ht="12.75" x14ac:dyDescent="0.2">
      <c r="F43" s="187" t="s">
        <v>37</v>
      </c>
      <c r="G43" s="188">
        <f ca="1">P2</f>
        <v>0</v>
      </c>
      <c r="H43" s="189">
        <f ca="1">P3</f>
        <v>0</v>
      </c>
      <c r="I43" s="189">
        <f ca="1">P4</f>
        <v>0</v>
      </c>
      <c r="J43" s="189">
        <f ca="1">P5</f>
        <v>0</v>
      </c>
      <c r="K43" s="189">
        <f ca="1">P6</f>
        <v>0</v>
      </c>
      <c r="L43" s="189">
        <f ca="1">P7</f>
        <v>0</v>
      </c>
      <c r="M43" s="189">
        <f ca="1">P8</f>
        <v>0</v>
      </c>
      <c r="N43" s="189">
        <f ca="1">P9</f>
        <v>0</v>
      </c>
      <c r="O43" s="189">
        <f ca="1">P10</f>
        <v>0</v>
      </c>
      <c r="P43" s="189">
        <f ca="1">P11</f>
        <v>0</v>
      </c>
      <c r="Q43" s="189">
        <f ca="1">P12</f>
        <v>0</v>
      </c>
      <c r="R43" s="189">
        <f ca="1">P13</f>
        <v>0</v>
      </c>
      <c r="S43" s="190">
        <f ca="1">P14</f>
        <v>0</v>
      </c>
      <c r="T43" s="191" t="s">
        <v>37</v>
      </c>
      <c r="U43" s="188">
        <f>AJ2</f>
        <v>0</v>
      </c>
      <c r="V43" s="189">
        <f>AJ3</f>
        <v>0</v>
      </c>
      <c r="W43" s="189">
        <f>AJ4</f>
        <v>0</v>
      </c>
      <c r="X43" s="189">
        <f>AJ5</f>
        <v>0</v>
      </c>
      <c r="Y43" s="189">
        <f>AJ6</f>
        <v>0</v>
      </c>
      <c r="Z43" s="189">
        <f>AJ7</f>
        <v>0</v>
      </c>
      <c r="AA43" s="189">
        <f>AJ8</f>
        <v>0</v>
      </c>
      <c r="AB43" s="189">
        <f>AJ9</f>
        <v>0</v>
      </c>
      <c r="AC43" s="189">
        <f>AJ10</f>
        <v>0</v>
      </c>
      <c r="AD43" s="189">
        <f>AJ11</f>
        <v>0</v>
      </c>
      <c r="AE43" s="189">
        <f>AJ12</f>
        <v>0</v>
      </c>
      <c r="AF43" s="189">
        <f>AJ13</f>
        <v>0</v>
      </c>
      <c r="AG43" s="190">
        <f>AJ14</f>
        <v>0</v>
      </c>
      <c r="AH43" s="120"/>
      <c r="AI43" s="121"/>
      <c r="AJ43" s="120"/>
      <c r="AK43" s="122"/>
    </row>
    <row r="44" spans="6:37" ht="12.75" x14ac:dyDescent="0.2">
      <c r="F44" s="187" t="s">
        <v>38</v>
      </c>
      <c r="G44" s="188">
        <f ca="1">R2</f>
        <v>0</v>
      </c>
      <c r="H44" s="189">
        <f ca="1">R3</f>
        <v>0</v>
      </c>
      <c r="I44" s="189">
        <f ca="1">R4</f>
        <v>0</v>
      </c>
      <c r="J44" s="189">
        <f ca="1">R5</f>
        <v>0</v>
      </c>
      <c r="K44" s="189">
        <f ca="1">R6</f>
        <v>0</v>
      </c>
      <c r="L44" s="189">
        <f ca="1">R7</f>
        <v>0</v>
      </c>
      <c r="M44" s="189">
        <f ca="1">R8</f>
        <v>0</v>
      </c>
      <c r="N44" s="189">
        <f ca="1">R9</f>
        <v>0</v>
      </c>
      <c r="O44" s="189">
        <f ca="1">R10</f>
        <v>0</v>
      </c>
      <c r="P44" s="189">
        <f ca="1">R11</f>
        <v>0</v>
      </c>
      <c r="Q44" s="189">
        <f ca="1">R12</f>
        <v>0</v>
      </c>
      <c r="R44" s="189">
        <f ca="1">R13</f>
        <v>0</v>
      </c>
      <c r="S44" s="190">
        <f ca="1">R14</f>
        <v>0</v>
      </c>
      <c r="T44" s="191" t="s">
        <v>38</v>
      </c>
      <c r="U44" s="188">
        <f>AK2</f>
        <v>0</v>
      </c>
      <c r="V44" s="189">
        <f>AK3</f>
        <v>0</v>
      </c>
      <c r="W44" s="189">
        <f>AK4</f>
        <v>0</v>
      </c>
      <c r="X44" s="189">
        <f>AK5</f>
        <v>0</v>
      </c>
      <c r="Y44" s="189">
        <f>AK6</f>
        <v>0</v>
      </c>
      <c r="Z44" s="189">
        <f>AK7</f>
        <v>0</v>
      </c>
      <c r="AA44" s="189">
        <f>AK8</f>
        <v>0</v>
      </c>
      <c r="AB44" s="189">
        <f>AK9</f>
        <v>0</v>
      </c>
      <c r="AC44" s="189">
        <f>AK10</f>
        <v>0</v>
      </c>
      <c r="AD44" s="189">
        <f>AK11</f>
        <v>0</v>
      </c>
      <c r="AE44" s="189">
        <f>AK12</f>
        <v>0</v>
      </c>
      <c r="AF44" s="189">
        <f>AK13</f>
        <v>0</v>
      </c>
      <c r="AG44" s="190">
        <f>AK14</f>
        <v>0</v>
      </c>
      <c r="AH44" s="120"/>
      <c r="AI44" s="121"/>
      <c r="AJ44" s="120"/>
      <c r="AK44" s="122"/>
    </row>
    <row r="45" spans="6:37" ht="12.75" x14ac:dyDescent="0.2">
      <c r="F45" s="187" t="s">
        <v>39</v>
      </c>
      <c r="G45" s="188">
        <f ca="1">T2</f>
        <v>0</v>
      </c>
      <c r="H45" s="189">
        <f ca="1">T3</f>
        <v>0</v>
      </c>
      <c r="I45" s="189">
        <f ca="1">T4</f>
        <v>0</v>
      </c>
      <c r="J45" s="189">
        <f ca="1">T5</f>
        <v>0</v>
      </c>
      <c r="K45" s="189">
        <f ca="1">T6</f>
        <v>0</v>
      </c>
      <c r="L45" s="189">
        <f ca="1">T7</f>
        <v>0</v>
      </c>
      <c r="M45" s="189">
        <f ca="1">T8</f>
        <v>0</v>
      </c>
      <c r="N45" s="189">
        <f ca="1">T9</f>
        <v>0</v>
      </c>
      <c r="O45" s="189">
        <f ca="1">T10</f>
        <v>0</v>
      </c>
      <c r="P45" s="189">
        <f ca="1">T11</f>
        <v>0</v>
      </c>
      <c r="Q45" s="189">
        <f ca="1">T12</f>
        <v>0</v>
      </c>
      <c r="R45" s="189">
        <f ca="1">T13</f>
        <v>0</v>
      </c>
      <c r="S45" s="190">
        <f ca="1">T14</f>
        <v>0</v>
      </c>
      <c r="T45" s="191" t="s">
        <v>39</v>
      </c>
      <c r="U45" s="188">
        <f>AL2</f>
        <v>0</v>
      </c>
      <c r="V45" s="189">
        <f>AL3</f>
        <v>0</v>
      </c>
      <c r="W45" s="189">
        <f>AL4</f>
        <v>0</v>
      </c>
      <c r="X45" s="189">
        <f>AL5</f>
        <v>0</v>
      </c>
      <c r="Y45" s="189">
        <f>AL6</f>
        <v>0</v>
      </c>
      <c r="Z45" s="189">
        <f>AL7</f>
        <v>0</v>
      </c>
      <c r="AA45" s="189">
        <f>AL8</f>
        <v>0</v>
      </c>
      <c r="AB45" s="189">
        <f>AL9</f>
        <v>0</v>
      </c>
      <c r="AC45" s="189">
        <f>AL10</f>
        <v>0</v>
      </c>
      <c r="AD45" s="189">
        <f>AL11</f>
        <v>0</v>
      </c>
      <c r="AE45" s="189">
        <f>AL12</f>
        <v>0</v>
      </c>
      <c r="AF45" s="189">
        <f>AL13</f>
        <v>0</v>
      </c>
      <c r="AG45" s="190">
        <f>AL14</f>
        <v>0</v>
      </c>
      <c r="AH45" s="120"/>
      <c r="AI45" s="121"/>
      <c r="AJ45" s="120"/>
      <c r="AK45" s="122"/>
    </row>
    <row r="46" spans="6:37" ht="12.75" x14ac:dyDescent="0.2">
      <c r="F46" s="187" t="s">
        <v>40</v>
      </c>
      <c r="G46" s="188">
        <f ca="1">V2</f>
        <v>0</v>
      </c>
      <c r="H46" s="189">
        <f ca="1">V3</f>
        <v>0</v>
      </c>
      <c r="I46" s="189">
        <f ca="1">V4</f>
        <v>0</v>
      </c>
      <c r="J46" s="189">
        <f ca="1">V5</f>
        <v>0</v>
      </c>
      <c r="K46" s="189">
        <f ca="1">V6</f>
        <v>0</v>
      </c>
      <c r="L46" s="189">
        <f ca="1">V7</f>
        <v>0</v>
      </c>
      <c r="M46" s="189">
        <f ca="1">V8</f>
        <v>0</v>
      </c>
      <c r="N46" s="189">
        <f ca="1">V9</f>
        <v>0</v>
      </c>
      <c r="O46" s="189">
        <f ca="1">V10</f>
        <v>0</v>
      </c>
      <c r="P46" s="189">
        <f ca="1">V11</f>
        <v>0</v>
      </c>
      <c r="Q46" s="189">
        <f ca="1">V12</f>
        <v>0</v>
      </c>
      <c r="R46" s="189">
        <f ca="1">V13</f>
        <v>0</v>
      </c>
      <c r="S46" s="190">
        <f ca="1">V14</f>
        <v>0</v>
      </c>
      <c r="T46" s="191" t="s">
        <v>40</v>
      </c>
      <c r="U46" s="188">
        <f>AM2</f>
        <v>0</v>
      </c>
      <c r="V46" s="189">
        <f>AM3</f>
        <v>0</v>
      </c>
      <c r="W46" s="189">
        <f>AM4</f>
        <v>0</v>
      </c>
      <c r="X46" s="189">
        <f>AM5</f>
        <v>0</v>
      </c>
      <c r="Y46" s="189">
        <f>AM6</f>
        <v>0</v>
      </c>
      <c r="Z46" s="189">
        <f>AM7</f>
        <v>0</v>
      </c>
      <c r="AA46" s="189">
        <f>AM8</f>
        <v>0</v>
      </c>
      <c r="AB46" s="189">
        <f>AM9</f>
        <v>0</v>
      </c>
      <c r="AC46" s="189">
        <f>AM10</f>
        <v>0</v>
      </c>
      <c r="AD46" s="189">
        <f>AM11</f>
        <v>0</v>
      </c>
      <c r="AE46" s="189">
        <f>AM12</f>
        <v>0</v>
      </c>
      <c r="AF46" s="189">
        <f>AM13</f>
        <v>0</v>
      </c>
      <c r="AG46" s="190">
        <f>AM14</f>
        <v>0</v>
      </c>
      <c r="AH46" s="120"/>
      <c r="AI46" s="121"/>
      <c r="AJ46" s="120"/>
      <c r="AK46" s="122"/>
    </row>
    <row r="47" spans="6:37" ht="12.75" x14ac:dyDescent="0.2">
      <c r="F47" s="187" t="s">
        <v>41</v>
      </c>
      <c r="G47" s="188">
        <f ca="1">X2</f>
        <v>0</v>
      </c>
      <c r="H47" s="189">
        <f ca="1">X3</f>
        <v>0</v>
      </c>
      <c r="I47" s="189">
        <f ca="1">X4</f>
        <v>0</v>
      </c>
      <c r="J47" s="189">
        <f ca="1">X5</f>
        <v>0</v>
      </c>
      <c r="K47" s="189">
        <f ca="1">X6</f>
        <v>0</v>
      </c>
      <c r="L47" s="189">
        <f ca="1">X7</f>
        <v>0</v>
      </c>
      <c r="M47" s="189">
        <f ca="1">X8</f>
        <v>0</v>
      </c>
      <c r="N47" s="189">
        <f ca="1">X9</f>
        <v>0</v>
      </c>
      <c r="O47" s="189">
        <f ca="1">X10</f>
        <v>0</v>
      </c>
      <c r="P47" s="189">
        <f ca="1">X11</f>
        <v>0</v>
      </c>
      <c r="Q47" s="189">
        <f ca="1">X12</f>
        <v>0</v>
      </c>
      <c r="R47" s="189">
        <f ca="1">X13</f>
        <v>0</v>
      </c>
      <c r="S47" s="190">
        <f ca="1">X14</f>
        <v>0</v>
      </c>
      <c r="T47" s="191" t="s">
        <v>41</v>
      </c>
      <c r="U47" s="188">
        <f>AN2</f>
        <v>0</v>
      </c>
      <c r="V47" s="189">
        <f>AN3</f>
        <v>0</v>
      </c>
      <c r="W47" s="189">
        <f>AN4</f>
        <v>0</v>
      </c>
      <c r="X47" s="189">
        <f>AN5</f>
        <v>0</v>
      </c>
      <c r="Y47" s="189">
        <f>AN6</f>
        <v>0</v>
      </c>
      <c r="Z47" s="189">
        <f>AN7</f>
        <v>0</v>
      </c>
      <c r="AA47" s="189">
        <f>AN8</f>
        <v>0</v>
      </c>
      <c r="AB47" s="189">
        <f>AN9</f>
        <v>0</v>
      </c>
      <c r="AC47" s="189">
        <f>AN10</f>
        <v>0</v>
      </c>
      <c r="AD47" s="189">
        <f>AN11</f>
        <v>0</v>
      </c>
      <c r="AE47" s="189">
        <f>AN12</f>
        <v>0</v>
      </c>
      <c r="AF47" s="189">
        <f>AN13</f>
        <v>0</v>
      </c>
      <c r="AG47" s="190">
        <f>AN14</f>
        <v>0</v>
      </c>
      <c r="AH47" s="123"/>
      <c r="AI47" s="115"/>
      <c r="AJ47" s="123"/>
      <c r="AK47" s="124"/>
    </row>
    <row r="48" spans="6:37" ht="12.75" x14ac:dyDescent="0.2">
      <c r="F48" s="187" t="s">
        <v>42</v>
      </c>
      <c r="G48" s="188">
        <f ca="1">Z2</f>
        <v>0</v>
      </c>
      <c r="H48" s="189">
        <f ca="1">Z3</f>
        <v>0</v>
      </c>
      <c r="I48" s="189">
        <f ca="1">Z4</f>
        <v>0</v>
      </c>
      <c r="J48" s="189">
        <f ca="1">Z5</f>
        <v>0</v>
      </c>
      <c r="K48" s="189">
        <f ca="1">Z6</f>
        <v>0</v>
      </c>
      <c r="L48" s="189">
        <f ca="1">Z7</f>
        <v>0</v>
      </c>
      <c r="M48" s="189">
        <f ca="1">Z8</f>
        <v>0</v>
      </c>
      <c r="N48" s="189">
        <f ca="1">Z9</f>
        <v>0</v>
      </c>
      <c r="O48" s="189">
        <f ca="1">Z10</f>
        <v>0</v>
      </c>
      <c r="P48" s="189">
        <f ca="1">Z11</f>
        <v>0</v>
      </c>
      <c r="Q48" s="189">
        <f ca="1">Z12</f>
        <v>0</v>
      </c>
      <c r="R48" s="189">
        <f ca="1">Z13</f>
        <v>0</v>
      </c>
      <c r="S48" s="190">
        <f ca="1">Z14</f>
        <v>0</v>
      </c>
      <c r="T48" s="191" t="s">
        <v>42</v>
      </c>
      <c r="U48" s="188">
        <f>AO2</f>
        <v>0.4732142857142857</v>
      </c>
      <c r="V48" s="189">
        <f>AO3</f>
        <v>0.49721706864564008</v>
      </c>
      <c r="W48" s="189">
        <f>AO4</f>
        <v>0.5536519386834986</v>
      </c>
      <c r="X48" s="189">
        <f>AO5</f>
        <v>0.45889864325618518</v>
      </c>
      <c r="Y48" s="189">
        <f>AO6</f>
        <v>0.47368421052631576</v>
      </c>
      <c r="Z48" s="189">
        <f>AO7</f>
        <v>0.42743221690590111</v>
      </c>
      <c r="AA48" s="189">
        <f>AO8</f>
        <v>0.54277062831188494</v>
      </c>
      <c r="AB48" s="189">
        <f>AO9</f>
        <v>0</v>
      </c>
      <c r="AC48" s="189">
        <f>AO10</f>
        <v>0</v>
      </c>
      <c r="AD48" s="189">
        <f>AO11</f>
        <v>0</v>
      </c>
      <c r="AE48" s="189">
        <f>AO12</f>
        <v>0</v>
      </c>
      <c r="AF48" s="189">
        <f>AO13</f>
        <v>0</v>
      </c>
      <c r="AG48" s="190">
        <f>AO14</f>
        <v>0</v>
      </c>
      <c r="AH48" s="123"/>
      <c r="AI48" s="115"/>
      <c r="AJ48" s="123"/>
      <c r="AK48" s="124"/>
    </row>
    <row r="49" spans="6:37" ht="12.75" x14ac:dyDescent="0.2">
      <c r="F49" s="192" t="s">
        <v>43</v>
      </c>
      <c r="G49" s="193">
        <f ca="1">AB2</f>
        <v>0</v>
      </c>
      <c r="H49" s="194">
        <f ca="1">AB3</f>
        <v>0</v>
      </c>
      <c r="I49" s="194">
        <f ca="1">AB4</f>
        <v>0</v>
      </c>
      <c r="J49" s="194">
        <f ca="1">AB5</f>
        <v>0</v>
      </c>
      <c r="K49" s="194">
        <f ca="1">AB6</f>
        <v>0</v>
      </c>
      <c r="L49" s="194">
        <f ca="1">AB7</f>
        <v>0</v>
      </c>
      <c r="M49" s="194">
        <f ca="1">AB8</f>
        <v>0</v>
      </c>
      <c r="N49" s="194">
        <f ca="1">AB9</f>
        <v>0</v>
      </c>
      <c r="O49" s="194">
        <f ca="1">AB10</f>
        <v>0</v>
      </c>
      <c r="P49" s="194">
        <f ca="1">AB11</f>
        <v>0</v>
      </c>
      <c r="Q49" s="194">
        <f ca="1">AB12</f>
        <v>0</v>
      </c>
      <c r="R49" s="194">
        <f ca="1">AB13</f>
        <v>0</v>
      </c>
      <c r="S49" s="195">
        <f ca="1">AB14</f>
        <v>0</v>
      </c>
      <c r="T49" s="196" t="s">
        <v>43</v>
      </c>
      <c r="U49" s="193">
        <f>AP2</f>
        <v>0</v>
      </c>
      <c r="V49" s="194">
        <f>AP3</f>
        <v>0</v>
      </c>
      <c r="W49" s="194">
        <f>AP4</f>
        <v>0</v>
      </c>
      <c r="X49" s="194">
        <f>AP5</f>
        <v>0</v>
      </c>
      <c r="Y49" s="194">
        <f>AP6</f>
        <v>0</v>
      </c>
      <c r="Z49" s="194">
        <f>AP7</f>
        <v>0</v>
      </c>
      <c r="AA49" s="194">
        <f>AP8</f>
        <v>0</v>
      </c>
      <c r="AB49" s="194">
        <f>AP9</f>
        <v>0</v>
      </c>
      <c r="AC49" s="194">
        <f>AP10</f>
        <v>0</v>
      </c>
      <c r="AD49" s="194">
        <f>AP11</f>
        <v>0</v>
      </c>
      <c r="AE49" s="194">
        <f>AP12</f>
        <v>0</v>
      </c>
      <c r="AF49" s="194">
        <f>AP13</f>
        <v>0</v>
      </c>
      <c r="AG49" s="195">
        <f>AP14</f>
        <v>0</v>
      </c>
      <c r="AH49" s="123"/>
      <c r="AI49" s="115"/>
      <c r="AJ49" s="123"/>
      <c r="AK49" s="124"/>
    </row>
    <row r="50" spans="6:37" ht="13.5" thickBot="1" x14ac:dyDescent="0.25">
      <c r="F50" s="197" t="s">
        <v>44</v>
      </c>
      <c r="G50" s="198">
        <f ca="1">AD2</f>
        <v>0</v>
      </c>
      <c r="H50" s="199">
        <f ca="1">AD3</f>
        <v>0</v>
      </c>
      <c r="I50" s="199">
        <f ca="1">AD4</f>
        <v>0</v>
      </c>
      <c r="J50" s="199">
        <f ca="1">AD5</f>
        <v>0</v>
      </c>
      <c r="K50" s="199">
        <f ca="1">AD6</f>
        <v>0</v>
      </c>
      <c r="L50" s="199">
        <f ca="1">AD7</f>
        <v>0</v>
      </c>
      <c r="M50" s="199">
        <f ca="1">AD8</f>
        <v>0</v>
      </c>
      <c r="N50" s="199">
        <f ca="1">AD9</f>
        <v>0</v>
      </c>
      <c r="O50" s="199">
        <f ca="1">AD10</f>
        <v>0</v>
      </c>
      <c r="P50" s="199">
        <f ca="1">AD11</f>
        <v>0</v>
      </c>
      <c r="Q50" s="199">
        <f ca="1">AD12</f>
        <v>0</v>
      </c>
      <c r="R50" s="199">
        <f ca="1">AD13</f>
        <v>0</v>
      </c>
      <c r="S50" s="200">
        <f ca="1">AD14</f>
        <v>0</v>
      </c>
      <c r="T50" s="201" t="s">
        <v>44</v>
      </c>
      <c r="U50" s="198">
        <f>AQ2</f>
        <v>0</v>
      </c>
      <c r="V50" s="199">
        <f>AQ3</f>
        <v>0</v>
      </c>
      <c r="W50" s="199">
        <f>AQ4</f>
        <v>0</v>
      </c>
      <c r="X50" s="199">
        <f>AQ5</f>
        <v>0</v>
      </c>
      <c r="Y50" s="199">
        <f>AQ6</f>
        <v>0</v>
      </c>
      <c r="Z50" s="199">
        <f>AQ7</f>
        <v>0</v>
      </c>
      <c r="AA50" s="199">
        <f>AQ8</f>
        <v>0</v>
      </c>
      <c r="AB50" s="199">
        <f>AQ9</f>
        <v>0</v>
      </c>
      <c r="AC50" s="199">
        <f>AQ10</f>
        <v>0</v>
      </c>
      <c r="AD50" s="199">
        <f>AQ11</f>
        <v>0</v>
      </c>
      <c r="AE50" s="199">
        <f>AQ12</f>
        <v>0</v>
      </c>
      <c r="AF50" s="199">
        <f>AQ13</f>
        <v>0</v>
      </c>
      <c r="AG50" s="200">
        <f>AQ14</f>
        <v>0</v>
      </c>
      <c r="AH50" s="125"/>
      <c r="AI50" s="126"/>
      <c r="AJ50" s="125"/>
      <c r="AK50" s="127"/>
    </row>
  </sheetData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6" type="noConversion"/>
  <conditionalFormatting sqref="D2:D14 H2:H14 J2:J14 L2:L14 N2:N14 P2:P14 R2:R14 T2:T14 V2:V14 X2:X14 Z2:Z14 AB2:AB14 AD2:AD14">
    <cfRule type="cellIs" dxfId="411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10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B1:AJ61"/>
  <sheetViews>
    <sheetView tabSelected="1" zoomScale="115" zoomScaleNormal="115" workbookViewId="0">
      <selection activeCell="M14" sqref="M14"/>
    </sheetView>
  </sheetViews>
  <sheetFormatPr baseColWidth="10" defaultRowHeight="15.75" x14ac:dyDescent="0.3"/>
  <cols>
    <col min="1" max="1" width="4.42578125" style="436" customWidth="1"/>
    <col min="2" max="2" width="8.28515625" style="436" bestFit="1" customWidth="1"/>
    <col min="3" max="3" width="21.28515625" style="436" customWidth="1"/>
    <col min="4" max="4" width="6.85546875" style="436" customWidth="1"/>
    <col min="5" max="5" width="6.28515625" style="436" customWidth="1"/>
    <col min="6" max="6" width="17.140625" style="436" customWidth="1"/>
    <col min="7" max="7" width="8" style="436" customWidth="1"/>
    <col min="8" max="14" width="17.28515625" style="436" customWidth="1"/>
    <col min="15" max="16" width="11.42578125" style="436"/>
    <col min="17" max="17" width="15" style="436" bestFit="1" customWidth="1"/>
    <col min="18" max="26" width="11.42578125" style="436"/>
    <col min="27" max="27" width="15" style="436" customWidth="1"/>
    <col min="28" max="28" width="11.42578125" style="436"/>
    <col min="29" max="29" width="10.42578125" style="436" customWidth="1"/>
    <col min="30" max="30" width="10.5703125" style="436" customWidth="1"/>
    <col min="31" max="31" width="20" style="436" customWidth="1"/>
    <col min="32" max="35" width="11.42578125" style="436"/>
    <col min="36" max="36" width="20.28515625" style="436" customWidth="1"/>
    <col min="37" max="37" width="11.42578125" style="436" customWidth="1"/>
    <col min="38" max="16384" width="11.42578125" style="436"/>
  </cols>
  <sheetData>
    <row r="1" spans="2:36" ht="16.5" thickBot="1" x14ac:dyDescent="0.35">
      <c r="D1" s="435"/>
      <c r="O1" s="437"/>
      <c r="P1" s="437"/>
      <c r="Q1" s="437"/>
      <c r="R1" s="437"/>
    </row>
    <row r="2" spans="2:36" ht="16.5" thickBot="1" x14ac:dyDescent="0.35">
      <c r="B2" s="433" t="s">
        <v>11</v>
      </c>
      <c r="C2" s="434">
        <f>Synthèse!$B$17</f>
        <v>46096</v>
      </c>
      <c r="D2" s="440"/>
      <c r="H2" s="441">
        <v>1</v>
      </c>
      <c r="I2" s="442">
        <v>2</v>
      </c>
      <c r="J2" s="442">
        <v>3</v>
      </c>
      <c r="K2" s="442">
        <v>4</v>
      </c>
      <c r="L2" s="442">
        <v>5</v>
      </c>
      <c r="M2" s="443">
        <v>6</v>
      </c>
      <c r="N2" s="444">
        <v>7</v>
      </c>
      <c r="O2" s="445"/>
      <c r="P2" s="445"/>
      <c r="Q2" s="445"/>
      <c r="AI2" s="433" t="s">
        <v>11</v>
      </c>
      <c r="AJ2" s="434">
        <f>Synthèse!$B$17</f>
        <v>46096</v>
      </c>
    </row>
    <row r="3" spans="2:36" ht="46.5" customHeight="1" thickBot="1" x14ac:dyDescent="0.35">
      <c r="B3" s="438" t="s">
        <v>12</v>
      </c>
      <c r="C3" s="439" t="str">
        <f>Synthèse!$B$18</f>
        <v>Municipales 1er tour</v>
      </c>
      <c r="D3" s="440"/>
      <c r="E3" s="585" t="s">
        <v>15</v>
      </c>
      <c r="F3" s="586"/>
      <c r="G3" s="448" t="s">
        <v>0</v>
      </c>
      <c r="H3" s="449" t="str">
        <f>Synthèse!L$2</f>
        <v>Candidat 1</v>
      </c>
      <c r="I3" s="450" t="str">
        <f>Synthèse!M$2</f>
        <v>Candidat 2</v>
      </c>
      <c r="J3" s="451" t="str">
        <f>Synthèse!N$2</f>
        <v>Candidat 3</v>
      </c>
      <c r="K3" s="452" t="str">
        <f>Synthèse!O$2</f>
        <v>Candidat 4</v>
      </c>
      <c r="L3" s="453" t="str">
        <f>Synthèse!P$2</f>
        <v>Candidat 5</v>
      </c>
      <c r="M3" s="454" t="str">
        <f>Synthèse!Q$2</f>
        <v>Candidat 6</v>
      </c>
      <c r="N3" s="455" t="str">
        <f>Synthèse!R$2</f>
        <v>Candidat 7</v>
      </c>
      <c r="O3" s="456" t="s">
        <v>3</v>
      </c>
      <c r="P3" s="457" t="s">
        <v>4</v>
      </c>
      <c r="Q3" s="458" t="s">
        <v>106</v>
      </c>
      <c r="Z3" s="580" t="s">
        <v>15</v>
      </c>
      <c r="AA3" s="581"/>
      <c r="AB3" s="459" t="s">
        <v>0</v>
      </c>
      <c r="AC3" s="582" t="s">
        <v>2</v>
      </c>
      <c r="AD3" s="583"/>
      <c r="AE3" s="584"/>
      <c r="AI3" s="438" t="s">
        <v>12</v>
      </c>
      <c r="AJ3" s="439" t="str">
        <f>Synthèse!$B$18</f>
        <v>Municipales 1er tour</v>
      </c>
    </row>
    <row r="4" spans="2:36" ht="16.5" thickBot="1" x14ac:dyDescent="0.35">
      <c r="B4" s="446" t="s">
        <v>13</v>
      </c>
      <c r="C4" s="447" t="str">
        <f>Synthèse!$B$19</f>
        <v>Cogolin</v>
      </c>
      <c r="E4" s="460">
        <v>1</v>
      </c>
      <c r="F4" s="461" t="str" cm="1">
        <f t="array" aca="1" ref="F4" ca="1">INDIRECT("'Synthèse'!$B" &amp; ROW()-1)</f>
        <v>Ecole Chabaud</v>
      </c>
      <c r="G4" s="462">
        <f>Synthèse!C3</f>
        <v>520</v>
      </c>
      <c r="H4" s="463">
        <f ca="1">Synthèse!L3</f>
        <v>0</v>
      </c>
      <c r="I4" s="464">
        <f ca="1">Synthèse!M3</f>
        <v>0</v>
      </c>
      <c r="J4" s="464">
        <f ca="1">Synthèse!N3</f>
        <v>0</v>
      </c>
      <c r="K4" s="464">
        <f ca="1">Synthèse!O3</f>
        <v>0</v>
      </c>
      <c r="L4" s="464">
        <f ca="1">Synthèse!P3</f>
        <v>0</v>
      </c>
      <c r="M4" s="465">
        <f ca="1">Synthèse!Q3</f>
        <v>0</v>
      </c>
      <c r="N4" s="466">
        <f ca="1">Synthèse!R3</f>
        <v>0</v>
      </c>
      <c r="O4" s="542">
        <f ca="1">Synthèse!G3</f>
        <v>0</v>
      </c>
      <c r="P4" s="543">
        <f ca="1">Synthèse!H3</f>
        <v>0</v>
      </c>
      <c r="Q4" s="467" cm="1">
        <f t="array" aca="1" ref="Q4" ca="1">SUM(IFERROR(H4:P4,0))</f>
        <v>0</v>
      </c>
      <c r="Z4" s="468">
        <v>1</v>
      </c>
      <c r="AA4" s="469" t="str">
        <f>Synthèse!$B3</f>
        <v>Ecole Chabaud</v>
      </c>
      <c r="AB4" s="470">
        <f>Synthèse!$C3</f>
        <v>520</v>
      </c>
      <c r="AC4" s="471">
        <f ca="1">Synthèse!$E3</f>
        <v>0</v>
      </c>
      <c r="AD4" s="539">
        <f t="shared" ref="AD4:AE16" ca="1" si="0">$AC4/$AB4</f>
        <v>0</v>
      </c>
      <c r="AE4" s="472">
        <f t="shared" ca="1" si="0"/>
        <v>0</v>
      </c>
      <c r="AI4" s="446" t="s">
        <v>13</v>
      </c>
      <c r="AJ4" s="447" t="str">
        <f>Synthèse!$B$19</f>
        <v>Cogolin</v>
      </c>
    </row>
    <row r="5" spans="2:36" x14ac:dyDescent="0.3">
      <c r="E5" s="473">
        <v>2</v>
      </c>
      <c r="F5" s="474" t="str" cm="1">
        <f t="array" aca="1" ref="F5" ca="1">INDIRECT("'Synthèse'!$B" &amp; ROW()-1)</f>
        <v>Gymnase B</v>
      </c>
      <c r="G5" s="475">
        <f>Synthèse!C4</f>
        <v>700</v>
      </c>
      <c r="H5" s="476">
        <f ca="1">Synthèse!L4</f>
        <v>0</v>
      </c>
      <c r="I5" s="477">
        <f ca="1">Synthèse!M4</f>
        <v>0</v>
      </c>
      <c r="J5" s="477">
        <f ca="1">Synthèse!N4</f>
        <v>0</v>
      </c>
      <c r="K5" s="477">
        <f ca="1">Synthèse!O4</f>
        <v>0</v>
      </c>
      <c r="L5" s="477">
        <f ca="1">Synthèse!P4</f>
        <v>0</v>
      </c>
      <c r="M5" s="478">
        <f ca="1">Synthèse!Q4</f>
        <v>0</v>
      </c>
      <c r="N5" s="479">
        <f ca="1">Synthèse!R4</f>
        <v>0</v>
      </c>
      <c r="O5" s="480">
        <f ca="1">Synthèse!G4</f>
        <v>0</v>
      </c>
      <c r="P5" s="481">
        <f ca="1">Synthèse!H4</f>
        <v>0</v>
      </c>
      <c r="Q5" s="482" cm="1">
        <f t="array" aca="1" ref="Q5" ca="1">SUM(IFERROR(H5:P5,0))</f>
        <v>0</v>
      </c>
      <c r="Z5" s="468">
        <v>2</v>
      </c>
      <c r="AA5" s="469" t="str">
        <f>Synthèse!$B4</f>
        <v>Gymnase B</v>
      </c>
      <c r="AB5" s="483">
        <f>Synthèse!$C4</f>
        <v>700</v>
      </c>
      <c r="AC5" s="484">
        <f ca="1">Synthèse!$E4</f>
        <v>0</v>
      </c>
      <c r="AD5" s="540">
        <f t="shared" ca="1" si="0"/>
        <v>0</v>
      </c>
      <c r="AE5" s="472">
        <f t="shared" ca="1" si="0"/>
        <v>0</v>
      </c>
    </row>
    <row r="6" spans="2:36" x14ac:dyDescent="0.3">
      <c r="E6" s="473">
        <v>3</v>
      </c>
      <c r="F6" s="474" t="str" cm="1">
        <f t="array" aca="1" ref="F6" ca="1">INDIRECT("'Synthèse'!$B" &amp; ROW()-1)</f>
        <v>Gymnase B</v>
      </c>
      <c r="G6" s="475">
        <f>Synthèse!C5</f>
        <v>669</v>
      </c>
      <c r="H6" s="476">
        <f ca="1">Synthèse!L5</f>
        <v>0</v>
      </c>
      <c r="I6" s="477">
        <f ca="1">Synthèse!M5</f>
        <v>0</v>
      </c>
      <c r="J6" s="477">
        <f ca="1">Synthèse!N5</f>
        <v>0</v>
      </c>
      <c r="K6" s="477">
        <f ca="1">Synthèse!O5</f>
        <v>0</v>
      </c>
      <c r="L6" s="477">
        <f ca="1">Synthèse!P5</f>
        <v>0</v>
      </c>
      <c r="M6" s="478">
        <f ca="1">Synthèse!Q5</f>
        <v>0</v>
      </c>
      <c r="N6" s="479">
        <f ca="1">Synthèse!R5</f>
        <v>0</v>
      </c>
      <c r="O6" s="480">
        <f ca="1">Synthèse!G5</f>
        <v>0</v>
      </c>
      <c r="P6" s="481">
        <f ca="1">Synthèse!H5</f>
        <v>0</v>
      </c>
      <c r="Q6" s="482" cm="1">
        <f t="array" aca="1" ref="Q6" ca="1">SUM(IFERROR(H6:P6,0))</f>
        <v>0</v>
      </c>
      <c r="Z6" s="468">
        <v>3</v>
      </c>
      <c r="AA6" s="469" t="str">
        <f>Synthèse!$B5</f>
        <v>Gymnase B</v>
      </c>
      <c r="AB6" s="483">
        <f>Synthèse!$C5</f>
        <v>669</v>
      </c>
      <c r="AC6" s="484">
        <f ca="1">Synthèse!$E5</f>
        <v>0</v>
      </c>
      <c r="AD6" s="540">
        <f t="shared" ca="1" si="0"/>
        <v>0</v>
      </c>
      <c r="AE6" s="472">
        <f t="shared" ca="1" si="0"/>
        <v>0</v>
      </c>
    </row>
    <row r="7" spans="2:36" x14ac:dyDescent="0.3">
      <c r="E7" s="473">
        <v>4</v>
      </c>
      <c r="F7" s="474" t="str" cm="1">
        <f t="array" aca="1" ref="F7" ca="1">INDIRECT("'Synthèse'!$B" &amp; ROW()-1)</f>
        <v>Gymnase B</v>
      </c>
      <c r="G7" s="475">
        <f>Synthèse!C6</f>
        <v>651</v>
      </c>
      <c r="H7" s="476">
        <f ca="1">Synthèse!L6</f>
        <v>0</v>
      </c>
      <c r="I7" s="477">
        <f ca="1">Synthèse!M6</f>
        <v>0</v>
      </c>
      <c r="J7" s="477">
        <f ca="1">Synthèse!N6</f>
        <v>0</v>
      </c>
      <c r="K7" s="477">
        <f ca="1">Synthèse!O6</f>
        <v>0</v>
      </c>
      <c r="L7" s="477">
        <f ca="1">Synthèse!P6</f>
        <v>0</v>
      </c>
      <c r="M7" s="478">
        <f ca="1">Synthèse!Q6</f>
        <v>0</v>
      </c>
      <c r="N7" s="479">
        <f ca="1">Synthèse!R6</f>
        <v>0</v>
      </c>
      <c r="O7" s="480">
        <f ca="1">Synthèse!G6</f>
        <v>0</v>
      </c>
      <c r="P7" s="481">
        <f ca="1">Synthèse!H6</f>
        <v>0</v>
      </c>
      <c r="Q7" s="482" cm="1">
        <f t="array" aca="1" ref="Q7" ca="1">SUM(IFERROR(H7:P7,0))</f>
        <v>0</v>
      </c>
      <c r="Z7" s="468">
        <v>4</v>
      </c>
      <c r="AA7" s="469" t="str">
        <f>Synthèse!$B6</f>
        <v>Gymnase B</v>
      </c>
      <c r="AB7" s="483">
        <f>Synthèse!$C6</f>
        <v>651</v>
      </c>
      <c r="AC7" s="484">
        <f ca="1">Synthèse!$E6</f>
        <v>0</v>
      </c>
      <c r="AD7" s="540">
        <f t="shared" ca="1" si="0"/>
        <v>0</v>
      </c>
      <c r="AE7" s="472">
        <f t="shared" ca="1" si="0"/>
        <v>0</v>
      </c>
    </row>
    <row r="8" spans="2:36" x14ac:dyDescent="0.3">
      <c r="E8" s="473">
        <v>5</v>
      </c>
      <c r="F8" s="474" t="str" cm="1">
        <f t="array" aca="1" ref="F8" ca="1">INDIRECT("'Synthèse'!$B" &amp; ROW()-1)</f>
        <v>COSEC</v>
      </c>
      <c r="G8" s="475">
        <f>Synthèse!C7</f>
        <v>671</v>
      </c>
      <c r="H8" s="476">
        <f ca="1">Synthèse!L7</f>
        <v>0</v>
      </c>
      <c r="I8" s="477">
        <f ca="1">Synthèse!M7</f>
        <v>0</v>
      </c>
      <c r="J8" s="477">
        <f ca="1">Synthèse!N7</f>
        <v>0</v>
      </c>
      <c r="K8" s="477">
        <f ca="1">Synthèse!O7</f>
        <v>0</v>
      </c>
      <c r="L8" s="477">
        <f ca="1">Synthèse!P7</f>
        <v>0</v>
      </c>
      <c r="M8" s="478">
        <f ca="1">Synthèse!Q7</f>
        <v>0</v>
      </c>
      <c r="N8" s="479">
        <f ca="1">Synthèse!R7</f>
        <v>0</v>
      </c>
      <c r="O8" s="480">
        <f ca="1">Synthèse!G7</f>
        <v>0</v>
      </c>
      <c r="P8" s="481">
        <f ca="1">Synthèse!H7</f>
        <v>0</v>
      </c>
      <c r="Q8" s="482" cm="1">
        <f t="array" aca="1" ref="Q8" ca="1">SUM(IFERROR(H8:P8,0))</f>
        <v>0</v>
      </c>
      <c r="Z8" s="468">
        <v>5</v>
      </c>
      <c r="AA8" s="469" t="str">
        <f>Synthèse!$B7</f>
        <v>COSEC</v>
      </c>
      <c r="AB8" s="483">
        <f>Synthèse!$C7</f>
        <v>671</v>
      </c>
      <c r="AC8" s="484">
        <f ca="1">Synthèse!$E7</f>
        <v>0</v>
      </c>
      <c r="AD8" s="540">
        <f t="shared" ca="1" si="0"/>
        <v>0</v>
      </c>
      <c r="AE8" s="472">
        <f t="shared" ca="1" si="0"/>
        <v>0</v>
      </c>
    </row>
    <row r="9" spans="2:36" x14ac:dyDescent="0.3">
      <c r="E9" s="473">
        <v>6</v>
      </c>
      <c r="F9" s="474" t="str" cm="1">
        <f t="array" aca="1" ref="F9" ca="1">INDIRECT("'Synthèse'!$B" &amp; ROW()-1)</f>
        <v>COSEC</v>
      </c>
      <c r="G9" s="475">
        <f>Synthèse!C8</f>
        <v>687</v>
      </c>
      <c r="H9" s="476">
        <f ca="1">Synthèse!L8</f>
        <v>0</v>
      </c>
      <c r="I9" s="477">
        <f ca="1">Synthèse!M8</f>
        <v>0</v>
      </c>
      <c r="J9" s="477">
        <f ca="1">Synthèse!N8</f>
        <v>0</v>
      </c>
      <c r="K9" s="477">
        <f ca="1">Synthèse!O8</f>
        <v>0</v>
      </c>
      <c r="L9" s="477">
        <f ca="1">Synthèse!P8</f>
        <v>0</v>
      </c>
      <c r="M9" s="478">
        <f ca="1">Synthèse!Q8</f>
        <v>0</v>
      </c>
      <c r="N9" s="479">
        <f ca="1">Synthèse!R8</f>
        <v>0</v>
      </c>
      <c r="O9" s="480">
        <f ca="1">Synthèse!G8</f>
        <v>0</v>
      </c>
      <c r="P9" s="481">
        <f ca="1">Synthèse!H8</f>
        <v>0</v>
      </c>
      <c r="Q9" s="482" cm="1">
        <f t="array" aca="1" ref="Q9" ca="1">SUM(IFERROR(H9:P9,0))</f>
        <v>0</v>
      </c>
      <c r="Z9" s="468">
        <v>6</v>
      </c>
      <c r="AA9" s="469" t="str">
        <f>Synthèse!$B8</f>
        <v>COSEC</v>
      </c>
      <c r="AB9" s="483">
        <f>Synthèse!$C8</f>
        <v>687</v>
      </c>
      <c r="AC9" s="484">
        <f ca="1">Synthèse!$E8</f>
        <v>0</v>
      </c>
      <c r="AD9" s="540">
        <f t="shared" ca="1" si="0"/>
        <v>0</v>
      </c>
      <c r="AE9" s="472">
        <f t="shared" ca="1" si="0"/>
        <v>0</v>
      </c>
    </row>
    <row r="10" spans="2:36" x14ac:dyDescent="0.3">
      <c r="E10" s="473">
        <v>7</v>
      </c>
      <c r="F10" s="474" t="str" cm="1">
        <f t="array" aca="1" ref="F10" ca="1">INDIRECT("'Synthèse'!$B" &amp; ROW()-1)</f>
        <v>COSEC</v>
      </c>
      <c r="G10" s="475">
        <f>Synthèse!C9</f>
        <v>692</v>
      </c>
      <c r="H10" s="476">
        <f ca="1">Synthèse!L9</f>
        <v>0</v>
      </c>
      <c r="I10" s="477">
        <f ca="1">Synthèse!M9</f>
        <v>0</v>
      </c>
      <c r="J10" s="477">
        <f ca="1">Synthèse!N9</f>
        <v>0</v>
      </c>
      <c r="K10" s="477">
        <f ca="1">Synthèse!O9</f>
        <v>0</v>
      </c>
      <c r="L10" s="477">
        <f ca="1">Synthèse!P9</f>
        <v>0</v>
      </c>
      <c r="M10" s="478">
        <f ca="1">Synthèse!Q9</f>
        <v>0</v>
      </c>
      <c r="N10" s="479">
        <f ca="1">Synthèse!R9</f>
        <v>0</v>
      </c>
      <c r="O10" s="480">
        <f ca="1">Synthèse!G9</f>
        <v>0</v>
      </c>
      <c r="P10" s="481">
        <f ca="1">Synthèse!H9</f>
        <v>0</v>
      </c>
      <c r="Q10" s="482" cm="1">
        <f t="array" aca="1" ref="Q10" ca="1">SUM(IFERROR(H10:P10,0))</f>
        <v>0</v>
      </c>
      <c r="Z10" s="468">
        <v>7</v>
      </c>
      <c r="AA10" s="469" t="str">
        <f>Synthèse!$B9</f>
        <v>COSEC</v>
      </c>
      <c r="AB10" s="483">
        <f>Synthèse!$C9</f>
        <v>692</v>
      </c>
      <c r="AC10" s="484">
        <f ca="1">Synthèse!$E9</f>
        <v>0</v>
      </c>
      <c r="AD10" s="540">
        <f t="shared" ca="1" si="0"/>
        <v>0</v>
      </c>
      <c r="AE10" s="472">
        <f t="shared" ca="1" si="0"/>
        <v>0</v>
      </c>
    </row>
    <row r="11" spans="2:36" x14ac:dyDescent="0.3">
      <c r="E11" s="473">
        <v>8</v>
      </c>
      <c r="F11" s="474" t="str" cm="1">
        <f t="array" aca="1" ref="F11" ca="1">INDIRECT("'Synthèse'!$B" &amp; ROW()-1)</f>
        <v>COSEC</v>
      </c>
      <c r="G11" s="475">
        <f>Synthèse!C10</f>
        <v>620</v>
      </c>
      <c r="H11" s="476">
        <f ca="1">Synthèse!L10</f>
        <v>0</v>
      </c>
      <c r="I11" s="477">
        <f ca="1">Synthèse!M10</f>
        <v>0</v>
      </c>
      <c r="J11" s="477">
        <f ca="1">Synthèse!N10</f>
        <v>0</v>
      </c>
      <c r="K11" s="477">
        <f ca="1">Synthèse!O10</f>
        <v>0</v>
      </c>
      <c r="L11" s="477">
        <f ca="1">Synthèse!P10</f>
        <v>0</v>
      </c>
      <c r="M11" s="478">
        <f ca="1">Synthèse!Q10</f>
        <v>0</v>
      </c>
      <c r="N11" s="479">
        <f ca="1">Synthèse!R10</f>
        <v>0</v>
      </c>
      <c r="O11" s="480">
        <f ca="1">Synthèse!G10</f>
        <v>0</v>
      </c>
      <c r="P11" s="481">
        <f ca="1">Synthèse!H10</f>
        <v>0</v>
      </c>
      <c r="Q11" s="482" cm="1">
        <f t="array" aca="1" ref="Q11" ca="1">SUM(IFERROR(H11:P11,0))</f>
        <v>0</v>
      </c>
      <c r="Z11" s="468">
        <v>8</v>
      </c>
      <c r="AA11" s="469" t="str">
        <f>Synthèse!$B10</f>
        <v>COSEC</v>
      </c>
      <c r="AB11" s="483">
        <f>Synthèse!$C10</f>
        <v>620</v>
      </c>
      <c r="AC11" s="484">
        <f ca="1">Synthèse!$E10</f>
        <v>0</v>
      </c>
      <c r="AD11" s="540">
        <f t="shared" ca="1" si="0"/>
        <v>0</v>
      </c>
      <c r="AE11" s="472">
        <f t="shared" ca="1" si="0"/>
        <v>0</v>
      </c>
    </row>
    <row r="12" spans="2:36" x14ac:dyDescent="0.3">
      <c r="E12" s="473">
        <v>9</v>
      </c>
      <c r="F12" s="474" t="str" cm="1">
        <f t="array" aca="1" ref="F12" ca="1">INDIRECT("'Synthèse'!$B" &amp; ROW()-1)</f>
        <v>CMM</v>
      </c>
      <c r="G12" s="475">
        <f>Synthèse!C11</f>
        <v>671</v>
      </c>
      <c r="H12" s="476">
        <f ca="1">Synthèse!L11</f>
        <v>0</v>
      </c>
      <c r="I12" s="477">
        <f ca="1">Synthèse!M11</f>
        <v>0</v>
      </c>
      <c r="J12" s="477">
        <f ca="1">Synthèse!N11</f>
        <v>0</v>
      </c>
      <c r="K12" s="477">
        <f ca="1">Synthèse!O11</f>
        <v>0</v>
      </c>
      <c r="L12" s="477">
        <f ca="1">Synthèse!P11</f>
        <v>0</v>
      </c>
      <c r="M12" s="478">
        <f ca="1">Synthèse!Q11</f>
        <v>0</v>
      </c>
      <c r="N12" s="479">
        <f ca="1">Synthèse!R11</f>
        <v>0</v>
      </c>
      <c r="O12" s="480">
        <f ca="1">Synthèse!G11</f>
        <v>0</v>
      </c>
      <c r="P12" s="481">
        <f ca="1">Synthèse!H11</f>
        <v>0</v>
      </c>
      <c r="Q12" s="482" cm="1">
        <f t="array" aca="1" ref="Q12" ca="1">SUM(IFERROR(H12:P12,0))</f>
        <v>0</v>
      </c>
      <c r="Z12" s="468">
        <v>9</v>
      </c>
      <c r="AA12" s="469" t="str">
        <f>Synthèse!$B11</f>
        <v>CMM</v>
      </c>
      <c r="AB12" s="483">
        <f>Synthèse!$C11</f>
        <v>671</v>
      </c>
      <c r="AC12" s="484">
        <f ca="1">Synthèse!$E11</f>
        <v>0</v>
      </c>
      <c r="AD12" s="540">
        <f t="shared" ca="1" si="0"/>
        <v>0</v>
      </c>
      <c r="AE12" s="472">
        <f t="shared" ca="1" si="0"/>
        <v>0</v>
      </c>
    </row>
    <row r="13" spans="2:36" x14ac:dyDescent="0.3">
      <c r="E13" s="473">
        <v>10</v>
      </c>
      <c r="F13" s="474" t="str" cm="1">
        <f t="array" aca="1" ref="F13" ca="1">INDIRECT("'Synthèse'!$B" &amp; ROW()-1)</f>
        <v>CMM</v>
      </c>
      <c r="G13" s="475">
        <f>Synthèse!C12</f>
        <v>581</v>
      </c>
      <c r="H13" s="476">
        <f ca="1">Synthèse!L12</f>
        <v>0</v>
      </c>
      <c r="I13" s="477">
        <f ca="1">Synthèse!M12</f>
        <v>0</v>
      </c>
      <c r="J13" s="477">
        <f ca="1">Synthèse!N12</f>
        <v>0</v>
      </c>
      <c r="K13" s="477">
        <f ca="1">Synthèse!O12</f>
        <v>0</v>
      </c>
      <c r="L13" s="477">
        <f ca="1">Synthèse!P12</f>
        <v>0</v>
      </c>
      <c r="M13" s="478">
        <f ca="1">Synthèse!Q12</f>
        <v>0</v>
      </c>
      <c r="N13" s="479">
        <f ca="1">Synthèse!R12</f>
        <v>0</v>
      </c>
      <c r="O13" s="480">
        <f ca="1">Synthèse!G12</f>
        <v>0</v>
      </c>
      <c r="P13" s="481">
        <f ca="1">Synthèse!H12</f>
        <v>0</v>
      </c>
      <c r="Q13" s="482" cm="1">
        <f t="array" aca="1" ref="Q13" ca="1">SUM(IFERROR(H13:P13,0))</f>
        <v>0</v>
      </c>
      <c r="Z13" s="468">
        <v>10</v>
      </c>
      <c r="AA13" s="469" t="str">
        <f>Synthèse!$B12</f>
        <v>CMM</v>
      </c>
      <c r="AB13" s="483">
        <f>Synthèse!$C12</f>
        <v>581</v>
      </c>
      <c r="AC13" s="484">
        <f ca="1">Synthèse!$E12</f>
        <v>0</v>
      </c>
      <c r="AD13" s="540">
        <f t="shared" ca="1" si="0"/>
        <v>0</v>
      </c>
      <c r="AE13" s="472">
        <f t="shared" ca="1" si="0"/>
        <v>0</v>
      </c>
    </row>
    <row r="14" spans="2:36" x14ac:dyDescent="0.3">
      <c r="E14" s="473">
        <v>11</v>
      </c>
      <c r="F14" s="474" t="str" cm="1">
        <f t="array" aca="1" ref="F14" ca="1">INDIRECT("'Synthèse'!$B" &amp; ROW()-1)</f>
        <v>CMM</v>
      </c>
      <c r="G14" s="475">
        <f>Synthèse!C13</f>
        <v>649</v>
      </c>
      <c r="H14" s="476">
        <f ca="1">Synthèse!L13</f>
        <v>0</v>
      </c>
      <c r="I14" s="477">
        <f ca="1">Synthèse!M13</f>
        <v>0</v>
      </c>
      <c r="J14" s="477">
        <f ca="1">Synthèse!N13</f>
        <v>0</v>
      </c>
      <c r="K14" s="477">
        <f ca="1">Synthèse!O13</f>
        <v>0</v>
      </c>
      <c r="L14" s="477">
        <f ca="1">Synthèse!P13</f>
        <v>0</v>
      </c>
      <c r="M14" s="478">
        <f ca="1">Synthèse!Q13</f>
        <v>0</v>
      </c>
      <c r="N14" s="479">
        <f ca="1">Synthèse!R13</f>
        <v>0</v>
      </c>
      <c r="O14" s="480">
        <f ca="1">Synthèse!G13</f>
        <v>0</v>
      </c>
      <c r="P14" s="481">
        <f ca="1">Synthèse!H13</f>
        <v>0</v>
      </c>
      <c r="Q14" s="482" cm="1">
        <f t="array" aca="1" ref="Q14" ca="1">SUM(IFERROR(H14:P14,0))</f>
        <v>0</v>
      </c>
      <c r="Z14" s="468">
        <v>11</v>
      </c>
      <c r="AA14" s="469" t="str">
        <f>Synthèse!$B13</f>
        <v>CMM</v>
      </c>
      <c r="AB14" s="483">
        <f>Synthèse!$C13</f>
        <v>649</v>
      </c>
      <c r="AC14" s="484">
        <f ca="1">Synthèse!$E13</f>
        <v>0</v>
      </c>
      <c r="AD14" s="540">
        <f t="shared" ca="1" si="0"/>
        <v>0</v>
      </c>
      <c r="AE14" s="472">
        <f t="shared" ca="1" si="0"/>
        <v>0</v>
      </c>
    </row>
    <row r="15" spans="2:36" ht="16.5" thickBot="1" x14ac:dyDescent="0.35">
      <c r="E15" s="485">
        <v>12</v>
      </c>
      <c r="F15" s="486" t="str" cm="1">
        <f t="array" aca="1" ref="F15" ca="1">INDIRECT("'Synthèse'!$B" &amp; ROW()-1)</f>
        <v>Base nautique</v>
      </c>
      <c r="G15" s="487">
        <f>Synthèse!C14</f>
        <v>645</v>
      </c>
      <c r="H15" s="476">
        <f ca="1">Synthèse!L14</f>
        <v>0</v>
      </c>
      <c r="I15" s="477">
        <f ca="1">Synthèse!M14</f>
        <v>0</v>
      </c>
      <c r="J15" s="477">
        <f ca="1">Synthèse!N14</f>
        <v>0</v>
      </c>
      <c r="K15" s="477">
        <f ca="1">Synthèse!O14</f>
        <v>0</v>
      </c>
      <c r="L15" s="477">
        <f ca="1">Synthèse!P14</f>
        <v>0</v>
      </c>
      <c r="M15" s="478">
        <f ca="1">Synthèse!Q14</f>
        <v>0</v>
      </c>
      <c r="N15" s="479">
        <f ca="1">Synthèse!R14</f>
        <v>0</v>
      </c>
      <c r="O15" s="488">
        <f ca="1">Synthèse!G14</f>
        <v>0</v>
      </c>
      <c r="P15" s="489">
        <f ca="1">Synthèse!H14</f>
        <v>0</v>
      </c>
      <c r="Q15" s="490" cm="1">
        <f t="array" aca="1" ref="Q15" ca="1">SUM(IFERROR(H15:P15,0))</f>
        <v>0</v>
      </c>
      <c r="Z15" s="491">
        <v>12</v>
      </c>
      <c r="AA15" s="469" t="str">
        <f>Synthèse!$B14</f>
        <v>Base nautique</v>
      </c>
      <c r="AB15" s="492">
        <f>Synthèse!$C14</f>
        <v>645</v>
      </c>
      <c r="AC15" s="493">
        <f ca="1">Synthèse!$E14</f>
        <v>0</v>
      </c>
      <c r="AD15" s="541">
        <f t="shared" ca="1" si="0"/>
        <v>0</v>
      </c>
      <c r="AE15" s="472">
        <f t="shared" ca="1" si="0"/>
        <v>0</v>
      </c>
    </row>
    <row r="16" spans="2:36" ht="19.5" thickBot="1" x14ac:dyDescent="0.4">
      <c r="E16" s="587" t="s">
        <v>16</v>
      </c>
      <c r="F16" s="588"/>
      <c r="G16" s="494">
        <f>Synthèse!C15</f>
        <v>7756</v>
      </c>
      <c r="H16" s="495">
        <f ca="1">Synthèse!L15</f>
        <v>0</v>
      </c>
      <c r="I16" s="496">
        <f ca="1">Synthèse!M15</f>
        <v>0</v>
      </c>
      <c r="J16" s="496">
        <f ca="1">Synthèse!N15</f>
        <v>0</v>
      </c>
      <c r="K16" s="496">
        <f ca="1">Synthèse!O15</f>
        <v>0</v>
      </c>
      <c r="L16" s="496">
        <f ca="1">Synthèse!P15</f>
        <v>0</v>
      </c>
      <c r="M16" s="497">
        <f ca="1">Synthèse!Q15</f>
        <v>0</v>
      </c>
      <c r="N16" s="498">
        <f ca="1">Synthèse!R15</f>
        <v>0</v>
      </c>
      <c r="O16" s="499">
        <f ca="1">Synthèse!G15</f>
        <v>0</v>
      </c>
      <c r="P16" s="500">
        <f ca="1">Synthèse!H15</f>
        <v>0</v>
      </c>
      <c r="Q16" s="501" cm="1">
        <f t="array" aca="1" ref="Q16" ca="1">SUM(IFERROR(H16:P16,0))</f>
        <v>0</v>
      </c>
      <c r="Z16" s="502" t="s">
        <v>9</v>
      </c>
      <c r="AA16" s="503"/>
      <c r="AB16" s="504">
        <f>Synthèse!$C15</f>
        <v>7756</v>
      </c>
      <c r="AC16" s="505">
        <f ca="1">Synthèse!$E15</f>
        <v>0</v>
      </c>
      <c r="AD16" s="506">
        <f t="shared" ca="1" si="0"/>
        <v>0</v>
      </c>
      <c r="AE16" s="507">
        <f t="shared" ca="1" si="0"/>
        <v>0</v>
      </c>
    </row>
    <row r="17" spans="5:14" ht="13.5" customHeight="1" thickBot="1" x14ac:dyDescent="0.35"/>
    <row r="18" spans="5:14" ht="39" customHeight="1" thickBot="1" x14ac:dyDescent="0.35">
      <c r="E18" s="578" t="s">
        <v>105</v>
      </c>
      <c r="F18" s="578"/>
      <c r="G18" s="579"/>
      <c r="H18" s="575">
        <f ca="1">IFERROR(Q16/Synthèse!$E$15,0)</f>
        <v>0</v>
      </c>
      <c r="I18" s="576"/>
      <c r="J18" s="576"/>
      <c r="K18" s="576"/>
      <c r="L18" s="576"/>
      <c r="M18" s="576"/>
      <c r="N18" s="577"/>
    </row>
    <row r="19" spans="5:14" ht="12.75" customHeight="1" thickBot="1" x14ac:dyDescent="0.35">
      <c r="H19" s="508"/>
    </row>
    <row r="20" spans="5:14" ht="16.5" thickBot="1" x14ac:dyDescent="0.35">
      <c r="H20" s="509">
        <v>1</v>
      </c>
      <c r="I20" s="510">
        <v>2</v>
      </c>
      <c r="J20" s="510">
        <v>3</v>
      </c>
      <c r="K20" s="510">
        <v>4</v>
      </c>
      <c r="L20" s="510">
        <v>5</v>
      </c>
      <c r="M20" s="511">
        <v>6</v>
      </c>
      <c r="N20" s="512">
        <v>7</v>
      </c>
    </row>
    <row r="21" spans="5:14" ht="16.5" thickBot="1" x14ac:dyDescent="0.35">
      <c r="E21" s="589" t="s">
        <v>15</v>
      </c>
      <c r="F21" s="590"/>
      <c r="G21" s="513" t="s">
        <v>0</v>
      </c>
      <c r="H21" s="449" t="str">
        <f t="shared" ref="H21:N21" si="1">H3</f>
        <v>Candidat 1</v>
      </c>
      <c r="I21" s="450" t="str">
        <f t="shared" si="1"/>
        <v>Candidat 2</v>
      </c>
      <c r="J21" s="451" t="str">
        <f t="shared" si="1"/>
        <v>Candidat 3</v>
      </c>
      <c r="K21" s="452" t="str">
        <f t="shared" si="1"/>
        <v>Candidat 4</v>
      </c>
      <c r="L21" s="453" t="str">
        <f t="shared" si="1"/>
        <v>Candidat 5</v>
      </c>
      <c r="M21" s="514" t="str">
        <f t="shared" si="1"/>
        <v>Candidat 6</v>
      </c>
      <c r="N21" s="455" t="str">
        <f t="shared" si="1"/>
        <v>Candidat 7</v>
      </c>
    </row>
    <row r="22" spans="5:14" x14ac:dyDescent="0.3">
      <c r="E22" s="515">
        <v>1</v>
      </c>
      <c r="F22" s="516" t="str">
        <f t="shared" ref="F22:F33" ca="1" si="2">F4</f>
        <v>Ecole Chabaud</v>
      </c>
      <c r="G22" s="462">
        <f>Synthèse!C3</f>
        <v>520</v>
      </c>
      <c r="H22" s="517">
        <f t="shared" ref="H22:N34" ca="1" si="3">IF($Q4&lt;&gt;0,H4/$Q4,0)</f>
        <v>0</v>
      </c>
      <c r="I22" s="518">
        <f t="shared" ca="1" si="3"/>
        <v>0</v>
      </c>
      <c r="J22" s="518">
        <f t="shared" ca="1" si="3"/>
        <v>0</v>
      </c>
      <c r="K22" s="518">
        <f t="shared" ca="1" si="3"/>
        <v>0</v>
      </c>
      <c r="L22" s="518">
        <f t="shared" ca="1" si="3"/>
        <v>0</v>
      </c>
      <c r="M22" s="519">
        <f t="shared" ca="1" si="3"/>
        <v>0</v>
      </c>
      <c r="N22" s="520">
        <f t="shared" ca="1" si="3"/>
        <v>0</v>
      </c>
    </row>
    <row r="23" spans="5:14" x14ac:dyDescent="0.3">
      <c r="E23" s="521">
        <v>2</v>
      </c>
      <c r="F23" s="522" t="str">
        <f t="shared" ca="1" si="2"/>
        <v>Gymnase B</v>
      </c>
      <c r="G23" s="475">
        <f>Synthèse!C4</f>
        <v>700</v>
      </c>
      <c r="H23" s="523">
        <f t="shared" ca="1" si="3"/>
        <v>0</v>
      </c>
      <c r="I23" s="524">
        <f t="shared" ca="1" si="3"/>
        <v>0</v>
      </c>
      <c r="J23" s="524">
        <f t="shared" ca="1" si="3"/>
        <v>0</v>
      </c>
      <c r="K23" s="524">
        <f t="shared" ca="1" si="3"/>
        <v>0</v>
      </c>
      <c r="L23" s="524">
        <f t="shared" ca="1" si="3"/>
        <v>0</v>
      </c>
      <c r="M23" s="525">
        <f t="shared" ca="1" si="3"/>
        <v>0</v>
      </c>
      <c r="N23" s="526">
        <f t="shared" ca="1" si="3"/>
        <v>0</v>
      </c>
    </row>
    <row r="24" spans="5:14" x14ac:dyDescent="0.3">
      <c r="E24" s="521">
        <v>3</v>
      </c>
      <c r="F24" s="522" t="str">
        <f t="shared" ca="1" si="2"/>
        <v>Gymnase B</v>
      </c>
      <c r="G24" s="475">
        <f>Synthèse!C5</f>
        <v>669</v>
      </c>
      <c r="H24" s="523">
        <f t="shared" ca="1" si="3"/>
        <v>0</v>
      </c>
      <c r="I24" s="524">
        <f t="shared" ca="1" si="3"/>
        <v>0</v>
      </c>
      <c r="J24" s="524">
        <f t="shared" ca="1" si="3"/>
        <v>0</v>
      </c>
      <c r="K24" s="524">
        <f t="shared" ca="1" si="3"/>
        <v>0</v>
      </c>
      <c r="L24" s="524">
        <f t="shared" ca="1" si="3"/>
        <v>0</v>
      </c>
      <c r="M24" s="525">
        <f t="shared" ca="1" si="3"/>
        <v>0</v>
      </c>
      <c r="N24" s="526">
        <f t="shared" ca="1" si="3"/>
        <v>0</v>
      </c>
    </row>
    <row r="25" spans="5:14" x14ac:dyDescent="0.3">
      <c r="E25" s="521">
        <v>4</v>
      </c>
      <c r="F25" s="522" t="str">
        <f t="shared" ca="1" si="2"/>
        <v>Gymnase B</v>
      </c>
      <c r="G25" s="475">
        <f>Synthèse!C6</f>
        <v>651</v>
      </c>
      <c r="H25" s="523">
        <f t="shared" ca="1" si="3"/>
        <v>0</v>
      </c>
      <c r="I25" s="524">
        <f t="shared" ca="1" si="3"/>
        <v>0</v>
      </c>
      <c r="J25" s="524">
        <f t="shared" ca="1" si="3"/>
        <v>0</v>
      </c>
      <c r="K25" s="524">
        <f t="shared" ca="1" si="3"/>
        <v>0</v>
      </c>
      <c r="L25" s="524">
        <f t="shared" ca="1" si="3"/>
        <v>0</v>
      </c>
      <c r="M25" s="525">
        <f t="shared" ca="1" si="3"/>
        <v>0</v>
      </c>
      <c r="N25" s="526">
        <f t="shared" ca="1" si="3"/>
        <v>0</v>
      </c>
    </row>
    <row r="26" spans="5:14" x14ac:dyDescent="0.3">
      <c r="E26" s="521">
        <v>5</v>
      </c>
      <c r="F26" s="522" t="str">
        <f t="shared" ca="1" si="2"/>
        <v>COSEC</v>
      </c>
      <c r="G26" s="475">
        <f>Synthèse!C7</f>
        <v>671</v>
      </c>
      <c r="H26" s="523">
        <f t="shared" ca="1" si="3"/>
        <v>0</v>
      </c>
      <c r="I26" s="524">
        <f t="shared" ca="1" si="3"/>
        <v>0</v>
      </c>
      <c r="J26" s="524">
        <f t="shared" ca="1" si="3"/>
        <v>0</v>
      </c>
      <c r="K26" s="524">
        <f t="shared" ca="1" si="3"/>
        <v>0</v>
      </c>
      <c r="L26" s="524">
        <f t="shared" ca="1" si="3"/>
        <v>0</v>
      </c>
      <c r="M26" s="525">
        <f t="shared" ca="1" si="3"/>
        <v>0</v>
      </c>
      <c r="N26" s="526">
        <f t="shared" ca="1" si="3"/>
        <v>0</v>
      </c>
    </row>
    <row r="27" spans="5:14" x14ac:dyDescent="0.3">
      <c r="E27" s="521">
        <v>6</v>
      </c>
      <c r="F27" s="522" t="str">
        <f t="shared" ca="1" si="2"/>
        <v>COSEC</v>
      </c>
      <c r="G27" s="475">
        <f>Synthèse!C8</f>
        <v>687</v>
      </c>
      <c r="H27" s="523">
        <f t="shared" ca="1" si="3"/>
        <v>0</v>
      </c>
      <c r="I27" s="524">
        <f t="shared" ca="1" si="3"/>
        <v>0</v>
      </c>
      <c r="J27" s="524">
        <f t="shared" ca="1" si="3"/>
        <v>0</v>
      </c>
      <c r="K27" s="524">
        <f t="shared" ca="1" si="3"/>
        <v>0</v>
      </c>
      <c r="L27" s="524">
        <f t="shared" ca="1" si="3"/>
        <v>0</v>
      </c>
      <c r="M27" s="525">
        <f t="shared" ca="1" si="3"/>
        <v>0</v>
      </c>
      <c r="N27" s="526">
        <f t="shared" ca="1" si="3"/>
        <v>0</v>
      </c>
    </row>
    <row r="28" spans="5:14" x14ac:dyDescent="0.3">
      <c r="E28" s="521">
        <v>7</v>
      </c>
      <c r="F28" s="522" t="str">
        <f t="shared" ca="1" si="2"/>
        <v>COSEC</v>
      </c>
      <c r="G28" s="475">
        <f>Synthèse!C9</f>
        <v>692</v>
      </c>
      <c r="H28" s="523">
        <f t="shared" ca="1" si="3"/>
        <v>0</v>
      </c>
      <c r="I28" s="524">
        <f t="shared" ca="1" si="3"/>
        <v>0</v>
      </c>
      <c r="J28" s="524">
        <f t="shared" ca="1" si="3"/>
        <v>0</v>
      </c>
      <c r="K28" s="524">
        <f t="shared" ca="1" si="3"/>
        <v>0</v>
      </c>
      <c r="L28" s="524">
        <f t="shared" ca="1" si="3"/>
        <v>0</v>
      </c>
      <c r="M28" s="525">
        <f t="shared" ca="1" si="3"/>
        <v>0</v>
      </c>
      <c r="N28" s="526">
        <f t="shared" ca="1" si="3"/>
        <v>0</v>
      </c>
    </row>
    <row r="29" spans="5:14" x14ac:dyDescent="0.3">
      <c r="E29" s="521">
        <v>8</v>
      </c>
      <c r="F29" s="522" t="str">
        <f t="shared" ca="1" si="2"/>
        <v>COSEC</v>
      </c>
      <c r="G29" s="475">
        <f>Synthèse!C10</f>
        <v>620</v>
      </c>
      <c r="H29" s="523">
        <f t="shared" ca="1" si="3"/>
        <v>0</v>
      </c>
      <c r="I29" s="524">
        <f t="shared" ca="1" si="3"/>
        <v>0</v>
      </c>
      <c r="J29" s="524">
        <f t="shared" ca="1" si="3"/>
        <v>0</v>
      </c>
      <c r="K29" s="524">
        <f t="shared" ca="1" si="3"/>
        <v>0</v>
      </c>
      <c r="L29" s="524">
        <f t="shared" ca="1" si="3"/>
        <v>0</v>
      </c>
      <c r="M29" s="525">
        <f t="shared" ca="1" si="3"/>
        <v>0</v>
      </c>
      <c r="N29" s="526">
        <f t="shared" ca="1" si="3"/>
        <v>0</v>
      </c>
    </row>
    <row r="30" spans="5:14" x14ac:dyDescent="0.3">
      <c r="E30" s="521">
        <v>9</v>
      </c>
      <c r="F30" s="522" t="str">
        <f t="shared" ca="1" si="2"/>
        <v>CMM</v>
      </c>
      <c r="G30" s="475">
        <f>Synthèse!C11</f>
        <v>671</v>
      </c>
      <c r="H30" s="523">
        <f t="shared" ca="1" si="3"/>
        <v>0</v>
      </c>
      <c r="I30" s="524">
        <f t="shared" ca="1" si="3"/>
        <v>0</v>
      </c>
      <c r="J30" s="524">
        <f t="shared" ca="1" si="3"/>
        <v>0</v>
      </c>
      <c r="K30" s="524">
        <f t="shared" ca="1" si="3"/>
        <v>0</v>
      </c>
      <c r="L30" s="524">
        <f t="shared" ca="1" si="3"/>
        <v>0</v>
      </c>
      <c r="M30" s="525">
        <f t="shared" ca="1" si="3"/>
        <v>0</v>
      </c>
      <c r="N30" s="526">
        <f t="shared" ca="1" si="3"/>
        <v>0</v>
      </c>
    </row>
    <row r="31" spans="5:14" x14ac:dyDescent="0.3">
      <c r="E31" s="521">
        <v>10</v>
      </c>
      <c r="F31" s="522" t="str">
        <f t="shared" ca="1" si="2"/>
        <v>CMM</v>
      </c>
      <c r="G31" s="475">
        <f>Synthèse!C12</f>
        <v>581</v>
      </c>
      <c r="H31" s="523">
        <f t="shared" ca="1" si="3"/>
        <v>0</v>
      </c>
      <c r="I31" s="524">
        <f t="shared" ca="1" si="3"/>
        <v>0</v>
      </c>
      <c r="J31" s="524">
        <f t="shared" ca="1" si="3"/>
        <v>0</v>
      </c>
      <c r="K31" s="524">
        <f t="shared" ca="1" si="3"/>
        <v>0</v>
      </c>
      <c r="L31" s="524">
        <f t="shared" ca="1" si="3"/>
        <v>0</v>
      </c>
      <c r="M31" s="525">
        <f t="shared" ca="1" si="3"/>
        <v>0</v>
      </c>
      <c r="N31" s="526">
        <f t="shared" ca="1" si="3"/>
        <v>0</v>
      </c>
    </row>
    <row r="32" spans="5:14" x14ac:dyDescent="0.3">
      <c r="E32" s="521">
        <v>11</v>
      </c>
      <c r="F32" s="522" t="str">
        <f t="shared" ca="1" si="2"/>
        <v>CMM</v>
      </c>
      <c r="G32" s="475">
        <f>Synthèse!C13</f>
        <v>649</v>
      </c>
      <c r="H32" s="523">
        <f t="shared" ca="1" si="3"/>
        <v>0</v>
      </c>
      <c r="I32" s="524">
        <f t="shared" ca="1" si="3"/>
        <v>0</v>
      </c>
      <c r="J32" s="524">
        <f t="shared" ca="1" si="3"/>
        <v>0</v>
      </c>
      <c r="K32" s="524">
        <f t="shared" ca="1" si="3"/>
        <v>0</v>
      </c>
      <c r="L32" s="524">
        <f t="shared" ca="1" si="3"/>
        <v>0</v>
      </c>
      <c r="M32" s="525">
        <f t="shared" ca="1" si="3"/>
        <v>0</v>
      </c>
      <c r="N32" s="526">
        <f t="shared" ca="1" si="3"/>
        <v>0</v>
      </c>
    </row>
    <row r="33" spans="5:14" ht="16.5" thickBot="1" x14ac:dyDescent="0.35">
      <c r="E33" s="527">
        <v>12</v>
      </c>
      <c r="F33" s="528" t="str">
        <f t="shared" ca="1" si="2"/>
        <v>Base nautique</v>
      </c>
      <c r="G33" s="487">
        <f>Synthèse!C14</f>
        <v>645</v>
      </c>
      <c r="H33" s="529">
        <f t="shared" ca="1" si="3"/>
        <v>0</v>
      </c>
      <c r="I33" s="530">
        <f t="shared" ca="1" si="3"/>
        <v>0</v>
      </c>
      <c r="J33" s="530">
        <f t="shared" ca="1" si="3"/>
        <v>0</v>
      </c>
      <c r="K33" s="530">
        <f t="shared" ca="1" si="3"/>
        <v>0</v>
      </c>
      <c r="L33" s="530">
        <f t="shared" ca="1" si="3"/>
        <v>0</v>
      </c>
      <c r="M33" s="531">
        <f t="shared" ca="1" si="3"/>
        <v>0</v>
      </c>
      <c r="N33" s="532">
        <f t="shared" ca="1" si="3"/>
        <v>0</v>
      </c>
    </row>
    <row r="34" spans="5:14" ht="16.5" thickBot="1" x14ac:dyDescent="0.35">
      <c r="E34" s="573" t="str">
        <f>E16</f>
        <v>Total</v>
      </c>
      <c r="F34" s="574"/>
      <c r="G34" s="533">
        <f>Synthèse!C15</f>
        <v>7756</v>
      </c>
      <c r="H34" s="534">
        <f t="shared" ca="1" si="3"/>
        <v>0</v>
      </c>
      <c r="I34" s="535">
        <f t="shared" ca="1" si="3"/>
        <v>0</v>
      </c>
      <c r="J34" s="535">
        <f t="shared" ca="1" si="3"/>
        <v>0</v>
      </c>
      <c r="K34" s="535">
        <f t="shared" ca="1" si="3"/>
        <v>0</v>
      </c>
      <c r="L34" s="535">
        <f t="shared" ca="1" si="3"/>
        <v>0</v>
      </c>
      <c r="M34" s="536">
        <f t="shared" ca="1" si="3"/>
        <v>0</v>
      </c>
      <c r="N34" s="537">
        <f t="shared" ca="1" si="3"/>
        <v>0</v>
      </c>
    </row>
    <row r="54" spans="3:7" x14ac:dyDescent="0.3">
      <c r="F54" s="436" t="s">
        <v>114</v>
      </c>
    </row>
    <row r="55" spans="3:7" x14ac:dyDescent="0.3">
      <c r="C55" s="538" t="s">
        <v>107</v>
      </c>
      <c r="F55" s="436" t="s">
        <v>108</v>
      </c>
      <c r="G55" s="436" t="s">
        <v>109</v>
      </c>
    </row>
    <row r="56" spans="3:7" x14ac:dyDescent="0.3">
      <c r="F56" s="436" t="s">
        <v>110</v>
      </c>
    </row>
    <row r="57" spans="3:7" x14ac:dyDescent="0.3">
      <c r="F57" s="436" t="s">
        <v>111</v>
      </c>
    </row>
    <row r="58" spans="3:7" x14ac:dyDescent="0.3">
      <c r="F58" s="436" t="s">
        <v>112</v>
      </c>
    </row>
    <row r="59" spans="3:7" x14ac:dyDescent="0.3">
      <c r="F59" s="436" t="s">
        <v>113</v>
      </c>
    </row>
    <row r="60" spans="3:7" x14ac:dyDescent="0.3">
      <c r="F60" s="436" t="s">
        <v>115</v>
      </c>
    </row>
    <row r="61" spans="3:7" x14ac:dyDescent="0.3">
      <c r="F61" s="436" t="s">
        <v>116</v>
      </c>
    </row>
  </sheetData>
  <mergeCells count="8">
    <mergeCell ref="E34:F34"/>
    <mergeCell ref="H18:N18"/>
    <mergeCell ref="E18:G18"/>
    <mergeCell ref="Z3:AA3"/>
    <mergeCell ref="AC3:AE3"/>
    <mergeCell ref="E3:F3"/>
    <mergeCell ref="E16:F16"/>
    <mergeCell ref="E21:F21"/>
  </mergeCells>
  <conditionalFormatting sqref="H4:Q16">
    <cfRule type="cellIs" dxfId="409" priority="8" operator="lessThan">
      <formula>0</formula>
    </cfRule>
  </conditionalFormatting>
  <conditionalFormatting sqref="H22:N34">
    <cfRule type="cellIs" dxfId="408" priority="6" operator="lessThan">
      <formula>0</formula>
    </cfRule>
  </conditionalFormatting>
  <conditionalFormatting sqref="AE4:AE15">
    <cfRule type="dataBar" priority="4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AE16">
    <cfRule type="dataBar" priority="5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H18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{A4D697F4-57F5-41BE-B45F-63CAC8886D06}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AE4:AE15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AE16</xm:sqref>
        </x14:conditionalFormatting>
        <x14:conditionalFormatting xmlns:xm="http://schemas.microsoft.com/office/excel/2006/main">
          <x14:cfRule type="dataBar" id="{A4D697F4-57F5-41BE-B45F-63CAC8886D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zoomScale="96" zoomScaleNormal="96" workbookViewId="0"/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5"/>
      <c r="N1" s="595"/>
      <c r="O1" s="595"/>
      <c r="P1" s="596"/>
      <c r="Q1" s="359" t="s">
        <v>7</v>
      </c>
      <c r="T1" s="427"/>
    </row>
    <row r="2" spans="1:28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82" t="s">
        <v>68</v>
      </c>
      <c r="F2" s="386" t="s">
        <v>98</v>
      </c>
      <c r="G2" s="381" t="s">
        <v>69</v>
      </c>
      <c r="H2" s="384" t="s">
        <v>70</v>
      </c>
      <c r="I2" s="385" t="s">
        <v>71</v>
      </c>
      <c r="J2" s="383" t="s">
        <v>72</v>
      </c>
      <c r="K2" s="387" t="s">
        <v>73</v>
      </c>
      <c r="L2" s="367" t="s">
        <v>74</v>
      </c>
      <c r="M2" s="381" t="s">
        <v>75</v>
      </c>
      <c r="N2" s="388" t="s">
        <v>76</v>
      </c>
      <c r="O2" s="321" t="s">
        <v>3</v>
      </c>
      <c r="P2" s="322" t="s">
        <v>4</v>
      </c>
      <c r="Q2" s="356" t="s">
        <v>103</v>
      </c>
      <c r="T2" s="427"/>
      <c r="V2" s="332" t="s">
        <v>21</v>
      </c>
      <c r="W2" s="333" t="s">
        <v>57</v>
      </c>
      <c r="X2" s="334" t="s">
        <v>31</v>
      </c>
      <c r="Z2" s="335" t="s">
        <v>59</v>
      </c>
      <c r="AA2" s="335" t="s">
        <v>58</v>
      </c>
    </row>
    <row r="3" spans="1:28" ht="20.100000000000001" customHeight="1" thickBot="1" x14ac:dyDescent="0.25">
      <c r="A3" s="414" t="s">
        <v>13</v>
      </c>
      <c r="B3" s="420" t="str">
        <f>Synthèse!$B$19</f>
        <v>Cogolin</v>
      </c>
      <c r="D3" s="317" cm="1">
        <f t="array" ref="D3">IF(ROW(1:1)&lt;=$K$23, (ROW(1:1)), "")</f>
        <v>1</v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28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43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44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4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77">
        <f t="shared" ref="Q3:Q12" si="0">SUM(E3:P3)</f>
        <v>100</v>
      </c>
      <c r="T3" s="427"/>
      <c r="V3" s="308" t="s">
        <v>32</v>
      </c>
      <c r="W3" s="309">
        <v>0</v>
      </c>
      <c r="X3" s="310">
        <f t="shared" ref="X3" si="1">W3/$B$6</f>
        <v>0</v>
      </c>
      <c r="Z3" s="289"/>
      <c r="AA3" s="289"/>
    </row>
    <row r="4" spans="1:28" ht="20.100000000000001" customHeight="1" x14ac:dyDescent="0.2">
      <c r="A4" s="80" t="s">
        <v>23</v>
      </c>
      <c r="B4" s="141">
        <v>0</v>
      </c>
      <c r="D4" s="318" cm="1">
        <f t="array" ref="D4">IF(ROW(2:2)&lt;=$K$23, (ROW(2:2)), "")</f>
        <v>2</v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29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29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29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30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31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77">
        <f t="shared" si="0"/>
        <v>100</v>
      </c>
      <c r="T4" s="427"/>
      <c r="V4" s="311" t="s">
        <v>33</v>
      </c>
      <c r="W4" s="312">
        <v>60</v>
      </c>
      <c r="X4" s="313">
        <f t="shared" ref="X4:X12" si="2">IF(OR(W4=0, W4=""), NA(), W4/$B$6)</f>
        <v>0.11857707509881422</v>
      </c>
      <c r="Z4" s="284" t="s">
        <v>45</v>
      </c>
      <c r="AA4" s="336">
        <f t="shared" ref="AA4:AA13" si="3">IF(W4&lt;&gt;0,W4-W3,NA())</f>
        <v>60</v>
      </c>
    </row>
    <row r="5" spans="1:28" ht="20.100000000000001" customHeight="1" x14ac:dyDescent="0.2">
      <c r="A5" s="81" t="s">
        <v>24</v>
      </c>
      <c r="B5" s="160" t="s">
        <v>95</v>
      </c>
      <c r="D5" s="318" cm="1">
        <f t="array" ref="D5">IF(ROW(3:3)&lt;=$K$23, (ROW(3:3)), "")</f>
        <v>3</v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29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29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29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4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47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77">
        <f t="shared" si="0"/>
        <v>100</v>
      </c>
      <c r="T5" s="428"/>
      <c r="U5" s="204"/>
      <c r="V5" s="311" t="s">
        <v>34</v>
      </c>
      <c r="W5" s="312">
        <v>118</v>
      </c>
      <c r="X5" s="313">
        <f t="shared" si="2"/>
        <v>0.233201581027668</v>
      </c>
      <c r="Z5" s="285" t="s">
        <v>46</v>
      </c>
      <c r="AA5" s="337">
        <f t="shared" si="3"/>
        <v>58</v>
      </c>
    </row>
    <row r="6" spans="1:28" ht="20.100000000000001" customHeight="1" x14ac:dyDescent="0.2">
      <c r="A6" s="81" t="s">
        <v>0</v>
      </c>
      <c r="B6" s="161">
        <v>506</v>
      </c>
      <c r="D6" s="318" cm="1">
        <f t="array" ref="D6">IF(ROW(4:4)&lt;=$K$23, (ROW(4:4)), "")</f>
        <v>4</v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29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29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29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4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47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77">
        <f t="shared" si="0"/>
        <v>100</v>
      </c>
      <c r="T6" s="428"/>
      <c r="U6" s="204"/>
      <c r="V6" s="311" t="s">
        <v>35</v>
      </c>
      <c r="W6" s="312">
        <v>179</v>
      </c>
      <c r="X6" s="313">
        <f t="shared" si="2"/>
        <v>0.35375494071146246</v>
      </c>
      <c r="Z6" s="285" t="s">
        <v>47</v>
      </c>
      <c r="AA6" s="337">
        <f t="shared" si="3"/>
        <v>61</v>
      </c>
    </row>
    <row r="7" spans="1:28" ht="20.100000000000001" customHeight="1" x14ac:dyDescent="0.2">
      <c r="A7" s="81" t="s">
        <v>2</v>
      </c>
      <c r="B7" s="138">
        <f>MAX(W4:W15)</f>
        <v>440</v>
      </c>
      <c r="D7" s="318" cm="1">
        <f t="array" ref="D7">IF(ROW(5:5)&lt;=$K$23, (ROW(5:5)), "")</f>
        <v>5</v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29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29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29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30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31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77">
        <f t="shared" si="0"/>
        <v>40</v>
      </c>
      <c r="T7" s="428"/>
      <c r="U7" s="204"/>
      <c r="V7" s="311" t="s">
        <v>36</v>
      </c>
      <c r="W7" s="312">
        <v>235</v>
      </c>
      <c r="X7" s="313">
        <f t="shared" si="2"/>
        <v>0.46442687747035571</v>
      </c>
      <c r="Z7" s="285" t="s">
        <v>54</v>
      </c>
      <c r="AA7" s="337">
        <f t="shared" si="3"/>
        <v>56</v>
      </c>
    </row>
    <row r="8" spans="1:28" ht="20.100000000000001" customHeight="1" x14ac:dyDescent="0.2">
      <c r="A8" s="81" t="s">
        <v>1</v>
      </c>
      <c r="B8" s="139">
        <f>B7</f>
        <v>440</v>
      </c>
      <c r="D8" s="318" t="str" cm="1">
        <f t="array" ref="D8">IF(ROW(6:6)&lt;=$K$23,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29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29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29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30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31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77">
        <f t="shared" si="0"/>
        <v>0</v>
      </c>
      <c r="T8" s="428"/>
      <c r="U8" s="204"/>
      <c r="V8" s="311" t="s">
        <v>37</v>
      </c>
      <c r="W8" s="312">
        <v>283</v>
      </c>
      <c r="X8" s="313">
        <f t="shared" si="2"/>
        <v>0.55928853754940711</v>
      </c>
      <c r="Z8" s="285" t="s">
        <v>48</v>
      </c>
      <c r="AA8" s="337">
        <f t="shared" si="3"/>
        <v>48</v>
      </c>
    </row>
    <row r="9" spans="1:28" ht="20.100000000000001" customHeight="1" thickBot="1" x14ac:dyDescent="0.25">
      <c r="A9" s="82" t="s">
        <v>17</v>
      </c>
      <c r="B9" s="140">
        <f>B6-B7</f>
        <v>66</v>
      </c>
      <c r="D9" s="318" t="str" cm="1">
        <f t="array" ref="D9">IF(ROW(7:7)&lt;=$K$23,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29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29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29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32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33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77">
        <f t="shared" si="0"/>
        <v>0</v>
      </c>
      <c r="T9" s="428"/>
      <c r="U9" s="204"/>
      <c r="V9" s="311" t="s">
        <v>38</v>
      </c>
      <c r="W9" s="312">
        <v>319</v>
      </c>
      <c r="X9" s="313">
        <f t="shared" si="2"/>
        <v>0.63043478260869568</v>
      </c>
      <c r="Z9" s="285" t="s">
        <v>49</v>
      </c>
      <c r="AA9" s="337">
        <f t="shared" si="3"/>
        <v>36</v>
      </c>
    </row>
    <row r="10" spans="1:28" ht="20.100000000000001" customHeight="1" x14ac:dyDescent="0.2">
      <c r="A10" s="597" t="s">
        <v>60</v>
      </c>
      <c r="B10" s="597"/>
      <c r="D10" s="318" t="str" cm="1">
        <f t="array" ref="D10">IF(ROW(8:8)&lt;=$K$23,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29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29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29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32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33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77">
        <f t="shared" si="0"/>
        <v>0</v>
      </c>
      <c r="T10" s="428"/>
      <c r="U10" s="204"/>
      <c r="V10" s="311" t="s">
        <v>39</v>
      </c>
      <c r="W10" s="312">
        <v>350</v>
      </c>
      <c r="X10" s="313">
        <f t="shared" si="2"/>
        <v>0.69169960474308301</v>
      </c>
      <c r="Z10" s="285" t="s">
        <v>50</v>
      </c>
      <c r="AA10" s="337">
        <f t="shared" si="3"/>
        <v>31</v>
      </c>
    </row>
    <row r="11" spans="1:28" ht="20.100000000000001" customHeight="1" x14ac:dyDescent="0.2">
      <c r="A11" s="598"/>
      <c r="B11" s="598"/>
      <c r="D11" s="318" t="str" cm="1">
        <f t="array" ref="D11">IF(ROW(9:9)&lt;=$K$23,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29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29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29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32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33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77">
        <f t="shared" si="0"/>
        <v>0</v>
      </c>
      <c r="T11" s="428"/>
      <c r="U11" s="204"/>
      <c r="V11" s="311" t="s">
        <v>40</v>
      </c>
      <c r="W11" s="312">
        <v>380</v>
      </c>
      <c r="X11" s="313">
        <f t="shared" si="2"/>
        <v>0.75098814229249011</v>
      </c>
      <c r="Z11" s="285" t="s">
        <v>51</v>
      </c>
      <c r="AA11" s="337">
        <f t="shared" si="3"/>
        <v>30</v>
      </c>
    </row>
    <row r="12" spans="1:28" ht="20.100000000000001" customHeight="1" thickBot="1" x14ac:dyDescent="0.25">
      <c r="A12" s="599" t="s">
        <v>61</v>
      </c>
      <c r="B12" s="599"/>
      <c r="D12" s="319" t="str" cm="1">
        <f t="array" ref="D12">IF(ROW(10:10)&lt;=$K$23,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29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2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29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48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49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77">
        <f t="shared" si="0"/>
        <v>0</v>
      </c>
      <c r="T12" s="428"/>
      <c r="U12" s="204"/>
      <c r="V12" s="311" t="s">
        <v>41</v>
      </c>
      <c r="W12" s="312">
        <v>399</v>
      </c>
      <c r="X12" s="313">
        <f t="shared" si="2"/>
        <v>0.78853754940711462</v>
      </c>
      <c r="Z12" s="285" t="s">
        <v>52</v>
      </c>
      <c r="AA12" s="337">
        <f t="shared" si="3"/>
        <v>19</v>
      </c>
    </row>
    <row r="13" spans="1:28" ht="20.100000000000001" customHeight="1" thickBot="1" x14ac:dyDescent="0.3">
      <c r="A13" s="599"/>
      <c r="B13" s="599"/>
      <c r="D13" s="39" t="s">
        <v>9</v>
      </c>
      <c r="E13" s="134">
        <f t="shared" ref="E13:Q13" si="4">SUM(E3:E12)</f>
        <v>3</v>
      </c>
      <c r="F13" s="135">
        <f t="shared" si="4"/>
        <v>11</v>
      </c>
      <c r="G13" s="135">
        <f t="shared" si="4"/>
        <v>135</v>
      </c>
      <c r="H13" s="135">
        <f t="shared" si="4"/>
        <v>166</v>
      </c>
      <c r="I13" s="135">
        <f t="shared" si="4"/>
        <v>9</v>
      </c>
      <c r="J13" s="135">
        <f t="shared" si="4"/>
        <v>27</v>
      </c>
      <c r="K13" s="135">
        <f t="shared" si="4"/>
        <v>37</v>
      </c>
      <c r="L13" s="135">
        <f t="shared" si="4"/>
        <v>15</v>
      </c>
      <c r="M13" s="135">
        <f t="shared" si="4"/>
        <v>13</v>
      </c>
      <c r="N13" s="135">
        <f t="shared" si="4"/>
        <v>13</v>
      </c>
      <c r="O13" s="136">
        <f t="shared" si="4"/>
        <v>8</v>
      </c>
      <c r="P13" s="137">
        <f t="shared" si="4"/>
        <v>3</v>
      </c>
      <c r="Q13" s="278">
        <f t="shared" si="4"/>
        <v>440</v>
      </c>
      <c r="T13" s="428"/>
      <c r="U13" s="204"/>
      <c r="V13" s="311" t="s">
        <v>42</v>
      </c>
      <c r="W13" s="312">
        <v>440</v>
      </c>
      <c r="X13" s="313">
        <f>IF(OR(W13=0, W13=""), NA(), W13/$B$6)</f>
        <v>0.86956521739130432</v>
      </c>
      <c r="Z13" s="286" t="s">
        <v>53</v>
      </c>
      <c r="AA13" s="338">
        <f t="shared" si="3"/>
        <v>41</v>
      </c>
    </row>
    <row r="14" spans="1:28" ht="20.100000000000001" customHeight="1" thickBot="1" x14ac:dyDescent="0.3">
      <c r="A14" s="599"/>
      <c r="B14" s="599"/>
      <c r="D14" s="69" t="s">
        <v>10</v>
      </c>
      <c r="E14" s="34">
        <f t="shared" ref="E14:Q14" si="5">IFERROR(E13/$B$7,0)</f>
        <v>6.8181818181818179E-3</v>
      </c>
      <c r="F14" s="35">
        <f t="shared" si="5"/>
        <v>2.5000000000000001E-2</v>
      </c>
      <c r="G14" s="35">
        <f t="shared" si="5"/>
        <v>0.30681818181818182</v>
      </c>
      <c r="H14" s="35">
        <f t="shared" si="5"/>
        <v>0.37727272727272726</v>
      </c>
      <c r="I14" s="35">
        <f t="shared" si="5"/>
        <v>2.0454545454545454E-2</v>
      </c>
      <c r="J14" s="35">
        <f t="shared" si="5"/>
        <v>6.1363636363636363E-2</v>
      </c>
      <c r="K14" s="35">
        <f t="shared" si="5"/>
        <v>8.4090909090909091E-2</v>
      </c>
      <c r="L14" s="35">
        <f t="shared" si="5"/>
        <v>3.4090909090909088E-2</v>
      </c>
      <c r="M14" s="35">
        <f t="shared" si="5"/>
        <v>2.9545454545454545E-2</v>
      </c>
      <c r="N14" s="35">
        <f t="shared" si="5"/>
        <v>2.9545454545454545E-2</v>
      </c>
      <c r="O14" s="34">
        <f t="shared" si="5"/>
        <v>1.8181818181818181E-2</v>
      </c>
      <c r="P14" s="36">
        <f t="shared" si="5"/>
        <v>6.8181818181818179E-3</v>
      </c>
      <c r="Q14" s="288">
        <f t="shared" si="5"/>
        <v>1</v>
      </c>
      <c r="T14" s="427"/>
      <c r="V14" s="342" t="s">
        <v>43</v>
      </c>
      <c r="W14" s="314"/>
      <c r="X14" s="315" t="e">
        <f>IF(OR(W14=0, W14=""), NA(), W14/$B$6)</f>
        <v>#N/A</v>
      </c>
      <c r="Y14" s="340"/>
      <c r="Z14" s="344" t="s">
        <v>55</v>
      </c>
      <c r="AA14" s="339" t="e">
        <f>IF(W14&lt;&gt;0,W14-W13,NA())</f>
        <v>#N/A</v>
      </c>
      <c r="AB14" s="340"/>
    </row>
    <row r="15" spans="1:28" ht="18" customHeight="1" thickBot="1" x14ac:dyDescent="0.25">
      <c r="A15" s="600" t="s">
        <v>67</v>
      </c>
      <c r="B15" s="600"/>
      <c r="C15" s="1"/>
      <c r="D15" s="1"/>
      <c r="Q15" s="287"/>
      <c r="T15" s="427"/>
      <c r="V15" s="283" t="s">
        <v>44</v>
      </c>
      <c r="W15" s="316"/>
      <c r="X15" s="341" t="e">
        <f>IF(OR(W15=0, W15=""), NA(), W15/$B$6)</f>
        <v>#N/A</v>
      </c>
      <c r="Z15" s="345" t="s">
        <v>56</v>
      </c>
      <c r="AA15" s="343" t="e">
        <f>IF(W15&lt;&gt;0,W15-W14,NA())</f>
        <v>#N/A</v>
      </c>
      <c r="AB15" s="340"/>
    </row>
    <row r="16" spans="1:28" ht="12.75" customHeight="1" x14ac:dyDescent="0.2">
      <c r="A16" s="600"/>
      <c r="B16" s="600"/>
      <c r="T16" s="427"/>
      <c r="V16" s="287"/>
      <c r="W16" s="287"/>
      <c r="X16" s="287"/>
      <c r="AA16" s="287"/>
    </row>
    <row r="17" spans="1:20" ht="18" customHeight="1" x14ac:dyDescent="0.25">
      <c r="A17" s="600"/>
      <c r="B17" s="600"/>
      <c r="E17" s="203"/>
      <c r="T17" s="427"/>
    </row>
    <row r="18" spans="1:20" ht="26.25" customHeight="1" x14ac:dyDescent="0.2">
      <c r="A18" s="600"/>
      <c r="B18" s="600"/>
      <c r="T18" s="427"/>
    </row>
    <row r="19" spans="1:20" x14ac:dyDescent="0.2">
      <c r="T19" s="427"/>
    </row>
    <row r="20" spans="1:20" x14ac:dyDescent="0.2">
      <c r="T20" s="427"/>
    </row>
    <row r="21" spans="1:20" x14ac:dyDescent="0.2">
      <c r="T21" s="427"/>
    </row>
    <row r="22" spans="1:20" x14ac:dyDescent="0.2">
      <c r="T22" s="427"/>
    </row>
    <row r="23" spans="1:20" x14ac:dyDescent="0.2">
      <c r="H23" s="150" t="s">
        <v>64</v>
      </c>
      <c r="J23" s="217">
        <f>CEILING($B$6, 100)/100</f>
        <v>6</v>
      </c>
      <c r="K23" s="217">
        <f>CEILING($B$7,100)/100</f>
        <v>5</v>
      </c>
      <c r="T23" s="427"/>
    </row>
    <row r="24" spans="1:20" x14ac:dyDescent="0.2">
      <c r="H24" s="151">
        <f>IF((ROW()-23)&lt;=$K$24,(ROW()-23),"Choisir")</f>
        <v>1</v>
      </c>
      <c r="J24" s="217">
        <f>MOD($B$7,100)</f>
        <v>40</v>
      </c>
      <c r="K24" s="218">
        <f>CEILING($B$6/300,1)</f>
        <v>2</v>
      </c>
      <c r="T24" s="427"/>
    </row>
    <row r="25" spans="1:20" x14ac:dyDescent="0.2">
      <c r="H25" s="151">
        <f>IF((ROW()-23)&lt;=$K$24,(ROW()-23),"Choisir")</f>
        <v>2</v>
      </c>
      <c r="T25" s="427"/>
    </row>
    <row r="26" spans="1:20" x14ac:dyDescent="0.2">
      <c r="H26" s="151" t="str">
        <f>IF((ROW()-23)&lt;=$K$24,(ROW()-23),"Choisir")</f>
        <v>Choisir</v>
      </c>
      <c r="T26" s="427"/>
    </row>
    <row r="27" spans="1:20" x14ac:dyDescent="0.2">
      <c r="H27" s="151" t="str">
        <f>IF((ROW()-23)&lt;=$K$24,(ROW()-23),"Choisir")</f>
        <v>Choisir</v>
      </c>
      <c r="T27" s="427"/>
    </row>
    <row r="28" spans="1:20" x14ac:dyDescent="0.2">
      <c r="T28" s="427"/>
    </row>
    <row r="29" spans="1:20" x14ac:dyDescent="0.2">
      <c r="T29" s="427"/>
    </row>
    <row r="30" spans="1:20" x14ac:dyDescent="0.2">
      <c r="T30" s="427"/>
    </row>
    <row r="31" spans="1:20" x14ac:dyDescent="0.2">
      <c r="T31" s="427"/>
    </row>
    <row r="32" spans="1:20" x14ac:dyDescent="0.2">
      <c r="T32" s="427"/>
    </row>
    <row r="33" spans="1:20" x14ac:dyDescent="0.2">
      <c r="T33" s="427"/>
    </row>
    <row r="34" spans="1:20" x14ac:dyDescent="0.2">
      <c r="T34" s="427"/>
    </row>
    <row r="35" spans="1:20" x14ac:dyDescent="0.2">
      <c r="T35" s="427"/>
    </row>
    <row r="36" spans="1:20" x14ac:dyDescent="0.2">
      <c r="T36" s="427"/>
    </row>
    <row r="37" spans="1:20" x14ac:dyDescent="0.2">
      <c r="T37" s="427"/>
    </row>
    <row r="38" spans="1:20" x14ac:dyDescent="0.2">
      <c r="T38" s="427"/>
    </row>
    <row r="39" spans="1:20" x14ac:dyDescent="0.2">
      <c r="T39" s="427"/>
    </row>
    <row r="40" spans="1:20" x14ac:dyDescent="0.2">
      <c r="T40" s="427"/>
    </row>
    <row r="41" spans="1:20" x14ac:dyDescent="0.2">
      <c r="T41" s="427"/>
    </row>
    <row r="42" spans="1:20" x14ac:dyDescent="0.2">
      <c r="T42" s="427"/>
    </row>
    <row r="43" spans="1:20" x14ac:dyDescent="0.2">
      <c r="T43" s="427"/>
    </row>
    <row r="44" spans="1:20" x14ac:dyDescent="0.2">
      <c r="T44" s="427"/>
    </row>
    <row r="45" spans="1:20" x14ac:dyDescent="0.2">
      <c r="T45" s="427"/>
    </row>
    <row r="46" spans="1:20" ht="13.5" thickBot="1" x14ac:dyDescent="0.25">
      <c r="A46" s="421"/>
      <c r="B46" s="421"/>
      <c r="C46" s="421"/>
      <c r="D46" s="421"/>
      <c r="E46" s="432"/>
      <c r="F46" s="421"/>
      <c r="G46" s="421"/>
      <c r="H46" s="421"/>
      <c r="I46" s="421"/>
      <c r="J46" s="421"/>
      <c r="K46" s="421"/>
      <c r="L46" s="421"/>
      <c r="M46" s="421"/>
      <c r="N46" s="421"/>
      <c r="O46" s="421"/>
      <c r="P46" s="421"/>
      <c r="Q46" s="421"/>
      <c r="R46" s="421"/>
      <c r="S46" s="421"/>
      <c r="T46" s="429"/>
    </row>
    <row r="47" spans="1:20" ht="14.25" thickTop="1" thickBot="1" x14ac:dyDescent="0.25">
      <c r="E47" s="142"/>
      <c r="T47" s="427"/>
    </row>
    <row r="48" spans="1:20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2"/>
      <c r="N48" s="592"/>
      <c r="O48" s="592"/>
      <c r="P48" s="593"/>
      <c r="Q48" s="346" t="s">
        <v>7</v>
      </c>
      <c r="T48" s="427"/>
    </row>
    <row r="49" spans="3:20" ht="36.75" thickBot="1" x14ac:dyDescent="0.25">
      <c r="C49" s="205"/>
      <c r="D49" s="324" t="s">
        <v>80</v>
      </c>
      <c r="E49" s="382" t="s">
        <v>68</v>
      </c>
      <c r="F49" s="386" t="s">
        <v>98</v>
      </c>
      <c r="G49" s="381" t="s">
        <v>69</v>
      </c>
      <c r="H49" s="384" t="s">
        <v>70</v>
      </c>
      <c r="I49" s="385" t="s">
        <v>71</v>
      </c>
      <c r="J49" s="383" t="s">
        <v>72</v>
      </c>
      <c r="K49" s="387" t="s">
        <v>73</v>
      </c>
      <c r="L49" s="367" t="s">
        <v>74</v>
      </c>
      <c r="M49" s="381" t="s">
        <v>75</v>
      </c>
      <c r="N49" s="388" t="s">
        <v>76</v>
      </c>
      <c r="O49" s="326" t="s">
        <v>3</v>
      </c>
      <c r="P49" s="325" t="s">
        <v>4</v>
      </c>
      <c r="Q49" s="348" t="s">
        <v>102</v>
      </c>
      <c r="T49" s="427"/>
    </row>
    <row r="50" spans="3:20" ht="19.5" customHeight="1" x14ac:dyDescent="0.2">
      <c r="C50" s="206"/>
      <c r="D50" s="323">
        <v>1</v>
      </c>
      <c r="E50" s="279">
        <v>1</v>
      </c>
      <c r="F50" s="280">
        <v>3</v>
      </c>
      <c r="G50" s="280">
        <v>23</v>
      </c>
      <c r="H50" s="280">
        <v>46</v>
      </c>
      <c r="I50" s="280">
        <v>2</v>
      </c>
      <c r="J50" s="280">
        <v>5</v>
      </c>
      <c r="K50" s="280">
        <v>9</v>
      </c>
      <c r="L50" s="280">
        <v>6</v>
      </c>
      <c r="M50" s="280"/>
      <c r="N50" s="281">
        <v>5</v>
      </c>
      <c r="O50" s="282"/>
      <c r="P50" s="281"/>
      <c r="Q50" s="347">
        <f t="shared" ref="Q50:Q59" si="6">SUM(E50:P50)</f>
        <v>100</v>
      </c>
      <c r="T50" s="427"/>
    </row>
    <row r="51" spans="3:20" ht="20.100000000000001" customHeight="1" x14ac:dyDescent="0.2">
      <c r="C51" s="206"/>
      <c r="D51" s="323">
        <v>3</v>
      </c>
      <c r="E51" s="279">
        <v>1</v>
      </c>
      <c r="F51" s="280">
        <v>6</v>
      </c>
      <c r="G51" s="280">
        <v>63</v>
      </c>
      <c r="H51" s="280">
        <v>76</v>
      </c>
      <c r="I51" s="280">
        <v>3</v>
      </c>
      <c r="J51" s="280">
        <v>13</v>
      </c>
      <c r="K51" s="280">
        <v>15</v>
      </c>
      <c r="L51" s="280">
        <v>6</v>
      </c>
      <c r="M51" s="280">
        <v>5</v>
      </c>
      <c r="N51" s="281">
        <v>10</v>
      </c>
      <c r="O51" s="282">
        <v>2</v>
      </c>
      <c r="P51" s="281"/>
      <c r="Q51" s="347">
        <f t="shared" si="6"/>
        <v>200</v>
      </c>
      <c r="T51" s="427"/>
    </row>
    <row r="52" spans="3:20" ht="20.100000000000001" customHeight="1" x14ac:dyDescent="0.2">
      <c r="C52" s="206"/>
      <c r="D52" s="323">
        <v>4</v>
      </c>
      <c r="E52" s="279">
        <v>3</v>
      </c>
      <c r="F52" s="280">
        <v>8</v>
      </c>
      <c r="G52" s="280">
        <v>99</v>
      </c>
      <c r="H52" s="280">
        <v>95</v>
      </c>
      <c r="I52" s="280">
        <v>5</v>
      </c>
      <c r="J52" s="280">
        <v>21</v>
      </c>
      <c r="K52" s="280">
        <v>27</v>
      </c>
      <c r="L52" s="280">
        <v>10</v>
      </c>
      <c r="M52" s="280">
        <v>12</v>
      </c>
      <c r="N52" s="281">
        <v>13</v>
      </c>
      <c r="O52" s="282">
        <v>5</v>
      </c>
      <c r="P52" s="281">
        <v>2</v>
      </c>
      <c r="Q52" s="347">
        <f t="shared" si="6"/>
        <v>300</v>
      </c>
      <c r="T52" s="427"/>
    </row>
    <row r="53" spans="3:20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0"/>
      <c r="L53" s="280"/>
      <c r="M53" s="280"/>
      <c r="N53" s="281"/>
      <c r="O53" s="282"/>
      <c r="P53" s="281"/>
      <c r="Q53" s="347">
        <f t="shared" si="6"/>
        <v>0</v>
      </c>
      <c r="T53" s="427"/>
    </row>
    <row r="54" spans="3:20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0"/>
      <c r="L54" s="280"/>
      <c r="M54" s="280"/>
      <c r="N54" s="281"/>
      <c r="O54" s="282"/>
      <c r="P54" s="281"/>
      <c r="Q54" s="347">
        <f t="shared" si="6"/>
        <v>0</v>
      </c>
      <c r="T54" s="427"/>
    </row>
    <row r="55" spans="3:20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0"/>
      <c r="L55" s="280"/>
      <c r="M55" s="280"/>
      <c r="N55" s="281"/>
      <c r="O55" s="282"/>
      <c r="P55" s="281"/>
      <c r="Q55" s="347">
        <f t="shared" si="6"/>
        <v>0</v>
      </c>
      <c r="T55" s="427"/>
    </row>
    <row r="56" spans="3:20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0"/>
      <c r="L56" s="280"/>
      <c r="M56" s="280"/>
      <c r="N56" s="281"/>
      <c r="O56" s="282"/>
      <c r="P56" s="281"/>
      <c r="Q56" s="347">
        <f t="shared" si="6"/>
        <v>0</v>
      </c>
      <c r="T56" s="427"/>
    </row>
    <row r="57" spans="3:20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0"/>
      <c r="L57" s="280"/>
      <c r="M57" s="280"/>
      <c r="N57" s="281"/>
      <c r="O57" s="282"/>
      <c r="P57" s="281"/>
      <c r="Q57" s="347">
        <f t="shared" si="6"/>
        <v>0</v>
      </c>
      <c r="T57" s="427"/>
    </row>
    <row r="58" spans="3:20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0"/>
      <c r="L58" s="280"/>
      <c r="M58" s="280"/>
      <c r="N58" s="281"/>
      <c r="O58" s="282"/>
      <c r="P58" s="281"/>
      <c r="Q58" s="347">
        <f t="shared" si="6"/>
        <v>0</v>
      </c>
      <c r="T58" s="427"/>
    </row>
    <row r="59" spans="3:20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29"/>
      <c r="L59" s="329"/>
      <c r="M59" s="329"/>
      <c r="N59" s="330"/>
      <c r="O59" s="331"/>
      <c r="P59" s="330"/>
      <c r="Q59" s="347">
        <f t="shared" si="6"/>
        <v>0</v>
      </c>
      <c r="T59" s="427"/>
    </row>
    <row r="60" spans="3:20" x14ac:dyDescent="0.2">
      <c r="Q60" s="287"/>
      <c r="T60" s="427"/>
    </row>
    <row r="61" spans="3:20" x14ac:dyDescent="0.2">
      <c r="T61" s="427"/>
    </row>
    <row r="62" spans="3:20" x14ac:dyDescent="0.2">
      <c r="T62" s="427"/>
    </row>
    <row r="63" spans="3:20" ht="18" x14ac:dyDescent="0.25">
      <c r="E63" s="203"/>
      <c r="T63" s="427"/>
    </row>
    <row r="64" spans="3:20" x14ac:dyDescent="0.2">
      <c r="T64" s="427"/>
    </row>
    <row r="65" spans="4:20" ht="13.5" thickBot="1" x14ac:dyDescent="0.25">
      <c r="T65" s="427"/>
    </row>
    <row r="66" spans="4:20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3"/>
      <c r="Q66" s="346" t="s">
        <v>7</v>
      </c>
      <c r="T66" s="427"/>
    </row>
    <row r="67" spans="4:20" ht="36.75" thickBot="1" x14ac:dyDescent="0.25">
      <c r="D67" s="324" t="s">
        <v>80</v>
      </c>
      <c r="E67" s="382" t="s">
        <v>68</v>
      </c>
      <c r="F67" s="386" t="s">
        <v>98</v>
      </c>
      <c r="G67" s="381" t="s">
        <v>69</v>
      </c>
      <c r="H67" s="384" t="s">
        <v>70</v>
      </c>
      <c r="I67" s="385" t="s">
        <v>71</v>
      </c>
      <c r="J67" s="383" t="s">
        <v>72</v>
      </c>
      <c r="K67" s="387" t="s">
        <v>73</v>
      </c>
      <c r="L67" s="367" t="s">
        <v>74</v>
      </c>
      <c r="M67" s="381" t="s">
        <v>75</v>
      </c>
      <c r="N67" s="388" t="s">
        <v>76</v>
      </c>
      <c r="O67" s="326" t="s">
        <v>3</v>
      </c>
      <c r="P67" s="325" t="s">
        <v>4</v>
      </c>
      <c r="Q67" s="353" t="s">
        <v>102</v>
      </c>
      <c r="T67" s="427"/>
    </row>
    <row r="68" spans="4:20" ht="20.100000000000001" customHeight="1" x14ac:dyDescent="0.2">
      <c r="D68" s="216">
        <v>2</v>
      </c>
      <c r="E68" s="209"/>
      <c r="F68" s="210">
        <v>2</v>
      </c>
      <c r="G68" s="210">
        <v>17</v>
      </c>
      <c r="H68" s="210">
        <v>59</v>
      </c>
      <c r="I68" s="210">
        <v>3</v>
      </c>
      <c r="J68" s="210">
        <v>5</v>
      </c>
      <c r="K68" s="210">
        <v>9</v>
      </c>
      <c r="L68" s="210">
        <v>2</v>
      </c>
      <c r="M68" s="210">
        <v>1</v>
      </c>
      <c r="N68" s="211"/>
      <c r="O68" s="212">
        <v>1</v>
      </c>
      <c r="P68" s="211">
        <v>1</v>
      </c>
      <c r="Q68" s="350">
        <f t="shared" ref="Q68:Q72" si="7">SUM(E68:P68)</f>
        <v>100</v>
      </c>
      <c r="T68" s="427"/>
    </row>
    <row r="69" spans="4:20" ht="20.100000000000001" customHeight="1" x14ac:dyDescent="0.2">
      <c r="D69" s="214">
        <v>5</v>
      </c>
      <c r="E69" s="152"/>
      <c r="F69" s="153">
        <v>3</v>
      </c>
      <c r="G69" s="153">
        <v>36</v>
      </c>
      <c r="H69" s="153">
        <v>71</v>
      </c>
      <c r="I69" s="153">
        <v>4</v>
      </c>
      <c r="J69" s="153">
        <v>6</v>
      </c>
      <c r="K69" s="153">
        <v>10</v>
      </c>
      <c r="L69" s="153">
        <v>5</v>
      </c>
      <c r="M69" s="153">
        <v>1</v>
      </c>
      <c r="N69" s="154"/>
      <c r="O69" s="155">
        <v>3</v>
      </c>
      <c r="P69" s="154">
        <v>1</v>
      </c>
      <c r="Q69" s="277">
        <f t="shared" si="7"/>
        <v>140</v>
      </c>
      <c r="T69" s="427"/>
    </row>
    <row r="70" spans="4:20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3"/>
      <c r="L70" s="153"/>
      <c r="M70" s="153"/>
      <c r="N70" s="154"/>
      <c r="O70" s="155"/>
      <c r="P70" s="154"/>
      <c r="Q70" s="277">
        <f t="shared" si="7"/>
        <v>0</v>
      </c>
      <c r="T70" s="427"/>
    </row>
    <row r="71" spans="4:20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3"/>
      <c r="L71" s="153"/>
      <c r="M71" s="153"/>
      <c r="N71" s="154"/>
      <c r="O71" s="155"/>
      <c r="P71" s="154"/>
      <c r="Q71" s="277">
        <f t="shared" si="7"/>
        <v>0</v>
      </c>
      <c r="T71" s="427"/>
    </row>
    <row r="72" spans="4:20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7"/>
      <c r="L72" s="157"/>
      <c r="M72" s="157"/>
      <c r="N72" s="158"/>
      <c r="O72" s="159"/>
      <c r="P72" s="158"/>
      <c r="Q72" s="351">
        <f t="shared" si="7"/>
        <v>0</v>
      </c>
      <c r="T72" s="427"/>
    </row>
    <row r="73" spans="4:20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T73" s="427"/>
    </row>
    <row r="74" spans="4:20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T74" s="427"/>
    </row>
    <row r="75" spans="4:20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T75" s="427"/>
    </row>
    <row r="76" spans="4:20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2"/>
      <c r="N76" s="592"/>
      <c r="O76" s="592"/>
      <c r="P76" s="593"/>
      <c r="Q76" s="352" t="s">
        <v>7</v>
      </c>
      <c r="T76" s="427"/>
    </row>
    <row r="77" spans="4:20" ht="36.75" thickBot="1" x14ac:dyDescent="0.25">
      <c r="D77" s="324" t="s">
        <v>80</v>
      </c>
      <c r="E77" s="382" t="s">
        <v>68</v>
      </c>
      <c r="F77" s="386" t="s">
        <v>98</v>
      </c>
      <c r="G77" s="381" t="s">
        <v>69</v>
      </c>
      <c r="H77" s="384" t="s">
        <v>70</v>
      </c>
      <c r="I77" s="385" t="s">
        <v>71</v>
      </c>
      <c r="J77" s="383" t="s">
        <v>72</v>
      </c>
      <c r="K77" s="387" t="s">
        <v>73</v>
      </c>
      <c r="L77" s="367" t="s">
        <v>74</v>
      </c>
      <c r="M77" s="381" t="s">
        <v>75</v>
      </c>
      <c r="N77" s="388" t="s">
        <v>76</v>
      </c>
      <c r="O77" s="326" t="s">
        <v>3</v>
      </c>
      <c r="P77" s="325" t="s">
        <v>4</v>
      </c>
      <c r="Q77" s="349" t="s">
        <v>102</v>
      </c>
      <c r="T77" s="427"/>
    </row>
    <row r="78" spans="4:20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0"/>
      <c r="L78" s="210"/>
      <c r="M78" s="210"/>
      <c r="N78" s="211"/>
      <c r="O78" s="212"/>
      <c r="P78" s="211"/>
      <c r="Q78" s="350">
        <f t="shared" ref="Q78:Q80" si="8">SUM(E78:P78)</f>
        <v>0</v>
      </c>
      <c r="T78" s="427"/>
    </row>
    <row r="79" spans="4:20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3"/>
      <c r="L79" s="153"/>
      <c r="M79" s="153"/>
      <c r="N79" s="154"/>
      <c r="O79" s="155"/>
      <c r="P79" s="154"/>
      <c r="Q79" s="277">
        <f t="shared" si="8"/>
        <v>0</v>
      </c>
      <c r="T79" s="427"/>
    </row>
    <row r="80" spans="4:20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7"/>
      <c r="L80" s="157"/>
      <c r="M80" s="157"/>
      <c r="N80" s="158"/>
      <c r="O80" s="159"/>
      <c r="P80" s="158"/>
      <c r="Q80" s="351">
        <f t="shared" si="8"/>
        <v>0</v>
      </c>
      <c r="T80" s="427"/>
    </row>
    <row r="81" spans="4:20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13"/>
      <c r="T81" s="427"/>
    </row>
    <row r="82" spans="4:20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13"/>
      <c r="T82" s="427"/>
    </row>
    <row r="83" spans="4:20" x14ac:dyDescent="0.2">
      <c r="T83" s="427"/>
    </row>
    <row r="84" spans="4:20" x14ac:dyDescent="0.2">
      <c r="T84" s="427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07" priority="16" operator="notBetween">
      <formula>0</formula>
      <formula>100</formula>
    </cfRule>
  </conditionalFormatting>
  <conditionalFormatting sqref="E3:Q14">
    <cfRule type="cellIs" dxfId="406" priority="19" operator="lessThan">
      <formula>0</formula>
    </cfRule>
  </conditionalFormatting>
  <conditionalFormatting sqref="E14:Q14">
    <cfRule type="cellIs" dxfId="405" priority="22" operator="greaterThan">
      <formula>1</formula>
    </cfRule>
  </conditionalFormatting>
  <conditionalFormatting sqref="Q3:Q13">
    <cfRule type="cellIs" dxfId="404" priority="20" operator="equal">
      <formula>0</formula>
    </cfRule>
  </conditionalFormatting>
  <conditionalFormatting sqref="Q13">
    <cfRule type="cellIs" dxfId="403" priority="24" operator="equal">
      <formula>$B$7</formula>
    </cfRule>
  </conditionalFormatting>
  <conditionalFormatting sqref="Q14">
    <cfRule type="cellIs" dxfId="402" priority="21" operator="equal">
      <formula>1</formula>
    </cfRule>
    <cfRule type="cellIs" dxfId="401" priority="23" operator="lessThan">
      <formula>1</formula>
    </cfRule>
  </conditionalFormatting>
  <conditionalFormatting sqref="W4:W15">
    <cfRule type="expression" dxfId="400" priority="25">
      <formula>AND($W4&lt;$W3, NOT(ISBLANK($W4)))</formula>
    </cfRule>
    <cfRule type="cellIs" dxfId="399" priority="26" operator="greaterThan">
      <formula>$B$6</formula>
    </cfRule>
  </conditionalFormatting>
  <conditionalFormatting sqref="X4:X15">
    <cfRule type="cellIs" dxfId="398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97" priority="27">
      <formula>($D3&lt;=$K$23)</formula>
    </cfRule>
  </conditionalFormatting>
  <conditionalFormatting sqref="Q3:Q12">
    <cfRule type="expression" dxfId="396" priority="28">
      <formula>AND($D3=$K$23, Q3=$J$24)</formula>
    </cfRule>
    <cfRule type="expression" dxfId="395" priority="29">
      <formula>AND($D3=$K$23, MOD(Q3,100)&gt;$J$24)</formula>
    </cfRule>
    <cfRule type="cellIs" dxfId="394" priority="30" operator="equal">
      <formula>100</formula>
    </cfRule>
  </conditionalFormatting>
  <conditionalFormatting sqref="D3:P12">
    <cfRule type="expression" dxfId="393" priority="34">
      <formula>($D3&gt;$K$23)</formula>
    </cfRule>
  </conditionalFormatting>
  <conditionalFormatting sqref="E50:P59 E68:P72 E78:P80">
    <cfRule type="cellIs" dxfId="392" priority="31" operator="notBetween">
      <formula>0</formula>
      <formula>$B$7</formula>
    </cfRule>
    <cfRule type="expression" dxfId="391" priority="32">
      <formula>($D50&lt;=$K$23)</formula>
    </cfRule>
    <cfRule type="expression" dxfId="390" priority="33">
      <formula>($D50&gt;$K$23)</formula>
    </cfRule>
  </conditionalFormatting>
  <conditionalFormatting sqref="B8">
    <cfRule type="cellIs" dxfId="389" priority="12" operator="notEqual">
      <formula>$B$7</formula>
    </cfRule>
  </conditionalFormatting>
  <conditionalFormatting sqref="E50:P59">
    <cfRule type="expression" dxfId="388" priority="10">
      <formula>AND(E51&lt;MAX(E$50:E51), NOT(ISBLANK(E51)), NOT(E51=0))</formula>
    </cfRule>
  </conditionalFormatting>
  <conditionalFormatting sqref="E68:P72">
    <cfRule type="expression" dxfId="387" priority="11">
      <formula>AND(E69&lt;MAX(E$68:E69), NOT(ISBLANK(E69)), NOT(E69=0))</formula>
    </cfRule>
  </conditionalFormatting>
  <conditionalFormatting sqref="E78:P80">
    <cfRule type="expression" dxfId="386" priority="15">
      <formula>AND(E79&lt;MAX(E$78:E79), NOT(ISBLANK(E79)), NOT(E79=0))</formula>
    </cfRule>
  </conditionalFormatting>
  <conditionalFormatting sqref="Q50">
    <cfRule type="cellIs" dxfId="385" priority="1" operator="lessThan">
      <formula>0</formula>
    </cfRule>
    <cfRule type="cellIs" dxfId="384" priority="2" operator="equal">
      <formula>0</formula>
    </cfRule>
    <cfRule type="expression" dxfId="383" priority="3">
      <formula>OR(MOD($Q50,100)=0,AND($D50=$K$23,MOD($Q50,100)=$J$24))</formula>
    </cfRule>
  </conditionalFormatting>
  <conditionalFormatting sqref="Q52:Q59 Q68:Q72 Q78:Q80">
    <cfRule type="cellIs" dxfId="382" priority="4" operator="lessThan">
      <formula>0</formula>
    </cfRule>
    <cfRule type="cellIs" dxfId="381" priority="5" operator="equal">
      <formula>0</formula>
    </cfRule>
    <cfRule type="expression" dxfId="380" priority="6">
      <formula>OR(MOD($Q52,100)=0,AND($D52=$K$23,MOD($Q52,100)=$J$24))</formula>
    </cfRule>
  </conditionalFormatting>
  <conditionalFormatting sqref="Q51">
    <cfRule type="cellIs" dxfId="379" priority="7" operator="lessThan">
      <formula>0</formula>
    </cfRule>
    <cfRule type="cellIs" dxfId="378" priority="8" operator="equal">
      <formula>0</formula>
    </cfRule>
    <cfRule type="expression" dxfId="377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V82"/>
  <sheetViews>
    <sheetView workbookViewId="0">
      <selection activeCell="N20" sqref="N20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0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 cm="1">
        <f t="array" ref="B5">INDEX(Synthèse!B:B,B4+2)</f>
        <v>Nom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 cm="1">
        <f t="array" ref="B6">IF(ISNUMBER(INDEX(Synthèse!C:C,B4+2)),INDEX(Synthèse!C:C,B4+2),1)</f>
        <v>1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1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M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ref="N13" si="5">SUM(N3:N12)</f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6">IFERROR(E13/$B$7,0)</f>
        <v>0</v>
      </c>
      <c r="F14" s="35">
        <f t="shared" si="6"/>
        <v>0</v>
      </c>
      <c r="G14" s="35">
        <f t="shared" si="6"/>
        <v>0</v>
      </c>
      <c r="H14" s="35">
        <f t="shared" si="6"/>
        <v>0</v>
      </c>
      <c r="I14" s="35">
        <f t="shared" si="6"/>
        <v>0</v>
      </c>
      <c r="J14" s="35">
        <f t="shared" si="6"/>
        <v>0</v>
      </c>
      <c r="K14" s="35">
        <f t="shared" si="6"/>
        <v>0</v>
      </c>
      <c r="L14" s="34">
        <f t="shared" si="6"/>
        <v>0</v>
      </c>
      <c r="M14" s="36">
        <f t="shared" si="6"/>
        <v>0</v>
      </c>
      <c r="N14" s="410">
        <f t="shared" si="6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1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1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7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7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7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7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7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7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7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7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7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7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8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8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8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mergeCells count="7">
    <mergeCell ref="E66:M66"/>
    <mergeCell ref="A15:B18"/>
    <mergeCell ref="E1:M1"/>
    <mergeCell ref="E48:M48"/>
    <mergeCell ref="E76:M76"/>
    <mergeCell ref="A10:B11"/>
    <mergeCell ref="A12:B14"/>
  </mergeCells>
  <phoneticPr fontId="56" type="noConversion"/>
  <conditionalFormatting sqref="B8">
    <cfRule type="cellIs" dxfId="376" priority="1" operator="equal">
      <formula>0</formula>
    </cfRule>
    <cfRule type="cellIs" dxfId="375" priority="45" operator="notEqual">
      <formula>$B$7</formula>
    </cfRule>
  </conditionalFormatting>
  <conditionalFormatting sqref="E3:N12">
    <cfRule type="cellIs" dxfId="374" priority="44" operator="notBetween">
      <formula>0</formula>
      <formula>100</formula>
    </cfRule>
  </conditionalFormatting>
  <conditionalFormatting sqref="E3:N14">
    <cfRule type="cellIs" dxfId="373" priority="47" operator="lessThan">
      <formula>0</formula>
    </cfRule>
  </conditionalFormatting>
  <conditionalFormatting sqref="E14:N14">
    <cfRule type="cellIs" dxfId="372" priority="54" operator="greaterThan">
      <formula>1</formula>
    </cfRule>
  </conditionalFormatting>
  <conditionalFormatting sqref="N3:N13">
    <cfRule type="cellIs" dxfId="371" priority="52" operator="equal">
      <formula>0</formula>
    </cfRule>
  </conditionalFormatting>
  <conditionalFormatting sqref="N13">
    <cfRule type="cellIs" dxfId="370" priority="56" operator="equal">
      <formula>$B$7</formula>
    </cfRule>
  </conditionalFormatting>
  <conditionalFormatting sqref="N14">
    <cfRule type="cellIs" dxfId="369" priority="53" operator="equal">
      <formula>1</formula>
    </cfRule>
    <cfRule type="cellIs" dxfId="368" priority="55" operator="lessThan">
      <formula>1</formula>
    </cfRule>
  </conditionalFormatting>
  <conditionalFormatting sqref="R4:R15">
    <cfRule type="cellIs" dxfId="367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66" priority="4">
      <formula>AND(E50&lt;MAX(E$50:E50), NOT(ISBLANK(E50)), NOT(E50=0))</formula>
    </cfRule>
  </conditionalFormatting>
  <conditionalFormatting sqref="E68:M72">
    <cfRule type="expression" dxfId="365" priority="3">
      <formula>AND(E68&lt;MAX(E$68:E68), NOT(ISBLANK(E68)), NOT(E68=0))</formula>
    </cfRule>
  </conditionalFormatting>
  <conditionalFormatting sqref="E78:M80">
    <cfRule type="expression" dxfId="364" priority="148">
      <formula>AND(E78&lt;MAX(E$78:E78), NOT(ISBLANK(E78)), NOT(E78=0))</formula>
    </cfRule>
  </conditionalFormatting>
  <conditionalFormatting sqref="N3:N12">
    <cfRule type="expression" dxfId="363" priority="266">
      <formula>AND($D3=$E$24, N3=$D$25)</formula>
    </cfRule>
    <cfRule type="expression" dxfId="362" priority="267">
      <formula>AND($D3=$E$24, MOD(N3,100)&gt;$D$25)</formula>
    </cfRule>
    <cfRule type="cellIs" dxfId="361" priority="268" operator="equal">
      <formula>100</formula>
    </cfRule>
  </conditionalFormatting>
  <conditionalFormatting sqref="E3:M12">
    <cfRule type="expression" dxfId="360" priority="269">
      <formula>($D3&lt;=$E$24)</formula>
    </cfRule>
  </conditionalFormatting>
  <conditionalFormatting sqref="D3:M12">
    <cfRule type="expression" dxfId="359" priority="270">
      <formula>($D3&gt;$E$24)</formula>
    </cfRule>
  </conditionalFormatting>
  <conditionalFormatting sqref="N50 N68:N72 N78:N80 N52:N59">
    <cfRule type="cellIs" dxfId="358" priority="271" operator="lessThan">
      <formula>0</formula>
    </cfRule>
    <cfRule type="cellIs" dxfId="357" priority="272" operator="equal">
      <formula>0</formula>
    </cfRule>
    <cfRule type="expression" dxfId="356" priority="273">
      <formula>OR(MOD($N50,100)=0,AND($D50=$E$24,MOD($N50,100)=$D$25))</formula>
    </cfRule>
  </conditionalFormatting>
  <conditionalFormatting sqref="N51">
    <cfRule type="cellIs" dxfId="355" priority="283" operator="notBetween">
      <formula>0</formula>
      <formula>$B$7</formula>
    </cfRule>
    <cfRule type="cellIs" dxfId="354" priority="284" operator="equal">
      <formula>0</formula>
    </cfRule>
    <cfRule type="expression" dxfId="353" priority="285">
      <formula>OR(MOD($N51,100)=0,AND($D51=$E$24,MOD($N51,100)=$D$25))</formula>
    </cfRule>
  </conditionalFormatting>
  <conditionalFormatting sqref="E50:M59 E68:M72 E78:M80">
    <cfRule type="cellIs" dxfId="352" priority="286" operator="notBetween">
      <formula>0</formula>
      <formula>$B$7</formula>
    </cfRule>
    <cfRule type="expression" dxfId="351" priority="287">
      <formula>($D50&lt;=$E$24)</formula>
    </cfRule>
    <cfRule type="expression" dxfId="350" priority="288">
      <formula>($D50&gt;$E$24)</formula>
    </cfRule>
  </conditionalFormatting>
  <conditionalFormatting sqref="Q4:Q15">
    <cfRule type="expression" dxfId="349" priority="289">
      <formula>AND($Q4&lt;$Q3, NOT(ISBLANK($Q4)))</formula>
    </cfRule>
    <cfRule type="cellIs" dxfId="348" priority="290" operator="greaterThan">
      <formula>$B$6</formula>
    </cfRule>
  </conditionalFormatting>
  <dataValidations disablePrompts="1"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8BBA-73AA-4997-AD4A-0AC7210840E9}">
  <sheetPr codeName="Feuil42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1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Ecole Chabaud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520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520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6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2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mCCKxNLaGvTiII8JtRuFU3tBdUgWa6wn7PcgU8pCHS47gGWn8yf/PLlK+VLz/AQETPAYoRihtT5s9q/RU6jh6w==" saltValue="iOvt66tusIUUrFRScYBEt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47" priority="1" operator="equal">
      <formula>0</formula>
    </cfRule>
    <cfRule type="cellIs" dxfId="346" priority="6" operator="notEqual">
      <formula>$B$7</formula>
    </cfRule>
  </conditionalFormatting>
  <conditionalFormatting sqref="E3:N12">
    <cfRule type="cellIs" dxfId="345" priority="5" operator="notBetween">
      <formula>0</formula>
      <formula>100</formula>
    </cfRule>
  </conditionalFormatting>
  <conditionalFormatting sqref="E3:N14">
    <cfRule type="cellIs" dxfId="344" priority="8" operator="lessThan">
      <formula>0</formula>
    </cfRule>
  </conditionalFormatting>
  <conditionalFormatting sqref="E14:N14">
    <cfRule type="cellIs" dxfId="343" priority="11" operator="greaterThan">
      <formula>1</formula>
    </cfRule>
  </conditionalFormatting>
  <conditionalFormatting sqref="N3:N13">
    <cfRule type="cellIs" dxfId="342" priority="9" operator="equal">
      <formula>0</formula>
    </cfRule>
  </conditionalFormatting>
  <conditionalFormatting sqref="N13">
    <cfRule type="cellIs" dxfId="341" priority="13" operator="equal">
      <formula>$B$7</formula>
    </cfRule>
  </conditionalFormatting>
  <conditionalFormatting sqref="N14">
    <cfRule type="cellIs" dxfId="340" priority="10" operator="equal">
      <formula>1</formula>
    </cfRule>
    <cfRule type="cellIs" dxfId="339" priority="12" operator="lessThan">
      <formula>1</formula>
    </cfRule>
  </conditionalFormatting>
  <conditionalFormatting sqref="R4:R15">
    <cfRule type="cellIs" dxfId="33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37" priority="3">
      <formula>AND(E50&lt;MAX(E$50:E50), NOT(ISBLANK(E50)), NOT(E50=0))</formula>
    </cfRule>
  </conditionalFormatting>
  <conditionalFormatting sqref="E68:M72">
    <cfRule type="expression" dxfId="336" priority="2">
      <formula>AND(E68&lt;MAX(E$68:E68), NOT(ISBLANK(E68)), NOT(E68=0))</formula>
    </cfRule>
  </conditionalFormatting>
  <conditionalFormatting sqref="E78:M80">
    <cfRule type="expression" dxfId="335" priority="14">
      <formula>AND(E78&lt;MAX(E$78:E78), NOT(ISBLANK(E78)), NOT(E78=0))</formula>
    </cfRule>
  </conditionalFormatting>
  <conditionalFormatting sqref="N3:N12">
    <cfRule type="expression" dxfId="334" priority="15">
      <formula>AND($D3=$E$24, N3=$D$25)</formula>
    </cfRule>
    <cfRule type="expression" dxfId="333" priority="16">
      <formula>AND($D3=$E$24, MOD(N3,100)&gt;$D$25)</formula>
    </cfRule>
    <cfRule type="cellIs" dxfId="332" priority="17" operator="equal">
      <formula>100</formula>
    </cfRule>
  </conditionalFormatting>
  <conditionalFormatting sqref="E3:M12">
    <cfRule type="expression" dxfId="331" priority="18">
      <formula>($D3&lt;=$E$24)</formula>
    </cfRule>
  </conditionalFormatting>
  <conditionalFormatting sqref="D3:M12">
    <cfRule type="expression" dxfId="330" priority="19">
      <formula>($D3&gt;$E$24)</formula>
    </cfRule>
  </conditionalFormatting>
  <conditionalFormatting sqref="N50 N68:N72 N78:N80 N52:N59">
    <cfRule type="cellIs" dxfId="329" priority="20" operator="lessThan">
      <formula>0</formula>
    </cfRule>
    <cfRule type="cellIs" dxfId="328" priority="21" operator="equal">
      <formula>0</formula>
    </cfRule>
    <cfRule type="expression" dxfId="327" priority="22">
      <formula>OR(MOD($N50,100)=0,AND($D50=$E$24,MOD($N50,100)=$D$25))</formula>
    </cfRule>
  </conditionalFormatting>
  <conditionalFormatting sqref="N51">
    <cfRule type="cellIs" dxfId="326" priority="23" operator="notBetween">
      <formula>0</formula>
      <formula>$B$7</formula>
    </cfRule>
    <cfRule type="cellIs" dxfId="325" priority="24" operator="equal">
      <formula>0</formula>
    </cfRule>
    <cfRule type="expression" dxfId="324" priority="25">
      <formula>OR(MOD($N51,100)=0,AND($D51=$E$24,MOD($N51,100)=$D$25))</formula>
    </cfRule>
  </conditionalFormatting>
  <conditionalFormatting sqref="E50:M59 E68:M72 E78:M80">
    <cfRule type="cellIs" dxfId="323" priority="26" operator="notBetween">
      <formula>0</formula>
      <formula>$B$7</formula>
    </cfRule>
    <cfRule type="expression" dxfId="322" priority="27">
      <formula>($D50&lt;=$E$24)</formula>
    </cfRule>
    <cfRule type="expression" dxfId="321" priority="28">
      <formula>($D50&gt;$E$24)</formula>
    </cfRule>
  </conditionalFormatting>
  <conditionalFormatting sqref="Q4:Q15">
    <cfRule type="expression" dxfId="320" priority="29">
      <formula>AND($Q4&lt;$Q3, NOT(ISBLANK($Q4)))</formula>
    </cfRule>
    <cfRule type="cellIs" dxfId="319" priority="30" operator="greaterThan">
      <formula>$B$6</formula>
    </cfRule>
  </conditionalFormatting>
  <dataValidations count="2">
    <dataValidation type="list" allowBlank="1" showInputMessage="1" showErrorMessage="1" sqref="C50:C59" xr:uid="{2A67F678-E552-4BE9-A171-333D8079857E}">
      <formula1>$D$19:$D$21</formula1>
    </dataValidation>
    <dataValidation type="list" allowBlank="1" showInputMessage="1" showErrorMessage="1" sqref="D68:D72 D78:D82 D50:D59" xr:uid="{B798F6A1-D99F-48BD-A8EE-1125321833D8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982B-5168-4DF1-B977-6131CBE4E3D5}">
  <sheetPr codeName="Feuil44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2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Gymnase B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700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700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YoL20PjrWfoDpF/1z8Tqhj5Cxw4UmVK4TWEJyX68IHna30q0KBrerk9K8MSKjd1/IURB0k4ffIhRUV7TezYYXw==" saltValue="bEjeuo+g8SQiLrSvoigID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18" priority="1" operator="equal">
      <formula>0</formula>
    </cfRule>
    <cfRule type="cellIs" dxfId="317" priority="6" operator="notEqual">
      <formula>$B$7</formula>
    </cfRule>
  </conditionalFormatting>
  <conditionalFormatting sqref="E3:N12">
    <cfRule type="cellIs" dxfId="316" priority="5" operator="notBetween">
      <formula>0</formula>
      <formula>100</formula>
    </cfRule>
  </conditionalFormatting>
  <conditionalFormatting sqref="E3:N14">
    <cfRule type="cellIs" dxfId="315" priority="8" operator="lessThan">
      <formula>0</formula>
    </cfRule>
  </conditionalFormatting>
  <conditionalFormatting sqref="E14:N14">
    <cfRule type="cellIs" dxfId="314" priority="11" operator="greaterThan">
      <formula>1</formula>
    </cfRule>
  </conditionalFormatting>
  <conditionalFormatting sqref="N3:N13">
    <cfRule type="cellIs" dxfId="313" priority="9" operator="equal">
      <formula>0</formula>
    </cfRule>
  </conditionalFormatting>
  <conditionalFormatting sqref="N13">
    <cfRule type="cellIs" dxfId="312" priority="13" operator="equal">
      <formula>$B$7</formula>
    </cfRule>
  </conditionalFormatting>
  <conditionalFormatting sqref="N14">
    <cfRule type="cellIs" dxfId="311" priority="10" operator="equal">
      <formula>1</formula>
    </cfRule>
    <cfRule type="cellIs" dxfId="310" priority="12" operator="lessThan">
      <formula>1</formula>
    </cfRule>
  </conditionalFormatting>
  <conditionalFormatting sqref="R4:R15">
    <cfRule type="cellIs" dxfId="30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08" priority="3">
      <formula>AND(E50&lt;MAX(E$50:E50), NOT(ISBLANK(E50)), NOT(E50=0))</formula>
    </cfRule>
  </conditionalFormatting>
  <conditionalFormatting sqref="E68:M72">
    <cfRule type="expression" dxfId="307" priority="2">
      <formula>AND(E68&lt;MAX(E$68:E68), NOT(ISBLANK(E68)), NOT(E68=0))</formula>
    </cfRule>
  </conditionalFormatting>
  <conditionalFormatting sqref="E78:M80">
    <cfRule type="expression" dxfId="306" priority="14">
      <formula>AND(E78&lt;MAX(E$78:E78), NOT(ISBLANK(E78)), NOT(E78=0))</formula>
    </cfRule>
  </conditionalFormatting>
  <conditionalFormatting sqref="N3:N12">
    <cfRule type="expression" dxfId="305" priority="15">
      <formula>AND($D3=$E$24, N3=$D$25)</formula>
    </cfRule>
    <cfRule type="expression" dxfId="304" priority="16">
      <formula>AND($D3=$E$24, MOD(N3,100)&gt;$D$25)</formula>
    </cfRule>
    <cfRule type="cellIs" dxfId="303" priority="17" operator="equal">
      <formula>100</formula>
    </cfRule>
  </conditionalFormatting>
  <conditionalFormatting sqref="E3:M12">
    <cfRule type="expression" dxfId="302" priority="18">
      <formula>($D3&lt;=$E$24)</formula>
    </cfRule>
  </conditionalFormatting>
  <conditionalFormatting sqref="D3:M12">
    <cfRule type="expression" dxfId="301" priority="19">
      <formula>($D3&gt;$E$24)</formula>
    </cfRule>
  </conditionalFormatting>
  <conditionalFormatting sqref="N50 N68:N72 N78:N80 N52:N59">
    <cfRule type="cellIs" dxfId="300" priority="20" operator="lessThan">
      <formula>0</formula>
    </cfRule>
    <cfRule type="cellIs" dxfId="299" priority="21" operator="equal">
      <formula>0</formula>
    </cfRule>
    <cfRule type="expression" dxfId="298" priority="22">
      <formula>OR(MOD($N50,100)=0,AND($D50=$E$24,MOD($N50,100)=$D$25))</formula>
    </cfRule>
  </conditionalFormatting>
  <conditionalFormatting sqref="N51">
    <cfRule type="cellIs" dxfId="297" priority="23" operator="notBetween">
      <formula>0</formula>
      <formula>$B$7</formula>
    </cfRule>
    <cfRule type="cellIs" dxfId="296" priority="24" operator="equal">
      <formula>0</formula>
    </cfRule>
    <cfRule type="expression" dxfId="295" priority="25">
      <formula>OR(MOD($N51,100)=0,AND($D51=$E$24,MOD($N51,100)=$D$25))</formula>
    </cfRule>
  </conditionalFormatting>
  <conditionalFormatting sqref="E50:M59 E68:M72 E78:M80">
    <cfRule type="cellIs" dxfId="294" priority="26" operator="notBetween">
      <formula>0</formula>
      <formula>$B$7</formula>
    </cfRule>
    <cfRule type="expression" dxfId="293" priority="27">
      <formula>($D50&lt;=$E$24)</formula>
    </cfRule>
    <cfRule type="expression" dxfId="292" priority="28">
      <formula>($D50&gt;$E$24)</formula>
    </cfRule>
  </conditionalFormatting>
  <conditionalFormatting sqref="Q4:Q15">
    <cfRule type="expression" dxfId="291" priority="29">
      <formula>AND($Q4&lt;$Q3, NOT(ISBLANK($Q4)))</formula>
    </cfRule>
    <cfRule type="cellIs" dxfId="290" priority="30" operator="greaterThan">
      <formula>$B$6</formula>
    </cfRule>
  </conditionalFormatting>
  <dataValidations count="2">
    <dataValidation type="list" allowBlank="1" showInputMessage="1" showErrorMessage="1" sqref="C50:C59" xr:uid="{544E58EC-0093-4396-A443-23C7576BD7B6}">
      <formula1>$D$19:$D$21</formula1>
    </dataValidation>
    <dataValidation type="list" allowBlank="1" showInputMessage="1" showErrorMessage="1" sqref="D68:D72 D78:D82 D50:D59" xr:uid="{35C74699-832D-4296-AE14-FC7FD4ECAEEE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6A22-2AA9-44D8-8F49-02C35CA645EF}">
  <sheetPr codeName="Feuil45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3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Gymnase B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669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669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Fas3tOjOyGW6G+oU8I3PJzgug3Vk5U8+v3i6P62XBVHb2bwE154E64bdn7yNI1J4Ev1SXabWbsirLYh4NoSd9w==" saltValue="/fp/6tM5dweJxlOywgEGH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9" priority="1" operator="equal">
      <formula>0</formula>
    </cfRule>
    <cfRule type="cellIs" dxfId="288" priority="6" operator="notEqual">
      <formula>$B$7</formula>
    </cfRule>
  </conditionalFormatting>
  <conditionalFormatting sqref="E3:N12">
    <cfRule type="cellIs" dxfId="287" priority="5" operator="notBetween">
      <formula>0</formula>
      <formula>100</formula>
    </cfRule>
  </conditionalFormatting>
  <conditionalFormatting sqref="E3:N14">
    <cfRule type="cellIs" dxfId="286" priority="8" operator="lessThan">
      <formula>0</formula>
    </cfRule>
  </conditionalFormatting>
  <conditionalFormatting sqref="E14:N14">
    <cfRule type="cellIs" dxfId="285" priority="11" operator="greaterThan">
      <formula>1</formula>
    </cfRule>
  </conditionalFormatting>
  <conditionalFormatting sqref="N3:N13">
    <cfRule type="cellIs" dxfId="284" priority="9" operator="equal">
      <formula>0</formula>
    </cfRule>
  </conditionalFormatting>
  <conditionalFormatting sqref="N13">
    <cfRule type="cellIs" dxfId="283" priority="13" operator="equal">
      <formula>$B$7</formula>
    </cfRule>
  </conditionalFormatting>
  <conditionalFormatting sqref="N14">
    <cfRule type="cellIs" dxfId="282" priority="10" operator="equal">
      <formula>1</formula>
    </cfRule>
    <cfRule type="cellIs" dxfId="281" priority="12" operator="lessThan">
      <formula>1</formula>
    </cfRule>
  </conditionalFormatting>
  <conditionalFormatting sqref="R4:R15">
    <cfRule type="cellIs" dxfId="28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79" priority="3">
      <formula>AND(E50&lt;MAX(E$50:E50), NOT(ISBLANK(E50)), NOT(E50=0))</formula>
    </cfRule>
  </conditionalFormatting>
  <conditionalFormatting sqref="E68:M72">
    <cfRule type="expression" dxfId="278" priority="2">
      <formula>AND(E68&lt;MAX(E$68:E68), NOT(ISBLANK(E68)), NOT(E68=0))</formula>
    </cfRule>
  </conditionalFormatting>
  <conditionalFormatting sqref="E78:M80">
    <cfRule type="expression" dxfId="277" priority="14">
      <formula>AND(E78&lt;MAX(E$78:E78), NOT(ISBLANK(E78)), NOT(E78=0))</formula>
    </cfRule>
  </conditionalFormatting>
  <conditionalFormatting sqref="N3:N12">
    <cfRule type="expression" dxfId="276" priority="15">
      <formula>AND($D3=$E$24, N3=$D$25)</formula>
    </cfRule>
    <cfRule type="expression" dxfId="275" priority="16">
      <formula>AND($D3=$E$24, MOD(N3,100)&gt;$D$25)</formula>
    </cfRule>
    <cfRule type="cellIs" dxfId="274" priority="17" operator="equal">
      <formula>100</formula>
    </cfRule>
  </conditionalFormatting>
  <conditionalFormatting sqref="E3:M12">
    <cfRule type="expression" dxfId="273" priority="18">
      <formula>($D3&lt;=$E$24)</formula>
    </cfRule>
  </conditionalFormatting>
  <conditionalFormatting sqref="D3:M12">
    <cfRule type="expression" dxfId="272" priority="19">
      <formula>($D3&gt;$E$24)</formula>
    </cfRule>
  </conditionalFormatting>
  <conditionalFormatting sqref="N50 N68:N72 N78:N80 N52:N59">
    <cfRule type="cellIs" dxfId="271" priority="20" operator="lessThan">
      <formula>0</formula>
    </cfRule>
    <cfRule type="cellIs" dxfId="270" priority="21" operator="equal">
      <formula>0</formula>
    </cfRule>
    <cfRule type="expression" dxfId="269" priority="22">
      <formula>OR(MOD($N50,100)=0,AND($D50=$E$24,MOD($N50,100)=$D$25))</formula>
    </cfRule>
  </conditionalFormatting>
  <conditionalFormatting sqref="N51">
    <cfRule type="cellIs" dxfId="268" priority="23" operator="notBetween">
      <formula>0</formula>
      <formula>$B$7</formula>
    </cfRule>
    <cfRule type="cellIs" dxfId="267" priority="24" operator="equal">
      <formula>0</formula>
    </cfRule>
    <cfRule type="expression" dxfId="266" priority="25">
      <formula>OR(MOD($N51,100)=0,AND($D51=$E$24,MOD($N51,100)=$D$25))</formula>
    </cfRule>
  </conditionalFormatting>
  <conditionalFormatting sqref="E50:M59 E68:M72 E78:M80">
    <cfRule type="cellIs" dxfId="265" priority="26" operator="notBetween">
      <formula>0</formula>
      <formula>$B$7</formula>
    </cfRule>
    <cfRule type="expression" dxfId="264" priority="27">
      <formula>($D50&lt;=$E$24)</formula>
    </cfRule>
    <cfRule type="expression" dxfId="263" priority="28">
      <formula>($D50&gt;$E$24)</formula>
    </cfRule>
  </conditionalFormatting>
  <conditionalFormatting sqref="Q4:Q15">
    <cfRule type="expression" dxfId="262" priority="29">
      <formula>AND($Q4&lt;$Q3, NOT(ISBLANK($Q4)))</formula>
    </cfRule>
    <cfRule type="cellIs" dxfId="261" priority="30" operator="greaterThan">
      <formula>$B$6</formula>
    </cfRule>
  </conditionalFormatting>
  <dataValidations count="2">
    <dataValidation type="list" allowBlank="1" showInputMessage="1" showErrorMessage="1" sqref="C50:C59" xr:uid="{7B90B57C-CB46-41CA-B024-CF53A69DED7C}">
      <formula1>$D$19:$D$21</formula1>
    </dataValidation>
    <dataValidation type="list" allowBlank="1" showInputMessage="1" showErrorMessage="1" sqref="D68:D72 D78:D82 D50:D59" xr:uid="{D4896BFB-9876-4040-80B7-B3C0F3EBB204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D5C3-9423-4B4F-A5C7-CDF34D15C917}">
  <sheetPr codeName="Feuil46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4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Gymnase B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651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651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tJMKVjadRDBnnyoDoNE82WbG7BsXms11paT7qQ7sVVNuMpSA0vxblUcsaXI5rKGFgxfKlGNR+FZREr6WfCBEqg==" saltValue="HhrunZQBe9yO05w/NN857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60" priority="1" operator="equal">
      <formula>0</formula>
    </cfRule>
    <cfRule type="cellIs" dxfId="259" priority="6" operator="notEqual">
      <formula>$B$7</formula>
    </cfRule>
  </conditionalFormatting>
  <conditionalFormatting sqref="E3:N12">
    <cfRule type="cellIs" dxfId="258" priority="5" operator="notBetween">
      <formula>0</formula>
      <formula>100</formula>
    </cfRule>
  </conditionalFormatting>
  <conditionalFormatting sqref="E3:N14">
    <cfRule type="cellIs" dxfId="257" priority="8" operator="lessThan">
      <formula>0</formula>
    </cfRule>
  </conditionalFormatting>
  <conditionalFormatting sqref="E14:N14">
    <cfRule type="cellIs" dxfId="256" priority="11" operator="greaterThan">
      <formula>1</formula>
    </cfRule>
  </conditionalFormatting>
  <conditionalFormatting sqref="N3:N13">
    <cfRule type="cellIs" dxfId="255" priority="9" operator="equal">
      <formula>0</formula>
    </cfRule>
  </conditionalFormatting>
  <conditionalFormatting sqref="N13">
    <cfRule type="cellIs" dxfId="254" priority="13" operator="equal">
      <formula>$B$7</formula>
    </cfRule>
  </conditionalFormatting>
  <conditionalFormatting sqref="N14">
    <cfRule type="cellIs" dxfId="253" priority="10" operator="equal">
      <formula>1</formula>
    </cfRule>
    <cfRule type="cellIs" dxfId="252" priority="12" operator="lessThan">
      <formula>1</formula>
    </cfRule>
  </conditionalFormatting>
  <conditionalFormatting sqref="R4:R15">
    <cfRule type="cellIs" dxfId="25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50" priority="3">
      <formula>AND(E50&lt;MAX(E$50:E50), NOT(ISBLANK(E50)), NOT(E50=0))</formula>
    </cfRule>
  </conditionalFormatting>
  <conditionalFormatting sqref="E68:M72">
    <cfRule type="expression" dxfId="249" priority="2">
      <formula>AND(E68&lt;MAX(E$68:E68), NOT(ISBLANK(E68)), NOT(E68=0))</formula>
    </cfRule>
  </conditionalFormatting>
  <conditionalFormatting sqref="E78:M80">
    <cfRule type="expression" dxfId="248" priority="14">
      <formula>AND(E78&lt;MAX(E$78:E78), NOT(ISBLANK(E78)), NOT(E78=0))</formula>
    </cfRule>
  </conditionalFormatting>
  <conditionalFormatting sqref="N3:N12">
    <cfRule type="expression" dxfId="247" priority="15">
      <formula>AND($D3=$E$24, N3=$D$25)</formula>
    </cfRule>
    <cfRule type="expression" dxfId="246" priority="16">
      <formula>AND($D3=$E$24, MOD(N3,100)&gt;$D$25)</formula>
    </cfRule>
    <cfRule type="cellIs" dxfId="245" priority="17" operator="equal">
      <formula>100</formula>
    </cfRule>
  </conditionalFormatting>
  <conditionalFormatting sqref="E3:M12">
    <cfRule type="expression" dxfId="244" priority="18">
      <formula>($D3&lt;=$E$24)</formula>
    </cfRule>
  </conditionalFormatting>
  <conditionalFormatting sqref="D3:M12">
    <cfRule type="expression" dxfId="243" priority="19">
      <formula>($D3&gt;$E$24)</formula>
    </cfRule>
  </conditionalFormatting>
  <conditionalFormatting sqref="N50 N68:N72 N78:N80 N52:N59">
    <cfRule type="cellIs" dxfId="242" priority="20" operator="lessThan">
      <formula>0</formula>
    </cfRule>
    <cfRule type="cellIs" dxfId="241" priority="21" operator="equal">
      <formula>0</formula>
    </cfRule>
    <cfRule type="expression" dxfId="240" priority="22">
      <formula>OR(MOD($N50,100)=0,AND($D50=$E$24,MOD($N50,100)=$D$25))</formula>
    </cfRule>
  </conditionalFormatting>
  <conditionalFormatting sqref="N51">
    <cfRule type="cellIs" dxfId="239" priority="23" operator="notBetween">
      <formula>0</formula>
      <formula>$B$7</formula>
    </cfRule>
    <cfRule type="cellIs" dxfId="238" priority="24" operator="equal">
      <formula>0</formula>
    </cfRule>
    <cfRule type="expression" dxfId="237" priority="25">
      <formula>OR(MOD($N51,100)=0,AND($D51=$E$24,MOD($N51,100)=$D$25))</formula>
    </cfRule>
  </conditionalFormatting>
  <conditionalFormatting sqref="E50:M59 E68:M72 E78:M80">
    <cfRule type="cellIs" dxfId="236" priority="26" operator="notBetween">
      <formula>0</formula>
      <formula>$B$7</formula>
    </cfRule>
    <cfRule type="expression" dxfId="235" priority="27">
      <formula>($D50&lt;=$E$24)</formula>
    </cfRule>
    <cfRule type="expression" dxfId="234" priority="28">
      <formula>($D50&gt;$E$24)</formula>
    </cfRule>
  </conditionalFormatting>
  <conditionalFormatting sqref="Q4:Q15">
    <cfRule type="expression" dxfId="233" priority="29">
      <formula>AND($Q4&lt;$Q3, NOT(ISBLANK($Q4)))</formula>
    </cfRule>
    <cfRule type="cellIs" dxfId="232" priority="30" operator="greaterThan">
      <formula>$B$6</formula>
    </cfRule>
  </conditionalFormatting>
  <dataValidations count="2">
    <dataValidation type="list" allowBlank="1" showInputMessage="1" showErrorMessage="1" sqref="C50:C59" xr:uid="{2529069D-08F0-4883-B729-777C2CADA629}">
      <formula1>$D$19:$D$21</formula1>
    </dataValidation>
    <dataValidation type="list" allowBlank="1" showInputMessage="1" showErrorMessage="1" sqref="D68:D72 D78:D82 D50:D59" xr:uid="{56BA8048-9080-4C1F-AA63-451C321F73CC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EC23C-D3A6-4572-B53E-EF076A7BCAA5}">
  <sheetPr codeName="Feuil47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5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COSEC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671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3aM+Y5+vqYhSQcR/NsFBcoknZBG41p7BZ4e7n1p1I4Acv3MaZ8zqVo3lr8JD8Inrh42xDpW86vlynaZrdfAV9A==" saltValue="8gryy3U45dOmiCg7w4O3/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31" priority="1" operator="equal">
      <formula>0</formula>
    </cfRule>
    <cfRule type="cellIs" dxfId="230" priority="6" operator="notEqual">
      <formula>$B$7</formula>
    </cfRule>
  </conditionalFormatting>
  <conditionalFormatting sqref="E3:N12">
    <cfRule type="cellIs" dxfId="229" priority="5" operator="notBetween">
      <formula>0</formula>
      <formula>100</formula>
    </cfRule>
  </conditionalFormatting>
  <conditionalFormatting sqref="E3:N14">
    <cfRule type="cellIs" dxfId="228" priority="8" operator="lessThan">
      <formula>0</formula>
    </cfRule>
  </conditionalFormatting>
  <conditionalFormatting sqref="E14:N14">
    <cfRule type="cellIs" dxfId="227" priority="11" operator="greaterThan">
      <formula>1</formula>
    </cfRule>
  </conditionalFormatting>
  <conditionalFormatting sqref="N3:N13">
    <cfRule type="cellIs" dxfId="226" priority="9" operator="equal">
      <formula>0</formula>
    </cfRule>
  </conditionalFormatting>
  <conditionalFormatting sqref="N13">
    <cfRule type="cellIs" dxfId="225" priority="13" operator="equal">
      <formula>$B$7</formula>
    </cfRule>
  </conditionalFormatting>
  <conditionalFormatting sqref="N14">
    <cfRule type="cellIs" dxfId="224" priority="10" operator="equal">
      <formula>1</formula>
    </cfRule>
    <cfRule type="cellIs" dxfId="223" priority="12" operator="lessThan">
      <formula>1</formula>
    </cfRule>
  </conditionalFormatting>
  <conditionalFormatting sqref="R4:R15">
    <cfRule type="cellIs" dxfId="2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21" priority="3">
      <formula>AND(E50&lt;MAX(E$50:E50), NOT(ISBLANK(E50)), NOT(E50=0))</formula>
    </cfRule>
  </conditionalFormatting>
  <conditionalFormatting sqref="E68:M72">
    <cfRule type="expression" dxfId="220" priority="2">
      <formula>AND(E68&lt;MAX(E$68:E68), NOT(ISBLANK(E68)), NOT(E68=0))</formula>
    </cfRule>
  </conditionalFormatting>
  <conditionalFormatting sqref="E78:M80">
    <cfRule type="expression" dxfId="219" priority="14">
      <formula>AND(E78&lt;MAX(E$78:E78), NOT(ISBLANK(E78)), NOT(E78=0))</formula>
    </cfRule>
  </conditionalFormatting>
  <conditionalFormatting sqref="N3:N12">
    <cfRule type="expression" dxfId="218" priority="15">
      <formula>AND($D3=$E$24, N3=$D$25)</formula>
    </cfRule>
    <cfRule type="expression" dxfId="217" priority="16">
      <formula>AND($D3=$E$24, MOD(N3,100)&gt;$D$25)</formula>
    </cfRule>
    <cfRule type="cellIs" dxfId="216" priority="17" operator="equal">
      <formula>100</formula>
    </cfRule>
  </conditionalFormatting>
  <conditionalFormatting sqref="E3:M12">
    <cfRule type="expression" dxfId="215" priority="18">
      <formula>($D3&lt;=$E$24)</formula>
    </cfRule>
  </conditionalFormatting>
  <conditionalFormatting sqref="D3:M12">
    <cfRule type="expression" dxfId="214" priority="19">
      <formula>($D3&gt;$E$24)</formula>
    </cfRule>
  </conditionalFormatting>
  <conditionalFormatting sqref="N50 N68:N72 N78:N80 N52:N59">
    <cfRule type="cellIs" dxfId="213" priority="20" operator="lessThan">
      <formula>0</formula>
    </cfRule>
    <cfRule type="cellIs" dxfId="212" priority="21" operator="equal">
      <formula>0</formula>
    </cfRule>
    <cfRule type="expression" dxfId="211" priority="22">
      <formula>OR(MOD($N50,100)=0,AND($D50=$E$24,MOD($N50,100)=$D$25))</formula>
    </cfRule>
  </conditionalFormatting>
  <conditionalFormatting sqref="N51">
    <cfRule type="cellIs" dxfId="210" priority="23" operator="notBetween">
      <formula>0</formula>
      <formula>$B$7</formula>
    </cfRule>
    <cfRule type="cellIs" dxfId="209" priority="24" operator="equal">
      <formula>0</formula>
    </cfRule>
    <cfRule type="expression" dxfId="208" priority="25">
      <formula>OR(MOD($N51,100)=0,AND($D51=$E$24,MOD($N51,100)=$D$25))</formula>
    </cfRule>
  </conditionalFormatting>
  <conditionalFormatting sqref="E50:M59 E68:M72 E78:M80">
    <cfRule type="cellIs" dxfId="207" priority="26" operator="notBetween">
      <formula>0</formula>
      <formula>$B$7</formula>
    </cfRule>
    <cfRule type="expression" dxfId="206" priority="27">
      <formula>($D50&lt;=$E$24)</formula>
    </cfRule>
    <cfRule type="expression" dxfId="205" priority="28">
      <formula>($D50&gt;$E$24)</formula>
    </cfRule>
  </conditionalFormatting>
  <conditionalFormatting sqref="Q4:Q15">
    <cfRule type="expression" dxfId="204" priority="29">
      <formula>AND($Q4&lt;$Q3, NOT(ISBLANK($Q4)))</formula>
    </cfRule>
    <cfRule type="cellIs" dxfId="203" priority="30" operator="greaterThan">
      <formula>$B$6</formula>
    </cfRule>
  </conditionalFormatting>
  <dataValidations count="2">
    <dataValidation type="list" allowBlank="1" showInputMessage="1" showErrorMessage="1" sqref="C50:C59" xr:uid="{813949BC-9AC7-41CF-B954-20F5BBEF6DA8}">
      <formula1>$D$19:$D$21</formula1>
    </dataValidation>
    <dataValidation type="list" allowBlank="1" showInputMessage="1" showErrorMessage="1" sqref="D68:D72 D78:D82 D50:D59" xr:uid="{C9A2535B-4ADC-4C53-8B91-B8C95232B4C8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AEB13-BAB6-4AA0-8E06-2D371C8987EF}">
  <sheetPr codeName="Feuil48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6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COSEC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687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687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ATKEb841MeZQ2dmza6FEndN/TX95vn5MHv9TQfxTv6E3KChh29nmT8wvKeckcJBRUBa1Onq/cnv21X88Kd7EeQ==" saltValue="gD68IERDD08KEzMe21T3e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02" priority="1" operator="equal">
      <formula>0</formula>
    </cfRule>
    <cfRule type="cellIs" dxfId="201" priority="6" operator="notEqual">
      <formula>$B$7</formula>
    </cfRule>
  </conditionalFormatting>
  <conditionalFormatting sqref="E3:N12">
    <cfRule type="cellIs" dxfId="200" priority="5" operator="notBetween">
      <formula>0</formula>
      <formula>100</formula>
    </cfRule>
  </conditionalFormatting>
  <conditionalFormatting sqref="E3:N14">
    <cfRule type="cellIs" dxfId="199" priority="8" operator="lessThan">
      <formula>0</formula>
    </cfRule>
  </conditionalFormatting>
  <conditionalFormatting sqref="E14:N14">
    <cfRule type="cellIs" dxfId="198" priority="11" operator="greaterThan">
      <formula>1</formula>
    </cfRule>
  </conditionalFormatting>
  <conditionalFormatting sqref="N3:N13">
    <cfRule type="cellIs" dxfId="197" priority="9" operator="equal">
      <formula>0</formula>
    </cfRule>
  </conditionalFormatting>
  <conditionalFormatting sqref="N13">
    <cfRule type="cellIs" dxfId="196" priority="13" operator="equal">
      <formula>$B$7</formula>
    </cfRule>
  </conditionalFormatting>
  <conditionalFormatting sqref="N14">
    <cfRule type="cellIs" dxfId="195" priority="10" operator="equal">
      <formula>1</formula>
    </cfRule>
    <cfRule type="cellIs" dxfId="194" priority="12" operator="lessThan">
      <formula>1</formula>
    </cfRule>
  </conditionalFormatting>
  <conditionalFormatting sqref="R4:R15">
    <cfRule type="cellIs" dxfId="19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92" priority="3">
      <formula>AND(E50&lt;MAX(E$50:E50), NOT(ISBLANK(E50)), NOT(E50=0))</formula>
    </cfRule>
  </conditionalFormatting>
  <conditionalFormatting sqref="E68:M72">
    <cfRule type="expression" dxfId="191" priority="2">
      <formula>AND(E68&lt;MAX(E$68:E68), NOT(ISBLANK(E68)), NOT(E68=0))</formula>
    </cfRule>
  </conditionalFormatting>
  <conditionalFormatting sqref="E78:M80">
    <cfRule type="expression" dxfId="190" priority="14">
      <formula>AND(E78&lt;MAX(E$78:E78), NOT(ISBLANK(E78)), NOT(E78=0))</formula>
    </cfRule>
  </conditionalFormatting>
  <conditionalFormatting sqref="N3:N12">
    <cfRule type="expression" dxfId="189" priority="15">
      <formula>AND($D3=$E$24, N3=$D$25)</formula>
    </cfRule>
    <cfRule type="expression" dxfId="188" priority="16">
      <formula>AND($D3=$E$24, MOD(N3,100)&gt;$D$25)</formula>
    </cfRule>
    <cfRule type="cellIs" dxfId="187" priority="17" operator="equal">
      <formula>100</formula>
    </cfRule>
  </conditionalFormatting>
  <conditionalFormatting sqref="E3:M12">
    <cfRule type="expression" dxfId="186" priority="18">
      <formula>($D3&lt;=$E$24)</formula>
    </cfRule>
  </conditionalFormatting>
  <conditionalFormatting sqref="D3:M12">
    <cfRule type="expression" dxfId="185" priority="19">
      <formula>($D3&gt;$E$24)</formula>
    </cfRule>
  </conditionalFormatting>
  <conditionalFormatting sqref="N50 N68:N72 N78:N80 N52:N59">
    <cfRule type="cellIs" dxfId="184" priority="20" operator="lessThan">
      <formula>0</formula>
    </cfRule>
    <cfRule type="cellIs" dxfId="183" priority="21" operator="equal">
      <formula>0</formula>
    </cfRule>
    <cfRule type="expression" dxfId="182" priority="22">
      <formula>OR(MOD($N50,100)=0,AND($D50=$E$24,MOD($N50,100)=$D$25))</formula>
    </cfRule>
  </conditionalFormatting>
  <conditionalFormatting sqref="N51">
    <cfRule type="cellIs" dxfId="181" priority="23" operator="notBetween">
      <formula>0</formula>
      <formula>$B$7</formula>
    </cfRule>
    <cfRule type="cellIs" dxfId="180" priority="24" operator="equal">
      <formula>0</formula>
    </cfRule>
    <cfRule type="expression" dxfId="179" priority="25">
      <formula>OR(MOD($N51,100)=0,AND($D51=$E$24,MOD($N51,100)=$D$25))</formula>
    </cfRule>
  </conditionalFormatting>
  <conditionalFormatting sqref="E50:M59 E68:M72 E78:M80">
    <cfRule type="cellIs" dxfId="178" priority="26" operator="notBetween">
      <formula>0</formula>
      <formula>$B$7</formula>
    </cfRule>
    <cfRule type="expression" dxfId="177" priority="27">
      <formula>($D50&lt;=$E$24)</formula>
    </cfRule>
    <cfRule type="expression" dxfId="176" priority="28">
      <formula>($D50&gt;$E$24)</formula>
    </cfRule>
  </conditionalFormatting>
  <conditionalFormatting sqref="Q4:Q15">
    <cfRule type="expression" dxfId="175" priority="29">
      <formula>AND($Q4&lt;$Q3, NOT(ISBLANK($Q4)))</formula>
    </cfRule>
    <cfRule type="cellIs" dxfId="174" priority="30" operator="greaterThan">
      <formula>$B$6</formula>
    </cfRule>
  </conditionalFormatting>
  <dataValidations count="2">
    <dataValidation type="list" allowBlank="1" showInputMessage="1" showErrorMessage="1" sqref="C50:C59" xr:uid="{59CCB241-8D49-490C-8DD1-5A2939BEF677}">
      <formula1>$D$19:$D$21</formula1>
    </dataValidation>
    <dataValidation type="list" allowBlank="1" showInputMessage="1" showErrorMessage="1" sqref="D68:D72 D78:D82 D50:D59" xr:uid="{AC398AA0-6380-4A15-9652-13CFD08193FF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C3FC-EE06-4C82-8E18-7AF0B147DFF9}">
  <sheetPr codeName="Feuil49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7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COSEC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692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692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JihWNKV8mofMBvPCeJlUdDBwNu+5DQ6Gd8lUzAJVfPGPrYT73pc5TCwH5SY2xXNA8qCLpb/ybYRHX+cp0jURig==" saltValue="qedb2or9aO4eAQTp0IBu4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73" priority="1" operator="equal">
      <formula>0</formula>
    </cfRule>
    <cfRule type="cellIs" dxfId="172" priority="6" operator="notEqual">
      <formula>$B$7</formula>
    </cfRule>
  </conditionalFormatting>
  <conditionalFormatting sqref="E3:N12">
    <cfRule type="cellIs" dxfId="171" priority="5" operator="notBetween">
      <formula>0</formula>
      <formula>100</formula>
    </cfRule>
  </conditionalFormatting>
  <conditionalFormatting sqref="E3:N14">
    <cfRule type="cellIs" dxfId="170" priority="8" operator="lessThan">
      <formula>0</formula>
    </cfRule>
  </conditionalFormatting>
  <conditionalFormatting sqref="E14:N14">
    <cfRule type="cellIs" dxfId="169" priority="11" operator="greaterThan">
      <formula>1</formula>
    </cfRule>
  </conditionalFormatting>
  <conditionalFormatting sqref="N3:N13">
    <cfRule type="cellIs" dxfId="168" priority="9" operator="equal">
      <formula>0</formula>
    </cfRule>
  </conditionalFormatting>
  <conditionalFormatting sqref="N13">
    <cfRule type="cellIs" dxfId="167" priority="13" operator="equal">
      <formula>$B$7</formula>
    </cfRule>
  </conditionalFormatting>
  <conditionalFormatting sqref="N14">
    <cfRule type="cellIs" dxfId="166" priority="10" operator="equal">
      <formula>1</formula>
    </cfRule>
    <cfRule type="cellIs" dxfId="165" priority="12" operator="lessThan">
      <formula>1</formula>
    </cfRule>
  </conditionalFormatting>
  <conditionalFormatting sqref="R4:R15">
    <cfRule type="cellIs" dxfId="16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63" priority="3">
      <formula>AND(E50&lt;MAX(E$50:E50), NOT(ISBLANK(E50)), NOT(E50=0))</formula>
    </cfRule>
  </conditionalFormatting>
  <conditionalFormatting sqref="E68:M72">
    <cfRule type="expression" dxfId="162" priority="2">
      <formula>AND(E68&lt;MAX(E$68:E68), NOT(ISBLANK(E68)), NOT(E68=0))</formula>
    </cfRule>
  </conditionalFormatting>
  <conditionalFormatting sqref="E78:M80">
    <cfRule type="expression" dxfId="161" priority="14">
      <formula>AND(E78&lt;MAX(E$78:E78), NOT(ISBLANK(E78)), NOT(E78=0))</formula>
    </cfRule>
  </conditionalFormatting>
  <conditionalFormatting sqref="N3:N12">
    <cfRule type="expression" dxfId="160" priority="15">
      <formula>AND($D3=$E$24, N3=$D$25)</formula>
    </cfRule>
    <cfRule type="expression" dxfId="159" priority="16">
      <formula>AND($D3=$E$24, MOD(N3,100)&gt;$D$25)</formula>
    </cfRule>
    <cfRule type="cellIs" dxfId="158" priority="17" operator="equal">
      <formula>100</formula>
    </cfRule>
  </conditionalFormatting>
  <conditionalFormatting sqref="E3:M12">
    <cfRule type="expression" dxfId="157" priority="18">
      <formula>($D3&lt;=$E$24)</formula>
    </cfRule>
  </conditionalFormatting>
  <conditionalFormatting sqref="D3:M12">
    <cfRule type="expression" dxfId="156" priority="19">
      <formula>($D3&gt;$E$24)</formula>
    </cfRule>
  </conditionalFormatting>
  <conditionalFormatting sqref="N50 N68:N72 N78:N80 N52:N59">
    <cfRule type="cellIs" dxfId="155" priority="20" operator="lessThan">
      <formula>0</formula>
    </cfRule>
    <cfRule type="cellIs" dxfId="154" priority="21" operator="equal">
      <formula>0</formula>
    </cfRule>
    <cfRule type="expression" dxfId="153" priority="22">
      <formula>OR(MOD($N50,100)=0,AND($D50=$E$24,MOD($N50,100)=$D$25))</formula>
    </cfRule>
  </conditionalFormatting>
  <conditionalFormatting sqref="N51">
    <cfRule type="cellIs" dxfId="152" priority="23" operator="notBetween">
      <formula>0</formula>
      <formula>$B$7</formula>
    </cfRule>
    <cfRule type="cellIs" dxfId="151" priority="24" operator="equal">
      <formula>0</formula>
    </cfRule>
    <cfRule type="expression" dxfId="150" priority="25">
      <formula>OR(MOD($N51,100)=0,AND($D51=$E$24,MOD($N51,100)=$D$25))</formula>
    </cfRule>
  </conditionalFormatting>
  <conditionalFormatting sqref="E50:M59 E68:M72 E78:M80">
    <cfRule type="cellIs" dxfId="149" priority="26" operator="notBetween">
      <formula>0</formula>
      <formula>$B$7</formula>
    </cfRule>
    <cfRule type="expression" dxfId="148" priority="27">
      <formula>($D50&lt;=$E$24)</formula>
    </cfRule>
    <cfRule type="expression" dxfId="147" priority="28">
      <formula>($D50&gt;$E$24)</formula>
    </cfRule>
  </conditionalFormatting>
  <conditionalFormatting sqref="Q4:Q15">
    <cfRule type="expression" dxfId="146" priority="29">
      <formula>AND($Q4&lt;$Q3, NOT(ISBLANK($Q4)))</formula>
    </cfRule>
    <cfRule type="cellIs" dxfId="145" priority="30" operator="greaterThan">
      <formula>$B$6</formula>
    </cfRule>
  </conditionalFormatting>
  <dataValidations count="2">
    <dataValidation type="list" allowBlank="1" showInputMessage="1" showErrorMessage="1" sqref="C50:C59" xr:uid="{1384CCCC-D555-4E9F-80CA-734E23FE5B5D}">
      <formula1>$D$19:$D$21</formula1>
    </dataValidation>
    <dataValidation type="list" allowBlank="1" showInputMessage="1" showErrorMessage="1" sqref="D68:D72 D78:D82 D50:D59" xr:uid="{EEB61DDA-DD3B-4D7A-967F-80B39D2993DF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552A3-F696-4CD0-A9BD-C007538583CC}">
  <sheetPr codeName="Feuil50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8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COSEC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620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620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boiZjyTXhe5sgoMDv/h5oZmGfc6QTU7Gc+Gq7W6d6LWPHnELuiTeiybeLB6fqeya9GtKsOSbIrKdCE25BdIvUg==" saltValue="IBcXDAwxLFolTMdaJJ/Gv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44" priority="1" operator="equal">
      <formula>0</formula>
    </cfRule>
    <cfRule type="cellIs" dxfId="143" priority="6" operator="notEqual">
      <formula>$B$7</formula>
    </cfRule>
  </conditionalFormatting>
  <conditionalFormatting sqref="E3:N12">
    <cfRule type="cellIs" dxfId="142" priority="5" operator="notBetween">
      <formula>0</formula>
      <formula>100</formula>
    </cfRule>
  </conditionalFormatting>
  <conditionalFormatting sqref="E3:N14">
    <cfRule type="cellIs" dxfId="141" priority="8" operator="lessThan">
      <formula>0</formula>
    </cfRule>
  </conditionalFormatting>
  <conditionalFormatting sqref="E14:N14">
    <cfRule type="cellIs" dxfId="140" priority="11" operator="greaterThan">
      <formula>1</formula>
    </cfRule>
  </conditionalFormatting>
  <conditionalFormatting sqref="N3:N13">
    <cfRule type="cellIs" dxfId="139" priority="9" operator="equal">
      <formula>0</formula>
    </cfRule>
  </conditionalFormatting>
  <conditionalFormatting sqref="N13">
    <cfRule type="cellIs" dxfId="138" priority="13" operator="equal">
      <formula>$B$7</formula>
    </cfRule>
  </conditionalFormatting>
  <conditionalFormatting sqref="N14">
    <cfRule type="cellIs" dxfId="137" priority="10" operator="equal">
      <formula>1</formula>
    </cfRule>
    <cfRule type="cellIs" dxfId="136" priority="12" operator="lessThan">
      <formula>1</formula>
    </cfRule>
  </conditionalFormatting>
  <conditionalFormatting sqref="R4:R15">
    <cfRule type="cellIs" dxfId="13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34" priority="3">
      <formula>AND(E50&lt;MAX(E$50:E50), NOT(ISBLANK(E50)), NOT(E50=0))</formula>
    </cfRule>
  </conditionalFormatting>
  <conditionalFormatting sqref="E68:M72">
    <cfRule type="expression" dxfId="133" priority="2">
      <formula>AND(E68&lt;MAX(E$68:E68), NOT(ISBLANK(E68)), NOT(E68=0))</formula>
    </cfRule>
  </conditionalFormatting>
  <conditionalFormatting sqref="E78:M80">
    <cfRule type="expression" dxfId="132" priority="14">
      <formula>AND(E78&lt;MAX(E$78:E78), NOT(ISBLANK(E78)), NOT(E78=0))</formula>
    </cfRule>
  </conditionalFormatting>
  <conditionalFormatting sqref="N3:N12">
    <cfRule type="expression" dxfId="131" priority="15">
      <formula>AND($D3=$E$24, N3=$D$25)</formula>
    </cfRule>
    <cfRule type="expression" dxfId="130" priority="16">
      <formula>AND($D3=$E$24, MOD(N3,100)&gt;$D$25)</formula>
    </cfRule>
    <cfRule type="cellIs" dxfId="129" priority="17" operator="equal">
      <formula>100</formula>
    </cfRule>
  </conditionalFormatting>
  <conditionalFormatting sqref="E3:M12">
    <cfRule type="expression" dxfId="128" priority="18">
      <formula>($D3&lt;=$E$24)</formula>
    </cfRule>
  </conditionalFormatting>
  <conditionalFormatting sqref="D3:M12">
    <cfRule type="expression" dxfId="127" priority="19">
      <formula>($D3&gt;$E$24)</formula>
    </cfRule>
  </conditionalFormatting>
  <conditionalFormatting sqref="N50 N68:N72 N78:N80 N52:N59">
    <cfRule type="cellIs" dxfId="126" priority="20" operator="lessThan">
      <formula>0</formula>
    </cfRule>
    <cfRule type="cellIs" dxfId="125" priority="21" operator="equal">
      <formula>0</formula>
    </cfRule>
    <cfRule type="expression" dxfId="124" priority="22">
      <formula>OR(MOD($N50,100)=0,AND($D50=$E$24,MOD($N50,100)=$D$25))</formula>
    </cfRule>
  </conditionalFormatting>
  <conditionalFormatting sqref="N51">
    <cfRule type="cellIs" dxfId="123" priority="23" operator="notBetween">
      <formula>0</formula>
      <formula>$B$7</formula>
    </cfRule>
    <cfRule type="cellIs" dxfId="122" priority="24" operator="equal">
      <formula>0</formula>
    </cfRule>
    <cfRule type="expression" dxfId="121" priority="25">
      <formula>OR(MOD($N51,100)=0,AND($D51=$E$24,MOD($N51,100)=$D$25))</formula>
    </cfRule>
  </conditionalFormatting>
  <conditionalFormatting sqref="E50:M59 E68:M72 E78:M80">
    <cfRule type="cellIs" dxfId="120" priority="26" operator="notBetween">
      <formula>0</formula>
      <formula>$B$7</formula>
    </cfRule>
    <cfRule type="expression" dxfId="119" priority="27">
      <formula>($D50&lt;=$E$24)</formula>
    </cfRule>
    <cfRule type="expression" dxfId="118" priority="28">
      <formula>($D50&gt;$E$24)</formula>
    </cfRule>
  </conditionalFormatting>
  <conditionalFormatting sqref="Q4:Q15">
    <cfRule type="expression" dxfId="117" priority="29">
      <formula>AND($Q4&lt;$Q3, NOT(ISBLANK($Q4)))</formula>
    </cfRule>
    <cfRule type="cellIs" dxfId="116" priority="30" operator="greaterThan">
      <formula>$B$6</formula>
    </cfRule>
  </conditionalFormatting>
  <dataValidations count="2">
    <dataValidation type="list" allowBlank="1" showInputMessage="1" showErrorMessage="1" sqref="C50:C59" xr:uid="{B891EA42-6420-4979-B59C-9634EEF1A6E6}">
      <formula1>$D$19:$D$21</formula1>
    </dataValidation>
    <dataValidation type="list" allowBlank="1" showInputMessage="1" showErrorMessage="1" sqref="D68:D72 D78:D82 D50:D59" xr:uid="{C4CBC1C6-86F1-4354-89B2-E37528461568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23B5D-9C62-49E5-9321-5E4A8D9E19B9}">
  <sheetPr codeName="Feuil51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9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CMM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671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idFMesaYlXPkS2wrhA0fYrjNfN1oD/iHRhKcXCJnRVUX0mKNWeZaSe6q/gaMIcMKHiDKKEBnXr/BC9Hfz5q60Q==" saltValue="JcGi355cygfhT4dQmWCOX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15" priority="1" operator="equal">
      <formula>0</formula>
    </cfRule>
    <cfRule type="cellIs" dxfId="114" priority="6" operator="notEqual">
      <formula>$B$7</formula>
    </cfRule>
  </conditionalFormatting>
  <conditionalFormatting sqref="E3:N12">
    <cfRule type="cellIs" dxfId="113" priority="5" operator="notBetween">
      <formula>0</formula>
      <formula>100</formula>
    </cfRule>
  </conditionalFormatting>
  <conditionalFormatting sqref="E3:N14">
    <cfRule type="cellIs" dxfId="112" priority="8" operator="lessThan">
      <formula>0</formula>
    </cfRule>
  </conditionalFormatting>
  <conditionalFormatting sqref="E14:N14">
    <cfRule type="cellIs" dxfId="111" priority="11" operator="greaterThan">
      <formula>1</formula>
    </cfRule>
  </conditionalFormatting>
  <conditionalFormatting sqref="N3:N13">
    <cfRule type="cellIs" dxfId="110" priority="9" operator="equal">
      <formula>0</formula>
    </cfRule>
  </conditionalFormatting>
  <conditionalFormatting sqref="N13">
    <cfRule type="cellIs" dxfId="109" priority="13" operator="equal">
      <formula>$B$7</formula>
    </cfRule>
  </conditionalFormatting>
  <conditionalFormatting sqref="N14">
    <cfRule type="cellIs" dxfId="108" priority="10" operator="equal">
      <formula>1</formula>
    </cfRule>
    <cfRule type="cellIs" dxfId="107" priority="12" operator="lessThan">
      <formula>1</formula>
    </cfRule>
  </conditionalFormatting>
  <conditionalFormatting sqref="R4:R15">
    <cfRule type="cellIs" dxfId="10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05" priority="3">
      <formula>AND(E50&lt;MAX(E$50:E50), NOT(ISBLANK(E50)), NOT(E50=0))</formula>
    </cfRule>
  </conditionalFormatting>
  <conditionalFormatting sqref="E68:M72">
    <cfRule type="expression" dxfId="104" priority="2">
      <formula>AND(E68&lt;MAX(E$68:E68), NOT(ISBLANK(E68)), NOT(E68=0))</formula>
    </cfRule>
  </conditionalFormatting>
  <conditionalFormatting sqref="E78:M80">
    <cfRule type="expression" dxfId="103" priority="14">
      <formula>AND(E78&lt;MAX(E$78:E78), NOT(ISBLANK(E78)), NOT(E78=0))</formula>
    </cfRule>
  </conditionalFormatting>
  <conditionalFormatting sqref="N3:N12">
    <cfRule type="expression" dxfId="102" priority="15">
      <formula>AND($D3=$E$24, N3=$D$25)</formula>
    </cfRule>
    <cfRule type="expression" dxfId="101" priority="16">
      <formula>AND($D3=$E$24, MOD(N3,100)&gt;$D$25)</formula>
    </cfRule>
    <cfRule type="cellIs" dxfId="100" priority="17" operator="equal">
      <formula>100</formula>
    </cfRule>
  </conditionalFormatting>
  <conditionalFormatting sqref="E3:M12">
    <cfRule type="expression" dxfId="99" priority="18">
      <formula>($D3&lt;=$E$24)</formula>
    </cfRule>
  </conditionalFormatting>
  <conditionalFormatting sqref="D3:M12">
    <cfRule type="expression" dxfId="98" priority="19">
      <formula>($D3&gt;$E$24)</formula>
    </cfRule>
  </conditionalFormatting>
  <conditionalFormatting sqref="N50 N68:N72 N78:N80 N52:N59">
    <cfRule type="cellIs" dxfId="97" priority="20" operator="lessThan">
      <formula>0</formula>
    </cfRule>
    <cfRule type="cellIs" dxfId="96" priority="21" operator="equal">
      <formula>0</formula>
    </cfRule>
    <cfRule type="expression" dxfId="95" priority="22">
      <formula>OR(MOD($N50,100)=0,AND($D50=$E$24,MOD($N50,100)=$D$25))</formula>
    </cfRule>
  </conditionalFormatting>
  <conditionalFormatting sqref="N51">
    <cfRule type="cellIs" dxfId="94" priority="23" operator="notBetween">
      <formula>0</formula>
      <formula>$B$7</formula>
    </cfRule>
    <cfRule type="cellIs" dxfId="93" priority="24" operator="equal">
      <formula>0</formula>
    </cfRule>
    <cfRule type="expression" dxfId="92" priority="25">
      <formula>OR(MOD($N51,100)=0,AND($D51=$E$24,MOD($N51,100)=$D$25))</formula>
    </cfRule>
  </conditionalFormatting>
  <conditionalFormatting sqref="E50:M59 E68:M72 E78:M80">
    <cfRule type="cellIs" dxfId="91" priority="26" operator="notBetween">
      <formula>0</formula>
      <formula>$B$7</formula>
    </cfRule>
    <cfRule type="expression" dxfId="90" priority="27">
      <formula>($D50&lt;=$E$24)</formula>
    </cfRule>
    <cfRule type="expression" dxfId="89" priority="28">
      <formula>($D50&gt;$E$24)</formula>
    </cfRule>
  </conditionalFormatting>
  <conditionalFormatting sqref="Q4:Q15">
    <cfRule type="expression" dxfId="88" priority="29">
      <formula>AND($Q4&lt;$Q3, NOT(ISBLANK($Q4)))</formula>
    </cfRule>
    <cfRule type="cellIs" dxfId="87" priority="30" operator="greaterThan">
      <formula>$B$6</formula>
    </cfRule>
  </conditionalFormatting>
  <dataValidations count="2">
    <dataValidation type="list" allowBlank="1" showInputMessage="1" showErrorMessage="1" sqref="C50:C59" xr:uid="{9042DAD6-F890-43E3-B1E5-92C65E0B5224}">
      <formula1>$D$19:$D$21</formula1>
    </dataValidation>
    <dataValidation type="list" allowBlank="1" showInputMessage="1" showErrorMessage="1" sqref="D68:D72 D78:D82 D50:D59" xr:uid="{70D7436D-10F2-4457-9E8B-5B6E5B6BDFCD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E60B-4784-47E9-ABEE-7B632E2BD55C}">
  <sheetPr codeName="Feuil52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10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CMM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581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581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6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2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NY9syZk1KF1NUY2DTCs6JlR0lIua0doD3G6ZU+GkeSYDbGMYOR+kW9EQrYmNC/bAO8B5nx4L0OrmA5ULCZjMtg==" saltValue="Oz710wLfHom/ZnAqk163b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86" priority="1" operator="equal">
      <formula>0</formula>
    </cfRule>
    <cfRule type="cellIs" dxfId="85" priority="6" operator="notEqual">
      <formula>$B$7</formula>
    </cfRule>
  </conditionalFormatting>
  <conditionalFormatting sqref="E3:N12">
    <cfRule type="cellIs" dxfId="84" priority="5" operator="notBetween">
      <formula>0</formula>
      <formula>100</formula>
    </cfRule>
  </conditionalFormatting>
  <conditionalFormatting sqref="E3:N14">
    <cfRule type="cellIs" dxfId="83" priority="8" operator="lessThan">
      <formula>0</formula>
    </cfRule>
  </conditionalFormatting>
  <conditionalFormatting sqref="E14:N14">
    <cfRule type="cellIs" dxfId="82" priority="11" operator="greaterThan">
      <formula>1</formula>
    </cfRule>
  </conditionalFormatting>
  <conditionalFormatting sqref="N3:N13">
    <cfRule type="cellIs" dxfId="81" priority="9" operator="equal">
      <formula>0</formula>
    </cfRule>
  </conditionalFormatting>
  <conditionalFormatting sqref="N13">
    <cfRule type="cellIs" dxfId="80" priority="13" operator="equal">
      <formula>$B$7</formula>
    </cfRule>
  </conditionalFormatting>
  <conditionalFormatting sqref="N14">
    <cfRule type="cellIs" dxfId="79" priority="10" operator="equal">
      <formula>1</formula>
    </cfRule>
    <cfRule type="cellIs" dxfId="78" priority="12" operator="lessThan">
      <formula>1</formula>
    </cfRule>
  </conditionalFormatting>
  <conditionalFormatting sqref="R4:R15">
    <cfRule type="cellIs" dxfId="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76" priority="3">
      <formula>AND(E50&lt;MAX(E$50:E50), NOT(ISBLANK(E50)), NOT(E50=0))</formula>
    </cfRule>
  </conditionalFormatting>
  <conditionalFormatting sqref="E68:M72">
    <cfRule type="expression" dxfId="75" priority="2">
      <formula>AND(E68&lt;MAX(E$68:E68), NOT(ISBLANK(E68)), NOT(E68=0))</formula>
    </cfRule>
  </conditionalFormatting>
  <conditionalFormatting sqref="E78:M80">
    <cfRule type="expression" dxfId="74" priority="14">
      <formula>AND(E78&lt;MAX(E$78:E78), NOT(ISBLANK(E78)), NOT(E78=0))</formula>
    </cfRule>
  </conditionalFormatting>
  <conditionalFormatting sqref="N3:N12">
    <cfRule type="expression" dxfId="73" priority="15">
      <formula>AND($D3=$E$24, N3=$D$25)</formula>
    </cfRule>
    <cfRule type="expression" dxfId="72" priority="16">
      <formula>AND($D3=$E$24, MOD(N3,100)&gt;$D$25)</formula>
    </cfRule>
    <cfRule type="cellIs" dxfId="71" priority="17" operator="equal">
      <formula>100</formula>
    </cfRule>
  </conditionalFormatting>
  <conditionalFormatting sqref="E3:M12">
    <cfRule type="expression" dxfId="70" priority="18">
      <formula>($D3&lt;=$E$24)</formula>
    </cfRule>
  </conditionalFormatting>
  <conditionalFormatting sqref="D3:M12">
    <cfRule type="expression" dxfId="69" priority="19">
      <formula>($D3&gt;$E$24)</formula>
    </cfRule>
  </conditionalFormatting>
  <conditionalFormatting sqref="N50 N68:N72 N78:N80 N52:N59">
    <cfRule type="cellIs" dxfId="68" priority="20" operator="lessThan">
      <formula>0</formula>
    </cfRule>
    <cfRule type="cellIs" dxfId="67" priority="21" operator="equal">
      <formula>0</formula>
    </cfRule>
    <cfRule type="expression" dxfId="66" priority="22">
      <formula>OR(MOD($N50,100)=0,AND($D50=$E$24,MOD($N50,100)=$D$25))</formula>
    </cfRule>
  </conditionalFormatting>
  <conditionalFormatting sqref="N51">
    <cfRule type="cellIs" dxfId="65" priority="23" operator="notBetween">
      <formula>0</formula>
      <formula>$B$7</formula>
    </cfRule>
    <cfRule type="cellIs" dxfId="64" priority="24" operator="equal">
      <formula>0</formula>
    </cfRule>
    <cfRule type="expression" dxfId="63" priority="25">
      <formula>OR(MOD($N51,100)=0,AND($D51=$E$24,MOD($N51,100)=$D$25))</formula>
    </cfRule>
  </conditionalFormatting>
  <conditionalFormatting sqref="E50:M59 E68:M72 E78:M80">
    <cfRule type="cellIs" dxfId="62" priority="26" operator="notBetween">
      <formula>0</formula>
      <formula>$B$7</formula>
    </cfRule>
    <cfRule type="expression" dxfId="61" priority="27">
      <formula>($D50&lt;=$E$24)</formula>
    </cfRule>
    <cfRule type="expression" dxfId="60" priority="28">
      <formula>($D50&gt;$E$24)</formula>
    </cfRule>
  </conditionalFormatting>
  <conditionalFormatting sqref="Q4:Q15">
    <cfRule type="expression" dxfId="59" priority="29">
      <formula>AND($Q4&lt;$Q3, NOT(ISBLANK($Q4)))</formula>
    </cfRule>
    <cfRule type="cellIs" dxfId="58" priority="30" operator="greaterThan">
      <formula>$B$6</formula>
    </cfRule>
  </conditionalFormatting>
  <dataValidations count="2">
    <dataValidation type="list" allowBlank="1" showInputMessage="1" showErrorMessage="1" sqref="C50:C59" xr:uid="{5642421F-DE51-4F76-844F-98B7D4088560}">
      <formula1>$D$19:$D$21</formula1>
    </dataValidation>
    <dataValidation type="list" allowBlank="1" showInputMessage="1" showErrorMessage="1" sqref="D68:D72 D78:D82 D50:D59" xr:uid="{529B1A33-ECB9-4CF1-8C8E-91B06AD0BF23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70957-CB8D-4021-9252-5ABF1EA150FC}">
  <sheetPr codeName="Feuil53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11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CMM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649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649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OGO2Tx4K/XaQFi67JbX5YqAtOpyNVaSb3TwzJ0FUAFWa2WSFKLwMOJSqTUA+ks1rLib7hvAEzG5tuNfvnnlZRA==" saltValue="0M+3PfjnjdpdZXAd2C4K6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57" priority="1" operator="equal">
      <formula>0</formula>
    </cfRule>
    <cfRule type="cellIs" dxfId="56" priority="6" operator="notEqual">
      <formula>$B$7</formula>
    </cfRule>
  </conditionalFormatting>
  <conditionalFormatting sqref="E3:N12">
    <cfRule type="cellIs" dxfId="55" priority="5" operator="notBetween">
      <formula>0</formula>
      <formula>100</formula>
    </cfRule>
  </conditionalFormatting>
  <conditionalFormatting sqref="E3:N14">
    <cfRule type="cellIs" dxfId="54" priority="8" operator="lessThan">
      <formula>0</formula>
    </cfRule>
  </conditionalFormatting>
  <conditionalFormatting sqref="E14:N14">
    <cfRule type="cellIs" dxfId="53" priority="11" operator="greaterThan">
      <formula>1</formula>
    </cfRule>
  </conditionalFormatting>
  <conditionalFormatting sqref="N3:N13">
    <cfRule type="cellIs" dxfId="52" priority="9" operator="equal">
      <formula>0</formula>
    </cfRule>
  </conditionalFormatting>
  <conditionalFormatting sqref="N13">
    <cfRule type="cellIs" dxfId="51" priority="13" operator="equal">
      <formula>$B$7</formula>
    </cfRule>
  </conditionalFormatting>
  <conditionalFormatting sqref="N14">
    <cfRule type="cellIs" dxfId="50" priority="10" operator="equal">
      <formula>1</formula>
    </cfRule>
    <cfRule type="cellIs" dxfId="49" priority="12" operator="lessThan">
      <formula>1</formula>
    </cfRule>
  </conditionalFormatting>
  <conditionalFormatting sqref="R4:R15">
    <cfRule type="cellIs" dxfId="4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47" priority="3">
      <formula>AND(E50&lt;MAX(E$50:E50), NOT(ISBLANK(E50)), NOT(E50=0))</formula>
    </cfRule>
  </conditionalFormatting>
  <conditionalFormatting sqref="E68:M72">
    <cfRule type="expression" dxfId="46" priority="2">
      <formula>AND(E68&lt;MAX(E$68:E68), NOT(ISBLANK(E68)), NOT(E68=0))</formula>
    </cfRule>
  </conditionalFormatting>
  <conditionalFormatting sqref="E78:M80">
    <cfRule type="expression" dxfId="45" priority="14">
      <formula>AND(E78&lt;MAX(E$78:E78), NOT(ISBLANK(E78)), NOT(E78=0))</formula>
    </cfRule>
  </conditionalFormatting>
  <conditionalFormatting sqref="N3:N12">
    <cfRule type="expression" dxfId="44" priority="15">
      <formula>AND($D3=$E$24, N3=$D$25)</formula>
    </cfRule>
    <cfRule type="expression" dxfId="43" priority="16">
      <formula>AND($D3=$E$24, MOD(N3,100)&gt;$D$25)</formula>
    </cfRule>
    <cfRule type="cellIs" dxfId="42" priority="17" operator="equal">
      <formula>100</formula>
    </cfRule>
  </conditionalFormatting>
  <conditionalFormatting sqref="E3:M12">
    <cfRule type="expression" dxfId="41" priority="18">
      <formula>($D3&lt;=$E$24)</formula>
    </cfRule>
  </conditionalFormatting>
  <conditionalFormatting sqref="D3:M12">
    <cfRule type="expression" dxfId="40" priority="19">
      <formula>($D3&gt;$E$24)</formula>
    </cfRule>
  </conditionalFormatting>
  <conditionalFormatting sqref="N50 N68:N72 N78:N80 N52:N59">
    <cfRule type="cellIs" dxfId="39" priority="20" operator="lessThan">
      <formula>0</formula>
    </cfRule>
    <cfRule type="cellIs" dxfId="38" priority="21" operator="equal">
      <formula>0</formula>
    </cfRule>
    <cfRule type="expression" dxfId="37" priority="22">
      <formula>OR(MOD($N50,100)=0,AND($D50=$E$24,MOD($N50,100)=$D$25))</formula>
    </cfRule>
  </conditionalFormatting>
  <conditionalFormatting sqref="N51">
    <cfRule type="cellIs" dxfId="36" priority="23" operator="notBetween">
      <formula>0</formula>
      <formula>$B$7</formula>
    </cfRule>
    <cfRule type="cellIs" dxfId="35" priority="24" operator="equal">
      <formula>0</formula>
    </cfRule>
    <cfRule type="expression" dxfId="34" priority="25">
      <formula>OR(MOD($N51,100)=0,AND($D51=$E$24,MOD($N51,100)=$D$25))</formula>
    </cfRule>
  </conditionalFormatting>
  <conditionalFormatting sqref="E50:M59 E68:M72 E78:M80">
    <cfRule type="cellIs" dxfId="33" priority="26" operator="notBetween">
      <formula>0</formula>
      <formula>$B$7</formula>
    </cfRule>
    <cfRule type="expression" dxfId="32" priority="27">
      <formula>($D50&lt;=$E$24)</formula>
    </cfRule>
    <cfRule type="expression" dxfId="31" priority="28">
      <formula>($D50&gt;$E$24)</formula>
    </cfRule>
  </conditionalFormatting>
  <conditionalFormatting sqref="Q4:Q15">
    <cfRule type="expression" dxfId="30" priority="29">
      <formula>AND($Q4&lt;$Q3, NOT(ISBLANK($Q4)))</formula>
    </cfRule>
    <cfRule type="cellIs" dxfId="29" priority="30" operator="greaterThan">
      <formula>$B$6</formula>
    </cfRule>
  </conditionalFormatting>
  <dataValidations count="2">
    <dataValidation type="list" allowBlank="1" showInputMessage="1" showErrorMessage="1" sqref="C50:C59" xr:uid="{0913C6CE-83AA-4AFE-BD9E-77C1E87415EC}">
      <formula1>$D$19:$D$21</formula1>
    </dataValidation>
    <dataValidation type="list" allowBlank="1" showInputMessage="1" showErrorMessage="1" sqref="D68:D72 D78:D82 D50:D59" xr:uid="{14E14EDC-2B2C-46DE-8B66-D75ABD537E52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681B-7492-4807-A454-CAB82FF46BBE}">
  <sheetPr codeName="Feuil54">
    <tabColor rgb="FFB4A7D6"/>
  </sheetPr>
  <dimension ref="A1:V82"/>
  <sheetViews>
    <sheetView workbookViewId="0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2" t="s">
        <v>11</v>
      </c>
      <c r="B1" s="418">
        <f>Synthèse!$B$17</f>
        <v>46096</v>
      </c>
      <c r="D1" s="276"/>
      <c r="E1" s="594" t="s">
        <v>66</v>
      </c>
      <c r="F1" s="595"/>
      <c r="G1" s="595"/>
      <c r="H1" s="595"/>
      <c r="I1" s="595"/>
      <c r="J1" s="595"/>
      <c r="K1" s="595"/>
      <c r="L1" s="595"/>
      <c r="M1" s="596"/>
      <c r="N1" s="357" t="s">
        <v>7</v>
      </c>
      <c r="O1" s="427"/>
    </row>
    <row r="2" spans="1:22" ht="39.75" customHeight="1" thickBot="1" x14ac:dyDescent="0.25">
      <c r="A2" s="413" t="s">
        <v>12</v>
      </c>
      <c r="B2" s="419" t="str">
        <f>Synthèse!$B$18</f>
        <v>Municipales 1er tour</v>
      </c>
      <c r="D2" s="320" t="s">
        <v>81</v>
      </c>
      <c r="E2" s="367" t="str">
        <f>Synthèse!L2</f>
        <v>Candidat 1</v>
      </c>
      <c r="F2" s="361" t="str">
        <f>Synthèse!M2</f>
        <v>Candidat 2</v>
      </c>
      <c r="G2" s="360" t="str">
        <f>Synthèse!N2</f>
        <v>Candidat 3</v>
      </c>
      <c r="H2" s="380" t="str">
        <f>Synthèse!O2</f>
        <v>Candidat 4</v>
      </c>
      <c r="I2" s="369" t="str">
        <f>Synthèse!P2</f>
        <v>Candidat 5</v>
      </c>
      <c r="J2" s="368" t="str">
        <f>Synthèse!Q2</f>
        <v>Candidat 6</v>
      </c>
      <c r="K2" s="362" t="str">
        <f>Synthèse!R2</f>
        <v>Candidat 7</v>
      </c>
      <c r="L2" s="370" t="s">
        <v>3</v>
      </c>
      <c r="M2" s="371" t="s">
        <v>4</v>
      </c>
      <c r="N2" s="358" t="s">
        <v>103</v>
      </c>
      <c r="O2" s="427"/>
      <c r="P2" s="422" t="s">
        <v>21</v>
      </c>
      <c r="Q2" s="333" t="s">
        <v>57</v>
      </c>
      <c r="R2" s="334" t="s">
        <v>31</v>
      </c>
      <c r="T2" s="335" t="s">
        <v>59</v>
      </c>
      <c r="U2" s="335" t="s">
        <v>58</v>
      </c>
    </row>
    <row r="3" spans="1:22" ht="20.100000000000001" customHeight="1" thickBot="1" x14ac:dyDescent="0.25">
      <c r="A3" s="414" t="s">
        <v>13</v>
      </c>
      <c r="B3" s="420" t="str">
        <f>Synthèse!$B$19</f>
        <v>Cogolin</v>
      </c>
      <c r="D3" s="317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4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7">
        <f t="shared" ref="N3:N12" si="0">SUM(E3:M3)</f>
        <v>0</v>
      </c>
      <c r="O3" s="427"/>
      <c r="P3" s="423" t="s">
        <v>32</v>
      </c>
      <c r="Q3" s="309">
        <v>0</v>
      </c>
      <c r="R3" s="310">
        <f t="shared" ref="R3" si="1">Q3/$B$6</f>
        <v>0</v>
      </c>
      <c r="T3" s="289"/>
      <c r="U3" s="289"/>
    </row>
    <row r="4" spans="1:22" ht="20.100000000000001" customHeight="1" x14ac:dyDescent="0.2">
      <c r="A4" s="80" t="s">
        <v>23</v>
      </c>
      <c r="B4" s="430">
        <v>12</v>
      </c>
      <c r="D4" s="318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7">
        <f t="shared" si="0"/>
        <v>0</v>
      </c>
      <c r="O4" s="427"/>
      <c r="P4" s="424" t="s">
        <v>33</v>
      </c>
      <c r="Q4" s="374"/>
      <c r="R4" s="313" t="e">
        <f t="shared" ref="R4:R13" si="2">IF(OR(Q4=0, Q4=""), NA(), Q4/$B$6)</f>
        <v>#N/A</v>
      </c>
      <c r="T4" s="284" t="s">
        <v>45</v>
      </c>
      <c r="U4" s="336" t="e">
        <f t="shared" ref="U4:U13" si="3">IF(Q4&lt;&gt;0,Q4-Q3,NA())</f>
        <v>#N/A</v>
      </c>
    </row>
    <row r="5" spans="1:22" ht="20.100000000000001" customHeight="1" x14ac:dyDescent="0.2">
      <c r="A5" s="81" t="s">
        <v>24</v>
      </c>
      <c r="B5" s="431" t="str">
        <f>INDEX(Synthèse!B:B,B4+2)</f>
        <v>Base nautique</v>
      </c>
      <c r="D5" s="318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7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7">
        <f t="shared" si="0"/>
        <v>0</v>
      </c>
      <c r="O5" s="428"/>
      <c r="P5" s="424" t="s">
        <v>34</v>
      </c>
      <c r="Q5" s="374"/>
      <c r="R5" s="313" t="e">
        <f t="shared" si="2"/>
        <v>#N/A</v>
      </c>
      <c r="T5" s="285" t="s">
        <v>46</v>
      </c>
      <c r="U5" s="337" t="e">
        <f t="shared" si="3"/>
        <v>#N/A</v>
      </c>
    </row>
    <row r="6" spans="1:22" ht="20.100000000000001" customHeight="1" x14ac:dyDescent="0.2">
      <c r="A6" s="81" t="s">
        <v>0</v>
      </c>
      <c r="B6" s="161">
        <f>INDEX(Synthèse!C:C,B4+2)</f>
        <v>645</v>
      </c>
      <c r="D6" s="318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7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7">
        <f t="shared" si="0"/>
        <v>0</v>
      </c>
      <c r="O6" s="428"/>
      <c r="P6" s="424" t="s">
        <v>35</v>
      </c>
      <c r="Q6" s="374"/>
      <c r="R6" s="313" t="e">
        <f t="shared" si="2"/>
        <v>#N/A</v>
      </c>
      <c r="T6" s="285" t="s">
        <v>47</v>
      </c>
      <c r="U6" s="337" t="e">
        <f t="shared" si="3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8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7">
        <f t="shared" si="0"/>
        <v>0</v>
      </c>
      <c r="O7" s="428"/>
      <c r="P7" s="424" t="s">
        <v>36</v>
      </c>
      <c r="Q7" s="374"/>
      <c r="R7" s="313" t="e">
        <f t="shared" si="2"/>
        <v>#N/A</v>
      </c>
      <c r="T7" s="285" t="s">
        <v>54</v>
      </c>
      <c r="U7" s="337" t="e">
        <f t="shared" si="3"/>
        <v>#N/A</v>
      </c>
    </row>
    <row r="8" spans="1:22" ht="20.100000000000001" customHeight="1" x14ac:dyDescent="0.2">
      <c r="A8" s="81" t="s">
        <v>1</v>
      </c>
      <c r="B8" s="139"/>
      <c r="D8" s="318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7">
        <f t="shared" si="0"/>
        <v>0</v>
      </c>
      <c r="O8" s="428"/>
      <c r="P8" s="424" t="s">
        <v>37</v>
      </c>
      <c r="Q8" s="374"/>
      <c r="R8" s="313" t="e">
        <f t="shared" si="2"/>
        <v>#N/A</v>
      </c>
      <c r="T8" s="285" t="s">
        <v>48</v>
      </c>
      <c r="U8" s="337" t="e">
        <f t="shared" si="3"/>
        <v>#N/A</v>
      </c>
    </row>
    <row r="9" spans="1:22" ht="20.100000000000001" customHeight="1" thickBot="1" x14ac:dyDescent="0.25">
      <c r="A9" s="82" t="s">
        <v>17</v>
      </c>
      <c r="B9" s="140">
        <f>B6-B7</f>
        <v>645</v>
      </c>
      <c r="D9" s="318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7">
        <f t="shared" si="0"/>
        <v>0</v>
      </c>
      <c r="O9" s="428"/>
      <c r="P9" s="424" t="s">
        <v>38</v>
      </c>
      <c r="Q9" s="374"/>
      <c r="R9" s="313" t="e">
        <f t="shared" si="2"/>
        <v>#N/A</v>
      </c>
      <c r="T9" s="285" t="s">
        <v>49</v>
      </c>
      <c r="U9" s="337" t="e">
        <f t="shared" si="3"/>
        <v>#N/A</v>
      </c>
    </row>
    <row r="10" spans="1:22" ht="20.100000000000001" customHeight="1" x14ac:dyDescent="0.2">
      <c r="A10" s="597" t="s">
        <v>60</v>
      </c>
      <c r="B10" s="597"/>
      <c r="D10" s="318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7">
        <f t="shared" si="0"/>
        <v>0</v>
      </c>
      <c r="O10" s="428"/>
      <c r="P10" s="424" t="s">
        <v>39</v>
      </c>
      <c r="Q10" s="374"/>
      <c r="R10" s="313" t="e">
        <f t="shared" si="2"/>
        <v>#N/A</v>
      </c>
      <c r="T10" s="285" t="s">
        <v>50</v>
      </c>
      <c r="U10" s="337" t="e">
        <f t="shared" si="3"/>
        <v>#N/A</v>
      </c>
    </row>
    <row r="11" spans="1:22" ht="20.100000000000001" customHeight="1" x14ac:dyDescent="0.2">
      <c r="A11" s="598"/>
      <c r="B11" s="598"/>
      <c r="D11" s="318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7">
        <f t="shared" si="0"/>
        <v>0</v>
      </c>
      <c r="O11" s="428"/>
      <c r="P11" s="424" t="s">
        <v>40</v>
      </c>
      <c r="Q11" s="374"/>
      <c r="R11" s="313" t="e">
        <f t="shared" si="2"/>
        <v>#N/A</v>
      </c>
      <c r="T11" s="285" t="s">
        <v>51</v>
      </c>
      <c r="U11" s="337" t="e">
        <f t="shared" si="3"/>
        <v>#N/A</v>
      </c>
    </row>
    <row r="12" spans="1:22" ht="20.100000000000001" customHeight="1" thickBot="1" x14ac:dyDescent="0.25">
      <c r="A12" s="599" t="s">
        <v>61</v>
      </c>
      <c r="B12" s="599"/>
      <c r="D12" s="319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8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7">
        <f t="shared" si="0"/>
        <v>0</v>
      </c>
      <c r="O12" s="428"/>
      <c r="P12" s="424" t="s">
        <v>41</v>
      </c>
      <c r="Q12" s="374"/>
      <c r="R12" s="313" t="e">
        <f t="shared" si="2"/>
        <v>#N/A</v>
      </c>
      <c r="T12" s="285" t="s">
        <v>52</v>
      </c>
      <c r="U12" s="337" t="e">
        <f t="shared" si="3"/>
        <v>#N/A</v>
      </c>
    </row>
    <row r="13" spans="1:22" ht="20.100000000000001" customHeight="1" thickBot="1" x14ac:dyDescent="0.3">
      <c r="A13" s="599"/>
      <c r="B13" s="599"/>
      <c r="D13" s="39" t="s">
        <v>9</v>
      </c>
      <c r="E13" s="134">
        <f t="shared" ref="E13:N13" si="4">SUM(E3:E12)</f>
        <v>0</v>
      </c>
      <c r="F13" s="135">
        <f t="shared" si="4"/>
        <v>0</v>
      </c>
      <c r="G13" s="135">
        <f t="shared" si="4"/>
        <v>0</v>
      </c>
      <c r="H13" s="135">
        <f t="shared" si="4"/>
        <v>0</v>
      </c>
      <c r="I13" s="135">
        <f t="shared" si="4"/>
        <v>0</v>
      </c>
      <c r="J13" s="135">
        <f t="shared" si="4"/>
        <v>0</v>
      </c>
      <c r="K13" s="135">
        <f t="shared" si="4"/>
        <v>0</v>
      </c>
      <c r="L13" s="136">
        <f t="shared" si="4"/>
        <v>0</v>
      </c>
      <c r="M13" s="137">
        <f t="shared" si="4"/>
        <v>0</v>
      </c>
      <c r="N13" s="409">
        <f t="shared" si="4"/>
        <v>0</v>
      </c>
      <c r="O13" s="428"/>
      <c r="P13" s="424" t="s">
        <v>42</v>
      </c>
      <c r="Q13" s="374"/>
      <c r="R13" s="313" t="e">
        <f t="shared" si="2"/>
        <v>#N/A</v>
      </c>
      <c r="T13" s="286" t="s">
        <v>53</v>
      </c>
      <c r="U13" s="338" t="e">
        <f t="shared" si="3"/>
        <v>#N/A</v>
      </c>
    </row>
    <row r="14" spans="1:22" ht="20.100000000000001" customHeight="1" thickBot="1" x14ac:dyDescent="0.3">
      <c r="A14" s="599"/>
      <c r="B14" s="599"/>
      <c r="D14" s="69" t="s">
        <v>10</v>
      </c>
      <c r="E14" s="34">
        <f t="shared" ref="E14:N14" si="5">IFERROR(E13/$B$7,0)</f>
        <v>0</v>
      </c>
      <c r="F14" s="35">
        <f t="shared" si="5"/>
        <v>0</v>
      </c>
      <c r="G14" s="35">
        <f t="shared" si="5"/>
        <v>0</v>
      </c>
      <c r="H14" s="35">
        <f t="shared" si="5"/>
        <v>0</v>
      </c>
      <c r="I14" s="35">
        <f t="shared" si="5"/>
        <v>0</v>
      </c>
      <c r="J14" s="35">
        <f t="shared" si="5"/>
        <v>0</v>
      </c>
      <c r="K14" s="35">
        <f t="shared" si="5"/>
        <v>0</v>
      </c>
      <c r="L14" s="34">
        <f t="shared" si="5"/>
        <v>0</v>
      </c>
      <c r="M14" s="36">
        <f t="shared" si="5"/>
        <v>0</v>
      </c>
      <c r="N14" s="410">
        <f t="shared" si="5"/>
        <v>0</v>
      </c>
      <c r="O14" s="427"/>
      <c r="P14" s="425" t="s">
        <v>43</v>
      </c>
      <c r="Q14" s="375"/>
      <c r="R14" s="315" t="e">
        <f>IF(OR(Q14=0, Q14=""), NA(), Q14/$B$6)</f>
        <v>#N/A</v>
      </c>
      <c r="S14" s="340"/>
      <c r="T14" s="344" t="s">
        <v>55</v>
      </c>
      <c r="U14" s="339" t="e">
        <f>IF(Q14&lt;&gt;0,Q14-Q13,NA())</f>
        <v>#N/A</v>
      </c>
      <c r="V14" s="340"/>
    </row>
    <row r="15" spans="1:22" ht="18" customHeight="1" thickBot="1" x14ac:dyDescent="0.25">
      <c r="A15" s="601" t="s">
        <v>67</v>
      </c>
      <c r="B15" s="601"/>
      <c r="C15" s="1"/>
      <c r="D15" s="1"/>
      <c r="N15" s="287"/>
      <c r="O15" s="427"/>
      <c r="P15" s="426" t="s">
        <v>44</v>
      </c>
      <c r="Q15" s="376"/>
      <c r="R15" s="341" t="e">
        <f>IF(OR(Q15=0, Q15=""), NA(), Q15/$B$6)</f>
        <v>#N/A</v>
      </c>
      <c r="T15" s="345" t="s">
        <v>56</v>
      </c>
      <c r="U15" s="343" t="e">
        <f>IF(Q15&lt;&gt;0,Q15-Q14,NA())</f>
        <v>#N/A</v>
      </c>
      <c r="V15" s="340"/>
    </row>
    <row r="16" spans="1:22" ht="12.75" customHeight="1" x14ac:dyDescent="0.2">
      <c r="A16" s="601"/>
      <c r="B16" s="601"/>
      <c r="O16" s="427"/>
      <c r="P16" s="287"/>
      <c r="Q16" s="287"/>
      <c r="R16" s="287"/>
      <c r="U16" s="287"/>
    </row>
    <row r="17" spans="1:15" ht="18" customHeight="1" x14ac:dyDescent="0.25">
      <c r="A17" s="601"/>
      <c r="B17" s="601"/>
      <c r="E17" s="203"/>
      <c r="O17" s="427"/>
    </row>
    <row r="18" spans="1:15" ht="26.25" customHeight="1" x14ac:dyDescent="0.2">
      <c r="A18" s="601"/>
      <c r="B18" s="601"/>
      <c r="D18" s="407" t="s">
        <v>64</v>
      </c>
      <c r="F18" s="411"/>
      <c r="G18" s="411"/>
      <c r="H18" s="411"/>
      <c r="O18" s="427"/>
    </row>
    <row r="19" spans="1:15" x14ac:dyDescent="0.2">
      <c r="D19" s="408">
        <f>IF((ROW()-23)&lt;=$E$25,(ROW()-23),"Choisir")</f>
        <v>-4</v>
      </c>
      <c r="O19" s="427"/>
    </row>
    <row r="20" spans="1:15" x14ac:dyDescent="0.2">
      <c r="D20" s="408">
        <f>IF((ROW()-23)&lt;=$E$25,(ROW()-23),"Choisir")</f>
        <v>-3</v>
      </c>
      <c r="O20" s="427"/>
    </row>
    <row r="21" spans="1:15" x14ac:dyDescent="0.2">
      <c r="D21" s="408">
        <f>IF((ROW()-23)&lt;=$E$25,(ROW()-23),"Choisir")</f>
        <v>-2</v>
      </c>
      <c r="O21" s="427"/>
    </row>
    <row r="22" spans="1:15" x14ac:dyDescent="0.2">
      <c r="D22" s="408">
        <f>IF((ROW()-23)&lt;=$E$25,(ROW()-23),"Choisir")</f>
        <v>-1</v>
      </c>
      <c r="O22" s="427"/>
    </row>
    <row r="23" spans="1:15" x14ac:dyDescent="0.2">
      <c r="O23" s="427"/>
    </row>
    <row r="24" spans="1:15" x14ac:dyDescent="0.2">
      <c r="D24" s="217">
        <f>CEILING($B$6, 100)/100</f>
        <v>7</v>
      </c>
      <c r="E24" s="389">
        <f>CEILING($B$7,100)/100</f>
        <v>0</v>
      </c>
      <c r="O24" s="427"/>
    </row>
    <row r="25" spans="1:15" x14ac:dyDescent="0.2">
      <c r="D25" s="217">
        <f>MOD($B$7,100)</f>
        <v>0</v>
      </c>
      <c r="E25" s="218">
        <f>CEILING($B$6/300,1)</f>
        <v>3</v>
      </c>
      <c r="O25" s="427"/>
    </row>
    <row r="26" spans="1:15" x14ac:dyDescent="0.2">
      <c r="O26" s="427"/>
    </row>
    <row r="27" spans="1:15" x14ac:dyDescent="0.2">
      <c r="O27" s="427"/>
    </row>
    <row r="28" spans="1:15" x14ac:dyDescent="0.2">
      <c r="O28" s="427"/>
    </row>
    <row r="29" spans="1:15" x14ac:dyDescent="0.2">
      <c r="O29" s="427"/>
    </row>
    <row r="30" spans="1:15" x14ac:dyDescent="0.2">
      <c r="O30" s="427"/>
    </row>
    <row r="31" spans="1:15" x14ac:dyDescent="0.2">
      <c r="O31" s="427"/>
    </row>
    <row r="32" spans="1:15" x14ac:dyDescent="0.2">
      <c r="O32" s="427"/>
    </row>
    <row r="33" spans="1:15" x14ac:dyDescent="0.2">
      <c r="O33" s="427"/>
    </row>
    <row r="34" spans="1:15" x14ac:dyDescent="0.2">
      <c r="O34" s="427"/>
    </row>
    <row r="35" spans="1:15" x14ac:dyDescent="0.2">
      <c r="O35" s="427"/>
    </row>
    <row r="36" spans="1:15" x14ac:dyDescent="0.2">
      <c r="O36" s="427"/>
    </row>
    <row r="37" spans="1:15" x14ac:dyDescent="0.2">
      <c r="O37" s="427"/>
    </row>
    <row r="38" spans="1:15" x14ac:dyDescent="0.2">
      <c r="O38" s="427"/>
    </row>
    <row r="39" spans="1:15" x14ac:dyDescent="0.2">
      <c r="O39" s="427"/>
    </row>
    <row r="40" spans="1:15" x14ac:dyDescent="0.2">
      <c r="O40" s="427"/>
    </row>
    <row r="41" spans="1:15" x14ac:dyDescent="0.2">
      <c r="O41" s="427"/>
    </row>
    <row r="42" spans="1:15" x14ac:dyDescent="0.2">
      <c r="O42" s="427"/>
    </row>
    <row r="43" spans="1:15" ht="13.5" thickBot="1" x14ac:dyDescent="0.2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9"/>
    </row>
    <row r="44" spans="1:15" ht="13.5" thickTop="1" x14ac:dyDescent="0.2">
      <c r="O44" s="427"/>
    </row>
    <row r="45" spans="1:15" x14ac:dyDescent="0.2">
      <c r="O45" s="427"/>
    </row>
    <row r="46" spans="1:15" x14ac:dyDescent="0.2">
      <c r="E46" s="142"/>
      <c r="O46" s="427"/>
    </row>
    <row r="47" spans="1:15" ht="13.5" thickBot="1" x14ac:dyDescent="0.25">
      <c r="E47" s="142"/>
      <c r="O47" s="427"/>
    </row>
    <row r="48" spans="1:15" ht="20.100000000000001" customHeight="1" thickBot="1" x14ac:dyDescent="0.25">
      <c r="D48" s="207" t="s">
        <v>77</v>
      </c>
      <c r="E48" s="591" t="s">
        <v>101</v>
      </c>
      <c r="F48" s="592"/>
      <c r="G48" s="592"/>
      <c r="H48" s="592"/>
      <c r="I48" s="592"/>
      <c r="J48" s="592"/>
      <c r="K48" s="592"/>
      <c r="L48" s="592"/>
      <c r="M48" s="593"/>
      <c r="N48" s="346" t="s">
        <v>7</v>
      </c>
      <c r="O48" s="427"/>
    </row>
    <row r="49" spans="3:15" ht="47.25" customHeight="1" thickBot="1" x14ac:dyDescent="0.25">
      <c r="C49" s="205"/>
      <c r="D49" s="324" t="s">
        <v>80</v>
      </c>
      <c r="E49" s="367" t="s">
        <v>68</v>
      </c>
      <c r="F49" s="361" t="s">
        <v>98</v>
      </c>
      <c r="G49" s="360" t="s">
        <v>69</v>
      </c>
      <c r="H49" s="380" t="s">
        <v>70</v>
      </c>
      <c r="I49" s="369" t="s">
        <v>71</v>
      </c>
      <c r="J49" s="368" t="s">
        <v>72</v>
      </c>
      <c r="K49" s="362" t="s">
        <v>73</v>
      </c>
      <c r="L49" s="372" t="s">
        <v>3</v>
      </c>
      <c r="M49" s="373" t="s">
        <v>4</v>
      </c>
      <c r="N49" s="348" t="s">
        <v>102</v>
      </c>
      <c r="O49" s="427"/>
    </row>
    <row r="50" spans="3:15" ht="19.5" customHeight="1" x14ac:dyDescent="0.2">
      <c r="C50" s="206"/>
      <c r="D50" s="323" t="s">
        <v>79</v>
      </c>
      <c r="E50" s="279"/>
      <c r="F50" s="280"/>
      <c r="G50" s="280"/>
      <c r="H50" s="280"/>
      <c r="I50" s="280"/>
      <c r="J50" s="280"/>
      <c r="K50" s="281"/>
      <c r="L50" s="282"/>
      <c r="M50" s="281"/>
      <c r="N50" s="347">
        <f t="shared" ref="N50:N59" si="6">SUM(E50:M50)</f>
        <v>0</v>
      </c>
      <c r="O50" s="427"/>
    </row>
    <row r="51" spans="3:15" ht="20.100000000000001" customHeight="1" x14ac:dyDescent="0.2">
      <c r="C51" s="206"/>
      <c r="D51" s="323" t="s">
        <v>79</v>
      </c>
      <c r="E51" s="279"/>
      <c r="F51" s="280"/>
      <c r="G51" s="280"/>
      <c r="H51" s="280"/>
      <c r="I51" s="280"/>
      <c r="J51" s="280"/>
      <c r="K51" s="281"/>
      <c r="L51" s="282"/>
      <c r="M51" s="281"/>
      <c r="N51" s="347">
        <f t="shared" si="6"/>
        <v>0</v>
      </c>
      <c r="O51" s="427"/>
    </row>
    <row r="52" spans="3:15" ht="20.100000000000001" customHeight="1" x14ac:dyDescent="0.2">
      <c r="C52" s="206"/>
      <c r="D52" s="323" t="s">
        <v>79</v>
      </c>
      <c r="E52" s="279"/>
      <c r="F52" s="280"/>
      <c r="G52" s="280"/>
      <c r="H52" s="280"/>
      <c r="I52" s="280"/>
      <c r="J52" s="280"/>
      <c r="K52" s="281"/>
      <c r="L52" s="282"/>
      <c r="M52" s="281"/>
      <c r="N52" s="347">
        <f t="shared" si="6"/>
        <v>0</v>
      </c>
      <c r="O52" s="427"/>
    </row>
    <row r="53" spans="3:15" ht="20.100000000000001" customHeight="1" x14ac:dyDescent="0.2">
      <c r="C53" s="206"/>
      <c r="D53" s="323" t="s">
        <v>79</v>
      </c>
      <c r="E53" s="279"/>
      <c r="F53" s="280"/>
      <c r="G53" s="280"/>
      <c r="H53" s="280"/>
      <c r="I53" s="280"/>
      <c r="J53" s="280"/>
      <c r="K53" s="281"/>
      <c r="L53" s="282"/>
      <c r="M53" s="281"/>
      <c r="N53" s="347">
        <f t="shared" si="6"/>
        <v>0</v>
      </c>
      <c r="O53" s="427"/>
    </row>
    <row r="54" spans="3:15" ht="20.100000000000001" customHeight="1" x14ac:dyDescent="0.2">
      <c r="C54" s="206"/>
      <c r="D54" s="323" t="s">
        <v>79</v>
      </c>
      <c r="E54" s="279"/>
      <c r="F54" s="280"/>
      <c r="G54" s="280"/>
      <c r="H54" s="280"/>
      <c r="I54" s="280"/>
      <c r="J54" s="280"/>
      <c r="K54" s="281"/>
      <c r="L54" s="282"/>
      <c r="M54" s="281"/>
      <c r="N54" s="347">
        <f t="shared" si="6"/>
        <v>0</v>
      </c>
      <c r="O54" s="427"/>
    </row>
    <row r="55" spans="3:15" ht="20.100000000000001" customHeight="1" x14ac:dyDescent="0.2">
      <c r="C55" s="206"/>
      <c r="D55" s="323" t="s">
        <v>79</v>
      </c>
      <c r="E55" s="279"/>
      <c r="F55" s="280"/>
      <c r="G55" s="280"/>
      <c r="H55" s="280"/>
      <c r="I55" s="280"/>
      <c r="J55" s="280"/>
      <c r="K55" s="281"/>
      <c r="L55" s="282"/>
      <c r="M55" s="281"/>
      <c r="N55" s="347">
        <f t="shared" si="6"/>
        <v>0</v>
      </c>
      <c r="O55" s="427"/>
    </row>
    <row r="56" spans="3:15" ht="20.100000000000001" customHeight="1" x14ac:dyDescent="0.2">
      <c r="C56" s="206"/>
      <c r="D56" s="323" t="s">
        <v>79</v>
      </c>
      <c r="E56" s="279"/>
      <c r="F56" s="280"/>
      <c r="G56" s="280"/>
      <c r="H56" s="280"/>
      <c r="I56" s="280"/>
      <c r="J56" s="280"/>
      <c r="K56" s="281"/>
      <c r="L56" s="282"/>
      <c r="M56" s="281"/>
      <c r="N56" s="347">
        <f t="shared" si="6"/>
        <v>0</v>
      </c>
      <c r="O56" s="427"/>
    </row>
    <row r="57" spans="3:15" ht="20.100000000000001" customHeight="1" x14ac:dyDescent="0.2">
      <c r="C57" s="206"/>
      <c r="D57" s="323" t="s">
        <v>79</v>
      </c>
      <c r="E57" s="279"/>
      <c r="F57" s="280"/>
      <c r="G57" s="280"/>
      <c r="H57" s="280"/>
      <c r="I57" s="280"/>
      <c r="J57" s="280"/>
      <c r="K57" s="281"/>
      <c r="L57" s="282"/>
      <c r="M57" s="281"/>
      <c r="N57" s="347">
        <f t="shared" si="6"/>
        <v>0</v>
      </c>
      <c r="O57" s="427"/>
    </row>
    <row r="58" spans="3:15" ht="20.100000000000001" customHeight="1" x14ac:dyDescent="0.2">
      <c r="C58" s="206"/>
      <c r="D58" s="323" t="s">
        <v>79</v>
      </c>
      <c r="E58" s="279"/>
      <c r="F58" s="280"/>
      <c r="G58" s="280"/>
      <c r="H58" s="280"/>
      <c r="I58" s="280"/>
      <c r="J58" s="280"/>
      <c r="K58" s="281"/>
      <c r="L58" s="282"/>
      <c r="M58" s="281"/>
      <c r="N58" s="347">
        <f t="shared" si="6"/>
        <v>0</v>
      </c>
      <c r="O58" s="427"/>
    </row>
    <row r="59" spans="3:15" ht="20.100000000000001" customHeight="1" thickBot="1" x14ac:dyDescent="0.25">
      <c r="C59" s="206"/>
      <c r="D59" s="327" t="s">
        <v>79</v>
      </c>
      <c r="E59" s="328"/>
      <c r="F59" s="329"/>
      <c r="G59" s="329"/>
      <c r="H59" s="329"/>
      <c r="I59" s="329"/>
      <c r="J59" s="329"/>
      <c r="K59" s="330"/>
      <c r="L59" s="331"/>
      <c r="M59" s="330"/>
      <c r="N59" s="347">
        <f t="shared" si="6"/>
        <v>0</v>
      </c>
      <c r="O59" s="427"/>
    </row>
    <row r="60" spans="3:15" x14ac:dyDescent="0.2">
      <c r="N60" s="287"/>
      <c r="O60" s="427"/>
    </row>
    <row r="61" spans="3:15" x14ac:dyDescent="0.2">
      <c r="O61" s="427"/>
    </row>
    <row r="62" spans="3:15" x14ac:dyDescent="0.2">
      <c r="O62" s="427"/>
    </row>
    <row r="63" spans="3:15" ht="18" x14ac:dyDescent="0.25">
      <c r="E63" s="203"/>
      <c r="O63" s="427"/>
    </row>
    <row r="64" spans="3:15" x14ac:dyDescent="0.2">
      <c r="O64" s="427"/>
    </row>
    <row r="65" spans="4:15" ht="13.5" thickBot="1" x14ac:dyDescent="0.25">
      <c r="O65" s="427"/>
    </row>
    <row r="66" spans="4:15" ht="16.5" customHeight="1" thickBot="1" x14ac:dyDescent="0.25">
      <c r="D66" s="207" t="s">
        <v>78</v>
      </c>
      <c r="E66" s="591" t="s">
        <v>100</v>
      </c>
      <c r="F66" s="592"/>
      <c r="G66" s="592"/>
      <c r="H66" s="592"/>
      <c r="I66" s="592"/>
      <c r="J66" s="592"/>
      <c r="K66" s="592"/>
      <c r="L66" s="592"/>
      <c r="M66" s="593"/>
      <c r="N66" s="346" t="s">
        <v>7</v>
      </c>
      <c r="O66" s="427"/>
    </row>
    <row r="67" spans="4:15" ht="42" customHeight="1" thickBot="1" x14ac:dyDescent="0.25">
      <c r="D67" s="324" t="s">
        <v>80</v>
      </c>
      <c r="E67" s="367" t="s">
        <v>68</v>
      </c>
      <c r="F67" s="361" t="s">
        <v>98</v>
      </c>
      <c r="G67" s="360" t="s">
        <v>69</v>
      </c>
      <c r="H67" s="380" t="s">
        <v>70</v>
      </c>
      <c r="I67" s="369" t="s">
        <v>71</v>
      </c>
      <c r="J67" s="368" t="s">
        <v>72</v>
      </c>
      <c r="K67" s="362" t="s">
        <v>73</v>
      </c>
      <c r="L67" s="372" t="s">
        <v>3</v>
      </c>
      <c r="M67" s="373" t="s">
        <v>4</v>
      </c>
      <c r="N67" s="353" t="s">
        <v>102</v>
      </c>
      <c r="O67" s="427"/>
    </row>
    <row r="68" spans="4:15" ht="20.100000000000001" customHeight="1" x14ac:dyDescent="0.2">
      <c r="D68" s="216" t="s">
        <v>79</v>
      </c>
      <c r="E68" s="209"/>
      <c r="F68" s="210"/>
      <c r="G68" s="210"/>
      <c r="H68" s="210"/>
      <c r="I68" s="210"/>
      <c r="J68" s="210"/>
      <c r="K68" s="211"/>
      <c r="L68" s="212"/>
      <c r="M68" s="211"/>
      <c r="N68" s="350">
        <f>SUM(E68:M68)</f>
        <v>0</v>
      </c>
      <c r="O68" s="427"/>
    </row>
    <row r="69" spans="4:15" ht="20.100000000000001" customHeight="1" x14ac:dyDescent="0.2">
      <c r="D69" s="214" t="s">
        <v>79</v>
      </c>
      <c r="E69" s="152"/>
      <c r="F69" s="153"/>
      <c r="G69" s="153"/>
      <c r="H69" s="153"/>
      <c r="I69" s="153"/>
      <c r="J69" s="153"/>
      <c r="K69" s="154"/>
      <c r="L69" s="155"/>
      <c r="M69" s="154"/>
      <c r="N69" s="277">
        <f>SUM(E69:M69)</f>
        <v>0</v>
      </c>
      <c r="O69" s="427"/>
    </row>
    <row r="70" spans="4:15" ht="20.100000000000001" customHeight="1" x14ac:dyDescent="0.2">
      <c r="D70" s="214" t="s">
        <v>79</v>
      </c>
      <c r="E70" s="152"/>
      <c r="F70" s="153"/>
      <c r="G70" s="153"/>
      <c r="H70" s="153"/>
      <c r="I70" s="153"/>
      <c r="J70" s="153"/>
      <c r="K70" s="154"/>
      <c r="L70" s="155"/>
      <c r="M70" s="154"/>
      <c r="N70" s="277">
        <f>SUM(E70:M70)</f>
        <v>0</v>
      </c>
      <c r="O70" s="427"/>
    </row>
    <row r="71" spans="4:15" ht="20.100000000000001" customHeight="1" x14ac:dyDescent="0.2">
      <c r="D71" s="214" t="s">
        <v>79</v>
      </c>
      <c r="E71" s="152"/>
      <c r="F71" s="153"/>
      <c r="G71" s="153"/>
      <c r="H71" s="153"/>
      <c r="I71" s="153"/>
      <c r="J71" s="153"/>
      <c r="K71" s="154"/>
      <c r="L71" s="155"/>
      <c r="M71" s="154"/>
      <c r="N71" s="277">
        <f>SUM(E71:M71)</f>
        <v>0</v>
      </c>
      <c r="O71" s="427"/>
    </row>
    <row r="72" spans="4:15" ht="20.100000000000001" customHeight="1" thickBot="1" x14ac:dyDescent="0.25">
      <c r="D72" s="215" t="s">
        <v>79</v>
      </c>
      <c r="E72" s="156"/>
      <c r="F72" s="157"/>
      <c r="G72" s="157"/>
      <c r="H72" s="157"/>
      <c r="I72" s="157"/>
      <c r="J72" s="157"/>
      <c r="K72" s="158"/>
      <c r="L72" s="159"/>
      <c r="M72" s="158"/>
      <c r="N72" s="351">
        <f>SUM(E72:M72)</f>
        <v>0</v>
      </c>
      <c r="O72" s="427"/>
    </row>
    <row r="73" spans="4:15" ht="20.100000000000001" customHeight="1" x14ac:dyDescent="0.2">
      <c r="D73" s="208"/>
      <c r="E73" s="206"/>
      <c r="F73" s="206"/>
      <c r="G73" s="206"/>
      <c r="H73" s="206"/>
      <c r="I73" s="206"/>
      <c r="J73" s="206"/>
      <c r="K73" s="206"/>
      <c r="L73" s="206"/>
      <c r="M73" s="206"/>
      <c r="O73" s="427"/>
    </row>
    <row r="74" spans="4:15" ht="20.100000000000001" customHeight="1" x14ac:dyDescent="0.2">
      <c r="D74" s="208"/>
      <c r="E74" s="206"/>
      <c r="F74" s="206"/>
      <c r="G74" s="206"/>
      <c r="H74" s="206"/>
      <c r="I74" s="206"/>
      <c r="J74" s="206"/>
      <c r="K74" s="206"/>
      <c r="L74" s="206"/>
      <c r="M74" s="206"/>
      <c r="O74" s="427"/>
    </row>
    <row r="75" spans="4:15" ht="20.100000000000001" customHeight="1" thickBot="1" x14ac:dyDescent="0.25">
      <c r="D75" s="208"/>
      <c r="E75" s="206"/>
      <c r="F75" s="206"/>
      <c r="G75" s="206"/>
      <c r="H75" s="206"/>
      <c r="I75" s="206"/>
      <c r="J75" s="206"/>
      <c r="K75" s="206"/>
      <c r="L75" s="206"/>
      <c r="M75" s="206"/>
      <c r="O75" s="427"/>
    </row>
    <row r="76" spans="4:15" ht="20.100000000000001" customHeight="1" thickBot="1" x14ac:dyDescent="0.25">
      <c r="D76" s="207" t="s">
        <v>82</v>
      </c>
      <c r="E76" s="591" t="s">
        <v>99</v>
      </c>
      <c r="F76" s="592"/>
      <c r="G76" s="592"/>
      <c r="H76" s="592"/>
      <c r="I76" s="592"/>
      <c r="J76" s="592"/>
      <c r="K76" s="592"/>
      <c r="L76" s="592"/>
      <c r="M76" s="593"/>
      <c r="N76" s="352" t="s">
        <v>7</v>
      </c>
      <c r="O76" s="427"/>
    </row>
    <row r="77" spans="4:15" ht="39.75" customHeight="1" thickBot="1" x14ac:dyDescent="0.25">
      <c r="D77" s="324" t="s">
        <v>80</v>
      </c>
      <c r="E77" s="367" t="s">
        <v>68</v>
      </c>
      <c r="F77" s="361" t="s">
        <v>98</v>
      </c>
      <c r="G77" s="360" t="s">
        <v>69</v>
      </c>
      <c r="H77" s="380" t="s">
        <v>70</v>
      </c>
      <c r="I77" s="369" t="s">
        <v>71</v>
      </c>
      <c r="J77" s="368" t="s">
        <v>72</v>
      </c>
      <c r="K77" s="362" t="s">
        <v>73</v>
      </c>
      <c r="L77" s="372" t="s">
        <v>3</v>
      </c>
      <c r="M77" s="373" t="s">
        <v>4</v>
      </c>
      <c r="N77" s="349" t="s">
        <v>102</v>
      </c>
      <c r="O77" s="427"/>
    </row>
    <row r="78" spans="4:15" ht="20.100000000000001" customHeight="1" x14ac:dyDescent="0.2">
      <c r="D78" s="216" t="s">
        <v>79</v>
      </c>
      <c r="E78" s="209"/>
      <c r="F78" s="210"/>
      <c r="G78" s="210"/>
      <c r="H78" s="210"/>
      <c r="I78" s="210"/>
      <c r="J78" s="210"/>
      <c r="K78" s="211"/>
      <c r="L78" s="212"/>
      <c r="M78" s="211"/>
      <c r="N78" s="350">
        <f t="shared" ref="N78:N80" si="7">SUM(E78:M78)</f>
        <v>0</v>
      </c>
      <c r="O78" s="427"/>
    </row>
    <row r="79" spans="4:15" ht="20.100000000000001" customHeight="1" x14ac:dyDescent="0.2">
      <c r="D79" s="214" t="s">
        <v>79</v>
      </c>
      <c r="E79" s="152"/>
      <c r="F79" s="153"/>
      <c r="G79" s="153"/>
      <c r="H79" s="153"/>
      <c r="I79" s="153"/>
      <c r="J79" s="153"/>
      <c r="K79" s="154"/>
      <c r="L79" s="155"/>
      <c r="M79" s="154"/>
      <c r="N79" s="277">
        <f t="shared" si="7"/>
        <v>0</v>
      </c>
      <c r="O79" s="427"/>
    </row>
    <row r="80" spans="4:15" ht="20.100000000000001" customHeight="1" thickBot="1" x14ac:dyDescent="0.25">
      <c r="D80" s="215" t="s">
        <v>79</v>
      </c>
      <c r="E80" s="156"/>
      <c r="F80" s="157"/>
      <c r="G80" s="157"/>
      <c r="H80" s="157"/>
      <c r="I80" s="157"/>
      <c r="J80" s="157"/>
      <c r="K80" s="158"/>
      <c r="L80" s="159"/>
      <c r="M80" s="158"/>
      <c r="N80" s="351">
        <f t="shared" si="7"/>
        <v>0</v>
      </c>
      <c r="O80" s="427"/>
    </row>
    <row r="81" spans="4:15" ht="20.100000000000001" customHeight="1" x14ac:dyDescent="0.2">
      <c r="D81" s="208"/>
      <c r="E81" s="206"/>
      <c r="F81" s="206"/>
      <c r="G81" s="206"/>
      <c r="H81" s="206"/>
      <c r="I81" s="206"/>
      <c r="J81" s="206"/>
      <c r="K81" s="206"/>
      <c r="L81" s="206"/>
      <c r="M81" s="206"/>
      <c r="N81" s="213"/>
      <c r="O81" s="427"/>
    </row>
    <row r="82" spans="4:15" ht="20.100000000000001" customHeight="1" x14ac:dyDescent="0.2">
      <c r="D82" s="208"/>
      <c r="E82" s="206"/>
      <c r="F82" s="206"/>
      <c r="G82" s="206"/>
      <c r="H82" s="206"/>
      <c r="I82" s="206"/>
      <c r="J82" s="206"/>
      <c r="K82" s="206"/>
      <c r="L82" s="206"/>
      <c r="M82" s="206"/>
      <c r="N82" s="213"/>
      <c r="O82" s="427"/>
    </row>
  </sheetData>
  <sheetProtection algorithmName="SHA-512" hashValue="XbKOtaOWbsJGdH+18uh9YJxFDBS7I5GFGMK6s8SxhLM2ODJyUG28zniqadezCZzrse0T+4+RJbxnMtByxvpqzg==" saltValue="T0s9JuUKBshIHkPdXEFre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" priority="1" operator="equal">
      <formula>0</formula>
    </cfRule>
    <cfRule type="cellIs" dxfId="27" priority="6" operator="notEqual">
      <formula>$B$7</formula>
    </cfRule>
  </conditionalFormatting>
  <conditionalFormatting sqref="E3:N12">
    <cfRule type="cellIs" dxfId="26" priority="5" operator="notBetween">
      <formula>0</formula>
      <formula>100</formula>
    </cfRule>
  </conditionalFormatting>
  <conditionalFormatting sqref="E3:N14">
    <cfRule type="cellIs" dxfId="25" priority="8" operator="lessThan">
      <formula>0</formula>
    </cfRule>
  </conditionalFormatting>
  <conditionalFormatting sqref="E14:N14">
    <cfRule type="cellIs" dxfId="24" priority="11" operator="greaterThan">
      <formula>1</formula>
    </cfRule>
  </conditionalFormatting>
  <conditionalFormatting sqref="N3:N13">
    <cfRule type="cellIs" dxfId="23" priority="9" operator="equal">
      <formula>0</formula>
    </cfRule>
  </conditionalFormatting>
  <conditionalFormatting sqref="N13">
    <cfRule type="cellIs" dxfId="22" priority="13" operator="equal">
      <formula>$B$7</formula>
    </cfRule>
  </conditionalFormatting>
  <conditionalFormatting sqref="N14">
    <cfRule type="cellIs" dxfId="21" priority="10" operator="equal">
      <formula>1</formula>
    </cfRule>
    <cfRule type="cellIs" dxfId="20" priority="12" operator="lessThan">
      <formula>1</formula>
    </cfRule>
  </conditionalFormatting>
  <conditionalFormatting sqref="R4:R15">
    <cfRule type="cellIs" dxfId="1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8" priority="3">
      <formula>AND(E50&lt;MAX(E$50:E50), NOT(ISBLANK(E50)), NOT(E50=0))</formula>
    </cfRule>
  </conditionalFormatting>
  <conditionalFormatting sqref="E68:M72">
    <cfRule type="expression" dxfId="17" priority="2">
      <formula>AND(E68&lt;MAX(E$68:E68), NOT(ISBLANK(E68)), NOT(E68=0))</formula>
    </cfRule>
  </conditionalFormatting>
  <conditionalFormatting sqref="E78:M80">
    <cfRule type="expression" dxfId="16" priority="14">
      <formula>AND(E78&lt;MAX(E$78:E78), NOT(ISBLANK(E78)), NOT(E78=0))</formula>
    </cfRule>
  </conditionalFormatting>
  <conditionalFormatting sqref="N3:N12">
    <cfRule type="expression" dxfId="15" priority="15">
      <formula>AND($D3=$E$24, N3=$D$25)</formula>
    </cfRule>
    <cfRule type="expression" dxfId="14" priority="16">
      <formula>AND($D3=$E$24, MOD(N3,100)&gt;$D$25)</formula>
    </cfRule>
    <cfRule type="cellIs" dxfId="13" priority="17" operator="equal">
      <formula>100</formula>
    </cfRule>
  </conditionalFormatting>
  <conditionalFormatting sqref="E3:M12">
    <cfRule type="expression" dxfId="12" priority="18">
      <formula>($D3&lt;=$E$24)</formula>
    </cfRule>
  </conditionalFormatting>
  <conditionalFormatting sqref="D3:M12">
    <cfRule type="expression" dxfId="11" priority="19">
      <formula>($D3&gt;$E$24)</formula>
    </cfRule>
  </conditionalFormatting>
  <conditionalFormatting sqref="N50 N68:N72 N78:N80 N52:N59">
    <cfRule type="cellIs" dxfId="10" priority="20" operator="lessThan">
      <formula>0</formula>
    </cfRule>
    <cfRule type="cellIs" dxfId="9" priority="21" operator="equal">
      <formula>0</formula>
    </cfRule>
    <cfRule type="expression" dxfId="8" priority="22">
      <formula>OR(MOD($N50,100)=0,AND($D50=$E$24,MOD($N50,100)=$D$25))</formula>
    </cfRule>
  </conditionalFormatting>
  <conditionalFormatting sqref="N51">
    <cfRule type="cellIs" dxfId="7" priority="23" operator="notBetween">
      <formula>0</formula>
      <formula>$B$7</formula>
    </cfRule>
    <cfRule type="cellIs" dxfId="6" priority="24" operator="equal">
      <formula>0</formula>
    </cfRule>
    <cfRule type="expression" dxfId="5" priority="25">
      <formula>OR(MOD($N51,100)=0,AND($D51=$E$24,MOD($N51,100)=$D$25))</formula>
    </cfRule>
  </conditionalFormatting>
  <conditionalFormatting sqref="E50:M59 E68:M72 E78:M80">
    <cfRule type="cellIs" dxfId="4" priority="26" operator="notBetween">
      <formula>0</formula>
      <formula>$B$7</formula>
    </cfRule>
    <cfRule type="expression" dxfId="3" priority="27">
      <formula>($D50&lt;=$E$24)</formula>
    </cfRule>
    <cfRule type="expression" dxfId="2" priority="28">
      <formula>($D50&gt;$E$24)</formula>
    </cfRule>
  </conditionalFormatting>
  <conditionalFormatting sqref="Q4:Q15">
    <cfRule type="expression" dxfId="1" priority="29">
      <formula>AND($Q4&lt;$Q3, NOT(ISBLANK($Q4)))</formula>
    </cfRule>
    <cfRule type="cellIs" dxfId="0" priority="30" operator="greaterThan">
      <formula>$B$6</formula>
    </cfRule>
  </conditionalFormatting>
  <dataValidations count="2">
    <dataValidation type="list" allowBlank="1" showInputMessage="1" showErrorMessage="1" sqref="C50:C59" xr:uid="{66339EA6-11AC-4E19-A047-044AD3D5DD67}">
      <formula1>$D$19:$D$21</formula1>
    </dataValidation>
    <dataValidation type="list" allowBlank="1" showInputMessage="1" showErrorMessage="1" sqref="D68:D72 D78:D82 D50:D59" xr:uid="{D47EC4D7-9FCB-4393-B44E-1763A8886D1C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Synthèse</vt:lpstr>
      <vt:lpstr>Participation horaire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2026-02-24T15:27:45Z</dcterms:modified>
</cp:coreProperties>
</file>