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ctrlProps/ctrlProp8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1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12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3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14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15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16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17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18.xml" ContentType="application/vnd.openxmlformats-officedocument.drawing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umnienacfr-my.sharepoint.com/personal/remi_barbero_alumni_enac_fr/Documents/Echange/Elections/"/>
    </mc:Choice>
  </mc:AlternateContent>
  <xr:revisionPtr revIDLastSave="13762" documentId="8_{3D8CA70B-F25C-47DC-8201-55A6B902040C}" xr6:coauthVersionLast="47" xr6:coauthVersionMax="47" xr10:uidLastSave="{CC2751C7-A1C0-4D8B-8B35-73506480BE30}"/>
  <bookViews>
    <workbookView xWindow="-120" yWindow="-120" windowWidth="30960" windowHeight="16800" tabRatio="885" xr2:uid="{28D96937-7F1A-4454-97EC-737EE8B96C21}"/>
  </bookViews>
  <sheets>
    <sheet name="Synthèse" sheetId="1" r:id="rId1"/>
    <sheet name="Participation horaire" sheetId="3" r:id="rId2"/>
    <sheet name="Feuille décompte" sheetId="952" r:id="rId3"/>
    <sheet name="Projection" sheetId="757" r:id="rId4"/>
    <sheet name="Exemple" sheetId="578" r:id="rId5"/>
    <sheet name="Bureau 0" sheetId="207" r:id="rId6"/>
    <sheet name="Bureau 1" sheetId="1061" r:id="rId7"/>
    <sheet name="Bureau 2" sheetId="1062" r:id="rId8"/>
    <sheet name="Bureau 3" sheetId="1063" r:id="rId9"/>
    <sheet name="Bureau 4" sheetId="1064" r:id="rId10"/>
    <sheet name="Bureau 5" sheetId="1065" r:id="rId11"/>
    <sheet name="Bureau 6" sheetId="1066" r:id="rId12"/>
    <sheet name="Bureau 7" sheetId="1067" r:id="rId13"/>
    <sheet name="Bureau 8" sheetId="1068" r:id="rId14"/>
    <sheet name="Bureau 9" sheetId="1069" r:id="rId15"/>
    <sheet name="Bureau 10" sheetId="1070" r:id="rId16"/>
    <sheet name="Bureau 11" sheetId="1071" r:id="rId17"/>
    <sheet name="Bureau 12" sheetId="1072" r:id="rId18"/>
  </sheets>
  <functionGroups builtInGroupCount="19"/>
  <definedNames>
    <definedName name="exTable3">#REF!</definedName>
    <definedName name="Table1" localSheetId="6">'Bureau 1'!$D$49:$M$59</definedName>
    <definedName name="Table1" localSheetId="15">'Bureau 10'!$D$49:$M$59</definedName>
    <definedName name="Table1" localSheetId="16">'Bureau 11'!$D$49:$M$59</definedName>
    <definedName name="Table1" localSheetId="17">'Bureau 12'!$D$49:$M$59</definedName>
    <definedName name="Table1" localSheetId="7">'Bureau 2'!$D$49:$M$59</definedName>
    <definedName name="Table1" localSheetId="8">'Bureau 3'!$D$49:$M$59</definedName>
    <definedName name="Table1" localSheetId="9">'Bureau 4'!$D$49:$M$59</definedName>
    <definedName name="Table1" localSheetId="10">'Bureau 5'!$D$49:$M$59</definedName>
    <definedName name="Table1" localSheetId="11">'Bureau 6'!$D$49:$M$59</definedName>
    <definedName name="Table1" localSheetId="12">'Bureau 7'!$D$49:$M$59</definedName>
    <definedName name="Table1" localSheetId="13">'Bureau 8'!$D$49:$M$59</definedName>
    <definedName name="Table1" localSheetId="14">'Bureau 9'!$D$49:$M$59</definedName>
    <definedName name="Table1" localSheetId="4">Exemple!$D$49:$P$59</definedName>
    <definedName name="Table1" localSheetId="2">'Feuille décompte'!$B$3:$K$12</definedName>
    <definedName name="Table1">'Bureau 0'!$D$49:$M$59</definedName>
    <definedName name="Table2" localSheetId="6">'Bureau 1'!$D$67:$M$72</definedName>
    <definedName name="Table2" localSheetId="15">'Bureau 10'!$D$67:$M$72</definedName>
    <definedName name="Table2" localSheetId="16">'Bureau 11'!$D$67:$M$72</definedName>
    <definedName name="Table2" localSheetId="17">'Bureau 12'!$D$67:$M$72</definedName>
    <definedName name="Table2" localSheetId="7">'Bureau 2'!$D$67:$M$72</definedName>
    <definedName name="Table2" localSheetId="8">'Bureau 3'!$D$67:$M$72</definedName>
    <definedName name="Table2" localSheetId="9">'Bureau 4'!$D$67:$M$72</definedName>
    <definedName name="Table2" localSheetId="10">'Bureau 5'!$D$67:$M$72</definedName>
    <definedName name="Table2" localSheetId="11">'Bureau 6'!$D$67:$M$72</definedName>
    <definedName name="Table2" localSheetId="12">'Bureau 7'!$D$67:$M$72</definedName>
    <definedName name="Table2" localSheetId="13">'Bureau 8'!$D$67:$M$72</definedName>
    <definedName name="Table2" localSheetId="14">'Bureau 9'!$D$67:$M$72</definedName>
    <definedName name="Table2" localSheetId="4">Exemple!$D$67:$P$72</definedName>
    <definedName name="Table2" localSheetId="2">'Feuille décompte'!#REF!</definedName>
    <definedName name="Table2">'Bureau 0'!$D$67:$M$72</definedName>
    <definedName name="Table3" localSheetId="6">'Bureau 1'!$D$78:$M$80</definedName>
    <definedName name="Table3" localSheetId="15">'Bureau 10'!$D$78:$M$80</definedName>
    <definedName name="Table3" localSheetId="16">'Bureau 11'!$D$78:$M$80</definedName>
    <definedName name="Table3" localSheetId="17">'Bureau 12'!$D$78:$M$80</definedName>
    <definedName name="Table3" localSheetId="7">'Bureau 2'!$D$78:$M$80</definedName>
    <definedName name="Table3" localSheetId="8">'Bureau 3'!$D$78:$M$80</definedName>
    <definedName name="Table3" localSheetId="9">'Bureau 4'!$D$78:$M$80</definedName>
    <definedName name="Table3" localSheetId="10">'Bureau 5'!$D$78:$M$80</definedName>
    <definedName name="Table3" localSheetId="11">'Bureau 6'!$D$78:$M$80</definedName>
    <definedName name="Table3" localSheetId="12">'Bureau 7'!$D$78:$M$80</definedName>
    <definedName name="Table3" localSheetId="13">'Bureau 8'!$D$78:$M$80</definedName>
    <definedName name="Table3" localSheetId="14">'Bureau 9'!$D$78:$M$80</definedName>
    <definedName name="Table3" localSheetId="4">Exemple!$D$78:$P$80</definedName>
    <definedName name="Table3" localSheetId="2">'Feuille décompte'!#REF!</definedName>
    <definedName name="Table3">'Bureau 0'!$D$78:$M$80</definedName>
    <definedName name="TableDepouillement1">#REF!</definedName>
    <definedName name="TableDepouillement1bi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3" i="1072" l="1"/>
  <c r="L13" i="1072"/>
  <c r="K13" i="1072"/>
  <c r="J13" i="1072"/>
  <c r="I13" i="1072"/>
  <c r="H13" i="1072"/>
  <c r="G13" i="1072"/>
  <c r="F13" i="1072"/>
  <c r="E13" i="1072"/>
  <c r="M13" i="1071"/>
  <c r="L13" i="1071"/>
  <c r="K13" i="1071"/>
  <c r="J13" i="1071"/>
  <c r="I13" i="1071"/>
  <c r="H13" i="1071"/>
  <c r="G13" i="1071"/>
  <c r="F13" i="1071"/>
  <c r="E13" i="1071"/>
  <c r="M13" i="1070"/>
  <c r="L13" i="1070"/>
  <c r="K13" i="1070"/>
  <c r="J13" i="1070"/>
  <c r="I13" i="1070"/>
  <c r="H13" i="1070"/>
  <c r="G13" i="1070"/>
  <c r="F13" i="1070"/>
  <c r="E13" i="1070"/>
  <c r="M13" i="1069"/>
  <c r="L13" i="1069"/>
  <c r="K13" i="1069"/>
  <c r="J13" i="1069"/>
  <c r="I13" i="1069"/>
  <c r="H13" i="1069"/>
  <c r="G13" i="1069"/>
  <c r="F13" i="1069"/>
  <c r="E13" i="1069"/>
  <c r="M13" i="1068"/>
  <c r="L13" i="1068"/>
  <c r="K13" i="1068"/>
  <c r="J13" i="1068"/>
  <c r="I13" i="1068"/>
  <c r="H13" i="1068"/>
  <c r="G13" i="1068"/>
  <c r="F13" i="1068"/>
  <c r="E13" i="1068"/>
  <c r="M13" i="1067"/>
  <c r="L13" i="1067"/>
  <c r="K13" i="1067"/>
  <c r="J13" i="1067"/>
  <c r="I13" i="1067"/>
  <c r="H13" i="1067"/>
  <c r="G13" i="1067"/>
  <c r="F13" i="1067"/>
  <c r="E13" i="1067"/>
  <c r="M13" i="1066"/>
  <c r="L13" i="1066"/>
  <c r="K13" i="1066"/>
  <c r="J13" i="1066"/>
  <c r="I13" i="1066"/>
  <c r="H13" i="1066"/>
  <c r="G13" i="1066"/>
  <c r="F13" i="1066"/>
  <c r="E13" i="1066"/>
  <c r="M13" i="1065"/>
  <c r="L13" i="1065"/>
  <c r="K13" i="1065"/>
  <c r="J13" i="1065"/>
  <c r="I13" i="1065"/>
  <c r="H13" i="1065"/>
  <c r="G13" i="1065"/>
  <c r="F13" i="1065"/>
  <c r="E13" i="1065"/>
  <c r="M13" i="1064"/>
  <c r="L13" i="1064"/>
  <c r="K13" i="1064"/>
  <c r="J13" i="1064"/>
  <c r="I13" i="1064"/>
  <c r="H13" i="1064"/>
  <c r="G13" i="1064"/>
  <c r="F13" i="1064"/>
  <c r="E13" i="1064"/>
  <c r="M13" i="1063"/>
  <c r="L13" i="1063"/>
  <c r="K13" i="1063"/>
  <c r="J13" i="1063"/>
  <c r="I13" i="1063"/>
  <c r="H13" i="1063"/>
  <c r="G13" i="1063"/>
  <c r="F13" i="1063"/>
  <c r="E13" i="1063"/>
  <c r="M13" i="1062"/>
  <c r="L13" i="1062"/>
  <c r="K13" i="1062"/>
  <c r="J13" i="1062"/>
  <c r="I13" i="1062"/>
  <c r="H13" i="1062"/>
  <c r="G13" i="1062"/>
  <c r="F13" i="1062"/>
  <c r="E13" i="1062"/>
  <c r="M13" i="1061"/>
  <c r="L13" i="1061"/>
  <c r="K13" i="1061"/>
  <c r="J13" i="1061"/>
  <c r="I13" i="1061"/>
  <c r="H13" i="1061"/>
  <c r="G13" i="1061"/>
  <c r="F13" i="1061"/>
  <c r="E13" i="1061"/>
  <c r="B6" i="1072" l="1"/>
  <c r="R3" i="1072" s="1"/>
  <c r="B5" i="1072"/>
  <c r="N80" i="1072"/>
  <c r="N79" i="1072"/>
  <c r="N78" i="1072"/>
  <c r="K77" i="1072"/>
  <c r="J77" i="1072"/>
  <c r="I77" i="1072"/>
  <c r="N72" i="1072"/>
  <c r="N71" i="1072"/>
  <c r="N70" i="1072"/>
  <c r="N69" i="1072"/>
  <c r="N68" i="1072"/>
  <c r="K67" i="1072"/>
  <c r="J67" i="1072"/>
  <c r="I67" i="1072"/>
  <c r="H67" i="1072"/>
  <c r="G67" i="1072"/>
  <c r="N59" i="1072"/>
  <c r="N58" i="1072"/>
  <c r="N57" i="1072"/>
  <c r="N56" i="1072"/>
  <c r="N55" i="1072"/>
  <c r="N54" i="1072"/>
  <c r="N53" i="1072"/>
  <c r="N52" i="1072"/>
  <c r="N51" i="1072"/>
  <c r="N50" i="1072"/>
  <c r="K49" i="1072"/>
  <c r="J49" i="1072"/>
  <c r="I49" i="1072"/>
  <c r="H49" i="1072"/>
  <c r="G49" i="1072"/>
  <c r="F49" i="1072"/>
  <c r="E49" i="1072"/>
  <c r="E25" i="1072"/>
  <c r="D22" i="1072" s="1"/>
  <c r="D24" i="1072"/>
  <c r="U15" i="1072"/>
  <c r="R15" i="1072"/>
  <c r="U14" i="1072"/>
  <c r="R14" i="1072"/>
  <c r="U13" i="1072"/>
  <c r="R13" i="1072"/>
  <c r="U12" i="1072"/>
  <c r="R12" i="1072"/>
  <c r="U11" i="1072"/>
  <c r="R11" i="1072"/>
  <c r="U10" i="1072"/>
  <c r="R10" i="1072"/>
  <c r="U9" i="1072"/>
  <c r="R9" i="1072"/>
  <c r="U8" i="1072"/>
  <c r="R8" i="1072"/>
  <c r="U7" i="1072"/>
  <c r="R7" i="1072"/>
  <c r="B7" i="1072"/>
  <c r="D25" i="1072" s="1"/>
  <c r="U6" i="1072"/>
  <c r="R6" i="1072"/>
  <c r="U5" i="1072"/>
  <c r="R5" i="1072"/>
  <c r="U4" i="1072"/>
  <c r="R4" i="1072"/>
  <c r="B3" i="1072"/>
  <c r="K2" i="1072"/>
  <c r="J2" i="1072"/>
  <c r="I2" i="1072"/>
  <c r="H2" i="1072"/>
  <c r="H77" i="1072" s="1"/>
  <c r="G2" i="1072"/>
  <c r="G77" i="1072" s="1"/>
  <c r="F2" i="1072"/>
  <c r="F67" i="1072" s="1"/>
  <c r="E2" i="1072"/>
  <c r="E67" i="1072" s="1"/>
  <c r="B2" i="1072"/>
  <c r="B1" i="1072"/>
  <c r="B6" i="1071"/>
  <c r="B5" i="1071"/>
  <c r="N80" i="1071"/>
  <c r="N79" i="1071"/>
  <c r="N78" i="1071"/>
  <c r="N72" i="1071"/>
  <c r="N71" i="1071"/>
  <c r="N70" i="1071"/>
  <c r="N69" i="1071"/>
  <c r="N68" i="1071"/>
  <c r="K67" i="1071"/>
  <c r="J67" i="1071"/>
  <c r="I67" i="1071"/>
  <c r="H67" i="1071"/>
  <c r="G67" i="1071"/>
  <c r="N59" i="1071"/>
  <c r="N58" i="1071"/>
  <c r="N57" i="1071"/>
  <c r="N56" i="1071"/>
  <c r="N55" i="1071"/>
  <c r="N54" i="1071"/>
  <c r="N53" i="1071"/>
  <c r="N52" i="1071"/>
  <c r="N51" i="1071"/>
  <c r="N50" i="1071"/>
  <c r="K49" i="1071"/>
  <c r="J49" i="1071"/>
  <c r="I49" i="1071"/>
  <c r="H49" i="1071"/>
  <c r="G49" i="1071"/>
  <c r="F49" i="1071"/>
  <c r="E49" i="1071"/>
  <c r="E25" i="1071"/>
  <c r="D22" i="1071" s="1"/>
  <c r="D24" i="1071"/>
  <c r="U15" i="1071"/>
  <c r="R15" i="1071"/>
  <c r="U14" i="1071"/>
  <c r="R14" i="1071"/>
  <c r="U13" i="1071"/>
  <c r="R13" i="1071"/>
  <c r="U12" i="1071"/>
  <c r="R12" i="1071"/>
  <c r="U11" i="1071"/>
  <c r="R11" i="1071"/>
  <c r="U10" i="1071"/>
  <c r="R10" i="1071"/>
  <c r="U9" i="1071"/>
  <c r="R9" i="1071"/>
  <c r="U8" i="1071"/>
  <c r="R8" i="1071"/>
  <c r="U7" i="1071"/>
  <c r="R7" i="1071"/>
  <c r="B7" i="1071"/>
  <c r="D25" i="1071" s="1"/>
  <c r="U6" i="1071"/>
  <c r="R6" i="1071"/>
  <c r="U5" i="1071"/>
  <c r="R5" i="1071"/>
  <c r="U4" i="1071"/>
  <c r="R4" i="1071"/>
  <c r="R3" i="1071"/>
  <c r="B3" i="1071"/>
  <c r="K2" i="1071"/>
  <c r="K77" i="1071" s="1"/>
  <c r="J2" i="1071"/>
  <c r="J77" i="1071" s="1"/>
  <c r="I2" i="1071"/>
  <c r="I77" i="1071" s="1"/>
  <c r="H2" i="1071"/>
  <c r="H77" i="1071" s="1"/>
  <c r="G2" i="1071"/>
  <c r="G77" i="1071" s="1"/>
  <c r="F2" i="1071"/>
  <c r="F67" i="1071" s="1"/>
  <c r="E2" i="1071"/>
  <c r="E67" i="1071" s="1"/>
  <c r="B2" i="1071"/>
  <c r="B1" i="1071"/>
  <c r="B6" i="1070"/>
  <c r="B5" i="1070"/>
  <c r="N80" i="1070"/>
  <c r="N79" i="1070"/>
  <c r="N78" i="1070"/>
  <c r="J77" i="1070"/>
  <c r="I77" i="1070"/>
  <c r="H77" i="1070"/>
  <c r="G77" i="1070"/>
  <c r="N72" i="1070"/>
  <c r="N71" i="1070"/>
  <c r="N70" i="1070"/>
  <c r="N69" i="1070"/>
  <c r="N68" i="1070"/>
  <c r="J67" i="1070"/>
  <c r="I67" i="1070"/>
  <c r="H67" i="1070"/>
  <c r="G67" i="1070"/>
  <c r="N59" i="1070"/>
  <c r="N58" i="1070"/>
  <c r="N57" i="1070"/>
  <c r="N56" i="1070"/>
  <c r="N55" i="1070"/>
  <c r="N54" i="1070"/>
  <c r="N53" i="1070"/>
  <c r="N52" i="1070"/>
  <c r="N51" i="1070"/>
  <c r="N50" i="1070"/>
  <c r="J49" i="1070"/>
  <c r="I49" i="1070"/>
  <c r="H49" i="1070"/>
  <c r="G49" i="1070"/>
  <c r="F49" i="1070"/>
  <c r="E49" i="1070"/>
  <c r="E25" i="1070"/>
  <c r="D24" i="1070"/>
  <c r="D20" i="1070"/>
  <c r="D19" i="1070"/>
  <c r="U15" i="1070"/>
  <c r="R15" i="1070"/>
  <c r="U14" i="1070"/>
  <c r="R14" i="1070"/>
  <c r="U13" i="1070"/>
  <c r="R13" i="1070"/>
  <c r="U12" i="1070"/>
  <c r="R12" i="1070"/>
  <c r="U11" i="1070"/>
  <c r="R11" i="1070"/>
  <c r="U10" i="1070"/>
  <c r="R10" i="1070"/>
  <c r="U9" i="1070"/>
  <c r="R9" i="1070"/>
  <c r="U8" i="1070"/>
  <c r="R8" i="1070"/>
  <c r="U7" i="1070"/>
  <c r="R7" i="1070"/>
  <c r="B7" i="1070"/>
  <c r="D25" i="1070" s="1"/>
  <c r="U6" i="1070"/>
  <c r="R6" i="1070"/>
  <c r="U5" i="1070"/>
  <c r="R5" i="1070"/>
  <c r="U4" i="1070"/>
  <c r="R4" i="1070"/>
  <c r="R3" i="1070"/>
  <c r="B3" i="1070"/>
  <c r="K2" i="1070"/>
  <c r="J2" i="1070"/>
  <c r="I2" i="1070"/>
  <c r="H2" i="1070"/>
  <c r="G2" i="1070"/>
  <c r="F2" i="1070"/>
  <c r="F67" i="1070" s="1"/>
  <c r="E2" i="1070"/>
  <c r="E67" i="1070" s="1"/>
  <c r="B2" i="1070"/>
  <c r="B1" i="1070"/>
  <c r="B6" i="1069"/>
  <c r="B5" i="1069"/>
  <c r="N80" i="1069"/>
  <c r="N79" i="1069"/>
  <c r="N78" i="1069"/>
  <c r="N72" i="1069"/>
  <c r="N71" i="1069"/>
  <c r="N70" i="1069"/>
  <c r="N69" i="1069"/>
  <c r="N68" i="1069"/>
  <c r="K67" i="1069"/>
  <c r="J67" i="1069"/>
  <c r="I67" i="1069"/>
  <c r="H67" i="1069"/>
  <c r="G67" i="1069"/>
  <c r="N59" i="1069"/>
  <c r="N58" i="1069"/>
  <c r="N57" i="1069"/>
  <c r="N56" i="1069"/>
  <c r="N55" i="1069"/>
  <c r="N54" i="1069"/>
  <c r="N53" i="1069"/>
  <c r="N52" i="1069"/>
  <c r="N51" i="1069"/>
  <c r="N50" i="1069"/>
  <c r="K49" i="1069"/>
  <c r="J49" i="1069"/>
  <c r="I49" i="1069"/>
  <c r="H49" i="1069"/>
  <c r="G49" i="1069"/>
  <c r="F49" i="1069"/>
  <c r="E49" i="1069"/>
  <c r="E25" i="1069"/>
  <c r="D22" i="1069" s="1"/>
  <c r="D24" i="1069"/>
  <c r="U15" i="1069"/>
  <c r="R15" i="1069"/>
  <c r="U14" i="1069"/>
  <c r="R14" i="1069"/>
  <c r="U13" i="1069"/>
  <c r="R13" i="1069"/>
  <c r="U12" i="1069"/>
  <c r="R12" i="1069"/>
  <c r="U11" i="1069"/>
  <c r="R11" i="1069"/>
  <c r="U10" i="1069"/>
  <c r="R10" i="1069"/>
  <c r="U9" i="1069"/>
  <c r="R9" i="1069"/>
  <c r="U8" i="1069"/>
  <c r="R8" i="1069"/>
  <c r="U7" i="1069"/>
  <c r="R7" i="1069"/>
  <c r="B7" i="1069"/>
  <c r="D25" i="1069" s="1"/>
  <c r="U6" i="1069"/>
  <c r="R6" i="1069"/>
  <c r="U5" i="1069"/>
  <c r="R5" i="1069"/>
  <c r="U4" i="1069"/>
  <c r="R4" i="1069"/>
  <c r="R3" i="1069"/>
  <c r="B3" i="1069"/>
  <c r="K2" i="1069"/>
  <c r="K77" i="1069" s="1"/>
  <c r="J2" i="1069"/>
  <c r="J77" i="1069" s="1"/>
  <c r="I2" i="1069"/>
  <c r="I77" i="1069" s="1"/>
  <c r="H2" i="1069"/>
  <c r="H77" i="1069" s="1"/>
  <c r="G2" i="1069"/>
  <c r="G77" i="1069" s="1"/>
  <c r="F2" i="1069"/>
  <c r="F67" i="1069" s="1"/>
  <c r="E2" i="1069"/>
  <c r="E67" i="1069" s="1"/>
  <c r="B2" i="1069"/>
  <c r="B1" i="1069"/>
  <c r="B6" i="1068"/>
  <c r="B5" i="1068"/>
  <c r="N80" i="1068"/>
  <c r="N79" i="1068"/>
  <c r="N78" i="1068"/>
  <c r="K77" i="1068"/>
  <c r="J77" i="1068"/>
  <c r="I77" i="1068"/>
  <c r="H77" i="1068"/>
  <c r="G77" i="1068"/>
  <c r="N72" i="1068"/>
  <c r="N71" i="1068"/>
  <c r="N70" i="1068"/>
  <c r="N69" i="1068"/>
  <c r="N68" i="1068"/>
  <c r="J67" i="1068"/>
  <c r="I67" i="1068"/>
  <c r="H67" i="1068"/>
  <c r="G67" i="1068"/>
  <c r="F67" i="1068"/>
  <c r="E67" i="1068"/>
  <c r="N59" i="1068"/>
  <c r="N58" i="1068"/>
  <c r="N57" i="1068"/>
  <c r="N56" i="1068"/>
  <c r="N55" i="1068"/>
  <c r="N54" i="1068"/>
  <c r="N53" i="1068"/>
  <c r="N52" i="1068"/>
  <c r="N51" i="1068"/>
  <c r="N50" i="1068"/>
  <c r="J49" i="1068"/>
  <c r="I49" i="1068"/>
  <c r="H49" i="1068"/>
  <c r="G49" i="1068"/>
  <c r="F49" i="1068"/>
  <c r="E49" i="1068"/>
  <c r="E25" i="1068"/>
  <c r="D22" i="1068" s="1"/>
  <c r="D24" i="1068"/>
  <c r="U15" i="1068"/>
  <c r="R15" i="1068"/>
  <c r="U14" i="1068"/>
  <c r="R14" i="1068"/>
  <c r="U13" i="1068"/>
  <c r="R13" i="1068"/>
  <c r="U12" i="1068"/>
  <c r="R12" i="1068"/>
  <c r="U11" i="1068"/>
  <c r="R11" i="1068"/>
  <c r="U10" i="1068"/>
  <c r="R10" i="1068"/>
  <c r="U9" i="1068"/>
  <c r="R9" i="1068"/>
  <c r="U8" i="1068"/>
  <c r="R8" i="1068"/>
  <c r="U7" i="1068"/>
  <c r="R7" i="1068"/>
  <c r="B7" i="1068"/>
  <c r="E24" i="1068" s="1"/>
  <c r="U6" i="1068"/>
  <c r="R6" i="1068"/>
  <c r="U5" i="1068"/>
  <c r="R5" i="1068"/>
  <c r="U4" i="1068"/>
  <c r="R4" i="1068"/>
  <c r="R3" i="1068"/>
  <c r="B3" i="1068"/>
  <c r="K2" i="1068"/>
  <c r="J2" i="1068"/>
  <c r="I2" i="1068"/>
  <c r="H2" i="1068"/>
  <c r="G2" i="1068"/>
  <c r="F2" i="1068"/>
  <c r="F77" i="1068" s="1"/>
  <c r="E2" i="1068"/>
  <c r="E77" i="1068" s="1"/>
  <c r="B2" i="1068"/>
  <c r="B1" i="1068"/>
  <c r="B6" i="1067"/>
  <c r="B5" i="1067"/>
  <c r="N80" i="1067"/>
  <c r="N79" i="1067"/>
  <c r="N78" i="1067"/>
  <c r="J77" i="1067"/>
  <c r="I77" i="1067"/>
  <c r="H77" i="1067"/>
  <c r="G77" i="1067"/>
  <c r="N72" i="1067"/>
  <c r="N71" i="1067"/>
  <c r="N70" i="1067"/>
  <c r="N69" i="1067"/>
  <c r="N68" i="1067"/>
  <c r="J67" i="1067"/>
  <c r="I67" i="1067"/>
  <c r="H67" i="1067"/>
  <c r="G67" i="1067"/>
  <c r="N59" i="1067"/>
  <c r="N58" i="1067"/>
  <c r="N57" i="1067"/>
  <c r="N56" i="1067"/>
  <c r="N55" i="1067"/>
  <c r="N54" i="1067"/>
  <c r="N53" i="1067"/>
  <c r="N52" i="1067"/>
  <c r="N51" i="1067"/>
  <c r="N50" i="1067"/>
  <c r="J49" i="1067"/>
  <c r="I49" i="1067"/>
  <c r="H49" i="1067"/>
  <c r="G49" i="1067"/>
  <c r="F49" i="1067"/>
  <c r="E49" i="1067"/>
  <c r="E25" i="1067"/>
  <c r="D24" i="1067"/>
  <c r="D20" i="1067"/>
  <c r="D19" i="1067"/>
  <c r="U15" i="1067"/>
  <c r="R15" i="1067"/>
  <c r="U14" i="1067"/>
  <c r="R14" i="1067"/>
  <c r="U13" i="1067"/>
  <c r="R13" i="1067"/>
  <c r="U12" i="1067"/>
  <c r="R12" i="1067"/>
  <c r="U11" i="1067"/>
  <c r="R11" i="1067"/>
  <c r="U10" i="1067"/>
  <c r="R10" i="1067"/>
  <c r="U9" i="1067"/>
  <c r="R9" i="1067"/>
  <c r="U8" i="1067"/>
  <c r="R8" i="1067"/>
  <c r="U7" i="1067"/>
  <c r="R7" i="1067"/>
  <c r="B7" i="1067"/>
  <c r="D25" i="1067" s="1"/>
  <c r="U6" i="1067"/>
  <c r="R6" i="1067"/>
  <c r="U5" i="1067"/>
  <c r="R5" i="1067"/>
  <c r="U4" i="1067"/>
  <c r="R4" i="1067"/>
  <c r="R3" i="1067"/>
  <c r="B3" i="1067"/>
  <c r="K2" i="1067"/>
  <c r="J2" i="1067"/>
  <c r="I2" i="1067"/>
  <c r="H2" i="1067"/>
  <c r="G2" i="1067"/>
  <c r="F2" i="1067"/>
  <c r="F67" i="1067" s="1"/>
  <c r="E2" i="1067"/>
  <c r="E67" i="1067" s="1"/>
  <c r="B2" i="1067"/>
  <c r="B1" i="1067"/>
  <c r="B6" i="1066"/>
  <c r="B5" i="1066"/>
  <c r="N80" i="1066"/>
  <c r="N79" i="1066"/>
  <c r="N78" i="1066"/>
  <c r="J77" i="1066"/>
  <c r="I77" i="1066"/>
  <c r="H77" i="1066"/>
  <c r="G77" i="1066"/>
  <c r="N72" i="1066"/>
  <c r="N71" i="1066"/>
  <c r="N70" i="1066"/>
  <c r="N69" i="1066"/>
  <c r="N68" i="1066"/>
  <c r="K67" i="1066"/>
  <c r="J67" i="1066"/>
  <c r="I67" i="1066"/>
  <c r="H67" i="1066"/>
  <c r="G67" i="1066"/>
  <c r="N59" i="1066"/>
  <c r="N58" i="1066"/>
  <c r="N57" i="1066"/>
  <c r="N56" i="1066"/>
  <c r="N55" i="1066"/>
  <c r="N54" i="1066"/>
  <c r="N53" i="1066"/>
  <c r="N52" i="1066"/>
  <c r="N51" i="1066"/>
  <c r="N50" i="1066"/>
  <c r="J49" i="1066"/>
  <c r="I49" i="1066"/>
  <c r="H49" i="1066"/>
  <c r="G49" i="1066"/>
  <c r="F49" i="1066"/>
  <c r="E49" i="1066"/>
  <c r="E25" i="1066"/>
  <c r="D24" i="1066"/>
  <c r="U15" i="1066"/>
  <c r="R15" i="1066"/>
  <c r="U14" i="1066"/>
  <c r="R14" i="1066"/>
  <c r="U13" i="1066"/>
  <c r="R13" i="1066"/>
  <c r="U12" i="1066"/>
  <c r="R12" i="1066"/>
  <c r="U11" i="1066"/>
  <c r="R11" i="1066"/>
  <c r="U10" i="1066"/>
  <c r="R10" i="1066"/>
  <c r="U9" i="1066"/>
  <c r="R9" i="1066"/>
  <c r="U8" i="1066"/>
  <c r="R8" i="1066"/>
  <c r="U7" i="1066"/>
  <c r="R7" i="1066"/>
  <c r="B7" i="1066"/>
  <c r="D25" i="1066" s="1"/>
  <c r="U6" i="1066"/>
  <c r="R6" i="1066"/>
  <c r="U5" i="1066"/>
  <c r="R5" i="1066"/>
  <c r="U4" i="1066"/>
  <c r="R4" i="1066"/>
  <c r="R3" i="1066"/>
  <c r="B3" i="1066"/>
  <c r="K2" i="1066"/>
  <c r="K77" i="1066" s="1"/>
  <c r="J2" i="1066"/>
  <c r="I2" i="1066"/>
  <c r="H2" i="1066"/>
  <c r="G2" i="1066"/>
  <c r="F2" i="1066"/>
  <c r="F67" i="1066" s="1"/>
  <c r="E2" i="1066"/>
  <c r="E67" i="1066" s="1"/>
  <c r="B2" i="1066"/>
  <c r="B1" i="1066"/>
  <c r="B6" i="1065"/>
  <c r="B5" i="1065"/>
  <c r="N80" i="1065"/>
  <c r="N79" i="1065"/>
  <c r="N78" i="1065"/>
  <c r="K77" i="1065"/>
  <c r="J77" i="1065"/>
  <c r="I77" i="1065"/>
  <c r="H77" i="1065"/>
  <c r="G77" i="1065"/>
  <c r="N72" i="1065"/>
  <c r="N71" i="1065"/>
  <c r="N70" i="1065"/>
  <c r="N69" i="1065"/>
  <c r="N68" i="1065"/>
  <c r="J67" i="1065"/>
  <c r="I67" i="1065"/>
  <c r="H67" i="1065"/>
  <c r="G67" i="1065"/>
  <c r="N59" i="1065"/>
  <c r="N58" i="1065"/>
  <c r="N57" i="1065"/>
  <c r="N56" i="1065"/>
  <c r="N55" i="1065"/>
  <c r="N54" i="1065"/>
  <c r="N53" i="1065"/>
  <c r="N52" i="1065"/>
  <c r="N51" i="1065"/>
  <c r="N50" i="1065"/>
  <c r="J49" i="1065"/>
  <c r="I49" i="1065"/>
  <c r="H49" i="1065"/>
  <c r="G49" i="1065"/>
  <c r="F49" i="1065"/>
  <c r="E49" i="1065"/>
  <c r="E25" i="1065"/>
  <c r="D20" i="1065" s="1"/>
  <c r="D24" i="1065"/>
  <c r="D22" i="1065"/>
  <c r="D21" i="1065"/>
  <c r="U15" i="1065"/>
  <c r="R15" i="1065"/>
  <c r="U14" i="1065"/>
  <c r="R14" i="1065"/>
  <c r="U13" i="1065"/>
  <c r="R13" i="1065"/>
  <c r="U12" i="1065"/>
  <c r="R12" i="1065"/>
  <c r="U11" i="1065"/>
  <c r="R11" i="1065"/>
  <c r="U10" i="1065"/>
  <c r="R10" i="1065"/>
  <c r="U9" i="1065"/>
  <c r="R9" i="1065"/>
  <c r="U8" i="1065"/>
  <c r="R8" i="1065"/>
  <c r="U7" i="1065"/>
  <c r="R7" i="1065"/>
  <c r="B7" i="1065"/>
  <c r="D25" i="1065" s="1"/>
  <c r="U6" i="1065"/>
  <c r="R6" i="1065"/>
  <c r="U5" i="1065"/>
  <c r="R5" i="1065"/>
  <c r="U4" i="1065"/>
  <c r="R4" i="1065"/>
  <c r="R3" i="1065"/>
  <c r="B3" i="1065"/>
  <c r="K2" i="1065"/>
  <c r="J2" i="1065"/>
  <c r="I2" i="1065"/>
  <c r="H2" i="1065"/>
  <c r="G2" i="1065"/>
  <c r="F2" i="1065"/>
  <c r="F67" i="1065" s="1"/>
  <c r="E2" i="1065"/>
  <c r="E67" i="1065" s="1"/>
  <c r="B2" i="1065"/>
  <c r="B1" i="1065"/>
  <c r="B6" i="1064"/>
  <c r="B5" i="1064"/>
  <c r="N80" i="1064"/>
  <c r="N79" i="1064"/>
  <c r="N78" i="1064"/>
  <c r="K77" i="1064"/>
  <c r="J77" i="1064"/>
  <c r="N72" i="1064"/>
  <c r="N71" i="1064"/>
  <c r="N70" i="1064"/>
  <c r="N69" i="1064"/>
  <c r="N68" i="1064"/>
  <c r="K67" i="1064"/>
  <c r="J67" i="1064"/>
  <c r="I67" i="1064"/>
  <c r="H67" i="1064"/>
  <c r="G67" i="1064"/>
  <c r="N59" i="1064"/>
  <c r="N58" i="1064"/>
  <c r="N57" i="1064"/>
  <c r="N56" i="1064"/>
  <c r="N55" i="1064"/>
  <c r="N54" i="1064"/>
  <c r="N53" i="1064"/>
  <c r="N52" i="1064"/>
  <c r="N51" i="1064"/>
  <c r="N50" i="1064"/>
  <c r="K49" i="1064"/>
  <c r="J49" i="1064"/>
  <c r="I49" i="1064"/>
  <c r="H49" i="1064"/>
  <c r="G49" i="1064"/>
  <c r="F49" i="1064"/>
  <c r="E49" i="1064"/>
  <c r="E25" i="1064"/>
  <c r="D24" i="1064"/>
  <c r="U15" i="1064"/>
  <c r="R15" i="1064"/>
  <c r="U14" i="1064"/>
  <c r="R14" i="1064"/>
  <c r="U13" i="1064"/>
  <c r="R13" i="1064"/>
  <c r="U12" i="1064"/>
  <c r="R12" i="1064"/>
  <c r="U11" i="1064"/>
  <c r="R11" i="1064"/>
  <c r="U10" i="1064"/>
  <c r="R10" i="1064"/>
  <c r="U9" i="1064"/>
  <c r="R9" i="1064"/>
  <c r="U8" i="1064"/>
  <c r="R8" i="1064"/>
  <c r="U7" i="1064"/>
  <c r="R7" i="1064"/>
  <c r="B7" i="1064"/>
  <c r="D25" i="1064" s="1"/>
  <c r="U6" i="1064"/>
  <c r="R6" i="1064"/>
  <c r="U5" i="1064"/>
  <c r="R5" i="1064"/>
  <c r="U4" i="1064"/>
  <c r="R4" i="1064"/>
  <c r="R3" i="1064"/>
  <c r="B3" i="1064"/>
  <c r="K2" i="1064"/>
  <c r="J2" i="1064"/>
  <c r="I2" i="1064"/>
  <c r="I77" i="1064" s="1"/>
  <c r="H2" i="1064"/>
  <c r="H77" i="1064" s="1"/>
  <c r="G2" i="1064"/>
  <c r="G77" i="1064" s="1"/>
  <c r="F2" i="1064"/>
  <c r="F67" i="1064" s="1"/>
  <c r="E2" i="1064"/>
  <c r="E67" i="1064" s="1"/>
  <c r="B2" i="1064"/>
  <c r="B1" i="1064"/>
  <c r="B6" i="1063"/>
  <c r="B5" i="1063"/>
  <c r="N80" i="1063"/>
  <c r="N79" i="1063"/>
  <c r="N78" i="1063"/>
  <c r="K77" i="1063"/>
  <c r="J77" i="1063"/>
  <c r="I77" i="1063"/>
  <c r="H77" i="1063"/>
  <c r="G77" i="1063"/>
  <c r="N72" i="1063"/>
  <c r="N71" i="1063"/>
  <c r="N70" i="1063"/>
  <c r="N69" i="1063"/>
  <c r="N68" i="1063"/>
  <c r="J67" i="1063"/>
  <c r="I67" i="1063"/>
  <c r="H67" i="1063"/>
  <c r="G67" i="1063"/>
  <c r="F67" i="1063"/>
  <c r="E67" i="1063"/>
  <c r="N59" i="1063"/>
  <c r="N58" i="1063"/>
  <c r="N57" i="1063"/>
  <c r="N56" i="1063"/>
  <c r="N55" i="1063"/>
  <c r="N54" i="1063"/>
  <c r="N53" i="1063"/>
  <c r="N52" i="1063"/>
  <c r="N51" i="1063"/>
  <c r="N50" i="1063"/>
  <c r="J49" i="1063"/>
  <c r="I49" i="1063"/>
  <c r="H49" i="1063"/>
  <c r="G49" i="1063"/>
  <c r="F49" i="1063"/>
  <c r="E49" i="1063"/>
  <c r="E25" i="1063"/>
  <c r="D22" i="1063" s="1"/>
  <c r="D24" i="1063"/>
  <c r="U15" i="1063"/>
  <c r="R15" i="1063"/>
  <c r="U14" i="1063"/>
  <c r="R14" i="1063"/>
  <c r="U13" i="1063"/>
  <c r="R13" i="1063"/>
  <c r="U12" i="1063"/>
  <c r="R12" i="1063"/>
  <c r="U11" i="1063"/>
  <c r="R11" i="1063"/>
  <c r="U10" i="1063"/>
  <c r="R10" i="1063"/>
  <c r="U9" i="1063"/>
  <c r="R9" i="1063"/>
  <c r="U8" i="1063"/>
  <c r="R8" i="1063"/>
  <c r="U7" i="1063"/>
  <c r="R7" i="1063"/>
  <c r="B7" i="1063"/>
  <c r="B9" i="1063" s="1"/>
  <c r="U6" i="1063"/>
  <c r="R6" i="1063"/>
  <c r="U5" i="1063"/>
  <c r="R5" i="1063"/>
  <c r="U4" i="1063"/>
  <c r="R4" i="1063"/>
  <c r="R3" i="1063"/>
  <c r="B3" i="1063"/>
  <c r="K2" i="1063"/>
  <c r="J2" i="1063"/>
  <c r="I2" i="1063"/>
  <c r="H2" i="1063"/>
  <c r="G2" i="1063"/>
  <c r="F2" i="1063"/>
  <c r="F77" i="1063" s="1"/>
  <c r="E2" i="1063"/>
  <c r="E77" i="1063" s="1"/>
  <c r="B2" i="1063"/>
  <c r="B1" i="1063"/>
  <c r="B6" i="1062"/>
  <c r="B5" i="1062"/>
  <c r="N80" i="1062"/>
  <c r="N79" i="1062"/>
  <c r="N78" i="1062"/>
  <c r="N72" i="1062"/>
  <c r="N71" i="1062"/>
  <c r="N70" i="1062"/>
  <c r="N69" i="1062"/>
  <c r="N68" i="1062"/>
  <c r="K67" i="1062"/>
  <c r="J67" i="1062"/>
  <c r="I67" i="1062"/>
  <c r="H67" i="1062"/>
  <c r="G67" i="1062"/>
  <c r="N59" i="1062"/>
  <c r="N58" i="1062"/>
  <c r="N57" i="1062"/>
  <c r="N56" i="1062"/>
  <c r="N55" i="1062"/>
  <c r="N54" i="1062"/>
  <c r="N53" i="1062"/>
  <c r="N52" i="1062"/>
  <c r="N51" i="1062"/>
  <c r="N50" i="1062"/>
  <c r="K49" i="1062"/>
  <c r="J49" i="1062"/>
  <c r="I49" i="1062"/>
  <c r="H49" i="1062"/>
  <c r="G49" i="1062"/>
  <c r="F49" i="1062"/>
  <c r="E49" i="1062"/>
  <c r="E25" i="1062"/>
  <c r="D24" i="1062"/>
  <c r="U15" i="1062"/>
  <c r="R15" i="1062"/>
  <c r="U14" i="1062"/>
  <c r="R14" i="1062"/>
  <c r="U13" i="1062"/>
  <c r="R13" i="1062"/>
  <c r="U12" i="1062"/>
  <c r="R12" i="1062"/>
  <c r="U11" i="1062"/>
  <c r="R11" i="1062"/>
  <c r="U10" i="1062"/>
  <c r="R10" i="1062"/>
  <c r="U9" i="1062"/>
  <c r="R9" i="1062"/>
  <c r="U8" i="1062"/>
  <c r="R8" i="1062"/>
  <c r="U7" i="1062"/>
  <c r="R7" i="1062"/>
  <c r="B7" i="1062"/>
  <c r="D25" i="1062" s="1"/>
  <c r="U6" i="1062"/>
  <c r="R6" i="1062"/>
  <c r="U5" i="1062"/>
  <c r="R5" i="1062"/>
  <c r="U4" i="1062"/>
  <c r="R4" i="1062"/>
  <c r="R3" i="1062"/>
  <c r="B3" i="1062"/>
  <c r="K2" i="1062"/>
  <c r="K77" i="1062" s="1"/>
  <c r="J2" i="1062"/>
  <c r="J77" i="1062" s="1"/>
  <c r="I2" i="1062"/>
  <c r="I77" i="1062" s="1"/>
  <c r="H2" i="1062"/>
  <c r="H77" i="1062" s="1"/>
  <c r="G2" i="1062"/>
  <c r="G77" i="1062" s="1"/>
  <c r="F2" i="1062"/>
  <c r="F67" i="1062" s="1"/>
  <c r="E2" i="1062"/>
  <c r="E67" i="1062" s="1"/>
  <c r="B2" i="1062"/>
  <c r="B1" i="1062"/>
  <c r="B6" i="1061"/>
  <c r="B5" i="1061"/>
  <c r="N80" i="1061"/>
  <c r="N79" i="1061"/>
  <c r="N78" i="1061"/>
  <c r="K77" i="1061"/>
  <c r="J77" i="1061"/>
  <c r="N72" i="1061"/>
  <c r="N71" i="1061"/>
  <c r="N70" i="1061"/>
  <c r="N69" i="1061"/>
  <c r="N68" i="1061"/>
  <c r="K67" i="1061"/>
  <c r="J67" i="1061"/>
  <c r="I67" i="1061"/>
  <c r="H67" i="1061"/>
  <c r="G67" i="1061"/>
  <c r="F67" i="1061"/>
  <c r="E67" i="1061"/>
  <c r="N59" i="1061"/>
  <c r="N58" i="1061"/>
  <c r="N57" i="1061"/>
  <c r="N56" i="1061"/>
  <c r="N55" i="1061"/>
  <c r="N54" i="1061"/>
  <c r="N53" i="1061"/>
  <c r="N52" i="1061"/>
  <c r="N51" i="1061"/>
  <c r="N50" i="1061"/>
  <c r="K49" i="1061"/>
  <c r="J49" i="1061"/>
  <c r="I49" i="1061"/>
  <c r="H49" i="1061"/>
  <c r="G49" i="1061"/>
  <c r="F49" i="1061"/>
  <c r="E49" i="1061"/>
  <c r="E25" i="1061"/>
  <c r="D22" i="1061" s="1"/>
  <c r="D24" i="1061"/>
  <c r="U15" i="1061"/>
  <c r="R15" i="1061"/>
  <c r="U14" i="1061"/>
  <c r="R14" i="1061"/>
  <c r="U13" i="1061"/>
  <c r="R13" i="1061"/>
  <c r="U12" i="1061"/>
  <c r="R12" i="1061"/>
  <c r="U11" i="1061"/>
  <c r="R11" i="1061"/>
  <c r="U10" i="1061"/>
  <c r="R10" i="1061"/>
  <c r="U9" i="1061"/>
  <c r="R9" i="1061"/>
  <c r="U8" i="1061"/>
  <c r="R8" i="1061"/>
  <c r="U7" i="1061"/>
  <c r="R7" i="1061"/>
  <c r="B7" i="1061"/>
  <c r="B9" i="1061" s="1"/>
  <c r="U6" i="1061"/>
  <c r="R6" i="1061"/>
  <c r="U5" i="1061"/>
  <c r="R5" i="1061"/>
  <c r="U4" i="1061"/>
  <c r="R4" i="1061"/>
  <c r="R3" i="1061"/>
  <c r="B3" i="1061"/>
  <c r="K2" i="1061"/>
  <c r="J2" i="1061"/>
  <c r="I2" i="1061"/>
  <c r="I77" i="1061" s="1"/>
  <c r="H2" i="1061"/>
  <c r="H77" i="1061" s="1"/>
  <c r="G2" i="1061"/>
  <c r="G77" i="1061" s="1"/>
  <c r="F2" i="1061"/>
  <c r="F77" i="1061" s="1"/>
  <c r="E2" i="1061"/>
  <c r="E77" i="1061" s="1"/>
  <c r="B2" i="1061"/>
  <c r="B1" i="1061"/>
  <c r="I21" i="757"/>
  <c r="J21" i="757"/>
  <c r="K21" i="757"/>
  <c r="L21" i="757"/>
  <c r="M21" i="757"/>
  <c r="M3" i="757"/>
  <c r="J3" i="757"/>
  <c r="K3" i="757"/>
  <c r="L3" i="757"/>
  <c r="E20" i="952"/>
  <c r="F20" i="952"/>
  <c r="G20" i="952"/>
  <c r="H20" i="952"/>
  <c r="I20" i="952"/>
  <c r="E3" i="952"/>
  <c r="F3" i="952"/>
  <c r="G3" i="952"/>
  <c r="H3" i="952"/>
  <c r="I3" i="952"/>
  <c r="G77" i="207"/>
  <c r="H77" i="207"/>
  <c r="I77" i="207"/>
  <c r="J77" i="207"/>
  <c r="K77" i="207"/>
  <c r="G67" i="207"/>
  <c r="H67" i="207"/>
  <c r="I67" i="207"/>
  <c r="J67" i="207"/>
  <c r="K67" i="207"/>
  <c r="G49" i="207"/>
  <c r="H49" i="207"/>
  <c r="I49" i="207"/>
  <c r="J49" i="207"/>
  <c r="K49" i="207"/>
  <c r="F4" i="207" a="1"/>
  <c r="F4" i="207" s="1"/>
  <c r="G4" i="207" a="1"/>
  <c r="G4" i="207" s="1"/>
  <c r="H4" i="207" a="1"/>
  <c r="H4" i="207" s="1"/>
  <c r="I4" i="207" a="1"/>
  <c r="I4" i="207" s="1"/>
  <c r="J4" i="207" a="1"/>
  <c r="J4" i="207" s="1"/>
  <c r="K4" i="207" a="1"/>
  <c r="K4" i="207" s="1"/>
  <c r="G3" i="207" a="1"/>
  <c r="G3" i="207" s="1"/>
  <c r="H3" i="207" a="1"/>
  <c r="H3" i="207" s="1"/>
  <c r="I3" i="207" a="1"/>
  <c r="I3" i="207" s="1"/>
  <c r="J3" i="207" a="1"/>
  <c r="J3" i="207" s="1"/>
  <c r="K3" i="207" a="1"/>
  <c r="K3" i="207" s="1"/>
  <c r="F2" i="207"/>
  <c r="G2" i="207"/>
  <c r="H2" i="207"/>
  <c r="I2" i="207"/>
  <c r="J2" i="207"/>
  <c r="K2" i="207"/>
  <c r="B9" i="1072" l="1"/>
  <c r="B9" i="1070"/>
  <c r="D25" i="1068"/>
  <c r="B9" i="1068"/>
  <c r="D3" i="1068" a="1"/>
  <c r="D3" i="1068" s="1"/>
  <c r="L3" i="1068" s="1" a="1"/>
  <c r="L3" i="1068" s="1"/>
  <c r="D10" i="1068" a="1"/>
  <c r="D10" i="1068" s="1"/>
  <c r="J10" i="1068" s="1" a="1"/>
  <c r="J10" i="1068" s="1"/>
  <c r="D9" i="1068" a="1"/>
  <c r="D9" i="1068" s="1"/>
  <c r="L9" i="1068" s="1" a="1"/>
  <c r="L9" i="1068" s="1"/>
  <c r="D5" i="1068" a="1"/>
  <c r="D5" i="1068" s="1"/>
  <c r="G5" i="1068" s="1" a="1"/>
  <c r="G5" i="1068" s="1"/>
  <c r="D4" i="1068" a="1"/>
  <c r="D4" i="1068" s="1"/>
  <c r="G4" i="1068" s="1" a="1"/>
  <c r="G4" i="1068" s="1"/>
  <c r="B9" i="1067"/>
  <c r="B9" i="1065"/>
  <c r="E24" i="1065"/>
  <c r="D3" i="1065" s="1" a="1"/>
  <c r="D3" i="1065" s="1"/>
  <c r="F3" i="1065" s="1" a="1"/>
  <c r="F3" i="1065" s="1"/>
  <c r="E24" i="1063"/>
  <c r="D7" i="1063" s="1" a="1"/>
  <c r="D7" i="1063" s="1"/>
  <c r="D25" i="1063"/>
  <c r="D25" i="1061"/>
  <c r="E24" i="1061"/>
  <c r="D9" i="1061" s="1" a="1"/>
  <c r="D9" i="1061" s="1"/>
  <c r="G9" i="1061" s="1" a="1"/>
  <c r="G9" i="1061" s="1"/>
  <c r="E77" i="1072"/>
  <c r="F77" i="1072"/>
  <c r="D19" i="1072"/>
  <c r="D20" i="1072"/>
  <c r="D21" i="1072"/>
  <c r="E24" i="1072"/>
  <c r="E77" i="1071"/>
  <c r="F77" i="1071"/>
  <c r="B9" i="1071"/>
  <c r="D20" i="1071"/>
  <c r="D21" i="1071"/>
  <c r="D19" i="1071"/>
  <c r="E24" i="1071"/>
  <c r="K77" i="1070"/>
  <c r="K49" i="1070"/>
  <c r="K67" i="1070"/>
  <c r="D22" i="1070"/>
  <c r="D21" i="1070"/>
  <c r="E77" i="1070"/>
  <c r="F77" i="1070"/>
  <c r="E24" i="1070"/>
  <c r="E77" i="1069"/>
  <c r="D19" i="1069"/>
  <c r="D20" i="1069"/>
  <c r="D21" i="1069"/>
  <c r="B9" i="1069"/>
  <c r="F77" i="1069"/>
  <c r="E24" i="1069"/>
  <c r="D19" i="1068"/>
  <c r="D20" i="1068"/>
  <c r="D21" i="1068"/>
  <c r="K49" i="1068"/>
  <c r="K67" i="1068"/>
  <c r="D8" i="1068" a="1"/>
  <c r="D8" i="1068" s="1"/>
  <c r="D7" i="1068" a="1"/>
  <c r="D7" i="1068" s="1"/>
  <c r="D12" i="1068" a="1"/>
  <c r="D12" i="1068" s="1"/>
  <c r="D6" i="1068" a="1"/>
  <c r="D6" i="1068" s="1"/>
  <c r="D11" i="1068" a="1"/>
  <c r="D11" i="1068" s="1"/>
  <c r="K77" i="1067"/>
  <c r="K49" i="1067"/>
  <c r="K67" i="1067"/>
  <c r="D22" i="1067"/>
  <c r="D21" i="1067"/>
  <c r="E77" i="1067"/>
  <c r="F77" i="1067"/>
  <c r="E24" i="1067"/>
  <c r="D22" i="1066"/>
  <c r="D21" i="1066"/>
  <c r="D20" i="1066"/>
  <c r="D19" i="1066"/>
  <c r="K49" i="1066"/>
  <c r="E77" i="1066"/>
  <c r="F77" i="1066"/>
  <c r="E24" i="1066"/>
  <c r="B9" i="1066"/>
  <c r="D19" i="1065"/>
  <c r="K49" i="1065"/>
  <c r="K67" i="1065"/>
  <c r="E77" i="1065"/>
  <c r="F77" i="1065"/>
  <c r="D22" i="1064"/>
  <c r="D21" i="1064"/>
  <c r="D20" i="1064"/>
  <c r="D19" i="1064"/>
  <c r="E77" i="1064"/>
  <c r="F77" i="1064"/>
  <c r="B9" i="1064"/>
  <c r="E24" i="1064"/>
  <c r="D19" i="1063"/>
  <c r="D20" i="1063"/>
  <c r="D21" i="1063"/>
  <c r="K49" i="1063"/>
  <c r="K67" i="1063"/>
  <c r="D21" i="1062"/>
  <c r="D22" i="1062"/>
  <c r="D20" i="1062"/>
  <c r="D19" i="1062"/>
  <c r="F77" i="1062"/>
  <c r="E77" i="1062"/>
  <c r="B9" i="1062"/>
  <c r="E24" i="1062"/>
  <c r="D21" i="1061"/>
  <c r="D20" i="1061"/>
  <c r="D19" i="1061"/>
  <c r="D20" i="952"/>
  <c r="D3" i="952"/>
  <c r="I3" i="757"/>
  <c r="F77" i="207"/>
  <c r="G41" i="1"/>
  <c r="G40" i="1"/>
  <c r="Y10" i="3"/>
  <c r="AA3" i="3"/>
  <c r="AA4" i="3"/>
  <c r="S12" i="3"/>
  <c r="I13" i="3"/>
  <c r="W13" i="3"/>
  <c r="AA11" i="3"/>
  <c r="AA5" i="3"/>
  <c r="U10" i="3"/>
  <c r="W7" i="3"/>
  <c r="AA10" i="3"/>
  <c r="S13" i="3"/>
  <c r="M5" i="3"/>
  <c r="AC3" i="3"/>
  <c r="AC7" i="3"/>
  <c r="K11" i="3"/>
  <c r="W3" i="3"/>
  <c r="K13" i="3"/>
  <c r="M3" i="3"/>
  <c r="AC9" i="3"/>
  <c r="AC13" i="3"/>
  <c r="U7" i="3"/>
  <c r="O13" i="3"/>
  <c r="AA12" i="3"/>
  <c r="AC8" i="3"/>
  <c r="AA6" i="3"/>
  <c r="AA7" i="3"/>
  <c r="AC11" i="3"/>
  <c r="Q13" i="3"/>
  <c r="U4" i="3"/>
  <c r="Q2" i="3"/>
  <c r="AC4" i="3"/>
  <c r="AC5" i="3"/>
  <c r="Y7" i="3"/>
  <c r="AC10" i="3"/>
  <c r="U13" i="3"/>
  <c r="M7" i="3"/>
  <c r="W12" i="3"/>
  <c r="S9" i="3"/>
  <c r="Y12" i="3"/>
  <c r="AC2" i="3"/>
  <c r="AA9" i="3"/>
  <c r="M13" i="3"/>
  <c r="AA2" i="3"/>
  <c r="U8" i="3"/>
  <c r="AA8" i="3"/>
  <c r="AC12" i="3"/>
  <c r="AA13" i="3"/>
  <c r="AC6" i="3"/>
  <c r="U6" i="3"/>
  <c r="I5" i="1068" l="1" a="1"/>
  <c r="I5" i="1068" s="1"/>
  <c r="E4" i="1068" a="1"/>
  <c r="E4" i="1068" s="1"/>
  <c r="E3" i="1068" a="1"/>
  <c r="E3" i="1068" s="1"/>
  <c r="F3" i="1068" a="1"/>
  <c r="F3" i="1068" s="1"/>
  <c r="G3" i="1068" a="1"/>
  <c r="G3" i="1068" s="1"/>
  <c r="H3" i="1068" a="1"/>
  <c r="H3" i="1068" s="1"/>
  <c r="I3" i="1068" a="1"/>
  <c r="I3" i="1068" s="1"/>
  <c r="M3" i="1068" a="1"/>
  <c r="M3" i="1068" s="1"/>
  <c r="J3" i="1068" a="1"/>
  <c r="J3" i="1068" s="1"/>
  <c r="D12" i="1065" a="1"/>
  <c r="D12" i="1065" s="1"/>
  <c r="M12" i="1065" s="1" a="1"/>
  <c r="M12" i="1065" s="1"/>
  <c r="D6" i="1065" a="1"/>
  <c r="D6" i="1065" s="1"/>
  <c r="M6" i="1065" s="1" a="1"/>
  <c r="M6" i="1065" s="1"/>
  <c r="D10" i="1065" a="1"/>
  <c r="D10" i="1065" s="1"/>
  <c r="M10" i="1065" s="1" a="1"/>
  <c r="M10" i="1065" s="1"/>
  <c r="D5" i="1065" a="1"/>
  <c r="D5" i="1065" s="1"/>
  <c r="F5" i="1065" s="1" a="1"/>
  <c r="F5" i="1065" s="1"/>
  <c r="D11" i="1065" a="1"/>
  <c r="D11" i="1065" s="1"/>
  <c r="G11" i="1065" s="1" a="1"/>
  <c r="G11" i="1065" s="1"/>
  <c r="D4" i="1065" a="1"/>
  <c r="D4" i="1065" s="1"/>
  <c r="L4" i="1065" s="1" a="1"/>
  <c r="L4" i="1065" s="1"/>
  <c r="D7" i="1065" a="1"/>
  <c r="D7" i="1065" s="1"/>
  <c r="I7" i="1065" s="1" a="1"/>
  <c r="I7" i="1065" s="1"/>
  <c r="D12" i="1063" a="1"/>
  <c r="D12" i="1063" s="1"/>
  <c r="I12" i="1063" s="1" a="1"/>
  <c r="I12" i="1063" s="1"/>
  <c r="D8" i="1063" a="1"/>
  <c r="D8" i="1063" s="1"/>
  <c r="H8" i="1063" s="1" a="1"/>
  <c r="H8" i="1063" s="1"/>
  <c r="D11" i="1063" a="1"/>
  <c r="D11" i="1063" s="1"/>
  <c r="L11" i="1063" s="1" a="1"/>
  <c r="L11" i="1063" s="1"/>
  <c r="D6" i="1063" a="1"/>
  <c r="D6" i="1063" s="1"/>
  <c r="G6" i="1063" s="1" a="1"/>
  <c r="G6" i="1063" s="1"/>
  <c r="H5" i="1068" a="1"/>
  <c r="H5" i="1068" s="1"/>
  <c r="H4" i="1068" a="1"/>
  <c r="H4" i="1068" s="1"/>
  <c r="L4" i="1068" a="1"/>
  <c r="L4" i="1068" s="1"/>
  <c r="M4" i="1068" a="1"/>
  <c r="M4" i="1068" s="1"/>
  <c r="K3" i="1068" a="1"/>
  <c r="K3" i="1068" s="1"/>
  <c r="I4" i="1068" a="1"/>
  <c r="I4" i="1068" s="1"/>
  <c r="J4" i="1068" a="1"/>
  <c r="J4" i="1068" s="1"/>
  <c r="E9" i="1068" a="1"/>
  <c r="E9" i="1068" s="1"/>
  <c r="K4" i="1068" a="1"/>
  <c r="K4" i="1068" s="1"/>
  <c r="F9" i="1068" a="1"/>
  <c r="F9" i="1068" s="1"/>
  <c r="E10" i="1068" a="1"/>
  <c r="E10" i="1068" s="1"/>
  <c r="G9" i="1068" a="1"/>
  <c r="G9" i="1068" s="1"/>
  <c r="F10" i="1068" a="1"/>
  <c r="F10" i="1068" s="1"/>
  <c r="H9" i="1068" a="1"/>
  <c r="H9" i="1068" s="1"/>
  <c r="E5" i="1068" a="1"/>
  <c r="E5" i="1068" s="1"/>
  <c r="G10" i="1068" a="1"/>
  <c r="G10" i="1068" s="1"/>
  <c r="M9" i="1068" a="1"/>
  <c r="M9" i="1068" s="1"/>
  <c r="J5" i="1068" a="1"/>
  <c r="J5" i="1068" s="1"/>
  <c r="K10" i="1068" a="1"/>
  <c r="K10" i="1068" s="1"/>
  <c r="I9" i="1068" a="1"/>
  <c r="I9" i="1068" s="1"/>
  <c r="K5" i="1068" a="1"/>
  <c r="K5" i="1068" s="1"/>
  <c r="L10" i="1068" a="1"/>
  <c r="L10" i="1068" s="1"/>
  <c r="J9" i="1068" a="1"/>
  <c r="J9" i="1068" s="1"/>
  <c r="L5" i="1068" a="1"/>
  <c r="L5" i="1068" s="1"/>
  <c r="M10" i="1068" a="1"/>
  <c r="M10" i="1068" s="1"/>
  <c r="K9" i="1068" a="1"/>
  <c r="K9" i="1068" s="1"/>
  <c r="M5" i="1068" a="1"/>
  <c r="M5" i="1068" s="1"/>
  <c r="H10" i="1068" a="1"/>
  <c r="H10" i="1068" s="1"/>
  <c r="F5" i="1068" a="1"/>
  <c r="F5" i="1068" s="1"/>
  <c r="I10" i="1068" a="1"/>
  <c r="I10" i="1068" s="1"/>
  <c r="F4" i="1068" a="1"/>
  <c r="F4" i="1068" s="1"/>
  <c r="M3" i="1065" a="1"/>
  <c r="M3" i="1065" s="1"/>
  <c r="E3" i="1065" a="1"/>
  <c r="E3" i="1065" s="1"/>
  <c r="G3" i="1065" a="1"/>
  <c r="G3" i="1065" s="1"/>
  <c r="H3" i="1065" a="1"/>
  <c r="H3" i="1065" s="1"/>
  <c r="I3" i="1065" a="1"/>
  <c r="I3" i="1065" s="1"/>
  <c r="J3" i="1065" a="1"/>
  <c r="J3" i="1065" s="1"/>
  <c r="K3" i="1065" a="1"/>
  <c r="K3" i="1065" s="1"/>
  <c r="L3" i="1065" a="1"/>
  <c r="L3" i="1065" s="1"/>
  <c r="D8" i="1065" a="1"/>
  <c r="D8" i="1065" s="1"/>
  <c r="D9" i="1065" a="1"/>
  <c r="D9" i="1065" s="1"/>
  <c r="D5" i="1063" a="1"/>
  <c r="D5" i="1063" s="1"/>
  <c r="D4" i="1063" a="1"/>
  <c r="D4" i="1063" s="1"/>
  <c r="D3" i="1063" a="1"/>
  <c r="D3" i="1063" s="1"/>
  <c r="D10" i="1063" a="1"/>
  <c r="D10" i="1063" s="1"/>
  <c r="D9" i="1063" a="1"/>
  <c r="D9" i="1063" s="1"/>
  <c r="F9" i="1061" a="1"/>
  <c r="F9" i="1061" s="1"/>
  <c r="H9" i="1061" a="1"/>
  <c r="H9" i="1061" s="1"/>
  <c r="D8" i="1061" a="1"/>
  <c r="D8" i="1061" s="1"/>
  <c r="F8" i="1061" s="1" a="1"/>
  <c r="F8" i="1061" s="1"/>
  <c r="K9" i="1061" a="1"/>
  <c r="K9" i="1061" s="1"/>
  <c r="L9" i="1061" a="1"/>
  <c r="L9" i="1061" s="1"/>
  <c r="D7" i="1061" a="1"/>
  <c r="D7" i="1061" s="1"/>
  <c r="G7" i="1061" s="1" a="1"/>
  <c r="G7" i="1061" s="1"/>
  <c r="D3" i="1061" a="1"/>
  <c r="D3" i="1061" s="1"/>
  <c r="G3" i="1061" s="1" a="1"/>
  <c r="G3" i="1061" s="1"/>
  <c r="D10" i="1061" a="1"/>
  <c r="D10" i="1061" s="1"/>
  <c r="L10" i="1061" s="1" a="1"/>
  <c r="L10" i="1061" s="1"/>
  <c r="D4" i="1061" a="1"/>
  <c r="D4" i="1061" s="1"/>
  <c r="K4" i="1061" s="1" a="1"/>
  <c r="K4" i="1061" s="1"/>
  <c r="D5" i="1061" a="1"/>
  <c r="D5" i="1061" s="1"/>
  <c r="K5" i="1061" s="1" a="1"/>
  <c r="K5" i="1061" s="1"/>
  <c r="D11" i="1061" a="1"/>
  <c r="D11" i="1061" s="1"/>
  <c r="J11" i="1061" s="1" a="1"/>
  <c r="J11" i="1061" s="1"/>
  <c r="D12" i="1061" a="1"/>
  <c r="D12" i="1061" s="1"/>
  <c r="I12" i="1061" s="1" a="1"/>
  <c r="I12" i="1061" s="1"/>
  <c r="J9" i="1061" a="1"/>
  <c r="J9" i="1061" s="1"/>
  <c r="E9" i="1061" a="1"/>
  <c r="E9" i="1061" s="1"/>
  <c r="M9" i="1061" a="1"/>
  <c r="M9" i="1061" s="1"/>
  <c r="D6" i="1061" a="1"/>
  <c r="D6" i="1061" s="1"/>
  <c r="H6" i="1061" s="1" a="1"/>
  <c r="H6" i="1061" s="1"/>
  <c r="I9" i="1061" a="1"/>
  <c r="I9" i="1061" s="1"/>
  <c r="D10" i="1072" a="1"/>
  <c r="D10" i="1072" s="1"/>
  <c r="D4" i="1072" a="1"/>
  <c r="D4" i="1072" s="1"/>
  <c r="D9" i="1072" a="1"/>
  <c r="D9" i="1072" s="1"/>
  <c r="D3" i="1072" a="1"/>
  <c r="D3" i="1072" s="1"/>
  <c r="D5" i="1072" a="1"/>
  <c r="D5" i="1072" s="1"/>
  <c r="D12" i="1072" a="1"/>
  <c r="D12" i="1072" s="1"/>
  <c r="D11" i="1072" a="1"/>
  <c r="D11" i="1072" s="1"/>
  <c r="D8" i="1072" a="1"/>
  <c r="D8" i="1072" s="1"/>
  <c r="D7" i="1072" a="1"/>
  <c r="D7" i="1072" s="1"/>
  <c r="D6" i="1072" a="1"/>
  <c r="D6" i="1072" s="1"/>
  <c r="D10" i="1071" a="1"/>
  <c r="D10" i="1071" s="1"/>
  <c r="D7" i="1071" a="1"/>
  <c r="D7" i="1071" s="1"/>
  <c r="D8" i="1071" a="1"/>
  <c r="D8" i="1071" s="1"/>
  <c r="D11" i="1071" a="1"/>
  <c r="D11" i="1071" s="1"/>
  <c r="D4" i="1071" a="1"/>
  <c r="D4" i="1071" s="1"/>
  <c r="D5" i="1071" a="1"/>
  <c r="D5" i="1071" s="1"/>
  <c r="D9" i="1071" a="1"/>
  <c r="D9" i="1071" s="1"/>
  <c r="D6" i="1071" a="1"/>
  <c r="D6" i="1071" s="1"/>
  <c r="D3" i="1071" a="1"/>
  <c r="D3" i="1071" s="1"/>
  <c r="D12" i="1071" a="1"/>
  <c r="D12" i="1071" s="1"/>
  <c r="D10" i="1070" a="1"/>
  <c r="D10" i="1070" s="1"/>
  <c r="D4" i="1070" a="1"/>
  <c r="D4" i="1070" s="1"/>
  <c r="D9" i="1070" a="1"/>
  <c r="D9" i="1070" s="1"/>
  <c r="D8" i="1070" a="1"/>
  <c r="D8" i="1070" s="1"/>
  <c r="D7" i="1070" a="1"/>
  <c r="D7" i="1070" s="1"/>
  <c r="D12" i="1070" a="1"/>
  <c r="D12" i="1070" s="1"/>
  <c r="D3" i="1070" a="1"/>
  <c r="D3" i="1070" s="1"/>
  <c r="D6" i="1070" a="1"/>
  <c r="D6" i="1070" s="1"/>
  <c r="D11" i="1070" a="1"/>
  <c r="D11" i="1070" s="1"/>
  <c r="D5" i="1070" a="1"/>
  <c r="D5" i="1070" s="1"/>
  <c r="D6" i="1069" a="1"/>
  <c r="D6" i="1069" s="1"/>
  <c r="D11" i="1069" a="1"/>
  <c r="D11" i="1069" s="1"/>
  <c r="D10" i="1069" a="1"/>
  <c r="D10" i="1069" s="1"/>
  <c r="D12" i="1069" a="1"/>
  <c r="D12" i="1069" s="1"/>
  <c r="D8" i="1069" a="1"/>
  <c r="D8" i="1069" s="1"/>
  <c r="D4" i="1069" a="1"/>
  <c r="D4" i="1069" s="1"/>
  <c r="D3" i="1069" a="1"/>
  <c r="D3" i="1069" s="1"/>
  <c r="D9" i="1069" a="1"/>
  <c r="D9" i="1069" s="1"/>
  <c r="D7" i="1069" a="1"/>
  <c r="D7" i="1069" s="1"/>
  <c r="D5" i="1069" a="1"/>
  <c r="D5" i="1069" s="1"/>
  <c r="M8" i="1068" a="1"/>
  <c r="M8" i="1068" s="1"/>
  <c r="L8" i="1068" a="1"/>
  <c r="L8" i="1068" s="1"/>
  <c r="K8" i="1068" a="1"/>
  <c r="K8" i="1068" s="1"/>
  <c r="J8" i="1068" a="1"/>
  <c r="J8" i="1068" s="1"/>
  <c r="I8" i="1068" a="1"/>
  <c r="I8" i="1068" s="1"/>
  <c r="H8" i="1068" a="1"/>
  <c r="H8" i="1068" s="1"/>
  <c r="G8" i="1068" a="1"/>
  <c r="G8" i="1068" s="1"/>
  <c r="F8" i="1068" a="1"/>
  <c r="F8" i="1068" s="1"/>
  <c r="E8" i="1068" a="1"/>
  <c r="E8" i="1068" s="1"/>
  <c r="I11" i="1068" a="1"/>
  <c r="I11" i="1068" s="1"/>
  <c r="H11" i="1068" a="1"/>
  <c r="H11" i="1068" s="1"/>
  <c r="G11" i="1068" a="1"/>
  <c r="G11" i="1068" s="1"/>
  <c r="F11" i="1068" a="1"/>
  <c r="F11" i="1068" s="1"/>
  <c r="E11" i="1068" a="1"/>
  <c r="E11" i="1068" s="1"/>
  <c r="M11" i="1068" a="1"/>
  <c r="M11" i="1068" s="1"/>
  <c r="L11" i="1068" a="1"/>
  <c r="L11" i="1068" s="1"/>
  <c r="K11" i="1068" a="1"/>
  <c r="K11" i="1068" s="1"/>
  <c r="J11" i="1068" a="1"/>
  <c r="J11" i="1068" s="1"/>
  <c r="G6" i="1068" a="1"/>
  <c r="G6" i="1068" s="1"/>
  <c r="F6" i="1068" a="1"/>
  <c r="F6" i="1068" s="1"/>
  <c r="E6" i="1068" a="1"/>
  <c r="E6" i="1068" s="1"/>
  <c r="I6" i="1068" a="1"/>
  <c r="I6" i="1068" s="1"/>
  <c r="H6" i="1068" a="1"/>
  <c r="H6" i="1068" s="1"/>
  <c r="M6" i="1068" a="1"/>
  <c r="M6" i="1068" s="1"/>
  <c r="L6" i="1068" a="1"/>
  <c r="L6" i="1068" s="1"/>
  <c r="K6" i="1068" a="1"/>
  <c r="K6" i="1068" s="1"/>
  <c r="J6" i="1068" a="1"/>
  <c r="J6" i="1068" s="1"/>
  <c r="G12" i="1068" a="1"/>
  <c r="G12" i="1068" s="1"/>
  <c r="F12" i="1068" a="1"/>
  <c r="F12" i="1068" s="1"/>
  <c r="E12" i="1068" a="1"/>
  <c r="E12" i="1068" s="1"/>
  <c r="K12" i="1068" a="1"/>
  <c r="K12" i="1068" s="1"/>
  <c r="J12" i="1068" a="1"/>
  <c r="J12" i="1068" s="1"/>
  <c r="I12" i="1068" a="1"/>
  <c r="I12" i="1068" s="1"/>
  <c r="H12" i="1068" a="1"/>
  <c r="H12" i="1068" s="1"/>
  <c r="M12" i="1068" a="1"/>
  <c r="M12" i="1068" s="1"/>
  <c r="L12" i="1068" a="1"/>
  <c r="L12" i="1068" s="1"/>
  <c r="E7" i="1068" a="1"/>
  <c r="E7" i="1068" s="1"/>
  <c r="M7" i="1068" a="1"/>
  <c r="M7" i="1068" s="1"/>
  <c r="I7" i="1068" a="1"/>
  <c r="I7" i="1068" s="1"/>
  <c r="H7" i="1068" a="1"/>
  <c r="H7" i="1068" s="1"/>
  <c r="G7" i="1068" a="1"/>
  <c r="G7" i="1068" s="1"/>
  <c r="F7" i="1068" a="1"/>
  <c r="F7" i="1068" s="1"/>
  <c r="L7" i="1068" a="1"/>
  <c r="L7" i="1068" s="1"/>
  <c r="K7" i="1068" a="1"/>
  <c r="K7" i="1068" s="1"/>
  <c r="J7" i="1068" a="1"/>
  <c r="J7" i="1068" s="1"/>
  <c r="D10" i="1067" a="1"/>
  <c r="D10" i="1067" s="1"/>
  <c r="D4" i="1067" a="1"/>
  <c r="D4" i="1067" s="1"/>
  <c r="D9" i="1067" a="1"/>
  <c r="D9" i="1067" s="1"/>
  <c r="D8" i="1067" a="1"/>
  <c r="D8" i="1067" s="1"/>
  <c r="D7" i="1067" a="1"/>
  <c r="D7" i="1067" s="1"/>
  <c r="D6" i="1067" a="1"/>
  <c r="D6" i="1067" s="1"/>
  <c r="D11" i="1067" a="1"/>
  <c r="D11" i="1067" s="1"/>
  <c r="D5" i="1067" a="1"/>
  <c r="D5" i="1067" s="1"/>
  <c r="D3" i="1067" a="1"/>
  <c r="D3" i="1067" s="1"/>
  <c r="D12" i="1067" a="1"/>
  <c r="D12" i="1067" s="1"/>
  <c r="D10" i="1066" a="1"/>
  <c r="D10" i="1066" s="1"/>
  <c r="D3" i="1066" a="1"/>
  <c r="D3" i="1066" s="1"/>
  <c r="D12" i="1066" a="1"/>
  <c r="D12" i="1066" s="1"/>
  <c r="D6" i="1066" a="1"/>
  <c r="D6" i="1066" s="1"/>
  <c r="D4" i="1066" a="1"/>
  <c r="D4" i="1066" s="1"/>
  <c r="D9" i="1066" a="1"/>
  <c r="D9" i="1066" s="1"/>
  <c r="D8" i="1066" a="1"/>
  <c r="D8" i="1066" s="1"/>
  <c r="D7" i="1066" a="1"/>
  <c r="D7" i="1066" s="1"/>
  <c r="D5" i="1066" a="1"/>
  <c r="D5" i="1066" s="1"/>
  <c r="D11" i="1066" a="1"/>
  <c r="D11" i="1066" s="1"/>
  <c r="D10" i="1064" a="1"/>
  <c r="D10" i="1064" s="1"/>
  <c r="D4" i="1064" a="1"/>
  <c r="D4" i="1064" s="1"/>
  <c r="D9" i="1064" a="1"/>
  <c r="D9" i="1064" s="1"/>
  <c r="D5" i="1064" a="1"/>
  <c r="D5" i="1064" s="1"/>
  <c r="D3" i="1064" a="1"/>
  <c r="D3" i="1064" s="1"/>
  <c r="D8" i="1064" a="1"/>
  <c r="D8" i="1064" s="1"/>
  <c r="D7" i="1064" a="1"/>
  <c r="D7" i="1064" s="1"/>
  <c r="D12" i="1064" a="1"/>
  <c r="D12" i="1064" s="1"/>
  <c r="D6" i="1064" a="1"/>
  <c r="D6" i="1064" s="1"/>
  <c r="D11" i="1064" a="1"/>
  <c r="D11" i="1064" s="1"/>
  <c r="E7" i="1063" a="1"/>
  <c r="E7" i="1063" s="1"/>
  <c r="M7" i="1063" a="1"/>
  <c r="M7" i="1063" s="1"/>
  <c r="K7" i="1063" a="1"/>
  <c r="K7" i="1063" s="1"/>
  <c r="J7" i="1063" a="1"/>
  <c r="J7" i="1063" s="1"/>
  <c r="L7" i="1063" a="1"/>
  <c r="L7" i="1063" s="1"/>
  <c r="I7" i="1063" a="1"/>
  <c r="I7" i="1063" s="1"/>
  <c r="H7" i="1063" a="1"/>
  <c r="H7" i="1063" s="1"/>
  <c r="G7" i="1063" a="1"/>
  <c r="G7" i="1063" s="1"/>
  <c r="F7" i="1063" a="1"/>
  <c r="F7" i="1063" s="1"/>
  <c r="D10" i="1062" a="1"/>
  <c r="D10" i="1062" s="1"/>
  <c r="D3" i="1062" a="1"/>
  <c r="D3" i="1062" s="1"/>
  <c r="D4" i="1062" a="1"/>
  <c r="D4" i="1062" s="1"/>
  <c r="D9" i="1062" a="1"/>
  <c r="D9" i="1062" s="1"/>
  <c r="D8" i="1062" a="1"/>
  <c r="D8" i="1062" s="1"/>
  <c r="D7" i="1062" a="1"/>
  <c r="D7" i="1062" s="1"/>
  <c r="D5" i="1062" a="1"/>
  <c r="D5" i="1062" s="1"/>
  <c r="D12" i="1062" a="1"/>
  <c r="D12" i="1062" s="1"/>
  <c r="D6" i="1062" a="1"/>
  <c r="D6" i="1062" s="1"/>
  <c r="D11" i="1062" a="1"/>
  <c r="D11" i="1062" s="1"/>
  <c r="F49" i="207"/>
  <c r="F67" i="207"/>
  <c r="C20" i="952"/>
  <c r="C3" i="952"/>
  <c r="G13" i="3"/>
  <c r="O3" i="3"/>
  <c r="M9" i="3"/>
  <c r="O11" i="3"/>
  <c r="I8" i="3"/>
  <c r="M12" i="3"/>
  <c r="M11" i="3"/>
  <c r="M4" i="3"/>
  <c r="S4" i="3"/>
  <c r="O5" i="3"/>
  <c r="M10" i="3"/>
  <c r="O12" i="3"/>
  <c r="Q6" i="3"/>
  <c r="G12" i="3"/>
  <c r="Q7" i="3"/>
  <c r="K7" i="3"/>
  <c r="Y13" i="3"/>
  <c r="I12" i="3"/>
  <c r="Y11" i="3"/>
  <c r="I2" i="3"/>
  <c r="Q3" i="3"/>
  <c r="O10" i="3"/>
  <c r="K2" i="3"/>
  <c r="U3" i="3"/>
  <c r="K10" i="3"/>
  <c r="S7" i="3"/>
  <c r="Y5" i="3"/>
  <c r="Q5" i="3"/>
  <c r="S6" i="3"/>
  <c r="Y8" i="3"/>
  <c r="I4" i="3"/>
  <c r="K4" i="3"/>
  <c r="O6" i="3"/>
  <c r="W6" i="3"/>
  <c r="O9" i="3"/>
  <c r="S8" i="3"/>
  <c r="U9" i="3"/>
  <c r="K12" i="3"/>
  <c r="Q4" i="3"/>
  <c r="W2" i="3"/>
  <c r="S5" i="3"/>
  <c r="Y9" i="3"/>
  <c r="G6" i="3"/>
  <c r="M6" i="3"/>
  <c r="O8" i="3"/>
  <c r="G10" i="3"/>
  <c r="W10" i="3"/>
  <c r="G7" i="3"/>
  <c r="G4" i="3"/>
  <c r="Y4" i="3"/>
  <c r="G11" i="3"/>
  <c r="U2" i="3"/>
  <c r="I6" i="3"/>
  <c r="G9" i="3"/>
  <c r="W5" i="3"/>
  <c r="Y3" i="3"/>
  <c r="W11" i="3"/>
  <c r="K5" i="3"/>
  <c r="O2" i="3"/>
  <c r="U12" i="3"/>
  <c r="S3" i="3"/>
  <c r="M2" i="3"/>
  <c r="I11" i="3"/>
  <c r="Y6" i="3"/>
  <c r="O7" i="3"/>
  <c r="G8" i="3"/>
  <c r="Q9" i="3"/>
  <c r="S11" i="3"/>
  <c r="G2" i="3"/>
  <c r="K6" i="3"/>
  <c r="O4" i="3"/>
  <c r="U11" i="3"/>
  <c r="U5" i="3"/>
  <c r="K9" i="3"/>
  <c r="M8" i="3"/>
  <c r="W9" i="3"/>
  <c r="G3" i="3"/>
  <c r="Q11" i="3"/>
  <c r="K8" i="3"/>
  <c r="Q10" i="3"/>
  <c r="K3" i="3"/>
  <c r="I10" i="3"/>
  <c r="Y2" i="3"/>
  <c r="I7" i="3"/>
  <c r="I3" i="3"/>
  <c r="G5" i="3"/>
  <c r="W4" i="3"/>
  <c r="Q8" i="3"/>
  <c r="Q12" i="3"/>
  <c r="I9" i="3"/>
  <c r="W8" i="3"/>
  <c r="S10" i="3"/>
  <c r="I5" i="3"/>
  <c r="S2" i="3"/>
  <c r="K4" i="1065" l="1" a="1"/>
  <c r="K4" i="1065" s="1"/>
  <c r="E4" i="1065" a="1"/>
  <c r="E4" i="1065" s="1"/>
  <c r="J4" i="1065" a="1"/>
  <c r="J4" i="1065" s="1"/>
  <c r="L12" i="1065" a="1"/>
  <c r="L12" i="1065" s="1"/>
  <c r="I4" i="1065" a="1"/>
  <c r="I4" i="1065" s="1"/>
  <c r="M4" i="1065" a="1"/>
  <c r="M4" i="1065" s="1"/>
  <c r="H10" i="1065" a="1"/>
  <c r="H10" i="1065" s="1"/>
  <c r="J12" i="1065" a="1"/>
  <c r="J12" i="1065" s="1"/>
  <c r="I11" i="1065" a="1"/>
  <c r="I11" i="1065" s="1"/>
  <c r="E11" i="1065" a="1"/>
  <c r="E11" i="1065" s="1"/>
  <c r="M11" i="1065" a="1"/>
  <c r="M11" i="1065" s="1"/>
  <c r="H11" i="1065" a="1"/>
  <c r="H11" i="1065" s="1"/>
  <c r="G6" i="1065" a="1"/>
  <c r="G6" i="1065" s="1"/>
  <c r="M5" i="1065" a="1"/>
  <c r="M5" i="1065" s="1"/>
  <c r="E10" i="1065" a="1"/>
  <c r="E10" i="1065" s="1"/>
  <c r="I5" i="1065" a="1"/>
  <c r="I5" i="1065" s="1"/>
  <c r="L10" i="1065" a="1"/>
  <c r="L10" i="1065" s="1"/>
  <c r="K6" i="1065" a="1"/>
  <c r="K6" i="1065" s="1"/>
  <c r="H5" i="1065" a="1"/>
  <c r="H5" i="1065" s="1"/>
  <c r="G12" i="1065" a="1"/>
  <c r="G12" i="1065" s="1"/>
  <c r="G5" i="1065" a="1"/>
  <c r="G5" i="1065" s="1"/>
  <c r="F10" i="1065" a="1"/>
  <c r="F10" i="1065" s="1"/>
  <c r="J5" i="1065" a="1"/>
  <c r="J5" i="1065" s="1"/>
  <c r="F6" i="1065" a="1"/>
  <c r="F6" i="1065" s="1"/>
  <c r="K12" i="1065" a="1"/>
  <c r="K12" i="1065" s="1"/>
  <c r="E5" i="1065" a="1"/>
  <c r="E5" i="1065" s="1"/>
  <c r="H6" i="1065" a="1"/>
  <c r="H6" i="1065" s="1"/>
  <c r="E6" i="1065" a="1"/>
  <c r="E6" i="1065" s="1"/>
  <c r="F12" i="1065" a="1"/>
  <c r="F12" i="1065" s="1"/>
  <c r="N3" i="1068"/>
  <c r="G10" i="1065" a="1"/>
  <c r="G10" i="1065" s="1"/>
  <c r="K5" i="1065" a="1"/>
  <c r="K5" i="1065" s="1"/>
  <c r="K10" i="1065" a="1"/>
  <c r="K10" i="1065" s="1"/>
  <c r="I6" i="1065" a="1"/>
  <c r="I6" i="1065" s="1"/>
  <c r="L5" i="1065" a="1"/>
  <c r="L5" i="1065" s="1"/>
  <c r="H4" i="1065" a="1"/>
  <c r="H4" i="1065" s="1"/>
  <c r="E12" i="1065" a="1"/>
  <c r="E12" i="1065" s="1"/>
  <c r="F11" i="1065" a="1"/>
  <c r="F11" i="1065" s="1"/>
  <c r="F7" i="1065" a="1"/>
  <c r="F7" i="1065" s="1"/>
  <c r="J6" i="1065" a="1"/>
  <c r="J6" i="1065" s="1"/>
  <c r="G7" i="1065" a="1"/>
  <c r="G7" i="1065" s="1"/>
  <c r="H7" i="1065" a="1"/>
  <c r="H7" i="1065" s="1"/>
  <c r="J10" i="1065" a="1"/>
  <c r="J10" i="1065" s="1"/>
  <c r="H12" i="1065" a="1"/>
  <c r="H12" i="1065" s="1"/>
  <c r="I12" i="1065" a="1"/>
  <c r="I12" i="1065" s="1"/>
  <c r="L7" i="1065" a="1"/>
  <c r="L7" i="1065" s="1"/>
  <c r="L11" i="1065" a="1"/>
  <c r="L11" i="1065" s="1"/>
  <c r="L6" i="1065" a="1"/>
  <c r="L6" i="1065" s="1"/>
  <c r="I10" i="1065" a="1"/>
  <c r="I10" i="1065" s="1"/>
  <c r="J7" i="1065" a="1"/>
  <c r="J7" i="1065" s="1"/>
  <c r="K7" i="1065" a="1"/>
  <c r="K7" i="1065" s="1"/>
  <c r="H12" i="1063" a="1"/>
  <c r="H12" i="1063" s="1"/>
  <c r="J12" i="1063" a="1"/>
  <c r="J12" i="1063" s="1"/>
  <c r="M12" i="1063" a="1"/>
  <c r="M12" i="1063" s="1"/>
  <c r="F8" i="1063" a="1"/>
  <c r="F8" i="1063" s="1"/>
  <c r="G8" i="1063" a="1"/>
  <c r="G8" i="1063" s="1"/>
  <c r="I8" i="1063" a="1"/>
  <c r="I8" i="1063" s="1"/>
  <c r="M11" i="1063" a="1"/>
  <c r="M11" i="1063" s="1"/>
  <c r="M8" i="1063" a="1"/>
  <c r="M8" i="1063" s="1"/>
  <c r="L12" i="1063" a="1"/>
  <c r="L12" i="1063" s="1"/>
  <c r="K12" i="1063" a="1"/>
  <c r="K12" i="1063" s="1"/>
  <c r="E12" i="1063" a="1"/>
  <c r="E12" i="1063" s="1"/>
  <c r="F12" i="1063" a="1"/>
  <c r="F12" i="1063" s="1"/>
  <c r="J8" i="1063" a="1"/>
  <c r="J8" i="1063" s="1"/>
  <c r="I11" i="1063" a="1"/>
  <c r="I11" i="1063" s="1"/>
  <c r="E8" i="1063" a="1"/>
  <c r="E8" i="1063" s="1"/>
  <c r="G12" i="1063" a="1"/>
  <c r="G12" i="1063" s="1"/>
  <c r="L8" i="1063" a="1"/>
  <c r="L8" i="1063" s="1"/>
  <c r="F11" i="1063" a="1"/>
  <c r="F11" i="1063" s="1"/>
  <c r="G11" i="1063" a="1"/>
  <c r="G11" i="1063" s="1"/>
  <c r="H11" i="1063" a="1"/>
  <c r="H11" i="1063" s="1"/>
  <c r="N4" i="1068"/>
  <c r="M7" i="1065" a="1"/>
  <c r="M7" i="1065" s="1"/>
  <c r="E7" i="1065" a="1"/>
  <c r="E7" i="1065" s="1"/>
  <c r="G4" i="1065" a="1"/>
  <c r="G4" i="1065" s="1"/>
  <c r="K11" i="1065" a="1"/>
  <c r="K11" i="1065" s="1"/>
  <c r="F4" i="1065" a="1"/>
  <c r="F4" i="1065" s="1"/>
  <c r="J11" i="1065" a="1"/>
  <c r="J11" i="1065" s="1"/>
  <c r="K8" i="1063" a="1"/>
  <c r="K8" i="1063" s="1"/>
  <c r="H6" i="1063" a="1"/>
  <c r="H6" i="1063" s="1"/>
  <c r="I6" i="1063" a="1"/>
  <c r="I6" i="1063" s="1"/>
  <c r="K6" i="1063" a="1"/>
  <c r="K6" i="1063" s="1"/>
  <c r="L6" i="1063" a="1"/>
  <c r="L6" i="1063" s="1"/>
  <c r="J6" i="1063" a="1"/>
  <c r="J6" i="1063" s="1"/>
  <c r="M6" i="1063" a="1"/>
  <c r="M6" i="1063" s="1"/>
  <c r="E6" i="1063" a="1"/>
  <c r="E6" i="1063" s="1"/>
  <c r="F6" i="1063" a="1"/>
  <c r="F6" i="1063" s="1"/>
  <c r="K11" i="1063" a="1"/>
  <c r="K11" i="1063" s="1"/>
  <c r="E11" i="1063" a="1"/>
  <c r="E11" i="1063" s="1"/>
  <c r="J11" i="1063" a="1"/>
  <c r="J11" i="1063" s="1"/>
  <c r="K8" i="1061" a="1"/>
  <c r="K8" i="1061" s="1"/>
  <c r="M8" i="1061" a="1"/>
  <c r="M8" i="1061" s="1"/>
  <c r="I8" i="1061" a="1"/>
  <c r="I8" i="1061" s="1"/>
  <c r="L8" i="1061" a="1"/>
  <c r="L8" i="1061" s="1"/>
  <c r="E8" i="1061" a="1"/>
  <c r="E8" i="1061" s="1"/>
  <c r="N5" i="1068"/>
  <c r="N9" i="1068"/>
  <c r="N10" i="1068"/>
  <c r="N3" i="1065"/>
  <c r="J9" i="1065" a="1"/>
  <c r="J9" i="1065" s="1"/>
  <c r="H9" i="1065" a="1"/>
  <c r="H9" i="1065" s="1"/>
  <c r="G9" i="1065" a="1"/>
  <c r="G9" i="1065" s="1"/>
  <c r="F9" i="1065" a="1"/>
  <c r="F9" i="1065" s="1"/>
  <c r="I9" i="1065" a="1"/>
  <c r="I9" i="1065" s="1"/>
  <c r="E9" i="1065" a="1"/>
  <c r="E9" i="1065" s="1"/>
  <c r="M9" i="1065" a="1"/>
  <c r="M9" i="1065" s="1"/>
  <c r="L9" i="1065" a="1"/>
  <c r="L9" i="1065" s="1"/>
  <c r="K9" i="1065" a="1"/>
  <c r="K9" i="1065" s="1"/>
  <c r="H8" i="1065" a="1"/>
  <c r="H8" i="1065" s="1"/>
  <c r="F8" i="1065" a="1"/>
  <c r="F8" i="1065" s="1"/>
  <c r="F14" i="1065" s="1"/>
  <c r="G8" i="1065" a="1"/>
  <c r="G8" i="1065" s="1"/>
  <c r="G14" i="1065" s="1"/>
  <c r="M8" i="1065" a="1"/>
  <c r="M8" i="1065" s="1"/>
  <c r="M14" i="1065" s="1"/>
  <c r="E8" i="1065" a="1"/>
  <c r="E8" i="1065" s="1"/>
  <c r="J8" i="1065" a="1"/>
  <c r="J8" i="1065" s="1"/>
  <c r="L8" i="1065" a="1"/>
  <c r="L8" i="1065" s="1"/>
  <c r="K8" i="1065" a="1"/>
  <c r="K8" i="1065" s="1"/>
  <c r="I8" i="1065" a="1"/>
  <c r="I8" i="1065" s="1"/>
  <c r="K10" i="1063" a="1"/>
  <c r="K10" i="1063" s="1"/>
  <c r="F10" i="1063" a="1"/>
  <c r="F10" i="1063" s="1"/>
  <c r="L10" i="1063" a="1"/>
  <c r="L10" i="1063" s="1"/>
  <c r="E10" i="1063" a="1"/>
  <c r="E10" i="1063" s="1"/>
  <c r="G10" i="1063" a="1"/>
  <c r="G10" i="1063" s="1"/>
  <c r="M10" i="1063" a="1"/>
  <c r="M10" i="1063" s="1"/>
  <c r="J10" i="1063" a="1"/>
  <c r="J10" i="1063" s="1"/>
  <c r="I10" i="1063" a="1"/>
  <c r="I10" i="1063" s="1"/>
  <c r="H10" i="1063" a="1"/>
  <c r="H10" i="1063" s="1"/>
  <c r="K3" i="1063" a="1"/>
  <c r="K3" i="1063" s="1"/>
  <c r="J3" i="1063" a="1"/>
  <c r="J3" i="1063" s="1"/>
  <c r="M3" i="1063" a="1"/>
  <c r="M3" i="1063" s="1"/>
  <c r="F3" i="1063" a="1"/>
  <c r="F3" i="1063" s="1"/>
  <c r="E3" i="1063" a="1"/>
  <c r="E3" i="1063" s="1"/>
  <c r="L3" i="1063" a="1"/>
  <c r="L3" i="1063" s="1"/>
  <c r="L14" i="1063" s="1"/>
  <c r="I3" i="1063" a="1"/>
  <c r="I3" i="1063" s="1"/>
  <c r="H3" i="1063" a="1"/>
  <c r="H3" i="1063" s="1"/>
  <c r="H14" i="1063" s="1"/>
  <c r="G3" i="1063" a="1"/>
  <c r="G3" i="1063" s="1"/>
  <c r="G14" i="1063" s="1"/>
  <c r="K4" i="1063" a="1"/>
  <c r="K4" i="1063" s="1"/>
  <c r="I4" i="1063" a="1"/>
  <c r="I4" i="1063" s="1"/>
  <c r="I14" i="1063" s="1"/>
  <c r="L4" i="1063" a="1"/>
  <c r="L4" i="1063" s="1"/>
  <c r="H4" i="1063" a="1"/>
  <c r="H4" i="1063" s="1"/>
  <c r="G4" i="1063" a="1"/>
  <c r="G4" i="1063" s="1"/>
  <c r="J4" i="1063" a="1"/>
  <c r="J4" i="1063" s="1"/>
  <c r="F4" i="1063" a="1"/>
  <c r="F4" i="1063" s="1"/>
  <c r="E4" i="1063" a="1"/>
  <c r="E4" i="1063" s="1"/>
  <c r="M4" i="1063" a="1"/>
  <c r="M4" i="1063" s="1"/>
  <c r="J5" i="1063" a="1"/>
  <c r="J5" i="1063" s="1"/>
  <c r="M5" i="1063" a="1"/>
  <c r="M5" i="1063" s="1"/>
  <c r="L5" i="1063" a="1"/>
  <c r="L5" i="1063" s="1"/>
  <c r="E5" i="1063" a="1"/>
  <c r="E5" i="1063" s="1"/>
  <c r="G5" i="1063" a="1"/>
  <c r="G5" i="1063" s="1"/>
  <c r="F5" i="1063" a="1"/>
  <c r="F5" i="1063" s="1"/>
  <c r="I5" i="1063" a="1"/>
  <c r="I5" i="1063" s="1"/>
  <c r="H5" i="1063" a="1"/>
  <c r="H5" i="1063" s="1"/>
  <c r="K5" i="1063" a="1"/>
  <c r="K5" i="1063" s="1"/>
  <c r="K9" i="1063" a="1"/>
  <c r="K9" i="1063" s="1"/>
  <c r="J9" i="1063" a="1"/>
  <c r="J9" i="1063" s="1"/>
  <c r="J14" i="1063" s="1"/>
  <c r="I9" i="1063" a="1"/>
  <c r="I9" i="1063" s="1"/>
  <c r="E9" i="1063" a="1"/>
  <c r="E9" i="1063" s="1"/>
  <c r="H9" i="1063" a="1"/>
  <c r="H9" i="1063" s="1"/>
  <c r="F9" i="1063" a="1"/>
  <c r="F9" i="1063" s="1"/>
  <c r="L9" i="1063" a="1"/>
  <c r="L9" i="1063" s="1"/>
  <c r="M9" i="1063" a="1"/>
  <c r="M9" i="1063" s="1"/>
  <c r="G9" i="1063" a="1"/>
  <c r="G9" i="1063" s="1"/>
  <c r="N9" i="1061"/>
  <c r="L4" i="1061" a="1"/>
  <c r="L4" i="1061" s="1"/>
  <c r="I3" i="1061" a="1"/>
  <c r="I3" i="1061" s="1"/>
  <c r="J3" i="1061" a="1"/>
  <c r="J3" i="1061" s="1"/>
  <c r="K3" i="1061" a="1"/>
  <c r="K3" i="1061" s="1"/>
  <c r="M4" i="1061" a="1"/>
  <c r="M4" i="1061" s="1"/>
  <c r="H3" i="1061" a="1"/>
  <c r="H3" i="1061" s="1"/>
  <c r="E7" i="1061" a="1"/>
  <c r="E7" i="1061" s="1"/>
  <c r="L5" i="1061" a="1"/>
  <c r="L5" i="1061" s="1"/>
  <c r="M6" i="1061" a="1"/>
  <c r="M6" i="1061" s="1"/>
  <c r="E6" i="1061" a="1"/>
  <c r="E6" i="1061" s="1"/>
  <c r="M11" i="1061" a="1"/>
  <c r="M11" i="1061" s="1"/>
  <c r="M5" i="1061" a="1"/>
  <c r="M5" i="1061" s="1"/>
  <c r="L6" i="1061" a="1"/>
  <c r="L6" i="1061" s="1"/>
  <c r="F6" i="1061" a="1"/>
  <c r="F6" i="1061" s="1"/>
  <c r="I6" i="1061" a="1"/>
  <c r="I6" i="1061" s="1"/>
  <c r="M10" i="1061" a="1"/>
  <c r="M10" i="1061" s="1"/>
  <c r="I7" i="1061" a="1"/>
  <c r="I7" i="1061" s="1"/>
  <c r="E10" i="1061" a="1"/>
  <c r="E10" i="1061" s="1"/>
  <c r="H7" i="1061" a="1"/>
  <c r="H7" i="1061" s="1"/>
  <c r="G10" i="1061" a="1"/>
  <c r="G10" i="1061" s="1"/>
  <c r="J6" i="1061" a="1"/>
  <c r="J6" i="1061" s="1"/>
  <c r="L3" i="1061" a="1"/>
  <c r="L3" i="1061" s="1"/>
  <c r="G5" i="1061" a="1"/>
  <c r="G5" i="1061" s="1"/>
  <c r="M3" i="1061" a="1"/>
  <c r="M3" i="1061" s="1"/>
  <c r="F10" i="1061" a="1"/>
  <c r="F10" i="1061" s="1"/>
  <c r="K7" i="1061" a="1"/>
  <c r="K7" i="1061" s="1"/>
  <c r="I10" i="1061" a="1"/>
  <c r="I10" i="1061" s="1"/>
  <c r="E5" i="1061" a="1"/>
  <c r="E5" i="1061" s="1"/>
  <c r="F5" i="1061" a="1"/>
  <c r="F5" i="1061" s="1"/>
  <c r="J7" i="1061" a="1"/>
  <c r="J7" i="1061" s="1"/>
  <c r="L7" i="1061" a="1"/>
  <c r="L7" i="1061" s="1"/>
  <c r="G8" i="1061" a="1"/>
  <c r="G8" i="1061" s="1"/>
  <c r="J12" i="1061" a="1"/>
  <c r="J12" i="1061" s="1"/>
  <c r="E12" i="1061" a="1"/>
  <c r="E12" i="1061" s="1"/>
  <c r="H5" i="1061" a="1"/>
  <c r="H5" i="1061" s="1"/>
  <c r="K12" i="1061" a="1"/>
  <c r="K12" i="1061" s="1"/>
  <c r="E3" i="1061" a="1"/>
  <c r="E3" i="1061" s="1"/>
  <c r="K6" i="1061" a="1"/>
  <c r="K6" i="1061" s="1"/>
  <c r="I5" i="1061" a="1"/>
  <c r="I5" i="1061" s="1"/>
  <c r="L12" i="1061" a="1"/>
  <c r="L12" i="1061" s="1"/>
  <c r="F3" i="1061" a="1"/>
  <c r="F3" i="1061" s="1"/>
  <c r="G6" i="1061" a="1"/>
  <c r="G6" i="1061" s="1"/>
  <c r="J5" i="1061" a="1"/>
  <c r="J5" i="1061" s="1"/>
  <c r="M12" i="1061" a="1"/>
  <c r="M12" i="1061" s="1"/>
  <c r="H10" i="1061" a="1"/>
  <c r="H10" i="1061" s="1"/>
  <c r="G12" i="1061" a="1"/>
  <c r="G12" i="1061" s="1"/>
  <c r="H12" i="1061" a="1"/>
  <c r="H12" i="1061" s="1"/>
  <c r="H4" i="1061" a="1"/>
  <c r="H4" i="1061" s="1"/>
  <c r="F12" i="1061" a="1"/>
  <c r="F12" i="1061" s="1"/>
  <c r="E11" i="1061" a="1"/>
  <c r="E11" i="1061" s="1"/>
  <c r="F11" i="1061" a="1"/>
  <c r="F11" i="1061" s="1"/>
  <c r="G4" i="1061" a="1"/>
  <c r="G4" i="1061" s="1"/>
  <c r="G11" i="1061" a="1"/>
  <c r="G11" i="1061" s="1"/>
  <c r="K11" i="1061" a="1"/>
  <c r="K11" i="1061" s="1"/>
  <c r="J10" i="1061" a="1"/>
  <c r="J10" i="1061" s="1"/>
  <c r="I4" i="1061" a="1"/>
  <c r="I4" i="1061" s="1"/>
  <c r="L11" i="1061" a="1"/>
  <c r="L11" i="1061" s="1"/>
  <c r="K10" i="1061" a="1"/>
  <c r="K10" i="1061" s="1"/>
  <c r="E4" i="1061" a="1"/>
  <c r="E4" i="1061" s="1"/>
  <c r="M7" i="1061" a="1"/>
  <c r="M7" i="1061" s="1"/>
  <c r="H11" i="1061" a="1"/>
  <c r="H11" i="1061" s="1"/>
  <c r="F4" i="1061" a="1"/>
  <c r="F4" i="1061" s="1"/>
  <c r="I11" i="1061" a="1"/>
  <c r="I11" i="1061" s="1"/>
  <c r="H8" i="1061" a="1"/>
  <c r="H8" i="1061" s="1"/>
  <c r="J4" i="1061" a="1"/>
  <c r="J4" i="1061" s="1"/>
  <c r="F7" i="1061" a="1"/>
  <c r="F7" i="1061" s="1"/>
  <c r="J8" i="1061" a="1"/>
  <c r="J8" i="1061" s="1"/>
  <c r="K6" i="1072" a="1"/>
  <c r="K6" i="1072" s="1"/>
  <c r="J6" i="1072" a="1"/>
  <c r="J6" i="1072" s="1"/>
  <c r="I6" i="1072" a="1"/>
  <c r="I6" i="1072" s="1"/>
  <c r="H6" i="1072" a="1"/>
  <c r="H6" i="1072" s="1"/>
  <c r="E6" i="1072" a="1"/>
  <c r="E6" i="1072" s="1"/>
  <c r="M6" i="1072" a="1"/>
  <c r="M6" i="1072" s="1"/>
  <c r="L6" i="1072" a="1"/>
  <c r="L6" i="1072" s="1"/>
  <c r="F6" i="1072" a="1"/>
  <c r="F6" i="1072" s="1"/>
  <c r="G6" i="1072" a="1"/>
  <c r="G6" i="1072" s="1"/>
  <c r="I7" i="1072" a="1"/>
  <c r="I7" i="1072" s="1"/>
  <c r="H7" i="1072" a="1"/>
  <c r="H7" i="1072" s="1"/>
  <c r="G7" i="1072" a="1"/>
  <c r="G7" i="1072" s="1"/>
  <c r="F7" i="1072" a="1"/>
  <c r="F7" i="1072" s="1"/>
  <c r="L7" i="1072" a="1"/>
  <c r="L7" i="1072" s="1"/>
  <c r="K7" i="1072" a="1"/>
  <c r="K7" i="1072" s="1"/>
  <c r="E7" i="1072" a="1"/>
  <c r="E7" i="1072" s="1"/>
  <c r="M7" i="1072" a="1"/>
  <c r="M7" i="1072" s="1"/>
  <c r="J7" i="1072" a="1"/>
  <c r="J7" i="1072" s="1"/>
  <c r="H8" i="1072" a="1"/>
  <c r="H8" i="1072" s="1"/>
  <c r="G8" i="1072" a="1"/>
  <c r="G8" i="1072" s="1"/>
  <c r="F8" i="1072" a="1"/>
  <c r="F8" i="1072" s="1"/>
  <c r="E8" i="1072" a="1"/>
  <c r="E8" i="1072" s="1"/>
  <c r="K8" i="1072" a="1"/>
  <c r="K8" i="1072" s="1"/>
  <c r="I8" i="1072" a="1"/>
  <c r="I8" i="1072" s="1"/>
  <c r="M8" i="1072" a="1"/>
  <c r="M8" i="1072" s="1"/>
  <c r="L8" i="1072" a="1"/>
  <c r="L8" i="1072" s="1"/>
  <c r="J8" i="1072" a="1"/>
  <c r="J8" i="1072" s="1"/>
  <c r="K12" i="1072" a="1"/>
  <c r="K12" i="1072" s="1"/>
  <c r="J12" i="1072" a="1"/>
  <c r="J12" i="1072" s="1"/>
  <c r="I12" i="1072" a="1"/>
  <c r="I12" i="1072" s="1"/>
  <c r="M12" i="1072" a="1"/>
  <c r="M12" i="1072" s="1"/>
  <c r="H12" i="1072" a="1"/>
  <c r="H12" i="1072" s="1"/>
  <c r="E12" i="1072" a="1"/>
  <c r="E12" i="1072" s="1"/>
  <c r="L12" i="1072" a="1"/>
  <c r="L12" i="1072" s="1"/>
  <c r="G12" i="1072" a="1"/>
  <c r="G12" i="1072" s="1"/>
  <c r="F12" i="1072" a="1"/>
  <c r="F12" i="1072" s="1"/>
  <c r="F9" i="1072" a="1"/>
  <c r="F9" i="1072" s="1"/>
  <c r="E9" i="1072" a="1"/>
  <c r="E9" i="1072" s="1"/>
  <c r="G9" i="1072" a="1"/>
  <c r="G9" i="1072" s="1"/>
  <c r="M9" i="1072" a="1"/>
  <c r="M9" i="1072" s="1"/>
  <c r="J9" i="1072" a="1"/>
  <c r="J9" i="1072" s="1"/>
  <c r="H9" i="1072" a="1"/>
  <c r="H9" i="1072" s="1"/>
  <c r="L9" i="1072" a="1"/>
  <c r="L9" i="1072" s="1"/>
  <c r="K9" i="1072" a="1"/>
  <c r="K9" i="1072" s="1"/>
  <c r="I9" i="1072" a="1"/>
  <c r="I9" i="1072" s="1"/>
  <c r="F3" i="1072" a="1"/>
  <c r="F3" i="1072" s="1"/>
  <c r="E3" i="1072" a="1"/>
  <c r="E3" i="1072" s="1"/>
  <c r="M3" i="1072" a="1"/>
  <c r="M3" i="1072" s="1"/>
  <c r="J3" i="1072" a="1"/>
  <c r="J3" i="1072" s="1"/>
  <c r="I3" i="1072" a="1"/>
  <c r="I3" i="1072" s="1"/>
  <c r="G3" i="1072" a="1"/>
  <c r="G3" i="1072" s="1"/>
  <c r="H3" i="1072" a="1"/>
  <c r="H3" i="1072" s="1"/>
  <c r="L3" i="1072" a="1"/>
  <c r="L3" i="1072" s="1"/>
  <c r="K3" i="1072" a="1"/>
  <c r="K3" i="1072" s="1"/>
  <c r="E4" i="1072" a="1"/>
  <c r="E4" i="1072" s="1"/>
  <c r="M4" i="1072" a="1"/>
  <c r="M4" i="1072" s="1"/>
  <c r="L4" i="1072" a="1"/>
  <c r="L4" i="1072" s="1"/>
  <c r="G4" i="1072" a="1"/>
  <c r="G4" i="1072" s="1"/>
  <c r="J4" i="1072" a="1"/>
  <c r="J4" i="1072" s="1"/>
  <c r="I4" i="1072" a="1"/>
  <c r="I4" i="1072" s="1"/>
  <c r="H4" i="1072" a="1"/>
  <c r="H4" i="1072" s="1"/>
  <c r="F4" i="1072" a="1"/>
  <c r="F4" i="1072" s="1"/>
  <c r="K4" i="1072" a="1"/>
  <c r="K4" i="1072" s="1"/>
  <c r="M11" i="1072" a="1"/>
  <c r="M11" i="1072" s="1"/>
  <c r="L11" i="1072" a="1"/>
  <c r="L11" i="1072" s="1"/>
  <c r="K11" i="1072" a="1"/>
  <c r="K11" i="1072" s="1"/>
  <c r="J11" i="1072" a="1"/>
  <c r="J11" i="1072" s="1"/>
  <c r="G11" i="1072" a="1"/>
  <c r="G11" i="1072" s="1"/>
  <c r="I11" i="1072" a="1"/>
  <c r="I11" i="1072" s="1"/>
  <c r="H11" i="1072" a="1"/>
  <c r="H11" i="1072" s="1"/>
  <c r="F11" i="1072" a="1"/>
  <c r="F11" i="1072" s="1"/>
  <c r="E11" i="1072" a="1"/>
  <c r="E11" i="1072" s="1"/>
  <c r="M5" i="1072" a="1"/>
  <c r="M5" i="1072" s="1"/>
  <c r="L5" i="1072" a="1"/>
  <c r="L5" i="1072" s="1"/>
  <c r="K5" i="1072" a="1"/>
  <c r="K5" i="1072" s="1"/>
  <c r="J5" i="1072" a="1"/>
  <c r="J5" i="1072" s="1"/>
  <c r="F5" i="1072" a="1"/>
  <c r="F5" i="1072" s="1"/>
  <c r="E5" i="1072" a="1"/>
  <c r="E5" i="1072" s="1"/>
  <c r="I5" i="1072" a="1"/>
  <c r="I5" i="1072" s="1"/>
  <c r="H5" i="1072" a="1"/>
  <c r="H5" i="1072" s="1"/>
  <c r="G5" i="1072" a="1"/>
  <c r="G5" i="1072" s="1"/>
  <c r="M10" i="1072" a="1"/>
  <c r="M10" i="1072" s="1"/>
  <c r="L10" i="1072" a="1"/>
  <c r="L10" i="1072" s="1"/>
  <c r="K10" i="1072" a="1"/>
  <c r="K10" i="1072" s="1"/>
  <c r="F10" i="1072" a="1"/>
  <c r="F10" i="1072" s="1"/>
  <c r="E10" i="1072" a="1"/>
  <c r="E10" i="1072" s="1"/>
  <c r="H10" i="1072" a="1"/>
  <c r="H10" i="1072" s="1"/>
  <c r="J10" i="1072" a="1"/>
  <c r="J10" i="1072" s="1"/>
  <c r="I10" i="1072" a="1"/>
  <c r="I10" i="1072" s="1"/>
  <c r="G10" i="1072" a="1"/>
  <c r="G10" i="1072" s="1"/>
  <c r="K12" i="1071" a="1"/>
  <c r="K12" i="1071" s="1"/>
  <c r="M12" i="1071" a="1"/>
  <c r="M12" i="1071" s="1"/>
  <c r="L12" i="1071" a="1"/>
  <c r="L12" i="1071" s="1"/>
  <c r="F12" i="1071" a="1"/>
  <c r="F12" i="1071" s="1"/>
  <c r="J12" i="1071" a="1"/>
  <c r="J12" i="1071" s="1"/>
  <c r="G12" i="1071" a="1"/>
  <c r="G12" i="1071" s="1"/>
  <c r="H12" i="1071" a="1"/>
  <c r="H12" i="1071" s="1"/>
  <c r="I12" i="1071" a="1"/>
  <c r="I12" i="1071" s="1"/>
  <c r="E12" i="1071" a="1"/>
  <c r="E12" i="1071" s="1"/>
  <c r="F3" i="1071" a="1"/>
  <c r="F3" i="1071" s="1"/>
  <c r="H3" i="1071" a="1"/>
  <c r="H3" i="1071" s="1"/>
  <c r="J3" i="1071" a="1"/>
  <c r="J3" i="1071" s="1"/>
  <c r="E3" i="1071" a="1"/>
  <c r="E3" i="1071" s="1"/>
  <c r="L3" i="1071" a="1"/>
  <c r="L3" i="1071" s="1"/>
  <c r="I3" i="1071" a="1"/>
  <c r="I3" i="1071" s="1"/>
  <c r="G3" i="1071" a="1"/>
  <c r="G3" i="1071" s="1"/>
  <c r="M3" i="1071" a="1"/>
  <c r="M3" i="1071" s="1"/>
  <c r="K3" i="1071" a="1"/>
  <c r="K3" i="1071" s="1"/>
  <c r="K6" i="1071" a="1"/>
  <c r="K6" i="1071" s="1"/>
  <c r="L6" i="1071" a="1"/>
  <c r="L6" i="1071" s="1"/>
  <c r="E6" i="1071" a="1"/>
  <c r="E6" i="1071" s="1"/>
  <c r="J6" i="1071" a="1"/>
  <c r="J6" i="1071" s="1"/>
  <c r="H6" i="1071" a="1"/>
  <c r="H6" i="1071" s="1"/>
  <c r="G6" i="1071" a="1"/>
  <c r="G6" i="1071" s="1"/>
  <c r="F6" i="1071" a="1"/>
  <c r="F6" i="1071" s="1"/>
  <c r="M6" i="1071" a="1"/>
  <c r="M6" i="1071" s="1"/>
  <c r="I6" i="1071" a="1"/>
  <c r="I6" i="1071" s="1"/>
  <c r="E4" i="1071" a="1"/>
  <c r="E4" i="1071" s="1"/>
  <c r="J4" i="1071" a="1"/>
  <c r="J4" i="1071" s="1"/>
  <c r="F4" i="1071" a="1"/>
  <c r="F4" i="1071" s="1"/>
  <c r="H4" i="1071" a="1"/>
  <c r="H4" i="1071" s="1"/>
  <c r="L4" i="1071" a="1"/>
  <c r="L4" i="1071" s="1"/>
  <c r="K4" i="1071" a="1"/>
  <c r="K4" i="1071" s="1"/>
  <c r="I4" i="1071" a="1"/>
  <c r="I4" i="1071" s="1"/>
  <c r="G4" i="1071" a="1"/>
  <c r="G4" i="1071" s="1"/>
  <c r="M4" i="1071" a="1"/>
  <c r="M4" i="1071" s="1"/>
  <c r="M11" i="1071" a="1"/>
  <c r="M11" i="1071" s="1"/>
  <c r="G11" i="1071" a="1"/>
  <c r="G11" i="1071" s="1"/>
  <c r="F11" i="1071" a="1"/>
  <c r="F11" i="1071" s="1"/>
  <c r="E11" i="1071" a="1"/>
  <c r="E11" i="1071" s="1"/>
  <c r="L11" i="1071" a="1"/>
  <c r="L11" i="1071" s="1"/>
  <c r="J11" i="1071" a="1"/>
  <c r="J11" i="1071" s="1"/>
  <c r="K11" i="1071" a="1"/>
  <c r="K11" i="1071" s="1"/>
  <c r="H11" i="1071" a="1"/>
  <c r="H11" i="1071" s="1"/>
  <c r="I11" i="1071" a="1"/>
  <c r="I11" i="1071" s="1"/>
  <c r="M5" i="1071" a="1"/>
  <c r="M5" i="1071" s="1"/>
  <c r="H5" i="1071" a="1"/>
  <c r="H5" i="1071" s="1"/>
  <c r="F5" i="1071" a="1"/>
  <c r="F5" i="1071" s="1"/>
  <c r="L5" i="1071" a="1"/>
  <c r="L5" i="1071" s="1"/>
  <c r="K5" i="1071" a="1"/>
  <c r="K5" i="1071" s="1"/>
  <c r="J5" i="1071" a="1"/>
  <c r="J5" i="1071" s="1"/>
  <c r="G5" i="1071" a="1"/>
  <c r="G5" i="1071" s="1"/>
  <c r="E5" i="1071" a="1"/>
  <c r="E5" i="1071" s="1"/>
  <c r="I5" i="1071" a="1"/>
  <c r="I5" i="1071" s="1"/>
  <c r="H8" i="1071" a="1"/>
  <c r="H8" i="1071" s="1"/>
  <c r="I8" i="1071" a="1"/>
  <c r="I8" i="1071" s="1"/>
  <c r="L8" i="1071" a="1"/>
  <c r="L8" i="1071" s="1"/>
  <c r="G8" i="1071" a="1"/>
  <c r="G8" i="1071" s="1"/>
  <c r="M8" i="1071" a="1"/>
  <c r="M8" i="1071" s="1"/>
  <c r="F8" i="1071" a="1"/>
  <c r="F8" i="1071" s="1"/>
  <c r="E8" i="1071" a="1"/>
  <c r="E8" i="1071" s="1"/>
  <c r="K8" i="1071" a="1"/>
  <c r="K8" i="1071" s="1"/>
  <c r="J8" i="1071" a="1"/>
  <c r="J8" i="1071" s="1"/>
  <c r="F9" i="1071" a="1"/>
  <c r="F9" i="1071" s="1"/>
  <c r="K9" i="1071" a="1"/>
  <c r="K9" i="1071" s="1"/>
  <c r="I9" i="1071" a="1"/>
  <c r="I9" i="1071" s="1"/>
  <c r="E9" i="1071" a="1"/>
  <c r="E9" i="1071" s="1"/>
  <c r="J9" i="1071" a="1"/>
  <c r="J9" i="1071" s="1"/>
  <c r="G9" i="1071" a="1"/>
  <c r="G9" i="1071" s="1"/>
  <c r="M9" i="1071" a="1"/>
  <c r="M9" i="1071" s="1"/>
  <c r="H9" i="1071" a="1"/>
  <c r="H9" i="1071" s="1"/>
  <c r="L9" i="1071" a="1"/>
  <c r="L9" i="1071" s="1"/>
  <c r="I7" i="1071" a="1"/>
  <c r="I7" i="1071" s="1"/>
  <c r="K7" i="1071" a="1"/>
  <c r="K7" i="1071" s="1"/>
  <c r="F7" i="1071" a="1"/>
  <c r="F7" i="1071" s="1"/>
  <c r="M7" i="1071" a="1"/>
  <c r="M7" i="1071" s="1"/>
  <c r="L7" i="1071" a="1"/>
  <c r="L7" i="1071" s="1"/>
  <c r="H7" i="1071" a="1"/>
  <c r="H7" i="1071" s="1"/>
  <c r="J7" i="1071" a="1"/>
  <c r="J7" i="1071" s="1"/>
  <c r="G7" i="1071" a="1"/>
  <c r="G7" i="1071" s="1"/>
  <c r="E7" i="1071" a="1"/>
  <c r="E7" i="1071" s="1"/>
  <c r="I10" i="1071" a="1"/>
  <c r="I10" i="1071" s="1"/>
  <c r="F10" i="1071" a="1"/>
  <c r="F10" i="1071" s="1"/>
  <c r="H10" i="1071" a="1"/>
  <c r="H10" i="1071" s="1"/>
  <c r="G10" i="1071" a="1"/>
  <c r="G10" i="1071" s="1"/>
  <c r="M10" i="1071" a="1"/>
  <c r="M10" i="1071" s="1"/>
  <c r="J10" i="1071" a="1"/>
  <c r="J10" i="1071" s="1"/>
  <c r="E10" i="1071" a="1"/>
  <c r="E10" i="1071" s="1"/>
  <c r="K10" i="1071" a="1"/>
  <c r="K10" i="1071" s="1"/>
  <c r="L10" i="1071" a="1"/>
  <c r="L10" i="1071" s="1"/>
  <c r="F3" i="1070" a="1"/>
  <c r="F3" i="1070" s="1"/>
  <c r="E3" i="1070" a="1"/>
  <c r="E3" i="1070" s="1"/>
  <c r="L3" i="1070" a="1"/>
  <c r="L3" i="1070" s="1"/>
  <c r="K3" i="1070" a="1"/>
  <c r="K3" i="1070" s="1"/>
  <c r="J3" i="1070" a="1"/>
  <c r="J3" i="1070" s="1"/>
  <c r="M3" i="1070" a="1"/>
  <c r="M3" i="1070" s="1"/>
  <c r="I3" i="1070" a="1"/>
  <c r="I3" i="1070" s="1"/>
  <c r="H3" i="1070" a="1"/>
  <c r="H3" i="1070" s="1"/>
  <c r="G3" i="1070" a="1"/>
  <c r="G3" i="1070" s="1"/>
  <c r="I7" i="1070" a="1"/>
  <c r="I7" i="1070" s="1"/>
  <c r="H7" i="1070" a="1"/>
  <c r="H7" i="1070" s="1"/>
  <c r="E7" i="1070" a="1"/>
  <c r="E7" i="1070" s="1"/>
  <c r="M7" i="1070" a="1"/>
  <c r="M7" i="1070" s="1"/>
  <c r="L7" i="1070" a="1"/>
  <c r="L7" i="1070" s="1"/>
  <c r="K7" i="1070" a="1"/>
  <c r="K7" i="1070" s="1"/>
  <c r="J7" i="1070" a="1"/>
  <c r="J7" i="1070" s="1"/>
  <c r="G7" i="1070" a="1"/>
  <c r="G7" i="1070" s="1"/>
  <c r="F7" i="1070" a="1"/>
  <c r="F7" i="1070" s="1"/>
  <c r="H8" i="1070" a="1"/>
  <c r="H8" i="1070" s="1"/>
  <c r="G8" i="1070" a="1"/>
  <c r="G8" i="1070" s="1"/>
  <c r="F8" i="1070" a="1"/>
  <c r="F8" i="1070" s="1"/>
  <c r="M8" i="1070" a="1"/>
  <c r="M8" i="1070" s="1"/>
  <c r="L8" i="1070" a="1"/>
  <c r="L8" i="1070" s="1"/>
  <c r="K8" i="1070" a="1"/>
  <c r="K8" i="1070" s="1"/>
  <c r="E8" i="1070" a="1"/>
  <c r="E8" i="1070" s="1"/>
  <c r="J8" i="1070" a="1"/>
  <c r="J8" i="1070" s="1"/>
  <c r="I8" i="1070" a="1"/>
  <c r="I8" i="1070" s="1"/>
  <c r="M5" i="1070" a="1"/>
  <c r="M5" i="1070" s="1"/>
  <c r="L5" i="1070" a="1"/>
  <c r="L5" i="1070" s="1"/>
  <c r="K5" i="1070" a="1"/>
  <c r="K5" i="1070" s="1"/>
  <c r="I5" i="1070" a="1"/>
  <c r="I5" i="1070" s="1"/>
  <c r="H5" i="1070" a="1"/>
  <c r="H5" i="1070" s="1"/>
  <c r="G5" i="1070" a="1"/>
  <c r="G5" i="1070" s="1"/>
  <c r="F5" i="1070" a="1"/>
  <c r="F5" i="1070" s="1"/>
  <c r="J5" i="1070" a="1"/>
  <c r="J5" i="1070" s="1"/>
  <c r="E5" i="1070" a="1"/>
  <c r="E5" i="1070" s="1"/>
  <c r="M11" i="1070" a="1"/>
  <c r="M11" i="1070" s="1"/>
  <c r="L11" i="1070" a="1"/>
  <c r="L11" i="1070" s="1"/>
  <c r="K11" i="1070" a="1"/>
  <c r="K11" i="1070" s="1"/>
  <c r="I11" i="1070" a="1"/>
  <c r="I11" i="1070" s="1"/>
  <c r="H11" i="1070" a="1"/>
  <c r="H11" i="1070" s="1"/>
  <c r="G11" i="1070" a="1"/>
  <c r="G11" i="1070" s="1"/>
  <c r="F11" i="1070" a="1"/>
  <c r="F11" i="1070" s="1"/>
  <c r="J11" i="1070" a="1"/>
  <c r="J11" i="1070" s="1"/>
  <c r="E11" i="1070" a="1"/>
  <c r="E11" i="1070" s="1"/>
  <c r="K6" i="1070" a="1"/>
  <c r="K6" i="1070" s="1"/>
  <c r="J6" i="1070" a="1"/>
  <c r="J6" i="1070" s="1"/>
  <c r="G6" i="1070" a="1"/>
  <c r="G6" i="1070" s="1"/>
  <c r="F6" i="1070" a="1"/>
  <c r="F6" i="1070" s="1"/>
  <c r="E6" i="1070" a="1"/>
  <c r="E6" i="1070" s="1"/>
  <c r="L6" i="1070" a="1"/>
  <c r="L6" i="1070" s="1"/>
  <c r="I6" i="1070" a="1"/>
  <c r="I6" i="1070" s="1"/>
  <c r="H6" i="1070" a="1"/>
  <c r="H6" i="1070" s="1"/>
  <c r="M6" i="1070" a="1"/>
  <c r="M6" i="1070" s="1"/>
  <c r="K12" i="1070" a="1"/>
  <c r="K12" i="1070" s="1"/>
  <c r="J12" i="1070" a="1"/>
  <c r="J12" i="1070" s="1"/>
  <c r="G12" i="1070" a="1"/>
  <c r="G12" i="1070" s="1"/>
  <c r="F12" i="1070" a="1"/>
  <c r="F12" i="1070" s="1"/>
  <c r="E12" i="1070" a="1"/>
  <c r="E12" i="1070" s="1"/>
  <c r="I12" i="1070" a="1"/>
  <c r="I12" i="1070" s="1"/>
  <c r="M12" i="1070" a="1"/>
  <c r="M12" i="1070" s="1"/>
  <c r="L12" i="1070" a="1"/>
  <c r="L12" i="1070" s="1"/>
  <c r="H12" i="1070" a="1"/>
  <c r="H12" i="1070" s="1"/>
  <c r="F9" i="1070" a="1"/>
  <c r="F9" i="1070" s="1"/>
  <c r="E9" i="1070" a="1"/>
  <c r="E9" i="1070" s="1"/>
  <c r="L9" i="1070" a="1"/>
  <c r="L9" i="1070" s="1"/>
  <c r="K9" i="1070" a="1"/>
  <c r="K9" i="1070" s="1"/>
  <c r="J9" i="1070" a="1"/>
  <c r="J9" i="1070" s="1"/>
  <c r="I9" i="1070" a="1"/>
  <c r="I9" i="1070" s="1"/>
  <c r="M9" i="1070" a="1"/>
  <c r="M9" i="1070" s="1"/>
  <c r="H9" i="1070" a="1"/>
  <c r="H9" i="1070" s="1"/>
  <c r="G9" i="1070" a="1"/>
  <c r="G9" i="1070" s="1"/>
  <c r="E4" i="1070" a="1"/>
  <c r="E4" i="1070" s="1"/>
  <c r="K4" i="1070" a="1"/>
  <c r="K4" i="1070" s="1"/>
  <c r="J4" i="1070" a="1"/>
  <c r="J4" i="1070" s="1"/>
  <c r="I4" i="1070" a="1"/>
  <c r="I4" i="1070" s="1"/>
  <c r="M4" i="1070" a="1"/>
  <c r="M4" i="1070" s="1"/>
  <c r="L4" i="1070" a="1"/>
  <c r="L4" i="1070" s="1"/>
  <c r="H4" i="1070" a="1"/>
  <c r="H4" i="1070" s="1"/>
  <c r="G4" i="1070" a="1"/>
  <c r="G4" i="1070" s="1"/>
  <c r="F4" i="1070" a="1"/>
  <c r="F4" i="1070" s="1"/>
  <c r="M10" i="1070" a="1"/>
  <c r="M10" i="1070" s="1"/>
  <c r="J10" i="1070" a="1"/>
  <c r="J10" i="1070" s="1"/>
  <c r="I10" i="1070" a="1"/>
  <c r="I10" i="1070" s="1"/>
  <c r="H10" i="1070" a="1"/>
  <c r="H10" i="1070" s="1"/>
  <c r="E10" i="1070" a="1"/>
  <c r="E10" i="1070" s="1"/>
  <c r="L10" i="1070" a="1"/>
  <c r="L10" i="1070" s="1"/>
  <c r="K10" i="1070" a="1"/>
  <c r="K10" i="1070" s="1"/>
  <c r="G10" i="1070" a="1"/>
  <c r="G10" i="1070" s="1"/>
  <c r="F10" i="1070" a="1"/>
  <c r="F10" i="1070" s="1"/>
  <c r="M5" i="1069" a="1"/>
  <c r="M5" i="1069" s="1"/>
  <c r="L5" i="1069" a="1"/>
  <c r="L5" i="1069" s="1"/>
  <c r="H5" i="1069" a="1"/>
  <c r="H5" i="1069" s="1"/>
  <c r="E5" i="1069" a="1"/>
  <c r="E5" i="1069" s="1"/>
  <c r="F5" i="1069" a="1"/>
  <c r="F5" i="1069" s="1"/>
  <c r="K5" i="1069" a="1"/>
  <c r="K5" i="1069" s="1"/>
  <c r="J5" i="1069" a="1"/>
  <c r="J5" i="1069" s="1"/>
  <c r="I5" i="1069" a="1"/>
  <c r="I5" i="1069" s="1"/>
  <c r="G5" i="1069" a="1"/>
  <c r="G5" i="1069" s="1"/>
  <c r="I7" i="1069" a="1"/>
  <c r="I7" i="1069" s="1"/>
  <c r="E7" i="1069" a="1"/>
  <c r="E7" i="1069" s="1"/>
  <c r="J7" i="1069" a="1"/>
  <c r="J7" i="1069" s="1"/>
  <c r="K7" i="1069" a="1"/>
  <c r="K7" i="1069" s="1"/>
  <c r="H7" i="1069" a="1"/>
  <c r="H7" i="1069" s="1"/>
  <c r="G7" i="1069" a="1"/>
  <c r="G7" i="1069" s="1"/>
  <c r="M7" i="1069" a="1"/>
  <c r="M7" i="1069" s="1"/>
  <c r="F7" i="1069" a="1"/>
  <c r="F7" i="1069" s="1"/>
  <c r="L7" i="1069" a="1"/>
  <c r="L7" i="1069" s="1"/>
  <c r="F9" i="1069" a="1"/>
  <c r="F9" i="1069" s="1"/>
  <c r="G9" i="1069" a="1"/>
  <c r="G9" i="1069" s="1"/>
  <c r="E9" i="1069" a="1"/>
  <c r="E9" i="1069" s="1"/>
  <c r="K9" i="1069" a="1"/>
  <c r="K9" i="1069" s="1"/>
  <c r="J9" i="1069" a="1"/>
  <c r="J9" i="1069" s="1"/>
  <c r="I9" i="1069" a="1"/>
  <c r="I9" i="1069" s="1"/>
  <c r="H9" i="1069" a="1"/>
  <c r="H9" i="1069" s="1"/>
  <c r="M9" i="1069" a="1"/>
  <c r="M9" i="1069" s="1"/>
  <c r="L9" i="1069" a="1"/>
  <c r="L9" i="1069" s="1"/>
  <c r="F3" i="1069" a="1"/>
  <c r="F3" i="1069" s="1"/>
  <c r="L3" i="1069" a="1"/>
  <c r="L3" i="1069" s="1"/>
  <c r="J3" i="1069" a="1"/>
  <c r="J3" i="1069" s="1"/>
  <c r="K3" i="1069" a="1"/>
  <c r="K3" i="1069" s="1"/>
  <c r="M3" i="1069" a="1"/>
  <c r="M3" i="1069" s="1"/>
  <c r="H3" i="1069" a="1"/>
  <c r="H3" i="1069" s="1"/>
  <c r="E3" i="1069" a="1"/>
  <c r="E3" i="1069" s="1"/>
  <c r="I3" i="1069" a="1"/>
  <c r="I3" i="1069" s="1"/>
  <c r="G3" i="1069" a="1"/>
  <c r="G3" i="1069" s="1"/>
  <c r="H8" i="1069" a="1"/>
  <c r="H8" i="1069" s="1"/>
  <c r="M8" i="1069" a="1"/>
  <c r="M8" i="1069" s="1"/>
  <c r="K8" i="1069" a="1"/>
  <c r="K8" i="1069" s="1"/>
  <c r="G8" i="1069" a="1"/>
  <c r="G8" i="1069" s="1"/>
  <c r="E8" i="1069" a="1"/>
  <c r="E8" i="1069" s="1"/>
  <c r="L8" i="1069" a="1"/>
  <c r="L8" i="1069" s="1"/>
  <c r="J8" i="1069" a="1"/>
  <c r="J8" i="1069" s="1"/>
  <c r="F8" i="1069" a="1"/>
  <c r="F8" i="1069" s="1"/>
  <c r="I8" i="1069" a="1"/>
  <c r="I8" i="1069" s="1"/>
  <c r="K12" i="1069" a="1"/>
  <c r="K12" i="1069" s="1"/>
  <c r="F12" i="1069" a="1"/>
  <c r="F12" i="1069" s="1"/>
  <c r="I12" i="1069" a="1"/>
  <c r="I12" i="1069" s="1"/>
  <c r="G12" i="1069" a="1"/>
  <c r="G12" i="1069" s="1"/>
  <c r="E12" i="1069" a="1"/>
  <c r="E12" i="1069" s="1"/>
  <c r="L12" i="1069" a="1"/>
  <c r="L12" i="1069" s="1"/>
  <c r="J12" i="1069" a="1"/>
  <c r="J12" i="1069" s="1"/>
  <c r="H12" i="1069" a="1"/>
  <c r="H12" i="1069" s="1"/>
  <c r="M12" i="1069" a="1"/>
  <c r="M12" i="1069" s="1"/>
  <c r="M11" i="1069" a="1"/>
  <c r="M11" i="1069" s="1"/>
  <c r="H11" i="1069" a="1"/>
  <c r="H11" i="1069" s="1"/>
  <c r="F11" i="1069" a="1"/>
  <c r="F11" i="1069" s="1"/>
  <c r="L11" i="1069" a="1"/>
  <c r="L11" i="1069" s="1"/>
  <c r="J11" i="1069" a="1"/>
  <c r="J11" i="1069" s="1"/>
  <c r="I11" i="1069" a="1"/>
  <c r="I11" i="1069" s="1"/>
  <c r="G11" i="1069" a="1"/>
  <c r="G11" i="1069" s="1"/>
  <c r="E11" i="1069" a="1"/>
  <c r="E11" i="1069" s="1"/>
  <c r="K11" i="1069" a="1"/>
  <c r="K11" i="1069" s="1"/>
  <c r="E4" i="1069" a="1"/>
  <c r="E4" i="1069" s="1"/>
  <c r="K4" i="1069" a="1"/>
  <c r="K4" i="1069" s="1"/>
  <c r="I4" i="1069" a="1"/>
  <c r="I4" i="1069" s="1"/>
  <c r="F4" i="1069" a="1"/>
  <c r="F4" i="1069" s="1"/>
  <c r="J4" i="1069" a="1"/>
  <c r="J4" i="1069" s="1"/>
  <c r="M4" i="1069" a="1"/>
  <c r="M4" i="1069" s="1"/>
  <c r="H4" i="1069" a="1"/>
  <c r="H4" i="1069" s="1"/>
  <c r="L4" i="1069" a="1"/>
  <c r="L4" i="1069" s="1"/>
  <c r="G4" i="1069" a="1"/>
  <c r="G4" i="1069" s="1"/>
  <c r="H10" i="1069" a="1"/>
  <c r="H10" i="1069" s="1"/>
  <c r="J10" i="1069" a="1"/>
  <c r="J10" i="1069" s="1"/>
  <c r="L10" i="1069" a="1"/>
  <c r="L10" i="1069" s="1"/>
  <c r="F10" i="1069" a="1"/>
  <c r="F10" i="1069" s="1"/>
  <c r="M10" i="1069" a="1"/>
  <c r="M10" i="1069" s="1"/>
  <c r="E10" i="1069" a="1"/>
  <c r="E10" i="1069" s="1"/>
  <c r="K10" i="1069" a="1"/>
  <c r="K10" i="1069" s="1"/>
  <c r="I10" i="1069" a="1"/>
  <c r="I10" i="1069" s="1"/>
  <c r="G10" i="1069" a="1"/>
  <c r="G10" i="1069" s="1"/>
  <c r="K6" i="1069" a="1"/>
  <c r="K6" i="1069" s="1"/>
  <c r="F6" i="1069" a="1"/>
  <c r="F6" i="1069" s="1"/>
  <c r="G6" i="1069" a="1"/>
  <c r="G6" i="1069" s="1"/>
  <c r="I6" i="1069" a="1"/>
  <c r="I6" i="1069" s="1"/>
  <c r="H6" i="1069" a="1"/>
  <c r="H6" i="1069" s="1"/>
  <c r="L6" i="1069" a="1"/>
  <c r="L6" i="1069" s="1"/>
  <c r="J6" i="1069" a="1"/>
  <c r="J6" i="1069" s="1"/>
  <c r="E6" i="1069" a="1"/>
  <c r="E6" i="1069" s="1"/>
  <c r="M6" i="1069" a="1"/>
  <c r="M6" i="1069" s="1"/>
  <c r="J14" i="1068"/>
  <c r="L14" i="1068"/>
  <c r="F14" i="1068"/>
  <c r="H14" i="1068"/>
  <c r="I14" i="1068"/>
  <c r="K14" i="1068"/>
  <c r="G14" i="1068"/>
  <c r="N7" i="1068"/>
  <c r="M14" i="1068"/>
  <c r="N11" i="1068"/>
  <c r="N12" i="1068"/>
  <c r="N6" i="1068"/>
  <c r="N8" i="1068"/>
  <c r="K12" i="1067" a="1"/>
  <c r="K12" i="1067" s="1"/>
  <c r="J12" i="1067" a="1"/>
  <c r="J12" i="1067" s="1"/>
  <c r="G12" i="1067" a="1"/>
  <c r="G12" i="1067" s="1"/>
  <c r="F12" i="1067" a="1"/>
  <c r="F12" i="1067" s="1"/>
  <c r="E12" i="1067" a="1"/>
  <c r="E12" i="1067" s="1"/>
  <c r="M12" i="1067" a="1"/>
  <c r="M12" i="1067" s="1"/>
  <c r="L12" i="1067" a="1"/>
  <c r="L12" i="1067" s="1"/>
  <c r="I12" i="1067" a="1"/>
  <c r="I12" i="1067" s="1"/>
  <c r="H12" i="1067" a="1"/>
  <c r="H12" i="1067" s="1"/>
  <c r="F3" i="1067" a="1"/>
  <c r="F3" i="1067" s="1"/>
  <c r="E3" i="1067" a="1"/>
  <c r="E3" i="1067" s="1"/>
  <c r="L3" i="1067" a="1"/>
  <c r="L3" i="1067" s="1"/>
  <c r="K3" i="1067" a="1"/>
  <c r="K3" i="1067" s="1"/>
  <c r="J3" i="1067" a="1"/>
  <c r="J3" i="1067" s="1"/>
  <c r="M3" i="1067" a="1"/>
  <c r="M3" i="1067" s="1"/>
  <c r="I3" i="1067" a="1"/>
  <c r="I3" i="1067" s="1"/>
  <c r="H3" i="1067" a="1"/>
  <c r="H3" i="1067" s="1"/>
  <c r="G3" i="1067" a="1"/>
  <c r="G3" i="1067" s="1"/>
  <c r="M5" i="1067" a="1"/>
  <c r="M5" i="1067" s="1"/>
  <c r="L5" i="1067" a="1"/>
  <c r="L5" i="1067" s="1"/>
  <c r="K5" i="1067" a="1"/>
  <c r="K5" i="1067" s="1"/>
  <c r="I5" i="1067" a="1"/>
  <c r="I5" i="1067" s="1"/>
  <c r="H5" i="1067" a="1"/>
  <c r="H5" i="1067" s="1"/>
  <c r="G5" i="1067" a="1"/>
  <c r="G5" i="1067" s="1"/>
  <c r="F5" i="1067" a="1"/>
  <c r="F5" i="1067" s="1"/>
  <c r="J5" i="1067" a="1"/>
  <c r="J5" i="1067" s="1"/>
  <c r="E5" i="1067" a="1"/>
  <c r="E5" i="1067" s="1"/>
  <c r="M11" i="1067" a="1"/>
  <c r="M11" i="1067" s="1"/>
  <c r="L11" i="1067" a="1"/>
  <c r="L11" i="1067" s="1"/>
  <c r="K11" i="1067" a="1"/>
  <c r="K11" i="1067" s="1"/>
  <c r="I11" i="1067" a="1"/>
  <c r="I11" i="1067" s="1"/>
  <c r="H11" i="1067" a="1"/>
  <c r="H11" i="1067" s="1"/>
  <c r="G11" i="1067" a="1"/>
  <c r="G11" i="1067" s="1"/>
  <c r="F11" i="1067" a="1"/>
  <c r="F11" i="1067" s="1"/>
  <c r="E11" i="1067" a="1"/>
  <c r="E11" i="1067" s="1"/>
  <c r="J11" i="1067" a="1"/>
  <c r="J11" i="1067" s="1"/>
  <c r="K6" i="1067" a="1"/>
  <c r="K6" i="1067" s="1"/>
  <c r="J6" i="1067" a="1"/>
  <c r="J6" i="1067" s="1"/>
  <c r="G6" i="1067" a="1"/>
  <c r="G6" i="1067" s="1"/>
  <c r="F6" i="1067" a="1"/>
  <c r="F6" i="1067" s="1"/>
  <c r="E6" i="1067" a="1"/>
  <c r="E6" i="1067" s="1"/>
  <c r="M6" i="1067" a="1"/>
  <c r="M6" i="1067" s="1"/>
  <c r="L6" i="1067" a="1"/>
  <c r="L6" i="1067" s="1"/>
  <c r="I6" i="1067" a="1"/>
  <c r="I6" i="1067" s="1"/>
  <c r="H6" i="1067" a="1"/>
  <c r="H6" i="1067" s="1"/>
  <c r="I7" i="1067" a="1"/>
  <c r="I7" i="1067" s="1"/>
  <c r="H7" i="1067" a="1"/>
  <c r="H7" i="1067" s="1"/>
  <c r="E7" i="1067" a="1"/>
  <c r="E7" i="1067" s="1"/>
  <c r="M7" i="1067" a="1"/>
  <c r="M7" i="1067" s="1"/>
  <c r="J7" i="1067" a="1"/>
  <c r="J7" i="1067" s="1"/>
  <c r="G7" i="1067" a="1"/>
  <c r="G7" i="1067" s="1"/>
  <c r="F7" i="1067" a="1"/>
  <c r="F7" i="1067" s="1"/>
  <c r="L7" i="1067" a="1"/>
  <c r="L7" i="1067" s="1"/>
  <c r="K7" i="1067" a="1"/>
  <c r="K7" i="1067" s="1"/>
  <c r="H8" i="1067" a="1"/>
  <c r="H8" i="1067" s="1"/>
  <c r="G8" i="1067" a="1"/>
  <c r="G8" i="1067" s="1"/>
  <c r="F8" i="1067" a="1"/>
  <c r="F8" i="1067" s="1"/>
  <c r="M8" i="1067" a="1"/>
  <c r="M8" i="1067" s="1"/>
  <c r="L8" i="1067" a="1"/>
  <c r="L8" i="1067" s="1"/>
  <c r="K8" i="1067" a="1"/>
  <c r="K8" i="1067" s="1"/>
  <c r="J8" i="1067" a="1"/>
  <c r="J8" i="1067" s="1"/>
  <c r="I8" i="1067" a="1"/>
  <c r="I8" i="1067" s="1"/>
  <c r="E8" i="1067" a="1"/>
  <c r="E8" i="1067" s="1"/>
  <c r="F9" i="1067" a="1"/>
  <c r="F9" i="1067" s="1"/>
  <c r="E9" i="1067" a="1"/>
  <c r="E9" i="1067" s="1"/>
  <c r="L9" i="1067" a="1"/>
  <c r="L9" i="1067" s="1"/>
  <c r="K9" i="1067" a="1"/>
  <c r="K9" i="1067" s="1"/>
  <c r="J9" i="1067" a="1"/>
  <c r="J9" i="1067" s="1"/>
  <c r="I9" i="1067" a="1"/>
  <c r="I9" i="1067" s="1"/>
  <c r="H9" i="1067" a="1"/>
  <c r="H9" i="1067" s="1"/>
  <c r="G9" i="1067" a="1"/>
  <c r="G9" i="1067" s="1"/>
  <c r="M9" i="1067" a="1"/>
  <c r="M9" i="1067" s="1"/>
  <c r="E4" i="1067" a="1"/>
  <c r="E4" i="1067" s="1"/>
  <c r="K4" i="1067" a="1"/>
  <c r="K4" i="1067" s="1"/>
  <c r="J4" i="1067" a="1"/>
  <c r="J4" i="1067" s="1"/>
  <c r="I4" i="1067" a="1"/>
  <c r="I4" i="1067" s="1"/>
  <c r="M4" i="1067" a="1"/>
  <c r="M4" i="1067" s="1"/>
  <c r="L4" i="1067" a="1"/>
  <c r="L4" i="1067" s="1"/>
  <c r="H4" i="1067" a="1"/>
  <c r="H4" i="1067" s="1"/>
  <c r="G4" i="1067" a="1"/>
  <c r="G4" i="1067" s="1"/>
  <c r="F4" i="1067" a="1"/>
  <c r="F4" i="1067" s="1"/>
  <c r="M10" i="1067" a="1"/>
  <c r="M10" i="1067" s="1"/>
  <c r="J10" i="1067" a="1"/>
  <c r="J10" i="1067" s="1"/>
  <c r="I10" i="1067" a="1"/>
  <c r="I10" i="1067" s="1"/>
  <c r="H10" i="1067" a="1"/>
  <c r="H10" i="1067" s="1"/>
  <c r="L10" i="1067" a="1"/>
  <c r="L10" i="1067" s="1"/>
  <c r="K10" i="1067" a="1"/>
  <c r="K10" i="1067" s="1"/>
  <c r="G10" i="1067" a="1"/>
  <c r="G10" i="1067" s="1"/>
  <c r="F10" i="1067" a="1"/>
  <c r="F10" i="1067" s="1"/>
  <c r="E10" i="1067" a="1"/>
  <c r="E10" i="1067" s="1"/>
  <c r="M3" i="1066" a="1"/>
  <c r="M3" i="1066" s="1"/>
  <c r="F3" i="1066" a="1"/>
  <c r="F3" i="1066" s="1"/>
  <c r="I3" i="1066" a="1"/>
  <c r="I3" i="1066" s="1"/>
  <c r="E3" i="1066" a="1"/>
  <c r="E3" i="1066" s="1"/>
  <c r="L3" i="1066" a="1"/>
  <c r="L3" i="1066" s="1"/>
  <c r="K3" i="1066" a="1"/>
  <c r="K3" i="1066" s="1"/>
  <c r="J3" i="1066" a="1"/>
  <c r="J3" i="1066" s="1"/>
  <c r="H3" i="1066" a="1"/>
  <c r="H3" i="1066" s="1"/>
  <c r="G3" i="1066" a="1"/>
  <c r="G3" i="1066" s="1"/>
  <c r="L10" i="1066" a="1"/>
  <c r="L10" i="1066" s="1"/>
  <c r="K10" i="1066" a="1"/>
  <c r="K10" i="1066" s="1"/>
  <c r="M10" i="1066" a="1"/>
  <c r="M10" i="1066" s="1"/>
  <c r="J10" i="1066" a="1"/>
  <c r="J10" i="1066" s="1"/>
  <c r="I10" i="1066" a="1"/>
  <c r="I10" i="1066" s="1"/>
  <c r="H10" i="1066" a="1"/>
  <c r="H10" i="1066" s="1"/>
  <c r="G10" i="1066" a="1"/>
  <c r="G10" i="1066" s="1"/>
  <c r="E10" i="1066" a="1"/>
  <c r="E10" i="1066" s="1"/>
  <c r="F10" i="1066" a="1"/>
  <c r="F10" i="1066" s="1"/>
  <c r="M11" i="1066" a="1"/>
  <c r="M11" i="1066" s="1"/>
  <c r="J11" i="1066" a="1"/>
  <c r="J11" i="1066" s="1"/>
  <c r="L11" i="1066" a="1"/>
  <c r="L11" i="1066" s="1"/>
  <c r="K11" i="1066" a="1"/>
  <c r="K11" i="1066" s="1"/>
  <c r="I11" i="1066" a="1"/>
  <c r="I11" i="1066" s="1"/>
  <c r="H11" i="1066" a="1"/>
  <c r="H11" i="1066" s="1"/>
  <c r="G11" i="1066" a="1"/>
  <c r="G11" i="1066" s="1"/>
  <c r="F11" i="1066" a="1"/>
  <c r="F11" i="1066" s="1"/>
  <c r="E11" i="1066" a="1"/>
  <c r="E11" i="1066" s="1"/>
  <c r="M5" i="1066" a="1"/>
  <c r="M5" i="1066" s="1"/>
  <c r="J5" i="1066" a="1"/>
  <c r="J5" i="1066" s="1"/>
  <c r="K5" i="1066" a="1"/>
  <c r="K5" i="1066" s="1"/>
  <c r="L5" i="1066" a="1"/>
  <c r="L5" i="1066" s="1"/>
  <c r="I5" i="1066" a="1"/>
  <c r="I5" i="1066" s="1"/>
  <c r="H5" i="1066" a="1"/>
  <c r="H5" i="1066" s="1"/>
  <c r="G5" i="1066" a="1"/>
  <c r="G5" i="1066" s="1"/>
  <c r="F5" i="1066" a="1"/>
  <c r="F5" i="1066" s="1"/>
  <c r="E5" i="1066" a="1"/>
  <c r="E5" i="1066" s="1"/>
  <c r="F7" i="1066" a="1"/>
  <c r="F7" i="1066" s="1"/>
  <c r="I7" i="1066" a="1"/>
  <c r="I7" i="1066" s="1"/>
  <c r="G7" i="1066" a="1"/>
  <c r="G7" i="1066" s="1"/>
  <c r="H7" i="1066" a="1"/>
  <c r="H7" i="1066" s="1"/>
  <c r="E7" i="1066" a="1"/>
  <c r="E7" i="1066" s="1"/>
  <c r="M7" i="1066" a="1"/>
  <c r="M7" i="1066" s="1"/>
  <c r="L7" i="1066" a="1"/>
  <c r="L7" i="1066" s="1"/>
  <c r="K7" i="1066" a="1"/>
  <c r="K7" i="1066" s="1"/>
  <c r="J7" i="1066" a="1"/>
  <c r="J7" i="1066" s="1"/>
  <c r="H8" i="1066" a="1"/>
  <c r="H8" i="1066" s="1"/>
  <c r="F8" i="1066" a="1"/>
  <c r="F8" i="1066" s="1"/>
  <c r="G8" i="1066" a="1"/>
  <c r="G8" i="1066" s="1"/>
  <c r="E8" i="1066" a="1"/>
  <c r="E8" i="1066" s="1"/>
  <c r="M8" i="1066" a="1"/>
  <c r="M8" i="1066" s="1"/>
  <c r="L8" i="1066" a="1"/>
  <c r="L8" i="1066" s="1"/>
  <c r="K8" i="1066" a="1"/>
  <c r="K8" i="1066" s="1"/>
  <c r="J8" i="1066" a="1"/>
  <c r="J8" i="1066" s="1"/>
  <c r="I8" i="1066" a="1"/>
  <c r="I8" i="1066" s="1"/>
  <c r="F9" i="1066" a="1"/>
  <c r="F9" i="1066" s="1"/>
  <c r="M9" i="1066" a="1"/>
  <c r="M9" i="1066" s="1"/>
  <c r="E9" i="1066" a="1"/>
  <c r="E9" i="1066" s="1"/>
  <c r="L9" i="1066" a="1"/>
  <c r="L9" i="1066" s="1"/>
  <c r="K9" i="1066" a="1"/>
  <c r="K9" i="1066" s="1"/>
  <c r="J9" i="1066" a="1"/>
  <c r="J9" i="1066" s="1"/>
  <c r="I9" i="1066" a="1"/>
  <c r="I9" i="1066" s="1"/>
  <c r="H9" i="1066" a="1"/>
  <c r="H9" i="1066" s="1"/>
  <c r="G9" i="1066" a="1"/>
  <c r="G9" i="1066" s="1"/>
  <c r="E4" i="1066" a="1"/>
  <c r="E4" i="1066" s="1"/>
  <c r="M4" i="1066" a="1"/>
  <c r="M4" i="1066" s="1"/>
  <c r="L4" i="1066" a="1"/>
  <c r="L4" i="1066" s="1"/>
  <c r="H4" i="1066" a="1"/>
  <c r="H4" i="1066" s="1"/>
  <c r="K4" i="1066" a="1"/>
  <c r="K4" i="1066" s="1"/>
  <c r="J4" i="1066" a="1"/>
  <c r="J4" i="1066" s="1"/>
  <c r="I4" i="1066" a="1"/>
  <c r="I4" i="1066" s="1"/>
  <c r="G4" i="1066" a="1"/>
  <c r="G4" i="1066" s="1"/>
  <c r="F4" i="1066" a="1"/>
  <c r="F4" i="1066" s="1"/>
  <c r="H6" i="1066" a="1"/>
  <c r="H6" i="1066" s="1"/>
  <c r="K6" i="1066" a="1"/>
  <c r="K6" i="1066" s="1"/>
  <c r="I6" i="1066" a="1"/>
  <c r="I6" i="1066" s="1"/>
  <c r="J6" i="1066" a="1"/>
  <c r="J6" i="1066" s="1"/>
  <c r="G6" i="1066" a="1"/>
  <c r="G6" i="1066" s="1"/>
  <c r="F6" i="1066" a="1"/>
  <c r="F6" i="1066" s="1"/>
  <c r="E6" i="1066" a="1"/>
  <c r="E6" i="1066" s="1"/>
  <c r="M6" i="1066" a="1"/>
  <c r="M6" i="1066" s="1"/>
  <c r="L6" i="1066" a="1"/>
  <c r="L6" i="1066" s="1"/>
  <c r="I12" i="1066" a="1"/>
  <c r="I12" i="1066" s="1"/>
  <c r="K12" i="1066" a="1"/>
  <c r="K12" i="1066" s="1"/>
  <c r="H12" i="1066" a="1"/>
  <c r="H12" i="1066" s="1"/>
  <c r="J12" i="1066" a="1"/>
  <c r="J12" i="1066" s="1"/>
  <c r="G12" i="1066" a="1"/>
  <c r="G12" i="1066" s="1"/>
  <c r="F12" i="1066" a="1"/>
  <c r="F12" i="1066" s="1"/>
  <c r="E12" i="1066" a="1"/>
  <c r="E12" i="1066" s="1"/>
  <c r="M12" i="1066" a="1"/>
  <c r="M12" i="1066" s="1"/>
  <c r="L12" i="1066" a="1"/>
  <c r="L12" i="1066" s="1"/>
  <c r="I7" i="1064" a="1"/>
  <c r="I7" i="1064" s="1"/>
  <c r="H7" i="1064" a="1"/>
  <c r="H7" i="1064" s="1"/>
  <c r="G7" i="1064" a="1"/>
  <c r="G7" i="1064" s="1"/>
  <c r="F7" i="1064" a="1"/>
  <c r="F7" i="1064" s="1"/>
  <c r="M7" i="1064" a="1"/>
  <c r="M7" i="1064" s="1"/>
  <c r="K7" i="1064" a="1"/>
  <c r="K7" i="1064" s="1"/>
  <c r="E7" i="1064" a="1"/>
  <c r="E7" i="1064" s="1"/>
  <c r="L7" i="1064" a="1"/>
  <c r="L7" i="1064" s="1"/>
  <c r="J7" i="1064" a="1"/>
  <c r="J7" i="1064" s="1"/>
  <c r="H8" i="1064" a="1"/>
  <c r="H8" i="1064" s="1"/>
  <c r="G8" i="1064" a="1"/>
  <c r="G8" i="1064" s="1"/>
  <c r="F8" i="1064" a="1"/>
  <c r="F8" i="1064" s="1"/>
  <c r="I8" i="1064" a="1"/>
  <c r="I8" i="1064" s="1"/>
  <c r="E8" i="1064" a="1"/>
  <c r="E8" i="1064" s="1"/>
  <c r="M8" i="1064" a="1"/>
  <c r="M8" i="1064" s="1"/>
  <c r="L8" i="1064" a="1"/>
  <c r="L8" i="1064" s="1"/>
  <c r="J8" i="1064" a="1"/>
  <c r="J8" i="1064" s="1"/>
  <c r="K8" i="1064" a="1"/>
  <c r="K8" i="1064" s="1"/>
  <c r="M5" i="1064" a="1"/>
  <c r="M5" i="1064" s="1"/>
  <c r="L5" i="1064" a="1"/>
  <c r="L5" i="1064" s="1"/>
  <c r="K5" i="1064" a="1"/>
  <c r="K5" i="1064" s="1"/>
  <c r="E5" i="1064" a="1"/>
  <c r="E5" i="1064" s="1"/>
  <c r="J5" i="1064" a="1"/>
  <c r="J5" i="1064" s="1"/>
  <c r="H5" i="1064" a="1"/>
  <c r="H5" i="1064" s="1"/>
  <c r="F5" i="1064" a="1"/>
  <c r="F5" i="1064" s="1"/>
  <c r="I5" i="1064" a="1"/>
  <c r="I5" i="1064" s="1"/>
  <c r="G5" i="1064" a="1"/>
  <c r="G5" i="1064" s="1"/>
  <c r="M10" i="1064" a="1"/>
  <c r="M10" i="1064" s="1"/>
  <c r="L10" i="1064" a="1"/>
  <c r="L10" i="1064" s="1"/>
  <c r="K10" i="1064" a="1"/>
  <c r="K10" i="1064" s="1"/>
  <c r="H10" i="1064" a="1"/>
  <c r="H10" i="1064" s="1"/>
  <c r="J10" i="1064" a="1"/>
  <c r="J10" i="1064" s="1"/>
  <c r="I10" i="1064" a="1"/>
  <c r="I10" i="1064" s="1"/>
  <c r="G10" i="1064" a="1"/>
  <c r="G10" i="1064" s="1"/>
  <c r="F10" i="1064" a="1"/>
  <c r="F10" i="1064" s="1"/>
  <c r="E10" i="1064" a="1"/>
  <c r="E10" i="1064" s="1"/>
  <c r="M11" i="1064" a="1"/>
  <c r="M11" i="1064" s="1"/>
  <c r="L11" i="1064" a="1"/>
  <c r="L11" i="1064" s="1"/>
  <c r="K11" i="1064" a="1"/>
  <c r="K11" i="1064" s="1"/>
  <c r="E11" i="1064" a="1"/>
  <c r="E11" i="1064" s="1"/>
  <c r="J11" i="1064" a="1"/>
  <c r="J11" i="1064" s="1"/>
  <c r="F11" i="1064" a="1"/>
  <c r="F11" i="1064" s="1"/>
  <c r="I11" i="1064" a="1"/>
  <c r="I11" i="1064" s="1"/>
  <c r="H11" i="1064" a="1"/>
  <c r="H11" i="1064" s="1"/>
  <c r="G11" i="1064" a="1"/>
  <c r="G11" i="1064" s="1"/>
  <c r="K6" i="1064" a="1"/>
  <c r="K6" i="1064" s="1"/>
  <c r="J6" i="1064" a="1"/>
  <c r="J6" i="1064" s="1"/>
  <c r="I6" i="1064" a="1"/>
  <c r="I6" i="1064" s="1"/>
  <c r="H6" i="1064" a="1"/>
  <c r="H6" i="1064" s="1"/>
  <c r="F6" i="1064" a="1"/>
  <c r="F6" i="1064" s="1"/>
  <c r="G6" i="1064" a="1"/>
  <c r="G6" i="1064" s="1"/>
  <c r="E6" i="1064" a="1"/>
  <c r="E6" i="1064" s="1"/>
  <c r="M6" i="1064" a="1"/>
  <c r="M6" i="1064" s="1"/>
  <c r="L6" i="1064" a="1"/>
  <c r="L6" i="1064" s="1"/>
  <c r="K12" i="1064" a="1"/>
  <c r="K12" i="1064" s="1"/>
  <c r="J12" i="1064" a="1"/>
  <c r="J12" i="1064" s="1"/>
  <c r="I12" i="1064" a="1"/>
  <c r="I12" i="1064" s="1"/>
  <c r="H12" i="1064" a="1"/>
  <c r="H12" i="1064" s="1"/>
  <c r="E12" i="1064" a="1"/>
  <c r="E12" i="1064" s="1"/>
  <c r="G12" i="1064" a="1"/>
  <c r="G12" i="1064" s="1"/>
  <c r="F12" i="1064" a="1"/>
  <c r="F12" i="1064" s="1"/>
  <c r="M12" i="1064" a="1"/>
  <c r="M12" i="1064" s="1"/>
  <c r="L12" i="1064" a="1"/>
  <c r="L12" i="1064" s="1"/>
  <c r="F9" i="1064" a="1"/>
  <c r="F9" i="1064" s="1"/>
  <c r="E9" i="1064" a="1"/>
  <c r="E9" i="1064" s="1"/>
  <c r="G9" i="1064" a="1"/>
  <c r="G9" i="1064" s="1"/>
  <c r="M9" i="1064" a="1"/>
  <c r="M9" i="1064" s="1"/>
  <c r="I9" i="1064" a="1"/>
  <c r="I9" i="1064" s="1"/>
  <c r="H9" i="1064" a="1"/>
  <c r="H9" i="1064" s="1"/>
  <c r="L9" i="1064" a="1"/>
  <c r="L9" i="1064" s="1"/>
  <c r="K9" i="1064" a="1"/>
  <c r="K9" i="1064" s="1"/>
  <c r="J9" i="1064" a="1"/>
  <c r="J9" i="1064" s="1"/>
  <c r="E4" i="1064" a="1"/>
  <c r="E4" i="1064" s="1"/>
  <c r="M4" i="1064" a="1"/>
  <c r="M4" i="1064" s="1"/>
  <c r="L4" i="1064" a="1"/>
  <c r="L4" i="1064" s="1"/>
  <c r="J4" i="1064" a="1"/>
  <c r="J4" i="1064" s="1"/>
  <c r="I4" i="1064" a="1"/>
  <c r="I4" i="1064" s="1"/>
  <c r="K4" i="1064" a="1"/>
  <c r="K4" i="1064" s="1"/>
  <c r="H4" i="1064" a="1"/>
  <c r="H4" i="1064" s="1"/>
  <c r="G4" i="1064" a="1"/>
  <c r="G4" i="1064" s="1"/>
  <c r="F4" i="1064" a="1"/>
  <c r="F4" i="1064" s="1"/>
  <c r="F3" i="1064" a="1"/>
  <c r="F3" i="1064" s="1"/>
  <c r="E3" i="1064" a="1"/>
  <c r="E3" i="1064" s="1"/>
  <c r="M3" i="1064" a="1"/>
  <c r="M3" i="1064" s="1"/>
  <c r="J3" i="1064" a="1"/>
  <c r="J3" i="1064" s="1"/>
  <c r="I3" i="1064" a="1"/>
  <c r="I3" i="1064" s="1"/>
  <c r="H3" i="1064" a="1"/>
  <c r="H3" i="1064" s="1"/>
  <c r="L3" i="1064" a="1"/>
  <c r="L3" i="1064" s="1"/>
  <c r="K3" i="1064" a="1"/>
  <c r="K3" i="1064" s="1"/>
  <c r="G3" i="1064" a="1"/>
  <c r="G3" i="1064" s="1"/>
  <c r="N7" i="1063"/>
  <c r="M11" i="1062" a="1"/>
  <c r="M11" i="1062" s="1"/>
  <c r="I11" i="1062" a="1"/>
  <c r="I11" i="1062" s="1"/>
  <c r="H11" i="1062" a="1"/>
  <c r="H11" i="1062" s="1"/>
  <c r="G11" i="1062" a="1"/>
  <c r="G11" i="1062" s="1"/>
  <c r="L11" i="1062" a="1"/>
  <c r="L11" i="1062" s="1"/>
  <c r="K11" i="1062" a="1"/>
  <c r="K11" i="1062" s="1"/>
  <c r="J11" i="1062" a="1"/>
  <c r="J11" i="1062" s="1"/>
  <c r="F11" i="1062" a="1"/>
  <c r="F11" i="1062" s="1"/>
  <c r="E11" i="1062" a="1"/>
  <c r="E11" i="1062" s="1"/>
  <c r="K6" i="1062" a="1"/>
  <c r="K6" i="1062" s="1"/>
  <c r="I6" i="1062" a="1"/>
  <c r="I6" i="1062" s="1"/>
  <c r="H6" i="1062" a="1"/>
  <c r="H6" i="1062" s="1"/>
  <c r="F6" i="1062" a="1"/>
  <c r="F6" i="1062" s="1"/>
  <c r="E6" i="1062" a="1"/>
  <c r="E6" i="1062" s="1"/>
  <c r="J6" i="1062" a="1"/>
  <c r="J6" i="1062" s="1"/>
  <c r="G6" i="1062" a="1"/>
  <c r="G6" i="1062" s="1"/>
  <c r="L6" i="1062" a="1"/>
  <c r="L6" i="1062" s="1"/>
  <c r="M6" i="1062" a="1"/>
  <c r="M6" i="1062" s="1"/>
  <c r="K12" i="1062" a="1"/>
  <c r="K12" i="1062" s="1"/>
  <c r="H12" i="1062" a="1"/>
  <c r="H12" i="1062" s="1"/>
  <c r="F12" i="1062" a="1"/>
  <c r="F12" i="1062" s="1"/>
  <c r="J12" i="1062" a="1"/>
  <c r="J12" i="1062" s="1"/>
  <c r="I12" i="1062" a="1"/>
  <c r="I12" i="1062" s="1"/>
  <c r="G12" i="1062" a="1"/>
  <c r="G12" i="1062" s="1"/>
  <c r="E12" i="1062" a="1"/>
  <c r="E12" i="1062" s="1"/>
  <c r="M12" i="1062" a="1"/>
  <c r="M12" i="1062" s="1"/>
  <c r="L12" i="1062" a="1"/>
  <c r="L12" i="1062" s="1"/>
  <c r="F9" i="1062" a="1"/>
  <c r="F9" i="1062" s="1"/>
  <c r="L9" i="1062" a="1"/>
  <c r="L9" i="1062" s="1"/>
  <c r="K9" i="1062" a="1"/>
  <c r="K9" i="1062" s="1"/>
  <c r="J9" i="1062" a="1"/>
  <c r="J9" i="1062" s="1"/>
  <c r="E9" i="1062" a="1"/>
  <c r="E9" i="1062" s="1"/>
  <c r="M9" i="1062" a="1"/>
  <c r="M9" i="1062" s="1"/>
  <c r="I9" i="1062" a="1"/>
  <c r="I9" i="1062" s="1"/>
  <c r="H9" i="1062" a="1"/>
  <c r="H9" i="1062" s="1"/>
  <c r="G9" i="1062" a="1"/>
  <c r="G9" i="1062" s="1"/>
  <c r="E4" i="1062" a="1"/>
  <c r="E4" i="1062" s="1"/>
  <c r="M4" i="1062" a="1"/>
  <c r="M4" i="1062" s="1"/>
  <c r="L4" i="1062" a="1"/>
  <c r="L4" i="1062" s="1"/>
  <c r="I4" i="1062" a="1"/>
  <c r="I4" i="1062" s="1"/>
  <c r="K4" i="1062" a="1"/>
  <c r="K4" i="1062" s="1"/>
  <c r="J4" i="1062" a="1"/>
  <c r="J4" i="1062" s="1"/>
  <c r="H4" i="1062" a="1"/>
  <c r="H4" i="1062" s="1"/>
  <c r="G4" i="1062" a="1"/>
  <c r="G4" i="1062" s="1"/>
  <c r="F4" i="1062" a="1"/>
  <c r="F4" i="1062" s="1"/>
  <c r="M5" i="1062" a="1"/>
  <c r="M5" i="1062" s="1"/>
  <c r="K5" i="1062" a="1"/>
  <c r="K5" i="1062" s="1"/>
  <c r="I5" i="1062" a="1"/>
  <c r="I5" i="1062" s="1"/>
  <c r="H5" i="1062" a="1"/>
  <c r="H5" i="1062" s="1"/>
  <c r="L5" i="1062" a="1"/>
  <c r="L5" i="1062" s="1"/>
  <c r="J5" i="1062" a="1"/>
  <c r="J5" i="1062" s="1"/>
  <c r="G5" i="1062" a="1"/>
  <c r="G5" i="1062" s="1"/>
  <c r="F5" i="1062" a="1"/>
  <c r="F5" i="1062" s="1"/>
  <c r="E5" i="1062" a="1"/>
  <c r="E5" i="1062" s="1"/>
  <c r="I7" i="1062" a="1"/>
  <c r="I7" i="1062" s="1"/>
  <c r="G7" i="1062" a="1"/>
  <c r="G7" i="1062" s="1"/>
  <c r="F7" i="1062" a="1"/>
  <c r="F7" i="1062" s="1"/>
  <c r="E7" i="1062" a="1"/>
  <c r="E7" i="1062" s="1"/>
  <c r="M7" i="1062" a="1"/>
  <c r="M7" i="1062" s="1"/>
  <c r="H7" i="1062" a="1"/>
  <c r="H7" i="1062" s="1"/>
  <c r="K7" i="1062" a="1"/>
  <c r="K7" i="1062" s="1"/>
  <c r="J7" i="1062" a="1"/>
  <c r="J7" i="1062" s="1"/>
  <c r="L7" i="1062" a="1"/>
  <c r="L7" i="1062" s="1"/>
  <c r="H8" i="1062" a="1"/>
  <c r="H8" i="1062" s="1"/>
  <c r="E8" i="1062" a="1"/>
  <c r="E8" i="1062" s="1"/>
  <c r="M8" i="1062" a="1"/>
  <c r="M8" i="1062" s="1"/>
  <c r="L8" i="1062" a="1"/>
  <c r="L8" i="1062" s="1"/>
  <c r="K8" i="1062" a="1"/>
  <c r="K8" i="1062" s="1"/>
  <c r="G8" i="1062" a="1"/>
  <c r="G8" i="1062" s="1"/>
  <c r="F8" i="1062" a="1"/>
  <c r="F8" i="1062" s="1"/>
  <c r="J8" i="1062" a="1"/>
  <c r="J8" i="1062" s="1"/>
  <c r="I8" i="1062" a="1"/>
  <c r="I8" i="1062" s="1"/>
  <c r="F3" i="1062" a="1"/>
  <c r="F3" i="1062" s="1"/>
  <c r="E3" i="1062" a="1"/>
  <c r="E3" i="1062" s="1"/>
  <c r="M3" i="1062" a="1"/>
  <c r="M3" i="1062" s="1"/>
  <c r="K3" i="1062" a="1"/>
  <c r="K3" i="1062" s="1"/>
  <c r="L3" i="1062" a="1"/>
  <c r="L3" i="1062" s="1"/>
  <c r="J3" i="1062" a="1"/>
  <c r="J3" i="1062" s="1"/>
  <c r="H3" i="1062" a="1"/>
  <c r="H3" i="1062" s="1"/>
  <c r="G3" i="1062" a="1"/>
  <c r="G3" i="1062" s="1"/>
  <c r="I3" i="1062" a="1"/>
  <c r="I3" i="1062" s="1"/>
  <c r="L10" i="1062" a="1"/>
  <c r="L10" i="1062" s="1"/>
  <c r="K10" i="1062" a="1"/>
  <c r="K10" i="1062" s="1"/>
  <c r="I10" i="1062" a="1"/>
  <c r="I10" i="1062" s="1"/>
  <c r="M10" i="1062" a="1"/>
  <c r="M10" i="1062" s="1"/>
  <c r="J10" i="1062" a="1"/>
  <c r="J10" i="1062" s="1"/>
  <c r="H10" i="1062" a="1"/>
  <c r="H10" i="1062" s="1"/>
  <c r="G10" i="1062" a="1"/>
  <c r="G10" i="1062" s="1"/>
  <c r="E10" i="1062" a="1"/>
  <c r="E10" i="1062" s="1"/>
  <c r="F10" i="1062" a="1"/>
  <c r="F10" i="1062" s="1"/>
  <c r="AH16" i="757"/>
  <c r="B16" i="757"/>
  <c r="F3" i="3"/>
  <c r="F4" i="3"/>
  <c r="F5" i="3"/>
  <c r="F6" i="3"/>
  <c r="F7" i="3"/>
  <c r="F8" i="3"/>
  <c r="F9" i="3"/>
  <c r="F10" i="3"/>
  <c r="F11" i="3"/>
  <c r="F12" i="3"/>
  <c r="F13" i="3"/>
  <c r="F2" i="3"/>
  <c r="G49" i="3" a="1"/>
  <c r="G49" i="3" s="1"/>
  <c r="H49" i="3" a="1"/>
  <c r="H49" i="3" s="1"/>
  <c r="I49" i="3" a="1"/>
  <c r="I49" i="3" s="1"/>
  <c r="J49" i="3" a="1"/>
  <c r="J49" i="3" s="1"/>
  <c r="K49" i="3" a="1"/>
  <c r="K49" i="3" s="1"/>
  <c r="L49" i="3" a="1"/>
  <c r="L49" i="3" s="1"/>
  <c r="M49" i="3" a="1"/>
  <c r="M49" i="3" s="1"/>
  <c r="N49" i="3" a="1"/>
  <c r="N49" i="3" s="1"/>
  <c r="O49" i="3" a="1"/>
  <c r="O49" i="3" s="1"/>
  <c r="P49" i="3" a="1"/>
  <c r="P49" i="3" s="1"/>
  <c r="Q49" i="3" a="1"/>
  <c r="Q49" i="3" s="1"/>
  <c r="R49" i="3" a="1"/>
  <c r="R49" i="3" s="1"/>
  <c r="S49" i="3" a="1"/>
  <c r="S49" i="3" s="1"/>
  <c r="G50" i="3" a="1"/>
  <c r="G50" i="3" s="1"/>
  <c r="H50" i="3" a="1"/>
  <c r="H50" i="3" s="1"/>
  <c r="I50" i="3" a="1"/>
  <c r="I50" i="3" s="1"/>
  <c r="J50" i="3" a="1"/>
  <c r="J50" i="3" s="1"/>
  <c r="K50" i="3" a="1"/>
  <c r="K50" i="3" s="1"/>
  <c r="L50" i="3" a="1"/>
  <c r="L50" i="3" s="1"/>
  <c r="M50" i="3" a="1"/>
  <c r="M50" i="3" s="1"/>
  <c r="N50" i="3" a="1"/>
  <c r="N50" i="3" s="1"/>
  <c r="O50" i="3" a="1"/>
  <c r="O50" i="3" s="1"/>
  <c r="P50" i="3" a="1"/>
  <c r="P50" i="3" s="1"/>
  <c r="Q50" i="3" a="1"/>
  <c r="Q50" i="3" s="1"/>
  <c r="R50" i="3" a="1"/>
  <c r="R50" i="3" s="1"/>
  <c r="S50" i="3" a="1"/>
  <c r="S50" i="3" s="1"/>
  <c r="L7" i="1" a="1"/>
  <c r="N7" i="1" a="1"/>
  <c r="M7" i="1" a="1"/>
  <c r="N5" i="1065" l="1"/>
  <c r="N6" i="1065"/>
  <c r="N10" i="1065"/>
  <c r="N11" i="1065"/>
  <c r="N7" i="1065"/>
  <c r="N12" i="1065"/>
  <c r="N4" i="1065"/>
  <c r="N8" i="1063"/>
  <c r="N12" i="1063"/>
  <c r="N12" i="1071"/>
  <c r="N6" i="1063"/>
  <c r="N11" i="1063"/>
  <c r="N9" i="1063"/>
  <c r="L14" i="1065"/>
  <c r="N9" i="1065"/>
  <c r="N8" i="1065"/>
  <c r="M14" i="1063"/>
  <c r="K14" i="1063"/>
  <c r="F14" i="1063"/>
  <c r="N5" i="1063"/>
  <c r="N4" i="1063"/>
  <c r="N10" i="1063"/>
  <c r="N3" i="1063"/>
  <c r="N6" i="1061"/>
  <c r="N10" i="1061"/>
  <c r="N4" i="1061"/>
  <c r="N3" i="1061"/>
  <c r="N5" i="1061"/>
  <c r="N7" i="1061"/>
  <c r="N12" i="1061"/>
  <c r="L14" i="1061"/>
  <c r="N11" i="1061"/>
  <c r="M14" i="1061"/>
  <c r="N8" i="1061"/>
  <c r="N13" i="1061"/>
  <c r="N14" i="1061" s="1"/>
  <c r="N10" i="1072"/>
  <c r="N5" i="1072"/>
  <c r="N4" i="1072"/>
  <c r="K14" i="1072"/>
  <c r="L14" i="1072"/>
  <c r="N11" i="1072"/>
  <c r="H14" i="1072"/>
  <c r="G14" i="1072"/>
  <c r="N11" i="1071"/>
  <c r="I14" i="1072"/>
  <c r="N12" i="1072"/>
  <c r="J14" i="1072"/>
  <c r="M14" i="1072"/>
  <c r="N3" i="1072"/>
  <c r="N9" i="1072"/>
  <c r="N6" i="1072"/>
  <c r="N8" i="1072"/>
  <c r="N7" i="1072"/>
  <c r="N5" i="1071"/>
  <c r="N10" i="1071"/>
  <c r="N9" i="1071"/>
  <c r="M14" i="1071"/>
  <c r="N3" i="1071"/>
  <c r="F14" i="1071"/>
  <c r="G14" i="1071"/>
  <c r="J14" i="1071"/>
  <c r="K14" i="1071"/>
  <c r="N4" i="1071"/>
  <c r="L14" i="1071"/>
  <c r="H14" i="1071"/>
  <c r="I14" i="1071"/>
  <c r="N7" i="1071"/>
  <c r="N8" i="1071"/>
  <c r="N6" i="1071"/>
  <c r="N5" i="1070"/>
  <c r="N12" i="1070"/>
  <c r="N4" i="1070"/>
  <c r="N7" i="1070"/>
  <c r="N6" i="1070"/>
  <c r="G14" i="1070"/>
  <c r="H14" i="1070"/>
  <c r="I14" i="1070"/>
  <c r="N10" i="1070"/>
  <c r="M14" i="1070"/>
  <c r="N9" i="1070"/>
  <c r="N11" i="1070"/>
  <c r="N8" i="1070"/>
  <c r="J14" i="1070"/>
  <c r="K14" i="1070"/>
  <c r="L14" i="1070"/>
  <c r="N3" i="1070"/>
  <c r="F14" i="1070"/>
  <c r="N10" i="1069"/>
  <c r="M14" i="1069"/>
  <c r="N7" i="1069"/>
  <c r="N12" i="1069"/>
  <c r="N6" i="1069"/>
  <c r="L14" i="1069"/>
  <c r="N3" i="1069"/>
  <c r="N4" i="1069"/>
  <c r="N5" i="1069"/>
  <c r="N11" i="1069"/>
  <c r="N8" i="1069"/>
  <c r="N9" i="1069"/>
  <c r="E14" i="1068"/>
  <c r="N13" i="1068"/>
  <c r="N14" i="1068" s="1"/>
  <c r="N7" i="1067"/>
  <c r="N5" i="1067"/>
  <c r="N8" i="1067"/>
  <c r="N9" i="1067"/>
  <c r="N12" i="1067"/>
  <c r="N6" i="1067"/>
  <c r="G14" i="1067"/>
  <c r="H14" i="1067"/>
  <c r="I14" i="1067"/>
  <c r="N11" i="1067"/>
  <c r="M14" i="1067"/>
  <c r="J14" i="1067"/>
  <c r="N4" i="1067"/>
  <c r="K14" i="1067"/>
  <c r="L14" i="1067"/>
  <c r="N3" i="1067"/>
  <c r="N10" i="1067"/>
  <c r="F14" i="1067"/>
  <c r="F14" i="1066"/>
  <c r="N6" i="1066"/>
  <c r="N9" i="1066"/>
  <c r="N10" i="1066"/>
  <c r="N5" i="1066"/>
  <c r="N8" i="1066"/>
  <c r="G14" i="1066"/>
  <c r="N12" i="1066"/>
  <c r="H14" i="1066"/>
  <c r="N11" i="1066"/>
  <c r="J14" i="1066"/>
  <c r="K14" i="1066"/>
  <c r="L14" i="1066"/>
  <c r="N4" i="1066"/>
  <c r="N3" i="1066"/>
  <c r="I14" i="1066"/>
  <c r="N7" i="1066"/>
  <c r="M14" i="1066"/>
  <c r="H14" i="1064"/>
  <c r="I14" i="1064"/>
  <c r="E14" i="1065"/>
  <c r="N7" i="1064"/>
  <c r="J14" i="1064"/>
  <c r="N9" i="1064"/>
  <c r="M14" i="1064"/>
  <c r="N3" i="1064"/>
  <c r="F14" i="1064"/>
  <c r="N5" i="1064"/>
  <c r="N12" i="1064"/>
  <c r="N11" i="1064"/>
  <c r="N10" i="1064"/>
  <c r="N4" i="1064"/>
  <c r="N8" i="1064"/>
  <c r="N6" i="1064"/>
  <c r="G14" i="1064"/>
  <c r="K14" i="1064"/>
  <c r="L14" i="1064"/>
  <c r="E14" i="1063"/>
  <c r="G14" i="1062"/>
  <c r="J14" i="1062"/>
  <c r="H14" i="1062"/>
  <c r="N4" i="1062"/>
  <c r="K14" i="1062"/>
  <c r="M14" i="1062"/>
  <c r="N3" i="1062"/>
  <c r="N5" i="1062"/>
  <c r="N6" i="1062"/>
  <c r="F14" i="1062"/>
  <c r="N9" i="1062"/>
  <c r="N10" i="1062"/>
  <c r="N11" i="1062"/>
  <c r="N7" i="1062"/>
  <c r="L14" i="1062"/>
  <c r="N8" i="1062"/>
  <c r="N12" i="1062"/>
  <c r="I14" i="1062"/>
  <c r="E14" i="1061"/>
  <c r="M7" i="1"/>
  <c r="N7" i="1"/>
  <c r="J8" i="757" s="1"/>
  <c r="L7" i="1"/>
  <c r="N3" i="757"/>
  <c r="H3" i="757"/>
  <c r="B3" i="3"/>
  <c r="B4" i="3"/>
  <c r="B5" i="3"/>
  <c r="B6" i="3"/>
  <c r="B7" i="3"/>
  <c r="B8" i="3"/>
  <c r="B9" i="3"/>
  <c r="B10" i="3"/>
  <c r="B11" i="3"/>
  <c r="B12" i="3"/>
  <c r="B13" i="3"/>
  <c r="B2" i="3"/>
  <c r="AB5" i="757"/>
  <c r="AB6" i="757"/>
  <c r="AB7" i="757"/>
  <c r="AB8" i="757"/>
  <c r="AB9" i="757"/>
  <c r="AB10" i="757"/>
  <c r="AB11" i="757"/>
  <c r="AB12" i="757"/>
  <c r="AB13" i="757"/>
  <c r="AB14" i="757"/>
  <c r="AB15" i="757"/>
  <c r="AB4" i="757"/>
  <c r="AA5" i="757"/>
  <c r="AA6" i="757"/>
  <c r="AA7" i="757"/>
  <c r="AA8" i="757"/>
  <c r="AA9" i="757"/>
  <c r="AA10" i="757"/>
  <c r="AA11" i="757"/>
  <c r="AA12" i="757"/>
  <c r="AA13" i="757"/>
  <c r="AA14" i="757"/>
  <c r="AA15" i="757"/>
  <c r="AA4" i="757"/>
  <c r="G23" i="757"/>
  <c r="G24" i="757"/>
  <c r="G25" i="757"/>
  <c r="G26" i="757"/>
  <c r="G27" i="757"/>
  <c r="G28" i="757"/>
  <c r="G29" i="757"/>
  <c r="G30" i="757"/>
  <c r="G31" i="757"/>
  <c r="G32" i="757"/>
  <c r="G33" i="757"/>
  <c r="G22" i="757"/>
  <c r="G5" i="757"/>
  <c r="G6" i="757"/>
  <c r="G7" i="757"/>
  <c r="G8" i="757"/>
  <c r="G9" i="757"/>
  <c r="G10" i="757"/>
  <c r="G11" i="757"/>
  <c r="G12" i="757"/>
  <c r="G13" i="757"/>
  <c r="G14" i="757"/>
  <c r="G15" i="757"/>
  <c r="G4" i="757"/>
  <c r="B17" i="3"/>
  <c r="B16" i="3"/>
  <c r="B15" i="3"/>
  <c r="B3" i="207"/>
  <c r="B2" i="207"/>
  <c r="B1" i="207"/>
  <c r="B3" i="578"/>
  <c r="B2" i="578"/>
  <c r="B1" i="578"/>
  <c r="AI6" i="757"/>
  <c r="AI5" i="757"/>
  <c r="AI4" i="757"/>
  <c r="C6" i="757"/>
  <c r="C5" i="757"/>
  <c r="C4" i="757"/>
  <c r="B5" i="207" a="1"/>
  <c r="B5" i="207" s="1"/>
  <c r="O7" i="1" a="1"/>
  <c r="Q7" i="1" a="1"/>
  <c r="P7" i="1" a="1"/>
  <c r="R7" i="1" a="1"/>
  <c r="R3" i="1" a="1"/>
  <c r="N3" i="1" a="1"/>
  <c r="P3" i="1" a="1"/>
  <c r="O3" i="1" a="1"/>
  <c r="M3" i="1" a="1"/>
  <c r="Q3" i="1" a="1"/>
  <c r="L3" i="1" a="1"/>
  <c r="M14" i="1" a="1"/>
  <c r="Q11" i="1" a="1"/>
  <c r="O11" i="1" a="1"/>
  <c r="L11" i="1" a="1"/>
  <c r="P11" i="1" a="1"/>
  <c r="R11" i="1" a="1"/>
  <c r="N11" i="1" a="1"/>
  <c r="M11" i="1" a="1"/>
  <c r="N14" i="1" a="1"/>
  <c r="O14" i="1" a="1"/>
  <c r="L14" i="1" a="1"/>
  <c r="R14" i="1" a="1"/>
  <c r="P14" i="1" a="1"/>
  <c r="Q14" i="1" a="1"/>
  <c r="N13" i="1" a="1"/>
  <c r="O13" i="1" a="1"/>
  <c r="P13" i="1" a="1"/>
  <c r="M13" i="1" a="1"/>
  <c r="Q13" i="1" a="1"/>
  <c r="L13" i="1" a="1"/>
  <c r="R13" i="1" a="1"/>
  <c r="Q12" i="1" a="1"/>
  <c r="R12" i="1" a="1"/>
  <c r="M12" i="1" a="1"/>
  <c r="O12" i="1" a="1"/>
  <c r="L12" i="1" a="1"/>
  <c r="N12" i="1" a="1"/>
  <c r="P12" i="1" a="1"/>
  <c r="P10" i="1" a="1"/>
  <c r="Q10" i="1" a="1"/>
  <c r="R10" i="1" a="1"/>
  <c r="M10" i="1" a="1"/>
  <c r="L10" i="1" a="1"/>
  <c r="N10" i="1" a="1"/>
  <c r="O10" i="1" a="1"/>
  <c r="O9" i="1" a="1"/>
  <c r="L9" i="1" a="1"/>
  <c r="Q9" i="1" a="1"/>
  <c r="P9" i="1" a="1"/>
  <c r="M9" i="1" a="1"/>
  <c r="R9" i="1" a="1"/>
  <c r="N9" i="1" a="1"/>
  <c r="R8" i="1" a="1"/>
  <c r="O8" i="1" a="1"/>
  <c r="L8" i="1" a="1"/>
  <c r="M8" i="1" a="1"/>
  <c r="N8" i="1" a="1"/>
  <c r="Q8" i="1" a="1"/>
  <c r="P8" i="1" a="1"/>
  <c r="O6" i="1" a="1"/>
  <c r="M6" i="1" a="1"/>
  <c r="Q6" i="1" a="1"/>
  <c r="N6" i="1" a="1"/>
  <c r="R6" i="1" a="1"/>
  <c r="P6" i="1" a="1"/>
  <c r="L6" i="1" a="1"/>
  <c r="Q5" i="1" a="1"/>
  <c r="L5" i="1" a="1"/>
  <c r="M5" i="1" a="1"/>
  <c r="O5" i="1" a="1"/>
  <c r="N5" i="1" a="1"/>
  <c r="P5" i="1" a="1"/>
  <c r="R5" i="1" a="1"/>
  <c r="Q4" i="1" a="1"/>
  <c r="O4" i="1" a="1"/>
  <c r="P4" i="1" a="1"/>
  <c r="R4" i="1" a="1"/>
  <c r="M4" i="1" a="1"/>
  <c r="N4" i="1" a="1"/>
  <c r="L4" i="1" a="1"/>
  <c r="F14" i="757" a="1"/>
  <c r="F5" i="757" a="1"/>
  <c r="F6" i="757" a="1"/>
  <c r="F15" i="757" a="1"/>
  <c r="F4" i="757" a="1"/>
  <c r="F12" i="757" a="1"/>
  <c r="F9" i="757" a="1"/>
  <c r="F13" i="757" a="1"/>
  <c r="F8" i="757" a="1"/>
  <c r="F10" i="757" a="1"/>
  <c r="F11" i="757" a="1"/>
  <c r="F7" i="757" a="1"/>
  <c r="N13" i="1065" l="1"/>
  <c r="N14" i="1065" s="1"/>
  <c r="Q7" i="1"/>
  <c r="M8" i="757" s="1"/>
  <c r="O7" i="1"/>
  <c r="K8" i="757" s="1"/>
  <c r="J14" i="1065"/>
  <c r="H14" i="1065"/>
  <c r="R7" i="1"/>
  <c r="N8" i="757" s="1"/>
  <c r="P7" i="1"/>
  <c r="L8" i="757" s="1"/>
  <c r="K14" i="1065"/>
  <c r="I14" i="1065"/>
  <c r="N13" i="1063"/>
  <c r="N14" i="1063" s="1"/>
  <c r="R3" i="1"/>
  <c r="N4" i="757" s="1"/>
  <c r="K14" i="1061"/>
  <c r="N3" i="1"/>
  <c r="J4" i="757" s="1"/>
  <c r="G14" i="1061"/>
  <c r="M3" i="1"/>
  <c r="O3" i="1"/>
  <c r="K4" i="757" s="1"/>
  <c r="P3" i="1"/>
  <c r="L4" i="757" s="1"/>
  <c r="F14" i="1061"/>
  <c r="H14" i="1061"/>
  <c r="I14" i="1061"/>
  <c r="L3" i="1"/>
  <c r="Q3" i="1"/>
  <c r="M4" i="757" s="1"/>
  <c r="J14" i="1061"/>
  <c r="M14" i="1"/>
  <c r="F14" i="1072"/>
  <c r="E14" i="1072"/>
  <c r="N13" i="1072"/>
  <c r="N14" i="1072" s="1"/>
  <c r="E14" i="1071"/>
  <c r="N13" i="1071"/>
  <c r="N14" i="1071" s="1"/>
  <c r="E14" i="1070"/>
  <c r="N13" i="1070"/>
  <c r="N14" i="1070" s="1"/>
  <c r="M11" i="1"/>
  <c r="N11" i="1"/>
  <c r="J12" i="757" s="1"/>
  <c r="R11" i="1"/>
  <c r="N12" i="757" s="1"/>
  <c r="P11" i="1"/>
  <c r="L12" i="757" s="1"/>
  <c r="L11" i="1"/>
  <c r="O11" i="1"/>
  <c r="K12" i="757" s="1"/>
  <c r="Q11" i="1"/>
  <c r="M12" i="757" s="1"/>
  <c r="F14" i="1069"/>
  <c r="G14" i="1069"/>
  <c r="K14" i="1069"/>
  <c r="I14" i="1069"/>
  <c r="H14" i="1069"/>
  <c r="J14" i="1069"/>
  <c r="E14" i="1069"/>
  <c r="N13" i="1069"/>
  <c r="N14" i="1069" s="1"/>
  <c r="E14" i="1067"/>
  <c r="N13" i="1067"/>
  <c r="N14" i="1067" s="1"/>
  <c r="E14" i="1066"/>
  <c r="N13" i="1066"/>
  <c r="N14" i="1066" s="1"/>
  <c r="E14" i="1064"/>
  <c r="N13" i="1064"/>
  <c r="N14" i="1064" s="1"/>
  <c r="E14" i="1062"/>
  <c r="N13" i="1062"/>
  <c r="N14" i="1062" s="1"/>
  <c r="Q14" i="1"/>
  <c r="M15" i="757" s="1"/>
  <c r="P14" i="1"/>
  <c r="L15" i="757" s="1"/>
  <c r="R14" i="1"/>
  <c r="N15" i="757" s="1"/>
  <c r="L14" i="1"/>
  <c r="O14" i="1"/>
  <c r="K15" i="757" s="1"/>
  <c r="N14" i="1"/>
  <c r="J15" i="757" s="1"/>
  <c r="R13" i="1"/>
  <c r="N14" i="757" s="1"/>
  <c r="L13" i="1"/>
  <c r="Q13" i="1"/>
  <c r="M14" i="757" s="1"/>
  <c r="M13" i="1"/>
  <c r="P13" i="1"/>
  <c r="L14" i="757" s="1"/>
  <c r="O13" i="1"/>
  <c r="K14" i="757" s="1"/>
  <c r="N13" i="1"/>
  <c r="J14" i="757" s="1"/>
  <c r="Q12" i="1"/>
  <c r="M13" i="757" s="1"/>
  <c r="P12" i="1"/>
  <c r="L13" i="757" s="1"/>
  <c r="N12" i="1"/>
  <c r="J13" i="757" s="1"/>
  <c r="L12" i="1"/>
  <c r="O12" i="1"/>
  <c r="K13" i="757" s="1"/>
  <c r="M12" i="1"/>
  <c r="R12" i="1"/>
  <c r="N13" i="757" s="1"/>
  <c r="P10" i="1"/>
  <c r="L11" i="757" s="1"/>
  <c r="M10" i="1"/>
  <c r="R10" i="1"/>
  <c r="N11" i="757" s="1"/>
  <c r="Q10" i="1"/>
  <c r="M11" i="757" s="1"/>
  <c r="O10" i="1"/>
  <c r="K11" i="757" s="1"/>
  <c r="N10" i="1"/>
  <c r="J11" i="757" s="1"/>
  <c r="L10" i="1"/>
  <c r="O9" i="1"/>
  <c r="K10" i="757" s="1"/>
  <c r="N9" i="1"/>
  <c r="J10" i="757" s="1"/>
  <c r="R9" i="1"/>
  <c r="N10" i="757" s="1"/>
  <c r="M9" i="1"/>
  <c r="P9" i="1"/>
  <c r="L10" i="757" s="1"/>
  <c r="Q9" i="1"/>
  <c r="M10" i="757" s="1"/>
  <c r="L9" i="1"/>
  <c r="P8" i="1"/>
  <c r="L9" i="757" s="1"/>
  <c r="Q8" i="1"/>
  <c r="M9" i="757" s="1"/>
  <c r="N8" i="1"/>
  <c r="J9" i="757" s="1"/>
  <c r="M8" i="1"/>
  <c r="L8" i="1"/>
  <c r="O8" i="1"/>
  <c r="K9" i="757" s="1"/>
  <c r="R8" i="1"/>
  <c r="N9" i="757" s="1"/>
  <c r="L6" i="1"/>
  <c r="P6" i="1"/>
  <c r="L7" i="757" s="1"/>
  <c r="R6" i="1"/>
  <c r="N7" i="757" s="1"/>
  <c r="N6" i="1"/>
  <c r="J7" i="757" s="1"/>
  <c r="Q6" i="1"/>
  <c r="M7" i="757" s="1"/>
  <c r="M6" i="1"/>
  <c r="O6" i="1"/>
  <c r="K7" i="757" s="1"/>
  <c r="R5" i="1"/>
  <c r="N6" i="757" s="1"/>
  <c r="P5" i="1"/>
  <c r="L6" i="757" s="1"/>
  <c r="N5" i="1"/>
  <c r="J6" i="757" s="1"/>
  <c r="O5" i="1"/>
  <c r="K6" i="757" s="1"/>
  <c r="M5" i="1"/>
  <c r="L5" i="1"/>
  <c r="Q5" i="1"/>
  <c r="M6" i="757" s="1"/>
  <c r="L4" i="1"/>
  <c r="N4" i="1"/>
  <c r="J5" i="757" s="1"/>
  <c r="M4" i="1"/>
  <c r="R4" i="1"/>
  <c r="N5" i="757" s="1"/>
  <c r="P4" i="1"/>
  <c r="L5" i="757" s="1"/>
  <c r="O4" i="1"/>
  <c r="K5" i="757" s="1"/>
  <c r="Q4" i="1"/>
  <c r="M5" i="757" s="1"/>
  <c r="I8" i="757"/>
  <c r="F8" i="757"/>
  <c r="F7" i="757"/>
  <c r="F6" i="757"/>
  <c r="F12" i="757"/>
  <c r="F15" i="757"/>
  <c r="F11" i="757"/>
  <c r="F14" i="757"/>
  <c r="F10" i="757"/>
  <c r="F13" i="757"/>
  <c r="F9" i="757"/>
  <c r="F5" i="757"/>
  <c r="F4" i="757"/>
  <c r="E34" i="757"/>
  <c r="O15" i="1" l="1" a="1"/>
  <c r="O15" i="1" s="1"/>
  <c r="K16" i="757" s="1"/>
  <c r="Q15" i="1" a="1"/>
  <c r="Q15" i="1" s="1"/>
  <c r="M16" i="757" s="1"/>
  <c r="P15" i="1" a="1"/>
  <c r="P15" i="1" s="1"/>
  <c r="L16" i="757" s="1"/>
  <c r="N15" i="1" a="1"/>
  <c r="N15" i="1" s="1"/>
  <c r="J16" i="757" s="1"/>
  <c r="R15" i="1" a="1"/>
  <c r="R15" i="1" s="1"/>
  <c r="N16" i="757" s="1"/>
  <c r="I14" i="757"/>
  <c r="I13" i="757"/>
  <c r="I11" i="757"/>
  <c r="I9" i="757"/>
  <c r="I6" i="757"/>
  <c r="I5" i="757"/>
  <c r="I12" i="757"/>
  <c r="I7" i="757"/>
  <c r="I10" i="757"/>
  <c r="I15" i="757"/>
  <c r="I4" i="757"/>
  <c r="M15" i="1" a="1"/>
  <c r="M15" i="1" s="1"/>
  <c r="I16" i="757" s="1"/>
  <c r="M14" i="3"/>
  <c r="F22" i="757"/>
  <c r="F29" i="757" l="1"/>
  <c r="F25" i="757"/>
  <c r="F26" i="757"/>
  <c r="F33" i="757"/>
  <c r="F32" i="757"/>
  <c r="F28" i="757"/>
  <c r="F24" i="757"/>
  <c r="F30" i="757"/>
  <c r="F31" i="757"/>
  <c r="F27" i="757"/>
  <c r="F23" i="757"/>
  <c r="F14" i="3"/>
  <c r="AD12" i="3" l="1"/>
  <c r="L7" i="3"/>
  <c r="L41" i="3" s="1" a="1"/>
  <c r="L41" i="3" s="1"/>
  <c r="R13" i="3"/>
  <c r="R44" i="3" s="1" a="1"/>
  <c r="R44" i="3" s="1"/>
  <c r="X12" i="3"/>
  <c r="Q47" i="3" s="1" a="1"/>
  <c r="Q47" i="3" s="1"/>
  <c r="AD11" i="3"/>
  <c r="N11" i="3"/>
  <c r="P42" i="3" s="1" a="1"/>
  <c r="P42" i="3" s="1"/>
  <c r="T10" i="3"/>
  <c r="O45" i="3" s="1" a="1"/>
  <c r="O45" i="3" s="1"/>
  <c r="Z9" i="3"/>
  <c r="N48" i="3" s="1" a="1"/>
  <c r="N48" i="3" s="1"/>
  <c r="J9" i="3"/>
  <c r="N40" i="3" s="1" a="1"/>
  <c r="N40" i="3" s="1"/>
  <c r="P8" i="3"/>
  <c r="M43" i="3" s="1" a="1"/>
  <c r="M43" i="3" s="1"/>
  <c r="V7" i="3"/>
  <c r="L46" i="3" s="1" a="1"/>
  <c r="L46" i="3" s="1"/>
  <c r="AB6" i="3"/>
  <c r="L6" i="3"/>
  <c r="K41" i="3" s="1" a="1"/>
  <c r="K41" i="3" s="1"/>
  <c r="R5" i="3"/>
  <c r="J44" i="3" s="1" a="1"/>
  <c r="J44" i="3" s="1"/>
  <c r="X4" i="3"/>
  <c r="I47" i="3" s="1" a="1"/>
  <c r="I47" i="3" s="1"/>
  <c r="AD3" i="3"/>
  <c r="N3" i="3"/>
  <c r="H42" i="3" s="1" a="1"/>
  <c r="H42" i="3" s="1"/>
  <c r="P9" i="3"/>
  <c r="N43" i="3" s="1" a="1"/>
  <c r="N43" i="3" s="1"/>
  <c r="R6" i="3"/>
  <c r="K44" i="3" s="1" a="1"/>
  <c r="K44" i="3" s="1"/>
  <c r="AD4" i="3"/>
  <c r="AB13" i="3"/>
  <c r="L13" i="3"/>
  <c r="R41" i="3" s="1" a="1"/>
  <c r="R41" i="3" s="1"/>
  <c r="R12" i="3"/>
  <c r="Q44" i="3" s="1" a="1"/>
  <c r="Q44" i="3" s="1"/>
  <c r="X11" i="3"/>
  <c r="P47" i="3" s="1" a="1"/>
  <c r="P47" i="3" s="1"/>
  <c r="AD10" i="3"/>
  <c r="N10" i="3"/>
  <c r="O42" i="3" s="1" a="1"/>
  <c r="O42" i="3" s="1"/>
  <c r="T9" i="3"/>
  <c r="N45" i="3" s="1" a="1"/>
  <c r="N45" i="3" s="1"/>
  <c r="Z8" i="3"/>
  <c r="M48" i="3" s="1" a="1"/>
  <c r="M48" i="3" s="1"/>
  <c r="J8" i="3"/>
  <c r="M40" i="3" s="1" a="1"/>
  <c r="M40" i="3" s="1"/>
  <c r="P7" i="3"/>
  <c r="L43" i="3" s="1" a="1"/>
  <c r="L43" i="3" s="1"/>
  <c r="V6" i="3"/>
  <c r="K46" i="3" s="1" a="1"/>
  <c r="K46" i="3" s="1"/>
  <c r="AB5" i="3"/>
  <c r="L5" i="3"/>
  <c r="J41" i="3" s="1" a="1"/>
  <c r="J41" i="3" s="1"/>
  <c r="R4" i="3"/>
  <c r="I44" i="3" s="1" a="1"/>
  <c r="I44" i="3" s="1"/>
  <c r="X3" i="3"/>
  <c r="H47" i="3" s="1" a="1"/>
  <c r="H47" i="3" s="1"/>
  <c r="N12" i="3"/>
  <c r="Q42" i="3" s="1" a="1"/>
  <c r="Q42" i="3" s="1"/>
  <c r="T3" i="3"/>
  <c r="H45" i="3" s="1" a="1"/>
  <c r="H45" i="3" s="1"/>
  <c r="V13" i="3"/>
  <c r="R46" i="3" s="1" a="1"/>
  <c r="R46" i="3" s="1"/>
  <c r="AB12" i="3"/>
  <c r="L12" i="3"/>
  <c r="Q41" i="3" s="1" a="1"/>
  <c r="Q41" i="3" s="1"/>
  <c r="R11" i="3"/>
  <c r="P44" i="3" s="1" a="1"/>
  <c r="P44" i="3" s="1"/>
  <c r="X10" i="3"/>
  <c r="O47" i="3" s="1" a="1"/>
  <c r="O47" i="3" s="1"/>
  <c r="AD9" i="3"/>
  <c r="N9" i="3"/>
  <c r="N42" i="3" s="1" a="1"/>
  <c r="N42" i="3" s="1"/>
  <c r="T8" i="3"/>
  <c r="M45" i="3" s="1" a="1"/>
  <c r="M45" i="3" s="1"/>
  <c r="Z7" i="3"/>
  <c r="L48" i="3" s="1" a="1"/>
  <c r="L48" i="3" s="1"/>
  <c r="J7" i="3"/>
  <c r="L40" i="3" s="1" a="1"/>
  <c r="L40" i="3" s="1"/>
  <c r="P6" i="3"/>
  <c r="K43" i="3" s="1" a="1"/>
  <c r="K43" i="3" s="1"/>
  <c r="V5" i="3"/>
  <c r="J46" i="3" s="1" a="1"/>
  <c r="J46" i="3" s="1"/>
  <c r="AB4" i="3"/>
  <c r="L4" i="3"/>
  <c r="I41" i="3" s="1" a="1"/>
  <c r="I41" i="3" s="1"/>
  <c r="R3" i="3"/>
  <c r="H44" i="3" s="1" a="1"/>
  <c r="H44" i="3" s="1"/>
  <c r="N13" i="3"/>
  <c r="R42" i="3" s="1" a="1"/>
  <c r="R42" i="3" s="1"/>
  <c r="P13" i="3"/>
  <c r="R43" i="3" s="1" a="1"/>
  <c r="R43" i="3" s="1"/>
  <c r="V12" i="3"/>
  <c r="Q46" i="3" s="1" a="1"/>
  <c r="Q46" i="3" s="1"/>
  <c r="AB11" i="3"/>
  <c r="L11" i="3"/>
  <c r="P41" i="3" s="1" a="1"/>
  <c r="P41" i="3" s="1"/>
  <c r="R10" i="3"/>
  <c r="O44" i="3" s="1" a="1"/>
  <c r="O44" i="3" s="1"/>
  <c r="X9" i="3"/>
  <c r="N47" i="3" s="1" a="1"/>
  <c r="N47" i="3" s="1"/>
  <c r="AD8" i="3"/>
  <c r="N8" i="3"/>
  <c r="M42" i="3" s="1" a="1"/>
  <c r="M42" i="3" s="1"/>
  <c r="T7" i="3"/>
  <c r="L45" i="3" s="1" a="1"/>
  <c r="L45" i="3" s="1"/>
  <c r="Z6" i="3"/>
  <c r="K48" i="3" s="1" a="1"/>
  <c r="K48" i="3" s="1"/>
  <c r="J6" i="3"/>
  <c r="K40" i="3" s="1" a="1"/>
  <c r="K40" i="3" s="1"/>
  <c r="P5" i="3"/>
  <c r="J43" i="3" s="1" a="1"/>
  <c r="J43" i="3" s="1"/>
  <c r="V4" i="3"/>
  <c r="I46" i="3" s="1" a="1"/>
  <c r="I46" i="3" s="1"/>
  <c r="AB3" i="3"/>
  <c r="T12" i="3"/>
  <c r="Q45" i="3" s="1" a="1"/>
  <c r="Q45" i="3" s="1"/>
  <c r="Z10" i="3"/>
  <c r="O48" i="3" s="1" a="1"/>
  <c r="O48" i="3" s="1"/>
  <c r="AB7" i="3"/>
  <c r="N4" i="3"/>
  <c r="I42" i="3" s="1" a="1"/>
  <c r="I42" i="3" s="1"/>
  <c r="Z13" i="3"/>
  <c r="R48" i="3" s="1" a="1"/>
  <c r="R48" i="3" s="1"/>
  <c r="J13" i="3"/>
  <c r="R40" i="3" s="1" a="1"/>
  <c r="R40" i="3" s="1"/>
  <c r="P12" i="3"/>
  <c r="Q43" i="3" s="1" a="1"/>
  <c r="Q43" i="3" s="1"/>
  <c r="V11" i="3"/>
  <c r="P46" i="3" s="1" a="1"/>
  <c r="P46" i="3" s="1"/>
  <c r="AB10" i="3"/>
  <c r="L10" i="3"/>
  <c r="O41" i="3" s="1" a="1"/>
  <c r="O41" i="3" s="1"/>
  <c r="R9" i="3"/>
  <c r="N44" i="3" s="1" a="1"/>
  <c r="N44" i="3" s="1"/>
  <c r="X8" i="3"/>
  <c r="M47" i="3" s="1" a="1"/>
  <c r="M47" i="3" s="1"/>
  <c r="AD7" i="3"/>
  <c r="N7" i="3"/>
  <c r="L42" i="3" s="1" a="1"/>
  <c r="L42" i="3" s="1"/>
  <c r="T6" i="3"/>
  <c r="K45" i="3" s="1" a="1"/>
  <c r="K45" i="3" s="1"/>
  <c r="Z5" i="3"/>
  <c r="J48" i="3" s="1" a="1"/>
  <c r="J48" i="3" s="1"/>
  <c r="J5" i="3"/>
  <c r="J40" i="3" s="1" a="1"/>
  <c r="J40" i="3" s="1"/>
  <c r="P4" i="3"/>
  <c r="I43" i="3" s="1" a="1"/>
  <c r="I43" i="3" s="1"/>
  <c r="V3" i="3"/>
  <c r="H46" i="3" s="1" a="1"/>
  <c r="H46" i="3" s="1"/>
  <c r="X13" i="3"/>
  <c r="R47" i="3" s="1" a="1"/>
  <c r="R47" i="3" s="1"/>
  <c r="T11" i="3"/>
  <c r="P45" i="3" s="1" a="1"/>
  <c r="P45" i="3" s="1"/>
  <c r="J10" i="3"/>
  <c r="O40" i="3" s="1" a="1"/>
  <c r="O40" i="3" s="1"/>
  <c r="V8" i="3"/>
  <c r="M46" i="3" s="1" a="1"/>
  <c r="M46" i="3" s="1"/>
  <c r="X5" i="3"/>
  <c r="J47" i="3" s="1" a="1"/>
  <c r="J47" i="3" s="1"/>
  <c r="T13" i="3"/>
  <c r="R45" i="3" s="1" a="1"/>
  <c r="R45" i="3" s="1"/>
  <c r="Z12" i="3"/>
  <c r="Q48" i="3" s="1" a="1"/>
  <c r="Q48" i="3" s="1"/>
  <c r="J12" i="3"/>
  <c r="Q40" i="3" s="1" a="1"/>
  <c r="Q40" i="3" s="1"/>
  <c r="P11" i="3"/>
  <c r="P43" i="3" s="1" a="1"/>
  <c r="P43" i="3" s="1"/>
  <c r="V10" i="3"/>
  <c r="O46" i="3" s="1" a="1"/>
  <c r="O46" i="3" s="1"/>
  <c r="AB9" i="3"/>
  <c r="L9" i="3"/>
  <c r="N41" i="3" s="1" a="1"/>
  <c r="N41" i="3" s="1"/>
  <c r="R8" i="3"/>
  <c r="M44" i="3" s="1" a="1"/>
  <c r="M44" i="3" s="1"/>
  <c r="X7" i="3"/>
  <c r="L47" i="3" s="1" a="1"/>
  <c r="L47" i="3" s="1"/>
  <c r="AD6" i="3"/>
  <c r="N6" i="3"/>
  <c r="K42" i="3" s="1" a="1"/>
  <c r="K42" i="3" s="1"/>
  <c r="T5" i="3"/>
  <c r="J45" i="3" s="1" a="1"/>
  <c r="J45" i="3" s="1"/>
  <c r="Z4" i="3"/>
  <c r="I48" i="3" s="1" a="1"/>
  <c r="I48" i="3" s="1"/>
  <c r="J4" i="3"/>
  <c r="I40" i="3" s="1" a="1"/>
  <c r="I40" i="3" s="1"/>
  <c r="P3" i="3"/>
  <c r="H43" i="3" s="1" a="1"/>
  <c r="H43" i="3" s="1"/>
  <c r="AD13" i="3"/>
  <c r="Z11" i="3"/>
  <c r="P48" i="3" s="1" a="1"/>
  <c r="P48" i="3" s="1"/>
  <c r="J11" i="3"/>
  <c r="P40" i="3" s="1" a="1"/>
  <c r="P40" i="3" s="1"/>
  <c r="P10" i="3"/>
  <c r="O43" i="3" s="1" a="1"/>
  <c r="O43" i="3" s="1"/>
  <c r="V9" i="3"/>
  <c r="N46" i="3" s="1" a="1"/>
  <c r="N46" i="3" s="1"/>
  <c r="AB8" i="3"/>
  <c r="L8" i="3"/>
  <c r="M41" i="3" s="1" a="1"/>
  <c r="M41" i="3" s="1"/>
  <c r="R7" i="3"/>
  <c r="L44" i="3" s="1" a="1"/>
  <c r="L44" i="3" s="1"/>
  <c r="X6" i="3"/>
  <c r="K47" i="3" s="1" a="1"/>
  <c r="K47" i="3" s="1"/>
  <c r="AD5" i="3"/>
  <c r="N5" i="3"/>
  <c r="J42" i="3" s="1" a="1"/>
  <c r="J42" i="3" s="1"/>
  <c r="T4" i="3"/>
  <c r="I45" i="3" s="1" a="1"/>
  <c r="I45" i="3" s="1"/>
  <c r="Z3" i="3"/>
  <c r="H48" i="3" s="1" a="1"/>
  <c r="H48" i="3" s="1"/>
  <c r="L3" i="3" l="1"/>
  <c r="H41" i="3" s="1" a="1"/>
  <c r="H41" i="3" s="1"/>
  <c r="J3" i="3"/>
  <c r="H40" i="3" s="1" a="1"/>
  <c r="H40" i="3" s="1"/>
  <c r="H7" i="3"/>
  <c r="L39" i="3" s="1" a="1"/>
  <c r="L39" i="3" s="1"/>
  <c r="C7" i="3"/>
  <c r="D7" i="3" s="1"/>
  <c r="E7" i="3" s="1"/>
  <c r="J2" i="3"/>
  <c r="G40" i="3" s="1" a="1"/>
  <c r="G40" i="3" s="1"/>
  <c r="I14" i="3"/>
  <c r="J14" i="3" s="1"/>
  <c r="S40" i="3" s="1" a="1"/>
  <c r="S40" i="3" s="1"/>
  <c r="Z2" i="3"/>
  <c r="G48" i="3" s="1" a="1"/>
  <c r="G48" i="3" s="1"/>
  <c r="Y14" i="3"/>
  <c r="Z14" i="3" s="1"/>
  <c r="S48" i="3" s="1" a="1"/>
  <c r="S48" i="3" s="1"/>
  <c r="H11" i="3"/>
  <c r="P39" i="3" s="1" a="1"/>
  <c r="P39" i="3" s="1"/>
  <c r="C11" i="3"/>
  <c r="D11" i="3" s="1"/>
  <c r="E11" i="3" s="1"/>
  <c r="N14" i="3"/>
  <c r="S42" i="3" s="1" a="1"/>
  <c r="S42" i="3" s="1"/>
  <c r="N2" i="3"/>
  <c r="G42" i="3" s="1" a="1"/>
  <c r="G42" i="3" s="1"/>
  <c r="X2" i="3"/>
  <c r="G47" i="3" s="1" a="1"/>
  <c r="G47" i="3" s="1"/>
  <c r="W14" i="3"/>
  <c r="X14" i="3" s="1"/>
  <c r="S47" i="3" s="1" a="1"/>
  <c r="S47" i="3" s="1"/>
  <c r="K14" i="3"/>
  <c r="L14" i="3" s="1"/>
  <c r="S41" i="3" s="1" a="1"/>
  <c r="S41" i="3" s="1"/>
  <c r="L2" i="3"/>
  <c r="G41" i="3" s="1" a="1"/>
  <c r="G41" i="3" s="1"/>
  <c r="O14" i="3"/>
  <c r="P14" i="3" s="1"/>
  <c r="S43" i="3" s="1" a="1"/>
  <c r="S43" i="3" s="1"/>
  <c r="P2" i="3"/>
  <c r="G43" i="3" s="1" a="1"/>
  <c r="G43" i="3" s="1"/>
  <c r="T2" i="3"/>
  <c r="G45" i="3" s="1" a="1"/>
  <c r="G45" i="3" s="1"/>
  <c r="S14" i="3"/>
  <c r="T14" i="3" s="1"/>
  <c r="S45" i="3" s="1" a="1"/>
  <c r="S45" i="3" s="1"/>
  <c r="U14" i="3"/>
  <c r="V14" i="3" s="1"/>
  <c r="S46" i="3" s="1" a="1"/>
  <c r="S46" i="3" s="1"/>
  <c r="V2" i="3"/>
  <c r="G46" i="3" s="1" a="1"/>
  <c r="G46" i="3" s="1"/>
  <c r="C4" i="3"/>
  <c r="D4" i="3" s="1"/>
  <c r="E4" i="3" s="1"/>
  <c r="H4" i="3"/>
  <c r="I39" i="3" s="1" a="1"/>
  <c r="I39" i="3" s="1"/>
  <c r="H2" i="3"/>
  <c r="G39" i="3" s="1" a="1"/>
  <c r="G39" i="3" s="1"/>
  <c r="C2" i="3"/>
  <c r="G14" i="3"/>
  <c r="H14" i="3" s="1"/>
  <c r="S39" i="3" s="1" a="1"/>
  <c r="S39" i="3" s="1"/>
  <c r="C5" i="3"/>
  <c r="D5" i="3" s="1"/>
  <c r="E5" i="3" s="1"/>
  <c r="H5" i="3"/>
  <c r="J39" i="3" s="1" a="1"/>
  <c r="J39" i="3" s="1"/>
  <c r="AC14" i="3"/>
  <c r="AD14" i="3" s="1"/>
  <c r="AD2" i="3"/>
  <c r="C8" i="3"/>
  <c r="D8" i="3" s="1"/>
  <c r="E8" i="3" s="1"/>
  <c r="H8" i="3"/>
  <c r="M39" i="3" s="1" a="1"/>
  <c r="M39" i="3" s="1"/>
  <c r="H6" i="3"/>
  <c r="K39" i="3" s="1" a="1"/>
  <c r="K39" i="3" s="1"/>
  <c r="C6" i="3"/>
  <c r="D6" i="3" s="1"/>
  <c r="E6" i="3" s="1"/>
  <c r="AA14" i="3"/>
  <c r="AB14" i="3" s="1"/>
  <c r="AB2" i="3"/>
  <c r="C9" i="3"/>
  <c r="D9" i="3" s="1"/>
  <c r="E9" i="3" s="1"/>
  <c r="H9" i="3"/>
  <c r="N39" i="3" s="1" a="1"/>
  <c r="N39" i="3" s="1"/>
  <c r="C12" i="3"/>
  <c r="D12" i="3" s="1"/>
  <c r="E12" i="3" s="1"/>
  <c r="H12" i="3"/>
  <c r="Q39" i="3" s="1" a="1"/>
  <c r="Q39" i="3" s="1"/>
  <c r="H3" i="3"/>
  <c r="H39" i="3" s="1" a="1"/>
  <c r="H39" i="3" s="1"/>
  <c r="C3" i="3"/>
  <c r="D3" i="3" s="1"/>
  <c r="E3" i="3" s="1"/>
  <c r="C10" i="3"/>
  <c r="D10" i="3" s="1"/>
  <c r="E10" i="3" s="1"/>
  <c r="H10" i="3"/>
  <c r="O39" i="3" s="1" a="1"/>
  <c r="O39" i="3" s="1"/>
  <c r="C13" i="3"/>
  <c r="D13" i="3" s="1"/>
  <c r="E13" i="3" s="1"/>
  <c r="H13" i="3"/>
  <c r="R39" i="3" s="1" a="1"/>
  <c r="R39" i="3" s="1"/>
  <c r="Q14" i="3"/>
  <c r="R14" i="3" s="1"/>
  <c r="S44" i="3" s="1" a="1"/>
  <c r="S44" i="3" s="1"/>
  <c r="R2" i="3"/>
  <c r="G44" i="3" s="1" a="1"/>
  <c r="G44" i="3" s="1"/>
  <c r="D2" i="3" l="1"/>
  <c r="E2" i="3" s="1"/>
  <c r="C14" i="3"/>
  <c r="D14" i="3" s="1"/>
  <c r="E14" i="3" s="1"/>
  <c r="Q80" i="578" l="1"/>
  <c r="Q79" i="578"/>
  <c r="Q78" i="578"/>
  <c r="Q72" i="578"/>
  <c r="Q71" i="578"/>
  <c r="Q70" i="578"/>
  <c r="Q69" i="578"/>
  <c r="Q68" i="578"/>
  <c r="Q59" i="578"/>
  <c r="Q58" i="578"/>
  <c r="Q57" i="578"/>
  <c r="Q56" i="578"/>
  <c r="Q55" i="578"/>
  <c r="Q54" i="578"/>
  <c r="Q53" i="578"/>
  <c r="Q52" i="578"/>
  <c r="Q51" i="578"/>
  <c r="Q50" i="578"/>
  <c r="E2" i="207"/>
  <c r="E49" i="207" l="1"/>
  <c r="E67" i="207"/>
  <c r="E77" i="207"/>
  <c r="X13" i="578"/>
  <c r="B7" i="578"/>
  <c r="K24" i="578"/>
  <c r="H24" i="578"/>
  <c r="J23" i="578"/>
  <c r="AA15" i="578"/>
  <c r="X15" i="578"/>
  <c r="AA14" i="578"/>
  <c r="X14" i="578"/>
  <c r="AA13" i="578"/>
  <c r="AA12" i="578"/>
  <c r="X12" i="578"/>
  <c r="AA11" i="578"/>
  <c r="X11" i="578"/>
  <c r="AA10" i="578"/>
  <c r="X10" i="578"/>
  <c r="AA9" i="578"/>
  <c r="X9" i="578"/>
  <c r="AA8" i="578"/>
  <c r="X8" i="578"/>
  <c r="AA7" i="578"/>
  <c r="X7" i="578"/>
  <c r="AA6" i="578"/>
  <c r="X6" i="578"/>
  <c r="AA5" i="578"/>
  <c r="X5" i="578"/>
  <c r="AA4" i="578"/>
  <c r="X4" i="578"/>
  <c r="X3" i="578"/>
  <c r="C15" i="1" a="1"/>
  <c r="C15" i="1" s="1"/>
  <c r="G34" i="757" l="1"/>
  <c r="G16" i="757"/>
  <c r="AB16" i="757"/>
  <c r="H27" i="578"/>
  <c r="H26" i="578"/>
  <c r="H25" i="578"/>
  <c r="B8" i="578"/>
  <c r="J24" i="578"/>
  <c r="K23" i="578"/>
  <c r="B9" i="578"/>
  <c r="D7" i="578" l="1" a="1"/>
  <c r="D7" i="578" s="1"/>
  <c r="D5" i="578" a="1"/>
  <c r="D5" i="578" s="1"/>
  <c r="D8" i="578" a="1"/>
  <c r="D8" i="578" s="1"/>
  <c r="D3" i="578" a="1"/>
  <c r="D3" i="578" s="1"/>
  <c r="D11" i="578" a="1"/>
  <c r="D11" i="578" s="1"/>
  <c r="D6" i="578" a="1"/>
  <c r="D6" i="578" s="1"/>
  <c r="D9" i="578" a="1"/>
  <c r="D9" i="578" s="1"/>
  <c r="D4" i="578" a="1"/>
  <c r="D4" i="578" s="1"/>
  <c r="D10" i="578" a="1"/>
  <c r="D10" i="578" s="1"/>
  <c r="D12" i="578" a="1"/>
  <c r="D12" i="578" s="1"/>
  <c r="P8" i="578" l="1" a="1"/>
  <c r="P8" i="578" s="1"/>
  <c r="L8" i="578" a="1"/>
  <c r="L8" i="578" s="1"/>
  <c r="H8" i="578" a="1"/>
  <c r="H8" i="578" s="1"/>
  <c r="O8" i="578" a="1"/>
  <c r="O8" i="578" s="1"/>
  <c r="K8" i="578" a="1"/>
  <c r="K8" i="578" s="1"/>
  <c r="G8" i="578" a="1"/>
  <c r="G8" i="578" s="1"/>
  <c r="J8" i="578" a="1"/>
  <c r="J8" i="578" s="1"/>
  <c r="I8" i="578" a="1"/>
  <c r="I8" i="578" s="1"/>
  <c r="F8" i="578" a="1"/>
  <c r="F8" i="578" s="1"/>
  <c r="N8" i="578" a="1"/>
  <c r="N8" i="578" s="1"/>
  <c r="M8" i="578" a="1"/>
  <c r="M8" i="578" s="1"/>
  <c r="E8" i="578" a="1"/>
  <c r="E8" i="578" s="1"/>
  <c r="N12" i="578" a="1"/>
  <c r="N12" i="578" s="1"/>
  <c r="J12" i="578" a="1"/>
  <c r="J12" i="578" s="1"/>
  <c r="F12" i="578" a="1"/>
  <c r="F12" i="578" s="1"/>
  <c r="M12" i="578" a="1"/>
  <c r="M12" i="578" s="1"/>
  <c r="I12" i="578" a="1"/>
  <c r="I12" i="578" s="1"/>
  <c r="E12" i="578" a="1"/>
  <c r="E12" i="578" s="1"/>
  <c r="H12" i="578" a="1"/>
  <c r="H12" i="578" s="1"/>
  <c r="G12" i="578" a="1"/>
  <c r="G12" i="578" s="1"/>
  <c r="P12" i="578" a="1"/>
  <c r="P12" i="578" s="1"/>
  <c r="O12" i="578" a="1"/>
  <c r="O12" i="578" s="1"/>
  <c r="L12" i="578" a="1"/>
  <c r="L12" i="578" s="1"/>
  <c r="K12" i="578" a="1"/>
  <c r="K12" i="578" s="1"/>
  <c r="M5" i="578" a="1"/>
  <c r="M5" i="578" s="1"/>
  <c r="I5" i="578" a="1"/>
  <c r="I5" i="578" s="1"/>
  <c r="E5" i="578" a="1"/>
  <c r="E5" i="578" s="1"/>
  <c r="P5" i="578" a="1"/>
  <c r="P5" i="578" s="1"/>
  <c r="L5" i="578" a="1"/>
  <c r="L5" i="578" s="1"/>
  <c r="H5" i="578" a="1"/>
  <c r="H5" i="578" s="1"/>
  <c r="O5" i="578" a="1"/>
  <c r="O5" i="578" s="1"/>
  <c r="K5" i="578" a="1"/>
  <c r="K5" i="578" s="1"/>
  <c r="G5" i="578" a="1"/>
  <c r="G5" i="578" s="1"/>
  <c r="N5" i="578" a="1"/>
  <c r="N5" i="578" s="1"/>
  <c r="J5" i="578" a="1"/>
  <c r="J5" i="578" s="1"/>
  <c r="F5" i="578" a="1"/>
  <c r="F5" i="578" s="1"/>
  <c r="P7" i="578" a="1"/>
  <c r="P7" i="578" s="1"/>
  <c r="L7" i="578" a="1"/>
  <c r="L7" i="578" s="1"/>
  <c r="H7" i="578" a="1"/>
  <c r="H7" i="578" s="1"/>
  <c r="O7" i="578" a="1"/>
  <c r="O7" i="578" s="1"/>
  <c r="K7" i="578" a="1"/>
  <c r="K7" i="578" s="1"/>
  <c r="G7" i="578" a="1"/>
  <c r="G7" i="578" s="1"/>
  <c r="N7" i="578" a="1"/>
  <c r="N7" i="578" s="1"/>
  <c r="J7" i="578" a="1"/>
  <c r="J7" i="578" s="1"/>
  <c r="F7" i="578" a="1"/>
  <c r="F7" i="578" s="1"/>
  <c r="E7" i="578" a="1"/>
  <c r="E7" i="578" s="1"/>
  <c r="M7" i="578" a="1"/>
  <c r="M7" i="578" s="1"/>
  <c r="I7" i="578" a="1"/>
  <c r="I7" i="578" s="1"/>
  <c r="O10" i="578" a="1"/>
  <c r="O10" i="578" s="1"/>
  <c r="K10" i="578" a="1"/>
  <c r="K10" i="578" s="1"/>
  <c r="G10" i="578" a="1"/>
  <c r="G10" i="578" s="1"/>
  <c r="N10" i="578" a="1"/>
  <c r="N10" i="578" s="1"/>
  <c r="J10" i="578" a="1"/>
  <c r="J10" i="578" s="1"/>
  <c r="F10" i="578" a="1"/>
  <c r="F10" i="578" s="1"/>
  <c r="I10" i="578" a="1"/>
  <c r="I10" i="578" s="1"/>
  <c r="H10" i="578" a="1"/>
  <c r="H10" i="578" s="1"/>
  <c r="P10" i="578" a="1"/>
  <c r="P10" i="578" s="1"/>
  <c r="E10" i="578" a="1"/>
  <c r="E10" i="578" s="1"/>
  <c r="M10" i="578" a="1"/>
  <c r="M10" i="578" s="1"/>
  <c r="L10" i="578" a="1"/>
  <c r="L10" i="578" s="1"/>
  <c r="N4" i="578" a="1"/>
  <c r="N4" i="578" s="1"/>
  <c r="J4" i="578" a="1"/>
  <c r="J4" i="578" s="1"/>
  <c r="F4" i="578" a="1"/>
  <c r="F4" i="578" s="1"/>
  <c r="M4" i="578" a="1"/>
  <c r="M4" i="578" s="1"/>
  <c r="I4" i="578" a="1"/>
  <c r="I4" i="578" s="1"/>
  <c r="E4" i="578" a="1"/>
  <c r="E4" i="578" s="1"/>
  <c r="K4" i="578" a="1"/>
  <c r="K4" i="578" s="1"/>
  <c r="H4" i="578" a="1"/>
  <c r="H4" i="578" s="1"/>
  <c r="G4" i="578" a="1"/>
  <c r="G4" i="578" s="1"/>
  <c r="O4" i="578" a="1"/>
  <c r="O4" i="578" s="1"/>
  <c r="P4" i="578" a="1"/>
  <c r="P4" i="578" s="1"/>
  <c r="L4" i="578" a="1"/>
  <c r="L4" i="578" s="1"/>
  <c r="O9" i="578" a="1"/>
  <c r="O9" i="578" s="1"/>
  <c r="K9" i="578" a="1"/>
  <c r="K9" i="578" s="1"/>
  <c r="G9" i="578" a="1"/>
  <c r="G9" i="578" s="1"/>
  <c r="N9" i="578" a="1"/>
  <c r="N9" i="578" s="1"/>
  <c r="J9" i="578" a="1"/>
  <c r="J9" i="578" s="1"/>
  <c r="F9" i="578" a="1"/>
  <c r="F9" i="578" s="1"/>
  <c r="M9" i="578" a="1"/>
  <c r="M9" i="578" s="1"/>
  <c r="I9" i="578" a="1"/>
  <c r="I9" i="578" s="1"/>
  <c r="E9" i="578" a="1"/>
  <c r="E9" i="578" s="1"/>
  <c r="L9" i="578" a="1"/>
  <c r="L9" i="578" s="1"/>
  <c r="H9" i="578" a="1"/>
  <c r="H9" i="578" s="1"/>
  <c r="P9" i="578" a="1"/>
  <c r="P9" i="578" s="1"/>
  <c r="M6" i="578" a="1"/>
  <c r="M6" i="578" s="1"/>
  <c r="I6" i="578" a="1"/>
  <c r="I6" i="578" s="1"/>
  <c r="E6" i="578" a="1"/>
  <c r="E6" i="578" s="1"/>
  <c r="P6" i="578" a="1"/>
  <c r="P6" i="578" s="1"/>
  <c r="L6" i="578" a="1"/>
  <c r="L6" i="578" s="1"/>
  <c r="H6" i="578" a="1"/>
  <c r="H6" i="578" s="1"/>
  <c r="K6" i="578" a="1"/>
  <c r="K6" i="578" s="1"/>
  <c r="J6" i="578" a="1"/>
  <c r="J6" i="578" s="1"/>
  <c r="G6" i="578" a="1"/>
  <c r="G6" i="578" s="1"/>
  <c r="O6" i="578" a="1"/>
  <c r="O6" i="578" s="1"/>
  <c r="N6" i="578" a="1"/>
  <c r="N6" i="578" s="1"/>
  <c r="F6" i="578" a="1"/>
  <c r="F6" i="578" s="1"/>
  <c r="N11" i="578" a="1"/>
  <c r="N11" i="578" s="1"/>
  <c r="J11" i="578" a="1"/>
  <c r="J11" i="578" s="1"/>
  <c r="F11" i="578" a="1"/>
  <c r="F11" i="578" s="1"/>
  <c r="M11" i="578" a="1"/>
  <c r="M11" i="578" s="1"/>
  <c r="I11" i="578" a="1"/>
  <c r="I11" i="578" s="1"/>
  <c r="E11" i="578" a="1"/>
  <c r="E11" i="578" s="1"/>
  <c r="P11" i="578" a="1"/>
  <c r="P11" i="578" s="1"/>
  <c r="L11" i="578" a="1"/>
  <c r="L11" i="578" s="1"/>
  <c r="H11" i="578" a="1"/>
  <c r="H11" i="578" s="1"/>
  <c r="K11" i="578" a="1"/>
  <c r="K11" i="578" s="1"/>
  <c r="G11" i="578" a="1"/>
  <c r="G11" i="578" s="1"/>
  <c r="O11" i="578" a="1"/>
  <c r="O11" i="578" s="1"/>
  <c r="P3" i="578" a="1"/>
  <c r="P3" i="578" s="1"/>
  <c r="L3" i="578" a="1"/>
  <c r="L3" i="578" s="1"/>
  <c r="H3" i="578" a="1"/>
  <c r="H3" i="578" s="1"/>
  <c r="O3" i="578" a="1"/>
  <c r="O3" i="578" s="1"/>
  <c r="K3" i="578" a="1"/>
  <c r="K3" i="578" s="1"/>
  <c r="G3" i="578" a="1"/>
  <c r="G3" i="578" s="1"/>
  <c r="E3" i="578" a="1"/>
  <c r="E3" i="578" s="1"/>
  <c r="N3" i="578" a="1"/>
  <c r="N3" i="578" s="1"/>
  <c r="M3" i="578" a="1"/>
  <c r="M3" i="578" s="1"/>
  <c r="I3" i="578" a="1"/>
  <c r="I3" i="578" s="1"/>
  <c r="J3" i="578" a="1"/>
  <c r="J3" i="578" s="1"/>
  <c r="F3" i="578" a="1"/>
  <c r="F3" i="578" s="1"/>
  <c r="J13" i="578" l="1"/>
  <c r="J14" i="578" s="1"/>
  <c r="H13" i="578"/>
  <c r="H14" i="578" s="1"/>
  <c r="I13" i="578"/>
  <c r="I14" i="578" s="1"/>
  <c r="G13" i="578"/>
  <c r="G14" i="578" s="1"/>
  <c r="K13" i="578"/>
  <c r="K14" i="578" s="1"/>
  <c r="N13" i="578"/>
  <c r="N14" i="578" s="1"/>
  <c r="L13" i="578"/>
  <c r="L14" i="578" s="1"/>
  <c r="M13" i="578"/>
  <c r="M14" i="578" s="1"/>
  <c r="Q10" i="578"/>
  <c r="F13" i="578"/>
  <c r="F14" i="578" s="1"/>
  <c r="O13" i="578"/>
  <c r="O14" i="578" s="1"/>
  <c r="Q4" i="578"/>
  <c r="Q5" i="578"/>
  <c r="Q8" i="578"/>
  <c r="E13" i="578"/>
  <c r="Q3" i="578"/>
  <c r="Q12" i="578"/>
  <c r="Q11" i="578"/>
  <c r="Q6" i="578"/>
  <c r="Q7" i="578"/>
  <c r="P13" i="578"/>
  <c r="P14" i="578" s="1"/>
  <c r="Q9" i="578"/>
  <c r="E14" i="578" l="1"/>
  <c r="Q13" i="578"/>
  <c r="Q14" i="578"/>
  <c r="N80" i="207"/>
  <c r="N79" i="207"/>
  <c r="N78" i="207"/>
  <c r="N72" i="207"/>
  <c r="N71" i="207"/>
  <c r="N70" i="207"/>
  <c r="N69" i="207"/>
  <c r="N68" i="207"/>
  <c r="N59" i="207"/>
  <c r="N58" i="207"/>
  <c r="N57" i="207"/>
  <c r="N56" i="207"/>
  <c r="N55" i="207"/>
  <c r="N54" i="207"/>
  <c r="N53" i="207"/>
  <c r="N52" i="207"/>
  <c r="N51" i="207"/>
  <c r="N50" i="207"/>
  <c r="U4" i="207" l="1"/>
  <c r="U5" i="207"/>
  <c r="U6" i="207"/>
  <c r="U7" i="207"/>
  <c r="U8" i="207"/>
  <c r="U9" i="207"/>
  <c r="U10" i="207"/>
  <c r="U11" i="207"/>
  <c r="U12" i="207"/>
  <c r="U13" i="207"/>
  <c r="R6" i="207"/>
  <c r="R7" i="207"/>
  <c r="R8" i="207"/>
  <c r="R9" i="207"/>
  <c r="R11" i="207"/>
  <c r="U15" i="207"/>
  <c r="U14" i="207"/>
  <c r="R15" i="207"/>
  <c r="R14" i="207"/>
  <c r="E4" i="1" a="1"/>
  <c r="D12" i="1" a="1"/>
  <c r="D13" i="1" a="1"/>
  <c r="E7" i="1" a="1"/>
  <c r="D11" i="1" a="1"/>
  <c r="D3" i="1" a="1"/>
  <c r="E12" i="1" a="1"/>
  <c r="E9" i="1" a="1"/>
  <c r="E3" i="1" a="1"/>
  <c r="D6" i="1" a="1"/>
  <c r="E5" i="1" a="1"/>
  <c r="D8" i="1" a="1"/>
  <c r="E8" i="1" a="1"/>
  <c r="E6" i="1" a="1"/>
  <c r="D10" i="1" a="1"/>
  <c r="E14" i="1" a="1"/>
  <c r="D14" i="1" a="1"/>
  <c r="D9" i="1" a="1"/>
  <c r="E13" i="1" a="1"/>
  <c r="E11" i="1" a="1"/>
  <c r="D5" i="1" a="1"/>
  <c r="E10" i="1" a="1"/>
  <c r="D7" i="1" a="1"/>
  <c r="D4" i="1" a="1"/>
  <c r="D3" i="1" l="1"/>
  <c r="D5" i="1"/>
  <c r="E11" i="1"/>
  <c r="AC12" i="757" s="1"/>
  <c r="E9" i="1"/>
  <c r="AC10" i="757" s="1"/>
  <c r="D4" i="1"/>
  <c r="D6" i="1"/>
  <c r="E14" i="1"/>
  <c r="AC15" i="757" s="1"/>
  <c r="D9" i="1"/>
  <c r="D13" i="1"/>
  <c r="D10" i="1"/>
  <c r="E6" i="1"/>
  <c r="AC7" i="757" s="1"/>
  <c r="E13" i="1"/>
  <c r="AC14" i="757" s="1"/>
  <c r="E4" i="1"/>
  <c r="AC5" i="757" s="1"/>
  <c r="E12" i="1"/>
  <c r="AC13" i="757" s="1"/>
  <c r="E10" i="1"/>
  <c r="AC11" i="757" s="1"/>
  <c r="E25" i="207"/>
  <c r="E3" i="1"/>
  <c r="D7" i="1"/>
  <c r="D8" i="1"/>
  <c r="D11" i="1"/>
  <c r="D14" i="1"/>
  <c r="E5" i="1"/>
  <c r="AC6" i="757" s="1"/>
  <c r="E8" i="1"/>
  <c r="AC9" i="757" s="1"/>
  <c r="D12" i="1"/>
  <c r="E7" i="1"/>
  <c r="AC8" i="757" s="1"/>
  <c r="AG50" i="3"/>
  <c r="AG49" i="3"/>
  <c r="AG48" i="3"/>
  <c r="AG47" i="3"/>
  <c r="AG46" i="3"/>
  <c r="AG45" i="3"/>
  <c r="AG44" i="3"/>
  <c r="AG43" i="3"/>
  <c r="AG42" i="3"/>
  <c r="AG41" i="3"/>
  <c r="AG40" i="3"/>
  <c r="AG39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E50" i="3"/>
  <c r="AE49" i="3"/>
  <c r="AE48" i="3"/>
  <c r="AE47" i="3"/>
  <c r="AE46" i="3"/>
  <c r="AE45" i="3"/>
  <c r="AE44" i="3"/>
  <c r="AE43" i="3"/>
  <c r="AE42" i="3"/>
  <c r="AE41" i="3"/>
  <c r="AE40" i="3"/>
  <c r="AE39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C50" i="3"/>
  <c r="AC49" i="3"/>
  <c r="AC48" i="3"/>
  <c r="AC47" i="3"/>
  <c r="AC46" i="3"/>
  <c r="AC45" i="3"/>
  <c r="AC44" i="3"/>
  <c r="AC43" i="3"/>
  <c r="AC42" i="3"/>
  <c r="AC41" i="3"/>
  <c r="AC40" i="3"/>
  <c r="AC39" i="3"/>
  <c r="AB50" i="3"/>
  <c r="AB49" i="3"/>
  <c r="AB48" i="3"/>
  <c r="AB47" i="3"/>
  <c r="AB46" i="3"/>
  <c r="AB45" i="3"/>
  <c r="AB44" i="3"/>
  <c r="AB43" i="3"/>
  <c r="AB42" i="3"/>
  <c r="AB41" i="3"/>
  <c r="AB40" i="3"/>
  <c r="AB39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Z50" i="3"/>
  <c r="Z49" i="3"/>
  <c r="Z48" i="3"/>
  <c r="Z47" i="3"/>
  <c r="Z46" i="3"/>
  <c r="Z45" i="3"/>
  <c r="Z44" i="3"/>
  <c r="Z43" i="3"/>
  <c r="Z42" i="3"/>
  <c r="Z41" i="3"/>
  <c r="Z40" i="3"/>
  <c r="Z39" i="3"/>
  <c r="Y50" i="3"/>
  <c r="Y49" i="3"/>
  <c r="Y48" i="3"/>
  <c r="Y47" i="3"/>
  <c r="Y46" i="3"/>
  <c r="Y45" i="3"/>
  <c r="Y44" i="3"/>
  <c r="Y43" i="3"/>
  <c r="Y42" i="3"/>
  <c r="Y41" i="3"/>
  <c r="Y40" i="3"/>
  <c r="Y39" i="3"/>
  <c r="X50" i="3"/>
  <c r="X49" i="3"/>
  <c r="X48" i="3"/>
  <c r="X47" i="3"/>
  <c r="X46" i="3"/>
  <c r="X45" i="3"/>
  <c r="X44" i="3"/>
  <c r="X43" i="3"/>
  <c r="X42" i="3"/>
  <c r="X41" i="3"/>
  <c r="X40" i="3"/>
  <c r="X39" i="3"/>
  <c r="W50" i="3"/>
  <c r="W49" i="3"/>
  <c r="W48" i="3"/>
  <c r="W47" i="3"/>
  <c r="W46" i="3"/>
  <c r="W45" i="3"/>
  <c r="W44" i="3"/>
  <c r="W43" i="3"/>
  <c r="W42" i="3"/>
  <c r="W41" i="3"/>
  <c r="W40" i="3"/>
  <c r="W39" i="3"/>
  <c r="V50" i="3"/>
  <c r="V49" i="3"/>
  <c r="V48" i="3"/>
  <c r="V47" i="3"/>
  <c r="V46" i="3"/>
  <c r="V45" i="3"/>
  <c r="V44" i="3"/>
  <c r="V43" i="3"/>
  <c r="V42" i="3"/>
  <c r="V41" i="3"/>
  <c r="V40" i="3"/>
  <c r="V39" i="3"/>
  <c r="U50" i="3"/>
  <c r="U49" i="3"/>
  <c r="U48" i="3"/>
  <c r="U47" i="3"/>
  <c r="U46" i="3"/>
  <c r="U45" i="3"/>
  <c r="U44" i="3"/>
  <c r="U43" i="3"/>
  <c r="U42" i="3"/>
  <c r="U41" i="3"/>
  <c r="U40" i="3"/>
  <c r="U39" i="3"/>
  <c r="B7" i="207"/>
  <c r="E24" i="207" s="1"/>
  <c r="AD9" i="757" l="1"/>
  <c r="AD11" i="757"/>
  <c r="AD15" i="757"/>
  <c r="AE6" i="757"/>
  <c r="AD13" i="757"/>
  <c r="AD5" i="757"/>
  <c r="AD14" i="757"/>
  <c r="AE10" i="757"/>
  <c r="AD8" i="757"/>
  <c r="AD7" i="757"/>
  <c r="AD12" i="757"/>
  <c r="AC4" i="757"/>
  <c r="AE4" i="757" s="1"/>
  <c r="N21" i="757"/>
  <c r="H21" i="757"/>
  <c r="AE11" i="757"/>
  <c r="AE15" i="757"/>
  <c r="AE13" i="757"/>
  <c r="AE5" i="757"/>
  <c r="AE7" i="757"/>
  <c r="AE12" i="757"/>
  <c r="AE14" i="757"/>
  <c r="AE8" i="757"/>
  <c r="D8" i="207" a="1"/>
  <c r="D8" i="207" s="1"/>
  <c r="D7" i="207" a="1"/>
  <c r="D7" i="207" s="1"/>
  <c r="D6" i="207" a="1"/>
  <c r="D6" i="207" s="1"/>
  <c r="D5" i="207" a="1"/>
  <c r="D5" i="207" s="1"/>
  <c r="D12" i="207" a="1"/>
  <c r="D12" i="207" s="1"/>
  <c r="D4" i="207" a="1"/>
  <c r="D4" i="207" s="1"/>
  <c r="D11" i="207" a="1"/>
  <c r="D11" i="207" s="1"/>
  <c r="D3" i="207" a="1"/>
  <c r="D3" i="207" s="1"/>
  <c r="F3" i="207" s="1" a="1"/>
  <c r="F3" i="207" s="1"/>
  <c r="D10" i="207" a="1"/>
  <c r="D10" i="207" s="1"/>
  <c r="D9" i="207" a="1"/>
  <c r="D9" i="207" s="1"/>
  <c r="D22" i="207"/>
  <c r="D21" i="207"/>
  <c r="D20" i="207"/>
  <c r="D19" i="207"/>
  <c r="R12" i="207"/>
  <c r="R10" i="207"/>
  <c r="R5" i="207"/>
  <c r="R13" i="207"/>
  <c r="D24" i="207"/>
  <c r="R4" i="207"/>
  <c r="R3" i="207"/>
  <c r="D25" i="207"/>
  <c r="B9" i="207"/>
  <c r="I11" i="207" l="1" a="1"/>
  <c r="I11" i="207" s="1"/>
  <c r="G11" i="207" a="1"/>
  <c r="G11" i="207" s="1"/>
  <c r="H11" i="207" a="1"/>
  <c r="H11" i="207" s="1"/>
  <c r="J11" i="207" a="1"/>
  <c r="J11" i="207" s="1"/>
  <c r="K11" i="207" a="1"/>
  <c r="K11" i="207" s="1"/>
  <c r="F11" i="207" a="1"/>
  <c r="F11" i="207" s="1"/>
  <c r="H7" i="207" a="1"/>
  <c r="H7" i="207" s="1"/>
  <c r="G7" i="207" a="1"/>
  <c r="G7" i="207" s="1"/>
  <c r="I7" i="207" a="1"/>
  <c r="I7" i="207" s="1"/>
  <c r="K7" i="207" a="1"/>
  <c r="K7" i="207" s="1"/>
  <c r="F7" i="207" a="1"/>
  <c r="F7" i="207" s="1"/>
  <c r="J7" i="207" a="1"/>
  <c r="J7" i="207" s="1"/>
  <c r="F9" i="207" a="1"/>
  <c r="F9" i="207" s="1"/>
  <c r="G9" i="207" a="1"/>
  <c r="G9" i="207" s="1"/>
  <c r="H9" i="207" a="1"/>
  <c r="H9" i="207" s="1"/>
  <c r="I9" i="207" a="1"/>
  <c r="I9" i="207" s="1"/>
  <c r="J9" i="207" a="1"/>
  <c r="J9" i="207" s="1"/>
  <c r="K9" i="207" a="1"/>
  <c r="K9" i="207" s="1"/>
  <c r="J10" i="207" a="1"/>
  <c r="J10" i="207" s="1"/>
  <c r="G10" i="207" a="1"/>
  <c r="G10" i="207" s="1"/>
  <c r="K10" i="207" a="1"/>
  <c r="K10" i="207" s="1"/>
  <c r="H10" i="207" a="1"/>
  <c r="H10" i="207" s="1"/>
  <c r="I10" i="207" a="1"/>
  <c r="I10" i="207" s="1"/>
  <c r="F10" i="207" a="1"/>
  <c r="F10" i="207" s="1"/>
  <c r="H12" i="207" a="1"/>
  <c r="H12" i="207" s="1"/>
  <c r="K12" i="207" a="1"/>
  <c r="K12" i="207" s="1"/>
  <c r="F12" i="207" a="1"/>
  <c r="F12" i="207" s="1"/>
  <c r="I12" i="207" a="1"/>
  <c r="I12" i="207" s="1"/>
  <c r="J12" i="207" a="1"/>
  <c r="J12" i="207" s="1"/>
  <c r="G12" i="207" a="1"/>
  <c r="G12" i="207" s="1"/>
  <c r="J5" i="207" a="1"/>
  <c r="J5" i="207" s="1"/>
  <c r="F5" i="207" a="1"/>
  <c r="F5" i="207" s="1"/>
  <c r="I5" i="207" a="1"/>
  <c r="I5" i="207" s="1"/>
  <c r="K5" i="207" a="1"/>
  <c r="K5" i="207" s="1"/>
  <c r="G5" i="207" a="1"/>
  <c r="G5" i="207" s="1"/>
  <c r="H5" i="207" a="1"/>
  <c r="H5" i="207" s="1"/>
  <c r="H6" i="207" a="1"/>
  <c r="H6" i="207" s="1"/>
  <c r="I6" i="207" a="1"/>
  <c r="I6" i="207" s="1"/>
  <c r="J6" i="207" a="1"/>
  <c r="J6" i="207" s="1"/>
  <c r="G6" i="207" a="1"/>
  <c r="G6" i="207" s="1"/>
  <c r="F6" i="207" a="1"/>
  <c r="F6" i="207" s="1"/>
  <c r="K6" i="207" a="1"/>
  <c r="K6" i="207" s="1"/>
  <c r="I8" i="207" a="1"/>
  <c r="I8" i="207" s="1"/>
  <c r="F8" i="207" a="1"/>
  <c r="F8" i="207" s="1"/>
  <c r="G8" i="207" a="1"/>
  <c r="G8" i="207" s="1"/>
  <c r="H8" i="207" a="1"/>
  <c r="H8" i="207" s="1"/>
  <c r="J8" i="207" a="1"/>
  <c r="J8" i="207" s="1"/>
  <c r="K8" i="207" a="1"/>
  <c r="K8" i="207" s="1"/>
  <c r="E4" i="207" a="1"/>
  <c r="E4" i="207" s="1"/>
  <c r="E5" i="207" a="1"/>
  <c r="E5" i="207" s="1"/>
  <c r="E6" i="207" a="1"/>
  <c r="E6" i="207" s="1"/>
  <c r="E9" i="207" a="1"/>
  <c r="E9" i="207" s="1"/>
  <c r="E10" i="207" a="1"/>
  <c r="E10" i="207" s="1"/>
  <c r="E12" i="207" a="1"/>
  <c r="E12" i="207" s="1"/>
  <c r="E7" i="207" a="1"/>
  <c r="E7" i="207" s="1"/>
  <c r="E11" i="207" a="1"/>
  <c r="E11" i="207" s="1"/>
  <c r="E8" i="207" a="1"/>
  <c r="E8" i="207" s="1"/>
  <c r="AD4" i="757"/>
  <c r="AE9" i="757"/>
  <c r="AD10" i="757"/>
  <c r="AD6" i="757"/>
  <c r="E3" i="207" a="1"/>
  <c r="E3" i="207" s="1"/>
  <c r="M4" i="207" a="1"/>
  <c r="M4" i="207" s="1"/>
  <c r="L4" i="207" a="1"/>
  <c r="L4" i="207" s="1"/>
  <c r="L12" i="207" a="1"/>
  <c r="L12" i="207" s="1"/>
  <c r="M12" i="207" a="1"/>
  <c r="M12" i="207" s="1"/>
  <c r="M11" i="207" a="1"/>
  <c r="M11" i="207" s="1"/>
  <c r="L11" i="207" a="1"/>
  <c r="L11" i="207" s="1"/>
  <c r="L5" i="207" a="1"/>
  <c r="L5" i="207" s="1"/>
  <c r="M5" i="207" a="1"/>
  <c r="M5" i="207" s="1"/>
  <c r="L6" i="207" a="1"/>
  <c r="L6" i="207" s="1"/>
  <c r="M6" i="207" a="1"/>
  <c r="M6" i="207" s="1"/>
  <c r="L3" i="207" a="1"/>
  <c r="L3" i="207" s="1"/>
  <c r="M3" i="207" a="1"/>
  <c r="M3" i="207" s="1"/>
  <c r="M8" i="207" a="1"/>
  <c r="M8" i="207" s="1"/>
  <c r="L8" i="207" a="1"/>
  <c r="L8" i="207" s="1"/>
  <c r="M9" i="207" a="1"/>
  <c r="M9" i="207" s="1"/>
  <c r="L9" i="207" a="1"/>
  <c r="L9" i="207" s="1"/>
  <c r="M10" i="207" a="1"/>
  <c r="M10" i="207" s="1"/>
  <c r="L10" i="207" a="1"/>
  <c r="L10" i="207" s="1"/>
  <c r="L7" i="207" a="1"/>
  <c r="L7" i="207" s="1"/>
  <c r="M7" i="207" a="1"/>
  <c r="M7" i="207" s="1"/>
  <c r="J13" i="207" l="1"/>
  <c r="J14" i="207" s="1"/>
  <c r="I13" i="207"/>
  <c r="I14" i="207" s="1"/>
  <c r="H13" i="207"/>
  <c r="H14" i="207" s="1"/>
  <c r="K13" i="207"/>
  <c r="K14" i="207" s="1"/>
  <c r="G13" i="207"/>
  <c r="G14" i="207" s="1"/>
  <c r="F13" i="207"/>
  <c r="F14" i="207" s="1"/>
  <c r="E13" i="207"/>
  <c r="M13" i="207"/>
  <c r="M14" i="207" s="1"/>
  <c r="L13" i="207"/>
  <c r="L14" i="207" s="1"/>
  <c r="N7" i="207"/>
  <c r="N9" i="207"/>
  <c r="N3" i="207"/>
  <c r="N12" i="207"/>
  <c r="N10" i="207"/>
  <c r="N8" i="207"/>
  <c r="N6" i="207"/>
  <c r="N5" i="207"/>
  <c r="N11" i="207"/>
  <c r="N4" i="207"/>
  <c r="E14" i="207" l="1"/>
  <c r="N13" i="207"/>
  <c r="N14" i="207" s="1"/>
  <c r="D15" i="1" l="1" a="1"/>
  <c r="D15" i="1" s="1"/>
  <c r="E15" i="1" a="1"/>
  <c r="E15" i="1" s="1"/>
  <c r="AC16" i="757" s="1"/>
  <c r="J7" i="1"/>
  <c r="F7" i="1"/>
  <c r="J5" i="1"/>
  <c r="F5" i="1"/>
  <c r="J9" i="1"/>
  <c r="F9" i="1"/>
  <c r="J13" i="1"/>
  <c r="F13" i="1"/>
  <c r="F6" i="1"/>
  <c r="J6" i="1"/>
  <c r="F4" i="1"/>
  <c r="J4" i="1"/>
  <c r="F14" i="1"/>
  <c r="J14" i="1"/>
  <c r="F8" i="1"/>
  <c r="J8" i="1"/>
  <c r="F10" i="1"/>
  <c r="J10" i="1"/>
  <c r="F12" i="1"/>
  <c r="J12" i="1"/>
  <c r="J11" i="1"/>
  <c r="F11" i="1"/>
  <c r="F3" i="1"/>
  <c r="J3" i="1"/>
  <c r="AD16" i="757" l="1"/>
  <c r="AE16" i="757"/>
  <c r="J15" i="1"/>
  <c r="J16" i="1" s="1"/>
  <c r="F15" i="1" a="1"/>
  <c r="F15" i="1" s="1"/>
  <c r="F16" i="1" s="1"/>
  <c r="K14" i="1"/>
  <c r="K8" i="1"/>
  <c r="K4" i="1"/>
  <c r="K7" i="1"/>
  <c r="K6" i="1"/>
  <c r="K11" i="1"/>
  <c r="K13" i="1"/>
  <c r="K9" i="1"/>
  <c r="K12" i="1"/>
  <c r="K10" i="1"/>
  <c r="K5" i="1"/>
  <c r="K3" i="1"/>
  <c r="K15" i="1" a="1"/>
  <c r="K15" i="1" s="1"/>
  <c r="E16" i="1"/>
  <c r="D16" i="1"/>
  <c r="K16" i="1" l="1"/>
  <c r="H5" i="757" l="1"/>
  <c r="S4" i="1" l="1" a="1"/>
  <c r="S4" i="1" s="1"/>
  <c r="G4" i="1"/>
  <c r="O5" i="757" l="1"/>
  <c r="H4" i="1"/>
  <c r="P5" i="757" l="1"/>
  <c r="Q5" i="757" s="1" a="1"/>
  <c r="Q5" i="757" s="1"/>
  <c r="M23" i="757" s="1"/>
  <c r="I4" i="1"/>
  <c r="I23" i="757" l="1"/>
  <c r="J23" i="757"/>
  <c r="K23" i="757"/>
  <c r="L23" i="757"/>
  <c r="H23" i="757"/>
  <c r="N23" i="757"/>
  <c r="S3" i="1" l="1" a="1"/>
  <c r="S3" i="1" s="1"/>
  <c r="H4" i="757"/>
  <c r="H3" i="1"/>
  <c r="P4" i="757" l="1"/>
  <c r="G3" i="1"/>
  <c r="I3" i="1" l="1"/>
  <c r="O4" i="757"/>
  <c r="Q4" i="757" l="1" a="1"/>
  <c r="Q4" i="757" s="1"/>
  <c r="M22" i="757" s="1"/>
  <c r="I22" i="757" l="1"/>
  <c r="J22" i="757"/>
  <c r="K22" i="757"/>
  <c r="L22" i="757"/>
  <c r="H22" i="757"/>
  <c r="N22" i="757"/>
  <c r="G5" i="1"/>
  <c r="H6" i="757" l="1"/>
  <c r="O6" i="757"/>
  <c r="S5" i="1" a="1"/>
  <c r="S5" i="1" s="1"/>
  <c r="H5" i="1"/>
  <c r="I5" i="1" l="1"/>
  <c r="P6" i="757"/>
  <c r="Q6" i="757" s="1" a="1"/>
  <c r="Q6" i="757" s="1"/>
  <c r="M24" i="757" s="1"/>
  <c r="I24" i="757" l="1"/>
  <c r="J24" i="757"/>
  <c r="K24" i="757"/>
  <c r="L24" i="757"/>
  <c r="H24" i="757"/>
  <c r="N24" i="757"/>
  <c r="G14" i="1"/>
  <c r="O15" i="757" l="1"/>
  <c r="S14" i="1" l="1" a="1"/>
  <c r="S14" i="1" s="1"/>
  <c r="H15" i="757"/>
  <c r="H14" i="1"/>
  <c r="I14" i="1" l="1"/>
  <c r="P15" i="757"/>
  <c r="Q15" i="757" s="1" a="1"/>
  <c r="Q15" i="757" s="1"/>
  <c r="M33" i="757" s="1"/>
  <c r="I33" i="757" l="1"/>
  <c r="J33" i="757"/>
  <c r="K33" i="757"/>
  <c r="L33" i="757"/>
  <c r="H33" i="757"/>
  <c r="N33" i="757"/>
  <c r="G13" i="1"/>
  <c r="H14" i="757" l="1"/>
  <c r="O14" i="757"/>
  <c r="H13" i="1"/>
  <c r="I13" i="1" l="1"/>
  <c r="P14" i="757"/>
  <c r="S13" i="1" l="1" a="1"/>
  <c r="S13" i="1" s="1"/>
  <c r="Q14" i="757" a="1"/>
  <c r="Q14" i="757" s="1"/>
  <c r="M32" i="757" s="1"/>
  <c r="I32" i="757" l="1"/>
  <c r="J32" i="757"/>
  <c r="K32" i="757"/>
  <c r="L32" i="757"/>
  <c r="H32" i="757"/>
  <c r="N32" i="757"/>
  <c r="G12" i="1"/>
  <c r="O13" i="757" l="1"/>
  <c r="H12" i="1"/>
  <c r="H13" i="757" l="1"/>
  <c r="I12" i="1"/>
  <c r="P13" i="757"/>
  <c r="S12" i="1" l="1" a="1"/>
  <c r="S12" i="1" s="1"/>
  <c r="Q13" i="757" a="1"/>
  <c r="Q13" i="757" s="1"/>
  <c r="M31" i="757" s="1"/>
  <c r="I31" i="757" l="1"/>
  <c r="J31" i="757"/>
  <c r="K31" i="757"/>
  <c r="L31" i="757"/>
  <c r="H31" i="757"/>
  <c r="N31" i="757"/>
  <c r="H12" i="757" l="1"/>
  <c r="S11" i="1" l="1" a="1"/>
  <c r="S11" i="1" s="1"/>
  <c r="G11" i="1"/>
  <c r="O12" i="757" l="1"/>
  <c r="H11" i="1"/>
  <c r="I11" i="1" l="1"/>
  <c r="P12" i="757"/>
  <c r="Q12" i="757" s="1" a="1"/>
  <c r="Q12" i="757" s="1"/>
  <c r="M30" i="757" s="1"/>
  <c r="I30" i="757" l="1"/>
  <c r="J30" i="757"/>
  <c r="K30" i="757"/>
  <c r="L30" i="757"/>
  <c r="H30" i="757"/>
  <c r="N30" i="757"/>
  <c r="G10" i="1"/>
  <c r="O11" i="757" l="1"/>
  <c r="H11" i="757" l="1"/>
  <c r="S10" i="1" a="1"/>
  <c r="S10" i="1" s="1"/>
  <c r="H10" i="1"/>
  <c r="I10" i="1" l="1"/>
  <c r="P11" i="757"/>
  <c r="Q11" i="757" s="1" a="1"/>
  <c r="Q11" i="757" s="1"/>
  <c r="M29" i="757" s="1"/>
  <c r="I29" i="757" l="1"/>
  <c r="J29" i="757"/>
  <c r="K29" i="757"/>
  <c r="L29" i="757"/>
  <c r="H29" i="757"/>
  <c r="N29" i="757"/>
  <c r="G9" i="1"/>
  <c r="O10" i="757" l="1"/>
  <c r="H10" i="757" l="1"/>
  <c r="S9" i="1" l="1" a="1"/>
  <c r="S9" i="1" s="1"/>
  <c r="H9" i="1"/>
  <c r="I9" i="1" l="1"/>
  <c r="P10" i="757"/>
  <c r="Q10" i="757" s="1" a="1"/>
  <c r="Q10" i="757" s="1"/>
  <c r="M28" i="757" s="1"/>
  <c r="I28" i="757" l="1"/>
  <c r="J28" i="757"/>
  <c r="K28" i="757"/>
  <c r="L28" i="757"/>
  <c r="H28" i="757"/>
  <c r="N28" i="757"/>
  <c r="H8" i="1"/>
  <c r="P9" i="757" l="1"/>
  <c r="H9" i="757"/>
  <c r="S8" i="1" a="1"/>
  <c r="S8" i="1" s="1"/>
  <c r="G8" i="1"/>
  <c r="I8" i="1" l="1"/>
  <c r="O9" i="757"/>
  <c r="Q9" i="757" s="1" a="1"/>
  <c r="Q9" i="757" s="1"/>
  <c r="M27" i="757" s="1"/>
  <c r="I27" i="757" l="1"/>
  <c r="J27" i="757"/>
  <c r="K27" i="757"/>
  <c r="L27" i="757"/>
  <c r="H27" i="757"/>
  <c r="N27" i="757"/>
  <c r="H7" i="1"/>
  <c r="H8" i="757" l="1"/>
  <c r="P8" i="757"/>
  <c r="S7" i="1" l="1" a="1"/>
  <c r="S7" i="1" s="1"/>
  <c r="G7" i="1"/>
  <c r="O8" i="757" l="1"/>
  <c r="Q8" i="757" s="1" a="1"/>
  <c r="Q8" i="757" s="1"/>
  <c r="M26" i="757" s="1"/>
  <c r="I7" i="1"/>
  <c r="I26" i="757" l="1"/>
  <c r="J26" i="757"/>
  <c r="K26" i="757"/>
  <c r="L26" i="757"/>
  <c r="H26" i="757"/>
  <c r="N26" i="757"/>
  <c r="H6" i="1"/>
  <c r="H15" i="1" l="1" a="1"/>
  <c r="H15" i="1" s="1"/>
  <c r="P7" i="757"/>
  <c r="P16" i="757" l="1"/>
  <c r="H16" i="1"/>
  <c r="G6" i="1"/>
  <c r="G15" i="1" l="1" a="1"/>
  <c r="G15" i="1" s="1"/>
  <c r="I6" i="1"/>
  <c r="I15" i="1" s="1" a="1"/>
  <c r="I15" i="1" s="1"/>
  <c r="O7" i="757"/>
  <c r="O16" i="1" l="1"/>
  <c r="Q16" i="1"/>
  <c r="R16" i="1"/>
  <c r="N16" i="1"/>
  <c r="P16" i="1"/>
  <c r="M16" i="1"/>
  <c r="H7" i="757"/>
  <c r="I16" i="1"/>
  <c r="L15" i="1" a="1"/>
  <c r="L15" i="1" s="1"/>
  <c r="G16" i="1"/>
  <c r="O16" i="757"/>
  <c r="S6" i="1" l="1" a="1"/>
  <c r="S6" i="1" s="1"/>
  <c r="S15" i="1" s="1" a="1"/>
  <c r="S15" i="1" s="1"/>
  <c r="S16" i="1" s="1"/>
  <c r="Q7" i="757" a="1"/>
  <c r="Q7" i="757" s="1"/>
  <c r="M25" i="757" s="1"/>
  <c r="L16" i="1"/>
  <c r="H16" i="757"/>
  <c r="I25" i="757" l="1"/>
  <c r="J25" i="757"/>
  <c r="K25" i="757"/>
  <c r="L25" i="757"/>
  <c r="H25" i="757"/>
  <c r="Q16" i="757" a="1"/>
  <c r="Q16" i="757" s="1"/>
  <c r="M34" i="757" s="1"/>
  <c r="N25" i="757"/>
  <c r="I34" i="757" l="1"/>
  <c r="J34" i="757"/>
  <c r="K34" i="757"/>
  <c r="L34" i="757"/>
  <c r="H34" i="757"/>
  <c r="N34" i="757"/>
  <c r="H18" i="75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tc={EABFF79C-6F3E-45A7-AFDB-E16C33B25AA4}</author>
    <author>tc={015AC820-E43D-4952-9147-E1AB8B697D08}</author>
    <author>tc={755B2C32-0CC1-4AB8-9943-9B321C73B956}</author>
    <author>tc={1E4F50FE-453F-4374-81CD-FED15F974F3D}</author>
    <author>tc={E0FD2FBA-4E1B-4572-A9D0-6315CEDAEDFE}</author>
    <author>tc={22C51930-100C-4141-9123-FA056F76C484}</author>
    <author>tc={7B16B4CC-E443-48A6-9659-3BBEFC3ECC16}</author>
    <author>tc={3E003C7E-19BB-45E7-BEB5-218C116527E2}</author>
    <author>tc={5F46F273-6C46-4161-A494-247D2B6B31A3}</author>
    <author>tc={0DF602ED-B4B4-48F8-A449-73B218BAB594}</author>
  </authors>
  <commentList>
    <comment ref="W3" authorId="0" shapeId="0" xr:uid="{EABFF79C-6F3E-45A7-AFDB-E16C33B25AA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1" shapeId="0" xr:uid="{015AC820-E43D-4952-9147-E1AB8B697D0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2" shapeId="0" xr:uid="{755B2C32-0CC1-4AB8-9943-9B321C73B95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3" shapeId="0" xr:uid="{1E4F50FE-453F-4374-81CD-FED15F974F3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4" shapeId="0" xr:uid="{E0FD2FBA-4E1B-4572-A9D0-6315CEDAEDF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5" shapeId="0" xr:uid="{22C51930-100C-4141-9123-FA056F76C48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  <comment ref="J23" authorId="6" shapeId="0" xr:uid="{7B16B4CC-E443-48A6-9659-3BBEFC3ECC1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K23" authorId="7" shapeId="0" xr:uid="{3E003C7E-19BB-45E7-BEB5-218C116527E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J24" authorId="8" shapeId="0" xr:uid="{5F46F273-6C46-4161-A494-247D2B6B31A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K24" authorId="9" shapeId="0" xr:uid="{0DF602ED-B4B4-48F8-A449-73B218BAB59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<sst xmlns="http://schemas.openxmlformats.org/spreadsheetml/2006/main" count="1545" uniqueCount="151">
  <si>
    <t>Inscrits</t>
  </si>
  <si>
    <t>Emargements</t>
  </si>
  <si>
    <t>Votants</t>
  </si>
  <si>
    <t>Blancs</t>
  </si>
  <si>
    <t>Nuls</t>
  </si>
  <si>
    <t>Exprimés</t>
  </si>
  <si>
    <t>Participation</t>
  </si>
  <si>
    <t>Vérification</t>
  </si>
  <si>
    <t>Total exprimé</t>
  </si>
  <si>
    <t>TOTAL</t>
  </si>
  <si>
    <t>%</t>
  </si>
  <si>
    <t>Date</t>
  </si>
  <si>
    <t>Election</t>
  </si>
  <si>
    <t>Ville</t>
  </si>
  <si>
    <t>Cogolin</t>
  </si>
  <si>
    <t>Bureaux</t>
  </si>
  <si>
    <t>Total</t>
  </si>
  <si>
    <t>Abstention</t>
  </si>
  <si>
    <t xml:space="preserve">Les cases grisées sont </t>
  </si>
  <si>
    <t>calculées automatiquement</t>
  </si>
  <si>
    <t>Ne pas éditer</t>
  </si>
  <si>
    <t>Heure</t>
  </si>
  <si>
    <t>Bureau n°</t>
  </si>
  <si>
    <t>Nom</t>
  </si>
  <si>
    <t>Seules les cases bleu clair</t>
  </si>
  <si>
    <t>sont à remplir</t>
  </si>
  <si>
    <t>Gymnase B</t>
  </si>
  <si>
    <t>COSEC</t>
  </si>
  <si>
    <t>CMM</t>
  </si>
  <si>
    <t>Base nautique</t>
  </si>
  <si>
    <t>Votants %</t>
  </si>
  <si>
    <t>08h00</t>
  </si>
  <si>
    <t>09h00</t>
  </si>
  <si>
    <t>10h00</t>
  </si>
  <si>
    <t>11h00</t>
  </si>
  <si>
    <t>12h00</t>
  </si>
  <si>
    <t>13h00</t>
  </si>
  <si>
    <t>14h00</t>
  </si>
  <si>
    <t>15h00</t>
  </si>
  <si>
    <t>16h00</t>
  </si>
  <si>
    <t>17h00</t>
  </si>
  <si>
    <t>18h00</t>
  </si>
  <si>
    <t>19h00</t>
  </si>
  <si>
    <t>20h00</t>
  </si>
  <si>
    <t>8h-9h</t>
  </si>
  <si>
    <t>9h-10h</t>
  </si>
  <si>
    <t>10h-11h</t>
  </si>
  <si>
    <t>12h-13h</t>
  </si>
  <si>
    <t>13h-14h</t>
  </si>
  <si>
    <t>14h-15h</t>
  </si>
  <si>
    <t>15h-16h</t>
  </si>
  <si>
    <t>16h-17h</t>
  </si>
  <si>
    <t>17h-18h</t>
  </si>
  <si>
    <t>11h-12h</t>
  </si>
  <si>
    <t>18h-19h</t>
  </si>
  <si>
    <t>19h-20h</t>
  </si>
  <si>
    <t>Votants cumulés</t>
  </si>
  <si>
    <t>Votants sur la période</t>
  </si>
  <si>
    <t>Période horaire</t>
  </si>
  <si>
    <t>Seules les cases bleu clair sont à remplir</t>
  </si>
  <si>
    <t>Les cases grisées sont calculées automatiquement Ne pas éditer</t>
  </si>
  <si>
    <t>Tour actuel</t>
  </si>
  <si>
    <t>Tour précédent</t>
  </si>
  <si>
    <t>Table</t>
  </si>
  <si>
    <t>Valeurs du tour précédent</t>
  </si>
  <si>
    <t>Résultats relatifs par centaines dépouillées</t>
  </si>
  <si>
    <r>
      <t xml:space="preserve">Ce tableur </t>
    </r>
    <r>
      <rPr>
        <i/>
        <u/>
        <sz val="14"/>
        <color rgb="FF000000"/>
        <rFont val="Calibri"/>
        <family val="2"/>
      </rPr>
      <t>ne remplace pas</t>
    </r>
    <r>
      <rPr>
        <i/>
        <sz val="14"/>
        <color rgb="FF000000"/>
        <rFont val="Calibri"/>
        <family val="2"/>
      </rPr>
      <t xml:space="preserve"> les notes papier, il est un complément mais il ne fait pas foi.</t>
    </r>
  </si>
  <si>
    <t>Candidat 1</t>
  </si>
  <si>
    <t>Candidat 3</t>
  </si>
  <si>
    <t>Candidat 4</t>
  </si>
  <si>
    <t>Candidat 5</t>
  </si>
  <si>
    <t>Candidat 6</t>
  </si>
  <si>
    <t>Candidat 7</t>
  </si>
  <si>
    <t>Candidat 8</t>
  </si>
  <si>
    <t>Candidat 9</t>
  </si>
  <si>
    <t>Candidat 10</t>
  </si>
  <si>
    <t>TABLE 1</t>
  </si>
  <si>
    <t>TABLE 2</t>
  </si>
  <si>
    <t/>
  </si>
  <si>
    <t>N° Centaine</t>
  </si>
  <si>
    <t>Enveloppe  de centaine</t>
  </si>
  <si>
    <t>TABLE 3</t>
  </si>
  <si>
    <t>Bureau 1</t>
  </si>
  <si>
    <t>Bureau 2</t>
  </si>
  <si>
    <t>Bureau 3</t>
  </si>
  <si>
    <t>Bureau 4</t>
  </si>
  <si>
    <t>Bureau 5</t>
  </si>
  <si>
    <t>Bureau 6</t>
  </si>
  <si>
    <t>Bureau 7</t>
  </si>
  <si>
    <t>Bureau 8</t>
  </si>
  <si>
    <t>Bureau 9</t>
  </si>
  <si>
    <t>Bureau 10</t>
  </si>
  <si>
    <t>Bureau 11</t>
  </si>
  <si>
    <t>Bureau 12</t>
  </si>
  <si>
    <t>Exemple</t>
  </si>
  <si>
    <t>N°</t>
  </si>
  <si>
    <t>Abstention (%)</t>
  </si>
  <si>
    <t>Candidat 2</t>
  </si>
  <si>
    <t>Résultats cumulatifs à chaque centaine dépouillée par la table 3</t>
  </si>
  <si>
    <t>Résultats cumulatifs à chaque centaine dépouillée par la table 2</t>
  </si>
  <si>
    <t>Résultats cumulatifs à chaque centaine dépouillée par la table 1</t>
  </si>
  <si>
    <t>Sous-totaux enveloppes ouvertes</t>
  </si>
  <si>
    <t>Sous-totaux centaines</t>
  </si>
  <si>
    <t>Ecole Chabaud</t>
  </si>
  <si>
    <t>Dépouillement</t>
  </si>
  <si>
    <t>Total dépouillé</t>
  </si>
  <si>
    <t>Astuces de projection :</t>
  </si>
  <si>
    <t>Ctrl + F1</t>
  </si>
  <si>
    <t>Masquer le ruban</t>
  </si>
  <si>
    <t>Affichage / Quadrillage</t>
  </si>
  <si>
    <t>Affichage / Barre de formule</t>
  </si>
  <si>
    <t>Affichage / En-têtes</t>
  </si>
  <si>
    <t>Révision / Protéger la feuille</t>
  </si>
  <si>
    <t>Affichage / Nouvelle fenêtre : Feuille Projection sur écran du public</t>
  </si>
  <si>
    <t>Agrandir la barre de défilement horizontal au max à gauche pour masquer les onglets</t>
  </si>
  <si>
    <t>Sélectionner une case en dehors de l'affichage afin de ne pas voir la cellule sélectionnée entourée en vert</t>
  </si>
  <si>
    <t>Dernière mise à jour :</t>
  </si>
  <si>
    <t>Résultats cumulatifs de chaque centaine dépouillée par la table 1</t>
  </si>
  <si>
    <t>Résultats cumulatifs de chaque centaine dépouillée par la table 2</t>
  </si>
  <si>
    <t>Résultats cumulatifs de chaque centaine dépouillée par la table 3</t>
  </si>
  <si>
    <t>Résultats relatifs aux centaines dépouillées</t>
  </si>
  <si>
    <t>Seuil 1</t>
  </si>
  <si>
    <t>Seuil 2</t>
  </si>
  <si>
    <t>Seuil 0</t>
  </si>
  <si>
    <t>Seuil 3</t>
  </si>
  <si>
    <t>Candidat(e)
1</t>
  </si>
  <si>
    <t>Candidat(e)
2</t>
  </si>
  <si>
    <t>Candidat(e)
3</t>
  </si>
  <si>
    <t>Municipales 2ème tour</t>
  </si>
  <si>
    <t>Nb Bureaux</t>
  </si>
  <si>
    <t>Nb Candidats</t>
  </si>
  <si>
    <t xml:space="preserve">               / 100</t>
  </si>
  <si>
    <t>Candidat(e)
4</t>
  </si>
  <si>
    <t>Candidat(e)
5</t>
  </si>
  <si>
    <t>Candidat(e)
6</t>
  </si>
  <si>
    <t>Candidat(e)
7</t>
  </si>
  <si>
    <t xml:space="preserve">              / 200</t>
  </si>
  <si>
    <t xml:space="preserve">               / 300</t>
  </si>
  <si>
    <t xml:space="preserve">               / 400</t>
  </si>
  <si>
    <t xml:space="preserve">               / 500</t>
  </si>
  <si>
    <t xml:space="preserve">Calculs des résultats de chaque centaine dépouillée par la table </t>
  </si>
  <si>
    <t xml:space="preserve">       -        =        </t>
  </si>
  <si>
    <t xml:space="preserve">Bureau n°          </t>
  </si>
  <si>
    <t xml:space="preserve">Table n°          </t>
  </si>
  <si>
    <t>Feuille de calcul des résultats par centaines</t>
  </si>
  <si>
    <t xml:space="preserve">Ligne blanche </t>
  </si>
  <si>
    <t xml:space="preserve">Ligne bleue </t>
  </si>
  <si>
    <t xml:space="preserve"> Nombre de voix dans cette centaine là (inférieur ou égal à 100) obtenu en faisant la soustraction : </t>
  </si>
  <si>
    <t xml:space="preserve"> résultat actuel - résultat précédent = nombre de voix pour cette centaine</t>
  </si>
  <si>
    <r>
      <rPr>
        <b/>
        <sz val="14"/>
        <color rgb="FF000000"/>
        <rFont val="Arial"/>
        <family val="2"/>
        <scheme val="minor"/>
      </rPr>
      <t xml:space="preserve"> Résultat lu sur la feuille</t>
    </r>
    <r>
      <rPr>
        <sz val="14"/>
        <color rgb="FF000000"/>
        <rFont val="Arial"/>
        <family val="2"/>
        <scheme val="minor"/>
      </rPr>
      <t xml:space="preserve"> de dépouillement à la fin de cette centaine (toujours croissant, aucun calcul à faire pour ce nombre)</t>
    </r>
  </si>
  <si>
    <t xml:space="preserve">Récapitulatif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</si>
</sst>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 mmmm\ yyyy"/>
    <numFmt numFmtId="165" formatCode="[$-F400]h:mm:ss\ AM/PM"/>
    <numFmt numFmtId="166" formatCode="0.0%"/>
  </numFmts>
  <fonts count="97" x14ac:knownFonts="1">
    <font>
      <sz val="10"/>
      <color rgb="FF000000"/>
      <name val="Arial"/>
      <scheme val="minor"/>
    </font>
    <font>
      <b/>
      <sz val="10"/>
      <color rgb="FF000000"/>
      <name val="Calibri"/>
      <family val="2"/>
    </font>
    <font>
      <sz val="10"/>
      <name val="Arial"/>
      <family val="2"/>
    </font>
    <font>
      <sz val="10"/>
      <color rgb="FF000000"/>
      <name val="Calibri"/>
      <family val="2"/>
    </font>
    <font>
      <b/>
      <sz val="10"/>
      <color rgb="FF666666"/>
      <name val="Calibri"/>
      <family val="2"/>
    </font>
    <font>
      <b/>
      <i/>
      <sz val="10"/>
      <color rgb="FF666666"/>
      <name val="Calibri"/>
      <family val="2"/>
    </font>
    <font>
      <sz val="10"/>
      <color theme="1"/>
      <name val="Calibri"/>
      <family val="2"/>
    </font>
    <font>
      <i/>
      <sz val="10"/>
      <color rgb="FF666666"/>
      <name val="Calibri"/>
      <family val="2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Calibri"/>
      <family val="2"/>
    </font>
    <font>
      <sz val="12"/>
      <color theme="1"/>
      <name val="Calibri"/>
      <family val="2"/>
    </font>
    <font>
      <i/>
      <sz val="12"/>
      <color rgb="FF666666"/>
      <name val="Calibri"/>
      <family val="2"/>
    </font>
    <font>
      <b/>
      <sz val="10"/>
      <color theme="1"/>
      <name val="Calibri"/>
      <family val="2"/>
    </font>
    <font>
      <sz val="12"/>
      <color rgb="FF000000"/>
      <name val="Calibri"/>
      <family val="2"/>
    </font>
    <font>
      <b/>
      <sz val="10"/>
      <color theme="1"/>
      <name val="Calibri"/>
      <family val="2"/>
    </font>
    <font>
      <sz val="10"/>
      <color rgb="FF1F1F1F"/>
      <name val="Calibri"/>
      <family val="2"/>
    </font>
    <font>
      <sz val="10"/>
      <color theme="1"/>
      <name val="Arial"/>
      <family val="2"/>
    </font>
    <font>
      <b/>
      <sz val="10"/>
      <color rgb="FF999999"/>
      <name val="Calibri"/>
      <family val="2"/>
    </font>
    <font>
      <sz val="10"/>
      <color rgb="FF718C00"/>
      <name val="Calibri"/>
      <family val="2"/>
    </font>
    <font>
      <sz val="10"/>
      <color rgb="FF999999"/>
      <name val="Calibri"/>
      <family val="2"/>
    </font>
    <font>
      <sz val="12"/>
      <color rgb="FF999999"/>
      <name val="Calibri"/>
      <family val="2"/>
    </font>
    <font>
      <sz val="10"/>
      <color theme="1"/>
      <name val="Arial"/>
      <family val="2"/>
      <scheme val="minor"/>
    </font>
    <font>
      <sz val="10"/>
      <color rgb="FF999999"/>
      <name val="Calibri"/>
      <family val="2"/>
    </font>
    <font>
      <sz val="9"/>
      <color rgb="FF000000"/>
      <name val="Calibri"/>
      <family val="2"/>
    </font>
    <font>
      <sz val="10"/>
      <color rgb="FF000000"/>
      <name val="Arial"/>
      <family val="2"/>
      <scheme val="minor"/>
    </font>
    <font>
      <sz val="8"/>
      <name val="Arial"/>
      <family val="2"/>
      <scheme val="minor"/>
    </font>
    <font>
      <sz val="12"/>
      <color rgb="FF000000"/>
      <name val="Calibri"/>
      <family val="2"/>
    </font>
    <font>
      <sz val="10"/>
      <color theme="1"/>
      <name val="Calibri"/>
      <family val="2"/>
    </font>
    <font>
      <sz val="10"/>
      <name val="Calibri"/>
      <family val="2"/>
    </font>
    <font>
      <b/>
      <sz val="10"/>
      <color theme="1"/>
      <name val="Calibri"/>
      <family val="2"/>
    </font>
    <font>
      <b/>
      <sz val="12"/>
      <name val="Calibri"/>
      <family val="2"/>
    </font>
    <font>
      <sz val="10"/>
      <color theme="0" tint="-0.34998626667073579"/>
      <name val="Calibri"/>
      <family val="2"/>
    </font>
    <font>
      <sz val="10"/>
      <color theme="0" tint="-0.34998626667073579"/>
      <name val="Arial"/>
      <family val="2"/>
      <scheme val="minor"/>
    </font>
    <font>
      <i/>
      <sz val="14"/>
      <color theme="1"/>
      <name val="Calibri"/>
      <family val="2"/>
    </font>
    <font>
      <sz val="10"/>
      <color theme="0" tint="-0.499984740745262"/>
      <name val="Calibri"/>
      <family val="2"/>
    </font>
    <font>
      <sz val="12"/>
      <color theme="0" tint="-0.499984740745262"/>
      <name val="Calibri"/>
      <family val="2"/>
    </font>
    <font>
      <b/>
      <sz val="12"/>
      <color theme="1"/>
      <name val="Calibri"/>
      <family val="2"/>
    </font>
    <font>
      <sz val="8"/>
      <color theme="1"/>
      <name val="Calibri"/>
      <family val="2"/>
    </font>
    <font>
      <b/>
      <sz val="11"/>
      <color rgb="FF000000"/>
      <name val="Arial"/>
      <family val="2"/>
      <scheme val="minor"/>
    </font>
    <font>
      <sz val="10"/>
      <color theme="0"/>
      <name val="Calibri"/>
      <family val="2"/>
    </font>
    <font>
      <sz val="10"/>
      <color theme="1" tint="0.499984740745262"/>
      <name val="Calibri"/>
      <family val="2"/>
    </font>
    <font>
      <sz val="14"/>
      <color rgb="FF000000"/>
      <name val="Arial"/>
      <family val="2"/>
      <scheme val="minor"/>
    </font>
    <font>
      <b/>
      <sz val="18"/>
      <color theme="1"/>
      <name val="Calibri"/>
      <family val="2"/>
    </font>
    <font>
      <b/>
      <sz val="18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4"/>
      <color theme="4" tint="-0.249977111117893"/>
      <name val="Arial"/>
      <family val="2"/>
      <scheme val="minor"/>
    </font>
    <font>
      <sz val="12"/>
      <color theme="4" tint="-0.249977111117893"/>
      <name val="Arial"/>
      <family val="2"/>
      <scheme val="minor"/>
    </font>
    <font>
      <i/>
      <sz val="9"/>
      <color rgb="FF666666"/>
      <name val="Calibri"/>
      <family val="2"/>
    </font>
    <font>
      <i/>
      <sz val="14"/>
      <color rgb="FF000000"/>
      <name val="Calibri"/>
      <family val="2"/>
    </font>
    <font>
      <i/>
      <u/>
      <sz val="14"/>
      <color rgb="FF000000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sz val="8"/>
      <name val="Arial"/>
      <family val="2"/>
      <scheme val="minor"/>
    </font>
    <font>
      <sz val="10"/>
      <name val="Arial"/>
      <family val="2"/>
      <scheme val="minor"/>
    </font>
    <font>
      <b/>
      <sz val="10"/>
      <name val="Arial"/>
      <family val="2"/>
      <scheme val="minor"/>
    </font>
    <font>
      <b/>
      <i/>
      <sz val="12"/>
      <color theme="0" tint="-0.499984740745262"/>
      <name val="Calibri"/>
      <family val="2"/>
    </font>
    <font>
      <sz val="10"/>
      <color theme="1"/>
      <name val="Marianne"/>
      <family val="3"/>
    </font>
    <font>
      <b/>
      <sz val="10"/>
      <color theme="1"/>
      <name val="Marianne"/>
      <family val="3"/>
    </font>
    <font>
      <sz val="10"/>
      <color rgb="FF000000"/>
      <name val="Marianne"/>
      <family val="3"/>
    </font>
    <font>
      <b/>
      <sz val="10"/>
      <color rgb="FF666666"/>
      <name val="Marianne"/>
      <family val="3"/>
    </font>
    <font>
      <b/>
      <sz val="10"/>
      <color rgb="FF000000"/>
      <name val="Marianne"/>
      <family val="3"/>
    </font>
    <font>
      <sz val="10"/>
      <color rgb="FF718C00"/>
      <name val="Marianne"/>
      <family val="3"/>
    </font>
    <font>
      <b/>
      <sz val="16"/>
      <name val="Marianne"/>
      <family val="3"/>
    </font>
    <font>
      <sz val="10"/>
      <color rgb="FF000000"/>
      <name val="Arial"/>
      <family val="2"/>
    </font>
    <font>
      <sz val="12"/>
      <color rgb="FF000000"/>
      <name val="Arial"/>
      <family val="2"/>
    </font>
    <font>
      <b/>
      <sz val="14"/>
      <color rgb="FF000000"/>
      <name val="Marianne"/>
      <family val="3"/>
    </font>
    <font>
      <b/>
      <sz val="16"/>
      <color rgb="FF000000"/>
      <name val="Marianne"/>
      <family val="3"/>
    </font>
    <font>
      <sz val="14"/>
      <name val="Marianne"/>
      <family val="3"/>
    </font>
    <font>
      <b/>
      <sz val="14"/>
      <name val="Marianne"/>
      <family val="3"/>
    </font>
    <font>
      <sz val="12"/>
      <color rgb="FF000000"/>
      <name val="Marianne"/>
      <family val="3"/>
    </font>
    <font>
      <sz val="12"/>
      <color theme="1"/>
      <name val="Marianne"/>
      <family val="3"/>
    </font>
    <font>
      <sz val="14"/>
      <color rgb="FF000000"/>
      <name val="Marianne"/>
      <family val="3"/>
    </font>
    <font>
      <i/>
      <sz val="12"/>
      <color theme="0" tint="-0.499984740745262"/>
      <name val="Marianne"/>
      <family val="3"/>
    </font>
    <font>
      <i/>
      <sz val="12"/>
      <color rgb="FF666666"/>
      <name val="Marianne"/>
      <family val="3"/>
    </font>
    <font>
      <sz val="20"/>
      <color rgb="FF000000"/>
      <name val="Marianne"/>
      <family val="3"/>
    </font>
    <font>
      <b/>
      <sz val="16"/>
      <color theme="1"/>
      <name val="Marianne"/>
      <family val="3"/>
    </font>
    <font>
      <i/>
      <sz val="16"/>
      <color rgb="FF666666"/>
      <name val="Marianne"/>
      <family val="3"/>
    </font>
    <font>
      <i/>
      <sz val="12"/>
      <color theme="1" tint="0.14999847407452621"/>
      <name val="Marianne"/>
      <family val="3"/>
    </font>
    <font>
      <i/>
      <u/>
      <sz val="12"/>
      <color rgb="FF666666"/>
      <name val="Marianne"/>
      <family val="3"/>
    </font>
    <font>
      <sz val="14"/>
      <color rgb="FF000000"/>
      <name val="Calibri"/>
      <family val="2"/>
    </font>
    <font>
      <b/>
      <sz val="14"/>
      <color rgb="FF000000"/>
      <name val="Calibri"/>
      <family val="2"/>
    </font>
    <font>
      <i/>
      <sz val="14"/>
      <color theme="0" tint="-0.499984740745262"/>
      <name val="Calibri"/>
      <family val="2"/>
    </font>
    <font>
      <sz val="14"/>
      <name val="Arial"/>
      <family val="2"/>
    </font>
    <font>
      <b/>
      <sz val="14"/>
      <name val="Calibri"/>
      <family val="2"/>
    </font>
    <font>
      <b/>
      <sz val="14"/>
      <name val="Arial"/>
      <family val="2"/>
      <scheme val="minor"/>
    </font>
    <font>
      <i/>
      <sz val="11"/>
      <color rgb="FF666666"/>
      <name val="Calibri"/>
      <family val="2"/>
    </font>
    <font>
      <b/>
      <sz val="12"/>
      <name val="Arial"/>
      <family val="2"/>
      <scheme val="minor"/>
    </font>
    <font>
      <sz val="11"/>
      <name val="Arial"/>
      <family val="2"/>
      <scheme val="minor"/>
    </font>
    <font>
      <b/>
      <sz val="14"/>
      <name val="Arial"/>
      <family val="2"/>
    </font>
    <font>
      <i/>
      <sz val="16"/>
      <color rgb="FF666666"/>
      <name val="Calibri"/>
      <family val="2"/>
    </font>
    <font>
      <b/>
      <sz val="16"/>
      <name val="Arial"/>
      <family val="2"/>
      <scheme val="minor"/>
    </font>
    <font>
      <sz val="16"/>
      <name val="Arial"/>
      <family val="2"/>
      <scheme val="minor"/>
    </font>
    <font>
      <b/>
      <sz val="36"/>
      <color rgb="FF000000"/>
      <name val="Arial"/>
      <family val="2"/>
      <scheme val="minor"/>
    </font>
    <font>
      <u/>
      <sz val="24"/>
      <color rgb="FF000000"/>
      <name val="Arial"/>
      <family val="2"/>
      <scheme val="minor"/>
    </font>
    <font>
      <b/>
      <sz val="14"/>
      <color rgb="FF000000"/>
      <name val="Arial"/>
      <family val="2"/>
      <scheme val="minor"/>
    </font>
    <font>
      <b/>
      <sz val="20"/>
      <color rgb="FF000000"/>
      <name val="Arial"/>
      <family val="2"/>
      <scheme val="minor"/>
    </font>
  </fonts>
  <fills count="75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D9EAD3"/>
        <bgColor rgb="FFD9EAD3"/>
      </patternFill>
    </fill>
    <fill>
      <patternFill patternType="solid">
        <fgColor rgb="FFF4CCCC"/>
        <bgColor rgb="FFF4CCCC"/>
      </patternFill>
    </fill>
    <fill>
      <patternFill patternType="solid">
        <fgColor rgb="FFEFEFEF"/>
        <bgColor rgb="FFEFEFEF"/>
      </patternFill>
    </fill>
    <fill>
      <patternFill patternType="solid">
        <fgColor rgb="FFB7B7B7"/>
        <bgColor rgb="FFB7B7B7"/>
      </patternFill>
    </fill>
    <fill>
      <patternFill patternType="solid">
        <fgColor rgb="FFC9DAF8"/>
        <bgColor rgb="FFC9DAF8"/>
      </patternFill>
    </fill>
    <fill>
      <patternFill patternType="solid">
        <fgColor theme="0" tint="-0.14999847407452621"/>
        <bgColor rgb="FFEFEFE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4CC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14999847407452621"/>
        <bgColor rgb="FFEFEFEF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D9D9D9"/>
      </patternFill>
    </fill>
    <fill>
      <patternFill patternType="solid">
        <fgColor theme="2" tint="-0.249977111117893"/>
        <bgColor rgb="FFEAD1DC"/>
      </patternFill>
    </fill>
    <fill>
      <patternFill patternType="solid">
        <fgColor theme="2" tint="-0.14999847407452621"/>
        <bgColor rgb="FFF9C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rgb="FFD9D9D9"/>
      </patternFill>
    </fill>
    <fill>
      <patternFill patternType="solid">
        <fgColor rgb="FFDAF1F3"/>
        <bgColor rgb="FFB7B7B7"/>
      </patternFill>
    </fill>
    <fill>
      <patternFill patternType="solid">
        <fgColor theme="0" tint="-0.14999847407452621"/>
        <bgColor rgb="FFB7B7B7"/>
      </patternFill>
    </fill>
    <fill>
      <patternFill patternType="solid">
        <fgColor rgb="FFE6EEEE"/>
        <bgColor rgb="FFB7B7B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EFEF"/>
      </patternFill>
    </fill>
    <fill>
      <patternFill patternType="solid">
        <fgColor theme="0" tint="-0.249977111117893"/>
        <bgColor rgb="FFEFEFEF"/>
      </patternFill>
    </fill>
    <fill>
      <patternFill patternType="solid">
        <fgColor theme="0" tint="-0.249977111117893"/>
        <bgColor rgb="FFCCCCCC"/>
      </patternFill>
    </fill>
    <fill>
      <patternFill patternType="solid">
        <fgColor theme="0" tint="-0.14999847407452621"/>
        <bgColor rgb="FFF9CB9C"/>
      </patternFill>
    </fill>
    <fill>
      <patternFill patternType="solid">
        <fgColor theme="0" tint="-0.14999847407452621"/>
        <bgColor rgb="FFB6D7A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EAD1DC"/>
      </patternFill>
    </fill>
    <fill>
      <patternFill patternType="solid">
        <fgColor theme="4"/>
        <bgColor rgb="FFB7B7B7"/>
      </patternFill>
    </fill>
    <fill>
      <patternFill patternType="solid">
        <fgColor theme="5"/>
        <bgColor rgb="FFB7B7B7"/>
      </patternFill>
    </fill>
    <fill>
      <patternFill patternType="solid">
        <fgColor theme="6"/>
        <bgColor rgb="FFB7B7B7"/>
      </patternFill>
    </fill>
    <fill>
      <patternFill patternType="solid">
        <fgColor theme="7"/>
        <bgColor rgb="FFB7B7B7"/>
      </patternFill>
    </fill>
    <fill>
      <patternFill patternType="solid">
        <fgColor theme="8"/>
        <bgColor rgb="FFB7B7B7"/>
      </patternFill>
    </fill>
    <fill>
      <patternFill patternType="solid">
        <fgColor theme="9"/>
        <bgColor rgb="FFB7B7B7"/>
      </patternFill>
    </fill>
    <fill>
      <patternFill patternType="solid">
        <fgColor theme="1"/>
        <bgColor rgb="FFB7B7B7"/>
      </patternFill>
    </fill>
    <fill>
      <patternFill patternType="solid">
        <fgColor theme="4" tint="0.39997558519241921"/>
        <bgColor rgb="FFB7B7B7"/>
      </patternFill>
    </fill>
    <fill>
      <patternFill patternType="solid">
        <fgColor theme="5" tint="0.39997558519241921"/>
        <bgColor rgb="FFB7B7B7"/>
      </patternFill>
    </fill>
    <fill>
      <patternFill patternType="solid">
        <fgColor theme="6" tint="0.39997558519241921"/>
        <bgColor rgb="FFB7B7B7"/>
      </patternFill>
    </fill>
    <fill>
      <patternFill patternType="solid">
        <fgColor theme="7" tint="0.39997558519241921"/>
        <bgColor rgb="FFB7B7B7"/>
      </patternFill>
    </fill>
    <fill>
      <patternFill patternType="solid">
        <fgColor theme="8" tint="0.39997558519241921"/>
        <bgColor rgb="FFB7B7B7"/>
      </patternFill>
    </fill>
    <fill>
      <patternFill patternType="solid">
        <fgColor theme="9" tint="0.39997558519241921"/>
        <bgColor rgb="FFB7B7B7"/>
      </patternFill>
    </fill>
    <fill>
      <patternFill patternType="solid">
        <fgColor theme="1" tint="0.249977111117893"/>
        <bgColor rgb="FFB7B7B7"/>
      </patternFill>
    </fill>
    <fill>
      <patternFill patternType="solid">
        <fgColor theme="9" tint="0.79998168889431442"/>
        <bgColor rgb="FFF4CCCC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0" tint="-0.249977111117893"/>
        <bgColor rgb="FFB7B7B7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rgb="FFFCE5CD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9E7FD"/>
        <bgColor indexed="64"/>
      </patternFill>
    </fill>
    <fill>
      <patternFill patternType="solid">
        <fgColor rgb="FFBFBFBF"/>
        <bgColor rgb="FFD9D9D9"/>
      </patternFill>
    </fill>
    <fill>
      <patternFill patternType="solid">
        <fgColor rgb="FFBFBFBF"/>
        <bgColor indexed="64"/>
      </patternFill>
    </fill>
    <fill>
      <patternFill patternType="solid">
        <fgColor rgb="FFE1C1D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rgb="FFD9EAD3"/>
      </patternFill>
    </fill>
    <fill>
      <patternFill patternType="solid">
        <fgColor theme="7" tint="0.79998168889431442"/>
        <bgColor rgb="FFD9EAD3"/>
      </patternFill>
    </fill>
    <fill>
      <patternFill patternType="solid">
        <fgColor theme="0" tint="-0.249977111117893"/>
        <bgColor rgb="FFD9EAD3"/>
      </patternFill>
    </fill>
    <fill>
      <patternFill patternType="solid">
        <fgColor theme="0" tint="-0.14999847407452621"/>
        <bgColor rgb="FFD5A6BD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rgb="FFF4CCCC"/>
      </patternFill>
    </fill>
    <fill>
      <patternFill patternType="solid">
        <fgColor theme="0"/>
        <bgColor rgb="FFF4CCCC"/>
      </patternFill>
    </fill>
    <fill>
      <patternFill patternType="solid">
        <fgColor theme="0"/>
        <bgColor indexed="64"/>
      </patternFill>
    </fill>
    <fill>
      <patternFill patternType="solid">
        <fgColor rgb="FFFBDAD7"/>
        <bgColor indexed="64"/>
      </patternFill>
    </fill>
    <fill>
      <patternFill patternType="solid">
        <fgColor rgb="FFFEF2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7B4AE"/>
        <bgColor indexed="64"/>
      </patternFill>
    </fill>
    <fill>
      <patternFill patternType="solid">
        <fgColor rgb="FFD1F1DA"/>
        <bgColor indexed="64"/>
      </patternFill>
    </fill>
    <fill>
      <patternFill patternType="solid">
        <fgColor rgb="FFFFE1CC"/>
        <bgColor indexed="64"/>
      </patternFill>
    </fill>
    <fill>
      <patternFill patternType="solid">
        <fgColor rgb="FFB3CEFB"/>
        <bgColor indexed="64"/>
      </patternFill>
    </fill>
    <fill>
      <patternFill patternType="solid">
        <fgColor rgb="FFE6EEEE"/>
        <bgColor indexed="64"/>
      </patternFill>
    </fill>
  </fills>
  <borders count="245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thin">
        <color rgb="FFEFEFEF"/>
      </right>
      <top style="medium">
        <color rgb="FFCCCCCC"/>
      </top>
      <bottom style="medium">
        <color rgb="FFCCCCCC"/>
      </bottom>
      <diagonal/>
    </border>
    <border>
      <left style="medium">
        <color rgb="FFD9D9D9"/>
      </left>
      <right/>
      <top style="medium">
        <color rgb="FFCCCCCC"/>
      </top>
      <bottom style="medium">
        <color rgb="FFCCCCCC"/>
      </bottom>
      <diagonal/>
    </border>
    <border>
      <left/>
      <right style="thin">
        <color rgb="FFEFEFEF"/>
      </right>
      <top/>
      <bottom style="thin">
        <color rgb="FFEFEFEF"/>
      </bottom>
      <diagonal/>
    </border>
    <border>
      <left style="thin">
        <color rgb="FFEFEFEF"/>
      </left>
      <right/>
      <top/>
      <bottom style="thin">
        <color rgb="FFEFEFEF"/>
      </bottom>
      <diagonal/>
    </border>
    <border>
      <left style="medium">
        <color rgb="FFD9D9D9"/>
      </left>
      <right style="thin">
        <color rgb="FFEFEFEF"/>
      </right>
      <top/>
      <bottom style="thin">
        <color rgb="FFEFEFEF"/>
      </bottom>
      <diagonal/>
    </border>
    <border>
      <left style="thin">
        <color rgb="FFEFEFEF"/>
      </left>
      <right/>
      <top style="thin">
        <color rgb="FFEFEFEF"/>
      </top>
      <bottom style="thin">
        <color rgb="FFEFEFEF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EFEFEF"/>
      </left>
      <right/>
      <top style="thin">
        <color rgb="FFEFEFEF"/>
      </top>
      <bottom/>
      <diagonal/>
    </border>
    <border>
      <left/>
      <right style="thin">
        <color rgb="FFEFEFEF"/>
      </right>
      <top style="medium">
        <color rgb="FFD9D9D9"/>
      </top>
      <bottom style="medium">
        <color rgb="FFD9D9D9"/>
      </bottom>
      <diagonal/>
    </border>
    <border>
      <left style="thin">
        <color rgb="FFEFEFEF"/>
      </left>
      <right/>
      <top style="medium">
        <color rgb="FFD9D9D9"/>
      </top>
      <bottom style="medium">
        <color rgb="FFD9D9D9"/>
      </bottom>
      <diagonal/>
    </border>
    <border>
      <left style="medium">
        <color rgb="FFD9D9D9"/>
      </left>
      <right style="thin">
        <color rgb="FFEFEFEF"/>
      </right>
      <top style="medium">
        <color rgb="FFD9D9D9"/>
      </top>
      <bottom style="medium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9900FF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medium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thin">
        <color rgb="FF000000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rgb="FF000000"/>
      </bottom>
      <diagonal/>
    </border>
    <border>
      <left style="double">
        <color indexed="64"/>
      </left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double">
        <color indexed="64"/>
      </right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/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medium">
        <color indexed="64"/>
      </left>
      <right style="thin">
        <color theme="4" tint="0.39997558519241921"/>
      </right>
      <top style="medium">
        <color indexed="64"/>
      </top>
      <bottom/>
      <diagonal/>
    </border>
    <border>
      <left style="medium">
        <color indexed="64"/>
      </left>
      <right style="thin">
        <color theme="4" tint="0.3999755851924192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theme="4" tint="0.39997558519241921"/>
      </right>
      <top style="thin">
        <color rgb="FF000000"/>
      </top>
      <bottom style="medium">
        <color rgb="FF000000"/>
      </bottom>
      <diagonal/>
    </border>
    <border>
      <left style="double">
        <color rgb="FF000000"/>
      </left>
      <right/>
      <top style="medium">
        <color indexed="64"/>
      </top>
      <bottom/>
      <diagonal/>
    </border>
    <border>
      <left style="double">
        <color rgb="FF000000"/>
      </left>
      <right/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theme="0" tint="-0.499984740745262"/>
      </right>
      <top/>
      <bottom/>
      <diagonal/>
    </border>
    <border>
      <left/>
      <right style="medium">
        <color theme="0" tint="-0.499984740745262"/>
      </right>
      <top style="thin">
        <color indexed="64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 style="thin">
        <color indexed="64"/>
      </bottom>
      <diagonal/>
    </border>
    <border>
      <left/>
      <right/>
      <top style="medium">
        <color theme="0" tint="-0.499984740745262"/>
      </top>
      <bottom/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rgb="FF000000"/>
      </bottom>
      <diagonal/>
    </border>
    <border>
      <left style="medium">
        <color theme="0" tint="-0.499984740745262"/>
      </left>
      <right/>
      <top style="medium">
        <color indexed="64"/>
      </top>
      <bottom/>
      <diagonal/>
    </border>
    <border>
      <left style="thin">
        <color theme="0" tint="-0.499984740745262"/>
      </left>
      <right style="medium">
        <color theme="0" tint="-0.499984740745262"/>
      </right>
      <top style="medium">
        <color indexed="64"/>
      </top>
      <bottom/>
      <diagonal/>
    </border>
    <border>
      <left style="medium">
        <color theme="0" tint="-0.499984740745262"/>
      </left>
      <right/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34998626667073579"/>
      </left>
      <right/>
      <top/>
      <bottom/>
      <diagonal/>
    </border>
    <border>
      <left style="medium">
        <color theme="0" tint="-0.499984740745262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theme="0" tint="-0.499984740745262"/>
      </left>
      <right style="thin">
        <color theme="0" tint="-0.34998626667073579"/>
      </right>
      <top style="thin">
        <color theme="0" tint="-0.34998626667073579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/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thin">
        <color theme="0" tint="-0.34998626667073579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499984740745262"/>
      </right>
      <top style="medium">
        <color indexed="64"/>
      </top>
      <bottom/>
      <diagonal/>
    </border>
    <border>
      <left style="medium">
        <color indexed="64"/>
      </left>
      <right style="medium">
        <color theme="0" tint="-0.499984740745262"/>
      </right>
      <top style="medium">
        <color indexed="64"/>
      </top>
      <bottom style="thin">
        <color theme="0" tint="-0.34998626667073579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/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rgb="FF000000"/>
      </left>
      <right/>
      <top style="medium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/>
      <diagonal/>
    </border>
    <border>
      <left/>
      <right style="medium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theme="0" tint="-0.499984740745262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0" tint="-0.499984740745262"/>
      </right>
      <top style="thin">
        <color indexed="64"/>
      </top>
      <bottom style="thin">
        <color indexed="64"/>
      </bottom>
      <diagonal/>
    </border>
    <border>
      <left/>
      <right style="medium">
        <color theme="0" tint="-0.499984740745262"/>
      </right>
      <top style="thin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double">
        <color indexed="64"/>
      </left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rgb="FF000000"/>
      </top>
      <bottom/>
      <diagonal/>
    </border>
    <border>
      <left style="thin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9" fontId="25" fillId="0" borderId="0" applyFont="0" applyFill="0" applyBorder="0" applyAlignment="0" applyProtection="0"/>
    <xf numFmtId="0" fontId="25" fillId="0" borderId="0"/>
  </cellStyleXfs>
  <cellXfs count="694">
    <xf numFmtId="0" fontId="0" fillId="0" borderId="0" xfId="0"/>
    <xf numFmtId="0" fontId="6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10" fontId="16" fillId="0" borderId="0" xfId="0" applyNumberFormat="1" applyFont="1"/>
    <xf numFmtId="0" fontId="6" fillId="0" borderId="0" xfId="0" applyFont="1" applyAlignment="1">
      <alignment horizontal="center"/>
    </xf>
    <xf numFmtId="0" fontId="17" fillId="0" borderId="0" xfId="0" applyFont="1"/>
    <xf numFmtId="10" fontId="6" fillId="0" borderId="0" xfId="0" applyNumberFormat="1" applyFont="1" applyAlignment="1">
      <alignment horizontal="right"/>
    </xf>
    <xf numFmtId="0" fontId="6" fillId="0" borderId="0" xfId="0" applyFont="1" applyAlignment="1">
      <alignment horizontal="right"/>
    </xf>
    <xf numFmtId="0" fontId="21" fillId="5" borderId="31" xfId="0" applyFont="1" applyFill="1" applyBorder="1" applyAlignment="1">
      <alignment horizontal="right"/>
    </xf>
    <xf numFmtId="10" fontId="20" fillId="5" borderId="32" xfId="0" applyNumberFormat="1" applyFont="1" applyFill="1" applyBorder="1" applyAlignment="1">
      <alignment horizontal="center" vertical="center"/>
    </xf>
    <xf numFmtId="0" fontId="21" fillId="5" borderId="33" xfId="0" applyFont="1" applyFill="1" applyBorder="1" applyAlignment="1">
      <alignment horizontal="right"/>
    </xf>
    <xf numFmtId="0" fontId="23" fillId="0" borderId="0" xfId="0" applyFont="1"/>
    <xf numFmtId="0" fontId="10" fillId="5" borderId="0" xfId="0" applyFont="1" applyFill="1"/>
    <xf numFmtId="0" fontId="16" fillId="5" borderId="0" xfId="0" applyFont="1" applyFill="1"/>
    <xf numFmtId="10" fontId="3" fillId="8" borderId="39" xfId="0" applyNumberFormat="1" applyFont="1" applyFill="1" applyBorder="1" applyAlignment="1">
      <alignment horizontal="center" vertical="center"/>
    </xf>
    <xf numFmtId="10" fontId="3" fillId="8" borderId="18" xfId="0" applyNumberFormat="1" applyFont="1" applyFill="1" applyBorder="1" applyAlignment="1">
      <alignment horizontal="center" vertical="center"/>
    </xf>
    <xf numFmtId="10" fontId="3" fillId="8" borderId="40" xfId="0" applyNumberFormat="1" applyFont="1" applyFill="1" applyBorder="1" applyAlignment="1">
      <alignment horizontal="center" vertical="center"/>
    </xf>
    <xf numFmtId="9" fontId="19" fillId="2" borderId="36" xfId="1" applyFont="1" applyFill="1" applyBorder="1"/>
    <xf numFmtId="9" fontId="19" fillId="2" borderId="37" xfId="1" applyFont="1" applyFill="1" applyBorder="1"/>
    <xf numFmtId="3" fontId="9" fillId="3" borderId="43" xfId="0" applyNumberFormat="1" applyFont="1" applyFill="1" applyBorder="1" applyAlignment="1">
      <alignment horizontal="right"/>
    </xf>
    <xf numFmtId="10" fontId="9" fillId="7" borderId="44" xfId="0" applyNumberFormat="1" applyFont="1" applyFill="1" applyBorder="1" applyAlignment="1">
      <alignment horizontal="right"/>
    </xf>
    <xf numFmtId="9" fontId="6" fillId="0" borderId="0" xfId="0" applyNumberFormat="1" applyFont="1"/>
    <xf numFmtId="0" fontId="24" fillId="0" borderId="0" xfId="0" applyFont="1"/>
    <xf numFmtId="0" fontId="28" fillId="14" borderId="0" xfId="0" applyFont="1" applyFill="1"/>
    <xf numFmtId="0" fontId="6" fillId="14" borderId="0" xfId="0" applyFont="1" applyFill="1" applyAlignment="1">
      <alignment horizontal="right"/>
    </xf>
    <xf numFmtId="0" fontId="10" fillId="12" borderId="0" xfId="0" applyFont="1" applyFill="1"/>
    <xf numFmtId="0" fontId="6" fillId="13" borderId="0" xfId="0" applyFont="1" applyFill="1" applyAlignment="1">
      <alignment horizontal="right"/>
    </xf>
    <xf numFmtId="0" fontId="16" fillId="12" borderId="0" xfId="0" applyFont="1" applyFill="1"/>
    <xf numFmtId="0" fontId="3" fillId="16" borderId="8" xfId="0" applyFont="1" applyFill="1" applyBorder="1" applyAlignment="1">
      <alignment horizontal="center"/>
    </xf>
    <xf numFmtId="0" fontId="3" fillId="16" borderId="6" xfId="0" applyFont="1" applyFill="1" applyBorder="1" applyAlignment="1">
      <alignment horizontal="center"/>
    </xf>
    <xf numFmtId="0" fontId="3" fillId="16" borderId="5" xfId="0" applyFont="1" applyFill="1" applyBorder="1" applyAlignment="1">
      <alignment horizontal="center"/>
    </xf>
    <xf numFmtId="10" fontId="9" fillId="12" borderId="50" xfId="0" applyNumberFormat="1" applyFont="1" applyFill="1" applyBorder="1"/>
    <xf numFmtId="10" fontId="9" fillId="12" borderId="57" xfId="0" applyNumberFormat="1" applyFont="1" applyFill="1" applyBorder="1"/>
    <xf numFmtId="10" fontId="9" fillId="12" borderId="51" xfId="0" applyNumberFormat="1" applyFont="1" applyFill="1" applyBorder="1"/>
    <xf numFmtId="0" fontId="8" fillId="2" borderId="68" xfId="0" applyFont="1" applyFill="1" applyBorder="1" applyAlignment="1">
      <alignment horizontal="center"/>
    </xf>
    <xf numFmtId="10" fontId="3" fillId="8" borderId="11" xfId="0" applyNumberFormat="1" applyFont="1" applyFill="1" applyBorder="1" applyAlignment="1">
      <alignment horizontal="center" vertical="center"/>
    </xf>
    <xf numFmtId="10" fontId="3" fillId="8" borderId="15" xfId="0" applyNumberFormat="1" applyFont="1" applyFill="1" applyBorder="1" applyAlignment="1">
      <alignment horizontal="center" vertical="center"/>
    </xf>
    <xf numFmtId="10" fontId="3" fillId="8" borderId="14" xfId="0" applyNumberFormat="1" applyFont="1" applyFill="1" applyBorder="1" applyAlignment="1">
      <alignment horizontal="center" vertical="center"/>
    </xf>
    <xf numFmtId="10" fontId="3" fillId="8" borderId="9" xfId="0" applyNumberFormat="1" applyFont="1" applyFill="1" applyBorder="1" applyAlignment="1">
      <alignment horizontal="center" vertical="center"/>
    </xf>
    <xf numFmtId="10" fontId="3" fillId="8" borderId="29" xfId="0" applyNumberFormat="1" applyFont="1" applyFill="1" applyBorder="1" applyAlignment="1">
      <alignment horizontal="center" vertical="center"/>
    </xf>
    <xf numFmtId="10" fontId="3" fillId="8" borderId="19" xfId="0" applyNumberFormat="1" applyFont="1" applyFill="1" applyBorder="1" applyAlignment="1">
      <alignment horizontal="center" vertical="center"/>
    </xf>
    <xf numFmtId="10" fontId="20" fillId="24" borderId="26" xfId="0" applyNumberFormat="1" applyFont="1" applyFill="1" applyBorder="1" applyAlignment="1">
      <alignment horizontal="center" vertical="center"/>
    </xf>
    <xf numFmtId="10" fontId="20" fillId="24" borderId="28" xfId="0" applyNumberFormat="1" applyFont="1" applyFill="1" applyBorder="1" applyAlignment="1">
      <alignment horizontal="center" vertical="center"/>
    </xf>
    <xf numFmtId="10" fontId="20" fillId="24" borderId="30" xfId="0" applyNumberFormat="1" applyFont="1" applyFill="1" applyBorder="1" applyAlignment="1">
      <alignment horizontal="center" vertical="center"/>
    </xf>
    <xf numFmtId="0" fontId="1" fillId="26" borderId="82" xfId="0" applyFont="1" applyFill="1" applyBorder="1" applyAlignment="1">
      <alignment horizontal="center" vertical="center"/>
    </xf>
    <xf numFmtId="9" fontId="19" fillId="2" borderId="75" xfId="1" applyFont="1" applyFill="1" applyBorder="1"/>
    <xf numFmtId="9" fontId="19" fillId="2" borderId="38" xfId="1" applyFont="1" applyFill="1" applyBorder="1"/>
    <xf numFmtId="10" fontId="3" fillId="8" borderId="83" xfId="0" applyNumberFormat="1" applyFont="1" applyFill="1" applyBorder="1" applyAlignment="1">
      <alignment horizontal="center" vertical="center"/>
    </xf>
    <xf numFmtId="10" fontId="3" fillId="8" borderId="84" xfId="0" applyNumberFormat="1" applyFont="1" applyFill="1" applyBorder="1" applyAlignment="1">
      <alignment horizontal="center" vertical="center"/>
    </xf>
    <xf numFmtId="10" fontId="3" fillId="8" borderId="85" xfId="0" applyNumberFormat="1" applyFont="1" applyFill="1" applyBorder="1" applyAlignment="1">
      <alignment horizontal="center" vertical="center"/>
    </xf>
    <xf numFmtId="10" fontId="3" fillId="8" borderId="86" xfId="0" applyNumberFormat="1" applyFont="1" applyFill="1" applyBorder="1" applyAlignment="1">
      <alignment horizontal="center" vertical="center"/>
    </xf>
    <xf numFmtId="3" fontId="14" fillId="25" borderId="43" xfId="0" applyNumberFormat="1" applyFont="1" applyFill="1" applyBorder="1" applyAlignment="1">
      <alignment horizontal="right"/>
    </xf>
    <xf numFmtId="10" fontId="3" fillId="25" borderId="44" xfId="0" applyNumberFormat="1" applyFont="1" applyFill="1" applyBorder="1" applyAlignment="1">
      <alignment horizontal="center" vertical="center"/>
    </xf>
    <xf numFmtId="3" fontId="14" fillId="25" borderId="87" xfId="0" applyNumberFormat="1" applyFont="1" applyFill="1" applyBorder="1" applyAlignment="1">
      <alignment horizontal="right"/>
    </xf>
    <xf numFmtId="10" fontId="3" fillId="25" borderId="88" xfId="0" applyNumberFormat="1" applyFont="1" applyFill="1" applyBorder="1" applyAlignment="1">
      <alignment horizontal="center" vertical="center"/>
    </xf>
    <xf numFmtId="0" fontId="14" fillId="25" borderId="87" xfId="0" applyFont="1" applyFill="1" applyBorder="1" applyAlignment="1">
      <alignment horizontal="right"/>
    </xf>
    <xf numFmtId="10" fontId="3" fillId="25" borderId="89" xfId="0" applyNumberFormat="1" applyFont="1" applyFill="1" applyBorder="1" applyAlignment="1">
      <alignment horizontal="center" vertical="center"/>
    </xf>
    <xf numFmtId="10" fontId="3" fillId="25" borderId="90" xfId="0" applyNumberFormat="1" applyFont="1" applyFill="1" applyBorder="1" applyAlignment="1">
      <alignment horizontal="center" vertical="center"/>
    </xf>
    <xf numFmtId="0" fontId="28" fillId="0" borderId="0" xfId="0" applyFont="1"/>
    <xf numFmtId="10" fontId="8" fillId="2" borderId="67" xfId="0" applyNumberFormat="1" applyFont="1" applyFill="1" applyBorder="1" applyAlignment="1">
      <alignment horizontal="center"/>
    </xf>
    <xf numFmtId="10" fontId="3" fillId="8" borderId="6" xfId="0" applyNumberFormat="1" applyFont="1" applyFill="1" applyBorder="1" applyAlignment="1">
      <alignment horizontal="center" vertical="center"/>
    </xf>
    <xf numFmtId="10" fontId="3" fillId="8" borderId="103" xfId="0" applyNumberFormat="1" applyFont="1" applyFill="1" applyBorder="1" applyAlignment="1">
      <alignment horizontal="center" vertical="center"/>
    </xf>
    <xf numFmtId="10" fontId="3" fillId="8" borderId="104" xfId="0" applyNumberFormat="1" applyFont="1" applyFill="1" applyBorder="1" applyAlignment="1">
      <alignment horizontal="center" vertical="center"/>
    </xf>
    <xf numFmtId="0" fontId="14" fillId="25" borderId="43" xfId="0" applyFont="1" applyFill="1" applyBorder="1" applyAlignment="1">
      <alignment horizontal="right"/>
    </xf>
    <xf numFmtId="0" fontId="28" fillId="11" borderId="46" xfId="0" applyFont="1" applyFill="1" applyBorder="1"/>
    <xf numFmtId="0" fontId="28" fillId="11" borderId="48" xfId="0" applyFont="1" applyFill="1" applyBorder="1"/>
    <xf numFmtId="0" fontId="28" fillId="11" borderId="50" xfId="0" applyFont="1" applyFill="1" applyBorder="1"/>
    <xf numFmtId="10" fontId="20" fillId="5" borderId="26" xfId="0" applyNumberFormat="1" applyFont="1" applyFill="1" applyBorder="1" applyAlignment="1">
      <alignment horizontal="center" vertical="center"/>
    </xf>
    <xf numFmtId="10" fontId="20" fillId="5" borderId="28" xfId="0" applyNumberFormat="1" applyFont="1" applyFill="1" applyBorder="1" applyAlignment="1">
      <alignment horizontal="center" vertical="center"/>
    </xf>
    <xf numFmtId="10" fontId="20" fillId="5" borderId="30" xfId="0" applyNumberFormat="1" applyFont="1" applyFill="1" applyBorder="1" applyAlignment="1">
      <alignment horizontal="center" vertical="center"/>
    </xf>
    <xf numFmtId="10" fontId="35" fillId="9" borderId="113" xfId="1" applyNumberFormat="1" applyFont="1" applyFill="1" applyBorder="1" applyAlignment="1">
      <alignment horizontal="center"/>
    </xf>
    <xf numFmtId="10" fontId="35" fillId="9" borderId="92" xfId="1" applyNumberFormat="1" applyFont="1" applyFill="1" applyBorder="1" applyAlignment="1">
      <alignment horizontal="center"/>
    </xf>
    <xf numFmtId="0" fontId="35" fillId="11" borderId="114" xfId="0" applyFont="1" applyFill="1" applyBorder="1" applyAlignment="1">
      <alignment horizontal="center"/>
    </xf>
    <xf numFmtId="0" fontId="35" fillId="11" borderId="118" xfId="0" applyFont="1" applyFill="1" applyBorder="1" applyAlignment="1">
      <alignment horizontal="center"/>
    </xf>
    <xf numFmtId="10" fontId="35" fillId="9" borderId="119" xfId="1" applyNumberFormat="1" applyFont="1" applyFill="1" applyBorder="1" applyAlignment="1">
      <alignment horizontal="center"/>
    </xf>
    <xf numFmtId="10" fontId="35" fillId="9" borderId="120" xfId="1" applyNumberFormat="1" applyFont="1" applyFill="1" applyBorder="1" applyAlignment="1">
      <alignment horizontal="center"/>
    </xf>
    <xf numFmtId="10" fontId="36" fillId="11" borderId="123" xfId="1" applyNumberFormat="1" applyFont="1" applyFill="1" applyBorder="1" applyAlignment="1">
      <alignment horizontal="right"/>
    </xf>
    <xf numFmtId="10" fontId="36" fillId="11" borderId="124" xfId="1" applyNumberFormat="1" applyFont="1" applyFill="1" applyBorder="1" applyAlignment="1">
      <alignment horizontal="right"/>
    </xf>
    <xf numFmtId="0" fontId="20" fillId="23" borderId="25" xfId="0" applyFont="1" applyFill="1" applyBorder="1" applyAlignment="1">
      <alignment horizontal="center" vertical="center"/>
    </xf>
    <xf numFmtId="0" fontId="20" fillId="23" borderId="27" xfId="0" applyFont="1" applyFill="1" applyBorder="1" applyAlignment="1">
      <alignment horizontal="center" vertical="center"/>
    </xf>
    <xf numFmtId="0" fontId="35" fillId="11" borderId="115" xfId="0" applyFont="1" applyFill="1" applyBorder="1" applyAlignment="1">
      <alignment horizontal="center"/>
    </xf>
    <xf numFmtId="0" fontId="35" fillId="11" borderId="69" xfId="0" applyFont="1" applyFill="1" applyBorder="1" applyAlignment="1">
      <alignment horizontal="center"/>
    </xf>
    <xf numFmtId="0" fontId="35" fillId="11" borderId="107" xfId="0" applyFont="1" applyFill="1" applyBorder="1" applyAlignment="1">
      <alignment horizontal="center"/>
    </xf>
    <xf numFmtId="0" fontId="35" fillId="11" borderId="108" xfId="0" applyFont="1" applyFill="1" applyBorder="1" applyAlignment="1">
      <alignment horizontal="center"/>
    </xf>
    <xf numFmtId="0" fontId="35" fillId="30" borderId="116" xfId="0" applyFont="1" applyFill="1" applyBorder="1" applyAlignment="1">
      <alignment horizontal="center"/>
    </xf>
    <xf numFmtId="10" fontId="35" fillId="9" borderId="65" xfId="1" applyNumberFormat="1" applyFont="1" applyFill="1" applyBorder="1" applyAlignment="1">
      <alignment horizontal="center"/>
    </xf>
    <xf numFmtId="10" fontId="35" fillId="9" borderId="106" xfId="1" applyNumberFormat="1" applyFont="1" applyFill="1" applyBorder="1" applyAlignment="1">
      <alignment horizontal="center"/>
    </xf>
    <xf numFmtId="10" fontId="35" fillId="9" borderId="91" xfId="1" applyNumberFormat="1" applyFont="1" applyFill="1" applyBorder="1" applyAlignment="1">
      <alignment horizontal="center"/>
    </xf>
    <xf numFmtId="10" fontId="35" fillId="9" borderId="48" xfId="1" applyNumberFormat="1" applyFont="1" applyFill="1" applyBorder="1" applyAlignment="1">
      <alignment horizontal="center"/>
    </xf>
    <xf numFmtId="10" fontId="35" fillId="9" borderId="34" xfId="1" applyNumberFormat="1" applyFont="1" applyFill="1" applyBorder="1" applyAlignment="1">
      <alignment horizontal="center"/>
    </xf>
    <xf numFmtId="10" fontId="35" fillId="9" borderId="49" xfId="1" applyNumberFormat="1" applyFont="1" applyFill="1" applyBorder="1" applyAlignment="1">
      <alignment horizontal="center"/>
    </xf>
    <xf numFmtId="0" fontId="35" fillId="30" borderId="117" xfId="0" applyFont="1" applyFill="1" applyBorder="1" applyAlignment="1">
      <alignment horizontal="center"/>
    </xf>
    <xf numFmtId="10" fontId="35" fillId="9" borderId="80" xfId="1" applyNumberFormat="1" applyFont="1" applyFill="1" applyBorder="1" applyAlignment="1">
      <alignment horizontal="center"/>
    </xf>
    <xf numFmtId="10" fontId="35" fillId="9" borderId="96" xfId="1" applyNumberFormat="1" applyFont="1" applyFill="1" applyBorder="1" applyAlignment="1">
      <alignment horizontal="center"/>
    </xf>
    <xf numFmtId="10" fontId="35" fillId="9" borderId="54" xfId="1" applyNumberFormat="1" applyFont="1" applyFill="1" applyBorder="1" applyAlignment="1">
      <alignment horizontal="center"/>
    </xf>
    <xf numFmtId="0" fontId="36" fillId="11" borderId="121" xfId="0" applyFont="1" applyFill="1" applyBorder="1" applyAlignment="1">
      <alignment horizontal="right"/>
    </xf>
    <xf numFmtId="10" fontId="36" fillId="11" borderId="122" xfId="1" applyNumberFormat="1" applyFont="1" applyFill="1" applyBorder="1" applyAlignment="1">
      <alignment horizontal="right"/>
    </xf>
    <xf numFmtId="10" fontId="36" fillId="11" borderId="111" xfId="1" applyNumberFormat="1" applyFont="1" applyFill="1" applyBorder="1" applyAlignment="1">
      <alignment horizontal="right"/>
    </xf>
    <xf numFmtId="10" fontId="36" fillId="11" borderId="112" xfId="1" applyNumberFormat="1" applyFont="1" applyFill="1" applyBorder="1" applyAlignment="1">
      <alignment horizontal="right"/>
    </xf>
    <xf numFmtId="0" fontId="0" fillId="11" borderId="0" xfId="0" applyFill="1"/>
    <xf numFmtId="0" fontId="37" fillId="0" borderId="0" xfId="0" applyFont="1" applyAlignment="1">
      <alignment vertical="center"/>
    </xf>
    <xf numFmtId="0" fontId="6" fillId="29" borderId="137" xfId="0" applyFont="1" applyFill="1" applyBorder="1"/>
    <xf numFmtId="0" fontId="6" fillId="29" borderId="0" xfId="0" applyFont="1" applyFill="1"/>
    <xf numFmtId="0" fontId="6" fillId="29" borderId="93" xfId="0" applyFont="1" applyFill="1" applyBorder="1"/>
    <xf numFmtId="0" fontId="0" fillId="29" borderId="137" xfId="0" applyFill="1" applyBorder="1"/>
    <xf numFmtId="0" fontId="0" fillId="29" borderId="0" xfId="0" applyFill="1"/>
    <xf numFmtId="0" fontId="0" fillId="29" borderId="93" xfId="0" applyFill="1" applyBorder="1"/>
    <xf numFmtId="0" fontId="0" fillId="11" borderId="137" xfId="0" applyFill="1" applyBorder="1"/>
    <xf numFmtId="0" fontId="0" fillId="11" borderId="93" xfId="0" applyFill="1" applyBorder="1"/>
    <xf numFmtId="0" fontId="0" fillId="11" borderId="67" xfId="0" applyFill="1" applyBorder="1"/>
    <xf numFmtId="0" fontId="0" fillId="11" borderId="78" xfId="0" applyFill="1" applyBorder="1"/>
    <xf numFmtId="0" fontId="0" fillId="11" borderId="75" xfId="0" applyFill="1" applyBorder="1"/>
    <xf numFmtId="0" fontId="29" fillId="14" borderId="60" xfId="0" applyFont="1" applyFill="1" applyBorder="1" applyAlignment="1" applyProtection="1">
      <alignment horizontal="center" vertical="center"/>
      <protection locked="0"/>
    </xf>
    <xf numFmtId="0" fontId="29" fillId="14" borderId="64" xfId="0" applyFont="1" applyFill="1" applyBorder="1" applyAlignment="1" applyProtection="1">
      <alignment horizontal="center" vertical="center"/>
      <protection locked="0"/>
    </xf>
    <xf numFmtId="3" fontId="29" fillId="14" borderId="48" xfId="0" applyNumberFormat="1" applyFont="1" applyFill="1" applyBorder="1" applyAlignment="1" applyProtection="1">
      <alignment horizontal="center" vertical="center"/>
      <protection locked="0"/>
    </xf>
    <xf numFmtId="3" fontId="29" fillId="14" borderId="49" xfId="0" applyNumberFormat="1" applyFont="1" applyFill="1" applyBorder="1" applyAlignment="1" applyProtection="1">
      <alignment horizontal="center" vertical="center"/>
      <protection locked="0"/>
    </xf>
    <xf numFmtId="3" fontId="29" fillId="14" borderId="80" xfId="0" applyNumberFormat="1" applyFont="1" applyFill="1" applyBorder="1" applyAlignment="1" applyProtection="1">
      <alignment horizontal="center" vertical="center"/>
      <protection locked="0"/>
    </xf>
    <xf numFmtId="3" fontId="29" fillId="14" borderId="54" xfId="0" applyNumberFormat="1" applyFont="1" applyFill="1" applyBorder="1" applyAlignment="1" applyProtection="1">
      <alignment horizontal="center" vertical="center"/>
      <protection locked="0"/>
    </xf>
    <xf numFmtId="0" fontId="11" fillId="12" borderId="46" xfId="0" applyFont="1" applyFill="1" applyBorder="1" applyAlignment="1" applyProtection="1">
      <alignment horizontal="right"/>
      <protection locked="0"/>
    </xf>
    <xf numFmtId="0" fontId="11" fillId="12" borderId="56" xfId="0" applyFont="1" applyFill="1" applyBorder="1" applyAlignment="1" applyProtection="1">
      <alignment horizontal="right"/>
      <protection locked="0"/>
    </xf>
    <xf numFmtId="3" fontId="27" fillId="12" borderId="46" xfId="0" applyNumberFormat="1" applyFont="1" applyFill="1" applyBorder="1" applyAlignment="1" applyProtection="1">
      <alignment horizontal="right"/>
      <protection locked="0"/>
    </xf>
    <xf numFmtId="3" fontId="27" fillId="12" borderId="47" xfId="0" applyNumberFormat="1" applyFont="1" applyFill="1" applyBorder="1" applyAlignment="1" applyProtection="1">
      <alignment horizontal="right"/>
      <protection locked="0"/>
    </xf>
    <xf numFmtId="3" fontId="42" fillId="11" borderId="49" xfId="0" applyNumberFormat="1" applyFont="1" applyFill="1" applyBorder="1" applyAlignment="1">
      <alignment horizontal="center" vertical="center"/>
    </xf>
    <xf numFmtId="3" fontId="42" fillId="18" borderId="49" xfId="0" applyNumberFormat="1" applyFont="1" applyFill="1" applyBorder="1" applyAlignment="1" applyProtection="1">
      <alignment horizontal="center" vertical="center"/>
      <protection locked="0"/>
    </xf>
    <xf numFmtId="3" fontId="42" fillId="11" borderId="51" xfId="0" applyNumberFormat="1" applyFont="1" applyFill="1" applyBorder="1" applyAlignment="1">
      <alignment horizontal="center" vertical="center"/>
    </xf>
    <xf numFmtId="0" fontId="25" fillId="0" borderId="0" xfId="0" applyFont="1"/>
    <xf numFmtId="0" fontId="29" fillId="14" borderId="138" xfId="0" applyFont="1" applyFill="1" applyBorder="1" applyAlignment="1" applyProtection="1">
      <alignment horizontal="center" vertical="center"/>
      <protection locked="0"/>
    </xf>
    <xf numFmtId="0" fontId="29" fillId="14" borderId="46" xfId="0" applyFont="1" applyFill="1" applyBorder="1" applyAlignment="1" applyProtection="1">
      <alignment horizontal="center" vertical="center"/>
      <protection locked="0"/>
    </xf>
    <xf numFmtId="0" fontId="29" fillId="14" borderId="79" xfId="0" applyFont="1" applyFill="1" applyBorder="1" applyAlignment="1" applyProtection="1">
      <alignment horizontal="center" vertical="center"/>
      <protection locked="0"/>
    </xf>
    <xf numFmtId="0" fontId="29" fillId="14" borderId="48" xfId="0" applyFont="1" applyFill="1" applyBorder="1" applyAlignment="1" applyProtection="1">
      <alignment horizontal="center" vertical="center"/>
      <protection locked="0"/>
    </xf>
    <xf numFmtId="0" fontId="29" fillId="14" borderId="94" xfId="0" applyFont="1" applyFill="1" applyBorder="1" applyAlignment="1" applyProtection="1">
      <alignment horizontal="center" vertical="center"/>
      <protection locked="0"/>
    </xf>
    <xf numFmtId="3" fontId="29" fillId="14" borderId="50" xfId="0" applyNumberFormat="1" applyFont="1" applyFill="1" applyBorder="1" applyAlignment="1" applyProtection="1">
      <alignment horizontal="center" vertical="center"/>
      <protection locked="0"/>
    </xf>
    <xf numFmtId="3" fontId="29" fillId="14" borderId="51" xfId="0" applyNumberFormat="1" applyFont="1" applyFill="1" applyBorder="1" applyAlignment="1" applyProtection="1">
      <alignment horizontal="center" vertical="center"/>
      <protection locked="0"/>
    </xf>
    <xf numFmtId="0" fontId="25" fillId="0" borderId="34" xfId="0" applyFont="1" applyBorder="1"/>
    <xf numFmtId="0" fontId="0" fillId="0" borderId="34" xfId="0" applyBorder="1"/>
    <xf numFmtId="0" fontId="0" fillId="14" borderId="64" xfId="0" applyFill="1" applyBorder="1" applyAlignment="1" applyProtection="1">
      <alignment horizontal="center" vertical="center"/>
      <protection locked="0"/>
    </xf>
    <xf numFmtId="0" fontId="0" fillId="14" borderId="34" xfId="0" applyFill="1" applyBorder="1" applyAlignment="1" applyProtection="1">
      <alignment horizontal="center" vertical="center"/>
      <protection locked="0"/>
    </xf>
    <xf numFmtId="0" fontId="0" fillId="14" borderId="49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0" fontId="0" fillId="14" borderId="61" xfId="0" applyFill="1" applyBorder="1" applyAlignment="1" applyProtection="1">
      <alignment horizontal="center" vertical="center"/>
      <protection locked="0"/>
    </xf>
    <xf numFmtId="0" fontId="0" fillId="14" borderId="57" xfId="0" applyFill="1" applyBorder="1" applyAlignment="1" applyProtection="1">
      <alignment horizontal="center" vertical="center"/>
      <protection locked="0"/>
    </xf>
    <xf numFmtId="0" fontId="0" fillId="14" borderId="51" xfId="0" applyFill="1" applyBorder="1" applyAlignment="1" applyProtection="1">
      <alignment horizontal="center" vertical="center"/>
      <protection locked="0"/>
    </xf>
    <xf numFmtId="0" fontId="0" fillId="14" borderId="50" xfId="0" applyFill="1" applyBorder="1" applyAlignment="1" applyProtection="1">
      <alignment horizontal="center" vertical="center"/>
      <protection locked="0"/>
    </xf>
    <xf numFmtId="0" fontId="42" fillId="11" borderId="49" xfId="0" applyFont="1" applyFill="1" applyBorder="1" applyAlignment="1">
      <alignment horizontal="center" vertical="center"/>
    </xf>
    <xf numFmtId="0" fontId="6" fillId="0" borderId="0" xfId="0" applyFont="1" applyProtection="1">
      <protection hidden="1"/>
    </xf>
    <xf numFmtId="0" fontId="6" fillId="0" borderId="136" xfId="0" applyFont="1" applyBorder="1" applyProtection="1">
      <protection hidden="1"/>
    </xf>
    <xf numFmtId="0" fontId="6" fillId="6" borderId="35" xfId="0" applyFont="1" applyFill="1" applyBorder="1" applyProtection="1">
      <protection hidden="1"/>
    </xf>
    <xf numFmtId="0" fontId="38" fillId="31" borderId="129" xfId="0" applyFont="1" applyFill="1" applyBorder="1" applyProtection="1">
      <protection hidden="1"/>
    </xf>
    <xf numFmtId="0" fontId="38" fillId="32" borderId="130" xfId="0" applyFont="1" applyFill="1" applyBorder="1" applyProtection="1">
      <protection hidden="1"/>
    </xf>
    <xf numFmtId="0" fontId="38" fillId="33" borderId="130" xfId="0" applyFont="1" applyFill="1" applyBorder="1" applyProtection="1">
      <protection hidden="1"/>
    </xf>
    <xf numFmtId="0" fontId="38" fillId="34" borderId="130" xfId="0" applyFont="1" applyFill="1" applyBorder="1" applyProtection="1">
      <protection hidden="1"/>
    </xf>
    <xf numFmtId="0" fontId="38" fillId="35" borderId="130" xfId="0" applyFont="1" applyFill="1" applyBorder="1" applyProtection="1">
      <protection hidden="1"/>
    </xf>
    <xf numFmtId="0" fontId="38" fillId="36" borderId="130" xfId="0" applyFont="1" applyFill="1" applyBorder="1" applyProtection="1">
      <protection hidden="1"/>
    </xf>
    <xf numFmtId="0" fontId="38" fillId="31" borderId="130" xfId="0" applyFont="1" applyFill="1" applyBorder="1" applyProtection="1">
      <protection hidden="1"/>
    </xf>
    <xf numFmtId="0" fontId="40" fillId="37" borderId="89" xfId="0" applyFont="1" applyFill="1" applyBorder="1" applyProtection="1">
      <protection hidden="1"/>
    </xf>
    <xf numFmtId="0" fontId="6" fillId="6" borderId="131" xfId="0" applyFont="1" applyFill="1" applyBorder="1" applyProtection="1">
      <protection hidden="1"/>
    </xf>
    <xf numFmtId="0" fontId="38" fillId="38" borderId="129" xfId="0" applyFont="1" applyFill="1" applyBorder="1" applyProtection="1">
      <protection hidden="1"/>
    </xf>
    <xf numFmtId="0" fontId="38" fillId="39" borderId="130" xfId="0" applyFont="1" applyFill="1" applyBorder="1" applyProtection="1">
      <protection hidden="1"/>
    </xf>
    <xf numFmtId="0" fontId="38" fillId="40" borderId="130" xfId="0" applyFont="1" applyFill="1" applyBorder="1" applyProtection="1">
      <protection hidden="1"/>
    </xf>
    <xf numFmtId="0" fontId="38" fillId="41" borderId="130" xfId="0" applyFont="1" applyFill="1" applyBorder="1" applyProtection="1">
      <protection hidden="1"/>
    </xf>
    <xf numFmtId="0" fontId="38" fillId="42" borderId="130" xfId="0" applyFont="1" applyFill="1" applyBorder="1" applyProtection="1">
      <protection hidden="1"/>
    </xf>
    <xf numFmtId="0" fontId="38" fillId="43" borderId="130" xfId="0" applyFont="1" applyFill="1" applyBorder="1" applyProtection="1">
      <protection hidden="1"/>
    </xf>
    <xf numFmtId="0" fontId="38" fillId="38" borderId="130" xfId="0" applyFont="1" applyFill="1" applyBorder="1" applyProtection="1">
      <protection hidden="1"/>
    </xf>
    <xf numFmtId="0" fontId="40" fillId="44" borderId="89" xfId="0" applyFont="1" applyFill="1" applyBorder="1" applyProtection="1">
      <protection hidden="1"/>
    </xf>
    <xf numFmtId="0" fontId="28" fillId="6" borderId="128" xfId="0" applyFont="1" applyFill="1" applyBorder="1" applyProtection="1">
      <protection hidden="1"/>
    </xf>
    <xf numFmtId="0" fontId="6" fillId="6" borderId="7" xfId="0" applyFont="1" applyFill="1" applyBorder="1" applyProtection="1">
      <protection hidden="1"/>
    </xf>
    <xf numFmtId="0" fontId="6" fillId="6" borderId="125" xfId="0" applyFont="1" applyFill="1" applyBorder="1" applyProtection="1">
      <protection hidden="1"/>
    </xf>
    <xf numFmtId="0" fontId="6" fillId="6" borderId="15" xfId="0" applyFont="1" applyFill="1" applyBorder="1" applyProtection="1">
      <protection hidden="1"/>
    </xf>
    <xf numFmtId="0" fontId="28" fillId="6" borderId="133" xfId="0" applyFont="1" applyFill="1" applyBorder="1" applyProtection="1">
      <protection hidden="1"/>
    </xf>
    <xf numFmtId="0" fontId="28" fillId="6" borderId="62" xfId="0" applyFont="1" applyFill="1" applyBorder="1" applyProtection="1">
      <protection hidden="1"/>
    </xf>
    <xf numFmtId="10" fontId="6" fillId="6" borderId="17" xfId="0" applyNumberFormat="1" applyFont="1" applyFill="1" applyBorder="1" applyProtection="1">
      <protection hidden="1"/>
    </xf>
    <xf numFmtId="10" fontId="6" fillId="6" borderId="16" xfId="0" applyNumberFormat="1" applyFont="1" applyFill="1" applyBorder="1" applyProtection="1">
      <protection hidden="1"/>
    </xf>
    <xf numFmtId="10" fontId="6" fillId="6" borderId="9" xfId="0" applyNumberFormat="1" applyFont="1" applyFill="1" applyBorder="1" applyProtection="1">
      <protection hidden="1"/>
    </xf>
    <xf numFmtId="0" fontId="28" fillId="6" borderId="134" xfId="0" applyFont="1" applyFill="1" applyBorder="1" applyProtection="1">
      <protection hidden="1"/>
    </xf>
    <xf numFmtId="0" fontId="41" fillId="6" borderId="62" xfId="0" applyFont="1" applyFill="1" applyBorder="1" applyProtection="1">
      <protection hidden="1"/>
    </xf>
    <xf numFmtId="10" fontId="41" fillId="6" borderId="17" xfId="0" applyNumberFormat="1" applyFont="1" applyFill="1" applyBorder="1" applyProtection="1">
      <protection hidden="1"/>
    </xf>
    <xf numFmtId="10" fontId="41" fillId="6" borderId="16" xfId="0" applyNumberFormat="1" applyFont="1" applyFill="1" applyBorder="1" applyProtection="1">
      <protection hidden="1"/>
    </xf>
    <xf numFmtId="10" fontId="41" fillId="6" borderId="9" xfId="0" applyNumberFormat="1" applyFont="1" applyFill="1" applyBorder="1" applyProtection="1">
      <protection hidden="1"/>
    </xf>
    <xf numFmtId="0" fontId="41" fillId="6" borderId="134" xfId="0" applyFont="1" applyFill="1" applyBorder="1" applyProtection="1">
      <protection hidden="1"/>
    </xf>
    <xf numFmtId="0" fontId="41" fillId="6" borderId="127" xfId="0" applyFont="1" applyFill="1" applyBorder="1" applyProtection="1">
      <protection hidden="1"/>
    </xf>
    <xf numFmtId="10" fontId="41" fillId="6" borderId="97" xfId="0" applyNumberFormat="1" applyFont="1" applyFill="1" applyBorder="1" applyProtection="1">
      <protection hidden="1"/>
    </xf>
    <xf numFmtId="10" fontId="41" fillId="6" borderId="126" xfId="0" applyNumberFormat="1" applyFont="1" applyFill="1" applyBorder="1" applyProtection="1">
      <protection hidden="1"/>
    </xf>
    <xf numFmtId="10" fontId="41" fillId="6" borderId="132" xfId="0" applyNumberFormat="1" applyFont="1" applyFill="1" applyBorder="1" applyProtection="1">
      <protection hidden="1"/>
    </xf>
    <xf numFmtId="0" fontId="41" fillId="6" borderId="135" xfId="0" applyFont="1" applyFill="1" applyBorder="1" applyProtection="1">
      <protection hidden="1"/>
    </xf>
    <xf numFmtId="0" fontId="46" fillId="0" borderId="0" xfId="0" applyFont="1"/>
    <xf numFmtId="0" fontId="47" fillId="0" borderId="93" xfId="0" applyFont="1" applyBorder="1" applyAlignment="1">
      <alignment vertical="top" wrapText="1"/>
    </xf>
    <xf numFmtId="0" fontId="25" fillId="0" borderId="0" xfId="0" applyFont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45" fillId="11" borderId="3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4" borderId="60" xfId="0" applyFill="1" applyBorder="1" applyAlignment="1" applyProtection="1">
      <alignment horizontal="center" vertical="center"/>
      <protection locked="0"/>
    </xf>
    <xf numFmtId="0" fontId="0" fillId="14" borderId="56" xfId="0" applyFill="1" applyBorder="1" applyAlignment="1" applyProtection="1">
      <alignment horizontal="center" vertical="center"/>
      <protection locked="0"/>
    </xf>
    <xf numFmtId="0" fontId="0" fillId="14" borderId="47" xfId="0" applyFill="1" applyBorder="1" applyAlignment="1" applyProtection="1">
      <alignment horizontal="center" vertical="center"/>
      <protection locked="0"/>
    </xf>
    <xf numFmtId="0" fontId="0" fillId="14" borderId="46" xfId="0" applyFill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0" fillId="49" borderId="37" xfId="0" applyFill="1" applyBorder="1" applyAlignment="1" applyProtection="1">
      <alignment horizontal="center" vertical="center"/>
      <protection locked="0"/>
    </xf>
    <xf numFmtId="0" fontId="0" fillId="49" borderId="38" xfId="0" applyFill="1" applyBorder="1" applyAlignment="1" applyProtection="1">
      <alignment horizontal="center" vertical="center"/>
      <protection locked="0"/>
    </xf>
    <xf numFmtId="0" fontId="0" fillId="49" borderId="36" xfId="0" applyFill="1" applyBorder="1" applyAlignment="1" applyProtection="1">
      <alignment horizontal="center" vertical="center"/>
      <protection locked="0"/>
    </xf>
    <xf numFmtId="0" fontId="28" fillId="11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/>
    </xf>
    <xf numFmtId="0" fontId="1" fillId="46" borderId="0" xfId="0" applyFont="1" applyFill="1" applyAlignment="1">
      <alignment vertical="center"/>
    </xf>
    <xf numFmtId="0" fontId="2" fillId="11" borderId="0" xfId="0" applyFont="1" applyFill="1"/>
    <xf numFmtId="0" fontId="1" fillId="46" borderId="142" xfId="0" applyFont="1" applyFill="1" applyBorder="1" applyAlignment="1">
      <alignment horizontal="center"/>
    </xf>
    <xf numFmtId="0" fontId="1" fillId="46" borderId="144" xfId="0" applyFont="1" applyFill="1" applyBorder="1" applyAlignment="1">
      <alignment horizontal="center"/>
    </xf>
    <xf numFmtId="0" fontId="52" fillId="46" borderId="145" xfId="0" applyFont="1" applyFill="1" applyBorder="1" applyAlignment="1">
      <alignment horizontal="center" vertical="center"/>
    </xf>
    <xf numFmtId="0" fontId="52" fillId="46" borderId="95" xfId="0" applyFont="1" applyFill="1" applyBorder="1" applyAlignment="1">
      <alignment horizontal="center" vertical="center"/>
    </xf>
    <xf numFmtId="0" fontId="52" fillId="46" borderId="146" xfId="0" applyFont="1" applyFill="1" applyBorder="1" applyAlignment="1">
      <alignment horizontal="center" vertical="center"/>
    </xf>
    <xf numFmtId="0" fontId="52" fillId="46" borderId="147" xfId="0" applyFont="1" applyFill="1" applyBorder="1" applyAlignment="1">
      <alignment horizontal="center" vertical="center"/>
    </xf>
    <xf numFmtId="3" fontId="6" fillId="9" borderId="72" xfId="0" applyNumberFormat="1" applyFont="1" applyFill="1" applyBorder="1" applyAlignment="1">
      <alignment horizontal="center"/>
    </xf>
    <xf numFmtId="3" fontId="6" fillId="9" borderId="146" xfId="0" applyNumberFormat="1" applyFont="1" applyFill="1" applyBorder="1" applyAlignment="1">
      <alignment horizontal="center"/>
    </xf>
    <xf numFmtId="3" fontId="6" fillId="12" borderId="146" xfId="0" applyNumberFormat="1" applyFont="1" applyFill="1" applyBorder="1" applyAlignment="1">
      <alignment horizontal="center"/>
    </xf>
    <xf numFmtId="3" fontId="6" fillId="9" borderId="95" xfId="0" applyNumberFormat="1" applyFont="1" applyFill="1" applyBorder="1" applyAlignment="1">
      <alignment horizontal="center"/>
    </xf>
    <xf numFmtId="3" fontId="6" fillId="12" borderId="95" xfId="0" applyNumberFormat="1" applyFont="1" applyFill="1" applyBorder="1" applyAlignment="1">
      <alignment horizontal="center" vertical="center"/>
    </xf>
    <xf numFmtId="10" fontId="6" fillId="12" borderId="72" xfId="0" applyNumberFormat="1" applyFont="1" applyFill="1" applyBorder="1" applyAlignment="1">
      <alignment horizontal="center"/>
    </xf>
    <xf numFmtId="10" fontId="6" fillId="12" borderId="148" xfId="1" applyNumberFormat="1" applyFont="1" applyFill="1" applyBorder="1" applyAlignment="1">
      <alignment horizontal="center"/>
    </xf>
    <xf numFmtId="3" fontId="6" fillId="9" borderId="105" xfId="0" applyNumberFormat="1" applyFont="1" applyFill="1" applyBorder="1" applyAlignment="1">
      <alignment horizontal="center"/>
    </xf>
    <xf numFmtId="3" fontId="6" fillId="9" borderId="140" xfId="0" applyNumberFormat="1" applyFont="1" applyFill="1" applyBorder="1" applyAlignment="1">
      <alignment horizontal="center"/>
    </xf>
    <xf numFmtId="3" fontId="6" fillId="12" borderId="140" xfId="0" applyNumberFormat="1" applyFont="1" applyFill="1" applyBorder="1" applyAlignment="1">
      <alignment horizontal="center"/>
    </xf>
    <xf numFmtId="3" fontId="6" fillId="9" borderId="149" xfId="0" applyNumberFormat="1" applyFont="1" applyFill="1" applyBorder="1" applyAlignment="1">
      <alignment horizontal="center"/>
    </xf>
    <xf numFmtId="3" fontId="6" fillId="9" borderId="19" xfId="0" applyNumberFormat="1" applyFont="1" applyFill="1" applyBorder="1" applyAlignment="1">
      <alignment horizontal="center"/>
    </xf>
    <xf numFmtId="3" fontId="6" fillId="12" borderId="19" xfId="0" applyNumberFormat="1" applyFont="1" applyFill="1" applyBorder="1" applyAlignment="1">
      <alignment horizontal="center" vertical="center"/>
    </xf>
    <xf numFmtId="10" fontId="6" fillId="12" borderId="105" xfId="0" applyNumberFormat="1" applyFont="1" applyFill="1" applyBorder="1" applyAlignment="1">
      <alignment horizontal="center"/>
    </xf>
    <xf numFmtId="10" fontId="6" fillId="12" borderId="150" xfId="1" applyNumberFormat="1" applyFont="1" applyFill="1" applyBorder="1" applyAlignment="1">
      <alignment horizontal="center"/>
    </xf>
    <xf numFmtId="3" fontId="6" fillId="9" borderId="53" xfId="0" applyNumberFormat="1" applyFont="1" applyFill="1" applyBorder="1" applyAlignment="1">
      <alignment horizontal="center"/>
    </xf>
    <xf numFmtId="3" fontId="6" fillId="9" borderId="59" xfId="0" applyNumberFormat="1" applyFont="1" applyFill="1" applyBorder="1" applyAlignment="1">
      <alignment horizontal="center"/>
    </xf>
    <xf numFmtId="3" fontId="6" fillId="12" borderId="59" xfId="0" applyNumberFormat="1" applyFont="1" applyFill="1" applyBorder="1" applyAlignment="1">
      <alignment horizontal="center"/>
    </xf>
    <xf numFmtId="3" fontId="6" fillId="9" borderId="151" xfId="0" applyNumberFormat="1" applyFont="1" applyFill="1" applyBorder="1" applyAlignment="1">
      <alignment horizontal="center"/>
    </xf>
    <xf numFmtId="3" fontId="6" fillId="9" borderId="9" xfId="0" applyNumberFormat="1" applyFont="1" applyFill="1" applyBorder="1" applyAlignment="1">
      <alignment horizontal="center"/>
    </xf>
    <xf numFmtId="3" fontId="6" fillId="12" borderId="152" xfId="0" applyNumberFormat="1" applyFont="1" applyFill="1" applyBorder="1" applyAlignment="1">
      <alignment horizontal="center" vertical="center"/>
    </xf>
    <xf numFmtId="10" fontId="6" fillId="12" borderId="53" xfId="0" applyNumberFormat="1" applyFont="1" applyFill="1" applyBorder="1" applyAlignment="1">
      <alignment horizontal="center"/>
    </xf>
    <xf numFmtId="10" fontId="6" fillId="12" borderId="143" xfId="1" applyNumberFormat="1" applyFont="1" applyFill="1" applyBorder="1" applyAlignment="1">
      <alignment horizontal="center"/>
    </xf>
    <xf numFmtId="0" fontId="51" fillId="11" borderId="146" xfId="0" applyFont="1" applyFill="1" applyBorder="1" applyAlignment="1">
      <alignment horizontal="center" vertical="center"/>
    </xf>
    <xf numFmtId="0" fontId="51" fillId="11" borderId="141" xfId="0" applyFont="1" applyFill="1" applyBorder="1" applyAlignment="1">
      <alignment horizontal="center" vertical="center"/>
    </xf>
    <xf numFmtId="0" fontId="6" fillId="15" borderId="95" xfId="0" applyFont="1" applyFill="1" applyBorder="1" applyAlignment="1">
      <alignment horizontal="center"/>
    </xf>
    <xf numFmtId="3" fontId="6" fillId="45" borderId="153" xfId="0" applyNumberFormat="1" applyFont="1" applyFill="1" applyBorder="1" applyAlignment="1">
      <alignment horizontal="center" vertical="center"/>
    </xf>
    <xf numFmtId="0" fontId="6" fillId="15" borderId="19" xfId="0" applyFont="1" applyFill="1" applyBorder="1" applyAlignment="1">
      <alignment horizontal="center"/>
    </xf>
    <xf numFmtId="3" fontId="6" fillId="45" borderId="154" xfId="0" applyNumberFormat="1" applyFont="1" applyFill="1" applyBorder="1" applyAlignment="1">
      <alignment horizontal="center" vertical="center"/>
    </xf>
    <xf numFmtId="0" fontId="6" fillId="15" borderId="155" xfId="0" applyFont="1" applyFill="1" applyBorder="1" applyAlignment="1">
      <alignment horizontal="center"/>
    </xf>
    <xf numFmtId="3" fontId="6" fillId="45" borderId="156" xfId="0" applyNumberFormat="1" applyFont="1" applyFill="1" applyBorder="1" applyAlignment="1">
      <alignment horizontal="center" vertical="center"/>
    </xf>
    <xf numFmtId="0" fontId="6" fillId="13" borderId="157" xfId="0" applyFont="1" applyFill="1" applyBorder="1" applyAlignment="1">
      <alignment horizontal="center"/>
    </xf>
    <xf numFmtId="0" fontId="6" fillId="13" borderId="158" xfId="0" applyFont="1" applyFill="1" applyBorder="1" applyAlignment="1">
      <alignment horizontal="center"/>
    </xf>
    <xf numFmtId="0" fontId="6" fillId="13" borderId="159" xfId="0" applyFont="1" applyFill="1" applyBorder="1" applyAlignment="1">
      <alignment horizontal="center"/>
    </xf>
    <xf numFmtId="0" fontId="3" fillId="0" borderId="0" xfId="0" applyFont="1" applyAlignment="1">
      <alignment vertical="center" wrapText="1"/>
    </xf>
    <xf numFmtId="0" fontId="7" fillId="4" borderId="160" xfId="0" applyFont="1" applyFill="1" applyBorder="1" applyAlignment="1">
      <alignment horizontal="center" vertical="center"/>
    </xf>
    <xf numFmtId="0" fontId="12" fillId="4" borderId="162" xfId="0" applyFont="1" applyFill="1" applyBorder="1" applyAlignment="1">
      <alignment horizontal="right"/>
    </xf>
    <xf numFmtId="0" fontId="54" fillId="14" borderId="64" xfId="0" applyFont="1" applyFill="1" applyBorder="1" applyAlignment="1" applyProtection="1">
      <alignment horizontal="center" vertical="center"/>
      <protection locked="0"/>
    </xf>
    <xf numFmtId="0" fontId="54" fillId="14" borderId="34" xfId="0" applyFont="1" applyFill="1" applyBorder="1" applyAlignment="1" applyProtection="1">
      <alignment horizontal="center" vertical="center"/>
      <protection locked="0"/>
    </xf>
    <xf numFmtId="0" fontId="54" fillId="14" borderId="49" xfId="0" applyFont="1" applyFill="1" applyBorder="1" applyAlignment="1" applyProtection="1">
      <alignment horizontal="center" vertical="center"/>
      <protection locked="0"/>
    </xf>
    <xf numFmtId="0" fontId="54" fillId="14" borderId="48" xfId="0" applyFont="1" applyFill="1" applyBorder="1" applyAlignment="1" applyProtection="1">
      <alignment horizontal="center" vertical="center"/>
      <protection locked="0"/>
    </xf>
    <xf numFmtId="165" fontId="32" fillId="21" borderId="81" xfId="0" applyNumberFormat="1" applyFont="1" applyFill="1" applyBorder="1" applyAlignment="1">
      <alignment horizontal="center" vertical="center"/>
    </xf>
    <xf numFmtId="165" fontId="0" fillId="9" borderId="70" xfId="0" applyNumberFormat="1" applyFill="1" applyBorder="1" applyAlignment="1">
      <alignment horizontal="center" vertical="center"/>
    </xf>
    <xf numFmtId="165" fontId="0" fillId="9" borderId="52" xfId="0" applyNumberFormat="1" applyFill="1" applyBorder="1" applyAlignment="1">
      <alignment horizontal="center" vertical="center"/>
    </xf>
    <xf numFmtId="165" fontId="0" fillId="9" borderId="53" xfId="0" applyNumberFormat="1" applyFill="1" applyBorder="1" applyAlignment="1">
      <alignment horizontal="center" vertical="center"/>
    </xf>
    <xf numFmtId="0" fontId="0" fillId="0" borderId="163" xfId="0" applyBorder="1"/>
    <xf numFmtId="10" fontId="56" fillId="12" borderId="161" xfId="0" applyNumberFormat="1" applyFont="1" applyFill="1" applyBorder="1"/>
    <xf numFmtId="0" fontId="54" fillId="9" borderId="63" xfId="0" applyFont="1" applyFill="1" applyBorder="1" applyAlignment="1">
      <alignment horizontal="center" vertical="center" wrapText="1"/>
    </xf>
    <xf numFmtId="0" fontId="4" fillId="2" borderId="164" xfId="0" applyFont="1" applyFill="1" applyBorder="1" applyAlignment="1">
      <alignment horizontal="center"/>
    </xf>
    <xf numFmtId="0" fontId="6" fillId="46" borderId="8" xfId="0" applyFont="1" applyFill="1" applyBorder="1" applyAlignment="1">
      <alignment vertical="center"/>
    </xf>
    <xf numFmtId="0" fontId="6" fillId="46" borderId="10" xfId="0" applyFont="1" applyFill="1" applyBorder="1" applyAlignment="1">
      <alignment vertical="center"/>
    </xf>
    <xf numFmtId="0" fontId="6" fillId="46" borderId="12" xfId="0" applyFont="1" applyFill="1" applyBorder="1" applyAlignment="1">
      <alignment vertical="center"/>
    </xf>
    <xf numFmtId="164" fontId="15" fillId="15" borderId="71" xfId="0" applyNumberFormat="1" applyFont="1" applyFill="1" applyBorder="1" applyAlignment="1" applyProtection="1">
      <alignment horizontal="center" vertical="center"/>
      <protection locked="0"/>
    </xf>
    <xf numFmtId="0" fontId="13" fillId="15" borderId="14" xfId="0" applyFont="1" applyFill="1" applyBorder="1" applyAlignment="1" applyProtection="1">
      <alignment horizontal="center" vertical="center"/>
      <protection locked="0"/>
    </xf>
    <xf numFmtId="0" fontId="15" fillId="15" borderId="13" xfId="0" applyFont="1" applyFill="1" applyBorder="1" applyAlignment="1" applyProtection="1">
      <alignment horizontal="center" vertical="center"/>
      <protection locked="0"/>
    </xf>
    <xf numFmtId="0" fontId="51" fillId="11" borderId="72" xfId="0" applyFont="1" applyFill="1" applyBorder="1" applyAlignment="1">
      <alignment horizontal="center" vertical="center"/>
    </xf>
    <xf numFmtId="0" fontId="6" fillId="46" borderId="72" xfId="0" applyFont="1" applyFill="1" applyBorder="1" applyAlignment="1">
      <alignment horizontal="center"/>
    </xf>
    <xf numFmtId="0" fontId="6" fillId="46" borderId="149" xfId="0" applyFont="1" applyFill="1" applyBorder="1" applyAlignment="1">
      <alignment horizontal="center"/>
    </xf>
    <xf numFmtId="0" fontId="6" fillId="46" borderId="166" xfId="0" applyFont="1" applyFill="1" applyBorder="1" applyAlignment="1">
      <alignment horizontal="center"/>
    </xf>
    <xf numFmtId="165" fontId="6" fillId="21" borderId="72" xfId="0" applyNumberFormat="1" applyFont="1" applyFill="1" applyBorder="1" applyAlignment="1">
      <alignment horizontal="center" vertical="center"/>
    </xf>
    <xf numFmtId="0" fontId="6" fillId="21" borderId="72" xfId="0" applyFont="1" applyFill="1" applyBorder="1" applyAlignment="1">
      <alignment horizontal="center" vertical="center"/>
    </xf>
    <xf numFmtId="10" fontId="22" fillId="9" borderId="112" xfId="1" applyNumberFormat="1" applyFont="1" applyFill="1" applyBorder="1" applyAlignment="1">
      <alignment horizontal="center" vertical="center"/>
    </xf>
    <xf numFmtId="165" fontId="6" fillId="21" borderId="105" xfId="0" applyNumberFormat="1" applyFont="1" applyFill="1" applyBorder="1" applyAlignment="1">
      <alignment horizontal="center" vertical="center"/>
    </xf>
    <xf numFmtId="0" fontId="6" fillId="20" borderId="105" xfId="0" applyFont="1" applyFill="1" applyBorder="1" applyAlignment="1">
      <alignment horizontal="center" vertical="center"/>
    </xf>
    <xf numFmtId="10" fontId="22" fillId="9" borderId="54" xfId="1" applyNumberFormat="1" applyFont="1" applyFill="1" applyBorder="1" applyAlignment="1">
      <alignment horizontal="center" vertical="center"/>
    </xf>
    <xf numFmtId="0" fontId="32" fillId="22" borderId="167" xfId="0" applyFont="1" applyFill="1" applyBorder="1" applyAlignment="1">
      <alignment horizontal="center" vertical="center"/>
    </xf>
    <xf numFmtId="10" fontId="33" fillId="9" borderId="168" xfId="1" applyNumberFormat="1" applyFont="1" applyFill="1" applyBorder="1" applyAlignment="1">
      <alignment horizontal="center" vertical="center"/>
    </xf>
    <xf numFmtId="0" fontId="32" fillId="22" borderId="169" xfId="0" applyFont="1" applyFill="1" applyBorder="1" applyAlignment="1">
      <alignment horizontal="center" vertical="center"/>
    </xf>
    <xf numFmtId="0" fontId="29" fillId="2" borderId="36" xfId="0" applyFont="1" applyFill="1" applyBorder="1" applyAlignment="1">
      <alignment horizontal="center" vertical="center"/>
    </xf>
    <xf numFmtId="0" fontId="29" fillId="2" borderId="37" xfId="0" applyFont="1" applyFill="1" applyBorder="1" applyAlignment="1">
      <alignment horizontal="center" vertical="center"/>
    </xf>
    <xf numFmtId="0" fontId="29" fillId="2" borderId="38" xfId="0" applyFont="1" applyFill="1" applyBorder="1" applyAlignment="1">
      <alignment horizontal="center" vertical="center"/>
    </xf>
    <xf numFmtId="0" fontId="29" fillId="19" borderId="35" xfId="0" applyFont="1" applyFill="1" applyBorder="1" applyAlignment="1">
      <alignment horizontal="center" vertical="center" wrapText="1"/>
    </xf>
    <xf numFmtId="0" fontId="52" fillId="2" borderId="69" xfId="0" applyFont="1" applyFill="1" applyBorder="1" applyAlignment="1">
      <alignment horizontal="center" vertical="center"/>
    </xf>
    <xf numFmtId="0" fontId="52" fillId="2" borderId="108" xfId="0" applyFont="1" applyFill="1" applyBorder="1" applyAlignment="1">
      <alignment horizontal="center" vertical="center"/>
    </xf>
    <xf numFmtId="0" fontId="54" fillId="49" borderId="37" xfId="0" applyFont="1" applyFill="1" applyBorder="1" applyAlignment="1" applyProtection="1">
      <alignment horizontal="center" vertical="center"/>
      <protection locked="0"/>
    </xf>
    <xf numFmtId="0" fontId="54" fillId="9" borderId="35" xfId="0" applyFont="1" applyFill="1" applyBorder="1" applyAlignment="1">
      <alignment horizontal="center" vertical="center"/>
    </xf>
    <xf numFmtId="0" fontId="55" fillId="9" borderId="108" xfId="0" applyFont="1" applyFill="1" applyBorder="1" applyAlignment="1">
      <alignment horizontal="center" vertical="center" wrapText="1"/>
    </xf>
    <xf numFmtId="0" fontId="55" fillId="9" borderId="69" xfId="0" applyFont="1" applyFill="1" applyBorder="1" applyAlignment="1">
      <alignment horizontal="center" vertical="center" wrapText="1"/>
    </xf>
    <xf numFmtId="0" fontId="54" fillId="49" borderId="38" xfId="0" applyFont="1" applyFill="1" applyBorder="1" applyAlignment="1" applyProtection="1">
      <alignment horizontal="center" vertical="center"/>
      <protection locked="0"/>
    </xf>
    <xf numFmtId="0" fontId="54" fillId="14" borderId="61" xfId="0" applyFont="1" applyFill="1" applyBorder="1" applyAlignment="1" applyProtection="1">
      <alignment horizontal="center" vertical="center"/>
      <protection locked="0"/>
    </xf>
    <xf numFmtId="0" fontId="54" fillId="14" borderId="57" xfId="0" applyFont="1" applyFill="1" applyBorder="1" applyAlignment="1" applyProtection="1">
      <alignment horizontal="center" vertical="center"/>
      <protection locked="0"/>
    </xf>
    <xf numFmtId="0" fontId="54" fillId="14" borderId="51" xfId="0" applyFont="1" applyFill="1" applyBorder="1" applyAlignment="1" applyProtection="1">
      <alignment horizontal="center" vertical="center"/>
      <protection locked="0"/>
    </xf>
    <xf numFmtId="0" fontId="54" fillId="14" borderId="50" xfId="0" applyFont="1" applyFill="1" applyBorder="1" applyAlignment="1" applyProtection="1">
      <alignment horizontal="center" vertical="center"/>
      <protection locked="0"/>
    </xf>
    <xf numFmtId="0" fontId="52" fillId="21" borderId="72" xfId="0" applyFont="1" applyFill="1" applyBorder="1" applyAlignment="1">
      <alignment horizontal="center" vertical="center"/>
    </xf>
    <xf numFmtId="0" fontId="52" fillId="21" borderId="72" xfId="0" applyFont="1" applyFill="1" applyBorder="1" applyAlignment="1">
      <alignment horizontal="center" vertical="center" wrapText="1"/>
    </xf>
    <xf numFmtId="0" fontId="55" fillId="9" borderId="55" xfId="0" applyFont="1" applyFill="1" applyBorder="1" applyAlignment="1">
      <alignment horizontal="center" vertical="center"/>
    </xf>
    <xf numFmtId="0" fontId="55" fillId="9" borderId="55" xfId="0" applyFont="1" applyFill="1" applyBorder="1" applyAlignment="1">
      <alignment horizontal="center" vertical="center" wrapText="1"/>
    </xf>
    <xf numFmtId="0" fontId="0" fillId="9" borderId="47" xfId="0" applyFill="1" applyBorder="1" applyAlignment="1">
      <alignment horizontal="center" vertical="center"/>
    </xf>
    <xf numFmtId="0" fontId="0" fillId="9" borderId="49" xfId="0" applyFill="1" applyBorder="1" applyAlignment="1">
      <alignment horizontal="center" vertical="center"/>
    </xf>
    <xf numFmtId="0" fontId="0" fillId="9" borderId="51" xfId="0" applyFill="1" applyBorder="1" applyAlignment="1">
      <alignment horizontal="center" vertical="center"/>
    </xf>
    <xf numFmtId="0" fontId="33" fillId="9" borderId="171" xfId="0" applyFont="1" applyFill="1" applyBorder="1" applyAlignment="1">
      <alignment horizontal="center" vertical="center"/>
    </xf>
    <xf numFmtId="0" fontId="0" fillId="0" borderId="170" xfId="0" applyBorder="1"/>
    <xf numFmtId="10" fontId="33" fillId="9" borderId="172" xfId="1" applyNumberFormat="1" applyFont="1" applyFill="1" applyBorder="1" applyAlignment="1">
      <alignment horizontal="center" vertical="center"/>
    </xf>
    <xf numFmtId="165" fontId="32" fillId="21" borderId="173" xfId="0" applyNumberFormat="1" applyFont="1" applyFill="1" applyBorder="1" applyAlignment="1">
      <alignment horizontal="center" vertical="center"/>
    </xf>
    <xf numFmtId="0" fontId="33" fillId="9" borderId="174" xfId="0" applyFont="1" applyFill="1" applyBorder="1" applyAlignment="1">
      <alignment horizontal="center" vertical="center"/>
    </xf>
    <xf numFmtId="165" fontId="33" fillId="9" borderId="175" xfId="0" applyNumberFormat="1" applyFont="1" applyFill="1" applyBorder="1" applyAlignment="1">
      <alignment horizontal="center" vertical="center"/>
    </xf>
    <xf numFmtId="165" fontId="33" fillId="9" borderId="176" xfId="0" applyNumberFormat="1" applyFont="1" applyFill="1" applyBorder="1" applyAlignment="1">
      <alignment horizontal="center" vertical="center"/>
    </xf>
    <xf numFmtId="0" fontId="7" fillId="2" borderId="177" xfId="0" applyFont="1" applyFill="1" applyBorder="1" applyAlignment="1">
      <alignment horizontal="center"/>
    </xf>
    <xf numFmtId="0" fontId="7" fillId="4" borderId="178" xfId="0" applyFont="1" applyFill="1" applyBorder="1" applyAlignment="1">
      <alignment horizontal="center" vertical="center"/>
    </xf>
    <xf numFmtId="0" fontId="48" fillId="2" borderId="177" xfId="0" applyFont="1" applyFill="1" applyBorder="1" applyAlignment="1">
      <alignment horizontal="center" vertical="center" wrapText="1"/>
    </xf>
    <xf numFmtId="0" fontId="48" fillId="2" borderId="160" xfId="0" applyFont="1" applyFill="1" applyBorder="1" applyAlignment="1">
      <alignment horizontal="center" vertical="center" wrapText="1"/>
    </xf>
    <xf numFmtId="0" fontId="7" fillId="4" borderId="179" xfId="0" applyFont="1" applyFill="1" applyBorder="1" applyAlignment="1">
      <alignment horizontal="center" vertical="center"/>
    </xf>
    <xf numFmtId="0" fontId="7" fillId="4" borderId="180" xfId="0" applyFont="1" applyFill="1" applyBorder="1" applyAlignment="1">
      <alignment horizontal="center" vertical="center"/>
    </xf>
    <xf numFmtId="0" fontId="7" fillId="2" borderId="181" xfId="0" applyFont="1" applyFill="1" applyBorder="1" applyAlignment="1">
      <alignment horizontal="center"/>
    </xf>
    <xf numFmtId="0" fontId="48" fillId="2" borderId="179" xfId="0" applyFont="1" applyFill="1" applyBorder="1" applyAlignment="1">
      <alignment horizontal="center" vertical="center" wrapText="1"/>
    </xf>
    <xf numFmtId="3" fontId="9" fillId="51" borderId="4" xfId="0" applyNumberFormat="1" applyFont="1" applyFill="1" applyBorder="1" applyAlignment="1">
      <alignment horizontal="right"/>
    </xf>
    <xf numFmtId="0" fontId="48" fillId="2" borderId="182" xfId="0" applyFont="1" applyFill="1" applyBorder="1" applyAlignment="1">
      <alignment horizontal="center" vertical="center" wrapText="1"/>
    </xf>
    <xf numFmtId="0" fontId="7" fillId="2" borderId="184" xfId="0" applyFont="1" applyFill="1" applyBorder="1" applyAlignment="1">
      <alignment horizontal="center"/>
    </xf>
    <xf numFmtId="0" fontId="48" fillId="2" borderId="183" xfId="0" applyFont="1" applyFill="1" applyBorder="1" applyAlignment="1">
      <alignment horizontal="center" vertical="center" wrapText="1"/>
    </xf>
    <xf numFmtId="0" fontId="7" fillId="2" borderId="185" xfId="0" applyFont="1" applyFill="1" applyBorder="1" applyAlignment="1">
      <alignment horizontal="center"/>
    </xf>
    <xf numFmtId="0" fontId="52" fillId="54" borderId="139" xfId="0" applyFont="1" applyFill="1" applyBorder="1" applyAlignment="1">
      <alignment horizontal="center" vertical="center" wrapText="1"/>
    </xf>
    <xf numFmtId="0" fontId="52" fillId="55" borderId="69" xfId="0" applyFont="1" applyFill="1" applyBorder="1" applyAlignment="1">
      <alignment horizontal="center" vertical="center"/>
    </xf>
    <xf numFmtId="0" fontId="52" fillId="55" borderId="108" xfId="0" applyFont="1" applyFill="1" applyBorder="1" applyAlignment="1">
      <alignment horizontal="center" vertical="center"/>
    </xf>
    <xf numFmtId="0" fontId="55" fillId="56" borderId="69" xfId="0" applyFont="1" applyFill="1" applyBorder="1" applyAlignment="1">
      <alignment horizontal="center" vertical="center" wrapText="1"/>
    </xf>
    <xf numFmtId="0" fontId="55" fillId="56" borderId="108" xfId="0" applyFont="1" applyFill="1" applyBorder="1" applyAlignment="1">
      <alignment horizontal="center" vertical="center" wrapText="1"/>
    </xf>
    <xf numFmtId="0" fontId="6" fillId="20" borderId="105" xfId="0" applyFont="1" applyFill="1" applyBorder="1" applyAlignment="1" applyProtection="1">
      <alignment horizontal="center" vertical="center"/>
      <protection locked="0"/>
    </xf>
    <xf numFmtId="0" fontId="32" fillId="22" borderId="167" xfId="0" applyFont="1" applyFill="1" applyBorder="1" applyAlignment="1" applyProtection="1">
      <alignment horizontal="center" vertical="center"/>
      <protection locked="0"/>
    </xf>
    <xf numFmtId="0" fontId="32" fillId="22" borderId="169" xfId="0" applyFont="1" applyFill="1" applyBorder="1" applyAlignment="1" applyProtection="1">
      <alignment horizontal="center" vertical="center"/>
      <protection locked="0"/>
    </xf>
    <xf numFmtId="0" fontId="52" fillId="50" borderId="139" xfId="0" applyFont="1" applyFill="1" applyBorder="1" applyAlignment="1">
      <alignment horizontal="center" vertical="center" wrapText="1"/>
    </xf>
    <xf numFmtId="0" fontId="52" fillId="18" borderId="139" xfId="0" applyFont="1" applyFill="1" applyBorder="1" applyAlignment="1">
      <alignment horizontal="center" vertical="center" wrapText="1"/>
    </xf>
    <xf numFmtId="0" fontId="52" fillId="52" borderId="139" xfId="0" applyFont="1" applyFill="1" applyBorder="1" applyAlignment="1">
      <alignment horizontal="center" vertical="center" wrapText="1"/>
    </xf>
    <xf numFmtId="0" fontId="52" fillId="53" borderId="139" xfId="0" applyFont="1" applyFill="1" applyBorder="1" applyAlignment="1">
      <alignment horizontal="center" vertical="center" wrapText="1"/>
    </xf>
    <xf numFmtId="0" fontId="52" fillId="48" borderId="139" xfId="0" applyFont="1" applyFill="1" applyBorder="1" applyAlignment="1">
      <alignment horizontal="center" vertical="center" wrapText="1"/>
    </xf>
    <xf numFmtId="0" fontId="52" fillId="57" borderId="139" xfId="0" applyFont="1" applyFill="1" applyBorder="1" applyAlignment="1">
      <alignment horizontal="center" vertical="center" wrapText="1"/>
    </xf>
    <xf numFmtId="0" fontId="52" fillId="49" borderId="139" xfId="0" applyFont="1" applyFill="1" applyBorder="1" applyAlignment="1">
      <alignment horizontal="center" vertical="center" wrapText="1"/>
    </xf>
    <xf numFmtId="0" fontId="52" fillId="58" borderId="139" xfId="0" applyFont="1" applyFill="1" applyBorder="1" applyAlignment="1">
      <alignment horizontal="center" vertical="center" wrapText="1"/>
    </xf>
    <xf numFmtId="0" fontId="6" fillId="11" borderId="0" xfId="0" applyFont="1" applyFill="1" applyAlignment="1">
      <alignment horizontal="center" vertical="center" wrapText="1"/>
    </xf>
    <xf numFmtId="3" fontId="3" fillId="9" borderId="36" xfId="0" applyNumberFormat="1" applyFont="1" applyFill="1" applyBorder="1" applyAlignment="1">
      <alignment horizontal="center" vertical="center" wrapText="1"/>
    </xf>
    <xf numFmtId="3" fontId="3" fillId="10" borderId="83" xfId="0" applyNumberFormat="1" applyFont="1" applyFill="1" applyBorder="1" applyAlignment="1">
      <alignment horizontal="center"/>
    </xf>
    <xf numFmtId="3" fontId="3" fillId="9" borderId="17" xfId="0" applyNumberFormat="1" applyFont="1" applyFill="1" applyBorder="1" applyAlignment="1">
      <alignment horizontal="center" vertical="center"/>
    </xf>
    <xf numFmtId="3" fontId="3" fillId="9" borderId="16" xfId="0" applyNumberFormat="1" applyFont="1" applyFill="1" applyBorder="1" applyAlignment="1">
      <alignment horizontal="center" vertical="center"/>
    </xf>
    <xf numFmtId="0" fontId="3" fillId="9" borderId="46" xfId="0" applyFont="1" applyFill="1" applyBorder="1" applyAlignment="1">
      <alignment horizontal="center" vertical="center"/>
    </xf>
    <xf numFmtId="0" fontId="3" fillId="9" borderId="17" xfId="0" applyFont="1" applyFill="1" applyBorder="1" applyAlignment="1">
      <alignment horizontal="center" vertical="center"/>
    </xf>
    <xf numFmtId="0" fontId="3" fillId="9" borderId="101" xfId="0" applyFont="1" applyFill="1" applyBorder="1" applyAlignment="1">
      <alignment horizontal="center" vertical="center"/>
    </xf>
    <xf numFmtId="0" fontId="3" fillId="9" borderId="98" xfId="0" applyFont="1" applyFill="1" applyBorder="1" applyAlignment="1">
      <alignment horizontal="center" vertical="center"/>
    </xf>
    <xf numFmtId="3" fontId="3" fillId="9" borderId="37" xfId="0" applyNumberFormat="1" applyFont="1" applyFill="1" applyBorder="1" applyAlignment="1">
      <alignment horizontal="center" vertical="center" wrapText="1"/>
    </xf>
    <xf numFmtId="3" fontId="3" fillId="10" borderId="73" xfId="0" applyNumberFormat="1" applyFont="1" applyFill="1" applyBorder="1" applyAlignment="1">
      <alignment horizontal="center"/>
    </xf>
    <xf numFmtId="0" fontId="3" fillId="9" borderId="48" xfId="0" applyFont="1" applyFill="1" applyBorder="1" applyAlignment="1">
      <alignment horizontal="center" vertical="center"/>
    </xf>
    <xf numFmtId="0" fontId="3" fillId="9" borderId="99" xfId="0" applyFont="1" applyFill="1" applyBorder="1" applyAlignment="1">
      <alignment horizontal="center" vertical="center"/>
    </xf>
    <xf numFmtId="3" fontId="3" fillId="9" borderId="42" xfId="0" applyNumberFormat="1" applyFont="1" applyFill="1" applyBorder="1" applyAlignment="1">
      <alignment horizontal="center" vertical="center" wrapText="1"/>
    </xf>
    <xf numFmtId="3" fontId="3" fillId="10" borderId="75" xfId="0" applyNumberFormat="1" applyFont="1" applyFill="1" applyBorder="1" applyAlignment="1">
      <alignment horizontal="center"/>
    </xf>
    <xf numFmtId="0" fontId="3" fillId="9" borderId="74" xfId="0" applyFont="1" applyFill="1" applyBorder="1" applyAlignment="1">
      <alignment horizontal="center" vertical="center"/>
    </xf>
    <xf numFmtId="0" fontId="3" fillId="9" borderId="80" xfId="0" applyFont="1" applyFill="1" applyBorder="1" applyAlignment="1">
      <alignment horizontal="center" vertical="center"/>
    </xf>
    <xf numFmtId="0" fontId="3" fillId="9" borderId="100" xfId="0" applyFont="1" applyFill="1" applyBorder="1" applyAlignment="1">
      <alignment horizontal="center" vertical="center"/>
    </xf>
    <xf numFmtId="0" fontId="25" fillId="11" borderId="34" xfId="0" applyFont="1" applyFill="1" applyBorder="1"/>
    <xf numFmtId="0" fontId="0" fillId="11" borderId="34" xfId="0" applyFill="1" applyBorder="1"/>
    <xf numFmtId="0" fontId="12" fillId="4" borderId="164" xfId="0" applyFont="1" applyFill="1" applyBorder="1" applyAlignment="1">
      <alignment horizontal="right"/>
    </xf>
    <xf numFmtId="10" fontId="56" fillId="12" borderId="191" xfId="0" applyNumberFormat="1" applyFont="1" applyFill="1" applyBorder="1"/>
    <xf numFmtId="0" fontId="6" fillId="46" borderId="98" xfId="0" applyFont="1" applyFill="1" applyBorder="1" applyAlignment="1">
      <alignment vertical="center"/>
    </xf>
    <xf numFmtId="0" fontId="6" fillId="46" borderId="99" xfId="0" applyFont="1" applyFill="1" applyBorder="1" applyAlignment="1">
      <alignment vertical="center"/>
    </xf>
    <xf numFmtId="0" fontId="6" fillId="46" borderId="195" xfId="0" applyFont="1" applyFill="1" applyBorder="1" applyAlignment="1">
      <alignment vertical="center"/>
    </xf>
    <xf numFmtId="164" fontId="15" fillId="19" borderId="103" xfId="0" applyNumberFormat="1" applyFont="1" applyFill="1" applyBorder="1" applyAlignment="1">
      <alignment horizontal="center" vertical="center"/>
    </xf>
    <xf numFmtId="0" fontId="13" fillId="19" borderId="104" xfId="0" applyFont="1" applyFill="1" applyBorder="1" applyAlignment="1">
      <alignment horizontal="center" vertical="center"/>
    </xf>
    <xf numFmtId="0" fontId="15" fillId="19" borderId="196" xfId="0" applyFont="1" applyFill="1" applyBorder="1" applyAlignment="1">
      <alignment horizontal="center" vertical="center"/>
    </xf>
    <xf numFmtId="164" fontId="15" fillId="46" borderId="103" xfId="0" applyNumberFormat="1" applyFont="1" applyFill="1" applyBorder="1" applyAlignment="1">
      <alignment horizontal="center" vertical="center"/>
    </xf>
    <xf numFmtId="0" fontId="13" fillId="46" borderId="104" xfId="0" applyFont="1" applyFill="1" applyBorder="1" applyAlignment="1">
      <alignment horizontal="center" vertical="center"/>
    </xf>
    <xf numFmtId="0" fontId="15" fillId="46" borderId="196" xfId="0" applyFont="1" applyFill="1" applyBorder="1" applyAlignment="1">
      <alignment horizontal="center" vertical="center"/>
    </xf>
    <xf numFmtId="0" fontId="0" fillId="0" borderId="199" xfId="0" applyBorder="1"/>
    <xf numFmtId="0" fontId="52" fillId="21" borderId="76" xfId="0" applyFont="1" applyFill="1" applyBorder="1" applyAlignment="1">
      <alignment horizontal="center" vertical="center"/>
    </xf>
    <xf numFmtId="165" fontId="6" fillId="21" borderId="76" xfId="0" applyNumberFormat="1" applyFont="1" applyFill="1" applyBorder="1" applyAlignment="1">
      <alignment horizontal="center" vertical="center"/>
    </xf>
    <xf numFmtId="165" fontId="6" fillId="21" borderId="194" xfId="0" applyNumberFormat="1" applyFont="1" applyFill="1" applyBorder="1" applyAlignment="1">
      <alignment horizontal="center" vertical="center"/>
    </xf>
    <xf numFmtId="165" fontId="32" fillId="21" borderId="201" xfId="0" applyNumberFormat="1" applyFont="1" applyFill="1" applyBorder="1" applyAlignment="1">
      <alignment horizontal="center" vertical="center"/>
    </xf>
    <xf numFmtId="165" fontId="32" fillId="21" borderId="189" xfId="0" applyNumberFormat="1" applyFont="1" applyFill="1" applyBorder="1" applyAlignment="1">
      <alignment horizontal="center" vertical="center"/>
    </xf>
    <xf numFmtId="0" fontId="0" fillId="0" borderId="200" xfId="0" applyBorder="1"/>
    <xf numFmtId="0" fontId="47" fillId="0" borderId="200" xfId="0" applyFont="1" applyBorder="1" applyAlignment="1">
      <alignment vertical="top" wrapText="1"/>
    </xf>
    <xf numFmtId="0" fontId="0" fillId="0" borderId="202" xfId="0" applyBorder="1"/>
    <xf numFmtId="0" fontId="43" fillId="9" borderId="47" xfId="0" applyFont="1" applyFill="1" applyBorder="1" applyAlignment="1">
      <alignment horizontal="center" vertical="center"/>
    </xf>
    <xf numFmtId="0" fontId="44" fillId="9" borderId="49" xfId="0" applyFont="1" applyFill="1" applyBorder="1" applyAlignment="1">
      <alignment horizontal="center" vertical="center"/>
    </xf>
    <xf numFmtId="0" fontId="25" fillId="0" borderId="199" xfId="0" applyFont="1" applyBorder="1"/>
    <xf numFmtId="0" fontId="57" fillId="46" borderId="98" xfId="0" applyFont="1" applyFill="1" applyBorder="1" applyAlignment="1">
      <alignment vertical="center"/>
    </xf>
    <xf numFmtId="164" fontId="58" fillId="19" borderId="103" xfId="0" applyNumberFormat="1" applyFont="1" applyFill="1" applyBorder="1" applyAlignment="1">
      <alignment horizontal="center" vertical="center"/>
    </xf>
    <xf numFmtId="164" fontId="58" fillId="0" borderId="0" xfId="0" applyNumberFormat="1" applyFont="1" applyAlignment="1" applyProtection="1">
      <alignment horizontal="center" vertical="center"/>
      <protection locked="0"/>
    </xf>
    <xf numFmtId="0" fontId="59" fillId="0" borderId="0" xfId="0" applyFont="1"/>
    <xf numFmtId="0" fontId="57" fillId="46" borderId="99" xfId="0" applyFont="1" applyFill="1" applyBorder="1" applyAlignment="1">
      <alignment vertical="center"/>
    </xf>
    <xf numFmtId="0" fontId="58" fillId="19" borderId="104" xfId="0" applyFont="1" applyFill="1" applyBorder="1" applyAlignment="1">
      <alignment horizontal="center" vertical="center"/>
    </xf>
    <xf numFmtId="0" fontId="58" fillId="0" borderId="0" xfId="0" applyFont="1" applyAlignment="1" applyProtection="1">
      <alignment horizontal="center" vertical="center"/>
      <protection locked="0"/>
    </xf>
    <xf numFmtId="0" fontId="60" fillId="0" borderId="0" xfId="0" applyFont="1" applyAlignment="1">
      <alignment horizontal="center"/>
    </xf>
    <xf numFmtId="0" fontId="57" fillId="46" borderId="195" xfId="0" applyFont="1" applyFill="1" applyBorder="1" applyAlignment="1">
      <alignment vertical="center"/>
    </xf>
    <xf numFmtId="0" fontId="58" fillId="19" borderId="196" xfId="0" applyFont="1" applyFill="1" applyBorder="1" applyAlignment="1">
      <alignment horizontal="center" vertical="center"/>
    </xf>
    <xf numFmtId="9" fontId="62" fillId="19" borderId="192" xfId="1" applyFont="1" applyFill="1" applyBorder="1"/>
    <xf numFmtId="9" fontId="62" fillId="19" borderId="75" xfId="1" applyFont="1" applyFill="1" applyBorder="1"/>
    <xf numFmtId="0" fontId="61" fillId="0" borderId="0" xfId="0" applyFont="1" applyAlignment="1">
      <alignment horizontal="center"/>
    </xf>
    <xf numFmtId="0" fontId="59" fillId="16" borderId="98" xfId="0" applyFont="1" applyFill="1" applyBorder="1" applyAlignment="1">
      <alignment horizontal="center"/>
    </xf>
    <xf numFmtId="0" fontId="59" fillId="16" borderId="186" xfId="0" applyFont="1" applyFill="1" applyBorder="1" applyAlignment="1">
      <alignment horizontal="center"/>
    </xf>
    <xf numFmtId="0" fontId="59" fillId="16" borderId="187" xfId="0" applyFont="1" applyFill="1" applyBorder="1" applyAlignment="1">
      <alignment horizontal="center"/>
    </xf>
    <xf numFmtId="0" fontId="59" fillId="16" borderId="6" xfId="0" applyFont="1" applyFill="1" applyBorder="1" applyAlignment="1">
      <alignment horizontal="center"/>
    </xf>
    <xf numFmtId="0" fontId="59" fillId="16" borderId="188" xfId="0" applyFont="1" applyFill="1" applyBorder="1" applyAlignment="1">
      <alignment horizontal="center"/>
    </xf>
    <xf numFmtId="0" fontId="59" fillId="16" borderId="78" xfId="0" applyFont="1" applyFill="1" applyBorder="1" applyAlignment="1">
      <alignment horizontal="center"/>
    </xf>
    <xf numFmtId="0" fontId="61" fillId="0" borderId="0" xfId="0" applyFont="1"/>
    <xf numFmtId="0" fontId="7" fillId="4" borderId="217" xfId="0" applyFont="1" applyFill="1" applyBorder="1" applyAlignment="1">
      <alignment horizontal="center"/>
    </xf>
    <xf numFmtId="10" fontId="35" fillId="6" borderId="9" xfId="0" applyNumberFormat="1" applyFont="1" applyFill="1" applyBorder="1" applyProtection="1">
      <protection hidden="1"/>
    </xf>
    <xf numFmtId="0" fontId="66" fillId="26" borderId="110" xfId="0" applyFont="1" applyFill="1" applyBorder="1" applyAlignment="1">
      <alignment horizontal="center" vertical="center"/>
    </xf>
    <xf numFmtId="0" fontId="70" fillId="30" borderId="8" xfId="0" applyFont="1" applyFill="1" applyBorder="1" applyAlignment="1">
      <alignment horizontal="center"/>
    </xf>
    <xf numFmtId="0" fontId="70" fillId="30" borderId="6" xfId="0" applyFont="1" applyFill="1" applyBorder="1" applyAlignment="1">
      <alignment horizontal="center"/>
    </xf>
    <xf numFmtId="3" fontId="70" fillId="11" borderId="192" xfId="0" applyNumberFormat="1" applyFont="1" applyFill="1" applyBorder="1" applyAlignment="1">
      <alignment horizontal="center" vertical="center" wrapText="1"/>
    </xf>
    <xf numFmtId="3" fontId="71" fillId="9" borderId="46" xfId="0" applyNumberFormat="1" applyFont="1" applyFill="1" applyBorder="1" applyAlignment="1">
      <alignment horizontal="center"/>
    </xf>
    <xf numFmtId="166" fontId="71" fillId="9" borderId="47" xfId="1" applyNumberFormat="1" applyFont="1" applyFill="1" applyBorder="1" applyAlignment="1">
      <alignment horizontal="center"/>
    </xf>
    <xf numFmtId="3" fontId="70" fillId="11" borderId="37" xfId="0" applyNumberFormat="1" applyFont="1" applyFill="1" applyBorder="1" applyAlignment="1">
      <alignment horizontal="center" vertical="center" wrapText="1"/>
    </xf>
    <xf numFmtId="3" fontId="71" fillId="9" borderId="48" xfId="0" applyNumberFormat="1" applyFont="1" applyFill="1" applyBorder="1" applyAlignment="1">
      <alignment horizontal="center"/>
    </xf>
    <xf numFmtId="166" fontId="71" fillId="9" borderId="49" xfId="1" applyNumberFormat="1" applyFont="1" applyFill="1" applyBorder="1" applyAlignment="1">
      <alignment horizontal="center"/>
    </xf>
    <xf numFmtId="0" fontId="70" fillId="30" borderId="5" xfId="0" applyFont="1" applyFill="1" applyBorder="1" applyAlignment="1">
      <alignment horizontal="center"/>
    </xf>
    <xf numFmtId="3" fontId="70" fillId="11" borderId="42" xfId="0" applyNumberFormat="1" applyFont="1" applyFill="1" applyBorder="1" applyAlignment="1">
      <alignment horizontal="center" vertical="center" wrapText="1"/>
    </xf>
    <xf numFmtId="3" fontId="71" fillId="9" borderId="50" xfId="0" applyNumberFormat="1" applyFont="1" applyFill="1" applyBorder="1" applyAlignment="1">
      <alignment horizontal="center"/>
    </xf>
    <xf numFmtId="166" fontId="71" fillId="9" borderId="51" xfId="1" applyNumberFormat="1" applyFont="1" applyFill="1" applyBorder="1" applyAlignment="1">
      <alignment horizontal="center"/>
    </xf>
    <xf numFmtId="0" fontId="72" fillId="26" borderId="108" xfId="0" applyFont="1" applyFill="1" applyBorder="1" applyAlignment="1">
      <alignment horizontal="center" vertical="center"/>
    </xf>
    <xf numFmtId="0" fontId="70" fillId="16" borderId="197" xfId="0" applyFont="1" applyFill="1" applyBorder="1" applyAlignment="1">
      <alignment horizontal="center"/>
    </xf>
    <xf numFmtId="0" fontId="70" fillId="16" borderId="56" xfId="0" applyFont="1" applyFill="1" applyBorder="1" applyAlignment="1">
      <alignment horizontal="center"/>
    </xf>
    <xf numFmtId="3" fontId="73" fillId="10" borderId="210" xfId="0" applyNumberFormat="1" applyFont="1" applyFill="1" applyBorder="1" applyAlignment="1">
      <alignment horizontal="center"/>
    </xf>
    <xf numFmtId="3" fontId="73" fillId="10" borderId="205" xfId="0" applyNumberFormat="1" applyFont="1" applyFill="1" applyBorder="1" applyAlignment="1">
      <alignment horizontal="center"/>
    </xf>
    <xf numFmtId="0" fontId="73" fillId="10" borderId="207" xfId="0" applyFont="1" applyFill="1" applyBorder="1" applyAlignment="1">
      <alignment horizontal="center"/>
    </xf>
    <xf numFmtId="0" fontId="70" fillId="16" borderId="68" xfId="0" applyFont="1" applyFill="1" applyBorder="1" applyAlignment="1">
      <alignment horizontal="center"/>
    </xf>
    <xf numFmtId="0" fontId="70" fillId="16" borderId="34" xfId="0" applyFont="1" applyFill="1" applyBorder="1" applyAlignment="1">
      <alignment horizontal="center"/>
    </xf>
    <xf numFmtId="0" fontId="71" fillId="13" borderId="149" xfId="0" applyFont="1" applyFill="1" applyBorder="1" applyAlignment="1">
      <alignment horizontal="center"/>
    </xf>
    <xf numFmtId="0" fontId="74" fillId="10" borderId="211" xfId="0" applyFont="1" applyFill="1" applyBorder="1" applyAlignment="1">
      <alignment horizontal="center"/>
    </xf>
    <xf numFmtId="0" fontId="74" fillId="10" borderId="206" xfId="0" applyFont="1" applyFill="1" applyBorder="1" applyAlignment="1">
      <alignment horizontal="center"/>
    </xf>
    <xf numFmtId="0" fontId="74" fillId="10" borderId="208" xfId="0" applyFont="1" applyFill="1" applyBorder="1" applyAlignment="1">
      <alignment horizontal="center"/>
    </xf>
    <xf numFmtId="0" fontId="70" fillId="16" borderId="67" xfId="0" applyFont="1" applyFill="1" applyBorder="1" applyAlignment="1">
      <alignment horizontal="center"/>
    </xf>
    <xf numFmtId="0" fontId="70" fillId="16" borderId="57" xfId="0" applyFont="1" applyFill="1" applyBorder="1" applyAlignment="1">
      <alignment horizontal="center"/>
    </xf>
    <xf numFmtId="0" fontId="74" fillId="10" borderId="212" xfId="0" applyFont="1" applyFill="1" applyBorder="1" applyAlignment="1">
      <alignment horizontal="center"/>
    </xf>
    <xf numFmtId="0" fontId="74" fillId="10" borderId="213" xfId="0" applyFont="1" applyFill="1" applyBorder="1" applyAlignment="1">
      <alignment horizontal="center"/>
    </xf>
    <xf numFmtId="0" fontId="74" fillId="10" borderId="215" xfId="0" applyFont="1" applyFill="1" applyBorder="1" applyAlignment="1">
      <alignment horizontal="center"/>
    </xf>
    <xf numFmtId="0" fontId="67" fillId="16" borderId="216" xfId="0" applyFont="1" applyFill="1" applyBorder="1" applyAlignment="1">
      <alignment horizontal="center" vertical="center"/>
    </xf>
    <xf numFmtId="0" fontId="77" fillId="10" borderId="209" xfId="0" applyFont="1" applyFill="1" applyBorder="1" applyAlignment="1">
      <alignment horizontal="center" vertical="center"/>
    </xf>
    <xf numFmtId="0" fontId="77" fillId="10" borderId="204" xfId="0" applyFont="1" applyFill="1" applyBorder="1" applyAlignment="1">
      <alignment horizontal="center" vertical="center"/>
    </xf>
    <xf numFmtId="0" fontId="77" fillId="10" borderId="203" xfId="0" applyFont="1" applyFill="1" applyBorder="1" applyAlignment="1">
      <alignment horizontal="center" vertical="center"/>
    </xf>
    <xf numFmtId="0" fontId="70" fillId="46" borderId="43" xfId="0" applyFont="1" applyFill="1" applyBorder="1" applyAlignment="1">
      <alignment horizontal="center"/>
    </xf>
    <xf numFmtId="0" fontId="78" fillId="46" borderId="203" xfId="0" applyFont="1" applyFill="1" applyBorder="1" applyAlignment="1">
      <alignment horizontal="center" vertical="center" wrapText="1"/>
    </xf>
    <xf numFmtId="3" fontId="67" fillId="61" borderId="43" xfId="0" applyNumberFormat="1" applyFont="1" applyFill="1" applyBorder="1" applyAlignment="1">
      <alignment horizontal="center" vertical="center"/>
    </xf>
    <xf numFmtId="3" fontId="67" fillId="60" borderId="102" xfId="0" applyNumberFormat="1" applyFont="1" applyFill="1" applyBorder="1" applyAlignment="1">
      <alignment horizontal="center" vertical="center"/>
    </xf>
    <xf numFmtId="10" fontId="67" fillId="59" borderId="35" xfId="1" applyNumberFormat="1" applyFont="1" applyFill="1" applyBorder="1" applyAlignment="1">
      <alignment horizontal="center" vertical="center"/>
    </xf>
    <xf numFmtId="0" fontId="78" fillId="55" borderId="209" xfId="0" applyFont="1" applyFill="1" applyBorder="1" applyAlignment="1">
      <alignment horizontal="center" vertical="center"/>
    </xf>
    <xf numFmtId="0" fontId="78" fillId="55" borderId="214" xfId="0" applyFont="1" applyFill="1" applyBorder="1" applyAlignment="1">
      <alignment horizontal="center" vertical="center"/>
    </xf>
    <xf numFmtId="0" fontId="79" fillId="10" borderId="206" xfId="0" applyFont="1" applyFill="1" applyBorder="1" applyAlignment="1">
      <alignment horizontal="center"/>
    </xf>
    <xf numFmtId="0" fontId="0" fillId="52" borderId="34" xfId="0" applyFill="1" applyBorder="1"/>
    <xf numFmtId="0" fontId="25" fillId="53" borderId="34" xfId="0" applyFont="1" applyFill="1" applyBorder="1"/>
    <xf numFmtId="0" fontId="25" fillId="58" borderId="34" xfId="0" applyFont="1" applyFill="1" applyBorder="1"/>
    <xf numFmtId="0" fontId="45" fillId="63" borderId="34" xfId="0" applyFont="1" applyFill="1" applyBorder="1"/>
    <xf numFmtId="3" fontId="80" fillId="17" borderId="65" xfId="0" applyNumberFormat="1" applyFont="1" applyFill="1" applyBorder="1" applyAlignment="1">
      <alignment horizontal="right"/>
    </xf>
    <xf numFmtId="3" fontId="80" fillId="27" borderId="66" xfId="0" applyNumberFormat="1" applyFont="1" applyFill="1" applyBorder="1" applyAlignment="1">
      <alignment horizontal="right"/>
    </xf>
    <xf numFmtId="3" fontId="80" fillId="17" borderId="46" xfId="0" applyNumberFormat="1" applyFont="1" applyFill="1" applyBorder="1" applyAlignment="1">
      <alignment horizontal="right"/>
    </xf>
    <xf numFmtId="3" fontId="80" fillId="17" borderId="56" xfId="0" applyNumberFormat="1" applyFont="1" applyFill="1" applyBorder="1" applyAlignment="1">
      <alignment horizontal="right"/>
    </xf>
    <xf numFmtId="3" fontId="81" fillId="17" borderId="58" xfId="0" applyNumberFormat="1" applyFont="1" applyFill="1" applyBorder="1" applyAlignment="1">
      <alignment horizontal="right"/>
    </xf>
    <xf numFmtId="3" fontId="81" fillId="27" borderId="65" xfId="0" applyNumberFormat="1" applyFont="1" applyFill="1" applyBorder="1" applyAlignment="1">
      <alignment horizontal="right"/>
    </xf>
    <xf numFmtId="3" fontId="81" fillId="27" borderId="66" xfId="0" applyNumberFormat="1" applyFont="1" applyFill="1" applyBorder="1" applyAlignment="1">
      <alignment horizontal="right"/>
    </xf>
    <xf numFmtId="0" fontId="82" fillId="5" borderId="165" xfId="0" applyFont="1" applyFill="1" applyBorder="1" applyAlignment="1">
      <alignment horizontal="right"/>
    </xf>
    <xf numFmtId="10" fontId="80" fillId="12" borderId="50" xfId="0" applyNumberFormat="1" applyFont="1" applyFill="1" applyBorder="1"/>
    <xf numFmtId="10" fontId="80" fillId="28" borderId="59" xfId="0" applyNumberFormat="1" applyFont="1" applyFill="1" applyBorder="1"/>
    <xf numFmtId="10" fontId="80" fillId="12" borderId="57" xfId="0" applyNumberFormat="1" applyFont="1" applyFill="1" applyBorder="1"/>
    <xf numFmtId="10" fontId="81" fillId="28" borderId="50" xfId="0" applyNumberFormat="1" applyFont="1" applyFill="1" applyBorder="1"/>
    <xf numFmtId="10" fontId="81" fillId="62" borderId="59" xfId="0" applyNumberFormat="1" applyFont="1" applyFill="1" applyBorder="1"/>
    <xf numFmtId="3" fontId="81" fillId="27" borderId="6" xfId="0" applyNumberFormat="1" applyFont="1" applyFill="1" applyBorder="1" applyAlignment="1">
      <alignment horizontal="right"/>
    </xf>
    <xf numFmtId="10" fontId="81" fillId="47" borderId="77" xfId="0" applyNumberFormat="1" applyFont="1" applyFill="1" applyBorder="1"/>
    <xf numFmtId="10" fontId="81" fillId="12" borderId="59" xfId="0" applyNumberFormat="1" applyFont="1" applyFill="1" applyBorder="1"/>
    <xf numFmtId="0" fontId="25" fillId="0" borderId="0" xfId="2"/>
    <xf numFmtId="0" fontId="25" fillId="0" borderId="200" xfId="2" applyBorder="1"/>
    <xf numFmtId="0" fontId="7" fillId="0" borderId="0" xfId="2" applyFont="1" applyAlignment="1">
      <alignment horizontal="center" vertical="center"/>
    </xf>
    <xf numFmtId="0" fontId="25" fillId="0" borderId="0" xfId="2" applyAlignment="1" applyProtection="1">
      <alignment horizontal="center" vertical="center"/>
      <protection locked="0"/>
    </xf>
    <xf numFmtId="0" fontId="25" fillId="0" borderId="0" xfId="2" applyAlignment="1">
      <alignment horizontal="center" vertical="center"/>
    </xf>
    <xf numFmtId="0" fontId="85" fillId="14" borderId="47" xfId="2" applyFont="1" applyFill="1" applyBorder="1" applyAlignment="1" applyProtection="1">
      <alignment horizontal="center" vertical="center"/>
      <protection locked="0"/>
    </xf>
    <xf numFmtId="0" fontId="85" fillId="14" borderId="46" xfId="2" applyFont="1" applyFill="1" applyBorder="1" applyAlignment="1" applyProtection="1">
      <alignment horizontal="center" vertical="center"/>
      <protection locked="0"/>
    </xf>
    <xf numFmtId="0" fontId="85" fillId="14" borderId="56" xfId="2" applyFont="1" applyFill="1" applyBorder="1" applyAlignment="1" applyProtection="1">
      <alignment horizontal="center" vertical="center"/>
      <protection locked="0"/>
    </xf>
    <xf numFmtId="0" fontId="86" fillId="2" borderId="219" xfId="2" applyFont="1" applyFill="1" applyBorder="1" applyAlignment="1">
      <alignment horizontal="center" vertical="center" wrapText="1"/>
    </xf>
    <xf numFmtId="0" fontId="88" fillId="9" borderId="35" xfId="2" applyFont="1" applyFill="1" applyBorder="1" applyAlignment="1">
      <alignment horizontal="center" vertical="center"/>
    </xf>
    <xf numFmtId="0" fontId="12" fillId="2" borderId="177" xfId="2" applyFont="1" applyFill="1" applyBorder="1" applyAlignment="1">
      <alignment horizontal="center" vertical="center"/>
    </xf>
    <xf numFmtId="0" fontId="54" fillId="66" borderId="112" xfId="2" applyFont="1" applyFill="1" applyBorder="1" applyAlignment="1" applyProtection="1">
      <alignment horizontal="center" vertical="center"/>
      <protection locked="0"/>
    </xf>
    <xf numFmtId="0" fontId="54" fillId="66" borderId="122" xfId="2" applyFont="1" applyFill="1" applyBorder="1" applyAlignment="1" applyProtection="1">
      <alignment horizontal="center" vertical="center"/>
      <protection locked="0"/>
    </xf>
    <xf numFmtId="0" fontId="54" fillId="66" borderId="111" xfId="2" applyFont="1" applyFill="1" applyBorder="1" applyAlignment="1" applyProtection="1">
      <alignment horizontal="center" vertical="center"/>
      <protection locked="0"/>
    </xf>
    <xf numFmtId="0" fontId="54" fillId="66" borderId="220" xfId="2" applyFont="1" applyFill="1" applyBorder="1" applyAlignment="1" applyProtection="1">
      <alignment horizontal="center" vertical="center"/>
      <protection locked="0"/>
    </xf>
    <xf numFmtId="3" fontId="70" fillId="16" borderId="58" xfId="0" applyNumberFormat="1" applyFont="1" applyFill="1" applyBorder="1" applyAlignment="1">
      <alignment horizontal="center"/>
    </xf>
    <xf numFmtId="0" fontId="70" fillId="16" borderId="221" xfId="0" applyFont="1" applyFill="1" applyBorder="1" applyAlignment="1">
      <alignment horizontal="center"/>
    </xf>
    <xf numFmtId="0" fontId="70" fillId="16" borderId="59" xfId="0" applyFont="1" applyFill="1" applyBorder="1" applyAlignment="1">
      <alignment horizontal="center"/>
    </xf>
    <xf numFmtId="0" fontId="5" fillId="2" borderId="189" xfId="0" applyFont="1" applyFill="1" applyBorder="1" applyAlignment="1">
      <alignment horizontal="center" vertical="center"/>
    </xf>
    <xf numFmtId="0" fontId="7" fillId="4" borderId="222" xfId="0" applyFont="1" applyFill="1" applyBorder="1" applyAlignment="1">
      <alignment horizontal="center"/>
    </xf>
    <xf numFmtId="0" fontId="7" fillId="4" borderId="223" xfId="0" applyFont="1" applyFill="1" applyBorder="1" applyAlignment="1">
      <alignment horizontal="center"/>
    </xf>
    <xf numFmtId="10" fontId="82" fillId="5" borderId="161" xfId="0" applyNumberFormat="1" applyFont="1" applyFill="1" applyBorder="1"/>
    <xf numFmtId="0" fontId="81" fillId="46" borderId="68" xfId="0" applyFont="1" applyFill="1" applyBorder="1" applyAlignment="1"/>
    <xf numFmtId="10" fontId="81" fillId="46" borderId="67" xfId="0" applyNumberFormat="1" applyFont="1" applyFill="1" applyBorder="1" applyAlignment="1"/>
    <xf numFmtId="0" fontId="89" fillId="11" borderId="73" xfId="0" applyFont="1" applyFill="1" applyBorder="1" applyAlignment="1">
      <alignment horizontal="center" vertical="center"/>
    </xf>
    <xf numFmtId="0" fontId="25" fillId="11" borderId="46" xfId="0" applyFont="1" applyFill="1" applyBorder="1"/>
    <xf numFmtId="0" fontId="25" fillId="11" borderId="50" xfId="0" applyFont="1" applyFill="1" applyBorder="1"/>
    <xf numFmtId="0" fontId="1" fillId="46" borderId="224" xfId="0" applyFont="1" applyFill="1" applyBorder="1" applyAlignment="1">
      <alignment horizontal="center"/>
    </xf>
    <xf numFmtId="0" fontId="84" fillId="5" borderId="116" xfId="0" applyFont="1" applyFill="1" applyBorder="1" applyAlignment="1">
      <alignment horizontal="right"/>
    </xf>
    <xf numFmtId="10" fontId="84" fillId="5" borderId="227" xfId="0" applyNumberFormat="1" applyFont="1" applyFill="1" applyBorder="1"/>
    <xf numFmtId="0" fontId="6" fillId="13" borderId="111" xfId="0" applyFont="1" applyFill="1" applyBorder="1" applyAlignment="1">
      <alignment horizontal="center"/>
    </xf>
    <xf numFmtId="0" fontId="6" fillId="13" borderId="228" xfId="0" applyFont="1" applyFill="1" applyBorder="1" applyAlignment="1">
      <alignment horizontal="center"/>
    </xf>
    <xf numFmtId="0" fontId="6" fillId="13" borderId="229" xfId="0" applyFont="1" applyFill="1" applyBorder="1" applyAlignment="1">
      <alignment horizontal="center"/>
    </xf>
    <xf numFmtId="0" fontId="84" fillId="5" borderId="230" xfId="0" applyFont="1" applyFill="1" applyBorder="1" applyAlignment="1">
      <alignment horizontal="right"/>
    </xf>
    <xf numFmtId="10" fontId="84" fillId="5" borderId="231" xfId="0" applyNumberFormat="1" applyFont="1" applyFill="1" applyBorder="1"/>
    <xf numFmtId="0" fontId="11" fillId="12" borderId="60" xfId="0" applyFont="1" applyFill="1" applyBorder="1" applyAlignment="1" applyProtection="1">
      <alignment horizontal="right"/>
      <protection locked="0"/>
    </xf>
    <xf numFmtId="10" fontId="9" fillId="12" borderId="61" xfId="0" applyNumberFormat="1" applyFont="1" applyFill="1" applyBorder="1"/>
    <xf numFmtId="0" fontId="85" fillId="14" borderId="60" xfId="2" applyFont="1" applyFill="1" applyBorder="1" applyAlignment="1" applyProtection="1">
      <alignment horizontal="center" vertical="center"/>
      <protection locked="0"/>
    </xf>
    <xf numFmtId="0" fontId="31" fillId="52" borderId="111" xfId="0" applyFont="1" applyFill="1" applyBorder="1" applyAlignment="1">
      <alignment horizontal="center" vertical="center" wrapText="1"/>
    </xf>
    <xf numFmtId="0" fontId="31" fillId="18" borderId="76" xfId="0" applyFont="1" applyFill="1" applyBorder="1" applyAlignment="1">
      <alignment horizontal="center" vertical="center" wrapText="1"/>
    </xf>
    <xf numFmtId="0" fontId="70" fillId="46" borderId="129" xfId="0" applyFont="1" applyFill="1" applyBorder="1" applyAlignment="1">
      <alignment horizontal="center"/>
    </xf>
    <xf numFmtId="0" fontId="70" fillId="46" borderId="90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2" fillId="0" borderId="41" xfId="0" applyFont="1" applyBorder="1"/>
    <xf numFmtId="0" fontId="1" fillId="26" borderId="1" xfId="0" applyFont="1" applyFill="1" applyBorder="1" applyAlignment="1">
      <alignment horizontal="center" vertical="center"/>
    </xf>
    <xf numFmtId="0" fontId="2" fillId="11" borderId="2" xfId="0" applyFont="1" applyFill="1" applyBorder="1"/>
    <xf numFmtId="0" fontId="1" fillId="26" borderId="102" xfId="0" applyFont="1" applyFill="1" applyBorder="1" applyAlignment="1">
      <alignment horizontal="center" vertical="center"/>
    </xf>
    <xf numFmtId="0" fontId="2" fillId="11" borderId="45" xfId="0" applyFont="1" applyFill="1" applyBorder="1"/>
    <xf numFmtId="0" fontId="1" fillId="26" borderId="2" xfId="0" applyFont="1" applyFill="1" applyBorder="1" applyAlignment="1">
      <alignment horizontal="center" vertical="center"/>
    </xf>
    <xf numFmtId="0" fontId="2" fillId="11" borderId="3" xfId="0" applyFont="1" applyFill="1" applyBorder="1"/>
    <xf numFmtId="0" fontId="1" fillId="26" borderId="20" xfId="0" applyFont="1" applyFill="1" applyBorder="1" applyAlignment="1">
      <alignment horizontal="center" vertical="center"/>
    </xf>
    <xf numFmtId="0" fontId="2" fillId="11" borderId="21" xfId="0" applyFont="1" applyFill="1" applyBorder="1"/>
    <xf numFmtId="0" fontId="30" fillId="29" borderId="102" xfId="0" applyFont="1" applyFill="1" applyBorder="1" applyAlignment="1" applyProtection="1">
      <alignment horizontal="center"/>
      <protection hidden="1"/>
    </xf>
    <xf numFmtId="0" fontId="30" fillId="29" borderId="110" xfId="0" applyFont="1" applyFill="1" applyBorder="1" applyAlignment="1" applyProtection="1">
      <alignment horizontal="center"/>
      <protection hidden="1"/>
    </xf>
    <xf numFmtId="0" fontId="31" fillId="29" borderId="102" xfId="0" applyFont="1" applyFill="1" applyBorder="1" applyAlignment="1">
      <alignment horizontal="center"/>
    </xf>
    <xf numFmtId="0" fontId="31" fillId="29" borderId="110" xfId="0" applyFont="1" applyFill="1" applyBorder="1" applyAlignment="1">
      <alignment horizontal="center"/>
    </xf>
    <xf numFmtId="0" fontId="31" fillId="29" borderId="45" xfId="0" applyFont="1" applyFill="1" applyBorder="1" applyAlignment="1">
      <alignment horizontal="center"/>
    </xf>
    <xf numFmtId="0" fontId="18" fillId="25" borderId="22" xfId="0" applyFont="1" applyFill="1" applyBorder="1" applyAlignment="1">
      <alignment horizontal="center" vertical="center"/>
    </xf>
    <xf numFmtId="0" fontId="2" fillId="11" borderId="23" xfId="0" applyFont="1" applyFill="1" applyBorder="1"/>
    <xf numFmtId="0" fontId="18" fillId="25" borderId="24" xfId="0" applyFont="1" applyFill="1" applyBorder="1" applyAlignment="1">
      <alignment horizontal="center" vertical="center"/>
    </xf>
    <xf numFmtId="0" fontId="2" fillId="11" borderId="109" xfId="0" applyFont="1" applyFill="1" applyBorder="1"/>
    <xf numFmtId="0" fontId="37" fillId="11" borderId="102" xfId="0" applyFont="1" applyFill="1" applyBorder="1" applyAlignment="1">
      <alignment horizontal="center" vertical="center"/>
    </xf>
    <xf numFmtId="0" fontId="37" fillId="11" borderId="45" xfId="0" applyFont="1" applyFill="1" applyBorder="1" applyAlignment="1">
      <alignment horizontal="center" vertical="center"/>
    </xf>
    <xf numFmtId="0" fontId="39" fillId="11" borderId="102" xfId="0" applyFont="1" applyFill="1" applyBorder="1" applyAlignment="1">
      <alignment horizontal="center" vertical="center"/>
    </xf>
    <xf numFmtId="0" fontId="39" fillId="11" borderId="110" xfId="0" applyFont="1" applyFill="1" applyBorder="1" applyAlignment="1">
      <alignment horizontal="center" vertical="center"/>
    </xf>
    <xf numFmtId="0" fontId="61" fillId="26" borderId="190" xfId="0" applyFont="1" applyFill="1" applyBorder="1" applyAlignment="1">
      <alignment horizontal="center" vertical="center"/>
    </xf>
    <xf numFmtId="0" fontId="61" fillId="26" borderId="198" xfId="0" applyFont="1" applyFill="1" applyBorder="1" applyAlignment="1">
      <alignment horizontal="center" vertical="center"/>
    </xf>
    <xf numFmtId="0" fontId="66" fillId="46" borderId="20" xfId="0" applyFont="1" applyFill="1" applyBorder="1" applyAlignment="1">
      <alignment horizontal="center" vertical="center"/>
    </xf>
    <xf numFmtId="0" fontId="66" fillId="46" borderId="218" xfId="0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165" fontId="75" fillId="0" borderId="0" xfId="0" applyNumberFormat="1" applyFont="1" applyAlignment="1">
      <alignment horizontal="center" vertical="center"/>
    </xf>
    <xf numFmtId="0" fontId="61" fillId="16" borderId="102" xfId="0" applyFont="1" applyFill="1" applyBorder="1" applyAlignment="1">
      <alignment horizontal="center"/>
    </xf>
    <xf numFmtId="0" fontId="61" fillId="16" borderId="110" xfId="0" applyFont="1" applyFill="1" applyBorder="1" applyAlignment="1">
      <alignment horizontal="center"/>
    </xf>
    <xf numFmtId="166" fontId="63" fillId="0" borderId="102" xfId="1" applyNumberFormat="1" applyFont="1" applyBorder="1" applyAlignment="1">
      <alignment horizontal="center" vertical="center"/>
    </xf>
    <xf numFmtId="166" fontId="63" fillId="0" borderId="110" xfId="1" applyNumberFormat="1" applyFont="1" applyBorder="1" applyAlignment="1">
      <alignment horizontal="center" vertical="center"/>
    </xf>
    <xf numFmtId="166" fontId="63" fillId="0" borderId="45" xfId="1" applyNumberFormat="1" applyFont="1" applyBorder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66" fillId="26" borderId="102" xfId="0" applyFont="1" applyFill="1" applyBorder="1" applyAlignment="1">
      <alignment horizontal="center" vertical="center"/>
    </xf>
    <xf numFmtId="0" fontId="68" fillId="11" borderId="193" xfId="0" applyFont="1" applyFill="1" applyBorder="1"/>
    <xf numFmtId="0" fontId="69" fillId="46" borderId="102" xfId="0" applyFont="1" applyFill="1" applyBorder="1" applyAlignment="1">
      <alignment horizontal="center" vertical="center"/>
    </xf>
    <xf numFmtId="0" fontId="69" fillId="46" borderId="110" xfId="0" applyFont="1" applyFill="1" applyBorder="1" applyAlignment="1">
      <alignment horizontal="center" vertical="center"/>
    </xf>
    <xf numFmtId="0" fontId="69" fillId="46" borderId="45" xfId="0" applyFont="1" applyFill="1" applyBorder="1" applyAlignment="1">
      <alignment horizontal="center" vertical="center"/>
    </xf>
    <xf numFmtId="0" fontId="72" fillId="26" borderId="1" xfId="0" applyFont="1" applyFill="1" applyBorder="1" applyAlignment="1">
      <alignment horizontal="center" vertical="center"/>
    </xf>
    <xf numFmtId="0" fontId="72" fillId="26" borderId="2" xfId="0" applyFont="1" applyFill="1" applyBorder="1" applyAlignment="1">
      <alignment horizontal="center" vertical="center"/>
    </xf>
    <xf numFmtId="0" fontId="67" fillId="16" borderId="67" xfId="0" applyFont="1" applyFill="1" applyBorder="1" applyAlignment="1">
      <alignment horizontal="center" vertical="center"/>
    </xf>
    <xf numFmtId="0" fontId="67" fillId="16" borderId="78" xfId="0" applyFont="1" applyFill="1" applyBorder="1" applyAlignment="1">
      <alignment horizontal="center" vertical="center"/>
    </xf>
    <xf numFmtId="0" fontId="45" fillId="9" borderId="102" xfId="0" applyFont="1" applyFill="1" applyBorder="1" applyAlignment="1">
      <alignment horizontal="center" vertical="center"/>
    </xf>
    <xf numFmtId="0" fontId="45" fillId="9" borderId="110" xfId="0" applyFont="1" applyFill="1" applyBorder="1" applyAlignment="1">
      <alignment horizontal="center" vertical="center"/>
    </xf>
    <xf numFmtId="0" fontId="45" fillId="9" borderId="45" xfId="0" applyFont="1" applyFill="1" applyBorder="1" applyAlignment="1">
      <alignment horizontal="center" vertical="center"/>
    </xf>
    <xf numFmtId="0" fontId="37" fillId="9" borderId="102" xfId="0" applyFont="1" applyFill="1" applyBorder="1" applyAlignment="1">
      <alignment horizontal="center" vertical="center"/>
    </xf>
    <xf numFmtId="0" fontId="37" fillId="9" borderId="110" xfId="0" applyFont="1" applyFill="1" applyBorder="1" applyAlignment="1">
      <alignment horizontal="center" vertical="center"/>
    </xf>
    <xf numFmtId="0" fontId="37" fillId="9" borderId="45" xfId="0" applyFont="1" applyFill="1" applyBorder="1" applyAlignment="1">
      <alignment horizontal="center" vertical="center"/>
    </xf>
    <xf numFmtId="0" fontId="34" fillId="14" borderId="76" xfId="0" applyFont="1" applyFill="1" applyBorder="1" applyAlignment="1">
      <alignment horizontal="center" vertical="center" wrapText="1"/>
    </xf>
    <xf numFmtId="0" fontId="34" fillId="14" borderId="0" xfId="0" applyFont="1" applyFill="1" applyAlignment="1">
      <alignment horizontal="center" vertical="center" wrapText="1"/>
    </xf>
    <xf numFmtId="0" fontId="34" fillId="12" borderId="0" xfId="0" applyFont="1" applyFill="1" applyAlignment="1">
      <alignment horizontal="center" vertical="center" wrapText="1"/>
    </xf>
    <xf numFmtId="0" fontId="49" fillId="48" borderId="0" xfId="0" applyFont="1" applyFill="1" applyAlignment="1">
      <alignment horizontal="center" vertical="center" wrapText="1"/>
    </xf>
    <xf numFmtId="0" fontId="49" fillId="50" borderId="0" xfId="0" applyFont="1" applyFill="1" applyAlignment="1">
      <alignment horizontal="center" vertical="center" wrapText="1"/>
    </xf>
    <xf numFmtId="9" fontId="0" fillId="14" borderId="34" xfId="0" applyNumberFormat="1" applyFill="1" applyBorder="1" applyProtection="1">
      <protection locked="0"/>
    </xf>
    <xf numFmtId="0" fontId="83" fillId="11" borderId="75" xfId="0" applyFont="1" applyFill="1" applyBorder="1" applyAlignment="1">
      <alignment horizontal="center" vertical="center"/>
    </xf>
    <xf numFmtId="0" fontId="0" fillId="9" borderId="47" xfId="0" applyFill="1" applyBorder="1" applyAlignment="1">
      <alignment horizontal="center"/>
    </xf>
    <xf numFmtId="0" fontId="0" fillId="9" borderId="51" xfId="0" applyFill="1" applyBorder="1" applyAlignment="1">
      <alignment horizontal="center"/>
    </xf>
    <xf numFmtId="0" fontId="6" fillId="13" borderId="146" xfId="0" applyFont="1" applyFill="1" applyBorder="1" applyAlignment="1">
      <alignment horizontal="center"/>
    </xf>
    <xf numFmtId="0" fontId="6" fillId="13" borderId="233" xfId="0" applyFont="1" applyFill="1" applyBorder="1" applyAlignment="1">
      <alignment horizontal="center"/>
    </xf>
    <xf numFmtId="0" fontId="6" fillId="13" borderId="234" xfId="0" applyFont="1" applyFill="1" applyBorder="1" applyAlignment="1">
      <alignment horizontal="center"/>
    </xf>
    <xf numFmtId="0" fontId="84" fillId="5" borderId="235" xfId="0" applyFont="1" applyFill="1" applyBorder="1" applyAlignment="1">
      <alignment horizontal="right"/>
    </xf>
    <xf numFmtId="10" fontId="84" fillId="5" borderId="236" xfId="0" applyNumberFormat="1" applyFont="1" applyFill="1" applyBorder="1"/>
    <xf numFmtId="0" fontId="6" fillId="13" borderId="112" xfId="0" applyFont="1" applyFill="1" applyBorder="1" applyAlignment="1">
      <alignment horizontal="center"/>
    </xf>
    <xf numFmtId="0" fontId="6" fillId="13" borderId="237" xfId="0" applyFont="1" applyFill="1" applyBorder="1" applyAlignment="1">
      <alignment horizontal="center"/>
    </xf>
    <xf numFmtId="0" fontId="6" fillId="13" borderId="238" xfId="0" applyFont="1" applyFill="1" applyBorder="1" applyAlignment="1">
      <alignment horizontal="center"/>
    </xf>
    <xf numFmtId="0" fontId="84" fillId="5" borderId="239" xfId="0" applyFont="1" applyFill="1" applyBorder="1" applyAlignment="1">
      <alignment horizontal="right"/>
    </xf>
    <xf numFmtId="10" fontId="84" fillId="5" borderId="240" xfId="0" applyNumberFormat="1" applyFont="1" applyFill="1" applyBorder="1"/>
    <xf numFmtId="0" fontId="52" fillId="46" borderId="102" xfId="0" applyFont="1" applyFill="1" applyBorder="1" applyAlignment="1">
      <alignment horizontal="center" vertical="center"/>
    </xf>
    <xf numFmtId="0" fontId="52" fillId="46" borderId="241" xfId="0" applyFont="1" applyFill="1" applyBorder="1" applyAlignment="1">
      <alignment horizontal="center" vertical="center"/>
    </xf>
    <xf numFmtId="0" fontId="52" fillId="18" borderId="242" xfId="0" applyFont="1" applyFill="1" applyBorder="1" applyAlignment="1">
      <alignment horizontal="center" vertical="center" wrapText="1"/>
    </xf>
    <xf numFmtId="0" fontId="52" fillId="52" borderId="107" xfId="0" applyFont="1" applyFill="1" applyBorder="1" applyAlignment="1">
      <alignment horizontal="center" vertical="center" wrapText="1"/>
    </xf>
    <xf numFmtId="0" fontId="52" fillId="50" borderId="107" xfId="0" applyFont="1" applyFill="1" applyBorder="1" applyAlignment="1">
      <alignment horizontal="center" vertical="center" wrapText="1"/>
    </xf>
    <xf numFmtId="0" fontId="52" fillId="53" borderId="107" xfId="0" applyFont="1" applyFill="1" applyBorder="1" applyAlignment="1">
      <alignment horizontal="center" vertical="center" wrapText="1"/>
    </xf>
    <xf numFmtId="0" fontId="52" fillId="48" borderId="107" xfId="0" applyFont="1" applyFill="1" applyBorder="1" applyAlignment="1">
      <alignment horizontal="center" vertical="center" wrapText="1"/>
    </xf>
    <xf numFmtId="0" fontId="52" fillId="49" borderId="107" xfId="0" applyFont="1" applyFill="1" applyBorder="1" applyAlignment="1">
      <alignment horizontal="center" vertical="center" wrapText="1"/>
    </xf>
    <xf numFmtId="0" fontId="52" fillId="69" borderId="108" xfId="0" applyFont="1" applyFill="1" applyBorder="1" applyAlignment="1">
      <alignment horizontal="center" vertical="center" wrapText="1"/>
    </xf>
    <xf numFmtId="0" fontId="31" fillId="18" borderId="242" xfId="0" applyFont="1" applyFill="1" applyBorder="1" applyAlignment="1">
      <alignment horizontal="center" vertical="center" wrapText="1"/>
    </xf>
    <xf numFmtId="0" fontId="31" fillId="52" borderId="107" xfId="0" applyFont="1" applyFill="1" applyBorder="1" applyAlignment="1">
      <alignment horizontal="center" vertical="center" wrapText="1"/>
    </xf>
    <xf numFmtId="0" fontId="31" fillId="50" borderId="107" xfId="0" applyFont="1" applyFill="1" applyBorder="1" applyAlignment="1">
      <alignment horizontal="center" vertical="center" wrapText="1"/>
    </xf>
    <xf numFmtId="0" fontId="31" fillId="53" borderId="107" xfId="0" applyFont="1" applyFill="1" applyBorder="1" applyAlignment="1">
      <alignment horizontal="center" vertical="center" wrapText="1"/>
    </xf>
    <xf numFmtId="0" fontId="31" fillId="48" borderId="107" xfId="0" applyFont="1" applyFill="1" applyBorder="1" applyAlignment="1">
      <alignment horizontal="center" vertical="center" wrapText="1"/>
    </xf>
    <xf numFmtId="0" fontId="31" fillId="49" borderId="107" xfId="0" applyFont="1" applyFill="1" applyBorder="1" applyAlignment="1">
      <alignment horizontal="center" vertical="center" wrapText="1"/>
    </xf>
    <xf numFmtId="0" fontId="31" fillId="69" borderId="108" xfId="0" applyFont="1" applyFill="1" applyBorder="1" applyAlignment="1">
      <alignment horizontal="center" vertical="center" wrapText="1"/>
    </xf>
    <xf numFmtId="0" fontId="31" fillId="18" borderId="110" xfId="0" applyFont="1" applyFill="1" applyBorder="1" applyAlignment="1">
      <alignment horizontal="center" vertical="center" wrapText="1"/>
    </xf>
    <xf numFmtId="0" fontId="70" fillId="46" borderId="110" xfId="0" applyFont="1" applyFill="1" applyBorder="1" applyAlignment="1">
      <alignment horizontal="center"/>
    </xf>
    <xf numFmtId="0" fontId="71" fillId="13" borderId="233" xfId="0" applyFont="1" applyFill="1" applyBorder="1" applyAlignment="1">
      <alignment horizontal="center"/>
    </xf>
    <xf numFmtId="0" fontId="71" fillId="13" borderId="137" xfId="0" applyFont="1" applyFill="1" applyBorder="1" applyAlignment="1">
      <alignment horizontal="center"/>
    </xf>
    <xf numFmtId="0" fontId="71" fillId="13" borderId="243" xfId="0" applyFont="1" applyFill="1" applyBorder="1" applyAlignment="1">
      <alignment horizontal="center"/>
    </xf>
    <xf numFmtId="0" fontId="76" fillId="13" borderId="102" xfId="0" applyFont="1" applyFill="1" applyBorder="1" applyAlignment="1">
      <alignment horizontal="center" vertical="center"/>
    </xf>
    <xf numFmtId="0" fontId="76" fillId="13" borderId="216" xfId="0" applyFont="1" applyFill="1" applyBorder="1" applyAlignment="1">
      <alignment horizontal="center" vertical="center"/>
    </xf>
    <xf numFmtId="0" fontId="61" fillId="26" borderId="216" xfId="0" applyFont="1" applyFill="1" applyBorder="1" applyAlignment="1">
      <alignment horizontal="center" vertical="center"/>
    </xf>
    <xf numFmtId="3" fontId="59" fillId="16" borderId="58" xfId="0" applyNumberFormat="1" applyFont="1" applyFill="1" applyBorder="1" applyAlignment="1">
      <alignment horizontal="center"/>
    </xf>
    <xf numFmtId="0" fontId="59" fillId="16" borderId="221" xfId="0" applyFont="1" applyFill="1" applyBorder="1" applyAlignment="1">
      <alignment horizontal="center"/>
    </xf>
    <xf numFmtId="0" fontId="59" fillId="16" borderId="59" xfId="0" applyFont="1" applyFill="1" applyBorder="1" applyAlignment="1">
      <alignment horizontal="center"/>
    </xf>
    <xf numFmtId="10" fontId="57" fillId="13" borderId="34" xfId="1" applyNumberFormat="1" applyFont="1" applyFill="1" applyBorder="1" applyAlignment="1">
      <alignment horizontal="center"/>
    </xf>
    <xf numFmtId="0" fontId="61" fillId="16" borderId="216" xfId="0" applyFont="1" applyFill="1" applyBorder="1" applyAlignment="1">
      <alignment horizontal="center"/>
    </xf>
    <xf numFmtId="10" fontId="58" fillId="13" borderId="69" xfId="1" applyNumberFormat="1" applyFont="1" applyFill="1" applyBorder="1" applyAlignment="1">
      <alignment horizontal="center"/>
    </xf>
    <xf numFmtId="10" fontId="58" fillId="13" borderId="107" xfId="1" applyNumberFormat="1" applyFont="1" applyFill="1" applyBorder="1" applyAlignment="1">
      <alignment horizontal="center"/>
    </xf>
    <xf numFmtId="10" fontId="58" fillId="13" borderId="45" xfId="1" applyNumberFormat="1" applyFont="1" applyFill="1" applyBorder="1" applyAlignment="1">
      <alignment horizontal="center"/>
    </xf>
    <xf numFmtId="10" fontId="57" fillId="13" borderId="46" xfId="1" applyNumberFormat="1" applyFont="1" applyFill="1" applyBorder="1" applyAlignment="1">
      <alignment horizontal="center"/>
    </xf>
    <xf numFmtId="10" fontId="57" fillId="13" borderId="56" xfId="1" applyNumberFormat="1" applyFont="1" applyFill="1" applyBorder="1" applyAlignment="1">
      <alignment horizontal="center"/>
    </xf>
    <xf numFmtId="10" fontId="57" fillId="13" borderId="225" xfId="1" applyNumberFormat="1" applyFont="1" applyFill="1" applyBorder="1" applyAlignment="1">
      <alignment horizontal="center"/>
    </xf>
    <xf numFmtId="10" fontId="57" fillId="13" borderId="48" xfId="1" applyNumberFormat="1" applyFont="1" applyFill="1" applyBorder="1" applyAlignment="1">
      <alignment horizontal="center"/>
    </xf>
    <xf numFmtId="10" fontId="57" fillId="13" borderId="86" xfId="1" applyNumberFormat="1" applyFont="1" applyFill="1" applyBorder="1" applyAlignment="1">
      <alignment horizontal="center"/>
    </xf>
    <xf numFmtId="0" fontId="71" fillId="13" borderId="244" xfId="0" applyFont="1" applyFill="1" applyBorder="1" applyAlignment="1">
      <alignment horizontal="center"/>
    </xf>
    <xf numFmtId="0" fontId="71" fillId="13" borderId="237" xfId="0" applyFont="1" applyFill="1" applyBorder="1" applyAlignment="1">
      <alignment horizontal="center"/>
    </xf>
    <xf numFmtId="0" fontId="76" fillId="13" borderId="108" xfId="0" applyFont="1" applyFill="1" applyBorder="1" applyAlignment="1">
      <alignment horizontal="center" vertical="center"/>
    </xf>
    <xf numFmtId="0" fontId="61" fillId="46" borderId="69" xfId="0" applyFont="1" applyFill="1" applyBorder="1" applyAlignment="1">
      <alignment horizontal="center"/>
    </xf>
    <xf numFmtId="0" fontId="61" fillId="46" borderId="107" xfId="0" applyFont="1" applyFill="1" applyBorder="1" applyAlignment="1">
      <alignment horizontal="center"/>
    </xf>
    <xf numFmtId="0" fontId="61" fillId="46" borderId="108" xfId="0" applyFont="1" applyFill="1" applyBorder="1" applyAlignment="1">
      <alignment horizontal="center"/>
    </xf>
    <xf numFmtId="10" fontId="57" fillId="13" borderId="50" xfId="1" applyNumberFormat="1" applyFont="1" applyFill="1" applyBorder="1" applyAlignment="1">
      <alignment horizontal="center"/>
    </xf>
    <xf numFmtId="10" fontId="57" fillId="13" borderId="57" xfId="1" applyNumberFormat="1" applyFont="1" applyFill="1" applyBorder="1" applyAlignment="1">
      <alignment horizontal="center"/>
    </xf>
    <xf numFmtId="10" fontId="57" fillId="13" borderId="226" xfId="1" applyNumberFormat="1" applyFont="1" applyFill="1" applyBorder="1" applyAlignment="1">
      <alignment horizontal="center"/>
    </xf>
    <xf numFmtId="0" fontId="31" fillId="54" borderId="139" xfId="0" applyFont="1" applyFill="1" applyBorder="1" applyAlignment="1" applyProtection="1">
      <alignment horizontal="center" vertical="center" wrapText="1"/>
      <protection locked="0"/>
    </xf>
    <xf numFmtId="0" fontId="31" fillId="67" borderId="139" xfId="0" applyFont="1" applyFill="1" applyBorder="1" applyAlignment="1" applyProtection="1">
      <alignment horizontal="center" vertical="center" wrapText="1"/>
      <protection locked="0"/>
    </xf>
    <xf numFmtId="0" fontId="31" fillId="68" borderId="139" xfId="0" applyFont="1" applyFill="1" applyBorder="1" applyAlignment="1" applyProtection="1">
      <alignment horizontal="center" vertical="center" wrapText="1"/>
      <protection locked="0"/>
    </xf>
    <xf numFmtId="0" fontId="31" fillId="71" borderId="139" xfId="0" applyFont="1" applyFill="1" applyBorder="1" applyAlignment="1" applyProtection="1">
      <alignment horizontal="center" vertical="center" wrapText="1"/>
      <protection locked="0"/>
    </xf>
    <xf numFmtId="0" fontId="31" fillId="72" borderId="139" xfId="0" applyFont="1" applyFill="1" applyBorder="1" applyAlignment="1" applyProtection="1">
      <alignment horizontal="center" vertical="center" wrapText="1"/>
      <protection locked="0"/>
    </xf>
    <xf numFmtId="0" fontId="31" fillId="73" borderId="139" xfId="0" applyFont="1" applyFill="1" applyBorder="1" applyAlignment="1" applyProtection="1">
      <alignment horizontal="center" vertical="center" wrapText="1"/>
      <protection locked="0"/>
    </xf>
    <xf numFmtId="0" fontId="31" fillId="70" borderId="139" xfId="0" applyFont="1" applyFill="1" applyBorder="1" applyAlignment="1" applyProtection="1">
      <alignment horizontal="center" vertical="center" wrapText="1"/>
      <protection locked="0"/>
    </xf>
    <xf numFmtId="0" fontId="31" fillId="54" borderId="139" xfId="0" applyFont="1" applyFill="1" applyBorder="1" applyAlignment="1">
      <alignment horizontal="center" vertical="center" wrapText="1"/>
    </xf>
    <xf numFmtId="0" fontId="31" fillId="67" borderId="139" xfId="0" applyFont="1" applyFill="1" applyBorder="1" applyAlignment="1">
      <alignment horizontal="center" vertical="center" wrapText="1"/>
    </xf>
    <xf numFmtId="0" fontId="31" fillId="68" borderId="139" xfId="0" applyFont="1" applyFill="1" applyBorder="1" applyAlignment="1">
      <alignment horizontal="center" vertical="center" wrapText="1"/>
    </xf>
    <xf numFmtId="0" fontId="31" fillId="71" borderId="139" xfId="0" applyFont="1" applyFill="1" applyBorder="1" applyAlignment="1">
      <alignment horizontal="center" vertical="center" wrapText="1"/>
    </xf>
    <xf numFmtId="0" fontId="31" fillId="72" borderId="139" xfId="0" applyFont="1" applyFill="1" applyBorder="1" applyAlignment="1">
      <alignment horizontal="center" vertical="center" wrapText="1"/>
    </xf>
    <xf numFmtId="0" fontId="31" fillId="73" borderId="139" xfId="0" applyFont="1" applyFill="1" applyBorder="1" applyAlignment="1">
      <alignment horizontal="center" vertical="center" wrapText="1"/>
    </xf>
    <xf numFmtId="0" fontId="31" fillId="70" borderId="139" xfId="0" applyFont="1" applyFill="1" applyBorder="1" applyAlignment="1">
      <alignment horizontal="center" vertical="center" wrapText="1"/>
    </xf>
    <xf numFmtId="0" fontId="87" fillId="23" borderId="69" xfId="2" applyFont="1" applyFill="1" applyBorder="1" applyAlignment="1">
      <alignment horizontal="center" vertical="center" wrapText="1"/>
    </xf>
    <xf numFmtId="0" fontId="87" fillId="23" borderId="108" xfId="2" applyFont="1" applyFill="1" applyBorder="1" applyAlignment="1">
      <alignment horizontal="center" vertical="center" wrapText="1"/>
    </xf>
    <xf numFmtId="0" fontId="12" fillId="19" borderId="177" xfId="2" applyFont="1" applyFill="1" applyBorder="1" applyAlignment="1">
      <alignment horizontal="center" vertical="center"/>
    </xf>
    <xf numFmtId="0" fontId="86" fillId="19" borderId="219" xfId="2" applyFont="1" applyFill="1" applyBorder="1" applyAlignment="1">
      <alignment horizontal="center" vertical="center" wrapText="1"/>
    </xf>
    <xf numFmtId="0" fontId="90" fillId="65" borderId="35" xfId="2" applyFont="1" applyFill="1" applyBorder="1" applyAlignment="1">
      <alignment horizontal="center" vertical="center"/>
    </xf>
    <xf numFmtId="0" fontId="31" fillId="50" borderId="111" xfId="0" applyFont="1" applyFill="1" applyBorder="1" applyAlignment="1">
      <alignment horizontal="center" vertical="center" wrapText="1"/>
    </xf>
    <xf numFmtId="0" fontId="31" fillId="53" borderId="111" xfId="0" applyFont="1" applyFill="1" applyBorder="1" applyAlignment="1">
      <alignment horizontal="center" vertical="center" wrapText="1"/>
    </xf>
    <xf numFmtId="0" fontId="31" fillId="48" borderId="111" xfId="0" applyFont="1" applyFill="1" applyBorder="1" applyAlignment="1">
      <alignment horizontal="center" vertical="center" wrapText="1"/>
    </xf>
    <xf numFmtId="0" fontId="31" fillId="49" borderId="111" xfId="0" applyFont="1" applyFill="1" applyBorder="1" applyAlignment="1">
      <alignment horizontal="center" vertical="center" wrapText="1"/>
    </xf>
    <xf numFmtId="0" fontId="31" fillId="69" borderId="112" xfId="0" applyFont="1" applyFill="1" applyBorder="1" applyAlignment="1">
      <alignment horizontal="center" vertical="center" wrapText="1"/>
    </xf>
    <xf numFmtId="0" fontId="85" fillId="14" borderId="34" xfId="2" applyFont="1" applyFill="1" applyBorder="1" applyAlignment="1" applyProtection="1">
      <alignment horizontal="center" vertical="center"/>
      <protection locked="0"/>
    </xf>
    <xf numFmtId="0" fontId="85" fillId="14" borderId="48" xfId="2" applyFont="1" applyFill="1" applyBorder="1" applyAlignment="1" applyProtection="1">
      <alignment horizontal="center" vertical="center"/>
      <protection locked="0"/>
    </xf>
    <xf numFmtId="0" fontId="85" fillId="14" borderId="49" xfId="2" applyFont="1" applyFill="1" applyBorder="1" applyAlignment="1" applyProtection="1">
      <alignment horizontal="center" vertical="center"/>
      <protection locked="0"/>
    </xf>
    <xf numFmtId="0" fontId="85" fillId="14" borderId="50" xfId="2" applyFont="1" applyFill="1" applyBorder="1" applyAlignment="1" applyProtection="1">
      <alignment horizontal="center" vertical="center"/>
      <protection locked="0"/>
    </xf>
    <xf numFmtId="0" fontId="85" fillId="14" borderId="57" xfId="2" applyFont="1" applyFill="1" applyBorder="1" applyAlignment="1" applyProtection="1">
      <alignment horizontal="center" vertical="center"/>
      <protection locked="0"/>
    </xf>
    <xf numFmtId="0" fontId="85" fillId="14" borderId="51" xfId="2" applyFont="1" applyFill="1" applyBorder="1" applyAlignment="1" applyProtection="1">
      <alignment horizontal="center" vertical="center"/>
      <protection locked="0"/>
    </xf>
    <xf numFmtId="0" fontId="85" fillId="14" borderId="58" xfId="2" applyFont="1" applyFill="1" applyBorder="1" applyAlignment="1" applyProtection="1">
      <alignment horizontal="center" vertical="center"/>
      <protection locked="0"/>
    </xf>
    <xf numFmtId="0" fontId="85" fillId="14" borderId="221" xfId="2" applyFont="1" applyFill="1" applyBorder="1" applyAlignment="1" applyProtection="1">
      <alignment horizontal="center" vertical="center"/>
      <protection locked="0"/>
    </xf>
    <xf numFmtId="0" fontId="85" fillId="14" borderId="59" xfId="2" applyFont="1" applyFill="1" applyBorder="1" applyAlignment="1" applyProtection="1">
      <alignment horizontal="center" vertical="center"/>
      <protection locked="0"/>
    </xf>
    <xf numFmtId="0" fontId="90" fillId="64" borderId="45" xfId="2" applyFont="1" applyFill="1" applyBorder="1" applyAlignment="1">
      <alignment horizontal="center" vertical="center"/>
    </xf>
    <xf numFmtId="0" fontId="87" fillId="23" borderId="122" xfId="2" applyFont="1" applyFill="1" applyBorder="1" applyAlignment="1">
      <alignment horizontal="center" vertical="center" wrapText="1"/>
    </xf>
    <xf numFmtId="0" fontId="87" fillId="23" borderId="112" xfId="2" applyFont="1" applyFill="1" applyBorder="1" applyAlignment="1">
      <alignment horizontal="center" vertical="center" wrapText="1"/>
    </xf>
    <xf numFmtId="0" fontId="54" fillId="74" borderId="137" xfId="2" applyFont="1" applyFill="1" applyBorder="1" applyAlignment="1" applyProtection="1">
      <alignment horizontal="center" vertical="center"/>
      <protection locked="0"/>
    </xf>
    <xf numFmtId="0" fontId="54" fillId="74" borderId="35" xfId="2" applyFont="1" applyFill="1" applyBorder="1" applyAlignment="1" applyProtection="1">
      <alignment horizontal="center" vertical="center"/>
      <protection locked="0"/>
    </xf>
    <xf numFmtId="0" fontId="54" fillId="74" borderId="72" xfId="2" applyFont="1" applyFill="1" applyBorder="1" applyAlignment="1" applyProtection="1">
      <alignment horizontal="center" vertical="center"/>
      <protection locked="0"/>
    </xf>
    <xf numFmtId="0" fontId="54" fillId="74" borderId="67" xfId="2" applyFont="1" applyFill="1" applyBorder="1" applyAlignment="1" applyProtection="1">
      <alignment horizontal="center" vertical="center"/>
      <protection locked="0"/>
    </xf>
    <xf numFmtId="0" fontId="91" fillId="14" borderId="70" xfId="2" applyFont="1" applyFill="1" applyBorder="1" applyAlignment="1" applyProtection="1">
      <alignment horizontal="center" vertical="center"/>
      <protection locked="0"/>
    </xf>
    <xf numFmtId="0" fontId="91" fillId="14" borderId="56" xfId="2" applyFont="1" applyFill="1" applyBorder="1" applyAlignment="1" applyProtection="1">
      <alignment horizontal="center" vertical="center"/>
      <protection locked="0"/>
    </xf>
    <xf numFmtId="0" fontId="91" fillId="14" borderId="46" xfId="2" applyFont="1" applyFill="1" applyBorder="1" applyAlignment="1" applyProtection="1">
      <alignment horizontal="center" vertical="center"/>
      <protection locked="0"/>
    </xf>
    <xf numFmtId="0" fontId="91" fillId="14" borderId="47" xfId="2" applyFont="1" applyFill="1" applyBorder="1" applyAlignment="1" applyProtection="1">
      <alignment horizontal="center" vertical="center"/>
      <protection locked="0"/>
    </xf>
    <xf numFmtId="0" fontId="92" fillId="66" borderId="80" xfId="2" applyFont="1" applyFill="1" applyBorder="1" applyAlignment="1" applyProtection="1">
      <alignment horizontal="center" vertical="center"/>
      <protection locked="0"/>
    </xf>
    <xf numFmtId="0" fontId="92" fillId="66" borderId="232" xfId="2" applyFont="1" applyFill="1" applyBorder="1" applyAlignment="1" applyProtection="1">
      <alignment horizontal="center" vertical="center"/>
      <protection locked="0"/>
    </xf>
    <xf numFmtId="0" fontId="92" fillId="66" borderId="96" xfId="2" applyFont="1" applyFill="1" applyBorder="1" applyAlignment="1" applyProtection="1">
      <alignment horizontal="center" vertical="center"/>
      <protection locked="0"/>
    </xf>
    <xf numFmtId="0" fontId="92" fillId="66" borderId="54" xfId="2" applyFont="1" applyFill="1" applyBorder="1" applyAlignment="1" applyProtection="1">
      <alignment horizontal="center" vertical="center"/>
      <protection locked="0"/>
    </xf>
    <xf numFmtId="0" fontId="92" fillId="66" borderId="50" xfId="2" applyFont="1" applyFill="1" applyBorder="1" applyAlignment="1" applyProtection="1">
      <alignment horizontal="center" vertical="center"/>
      <protection locked="0"/>
    </xf>
    <xf numFmtId="0" fontId="92" fillId="66" borderId="61" xfId="2" applyFont="1" applyFill="1" applyBorder="1" applyAlignment="1" applyProtection="1">
      <alignment horizontal="center" vertical="center"/>
      <protection locked="0"/>
    </xf>
    <xf numFmtId="0" fontId="92" fillId="66" borderId="57" xfId="2" applyFont="1" applyFill="1" applyBorder="1" applyAlignment="1" applyProtection="1">
      <alignment horizontal="center" vertical="center"/>
      <protection locked="0"/>
    </xf>
    <xf numFmtId="0" fontId="92" fillId="66" borderId="51" xfId="2" applyFont="1" applyFill="1" applyBorder="1" applyAlignment="1" applyProtection="1">
      <alignment horizontal="center" vertical="center"/>
      <protection locked="0"/>
    </xf>
    <xf numFmtId="0" fontId="93" fillId="0" borderId="0" xfId="2" applyFont="1" applyAlignment="1">
      <alignment horizontal="center" vertical="center"/>
    </xf>
    <xf numFmtId="0" fontId="42" fillId="0" borderId="34" xfId="2" applyFont="1" applyBorder="1" applyAlignment="1">
      <alignment horizontal="left" vertical="center"/>
    </xf>
    <xf numFmtId="0" fontId="85" fillId="14" borderId="64" xfId="2" applyFont="1" applyFill="1" applyBorder="1" applyAlignment="1" applyProtection="1">
      <alignment horizontal="center" vertical="center"/>
      <protection locked="0"/>
    </xf>
    <xf numFmtId="0" fontId="85" fillId="14" borderId="61" xfId="2" applyFont="1" applyFill="1" applyBorder="1" applyAlignment="1" applyProtection="1">
      <alignment horizontal="center" vertical="center"/>
      <protection locked="0"/>
    </xf>
    <xf numFmtId="0" fontId="88" fillId="9" borderId="55" xfId="2" applyFont="1" applyFill="1" applyBorder="1" applyAlignment="1">
      <alignment horizontal="center" vertical="center"/>
    </xf>
    <xf numFmtId="0" fontId="54" fillId="74" borderId="36" xfId="2" applyFont="1" applyFill="1" applyBorder="1" applyAlignment="1" applyProtection="1">
      <alignment horizontal="center" vertical="center"/>
      <protection locked="0"/>
    </xf>
    <xf numFmtId="0" fontId="54" fillId="74" borderId="37" xfId="2" applyFont="1" applyFill="1" applyBorder="1" applyAlignment="1" applyProtection="1">
      <alignment horizontal="center" vertical="center"/>
      <protection locked="0"/>
    </xf>
    <xf numFmtId="0" fontId="54" fillId="74" borderId="38" xfId="2" applyFont="1" applyFill="1" applyBorder="1" applyAlignment="1" applyProtection="1">
      <alignment horizontal="center" vertical="center"/>
      <protection locked="0"/>
    </xf>
    <xf numFmtId="0" fontId="25" fillId="0" borderId="0" xfId="2" applyBorder="1"/>
    <xf numFmtId="0" fontId="39" fillId="0" borderId="75" xfId="2" applyFont="1" applyFill="1" applyBorder="1" applyAlignment="1">
      <alignment horizontal="center"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center" vertical="center"/>
    </xf>
    <xf numFmtId="0" fontId="42" fillId="14" borderId="140" xfId="2" applyFont="1" applyFill="1" applyBorder="1" applyAlignment="1">
      <alignment horizontal="left" vertical="center"/>
    </xf>
    <xf numFmtId="0" fontId="42" fillId="14" borderId="194" xfId="2" applyFont="1" applyFill="1" applyBorder="1" applyAlignment="1">
      <alignment horizontal="left" vertical="center"/>
    </xf>
    <xf numFmtId="0" fontId="42" fillId="14" borderId="232" xfId="2" applyFont="1" applyFill="1" applyBorder="1" applyAlignment="1">
      <alignment horizontal="left" vertical="center"/>
    </xf>
    <xf numFmtId="0" fontId="42" fillId="0" borderId="34" xfId="2" applyFont="1" applyBorder="1" applyAlignment="1">
      <alignment horizontal="center" vertical="center"/>
    </xf>
    <xf numFmtId="0" fontId="42" fillId="14" borderId="34" xfId="2" applyFont="1" applyFill="1" applyBorder="1" applyAlignment="1">
      <alignment horizontal="center" vertical="center"/>
    </xf>
    <xf numFmtId="0" fontId="95" fillId="14" borderId="106" xfId="2" applyFont="1" applyFill="1" applyBorder="1" applyAlignment="1">
      <alignment horizontal="left" vertical="center"/>
    </xf>
    <xf numFmtId="0" fontId="96" fillId="9" borderId="102" xfId="2" applyFont="1" applyFill="1" applyBorder="1" applyAlignment="1">
      <alignment horizontal="center" vertical="center"/>
    </xf>
    <xf numFmtId="0" fontId="96" fillId="9" borderId="110" xfId="2" applyFont="1" applyFill="1" applyBorder="1" applyAlignment="1">
      <alignment horizontal="center" vertical="center"/>
    </xf>
    <xf numFmtId="0" fontId="96" fillId="9" borderId="45" xfId="2" applyFont="1" applyFill="1" applyBorder="1" applyAlignment="1">
      <alignment horizontal="center" vertical="center"/>
    </xf>
    <xf numFmtId="0" fontId="90" fillId="65" borderId="63" xfId="2" applyFont="1" applyFill="1" applyBorder="1" applyAlignment="1">
      <alignment horizontal="center" vertical="center"/>
    </xf>
    <xf numFmtId="0" fontId="90" fillId="64" borderId="36" xfId="2" applyFont="1" applyFill="1" applyBorder="1" applyAlignment="1">
      <alignment horizontal="center" vertical="center"/>
    </xf>
  </cellXfs>
  <cellStyles count="3">
    <cellStyle name="Normal" xfId="0" builtinId="0"/>
    <cellStyle name="Normal 2" xfId="2" xr:uid="{F2D815EC-0B5C-4DB7-994B-E332FD4A4F0F}"/>
    <cellStyle name="Pourcentage" xfId="1" builtinId="5"/>
  </cellStyles>
  <dxfs count="435"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DAF1F3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24994659260841701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rgb="FFDAF1F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6" tint="0.3999450666829432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 val="0"/>
      </font>
      <fill>
        <patternFill>
          <bgColor theme="7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ill>
        <patternFill patternType="solid">
          <fgColor rgb="FFFF0000"/>
          <bgColor rgb="FFFF0000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>
          <bgColor rgb="FF66FF33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colors>
    <mruColors>
      <color rgb="FFE6EEEE"/>
      <color rgb="FFFFCCFF"/>
      <color rgb="FFE1C1D1"/>
      <color rgb="FFFFFFFF"/>
      <color rgb="FFCCD6E6"/>
      <color rgb="FFC4D7EE"/>
      <color rgb="FFE6EAF0"/>
      <color rgb="FF66FF33"/>
      <color rgb="FFDAF1F3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r>
              <a:rPr lang="fr-FR" b="0">
                <a:solidFill>
                  <a:srgbClr val="000000"/>
                </a:solidFill>
                <a:latin typeface="+mn-lt"/>
              </a:rPr>
              <a:t>Votes exprimés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92D050"/>
            </a:solidFill>
            <a:ln cmpd="sng">
              <a:solidFill>
                <a:srgbClr val="92D050"/>
              </a:solidFill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D9E7FD"/>
              </a:solidFill>
              <a:ln cmpd="sng">
                <a:solidFill>
                  <a:srgbClr val="D9E7FD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D760-4393-B926-AF1160C079E1}"/>
              </c:ext>
            </c:extLst>
          </c:dPt>
          <c:dPt>
            <c:idx val="1"/>
            <c:invertIfNegative val="1"/>
            <c:bubble3D val="0"/>
            <c:spPr>
              <a:solidFill>
                <a:srgbClr val="FBDAD7"/>
              </a:solidFill>
              <a:ln cmpd="sng">
                <a:solidFill>
                  <a:srgbClr val="FBDAD7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D760-4393-B926-AF1160C079E1}"/>
              </c:ext>
            </c:extLst>
          </c:dPt>
          <c:dPt>
            <c:idx val="2"/>
            <c:invertIfNegative val="1"/>
            <c:bubble3D val="0"/>
            <c:spPr>
              <a:solidFill>
                <a:srgbClr val="FEF2CD"/>
              </a:solidFill>
              <a:ln cmpd="sng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D760-4393-B926-AF1160C079E1}"/>
              </c:ext>
            </c:extLst>
          </c:dPt>
          <c:dPt>
            <c:idx val="3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D760-4393-B926-AF1160C079E1}"/>
              </c:ext>
            </c:extLst>
          </c:dPt>
          <c:dPt>
            <c:idx val="4"/>
            <c:invertIfNegative val="1"/>
            <c:bubble3D val="0"/>
            <c:spPr>
              <a:solidFill>
                <a:srgbClr val="FFE1CC"/>
              </a:solidFill>
              <a:ln cmpd="sng">
                <a:solidFill>
                  <a:srgbClr val="FFE1CC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D760-4393-B926-AF1160C079E1}"/>
              </c:ext>
            </c:extLst>
          </c:dPt>
          <c:dPt>
            <c:idx val="5"/>
            <c:invertIfNegative val="1"/>
            <c:bubble3D val="0"/>
            <c:spPr>
              <a:solidFill>
                <a:srgbClr val="B3CEFB"/>
              </a:solidFill>
              <a:ln cmpd="sng">
                <a:solidFill>
                  <a:srgbClr val="B3CEFB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D760-4393-B926-AF1160C079E1}"/>
              </c:ext>
            </c:extLst>
          </c:dPt>
          <c:dPt>
            <c:idx val="6"/>
            <c:invertIfNegative val="1"/>
            <c:bubble3D val="0"/>
            <c:spPr>
              <a:solidFill>
                <a:srgbClr val="F7B4AE"/>
              </a:solidFill>
              <a:ln cmpd="sng">
                <a:solidFill>
                  <a:srgbClr val="F7B4AE"/>
                </a:solidFill>
              </a:ln>
            </c:spPr>
            <c:extLst>
              <c:ext xmlns:c16="http://schemas.microsoft.com/office/drawing/2014/chart" uri="{C3380CC4-5D6E-409C-BE32-E72D297353CC}">
                <c16:uniqueId val="{0000000C-9D69-473A-8EC0-98BCBEC8387C}"/>
              </c:ext>
            </c:extLst>
          </c:dPt>
          <c:dPt>
            <c:idx val="7"/>
            <c:invertIfNegative val="1"/>
            <c:bubble3D val="0"/>
            <c:spPr>
              <a:solidFill>
                <a:srgbClr val="F28E86"/>
              </a:solidFill>
              <a:ln cmpd="sng">
                <a:solidFill>
                  <a:srgbClr val="F28E8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9D69-473A-8EC0-98BCBEC8387C}"/>
              </c:ext>
            </c:extLst>
          </c:dPt>
          <c:dPt>
            <c:idx val="8"/>
            <c:invertIfNegative val="1"/>
            <c:bubble3D val="0"/>
            <c:spPr>
              <a:solidFill>
                <a:srgbClr val="C22114"/>
              </a:solidFill>
              <a:ln cmpd="sng">
                <a:solidFill>
                  <a:srgbClr val="C22114"/>
                </a:solidFill>
              </a:ln>
            </c:spPr>
            <c:extLst>
              <c:ext xmlns:c16="http://schemas.microsoft.com/office/drawing/2014/chart" uri="{C3380CC4-5D6E-409C-BE32-E72D297353CC}">
                <c16:uniqueId val="{0000000E-9D69-473A-8EC0-98BCBEC8387C}"/>
              </c:ext>
            </c:extLst>
          </c:dPt>
          <c:dPt>
            <c:idx val="9"/>
            <c:invertIfNegative val="1"/>
            <c:bubble3D val="0"/>
            <c:spPr>
              <a:solidFill>
                <a:srgbClr val="81160E"/>
              </a:solidFill>
              <a:ln cmpd="sng">
                <a:solidFill>
                  <a:srgbClr val="81160E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9D69-473A-8EC0-98BCBEC8387C}"/>
              </c:ext>
            </c:extLst>
          </c:dPt>
          <c:dPt>
            <c:idx val="10"/>
            <c:invertIfNegative val="1"/>
            <c:bubble3D val="0"/>
            <c:spPr>
              <a:solidFill>
                <a:srgbClr val="FEF2CD"/>
              </a:solidFill>
              <a:ln cmpd="sng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14-AC5C-4A2A-BFCA-CB41D856AAFC}"/>
              </c:ext>
            </c:extLst>
          </c:dPt>
          <c:dPt>
            <c:idx val="11"/>
            <c:invertIfNegative val="1"/>
            <c:bubble3D val="0"/>
            <c:spPr>
              <a:solidFill>
                <a:srgbClr val="FDE49B"/>
              </a:solidFill>
              <a:ln cmpd="sng">
                <a:solidFill>
                  <a:srgbClr val="FDE49B"/>
                </a:solidFill>
              </a:ln>
            </c:spPr>
            <c:extLst>
              <c:ext xmlns:c16="http://schemas.microsoft.com/office/drawing/2014/chart" uri="{C3380CC4-5D6E-409C-BE32-E72D297353CC}">
                <c16:uniqueId val="{00000016-C514-4C24-B867-D570729FAC98}"/>
              </c:ext>
            </c:extLst>
          </c:dPt>
          <c:dPt>
            <c:idx val="12"/>
            <c:invertIfNegative val="1"/>
            <c:bubble3D val="0"/>
            <c:spPr>
              <a:solidFill>
                <a:srgbClr val="FDD868"/>
              </a:solidFill>
              <a:ln cmpd="sng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C514-4C24-B867-D570729FAC98}"/>
              </c:ext>
            </c:extLst>
          </c:dPt>
          <c:dPt>
            <c:idx val="13"/>
            <c:invertIfNegative val="1"/>
            <c:bubble3D val="0"/>
            <c:spPr>
              <a:solidFill>
                <a:srgbClr val="BC8E03"/>
              </a:solidFill>
              <a:ln cmpd="sng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8-C514-4C24-B867-D570729FAC98}"/>
              </c:ext>
            </c:extLst>
          </c:dPt>
          <c:dPt>
            <c:idx val="14"/>
            <c:invertIfNegative val="1"/>
            <c:bubble3D val="0"/>
            <c:spPr>
              <a:solidFill>
                <a:srgbClr val="7D5F02"/>
              </a:solidFill>
              <a:ln cmpd="sng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C514-4C24-B867-D570729FAC98}"/>
              </c:ext>
            </c:extLst>
          </c:dPt>
          <c:dPt>
            <c:idx val="15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A-C514-4C24-B867-D570729FAC98}"/>
              </c:ext>
            </c:extLst>
          </c:dPt>
          <c:dPt>
            <c:idx val="16"/>
            <c:invertIfNegative val="1"/>
            <c:bubble3D val="0"/>
            <c:spPr>
              <a:solidFill>
                <a:srgbClr val="A6E3B7"/>
              </a:solidFill>
              <a:ln cmpd="sng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C514-4C24-B867-D570729FAC98}"/>
              </c:ext>
            </c:extLst>
          </c:dPt>
          <c:dPt>
            <c:idx val="17"/>
            <c:invertIfNegative val="1"/>
            <c:bubble3D val="0"/>
            <c:spPr>
              <a:solidFill>
                <a:srgbClr val="7AD694"/>
              </a:solidFill>
              <a:ln cmpd="sng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1C-C514-4C24-B867-D570729FAC98}"/>
              </c:ext>
            </c:extLst>
          </c:dPt>
          <c:dPt>
            <c:idx val="18"/>
            <c:invertIfNegative val="1"/>
            <c:bubble3D val="0"/>
            <c:spPr>
              <a:solidFill>
                <a:srgbClr val="277E40"/>
              </a:solidFill>
              <a:ln cmpd="sng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C514-4C24-B867-D570729FAC98}"/>
              </c:ext>
            </c:extLst>
          </c:dPt>
          <c:dPt>
            <c:idx val="19"/>
            <c:invertIfNegative val="1"/>
            <c:bubble3D val="0"/>
            <c:spPr>
              <a:solidFill>
                <a:srgbClr val="1A5529"/>
              </a:solidFill>
              <a:ln cmpd="sng">
                <a:solidFill>
                  <a:srgbClr val="1A5529"/>
                </a:solidFill>
              </a:ln>
            </c:spPr>
            <c:extLst>
              <c:ext xmlns:c16="http://schemas.microsoft.com/office/drawing/2014/chart" uri="{C3380CC4-5D6E-409C-BE32-E72D297353CC}">
                <c16:uniqueId val="{0000001E-C514-4C24-B867-D570729FAC9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Synthèse!$L$2:$R$2</c:f>
              <c:strCache>
                <c:ptCount val="7"/>
                <c:pt idx="0">
                  <c:v>Candidat(e)
1</c:v>
                </c:pt>
                <c:pt idx="1">
                  <c:v>Candidat(e)
2</c:v>
                </c:pt>
                <c:pt idx="2">
                  <c:v>Candidat(e)
3</c:v>
                </c:pt>
                <c:pt idx="3">
                  <c:v>Candidat(e)
4</c:v>
                </c:pt>
                <c:pt idx="4">
                  <c:v>Candidat(e)
5</c:v>
                </c:pt>
                <c:pt idx="5">
                  <c:v>Candidat(e)
6</c:v>
                </c:pt>
                <c:pt idx="6">
                  <c:v>Candidat(e)
7</c:v>
                </c:pt>
              </c:strCache>
            </c:strRef>
          </c:cat>
          <c:val>
            <c:numRef>
              <c:f>Synthèse!$L$16:$R$16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92D050"/>
                    </a:solidFill>
                  </a:ln>
                </c14:spPr>
              </c14:invertSolidFillFmt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Synthèse!#REF!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C-D760-4393-B926-AF1160C07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.00%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par bureau durant la journée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6483239154321079E-2"/>
          <c:y val="6.5015479876160992E-2"/>
          <c:w val="0.83989080979742214"/>
          <c:h val="0.84373223470905145"/>
        </c:manualLayout>
      </c:layout>
      <c:lineChart>
        <c:grouping val="standard"/>
        <c:varyColors val="1"/>
        <c:ser>
          <c:idx val="12"/>
          <c:order val="0"/>
          <c:tx>
            <c:v>Bureau 12</c:v>
          </c:tx>
          <c:spPr>
            <a:ln w="25400" cap="rnd" cmpd="sng" algn="ctr">
              <a:solidFill>
                <a:srgbClr val="46BDC6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horaire'!$R$38:$R$50</c15:sqref>
                  </c15:fullRef>
                </c:ext>
              </c:extLst>
              <c:f>'Participation horaire'!$R$38:$R$48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1F1-4E6F-A0AF-11BFA1BD7EBD}"/>
            </c:ext>
          </c:extLst>
        </c:ser>
        <c:ser>
          <c:idx val="11"/>
          <c:order val="1"/>
          <c:tx>
            <c:v>Bureau 11</c:v>
          </c:tx>
          <c:spPr>
            <a:ln w="25400" cap="rnd" cmpd="sng" algn="ctr">
              <a:solidFill>
                <a:srgbClr val="FF6D01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horaire'!$Q$38:$Q$50</c15:sqref>
                  </c15:fullRef>
                </c:ext>
              </c:extLst>
              <c:f>'Participation horaire'!$Q$38:$Q$48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1F1-4E6F-A0AF-11BFA1BD7EBD}"/>
            </c:ext>
          </c:extLst>
        </c:ser>
        <c:ser>
          <c:idx val="10"/>
          <c:order val="2"/>
          <c:tx>
            <c:v>Bureau 10</c:v>
          </c:tx>
          <c:spPr>
            <a:ln w="25400" cap="rnd" cmpd="sng" algn="ctr">
              <a:solidFill>
                <a:srgbClr val="34A85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horaire'!$P$38:$P$50</c15:sqref>
                  </c15:fullRef>
                </c:ext>
              </c:extLst>
              <c:f>'Participation horaire'!$P$38:$P$48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1F1-4E6F-A0AF-11BFA1BD7EBD}"/>
            </c:ext>
          </c:extLst>
        </c:ser>
        <c:ser>
          <c:idx val="9"/>
          <c:order val="3"/>
          <c:tx>
            <c:v>Bureau 9</c:v>
          </c:tx>
          <c:spPr>
            <a:ln w="25400" cap="rnd" cmpd="sng" algn="ctr">
              <a:solidFill>
                <a:srgbClr val="FBBC0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horaire'!$O$38:$O$50</c15:sqref>
                  </c15:fullRef>
                </c:ext>
              </c:extLst>
              <c:f>'Participation horaire'!$O$38:$O$48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1F1-4E6F-A0AF-11BFA1BD7EBD}"/>
            </c:ext>
          </c:extLst>
        </c:ser>
        <c:ser>
          <c:idx val="8"/>
          <c:order val="4"/>
          <c:tx>
            <c:v>Bureau 8</c:v>
          </c:tx>
          <c:spPr>
            <a:ln w="25400" cap="rnd" cmpd="sng" algn="ctr">
              <a:solidFill>
                <a:srgbClr val="EA4335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horaire'!$N$38:$N$50</c15:sqref>
                  </c15:fullRef>
                </c:ext>
              </c:extLst>
              <c:f>'Participation horaire'!$N$38:$N$48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1F1-4E6F-A0AF-11BFA1BD7EBD}"/>
            </c:ext>
          </c:extLst>
        </c:ser>
        <c:ser>
          <c:idx val="7"/>
          <c:order val="5"/>
          <c:tx>
            <c:v>Bureau 7</c:v>
          </c:tx>
          <c:spPr>
            <a:ln w="25400" cap="rnd" cmpd="sng" algn="ctr">
              <a:solidFill>
                <a:srgbClr val="4285F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horaire'!$M$38:$M$50</c15:sqref>
                  </c15:fullRef>
                </c:ext>
              </c:extLst>
              <c:f>'Participation horaire'!$M$38:$M$48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1F1-4E6F-A0AF-11BFA1BD7EBD}"/>
            </c:ext>
          </c:extLst>
        </c:ser>
        <c:ser>
          <c:idx val="6"/>
          <c:order val="6"/>
          <c:tx>
            <c:v>Bureau 6</c:v>
          </c:tx>
          <c:spPr>
            <a:ln w="25400" cap="rnd" cmpd="sng" algn="ctr">
              <a:solidFill>
                <a:srgbClr val="46BDC6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horaire'!$L$38:$L$50</c15:sqref>
                  </c15:fullRef>
                </c:ext>
              </c:extLst>
              <c:f>'Participation horaire'!$L$38:$L$48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1F1-4E6F-A0AF-11BFA1BD7EBD}"/>
            </c:ext>
          </c:extLst>
        </c:ser>
        <c:ser>
          <c:idx val="5"/>
          <c:order val="7"/>
          <c:tx>
            <c:v>Bureau 5</c:v>
          </c:tx>
          <c:spPr>
            <a:ln w="25400" cap="rnd" cmpd="sng" algn="ctr">
              <a:solidFill>
                <a:srgbClr val="FF6D01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horaire'!$K$38:$K$50</c15:sqref>
                  </c15:fullRef>
                </c:ext>
              </c:extLst>
              <c:f>'Participation horaire'!$K$38:$K$48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F1-4E6F-A0AF-11BFA1BD7EBD}"/>
            </c:ext>
          </c:extLst>
        </c:ser>
        <c:ser>
          <c:idx val="4"/>
          <c:order val="8"/>
          <c:tx>
            <c:v>Bureau 4</c:v>
          </c:tx>
          <c:spPr>
            <a:ln w="25400" cap="rnd" cmpd="sng" algn="ctr">
              <a:solidFill>
                <a:srgbClr val="34A85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horaire'!$J$38:$J$50</c15:sqref>
                  </c15:fullRef>
                </c:ext>
              </c:extLst>
              <c:f>'Participation horaire'!$J$38:$J$48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F1-4E6F-A0AF-11BFA1BD7EBD}"/>
            </c:ext>
          </c:extLst>
        </c:ser>
        <c:ser>
          <c:idx val="3"/>
          <c:order val="9"/>
          <c:tx>
            <c:v>Bureau 3</c:v>
          </c:tx>
          <c:spPr>
            <a:ln w="25400" cap="rnd" cmpd="sng" algn="ctr">
              <a:solidFill>
                <a:srgbClr val="FBBC0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horaire'!$I$38:$I$50</c15:sqref>
                  </c15:fullRef>
                </c:ext>
              </c:extLst>
              <c:f>'Participation horaire'!$I$38:$I$48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F1-4E6F-A0AF-11BFA1BD7EBD}"/>
            </c:ext>
          </c:extLst>
        </c:ser>
        <c:ser>
          <c:idx val="2"/>
          <c:order val="10"/>
          <c:tx>
            <c:v>Bureau 2</c:v>
          </c:tx>
          <c:spPr>
            <a:ln w="25400" cap="rnd" cmpd="sng" algn="ctr">
              <a:solidFill>
                <a:srgbClr val="EA4335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horaire'!$H$38:$H$50</c15:sqref>
                  </c15:fullRef>
                </c:ext>
              </c:extLst>
              <c:f>'Participation horaire'!$H$38:$H$48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F1-4E6F-A0AF-11BFA1BD7EBD}"/>
            </c:ext>
          </c:extLst>
        </c:ser>
        <c:ser>
          <c:idx val="1"/>
          <c:order val="11"/>
          <c:tx>
            <c:v>Bureau 1</c:v>
          </c:tx>
          <c:spPr>
            <a:ln w="25400" cap="rnd" cmpd="sng" algn="ctr">
              <a:solidFill>
                <a:srgbClr val="4285F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horaire'!$G$38:$G$50</c15:sqref>
                  </c15:fullRef>
                </c:ext>
              </c:extLst>
              <c:f>'Participation horaire'!$G$38:$G$48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F1-4E6F-A0AF-11BFA1BD7EBD}"/>
            </c:ext>
          </c:extLst>
        </c:ser>
        <c:ser>
          <c:idx val="0"/>
          <c:order val="12"/>
          <c:tx>
            <c:v>Total</c:v>
          </c:tx>
          <c:spPr>
            <a:ln w="317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7"/>
            <c:spPr>
              <a:solidFill>
                <a:srgbClr val="000000"/>
              </a:solidFill>
              <a:ln w="317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horaire'!$S$38:$S$50</c15:sqref>
                  </c15:fullRef>
                </c:ext>
              </c:extLst>
              <c:f>'Participation horaire'!$S$38:$S$48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F1-4E6F-A0AF-11BFA1BD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1"/>
    <c:extLst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b="0"/>
              <a:t>Total des votes exprimés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92D050"/>
            </a:solidFill>
            <a:ln cmpd="sng">
              <a:solidFill>
                <a:srgbClr val="92D050"/>
              </a:solidFill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D9E7FD"/>
              </a:solidFill>
              <a:ln cmpd="sng">
                <a:solidFill>
                  <a:srgbClr val="D9E7FD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D67F-4B32-9431-FF4402D00F1A}"/>
              </c:ext>
            </c:extLst>
          </c:dPt>
          <c:dPt>
            <c:idx val="1"/>
            <c:invertIfNegative val="1"/>
            <c:bubble3D val="0"/>
            <c:spPr>
              <a:solidFill>
                <a:srgbClr val="FBDAD7"/>
              </a:solidFill>
              <a:ln cmpd="sng">
                <a:solidFill>
                  <a:srgbClr val="FBDAD7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D67F-4B32-9431-FF4402D00F1A}"/>
              </c:ext>
            </c:extLst>
          </c:dPt>
          <c:dPt>
            <c:idx val="2"/>
            <c:invertIfNegative val="1"/>
            <c:bubble3D val="0"/>
            <c:spPr>
              <a:solidFill>
                <a:srgbClr val="FEF2CD"/>
              </a:solidFill>
              <a:ln cmpd="sng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D67F-4B32-9431-FF4402D00F1A}"/>
              </c:ext>
            </c:extLst>
          </c:dPt>
          <c:dPt>
            <c:idx val="3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D67F-4B32-9431-FF4402D00F1A}"/>
              </c:ext>
            </c:extLst>
          </c:dPt>
          <c:dPt>
            <c:idx val="4"/>
            <c:invertIfNegative val="1"/>
            <c:bubble3D val="0"/>
            <c:spPr>
              <a:solidFill>
                <a:srgbClr val="FFE1CC"/>
              </a:solidFill>
              <a:ln cmpd="sng">
                <a:solidFill>
                  <a:srgbClr val="FFE1CC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D67F-4B32-9431-FF4402D00F1A}"/>
              </c:ext>
            </c:extLst>
          </c:dPt>
          <c:dPt>
            <c:idx val="5"/>
            <c:invertIfNegative val="1"/>
            <c:bubble3D val="0"/>
            <c:spPr>
              <a:solidFill>
                <a:srgbClr val="B3CEFB"/>
              </a:solidFill>
              <a:ln cmpd="sng">
                <a:solidFill>
                  <a:srgbClr val="B3CEFB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D67F-4B32-9431-FF4402D00F1A}"/>
              </c:ext>
            </c:extLst>
          </c:dPt>
          <c:dPt>
            <c:idx val="6"/>
            <c:invertIfNegative val="1"/>
            <c:bubble3D val="0"/>
            <c:spPr>
              <a:solidFill>
                <a:srgbClr val="F7B4AE"/>
              </a:solidFill>
              <a:ln cmpd="sng">
                <a:solidFill>
                  <a:srgbClr val="F7B4AE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D67F-4B32-9431-FF4402D00F1A}"/>
              </c:ext>
            </c:extLst>
          </c:dPt>
          <c:dPt>
            <c:idx val="7"/>
            <c:invertIfNegative val="1"/>
            <c:bubble3D val="0"/>
            <c:spPr>
              <a:solidFill>
                <a:srgbClr val="F28E86"/>
              </a:solidFill>
              <a:ln cmpd="sng">
                <a:solidFill>
                  <a:srgbClr val="F28E8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D67F-4B32-9431-FF4402D00F1A}"/>
              </c:ext>
            </c:extLst>
          </c:dPt>
          <c:dPt>
            <c:idx val="8"/>
            <c:invertIfNegative val="1"/>
            <c:bubble3D val="0"/>
            <c:spPr>
              <a:solidFill>
                <a:srgbClr val="C22114"/>
              </a:solidFill>
              <a:ln cmpd="sng">
                <a:solidFill>
                  <a:srgbClr val="C22114"/>
                </a:solidFill>
              </a:ln>
            </c:spPr>
            <c:extLst>
              <c:ext xmlns:c16="http://schemas.microsoft.com/office/drawing/2014/chart" uri="{C3380CC4-5D6E-409C-BE32-E72D297353CC}">
                <c16:uniqueId val="{00000011-D67F-4B32-9431-FF4402D00F1A}"/>
              </c:ext>
            </c:extLst>
          </c:dPt>
          <c:dPt>
            <c:idx val="9"/>
            <c:invertIfNegative val="1"/>
            <c:bubble3D val="0"/>
            <c:spPr>
              <a:solidFill>
                <a:srgbClr val="81160E"/>
              </a:solidFill>
              <a:ln cmpd="sng">
                <a:solidFill>
                  <a:srgbClr val="81160E"/>
                </a:solidFill>
              </a:ln>
            </c:spPr>
            <c:extLst>
              <c:ext xmlns:c16="http://schemas.microsoft.com/office/drawing/2014/chart" uri="{C3380CC4-5D6E-409C-BE32-E72D297353CC}">
                <c16:uniqueId val="{00000013-D67F-4B32-9431-FF4402D00F1A}"/>
              </c:ext>
            </c:extLst>
          </c:dPt>
          <c:dPt>
            <c:idx val="10"/>
            <c:invertIfNegative val="1"/>
            <c:bubble3D val="0"/>
            <c:spPr>
              <a:solidFill>
                <a:srgbClr val="FEF2CD"/>
              </a:solidFill>
              <a:ln cmpd="sng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15-D67F-4B32-9431-FF4402D00F1A}"/>
              </c:ext>
            </c:extLst>
          </c:dPt>
          <c:dPt>
            <c:idx val="11"/>
            <c:invertIfNegative val="1"/>
            <c:bubble3D val="0"/>
            <c:spPr>
              <a:solidFill>
                <a:srgbClr val="FDE49B"/>
              </a:solidFill>
              <a:ln cmpd="sng">
                <a:solidFill>
                  <a:srgbClr val="FDE49B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D67F-4B32-9431-FF4402D00F1A}"/>
              </c:ext>
            </c:extLst>
          </c:dPt>
          <c:dPt>
            <c:idx val="12"/>
            <c:invertIfNegative val="1"/>
            <c:bubble3D val="0"/>
            <c:spPr>
              <a:solidFill>
                <a:srgbClr val="FDD868"/>
              </a:solidFill>
              <a:ln cmpd="sng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D67F-4B32-9431-FF4402D00F1A}"/>
              </c:ext>
            </c:extLst>
          </c:dPt>
          <c:dPt>
            <c:idx val="13"/>
            <c:invertIfNegative val="1"/>
            <c:bubble3D val="0"/>
            <c:spPr>
              <a:solidFill>
                <a:srgbClr val="BC8E03"/>
              </a:solidFill>
              <a:ln cmpd="sng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D67F-4B32-9431-FF4402D00F1A}"/>
              </c:ext>
            </c:extLst>
          </c:dPt>
          <c:dPt>
            <c:idx val="14"/>
            <c:invertIfNegative val="1"/>
            <c:bubble3D val="0"/>
            <c:spPr>
              <a:solidFill>
                <a:srgbClr val="7D5F02"/>
              </a:solidFill>
              <a:ln cmpd="sng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D67F-4B32-9431-FF4402D00F1A}"/>
              </c:ext>
            </c:extLst>
          </c:dPt>
          <c:dPt>
            <c:idx val="15"/>
            <c:invertIfNegative val="1"/>
            <c:bubble3D val="0"/>
            <c:spPr>
              <a:solidFill>
                <a:srgbClr val="D1F1DA"/>
              </a:solidFill>
              <a:ln cmpd="sng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D67F-4B32-9431-FF4402D00F1A}"/>
              </c:ext>
            </c:extLst>
          </c:dPt>
          <c:dPt>
            <c:idx val="16"/>
            <c:invertIfNegative val="1"/>
            <c:bubble3D val="0"/>
            <c:spPr>
              <a:solidFill>
                <a:srgbClr val="A6E3B7"/>
              </a:solidFill>
              <a:ln cmpd="sng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D67F-4B32-9431-FF4402D00F1A}"/>
              </c:ext>
            </c:extLst>
          </c:dPt>
          <c:dPt>
            <c:idx val="17"/>
            <c:invertIfNegative val="1"/>
            <c:bubble3D val="0"/>
            <c:spPr>
              <a:solidFill>
                <a:srgbClr val="7AD694"/>
              </a:solidFill>
              <a:ln cmpd="sng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D67F-4B32-9431-FF4402D00F1A}"/>
              </c:ext>
            </c:extLst>
          </c:dPt>
          <c:dPt>
            <c:idx val="18"/>
            <c:invertIfNegative val="1"/>
            <c:bubble3D val="0"/>
            <c:spPr>
              <a:solidFill>
                <a:srgbClr val="277E40"/>
              </a:solidFill>
              <a:ln cmpd="sng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D67F-4B32-9431-FF4402D00F1A}"/>
              </c:ext>
            </c:extLst>
          </c:dPt>
          <c:dPt>
            <c:idx val="19"/>
            <c:invertIfNegative val="1"/>
            <c:bubble3D val="0"/>
            <c:spPr>
              <a:solidFill>
                <a:srgbClr val="1A5529"/>
              </a:solidFill>
              <a:ln cmpd="sng">
                <a:solidFill>
                  <a:srgbClr val="1A5529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D67F-4B32-9431-FF4402D00F1A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Synthèse!$L$2:$R$2</c:f>
              <c:strCache>
                <c:ptCount val="7"/>
                <c:pt idx="0">
                  <c:v>Candidat(e)
1</c:v>
                </c:pt>
                <c:pt idx="1">
                  <c:v>Candidat(e)
2</c:v>
                </c:pt>
                <c:pt idx="2">
                  <c:v>Candidat(e)
3</c:v>
                </c:pt>
                <c:pt idx="3">
                  <c:v>Candidat(e)
4</c:v>
                </c:pt>
                <c:pt idx="4">
                  <c:v>Candidat(e)
5</c:v>
                </c:pt>
                <c:pt idx="5">
                  <c:v>Candidat(e)
6</c:v>
                </c:pt>
                <c:pt idx="6">
                  <c:v>Candidat(e)
7</c:v>
                </c:pt>
              </c:strCache>
            </c:strRef>
          </c:cat>
          <c:val>
            <c:numRef>
              <c:f>Synthèse!$L$16:$R$16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92D050"/>
                    </a:solidFill>
                  </a:ln>
                </c14:spPr>
              </c14:invertSolidFillFmt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Synthèse!#REF!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28-D67F-4B32-9431-FF4402D00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0.00%" sourceLinked="0"/>
        <c:majorTickMark val="none"/>
        <c:minorTickMark val="none"/>
        <c:tickLblPos val="nextTo"/>
        <c:spPr>
          <a:ln/>
        </c:spPr>
        <c:crossAx val="2046569049"/>
        <c:crosses val="autoZero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txPr>
    <a:bodyPr/>
    <a:lstStyle/>
    <a:p>
      <a:pPr>
        <a:defRPr>
          <a:latin typeface="Marianne" panose="02000000000000000000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b="0"/>
              <a:t>Participation par bureau durant la journée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6483239154321079E-2"/>
          <c:y val="0.10097475533105395"/>
          <c:w val="0.83989080979742214"/>
          <c:h val="0.80777299530896007"/>
        </c:manualLayout>
      </c:layout>
      <c:lineChart>
        <c:grouping val="standard"/>
        <c:varyColors val="1"/>
        <c:ser>
          <c:idx val="12"/>
          <c:order val="0"/>
          <c:tx>
            <c:v>Total</c:v>
          </c:tx>
          <c:spPr>
            <a:ln w="34925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7"/>
            <c:spPr>
              <a:solidFill>
                <a:srgbClr val="000000"/>
              </a:solidFill>
              <a:ln w="317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horaire'!$S$38:$S$50</c15:sqref>
                  </c15:fullRef>
                </c:ext>
              </c:extLst>
              <c:f>'Participation horaire'!$S$38:$S$48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53-453C-8FEA-EA6F406B7B39}"/>
            </c:ext>
          </c:extLst>
        </c:ser>
        <c:ser>
          <c:idx val="11"/>
          <c:order val="1"/>
          <c:tx>
            <c:v>Bureau 12</c:v>
          </c:tx>
          <c:spPr>
            <a:ln w="19050" cap="rnd" cmpd="sng" algn="ctr">
              <a:solidFill>
                <a:srgbClr val="46BDC6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horaire'!$R$38:$R$50</c15:sqref>
                  </c15:fullRef>
                </c:ext>
              </c:extLst>
              <c:f>'Participation horaire'!$R$38:$R$48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53-453C-8FEA-EA6F406B7B39}"/>
            </c:ext>
          </c:extLst>
        </c:ser>
        <c:ser>
          <c:idx val="10"/>
          <c:order val="2"/>
          <c:tx>
            <c:v>Bureau 11</c:v>
          </c:tx>
          <c:spPr>
            <a:ln w="19050" cap="rnd" cmpd="sng" algn="ctr">
              <a:solidFill>
                <a:srgbClr val="FF6D01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horaire'!$Q$38:$Q$50</c15:sqref>
                  </c15:fullRef>
                </c:ext>
              </c:extLst>
              <c:f>'Participation horaire'!$Q$38:$Q$48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53-453C-8FEA-EA6F406B7B39}"/>
            </c:ext>
          </c:extLst>
        </c:ser>
        <c:ser>
          <c:idx val="9"/>
          <c:order val="3"/>
          <c:tx>
            <c:v>Bureau 10</c:v>
          </c:tx>
          <c:spPr>
            <a:ln w="19050" cap="rnd" cmpd="sng" algn="ctr">
              <a:solidFill>
                <a:srgbClr val="34A853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horaire'!$P$38:$P$50</c15:sqref>
                  </c15:fullRef>
                </c:ext>
              </c:extLst>
              <c:f>'Participation horaire'!$P$38:$P$48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53-453C-8FEA-EA6F406B7B39}"/>
            </c:ext>
          </c:extLst>
        </c:ser>
        <c:ser>
          <c:idx val="8"/>
          <c:order val="4"/>
          <c:tx>
            <c:v>Bureau 9</c:v>
          </c:tx>
          <c:spPr>
            <a:ln w="19050" cap="rnd" cmpd="sng" algn="ctr">
              <a:solidFill>
                <a:srgbClr val="FBBC04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horaire'!$O$38:$O$50</c15:sqref>
                  </c15:fullRef>
                </c:ext>
              </c:extLst>
              <c:f>'Participation horaire'!$O$38:$O$48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F53-453C-8FEA-EA6F406B7B39}"/>
            </c:ext>
          </c:extLst>
        </c:ser>
        <c:ser>
          <c:idx val="7"/>
          <c:order val="5"/>
          <c:tx>
            <c:v>Bureau 8</c:v>
          </c:tx>
          <c:spPr>
            <a:ln w="19050" cap="rnd" cmpd="sng" algn="ctr">
              <a:solidFill>
                <a:srgbClr val="EA4335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horaire'!$N$38:$N$50</c15:sqref>
                  </c15:fullRef>
                </c:ext>
              </c:extLst>
              <c:f>'Participation horaire'!$N$38:$N$48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F53-453C-8FEA-EA6F406B7B39}"/>
            </c:ext>
          </c:extLst>
        </c:ser>
        <c:ser>
          <c:idx val="6"/>
          <c:order val="6"/>
          <c:tx>
            <c:v>Bureau 7</c:v>
          </c:tx>
          <c:spPr>
            <a:ln w="19050" cap="rnd" cmpd="sng" algn="ctr">
              <a:solidFill>
                <a:srgbClr val="4285F4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horaire'!$M$38:$M$50</c15:sqref>
                  </c15:fullRef>
                </c:ext>
              </c:extLst>
              <c:f>'Participation horaire'!$M$38:$M$48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F53-453C-8FEA-EA6F406B7B39}"/>
            </c:ext>
          </c:extLst>
        </c:ser>
        <c:ser>
          <c:idx val="5"/>
          <c:order val="7"/>
          <c:tx>
            <c:v>Bureau 6</c:v>
          </c:tx>
          <c:spPr>
            <a:ln w="19050" cap="rnd" cmpd="sng" algn="ctr">
              <a:solidFill>
                <a:srgbClr val="46BDC6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horaire'!$L$38:$L$50</c15:sqref>
                  </c15:fullRef>
                </c:ext>
              </c:extLst>
              <c:f>'Participation horaire'!$L$38:$L$48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F53-453C-8FEA-EA6F406B7B39}"/>
            </c:ext>
          </c:extLst>
        </c:ser>
        <c:ser>
          <c:idx val="4"/>
          <c:order val="8"/>
          <c:tx>
            <c:v>Bureau 5</c:v>
          </c:tx>
          <c:spPr>
            <a:ln w="19050" cap="rnd" cmpd="sng" algn="ctr">
              <a:solidFill>
                <a:srgbClr val="FF6D01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horaire'!$K$38:$K$50</c15:sqref>
                  </c15:fullRef>
                </c:ext>
              </c:extLst>
              <c:f>'Participation horaire'!$K$38:$K$48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F53-453C-8FEA-EA6F406B7B39}"/>
            </c:ext>
          </c:extLst>
        </c:ser>
        <c:ser>
          <c:idx val="3"/>
          <c:order val="9"/>
          <c:tx>
            <c:v>Bureau 4</c:v>
          </c:tx>
          <c:spPr>
            <a:ln w="19050" cap="rnd" cmpd="sng" algn="ctr">
              <a:solidFill>
                <a:srgbClr val="34A853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horaire'!$J$38:$J$50</c15:sqref>
                  </c15:fullRef>
                </c:ext>
              </c:extLst>
              <c:f>'Participation horaire'!$J$38:$J$48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F53-453C-8FEA-EA6F406B7B39}"/>
            </c:ext>
          </c:extLst>
        </c:ser>
        <c:ser>
          <c:idx val="2"/>
          <c:order val="10"/>
          <c:tx>
            <c:v>Bureau 3</c:v>
          </c:tx>
          <c:spPr>
            <a:ln w="19050" cap="rnd" cmpd="sng" algn="ctr">
              <a:solidFill>
                <a:srgbClr val="FBBC04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horaire'!$I$38:$I$50</c15:sqref>
                  </c15:fullRef>
                </c:ext>
              </c:extLst>
              <c:f>'Participation horaire'!$I$38:$I$48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F53-453C-8FEA-EA6F406B7B39}"/>
            </c:ext>
          </c:extLst>
        </c:ser>
        <c:ser>
          <c:idx val="1"/>
          <c:order val="11"/>
          <c:tx>
            <c:v>Bureau 2</c:v>
          </c:tx>
          <c:spPr>
            <a:ln w="19050" cap="rnd" cmpd="sng" algn="ctr">
              <a:solidFill>
                <a:srgbClr val="EA4335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horaire'!$H$38:$H$50</c15:sqref>
                  </c15:fullRef>
                </c:ext>
              </c:extLst>
              <c:f>'Participation horaire'!$H$38:$H$48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F53-453C-8FEA-EA6F406B7B39}"/>
            </c:ext>
          </c:extLst>
        </c:ser>
        <c:ser>
          <c:idx val="0"/>
          <c:order val="12"/>
          <c:tx>
            <c:v>Bureau 1</c:v>
          </c:tx>
          <c:spPr>
            <a:ln w="19050" cap="rnd" cmpd="sng" algn="ctr">
              <a:solidFill>
                <a:srgbClr val="4285F4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horaire'!$G$38:$G$50</c15:sqref>
                  </c15:fullRef>
                </c:ext>
              </c:extLst>
              <c:f>'Participation horaire'!$G$38:$G$48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F53-453C-8FEA-EA6F406B7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ln>
            <a:solidFill/>
          </a:ln>
        </c:spPr>
        <c:crossAx val="160015510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1"/>
    <c:extLst/>
  </c:chart>
  <c:spPr>
    <a:solidFill>
      <a:srgbClr val="EFEFEF"/>
    </a:solidFill>
  </c:spPr>
  <c:txPr>
    <a:bodyPr/>
    <a:lstStyle/>
    <a:p>
      <a:pPr>
        <a:defRPr>
          <a:latin typeface="Marianne" panose="02000000000000000000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Exemple!$D$13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CCFC-4E5C-A81B-B89D6E7F77AA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CCFC-4E5C-A81B-B89D6E7F77AA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CCFC-4E5C-A81B-B89D6E7F77AA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CCFC-4E5C-A81B-B89D6E7F77A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CCFC-4E5C-A81B-B89D6E7F77AA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CCFC-4E5C-A81B-B89D6E7F77AA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CCFC-4E5C-A81B-B89D6E7F77AA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CCFC-4E5C-A81B-B89D6E7F77AA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CCFC-4E5C-A81B-B89D6E7F77AA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CCFC-4E5C-A81B-B89D6E7F77AA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CCFC-4E5C-A81B-B89D6E7F77AA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CCFC-4E5C-A81B-B89D6E7F77A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Exemple!$E$2:$P$2</c:f>
              <c:strCache>
                <c:ptCount val="12"/>
                <c:pt idx="0">
                  <c:v>Candidat 1</c:v>
                </c:pt>
                <c:pt idx="1">
                  <c:v>Candidat 2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Exemple!$E$13:$P$13</c:f>
              <c:numCache>
                <c:formatCode>General</c:formatCode>
                <c:ptCount val="12"/>
                <c:pt idx="0">
                  <c:v>3</c:v>
                </c:pt>
                <c:pt idx="1">
                  <c:v>11</c:v>
                </c:pt>
                <c:pt idx="2">
                  <c:v>135</c:v>
                </c:pt>
                <c:pt idx="3">
                  <c:v>166</c:v>
                </c:pt>
                <c:pt idx="4">
                  <c:v>9</c:v>
                </c:pt>
                <c:pt idx="5">
                  <c:v>27</c:v>
                </c:pt>
                <c:pt idx="6">
                  <c:v>37</c:v>
                </c:pt>
                <c:pt idx="7">
                  <c:v>15</c:v>
                </c:pt>
                <c:pt idx="8">
                  <c:v>13</c:v>
                </c:pt>
                <c:pt idx="9">
                  <c:v>13</c:v>
                </c:pt>
                <c:pt idx="10" formatCode="#,##0">
                  <c:v>8</c:v>
                </c:pt>
                <c:pt idx="11" formatCode="#,##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CFC-4E5C-A81B-B89D6E7F7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Exemple!$X$2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EB7-4F87-8B1F-773278025738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EB7-4F87-8B1F-773278025738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EB7-4F87-8B1F-773278025738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EB7-4F87-8B1F-773278025738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EB7-4F87-8B1F-773278025738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EB7-4F87-8B1F-773278025738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EEB7-4F87-8B1F-773278025738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EB7-4F87-8B1F-773278025738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EEB7-4F87-8B1F-773278025738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EEB7-4F87-8B1F-773278025738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EEB7-4F87-8B1F-773278025738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EEB7-4F87-8B1F-773278025738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EEB7-4F87-8B1F-773278025738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Exemple!$V$3:$V$15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Exemple!$X$3:$X$15</c:f>
              <c:numCache>
                <c:formatCode>0.00%</c:formatCode>
                <c:ptCount val="13"/>
                <c:pt idx="0">
                  <c:v>0</c:v>
                </c:pt>
                <c:pt idx="1">
                  <c:v>0.11857707509881422</c:v>
                </c:pt>
                <c:pt idx="2">
                  <c:v>0.233201581027668</c:v>
                </c:pt>
                <c:pt idx="3">
                  <c:v>0.35375494071146246</c:v>
                </c:pt>
                <c:pt idx="4">
                  <c:v>0.46442687747035571</c:v>
                </c:pt>
                <c:pt idx="5">
                  <c:v>0.55928853754940711</c:v>
                </c:pt>
                <c:pt idx="6">
                  <c:v>0.63043478260869568</c:v>
                </c:pt>
                <c:pt idx="7">
                  <c:v>0.69169960474308301</c:v>
                </c:pt>
                <c:pt idx="8">
                  <c:v>0.75098814229249011</c:v>
                </c:pt>
                <c:pt idx="9">
                  <c:v>0.78853754940711462</c:v>
                </c:pt>
                <c:pt idx="10">
                  <c:v>0.86956521739130432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EB7-4F87-8B1F-773278025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Exemple!$AA$2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396-485D-A4C3-5694BF105495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396-485D-A4C3-5694BF105495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396-485D-A4C3-5694BF105495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396-485D-A4C3-5694BF105495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396-485D-A4C3-5694BF105495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396-485D-A4C3-5694BF105495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396-485D-A4C3-5694BF105495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396-485D-A4C3-5694BF10549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396-485D-A4C3-5694BF105495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396-485D-A4C3-5694BF105495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396-485D-A4C3-5694BF105495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396-485D-A4C3-5694BF105495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396-485D-A4C3-5694BF105495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Exemple!$Z$4:$Z$15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Exemple!$AA$4:$AA$15</c:f>
              <c:numCache>
                <c:formatCode>General</c:formatCode>
                <c:ptCount val="12"/>
                <c:pt idx="0">
                  <c:v>60</c:v>
                </c:pt>
                <c:pt idx="1">
                  <c:v>58</c:v>
                </c:pt>
                <c:pt idx="2">
                  <c:v>61</c:v>
                </c:pt>
                <c:pt idx="3">
                  <c:v>56</c:v>
                </c:pt>
                <c:pt idx="4">
                  <c:v>48</c:v>
                </c:pt>
                <c:pt idx="5">
                  <c:v>36</c:v>
                </c:pt>
                <c:pt idx="6">
                  <c:v>31</c:v>
                </c:pt>
                <c:pt idx="7">
                  <c:v>30</c:v>
                </c:pt>
                <c:pt idx="8">
                  <c:v>19</c:v>
                </c:pt>
                <c:pt idx="9">
                  <c:v>41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396-485D-A4C3-5694BF105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b="0"/>
              <a:t>Dépouillement du bureau 0 - Nom 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0'!$D$13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8-EA70-41AD-B1C4-117C5EADDF9A}"/>
              </c:ext>
            </c:extLst>
          </c:dPt>
          <c:dPt>
            <c:idx val="1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A-EA70-41AD-B1C4-117C5EADDF9A}"/>
              </c:ext>
            </c:extLst>
          </c:dPt>
          <c:dPt>
            <c:idx val="2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C-EA70-41AD-B1C4-117C5EADDF9A}"/>
              </c:ext>
            </c:extLst>
          </c:dPt>
          <c:dPt>
            <c:idx val="3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E-EA70-41AD-B1C4-117C5EADDF9A}"/>
              </c:ext>
            </c:extLst>
          </c:dPt>
          <c:dPt>
            <c:idx val="4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0-EA70-41AD-B1C4-117C5EADDF9A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2-EA70-41AD-B1C4-117C5EADDF9A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4-EA70-41AD-B1C4-117C5EADDF9A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6-EA70-41AD-B1C4-117C5EADDF9A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8-EA70-41AD-B1C4-117C5EADDF9A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A-EA70-41AD-B1C4-117C5EADDF9A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C-EA70-41AD-B1C4-117C5EADDF9A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E-EA70-41AD-B1C4-117C5EADDF9A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C-7F28-46AE-ADEF-48D8DE29FE6C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7F28-46AE-ADEF-48D8DE29FE6C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E-7F28-46AE-ADEF-48D8DE29FE6C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7F28-46AE-ADEF-48D8DE29FE6C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0-7F28-46AE-ADEF-48D8DE29FE6C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7F28-46AE-ADEF-48D8DE29FE6C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2-7F28-46AE-ADEF-48D8DE29FE6C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7F28-46AE-ADEF-48D8DE29FE6C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8-BA71-47B0-8E86-A4D5A495B1CF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BA71-47B0-8E86-A4D5A495B1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0'!$E$2:$M$2</c:f>
              <c:strCache>
                <c:ptCount val="9"/>
                <c:pt idx="0">
                  <c:v>Candidat(e)
1</c:v>
                </c:pt>
                <c:pt idx="1">
                  <c:v>Candidat(e)
2</c:v>
                </c:pt>
                <c:pt idx="2">
                  <c:v>Candidat(e)
3</c:v>
                </c:pt>
                <c:pt idx="3">
                  <c:v>Candidat(e)
4</c:v>
                </c:pt>
                <c:pt idx="4">
                  <c:v>Candidat(e)
5</c:v>
                </c:pt>
                <c:pt idx="5">
                  <c:v>Candidat(e)
6</c:v>
                </c:pt>
                <c:pt idx="6">
                  <c:v>Candidat(e)
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0'!$E$14:$M$14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EA70-41AD-B1C4-117C5EADD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0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0'!$R$2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E73-429A-9A32-59AB00AFD32C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73-429A-9A32-59AB00AFD32C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E73-429A-9A32-59AB00AFD32C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73-429A-9A32-59AB00AFD32C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E73-429A-9A32-59AB00AFD32C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73-429A-9A32-59AB00AFD32C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E73-429A-9A32-59AB00AFD32C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E73-429A-9A32-59AB00AFD32C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E73-429A-9A32-59AB00AFD32C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E73-429A-9A32-59AB00AFD32C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E73-429A-9A32-59AB00AFD32C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E73-429A-9A32-59AB00AFD32C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E73-429A-9A32-59AB00AFD32C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0'!$P$3:$P$15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0'!$R$3:$R$15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E73-429A-9A32-59AB00AF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0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0'!$U$2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2DE-4D37-8F9D-F3A8F583D533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2DE-4D37-8F9D-F3A8F583D533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2DE-4D37-8F9D-F3A8F583D533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2DE-4D37-8F9D-F3A8F583D533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2DE-4D37-8F9D-F3A8F583D533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2DE-4D37-8F9D-F3A8F583D533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2DE-4D37-8F9D-F3A8F583D533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2DE-4D37-8F9D-F3A8F583D533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2DE-4D37-8F9D-F3A8F583D533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2DE-4D37-8F9D-F3A8F583D533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2DE-4D37-8F9D-F3A8F583D533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2DE-4D37-8F9D-F3A8F583D533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2DE-4D37-8F9D-F3A8F583D533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0'!$T$4:$T$15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0'!$U$4:$U$15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2DE-4D37-8F9D-F3A8F583D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1 - Ecole Chabaud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90-4B1B-9936-2A34E12E28D7}"/>
              </c:ext>
            </c:extLst>
          </c:dPt>
          <c:dPt>
            <c:idx val="1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4F90-4B1B-9936-2A34E12E28D7}"/>
              </c:ext>
            </c:extLst>
          </c:dPt>
          <c:dPt>
            <c:idx val="2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4F90-4B1B-9936-2A34E12E28D7}"/>
              </c:ext>
            </c:extLst>
          </c:dPt>
          <c:dPt>
            <c:idx val="3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4F90-4B1B-9936-2A34E12E28D7}"/>
              </c:ext>
            </c:extLst>
          </c:dPt>
          <c:dPt>
            <c:idx val="4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4F90-4B1B-9936-2A34E12E28D7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4F90-4B1B-9936-2A34E12E28D7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4F90-4B1B-9936-2A34E12E28D7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4F90-4B1B-9936-2A34E12E28D7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4F90-4B1B-9936-2A34E12E28D7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4F90-4B1B-9936-2A34E12E28D7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4F90-4B1B-9936-2A34E12E28D7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4F90-4B1B-9936-2A34E12E28D7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4F90-4B1B-9936-2A34E12E28D7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4F90-4B1B-9936-2A34E12E28D7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4F90-4B1B-9936-2A34E12E28D7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4F90-4B1B-9936-2A34E12E28D7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4F90-4B1B-9936-2A34E12E28D7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4F90-4B1B-9936-2A34E12E28D7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4F90-4B1B-9936-2A34E12E28D7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4F90-4B1B-9936-2A34E12E28D7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4F90-4B1B-9936-2A34E12E28D7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4F90-4B1B-9936-2A34E12E28D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1'!$E$2:$M$2</c:f>
              <c:strCache>
                <c:ptCount val="9"/>
                <c:pt idx="0">
                  <c:v>Candidat(e)
1</c:v>
                </c:pt>
                <c:pt idx="1">
                  <c:v>Candidat(e)
2</c:v>
                </c:pt>
                <c:pt idx="2">
                  <c:v>Candidat(e)
3</c:v>
                </c:pt>
                <c:pt idx="3">
                  <c:v>Candidat(e)
4</c:v>
                </c:pt>
                <c:pt idx="4">
                  <c:v>Candidat(e)
5</c:v>
                </c:pt>
                <c:pt idx="5">
                  <c:v>Candidat(e)
6</c:v>
                </c:pt>
                <c:pt idx="6">
                  <c:v>Candidat(e)
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1'!$E$14:$M$14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4F90-4B1B-9936-2A34E12E2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1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35E9-4FE4-92DA-728CAB9E98C8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5E9-4FE4-92DA-728CAB9E98C8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5E9-4FE4-92DA-728CAB9E98C8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5E9-4FE4-92DA-728CAB9E98C8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35E9-4FE4-92DA-728CAB9E98C8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5E9-4FE4-92DA-728CAB9E98C8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5E9-4FE4-92DA-728CAB9E98C8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5E9-4FE4-92DA-728CAB9E98C8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35E9-4FE4-92DA-728CAB9E98C8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5E9-4FE4-92DA-728CAB9E98C8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5E9-4FE4-92DA-728CAB9E98C8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5E9-4FE4-92DA-728CAB9E98C8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35E9-4FE4-92DA-728CAB9E98C8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5E9-4FE4-92DA-728CAB9E9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1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37DE-438C-B038-1D1AE00D1D73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7DE-438C-B038-1D1AE00D1D73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7DE-438C-B038-1D1AE00D1D73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7DE-438C-B038-1D1AE00D1D73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37DE-438C-B038-1D1AE00D1D73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7DE-438C-B038-1D1AE00D1D73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7DE-438C-B038-1D1AE00D1D73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7DE-438C-B038-1D1AE00D1D73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37DE-438C-B038-1D1AE00D1D73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7DE-438C-B038-1D1AE00D1D73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7DE-438C-B038-1D1AE00D1D73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7DE-438C-B038-1D1AE00D1D73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37DE-438C-B038-1D1AE00D1D73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7DE-438C-B038-1D1AE00D1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2 - Gymnase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2'!$D$13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C0-4DB6-9B92-EF73D4805395}"/>
              </c:ext>
            </c:extLst>
          </c:dPt>
          <c:dPt>
            <c:idx val="1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C0-4DB6-9B92-EF73D4805395}"/>
              </c:ext>
            </c:extLst>
          </c:dPt>
          <c:dPt>
            <c:idx val="2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C0-4DB6-9B92-EF73D4805395}"/>
              </c:ext>
            </c:extLst>
          </c:dPt>
          <c:dPt>
            <c:idx val="3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C0-4DB6-9B92-EF73D4805395}"/>
              </c:ext>
            </c:extLst>
          </c:dPt>
          <c:dPt>
            <c:idx val="4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BCC0-4DB6-9B92-EF73D4805395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BCC0-4DB6-9B92-EF73D4805395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BCC0-4DB6-9B92-EF73D4805395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BCC0-4DB6-9B92-EF73D4805395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BCC0-4DB6-9B92-EF73D4805395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BCC0-4DB6-9B92-EF73D4805395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BCC0-4DB6-9B92-EF73D4805395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BCC0-4DB6-9B92-EF73D4805395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BCC0-4DB6-9B92-EF73D4805395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BCC0-4DB6-9B92-EF73D4805395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BCC0-4DB6-9B92-EF73D4805395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BCC0-4DB6-9B92-EF73D4805395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BCC0-4DB6-9B92-EF73D4805395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BCC0-4DB6-9B92-EF73D4805395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BCC0-4DB6-9B92-EF73D4805395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BCC0-4DB6-9B92-EF73D4805395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BCC0-4DB6-9B92-EF73D4805395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BCC0-4DB6-9B92-EF73D48053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2'!$E$2:$M$2</c:f>
              <c:strCache>
                <c:ptCount val="9"/>
                <c:pt idx="0">
                  <c:v>Candidat(e)
1</c:v>
                </c:pt>
                <c:pt idx="1">
                  <c:v>Candidat(e)
2</c:v>
                </c:pt>
                <c:pt idx="2">
                  <c:v>Candidat(e)
3</c:v>
                </c:pt>
                <c:pt idx="3">
                  <c:v>Candidat(e)
4</c:v>
                </c:pt>
                <c:pt idx="4">
                  <c:v>Candidat(e)
5</c:v>
                </c:pt>
                <c:pt idx="5">
                  <c:v>Candidat(e)
6</c:v>
                </c:pt>
                <c:pt idx="6">
                  <c:v>Candidat(e)
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2'!$E$14:$M$14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BCC0-4DB6-9B92-EF73D4805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2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2'!$R$2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B97-464C-93DF-45A81315360A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B97-464C-93DF-45A81315360A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B97-464C-93DF-45A81315360A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B97-464C-93DF-45A81315360A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FB97-464C-93DF-45A81315360A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B97-464C-93DF-45A81315360A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B97-464C-93DF-45A81315360A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FB97-464C-93DF-45A81315360A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B97-464C-93DF-45A81315360A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FB97-464C-93DF-45A81315360A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B97-464C-93DF-45A81315360A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FB97-464C-93DF-45A81315360A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FB97-464C-93DF-45A81315360A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2'!$P$3:$P$15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2'!$R$3:$R$15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B97-464C-93DF-45A813153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2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2'!$U$2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A7A-41F2-8A74-07E651748E75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A7A-41F2-8A74-07E651748E75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4A7A-41F2-8A74-07E651748E75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A7A-41F2-8A74-07E651748E75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4A7A-41F2-8A74-07E651748E75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A7A-41F2-8A74-07E651748E75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4A7A-41F2-8A74-07E651748E75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4A7A-41F2-8A74-07E651748E7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4A7A-41F2-8A74-07E651748E75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4A7A-41F2-8A74-07E651748E75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4A7A-41F2-8A74-07E651748E75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4A7A-41F2-8A74-07E651748E75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4A7A-41F2-8A74-07E651748E75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2'!$T$4:$T$15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2'!$U$4:$U$15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A7A-41F2-8A74-07E65174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3 - Gymnase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3'!$D$13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883A-44AF-86DD-EC7BEA620236}"/>
              </c:ext>
            </c:extLst>
          </c:dPt>
          <c:dPt>
            <c:idx val="1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883A-44AF-86DD-EC7BEA620236}"/>
              </c:ext>
            </c:extLst>
          </c:dPt>
          <c:dPt>
            <c:idx val="2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883A-44AF-86DD-EC7BEA620236}"/>
              </c:ext>
            </c:extLst>
          </c:dPt>
          <c:dPt>
            <c:idx val="3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883A-44AF-86DD-EC7BEA620236}"/>
              </c:ext>
            </c:extLst>
          </c:dPt>
          <c:dPt>
            <c:idx val="4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883A-44AF-86DD-EC7BEA620236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883A-44AF-86DD-EC7BEA620236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883A-44AF-86DD-EC7BEA620236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883A-44AF-86DD-EC7BEA620236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883A-44AF-86DD-EC7BEA620236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883A-44AF-86DD-EC7BEA620236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883A-44AF-86DD-EC7BEA620236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883A-44AF-86DD-EC7BEA620236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883A-44AF-86DD-EC7BEA620236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883A-44AF-86DD-EC7BEA620236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883A-44AF-86DD-EC7BEA620236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883A-44AF-86DD-EC7BEA620236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883A-44AF-86DD-EC7BEA620236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883A-44AF-86DD-EC7BEA620236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883A-44AF-86DD-EC7BEA620236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883A-44AF-86DD-EC7BEA620236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883A-44AF-86DD-EC7BEA620236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883A-44AF-86DD-EC7BEA62023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3'!$E$2:$M$2</c:f>
              <c:strCache>
                <c:ptCount val="9"/>
                <c:pt idx="0">
                  <c:v>Candidat(e)
1</c:v>
                </c:pt>
                <c:pt idx="1">
                  <c:v>Candidat(e)
2</c:v>
                </c:pt>
                <c:pt idx="2">
                  <c:v>Candidat(e)
3</c:v>
                </c:pt>
                <c:pt idx="3">
                  <c:v>Candidat(e)
4</c:v>
                </c:pt>
                <c:pt idx="4">
                  <c:v>Candidat(e)
5</c:v>
                </c:pt>
                <c:pt idx="5">
                  <c:v>Candidat(e)
6</c:v>
                </c:pt>
                <c:pt idx="6">
                  <c:v>Candidat(e)
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3'!$E$14:$M$14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883A-44AF-86DD-EC7BEA620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3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3'!$R$2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7106-46C0-ABA1-8A8CB32DF1C5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106-46C0-ABA1-8A8CB32DF1C5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7106-46C0-ABA1-8A8CB32DF1C5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106-46C0-ABA1-8A8CB32DF1C5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106-46C0-ABA1-8A8CB32DF1C5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106-46C0-ABA1-8A8CB32DF1C5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7106-46C0-ABA1-8A8CB32DF1C5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106-46C0-ABA1-8A8CB32DF1C5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7106-46C0-ABA1-8A8CB32DF1C5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7106-46C0-ABA1-8A8CB32DF1C5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7106-46C0-ABA1-8A8CB32DF1C5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7106-46C0-ABA1-8A8CB32DF1C5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7106-46C0-ABA1-8A8CB32DF1C5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3'!$P$3:$P$15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3'!$R$3:$R$15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106-46C0-ABA1-8A8CB32DF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3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3'!$U$2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1FE-4A92-A061-9DB056731012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1FE-4A92-A061-9DB056731012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1FE-4A92-A061-9DB056731012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1FE-4A92-A061-9DB056731012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F1FE-4A92-A061-9DB056731012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1FE-4A92-A061-9DB056731012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1FE-4A92-A061-9DB056731012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F1FE-4A92-A061-9DB056731012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1FE-4A92-A061-9DB056731012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F1FE-4A92-A061-9DB056731012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1FE-4A92-A061-9DB056731012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F1FE-4A92-A061-9DB056731012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F1FE-4A92-A061-9DB056731012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3'!$T$4:$T$15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3'!$U$4:$U$15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1FE-4A92-A061-9DB056731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4 - Gymnase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4'!$D$13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6A87-4C26-A733-CD6161804972}"/>
              </c:ext>
            </c:extLst>
          </c:dPt>
          <c:dPt>
            <c:idx val="1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6A87-4C26-A733-CD6161804972}"/>
              </c:ext>
            </c:extLst>
          </c:dPt>
          <c:dPt>
            <c:idx val="2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6A87-4C26-A733-CD6161804972}"/>
              </c:ext>
            </c:extLst>
          </c:dPt>
          <c:dPt>
            <c:idx val="3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6A87-4C26-A733-CD6161804972}"/>
              </c:ext>
            </c:extLst>
          </c:dPt>
          <c:dPt>
            <c:idx val="4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6A87-4C26-A733-CD6161804972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6A87-4C26-A733-CD6161804972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6A87-4C26-A733-CD6161804972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6A87-4C26-A733-CD6161804972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6A87-4C26-A733-CD6161804972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6A87-4C26-A733-CD6161804972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6A87-4C26-A733-CD6161804972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6A87-4C26-A733-CD6161804972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6A87-4C26-A733-CD6161804972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6A87-4C26-A733-CD6161804972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6A87-4C26-A733-CD6161804972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6A87-4C26-A733-CD6161804972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6A87-4C26-A733-CD6161804972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6A87-4C26-A733-CD6161804972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6A87-4C26-A733-CD6161804972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6A87-4C26-A733-CD6161804972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6A87-4C26-A733-CD6161804972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6A87-4C26-A733-CD616180497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4'!$E$2:$M$2</c:f>
              <c:strCache>
                <c:ptCount val="9"/>
                <c:pt idx="0">
                  <c:v>Candidat(e)
1</c:v>
                </c:pt>
                <c:pt idx="1">
                  <c:v>Candidat(e)
2</c:v>
                </c:pt>
                <c:pt idx="2">
                  <c:v>Candidat(e)
3</c:v>
                </c:pt>
                <c:pt idx="3">
                  <c:v>Candidat(e)
4</c:v>
                </c:pt>
                <c:pt idx="4">
                  <c:v>Candidat(e)
5</c:v>
                </c:pt>
                <c:pt idx="5">
                  <c:v>Candidat(e)
6</c:v>
                </c:pt>
                <c:pt idx="6">
                  <c:v>Candidat(e)
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4'!$E$14:$M$14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6A87-4C26-A733-CD6161804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4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4'!$R$2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E06-45F8-99F4-8BBBFCE3A702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E06-45F8-99F4-8BBBFCE3A702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E06-45F8-99F4-8BBBFCE3A702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9E06-45F8-99F4-8BBBFCE3A702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9E06-45F8-99F4-8BBBFCE3A702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9E06-45F8-99F4-8BBBFCE3A702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9E06-45F8-99F4-8BBBFCE3A702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9E06-45F8-99F4-8BBBFCE3A702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9E06-45F8-99F4-8BBBFCE3A702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9E06-45F8-99F4-8BBBFCE3A702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9E06-45F8-99F4-8BBBFCE3A702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9E06-45F8-99F4-8BBBFCE3A702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9E06-45F8-99F4-8BBBFCE3A702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4'!$P$3:$P$15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4'!$R$3:$R$15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E06-45F8-99F4-8BBBFCE3A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4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4'!$U$2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0EA0-492F-B456-9D8A9DA5CC3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EA0-492F-B456-9D8A9DA5CC37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0EA0-492F-B456-9D8A9DA5CC37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EA0-492F-B456-9D8A9DA5CC37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0EA0-492F-B456-9D8A9DA5CC37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EA0-492F-B456-9D8A9DA5CC37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0EA0-492F-B456-9D8A9DA5CC37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0EA0-492F-B456-9D8A9DA5CC37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0EA0-492F-B456-9D8A9DA5CC37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0EA0-492F-B456-9D8A9DA5CC37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0EA0-492F-B456-9D8A9DA5CC37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0EA0-492F-B456-9D8A9DA5CC37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0EA0-492F-B456-9D8A9DA5CC37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4'!$T$4:$T$15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4'!$U$4:$U$15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EA0-492F-B456-9D8A9DA5C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5 - COSEC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5'!$D$13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76-4343-BD25-EA5C0F1D0097}"/>
              </c:ext>
            </c:extLst>
          </c:dPt>
          <c:dPt>
            <c:idx val="1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76-4343-BD25-EA5C0F1D0097}"/>
              </c:ext>
            </c:extLst>
          </c:dPt>
          <c:dPt>
            <c:idx val="2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76-4343-BD25-EA5C0F1D0097}"/>
              </c:ext>
            </c:extLst>
          </c:dPt>
          <c:dPt>
            <c:idx val="3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76-4343-BD25-EA5C0F1D0097}"/>
              </c:ext>
            </c:extLst>
          </c:dPt>
          <c:dPt>
            <c:idx val="4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76-4343-BD25-EA5C0F1D0097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76-4343-BD25-EA5C0F1D0097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76-4343-BD25-EA5C0F1D0097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76-4343-BD25-EA5C0F1D0097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3D76-4343-BD25-EA5C0F1D0097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3D76-4343-BD25-EA5C0F1D0097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3D76-4343-BD25-EA5C0F1D0097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3D76-4343-BD25-EA5C0F1D0097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3D76-4343-BD25-EA5C0F1D0097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3D76-4343-BD25-EA5C0F1D0097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3D76-4343-BD25-EA5C0F1D0097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3D76-4343-BD25-EA5C0F1D0097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3D76-4343-BD25-EA5C0F1D0097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3D76-4343-BD25-EA5C0F1D0097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3D76-4343-BD25-EA5C0F1D0097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3D76-4343-BD25-EA5C0F1D0097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3D76-4343-BD25-EA5C0F1D0097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3D76-4343-BD25-EA5C0F1D009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5'!$E$2:$M$2</c:f>
              <c:strCache>
                <c:ptCount val="9"/>
                <c:pt idx="0">
                  <c:v>Candidat(e)
1</c:v>
                </c:pt>
                <c:pt idx="1">
                  <c:v>Candidat(e)
2</c:v>
                </c:pt>
                <c:pt idx="2">
                  <c:v>Candidat(e)
3</c:v>
                </c:pt>
                <c:pt idx="3">
                  <c:v>Candidat(e)
4</c:v>
                </c:pt>
                <c:pt idx="4">
                  <c:v>Candidat(e)
5</c:v>
                </c:pt>
                <c:pt idx="5">
                  <c:v>Candidat(e)
6</c:v>
                </c:pt>
                <c:pt idx="6">
                  <c:v>Candidat(e)
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5'!$E$14:$M$14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3D76-4343-BD25-EA5C0F1D0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5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5'!$R$2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170-4610-BEED-979C79C89675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170-4610-BEED-979C79C89675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170-4610-BEED-979C79C89675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A170-4610-BEED-979C79C89675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A170-4610-BEED-979C79C89675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A170-4610-BEED-979C79C89675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A170-4610-BEED-979C79C89675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A170-4610-BEED-979C79C89675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A170-4610-BEED-979C79C89675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A170-4610-BEED-979C79C89675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A170-4610-BEED-979C79C89675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A170-4610-BEED-979C79C89675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A170-4610-BEED-979C79C89675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5'!$P$3:$P$15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5'!$R$3:$R$15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170-4610-BEED-979C79C89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5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5'!$U$2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B22-40BA-90FF-9BA7C2E065B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B22-40BA-90FF-9BA7C2E065B7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B22-40BA-90FF-9BA7C2E065B7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B22-40BA-90FF-9BA7C2E065B7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5B22-40BA-90FF-9BA7C2E065B7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5B22-40BA-90FF-9BA7C2E065B7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5B22-40BA-90FF-9BA7C2E065B7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5B22-40BA-90FF-9BA7C2E065B7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5B22-40BA-90FF-9BA7C2E065B7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5B22-40BA-90FF-9BA7C2E065B7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5B22-40BA-90FF-9BA7C2E065B7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5B22-40BA-90FF-9BA7C2E065B7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5B22-40BA-90FF-9BA7C2E065B7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5'!$T$4:$T$15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5'!$U$4:$U$15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B22-40BA-90FF-9BA7C2E06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6 - COSEC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6'!$D$13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3961-413B-B6F7-A6B83A074FEA}"/>
              </c:ext>
            </c:extLst>
          </c:dPt>
          <c:dPt>
            <c:idx val="1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3961-413B-B6F7-A6B83A074FEA}"/>
              </c:ext>
            </c:extLst>
          </c:dPt>
          <c:dPt>
            <c:idx val="2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3961-413B-B6F7-A6B83A074FEA}"/>
              </c:ext>
            </c:extLst>
          </c:dPt>
          <c:dPt>
            <c:idx val="3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3961-413B-B6F7-A6B83A074FEA}"/>
              </c:ext>
            </c:extLst>
          </c:dPt>
          <c:dPt>
            <c:idx val="4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3961-413B-B6F7-A6B83A074FEA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3961-413B-B6F7-A6B83A074FEA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3961-413B-B6F7-A6B83A074FEA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3961-413B-B6F7-A6B83A074FEA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3961-413B-B6F7-A6B83A074FEA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3961-413B-B6F7-A6B83A074FEA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3961-413B-B6F7-A6B83A074FEA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3961-413B-B6F7-A6B83A074FEA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3961-413B-B6F7-A6B83A074FEA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3961-413B-B6F7-A6B83A074FEA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3961-413B-B6F7-A6B83A074FEA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3961-413B-B6F7-A6B83A074FEA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3961-413B-B6F7-A6B83A074FEA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3961-413B-B6F7-A6B83A074FEA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3961-413B-B6F7-A6B83A074FEA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3961-413B-B6F7-A6B83A074FEA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3961-413B-B6F7-A6B83A074FEA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3961-413B-B6F7-A6B83A074FE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6'!$E$2:$M$2</c:f>
              <c:strCache>
                <c:ptCount val="9"/>
                <c:pt idx="0">
                  <c:v>Candidat(e)
1</c:v>
                </c:pt>
                <c:pt idx="1">
                  <c:v>Candidat(e)
2</c:v>
                </c:pt>
                <c:pt idx="2">
                  <c:v>Candidat(e)
3</c:v>
                </c:pt>
                <c:pt idx="3">
                  <c:v>Candidat(e)
4</c:v>
                </c:pt>
                <c:pt idx="4">
                  <c:v>Candidat(e)
5</c:v>
                </c:pt>
                <c:pt idx="5">
                  <c:v>Candidat(e)
6</c:v>
                </c:pt>
                <c:pt idx="6">
                  <c:v>Candidat(e)
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6'!$E$14:$M$14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3961-413B-B6F7-A6B83A074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6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6'!$R$2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7AEF-4EFE-9D73-281DE17A8729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AEF-4EFE-9D73-281DE17A8729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7AEF-4EFE-9D73-281DE17A8729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AEF-4EFE-9D73-281DE17A8729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AEF-4EFE-9D73-281DE17A8729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AEF-4EFE-9D73-281DE17A8729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7AEF-4EFE-9D73-281DE17A8729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AEF-4EFE-9D73-281DE17A8729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7AEF-4EFE-9D73-281DE17A8729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7AEF-4EFE-9D73-281DE17A8729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7AEF-4EFE-9D73-281DE17A8729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7AEF-4EFE-9D73-281DE17A8729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7AEF-4EFE-9D73-281DE17A8729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6'!$P$3:$P$15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6'!$R$3:$R$15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AEF-4EFE-9D73-281DE17A8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6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6'!$U$2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8DA-4B0D-AA1A-6EB7F3BF0C64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8DA-4B0D-AA1A-6EB7F3BF0C64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28DA-4B0D-AA1A-6EB7F3BF0C64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8DA-4B0D-AA1A-6EB7F3BF0C64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28DA-4B0D-AA1A-6EB7F3BF0C64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8DA-4B0D-AA1A-6EB7F3BF0C64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28DA-4B0D-AA1A-6EB7F3BF0C64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8DA-4B0D-AA1A-6EB7F3BF0C64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28DA-4B0D-AA1A-6EB7F3BF0C64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28DA-4B0D-AA1A-6EB7F3BF0C64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28DA-4B0D-AA1A-6EB7F3BF0C64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28DA-4B0D-AA1A-6EB7F3BF0C64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28DA-4B0D-AA1A-6EB7F3BF0C64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6'!$T$4:$T$15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6'!$U$4:$U$15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8DA-4B0D-AA1A-6EB7F3BF0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7 - COSEC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7'!$D$13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7DC5-4FF3-A62A-C10477E8DCC8}"/>
              </c:ext>
            </c:extLst>
          </c:dPt>
          <c:dPt>
            <c:idx val="1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C5-4FF3-A62A-C10477E8DCC8}"/>
              </c:ext>
            </c:extLst>
          </c:dPt>
          <c:dPt>
            <c:idx val="2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7DC5-4FF3-A62A-C10477E8DCC8}"/>
              </c:ext>
            </c:extLst>
          </c:dPt>
          <c:dPt>
            <c:idx val="3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7DC5-4FF3-A62A-C10477E8DCC8}"/>
              </c:ext>
            </c:extLst>
          </c:dPt>
          <c:dPt>
            <c:idx val="4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7DC5-4FF3-A62A-C10477E8DCC8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7DC5-4FF3-A62A-C10477E8DCC8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7DC5-4FF3-A62A-C10477E8DCC8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7DC5-4FF3-A62A-C10477E8DCC8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7DC5-4FF3-A62A-C10477E8DCC8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7DC5-4FF3-A62A-C10477E8DCC8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7DC5-4FF3-A62A-C10477E8DCC8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7DC5-4FF3-A62A-C10477E8DCC8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7DC5-4FF3-A62A-C10477E8DCC8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7DC5-4FF3-A62A-C10477E8DCC8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7DC5-4FF3-A62A-C10477E8DCC8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7DC5-4FF3-A62A-C10477E8DCC8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7DC5-4FF3-A62A-C10477E8DCC8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7DC5-4FF3-A62A-C10477E8DCC8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7DC5-4FF3-A62A-C10477E8DCC8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7DC5-4FF3-A62A-C10477E8DCC8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7DC5-4FF3-A62A-C10477E8DCC8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7DC5-4FF3-A62A-C10477E8DCC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7'!$E$2:$M$2</c:f>
              <c:strCache>
                <c:ptCount val="9"/>
                <c:pt idx="0">
                  <c:v>Candidat(e)
1</c:v>
                </c:pt>
                <c:pt idx="1">
                  <c:v>Candidat(e)
2</c:v>
                </c:pt>
                <c:pt idx="2">
                  <c:v>Candidat(e)
3</c:v>
                </c:pt>
                <c:pt idx="3">
                  <c:v>Candidat(e)
4</c:v>
                </c:pt>
                <c:pt idx="4">
                  <c:v>Candidat(e)
5</c:v>
                </c:pt>
                <c:pt idx="5">
                  <c:v>Candidat(e)
6</c:v>
                </c:pt>
                <c:pt idx="6">
                  <c:v>Candidat(e)
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7'!$E$14:$M$14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DC5-4FF3-A62A-C10477E8D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7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7'!$R$2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CAB3-43E5-9784-BE86925A7EE4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AB3-43E5-9784-BE86925A7EE4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AB3-43E5-9784-BE86925A7EE4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AB3-43E5-9784-BE86925A7EE4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AB3-43E5-9784-BE86925A7EE4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CAB3-43E5-9784-BE86925A7EE4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AB3-43E5-9784-BE86925A7EE4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AB3-43E5-9784-BE86925A7EE4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CAB3-43E5-9784-BE86925A7EE4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CAB3-43E5-9784-BE86925A7EE4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CAB3-43E5-9784-BE86925A7EE4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CAB3-43E5-9784-BE86925A7EE4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AB3-43E5-9784-BE86925A7EE4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7'!$P$3:$P$15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7'!$R$3:$R$15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AB3-43E5-9784-BE86925A7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7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7'!$U$2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CAC2-41C4-8742-B532DE6F0FE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AC2-41C4-8742-B532DE6F0FE7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AC2-41C4-8742-B532DE6F0FE7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AC2-41C4-8742-B532DE6F0FE7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AC2-41C4-8742-B532DE6F0FE7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CAC2-41C4-8742-B532DE6F0FE7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AC2-41C4-8742-B532DE6F0FE7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AC2-41C4-8742-B532DE6F0FE7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CAC2-41C4-8742-B532DE6F0FE7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CAC2-41C4-8742-B532DE6F0FE7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CAC2-41C4-8742-B532DE6F0FE7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CAC2-41C4-8742-B532DE6F0FE7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AC2-41C4-8742-B532DE6F0FE7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7'!$T$4:$T$15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7'!$U$4:$U$15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AC2-41C4-8742-B532DE6F0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8 - COSEC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8'!$D$13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C391-44FF-B179-D436752E671F}"/>
              </c:ext>
            </c:extLst>
          </c:dPt>
          <c:dPt>
            <c:idx val="1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C391-44FF-B179-D436752E671F}"/>
              </c:ext>
            </c:extLst>
          </c:dPt>
          <c:dPt>
            <c:idx val="2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C391-44FF-B179-D436752E671F}"/>
              </c:ext>
            </c:extLst>
          </c:dPt>
          <c:dPt>
            <c:idx val="3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C391-44FF-B179-D436752E671F}"/>
              </c:ext>
            </c:extLst>
          </c:dPt>
          <c:dPt>
            <c:idx val="4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C391-44FF-B179-D436752E671F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C391-44FF-B179-D436752E671F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C391-44FF-B179-D436752E671F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C391-44FF-B179-D436752E671F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C391-44FF-B179-D436752E671F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C391-44FF-B179-D436752E671F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C391-44FF-B179-D436752E671F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C391-44FF-B179-D436752E671F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C391-44FF-B179-D436752E671F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C391-44FF-B179-D436752E671F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C391-44FF-B179-D436752E671F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C391-44FF-B179-D436752E671F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C391-44FF-B179-D436752E671F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C391-44FF-B179-D436752E671F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C391-44FF-B179-D436752E671F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C391-44FF-B179-D436752E671F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C391-44FF-B179-D436752E671F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C391-44FF-B179-D436752E67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8'!$E$2:$M$2</c:f>
              <c:strCache>
                <c:ptCount val="9"/>
                <c:pt idx="0">
                  <c:v>Candidat(e)
1</c:v>
                </c:pt>
                <c:pt idx="1">
                  <c:v>Candidat(e)
2</c:v>
                </c:pt>
                <c:pt idx="2">
                  <c:v>Candidat(e)
3</c:v>
                </c:pt>
                <c:pt idx="3">
                  <c:v>Candidat(e)
4</c:v>
                </c:pt>
                <c:pt idx="4">
                  <c:v>Candidat(e)
5</c:v>
                </c:pt>
                <c:pt idx="5">
                  <c:v>Candidat(e)
6</c:v>
                </c:pt>
                <c:pt idx="6">
                  <c:v>Candidat(e)
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8'!$E$14:$M$14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C391-44FF-B179-D436752E6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8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8'!$R$2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72D4-41BA-8B40-6A3427EF1CFD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2D4-41BA-8B40-6A3427EF1CFD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72D4-41BA-8B40-6A3427EF1CFD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2D4-41BA-8B40-6A3427EF1CFD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2D4-41BA-8B40-6A3427EF1CFD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2D4-41BA-8B40-6A3427EF1CFD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72D4-41BA-8B40-6A3427EF1CFD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2D4-41BA-8B40-6A3427EF1CFD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72D4-41BA-8B40-6A3427EF1CFD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72D4-41BA-8B40-6A3427EF1CFD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72D4-41BA-8B40-6A3427EF1CFD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72D4-41BA-8B40-6A3427EF1CFD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72D4-41BA-8B40-6A3427EF1CFD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8'!$P$3:$P$15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8'!$R$3:$R$15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2D4-41BA-8B40-6A3427EF1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8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8'!$U$2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3A2C-45D7-9F7A-BDC7D4C1AE96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A2C-45D7-9F7A-BDC7D4C1AE96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A2C-45D7-9F7A-BDC7D4C1AE96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A2C-45D7-9F7A-BDC7D4C1AE96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3A2C-45D7-9F7A-BDC7D4C1AE96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A2C-45D7-9F7A-BDC7D4C1AE96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A2C-45D7-9F7A-BDC7D4C1AE96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A2C-45D7-9F7A-BDC7D4C1AE96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3A2C-45D7-9F7A-BDC7D4C1AE96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A2C-45D7-9F7A-BDC7D4C1AE96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A2C-45D7-9F7A-BDC7D4C1AE96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A2C-45D7-9F7A-BDC7D4C1AE96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3A2C-45D7-9F7A-BDC7D4C1AE96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8'!$T$4:$T$15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8'!$U$4:$U$15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A2C-45D7-9F7A-BDC7D4C1A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9 - CMM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9'!$D$13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4C56-4356-89AB-57C06BA75164}"/>
              </c:ext>
            </c:extLst>
          </c:dPt>
          <c:dPt>
            <c:idx val="1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4C56-4356-89AB-57C06BA75164}"/>
              </c:ext>
            </c:extLst>
          </c:dPt>
          <c:dPt>
            <c:idx val="2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4C56-4356-89AB-57C06BA75164}"/>
              </c:ext>
            </c:extLst>
          </c:dPt>
          <c:dPt>
            <c:idx val="3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4C56-4356-89AB-57C06BA75164}"/>
              </c:ext>
            </c:extLst>
          </c:dPt>
          <c:dPt>
            <c:idx val="4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4C56-4356-89AB-57C06BA75164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4C56-4356-89AB-57C06BA75164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4C56-4356-89AB-57C06BA75164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4C56-4356-89AB-57C06BA75164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4C56-4356-89AB-57C06BA75164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4C56-4356-89AB-57C06BA75164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4C56-4356-89AB-57C06BA75164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4C56-4356-89AB-57C06BA75164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4C56-4356-89AB-57C06BA75164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4C56-4356-89AB-57C06BA75164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4C56-4356-89AB-57C06BA75164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4C56-4356-89AB-57C06BA75164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4C56-4356-89AB-57C06BA75164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4C56-4356-89AB-57C06BA75164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4C56-4356-89AB-57C06BA75164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4C56-4356-89AB-57C06BA75164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4C56-4356-89AB-57C06BA75164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4C56-4356-89AB-57C06BA7516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9'!$E$2:$M$2</c:f>
              <c:strCache>
                <c:ptCount val="9"/>
                <c:pt idx="0">
                  <c:v>Candidat(e)
1</c:v>
                </c:pt>
                <c:pt idx="1">
                  <c:v>Candidat(e)
2</c:v>
                </c:pt>
                <c:pt idx="2">
                  <c:v>Candidat(e)
3</c:v>
                </c:pt>
                <c:pt idx="3">
                  <c:v>Candidat(e)
4</c:v>
                </c:pt>
                <c:pt idx="4">
                  <c:v>Candidat(e)
5</c:v>
                </c:pt>
                <c:pt idx="5">
                  <c:v>Candidat(e)
6</c:v>
                </c:pt>
                <c:pt idx="6">
                  <c:v>Candidat(e)
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9'!$E$14:$M$14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4C56-4356-89AB-57C06BA75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9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9'!$R$2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B2D-4F08-8E6C-15C8CD771DC4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B2D-4F08-8E6C-15C8CD771DC4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4B2D-4F08-8E6C-15C8CD771DC4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B2D-4F08-8E6C-15C8CD771DC4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4B2D-4F08-8E6C-15C8CD771DC4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B2D-4F08-8E6C-15C8CD771DC4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4B2D-4F08-8E6C-15C8CD771DC4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4B2D-4F08-8E6C-15C8CD771DC4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4B2D-4F08-8E6C-15C8CD771DC4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4B2D-4F08-8E6C-15C8CD771DC4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4B2D-4F08-8E6C-15C8CD771DC4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4B2D-4F08-8E6C-15C8CD771DC4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4B2D-4F08-8E6C-15C8CD771DC4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9'!$P$3:$P$15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9'!$R$3:$R$15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B2D-4F08-8E6C-15C8CD771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9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9'!$U$2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4CA-4ED1-808D-2E5BDEFA0C48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4CA-4ED1-808D-2E5BDEFA0C48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4CA-4ED1-808D-2E5BDEFA0C48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94CA-4ED1-808D-2E5BDEFA0C48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94CA-4ED1-808D-2E5BDEFA0C48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94CA-4ED1-808D-2E5BDEFA0C48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94CA-4ED1-808D-2E5BDEFA0C48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94CA-4ED1-808D-2E5BDEFA0C48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94CA-4ED1-808D-2E5BDEFA0C48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94CA-4ED1-808D-2E5BDEFA0C48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94CA-4ED1-808D-2E5BDEFA0C48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94CA-4ED1-808D-2E5BDEFA0C48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94CA-4ED1-808D-2E5BDEFA0C48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9'!$T$4:$T$15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9'!$U$4:$U$15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4CA-4ED1-808D-2E5BDEFA0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10 - CMM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10'!$D$13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F05F-41AA-B4B7-679B4B2382C9}"/>
              </c:ext>
            </c:extLst>
          </c:dPt>
          <c:dPt>
            <c:idx val="1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F05F-41AA-B4B7-679B4B2382C9}"/>
              </c:ext>
            </c:extLst>
          </c:dPt>
          <c:dPt>
            <c:idx val="2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F05F-41AA-B4B7-679B4B2382C9}"/>
              </c:ext>
            </c:extLst>
          </c:dPt>
          <c:dPt>
            <c:idx val="3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F05F-41AA-B4B7-679B4B2382C9}"/>
              </c:ext>
            </c:extLst>
          </c:dPt>
          <c:dPt>
            <c:idx val="4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F05F-41AA-B4B7-679B4B2382C9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F05F-41AA-B4B7-679B4B2382C9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F05F-41AA-B4B7-679B4B2382C9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F05F-41AA-B4B7-679B4B2382C9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F05F-41AA-B4B7-679B4B2382C9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F05F-41AA-B4B7-679B4B2382C9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F05F-41AA-B4B7-679B4B2382C9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F05F-41AA-B4B7-679B4B2382C9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F05F-41AA-B4B7-679B4B2382C9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F05F-41AA-B4B7-679B4B2382C9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F05F-41AA-B4B7-679B4B2382C9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F05F-41AA-B4B7-679B4B2382C9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F05F-41AA-B4B7-679B4B2382C9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F05F-41AA-B4B7-679B4B2382C9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F05F-41AA-B4B7-679B4B2382C9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F05F-41AA-B4B7-679B4B2382C9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F05F-41AA-B4B7-679B4B2382C9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F05F-41AA-B4B7-679B4B2382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10'!$E$2:$M$2</c:f>
              <c:strCache>
                <c:ptCount val="9"/>
                <c:pt idx="0">
                  <c:v>Candidat(e)
1</c:v>
                </c:pt>
                <c:pt idx="1">
                  <c:v>Candidat(e)
2</c:v>
                </c:pt>
                <c:pt idx="2">
                  <c:v>Candidat(e)
3</c:v>
                </c:pt>
                <c:pt idx="3">
                  <c:v>Candidat(e)
4</c:v>
                </c:pt>
                <c:pt idx="4">
                  <c:v>Candidat(e)
5</c:v>
                </c:pt>
                <c:pt idx="5">
                  <c:v>Candidat(e)
6</c:v>
                </c:pt>
                <c:pt idx="6">
                  <c:v>Candidat(e)
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10'!$E$14:$M$14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F05F-41AA-B4B7-679B4B238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10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10'!$R$2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D3E-47D8-A5A7-21F6B2A49524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D3E-47D8-A5A7-21F6B2A49524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D3E-47D8-A5A7-21F6B2A49524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AD3E-47D8-A5A7-21F6B2A49524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AD3E-47D8-A5A7-21F6B2A49524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AD3E-47D8-A5A7-21F6B2A49524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AD3E-47D8-A5A7-21F6B2A49524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AD3E-47D8-A5A7-21F6B2A49524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AD3E-47D8-A5A7-21F6B2A49524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AD3E-47D8-A5A7-21F6B2A49524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AD3E-47D8-A5A7-21F6B2A49524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AD3E-47D8-A5A7-21F6B2A49524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AD3E-47D8-A5A7-21F6B2A49524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10'!$P$3:$P$15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10'!$R$3:$R$15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D3E-47D8-A5A7-21F6B2A49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10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10'!$U$2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C3F8-48F5-B6E4-E69838128402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3F8-48F5-B6E4-E69838128402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3F8-48F5-B6E4-E69838128402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3F8-48F5-B6E4-E69838128402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3F8-48F5-B6E4-E69838128402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C3F8-48F5-B6E4-E69838128402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3F8-48F5-B6E4-E69838128402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3F8-48F5-B6E4-E69838128402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C3F8-48F5-B6E4-E69838128402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C3F8-48F5-B6E4-E69838128402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C3F8-48F5-B6E4-E69838128402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C3F8-48F5-B6E4-E69838128402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3F8-48F5-B6E4-E69838128402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10'!$T$4:$T$15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10'!$U$4:$U$15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3F8-48F5-B6E4-E69838128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11 - CMM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11'!$D$13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E5-4C96-9346-4A0F33D48CD5}"/>
              </c:ext>
            </c:extLst>
          </c:dPt>
          <c:dPt>
            <c:idx val="1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E5-4C96-9346-4A0F33D48CD5}"/>
              </c:ext>
            </c:extLst>
          </c:dPt>
          <c:dPt>
            <c:idx val="2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E5-4C96-9346-4A0F33D48CD5}"/>
              </c:ext>
            </c:extLst>
          </c:dPt>
          <c:dPt>
            <c:idx val="3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E5-4C96-9346-4A0F33D48CD5}"/>
              </c:ext>
            </c:extLst>
          </c:dPt>
          <c:dPt>
            <c:idx val="4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E5-4C96-9346-4A0F33D48CD5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E5-4C96-9346-4A0F33D48CD5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E5-4C96-9346-4A0F33D48CD5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E5-4C96-9346-4A0F33D48CD5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3DE5-4C96-9346-4A0F33D48CD5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3DE5-4C96-9346-4A0F33D48CD5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3DE5-4C96-9346-4A0F33D48CD5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3DE5-4C96-9346-4A0F33D48CD5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3DE5-4C96-9346-4A0F33D48CD5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3DE5-4C96-9346-4A0F33D48CD5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3DE5-4C96-9346-4A0F33D48CD5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3DE5-4C96-9346-4A0F33D48CD5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3DE5-4C96-9346-4A0F33D48CD5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3DE5-4C96-9346-4A0F33D48CD5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3DE5-4C96-9346-4A0F33D48CD5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3DE5-4C96-9346-4A0F33D48CD5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3DE5-4C96-9346-4A0F33D48CD5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3DE5-4C96-9346-4A0F33D48C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11'!$E$2:$M$2</c:f>
              <c:strCache>
                <c:ptCount val="9"/>
                <c:pt idx="0">
                  <c:v>Candidat(e)
1</c:v>
                </c:pt>
                <c:pt idx="1">
                  <c:v>Candidat(e)
2</c:v>
                </c:pt>
                <c:pt idx="2">
                  <c:v>Candidat(e)
3</c:v>
                </c:pt>
                <c:pt idx="3">
                  <c:v>Candidat(e)
4</c:v>
                </c:pt>
                <c:pt idx="4">
                  <c:v>Candidat(e)
5</c:v>
                </c:pt>
                <c:pt idx="5">
                  <c:v>Candidat(e)
6</c:v>
                </c:pt>
                <c:pt idx="6">
                  <c:v>Candidat(e)
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11'!$E$14:$M$14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3DE5-4C96-9346-4A0F33D48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11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11'!$R$2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144-43DB-9943-4D08C7E5A001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144-43DB-9943-4D08C7E5A001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144-43DB-9943-4D08C7E5A001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144-43DB-9943-4D08C7E5A001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F144-43DB-9943-4D08C7E5A001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144-43DB-9943-4D08C7E5A001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144-43DB-9943-4D08C7E5A001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F144-43DB-9943-4D08C7E5A001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144-43DB-9943-4D08C7E5A001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F144-43DB-9943-4D08C7E5A001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144-43DB-9943-4D08C7E5A001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F144-43DB-9943-4D08C7E5A001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F144-43DB-9943-4D08C7E5A001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11'!$P$3:$P$15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11'!$R$3:$R$15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144-43DB-9943-4D08C7E5A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11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11'!$U$2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1D2-42D3-8BBE-7597FB6C6C7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1D2-42D3-8BBE-7597FB6C6C79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1D2-42D3-8BBE-7597FB6C6C79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1D2-42D3-8BBE-7597FB6C6C79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F1D2-42D3-8BBE-7597FB6C6C79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1D2-42D3-8BBE-7597FB6C6C79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1D2-42D3-8BBE-7597FB6C6C79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F1D2-42D3-8BBE-7597FB6C6C79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1D2-42D3-8BBE-7597FB6C6C79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F1D2-42D3-8BBE-7597FB6C6C79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1D2-42D3-8BBE-7597FB6C6C79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F1D2-42D3-8BBE-7597FB6C6C79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F1D2-42D3-8BBE-7597FB6C6C79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11'!$T$4:$T$15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11'!$U$4:$U$15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1D2-42D3-8BBE-7597FB6C6C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0"/>
              <a:t>Dépouillement du bureau 12 - Base nautique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01892620345823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12'!$D$13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9E7FD"/>
              </a:solidFill>
              <a:ln w="63500" cap="flat" cmpd="sng" algn="ctr">
                <a:solidFill>
                  <a:srgbClr val="D9E7F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7426-436A-B88C-5D0872848DD9}"/>
              </c:ext>
            </c:extLst>
          </c:dPt>
          <c:dPt>
            <c:idx val="1"/>
            <c:invertIfNegative val="0"/>
            <c:bubble3D val="0"/>
            <c:spPr>
              <a:solidFill>
                <a:srgbClr val="FBDAD7"/>
              </a:solidFill>
              <a:ln w="63500" cap="flat" cmpd="sng" algn="ctr">
                <a:solidFill>
                  <a:srgbClr val="FBDAD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7426-436A-B88C-5D0872848DD9}"/>
              </c:ext>
            </c:extLst>
          </c:dPt>
          <c:dPt>
            <c:idx val="2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7426-436A-B88C-5D0872848DD9}"/>
              </c:ext>
            </c:extLst>
          </c:dPt>
          <c:dPt>
            <c:idx val="3"/>
            <c:invertIfNegative val="0"/>
            <c:bubble3D val="0"/>
            <c:spPr>
              <a:solidFill>
                <a:srgbClr val="D1F1DA"/>
              </a:solidFill>
              <a:ln w="63500" cap="flat" cmpd="sng" algn="ctr">
                <a:solidFill>
                  <a:srgbClr val="D1F1DA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7426-436A-B88C-5D0872848DD9}"/>
              </c:ext>
            </c:extLst>
          </c:dPt>
          <c:dPt>
            <c:idx val="4"/>
            <c:invertIfNegative val="0"/>
            <c:bubble3D val="0"/>
            <c:spPr>
              <a:solidFill>
                <a:srgbClr val="FFE1CC"/>
              </a:solidFill>
              <a:ln w="63500" cap="flat" cmpd="sng" algn="ctr">
                <a:solidFill>
                  <a:srgbClr val="FFE1CC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7426-436A-B88C-5D0872848DD9}"/>
              </c:ext>
            </c:extLst>
          </c:dPt>
          <c:dPt>
            <c:idx val="5"/>
            <c:invertIfNegative val="0"/>
            <c:bubble3D val="0"/>
            <c:spPr>
              <a:solidFill>
                <a:srgbClr val="B3CEFB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7426-436A-B88C-5D0872848DD9}"/>
              </c:ext>
            </c:extLst>
          </c:dPt>
          <c:dPt>
            <c:idx val="6"/>
            <c:invertIfNegative val="0"/>
            <c:bubble3D val="0"/>
            <c:spPr>
              <a:solidFill>
                <a:srgbClr val="F7B4AE"/>
              </a:solidFill>
              <a:ln w="63500" cap="flat" cmpd="sng" algn="ctr">
                <a:solidFill>
                  <a:srgbClr val="F7B4A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7426-436A-B88C-5D0872848DD9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7426-436A-B88C-5D0872848DD9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  <a:ln w="63500" cap="flat" cmpd="sng" algn="ctr">
                <a:solidFill>
                  <a:srgbClr val="BFBFBF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7426-436A-B88C-5D0872848DD9}"/>
              </c:ext>
            </c:extLst>
          </c:dPt>
          <c:dPt>
            <c:idx val="9"/>
            <c:invertIfNegative val="0"/>
            <c:bubble3D val="0"/>
            <c:spPr>
              <a:solidFill>
                <a:srgbClr val="81160E"/>
              </a:solidFill>
              <a:ln w="63500" cap="flat" cmpd="sng" algn="ctr">
                <a:solidFill>
                  <a:srgbClr val="81160E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7426-436A-B88C-5D0872848DD9}"/>
              </c:ext>
            </c:extLst>
          </c:dPt>
          <c:dPt>
            <c:idx val="10"/>
            <c:invertIfNegative val="0"/>
            <c:bubble3D val="0"/>
            <c:spPr>
              <a:solidFill>
                <a:srgbClr val="FEF2CD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7426-436A-B88C-5D0872848DD9}"/>
              </c:ext>
            </c:extLst>
          </c:dPt>
          <c:dPt>
            <c:idx val="11"/>
            <c:invertIfNegative val="0"/>
            <c:bubble3D val="0"/>
            <c:spPr>
              <a:solidFill>
                <a:srgbClr val="FDE49B"/>
              </a:solidFill>
              <a:ln w="63500" cap="flat" cmpd="sng" algn="ctr">
                <a:solidFill>
                  <a:srgbClr val="FDE49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7426-436A-B88C-5D0872848DD9}"/>
              </c:ext>
            </c:extLst>
          </c:dPt>
          <c:dPt>
            <c:idx val="12"/>
            <c:invertIfNegative val="0"/>
            <c:bubble3D val="0"/>
            <c:spPr>
              <a:solidFill>
                <a:srgbClr val="FDD868"/>
              </a:solidFill>
              <a:ln w="63500" cap="flat">
                <a:solidFill>
                  <a:srgbClr val="FDD868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7426-436A-B88C-5D0872848DD9}"/>
              </c:ext>
            </c:extLst>
          </c:dPt>
          <c:dPt>
            <c:idx val="13"/>
            <c:invertIfNegative val="0"/>
            <c:bubble3D val="0"/>
            <c:spPr>
              <a:solidFill>
                <a:srgbClr val="BC8E03"/>
              </a:solidFill>
              <a:ln w="63500" cap="flat">
                <a:solidFill>
                  <a:srgbClr val="BC8E03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7426-436A-B88C-5D0872848DD9}"/>
              </c:ext>
            </c:extLst>
          </c:dPt>
          <c:dPt>
            <c:idx val="14"/>
            <c:invertIfNegative val="0"/>
            <c:bubble3D val="0"/>
            <c:spPr>
              <a:solidFill>
                <a:srgbClr val="7D5F02"/>
              </a:solidFill>
              <a:ln w="63500" cap="flat">
                <a:solidFill>
                  <a:srgbClr val="7D5F02"/>
                </a:solidFill>
              </a:ln>
            </c:spPr>
            <c:extLst>
              <c:ext xmlns:c16="http://schemas.microsoft.com/office/drawing/2014/chart" uri="{C3380CC4-5D6E-409C-BE32-E72D297353CC}">
                <c16:uniqueId val="{0000001D-7426-436A-B88C-5D0872848DD9}"/>
              </c:ext>
            </c:extLst>
          </c:dPt>
          <c:dPt>
            <c:idx val="15"/>
            <c:invertIfNegative val="0"/>
            <c:bubble3D val="0"/>
            <c:spPr>
              <a:solidFill>
                <a:srgbClr val="D1F1DA"/>
              </a:solidFill>
              <a:ln w="63500" cap="flat">
                <a:solidFill>
                  <a:srgbClr val="D1F1DA"/>
                </a:solidFill>
              </a:ln>
            </c:spPr>
            <c:extLst>
              <c:ext xmlns:c16="http://schemas.microsoft.com/office/drawing/2014/chart" uri="{C3380CC4-5D6E-409C-BE32-E72D297353CC}">
                <c16:uniqueId val="{0000001F-7426-436A-B88C-5D0872848DD9}"/>
              </c:ext>
            </c:extLst>
          </c:dPt>
          <c:dPt>
            <c:idx val="16"/>
            <c:invertIfNegative val="0"/>
            <c:bubble3D val="0"/>
            <c:spPr>
              <a:solidFill>
                <a:srgbClr val="A6E3B7"/>
              </a:solidFill>
              <a:ln w="63500" cap="flat">
                <a:solidFill>
                  <a:srgbClr val="A6E3B7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7426-436A-B88C-5D0872848DD9}"/>
              </c:ext>
            </c:extLst>
          </c:dPt>
          <c:dPt>
            <c:idx val="17"/>
            <c:invertIfNegative val="0"/>
            <c:bubble3D val="0"/>
            <c:spPr>
              <a:solidFill>
                <a:srgbClr val="7AD694"/>
              </a:solidFill>
              <a:ln w="63500" cap="flat">
                <a:solidFill>
                  <a:srgbClr val="7AD694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7426-436A-B88C-5D0872848DD9}"/>
              </c:ext>
            </c:extLst>
          </c:dPt>
          <c:dPt>
            <c:idx val="18"/>
            <c:invertIfNegative val="0"/>
            <c:bubble3D val="0"/>
            <c:spPr>
              <a:solidFill>
                <a:srgbClr val="277E40"/>
              </a:solidFill>
              <a:ln w="63500" cap="flat">
                <a:solidFill>
                  <a:srgbClr val="277E40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7426-436A-B88C-5D0872848DD9}"/>
              </c:ext>
            </c:extLst>
          </c:dPt>
          <c:dPt>
            <c:idx val="19"/>
            <c:invertIfNegative val="0"/>
            <c:bubble3D val="0"/>
            <c:spPr>
              <a:solidFill>
                <a:srgbClr val="FEF2CD"/>
              </a:solidFill>
              <a:ln w="63500" cap="flat">
                <a:solidFill>
                  <a:srgbClr val="FEF2CD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7426-436A-B88C-5D0872848DD9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7426-436A-B88C-5D0872848DD9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  <a:ln w="63500" cap="flat">
                <a:solidFill>
                  <a:srgbClr val="BFBFBF"/>
                </a:solidFill>
              </a:ln>
            </c:spPr>
            <c:extLst>
              <c:ext xmlns:c16="http://schemas.microsoft.com/office/drawing/2014/chart" uri="{C3380CC4-5D6E-409C-BE32-E72D297353CC}">
                <c16:uniqueId val="{0000002B-7426-436A-B88C-5D0872848D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12'!$E$2:$M$2</c:f>
              <c:strCache>
                <c:ptCount val="9"/>
                <c:pt idx="0">
                  <c:v>Candidat(e)
1</c:v>
                </c:pt>
                <c:pt idx="1">
                  <c:v>Candidat(e)
2</c:v>
                </c:pt>
                <c:pt idx="2">
                  <c:v>Candidat(e)
3</c:v>
                </c:pt>
                <c:pt idx="3">
                  <c:v>Candidat(e)
4</c:v>
                </c:pt>
                <c:pt idx="4">
                  <c:v>Candidat(e)
5</c:v>
                </c:pt>
                <c:pt idx="5">
                  <c:v>Candidat(e)
6</c:v>
                </c:pt>
                <c:pt idx="6">
                  <c:v>Candidat(e)
7</c:v>
                </c:pt>
                <c:pt idx="7">
                  <c:v>Blancs</c:v>
                </c:pt>
                <c:pt idx="8">
                  <c:v>Nuls</c:v>
                </c:pt>
              </c:strCache>
            </c:strRef>
          </c:cat>
          <c:val>
            <c:numRef>
              <c:f>'Bureau 12'!$E$14:$M$14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26-436A-B88C-5D0872848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Taux de participation du bureau 12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12'!$R$2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27D-4749-81C4-888155776B14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27D-4749-81C4-888155776B14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27D-4749-81C4-888155776B14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27D-4749-81C4-888155776B14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527D-4749-81C4-888155776B14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527D-4749-81C4-888155776B14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527D-4749-81C4-888155776B14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527D-4749-81C4-888155776B14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527D-4749-81C4-888155776B14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527D-4749-81C4-888155776B14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527D-4749-81C4-888155776B14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527D-4749-81C4-888155776B14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527D-4749-81C4-888155776B14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12'!$P$3:$P$15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12'!$R$3:$R$15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27D-4749-81C4-888155776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sz="1800" b="0" i="0" u="none" strike="noStrike" kern="1200" baseline="0">
                <a:solidFill>
                  <a:srgbClr val="757575"/>
                </a:solidFill>
              </a:rPr>
              <a:t>Participation horaire du Bureau 12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12'!$U$2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74E8-4D7A-A2EA-1B3C5A62D892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4E8-4D7A-A2EA-1B3C5A62D892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74E8-4D7A-A2EA-1B3C5A62D892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4E8-4D7A-A2EA-1B3C5A62D892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4E8-4D7A-A2EA-1B3C5A62D892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4E8-4D7A-A2EA-1B3C5A62D892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74E8-4D7A-A2EA-1B3C5A62D892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4E8-4D7A-A2EA-1B3C5A62D892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74E8-4D7A-A2EA-1B3C5A62D892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74E8-4D7A-A2EA-1B3C5A62D892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74E8-4D7A-A2EA-1B3C5A62D892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74E8-4D7A-A2EA-1B3C5A62D892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74E8-4D7A-A2EA-1B3C5A62D892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12'!$T$4:$T$15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12'!$U$4:$U$15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4E8-4D7A-A2EA-1B3C5A62D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showDLblsOverMax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376802</xdr:colOff>
      <xdr:row>16</xdr:row>
      <xdr:rowOff>148808</xdr:rowOff>
    </xdr:from>
    <xdr:ext cx="12210311" cy="5562600"/>
    <xdr:graphicFrame macro="">
      <xdr:nvGraphicFramePr>
        <xdr:cNvPr id="2" name="Chart 1" title="Graphiqu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25</xdr:row>
          <xdr:rowOff>47625</xdr:rowOff>
        </xdr:from>
        <xdr:to>
          <xdr:col>7</xdr:col>
          <xdr:colOff>140758</xdr:colOff>
          <xdr:row>27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Simuler dépouillement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619125</xdr:colOff>
          <xdr:row>28</xdr:row>
          <xdr:rowOff>85725</xdr:rowOff>
        </xdr:from>
        <xdr:to>
          <xdr:col>7</xdr:col>
          <xdr:colOff>150283</xdr:colOff>
          <xdr:row>30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Réinitialiser dépouillement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447675</xdr:colOff>
          <xdr:row>9</xdr:row>
          <xdr:rowOff>152400</xdr:rowOff>
        </xdr:from>
        <xdr:to>
          <xdr:col>23</xdr:col>
          <xdr:colOff>219075</xdr:colOff>
          <xdr:row>14</xdr:row>
          <xdr:rowOff>57150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Répliquer le nom et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la couleur des candidats dans les onglets</a:t>
              </a:r>
            </a:p>
            <a:p>
              <a:pPr algn="ctr" rtl="0">
                <a:defRPr sz="1000"/>
              </a:pPr>
              <a:endParaRPr lang="fr-F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238125</xdr:colOff>
          <xdr:row>31</xdr:row>
          <xdr:rowOff>9525</xdr:rowOff>
        </xdr:from>
        <xdr:to>
          <xdr:col>32</xdr:col>
          <xdr:colOff>28575</xdr:colOff>
          <xdr:row>32</xdr:row>
          <xdr:rowOff>9525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les boutons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182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354402</xdr:colOff>
      <xdr:row>17</xdr:row>
      <xdr:rowOff>151318</xdr:rowOff>
    </xdr:from>
    <xdr:ext cx="15435931" cy="604264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466725</xdr:colOff>
          <xdr:row>4</xdr:row>
          <xdr:rowOff>133350</xdr:rowOff>
        </xdr:from>
        <xdr:to>
          <xdr:col>38</xdr:col>
          <xdr:colOff>66675</xdr:colOff>
          <xdr:row>8</xdr:row>
          <xdr:rowOff>57150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Importer la participation du tour précédent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35</xdr:col>
      <xdr:colOff>284443</xdr:colOff>
      <xdr:row>21</xdr:row>
      <xdr:rowOff>147918</xdr:rowOff>
    </xdr:from>
    <xdr:to>
      <xdr:col>36</xdr:col>
      <xdr:colOff>635560</xdr:colOff>
      <xdr:row>23</xdr:row>
      <xdr:rowOff>88153</xdr:rowOff>
    </xdr:to>
    <xdr:sp macro="ToggleBureauButton" textlink="">
      <xdr:nvSpPr>
        <xdr:cNvPr id="2" name="btn_1erTour_Bureau1">
          <a:extLst>
            <a:ext uri="{FF2B5EF4-FFF2-40B4-BE49-F238E27FC236}">
              <a16:creationId xmlns:a16="http://schemas.microsoft.com/office/drawing/2014/main" id="{586DD7FA-8278-9A67-7E04-A4272BF19D1D}"/>
            </a:ext>
          </a:extLst>
        </xdr:cNvPr>
        <xdr:cNvSpPr/>
      </xdr:nvSpPr>
      <xdr:spPr>
        <a:xfrm>
          <a:off x="19681825" y="430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</a:t>
          </a:r>
        </a:p>
      </xdr:txBody>
    </xdr:sp>
    <xdr:clientData/>
  </xdr:twoCellAnchor>
  <xdr:twoCellAnchor>
    <xdr:from>
      <xdr:col>35</xdr:col>
      <xdr:colOff>284443</xdr:colOff>
      <xdr:row>23</xdr:row>
      <xdr:rowOff>151653</xdr:rowOff>
    </xdr:from>
    <xdr:to>
      <xdr:col>36</xdr:col>
      <xdr:colOff>635560</xdr:colOff>
      <xdr:row>25</xdr:row>
      <xdr:rowOff>91888</xdr:rowOff>
    </xdr:to>
    <xdr:sp macro="ToggleBureauButton" textlink="">
      <xdr:nvSpPr>
        <xdr:cNvPr id="4" name="btn_1erTour_Bureau2">
          <a:extLst>
            <a:ext uri="{FF2B5EF4-FFF2-40B4-BE49-F238E27FC236}">
              <a16:creationId xmlns:a16="http://schemas.microsoft.com/office/drawing/2014/main" id="{7C4AB28B-1062-EECD-C6E1-0A790FE87E05}"/>
            </a:ext>
          </a:extLst>
        </xdr:cNvPr>
        <xdr:cNvSpPr/>
      </xdr:nvSpPr>
      <xdr:spPr>
        <a:xfrm>
          <a:off x="19681825" y="4622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2</a:t>
          </a:r>
        </a:p>
      </xdr:txBody>
    </xdr:sp>
    <xdr:clientData/>
  </xdr:twoCellAnchor>
  <xdr:twoCellAnchor>
    <xdr:from>
      <xdr:col>35</xdr:col>
      <xdr:colOff>284443</xdr:colOff>
      <xdr:row>25</xdr:row>
      <xdr:rowOff>155388</xdr:rowOff>
    </xdr:from>
    <xdr:to>
      <xdr:col>36</xdr:col>
      <xdr:colOff>635560</xdr:colOff>
      <xdr:row>27</xdr:row>
      <xdr:rowOff>95624</xdr:rowOff>
    </xdr:to>
    <xdr:sp macro="ToggleBureauButton" textlink="">
      <xdr:nvSpPr>
        <xdr:cNvPr id="5" name="btn_1erTour_Bureau3">
          <a:extLst>
            <a:ext uri="{FF2B5EF4-FFF2-40B4-BE49-F238E27FC236}">
              <a16:creationId xmlns:a16="http://schemas.microsoft.com/office/drawing/2014/main" id="{9BF3F7B4-895B-05C8-7A4E-05FB3AAE321E}"/>
            </a:ext>
          </a:extLst>
        </xdr:cNvPr>
        <xdr:cNvSpPr/>
      </xdr:nvSpPr>
      <xdr:spPr>
        <a:xfrm>
          <a:off x="19681825" y="4940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3</a:t>
          </a:r>
        </a:p>
      </xdr:txBody>
    </xdr:sp>
    <xdr:clientData/>
  </xdr:twoCellAnchor>
  <xdr:twoCellAnchor>
    <xdr:from>
      <xdr:col>35</xdr:col>
      <xdr:colOff>284443</xdr:colOff>
      <xdr:row>27</xdr:row>
      <xdr:rowOff>159124</xdr:rowOff>
    </xdr:from>
    <xdr:to>
      <xdr:col>36</xdr:col>
      <xdr:colOff>635560</xdr:colOff>
      <xdr:row>29</xdr:row>
      <xdr:rowOff>54535</xdr:rowOff>
    </xdr:to>
    <xdr:sp macro="ToggleBureauButton" textlink="">
      <xdr:nvSpPr>
        <xdr:cNvPr id="6" name="btn_1erTour_Bureau4">
          <a:extLst>
            <a:ext uri="{FF2B5EF4-FFF2-40B4-BE49-F238E27FC236}">
              <a16:creationId xmlns:a16="http://schemas.microsoft.com/office/drawing/2014/main" id="{8B1401AC-874A-AB50-D73E-0DC17010CAD8}"/>
            </a:ext>
          </a:extLst>
        </xdr:cNvPr>
        <xdr:cNvSpPr/>
      </xdr:nvSpPr>
      <xdr:spPr>
        <a:xfrm>
          <a:off x="19681825" y="5257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4</a:t>
          </a:r>
        </a:p>
      </xdr:txBody>
    </xdr:sp>
    <xdr:clientData/>
  </xdr:twoCellAnchor>
  <xdr:twoCellAnchor>
    <xdr:from>
      <xdr:col>35</xdr:col>
      <xdr:colOff>284443</xdr:colOff>
      <xdr:row>29</xdr:row>
      <xdr:rowOff>118035</xdr:rowOff>
    </xdr:from>
    <xdr:to>
      <xdr:col>36</xdr:col>
      <xdr:colOff>635560</xdr:colOff>
      <xdr:row>31</xdr:row>
      <xdr:rowOff>58271</xdr:rowOff>
    </xdr:to>
    <xdr:sp macro="ToggleBureauButton" textlink="">
      <xdr:nvSpPr>
        <xdr:cNvPr id="7" name="btn_1erTour_Bureau5">
          <a:extLst>
            <a:ext uri="{FF2B5EF4-FFF2-40B4-BE49-F238E27FC236}">
              <a16:creationId xmlns:a16="http://schemas.microsoft.com/office/drawing/2014/main" id="{EF206660-3A33-B9DA-F4F4-F8BA78C3218B}"/>
            </a:ext>
          </a:extLst>
        </xdr:cNvPr>
        <xdr:cNvSpPr/>
      </xdr:nvSpPr>
      <xdr:spPr>
        <a:xfrm>
          <a:off x="19681825" y="557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5</a:t>
          </a:r>
        </a:p>
      </xdr:txBody>
    </xdr:sp>
    <xdr:clientData/>
  </xdr:twoCellAnchor>
  <xdr:twoCellAnchor>
    <xdr:from>
      <xdr:col>35</xdr:col>
      <xdr:colOff>284443</xdr:colOff>
      <xdr:row>31</xdr:row>
      <xdr:rowOff>121771</xdr:rowOff>
    </xdr:from>
    <xdr:to>
      <xdr:col>36</xdr:col>
      <xdr:colOff>635560</xdr:colOff>
      <xdr:row>32</xdr:row>
      <xdr:rowOff>174065</xdr:rowOff>
    </xdr:to>
    <xdr:sp macro="ToggleBureauButton" textlink="">
      <xdr:nvSpPr>
        <xdr:cNvPr id="8" name="btn_1erTour_Bureau6">
          <a:extLst>
            <a:ext uri="{FF2B5EF4-FFF2-40B4-BE49-F238E27FC236}">
              <a16:creationId xmlns:a16="http://schemas.microsoft.com/office/drawing/2014/main" id="{8C20D334-827C-3636-73B5-80A15874D0FA}"/>
            </a:ext>
          </a:extLst>
        </xdr:cNvPr>
        <xdr:cNvSpPr/>
      </xdr:nvSpPr>
      <xdr:spPr>
        <a:xfrm>
          <a:off x="19681825" y="5892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6</a:t>
          </a:r>
        </a:p>
      </xdr:txBody>
    </xdr:sp>
    <xdr:clientData/>
  </xdr:twoCellAnchor>
  <xdr:twoCellAnchor>
    <xdr:from>
      <xdr:col>35</xdr:col>
      <xdr:colOff>284443</xdr:colOff>
      <xdr:row>33</xdr:row>
      <xdr:rowOff>35859</xdr:rowOff>
    </xdr:from>
    <xdr:to>
      <xdr:col>36</xdr:col>
      <xdr:colOff>635560</xdr:colOff>
      <xdr:row>34</xdr:row>
      <xdr:rowOff>88153</xdr:rowOff>
    </xdr:to>
    <xdr:sp macro="ToggleBureauButton" textlink="">
      <xdr:nvSpPr>
        <xdr:cNvPr id="9" name="btn_1erTour_Bureau7">
          <a:extLst>
            <a:ext uri="{FF2B5EF4-FFF2-40B4-BE49-F238E27FC236}">
              <a16:creationId xmlns:a16="http://schemas.microsoft.com/office/drawing/2014/main" id="{AE5D1B2C-AD56-018A-C48B-9A508FABF0E0}"/>
            </a:ext>
          </a:extLst>
        </xdr:cNvPr>
        <xdr:cNvSpPr/>
      </xdr:nvSpPr>
      <xdr:spPr>
        <a:xfrm>
          <a:off x="19681825" y="6210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7</a:t>
          </a:r>
        </a:p>
      </xdr:txBody>
    </xdr:sp>
    <xdr:clientData/>
  </xdr:twoCellAnchor>
  <xdr:twoCellAnchor>
    <xdr:from>
      <xdr:col>35</xdr:col>
      <xdr:colOff>284443</xdr:colOff>
      <xdr:row>34</xdr:row>
      <xdr:rowOff>151653</xdr:rowOff>
    </xdr:from>
    <xdr:to>
      <xdr:col>36</xdr:col>
      <xdr:colOff>635560</xdr:colOff>
      <xdr:row>36</xdr:row>
      <xdr:rowOff>35859</xdr:rowOff>
    </xdr:to>
    <xdr:sp macro="ToggleBureauButton" textlink="">
      <xdr:nvSpPr>
        <xdr:cNvPr id="10" name="btn_1erTour_Bureau8">
          <a:extLst>
            <a:ext uri="{FF2B5EF4-FFF2-40B4-BE49-F238E27FC236}">
              <a16:creationId xmlns:a16="http://schemas.microsoft.com/office/drawing/2014/main" id="{8C63F74C-FFC9-3B36-82EF-ECFC38567BDD}"/>
            </a:ext>
          </a:extLst>
        </xdr:cNvPr>
        <xdr:cNvSpPr/>
      </xdr:nvSpPr>
      <xdr:spPr>
        <a:xfrm>
          <a:off x="19681825" y="6527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8</a:t>
          </a:r>
        </a:p>
      </xdr:txBody>
    </xdr:sp>
    <xdr:clientData/>
  </xdr:twoCellAnchor>
  <xdr:twoCellAnchor>
    <xdr:from>
      <xdr:col>35</xdr:col>
      <xdr:colOff>284443</xdr:colOff>
      <xdr:row>36</xdr:row>
      <xdr:rowOff>99359</xdr:rowOff>
    </xdr:from>
    <xdr:to>
      <xdr:col>36</xdr:col>
      <xdr:colOff>635560</xdr:colOff>
      <xdr:row>38</xdr:row>
      <xdr:rowOff>28388</xdr:rowOff>
    </xdr:to>
    <xdr:sp macro="ToggleBureauButton" textlink="">
      <xdr:nvSpPr>
        <xdr:cNvPr id="11" name="btn_1erTour_Bureau9">
          <a:extLst>
            <a:ext uri="{FF2B5EF4-FFF2-40B4-BE49-F238E27FC236}">
              <a16:creationId xmlns:a16="http://schemas.microsoft.com/office/drawing/2014/main" id="{D16CD7BB-4A22-9039-2C8B-1369C853F9A3}"/>
            </a:ext>
          </a:extLst>
        </xdr:cNvPr>
        <xdr:cNvSpPr/>
      </xdr:nvSpPr>
      <xdr:spPr>
        <a:xfrm>
          <a:off x="19681825" y="684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9</a:t>
          </a:r>
        </a:p>
      </xdr:txBody>
    </xdr:sp>
    <xdr:clientData/>
  </xdr:twoCellAnchor>
  <xdr:twoCellAnchor>
    <xdr:from>
      <xdr:col>35</xdr:col>
      <xdr:colOff>284443</xdr:colOff>
      <xdr:row>38</xdr:row>
      <xdr:rowOff>91888</xdr:rowOff>
    </xdr:from>
    <xdr:to>
      <xdr:col>36</xdr:col>
      <xdr:colOff>635560</xdr:colOff>
      <xdr:row>40</xdr:row>
      <xdr:rowOff>32124</xdr:rowOff>
    </xdr:to>
    <xdr:sp macro="ToggleBureauButton" textlink="">
      <xdr:nvSpPr>
        <xdr:cNvPr id="12" name="btn_1erTour_Bureau10">
          <a:extLst>
            <a:ext uri="{FF2B5EF4-FFF2-40B4-BE49-F238E27FC236}">
              <a16:creationId xmlns:a16="http://schemas.microsoft.com/office/drawing/2014/main" id="{41BB704B-A24B-6062-BB8C-2DAE0F3D4FA0}"/>
            </a:ext>
          </a:extLst>
        </xdr:cNvPr>
        <xdr:cNvSpPr/>
      </xdr:nvSpPr>
      <xdr:spPr>
        <a:xfrm>
          <a:off x="19681825" y="7162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10</a:t>
          </a:r>
        </a:p>
      </xdr:txBody>
    </xdr:sp>
    <xdr:clientData/>
  </xdr:twoCellAnchor>
  <xdr:twoCellAnchor>
    <xdr:from>
      <xdr:col>35</xdr:col>
      <xdr:colOff>284443</xdr:colOff>
      <xdr:row>40</xdr:row>
      <xdr:rowOff>95624</xdr:rowOff>
    </xdr:from>
    <xdr:to>
      <xdr:col>36</xdr:col>
      <xdr:colOff>635560</xdr:colOff>
      <xdr:row>42</xdr:row>
      <xdr:rowOff>35859</xdr:rowOff>
    </xdr:to>
    <xdr:sp macro="ToggleBureauButton" textlink="">
      <xdr:nvSpPr>
        <xdr:cNvPr id="13" name="btn_1erTour_Bureau11">
          <a:extLst>
            <a:ext uri="{FF2B5EF4-FFF2-40B4-BE49-F238E27FC236}">
              <a16:creationId xmlns:a16="http://schemas.microsoft.com/office/drawing/2014/main" id="{839E981B-ECC4-1545-CC67-018B386F611A}"/>
            </a:ext>
          </a:extLst>
        </xdr:cNvPr>
        <xdr:cNvSpPr/>
      </xdr:nvSpPr>
      <xdr:spPr>
        <a:xfrm>
          <a:off x="19681825" y="7480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11</a:t>
          </a:r>
        </a:p>
      </xdr:txBody>
    </xdr:sp>
    <xdr:clientData/>
  </xdr:twoCellAnchor>
  <xdr:twoCellAnchor>
    <xdr:from>
      <xdr:col>35</xdr:col>
      <xdr:colOff>284443</xdr:colOff>
      <xdr:row>42</xdr:row>
      <xdr:rowOff>99359</xdr:rowOff>
    </xdr:from>
    <xdr:to>
      <xdr:col>36</xdr:col>
      <xdr:colOff>635560</xdr:colOff>
      <xdr:row>44</xdr:row>
      <xdr:rowOff>39594</xdr:rowOff>
    </xdr:to>
    <xdr:sp macro="ToggleBureauButton" textlink="">
      <xdr:nvSpPr>
        <xdr:cNvPr id="14" name="btn_1erTour_Bureau12">
          <a:extLst>
            <a:ext uri="{FF2B5EF4-FFF2-40B4-BE49-F238E27FC236}">
              <a16:creationId xmlns:a16="http://schemas.microsoft.com/office/drawing/2014/main" id="{803D5813-C79F-FCE1-5D54-0425CE4A3D84}"/>
            </a:ext>
          </a:extLst>
        </xdr:cNvPr>
        <xdr:cNvSpPr/>
      </xdr:nvSpPr>
      <xdr:spPr>
        <a:xfrm>
          <a:off x="19681825" y="77978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12</a:t>
          </a:r>
        </a:p>
      </xdr:txBody>
    </xdr:sp>
    <xdr:clientData/>
  </xdr:twoCellAnchor>
  <xdr:twoCellAnchor>
    <xdr:from>
      <xdr:col>35</xdr:col>
      <xdr:colOff>284443</xdr:colOff>
      <xdr:row>44</xdr:row>
      <xdr:rowOff>103094</xdr:rowOff>
    </xdr:from>
    <xdr:to>
      <xdr:col>36</xdr:col>
      <xdr:colOff>635560</xdr:colOff>
      <xdr:row>46</xdr:row>
      <xdr:rowOff>43329</xdr:rowOff>
    </xdr:to>
    <xdr:sp macro="Toggle_Total" textlink="">
      <xdr:nvSpPr>
        <xdr:cNvPr id="15" name="btn_1erTour_Total">
          <a:extLst>
            <a:ext uri="{FF2B5EF4-FFF2-40B4-BE49-F238E27FC236}">
              <a16:creationId xmlns:a16="http://schemas.microsoft.com/office/drawing/2014/main" id="{D59493E7-0D43-ECF1-4D9E-D0435FE5477A}"/>
            </a:ext>
          </a:extLst>
        </xdr:cNvPr>
        <xdr:cNvSpPr/>
      </xdr:nvSpPr>
      <xdr:spPr>
        <a:xfrm>
          <a:off x="19681825" y="81153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Total</a:t>
          </a:r>
        </a:p>
      </xdr:txBody>
    </xdr:sp>
    <xdr:clientData/>
  </xdr:twoCellAnchor>
  <xdr:twoCellAnchor>
    <xdr:from>
      <xdr:col>35</xdr:col>
      <xdr:colOff>284443</xdr:colOff>
      <xdr:row>46</xdr:row>
      <xdr:rowOff>106829</xdr:rowOff>
    </xdr:from>
    <xdr:to>
      <xdr:col>36</xdr:col>
      <xdr:colOff>635560</xdr:colOff>
      <xdr:row>48</xdr:row>
      <xdr:rowOff>47065</xdr:rowOff>
    </xdr:to>
    <xdr:sp macro="AfficherToutPremierTour" textlink="">
      <xdr:nvSpPr>
        <xdr:cNvPr id="16" name="btn_AfficherTout">
          <a:extLst>
            <a:ext uri="{FF2B5EF4-FFF2-40B4-BE49-F238E27FC236}">
              <a16:creationId xmlns:a16="http://schemas.microsoft.com/office/drawing/2014/main" id="{3235D67E-EFC9-68BE-F739-BB816338C18C}"/>
            </a:ext>
          </a:extLst>
        </xdr:cNvPr>
        <xdr:cNvSpPr/>
      </xdr:nvSpPr>
      <xdr:spPr>
        <a:xfrm>
          <a:off x="19681825" y="8432800"/>
          <a:ext cx="1270000" cy="254000"/>
        </a:xfrm>
        <a:prstGeom prst="rect">
          <a:avLst/>
        </a:prstGeom>
        <a:solidFill>
          <a:srgbClr val="C8C8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Afficher Tout</a:t>
          </a:r>
        </a:p>
      </xdr:txBody>
    </xdr:sp>
    <xdr:clientData/>
  </xdr:twoCellAnchor>
  <xdr:twoCellAnchor>
    <xdr:from>
      <xdr:col>35</xdr:col>
      <xdr:colOff>284443</xdr:colOff>
      <xdr:row>48</xdr:row>
      <xdr:rowOff>110565</xdr:rowOff>
    </xdr:from>
    <xdr:to>
      <xdr:col>36</xdr:col>
      <xdr:colOff>635560</xdr:colOff>
      <xdr:row>50</xdr:row>
      <xdr:rowOff>39594</xdr:rowOff>
    </xdr:to>
    <xdr:sp macro="EffacerToutPremierTour" textlink="">
      <xdr:nvSpPr>
        <xdr:cNvPr id="17" name="btn_EffacerTout">
          <a:extLst>
            <a:ext uri="{FF2B5EF4-FFF2-40B4-BE49-F238E27FC236}">
              <a16:creationId xmlns:a16="http://schemas.microsoft.com/office/drawing/2014/main" id="{B67AE902-4215-6B5C-5BEF-E2E98A0421FF}"/>
            </a:ext>
          </a:extLst>
        </xdr:cNvPr>
        <xdr:cNvSpPr/>
      </xdr:nvSpPr>
      <xdr:spPr>
        <a:xfrm>
          <a:off x="19681825" y="8750300"/>
          <a:ext cx="1270000" cy="254000"/>
        </a:xfrm>
        <a:prstGeom prst="rect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Effacer Tout</a:t>
          </a:r>
        </a:p>
      </xdr:txBody>
    </xdr:sp>
    <xdr:clientData/>
  </xdr:twoCellAnchor>
  <xdr:twoCellAnchor>
    <xdr:from>
      <xdr:col>33</xdr:col>
      <xdr:colOff>293407</xdr:colOff>
      <xdr:row>21</xdr:row>
      <xdr:rowOff>147918</xdr:rowOff>
    </xdr:from>
    <xdr:to>
      <xdr:col>34</xdr:col>
      <xdr:colOff>644525</xdr:colOff>
      <xdr:row>23</xdr:row>
      <xdr:rowOff>88153</xdr:rowOff>
    </xdr:to>
    <xdr:sp macro="ToggleBureau2nd" textlink="">
      <xdr:nvSpPr>
        <xdr:cNvPr id="18" name="btn_2ndTour_Bureau1">
          <a:extLst>
            <a:ext uri="{FF2B5EF4-FFF2-40B4-BE49-F238E27FC236}">
              <a16:creationId xmlns:a16="http://schemas.microsoft.com/office/drawing/2014/main" id="{004DCD5A-75ED-E004-F620-CE96C5D21C42}"/>
            </a:ext>
          </a:extLst>
        </xdr:cNvPr>
        <xdr:cNvSpPr/>
      </xdr:nvSpPr>
      <xdr:spPr>
        <a:xfrm>
          <a:off x="17853025" y="430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</a:t>
          </a:r>
        </a:p>
      </xdr:txBody>
    </xdr:sp>
    <xdr:clientData/>
  </xdr:twoCellAnchor>
  <xdr:twoCellAnchor>
    <xdr:from>
      <xdr:col>33</xdr:col>
      <xdr:colOff>293407</xdr:colOff>
      <xdr:row>23</xdr:row>
      <xdr:rowOff>151653</xdr:rowOff>
    </xdr:from>
    <xdr:to>
      <xdr:col>34</xdr:col>
      <xdr:colOff>644525</xdr:colOff>
      <xdr:row>25</xdr:row>
      <xdr:rowOff>91888</xdr:rowOff>
    </xdr:to>
    <xdr:sp macro="ToggleBureau2nd" textlink="">
      <xdr:nvSpPr>
        <xdr:cNvPr id="19" name="btn_2ndTour_Bureau2">
          <a:extLst>
            <a:ext uri="{FF2B5EF4-FFF2-40B4-BE49-F238E27FC236}">
              <a16:creationId xmlns:a16="http://schemas.microsoft.com/office/drawing/2014/main" id="{0441AD39-E3B6-A584-C44C-059BB1B02C37}"/>
            </a:ext>
          </a:extLst>
        </xdr:cNvPr>
        <xdr:cNvSpPr/>
      </xdr:nvSpPr>
      <xdr:spPr>
        <a:xfrm>
          <a:off x="17853025" y="4622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2</a:t>
          </a:r>
        </a:p>
      </xdr:txBody>
    </xdr:sp>
    <xdr:clientData/>
  </xdr:twoCellAnchor>
  <xdr:twoCellAnchor>
    <xdr:from>
      <xdr:col>33</xdr:col>
      <xdr:colOff>293407</xdr:colOff>
      <xdr:row>25</xdr:row>
      <xdr:rowOff>155388</xdr:rowOff>
    </xdr:from>
    <xdr:to>
      <xdr:col>34</xdr:col>
      <xdr:colOff>644525</xdr:colOff>
      <xdr:row>27</xdr:row>
      <xdr:rowOff>95624</xdr:rowOff>
    </xdr:to>
    <xdr:sp macro="ToggleBureau2nd" textlink="">
      <xdr:nvSpPr>
        <xdr:cNvPr id="20" name="btn_2ndTour_Bureau3">
          <a:extLst>
            <a:ext uri="{FF2B5EF4-FFF2-40B4-BE49-F238E27FC236}">
              <a16:creationId xmlns:a16="http://schemas.microsoft.com/office/drawing/2014/main" id="{269E52F9-1781-1C2C-0216-3528F7F339AF}"/>
            </a:ext>
          </a:extLst>
        </xdr:cNvPr>
        <xdr:cNvSpPr/>
      </xdr:nvSpPr>
      <xdr:spPr>
        <a:xfrm>
          <a:off x="17853025" y="4940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3</a:t>
          </a:r>
        </a:p>
      </xdr:txBody>
    </xdr:sp>
    <xdr:clientData/>
  </xdr:twoCellAnchor>
  <xdr:twoCellAnchor>
    <xdr:from>
      <xdr:col>33</xdr:col>
      <xdr:colOff>293407</xdr:colOff>
      <xdr:row>27</xdr:row>
      <xdr:rowOff>159124</xdr:rowOff>
    </xdr:from>
    <xdr:to>
      <xdr:col>34</xdr:col>
      <xdr:colOff>644525</xdr:colOff>
      <xdr:row>29</xdr:row>
      <xdr:rowOff>54535</xdr:rowOff>
    </xdr:to>
    <xdr:sp macro="ToggleBureau2nd" textlink="">
      <xdr:nvSpPr>
        <xdr:cNvPr id="21" name="btn_2ndTour_Bureau4">
          <a:extLst>
            <a:ext uri="{FF2B5EF4-FFF2-40B4-BE49-F238E27FC236}">
              <a16:creationId xmlns:a16="http://schemas.microsoft.com/office/drawing/2014/main" id="{C3F4B78B-E565-9F69-3010-306EE20E6CFF}"/>
            </a:ext>
          </a:extLst>
        </xdr:cNvPr>
        <xdr:cNvSpPr/>
      </xdr:nvSpPr>
      <xdr:spPr>
        <a:xfrm>
          <a:off x="17853025" y="5257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4</a:t>
          </a:r>
        </a:p>
      </xdr:txBody>
    </xdr:sp>
    <xdr:clientData/>
  </xdr:twoCellAnchor>
  <xdr:twoCellAnchor>
    <xdr:from>
      <xdr:col>33</xdr:col>
      <xdr:colOff>293407</xdr:colOff>
      <xdr:row>29</xdr:row>
      <xdr:rowOff>118035</xdr:rowOff>
    </xdr:from>
    <xdr:to>
      <xdr:col>34</xdr:col>
      <xdr:colOff>644525</xdr:colOff>
      <xdr:row>31</xdr:row>
      <xdr:rowOff>58271</xdr:rowOff>
    </xdr:to>
    <xdr:sp macro="ToggleBureau2nd" textlink="">
      <xdr:nvSpPr>
        <xdr:cNvPr id="22" name="btn_2ndTour_Bureau5">
          <a:extLst>
            <a:ext uri="{FF2B5EF4-FFF2-40B4-BE49-F238E27FC236}">
              <a16:creationId xmlns:a16="http://schemas.microsoft.com/office/drawing/2014/main" id="{D755AF23-58CA-1F19-818F-8A77A1FC2E16}"/>
            </a:ext>
          </a:extLst>
        </xdr:cNvPr>
        <xdr:cNvSpPr/>
      </xdr:nvSpPr>
      <xdr:spPr>
        <a:xfrm>
          <a:off x="17853025" y="557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5</a:t>
          </a:r>
        </a:p>
      </xdr:txBody>
    </xdr:sp>
    <xdr:clientData/>
  </xdr:twoCellAnchor>
  <xdr:twoCellAnchor>
    <xdr:from>
      <xdr:col>33</xdr:col>
      <xdr:colOff>293407</xdr:colOff>
      <xdr:row>31</xdr:row>
      <xdr:rowOff>121771</xdr:rowOff>
    </xdr:from>
    <xdr:to>
      <xdr:col>34</xdr:col>
      <xdr:colOff>644525</xdr:colOff>
      <xdr:row>32</xdr:row>
      <xdr:rowOff>174065</xdr:rowOff>
    </xdr:to>
    <xdr:sp macro="ToggleBureau2nd" textlink="">
      <xdr:nvSpPr>
        <xdr:cNvPr id="23" name="btn_2ndTour_Bureau6">
          <a:extLst>
            <a:ext uri="{FF2B5EF4-FFF2-40B4-BE49-F238E27FC236}">
              <a16:creationId xmlns:a16="http://schemas.microsoft.com/office/drawing/2014/main" id="{B1B6A443-26A5-AE7E-DBB4-E7DFC7C0DEA7}"/>
            </a:ext>
          </a:extLst>
        </xdr:cNvPr>
        <xdr:cNvSpPr/>
      </xdr:nvSpPr>
      <xdr:spPr>
        <a:xfrm>
          <a:off x="17853025" y="5892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6</a:t>
          </a:r>
        </a:p>
      </xdr:txBody>
    </xdr:sp>
    <xdr:clientData/>
  </xdr:twoCellAnchor>
  <xdr:twoCellAnchor>
    <xdr:from>
      <xdr:col>33</xdr:col>
      <xdr:colOff>293407</xdr:colOff>
      <xdr:row>33</xdr:row>
      <xdr:rowOff>35859</xdr:rowOff>
    </xdr:from>
    <xdr:to>
      <xdr:col>34</xdr:col>
      <xdr:colOff>644525</xdr:colOff>
      <xdr:row>34</xdr:row>
      <xdr:rowOff>88153</xdr:rowOff>
    </xdr:to>
    <xdr:sp macro="ToggleBureau2nd" textlink="">
      <xdr:nvSpPr>
        <xdr:cNvPr id="24" name="btn_2ndTour_Bureau7">
          <a:extLst>
            <a:ext uri="{FF2B5EF4-FFF2-40B4-BE49-F238E27FC236}">
              <a16:creationId xmlns:a16="http://schemas.microsoft.com/office/drawing/2014/main" id="{DDB98C1D-00D2-AED5-120A-C1F9DCE6260A}"/>
            </a:ext>
          </a:extLst>
        </xdr:cNvPr>
        <xdr:cNvSpPr/>
      </xdr:nvSpPr>
      <xdr:spPr>
        <a:xfrm>
          <a:off x="17853025" y="6210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7</a:t>
          </a:r>
        </a:p>
      </xdr:txBody>
    </xdr:sp>
    <xdr:clientData/>
  </xdr:twoCellAnchor>
  <xdr:twoCellAnchor>
    <xdr:from>
      <xdr:col>33</xdr:col>
      <xdr:colOff>293407</xdr:colOff>
      <xdr:row>34</xdr:row>
      <xdr:rowOff>151653</xdr:rowOff>
    </xdr:from>
    <xdr:to>
      <xdr:col>34</xdr:col>
      <xdr:colOff>644525</xdr:colOff>
      <xdr:row>36</xdr:row>
      <xdr:rowOff>35859</xdr:rowOff>
    </xdr:to>
    <xdr:sp macro="ToggleBureau2nd" textlink="">
      <xdr:nvSpPr>
        <xdr:cNvPr id="25" name="btn_2ndTour_Bureau8">
          <a:extLst>
            <a:ext uri="{FF2B5EF4-FFF2-40B4-BE49-F238E27FC236}">
              <a16:creationId xmlns:a16="http://schemas.microsoft.com/office/drawing/2014/main" id="{30635637-B478-0D91-F9EA-59F9E09CA34A}"/>
            </a:ext>
          </a:extLst>
        </xdr:cNvPr>
        <xdr:cNvSpPr/>
      </xdr:nvSpPr>
      <xdr:spPr>
        <a:xfrm>
          <a:off x="17853025" y="6527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8</a:t>
          </a:r>
        </a:p>
      </xdr:txBody>
    </xdr:sp>
    <xdr:clientData/>
  </xdr:twoCellAnchor>
  <xdr:twoCellAnchor>
    <xdr:from>
      <xdr:col>33</xdr:col>
      <xdr:colOff>293407</xdr:colOff>
      <xdr:row>36</xdr:row>
      <xdr:rowOff>99359</xdr:rowOff>
    </xdr:from>
    <xdr:to>
      <xdr:col>34</xdr:col>
      <xdr:colOff>644525</xdr:colOff>
      <xdr:row>38</xdr:row>
      <xdr:rowOff>28388</xdr:rowOff>
    </xdr:to>
    <xdr:sp macro="ToggleBureau2nd" textlink="">
      <xdr:nvSpPr>
        <xdr:cNvPr id="26" name="btn_2ndTour_Bureau9">
          <a:extLst>
            <a:ext uri="{FF2B5EF4-FFF2-40B4-BE49-F238E27FC236}">
              <a16:creationId xmlns:a16="http://schemas.microsoft.com/office/drawing/2014/main" id="{2E02A64B-A32A-350A-4AE0-767F5DD772B3}"/>
            </a:ext>
          </a:extLst>
        </xdr:cNvPr>
        <xdr:cNvSpPr/>
      </xdr:nvSpPr>
      <xdr:spPr>
        <a:xfrm>
          <a:off x="17853025" y="684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9</a:t>
          </a:r>
        </a:p>
      </xdr:txBody>
    </xdr:sp>
    <xdr:clientData/>
  </xdr:twoCellAnchor>
  <xdr:twoCellAnchor>
    <xdr:from>
      <xdr:col>33</xdr:col>
      <xdr:colOff>293407</xdr:colOff>
      <xdr:row>38</xdr:row>
      <xdr:rowOff>91888</xdr:rowOff>
    </xdr:from>
    <xdr:to>
      <xdr:col>34</xdr:col>
      <xdr:colOff>644525</xdr:colOff>
      <xdr:row>40</xdr:row>
      <xdr:rowOff>32124</xdr:rowOff>
    </xdr:to>
    <xdr:sp macro="ToggleBureau2nd" textlink="">
      <xdr:nvSpPr>
        <xdr:cNvPr id="27" name="btn_2ndTour_Bureau10">
          <a:extLst>
            <a:ext uri="{FF2B5EF4-FFF2-40B4-BE49-F238E27FC236}">
              <a16:creationId xmlns:a16="http://schemas.microsoft.com/office/drawing/2014/main" id="{F68BE9C4-F161-2EF9-F376-DF430BA0F8E4}"/>
            </a:ext>
          </a:extLst>
        </xdr:cNvPr>
        <xdr:cNvSpPr/>
      </xdr:nvSpPr>
      <xdr:spPr>
        <a:xfrm>
          <a:off x="17853025" y="7162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10</a:t>
          </a:r>
        </a:p>
      </xdr:txBody>
    </xdr:sp>
    <xdr:clientData/>
  </xdr:twoCellAnchor>
  <xdr:twoCellAnchor>
    <xdr:from>
      <xdr:col>33</xdr:col>
      <xdr:colOff>293407</xdr:colOff>
      <xdr:row>40</xdr:row>
      <xdr:rowOff>95624</xdr:rowOff>
    </xdr:from>
    <xdr:to>
      <xdr:col>34</xdr:col>
      <xdr:colOff>644525</xdr:colOff>
      <xdr:row>42</xdr:row>
      <xdr:rowOff>35859</xdr:rowOff>
    </xdr:to>
    <xdr:sp macro="ToggleBureau2nd" textlink="">
      <xdr:nvSpPr>
        <xdr:cNvPr id="28" name="btn_2ndTour_Bureau11">
          <a:extLst>
            <a:ext uri="{FF2B5EF4-FFF2-40B4-BE49-F238E27FC236}">
              <a16:creationId xmlns:a16="http://schemas.microsoft.com/office/drawing/2014/main" id="{C94AF1AF-B0B4-6E38-6E46-4258A67958F8}"/>
            </a:ext>
          </a:extLst>
        </xdr:cNvPr>
        <xdr:cNvSpPr/>
      </xdr:nvSpPr>
      <xdr:spPr>
        <a:xfrm>
          <a:off x="17853025" y="7480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11</a:t>
          </a:r>
        </a:p>
      </xdr:txBody>
    </xdr:sp>
    <xdr:clientData/>
  </xdr:twoCellAnchor>
  <xdr:twoCellAnchor>
    <xdr:from>
      <xdr:col>33</xdr:col>
      <xdr:colOff>293407</xdr:colOff>
      <xdr:row>42</xdr:row>
      <xdr:rowOff>99359</xdr:rowOff>
    </xdr:from>
    <xdr:to>
      <xdr:col>34</xdr:col>
      <xdr:colOff>644525</xdr:colOff>
      <xdr:row>44</xdr:row>
      <xdr:rowOff>39594</xdr:rowOff>
    </xdr:to>
    <xdr:sp macro="ToggleBureau2nd" textlink="">
      <xdr:nvSpPr>
        <xdr:cNvPr id="29" name="btn_2ndTour_Bureau12">
          <a:extLst>
            <a:ext uri="{FF2B5EF4-FFF2-40B4-BE49-F238E27FC236}">
              <a16:creationId xmlns:a16="http://schemas.microsoft.com/office/drawing/2014/main" id="{905954F6-158A-3A49-000A-6717F664BE96}"/>
            </a:ext>
          </a:extLst>
        </xdr:cNvPr>
        <xdr:cNvSpPr/>
      </xdr:nvSpPr>
      <xdr:spPr>
        <a:xfrm>
          <a:off x="17853025" y="77978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Bureau 12</a:t>
          </a:r>
        </a:p>
      </xdr:txBody>
    </xdr:sp>
    <xdr:clientData/>
  </xdr:twoCellAnchor>
  <xdr:twoCellAnchor>
    <xdr:from>
      <xdr:col>33</xdr:col>
      <xdr:colOff>293407</xdr:colOff>
      <xdr:row>44</xdr:row>
      <xdr:rowOff>103094</xdr:rowOff>
    </xdr:from>
    <xdr:to>
      <xdr:col>34</xdr:col>
      <xdr:colOff>644525</xdr:colOff>
      <xdr:row>46</xdr:row>
      <xdr:rowOff>43329</xdr:rowOff>
    </xdr:to>
    <xdr:sp macro="Toggle_Total2nd" textlink="">
      <xdr:nvSpPr>
        <xdr:cNvPr id="30" name="btn_2ndTour_Total">
          <a:extLst>
            <a:ext uri="{FF2B5EF4-FFF2-40B4-BE49-F238E27FC236}">
              <a16:creationId xmlns:a16="http://schemas.microsoft.com/office/drawing/2014/main" id="{86C9F330-E1CD-E8E7-9B09-075E1FF9ED16}"/>
            </a:ext>
          </a:extLst>
        </xdr:cNvPr>
        <xdr:cNvSpPr/>
      </xdr:nvSpPr>
      <xdr:spPr>
        <a:xfrm>
          <a:off x="17853025" y="81153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Total</a:t>
          </a:r>
        </a:p>
      </xdr:txBody>
    </xdr:sp>
    <xdr:clientData/>
  </xdr:twoCellAnchor>
  <xdr:twoCellAnchor>
    <xdr:from>
      <xdr:col>33</xdr:col>
      <xdr:colOff>293407</xdr:colOff>
      <xdr:row>46</xdr:row>
      <xdr:rowOff>106829</xdr:rowOff>
    </xdr:from>
    <xdr:to>
      <xdr:col>34</xdr:col>
      <xdr:colOff>644525</xdr:colOff>
      <xdr:row>48</xdr:row>
      <xdr:rowOff>47065</xdr:rowOff>
    </xdr:to>
    <xdr:sp macro="AfficherTout2ndTour" textlink="">
      <xdr:nvSpPr>
        <xdr:cNvPr id="31" name="btn_2ndTour_AfficherTout">
          <a:extLst>
            <a:ext uri="{FF2B5EF4-FFF2-40B4-BE49-F238E27FC236}">
              <a16:creationId xmlns:a16="http://schemas.microsoft.com/office/drawing/2014/main" id="{422674FF-8931-7880-64C6-07C29B14751C}"/>
            </a:ext>
          </a:extLst>
        </xdr:cNvPr>
        <xdr:cNvSpPr/>
      </xdr:nvSpPr>
      <xdr:spPr>
        <a:xfrm>
          <a:off x="17853025" y="8432800"/>
          <a:ext cx="1270000" cy="254000"/>
        </a:xfrm>
        <a:prstGeom prst="rect">
          <a:avLst/>
        </a:prstGeom>
        <a:solidFill>
          <a:srgbClr val="C8C8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Afficher Tout</a:t>
          </a:r>
        </a:p>
      </xdr:txBody>
    </xdr:sp>
    <xdr:clientData/>
  </xdr:twoCellAnchor>
  <xdr:twoCellAnchor>
    <xdr:from>
      <xdr:col>33</xdr:col>
      <xdr:colOff>293407</xdr:colOff>
      <xdr:row>48</xdr:row>
      <xdr:rowOff>110565</xdr:rowOff>
    </xdr:from>
    <xdr:to>
      <xdr:col>34</xdr:col>
      <xdr:colOff>644525</xdr:colOff>
      <xdr:row>50</xdr:row>
      <xdr:rowOff>39594</xdr:rowOff>
    </xdr:to>
    <xdr:sp macro="EffacerTout2ndTour" textlink="">
      <xdr:nvSpPr>
        <xdr:cNvPr id="32" name="btn_2ndTour_EffacerTout">
          <a:extLst>
            <a:ext uri="{FF2B5EF4-FFF2-40B4-BE49-F238E27FC236}">
              <a16:creationId xmlns:a16="http://schemas.microsoft.com/office/drawing/2014/main" id="{98A19595-09A8-3741-97BD-FC6A6BEDDBCC}"/>
            </a:ext>
          </a:extLst>
        </xdr:cNvPr>
        <xdr:cNvSpPr/>
      </xdr:nvSpPr>
      <xdr:spPr>
        <a:xfrm>
          <a:off x="17853025" y="8750300"/>
          <a:ext cx="1270000" cy="254000"/>
        </a:xfrm>
        <a:prstGeom prst="rect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 kern="1200">
              <a:solidFill>
                <a:srgbClr val="000000"/>
              </a:solidFill>
            </a:rPr>
            <a:t>Effacer Tout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904875</xdr:colOff>
          <xdr:row>54</xdr:row>
          <xdr:rowOff>9525</xdr:rowOff>
        </xdr:from>
        <xdr:to>
          <xdr:col>35</xdr:col>
          <xdr:colOff>876300</xdr:colOff>
          <xdr:row>56</xdr:row>
          <xdr:rowOff>104775</xdr:rowOff>
        </xdr:to>
        <xdr:sp macro="" textlink="">
          <xdr:nvSpPr>
            <xdr:cNvPr id="3255" name="Button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1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Simuler participation journée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9525</xdr:colOff>
          <xdr:row>57</xdr:row>
          <xdr:rowOff>38100</xdr:rowOff>
        </xdr:from>
        <xdr:to>
          <xdr:col>35</xdr:col>
          <xdr:colOff>895350</xdr:colOff>
          <xdr:row>59</xdr:row>
          <xdr:rowOff>76200</xdr:rowOff>
        </xdr:to>
        <xdr:sp macro="" textlink="">
          <xdr:nvSpPr>
            <xdr:cNvPr id="3256" name="Button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1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Réinitialiser participation horaire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71437</xdr:colOff>
      <xdr:row>13</xdr:row>
      <xdr:rowOff>35720</xdr:rowOff>
    </xdr:from>
    <xdr:to>
      <xdr:col>1</xdr:col>
      <xdr:colOff>985837</xdr:colOff>
      <xdr:row>15</xdr:row>
      <xdr:rowOff>283370</xdr:rowOff>
    </xdr:to>
    <xdr:pic>
      <xdr:nvPicPr>
        <xdr:cNvPr id="3" name="Graphique 2" descr="Informations contour">
          <a:extLst>
            <a:ext uri="{FF2B5EF4-FFF2-40B4-BE49-F238E27FC236}">
              <a16:creationId xmlns:a16="http://schemas.microsoft.com/office/drawing/2014/main" id="{9868C194-4EC3-C3A6-4EDB-8AA00FE68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62000" y="7143751"/>
          <a:ext cx="914400" cy="914400"/>
        </a:xfrm>
        <a:prstGeom prst="rect">
          <a:avLst/>
        </a:prstGeom>
      </xdr:spPr>
    </xdr:pic>
    <xdr:clientData/>
  </xdr:twoCellAnchor>
  <xdr:twoCellAnchor>
    <xdr:from>
      <xdr:col>10</xdr:col>
      <xdr:colOff>1654967</xdr:colOff>
      <xdr:row>3</xdr:row>
      <xdr:rowOff>67474</xdr:rowOff>
    </xdr:from>
    <xdr:to>
      <xdr:col>14</xdr:col>
      <xdr:colOff>269874</xdr:colOff>
      <xdr:row>20</xdr:row>
      <xdr:rowOff>650879</xdr:rowOff>
    </xdr:to>
    <xdr:sp macro="" textlink="">
      <xdr:nvSpPr>
        <xdr:cNvPr id="4" name="Flèche : en arc 3">
          <a:extLst>
            <a:ext uri="{FF2B5EF4-FFF2-40B4-BE49-F238E27FC236}">
              <a16:creationId xmlns:a16="http://schemas.microsoft.com/office/drawing/2014/main" id="{7EC35F73-486C-ED6E-A858-E48BA3F18AAB}"/>
            </a:ext>
          </a:extLst>
        </xdr:cNvPr>
        <xdr:cNvSpPr/>
      </xdr:nvSpPr>
      <xdr:spPr>
        <a:xfrm rot="5400000">
          <a:off x="15029656" y="4060035"/>
          <a:ext cx="8917780" cy="3694907"/>
        </a:xfrm>
        <a:prstGeom prst="circularArrow">
          <a:avLst>
            <a:gd name="adj1" fmla="val 2919"/>
            <a:gd name="adj2" fmla="val 400640"/>
            <a:gd name="adj3" fmla="val 21144586"/>
            <a:gd name="adj4" fmla="val 10868399"/>
            <a:gd name="adj5" fmla="val 5545"/>
          </a:avLst>
        </a:prstGeom>
        <a:solidFill>
          <a:schemeClr val="accent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240505</xdr:colOff>
      <xdr:row>18</xdr:row>
      <xdr:rowOff>145903</xdr:rowOff>
    </xdr:from>
    <xdr:ext cx="20250150" cy="4295129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C06C0DAA-701A-4012-9D82-F9C1F8FFC7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24</xdr:col>
      <xdr:colOff>241808</xdr:colOff>
      <xdr:row>17</xdr:row>
      <xdr:rowOff>260020</xdr:rowOff>
    </xdr:from>
    <xdr:ext cx="11395975" cy="4046484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D74882AA-B210-4925-9253-A7D5D10472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twoCellAnchor editAs="oneCell">
    <xdr:from>
      <xdr:col>2</xdr:col>
      <xdr:colOff>174625</xdr:colOff>
      <xdr:row>7</xdr:row>
      <xdr:rowOff>31750</xdr:rowOff>
    </xdr:from>
    <xdr:to>
      <xdr:col>2</xdr:col>
      <xdr:colOff>1196975</xdr:colOff>
      <xdr:row>12</xdr:row>
      <xdr:rowOff>136528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A2374987-1987-F10F-3F26-B20F4C304E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031875" y="2047875"/>
          <a:ext cx="1022350" cy="1295403"/>
        </a:xfrm>
        <a:prstGeom prst="rect">
          <a:avLst/>
        </a:prstGeom>
      </xdr:spPr>
    </xdr:pic>
    <xdr:clientData/>
  </xdr:twoCellAnchor>
  <xdr:twoCellAnchor editAs="oneCell">
    <xdr:from>
      <xdr:col>34</xdr:col>
      <xdr:colOff>117475</xdr:colOff>
      <xdr:row>7</xdr:row>
      <xdr:rowOff>12700</xdr:rowOff>
    </xdr:from>
    <xdr:to>
      <xdr:col>34</xdr:col>
      <xdr:colOff>1136650</xdr:colOff>
      <xdr:row>12</xdr:row>
      <xdr:rowOff>117478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8E26C7D7-D4B6-4B96-9BC2-B8EED56B3F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27152600" y="2028825"/>
          <a:ext cx="1019175" cy="129540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677032</xdr:colOff>
      <xdr:row>18</xdr:row>
      <xdr:rowOff>127117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533AC109-205B-47A1-9815-82BEFEB9C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20</xdr:col>
      <xdr:colOff>95250</xdr:colOff>
      <xdr:row>15</xdr:row>
      <xdr:rowOff>134938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A2E899C3-1E08-4F01-908B-4880DDA0E1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20</xdr:col>
      <xdr:colOff>62821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AB0CDF04-8F68-4AC4-8728-3704DF4041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62B1D7FD-B77D-45D4-82FF-7BFDE6264F97}"/>
            </a:ext>
          </a:extLst>
        </xdr:cNvPr>
        <xdr:cNvGrpSpPr/>
      </xdr:nvGrpSpPr>
      <xdr:grpSpPr>
        <a:xfrm>
          <a:off x="17673714" y="1098097"/>
          <a:ext cx="1893358" cy="1908628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B8CB99EA-FE99-7870-9751-9BE31C20B0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0F148E68-1B1F-187B-828B-828DB95D49C7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8CADA098-043C-43E5-ADC7-09AD97B04F6A}"/>
            </a:ext>
          </a:extLst>
        </xdr:cNvPr>
        <xdr:cNvGrpSpPr/>
      </xdr:nvGrpSpPr>
      <xdr:grpSpPr>
        <a:xfrm>
          <a:off x="3431115" y="4111021"/>
          <a:ext cx="10670118" cy="489252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2CB79FDE-1CC1-82D3-2A98-771A37AEC3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915443DB-8142-694D-DE66-F509CDDB4418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 b="1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Méthode 1 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: 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12</xdr:col>
      <xdr:colOff>530679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6C918A8D-8749-4131-A267-0F89078F0644}"/>
            </a:ext>
          </a:extLst>
        </xdr:cNvPr>
        <xdr:cNvGrpSpPr/>
      </xdr:nvGrpSpPr>
      <xdr:grpSpPr>
        <a:xfrm>
          <a:off x="3406019" y="13087153"/>
          <a:ext cx="9564310" cy="454549"/>
          <a:chOff x="4009571" y="12174517"/>
          <a:chExt cx="9314279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5AE9394B-872D-27F2-0EFF-AF747871AA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B73223F1-7DDD-04F8-6859-432B60B147E8}"/>
              </a:ext>
            </a:extLst>
          </xdr:cNvPr>
          <xdr:cNvSpPr/>
        </xdr:nvSpPr>
        <xdr:spPr>
          <a:xfrm>
            <a:off x="4508500" y="12217881"/>
            <a:ext cx="8815350" cy="377777"/>
          </a:xfrm>
          <a:prstGeom prst="borderCallout1">
            <a:avLst>
              <a:gd name="adj1" fmla="val 100797"/>
              <a:gd name="adj2" fmla="val 92465"/>
              <a:gd name="adj3" fmla="val 347716"/>
              <a:gd name="adj4" fmla="val 9049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81450</xdr:rowOff>
    </xdr:from>
    <xdr:to>
      <xdr:col>19</xdr:col>
      <xdr:colOff>292100</xdr:colOff>
      <xdr:row>47</xdr:row>
      <xdr:rowOff>141553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3ED1C19C-F718-4C6E-B82E-85CB334C3857}"/>
            </a:ext>
          </a:extLst>
        </xdr:cNvPr>
        <xdr:cNvGrpSpPr/>
      </xdr:nvGrpSpPr>
      <xdr:grpSpPr>
        <a:xfrm>
          <a:off x="15074900" y="4158150"/>
          <a:ext cx="3695700" cy="5346478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02BF388F-0B24-8BB4-3006-B6EF1AA662C0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65F35815-9509-6498-3223-BCD40857108C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2E35CC07-24F9-2BB5-C484-E5041BB9DEDA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1 -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2 -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4B96359C-FDA8-4BCC-E94C-4ECED16AC96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screen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16</xdr:col>
      <xdr:colOff>244928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D9FA2729-E9D9-4B72-A1D7-C3291F557D8C}"/>
            </a:ext>
          </a:extLst>
        </xdr:cNvPr>
        <xdr:cNvGrpSpPr/>
      </xdr:nvGrpSpPr>
      <xdr:grpSpPr>
        <a:xfrm>
          <a:off x="3390900" y="12632079"/>
          <a:ext cx="12913178" cy="465133"/>
          <a:chOff x="3967983" y="12233869"/>
          <a:chExt cx="12756074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CACCDCF3-7D0E-F02E-9774-4E9458F4B6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867F5340-5351-FCA0-F28B-7A2F97C49A29}"/>
              </a:ext>
            </a:extLst>
          </xdr:cNvPr>
          <xdr:cNvSpPr/>
        </xdr:nvSpPr>
        <xdr:spPr>
          <a:xfrm>
            <a:off x="4476739" y="12269657"/>
            <a:ext cx="12247318" cy="392892"/>
          </a:xfrm>
          <a:prstGeom prst="borderCallout1">
            <a:avLst>
              <a:gd name="adj1" fmla="val -2020"/>
              <a:gd name="adj2" fmla="val 6070"/>
              <a:gd name="adj3" fmla="val -449306"/>
              <a:gd name="adj4" fmla="val -823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 b="1">
                <a:solidFill>
                  <a:schemeClr val="accent1">
                    <a:lumMod val="75000"/>
                  </a:schemeClr>
                </a:solidFill>
              </a:rPr>
              <a:t>Méthode 2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 : 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dépouillement. Ici la table 1 a dépouillé les enveloppes 1, 3 et 4.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16</xdr:col>
      <xdr:colOff>516022</xdr:colOff>
      <xdr:row>49</xdr:row>
      <xdr:rowOff>116307</xdr:rowOff>
    </xdr:from>
    <xdr:to>
      <xdr:col>16</xdr:col>
      <xdr:colOff>843531</xdr:colOff>
      <xdr:row>58</xdr:row>
      <xdr:rowOff>123263</xdr:rowOff>
    </xdr:to>
    <xdr:sp macro="" textlink="">
      <xdr:nvSpPr>
        <xdr:cNvPr id="22" name="Flèche : bas 21">
          <a:extLst>
            <a:ext uri="{FF2B5EF4-FFF2-40B4-BE49-F238E27FC236}">
              <a16:creationId xmlns:a16="http://schemas.microsoft.com/office/drawing/2014/main" id="{2E8FDEE5-CEB2-13EE-0298-5FC87B8665A6}"/>
            </a:ext>
          </a:extLst>
        </xdr:cNvPr>
        <xdr:cNvSpPr/>
      </xdr:nvSpPr>
      <xdr:spPr>
        <a:xfrm>
          <a:off x="16630081" y="10033513"/>
          <a:ext cx="327509" cy="2225721"/>
        </a:xfrm>
        <a:custGeom>
          <a:avLst/>
          <a:gdLst>
            <a:gd name="connsiteX0" fmla="*/ 0 w 299357"/>
            <a:gd name="connsiteY0" fmla="*/ 427265 h 576943"/>
            <a:gd name="connsiteX1" fmla="*/ 74839 w 299357"/>
            <a:gd name="connsiteY1" fmla="*/ 427265 h 576943"/>
            <a:gd name="connsiteX2" fmla="*/ 74839 w 299357"/>
            <a:gd name="connsiteY2" fmla="*/ 0 h 576943"/>
            <a:gd name="connsiteX3" fmla="*/ 224518 w 299357"/>
            <a:gd name="connsiteY3" fmla="*/ 0 h 576943"/>
            <a:gd name="connsiteX4" fmla="*/ 224518 w 299357"/>
            <a:gd name="connsiteY4" fmla="*/ 427265 h 576943"/>
            <a:gd name="connsiteX5" fmla="*/ 299357 w 299357"/>
            <a:gd name="connsiteY5" fmla="*/ 427265 h 576943"/>
            <a:gd name="connsiteX6" fmla="*/ 149679 w 299357"/>
            <a:gd name="connsiteY6" fmla="*/ 576943 h 576943"/>
            <a:gd name="connsiteX7" fmla="*/ 0 w 299357"/>
            <a:gd name="connsiteY7" fmla="*/ 427265 h 57694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224518 w 299357"/>
            <a:gd name="connsiteY3" fmla="*/ 19050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157843 w 299357"/>
            <a:gd name="connsiteY3" fmla="*/ 28575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169749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1412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3176 h 602854"/>
            <a:gd name="connsiteX1" fmla="*/ 74839 w 299357"/>
            <a:gd name="connsiteY1" fmla="*/ 453176 h 602854"/>
            <a:gd name="connsiteX2" fmla="*/ 114129 w 299357"/>
            <a:gd name="connsiteY2" fmla="*/ 6861 h 602854"/>
            <a:gd name="connsiteX3" fmla="*/ 157842 w 299357"/>
            <a:gd name="connsiteY3" fmla="*/ 0 h 602854"/>
            <a:gd name="connsiteX4" fmla="*/ 224518 w 299357"/>
            <a:gd name="connsiteY4" fmla="*/ 453176 h 602854"/>
            <a:gd name="connsiteX5" fmla="*/ 299357 w 299357"/>
            <a:gd name="connsiteY5" fmla="*/ 453176 h 602854"/>
            <a:gd name="connsiteX6" fmla="*/ 149679 w 299357"/>
            <a:gd name="connsiteY6" fmla="*/ 602854 h 602854"/>
            <a:gd name="connsiteX7" fmla="*/ 0 w 299357"/>
            <a:gd name="connsiteY7" fmla="*/ 453176 h 602854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14129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7942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794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2008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1655 w 299357"/>
            <a:gd name="connsiteY3" fmla="*/ 1085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71054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68692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518012 h 667690"/>
            <a:gd name="connsiteX1" fmla="*/ 74839 w 299357"/>
            <a:gd name="connsiteY1" fmla="*/ 518012 h 667690"/>
            <a:gd name="connsiteX2" fmla="*/ 139768 w 299357"/>
            <a:gd name="connsiteY2" fmla="*/ 71697 h 667690"/>
            <a:gd name="connsiteX3" fmla="*/ 216192 w 299357"/>
            <a:gd name="connsiteY3" fmla="*/ 0 h 667690"/>
            <a:gd name="connsiteX4" fmla="*/ 224518 w 299357"/>
            <a:gd name="connsiteY4" fmla="*/ 518012 h 667690"/>
            <a:gd name="connsiteX5" fmla="*/ 299357 w 299357"/>
            <a:gd name="connsiteY5" fmla="*/ 518012 h 667690"/>
            <a:gd name="connsiteX6" fmla="*/ 149679 w 299357"/>
            <a:gd name="connsiteY6" fmla="*/ 667690 h 667690"/>
            <a:gd name="connsiteX7" fmla="*/ 0 w 299357"/>
            <a:gd name="connsiteY7" fmla="*/ 518012 h 66769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3712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6613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56707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3 h 602431"/>
            <a:gd name="connsiteX1" fmla="*/ 74839 w 299357"/>
            <a:gd name="connsiteY1" fmla="*/ 452753 h 602431"/>
            <a:gd name="connsiteX2" fmla="*/ 139768 w 299357"/>
            <a:gd name="connsiteY2" fmla="*/ 6438 h 602431"/>
            <a:gd name="connsiteX3" fmla="*/ 174173 w 299357"/>
            <a:gd name="connsiteY3" fmla="*/ 0 h 602431"/>
            <a:gd name="connsiteX4" fmla="*/ 224518 w 299357"/>
            <a:gd name="connsiteY4" fmla="*/ 452753 h 602431"/>
            <a:gd name="connsiteX5" fmla="*/ 299357 w 299357"/>
            <a:gd name="connsiteY5" fmla="*/ 452753 h 602431"/>
            <a:gd name="connsiteX6" fmla="*/ 149679 w 299357"/>
            <a:gd name="connsiteY6" fmla="*/ 602431 h 602431"/>
            <a:gd name="connsiteX7" fmla="*/ 0 w 299357"/>
            <a:gd name="connsiteY7" fmla="*/ 452753 h 602431"/>
            <a:gd name="connsiteX0" fmla="*/ 0 w 299357"/>
            <a:gd name="connsiteY0" fmla="*/ 446555 h 596233"/>
            <a:gd name="connsiteX1" fmla="*/ 74839 w 299357"/>
            <a:gd name="connsiteY1" fmla="*/ 446555 h 596233"/>
            <a:gd name="connsiteX2" fmla="*/ 139768 w 299357"/>
            <a:gd name="connsiteY2" fmla="*/ 240 h 596233"/>
            <a:gd name="connsiteX3" fmla="*/ 174173 w 299357"/>
            <a:gd name="connsiteY3" fmla="*/ 0 h 596233"/>
            <a:gd name="connsiteX4" fmla="*/ 224518 w 299357"/>
            <a:gd name="connsiteY4" fmla="*/ 446555 h 596233"/>
            <a:gd name="connsiteX5" fmla="*/ 299357 w 299357"/>
            <a:gd name="connsiteY5" fmla="*/ 446555 h 596233"/>
            <a:gd name="connsiteX6" fmla="*/ 149679 w 299357"/>
            <a:gd name="connsiteY6" fmla="*/ 596233 h 596233"/>
            <a:gd name="connsiteX7" fmla="*/ 0 w 299357"/>
            <a:gd name="connsiteY7" fmla="*/ 446555 h 59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99357" h="596233">
              <a:moveTo>
                <a:pt x="0" y="446555"/>
              </a:moveTo>
              <a:lnTo>
                <a:pt x="74839" y="446555"/>
              </a:lnTo>
              <a:lnTo>
                <a:pt x="139768" y="240"/>
              </a:lnTo>
              <a:lnTo>
                <a:pt x="174173" y="0"/>
              </a:lnTo>
              <a:lnTo>
                <a:pt x="224518" y="446555"/>
              </a:lnTo>
              <a:lnTo>
                <a:pt x="299357" y="446555"/>
              </a:lnTo>
              <a:lnTo>
                <a:pt x="149679" y="596233"/>
              </a:lnTo>
              <a:lnTo>
                <a:pt x="0" y="446555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/>
            <a:t>2</a:t>
          </a:r>
        </a:p>
      </xdr:txBody>
    </xdr:sp>
    <xdr:clientData/>
  </xdr:twoCellAnchor>
  <xdr:twoCellAnchor>
    <xdr:from>
      <xdr:col>16</xdr:col>
      <xdr:colOff>571500</xdr:colOff>
      <xdr:row>67</xdr:row>
      <xdr:rowOff>44822</xdr:rowOff>
    </xdr:from>
    <xdr:to>
      <xdr:col>17</xdr:col>
      <xdr:colOff>2539</xdr:colOff>
      <xdr:row>71</xdr:row>
      <xdr:rowOff>156881</xdr:rowOff>
    </xdr:to>
    <xdr:sp macro="" textlink="">
      <xdr:nvSpPr>
        <xdr:cNvPr id="23" name="Flèche : bas 21">
          <a:extLst>
            <a:ext uri="{FF2B5EF4-FFF2-40B4-BE49-F238E27FC236}">
              <a16:creationId xmlns:a16="http://schemas.microsoft.com/office/drawing/2014/main" id="{6728F0E1-F46C-49A3-A565-FE9BC9DFA56F}"/>
            </a:ext>
          </a:extLst>
        </xdr:cNvPr>
        <xdr:cNvSpPr/>
      </xdr:nvSpPr>
      <xdr:spPr>
        <a:xfrm>
          <a:off x="16685559" y="14153028"/>
          <a:ext cx="327509" cy="1098177"/>
        </a:xfrm>
        <a:custGeom>
          <a:avLst/>
          <a:gdLst>
            <a:gd name="connsiteX0" fmla="*/ 0 w 299357"/>
            <a:gd name="connsiteY0" fmla="*/ 427265 h 576943"/>
            <a:gd name="connsiteX1" fmla="*/ 74839 w 299357"/>
            <a:gd name="connsiteY1" fmla="*/ 427265 h 576943"/>
            <a:gd name="connsiteX2" fmla="*/ 74839 w 299357"/>
            <a:gd name="connsiteY2" fmla="*/ 0 h 576943"/>
            <a:gd name="connsiteX3" fmla="*/ 224518 w 299357"/>
            <a:gd name="connsiteY3" fmla="*/ 0 h 576943"/>
            <a:gd name="connsiteX4" fmla="*/ 224518 w 299357"/>
            <a:gd name="connsiteY4" fmla="*/ 427265 h 576943"/>
            <a:gd name="connsiteX5" fmla="*/ 299357 w 299357"/>
            <a:gd name="connsiteY5" fmla="*/ 427265 h 576943"/>
            <a:gd name="connsiteX6" fmla="*/ 149679 w 299357"/>
            <a:gd name="connsiteY6" fmla="*/ 576943 h 576943"/>
            <a:gd name="connsiteX7" fmla="*/ 0 w 299357"/>
            <a:gd name="connsiteY7" fmla="*/ 427265 h 57694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224518 w 299357"/>
            <a:gd name="connsiteY3" fmla="*/ 19050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157843 w 299357"/>
            <a:gd name="connsiteY3" fmla="*/ 28575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169749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1412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3176 h 602854"/>
            <a:gd name="connsiteX1" fmla="*/ 74839 w 299357"/>
            <a:gd name="connsiteY1" fmla="*/ 453176 h 602854"/>
            <a:gd name="connsiteX2" fmla="*/ 114129 w 299357"/>
            <a:gd name="connsiteY2" fmla="*/ 6861 h 602854"/>
            <a:gd name="connsiteX3" fmla="*/ 157842 w 299357"/>
            <a:gd name="connsiteY3" fmla="*/ 0 h 602854"/>
            <a:gd name="connsiteX4" fmla="*/ 224518 w 299357"/>
            <a:gd name="connsiteY4" fmla="*/ 453176 h 602854"/>
            <a:gd name="connsiteX5" fmla="*/ 299357 w 299357"/>
            <a:gd name="connsiteY5" fmla="*/ 453176 h 602854"/>
            <a:gd name="connsiteX6" fmla="*/ 149679 w 299357"/>
            <a:gd name="connsiteY6" fmla="*/ 602854 h 602854"/>
            <a:gd name="connsiteX7" fmla="*/ 0 w 299357"/>
            <a:gd name="connsiteY7" fmla="*/ 453176 h 602854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14129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7942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794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2008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1655 w 299357"/>
            <a:gd name="connsiteY3" fmla="*/ 1085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71054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68692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518012 h 667690"/>
            <a:gd name="connsiteX1" fmla="*/ 74839 w 299357"/>
            <a:gd name="connsiteY1" fmla="*/ 518012 h 667690"/>
            <a:gd name="connsiteX2" fmla="*/ 139768 w 299357"/>
            <a:gd name="connsiteY2" fmla="*/ 71697 h 667690"/>
            <a:gd name="connsiteX3" fmla="*/ 216192 w 299357"/>
            <a:gd name="connsiteY3" fmla="*/ 0 h 667690"/>
            <a:gd name="connsiteX4" fmla="*/ 224518 w 299357"/>
            <a:gd name="connsiteY4" fmla="*/ 518012 h 667690"/>
            <a:gd name="connsiteX5" fmla="*/ 299357 w 299357"/>
            <a:gd name="connsiteY5" fmla="*/ 518012 h 667690"/>
            <a:gd name="connsiteX6" fmla="*/ 149679 w 299357"/>
            <a:gd name="connsiteY6" fmla="*/ 667690 h 667690"/>
            <a:gd name="connsiteX7" fmla="*/ 0 w 299357"/>
            <a:gd name="connsiteY7" fmla="*/ 518012 h 66769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3712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6613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56707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3 h 602431"/>
            <a:gd name="connsiteX1" fmla="*/ 74839 w 299357"/>
            <a:gd name="connsiteY1" fmla="*/ 452753 h 602431"/>
            <a:gd name="connsiteX2" fmla="*/ 139768 w 299357"/>
            <a:gd name="connsiteY2" fmla="*/ 6438 h 602431"/>
            <a:gd name="connsiteX3" fmla="*/ 174173 w 299357"/>
            <a:gd name="connsiteY3" fmla="*/ 0 h 602431"/>
            <a:gd name="connsiteX4" fmla="*/ 224518 w 299357"/>
            <a:gd name="connsiteY4" fmla="*/ 452753 h 602431"/>
            <a:gd name="connsiteX5" fmla="*/ 299357 w 299357"/>
            <a:gd name="connsiteY5" fmla="*/ 452753 h 602431"/>
            <a:gd name="connsiteX6" fmla="*/ 149679 w 299357"/>
            <a:gd name="connsiteY6" fmla="*/ 602431 h 602431"/>
            <a:gd name="connsiteX7" fmla="*/ 0 w 299357"/>
            <a:gd name="connsiteY7" fmla="*/ 452753 h 602431"/>
            <a:gd name="connsiteX0" fmla="*/ 0 w 299357"/>
            <a:gd name="connsiteY0" fmla="*/ 446555 h 596233"/>
            <a:gd name="connsiteX1" fmla="*/ 74839 w 299357"/>
            <a:gd name="connsiteY1" fmla="*/ 446555 h 596233"/>
            <a:gd name="connsiteX2" fmla="*/ 139768 w 299357"/>
            <a:gd name="connsiteY2" fmla="*/ 240 h 596233"/>
            <a:gd name="connsiteX3" fmla="*/ 174173 w 299357"/>
            <a:gd name="connsiteY3" fmla="*/ 0 h 596233"/>
            <a:gd name="connsiteX4" fmla="*/ 224518 w 299357"/>
            <a:gd name="connsiteY4" fmla="*/ 446555 h 596233"/>
            <a:gd name="connsiteX5" fmla="*/ 299357 w 299357"/>
            <a:gd name="connsiteY5" fmla="*/ 446555 h 596233"/>
            <a:gd name="connsiteX6" fmla="*/ 149679 w 299357"/>
            <a:gd name="connsiteY6" fmla="*/ 596233 h 596233"/>
            <a:gd name="connsiteX7" fmla="*/ 0 w 299357"/>
            <a:gd name="connsiteY7" fmla="*/ 446555 h 59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99357" h="596233">
              <a:moveTo>
                <a:pt x="0" y="446555"/>
              </a:moveTo>
              <a:lnTo>
                <a:pt x="74839" y="446555"/>
              </a:lnTo>
              <a:lnTo>
                <a:pt x="139768" y="240"/>
              </a:lnTo>
              <a:lnTo>
                <a:pt x="174173" y="0"/>
              </a:lnTo>
              <a:lnTo>
                <a:pt x="224518" y="446555"/>
              </a:lnTo>
              <a:lnTo>
                <a:pt x="299357" y="446555"/>
              </a:lnTo>
              <a:lnTo>
                <a:pt x="149679" y="596233"/>
              </a:lnTo>
              <a:lnTo>
                <a:pt x="0" y="446555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16</xdr:col>
      <xdr:colOff>593911</xdr:colOff>
      <xdr:row>2</xdr:row>
      <xdr:rowOff>123266</xdr:rowOff>
    </xdr:from>
    <xdr:to>
      <xdr:col>17</xdr:col>
      <xdr:colOff>0</xdr:colOff>
      <xdr:row>11</xdr:row>
      <xdr:rowOff>112059</xdr:rowOff>
    </xdr:to>
    <xdr:sp macro="" textlink="">
      <xdr:nvSpPr>
        <xdr:cNvPr id="24" name="Flèche : bas 23">
          <a:extLst>
            <a:ext uri="{FF2B5EF4-FFF2-40B4-BE49-F238E27FC236}">
              <a16:creationId xmlns:a16="http://schemas.microsoft.com/office/drawing/2014/main" id="{13DB56C8-4E48-89E5-D4BF-5633B54A75D2}"/>
            </a:ext>
          </a:extLst>
        </xdr:cNvPr>
        <xdr:cNvSpPr/>
      </xdr:nvSpPr>
      <xdr:spPr>
        <a:xfrm>
          <a:off x="16707970" y="840442"/>
          <a:ext cx="302559" cy="2207558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kern="1200"/>
            <a:t>1</a:t>
          </a:r>
        </a:p>
      </xdr:txBody>
    </xdr:sp>
    <xdr:clientData/>
  </xdr:twoCellAnchor>
  <xdr:twoCellAnchor>
    <xdr:from>
      <xdr:col>16</xdr:col>
      <xdr:colOff>510988</xdr:colOff>
      <xdr:row>77</xdr:row>
      <xdr:rowOff>62753</xdr:rowOff>
    </xdr:from>
    <xdr:to>
      <xdr:col>16</xdr:col>
      <xdr:colOff>838497</xdr:colOff>
      <xdr:row>79</xdr:row>
      <xdr:rowOff>156884</xdr:rowOff>
    </xdr:to>
    <xdr:sp macro="" textlink="">
      <xdr:nvSpPr>
        <xdr:cNvPr id="25" name="Flèche : bas 21">
          <a:extLst>
            <a:ext uri="{FF2B5EF4-FFF2-40B4-BE49-F238E27FC236}">
              <a16:creationId xmlns:a16="http://schemas.microsoft.com/office/drawing/2014/main" id="{8DDEFA61-B48C-46AD-81D2-964143CFB691}"/>
            </a:ext>
          </a:extLst>
        </xdr:cNvPr>
        <xdr:cNvSpPr/>
      </xdr:nvSpPr>
      <xdr:spPr>
        <a:xfrm>
          <a:off x="16625047" y="16882782"/>
          <a:ext cx="327509" cy="587190"/>
        </a:xfrm>
        <a:custGeom>
          <a:avLst/>
          <a:gdLst>
            <a:gd name="connsiteX0" fmla="*/ 0 w 299357"/>
            <a:gd name="connsiteY0" fmla="*/ 427265 h 576943"/>
            <a:gd name="connsiteX1" fmla="*/ 74839 w 299357"/>
            <a:gd name="connsiteY1" fmla="*/ 427265 h 576943"/>
            <a:gd name="connsiteX2" fmla="*/ 74839 w 299357"/>
            <a:gd name="connsiteY2" fmla="*/ 0 h 576943"/>
            <a:gd name="connsiteX3" fmla="*/ 224518 w 299357"/>
            <a:gd name="connsiteY3" fmla="*/ 0 h 576943"/>
            <a:gd name="connsiteX4" fmla="*/ 224518 w 299357"/>
            <a:gd name="connsiteY4" fmla="*/ 427265 h 576943"/>
            <a:gd name="connsiteX5" fmla="*/ 299357 w 299357"/>
            <a:gd name="connsiteY5" fmla="*/ 427265 h 576943"/>
            <a:gd name="connsiteX6" fmla="*/ 149679 w 299357"/>
            <a:gd name="connsiteY6" fmla="*/ 576943 h 576943"/>
            <a:gd name="connsiteX7" fmla="*/ 0 w 299357"/>
            <a:gd name="connsiteY7" fmla="*/ 427265 h 57694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224518 w 299357"/>
            <a:gd name="connsiteY3" fmla="*/ 19050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1989 w 299357"/>
            <a:gd name="connsiteY2" fmla="*/ 0 h 595993"/>
            <a:gd name="connsiteX3" fmla="*/ 157843 w 299357"/>
            <a:gd name="connsiteY3" fmla="*/ 28575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169749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198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14129 w 299357"/>
            <a:gd name="connsiteY2" fmla="*/ 12767 h 608760"/>
            <a:gd name="connsiteX3" fmla="*/ 223327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3176 h 602854"/>
            <a:gd name="connsiteX1" fmla="*/ 74839 w 299357"/>
            <a:gd name="connsiteY1" fmla="*/ 453176 h 602854"/>
            <a:gd name="connsiteX2" fmla="*/ 114129 w 299357"/>
            <a:gd name="connsiteY2" fmla="*/ 6861 h 602854"/>
            <a:gd name="connsiteX3" fmla="*/ 157842 w 299357"/>
            <a:gd name="connsiteY3" fmla="*/ 0 h 602854"/>
            <a:gd name="connsiteX4" fmla="*/ 224518 w 299357"/>
            <a:gd name="connsiteY4" fmla="*/ 453176 h 602854"/>
            <a:gd name="connsiteX5" fmla="*/ 299357 w 299357"/>
            <a:gd name="connsiteY5" fmla="*/ 453176 h 602854"/>
            <a:gd name="connsiteX6" fmla="*/ 149679 w 299357"/>
            <a:gd name="connsiteY6" fmla="*/ 602854 h 602854"/>
            <a:gd name="connsiteX7" fmla="*/ 0 w 299357"/>
            <a:gd name="connsiteY7" fmla="*/ 453176 h 602854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14129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7942 w 299357"/>
            <a:gd name="connsiteY2" fmla="*/ 0 h 595993"/>
            <a:gd name="connsiteX3" fmla="*/ 181655 w 299357"/>
            <a:gd name="connsiteY3" fmla="*/ 4951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3794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59082 h 608760"/>
            <a:gd name="connsiteX1" fmla="*/ 74839 w 299357"/>
            <a:gd name="connsiteY1" fmla="*/ 459082 h 608760"/>
            <a:gd name="connsiteX2" fmla="*/ 120082 w 299357"/>
            <a:gd name="connsiteY2" fmla="*/ 12767 h 608760"/>
            <a:gd name="connsiteX3" fmla="*/ 181655 w 299357"/>
            <a:gd name="connsiteY3" fmla="*/ 0 h 608760"/>
            <a:gd name="connsiteX4" fmla="*/ 224518 w 299357"/>
            <a:gd name="connsiteY4" fmla="*/ 459082 h 608760"/>
            <a:gd name="connsiteX5" fmla="*/ 299357 w 299357"/>
            <a:gd name="connsiteY5" fmla="*/ 459082 h 608760"/>
            <a:gd name="connsiteX6" fmla="*/ 149679 w 299357"/>
            <a:gd name="connsiteY6" fmla="*/ 608760 h 608760"/>
            <a:gd name="connsiteX7" fmla="*/ 0 w 299357"/>
            <a:gd name="connsiteY7" fmla="*/ 459082 h 60876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1655 w 299357"/>
            <a:gd name="connsiteY3" fmla="*/ 1085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20082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85228 w 299357"/>
            <a:gd name="connsiteY3" fmla="*/ 86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71054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52754 h 602432"/>
            <a:gd name="connsiteX1" fmla="*/ 74839 w 299357"/>
            <a:gd name="connsiteY1" fmla="*/ 452754 h 602432"/>
            <a:gd name="connsiteX2" fmla="*/ 139768 w 299357"/>
            <a:gd name="connsiteY2" fmla="*/ 6439 h 602432"/>
            <a:gd name="connsiteX3" fmla="*/ 168692 w 299357"/>
            <a:gd name="connsiteY3" fmla="*/ 0 h 602432"/>
            <a:gd name="connsiteX4" fmla="*/ 224518 w 299357"/>
            <a:gd name="connsiteY4" fmla="*/ 452754 h 602432"/>
            <a:gd name="connsiteX5" fmla="*/ 299357 w 299357"/>
            <a:gd name="connsiteY5" fmla="*/ 452754 h 602432"/>
            <a:gd name="connsiteX6" fmla="*/ 149679 w 299357"/>
            <a:gd name="connsiteY6" fmla="*/ 602432 h 602432"/>
            <a:gd name="connsiteX7" fmla="*/ 0 w 299357"/>
            <a:gd name="connsiteY7" fmla="*/ 452754 h 602432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518012 h 667690"/>
            <a:gd name="connsiteX1" fmla="*/ 74839 w 299357"/>
            <a:gd name="connsiteY1" fmla="*/ 518012 h 667690"/>
            <a:gd name="connsiteX2" fmla="*/ 139768 w 299357"/>
            <a:gd name="connsiteY2" fmla="*/ 71697 h 667690"/>
            <a:gd name="connsiteX3" fmla="*/ 216192 w 299357"/>
            <a:gd name="connsiteY3" fmla="*/ 0 h 667690"/>
            <a:gd name="connsiteX4" fmla="*/ 224518 w 299357"/>
            <a:gd name="connsiteY4" fmla="*/ 518012 h 667690"/>
            <a:gd name="connsiteX5" fmla="*/ 299357 w 299357"/>
            <a:gd name="connsiteY5" fmla="*/ 518012 h 667690"/>
            <a:gd name="connsiteX6" fmla="*/ 149679 w 299357"/>
            <a:gd name="connsiteY6" fmla="*/ 667690 h 667690"/>
            <a:gd name="connsiteX7" fmla="*/ 0 w 299357"/>
            <a:gd name="connsiteY7" fmla="*/ 518012 h 667690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72346 w 299357"/>
            <a:gd name="connsiteY3" fmla="*/ 1313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37129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8692 w 299357"/>
            <a:gd name="connsiteY3" fmla="*/ 6613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46315 h 595993"/>
            <a:gd name="connsiteX1" fmla="*/ 74839 w 299357"/>
            <a:gd name="connsiteY1" fmla="*/ 446315 h 595993"/>
            <a:gd name="connsiteX2" fmla="*/ 139768 w 299357"/>
            <a:gd name="connsiteY2" fmla="*/ 0 h 595993"/>
            <a:gd name="connsiteX3" fmla="*/ 165038 w 299357"/>
            <a:gd name="connsiteY3" fmla="*/ 156707 h 595993"/>
            <a:gd name="connsiteX4" fmla="*/ 224518 w 299357"/>
            <a:gd name="connsiteY4" fmla="*/ 446315 h 595993"/>
            <a:gd name="connsiteX5" fmla="*/ 299357 w 299357"/>
            <a:gd name="connsiteY5" fmla="*/ 446315 h 595993"/>
            <a:gd name="connsiteX6" fmla="*/ 149679 w 299357"/>
            <a:gd name="connsiteY6" fmla="*/ 595993 h 595993"/>
            <a:gd name="connsiteX7" fmla="*/ 0 w 299357"/>
            <a:gd name="connsiteY7" fmla="*/ 446315 h 595993"/>
            <a:gd name="connsiteX0" fmla="*/ 0 w 299357"/>
            <a:gd name="connsiteY0" fmla="*/ 452753 h 602431"/>
            <a:gd name="connsiteX1" fmla="*/ 74839 w 299357"/>
            <a:gd name="connsiteY1" fmla="*/ 452753 h 602431"/>
            <a:gd name="connsiteX2" fmla="*/ 139768 w 299357"/>
            <a:gd name="connsiteY2" fmla="*/ 6438 h 602431"/>
            <a:gd name="connsiteX3" fmla="*/ 174173 w 299357"/>
            <a:gd name="connsiteY3" fmla="*/ 0 h 602431"/>
            <a:gd name="connsiteX4" fmla="*/ 224518 w 299357"/>
            <a:gd name="connsiteY4" fmla="*/ 452753 h 602431"/>
            <a:gd name="connsiteX5" fmla="*/ 299357 w 299357"/>
            <a:gd name="connsiteY5" fmla="*/ 452753 h 602431"/>
            <a:gd name="connsiteX6" fmla="*/ 149679 w 299357"/>
            <a:gd name="connsiteY6" fmla="*/ 602431 h 602431"/>
            <a:gd name="connsiteX7" fmla="*/ 0 w 299357"/>
            <a:gd name="connsiteY7" fmla="*/ 452753 h 602431"/>
            <a:gd name="connsiteX0" fmla="*/ 0 w 299357"/>
            <a:gd name="connsiteY0" fmla="*/ 446555 h 596233"/>
            <a:gd name="connsiteX1" fmla="*/ 74839 w 299357"/>
            <a:gd name="connsiteY1" fmla="*/ 446555 h 596233"/>
            <a:gd name="connsiteX2" fmla="*/ 139768 w 299357"/>
            <a:gd name="connsiteY2" fmla="*/ 240 h 596233"/>
            <a:gd name="connsiteX3" fmla="*/ 174173 w 299357"/>
            <a:gd name="connsiteY3" fmla="*/ 0 h 596233"/>
            <a:gd name="connsiteX4" fmla="*/ 224518 w 299357"/>
            <a:gd name="connsiteY4" fmla="*/ 446555 h 596233"/>
            <a:gd name="connsiteX5" fmla="*/ 299357 w 299357"/>
            <a:gd name="connsiteY5" fmla="*/ 446555 h 596233"/>
            <a:gd name="connsiteX6" fmla="*/ 149679 w 299357"/>
            <a:gd name="connsiteY6" fmla="*/ 596233 h 596233"/>
            <a:gd name="connsiteX7" fmla="*/ 0 w 299357"/>
            <a:gd name="connsiteY7" fmla="*/ 446555 h 596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99357" h="596233">
              <a:moveTo>
                <a:pt x="0" y="446555"/>
              </a:moveTo>
              <a:lnTo>
                <a:pt x="74839" y="446555"/>
              </a:lnTo>
              <a:lnTo>
                <a:pt x="139768" y="240"/>
              </a:lnTo>
              <a:lnTo>
                <a:pt x="174173" y="0"/>
              </a:lnTo>
              <a:lnTo>
                <a:pt x="224518" y="446555"/>
              </a:lnTo>
              <a:lnTo>
                <a:pt x="299357" y="446555"/>
              </a:lnTo>
              <a:lnTo>
                <a:pt x="149679" y="596233"/>
              </a:lnTo>
              <a:lnTo>
                <a:pt x="0" y="446555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126966</xdr:colOff>
      <xdr:row>14</xdr:row>
      <xdr:rowOff>70761</xdr:rowOff>
    </xdr:from>
    <xdr:ext cx="12493659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E82C89EA-48D9-48CA-950A-7B882713D4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6EBBF1D8-5190-4250-85B8-2707F34B58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ACEBCE02-10F9-462F-9788-85A57CC21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23</xdr:row>
          <xdr:rowOff>161925</xdr:rowOff>
        </xdr:from>
        <xdr:to>
          <xdr:col>1</xdr:col>
          <xdr:colOff>771525</xdr:colOff>
          <xdr:row>26</xdr:row>
          <xdr:rowOff>123825</xdr:rowOff>
        </xdr:to>
        <xdr:sp macro="" textlink="">
          <xdr:nvSpPr>
            <xdr:cNvPr id="219146" name="Button 10" hidden="1">
              <a:extLst>
                <a:ext uri="{63B3BB69-23CF-44E3-9099-C40C66FF867C}">
                  <a14:compatExt spid="_x0000_s219146"/>
                </a:ext>
                <a:ext uri="{FF2B5EF4-FFF2-40B4-BE49-F238E27FC236}">
                  <a16:creationId xmlns:a16="http://schemas.microsoft.com/office/drawing/2014/main" id="{00000000-0008-0000-0500-00000A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les bureaux</a:t>
              </a:r>
            </a:p>
            <a:p>
              <a:pPr algn="ctr" rtl="0">
                <a:defRPr sz="1000"/>
              </a:pPr>
              <a:endParaRPr lang="fr-FR" sz="12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126966</xdr:colOff>
      <xdr:row>14</xdr:row>
      <xdr:rowOff>70761</xdr:rowOff>
    </xdr:from>
    <xdr:ext cx="12493659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809C7527-85AB-4958-B5E3-EE0A3753A2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E4C018A2-4BC6-4069-ACFA-8DCD61EC40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A42FF227-3097-421F-9706-7CF91A6357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126966</xdr:colOff>
      <xdr:row>14</xdr:row>
      <xdr:rowOff>70761</xdr:rowOff>
    </xdr:from>
    <xdr:ext cx="12493659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0B0D88C3-7174-4768-9582-D095ADC010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78878354-63F4-42A6-BCA1-AB167439AD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4F57B810-F7B1-4E73-B73E-618F3F43E2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126966</xdr:colOff>
      <xdr:row>14</xdr:row>
      <xdr:rowOff>70761</xdr:rowOff>
    </xdr:from>
    <xdr:ext cx="12493659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71B4EC9F-CC0C-4557-8D8F-AA28FD4BE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81D29951-9684-4406-BD03-BAF1920DF1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597D833C-CFC7-48C7-8F01-9E4A41B3C6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126966</xdr:colOff>
      <xdr:row>14</xdr:row>
      <xdr:rowOff>70761</xdr:rowOff>
    </xdr:from>
    <xdr:ext cx="12493659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E4BDBBAC-2B8C-4790-9E28-D6A8C060CC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A14A9572-8A2E-473F-8C05-C50D3542F6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76DFA7E4-34C3-4EBB-BC26-F6D0C68D89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126966</xdr:colOff>
      <xdr:row>14</xdr:row>
      <xdr:rowOff>70761</xdr:rowOff>
    </xdr:from>
    <xdr:ext cx="12493659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BF4E49B2-D2DE-4A10-8430-BAB97649CA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48B64130-386E-4275-8757-9D4F9945BC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9C1D4436-7C47-4333-BDF4-1A35B0C0C2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126966</xdr:colOff>
      <xdr:row>14</xdr:row>
      <xdr:rowOff>70761</xdr:rowOff>
    </xdr:from>
    <xdr:ext cx="12493659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909A90D3-F40E-4ACF-A5B1-25AF91FC90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A4D8D935-EC86-4156-9605-E0B5843FE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D1415819-6C68-4B41-B926-3D1928E7A9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126966</xdr:colOff>
      <xdr:row>14</xdr:row>
      <xdr:rowOff>70761</xdr:rowOff>
    </xdr:from>
    <xdr:ext cx="12493659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07593763-B871-461C-AA93-A805A8147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3E01F93E-05D1-4ADF-BC0E-3EEB8D2B20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69934C38-A678-4C33-917F-57FFE4E927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126966</xdr:colOff>
      <xdr:row>14</xdr:row>
      <xdr:rowOff>70761</xdr:rowOff>
    </xdr:from>
    <xdr:ext cx="12493659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A4D40BFE-47A6-46C6-A8D7-1CC6A1FE4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98F7F110-3E12-4D58-9C85-4C6987BEE3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159EFB71-55C5-45FE-95E6-F6246165F0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126966</xdr:colOff>
      <xdr:row>14</xdr:row>
      <xdr:rowOff>70761</xdr:rowOff>
    </xdr:from>
    <xdr:ext cx="12493659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82D08E03-35B2-4564-A9CE-16008E4E6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88B1F8A3-6BB7-487C-8B5E-8F2A53C0F6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38567ED3-A80E-4158-BC94-1414E47EBC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126966</xdr:colOff>
      <xdr:row>14</xdr:row>
      <xdr:rowOff>70761</xdr:rowOff>
    </xdr:from>
    <xdr:ext cx="12493659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65A2D18D-7EFF-450E-A6B6-608D025356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8056C519-22FB-4303-B202-6A0E57744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F8A3B0B8-443F-432B-9499-E17BC4F46C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126966</xdr:colOff>
      <xdr:row>14</xdr:row>
      <xdr:rowOff>70761</xdr:rowOff>
    </xdr:from>
    <xdr:ext cx="12493659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DD2DEC8E-B30B-4226-90B7-477B62BE43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B625CDCE-4BD7-411B-956F-698256A10C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57B7B149-5AFD-4E6C-ABDE-AF07E54A88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126966</xdr:colOff>
      <xdr:row>14</xdr:row>
      <xdr:rowOff>70761</xdr:rowOff>
    </xdr:from>
    <xdr:ext cx="12493659" cy="4523464"/>
    <xdr:graphicFrame macro="">
      <xdr:nvGraphicFramePr>
        <xdr:cNvPr id="2" name="GraphDepouillement" title="Graphique">
          <a:extLst>
            <a:ext uri="{FF2B5EF4-FFF2-40B4-BE49-F238E27FC236}">
              <a16:creationId xmlns:a16="http://schemas.microsoft.com/office/drawing/2014/main" id="{54E5309F-9FE0-42BB-A17F-5012C91BB8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95250</xdr:colOff>
      <xdr:row>15</xdr:row>
      <xdr:rowOff>99219</xdr:rowOff>
    </xdr:from>
    <xdr:ext cx="7096125" cy="3867150"/>
    <xdr:graphicFrame macro="">
      <xdr:nvGraphicFramePr>
        <xdr:cNvPr id="3" name="GraphParticipation" title="Graphique">
          <a:extLst>
            <a:ext uri="{FF2B5EF4-FFF2-40B4-BE49-F238E27FC236}">
              <a16:creationId xmlns:a16="http://schemas.microsoft.com/office/drawing/2014/main" id="{B3C0F3C7-B41D-4B7B-B16B-39B244B7B4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59531</xdr:colOff>
      <xdr:row>38</xdr:row>
      <xdr:rowOff>160451</xdr:rowOff>
    </xdr:from>
    <xdr:ext cx="7096125" cy="3867150"/>
    <xdr:graphicFrame macro="">
      <xdr:nvGraphicFramePr>
        <xdr:cNvPr id="4" name="GraphHoraire" title="Graphique">
          <a:extLst>
            <a:ext uri="{FF2B5EF4-FFF2-40B4-BE49-F238E27FC236}">
              <a16:creationId xmlns:a16="http://schemas.microsoft.com/office/drawing/2014/main" id="{16F5DF2E-7431-433B-B307-BF65CF7AED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émi Barbero" id="{B9D14DDA-5DA4-4748-A3A4-6D74DB2F48C1}" userId="S::remi.barbero@alumni.enac.fr::af27855e-84ee-4cac-afae-9f96b209abdd" providerId="AD"/>
</personList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W3" dT="2025-07-15T12:34:37.15" personId="{B9D14DDA-5DA4-4748-A3A4-6D74DB2F48C1}" id="{EABFF79C-6F3E-45A7-AFDB-E16C33B25AA4}" done="1">
    <text>A l'ouverture du bureau il n'y a pas encore de vote</text>
  </threadedComment>
  <threadedComment ref="A7" dT="2025-04-14T11:49:35.58" personId="{B9D14DDA-5DA4-4748-A3A4-6D74DB2F48C1}" id="{015AC820-E43D-4952-9147-E1AB8B697D08}" done="1">
    <text>Nombre d'enveloppes et de bulletins sans enveloppe trouvés dans l'urne</text>
  </threadedComment>
  <threadedComment ref="B7" dT="2025-03-13T15:42:36.25" personId="{B9D14DDA-5DA4-4748-A3A4-6D74DB2F48C1}" id="{755B2C32-0CC1-4AB8-9943-9B321C73B956}" done="1">
    <text>Doit être égal à la participation horaire de cloture</text>
  </threadedComment>
  <threadedComment ref="A8" dT="2025-04-14T11:49:47.49" personId="{B9D14DDA-5DA4-4748-A3A4-6D74DB2F48C1}" id="{1E4F50FE-453F-4374-81CD-FED15F974F3D}" done="1">
    <text>Nombre de signatures sur le registre</text>
  </threadedComment>
  <threadedComment ref="B8" dT="2025-03-13T15:44:24.83" personId="{B9D14DDA-5DA4-4748-A3A4-6D74DB2F48C1}" id="{E0FD2FBA-4E1B-4572-A9D0-6315CEDAEDFE}" done="1">
    <text>Doit être normalement égal aux votants</text>
  </threadedComment>
  <threadedComment ref="Q13" dT="2025-04-14T12:15:13.05" personId="{B9D14DDA-5DA4-4748-A3A4-6D74DB2F48C1}" id="{22C51930-100C-4141-9123-FA056F76C484}" done="1">
    <text>Doit être égal au nombre de votants</text>
  </threadedComment>
  <threadedComment ref="J23" dT="2025-04-14T09:07:42.81" personId="{B9D14DDA-5DA4-4748-A3A4-6D74DB2F48C1}" id="{7B16B4CC-E443-48A6-9659-3BBEFC3ECC16}" done="1">
    <text>Nombre de centaines d'enveloppes nécessaires pour ce bureau</text>
  </threadedComment>
  <threadedComment ref="K23" dT="2025-04-24T12:32:34.89" personId="{B9D14DDA-5DA4-4748-A3A4-6D74DB2F48C1}" id="{3E003C7E-19BB-45E7-BEB5-218C116527E2}" done="1">
    <text>Index de la dernière centaine d'enveloppes</text>
  </threadedComment>
  <threadedComment ref="J24" dT="2025-04-24T12:31:05.29" personId="{B9D14DDA-5DA4-4748-A3A4-6D74DB2F48C1}" id="{5F46F273-6C46-4161-A494-247D2B6B31A3}" done="1">
    <text>Modulo 100 de la dernière centaine d'enveloppes</text>
  </threadedComment>
  <threadedComment ref="K24" dT="2025-08-05T07:48:39.46" personId="{B9D14DDA-5DA4-4748-A3A4-6D74DB2F48C1}" id="{0DF602ED-B4B4-48F8-A449-73B218BAB594}" done="1">
    <text>Nombre d’isoloirs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theme="4" tint="-0.499984740745262"/>
    <outlinePr summaryBelow="0" summaryRight="0"/>
    <pageSetUpPr fitToPage="1"/>
  </sheetPr>
  <dimension ref="A1:S41"/>
  <sheetViews>
    <sheetView tabSelected="1" zoomScale="90" zoomScaleNormal="90" workbookViewId="0">
      <selection activeCell="D27" sqref="D27"/>
    </sheetView>
  </sheetViews>
  <sheetFormatPr baseColWidth="10" defaultColWidth="12.5703125" defaultRowHeight="15.75" customHeight="1" x14ac:dyDescent="0.2"/>
  <cols>
    <col min="1" max="1" width="7.42578125" customWidth="1"/>
    <col min="2" max="2" width="20.42578125" customWidth="1"/>
    <col min="3" max="3" width="10" customWidth="1"/>
    <col min="4" max="4" width="14.140625" customWidth="1"/>
    <col min="5" max="5" width="11.140625" customWidth="1"/>
    <col min="6" max="6" width="13.140625" customWidth="1"/>
    <col min="7" max="7" width="8.85546875" customWidth="1"/>
    <col min="8" max="8" width="9.42578125" customWidth="1"/>
    <col min="9" max="9" width="10.42578125" customWidth="1"/>
    <col min="10" max="10" width="13" customWidth="1"/>
    <col min="11" max="11" width="14.7109375" customWidth="1"/>
    <col min="12" max="18" width="18.42578125" customWidth="1"/>
  </cols>
  <sheetData>
    <row r="1" spans="1:19" ht="13.5" thickBot="1" x14ac:dyDescent="0.25">
      <c r="A1" s="201"/>
      <c r="B1" s="202"/>
      <c r="C1" s="201"/>
      <c r="D1" s="201"/>
      <c r="E1" s="201"/>
      <c r="F1" s="201"/>
      <c r="G1" s="201"/>
      <c r="H1" s="201"/>
      <c r="I1" s="201"/>
      <c r="J1" s="201"/>
      <c r="K1" s="201"/>
      <c r="L1" s="204">
        <v>1</v>
      </c>
      <c r="M1" s="489">
        <v>2</v>
      </c>
      <c r="N1" s="489">
        <v>3</v>
      </c>
      <c r="O1" s="489">
        <v>4</v>
      </c>
      <c r="P1" s="489">
        <v>5</v>
      </c>
      <c r="Q1" s="489">
        <v>6</v>
      </c>
      <c r="R1" s="203">
        <v>7</v>
      </c>
      <c r="S1" s="257" t="s">
        <v>7</v>
      </c>
    </row>
    <row r="2" spans="1:19" ht="32.25" customHeight="1" thickBot="1" x14ac:dyDescent="0.25">
      <c r="A2" s="264" t="s">
        <v>95</v>
      </c>
      <c r="B2" s="232" t="s">
        <v>23</v>
      </c>
      <c r="C2" s="233" t="s">
        <v>0</v>
      </c>
      <c r="D2" s="205" t="s">
        <v>1</v>
      </c>
      <c r="E2" s="206" t="s">
        <v>2</v>
      </c>
      <c r="F2" s="207" t="s">
        <v>17</v>
      </c>
      <c r="G2" s="208" t="s">
        <v>3</v>
      </c>
      <c r="H2" s="206" t="s">
        <v>4</v>
      </c>
      <c r="I2" s="206" t="s">
        <v>5</v>
      </c>
      <c r="J2" s="573" t="s">
        <v>6</v>
      </c>
      <c r="K2" s="574" t="s">
        <v>96</v>
      </c>
      <c r="L2" s="575" t="s">
        <v>125</v>
      </c>
      <c r="M2" s="576" t="s">
        <v>126</v>
      </c>
      <c r="N2" s="577" t="s">
        <v>127</v>
      </c>
      <c r="O2" s="578" t="s">
        <v>132</v>
      </c>
      <c r="P2" s="579" t="s">
        <v>133</v>
      </c>
      <c r="Q2" s="580" t="s">
        <v>134</v>
      </c>
      <c r="R2" s="581" t="s">
        <v>135</v>
      </c>
      <c r="S2" s="480" t="s">
        <v>8</v>
      </c>
    </row>
    <row r="3" spans="1:19" ht="12.75" x14ac:dyDescent="0.2">
      <c r="A3" s="265">
        <v>1</v>
      </c>
      <c r="B3" s="234" t="s">
        <v>103</v>
      </c>
      <c r="C3" s="235">
        <v>553</v>
      </c>
      <c r="D3" s="209" cm="1">
        <f t="array" aca="1" ref="D3" ca="1">INDIRECT("'Bureau " &amp; ROW()-2 &amp; "'!$B$8")</f>
        <v>0</v>
      </c>
      <c r="E3" s="210" cm="1">
        <f t="array" aca="1" ref="E3" ca="1">INDIRECT("'Bureau " &amp; ROW()-2 &amp; "'!$B$7")</f>
        <v>0</v>
      </c>
      <c r="F3" s="211">
        <f t="shared" ref="F3:F14" ca="1" si="0">C3-E3</f>
        <v>553</v>
      </c>
      <c r="G3" s="209">
        <f ca="1">INDEX(INDIRECT("'Bureau "&amp;(ROW()-2)&amp;"'!13:13"),1,MATCH("Blancs",INDIRECT("'Bureau "&amp;(ROW()-2)&amp;"'!2:2"),0))</f>
        <v>0</v>
      </c>
      <c r="H3" s="212">
        <f ca="1">INDEX(INDIRECT("'Bureau "&amp;(ROW()-2)&amp;"'!13:13"),1,MATCH("Nuls",INDIRECT("'Bureau "&amp;(ROW()-2)&amp;"'!2:2"),0))</f>
        <v>0</v>
      </c>
      <c r="I3" s="213">
        <f t="shared" ref="I3:I14" ca="1" si="1">E3-G3-H3</f>
        <v>0</v>
      </c>
      <c r="J3" s="214">
        <f t="shared" ref="J3:J14" ca="1" si="2">E3/C3</f>
        <v>0</v>
      </c>
      <c r="K3" s="215">
        <f t="shared" ref="K3:K14" ca="1" si="3">F3/C3</f>
        <v>1</v>
      </c>
      <c r="L3" s="240" cm="1">
        <f t="array" aca="1" ref="L3" ca="1">INDIRECT("'Bureau " &amp; ROW()-2 &amp; "'!" &amp; ADDRESS(13,COLUMN()-7,4))</f>
        <v>0</v>
      </c>
      <c r="M3" s="492" cm="1">
        <f t="array" aca="1" ref="M3" ca="1">INDIRECT("'Bureau " &amp; ROW()-2 &amp; "'!" &amp; ADDRESS(13,COLUMN()-7,4))</f>
        <v>0</v>
      </c>
      <c r="N3" s="563" cm="1">
        <f t="array" aca="1" ref="N3" ca="1">INDIRECT("'Bureau " &amp; ROW()-2 &amp; "'!" &amp; ADDRESS(13,COLUMN()-7,4))</f>
        <v>0</v>
      </c>
      <c r="O3" s="563" cm="1">
        <f t="array" aca="1" ref="O3" ca="1">INDIRECT("'Bureau " &amp; ROW()-2 &amp; "'!" &amp; ADDRESS(13,COLUMN()-7,4))</f>
        <v>0</v>
      </c>
      <c r="P3" s="563" cm="1">
        <f t="array" aca="1" ref="P3" ca="1">INDIRECT("'Bureau " &amp; ROW()-2 &amp; "'!" &amp; ADDRESS(13,COLUMN()-7,4))</f>
        <v>0</v>
      </c>
      <c r="Q3" s="563" cm="1">
        <f t="array" aca="1" ref="Q3" ca="1">INDIRECT("'Bureau " &amp; ROW()-2 &amp; "'!" &amp; ADDRESS(13,COLUMN()-7,4))</f>
        <v>0</v>
      </c>
      <c r="R3" s="568" cm="1">
        <f t="array" aca="1" ref="R3" ca="1">INDIRECT("'Bureau " &amp; ROW()-2 &amp; "'!" &amp; ADDRESS(13,COLUMN()-7,4))</f>
        <v>0</v>
      </c>
      <c r="S3" s="398" cm="1">
        <f t="array" aca="1" ref="S3" ca="1">SUM(IFERROR(L3:R3,0))</f>
        <v>0</v>
      </c>
    </row>
    <row r="4" spans="1:19" ht="12.75" x14ac:dyDescent="0.2">
      <c r="A4" s="266">
        <v>2</v>
      </c>
      <c r="B4" s="236" t="s">
        <v>26</v>
      </c>
      <c r="C4" s="237">
        <v>740</v>
      </c>
      <c r="D4" s="216" cm="1">
        <f t="array" aca="1" ref="D4" ca="1">INDIRECT("'Bureau " &amp; ROW()-2 &amp; "'!$B$8")</f>
        <v>0</v>
      </c>
      <c r="E4" s="217" cm="1">
        <f t="array" aca="1" ref="E4" ca="1">INDIRECT("'Bureau " &amp; ROW()-2 &amp; "'!$B$7")</f>
        <v>0</v>
      </c>
      <c r="F4" s="218">
        <f t="shared" ca="1" si="0"/>
        <v>740</v>
      </c>
      <c r="G4" s="219">
        <f ca="1">INDEX(INDIRECT("'Bureau "&amp;(ROW()-2)&amp;"'!13:13"),1,MATCH("Blancs",INDIRECT("'Bureau "&amp;(ROW()-2)&amp;"'!2:2"),0))</f>
        <v>0</v>
      </c>
      <c r="H4" s="220">
        <f t="shared" ref="H4:H14" ca="1" si="4">INDEX(INDIRECT("'Bureau "&amp;(ROW()-2)&amp;"'!13:13"),1,MATCH("Nuls",INDIRECT("'Bureau "&amp;(ROW()-2)&amp;"'!2:2"),0))</f>
        <v>0</v>
      </c>
      <c r="I4" s="221">
        <f t="shared" ca="1" si="1"/>
        <v>0</v>
      </c>
      <c r="J4" s="222">
        <f t="shared" ca="1" si="2"/>
        <v>0</v>
      </c>
      <c r="K4" s="223">
        <f t="shared" ca="1" si="3"/>
        <v>1</v>
      </c>
      <c r="L4" s="241" cm="1">
        <f t="array" aca="1" ref="L4" ca="1">INDIRECT("'Bureau " &amp; ROW()-2 &amp; "'!" &amp; ADDRESS(13,COLUMN()-7,4))</f>
        <v>0</v>
      </c>
      <c r="M4" s="493" cm="1">
        <f t="array" aca="1" ref="M4" ca="1">INDIRECT("'Bureau " &amp; ROW()-2 &amp; "'!" &amp; ADDRESS(13,COLUMN()-7,4))</f>
        <v>0</v>
      </c>
      <c r="N4" s="564" cm="1">
        <f t="array" aca="1" ref="N4" ca="1">INDIRECT("'Bureau " &amp; ROW()-2 &amp; "'!" &amp; ADDRESS(13,COLUMN()-7,4))</f>
        <v>0</v>
      </c>
      <c r="O4" s="564" cm="1">
        <f t="array" aca="1" ref="O4" ca="1">INDIRECT("'Bureau " &amp; ROW()-2 &amp; "'!" &amp; ADDRESS(13,COLUMN()-7,4))</f>
        <v>0</v>
      </c>
      <c r="P4" s="564" cm="1">
        <f t="array" aca="1" ref="P4" ca="1">INDIRECT("'Bureau " &amp; ROW()-2 &amp; "'!" &amp; ADDRESS(13,COLUMN()-7,4))</f>
        <v>0</v>
      </c>
      <c r="Q4" s="564" cm="1">
        <f t="array" aca="1" ref="Q4" ca="1">INDIRECT("'Bureau " &amp; ROW()-2 &amp; "'!" &amp; ADDRESS(13,COLUMN()-7,4))</f>
        <v>0</v>
      </c>
      <c r="R4" s="569" cm="1">
        <f t="array" aca="1" ref="R4" ca="1">INDIRECT("'Bureau " &amp; ROW()-2 &amp; "'!" &amp; ADDRESS(13,COLUMN()-7,4))</f>
        <v>0</v>
      </c>
      <c r="S4" s="481" cm="1">
        <f t="array" aca="1" ref="S4" ca="1">SUM(IFERROR(L4:R4,0))</f>
        <v>0</v>
      </c>
    </row>
    <row r="5" spans="1:19" ht="12.75" x14ac:dyDescent="0.2">
      <c r="A5" s="266">
        <v>3</v>
      </c>
      <c r="B5" s="236" t="s">
        <v>26</v>
      </c>
      <c r="C5" s="237">
        <v>713</v>
      </c>
      <c r="D5" s="216" cm="1">
        <f t="array" aca="1" ref="D5" ca="1">INDIRECT("'Bureau " &amp; ROW()-2 &amp; "'!$B$8")</f>
        <v>0</v>
      </c>
      <c r="E5" s="217" cm="1">
        <f t="array" aca="1" ref="E5" ca="1">INDIRECT("'Bureau " &amp; ROW()-2 &amp; "'!$B$7")</f>
        <v>0</v>
      </c>
      <c r="F5" s="218">
        <f t="shared" ca="1" si="0"/>
        <v>713</v>
      </c>
      <c r="G5" s="219">
        <f t="shared" ref="G5:G14" ca="1" si="5">INDEX(INDIRECT("'Bureau "&amp;(ROW()-2)&amp;"'!13:13"),1,MATCH("Blancs",INDIRECT("'Bureau "&amp;(ROW()-2)&amp;"'!2:2"),0))</f>
        <v>0</v>
      </c>
      <c r="H5" s="220">
        <f t="shared" ca="1" si="4"/>
        <v>0</v>
      </c>
      <c r="I5" s="221">
        <f t="shared" ca="1" si="1"/>
        <v>0</v>
      </c>
      <c r="J5" s="222">
        <f t="shared" ca="1" si="2"/>
        <v>0</v>
      </c>
      <c r="K5" s="223">
        <f t="shared" ca="1" si="3"/>
        <v>1</v>
      </c>
      <c r="L5" s="241" cm="1">
        <f t="array" aca="1" ref="L5" ca="1">INDIRECT("'Bureau " &amp; ROW()-2 &amp; "'!" &amp; ADDRESS(13,COLUMN()-7,4))</f>
        <v>0</v>
      </c>
      <c r="M5" s="493" cm="1">
        <f t="array" aca="1" ref="M5" ca="1">INDIRECT("'Bureau " &amp; ROW()-2 &amp; "'!" &amp; ADDRESS(13,COLUMN()-7,4))</f>
        <v>0</v>
      </c>
      <c r="N5" s="564" cm="1">
        <f t="array" aca="1" ref="N5" ca="1">INDIRECT("'Bureau " &amp; ROW()-2 &amp; "'!" &amp; ADDRESS(13,COLUMN()-7,4))</f>
        <v>0</v>
      </c>
      <c r="O5" s="564" cm="1">
        <f t="array" aca="1" ref="O5" ca="1">INDIRECT("'Bureau " &amp; ROW()-2 &amp; "'!" &amp; ADDRESS(13,COLUMN()-7,4))</f>
        <v>0</v>
      </c>
      <c r="P5" s="564" cm="1">
        <f t="array" aca="1" ref="P5" ca="1">INDIRECT("'Bureau " &amp; ROW()-2 &amp; "'!" &amp; ADDRESS(13,COLUMN()-7,4))</f>
        <v>0</v>
      </c>
      <c r="Q5" s="564" cm="1">
        <f t="array" aca="1" ref="Q5" ca="1">INDIRECT("'Bureau " &amp; ROW()-2 &amp; "'!" &amp; ADDRESS(13,COLUMN()-7,4))</f>
        <v>0</v>
      </c>
      <c r="R5" s="569" cm="1">
        <f t="array" aca="1" ref="R5" ca="1">INDIRECT("'Bureau " &amp; ROW()-2 &amp; "'!" &amp; ADDRESS(13,COLUMN()-7,4))</f>
        <v>0</v>
      </c>
      <c r="S5" s="481" cm="1">
        <f t="array" aca="1" ref="S5" ca="1">SUM(IFERROR(L5:R5,0))</f>
        <v>0</v>
      </c>
    </row>
    <row r="6" spans="1:19" ht="12.75" x14ac:dyDescent="0.2">
      <c r="A6" s="266">
        <v>4</v>
      </c>
      <c r="B6" s="236" t="s">
        <v>26</v>
      </c>
      <c r="C6" s="237">
        <v>679</v>
      </c>
      <c r="D6" s="216" cm="1">
        <f t="array" aca="1" ref="D6" ca="1">INDIRECT("'Bureau " &amp; ROW()-2 &amp; "'!$B$8")</f>
        <v>0</v>
      </c>
      <c r="E6" s="217" cm="1">
        <f t="array" aca="1" ref="E6" ca="1">INDIRECT("'Bureau " &amp; ROW()-2 &amp; "'!$B$7")</f>
        <v>0</v>
      </c>
      <c r="F6" s="218">
        <f t="shared" ca="1" si="0"/>
        <v>679</v>
      </c>
      <c r="G6" s="219">
        <f t="shared" ca="1" si="5"/>
        <v>0</v>
      </c>
      <c r="H6" s="220">
        <f t="shared" ca="1" si="4"/>
        <v>0</v>
      </c>
      <c r="I6" s="221">
        <f t="shared" ca="1" si="1"/>
        <v>0</v>
      </c>
      <c r="J6" s="222">
        <f t="shared" ca="1" si="2"/>
        <v>0</v>
      </c>
      <c r="K6" s="223">
        <f t="shared" ca="1" si="3"/>
        <v>1</v>
      </c>
      <c r="L6" s="241" cm="1">
        <f t="array" aca="1" ref="L6" ca="1">INDIRECT("'Bureau " &amp; ROW()-2 &amp; "'!" &amp; ADDRESS(13,COLUMN()-7,4))</f>
        <v>0</v>
      </c>
      <c r="M6" s="493" cm="1">
        <f t="array" aca="1" ref="M6" ca="1">INDIRECT("'Bureau " &amp; ROW()-2 &amp; "'!" &amp; ADDRESS(13,COLUMN()-7,4))</f>
        <v>0</v>
      </c>
      <c r="N6" s="564" cm="1">
        <f t="array" aca="1" ref="N6" ca="1">INDIRECT("'Bureau " &amp; ROW()-2 &amp; "'!" &amp; ADDRESS(13,COLUMN()-7,4))</f>
        <v>0</v>
      </c>
      <c r="O6" s="564" cm="1">
        <f t="array" aca="1" ref="O6" ca="1">INDIRECT("'Bureau " &amp; ROW()-2 &amp; "'!" &amp; ADDRESS(13,COLUMN()-7,4))</f>
        <v>0</v>
      </c>
      <c r="P6" s="564" cm="1">
        <f t="array" aca="1" ref="P6" ca="1">INDIRECT("'Bureau " &amp; ROW()-2 &amp; "'!" &amp; ADDRESS(13,COLUMN()-7,4))</f>
        <v>0</v>
      </c>
      <c r="Q6" s="564" cm="1">
        <f t="array" aca="1" ref="Q6" ca="1">INDIRECT("'Bureau " &amp; ROW()-2 &amp; "'!" &amp; ADDRESS(13,COLUMN()-7,4))</f>
        <v>0</v>
      </c>
      <c r="R6" s="569" cm="1">
        <f t="array" aca="1" ref="R6" ca="1">INDIRECT("'Bureau " &amp; ROW()-2 &amp; "'!" &amp; ADDRESS(13,COLUMN()-7,4))</f>
        <v>0</v>
      </c>
      <c r="S6" s="481" cm="1">
        <f t="array" aca="1" ref="S6" ca="1">SUM(IFERROR(L6:R6,0))</f>
        <v>0</v>
      </c>
    </row>
    <row r="7" spans="1:19" ht="12.75" x14ac:dyDescent="0.2">
      <c r="A7" s="266">
        <v>5</v>
      </c>
      <c r="B7" s="236" t="s">
        <v>27</v>
      </c>
      <c r="C7" s="237">
        <v>701</v>
      </c>
      <c r="D7" s="216" cm="1">
        <f t="array" aca="1" ref="D7" ca="1">INDIRECT("'Bureau " &amp; ROW()-2 &amp; "'!$B$8")</f>
        <v>0</v>
      </c>
      <c r="E7" s="217" cm="1">
        <f t="array" aca="1" ref="E7" ca="1">INDIRECT("'Bureau " &amp; ROW()-2 &amp; "'!$B$7")</f>
        <v>0</v>
      </c>
      <c r="F7" s="218">
        <f t="shared" ca="1" si="0"/>
        <v>701</v>
      </c>
      <c r="G7" s="219">
        <f t="shared" ca="1" si="5"/>
        <v>0</v>
      </c>
      <c r="H7" s="220">
        <f t="shared" ca="1" si="4"/>
        <v>0</v>
      </c>
      <c r="I7" s="221">
        <f t="shared" ca="1" si="1"/>
        <v>0</v>
      </c>
      <c r="J7" s="222">
        <f t="shared" ca="1" si="2"/>
        <v>0</v>
      </c>
      <c r="K7" s="223">
        <f t="shared" ca="1" si="3"/>
        <v>1</v>
      </c>
      <c r="L7" s="241" cm="1">
        <f t="array" aca="1" ref="L7" ca="1">INDIRECT("'Bureau " &amp; ROW()-2 &amp; "'!" &amp; ADDRESS(13,COLUMN()-7,4))</f>
        <v>0</v>
      </c>
      <c r="M7" s="493" cm="1">
        <f t="array" aca="1" ref="M7" ca="1">INDIRECT("'Bureau " &amp; ROW()-2 &amp; "'!" &amp; ADDRESS(13,COLUMN()-7,4))</f>
        <v>0</v>
      </c>
      <c r="N7" s="564" cm="1">
        <f t="array" aca="1" ref="N7" ca="1">INDIRECT("'Bureau " &amp; ROW()-2 &amp; "'!" &amp; ADDRESS(13,COLUMN()-7,4))</f>
        <v>0</v>
      </c>
      <c r="O7" s="564" cm="1">
        <f t="array" aca="1" ref="O7" ca="1">INDIRECT("'Bureau " &amp; ROW()-2 &amp; "'!" &amp; ADDRESS(13,COLUMN()-7,4))</f>
        <v>0</v>
      </c>
      <c r="P7" s="564" cm="1">
        <f t="array" aca="1" ref="P7" ca="1">INDIRECT("'Bureau " &amp; ROW()-2 &amp; "'!" &amp; ADDRESS(13,COLUMN()-7,4))</f>
        <v>0</v>
      </c>
      <c r="Q7" s="564" cm="1">
        <f t="array" aca="1" ref="Q7" ca="1">INDIRECT("'Bureau " &amp; ROW()-2 &amp; "'!" &amp; ADDRESS(13,COLUMN()-7,4))</f>
        <v>0</v>
      </c>
      <c r="R7" s="569" cm="1">
        <f t="array" aca="1" ref="R7" ca="1">INDIRECT("'Bureau " &amp; ROW()-2 &amp; "'!" &amp; ADDRESS(13,COLUMN()-7,4))</f>
        <v>0</v>
      </c>
      <c r="S7" s="481" cm="1">
        <f t="array" aca="1" ref="S7" ca="1">SUM(IFERROR(L7:R7,0))</f>
        <v>0</v>
      </c>
    </row>
    <row r="8" spans="1:19" ht="12.75" x14ac:dyDescent="0.2">
      <c r="A8" s="266">
        <v>6</v>
      </c>
      <c r="B8" s="236" t="s">
        <v>27</v>
      </c>
      <c r="C8" s="237">
        <v>712</v>
      </c>
      <c r="D8" s="216" cm="1">
        <f t="array" aca="1" ref="D8" ca="1">INDIRECT("'Bureau " &amp; ROW()-2 &amp; "'!$B$8")</f>
        <v>0</v>
      </c>
      <c r="E8" s="217" cm="1">
        <f t="array" aca="1" ref="E8" ca="1">INDIRECT("'Bureau " &amp; ROW()-2 &amp; "'!$B$7")</f>
        <v>0</v>
      </c>
      <c r="F8" s="218">
        <f t="shared" ca="1" si="0"/>
        <v>712</v>
      </c>
      <c r="G8" s="219">
        <f t="shared" ca="1" si="5"/>
        <v>0</v>
      </c>
      <c r="H8" s="220">
        <f t="shared" ca="1" si="4"/>
        <v>0</v>
      </c>
      <c r="I8" s="221">
        <f t="shared" ca="1" si="1"/>
        <v>0</v>
      </c>
      <c r="J8" s="222">
        <f t="shared" ca="1" si="2"/>
        <v>0</v>
      </c>
      <c r="K8" s="223">
        <f t="shared" ca="1" si="3"/>
        <v>1</v>
      </c>
      <c r="L8" s="241" cm="1">
        <f t="array" aca="1" ref="L8" ca="1">INDIRECT("'Bureau " &amp; ROW()-2 &amp; "'!" &amp; ADDRESS(13,COLUMN()-7,4))</f>
        <v>0</v>
      </c>
      <c r="M8" s="493" cm="1">
        <f t="array" aca="1" ref="M8" ca="1">INDIRECT("'Bureau " &amp; ROW()-2 &amp; "'!" &amp; ADDRESS(13,COLUMN()-7,4))</f>
        <v>0</v>
      </c>
      <c r="N8" s="564" cm="1">
        <f t="array" aca="1" ref="N8" ca="1">INDIRECT("'Bureau " &amp; ROW()-2 &amp; "'!" &amp; ADDRESS(13,COLUMN()-7,4))</f>
        <v>0</v>
      </c>
      <c r="O8" s="564" cm="1">
        <f t="array" aca="1" ref="O8" ca="1">INDIRECT("'Bureau " &amp; ROW()-2 &amp; "'!" &amp; ADDRESS(13,COLUMN()-7,4))</f>
        <v>0</v>
      </c>
      <c r="P8" s="564" cm="1">
        <f t="array" aca="1" ref="P8" ca="1">INDIRECT("'Bureau " &amp; ROW()-2 &amp; "'!" &amp; ADDRESS(13,COLUMN()-7,4))</f>
        <v>0</v>
      </c>
      <c r="Q8" s="564" cm="1">
        <f t="array" aca="1" ref="Q8" ca="1">INDIRECT("'Bureau " &amp; ROW()-2 &amp; "'!" &amp; ADDRESS(13,COLUMN()-7,4))</f>
        <v>0</v>
      </c>
      <c r="R8" s="569" cm="1">
        <f t="array" aca="1" ref="R8" ca="1">INDIRECT("'Bureau " &amp; ROW()-2 &amp; "'!" &amp; ADDRESS(13,COLUMN()-7,4))</f>
        <v>0</v>
      </c>
      <c r="S8" s="481" cm="1">
        <f t="array" aca="1" ref="S8" ca="1">SUM(IFERROR(L8:R8,0))</f>
        <v>0</v>
      </c>
    </row>
    <row r="9" spans="1:19" ht="12.75" x14ac:dyDescent="0.2">
      <c r="A9" s="266">
        <v>7</v>
      </c>
      <c r="B9" s="236" t="s">
        <v>27</v>
      </c>
      <c r="C9" s="237">
        <v>731</v>
      </c>
      <c r="D9" s="216" cm="1">
        <f t="array" aca="1" ref="D9" ca="1">INDIRECT("'Bureau " &amp; ROW()-2 &amp; "'!$B$8")</f>
        <v>0</v>
      </c>
      <c r="E9" s="217" cm="1">
        <f t="array" aca="1" ref="E9" ca="1">INDIRECT("'Bureau " &amp; ROW()-2 &amp; "'!$B$7")</f>
        <v>0</v>
      </c>
      <c r="F9" s="218">
        <f t="shared" ca="1" si="0"/>
        <v>731</v>
      </c>
      <c r="G9" s="219">
        <f t="shared" ca="1" si="5"/>
        <v>0</v>
      </c>
      <c r="H9" s="220">
        <f t="shared" ca="1" si="4"/>
        <v>0</v>
      </c>
      <c r="I9" s="221">
        <f t="shared" ca="1" si="1"/>
        <v>0</v>
      </c>
      <c r="J9" s="222">
        <f t="shared" ca="1" si="2"/>
        <v>0</v>
      </c>
      <c r="K9" s="223">
        <f t="shared" ca="1" si="3"/>
        <v>1</v>
      </c>
      <c r="L9" s="241" cm="1">
        <f t="array" aca="1" ref="L9" ca="1">INDIRECT("'Bureau " &amp; ROW()-2 &amp; "'!" &amp; ADDRESS(13,COLUMN()-7,4))</f>
        <v>0</v>
      </c>
      <c r="M9" s="493" cm="1">
        <f t="array" aca="1" ref="M9" ca="1">INDIRECT("'Bureau " &amp; ROW()-2 &amp; "'!" &amp; ADDRESS(13,COLUMN()-7,4))</f>
        <v>0</v>
      </c>
      <c r="N9" s="564" cm="1">
        <f t="array" aca="1" ref="N9" ca="1">INDIRECT("'Bureau " &amp; ROW()-2 &amp; "'!" &amp; ADDRESS(13,COLUMN()-7,4))</f>
        <v>0</v>
      </c>
      <c r="O9" s="564" cm="1">
        <f t="array" aca="1" ref="O9" ca="1">INDIRECT("'Bureau " &amp; ROW()-2 &amp; "'!" &amp; ADDRESS(13,COLUMN()-7,4))</f>
        <v>0</v>
      </c>
      <c r="P9" s="564" cm="1">
        <f t="array" aca="1" ref="P9" ca="1">INDIRECT("'Bureau " &amp; ROW()-2 &amp; "'!" &amp; ADDRESS(13,COLUMN()-7,4))</f>
        <v>0</v>
      </c>
      <c r="Q9" s="564" cm="1">
        <f t="array" aca="1" ref="Q9" ca="1">INDIRECT("'Bureau " &amp; ROW()-2 &amp; "'!" &amp; ADDRESS(13,COLUMN()-7,4))</f>
        <v>0</v>
      </c>
      <c r="R9" s="569" cm="1">
        <f t="array" aca="1" ref="R9" ca="1">INDIRECT("'Bureau " &amp; ROW()-2 &amp; "'!" &amp; ADDRESS(13,COLUMN()-7,4))</f>
        <v>0</v>
      </c>
      <c r="S9" s="481" cm="1">
        <f t="array" aca="1" ref="S9" ca="1">SUM(IFERROR(L9:R9,0))</f>
        <v>0</v>
      </c>
    </row>
    <row r="10" spans="1:19" ht="12.75" x14ac:dyDescent="0.2">
      <c r="A10" s="266">
        <v>8</v>
      </c>
      <c r="B10" s="236" t="s">
        <v>27</v>
      </c>
      <c r="C10" s="237">
        <v>646</v>
      </c>
      <c r="D10" s="216" cm="1">
        <f t="array" aca="1" ref="D10" ca="1">INDIRECT("'Bureau " &amp; ROW()-2 &amp; "'!$B$8")</f>
        <v>0</v>
      </c>
      <c r="E10" s="217" cm="1">
        <f t="array" aca="1" ref="E10" ca="1">INDIRECT("'Bureau " &amp; ROW()-2 &amp; "'!$B$7")</f>
        <v>0</v>
      </c>
      <c r="F10" s="218">
        <f t="shared" ca="1" si="0"/>
        <v>646</v>
      </c>
      <c r="G10" s="219">
        <f t="shared" ca="1" si="5"/>
        <v>0</v>
      </c>
      <c r="H10" s="220">
        <f t="shared" ca="1" si="4"/>
        <v>0</v>
      </c>
      <c r="I10" s="221">
        <f t="shared" ca="1" si="1"/>
        <v>0</v>
      </c>
      <c r="J10" s="222">
        <f t="shared" ca="1" si="2"/>
        <v>0</v>
      </c>
      <c r="K10" s="223">
        <f t="shared" ca="1" si="3"/>
        <v>1</v>
      </c>
      <c r="L10" s="241" cm="1">
        <f t="array" aca="1" ref="L10" ca="1">INDIRECT("'Bureau " &amp; ROW()-2 &amp; "'!" &amp; ADDRESS(13,COLUMN()-7,4))</f>
        <v>0</v>
      </c>
      <c r="M10" s="493" cm="1">
        <f t="array" aca="1" ref="M10" ca="1">INDIRECT("'Bureau " &amp; ROW()-2 &amp; "'!" &amp; ADDRESS(13,COLUMN()-7,4))</f>
        <v>0</v>
      </c>
      <c r="N10" s="564" cm="1">
        <f t="array" aca="1" ref="N10" ca="1">INDIRECT("'Bureau " &amp; ROW()-2 &amp; "'!" &amp; ADDRESS(13,COLUMN()-7,4))</f>
        <v>0</v>
      </c>
      <c r="O10" s="564" cm="1">
        <f t="array" aca="1" ref="O10" ca="1">INDIRECT("'Bureau " &amp; ROW()-2 &amp; "'!" &amp; ADDRESS(13,COLUMN()-7,4))</f>
        <v>0</v>
      </c>
      <c r="P10" s="564" cm="1">
        <f t="array" aca="1" ref="P10" ca="1">INDIRECT("'Bureau " &amp; ROW()-2 &amp; "'!" &amp; ADDRESS(13,COLUMN()-7,4))</f>
        <v>0</v>
      </c>
      <c r="Q10" s="564" cm="1">
        <f t="array" aca="1" ref="Q10" ca="1">INDIRECT("'Bureau " &amp; ROW()-2 &amp; "'!" &amp; ADDRESS(13,COLUMN()-7,4))</f>
        <v>0</v>
      </c>
      <c r="R10" s="569" cm="1">
        <f t="array" aca="1" ref="R10" ca="1">INDIRECT("'Bureau " &amp; ROW()-2 &amp; "'!" &amp; ADDRESS(13,COLUMN()-7,4))</f>
        <v>0</v>
      </c>
      <c r="S10" s="481" cm="1">
        <f t="array" aca="1" ref="S10" ca="1">SUM(IFERROR(L10:R10,0))</f>
        <v>0</v>
      </c>
    </row>
    <row r="11" spans="1:19" ht="12.75" x14ac:dyDescent="0.2">
      <c r="A11" s="266">
        <v>9</v>
      </c>
      <c r="B11" s="236" t="s">
        <v>28</v>
      </c>
      <c r="C11" s="237">
        <v>709</v>
      </c>
      <c r="D11" s="216" cm="1">
        <f t="array" aca="1" ref="D11" ca="1">INDIRECT("'Bureau " &amp; ROW()-2 &amp; "'!$B$8")</f>
        <v>0</v>
      </c>
      <c r="E11" s="217" cm="1">
        <f t="array" aca="1" ref="E11" ca="1">INDIRECT("'Bureau " &amp; ROW()-2 &amp; "'!$B$7")</f>
        <v>0</v>
      </c>
      <c r="F11" s="218">
        <f t="shared" ca="1" si="0"/>
        <v>709</v>
      </c>
      <c r="G11" s="219">
        <f t="shared" ca="1" si="5"/>
        <v>0</v>
      </c>
      <c r="H11" s="220">
        <f t="shared" ca="1" si="4"/>
        <v>0</v>
      </c>
      <c r="I11" s="221">
        <f t="shared" ca="1" si="1"/>
        <v>0</v>
      </c>
      <c r="J11" s="222">
        <f t="shared" ca="1" si="2"/>
        <v>0</v>
      </c>
      <c r="K11" s="223">
        <f t="shared" ca="1" si="3"/>
        <v>1</v>
      </c>
      <c r="L11" s="241" cm="1">
        <f t="array" aca="1" ref="L11" ca="1">INDIRECT("'Bureau " &amp; ROW()-2 &amp; "'!" &amp; ADDRESS(13,COLUMN()-7,4))</f>
        <v>0</v>
      </c>
      <c r="M11" s="493" cm="1">
        <f t="array" aca="1" ref="M11" ca="1">INDIRECT("'Bureau " &amp; ROW()-2 &amp; "'!" &amp; ADDRESS(13,COLUMN()-7,4))</f>
        <v>0</v>
      </c>
      <c r="N11" s="564" cm="1">
        <f t="array" aca="1" ref="N11" ca="1">INDIRECT("'Bureau " &amp; ROW()-2 &amp; "'!" &amp; ADDRESS(13,COLUMN()-7,4))</f>
        <v>0</v>
      </c>
      <c r="O11" s="564" cm="1">
        <f t="array" aca="1" ref="O11" ca="1">INDIRECT("'Bureau " &amp; ROW()-2 &amp; "'!" &amp; ADDRESS(13,COLUMN()-7,4))</f>
        <v>0</v>
      </c>
      <c r="P11" s="564" cm="1">
        <f t="array" aca="1" ref="P11" ca="1">INDIRECT("'Bureau " &amp; ROW()-2 &amp; "'!" &amp; ADDRESS(13,COLUMN()-7,4))</f>
        <v>0</v>
      </c>
      <c r="Q11" s="564" cm="1">
        <f t="array" aca="1" ref="Q11" ca="1">INDIRECT("'Bureau " &amp; ROW()-2 &amp; "'!" &amp; ADDRESS(13,COLUMN()-7,4))</f>
        <v>0</v>
      </c>
      <c r="R11" s="569" cm="1">
        <f t="array" aca="1" ref="R11" ca="1">INDIRECT("'Bureau " &amp; ROW()-2 &amp; "'!" &amp; ADDRESS(13,COLUMN()-7,4))</f>
        <v>0</v>
      </c>
      <c r="S11" s="481" cm="1">
        <f t="array" aca="1" ref="S11" ca="1">SUM(IFERROR(L11:R11,0))</f>
        <v>0</v>
      </c>
    </row>
    <row r="12" spans="1:19" ht="12.75" x14ac:dyDescent="0.2">
      <c r="A12" s="266">
        <v>10</v>
      </c>
      <c r="B12" s="236" t="s">
        <v>28</v>
      </c>
      <c r="C12" s="237">
        <v>609</v>
      </c>
      <c r="D12" s="216" cm="1">
        <f t="array" aca="1" ref="D12" ca="1">INDIRECT("'Bureau " &amp; ROW()-2 &amp; "'!$B$8")</f>
        <v>0</v>
      </c>
      <c r="E12" s="217" cm="1">
        <f t="array" aca="1" ref="E12" ca="1">INDIRECT("'Bureau " &amp; ROW()-2 &amp; "'!$B$7")</f>
        <v>0</v>
      </c>
      <c r="F12" s="218">
        <f t="shared" ca="1" si="0"/>
        <v>609</v>
      </c>
      <c r="G12" s="219">
        <f t="shared" ca="1" si="5"/>
        <v>0</v>
      </c>
      <c r="H12" s="220">
        <f t="shared" ca="1" si="4"/>
        <v>0</v>
      </c>
      <c r="I12" s="221">
        <f t="shared" ca="1" si="1"/>
        <v>0</v>
      </c>
      <c r="J12" s="222">
        <f t="shared" ca="1" si="2"/>
        <v>0</v>
      </c>
      <c r="K12" s="223">
        <f t="shared" ca="1" si="3"/>
        <v>1</v>
      </c>
      <c r="L12" s="241" cm="1">
        <f t="array" aca="1" ref="L12" ca="1">INDIRECT("'Bureau " &amp; ROW()-2 &amp; "'!" &amp; ADDRESS(13,COLUMN()-7,4))</f>
        <v>0</v>
      </c>
      <c r="M12" s="493" cm="1">
        <f t="array" aca="1" ref="M12" ca="1">INDIRECT("'Bureau " &amp; ROW()-2 &amp; "'!" &amp; ADDRESS(13,COLUMN()-7,4))</f>
        <v>0</v>
      </c>
      <c r="N12" s="564" cm="1">
        <f t="array" aca="1" ref="N12" ca="1">INDIRECT("'Bureau " &amp; ROW()-2 &amp; "'!" &amp; ADDRESS(13,COLUMN()-7,4))</f>
        <v>0</v>
      </c>
      <c r="O12" s="564" cm="1">
        <f t="array" aca="1" ref="O12" ca="1">INDIRECT("'Bureau " &amp; ROW()-2 &amp; "'!" &amp; ADDRESS(13,COLUMN()-7,4))</f>
        <v>0</v>
      </c>
      <c r="P12" s="564" cm="1">
        <f t="array" aca="1" ref="P12" ca="1">INDIRECT("'Bureau " &amp; ROW()-2 &amp; "'!" &amp; ADDRESS(13,COLUMN()-7,4))</f>
        <v>0</v>
      </c>
      <c r="Q12" s="564" cm="1">
        <f t="array" aca="1" ref="Q12" ca="1">INDIRECT("'Bureau " &amp; ROW()-2 &amp; "'!" &amp; ADDRESS(13,COLUMN()-7,4))</f>
        <v>0</v>
      </c>
      <c r="R12" s="569" cm="1">
        <f t="array" aca="1" ref="R12" ca="1">INDIRECT("'Bureau " &amp; ROW()-2 &amp; "'!" &amp; ADDRESS(13,COLUMN()-7,4))</f>
        <v>0</v>
      </c>
      <c r="S12" s="481" cm="1">
        <f t="array" aca="1" ref="S12" ca="1">SUM(IFERROR(L12:R12,0))</f>
        <v>0</v>
      </c>
    </row>
    <row r="13" spans="1:19" ht="12.75" x14ac:dyDescent="0.2">
      <c r="A13" s="266">
        <v>11</v>
      </c>
      <c r="B13" s="236" t="s">
        <v>28</v>
      </c>
      <c r="C13" s="237">
        <v>691</v>
      </c>
      <c r="D13" s="216" cm="1">
        <f t="array" aca="1" ref="D13" ca="1">INDIRECT("'Bureau " &amp; ROW()-2 &amp; "'!$B$8")</f>
        <v>0</v>
      </c>
      <c r="E13" s="217" cm="1">
        <f t="array" aca="1" ref="E13" ca="1">INDIRECT("'Bureau " &amp; ROW()-2 &amp; "'!$B$7")</f>
        <v>0</v>
      </c>
      <c r="F13" s="218">
        <f t="shared" ca="1" si="0"/>
        <v>691</v>
      </c>
      <c r="G13" s="219">
        <f t="shared" ca="1" si="5"/>
        <v>0</v>
      </c>
      <c r="H13" s="220">
        <f t="shared" ca="1" si="4"/>
        <v>0</v>
      </c>
      <c r="I13" s="221">
        <f t="shared" ca="1" si="1"/>
        <v>0</v>
      </c>
      <c r="J13" s="222">
        <f t="shared" ca="1" si="2"/>
        <v>0</v>
      </c>
      <c r="K13" s="223">
        <f t="shared" ca="1" si="3"/>
        <v>1</v>
      </c>
      <c r="L13" s="241" cm="1">
        <f t="array" aca="1" ref="L13" ca="1">INDIRECT("'Bureau " &amp; ROW()-2 &amp; "'!" &amp; ADDRESS(13,COLUMN()-7,4))</f>
        <v>0</v>
      </c>
      <c r="M13" s="493" cm="1">
        <f t="array" aca="1" ref="M13" ca="1">INDIRECT("'Bureau " &amp; ROW()-2 &amp; "'!" &amp; ADDRESS(13,COLUMN()-7,4))</f>
        <v>0</v>
      </c>
      <c r="N13" s="564" cm="1">
        <f t="array" aca="1" ref="N13" ca="1">INDIRECT("'Bureau " &amp; ROW()-2 &amp; "'!" &amp; ADDRESS(13,COLUMN()-7,4))</f>
        <v>0</v>
      </c>
      <c r="O13" s="564" cm="1">
        <f t="array" aca="1" ref="O13" ca="1">INDIRECT("'Bureau " &amp; ROW()-2 &amp; "'!" &amp; ADDRESS(13,COLUMN()-7,4))</f>
        <v>0</v>
      </c>
      <c r="P13" s="564" cm="1">
        <f t="array" aca="1" ref="P13" ca="1">INDIRECT("'Bureau " &amp; ROW()-2 &amp; "'!" &amp; ADDRESS(13,COLUMN()-7,4))</f>
        <v>0</v>
      </c>
      <c r="Q13" s="564" cm="1">
        <f t="array" aca="1" ref="Q13" ca="1">INDIRECT("'Bureau " &amp; ROW()-2 &amp; "'!" &amp; ADDRESS(13,COLUMN()-7,4))</f>
        <v>0</v>
      </c>
      <c r="R13" s="569" cm="1">
        <f t="array" aca="1" ref="R13" ca="1">INDIRECT("'Bureau " &amp; ROW()-2 &amp; "'!" &amp; ADDRESS(13,COLUMN()-7,4))</f>
        <v>0</v>
      </c>
      <c r="S13" s="481" cm="1">
        <f t="array" aca="1" ref="S13" ca="1">SUM(IFERROR(L13:R13,0))</f>
        <v>0</v>
      </c>
    </row>
    <row r="14" spans="1:19" ht="13.5" thickBot="1" x14ac:dyDescent="0.25">
      <c r="A14" s="267">
        <v>12</v>
      </c>
      <c r="B14" s="238" t="s">
        <v>29</v>
      </c>
      <c r="C14" s="239">
        <v>680</v>
      </c>
      <c r="D14" s="224" cm="1">
        <f t="array" aca="1" ref="D14" ca="1">INDIRECT("'Bureau " &amp; ROW()-2 &amp; "'!$B$8")</f>
        <v>0</v>
      </c>
      <c r="E14" s="225" cm="1">
        <f t="array" aca="1" ref="E14" ca="1">INDIRECT("'Bureau " &amp; ROW()-2 &amp; "'!$B$7")</f>
        <v>0</v>
      </c>
      <c r="F14" s="226">
        <f t="shared" ca="1" si="0"/>
        <v>680</v>
      </c>
      <c r="G14" s="227">
        <f t="shared" ca="1" si="5"/>
        <v>0</v>
      </c>
      <c r="H14" s="228">
        <f t="shared" ca="1" si="4"/>
        <v>0</v>
      </c>
      <c r="I14" s="229">
        <f t="shared" ca="1" si="1"/>
        <v>0</v>
      </c>
      <c r="J14" s="230">
        <f t="shared" ca="1" si="2"/>
        <v>0</v>
      </c>
      <c r="K14" s="231">
        <f t="shared" ca="1" si="3"/>
        <v>1</v>
      </c>
      <c r="L14" s="242" cm="1">
        <f t="array" aca="1" ref="L14" ca="1">INDIRECT("'Bureau " &amp; ROW()-2 &amp; "'!" &amp; ADDRESS(13,COLUMN()-7,4))</f>
        <v>0</v>
      </c>
      <c r="M14" s="494" cm="1">
        <f t="array" aca="1" ref="M14" ca="1">INDIRECT("'Bureau " &amp; ROW()-2 &amp; "'!" &amp; ADDRESS(13,COLUMN()-7,4))</f>
        <v>0</v>
      </c>
      <c r="N14" s="565" cm="1">
        <f t="array" aca="1" ref="N14" ca="1">INDIRECT("'Bureau " &amp; ROW()-2 &amp; "'!" &amp; ADDRESS(13,COLUMN()-7,4))</f>
        <v>0</v>
      </c>
      <c r="O14" s="565" cm="1">
        <f t="array" aca="1" ref="O14" ca="1">INDIRECT("'Bureau " &amp; ROW()-2 &amp; "'!" &amp; ADDRESS(13,COLUMN()-7,4))</f>
        <v>0</v>
      </c>
      <c r="P14" s="565" cm="1">
        <f t="array" aca="1" ref="P14" ca="1">INDIRECT("'Bureau " &amp; ROW()-2 &amp; "'!" &amp; ADDRESS(13,COLUMN()-7,4))</f>
        <v>0</v>
      </c>
      <c r="Q14" s="565" cm="1">
        <f t="array" aca="1" ref="Q14" ca="1">INDIRECT("'Bureau " &amp; ROW()-2 &amp; "'!" &amp; ADDRESS(13,COLUMN()-7,4))</f>
        <v>0</v>
      </c>
      <c r="R14" s="570" cm="1">
        <f t="array" aca="1" ref="R14" ca="1">INDIRECT("'Bureau " &amp; ROW()-2 &amp; "'!" &amp; ADDRESS(13,COLUMN()-7,4))</f>
        <v>0</v>
      </c>
      <c r="S14" s="482" cm="1">
        <f t="array" aca="1" ref="S14" ca="1">SUM(IFERROR(L14:R14,0))</f>
        <v>0</v>
      </c>
    </row>
    <row r="15" spans="1:19" ht="18.75" x14ac:dyDescent="0.3">
      <c r="A15" s="484"/>
      <c r="B15" s="486" t="s">
        <v>9</v>
      </c>
      <c r="C15" s="459" cm="1">
        <f t="array" ref="C15">SUM(IFERROR(C3:C14,0))</f>
        <v>8164</v>
      </c>
      <c r="D15" s="446" cm="1">
        <f t="array" aca="1" ref="D15" ca="1">SUM(IFERROR(D3:D14,0))</f>
        <v>0</v>
      </c>
      <c r="E15" s="447" cm="1">
        <f t="array" aca="1" ref="E15" ca="1">SUM(IFERROR(E3:E14,0))</f>
        <v>0</v>
      </c>
      <c r="F15" s="447" cm="1">
        <f t="array" aca="1" ref="F15" ca="1">SUM(IFERROR(F3:F14,0))</f>
        <v>8164</v>
      </c>
      <c r="G15" s="448" cm="1">
        <f t="array" aca="1" ref="G15" ca="1">SUM(IFERROR(G3:G14,0))</f>
        <v>0</v>
      </c>
      <c r="H15" s="449" cm="1">
        <f t="array" aca="1" ref="H15" ca="1">SUM(IFERROR(H3:H14,0))</f>
        <v>0</v>
      </c>
      <c r="I15" s="450" cm="1">
        <f t="array" aca="1" ref="I15" ca="1">SUM(IFERROR(I3:I14,0))</f>
        <v>0</v>
      </c>
      <c r="J15" s="451">
        <f ca="1">E15</f>
        <v>0</v>
      </c>
      <c r="K15" s="452" cm="1">
        <f t="array" aca="1" ref="K15" ca="1">SUM(IFERROR(F3:F14,0))</f>
        <v>8164</v>
      </c>
      <c r="L15" s="490" cm="1">
        <f t="array" aca="1" ref="L15" ca="1">SUM(IFERROR(L3:L14,0))</f>
        <v>0</v>
      </c>
      <c r="M15" s="495" cm="1">
        <f t="array" aca="1" ref="M15" ca="1">SUM(IFERROR(M3:M14,0))</f>
        <v>0</v>
      </c>
      <c r="N15" s="566" cm="1">
        <f t="array" aca="1" ref="N15" ca="1">SUM(IFERROR(N3:N14,0))</f>
        <v>0</v>
      </c>
      <c r="O15" s="566" cm="1">
        <f t="array" aca="1" ref="O15" ca="1">SUM(IFERROR(O3:O14,0))</f>
        <v>0</v>
      </c>
      <c r="P15" s="566" cm="1">
        <f t="array" aca="1" ref="P15" ca="1">SUM(IFERROR(P3:P14,0))</f>
        <v>0</v>
      </c>
      <c r="Q15" s="566" cm="1">
        <f t="array" aca="1" ref="Q15" ca="1">SUM(IFERROR(Q3:Q14,0))</f>
        <v>0</v>
      </c>
      <c r="R15" s="571" cm="1">
        <f t="array" aca="1" ref="R15" ca="1">SUM(IFERROR(R3:R14,0))</f>
        <v>0</v>
      </c>
      <c r="S15" s="453" cm="1">
        <f t="array" aca="1" ref="S15" ca="1">SUM(IFERROR(S3:S14,0))</f>
        <v>0</v>
      </c>
    </row>
    <row r="16" spans="1:19" ht="19.5" thickBot="1" x14ac:dyDescent="0.35">
      <c r="A16" s="485"/>
      <c r="B16" s="560" t="s">
        <v>10</v>
      </c>
      <c r="C16" s="460"/>
      <c r="D16" s="454">
        <f t="shared" ref="D16:K16" ca="1" si="6">D15/$C15</f>
        <v>0</v>
      </c>
      <c r="E16" s="455">
        <f t="shared" ca="1" si="6"/>
        <v>0</v>
      </c>
      <c r="F16" s="455">
        <f t="shared" ca="1" si="6"/>
        <v>1</v>
      </c>
      <c r="G16" s="454">
        <f t="shared" ca="1" si="6"/>
        <v>0</v>
      </c>
      <c r="H16" s="456">
        <f t="shared" ca="1" si="6"/>
        <v>0</v>
      </c>
      <c r="I16" s="461">
        <f t="shared" ca="1" si="6"/>
        <v>0</v>
      </c>
      <c r="J16" s="457">
        <f t="shared" ca="1" si="6"/>
        <v>0</v>
      </c>
      <c r="K16" s="458">
        <f t="shared" ca="1" si="6"/>
        <v>1</v>
      </c>
      <c r="L16" s="491">
        <f t="shared" ref="L16:R16" ca="1" si="7">IFERROR(L15/$I15,0)</f>
        <v>0</v>
      </c>
      <c r="M16" s="496">
        <f t="shared" ca="1" si="7"/>
        <v>0</v>
      </c>
      <c r="N16" s="567">
        <f t="shared" ca="1" si="7"/>
        <v>0</v>
      </c>
      <c r="O16" s="567">
        <f t="shared" ca="1" si="7"/>
        <v>0</v>
      </c>
      <c r="P16" s="567">
        <f t="shared" ca="1" si="7"/>
        <v>0</v>
      </c>
      <c r="Q16" s="567">
        <f t="shared" ca="1" si="7"/>
        <v>0</v>
      </c>
      <c r="R16" s="572">
        <f t="shared" ca="1" si="7"/>
        <v>0</v>
      </c>
      <c r="S16" s="483">
        <f t="shared" ref="S16" ca="1" si="8">IFERROR(S15/$I15,0)</f>
        <v>0</v>
      </c>
    </row>
    <row r="17" spans="1:19" ht="20.25" customHeight="1" x14ac:dyDescent="0.2">
      <c r="A17" s="258" t="s">
        <v>11</v>
      </c>
      <c r="B17" s="261">
        <v>46103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0.25" customHeight="1" x14ac:dyDescent="0.2">
      <c r="A18" s="259" t="s">
        <v>12</v>
      </c>
      <c r="B18" s="262" t="s">
        <v>128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1" customHeight="1" thickBot="1" x14ac:dyDescent="0.25">
      <c r="A19" s="260" t="s">
        <v>13</v>
      </c>
      <c r="B19" s="263" t="s">
        <v>14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ht="12.75" x14ac:dyDescent="0.2">
      <c r="A20" s="1"/>
      <c r="B20" s="1"/>
      <c r="C20" s="2"/>
      <c r="D20" s="3"/>
      <c r="E20" s="3"/>
      <c r="F20" s="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2.75" x14ac:dyDescent="0.2">
      <c r="A21" s="1"/>
      <c r="B21" s="1"/>
      <c r="C21" s="4"/>
      <c r="D21" s="3"/>
      <c r="E21" s="3"/>
      <c r="F21" s="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 ht="12.75" x14ac:dyDescent="0.2">
      <c r="A22" s="1"/>
      <c r="B22" s="1"/>
      <c r="C22" s="5"/>
      <c r="D22" s="3"/>
      <c r="E22" s="6"/>
      <c r="F22" s="6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2.75" x14ac:dyDescent="0.2">
      <c r="A23" s="1"/>
      <c r="B23" s="1"/>
      <c r="C23" s="7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 ht="12.75" x14ac:dyDescent="0.2">
      <c r="A24" s="24" t="s">
        <v>24</v>
      </c>
      <c r="B24" s="25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1:19" ht="12.75" x14ac:dyDescent="0.2">
      <c r="A25" s="24" t="s">
        <v>25</v>
      </c>
      <c r="B25" s="25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  <row r="26" spans="1:19" ht="12.75" x14ac:dyDescent="0.2">
      <c r="A26" s="1"/>
      <c r="B26" s="8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ht="12.75" x14ac:dyDescent="0.2">
      <c r="A27" s="1"/>
      <c r="B27" s="8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ht="12.75" x14ac:dyDescent="0.2">
      <c r="A28" s="1"/>
      <c r="B28" s="8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ht="12.75" x14ac:dyDescent="0.2">
      <c r="A29" s="1"/>
      <c r="B29" s="8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ht="12.75" x14ac:dyDescent="0.2">
      <c r="A30" s="26" t="s">
        <v>18</v>
      </c>
      <c r="B30" s="2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ht="12.75" x14ac:dyDescent="0.2">
      <c r="A31" s="28" t="s">
        <v>19</v>
      </c>
      <c r="B31" s="2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ht="12.75" x14ac:dyDescent="0.2">
      <c r="A32" s="26" t="s">
        <v>20</v>
      </c>
      <c r="B32" s="2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4" spans="6:7" ht="15.75" customHeight="1" x14ac:dyDescent="0.2">
      <c r="F34" s="442" t="s">
        <v>123</v>
      </c>
      <c r="G34" s="559">
        <v>0</v>
      </c>
    </row>
    <row r="35" spans="6:7" ht="15.75" customHeight="1" x14ac:dyDescent="0.2">
      <c r="F35" s="443" t="s">
        <v>121</v>
      </c>
      <c r="G35" s="559">
        <v>0.05</v>
      </c>
    </row>
    <row r="36" spans="6:7" ht="15.75" customHeight="1" x14ac:dyDescent="0.2">
      <c r="F36" s="444" t="s">
        <v>122</v>
      </c>
      <c r="G36" s="559">
        <v>0.1</v>
      </c>
    </row>
    <row r="37" spans="6:7" ht="15.75" customHeight="1" x14ac:dyDescent="0.2">
      <c r="F37" s="445" t="s">
        <v>124</v>
      </c>
      <c r="G37" s="559">
        <v>0.5</v>
      </c>
    </row>
    <row r="39" spans="6:7" ht="15.75" customHeight="1" thickBot="1" x14ac:dyDescent="0.25"/>
    <row r="40" spans="6:7" ht="15.75" customHeight="1" x14ac:dyDescent="0.2">
      <c r="F40" s="487" t="s">
        <v>130</v>
      </c>
      <c r="G40" s="561">
        <f>MATCH("Total exprimé",2:2,0)-12</f>
        <v>7</v>
      </c>
    </row>
    <row r="41" spans="6:7" ht="15.75" customHeight="1" thickBot="1" x14ac:dyDescent="0.25">
      <c r="F41" s="488" t="s">
        <v>129</v>
      </c>
      <c r="G41" s="562">
        <f>MATCH("TOTAL",B:B,0)-3</f>
        <v>12</v>
      </c>
    </row>
  </sheetData>
  <sheetProtection algorithmName="SHA-512" hashValue="xtLzAsru+itYwU/6RJOkZ7BAzNteCdkeojUwMYicpcLd6RJu5mQ4sn0oS8NnWhfNcuRnfne5rFQu7aESHnKB4A==" saltValue="t6jDq77JR+02H9Ft+F4Utg==" spinCount="100000" sheet="1" objects="1" scenarios="1"/>
  <phoneticPr fontId="26" type="noConversion"/>
  <conditionalFormatting sqref="D16:K16 S16">
    <cfRule type="cellIs" dxfId="434" priority="32" operator="notBetween">
      <formula>0</formula>
      <formula>1</formula>
    </cfRule>
  </conditionalFormatting>
  <conditionalFormatting sqref="J3:J14">
    <cfRule type="cellIs" dxfId="433" priority="38" operator="notBetween">
      <formula>0</formula>
      <formula>"100%"</formula>
    </cfRule>
  </conditionalFormatting>
  <conditionalFormatting sqref="S3:S14">
    <cfRule type="cellIs" dxfId="432" priority="18" operator="equal">
      <formula>I3</formula>
    </cfRule>
  </conditionalFormatting>
  <conditionalFormatting sqref="S3:S16 L15:R16">
    <cfRule type="cellIs" dxfId="431" priority="3" operator="equal">
      <formula>0</formula>
    </cfRule>
  </conditionalFormatting>
  <conditionalFormatting sqref="S15">
    <cfRule type="cellIs" dxfId="430" priority="15" operator="lessThan">
      <formula>I15</formula>
    </cfRule>
    <cfRule type="cellIs" dxfId="429" priority="17" operator="equal">
      <formula>$I$15</formula>
    </cfRule>
  </conditionalFormatting>
  <conditionalFormatting sqref="S16">
    <cfRule type="cellIs" dxfId="428" priority="31" operator="equal">
      <formula>1</formula>
    </cfRule>
    <cfRule type="cellIs" dxfId="427" priority="36" operator="lessThan">
      <formula>1</formula>
    </cfRule>
  </conditionalFormatting>
  <conditionalFormatting sqref="L16:R16">
    <cfRule type="cellIs" dxfId="426" priority="14" operator="greaterThan">
      <formula>"100%"</formula>
    </cfRule>
  </conditionalFormatting>
  <conditionalFormatting sqref="L16:R16">
    <cfRule type="cellIs" dxfId="425" priority="9" operator="greaterThan">
      <formula>$G$37</formula>
    </cfRule>
    <cfRule type="cellIs" dxfId="424" priority="10" operator="greaterThan">
      <formula>$G$36</formula>
    </cfRule>
    <cfRule type="cellIs" dxfId="423" priority="11" operator="greaterThan">
      <formula>$G$35</formula>
    </cfRule>
    <cfRule type="cellIs" dxfId="422" priority="13" operator="lessThanOrEqual">
      <formula>$G$35</formula>
    </cfRule>
  </conditionalFormatting>
  <conditionalFormatting sqref="C15:S16 D3:S14">
    <cfRule type="cellIs" dxfId="421" priority="37" operator="lessThan">
      <formula>0</formula>
    </cfRule>
  </conditionalFormatting>
  <conditionalFormatting sqref="L15:R15">
    <cfRule type="cellIs" dxfId="420" priority="4" operator="greaterThan">
      <formula>$I$15*$G$37</formula>
    </cfRule>
    <cfRule type="cellIs" dxfId="419" priority="5" operator="greaterThan">
      <formula>$I$15*$G$36</formula>
    </cfRule>
    <cfRule type="cellIs" dxfId="418" priority="6" operator="lessThanOrEqual">
      <formula>$I$15*$G$35</formula>
    </cfRule>
    <cfRule type="cellIs" dxfId="417" priority="7" operator="greaterThan">
      <formula>$I$15*$G$35</formula>
    </cfRule>
  </conditionalFormatting>
  <conditionalFormatting sqref="J16">
    <cfRule type="cellIs" dxfId="416" priority="2" operator="greaterThan">
      <formula>0.25</formula>
    </cfRule>
  </conditionalFormatting>
  <conditionalFormatting sqref="J15">
    <cfRule type="cellIs" dxfId="415" priority="1" operator="greaterThan">
      <formula>0.25*$C$15</formula>
    </cfRule>
  </conditionalFormatting>
  <pageMargins left="0.25" right="0.25" top="0.75" bottom="0.75" header="0.3" footer="0.3"/>
  <pageSetup paperSize="9" scale="69" orientation="landscape" r:id="rId1"/>
  <ignoredErrors>
    <ignoredError sqref="J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SimulationDepouillement">
                <anchor moveWithCells="1">
                  <from>
                    <xdr:col>4</xdr:col>
                    <xdr:colOff>609600</xdr:colOff>
                    <xdr:row>25</xdr:row>
                    <xdr:rowOff>47625</xdr:rowOff>
                  </from>
                  <to>
                    <xdr:col>7</xdr:col>
                    <xdr:colOff>142875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initialiserDepouillement">
                <anchor moveWithCells="1">
                  <from>
                    <xdr:col>4</xdr:col>
                    <xdr:colOff>619125</xdr:colOff>
                    <xdr:row>28</xdr:row>
                    <xdr:rowOff>85725</xdr:rowOff>
                  </from>
                  <to>
                    <xdr:col>7</xdr:col>
                    <xdr:colOff>152400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UniformiserCouleursDepouillement_parPoint">
                <anchor moveWithCells="1" sizeWithCells="1">
                  <from>
                    <xdr:col>20</xdr:col>
                    <xdr:colOff>447675</xdr:colOff>
                    <xdr:row>9</xdr:row>
                    <xdr:rowOff>152400</xdr:rowOff>
                  </from>
                  <to>
                    <xdr:col>23</xdr:col>
                    <xdr:colOff>219075</xdr:colOff>
                    <xdr:row>14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4" tint="0.39997558519241921"/>
    <outlinePr summaryBelow="0" summaryRight="0"/>
  </sheetPr>
  <dimension ref="A1:AQ50"/>
  <sheetViews>
    <sheetView zoomScale="90" zoomScaleNormal="90" workbookViewId="0">
      <selection activeCell="G2" sqref="G2"/>
    </sheetView>
  </sheetViews>
  <sheetFormatPr baseColWidth="10" defaultColWidth="13.7109375" defaultRowHeight="15.75" customHeight="1" x14ac:dyDescent="0.2"/>
  <cols>
    <col min="1" max="1" width="6.85546875" customWidth="1"/>
    <col min="2" max="2" width="23" bestFit="1" customWidth="1"/>
    <col min="3" max="3" width="7.140625" customWidth="1"/>
    <col min="4" max="4" width="8.140625" customWidth="1"/>
    <col min="5" max="5" width="10.5703125" customWidth="1"/>
    <col min="6" max="6" width="8.5703125" customWidth="1"/>
    <col min="7" max="7" width="8.7109375" bestFit="1" customWidth="1"/>
    <col min="8" max="30" width="6.7109375" customWidth="1"/>
    <col min="31" max="31" width="10.140625" customWidth="1"/>
    <col min="43" max="43" width="16.42578125" customWidth="1"/>
  </cols>
  <sheetData>
    <row r="1" spans="1:43" ht="13.5" thickBot="1" x14ac:dyDescent="0.25">
      <c r="A1" s="512" t="s">
        <v>15</v>
      </c>
      <c r="B1" s="513"/>
      <c r="C1" s="510" t="s">
        <v>2</v>
      </c>
      <c r="D1" s="507"/>
      <c r="E1" s="511"/>
      <c r="F1" s="45" t="s">
        <v>0</v>
      </c>
      <c r="G1" s="512" t="s">
        <v>32</v>
      </c>
      <c r="H1" s="513"/>
      <c r="I1" s="512" t="s">
        <v>33</v>
      </c>
      <c r="J1" s="513"/>
      <c r="K1" s="512" t="s">
        <v>34</v>
      </c>
      <c r="L1" s="513"/>
      <c r="M1" s="506" t="s">
        <v>35</v>
      </c>
      <c r="N1" s="511"/>
      <c r="O1" s="512" t="s">
        <v>36</v>
      </c>
      <c r="P1" s="513"/>
      <c r="Q1" s="506" t="s">
        <v>37</v>
      </c>
      <c r="R1" s="507"/>
      <c r="S1" s="508" t="s">
        <v>38</v>
      </c>
      <c r="T1" s="509"/>
      <c r="U1" s="510" t="s">
        <v>39</v>
      </c>
      <c r="V1" s="511"/>
      <c r="W1" s="512" t="s">
        <v>40</v>
      </c>
      <c r="X1" s="513"/>
      <c r="Y1" s="506" t="s">
        <v>41</v>
      </c>
      <c r="Z1" s="511"/>
      <c r="AA1" s="519" t="s">
        <v>42</v>
      </c>
      <c r="AB1" s="520"/>
      <c r="AC1" s="521" t="s">
        <v>43</v>
      </c>
      <c r="AD1" s="522"/>
      <c r="AE1" s="81" t="s">
        <v>15</v>
      </c>
      <c r="AF1" s="82" t="s">
        <v>32</v>
      </c>
      <c r="AG1" s="83" t="s">
        <v>33</v>
      </c>
      <c r="AH1" s="83" t="s">
        <v>34</v>
      </c>
      <c r="AI1" s="83" t="s">
        <v>35</v>
      </c>
      <c r="AJ1" s="83" t="s">
        <v>36</v>
      </c>
      <c r="AK1" s="83" t="s">
        <v>37</v>
      </c>
      <c r="AL1" s="83" t="s">
        <v>38</v>
      </c>
      <c r="AM1" s="83" t="s">
        <v>39</v>
      </c>
      <c r="AN1" s="83" t="s">
        <v>40</v>
      </c>
      <c r="AO1" s="84" t="s">
        <v>41</v>
      </c>
      <c r="AP1" s="74" t="s">
        <v>42</v>
      </c>
      <c r="AQ1" s="73" t="s">
        <v>43</v>
      </c>
    </row>
    <row r="2" spans="1:43" ht="15.75" customHeight="1" x14ac:dyDescent="0.2">
      <c r="A2" s="29">
        <v>1</v>
      </c>
      <c r="B2" s="30" t="str">
        <f>Synthèse!B3</f>
        <v>Ecole Chabaud</v>
      </c>
      <c r="C2" s="336">
        <f ca="1">MAX(G2,I2,K2,M2,O2,Q2,S2,U2,W2,Y2,AA2,AC2)</f>
        <v>0</v>
      </c>
      <c r="D2" s="15">
        <f t="shared" ref="D2:D14" ca="1" si="0">C2/$F2</f>
        <v>0</v>
      </c>
      <c r="E2" s="18">
        <f ca="1">D2</f>
        <v>0</v>
      </c>
      <c r="F2" s="337">
        <f>Synthèse!C3</f>
        <v>553</v>
      </c>
      <c r="G2" s="338">
        <f ca="1">INDIRECT("'Bureau " &amp; ROW()-1 &amp; "'!" &amp; ADDRESS(4,Synthèse!$G$40+10,4))</f>
        <v>0</v>
      </c>
      <c r="H2" s="36">
        <f t="shared" ref="H2:H13" ca="1" si="1">G2/$F2</f>
        <v>0</v>
      </c>
      <c r="I2" s="339">
        <f ca="1">INDIRECT("'Bureau " &amp; ROW()-1 &amp; "'!" &amp; ADDRESS(5,Synthèse!$G$40+10,4))</f>
        <v>0</v>
      </c>
      <c r="J2" s="36">
        <f ca="1">I2/$F2</f>
        <v>0</v>
      </c>
      <c r="K2" s="339">
        <f ca="1">INDIRECT("'Bureau " &amp; ROW()-1 &amp; "'!" &amp; ADDRESS(6,Synthèse!$G$40+10,4))</f>
        <v>0</v>
      </c>
      <c r="L2" s="37">
        <f ca="1">K2/$F2</f>
        <v>0</v>
      </c>
      <c r="M2" s="340">
        <f ca="1">INDIRECT("'Bureau " &amp; ROW()-1 &amp; "'!" &amp; ADDRESS(7,Synthèse!$G$40+10,4))</f>
        <v>0</v>
      </c>
      <c r="N2" s="48">
        <f ca="1">M2/$F2</f>
        <v>0</v>
      </c>
      <c r="O2" s="341">
        <f ca="1">INDIRECT("'Bureau " &amp; ROW()-1 &amp; "'!" &amp; ADDRESS(8,Synthèse!$G$40+10,4))</f>
        <v>0</v>
      </c>
      <c r="P2" s="37">
        <f ca="1">O2/$F2</f>
        <v>0</v>
      </c>
      <c r="Q2" s="340">
        <f ca="1">INDIRECT("'Bureau " &amp; ROW()-1 &amp; "'!" &amp; ADDRESS(9,Synthèse!$G$40+10,4))</f>
        <v>0</v>
      </c>
      <c r="R2" s="48">
        <f ca="1">Q2/$F2</f>
        <v>0</v>
      </c>
      <c r="S2" s="342">
        <f ca="1">INDIRECT("'Bureau " &amp; ROW()-1 &amp; "'!" &amp; ADDRESS(10,Synthèse!$G$40+10,4))</f>
        <v>0</v>
      </c>
      <c r="T2" s="61">
        <f ca="1">S2/$F2</f>
        <v>0</v>
      </c>
      <c r="U2" s="340">
        <f ca="1">INDIRECT("'Bureau " &amp; ROW()-1 &amp; "'!" &amp; ADDRESS(11,Synthèse!$G$40+10,4))</f>
        <v>0</v>
      </c>
      <c r="V2" s="48">
        <f ca="1">U2/$F2</f>
        <v>0</v>
      </c>
      <c r="W2" s="341">
        <f ca="1">INDIRECT("'Bureau " &amp; ROW()-1 &amp; "'!" &amp; ADDRESS(12,Synthèse!$G$40+10,4))</f>
        <v>0</v>
      </c>
      <c r="X2" s="37">
        <f ca="1">W2/$F2</f>
        <v>0</v>
      </c>
      <c r="Y2" s="343">
        <f ca="1">INDIRECT("'Bureau " &amp; ROW()-1 &amp; "'!" &amp; ADDRESS(13,Synthèse!$G$40+10,4))</f>
        <v>0</v>
      </c>
      <c r="Z2" s="62">
        <f ca="1">Y2/$F2</f>
        <v>0</v>
      </c>
      <c r="AA2" s="79">
        <f ca="1">INDIRECT("'Bureau " &amp; ROW()-1 &amp; "'!" &amp; ADDRESS(14,Synthèse!$G$40+10,4))</f>
        <v>0</v>
      </c>
      <c r="AB2" s="42">
        <f ca="1">AA2/$F2</f>
        <v>0</v>
      </c>
      <c r="AC2" s="80">
        <f ca="1">INDIRECT("'Bureau " &amp; ROW()-1 &amp; "'!" &amp; ADDRESS(15,Synthèse!$G$40+10,4))</f>
        <v>0</v>
      </c>
      <c r="AD2" s="68">
        <f ca="1">AC2/$F2</f>
        <v>0</v>
      </c>
      <c r="AE2" s="85">
        <v>1</v>
      </c>
      <c r="AF2" s="86"/>
      <c r="AG2" s="87"/>
      <c r="AH2" s="87"/>
      <c r="AI2" s="87"/>
      <c r="AJ2" s="87"/>
      <c r="AK2" s="87"/>
      <c r="AL2" s="87"/>
      <c r="AM2" s="87"/>
      <c r="AN2" s="87"/>
      <c r="AO2" s="88"/>
      <c r="AP2" s="75"/>
      <c r="AQ2" s="72"/>
    </row>
    <row r="3" spans="1:43" ht="15.75" customHeight="1" x14ac:dyDescent="0.2">
      <c r="A3" s="29">
        <v>2</v>
      </c>
      <c r="B3" s="30" t="str">
        <f>Synthèse!B4</f>
        <v>Gymnase B</v>
      </c>
      <c r="C3" s="344">
        <f t="shared" ref="C3:C13" ca="1" si="2">MAX(G3,I3,K3,M3,O3,Q3,S3,U3,W3,Y3,AA3,AC3)</f>
        <v>0</v>
      </c>
      <c r="D3" s="16">
        <f t="shared" ca="1" si="0"/>
        <v>0</v>
      </c>
      <c r="E3" s="19">
        <f t="shared" ref="E3:E14" ca="1" si="3">D3</f>
        <v>0</v>
      </c>
      <c r="F3" s="345">
        <f>Synthèse!C4</f>
        <v>740</v>
      </c>
      <c r="G3" s="338">
        <f ca="1">INDIRECT("'Bureau " &amp; ROW()-1 &amp; "'!" &amp; ADDRESS(4,Synthèse!$G$40+10,4))</f>
        <v>0</v>
      </c>
      <c r="H3" s="38">
        <f t="shared" ca="1" si="1"/>
        <v>0</v>
      </c>
      <c r="I3" s="339">
        <f ca="1">INDIRECT("'Bureau " &amp; ROW()-1 &amp; "'!" &amp; ADDRESS(5,Synthèse!$G$40+10,4))</f>
        <v>0</v>
      </c>
      <c r="J3" s="38">
        <f t="shared" ref="J3:J13" ca="1" si="4">I3/$F3</f>
        <v>0</v>
      </c>
      <c r="K3" s="339">
        <f ca="1">INDIRECT("'Bureau " &amp; ROW()-1 &amp; "'!" &amp; ADDRESS(6,Synthèse!$G$40+10,4))</f>
        <v>0</v>
      </c>
      <c r="L3" s="39">
        <f t="shared" ref="L3:L13" ca="1" si="5">K3/$F3</f>
        <v>0</v>
      </c>
      <c r="M3" s="346">
        <f ca="1">INDIRECT("'Bureau " &amp; ROW()-1 &amp; "'!" &amp; ADDRESS(7,Synthèse!$G$40+10,4))</f>
        <v>0</v>
      </c>
      <c r="N3" s="49">
        <f t="shared" ref="N3:N13" ca="1" si="6">M3/$F3</f>
        <v>0</v>
      </c>
      <c r="O3" s="341">
        <f ca="1">INDIRECT("'Bureau " &amp; ROW()-1 &amp; "'!" &amp; ADDRESS(8,Synthèse!$G$40+10,4))</f>
        <v>0</v>
      </c>
      <c r="P3" s="39">
        <f t="shared" ref="P3:P13" ca="1" si="7">O3/$F3</f>
        <v>0</v>
      </c>
      <c r="Q3" s="346">
        <f ca="1">INDIRECT("'Bureau " &amp; ROW()-1 &amp; "'!" &amp; ADDRESS(9,Synthèse!$G$40+10,4))</f>
        <v>0</v>
      </c>
      <c r="R3" s="49">
        <f t="shared" ref="R3:R13" ca="1" si="8">Q3/$F3</f>
        <v>0</v>
      </c>
      <c r="S3" s="342">
        <f ca="1">INDIRECT("'Bureau " &amp; ROW()-1 &amp; "'!" &amp; ADDRESS(10,Synthèse!$G$40+10,4))</f>
        <v>0</v>
      </c>
      <c r="T3" s="16">
        <f t="shared" ref="T3:T13" ca="1" si="9">S3/$F3</f>
        <v>0</v>
      </c>
      <c r="U3" s="346">
        <f ca="1">INDIRECT("'Bureau " &amp; ROW()-1 &amp; "'!" &amp; ADDRESS(11,Synthèse!$G$40+10,4))</f>
        <v>0</v>
      </c>
      <c r="V3" s="49">
        <f t="shared" ref="V3:V13" ca="1" si="10">U3/$F3</f>
        <v>0</v>
      </c>
      <c r="W3" s="341">
        <f ca="1">INDIRECT("'Bureau " &amp; ROW()-1 &amp; "'!" &amp; ADDRESS(12,Synthèse!$G$40+10,4))</f>
        <v>0</v>
      </c>
      <c r="X3" s="39">
        <f t="shared" ref="X3:X13" ca="1" si="11">W3/$F3</f>
        <v>0</v>
      </c>
      <c r="Y3" s="347">
        <f ca="1">INDIRECT("'Bureau " &amp; ROW()-1 &amp; "'!" &amp; ADDRESS(13,Synthèse!$G$40+10,4))</f>
        <v>0</v>
      </c>
      <c r="Z3" s="63">
        <f t="shared" ref="Z3:Z13" ca="1" si="12">Y3/$F3</f>
        <v>0</v>
      </c>
      <c r="AA3" s="79">
        <f ca="1">INDIRECT("'Bureau " &amp; ROW()-1 &amp; "'!" &amp; ADDRESS(14,Synthèse!$G$40+10,4))</f>
        <v>0</v>
      </c>
      <c r="AB3" s="43">
        <f t="shared" ref="AB3:AB13" ca="1" si="13">AA3/$F3</f>
        <v>0</v>
      </c>
      <c r="AC3" s="80">
        <f ca="1">INDIRECT("'Bureau " &amp; ROW()-1 &amp; "'!" &amp; ADDRESS(15,Synthèse!$G$40+10,4))</f>
        <v>0</v>
      </c>
      <c r="AD3" s="69">
        <f t="shared" ref="AD3:AD13" ca="1" si="14">AC3/$F3</f>
        <v>0</v>
      </c>
      <c r="AE3" s="85">
        <v>2</v>
      </c>
      <c r="AF3" s="89"/>
      <c r="AG3" s="90"/>
      <c r="AH3" s="90"/>
      <c r="AI3" s="90"/>
      <c r="AJ3" s="90"/>
      <c r="AK3" s="90"/>
      <c r="AL3" s="90"/>
      <c r="AM3" s="90"/>
      <c r="AN3" s="90"/>
      <c r="AO3" s="91"/>
      <c r="AP3" s="76"/>
      <c r="AQ3" s="71"/>
    </row>
    <row r="4" spans="1:43" ht="15.75" customHeight="1" x14ac:dyDescent="0.2">
      <c r="A4" s="29">
        <v>3</v>
      </c>
      <c r="B4" s="30" t="str">
        <f>Synthèse!B5</f>
        <v>Gymnase B</v>
      </c>
      <c r="C4" s="344">
        <f t="shared" ca="1" si="2"/>
        <v>0</v>
      </c>
      <c r="D4" s="16">
        <f t="shared" ca="1" si="0"/>
        <v>0</v>
      </c>
      <c r="E4" s="19">
        <f t="shared" ca="1" si="3"/>
        <v>0</v>
      </c>
      <c r="F4" s="345">
        <f>Synthèse!C5</f>
        <v>713</v>
      </c>
      <c r="G4" s="338">
        <f ca="1">INDIRECT("'Bureau " &amp; ROW()-1 &amp; "'!" &amp; ADDRESS(4,Synthèse!$G$40+10,4))</f>
        <v>0</v>
      </c>
      <c r="H4" s="38">
        <f t="shared" ca="1" si="1"/>
        <v>0</v>
      </c>
      <c r="I4" s="339">
        <f ca="1">INDIRECT("'Bureau " &amp; ROW()-1 &amp; "'!" &amp; ADDRESS(5,Synthèse!$G$40+10,4))</f>
        <v>0</v>
      </c>
      <c r="J4" s="38">
        <f t="shared" ca="1" si="4"/>
        <v>0</v>
      </c>
      <c r="K4" s="339">
        <f ca="1">INDIRECT("'Bureau " &amp; ROW()-1 &amp; "'!" &amp; ADDRESS(6,Synthèse!$G$40+10,4))</f>
        <v>0</v>
      </c>
      <c r="L4" s="39">
        <f t="shared" ca="1" si="5"/>
        <v>0</v>
      </c>
      <c r="M4" s="346">
        <f ca="1">INDIRECT("'Bureau " &amp; ROW()-1 &amp; "'!" &amp; ADDRESS(7,Synthèse!$G$40+10,4))</f>
        <v>0</v>
      </c>
      <c r="N4" s="49">
        <f t="shared" ca="1" si="6"/>
        <v>0</v>
      </c>
      <c r="O4" s="341">
        <f ca="1">INDIRECT("'Bureau " &amp; ROW()-1 &amp; "'!" &amp; ADDRESS(8,Synthèse!$G$40+10,4))</f>
        <v>0</v>
      </c>
      <c r="P4" s="39">
        <f t="shared" ca="1" si="7"/>
        <v>0</v>
      </c>
      <c r="Q4" s="346">
        <f ca="1">INDIRECT("'Bureau " &amp; ROW()-1 &amp; "'!" &amp; ADDRESS(9,Synthèse!$G$40+10,4))</f>
        <v>0</v>
      </c>
      <c r="R4" s="49">
        <f t="shared" ca="1" si="8"/>
        <v>0</v>
      </c>
      <c r="S4" s="342">
        <f ca="1">INDIRECT("'Bureau " &amp; ROW()-1 &amp; "'!" &amp; ADDRESS(10,Synthèse!$G$40+10,4))</f>
        <v>0</v>
      </c>
      <c r="T4" s="16">
        <f t="shared" ca="1" si="9"/>
        <v>0</v>
      </c>
      <c r="U4" s="346">
        <f ca="1">INDIRECT("'Bureau " &amp; ROW()-1 &amp; "'!" &amp; ADDRESS(11,Synthèse!$G$40+10,4))</f>
        <v>0</v>
      </c>
      <c r="V4" s="49">
        <f t="shared" ca="1" si="10"/>
        <v>0</v>
      </c>
      <c r="W4" s="341">
        <f ca="1">INDIRECT("'Bureau " &amp; ROW()-1 &amp; "'!" &amp; ADDRESS(12,Synthèse!$G$40+10,4))</f>
        <v>0</v>
      </c>
      <c r="X4" s="39">
        <f t="shared" ca="1" si="11"/>
        <v>0</v>
      </c>
      <c r="Y4" s="347">
        <f ca="1">INDIRECT("'Bureau " &amp; ROW()-1 &amp; "'!" &amp; ADDRESS(13,Synthèse!$G$40+10,4))</f>
        <v>0</v>
      </c>
      <c r="Z4" s="63">
        <f t="shared" ca="1" si="12"/>
        <v>0</v>
      </c>
      <c r="AA4" s="79">
        <f ca="1">INDIRECT("'Bureau " &amp; ROW()-1 &amp; "'!" &amp; ADDRESS(14,Synthèse!$G$40+10,4))</f>
        <v>0</v>
      </c>
      <c r="AB4" s="43">
        <f t="shared" ca="1" si="13"/>
        <v>0</v>
      </c>
      <c r="AC4" s="80">
        <f ca="1">INDIRECT("'Bureau " &amp; ROW()-1 &amp; "'!" &amp; ADDRESS(15,Synthèse!$G$40+10,4))</f>
        <v>0</v>
      </c>
      <c r="AD4" s="69">
        <f t="shared" ca="1" si="14"/>
        <v>0</v>
      </c>
      <c r="AE4" s="85">
        <v>3</v>
      </c>
      <c r="AF4" s="89"/>
      <c r="AG4" s="90"/>
      <c r="AH4" s="90"/>
      <c r="AI4" s="90"/>
      <c r="AJ4" s="90"/>
      <c r="AK4" s="90"/>
      <c r="AL4" s="90"/>
      <c r="AM4" s="90"/>
      <c r="AN4" s="90"/>
      <c r="AO4" s="91"/>
      <c r="AP4" s="76"/>
      <c r="AQ4" s="71"/>
    </row>
    <row r="5" spans="1:43" ht="15.75" customHeight="1" x14ac:dyDescent="0.2">
      <c r="A5" s="29">
        <v>4</v>
      </c>
      <c r="B5" s="30" t="str">
        <f>Synthèse!B6</f>
        <v>Gymnase B</v>
      </c>
      <c r="C5" s="344">
        <f t="shared" ca="1" si="2"/>
        <v>0</v>
      </c>
      <c r="D5" s="16">
        <f t="shared" ca="1" si="0"/>
        <v>0</v>
      </c>
      <c r="E5" s="19">
        <f t="shared" ca="1" si="3"/>
        <v>0</v>
      </c>
      <c r="F5" s="345">
        <f>Synthèse!C6</f>
        <v>679</v>
      </c>
      <c r="G5" s="338">
        <f ca="1">INDIRECT("'Bureau " &amp; ROW()-1 &amp; "'!" &amp; ADDRESS(4,Synthèse!$G$40+10,4))</f>
        <v>0</v>
      </c>
      <c r="H5" s="38">
        <f t="shared" ca="1" si="1"/>
        <v>0</v>
      </c>
      <c r="I5" s="339">
        <f ca="1">INDIRECT("'Bureau " &amp; ROW()-1 &amp; "'!" &amp; ADDRESS(5,Synthèse!$G$40+10,4))</f>
        <v>0</v>
      </c>
      <c r="J5" s="38">
        <f t="shared" ca="1" si="4"/>
        <v>0</v>
      </c>
      <c r="K5" s="339">
        <f ca="1">INDIRECT("'Bureau " &amp; ROW()-1 &amp; "'!" &amp; ADDRESS(6,Synthèse!$G$40+10,4))</f>
        <v>0</v>
      </c>
      <c r="L5" s="39">
        <f t="shared" ca="1" si="5"/>
        <v>0</v>
      </c>
      <c r="M5" s="346">
        <f ca="1">INDIRECT("'Bureau " &amp; ROW()-1 &amp; "'!" &amp; ADDRESS(7,Synthèse!$G$40+10,4))</f>
        <v>0</v>
      </c>
      <c r="N5" s="49">
        <f t="shared" ca="1" si="6"/>
        <v>0</v>
      </c>
      <c r="O5" s="341">
        <f ca="1">INDIRECT("'Bureau " &amp; ROW()-1 &amp; "'!" &amp; ADDRESS(8,Synthèse!$G$40+10,4))</f>
        <v>0</v>
      </c>
      <c r="P5" s="39">
        <f t="shared" ca="1" si="7"/>
        <v>0</v>
      </c>
      <c r="Q5" s="346">
        <f ca="1">INDIRECT("'Bureau " &amp; ROW()-1 &amp; "'!" &amp; ADDRESS(9,Synthèse!$G$40+10,4))</f>
        <v>0</v>
      </c>
      <c r="R5" s="49">
        <f t="shared" ca="1" si="8"/>
        <v>0</v>
      </c>
      <c r="S5" s="342">
        <f ca="1">INDIRECT("'Bureau " &amp; ROW()-1 &amp; "'!" &amp; ADDRESS(10,Synthèse!$G$40+10,4))</f>
        <v>0</v>
      </c>
      <c r="T5" s="16">
        <f t="shared" ca="1" si="9"/>
        <v>0</v>
      </c>
      <c r="U5" s="346">
        <f ca="1">INDIRECT("'Bureau " &amp; ROW()-1 &amp; "'!" &amp; ADDRESS(11,Synthèse!$G$40+10,4))</f>
        <v>0</v>
      </c>
      <c r="V5" s="49">
        <f t="shared" ca="1" si="10"/>
        <v>0</v>
      </c>
      <c r="W5" s="341">
        <f ca="1">INDIRECT("'Bureau " &amp; ROW()-1 &amp; "'!" &amp; ADDRESS(12,Synthèse!$G$40+10,4))</f>
        <v>0</v>
      </c>
      <c r="X5" s="39">
        <f t="shared" ca="1" si="11"/>
        <v>0</v>
      </c>
      <c r="Y5" s="347">
        <f ca="1">INDIRECT("'Bureau " &amp; ROW()-1 &amp; "'!" &amp; ADDRESS(13,Synthèse!$G$40+10,4))</f>
        <v>0</v>
      </c>
      <c r="Z5" s="63">
        <f t="shared" ca="1" si="12"/>
        <v>0</v>
      </c>
      <c r="AA5" s="79">
        <f ca="1">INDIRECT("'Bureau " &amp; ROW()-1 &amp; "'!" &amp; ADDRESS(14,Synthèse!$G$40+10,4))</f>
        <v>0</v>
      </c>
      <c r="AB5" s="43">
        <f t="shared" ca="1" si="13"/>
        <v>0</v>
      </c>
      <c r="AC5" s="80">
        <f ca="1">INDIRECT("'Bureau " &amp; ROW()-1 &amp; "'!" &amp; ADDRESS(15,Synthèse!$G$40+10,4))</f>
        <v>0</v>
      </c>
      <c r="AD5" s="69">
        <f t="shared" ca="1" si="14"/>
        <v>0</v>
      </c>
      <c r="AE5" s="85">
        <v>4</v>
      </c>
      <c r="AF5" s="89"/>
      <c r="AG5" s="90"/>
      <c r="AH5" s="90"/>
      <c r="AI5" s="90"/>
      <c r="AJ5" s="90"/>
      <c r="AK5" s="90"/>
      <c r="AL5" s="90"/>
      <c r="AM5" s="90"/>
      <c r="AN5" s="90"/>
      <c r="AO5" s="91"/>
      <c r="AP5" s="76"/>
      <c r="AQ5" s="71"/>
    </row>
    <row r="6" spans="1:43" ht="15.75" customHeight="1" x14ac:dyDescent="0.2">
      <c r="A6" s="29">
        <v>5</v>
      </c>
      <c r="B6" s="30" t="str">
        <f>Synthèse!B7</f>
        <v>COSEC</v>
      </c>
      <c r="C6" s="344">
        <f t="shared" ca="1" si="2"/>
        <v>0</v>
      </c>
      <c r="D6" s="16">
        <f t="shared" ca="1" si="0"/>
        <v>0</v>
      </c>
      <c r="E6" s="19">
        <f t="shared" ca="1" si="3"/>
        <v>0</v>
      </c>
      <c r="F6" s="345">
        <f>Synthèse!C7</f>
        <v>701</v>
      </c>
      <c r="G6" s="338">
        <f ca="1">INDIRECT("'Bureau " &amp; ROW()-1 &amp; "'!" &amp; ADDRESS(4,Synthèse!$G$40+10,4))</f>
        <v>0</v>
      </c>
      <c r="H6" s="38">
        <f t="shared" ca="1" si="1"/>
        <v>0</v>
      </c>
      <c r="I6" s="339">
        <f ca="1">INDIRECT("'Bureau " &amp; ROW()-1 &amp; "'!" &amp; ADDRESS(5,Synthèse!$G$40+10,4))</f>
        <v>0</v>
      </c>
      <c r="J6" s="38">
        <f t="shared" ca="1" si="4"/>
        <v>0</v>
      </c>
      <c r="K6" s="339">
        <f ca="1">INDIRECT("'Bureau " &amp; ROW()-1 &amp; "'!" &amp; ADDRESS(6,Synthèse!$G$40+10,4))</f>
        <v>0</v>
      </c>
      <c r="L6" s="39">
        <f t="shared" ca="1" si="5"/>
        <v>0</v>
      </c>
      <c r="M6" s="346">
        <f ca="1">INDIRECT("'Bureau " &amp; ROW()-1 &amp; "'!" &amp; ADDRESS(7,Synthèse!$G$40+10,4))</f>
        <v>0</v>
      </c>
      <c r="N6" s="49">
        <f t="shared" ca="1" si="6"/>
        <v>0</v>
      </c>
      <c r="O6" s="341">
        <f ca="1">INDIRECT("'Bureau " &amp; ROW()-1 &amp; "'!" &amp; ADDRESS(8,Synthèse!$G$40+10,4))</f>
        <v>0</v>
      </c>
      <c r="P6" s="39">
        <f t="shared" ca="1" si="7"/>
        <v>0</v>
      </c>
      <c r="Q6" s="346">
        <f ca="1">INDIRECT("'Bureau " &amp; ROW()-1 &amp; "'!" &amp; ADDRESS(9,Synthèse!$G$40+10,4))</f>
        <v>0</v>
      </c>
      <c r="R6" s="49">
        <f t="shared" ca="1" si="8"/>
        <v>0</v>
      </c>
      <c r="S6" s="342">
        <f ca="1">INDIRECT("'Bureau " &amp; ROW()-1 &amp; "'!" &amp; ADDRESS(10,Synthèse!$G$40+10,4))</f>
        <v>0</v>
      </c>
      <c r="T6" s="16">
        <f t="shared" ca="1" si="9"/>
        <v>0</v>
      </c>
      <c r="U6" s="346">
        <f ca="1">INDIRECT("'Bureau " &amp; ROW()-1 &amp; "'!" &amp; ADDRESS(11,Synthèse!$G$40+10,4))</f>
        <v>0</v>
      </c>
      <c r="V6" s="49">
        <f t="shared" ca="1" si="10"/>
        <v>0</v>
      </c>
      <c r="W6" s="341">
        <f ca="1">INDIRECT("'Bureau " &amp; ROW()-1 &amp; "'!" &amp; ADDRESS(12,Synthèse!$G$40+10,4))</f>
        <v>0</v>
      </c>
      <c r="X6" s="39">
        <f t="shared" ca="1" si="11"/>
        <v>0</v>
      </c>
      <c r="Y6" s="347">
        <f ca="1">INDIRECT("'Bureau " &amp; ROW()-1 &amp; "'!" &amp; ADDRESS(13,Synthèse!$G$40+10,4))</f>
        <v>0</v>
      </c>
      <c r="Z6" s="63">
        <f t="shared" ca="1" si="12"/>
        <v>0</v>
      </c>
      <c r="AA6" s="79">
        <f ca="1">INDIRECT("'Bureau " &amp; ROW()-1 &amp; "'!" &amp; ADDRESS(14,Synthèse!$G$40+10,4))</f>
        <v>0</v>
      </c>
      <c r="AB6" s="43">
        <f t="shared" ca="1" si="13"/>
        <v>0</v>
      </c>
      <c r="AC6" s="80">
        <f ca="1">INDIRECT("'Bureau " &amp; ROW()-1 &amp; "'!" &amp; ADDRESS(15,Synthèse!$G$40+10,4))</f>
        <v>0</v>
      </c>
      <c r="AD6" s="69">
        <f t="shared" ca="1" si="14"/>
        <v>0</v>
      </c>
      <c r="AE6" s="85">
        <v>5</v>
      </c>
      <c r="AF6" s="89"/>
      <c r="AG6" s="90"/>
      <c r="AH6" s="90"/>
      <c r="AI6" s="90"/>
      <c r="AJ6" s="90"/>
      <c r="AK6" s="90"/>
      <c r="AL6" s="90"/>
      <c r="AM6" s="90"/>
      <c r="AN6" s="90"/>
      <c r="AO6" s="91"/>
      <c r="AP6" s="76"/>
      <c r="AQ6" s="71"/>
    </row>
    <row r="7" spans="1:43" ht="15.75" customHeight="1" x14ac:dyDescent="0.2">
      <c r="A7" s="29">
        <v>6</v>
      </c>
      <c r="B7" s="30" t="str">
        <f>Synthèse!B8</f>
        <v>COSEC</v>
      </c>
      <c r="C7" s="344">
        <f t="shared" ca="1" si="2"/>
        <v>0</v>
      </c>
      <c r="D7" s="16">
        <f t="shared" ca="1" si="0"/>
        <v>0</v>
      </c>
      <c r="E7" s="19">
        <f t="shared" ca="1" si="3"/>
        <v>0</v>
      </c>
      <c r="F7" s="345">
        <f>Synthèse!C8</f>
        <v>712</v>
      </c>
      <c r="G7" s="338">
        <f ca="1">INDIRECT("'Bureau " &amp; ROW()-1 &amp; "'!" &amp; ADDRESS(4,Synthèse!$G$40+10,4))</f>
        <v>0</v>
      </c>
      <c r="H7" s="38">
        <f t="shared" ca="1" si="1"/>
        <v>0</v>
      </c>
      <c r="I7" s="339">
        <f ca="1">INDIRECT("'Bureau " &amp; ROW()-1 &amp; "'!" &amp; ADDRESS(5,Synthèse!$G$40+10,4))</f>
        <v>0</v>
      </c>
      <c r="J7" s="38">
        <f t="shared" ca="1" si="4"/>
        <v>0</v>
      </c>
      <c r="K7" s="339">
        <f ca="1">INDIRECT("'Bureau " &amp; ROW()-1 &amp; "'!" &amp; ADDRESS(6,Synthèse!$G$40+10,4))</f>
        <v>0</v>
      </c>
      <c r="L7" s="39">
        <f t="shared" ca="1" si="5"/>
        <v>0</v>
      </c>
      <c r="M7" s="346">
        <f ca="1">INDIRECT("'Bureau " &amp; ROW()-1 &amp; "'!" &amp; ADDRESS(7,Synthèse!$G$40+10,4))</f>
        <v>0</v>
      </c>
      <c r="N7" s="49">
        <f t="shared" ca="1" si="6"/>
        <v>0</v>
      </c>
      <c r="O7" s="341">
        <f ca="1">INDIRECT("'Bureau " &amp; ROW()-1 &amp; "'!" &amp; ADDRESS(8,Synthèse!$G$40+10,4))</f>
        <v>0</v>
      </c>
      <c r="P7" s="39">
        <f t="shared" ca="1" si="7"/>
        <v>0</v>
      </c>
      <c r="Q7" s="346">
        <f ca="1">INDIRECT("'Bureau " &amp; ROW()-1 &amp; "'!" &amp; ADDRESS(9,Synthèse!$G$40+10,4))</f>
        <v>0</v>
      </c>
      <c r="R7" s="49">
        <f t="shared" ca="1" si="8"/>
        <v>0</v>
      </c>
      <c r="S7" s="342">
        <f ca="1">INDIRECT("'Bureau " &amp; ROW()-1 &amp; "'!" &amp; ADDRESS(10,Synthèse!$G$40+10,4))</f>
        <v>0</v>
      </c>
      <c r="T7" s="16">
        <f t="shared" ca="1" si="9"/>
        <v>0</v>
      </c>
      <c r="U7" s="346">
        <f ca="1">INDIRECT("'Bureau " &amp; ROW()-1 &amp; "'!" &amp; ADDRESS(11,Synthèse!$G$40+10,4))</f>
        <v>0</v>
      </c>
      <c r="V7" s="49">
        <f t="shared" ca="1" si="10"/>
        <v>0</v>
      </c>
      <c r="W7" s="341">
        <f ca="1">INDIRECT("'Bureau " &amp; ROW()-1 &amp; "'!" &amp; ADDRESS(12,Synthèse!$G$40+10,4))</f>
        <v>0</v>
      </c>
      <c r="X7" s="39">
        <f t="shared" ca="1" si="11"/>
        <v>0</v>
      </c>
      <c r="Y7" s="347">
        <f ca="1">INDIRECT("'Bureau " &amp; ROW()-1 &amp; "'!" &amp; ADDRESS(13,Synthèse!$G$40+10,4))</f>
        <v>0</v>
      </c>
      <c r="Z7" s="63">
        <f t="shared" ca="1" si="12"/>
        <v>0</v>
      </c>
      <c r="AA7" s="79">
        <f ca="1">INDIRECT("'Bureau " &amp; ROW()-1 &amp; "'!" &amp; ADDRESS(14,Synthèse!$G$40+10,4))</f>
        <v>0</v>
      </c>
      <c r="AB7" s="43">
        <f t="shared" ca="1" si="13"/>
        <v>0</v>
      </c>
      <c r="AC7" s="80">
        <f ca="1">INDIRECT("'Bureau " &amp; ROW()-1 &amp; "'!" &amp; ADDRESS(15,Synthèse!$G$40+10,4))</f>
        <v>0</v>
      </c>
      <c r="AD7" s="69">
        <f t="shared" ca="1" si="14"/>
        <v>0</v>
      </c>
      <c r="AE7" s="85">
        <v>6</v>
      </c>
      <c r="AF7" s="89"/>
      <c r="AG7" s="90"/>
      <c r="AH7" s="90"/>
      <c r="AI7" s="90"/>
      <c r="AJ7" s="90"/>
      <c r="AK7" s="90"/>
      <c r="AL7" s="90"/>
      <c r="AM7" s="90"/>
      <c r="AN7" s="90"/>
      <c r="AO7" s="91"/>
      <c r="AP7" s="76"/>
      <c r="AQ7" s="71"/>
    </row>
    <row r="8" spans="1:43" ht="15.75" customHeight="1" x14ac:dyDescent="0.2">
      <c r="A8" s="29">
        <v>7</v>
      </c>
      <c r="B8" s="30" t="str">
        <f>Synthèse!B9</f>
        <v>COSEC</v>
      </c>
      <c r="C8" s="344">
        <f t="shared" ca="1" si="2"/>
        <v>0</v>
      </c>
      <c r="D8" s="16">
        <f t="shared" ca="1" si="0"/>
        <v>0</v>
      </c>
      <c r="E8" s="19">
        <f t="shared" ca="1" si="3"/>
        <v>0</v>
      </c>
      <c r="F8" s="345">
        <f>Synthèse!C9</f>
        <v>731</v>
      </c>
      <c r="G8" s="338">
        <f ca="1">INDIRECT("'Bureau " &amp; ROW()-1 &amp; "'!" &amp; ADDRESS(4,Synthèse!$G$40+10,4))</f>
        <v>0</v>
      </c>
      <c r="H8" s="38">
        <f t="shared" ca="1" si="1"/>
        <v>0</v>
      </c>
      <c r="I8" s="339">
        <f ca="1">INDIRECT("'Bureau " &amp; ROW()-1 &amp; "'!" &amp; ADDRESS(5,Synthèse!$G$40+10,4))</f>
        <v>0</v>
      </c>
      <c r="J8" s="38">
        <f t="shared" ca="1" si="4"/>
        <v>0</v>
      </c>
      <c r="K8" s="339">
        <f ca="1">INDIRECT("'Bureau " &amp; ROW()-1 &amp; "'!" &amp; ADDRESS(6,Synthèse!$G$40+10,4))</f>
        <v>0</v>
      </c>
      <c r="L8" s="39">
        <f t="shared" ca="1" si="5"/>
        <v>0</v>
      </c>
      <c r="M8" s="346">
        <f ca="1">INDIRECT("'Bureau " &amp; ROW()-1 &amp; "'!" &amp; ADDRESS(7,Synthèse!$G$40+10,4))</f>
        <v>0</v>
      </c>
      <c r="N8" s="49">
        <f t="shared" ca="1" si="6"/>
        <v>0</v>
      </c>
      <c r="O8" s="341">
        <f ca="1">INDIRECT("'Bureau " &amp; ROW()-1 &amp; "'!" &amp; ADDRESS(8,Synthèse!$G$40+10,4))</f>
        <v>0</v>
      </c>
      <c r="P8" s="39">
        <f t="shared" ca="1" si="7"/>
        <v>0</v>
      </c>
      <c r="Q8" s="346">
        <f ca="1">INDIRECT("'Bureau " &amp; ROW()-1 &amp; "'!" &amp; ADDRESS(9,Synthèse!$G$40+10,4))</f>
        <v>0</v>
      </c>
      <c r="R8" s="49">
        <f t="shared" ca="1" si="8"/>
        <v>0</v>
      </c>
      <c r="S8" s="342">
        <f ca="1">INDIRECT("'Bureau " &amp; ROW()-1 &amp; "'!" &amp; ADDRESS(10,Synthèse!$G$40+10,4))</f>
        <v>0</v>
      </c>
      <c r="T8" s="16">
        <f t="shared" ca="1" si="9"/>
        <v>0</v>
      </c>
      <c r="U8" s="346">
        <f ca="1">INDIRECT("'Bureau " &amp; ROW()-1 &amp; "'!" &amp; ADDRESS(11,Synthèse!$G$40+10,4))</f>
        <v>0</v>
      </c>
      <c r="V8" s="49">
        <f t="shared" ca="1" si="10"/>
        <v>0</v>
      </c>
      <c r="W8" s="341">
        <f ca="1">INDIRECT("'Bureau " &amp; ROW()-1 &amp; "'!" &amp; ADDRESS(12,Synthèse!$G$40+10,4))</f>
        <v>0</v>
      </c>
      <c r="X8" s="39">
        <f t="shared" ca="1" si="11"/>
        <v>0</v>
      </c>
      <c r="Y8" s="347">
        <f ca="1">INDIRECT("'Bureau " &amp; ROW()-1 &amp; "'!" &amp; ADDRESS(13,Synthèse!$G$40+10,4))</f>
        <v>0</v>
      </c>
      <c r="Z8" s="63">
        <f t="shared" ca="1" si="12"/>
        <v>0</v>
      </c>
      <c r="AA8" s="79">
        <f ca="1">INDIRECT("'Bureau " &amp; ROW()-1 &amp; "'!" &amp; ADDRESS(14,Synthèse!$G$40+10,4))</f>
        <v>0</v>
      </c>
      <c r="AB8" s="43">
        <f t="shared" ca="1" si="13"/>
        <v>0</v>
      </c>
      <c r="AC8" s="80">
        <f ca="1">INDIRECT("'Bureau " &amp; ROW()-1 &amp; "'!" &amp; ADDRESS(15,Synthèse!$G$40+10,4))</f>
        <v>0</v>
      </c>
      <c r="AD8" s="69">
        <f t="shared" ca="1" si="14"/>
        <v>0</v>
      </c>
      <c r="AE8" s="85">
        <v>7</v>
      </c>
      <c r="AF8" s="89"/>
      <c r="AG8" s="90"/>
      <c r="AH8" s="90"/>
      <c r="AI8" s="90"/>
      <c r="AJ8" s="90"/>
      <c r="AK8" s="90"/>
      <c r="AL8" s="90"/>
      <c r="AM8" s="90"/>
      <c r="AN8" s="90"/>
      <c r="AO8" s="91"/>
      <c r="AP8" s="76"/>
      <c r="AQ8" s="71"/>
    </row>
    <row r="9" spans="1:43" ht="15.75" customHeight="1" x14ac:dyDescent="0.2">
      <c r="A9" s="29">
        <v>8</v>
      </c>
      <c r="B9" s="30" t="str">
        <f>Synthèse!B10</f>
        <v>COSEC</v>
      </c>
      <c r="C9" s="344">
        <f t="shared" ca="1" si="2"/>
        <v>0</v>
      </c>
      <c r="D9" s="16">
        <f t="shared" ca="1" si="0"/>
        <v>0</v>
      </c>
      <c r="E9" s="19">
        <f t="shared" ca="1" si="3"/>
        <v>0</v>
      </c>
      <c r="F9" s="345">
        <f>Synthèse!C10</f>
        <v>646</v>
      </c>
      <c r="G9" s="338">
        <f ca="1">INDIRECT("'Bureau " &amp; ROW()-1 &amp; "'!" &amp; ADDRESS(4,Synthèse!$G$40+10,4))</f>
        <v>0</v>
      </c>
      <c r="H9" s="38">
        <f t="shared" ca="1" si="1"/>
        <v>0</v>
      </c>
      <c r="I9" s="339">
        <f ca="1">INDIRECT("'Bureau " &amp; ROW()-1 &amp; "'!" &amp; ADDRESS(5,Synthèse!$G$40+10,4))</f>
        <v>0</v>
      </c>
      <c r="J9" s="38">
        <f t="shared" ca="1" si="4"/>
        <v>0</v>
      </c>
      <c r="K9" s="339">
        <f ca="1">INDIRECT("'Bureau " &amp; ROW()-1 &amp; "'!" &amp; ADDRESS(6,Synthèse!$G$40+10,4))</f>
        <v>0</v>
      </c>
      <c r="L9" s="39">
        <f t="shared" ca="1" si="5"/>
        <v>0</v>
      </c>
      <c r="M9" s="346">
        <f ca="1">INDIRECT("'Bureau " &amp; ROW()-1 &amp; "'!" &amp; ADDRESS(7,Synthèse!$G$40+10,4))</f>
        <v>0</v>
      </c>
      <c r="N9" s="49">
        <f t="shared" ca="1" si="6"/>
        <v>0</v>
      </c>
      <c r="O9" s="341">
        <f ca="1">INDIRECT("'Bureau " &amp; ROW()-1 &amp; "'!" &amp; ADDRESS(8,Synthèse!$G$40+10,4))</f>
        <v>0</v>
      </c>
      <c r="P9" s="39">
        <f t="shared" ca="1" si="7"/>
        <v>0</v>
      </c>
      <c r="Q9" s="346">
        <f ca="1">INDIRECT("'Bureau " &amp; ROW()-1 &amp; "'!" &amp; ADDRESS(9,Synthèse!$G$40+10,4))</f>
        <v>0</v>
      </c>
      <c r="R9" s="49">
        <f t="shared" ca="1" si="8"/>
        <v>0</v>
      </c>
      <c r="S9" s="342">
        <f ca="1">INDIRECT("'Bureau " &amp; ROW()-1 &amp; "'!" &amp; ADDRESS(10,Synthèse!$G$40+10,4))</f>
        <v>0</v>
      </c>
      <c r="T9" s="16">
        <f t="shared" ca="1" si="9"/>
        <v>0</v>
      </c>
      <c r="U9" s="346">
        <f ca="1">INDIRECT("'Bureau " &amp; ROW()-1 &amp; "'!" &amp; ADDRESS(11,Synthèse!$G$40+10,4))</f>
        <v>0</v>
      </c>
      <c r="V9" s="49">
        <f t="shared" ca="1" si="10"/>
        <v>0</v>
      </c>
      <c r="W9" s="341">
        <f ca="1">INDIRECT("'Bureau " &amp; ROW()-1 &amp; "'!" &amp; ADDRESS(12,Synthèse!$G$40+10,4))</f>
        <v>0</v>
      </c>
      <c r="X9" s="39">
        <f t="shared" ca="1" si="11"/>
        <v>0</v>
      </c>
      <c r="Y9" s="347">
        <f ca="1">INDIRECT("'Bureau " &amp; ROW()-1 &amp; "'!" &amp; ADDRESS(13,Synthèse!$G$40+10,4))</f>
        <v>0</v>
      </c>
      <c r="Z9" s="63">
        <f t="shared" ca="1" si="12"/>
        <v>0</v>
      </c>
      <c r="AA9" s="79">
        <f ca="1">INDIRECT("'Bureau " &amp; ROW()-1 &amp; "'!" &amp; ADDRESS(14,Synthèse!$G$40+10,4))</f>
        <v>0</v>
      </c>
      <c r="AB9" s="43">
        <f t="shared" ca="1" si="13"/>
        <v>0</v>
      </c>
      <c r="AC9" s="80">
        <f ca="1">INDIRECT("'Bureau " &amp; ROW()-1 &amp; "'!" &amp; ADDRESS(15,Synthèse!$G$40+10,4))</f>
        <v>0</v>
      </c>
      <c r="AD9" s="69">
        <f t="shared" ca="1" si="14"/>
        <v>0</v>
      </c>
      <c r="AE9" s="85">
        <v>8</v>
      </c>
      <c r="AF9" s="89"/>
      <c r="AG9" s="90"/>
      <c r="AH9" s="90"/>
      <c r="AI9" s="90"/>
      <c r="AJ9" s="90"/>
      <c r="AK9" s="90"/>
      <c r="AL9" s="90"/>
      <c r="AM9" s="90"/>
      <c r="AN9" s="90"/>
      <c r="AO9" s="91"/>
      <c r="AP9" s="76"/>
      <c r="AQ9" s="71"/>
    </row>
    <row r="10" spans="1:43" ht="15.75" customHeight="1" x14ac:dyDescent="0.2">
      <c r="A10" s="29">
        <v>9</v>
      </c>
      <c r="B10" s="30" t="str">
        <f>Synthèse!B11</f>
        <v>CMM</v>
      </c>
      <c r="C10" s="344">
        <f t="shared" ca="1" si="2"/>
        <v>0</v>
      </c>
      <c r="D10" s="16">
        <f t="shared" ca="1" si="0"/>
        <v>0</v>
      </c>
      <c r="E10" s="19">
        <f t="shared" ca="1" si="3"/>
        <v>0</v>
      </c>
      <c r="F10" s="345">
        <f>Synthèse!C11</f>
        <v>709</v>
      </c>
      <c r="G10" s="338">
        <f ca="1">INDIRECT("'Bureau " &amp; ROW()-1 &amp; "'!" &amp; ADDRESS(4,Synthèse!$G$40+10,4))</f>
        <v>0</v>
      </c>
      <c r="H10" s="38">
        <f t="shared" ca="1" si="1"/>
        <v>0</v>
      </c>
      <c r="I10" s="339">
        <f ca="1">INDIRECT("'Bureau " &amp; ROW()-1 &amp; "'!" &amp; ADDRESS(5,Synthèse!$G$40+10,4))</f>
        <v>0</v>
      </c>
      <c r="J10" s="38">
        <f t="shared" ca="1" si="4"/>
        <v>0</v>
      </c>
      <c r="K10" s="339">
        <f ca="1">INDIRECT("'Bureau " &amp; ROW()-1 &amp; "'!" &amp; ADDRESS(6,Synthèse!$G$40+10,4))</f>
        <v>0</v>
      </c>
      <c r="L10" s="39">
        <f t="shared" ca="1" si="5"/>
        <v>0</v>
      </c>
      <c r="M10" s="346">
        <f ca="1">INDIRECT("'Bureau " &amp; ROW()-1 &amp; "'!" &amp; ADDRESS(7,Synthèse!$G$40+10,4))</f>
        <v>0</v>
      </c>
      <c r="N10" s="49">
        <f t="shared" ca="1" si="6"/>
        <v>0</v>
      </c>
      <c r="O10" s="341">
        <f ca="1">INDIRECT("'Bureau " &amp; ROW()-1 &amp; "'!" &amp; ADDRESS(8,Synthèse!$G$40+10,4))</f>
        <v>0</v>
      </c>
      <c r="P10" s="39">
        <f t="shared" ca="1" si="7"/>
        <v>0</v>
      </c>
      <c r="Q10" s="346">
        <f ca="1">INDIRECT("'Bureau " &amp; ROW()-1 &amp; "'!" &amp; ADDRESS(9,Synthèse!$G$40+10,4))</f>
        <v>0</v>
      </c>
      <c r="R10" s="49">
        <f t="shared" ca="1" si="8"/>
        <v>0</v>
      </c>
      <c r="S10" s="342">
        <f ca="1">INDIRECT("'Bureau " &amp; ROW()-1 &amp; "'!" &amp; ADDRESS(10,Synthèse!$G$40+10,4))</f>
        <v>0</v>
      </c>
      <c r="T10" s="16">
        <f t="shared" ca="1" si="9"/>
        <v>0</v>
      </c>
      <c r="U10" s="346">
        <f ca="1">INDIRECT("'Bureau " &amp; ROW()-1 &amp; "'!" &amp; ADDRESS(11,Synthèse!$G$40+10,4))</f>
        <v>0</v>
      </c>
      <c r="V10" s="49">
        <f t="shared" ca="1" si="10"/>
        <v>0</v>
      </c>
      <c r="W10" s="341">
        <f ca="1">INDIRECT("'Bureau " &amp; ROW()-1 &amp; "'!" &amp; ADDRESS(12,Synthèse!$G$40+10,4))</f>
        <v>0</v>
      </c>
      <c r="X10" s="39">
        <f t="shared" ca="1" si="11"/>
        <v>0</v>
      </c>
      <c r="Y10" s="347">
        <f ca="1">INDIRECT("'Bureau " &amp; ROW()-1 &amp; "'!" &amp; ADDRESS(13,Synthèse!$G$40+10,4))</f>
        <v>0</v>
      </c>
      <c r="Z10" s="63">
        <f t="shared" ca="1" si="12"/>
        <v>0</v>
      </c>
      <c r="AA10" s="79">
        <f ca="1">INDIRECT("'Bureau " &amp; ROW()-1 &amp; "'!" &amp; ADDRESS(14,Synthèse!$G$40+10,4))</f>
        <v>0</v>
      </c>
      <c r="AB10" s="43">
        <f t="shared" ca="1" si="13"/>
        <v>0</v>
      </c>
      <c r="AC10" s="80">
        <f ca="1">INDIRECT("'Bureau " &amp; ROW()-1 &amp; "'!" &amp; ADDRESS(15,Synthèse!$G$40+10,4))</f>
        <v>0</v>
      </c>
      <c r="AD10" s="69">
        <f t="shared" ca="1" si="14"/>
        <v>0</v>
      </c>
      <c r="AE10" s="85">
        <v>9</v>
      </c>
      <c r="AF10" s="89"/>
      <c r="AG10" s="90"/>
      <c r="AH10" s="90"/>
      <c r="AI10" s="90"/>
      <c r="AJ10" s="90"/>
      <c r="AK10" s="90"/>
      <c r="AL10" s="90"/>
      <c r="AM10" s="90"/>
      <c r="AN10" s="90"/>
      <c r="AO10" s="91"/>
      <c r="AP10" s="76"/>
      <c r="AQ10" s="71"/>
    </row>
    <row r="11" spans="1:43" ht="15.75" customHeight="1" x14ac:dyDescent="0.2">
      <c r="A11" s="29">
        <v>10</v>
      </c>
      <c r="B11" s="30" t="str">
        <f>Synthèse!B12</f>
        <v>CMM</v>
      </c>
      <c r="C11" s="344">
        <f t="shared" ca="1" si="2"/>
        <v>0</v>
      </c>
      <c r="D11" s="16">
        <f t="shared" ca="1" si="0"/>
        <v>0</v>
      </c>
      <c r="E11" s="19">
        <f t="shared" ca="1" si="3"/>
        <v>0</v>
      </c>
      <c r="F11" s="345">
        <f>Synthèse!C12</f>
        <v>609</v>
      </c>
      <c r="G11" s="338">
        <f ca="1">INDIRECT("'Bureau " &amp; ROW()-1 &amp; "'!" &amp; ADDRESS(4,Synthèse!$G$40+10,4))</f>
        <v>0</v>
      </c>
      <c r="H11" s="38">
        <f t="shared" ca="1" si="1"/>
        <v>0</v>
      </c>
      <c r="I11" s="339">
        <f ca="1">INDIRECT("'Bureau " &amp; ROW()-1 &amp; "'!" &amp; ADDRESS(5,Synthèse!$G$40+10,4))</f>
        <v>0</v>
      </c>
      <c r="J11" s="38">
        <f t="shared" ca="1" si="4"/>
        <v>0</v>
      </c>
      <c r="K11" s="339">
        <f ca="1">INDIRECT("'Bureau " &amp; ROW()-1 &amp; "'!" &amp; ADDRESS(6,Synthèse!$G$40+10,4))</f>
        <v>0</v>
      </c>
      <c r="L11" s="39">
        <f t="shared" ca="1" si="5"/>
        <v>0</v>
      </c>
      <c r="M11" s="346">
        <f ca="1">INDIRECT("'Bureau " &amp; ROW()-1 &amp; "'!" &amp; ADDRESS(7,Synthèse!$G$40+10,4))</f>
        <v>0</v>
      </c>
      <c r="N11" s="49">
        <f t="shared" ca="1" si="6"/>
        <v>0</v>
      </c>
      <c r="O11" s="341">
        <f ca="1">INDIRECT("'Bureau " &amp; ROW()-1 &amp; "'!" &amp; ADDRESS(8,Synthèse!$G$40+10,4))</f>
        <v>0</v>
      </c>
      <c r="P11" s="39">
        <f t="shared" ca="1" si="7"/>
        <v>0</v>
      </c>
      <c r="Q11" s="346">
        <f ca="1">INDIRECT("'Bureau " &amp; ROW()-1 &amp; "'!" &amp; ADDRESS(9,Synthèse!$G$40+10,4))</f>
        <v>0</v>
      </c>
      <c r="R11" s="49">
        <f t="shared" ca="1" si="8"/>
        <v>0</v>
      </c>
      <c r="S11" s="342">
        <f ca="1">INDIRECT("'Bureau " &amp; ROW()-1 &amp; "'!" &amp; ADDRESS(10,Synthèse!$G$40+10,4))</f>
        <v>0</v>
      </c>
      <c r="T11" s="16">
        <f t="shared" ca="1" si="9"/>
        <v>0</v>
      </c>
      <c r="U11" s="346">
        <f ca="1">INDIRECT("'Bureau " &amp; ROW()-1 &amp; "'!" &amp; ADDRESS(11,Synthèse!$G$40+10,4))</f>
        <v>0</v>
      </c>
      <c r="V11" s="49">
        <f t="shared" ca="1" si="10"/>
        <v>0</v>
      </c>
      <c r="W11" s="341">
        <f ca="1">INDIRECT("'Bureau " &amp; ROW()-1 &amp; "'!" &amp; ADDRESS(12,Synthèse!$G$40+10,4))</f>
        <v>0</v>
      </c>
      <c r="X11" s="39">
        <f t="shared" ca="1" si="11"/>
        <v>0</v>
      </c>
      <c r="Y11" s="347">
        <f ca="1">INDIRECT("'Bureau " &amp; ROW()-1 &amp; "'!" &amp; ADDRESS(13,Synthèse!$G$40+10,4))</f>
        <v>0</v>
      </c>
      <c r="Z11" s="63">
        <f t="shared" ca="1" si="12"/>
        <v>0</v>
      </c>
      <c r="AA11" s="79">
        <f ca="1">INDIRECT("'Bureau " &amp; ROW()-1 &amp; "'!" &amp; ADDRESS(14,Synthèse!$G$40+10,4))</f>
        <v>0</v>
      </c>
      <c r="AB11" s="43">
        <f t="shared" ca="1" si="13"/>
        <v>0</v>
      </c>
      <c r="AC11" s="80">
        <f ca="1">INDIRECT("'Bureau " &amp; ROW()-1 &amp; "'!" &amp; ADDRESS(15,Synthèse!$G$40+10,4))</f>
        <v>0</v>
      </c>
      <c r="AD11" s="69">
        <f t="shared" ca="1" si="14"/>
        <v>0</v>
      </c>
      <c r="AE11" s="85">
        <v>10</v>
      </c>
      <c r="AF11" s="89"/>
      <c r="AG11" s="90"/>
      <c r="AH11" s="90"/>
      <c r="AI11" s="90"/>
      <c r="AJ11" s="90"/>
      <c r="AK11" s="90"/>
      <c r="AL11" s="90"/>
      <c r="AM11" s="90"/>
      <c r="AN11" s="90"/>
      <c r="AO11" s="91"/>
      <c r="AP11" s="76"/>
      <c r="AQ11" s="71"/>
    </row>
    <row r="12" spans="1:43" ht="15.75" customHeight="1" x14ac:dyDescent="0.2">
      <c r="A12" s="29">
        <v>11</v>
      </c>
      <c r="B12" s="30" t="str">
        <f>Synthèse!B13</f>
        <v>CMM</v>
      </c>
      <c r="C12" s="344">
        <f t="shared" ca="1" si="2"/>
        <v>0</v>
      </c>
      <c r="D12" s="16">
        <f t="shared" ca="1" si="0"/>
        <v>0</v>
      </c>
      <c r="E12" s="19">
        <f t="shared" ca="1" si="3"/>
        <v>0</v>
      </c>
      <c r="F12" s="345">
        <f>Synthèse!C13</f>
        <v>691</v>
      </c>
      <c r="G12" s="338">
        <f ca="1">INDIRECT("'Bureau " &amp; ROW()-1 &amp; "'!" &amp; ADDRESS(4,Synthèse!$G$40+10,4))</f>
        <v>0</v>
      </c>
      <c r="H12" s="38">
        <f t="shared" ca="1" si="1"/>
        <v>0</v>
      </c>
      <c r="I12" s="339">
        <f ca="1">INDIRECT("'Bureau " &amp; ROW()-1 &amp; "'!" &amp; ADDRESS(5,Synthèse!$G$40+10,4))</f>
        <v>0</v>
      </c>
      <c r="J12" s="38">
        <f t="shared" ca="1" si="4"/>
        <v>0</v>
      </c>
      <c r="K12" s="339">
        <f ca="1">INDIRECT("'Bureau " &amp; ROW()-1 &amp; "'!" &amp; ADDRESS(6,Synthèse!$G$40+10,4))</f>
        <v>0</v>
      </c>
      <c r="L12" s="39">
        <f t="shared" ca="1" si="5"/>
        <v>0</v>
      </c>
      <c r="M12" s="346">
        <f ca="1">INDIRECT("'Bureau " &amp; ROW()-1 &amp; "'!" &amp; ADDRESS(7,Synthèse!$G$40+10,4))</f>
        <v>0</v>
      </c>
      <c r="N12" s="49">
        <f t="shared" ca="1" si="6"/>
        <v>0</v>
      </c>
      <c r="O12" s="341">
        <f ca="1">INDIRECT("'Bureau " &amp; ROW()-1 &amp; "'!" &amp; ADDRESS(8,Synthèse!$G$40+10,4))</f>
        <v>0</v>
      </c>
      <c r="P12" s="39">
        <f t="shared" ca="1" si="7"/>
        <v>0</v>
      </c>
      <c r="Q12" s="346">
        <f ca="1">INDIRECT("'Bureau " &amp; ROW()-1 &amp; "'!" &amp; ADDRESS(9,Synthèse!$G$40+10,4))</f>
        <v>0</v>
      </c>
      <c r="R12" s="49">
        <f t="shared" ca="1" si="8"/>
        <v>0</v>
      </c>
      <c r="S12" s="342">
        <f ca="1">INDIRECT("'Bureau " &amp; ROW()-1 &amp; "'!" &amp; ADDRESS(10,Synthèse!$G$40+10,4))</f>
        <v>0</v>
      </c>
      <c r="T12" s="16">
        <f t="shared" ca="1" si="9"/>
        <v>0</v>
      </c>
      <c r="U12" s="346">
        <f ca="1">INDIRECT("'Bureau " &amp; ROW()-1 &amp; "'!" &amp; ADDRESS(11,Synthèse!$G$40+10,4))</f>
        <v>0</v>
      </c>
      <c r="V12" s="49">
        <f t="shared" ca="1" si="10"/>
        <v>0</v>
      </c>
      <c r="W12" s="341">
        <f ca="1">INDIRECT("'Bureau " &amp; ROW()-1 &amp; "'!" &amp; ADDRESS(12,Synthèse!$G$40+10,4))</f>
        <v>0</v>
      </c>
      <c r="X12" s="39">
        <f t="shared" ca="1" si="11"/>
        <v>0</v>
      </c>
      <c r="Y12" s="347">
        <f ca="1">INDIRECT("'Bureau " &amp; ROW()-1 &amp; "'!" &amp; ADDRESS(13,Synthèse!$G$40+10,4))</f>
        <v>0</v>
      </c>
      <c r="Z12" s="63">
        <f t="shared" ca="1" si="12"/>
        <v>0</v>
      </c>
      <c r="AA12" s="79">
        <f ca="1">INDIRECT("'Bureau " &amp; ROW()-1 &amp; "'!" &amp; ADDRESS(14,Synthèse!$G$40+10,4))</f>
        <v>0</v>
      </c>
      <c r="AB12" s="43">
        <f t="shared" ca="1" si="13"/>
        <v>0</v>
      </c>
      <c r="AC12" s="80">
        <f ca="1">INDIRECT("'Bureau " &amp; ROW()-1 &amp; "'!" &amp; ADDRESS(15,Synthèse!$G$40+10,4))</f>
        <v>0</v>
      </c>
      <c r="AD12" s="69">
        <f t="shared" ca="1" si="14"/>
        <v>0</v>
      </c>
      <c r="AE12" s="85">
        <v>11</v>
      </c>
      <c r="AF12" s="89"/>
      <c r="AG12" s="90"/>
      <c r="AH12" s="90"/>
      <c r="AI12" s="90"/>
      <c r="AJ12" s="90"/>
      <c r="AK12" s="90"/>
      <c r="AL12" s="90"/>
      <c r="AM12" s="90"/>
      <c r="AN12" s="90"/>
      <c r="AO12" s="91"/>
      <c r="AP12" s="76"/>
      <c r="AQ12" s="71"/>
    </row>
    <row r="13" spans="1:43" ht="15.75" customHeight="1" thickBot="1" x14ac:dyDescent="0.25">
      <c r="A13" s="31">
        <v>12</v>
      </c>
      <c r="B13" s="30" t="str">
        <f>Synthèse!B14</f>
        <v>Base nautique</v>
      </c>
      <c r="C13" s="348">
        <f t="shared" ca="1" si="2"/>
        <v>0</v>
      </c>
      <c r="D13" s="17">
        <f t="shared" ca="1" si="0"/>
        <v>0</v>
      </c>
      <c r="E13" s="47">
        <f t="shared" ca="1" si="3"/>
        <v>0</v>
      </c>
      <c r="F13" s="349">
        <f>Synthèse!C14</f>
        <v>680</v>
      </c>
      <c r="G13" s="338">
        <f ca="1">INDIRECT("'Bureau " &amp; ROW()-1 &amp; "'!" &amp; ADDRESS(4,Synthèse!$G$40+10,4))</f>
        <v>0</v>
      </c>
      <c r="H13" s="40">
        <f t="shared" ca="1" si="1"/>
        <v>0</v>
      </c>
      <c r="I13" s="339">
        <f ca="1">INDIRECT("'Bureau " &amp; ROW()-1 &amp; "'!" &amp; ADDRESS(5,Synthèse!$G$40+10,4))</f>
        <v>0</v>
      </c>
      <c r="J13" s="40">
        <f t="shared" ca="1" si="4"/>
        <v>0</v>
      </c>
      <c r="K13" s="339">
        <f ca="1">INDIRECT("'Bureau " &amp; ROW()-1 &amp; "'!" &amp; ADDRESS(6,Synthèse!$G$40+10,4))</f>
        <v>0</v>
      </c>
      <c r="L13" s="41">
        <f t="shared" ca="1" si="5"/>
        <v>0</v>
      </c>
      <c r="M13" s="350">
        <f ca="1">INDIRECT("'Bureau " &amp; ROW()-1 &amp; "'!" &amp; ADDRESS(7,Synthèse!$G$40+10,4))</f>
        <v>0</v>
      </c>
      <c r="N13" s="50">
        <f t="shared" ca="1" si="6"/>
        <v>0</v>
      </c>
      <c r="O13" s="341">
        <f ca="1">INDIRECT("'Bureau " &amp; ROW()-1 &amp; "'!" &amp; ADDRESS(8,Synthèse!$G$40+10,4))</f>
        <v>0</v>
      </c>
      <c r="P13" s="41">
        <f t="shared" ca="1" si="7"/>
        <v>0</v>
      </c>
      <c r="Q13" s="351">
        <f ca="1">INDIRECT("'Bureau " &amp; ROW()-1 &amp; "'!" &amp; ADDRESS(9,Synthèse!$G$40+10,4))</f>
        <v>0</v>
      </c>
      <c r="R13" s="51">
        <f t="shared" ca="1" si="8"/>
        <v>0</v>
      </c>
      <c r="S13" s="342">
        <f ca="1">INDIRECT("'Bureau " &amp; ROW()-1 &amp; "'!" &amp; ADDRESS(10,Synthèse!$G$40+10,4))</f>
        <v>0</v>
      </c>
      <c r="T13" s="17">
        <f t="shared" ca="1" si="9"/>
        <v>0</v>
      </c>
      <c r="U13" s="350">
        <f ca="1">INDIRECT("'Bureau " &amp; ROW()-1 &amp; "'!" &amp; ADDRESS(11,Synthèse!$G$40+10,4))</f>
        <v>0</v>
      </c>
      <c r="V13" s="50">
        <f t="shared" ca="1" si="10"/>
        <v>0</v>
      </c>
      <c r="W13" s="341">
        <f ca="1">INDIRECT("'Bureau " &amp; ROW()-1 &amp; "'!" &amp; ADDRESS(12,Synthèse!$G$40+10,4))</f>
        <v>0</v>
      </c>
      <c r="X13" s="41">
        <f t="shared" ca="1" si="11"/>
        <v>0</v>
      </c>
      <c r="Y13" s="352">
        <f ca="1">INDIRECT("'Bureau " &amp; ROW()-1 &amp; "'!" &amp; ADDRESS(13,Synthèse!$G$40+10,4))</f>
        <v>0</v>
      </c>
      <c r="Z13" s="50">
        <f t="shared" ca="1" si="12"/>
        <v>0</v>
      </c>
      <c r="AA13" s="79">
        <f ca="1">INDIRECT("'Bureau " &amp; ROW()-1 &amp; "'!" &amp; ADDRESS(14,Synthèse!$G$40+10,4))</f>
        <v>0</v>
      </c>
      <c r="AB13" s="44">
        <f t="shared" ca="1" si="13"/>
        <v>0</v>
      </c>
      <c r="AC13" s="80">
        <f ca="1">INDIRECT("'Bureau " &amp; ROW()-1 &amp; "'!" &amp; ADDRESS(15,Synthèse!$G$40+10,4))</f>
        <v>0</v>
      </c>
      <c r="AD13" s="70">
        <f t="shared" ca="1" si="14"/>
        <v>0</v>
      </c>
      <c r="AE13" s="92">
        <v>12</v>
      </c>
      <c r="AF13" s="93"/>
      <c r="AG13" s="94"/>
      <c r="AH13" s="94"/>
      <c r="AI13" s="94"/>
      <c r="AJ13" s="94"/>
      <c r="AK13" s="94"/>
      <c r="AL13" s="94"/>
      <c r="AM13" s="94"/>
      <c r="AN13" s="94"/>
      <c r="AO13" s="95"/>
      <c r="AP13" s="76"/>
      <c r="AQ13" s="71"/>
    </row>
    <row r="14" spans="1:43" ht="15.75" customHeight="1" thickBot="1" x14ac:dyDescent="0.3">
      <c r="A14" s="504" t="s">
        <v>9</v>
      </c>
      <c r="B14" s="505"/>
      <c r="C14" s="20">
        <f ca="1">SUM(C2:C13)</f>
        <v>0</v>
      </c>
      <c r="D14" s="21">
        <f t="shared" ca="1" si="0"/>
        <v>0</v>
      </c>
      <c r="E14" s="46">
        <f t="shared" ca="1" si="3"/>
        <v>0</v>
      </c>
      <c r="F14" s="314">
        <f>SUM(F2:F13)</f>
        <v>8164</v>
      </c>
      <c r="G14" s="52">
        <f ca="1">SUM(G2:G13)</f>
        <v>0</v>
      </c>
      <c r="H14" s="53">
        <f ca="1">G14/$F14</f>
        <v>0</v>
      </c>
      <c r="I14" s="54">
        <f ca="1">SUM(I2:I13)</f>
        <v>0</v>
      </c>
      <c r="J14" s="53">
        <f ca="1">I14/$F14</f>
        <v>0</v>
      </c>
      <c r="K14" s="54">
        <f ca="1">SUM(K2:K13)</f>
        <v>0</v>
      </c>
      <c r="L14" s="55">
        <f ca="1">K14/$F14</f>
        <v>0</v>
      </c>
      <c r="M14" s="56">
        <f ca="1">SUM(M2:M13)</f>
        <v>0</v>
      </c>
      <c r="N14" s="55">
        <f ca="1">M14/$F14</f>
        <v>0</v>
      </c>
      <c r="O14" s="56">
        <f ca="1">SUM(O2:O13)</f>
        <v>0</v>
      </c>
      <c r="P14" s="55">
        <f ca="1">O14/$F14</f>
        <v>0</v>
      </c>
      <c r="Q14" s="56">
        <f ca="1">SUM(Q2:Q13)</f>
        <v>0</v>
      </c>
      <c r="R14" s="55">
        <f ca="1">Q14/$F14</f>
        <v>0</v>
      </c>
      <c r="S14" s="56">
        <f ca="1">SUM(S2:S13)</f>
        <v>0</v>
      </c>
      <c r="T14" s="55">
        <f ca="1">S14/$F14</f>
        <v>0</v>
      </c>
      <c r="U14" s="56">
        <f ca="1">SUM(U2:U13)</f>
        <v>0</v>
      </c>
      <c r="V14" s="55">
        <f ca="1">U14/$F14</f>
        <v>0</v>
      </c>
      <c r="W14" s="56">
        <f ca="1">SUM(W2:W13)</f>
        <v>0</v>
      </c>
      <c r="X14" s="57">
        <f ca="1">W14/$F14</f>
        <v>0</v>
      </c>
      <c r="Y14" s="64">
        <f ca="1">SUM(Y2:Y13)</f>
        <v>0</v>
      </c>
      <c r="Z14" s="58">
        <f ca="1">Y14/$F14</f>
        <v>0</v>
      </c>
      <c r="AA14" s="9">
        <f ca="1">SUM(AA2:AA13)</f>
        <v>0</v>
      </c>
      <c r="AB14" s="10">
        <f ca="1">AA14/$F14</f>
        <v>0</v>
      </c>
      <c r="AC14" s="11">
        <f ca="1">SUM(AC2:AC13)</f>
        <v>0</v>
      </c>
      <c r="AD14" s="10">
        <f ca="1">AC14/$F14</f>
        <v>0</v>
      </c>
      <c r="AE14" s="96" t="s">
        <v>16</v>
      </c>
      <c r="AF14" s="97"/>
      <c r="AG14" s="98"/>
      <c r="AH14" s="98"/>
      <c r="AI14" s="98"/>
      <c r="AJ14" s="98"/>
      <c r="AK14" s="98"/>
      <c r="AL14" s="98"/>
      <c r="AM14" s="98"/>
      <c r="AN14" s="98"/>
      <c r="AO14" s="99"/>
      <c r="AP14" s="77"/>
      <c r="AQ14" s="78"/>
    </row>
    <row r="15" spans="1:43" ht="16.5" thickBot="1" x14ac:dyDescent="0.3">
      <c r="A15" s="357" t="s">
        <v>11</v>
      </c>
      <c r="B15" s="360">
        <f>Synthèse!$B$17</f>
        <v>46103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2"/>
      <c r="AB15" s="12"/>
      <c r="AC15" s="12"/>
      <c r="AD15" s="12"/>
      <c r="AE15" s="516" t="s">
        <v>64</v>
      </c>
      <c r="AF15" s="517"/>
      <c r="AG15" s="517"/>
      <c r="AH15" s="517"/>
      <c r="AI15" s="517"/>
      <c r="AJ15" s="517"/>
      <c r="AK15" s="517"/>
      <c r="AL15" s="517"/>
      <c r="AM15" s="517"/>
      <c r="AN15" s="517"/>
      <c r="AO15" s="517"/>
      <c r="AP15" s="517"/>
      <c r="AQ15" s="518"/>
    </row>
    <row r="16" spans="1:43" ht="15" customHeight="1" x14ac:dyDescent="0.2">
      <c r="A16" s="358" t="s">
        <v>12</v>
      </c>
      <c r="B16" s="361" t="str">
        <f>Synthèse!$B$18</f>
        <v>Municipales 2ème tour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2"/>
      <c r="AB16" s="12"/>
      <c r="AC16" s="12"/>
      <c r="AD16" s="12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</row>
    <row r="17" spans="1:43" ht="17.25" customHeight="1" thickBot="1" x14ac:dyDescent="0.25">
      <c r="A17" s="359" t="s">
        <v>13</v>
      </c>
      <c r="B17" s="362" t="str">
        <f>Synthèse!$B$19</f>
        <v>Cogolin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2"/>
      <c r="AC17" s="12"/>
      <c r="AD17" s="12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</row>
    <row r="18" spans="1:43" ht="12.75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2"/>
      <c r="AB18" s="12"/>
      <c r="AC18" s="12"/>
      <c r="AD18" s="12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</row>
    <row r="19" spans="1:43" ht="12.75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2"/>
      <c r="AB19" s="12"/>
      <c r="AC19" s="12"/>
      <c r="AD19" s="12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</row>
    <row r="20" spans="1:43" ht="13.5" thickBo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2"/>
      <c r="AB20" s="12"/>
      <c r="AC20" s="12"/>
      <c r="AD20" s="12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</row>
    <row r="21" spans="1:43" ht="20.25" customHeight="1" thickBo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2"/>
      <c r="AB21" s="12"/>
      <c r="AC21" s="12"/>
      <c r="AD21" s="12"/>
      <c r="AE21" s="1"/>
      <c r="AF21" s="1"/>
      <c r="AG21" s="1"/>
      <c r="AH21" s="525" t="s">
        <v>61</v>
      </c>
      <c r="AI21" s="526"/>
      <c r="AJ21" s="523" t="s">
        <v>62</v>
      </c>
      <c r="AK21" s="524"/>
      <c r="AL21" s="101"/>
      <c r="AO21" s="1"/>
      <c r="AP21" s="1"/>
      <c r="AQ21" s="1"/>
    </row>
    <row r="22" spans="1:43" ht="12.75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2"/>
      <c r="AB22" s="12"/>
      <c r="AC22" s="12"/>
      <c r="AD22" s="12"/>
      <c r="AE22" s="1"/>
      <c r="AF22" s="1"/>
      <c r="AG22" s="1"/>
      <c r="AH22" s="102"/>
      <c r="AI22" s="103"/>
      <c r="AJ22" s="102"/>
      <c r="AK22" s="104"/>
      <c r="AL22" s="1"/>
      <c r="AO22" s="1"/>
      <c r="AP22" s="1"/>
      <c r="AQ22" s="1"/>
    </row>
    <row r="23" spans="1:43" ht="12.75" x14ac:dyDescent="0.2">
      <c r="A23" s="1"/>
      <c r="B23" s="59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2"/>
      <c r="AB23" s="12"/>
      <c r="AC23" s="12"/>
      <c r="AD23" s="12"/>
      <c r="AE23" s="1"/>
      <c r="AF23" s="1"/>
      <c r="AG23" s="1"/>
      <c r="AH23" s="102"/>
      <c r="AI23" s="103"/>
      <c r="AJ23" s="102"/>
      <c r="AK23" s="104"/>
      <c r="AL23" s="1"/>
      <c r="AO23" s="1"/>
      <c r="AP23" s="1"/>
      <c r="AQ23" s="1"/>
    </row>
    <row r="24" spans="1:43" ht="12.75" x14ac:dyDescent="0.2">
      <c r="A24" s="1"/>
      <c r="B24" s="59"/>
      <c r="C24" s="22"/>
      <c r="D24" s="2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2"/>
      <c r="AB24" s="12"/>
      <c r="AC24" s="12"/>
      <c r="AD24" s="12"/>
      <c r="AE24" s="1"/>
      <c r="AF24" s="1"/>
      <c r="AG24" s="1"/>
      <c r="AH24" s="102"/>
      <c r="AI24" s="103"/>
      <c r="AJ24" s="102"/>
      <c r="AK24" s="104"/>
      <c r="AL24" s="1"/>
      <c r="AO24" s="1"/>
      <c r="AP24" s="1"/>
      <c r="AQ24" s="1"/>
    </row>
    <row r="25" spans="1:43" ht="12.75" x14ac:dyDescent="0.2">
      <c r="A25" s="1"/>
      <c r="B25" s="1"/>
      <c r="C25" s="22"/>
      <c r="D25" s="23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2"/>
      <c r="AB25" s="12"/>
      <c r="AC25" s="12"/>
      <c r="AD25" s="12"/>
      <c r="AE25" s="1"/>
      <c r="AF25" s="1"/>
      <c r="AG25" s="1"/>
      <c r="AH25" s="102"/>
      <c r="AI25" s="103"/>
      <c r="AJ25" s="102"/>
      <c r="AK25" s="104"/>
      <c r="AL25" s="1"/>
      <c r="AO25" s="1"/>
      <c r="AP25" s="1"/>
      <c r="AQ25" s="1"/>
    </row>
    <row r="26" spans="1:43" ht="12.75" x14ac:dyDescent="0.2">
      <c r="A26" s="1"/>
      <c r="B26" s="1"/>
      <c r="C26" s="22"/>
      <c r="D26" s="23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2"/>
      <c r="AB26" s="12"/>
      <c r="AC26" s="12"/>
      <c r="AD26" s="12"/>
      <c r="AE26" s="1"/>
      <c r="AF26" s="1"/>
      <c r="AG26" s="1"/>
      <c r="AH26" s="102"/>
      <c r="AI26" s="103"/>
      <c r="AJ26" s="102"/>
      <c r="AK26" s="104"/>
      <c r="AL26" s="1"/>
      <c r="AO26" s="1"/>
      <c r="AP26" s="1"/>
      <c r="AQ26" s="1"/>
    </row>
    <row r="27" spans="1:43" ht="12.75" x14ac:dyDescent="0.2">
      <c r="A27" s="1"/>
      <c r="B27" s="1"/>
      <c r="C27" s="22"/>
      <c r="D27" s="23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2"/>
      <c r="AB27" s="12"/>
      <c r="AC27" s="12"/>
      <c r="AD27" s="12"/>
      <c r="AE27" s="1"/>
      <c r="AF27" s="1"/>
      <c r="AG27" s="1"/>
      <c r="AH27" s="102"/>
      <c r="AI27" s="103"/>
      <c r="AJ27" s="102"/>
      <c r="AK27" s="104"/>
      <c r="AL27" s="1"/>
      <c r="AO27" s="1"/>
      <c r="AP27" s="1"/>
      <c r="AQ27" s="1"/>
    </row>
    <row r="28" spans="1:43" ht="15.75" customHeight="1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2"/>
      <c r="AB28" s="12"/>
      <c r="AC28" s="12"/>
      <c r="AD28" s="12"/>
      <c r="AE28" s="1"/>
      <c r="AF28" s="1"/>
      <c r="AG28" s="1"/>
      <c r="AH28" s="102"/>
      <c r="AI28" s="103"/>
      <c r="AJ28" s="102"/>
      <c r="AK28" s="104"/>
      <c r="AL28" s="1"/>
      <c r="AO28" s="1"/>
      <c r="AP28" s="1"/>
      <c r="AQ28" s="1"/>
    </row>
    <row r="29" spans="1:43" ht="12.75" x14ac:dyDescent="0.2">
      <c r="A29" s="1"/>
      <c r="B29" s="13" t="s">
        <v>18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2"/>
      <c r="AB29" s="12"/>
      <c r="AC29" s="12"/>
      <c r="AD29" s="12"/>
      <c r="AE29" s="1"/>
      <c r="AF29" s="1"/>
      <c r="AG29" s="1"/>
      <c r="AH29" s="102"/>
      <c r="AI29" s="103"/>
      <c r="AJ29" s="102"/>
      <c r="AK29" s="104"/>
      <c r="AL29" s="1"/>
      <c r="AO29" s="1"/>
      <c r="AP29" s="1"/>
      <c r="AQ29" s="1"/>
    </row>
    <row r="30" spans="1:43" ht="12.75" x14ac:dyDescent="0.2">
      <c r="A30" s="1"/>
      <c r="B30" s="14" t="s">
        <v>19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2"/>
      <c r="AB30" s="12"/>
      <c r="AC30" s="12"/>
      <c r="AD30" s="12"/>
      <c r="AE30" s="1"/>
      <c r="AF30" s="1"/>
      <c r="AG30" s="1"/>
      <c r="AH30" s="102"/>
      <c r="AI30" s="103"/>
      <c r="AJ30" s="102"/>
      <c r="AK30" s="104"/>
      <c r="AL30" s="1"/>
      <c r="AO30" s="1"/>
      <c r="AP30" s="1"/>
      <c r="AQ30" s="1"/>
    </row>
    <row r="31" spans="1:43" ht="12.75" x14ac:dyDescent="0.2">
      <c r="A31" s="1"/>
      <c r="B31" s="13" t="s">
        <v>20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2"/>
      <c r="AB31" s="12"/>
      <c r="AC31" s="12"/>
      <c r="AD31" s="12"/>
      <c r="AE31" s="1"/>
      <c r="AF31" s="1"/>
      <c r="AG31" s="1"/>
      <c r="AH31" s="102"/>
      <c r="AI31" s="103"/>
      <c r="AJ31" s="102"/>
      <c r="AK31" s="104"/>
      <c r="AL31" s="1"/>
      <c r="AO31" s="1"/>
      <c r="AP31" s="1"/>
      <c r="AQ31" s="1"/>
    </row>
    <row r="32" spans="1:43" ht="15.75" customHeight="1" x14ac:dyDescent="0.2">
      <c r="AH32" s="105"/>
      <c r="AI32" s="106"/>
      <c r="AJ32" s="105"/>
      <c r="AK32" s="107"/>
    </row>
    <row r="33" spans="6:37" ht="15.75" customHeight="1" x14ac:dyDescent="0.2">
      <c r="AH33" s="105"/>
      <c r="AI33" s="106"/>
      <c r="AJ33" s="105"/>
      <c r="AK33" s="107"/>
    </row>
    <row r="34" spans="6:37" ht="15.75" customHeight="1" x14ac:dyDescent="0.2">
      <c r="AH34" s="105"/>
      <c r="AI34" s="106"/>
      <c r="AJ34" s="105"/>
      <c r="AK34" s="107"/>
    </row>
    <row r="35" spans="6:37" ht="15.75" customHeight="1" thickBot="1" x14ac:dyDescent="0.25">
      <c r="AH35" s="105"/>
      <c r="AI35" s="106"/>
      <c r="AJ35" s="105"/>
      <c r="AK35" s="107"/>
    </row>
    <row r="36" spans="6:37" ht="13.5" thickBot="1" x14ac:dyDescent="0.25">
      <c r="F36" s="145"/>
      <c r="G36" s="514" t="s">
        <v>61</v>
      </c>
      <c r="H36" s="515"/>
      <c r="I36" s="515"/>
      <c r="J36" s="515"/>
      <c r="K36" s="515"/>
      <c r="L36" s="515"/>
      <c r="M36" s="515"/>
      <c r="N36" s="515"/>
      <c r="O36" s="515"/>
      <c r="P36" s="515"/>
      <c r="Q36" s="515"/>
      <c r="R36" s="515"/>
      <c r="S36" s="515"/>
      <c r="T36" s="146"/>
      <c r="U36" s="515" t="s">
        <v>62</v>
      </c>
      <c r="V36" s="515"/>
      <c r="W36" s="515"/>
      <c r="X36" s="515"/>
      <c r="Y36" s="515"/>
      <c r="Z36" s="515"/>
      <c r="AA36" s="515"/>
      <c r="AB36" s="515"/>
      <c r="AC36" s="515"/>
      <c r="AD36" s="515"/>
      <c r="AE36" s="515"/>
      <c r="AF36" s="515"/>
      <c r="AG36" s="515"/>
      <c r="AH36" s="105"/>
      <c r="AI36" s="106"/>
      <c r="AJ36" s="105"/>
      <c r="AK36" s="107"/>
    </row>
    <row r="37" spans="6:37" ht="13.5" thickBot="1" x14ac:dyDescent="0.25">
      <c r="F37" s="147" t="s">
        <v>21</v>
      </c>
      <c r="G37" s="148" t="s">
        <v>82</v>
      </c>
      <c r="H37" s="149" t="s">
        <v>83</v>
      </c>
      <c r="I37" s="150" t="s">
        <v>84</v>
      </c>
      <c r="J37" s="151" t="s">
        <v>85</v>
      </c>
      <c r="K37" s="152" t="s">
        <v>86</v>
      </c>
      <c r="L37" s="153" t="s">
        <v>87</v>
      </c>
      <c r="M37" s="154" t="s">
        <v>88</v>
      </c>
      <c r="N37" s="149" t="s">
        <v>89</v>
      </c>
      <c r="O37" s="150" t="s">
        <v>90</v>
      </c>
      <c r="P37" s="151" t="s">
        <v>91</v>
      </c>
      <c r="Q37" s="152" t="s">
        <v>92</v>
      </c>
      <c r="R37" s="153" t="s">
        <v>93</v>
      </c>
      <c r="S37" s="155" t="s">
        <v>16</v>
      </c>
      <c r="T37" s="156" t="s">
        <v>21</v>
      </c>
      <c r="U37" s="157" t="s">
        <v>82</v>
      </c>
      <c r="V37" s="158" t="s">
        <v>83</v>
      </c>
      <c r="W37" s="159" t="s">
        <v>84</v>
      </c>
      <c r="X37" s="160" t="s">
        <v>85</v>
      </c>
      <c r="Y37" s="161" t="s">
        <v>86</v>
      </c>
      <c r="Z37" s="162" t="s">
        <v>87</v>
      </c>
      <c r="AA37" s="163" t="s">
        <v>88</v>
      </c>
      <c r="AB37" s="158" t="s">
        <v>89</v>
      </c>
      <c r="AC37" s="159" t="s">
        <v>90</v>
      </c>
      <c r="AD37" s="160" t="s">
        <v>91</v>
      </c>
      <c r="AE37" s="161" t="s">
        <v>92</v>
      </c>
      <c r="AF37" s="162" t="s">
        <v>93</v>
      </c>
      <c r="AG37" s="164" t="s">
        <v>16</v>
      </c>
      <c r="AH37" s="105"/>
      <c r="AI37" s="106"/>
      <c r="AJ37" s="105"/>
      <c r="AK37" s="107"/>
    </row>
    <row r="38" spans="6:37" ht="12.75" x14ac:dyDescent="0.2">
      <c r="F38" s="165" t="s">
        <v>31</v>
      </c>
      <c r="G38" s="166">
        <v>0</v>
      </c>
      <c r="H38" s="167">
        <v>0</v>
      </c>
      <c r="I38" s="167">
        <v>0</v>
      </c>
      <c r="J38" s="167">
        <v>0</v>
      </c>
      <c r="K38" s="167">
        <v>0</v>
      </c>
      <c r="L38" s="167">
        <v>0</v>
      </c>
      <c r="M38" s="167">
        <v>0</v>
      </c>
      <c r="N38" s="167">
        <v>0</v>
      </c>
      <c r="O38" s="167">
        <v>0</v>
      </c>
      <c r="P38" s="167">
        <v>0</v>
      </c>
      <c r="Q38" s="167">
        <v>0</v>
      </c>
      <c r="R38" s="167">
        <v>0</v>
      </c>
      <c r="S38" s="168">
        <v>0</v>
      </c>
      <c r="T38" s="169" t="s">
        <v>31</v>
      </c>
      <c r="U38" s="166">
        <v>0</v>
      </c>
      <c r="V38" s="167">
        <v>0</v>
      </c>
      <c r="W38" s="167">
        <v>0</v>
      </c>
      <c r="X38" s="167">
        <v>0</v>
      </c>
      <c r="Y38" s="167">
        <v>0</v>
      </c>
      <c r="Z38" s="167">
        <v>0</v>
      </c>
      <c r="AA38" s="167">
        <v>0</v>
      </c>
      <c r="AB38" s="167">
        <v>0</v>
      </c>
      <c r="AC38" s="167">
        <v>0</v>
      </c>
      <c r="AD38" s="167">
        <v>0</v>
      </c>
      <c r="AE38" s="167">
        <v>0</v>
      </c>
      <c r="AF38" s="167">
        <v>0</v>
      </c>
      <c r="AG38" s="168">
        <v>0</v>
      </c>
      <c r="AH38" s="105"/>
      <c r="AI38" s="106"/>
      <c r="AJ38" s="105"/>
      <c r="AK38" s="107"/>
    </row>
    <row r="39" spans="6:37" ht="12.75" x14ac:dyDescent="0.2">
      <c r="F39" s="170" t="s">
        <v>32</v>
      </c>
      <c r="G39" s="171" t="e" cm="1">
        <f t="array" aca="1" ref="G39" ca="1">IF(
   INDEX($H$2:$Z$14, COLUMN(A1), 2*ROW(A1)-1)&gt;0,
   INDEX($H$2:$Z$14, COLUMN(A1), 2*ROW(A1)-1),
   NA()
)</f>
        <v>#N/A</v>
      </c>
      <c r="H39" s="172" t="e" cm="1">
        <f t="array" aca="1" ref="H39" ca="1">IF(
   INDEX($H$2:$Z$14, COLUMN(B1), 2*ROW(B1)-1)&gt;0,
   INDEX($H$2:$Z$14, COLUMN(B1), 2*ROW(B1)-1),
   NA()
)</f>
        <v>#N/A</v>
      </c>
      <c r="I39" s="172" t="e" cm="1">
        <f t="array" aca="1" ref="I39" ca="1">IF(
   INDEX($H$2:$Z$14, COLUMN(C1), 2*ROW(C1)-1)&gt;0,
   INDEX($H$2:$Z$14, COLUMN(C1), 2*ROW(C1)-1),
   NA()
)</f>
        <v>#N/A</v>
      </c>
      <c r="J39" s="172" t="e" cm="1">
        <f t="array" aca="1" ref="J39" ca="1">IF(
   INDEX($H$2:$Z$14, COLUMN(D1), 2*ROW(D1)-1)&gt;0,
   INDEX($H$2:$Z$14, COLUMN(D1), 2*ROW(D1)-1),
   NA()
)</f>
        <v>#N/A</v>
      </c>
      <c r="K39" s="172" t="e" cm="1">
        <f t="array" aca="1" ref="K39" ca="1">IF(
   INDEX($H$2:$Z$14, COLUMN(E1), 2*ROW(E1)-1)&gt;0,
   INDEX($H$2:$Z$14, COLUMN(E1), 2*ROW(E1)-1),
   NA()
)</f>
        <v>#N/A</v>
      </c>
      <c r="L39" s="172" t="e" cm="1">
        <f t="array" aca="1" ref="L39" ca="1">IF(
   INDEX($H$2:$Z$14, COLUMN(F1), 2*ROW(F1)-1)&gt;0,
   INDEX($H$2:$Z$14, COLUMN(F1), 2*ROW(F1)-1),
   NA()
)</f>
        <v>#N/A</v>
      </c>
      <c r="M39" s="172" t="e" cm="1">
        <f t="array" aca="1" ref="M39" ca="1">IF(
   INDEX($H$2:$Z$14, COLUMN(G1), 2*ROW(G1)-1)&gt;0,
   INDEX($H$2:$Z$14, COLUMN(G1), 2*ROW(G1)-1),
   NA()
)</f>
        <v>#N/A</v>
      </c>
      <c r="N39" s="172" t="e" cm="1">
        <f t="array" aca="1" ref="N39" ca="1">IF(
   INDEX($H$2:$Z$14, COLUMN(H1), 2*ROW(H1)-1)&gt;0,
   INDEX($H$2:$Z$14, COLUMN(H1), 2*ROW(H1)-1),
   NA()
)</f>
        <v>#N/A</v>
      </c>
      <c r="O39" s="172" t="e" cm="1">
        <f t="array" aca="1" ref="O39" ca="1">IF(
   INDEX($H$2:$Z$14, COLUMN(I1), 2*ROW(I1)-1)&gt;0,
   INDEX($H$2:$Z$14, COLUMN(I1), 2*ROW(I1)-1),
   NA()
)</f>
        <v>#N/A</v>
      </c>
      <c r="P39" s="172" t="e" cm="1">
        <f t="array" aca="1" ref="P39" ca="1">IF(
   INDEX($H$2:$Z$14, COLUMN(J1), 2*ROW(J1)-1)&gt;0,
   INDEX($H$2:$Z$14, COLUMN(J1), 2*ROW(J1)-1),
   NA()
)</f>
        <v>#N/A</v>
      </c>
      <c r="Q39" s="172" t="e" cm="1">
        <f t="array" aca="1" ref="Q39" ca="1">IF(
   INDEX($H$2:$Z$14, COLUMN(K1), 2*ROW(K1)-1)&gt;0,
   INDEX($H$2:$Z$14, COLUMN(K1), 2*ROW(K1)-1),
   NA()
)</f>
        <v>#N/A</v>
      </c>
      <c r="R39" s="172" t="e" cm="1">
        <f t="array" aca="1" ref="R39" ca="1">IF(
   INDEX($H$2:$Z$14, COLUMN(L1), 2*ROW(L1)-1)&gt;0,
   INDEX($H$2:$Z$14, COLUMN(L1), 2*ROW(L1)-1),
   NA()
)</f>
        <v>#N/A</v>
      </c>
      <c r="S39" s="173" t="e" cm="1">
        <f t="array" aca="1" ref="S39" ca="1">IF(
   INDEX($H$2:$Z$14, COLUMN(M1), 2*ROW(M1)-1)&gt;0,
   INDEX($H$2:$Z$14, COLUMN(M1), 2*ROW(M1)-1),
   NA()
)</f>
        <v>#N/A</v>
      </c>
      <c r="T39" s="174" t="s">
        <v>32</v>
      </c>
      <c r="U39" s="171">
        <f>AF2</f>
        <v>0</v>
      </c>
      <c r="V39" s="172">
        <f>AF3</f>
        <v>0</v>
      </c>
      <c r="W39" s="172">
        <f>AF4</f>
        <v>0</v>
      </c>
      <c r="X39" s="172">
        <f>AF5</f>
        <v>0</v>
      </c>
      <c r="Y39" s="172">
        <f>AF6</f>
        <v>0</v>
      </c>
      <c r="Z39" s="172">
        <f>AF7</f>
        <v>0</v>
      </c>
      <c r="AA39" s="172">
        <f>AF8</f>
        <v>0</v>
      </c>
      <c r="AB39" s="172">
        <f>AF9</f>
        <v>0</v>
      </c>
      <c r="AC39" s="172">
        <f>AF10</f>
        <v>0</v>
      </c>
      <c r="AD39" s="172">
        <f>AF11</f>
        <v>0</v>
      </c>
      <c r="AE39" s="172">
        <f>AF12</f>
        <v>0</v>
      </c>
      <c r="AF39" s="172">
        <f>AF13</f>
        <v>0</v>
      </c>
      <c r="AG39" s="173">
        <f>AF14</f>
        <v>0</v>
      </c>
      <c r="AH39" s="105"/>
      <c r="AI39" s="106"/>
      <c r="AJ39" s="105"/>
      <c r="AK39" s="107"/>
    </row>
    <row r="40" spans="6:37" ht="12.75" x14ac:dyDescent="0.2">
      <c r="F40" s="170" t="s">
        <v>33</v>
      </c>
      <c r="G40" s="171" t="e" cm="1">
        <f t="array" aca="1" ref="G40" ca="1">IF(
   INDEX($H$2:$Z$14, COLUMN(A2), 2*ROW(A2)-1)&gt;0,
   INDEX($H$2:$Z$14, COLUMN(A2), 2*ROW(A2)-1),
   NA()
)</f>
        <v>#N/A</v>
      </c>
      <c r="H40" s="172" t="e" cm="1">
        <f t="array" aca="1" ref="H40" ca="1">IF(
   INDEX($H$2:$Z$14, COLUMN(B2), 2*ROW(B2)-1)&gt;0,
   INDEX($H$2:$Z$14, COLUMN(B2), 2*ROW(B2)-1),
   NA()
)</f>
        <v>#N/A</v>
      </c>
      <c r="I40" s="172" t="e" cm="1">
        <f t="array" aca="1" ref="I40" ca="1">IF(
   INDEX($H$2:$Z$14, COLUMN(C2), 2*ROW(C2)-1)&gt;0,
   INDEX($H$2:$Z$14, COLUMN(C2), 2*ROW(C2)-1),
   NA()
)</f>
        <v>#N/A</v>
      </c>
      <c r="J40" s="172" t="e" cm="1">
        <f t="array" aca="1" ref="J40" ca="1">IF(
   INDEX($H$2:$Z$14, COLUMN(D2), 2*ROW(D2)-1)&gt;0,
   INDEX($H$2:$Z$14, COLUMN(D2), 2*ROW(D2)-1),
   NA()
)</f>
        <v>#N/A</v>
      </c>
      <c r="K40" s="172" t="e" cm="1">
        <f t="array" aca="1" ref="K40" ca="1">IF(
   INDEX($H$2:$Z$14, COLUMN(E2), 2*ROW(E2)-1)&gt;0,
   INDEX($H$2:$Z$14, COLUMN(E2), 2*ROW(E2)-1),
   NA()
)</f>
        <v>#N/A</v>
      </c>
      <c r="L40" s="172" t="e" cm="1">
        <f t="array" aca="1" ref="L40" ca="1">IF(
   INDEX($H$2:$Z$14, COLUMN(F2), 2*ROW(F2)-1)&gt;0,
   INDEX($H$2:$Z$14, COLUMN(F2), 2*ROW(F2)-1),
   NA()
)</f>
        <v>#N/A</v>
      </c>
      <c r="M40" s="172" t="e" cm="1">
        <f t="array" aca="1" ref="M40" ca="1">IF(
   INDEX($H$2:$Z$14, COLUMN(G2), 2*ROW(G2)-1)&gt;0,
   INDEX($H$2:$Z$14, COLUMN(G2), 2*ROW(G2)-1),
   NA()
)</f>
        <v>#N/A</v>
      </c>
      <c r="N40" s="172" t="e" cm="1">
        <f t="array" aca="1" ref="N40" ca="1">IF(
   INDEX($H$2:$Z$14, COLUMN(H2), 2*ROW(H2)-1)&gt;0,
   INDEX($H$2:$Z$14, COLUMN(H2), 2*ROW(H2)-1),
   NA()
)</f>
        <v>#N/A</v>
      </c>
      <c r="O40" s="172" t="e" cm="1">
        <f t="array" aca="1" ref="O40" ca="1">IF(
   INDEX($H$2:$Z$14, COLUMN(I2), 2*ROW(I2)-1)&gt;0,
   INDEX($H$2:$Z$14, COLUMN(I2), 2*ROW(I2)-1),
   NA()
)</f>
        <v>#N/A</v>
      </c>
      <c r="P40" s="172" t="e" cm="1">
        <f t="array" aca="1" ref="P40" ca="1">IF(
   INDEX($H$2:$Z$14, COLUMN(J2), 2*ROW(J2)-1)&gt;0,
   INDEX($H$2:$Z$14, COLUMN(J2), 2*ROW(J2)-1),
   NA()
)</f>
        <v>#N/A</v>
      </c>
      <c r="Q40" s="172" t="e" cm="1">
        <f t="array" aca="1" ref="Q40" ca="1">IF(
   INDEX($H$2:$Z$14, COLUMN(K2), 2*ROW(K2)-1)&gt;0,
   INDEX($H$2:$Z$14, COLUMN(K2), 2*ROW(K2)-1),
   NA()
)</f>
        <v>#N/A</v>
      </c>
      <c r="R40" s="172" t="e" cm="1">
        <f t="array" aca="1" ref="R40" ca="1">IF(
   INDEX($H$2:$Z$14, COLUMN(L2), 2*ROW(L2)-1)&gt;0,
   INDEX($H$2:$Z$14, COLUMN(L2), 2*ROW(L2)-1),
   NA()
)</f>
        <v>#N/A</v>
      </c>
      <c r="S40" s="173" t="e" cm="1">
        <f t="array" aca="1" ref="S40" ca="1">IF(
   INDEX($H$2:$Z$14, COLUMN(M2), 2*ROW(M2)-1)&gt;0,
   INDEX($H$2:$Z$14, COLUMN(M2), 2*ROW(M2)-1),
   NA()
)</f>
        <v>#N/A</v>
      </c>
      <c r="T40" s="174" t="s">
        <v>33</v>
      </c>
      <c r="U40" s="171">
        <f>AG2</f>
        <v>0</v>
      </c>
      <c r="V40" s="172">
        <f>AG3</f>
        <v>0</v>
      </c>
      <c r="W40" s="172">
        <f>AG4</f>
        <v>0</v>
      </c>
      <c r="X40" s="172">
        <f>AG5</f>
        <v>0</v>
      </c>
      <c r="Y40" s="172">
        <f>AG6</f>
        <v>0</v>
      </c>
      <c r="Z40" s="172">
        <f>AG7</f>
        <v>0</v>
      </c>
      <c r="AA40" s="172">
        <f>AG8</f>
        <v>0</v>
      </c>
      <c r="AB40" s="172">
        <f>AG9</f>
        <v>0</v>
      </c>
      <c r="AC40" s="172">
        <f>AG10</f>
        <v>0</v>
      </c>
      <c r="AD40" s="172">
        <f>AG11</f>
        <v>0</v>
      </c>
      <c r="AE40" s="172">
        <f>AG12</f>
        <v>0</v>
      </c>
      <c r="AF40" s="172">
        <f>AG13</f>
        <v>0</v>
      </c>
      <c r="AG40" s="173">
        <f>AG14</f>
        <v>0</v>
      </c>
      <c r="AH40" s="105"/>
      <c r="AI40" s="106"/>
      <c r="AJ40" s="105"/>
      <c r="AK40" s="107"/>
    </row>
    <row r="41" spans="6:37" ht="12.75" x14ac:dyDescent="0.2">
      <c r="F41" s="170" t="s">
        <v>34</v>
      </c>
      <c r="G41" s="171" t="e" cm="1">
        <f t="array" aca="1" ref="G41" ca="1">IF(
   INDEX($H$2:$Z$14, COLUMN(A3), 2*ROW(A3)-1)&gt;0,
   INDEX($H$2:$Z$14, COLUMN(A3), 2*ROW(A3)-1),
   NA()
)</f>
        <v>#N/A</v>
      </c>
      <c r="H41" s="172" t="e" cm="1">
        <f t="array" aca="1" ref="H41" ca="1">IF(
   INDEX($H$2:$Z$14, COLUMN(B3), 2*ROW(B3)-1)&gt;0,
   INDEX($H$2:$Z$14, COLUMN(B3), 2*ROW(B3)-1),
   NA()
)</f>
        <v>#N/A</v>
      </c>
      <c r="I41" s="172" t="e" cm="1">
        <f t="array" aca="1" ref="I41" ca="1">IF(
   INDEX($H$2:$Z$14, COLUMN(C3), 2*ROW(C3)-1)&gt;0,
   INDEX($H$2:$Z$14, COLUMN(C3), 2*ROW(C3)-1),
   NA()
)</f>
        <v>#N/A</v>
      </c>
      <c r="J41" s="172" t="e" cm="1">
        <f t="array" aca="1" ref="J41" ca="1">IF(
   INDEX($H$2:$Z$14, COLUMN(D3), 2*ROW(D3)-1)&gt;0,
   INDEX($H$2:$Z$14, COLUMN(D3), 2*ROW(D3)-1),
   NA()
)</f>
        <v>#N/A</v>
      </c>
      <c r="K41" s="172" t="e" cm="1">
        <f t="array" aca="1" ref="K41" ca="1">IF(
   INDEX($H$2:$Z$14, COLUMN(E3), 2*ROW(E3)-1)&gt;0,
   INDEX($H$2:$Z$14, COLUMN(E3), 2*ROW(E3)-1),
   NA()
)</f>
        <v>#N/A</v>
      </c>
      <c r="L41" s="172" t="e" cm="1">
        <f t="array" aca="1" ref="L41" ca="1">IF(
   INDEX($H$2:$Z$14, COLUMN(F3), 2*ROW(F3)-1)&gt;0,
   INDEX($H$2:$Z$14, COLUMN(F3), 2*ROW(F3)-1),
   NA()
)</f>
        <v>#N/A</v>
      </c>
      <c r="M41" s="172" t="e" cm="1">
        <f t="array" aca="1" ref="M41" ca="1">IF(
   INDEX($H$2:$Z$14, COLUMN(G3), 2*ROW(G3)-1)&gt;0,
   INDEX($H$2:$Z$14, COLUMN(G3), 2*ROW(G3)-1),
   NA()
)</f>
        <v>#N/A</v>
      </c>
      <c r="N41" s="172" t="e" cm="1">
        <f t="array" aca="1" ref="N41" ca="1">IF(
   INDEX($H$2:$Z$14, COLUMN(H3), 2*ROW(H3)-1)&gt;0,
   INDEX($H$2:$Z$14, COLUMN(H3), 2*ROW(H3)-1),
   NA()
)</f>
        <v>#N/A</v>
      </c>
      <c r="O41" s="172" t="e" cm="1">
        <f t="array" aca="1" ref="O41" ca="1">IF(
   INDEX($H$2:$Z$14, COLUMN(I3), 2*ROW(I3)-1)&gt;0,
   INDEX($H$2:$Z$14, COLUMN(I3), 2*ROW(I3)-1),
   NA()
)</f>
        <v>#N/A</v>
      </c>
      <c r="P41" s="172" t="e" cm="1">
        <f t="array" aca="1" ref="P41" ca="1">IF(
   INDEX($H$2:$Z$14, COLUMN(J3), 2*ROW(J3)-1)&gt;0,
   INDEX($H$2:$Z$14, COLUMN(J3), 2*ROW(J3)-1),
   NA()
)</f>
        <v>#N/A</v>
      </c>
      <c r="Q41" s="172" t="e" cm="1">
        <f t="array" aca="1" ref="Q41" ca="1">IF(
   INDEX($H$2:$Z$14, COLUMN(K3), 2*ROW(K3)-1)&gt;0,
   INDEX($H$2:$Z$14, COLUMN(K3), 2*ROW(K3)-1),
   NA()
)</f>
        <v>#N/A</v>
      </c>
      <c r="R41" s="172" t="e" cm="1">
        <f t="array" aca="1" ref="R41" ca="1">IF(
   INDEX($H$2:$Z$14, COLUMN(L3), 2*ROW(L3)-1)&gt;0,
   INDEX($H$2:$Z$14, COLUMN(L3), 2*ROW(L3)-1),
   NA()
)</f>
        <v>#N/A</v>
      </c>
      <c r="S41" s="173" t="e" cm="1">
        <f t="array" aca="1" ref="S41" ca="1">IF(
   INDEX($H$2:$Z$14, COLUMN(M3), 2*ROW(M3)-1)&gt;0,
   INDEX($H$2:$Z$14, COLUMN(M3), 2*ROW(M3)-1),
   NA()
)</f>
        <v>#N/A</v>
      </c>
      <c r="T41" s="174" t="s">
        <v>34</v>
      </c>
      <c r="U41" s="171">
        <f>AH2</f>
        <v>0</v>
      </c>
      <c r="V41" s="172">
        <f>AH3</f>
        <v>0</v>
      </c>
      <c r="W41" s="172">
        <f>AH4</f>
        <v>0</v>
      </c>
      <c r="X41" s="172">
        <f>AH5</f>
        <v>0</v>
      </c>
      <c r="Y41" s="172">
        <f>AH6</f>
        <v>0</v>
      </c>
      <c r="Z41" s="172">
        <f>AH7</f>
        <v>0</v>
      </c>
      <c r="AA41" s="172">
        <f>AH8</f>
        <v>0</v>
      </c>
      <c r="AB41" s="172">
        <f>AH9</f>
        <v>0</v>
      </c>
      <c r="AC41" s="172">
        <f>AH10</f>
        <v>0</v>
      </c>
      <c r="AD41" s="172">
        <f>AH11</f>
        <v>0</v>
      </c>
      <c r="AE41" s="172">
        <f>AH12</f>
        <v>0</v>
      </c>
      <c r="AF41" s="172">
        <f>AH13</f>
        <v>0</v>
      </c>
      <c r="AG41" s="173">
        <f>AH14</f>
        <v>0</v>
      </c>
      <c r="AH41" s="105"/>
      <c r="AI41" s="106"/>
      <c r="AJ41" s="105"/>
      <c r="AK41" s="107"/>
    </row>
    <row r="42" spans="6:37" ht="12.75" x14ac:dyDescent="0.2">
      <c r="F42" s="170" t="s">
        <v>35</v>
      </c>
      <c r="G42" s="171" t="e" cm="1">
        <f t="array" aca="1" ref="G42" ca="1">IF(
   INDEX($H$2:$Z$14, COLUMN(A4), 2*ROW(A4)-1)&gt;0,
   INDEX($H$2:$Z$14, COLUMN(A4), 2*ROW(A4)-1),
   NA()
)</f>
        <v>#N/A</v>
      </c>
      <c r="H42" s="172" t="e" cm="1">
        <f t="array" aca="1" ref="H42" ca="1">IF(
   INDEX($H$2:$Z$14, COLUMN(B4), 2*ROW(B4)-1)&gt;0,
   INDEX($H$2:$Z$14, COLUMN(B4), 2*ROW(B4)-1),
   NA()
)</f>
        <v>#N/A</v>
      </c>
      <c r="I42" s="172" t="e" cm="1">
        <f t="array" aca="1" ref="I42" ca="1">IF(
   INDEX($H$2:$Z$14, COLUMN(C4), 2*ROW(C4)-1)&gt;0,
   INDEX($H$2:$Z$14, COLUMN(C4), 2*ROW(C4)-1),
   NA()
)</f>
        <v>#N/A</v>
      </c>
      <c r="J42" s="172" t="e" cm="1">
        <f t="array" aca="1" ref="J42" ca="1">IF(
   INDEX($H$2:$Z$14, COLUMN(D4), 2*ROW(D4)-1)&gt;0,
   INDEX($H$2:$Z$14, COLUMN(D4), 2*ROW(D4)-1),
   NA()
)</f>
        <v>#N/A</v>
      </c>
      <c r="K42" s="172" t="e" cm="1">
        <f t="array" aca="1" ref="K42" ca="1">IF(
   INDEX($H$2:$Z$14, COLUMN(E4), 2*ROW(E4)-1)&gt;0,
   INDEX($H$2:$Z$14, COLUMN(E4), 2*ROW(E4)-1),
   NA()
)</f>
        <v>#N/A</v>
      </c>
      <c r="L42" s="172" t="e" cm="1">
        <f t="array" aca="1" ref="L42" ca="1">IF(
   INDEX($H$2:$Z$14, COLUMN(F4), 2*ROW(F4)-1)&gt;0,
   INDEX($H$2:$Z$14, COLUMN(F4), 2*ROW(F4)-1),
   NA()
)</f>
        <v>#N/A</v>
      </c>
      <c r="M42" s="172" t="e" cm="1">
        <f t="array" aca="1" ref="M42" ca="1">IF(
   INDEX($H$2:$Z$14, COLUMN(G4), 2*ROW(G4)-1)&gt;0,
   INDEX($H$2:$Z$14, COLUMN(G4), 2*ROW(G4)-1),
   NA()
)</f>
        <v>#N/A</v>
      </c>
      <c r="N42" s="172" t="e" cm="1">
        <f t="array" aca="1" ref="N42" ca="1">IF(
   INDEX($H$2:$Z$14, COLUMN(H4), 2*ROW(H4)-1)&gt;0,
   INDEX($H$2:$Z$14, COLUMN(H4), 2*ROW(H4)-1),
   NA()
)</f>
        <v>#N/A</v>
      </c>
      <c r="O42" s="172" t="e" cm="1">
        <f t="array" aca="1" ref="O42" ca="1">IF(
   INDEX($H$2:$Z$14, COLUMN(I4), 2*ROW(I4)-1)&gt;0,
   INDEX($H$2:$Z$14, COLUMN(I4), 2*ROW(I4)-1),
   NA()
)</f>
        <v>#N/A</v>
      </c>
      <c r="P42" s="172" t="e" cm="1">
        <f t="array" aca="1" ref="P42" ca="1">IF(
   INDEX($H$2:$Z$14, COLUMN(J4), 2*ROW(J4)-1)&gt;0,
   INDEX($H$2:$Z$14, COLUMN(J4), 2*ROW(J4)-1),
   NA()
)</f>
        <v>#N/A</v>
      </c>
      <c r="Q42" s="172" t="e" cm="1">
        <f t="array" aca="1" ref="Q42" ca="1">IF(
   INDEX($H$2:$Z$14, COLUMN(K4), 2*ROW(K4)-1)&gt;0,
   INDEX($H$2:$Z$14, COLUMN(K4), 2*ROW(K4)-1),
   NA()
)</f>
        <v>#N/A</v>
      </c>
      <c r="R42" s="172" t="e" cm="1">
        <f t="array" aca="1" ref="R42" ca="1">IF(
   INDEX($H$2:$Z$14, COLUMN(L4), 2*ROW(L4)-1)&gt;0,
   INDEX($H$2:$Z$14, COLUMN(L4), 2*ROW(L4)-1),
   NA()
)</f>
        <v>#N/A</v>
      </c>
      <c r="S42" s="173" t="e" cm="1">
        <f t="array" aca="1" ref="S42" ca="1">IF(
   INDEX($H$2:$Z$14, COLUMN(M4), 2*ROW(M4)-1)&gt;0,
   INDEX($H$2:$Z$14, COLUMN(M4), 2*ROW(M4)-1),
   NA()
)</f>
        <v>#N/A</v>
      </c>
      <c r="T42" s="174" t="s">
        <v>35</v>
      </c>
      <c r="U42" s="171">
        <f>AI2</f>
        <v>0</v>
      </c>
      <c r="V42" s="172">
        <f>AI3</f>
        <v>0</v>
      </c>
      <c r="W42" s="172">
        <f>AI4</f>
        <v>0</v>
      </c>
      <c r="X42" s="172">
        <f>AI5</f>
        <v>0</v>
      </c>
      <c r="Y42" s="172">
        <f>AI6</f>
        <v>0</v>
      </c>
      <c r="Z42" s="172">
        <f>AI7</f>
        <v>0</v>
      </c>
      <c r="AA42" s="172">
        <f>AI8</f>
        <v>0</v>
      </c>
      <c r="AB42" s="172">
        <f>AI9</f>
        <v>0</v>
      </c>
      <c r="AC42" s="172">
        <f>AI10</f>
        <v>0</v>
      </c>
      <c r="AD42" s="172">
        <f>AI11</f>
        <v>0</v>
      </c>
      <c r="AE42" s="172">
        <f>AI12</f>
        <v>0</v>
      </c>
      <c r="AF42" s="172">
        <f>AI13</f>
        <v>0</v>
      </c>
      <c r="AG42" s="173">
        <f>AI14</f>
        <v>0</v>
      </c>
      <c r="AH42" s="105"/>
      <c r="AI42" s="106"/>
      <c r="AJ42" s="105"/>
      <c r="AK42" s="107"/>
    </row>
    <row r="43" spans="6:37" ht="12.75" x14ac:dyDescent="0.2">
      <c r="F43" s="170" t="s">
        <v>36</v>
      </c>
      <c r="G43" s="171" t="e" cm="1">
        <f t="array" aca="1" ref="G43" ca="1">IF(
   INDEX($H$2:$Z$14, COLUMN(A5), 2*ROW(A5)-1)&gt;0,
   INDEX($H$2:$Z$14, COLUMN(A5), 2*ROW(A5)-1),
   NA()
)</f>
        <v>#N/A</v>
      </c>
      <c r="H43" s="172" t="e" cm="1">
        <f t="array" aca="1" ref="H43" ca="1">IF(
   INDEX($H$2:$Z$14, COLUMN(B5), 2*ROW(B5)-1)&gt;0,
   INDEX($H$2:$Z$14, COLUMN(B5), 2*ROW(B5)-1),
   NA()
)</f>
        <v>#N/A</v>
      </c>
      <c r="I43" s="172" t="e" cm="1">
        <f t="array" aca="1" ref="I43" ca="1">IF(
   INDEX($H$2:$Z$14, COLUMN(C5), 2*ROW(C5)-1)&gt;0,
   INDEX($H$2:$Z$14, COLUMN(C5), 2*ROW(C5)-1),
   NA()
)</f>
        <v>#N/A</v>
      </c>
      <c r="J43" s="172" t="e" cm="1">
        <f t="array" aca="1" ref="J43" ca="1">IF(
   INDEX($H$2:$Z$14, COLUMN(D5), 2*ROW(D5)-1)&gt;0,
   INDEX($H$2:$Z$14, COLUMN(D5), 2*ROW(D5)-1),
   NA()
)</f>
        <v>#N/A</v>
      </c>
      <c r="K43" s="172" t="e" cm="1">
        <f t="array" aca="1" ref="K43" ca="1">IF(
   INDEX($H$2:$Z$14, COLUMN(E5), 2*ROW(E5)-1)&gt;0,
   INDEX($H$2:$Z$14, COLUMN(E5), 2*ROW(E5)-1),
   NA()
)</f>
        <v>#N/A</v>
      </c>
      <c r="L43" s="172" t="e" cm="1">
        <f t="array" aca="1" ref="L43" ca="1">IF(
   INDEX($H$2:$Z$14, COLUMN(F5), 2*ROW(F5)-1)&gt;0,
   INDEX($H$2:$Z$14, COLUMN(F5), 2*ROW(F5)-1),
   NA()
)</f>
        <v>#N/A</v>
      </c>
      <c r="M43" s="172" t="e" cm="1">
        <f t="array" aca="1" ref="M43" ca="1">IF(
   INDEX($H$2:$Z$14, COLUMN(G5), 2*ROW(G5)-1)&gt;0,
   INDEX($H$2:$Z$14, COLUMN(G5), 2*ROW(G5)-1),
   NA()
)</f>
        <v>#N/A</v>
      </c>
      <c r="N43" s="172" t="e" cm="1">
        <f t="array" aca="1" ref="N43" ca="1">IF(
   INDEX($H$2:$Z$14, COLUMN(H5), 2*ROW(H5)-1)&gt;0,
   INDEX($H$2:$Z$14, COLUMN(H5), 2*ROW(H5)-1),
   NA()
)</f>
        <v>#N/A</v>
      </c>
      <c r="O43" s="172" t="e" cm="1">
        <f t="array" aca="1" ref="O43" ca="1">IF(
   INDEX($H$2:$Z$14, COLUMN(I5), 2*ROW(I5)-1)&gt;0,
   INDEX($H$2:$Z$14, COLUMN(I5), 2*ROW(I5)-1),
   NA()
)</f>
        <v>#N/A</v>
      </c>
      <c r="P43" s="172" t="e" cm="1">
        <f t="array" aca="1" ref="P43" ca="1">IF(
   INDEX($H$2:$Z$14, COLUMN(J5), 2*ROW(J5)-1)&gt;0,
   INDEX($H$2:$Z$14, COLUMN(J5), 2*ROW(J5)-1),
   NA()
)</f>
        <v>#N/A</v>
      </c>
      <c r="Q43" s="172" t="e" cm="1">
        <f t="array" aca="1" ref="Q43" ca="1">IF(
   INDEX($H$2:$Z$14, COLUMN(K5), 2*ROW(K5)-1)&gt;0,
   INDEX($H$2:$Z$14, COLUMN(K5), 2*ROW(K5)-1),
   NA()
)</f>
        <v>#N/A</v>
      </c>
      <c r="R43" s="172" t="e" cm="1">
        <f t="array" aca="1" ref="R43" ca="1">IF(
   INDEX($H$2:$Z$14, COLUMN(L5), 2*ROW(L5)-1)&gt;0,
   INDEX($H$2:$Z$14, COLUMN(L5), 2*ROW(L5)-1),
   NA()
)</f>
        <v>#N/A</v>
      </c>
      <c r="S43" s="173" t="e" cm="1">
        <f t="array" aca="1" ref="S43" ca="1">IF(
   INDEX($H$2:$Z$14, COLUMN(M5), 2*ROW(M5)-1)&gt;0,
   INDEX($H$2:$Z$14, COLUMN(M5), 2*ROW(M5)-1),
   NA()
)</f>
        <v>#N/A</v>
      </c>
      <c r="T43" s="174" t="s">
        <v>36</v>
      </c>
      <c r="U43" s="171">
        <f>AJ2</f>
        <v>0</v>
      </c>
      <c r="V43" s="172">
        <f>AJ3</f>
        <v>0</v>
      </c>
      <c r="W43" s="172">
        <f>AJ4</f>
        <v>0</v>
      </c>
      <c r="X43" s="172">
        <f>AJ5</f>
        <v>0</v>
      </c>
      <c r="Y43" s="172">
        <f>AJ6</f>
        <v>0</v>
      </c>
      <c r="Z43" s="172">
        <f>AJ7</f>
        <v>0</v>
      </c>
      <c r="AA43" s="172">
        <f>AJ8</f>
        <v>0</v>
      </c>
      <c r="AB43" s="172">
        <f>AJ9</f>
        <v>0</v>
      </c>
      <c r="AC43" s="172">
        <f>AJ10</f>
        <v>0</v>
      </c>
      <c r="AD43" s="172">
        <f>AJ11</f>
        <v>0</v>
      </c>
      <c r="AE43" s="172">
        <f>AJ12</f>
        <v>0</v>
      </c>
      <c r="AF43" s="172">
        <f>AJ13</f>
        <v>0</v>
      </c>
      <c r="AG43" s="173">
        <f>AJ14</f>
        <v>0</v>
      </c>
      <c r="AH43" s="105"/>
      <c r="AI43" s="106"/>
      <c r="AJ43" s="105"/>
      <c r="AK43" s="107"/>
    </row>
    <row r="44" spans="6:37" ht="12.75" x14ac:dyDescent="0.2">
      <c r="F44" s="170" t="s">
        <v>37</v>
      </c>
      <c r="G44" s="171" t="e" cm="1">
        <f t="array" aca="1" ref="G44" ca="1">IF(
   INDEX($H$2:$Z$14, COLUMN(A6), 2*ROW(A6)-1)&gt;0,
   INDEX($H$2:$Z$14, COLUMN(A6), 2*ROW(A6)-1),
   NA()
)</f>
        <v>#N/A</v>
      </c>
      <c r="H44" s="172" t="e" cm="1">
        <f t="array" aca="1" ref="H44" ca="1">IF(
   INDEX($H$2:$Z$14, COLUMN(B6), 2*ROW(B6)-1)&gt;0,
   INDEX($H$2:$Z$14, COLUMN(B6), 2*ROW(B6)-1),
   NA()
)</f>
        <v>#N/A</v>
      </c>
      <c r="I44" s="172" t="e" cm="1">
        <f t="array" aca="1" ref="I44" ca="1">IF(
   INDEX($H$2:$Z$14, COLUMN(C6), 2*ROW(C6)-1)&gt;0,
   INDEX($H$2:$Z$14, COLUMN(C6), 2*ROW(C6)-1),
   NA()
)</f>
        <v>#N/A</v>
      </c>
      <c r="J44" s="172" t="e" cm="1">
        <f t="array" aca="1" ref="J44" ca="1">IF(
   INDEX($H$2:$Z$14, COLUMN(D6), 2*ROW(D6)-1)&gt;0,
   INDEX($H$2:$Z$14, COLUMN(D6), 2*ROW(D6)-1),
   NA()
)</f>
        <v>#N/A</v>
      </c>
      <c r="K44" s="172" t="e" cm="1">
        <f t="array" aca="1" ref="K44" ca="1">IF(
   INDEX($H$2:$Z$14, COLUMN(E6), 2*ROW(E6)-1)&gt;0,
   INDEX($H$2:$Z$14, COLUMN(E6), 2*ROW(E6)-1),
   NA()
)</f>
        <v>#N/A</v>
      </c>
      <c r="L44" s="172" t="e" cm="1">
        <f t="array" aca="1" ref="L44" ca="1">IF(
   INDEX($H$2:$Z$14, COLUMN(F6), 2*ROW(F6)-1)&gt;0,
   INDEX($H$2:$Z$14, COLUMN(F6), 2*ROW(F6)-1),
   NA()
)</f>
        <v>#N/A</v>
      </c>
      <c r="M44" s="172" t="e" cm="1">
        <f t="array" aca="1" ref="M44" ca="1">IF(
   INDEX($H$2:$Z$14, COLUMN(G6), 2*ROW(G6)-1)&gt;0,
   INDEX($H$2:$Z$14, COLUMN(G6), 2*ROW(G6)-1),
   NA()
)</f>
        <v>#N/A</v>
      </c>
      <c r="N44" s="172" t="e" cm="1">
        <f t="array" aca="1" ref="N44" ca="1">IF(
   INDEX($H$2:$Z$14, COLUMN(H6), 2*ROW(H6)-1)&gt;0,
   INDEX($H$2:$Z$14, COLUMN(H6), 2*ROW(H6)-1),
   NA()
)</f>
        <v>#N/A</v>
      </c>
      <c r="O44" s="172" t="e" cm="1">
        <f t="array" aca="1" ref="O44" ca="1">IF(
   INDEX($H$2:$Z$14, COLUMN(I6), 2*ROW(I6)-1)&gt;0,
   INDEX($H$2:$Z$14, COLUMN(I6), 2*ROW(I6)-1),
   NA()
)</f>
        <v>#N/A</v>
      </c>
      <c r="P44" s="172" t="e" cm="1">
        <f t="array" aca="1" ref="P44" ca="1">IF(
   INDEX($H$2:$Z$14, COLUMN(J6), 2*ROW(J6)-1)&gt;0,
   INDEX($H$2:$Z$14, COLUMN(J6), 2*ROW(J6)-1),
   NA()
)</f>
        <v>#N/A</v>
      </c>
      <c r="Q44" s="172" t="e" cm="1">
        <f t="array" aca="1" ref="Q44" ca="1">IF(
   INDEX($H$2:$Z$14, COLUMN(K6), 2*ROW(K6)-1)&gt;0,
   INDEX($H$2:$Z$14, COLUMN(K6), 2*ROW(K6)-1),
   NA()
)</f>
        <v>#N/A</v>
      </c>
      <c r="R44" s="172" t="e" cm="1">
        <f t="array" aca="1" ref="R44" ca="1">IF(
   INDEX($H$2:$Z$14, COLUMN(L6), 2*ROW(L6)-1)&gt;0,
   INDEX($H$2:$Z$14, COLUMN(L6), 2*ROW(L6)-1),
   NA()
)</f>
        <v>#N/A</v>
      </c>
      <c r="S44" s="173" t="e" cm="1">
        <f t="array" aca="1" ref="S44" ca="1">IF(
   INDEX($H$2:$Z$14, COLUMN(M6), 2*ROW(M6)-1)&gt;0,
   INDEX($H$2:$Z$14, COLUMN(M6), 2*ROW(M6)-1),
   NA()
)</f>
        <v>#N/A</v>
      </c>
      <c r="T44" s="174" t="s">
        <v>37</v>
      </c>
      <c r="U44" s="171">
        <f>AK2</f>
        <v>0</v>
      </c>
      <c r="V44" s="172">
        <f>AK3</f>
        <v>0</v>
      </c>
      <c r="W44" s="172">
        <f>AK4</f>
        <v>0</v>
      </c>
      <c r="X44" s="172">
        <f>AK5</f>
        <v>0</v>
      </c>
      <c r="Y44" s="172">
        <f>AK6</f>
        <v>0</v>
      </c>
      <c r="Z44" s="172">
        <f>AK7</f>
        <v>0</v>
      </c>
      <c r="AA44" s="172">
        <f>AK8</f>
        <v>0</v>
      </c>
      <c r="AB44" s="172">
        <f>AK9</f>
        <v>0</v>
      </c>
      <c r="AC44" s="172">
        <f>AK10</f>
        <v>0</v>
      </c>
      <c r="AD44" s="172">
        <f>AK11</f>
        <v>0</v>
      </c>
      <c r="AE44" s="172">
        <f>AK12</f>
        <v>0</v>
      </c>
      <c r="AF44" s="172">
        <f>AK13</f>
        <v>0</v>
      </c>
      <c r="AG44" s="173">
        <f>AK14</f>
        <v>0</v>
      </c>
      <c r="AH44" s="105"/>
      <c r="AI44" s="106"/>
      <c r="AJ44" s="105"/>
      <c r="AK44" s="107"/>
    </row>
    <row r="45" spans="6:37" ht="12.75" x14ac:dyDescent="0.2">
      <c r="F45" s="170" t="s">
        <v>38</v>
      </c>
      <c r="G45" s="171" t="e" cm="1">
        <f t="array" aca="1" ref="G45" ca="1">IF(
   INDEX($H$2:$Z$14, COLUMN(A7), 2*ROW(A7)-1)&gt;0,
   INDEX($H$2:$Z$14, COLUMN(A7), 2*ROW(A7)-1),
   NA()
)</f>
        <v>#N/A</v>
      </c>
      <c r="H45" s="172" t="e" cm="1">
        <f t="array" aca="1" ref="H45" ca="1">IF(
   INDEX($H$2:$Z$14, COLUMN(B7), 2*ROW(B7)-1)&gt;0,
   INDEX($H$2:$Z$14, COLUMN(B7), 2*ROW(B7)-1),
   NA()
)</f>
        <v>#N/A</v>
      </c>
      <c r="I45" s="172" t="e" cm="1">
        <f t="array" aca="1" ref="I45" ca="1">IF(
   INDEX($H$2:$Z$14, COLUMN(C7), 2*ROW(C7)-1)&gt;0,
   INDEX($H$2:$Z$14, COLUMN(C7), 2*ROW(C7)-1),
   NA()
)</f>
        <v>#N/A</v>
      </c>
      <c r="J45" s="172" t="e" cm="1">
        <f t="array" aca="1" ref="J45" ca="1">IF(
   INDEX($H$2:$Z$14, COLUMN(D7), 2*ROW(D7)-1)&gt;0,
   INDEX($H$2:$Z$14, COLUMN(D7), 2*ROW(D7)-1),
   NA()
)</f>
        <v>#N/A</v>
      </c>
      <c r="K45" s="172" t="e" cm="1">
        <f t="array" aca="1" ref="K45" ca="1">IF(
   INDEX($H$2:$Z$14, COLUMN(E7), 2*ROW(E7)-1)&gt;0,
   INDEX($H$2:$Z$14, COLUMN(E7), 2*ROW(E7)-1),
   NA()
)</f>
        <v>#N/A</v>
      </c>
      <c r="L45" s="172" t="e" cm="1">
        <f t="array" aca="1" ref="L45" ca="1">IF(
   INDEX($H$2:$Z$14, COLUMN(F7), 2*ROW(F7)-1)&gt;0,
   INDEX($H$2:$Z$14, COLUMN(F7), 2*ROW(F7)-1),
   NA()
)</f>
        <v>#N/A</v>
      </c>
      <c r="M45" s="172" t="e" cm="1">
        <f t="array" aca="1" ref="M45" ca="1">IF(
   INDEX($H$2:$Z$14, COLUMN(G7), 2*ROW(G7)-1)&gt;0,
   INDEX($H$2:$Z$14, COLUMN(G7), 2*ROW(G7)-1),
   NA()
)</f>
        <v>#N/A</v>
      </c>
      <c r="N45" s="172" t="e" cm="1">
        <f t="array" aca="1" ref="N45" ca="1">IF(
   INDEX($H$2:$Z$14, COLUMN(H7), 2*ROW(H7)-1)&gt;0,
   INDEX($H$2:$Z$14, COLUMN(H7), 2*ROW(H7)-1),
   NA()
)</f>
        <v>#N/A</v>
      </c>
      <c r="O45" s="172" t="e" cm="1">
        <f t="array" aca="1" ref="O45" ca="1">IF(
   INDEX($H$2:$Z$14, COLUMN(I7), 2*ROW(I7)-1)&gt;0,
   INDEX($H$2:$Z$14, COLUMN(I7), 2*ROW(I7)-1),
   NA()
)</f>
        <v>#N/A</v>
      </c>
      <c r="P45" s="172" t="e" cm="1">
        <f t="array" aca="1" ref="P45" ca="1">IF(
   INDEX($H$2:$Z$14, COLUMN(J7), 2*ROW(J7)-1)&gt;0,
   INDEX($H$2:$Z$14, COLUMN(J7), 2*ROW(J7)-1),
   NA()
)</f>
        <v>#N/A</v>
      </c>
      <c r="Q45" s="172" t="e" cm="1">
        <f t="array" aca="1" ref="Q45" ca="1">IF(
   INDEX($H$2:$Z$14, COLUMN(K7), 2*ROW(K7)-1)&gt;0,
   INDEX($H$2:$Z$14, COLUMN(K7), 2*ROW(K7)-1),
   NA()
)</f>
        <v>#N/A</v>
      </c>
      <c r="R45" s="172" t="e" cm="1">
        <f t="array" aca="1" ref="R45" ca="1">IF(
   INDEX($H$2:$Z$14, COLUMN(L7), 2*ROW(L7)-1)&gt;0,
   INDEX($H$2:$Z$14, COLUMN(L7), 2*ROW(L7)-1),
   NA()
)</f>
        <v>#N/A</v>
      </c>
      <c r="S45" s="173" t="e" cm="1">
        <f t="array" aca="1" ref="S45" ca="1">IF(
   INDEX($H$2:$Z$14, COLUMN(M7), 2*ROW(M7)-1)&gt;0,
   INDEX($H$2:$Z$14, COLUMN(M7), 2*ROW(M7)-1),
   NA()
)</f>
        <v>#N/A</v>
      </c>
      <c r="T45" s="174" t="s">
        <v>38</v>
      </c>
      <c r="U45" s="171">
        <f>AL2</f>
        <v>0</v>
      </c>
      <c r="V45" s="172">
        <f>AL3</f>
        <v>0</v>
      </c>
      <c r="W45" s="172">
        <f>AL4</f>
        <v>0</v>
      </c>
      <c r="X45" s="172">
        <f>AL5</f>
        <v>0</v>
      </c>
      <c r="Y45" s="172">
        <f>AL6</f>
        <v>0</v>
      </c>
      <c r="Z45" s="172">
        <f>AL7</f>
        <v>0</v>
      </c>
      <c r="AA45" s="172">
        <f>AL8</f>
        <v>0</v>
      </c>
      <c r="AB45" s="172">
        <f>AL9</f>
        <v>0</v>
      </c>
      <c r="AC45" s="172">
        <f>AL10</f>
        <v>0</v>
      </c>
      <c r="AD45" s="172">
        <f>AL11</f>
        <v>0</v>
      </c>
      <c r="AE45" s="172">
        <f>AL12</f>
        <v>0</v>
      </c>
      <c r="AF45" s="172">
        <f>AL13</f>
        <v>0</v>
      </c>
      <c r="AG45" s="173">
        <f>AL14</f>
        <v>0</v>
      </c>
      <c r="AH45" s="105"/>
      <c r="AI45" s="106"/>
      <c r="AJ45" s="105"/>
      <c r="AK45" s="107"/>
    </row>
    <row r="46" spans="6:37" ht="12.75" x14ac:dyDescent="0.2">
      <c r="F46" s="170" t="s">
        <v>39</v>
      </c>
      <c r="G46" s="171" t="e" cm="1">
        <f t="array" aca="1" ref="G46" ca="1">IF(
   INDEX($H$2:$Z$14, COLUMN(A8), 2*ROW(A8)-1)&gt;0,
   INDEX($H$2:$Z$14, COLUMN(A8), 2*ROW(A8)-1),
   NA()
)</f>
        <v>#N/A</v>
      </c>
      <c r="H46" s="172" t="e" cm="1">
        <f t="array" aca="1" ref="H46" ca="1">IF(
   INDEX($H$2:$Z$14, COLUMN(B8), 2*ROW(B8)-1)&gt;0,
   INDEX($H$2:$Z$14, COLUMN(B8), 2*ROW(B8)-1),
   NA()
)</f>
        <v>#N/A</v>
      </c>
      <c r="I46" s="172" t="e" cm="1">
        <f t="array" aca="1" ref="I46" ca="1">IF(
   INDEX($H$2:$Z$14, COLUMN(C8), 2*ROW(C8)-1)&gt;0,
   INDEX($H$2:$Z$14, COLUMN(C8), 2*ROW(C8)-1),
   NA()
)</f>
        <v>#N/A</v>
      </c>
      <c r="J46" s="172" t="e" cm="1">
        <f t="array" aca="1" ref="J46" ca="1">IF(
   INDEX($H$2:$Z$14, COLUMN(D8), 2*ROW(D8)-1)&gt;0,
   INDEX($H$2:$Z$14, COLUMN(D8), 2*ROW(D8)-1),
   NA()
)</f>
        <v>#N/A</v>
      </c>
      <c r="K46" s="172" t="e" cm="1">
        <f t="array" aca="1" ref="K46" ca="1">IF(
   INDEX($H$2:$Z$14, COLUMN(E8), 2*ROW(E8)-1)&gt;0,
   INDEX($H$2:$Z$14, COLUMN(E8), 2*ROW(E8)-1),
   NA()
)</f>
        <v>#N/A</v>
      </c>
      <c r="L46" s="172" t="e" cm="1">
        <f t="array" aca="1" ref="L46" ca="1">IF(
   INDEX($H$2:$Z$14, COLUMN(F8), 2*ROW(F8)-1)&gt;0,
   INDEX($H$2:$Z$14, COLUMN(F8), 2*ROW(F8)-1),
   NA()
)</f>
        <v>#N/A</v>
      </c>
      <c r="M46" s="172" t="e" cm="1">
        <f t="array" aca="1" ref="M46" ca="1">IF(
   INDEX($H$2:$Z$14, COLUMN(G8), 2*ROW(G8)-1)&gt;0,
   INDEX($H$2:$Z$14, COLUMN(G8), 2*ROW(G8)-1),
   NA()
)</f>
        <v>#N/A</v>
      </c>
      <c r="N46" s="172" t="e" cm="1">
        <f t="array" aca="1" ref="N46" ca="1">IF(
   INDEX($H$2:$Z$14, COLUMN(H8), 2*ROW(H8)-1)&gt;0,
   INDEX($H$2:$Z$14, COLUMN(H8), 2*ROW(H8)-1),
   NA()
)</f>
        <v>#N/A</v>
      </c>
      <c r="O46" s="172" t="e" cm="1">
        <f t="array" aca="1" ref="O46" ca="1">IF(
   INDEX($H$2:$Z$14, COLUMN(I8), 2*ROW(I8)-1)&gt;0,
   INDEX($H$2:$Z$14, COLUMN(I8), 2*ROW(I8)-1),
   NA()
)</f>
        <v>#N/A</v>
      </c>
      <c r="P46" s="172" t="e" cm="1">
        <f t="array" aca="1" ref="P46" ca="1">IF(
   INDEX($H$2:$Z$14, COLUMN(J8), 2*ROW(J8)-1)&gt;0,
   INDEX($H$2:$Z$14, COLUMN(J8), 2*ROW(J8)-1),
   NA()
)</f>
        <v>#N/A</v>
      </c>
      <c r="Q46" s="172" t="e" cm="1">
        <f t="array" aca="1" ref="Q46" ca="1">IF(
   INDEX($H$2:$Z$14, COLUMN(K8), 2*ROW(K8)-1)&gt;0,
   INDEX($H$2:$Z$14, COLUMN(K8), 2*ROW(K8)-1),
   NA()
)</f>
        <v>#N/A</v>
      </c>
      <c r="R46" s="172" t="e" cm="1">
        <f t="array" aca="1" ref="R46" ca="1">IF(
   INDEX($H$2:$Z$14, COLUMN(L8), 2*ROW(L8)-1)&gt;0,
   INDEX($H$2:$Z$14, COLUMN(L8), 2*ROW(L8)-1),
   NA()
)</f>
        <v>#N/A</v>
      </c>
      <c r="S46" s="173" t="e" cm="1">
        <f t="array" aca="1" ref="S46" ca="1">IF(
   INDEX($H$2:$Z$14, COLUMN(M8), 2*ROW(M8)-1)&gt;0,
   INDEX($H$2:$Z$14, COLUMN(M8), 2*ROW(M8)-1),
   NA()
)</f>
        <v>#N/A</v>
      </c>
      <c r="T46" s="174" t="s">
        <v>39</v>
      </c>
      <c r="U46" s="171">
        <f>AM2</f>
        <v>0</v>
      </c>
      <c r="V46" s="172">
        <f>AM3</f>
        <v>0</v>
      </c>
      <c r="W46" s="172">
        <f>AM4</f>
        <v>0</v>
      </c>
      <c r="X46" s="172">
        <f>AM5</f>
        <v>0</v>
      </c>
      <c r="Y46" s="172">
        <f>AM6</f>
        <v>0</v>
      </c>
      <c r="Z46" s="172">
        <f>AM7</f>
        <v>0</v>
      </c>
      <c r="AA46" s="172">
        <f>AM8</f>
        <v>0</v>
      </c>
      <c r="AB46" s="172">
        <f>AM9</f>
        <v>0</v>
      </c>
      <c r="AC46" s="172">
        <f>AM10</f>
        <v>0</v>
      </c>
      <c r="AD46" s="172">
        <f>AM11</f>
        <v>0</v>
      </c>
      <c r="AE46" s="172">
        <f>AM12</f>
        <v>0</v>
      </c>
      <c r="AF46" s="172">
        <f>AM13</f>
        <v>0</v>
      </c>
      <c r="AG46" s="173">
        <f>AM14</f>
        <v>0</v>
      </c>
      <c r="AH46" s="105"/>
      <c r="AI46" s="106"/>
      <c r="AJ46" s="105"/>
      <c r="AK46" s="107"/>
    </row>
    <row r="47" spans="6:37" ht="12.75" x14ac:dyDescent="0.2">
      <c r="F47" s="170" t="s">
        <v>40</v>
      </c>
      <c r="G47" s="171" t="e" cm="1">
        <f t="array" aca="1" ref="G47" ca="1">IF(
   INDEX($H$2:$Z$14, COLUMN(A9), 2*ROW(A9)-1)&gt;0,
   INDEX($H$2:$Z$14, COLUMN(A9), 2*ROW(A9)-1),
   NA()
)</f>
        <v>#N/A</v>
      </c>
      <c r="H47" s="172" t="e" cm="1">
        <f t="array" aca="1" ref="H47" ca="1">IF(
   INDEX($H$2:$Z$14, COLUMN(B9), 2*ROW(B9)-1)&gt;0,
   INDEX($H$2:$Z$14, COLUMN(B9), 2*ROW(B9)-1),
   NA()
)</f>
        <v>#N/A</v>
      </c>
      <c r="I47" s="172" t="e" cm="1">
        <f t="array" aca="1" ref="I47" ca="1">IF(
   INDEX($H$2:$Z$14, COLUMN(C9), 2*ROW(C9)-1)&gt;0,
   INDEX($H$2:$Z$14, COLUMN(C9), 2*ROW(C9)-1),
   NA()
)</f>
        <v>#N/A</v>
      </c>
      <c r="J47" s="172" t="e" cm="1">
        <f t="array" aca="1" ref="J47" ca="1">IF(
   INDEX($H$2:$Z$14, COLUMN(D9), 2*ROW(D9)-1)&gt;0,
   INDEX($H$2:$Z$14, COLUMN(D9), 2*ROW(D9)-1),
   NA()
)</f>
        <v>#N/A</v>
      </c>
      <c r="K47" s="172" t="e" cm="1">
        <f t="array" aca="1" ref="K47" ca="1">IF(
   INDEX($H$2:$Z$14, COLUMN(E9), 2*ROW(E9)-1)&gt;0,
   INDEX($H$2:$Z$14, COLUMN(E9), 2*ROW(E9)-1),
   NA()
)</f>
        <v>#N/A</v>
      </c>
      <c r="L47" s="172" t="e" cm="1">
        <f t="array" aca="1" ref="L47" ca="1">IF(
   INDEX($H$2:$Z$14, COLUMN(F9), 2*ROW(F9)-1)&gt;0,
   INDEX($H$2:$Z$14, COLUMN(F9), 2*ROW(F9)-1),
   NA()
)</f>
        <v>#N/A</v>
      </c>
      <c r="M47" s="172" t="e" cm="1">
        <f t="array" aca="1" ref="M47" ca="1">IF(
   INDEX($H$2:$Z$14, COLUMN(G9), 2*ROW(G9)-1)&gt;0,
   INDEX($H$2:$Z$14, COLUMN(G9), 2*ROW(G9)-1),
   NA()
)</f>
        <v>#N/A</v>
      </c>
      <c r="N47" s="172" t="e" cm="1">
        <f t="array" aca="1" ref="N47" ca="1">IF(
   INDEX($H$2:$Z$14, COLUMN(H9), 2*ROW(H9)-1)&gt;0,
   INDEX($H$2:$Z$14, COLUMN(H9), 2*ROW(H9)-1),
   NA()
)</f>
        <v>#N/A</v>
      </c>
      <c r="O47" s="172" t="e" cm="1">
        <f t="array" aca="1" ref="O47" ca="1">IF(
   INDEX($H$2:$Z$14, COLUMN(I9), 2*ROW(I9)-1)&gt;0,
   INDEX($H$2:$Z$14, COLUMN(I9), 2*ROW(I9)-1),
   NA()
)</f>
        <v>#N/A</v>
      </c>
      <c r="P47" s="172" t="e" cm="1">
        <f t="array" aca="1" ref="P47" ca="1">IF(
   INDEX($H$2:$Z$14, COLUMN(J9), 2*ROW(J9)-1)&gt;0,
   INDEX($H$2:$Z$14, COLUMN(J9), 2*ROW(J9)-1),
   NA()
)</f>
        <v>#N/A</v>
      </c>
      <c r="Q47" s="172" t="e" cm="1">
        <f t="array" aca="1" ref="Q47" ca="1">IF(
   INDEX($H$2:$Z$14, COLUMN(K9), 2*ROW(K9)-1)&gt;0,
   INDEX($H$2:$Z$14, COLUMN(K9), 2*ROW(K9)-1),
   NA()
)</f>
        <v>#N/A</v>
      </c>
      <c r="R47" s="172" t="e" cm="1">
        <f t="array" aca="1" ref="R47" ca="1">IF(
   INDEX($H$2:$Z$14, COLUMN(L9), 2*ROW(L9)-1)&gt;0,
   INDEX($H$2:$Z$14, COLUMN(L9), 2*ROW(L9)-1),
   NA()
)</f>
        <v>#N/A</v>
      </c>
      <c r="S47" s="173" t="e" cm="1">
        <f t="array" aca="1" ref="S47" ca="1">IF(
   INDEX($H$2:$Z$14, COLUMN(M9), 2*ROW(M9)-1)&gt;0,
   INDEX($H$2:$Z$14, COLUMN(M9), 2*ROW(M9)-1),
   NA()
)</f>
        <v>#N/A</v>
      </c>
      <c r="T47" s="174" t="s">
        <v>40</v>
      </c>
      <c r="U47" s="171">
        <f>AN2</f>
        <v>0</v>
      </c>
      <c r="V47" s="172">
        <f>AN3</f>
        <v>0</v>
      </c>
      <c r="W47" s="172">
        <f>AN4</f>
        <v>0</v>
      </c>
      <c r="X47" s="172">
        <f>AN5</f>
        <v>0</v>
      </c>
      <c r="Y47" s="172">
        <f>AN6</f>
        <v>0</v>
      </c>
      <c r="Z47" s="172">
        <f>AN7</f>
        <v>0</v>
      </c>
      <c r="AA47" s="172">
        <f>AN8</f>
        <v>0</v>
      </c>
      <c r="AB47" s="172">
        <f>AN9</f>
        <v>0</v>
      </c>
      <c r="AC47" s="172">
        <f>AN10</f>
        <v>0</v>
      </c>
      <c r="AD47" s="172">
        <f>AN11</f>
        <v>0</v>
      </c>
      <c r="AE47" s="172">
        <f>AN12</f>
        <v>0</v>
      </c>
      <c r="AF47" s="172">
        <f>AN13</f>
        <v>0</v>
      </c>
      <c r="AG47" s="173">
        <f>AN14</f>
        <v>0</v>
      </c>
      <c r="AH47" s="108"/>
      <c r="AI47" s="100"/>
      <c r="AJ47" s="108"/>
      <c r="AK47" s="109"/>
    </row>
    <row r="48" spans="6:37" ht="12.75" x14ac:dyDescent="0.2">
      <c r="F48" s="170" t="s">
        <v>41</v>
      </c>
      <c r="G48" s="171" t="e" cm="1">
        <f t="array" aca="1" ref="G48" ca="1">IF(
   INDEX($H$2:$Z$14, COLUMN(A10), 2*ROW(A10)-1)&gt;0,
   INDEX($H$2:$Z$14, COLUMN(A10), 2*ROW(A10)-1),
   NA()
)</f>
        <v>#N/A</v>
      </c>
      <c r="H48" s="172" t="e" cm="1">
        <f t="array" aca="1" ref="H48" ca="1">IF(
   INDEX($H$2:$Z$14, COLUMN(B10), 2*ROW(B10)-1)&gt;0,
   INDEX($H$2:$Z$14, COLUMN(B10), 2*ROW(B10)-1),
   NA()
)</f>
        <v>#N/A</v>
      </c>
      <c r="I48" s="172" t="e" cm="1">
        <f t="array" aca="1" ref="I48" ca="1">IF(
   INDEX($H$2:$Z$14, COLUMN(C10), 2*ROW(C10)-1)&gt;0,
   INDEX($H$2:$Z$14, COLUMN(C10), 2*ROW(C10)-1),
   NA()
)</f>
        <v>#N/A</v>
      </c>
      <c r="J48" s="172" t="e" cm="1">
        <f t="array" aca="1" ref="J48" ca="1">IF(
   INDEX($H$2:$Z$14, COLUMN(D10), 2*ROW(D10)-1)&gt;0,
   INDEX($H$2:$Z$14, COLUMN(D10), 2*ROW(D10)-1),
   NA()
)</f>
        <v>#N/A</v>
      </c>
      <c r="K48" s="172" t="e" cm="1">
        <f t="array" aca="1" ref="K48" ca="1">IF(
   INDEX($H$2:$Z$14, COLUMN(E10), 2*ROW(E10)-1)&gt;0,
   INDEX($H$2:$Z$14, COLUMN(E10), 2*ROW(E10)-1),
   NA()
)</f>
        <v>#N/A</v>
      </c>
      <c r="L48" s="172" t="e" cm="1">
        <f t="array" aca="1" ref="L48" ca="1">IF(
   INDEX($H$2:$Z$14, COLUMN(F10), 2*ROW(F10)-1)&gt;0,
   INDEX($H$2:$Z$14, COLUMN(F10), 2*ROW(F10)-1),
   NA()
)</f>
        <v>#N/A</v>
      </c>
      <c r="M48" s="172" t="e" cm="1">
        <f t="array" aca="1" ref="M48" ca="1">IF(
   INDEX($H$2:$Z$14, COLUMN(G10), 2*ROW(G10)-1)&gt;0,
   INDEX($H$2:$Z$14, COLUMN(G10), 2*ROW(G10)-1),
   NA()
)</f>
        <v>#N/A</v>
      </c>
      <c r="N48" s="172" t="e" cm="1">
        <f t="array" aca="1" ref="N48" ca="1">IF(
   INDEX($H$2:$Z$14, COLUMN(H10), 2*ROW(H10)-1)&gt;0,
   INDEX($H$2:$Z$14, COLUMN(H10), 2*ROW(H10)-1),
   NA()
)</f>
        <v>#N/A</v>
      </c>
      <c r="O48" s="172" t="e" cm="1">
        <f t="array" aca="1" ref="O48" ca="1">IF(
   INDEX($H$2:$Z$14, COLUMN(I10), 2*ROW(I10)-1)&gt;0,
   INDEX($H$2:$Z$14, COLUMN(I10), 2*ROW(I10)-1),
   NA()
)</f>
        <v>#N/A</v>
      </c>
      <c r="P48" s="172" t="e" cm="1">
        <f t="array" aca="1" ref="P48" ca="1">IF(
   INDEX($H$2:$Z$14, COLUMN(J10), 2*ROW(J10)-1)&gt;0,
   INDEX($H$2:$Z$14, COLUMN(J10), 2*ROW(J10)-1),
   NA()
)</f>
        <v>#N/A</v>
      </c>
      <c r="Q48" s="172" t="e" cm="1">
        <f t="array" aca="1" ref="Q48" ca="1">IF(
   INDEX($H$2:$Z$14, COLUMN(K10), 2*ROW(K10)-1)&gt;0,
   INDEX($H$2:$Z$14, COLUMN(K10), 2*ROW(K10)-1),
   NA()
)</f>
        <v>#N/A</v>
      </c>
      <c r="R48" s="172" t="e" cm="1">
        <f t="array" aca="1" ref="R48" ca="1">IF(
   INDEX($H$2:$Z$14, COLUMN(L10), 2*ROW(L10)-1)&gt;0,
   INDEX($H$2:$Z$14, COLUMN(L10), 2*ROW(L10)-1),
   NA()
)</f>
        <v>#N/A</v>
      </c>
      <c r="S48" s="173" t="e" cm="1">
        <f t="array" aca="1" ref="S48" ca="1">IF(
   INDEX($H$2:$Z$14, COLUMN(M10), 2*ROW(M10)-1)&gt;0,
   INDEX($H$2:$Z$14, COLUMN(M10), 2*ROW(M10)-1),
   NA()
)</f>
        <v>#N/A</v>
      </c>
      <c r="T48" s="174" t="s">
        <v>41</v>
      </c>
      <c r="U48" s="171">
        <f>AO2</f>
        <v>0</v>
      </c>
      <c r="V48" s="172">
        <f>AO3</f>
        <v>0</v>
      </c>
      <c r="W48" s="172">
        <f>AO4</f>
        <v>0</v>
      </c>
      <c r="X48" s="172">
        <f>AO5</f>
        <v>0</v>
      </c>
      <c r="Y48" s="172">
        <f>AO6</f>
        <v>0</v>
      </c>
      <c r="Z48" s="172">
        <f>AO7</f>
        <v>0</v>
      </c>
      <c r="AA48" s="172">
        <f>AO8</f>
        <v>0</v>
      </c>
      <c r="AB48" s="172">
        <f>AO9</f>
        <v>0</v>
      </c>
      <c r="AC48" s="172">
        <f>AO10</f>
        <v>0</v>
      </c>
      <c r="AD48" s="172">
        <f>AO11</f>
        <v>0</v>
      </c>
      <c r="AE48" s="172">
        <f>AO12</f>
        <v>0</v>
      </c>
      <c r="AF48" s="172">
        <f>AO13</f>
        <v>0</v>
      </c>
      <c r="AG48" s="173">
        <f>AO14</f>
        <v>0</v>
      </c>
      <c r="AH48" s="108"/>
      <c r="AI48" s="100"/>
      <c r="AJ48" s="108"/>
      <c r="AK48" s="109"/>
    </row>
    <row r="49" spans="6:37" ht="12.75" x14ac:dyDescent="0.2">
      <c r="F49" s="175" t="s">
        <v>42</v>
      </c>
      <c r="G49" s="176" t="e" cm="1">
        <f t="array" ref="G49">IF(
   INDEX($H$2:$Z$14, COLUMN(A11), 2*ROW(A11)-1)&gt;0,
   INDEX($H$2:$Z$14, COLUMN(A11), 2*ROW(A11)-1),
   NA()
)</f>
        <v>#REF!</v>
      </c>
      <c r="H49" s="177" t="e" cm="1">
        <f t="array" ref="H49">IF(
   INDEX($H$2:$Z$14, COLUMN(B11), 2*ROW(B11)-1)&gt;0,
   INDEX($H$2:$Z$14, COLUMN(B11), 2*ROW(B11)-1),
   NA()
)</f>
        <v>#REF!</v>
      </c>
      <c r="I49" s="177" t="e" cm="1">
        <f t="array" ref="I49">IF(
   INDEX($H$2:$Z$14, COLUMN(C11), 2*ROW(C11)-1)&gt;0,
   INDEX($H$2:$Z$14, COLUMN(C11), 2*ROW(C11)-1),
   NA()
)</f>
        <v>#REF!</v>
      </c>
      <c r="J49" s="177" t="e" cm="1">
        <f t="array" ref="J49">IF(
   INDEX($H$2:$Z$14, COLUMN(D11), 2*ROW(D11)-1)&gt;0,
   INDEX($H$2:$Z$14, COLUMN(D11), 2*ROW(D11)-1),
   NA()
)</f>
        <v>#REF!</v>
      </c>
      <c r="K49" s="177" t="e" cm="1">
        <f t="array" ref="K49">IF(
   INDEX($H$2:$Z$14, COLUMN(E11), 2*ROW(E11)-1)&gt;0,
   INDEX($H$2:$Z$14, COLUMN(E11), 2*ROW(E11)-1),
   NA()
)</f>
        <v>#REF!</v>
      </c>
      <c r="L49" s="177" t="e" cm="1">
        <f t="array" ref="L49">IF(
   INDEX($H$2:$Z$14, COLUMN(F11), 2*ROW(F11)-1)&gt;0,
   INDEX($H$2:$Z$14, COLUMN(F11), 2*ROW(F11)-1),
   NA()
)</f>
        <v>#REF!</v>
      </c>
      <c r="M49" s="177" t="e" cm="1">
        <f t="array" ref="M49">IF(
   INDEX($H$2:$Z$14, COLUMN(G11), 2*ROW(G11)-1)&gt;0,
   INDEX($H$2:$Z$14, COLUMN(G11), 2*ROW(G11)-1),
   NA()
)</f>
        <v>#REF!</v>
      </c>
      <c r="N49" s="177" t="e" cm="1">
        <f t="array" ref="N49">IF(
   INDEX($H$2:$Z$14, COLUMN(H11), 2*ROW(H11)-1)&gt;0,
   INDEX($H$2:$Z$14, COLUMN(H11), 2*ROW(H11)-1),
   NA()
)</f>
        <v>#REF!</v>
      </c>
      <c r="O49" s="177" t="e" cm="1">
        <f t="array" ref="O49">IF(
   INDEX($H$2:$Z$14, COLUMN(I11), 2*ROW(I11)-1)&gt;0,
   INDEX($H$2:$Z$14, COLUMN(I11), 2*ROW(I11)-1),
   NA()
)</f>
        <v>#REF!</v>
      </c>
      <c r="P49" s="177" t="e" cm="1">
        <f t="array" ref="P49">IF(
   INDEX($H$2:$Z$14, COLUMN(J11), 2*ROW(J11)-1)&gt;0,
   INDEX($H$2:$Z$14, COLUMN(J11), 2*ROW(J11)-1),
   NA()
)</f>
        <v>#REF!</v>
      </c>
      <c r="Q49" s="177" t="e" cm="1">
        <f t="array" ref="Q49">IF(
   INDEX($H$2:$Z$14, COLUMN(K11), 2*ROW(K11)-1)&gt;0,
   INDEX($H$2:$Z$14, COLUMN(K11), 2*ROW(K11)-1),
   NA()
)</f>
        <v>#REF!</v>
      </c>
      <c r="R49" s="177" t="e" cm="1">
        <f t="array" ref="R49">IF(
   INDEX($H$2:$Z$14, COLUMN(L11), 2*ROW(L11)-1)&gt;0,
   INDEX($H$2:$Z$14, COLUMN(L11), 2*ROW(L11)-1),
   NA()
)</f>
        <v>#REF!</v>
      </c>
      <c r="S49" s="399" t="e" cm="1">
        <f t="array" ref="S49">IF(
   INDEX($H$2:$Z$14, COLUMN(M11), 2*ROW(M11)-1)&gt;0,
   INDEX($H$2:$Z$14, COLUMN(M11), 2*ROW(M11)-1),
   NA()
)</f>
        <v>#REF!</v>
      </c>
      <c r="T49" s="179" t="s">
        <v>42</v>
      </c>
      <c r="U49" s="176">
        <f>AP2</f>
        <v>0</v>
      </c>
      <c r="V49" s="177">
        <f>AP3</f>
        <v>0</v>
      </c>
      <c r="W49" s="177">
        <f>AP4</f>
        <v>0</v>
      </c>
      <c r="X49" s="177">
        <f>AP5</f>
        <v>0</v>
      </c>
      <c r="Y49" s="177">
        <f>AP6</f>
        <v>0</v>
      </c>
      <c r="Z49" s="177">
        <f>AP7</f>
        <v>0</v>
      </c>
      <c r="AA49" s="177">
        <f>AP8</f>
        <v>0</v>
      </c>
      <c r="AB49" s="177">
        <f>AP9</f>
        <v>0</v>
      </c>
      <c r="AC49" s="177">
        <f>AP10</f>
        <v>0</v>
      </c>
      <c r="AD49" s="177">
        <f>AP11</f>
        <v>0</v>
      </c>
      <c r="AE49" s="177">
        <f>AP12</f>
        <v>0</v>
      </c>
      <c r="AF49" s="177">
        <f>AP13</f>
        <v>0</v>
      </c>
      <c r="AG49" s="178">
        <f>AP14</f>
        <v>0</v>
      </c>
      <c r="AH49" s="108"/>
      <c r="AI49" s="100"/>
      <c r="AJ49" s="108"/>
      <c r="AK49" s="109"/>
    </row>
    <row r="50" spans="6:37" ht="13.5" thickBot="1" x14ac:dyDescent="0.25">
      <c r="F50" s="180" t="s">
        <v>43</v>
      </c>
      <c r="G50" s="181" t="e" cm="1">
        <f t="array" ref="G50">IF(
   INDEX($H$2:$Z$14, COLUMN(A12), 2*ROW(A12)-1)&gt;0,
   INDEX($H$2:$Z$14, COLUMN(A12), 2*ROW(A12)-1),
   NA()
)</f>
        <v>#REF!</v>
      </c>
      <c r="H50" s="182" t="e" cm="1">
        <f t="array" ref="H50">IF(
   INDEX($H$2:$Z$14, COLUMN(B12), 2*ROW(B12)-1)&gt;0,
   INDEX($H$2:$Z$14, COLUMN(B12), 2*ROW(B12)-1),
   NA()
)</f>
        <v>#REF!</v>
      </c>
      <c r="I50" s="182" t="e" cm="1">
        <f t="array" ref="I50">IF(
   INDEX($H$2:$Z$14, COLUMN(C12), 2*ROW(C12)-1)&gt;0,
   INDEX($H$2:$Z$14, COLUMN(C12), 2*ROW(C12)-1),
   NA()
)</f>
        <v>#REF!</v>
      </c>
      <c r="J50" s="182" t="e" cm="1">
        <f t="array" ref="J50">IF(
   INDEX($H$2:$Z$14, COLUMN(D12), 2*ROW(D12)-1)&gt;0,
   INDEX($H$2:$Z$14, COLUMN(D12), 2*ROW(D12)-1),
   NA()
)</f>
        <v>#REF!</v>
      </c>
      <c r="K50" s="182" t="e" cm="1">
        <f t="array" ref="K50">IF(
   INDEX($H$2:$Z$14, COLUMN(E12), 2*ROW(E12)-1)&gt;0,
   INDEX($H$2:$Z$14, COLUMN(E12), 2*ROW(E12)-1),
   NA()
)</f>
        <v>#REF!</v>
      </c>
      <c r="L50" s="182" t="e" cm="1">
        <f t="array" ref="L50">IF(
   INDEX($H$2:$Z$14, COLUMN(F12), 2*ROW(F12)-1)&gt;0,
   INDEX($H$2:$Z$14, COLUMN(F12), 2*ROW(F12)-1),
   NA()
)</f>
        <v>#REF!</v>
      </c>
      <c r="M50" s="182" t="e" cm="1">
        <f t="array" ref="M50">IF(
   INDEX($H$2:$Z$14, COLUMN(G12), 2*ROW(G12)-1)&gt;0,
   INDEX($H$2:$Z$14, COLUMN(G12), 2*ROW(G12)-1),
   NA()
)</f>
        <v>#REF!</v>
      </c>
      <c r="N50" s="182" t="e" cm="1">
        <f t="array" ref="N50">IF(
   INDEX($H$2:$Z$14, COLUMN(H12), 2*ROW(H12)-1)&gt;0,
   INDEX($H$2:$Z$14, COLUMN(H12), 2*ROW(H12)-1),
   NA()
)</f>
        <v>#REF!</v>
      </c>
      <c r="O50" s="182" t="e" cm="1">
        <f t="array" ref="O50">IF(
   INDEX($H$2:$Z$14, COLUMN(I12), 2*ROW(I12)-1)&gt;0,
   INDEX($H$2:$Z$14, COLUMN(I12), 2*ROW(I12)-1),
   NA()
)</f>
        <v>#REF!</v>
      </c>
      <c r="P50" s="182" t="e" cm="1">
        <f t="array" ref="P50">IF(
   INDEX($H$2:$Z$14, COLUMN(J12), 2*ROW(J12)-1)&gt;0,
   INDEX($H$2:$Z$14, COLUMN(J12), 2*ROW(J12)-1),
   NA()
)</f>
        <v>#REF!</v>
      </c>
      <c r="Q50" s="182" t="e" cm="1">
        <f t="array" ref="Q50">IF(
   INDEX($H$2:$Z$14, COLUMN(K12), 2*ROW(K12)-1)&gt;0,
   INDEX($H$2:$Z$14, COLUMN(K12), 2*ROW(K12)-1),
   NA()
)</f>
        <v>#REF!</v>
      </c>
      <c r="R50" s="182" t="e" cm="1">
        <f t="array" ref="R50">IF(
   INDEX($H$2:$Z$14, COLUMN(L12), 2*ROW(L12)-1)&gt;0,
   INDEX($H$2:$Z$14, COLUMN(L12), 2*ROW(L12)-1),
   NA()
)</f>
        <v>#REF!</v>
      </c>
      <c r="S50" s="399" t="e" cm="1">
        <f t="array" ref="S50">IF(
   INDEX($H$2:$Z$14, COLUMN(M12), 2*ROW(M12)-1)&gt;0,
   INDEX($H$2:$Z$14, COLUMN(M12), 2*ROW(M12)-1),
   NA()
)</f>
        <v>#REF!</v>
      </c>
      <c r="T50" s="184" t="s">
        <v>43</v>
      </c>
      <c r="U50" s="181">
        <f>AQ2</f>
        <v>0</v>
      </c>
      <c r="V50" s="182">
        <f>AQ3</f>
        <v>0</v>
      </c>
      <c r="W50" s="182">
        <f>AQ4</f>
        <v>0</v>
      </c>
      <c r="X50" s="182">
        <f>AQ5</f>
        <v>0</v>
      </c>
      <c r="Y50" s="182">
        <f>AQ6</f>
        <v>0</v>
      </c>
      <c r="Z50" s="182">
        <f>AQ7</f>
        <v>0</v>
      </c>
      <c r="AA50" s="182">
        <f>AQ8</f>
        <v>0</v>
      </c>
      <c r="AB50" s="182">
        <f>AQ9</f>
        <v>0</v>
      </c>
      <c r="AC50" s="182">
        <f>AQ10</f>
        <v>0</v>
      </c>
      <c r="AD50" s="182">
        <f>AQ11</f>
        <v>0</v>
      </c>
      <c r="AE50" s="182">
        <f>AQ12</f>
        <v>0</v>
      </c>
      <c r="AF50" s="182">
        <f>AQ13</f>
        <v>0</v>
      </c>
      <c r="AG50" s="183">
        <f>AQ14</f>
        <v>0</v>
      </c>
      <c r="AH50" s="110"/>
      <c r="AI50" s="111"/>
      <c r="AJ50" s="110"/>
      <c r="AK50" s="112"/>
    </row>
  </sheetData>
  <sheetProtection algorithmName="SHA-512" hashValue="keOxc1nhymzJ0VAeZuheWIqt3zFvSAAgoSViSDfs3sXN7XvGwXOqGwZa1VuyYyNui//2p0OiIseZNBiFYiKbzA==" saltValue="2maO9jF2Oz2VwS/BSgRM9A==" spinCount="100000" sheet="1" objects="1" scenarios="1"/>
  <mergeCells count="20">
    <mergeCell ref="Y1:Z1"/>
    <mergeCell ref="G36:S36"/>
    <mergeCell ref="U36:AG36"/>
    <mergeCell ref="AE15:AQ15"/>
    <mergeCell ref="AA1:AB1"/>
    <mergeCell ref="AC1:AD1"/>
    <mergeCell ref="M1:N1"/>
    <mergeCell ref="O1:P1"/>
    <mergeCell ref="AJ21:AK21"/>
    <mergeCell ref="AH21:AI21"/>
    <mergeCell ref="A14:B14"/>
    <mergeCell ref="Q1:R1"/>
    <mergeCell ref="S1:T1"/>
    <mergeCell ref="U1:V1"/>
    <mergeCell ref="W1:X1"/>
    <mergeCell ref="A1:B1"/>
    <mergeCell ref="C1:E1"/>
    <mergeCell ref="G1:H1"/>
    <mergeCell ref="I1:J1"/>
    <mergeCell ref="K1:L1"/>
  </mergeCells>
  <phoneticPr fontId="26" type="noConversion"/>
  <conditionalFormatting sqref="D2:D14 H2:H14 J2:J14 L2:L14 N2:N14 P2:P14 R2:R14 T2:T14 V2:V14 X2:X14 Z2:Z14 AB2:AB14 AD2:AD14">
    <cfRule type="cellIs" dxfId="414" priority="1" operator="greaterThan">
      <formula>1</formula>
    </cfRule>
  </conditionalFormatting>
  <conditionalFormatting sqref="E2:E13">
    <cfRule type="dataBar" priority="2">
      <dataBar showValue="0"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{84D3F3E1-8834-421C-A089-43980EF9F072}</x14:id>
        </ext>
      </extLst>
    </cfRule>
  </conditionalFormatting>
  <conditionalFormatting sqref="E14">
    <cfRule type="dataBar" priority="3">
      <dataBar showValue="0">
        <cfvo type="num" val="0"/>
        <cfvo type="num" val="1"/>
        <color theme="4" tint="-0.499984740745262"/>
      </dataBar>
      <extLst>
        <ext xmlns:x14="http://schemas.microsoft.com/office/spreadsheetml/2009/9/main" uri="{B025F937-C7B1-47D3-B67F-A62EFF666E3E}">
          <x14:id>{A0DA79B3-DFA2-4623-83EE-7EAEB6D5939E}</x14:id>
        </ext>
      </extLst>
    </cfRule>
  </conditionalFormatting>
  <conditionalFormatting sqref="I2:AD14">
    <cfRule type="expression" dxfId="413" priority="4">
      <formula>AND(MOD(COLUMN(), 2)=1, I2&lt;G2, NOT(ISBLANK(I2)), NOT(I2=0))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54" r:id="rId4" name="Button 182">
              <controlPr defaultSize="0" print="0" autoFill="0" autoPict="0" macro="[0]!GenererBoutonsFormesInteractives">
                <anchor moveWithCells="1">
                  <from>
                    <xdr:col>30</xdr:col>
                    <xdr:colOff>238125</xdr:colOff>
                    <xdr:row>31</xdr:row>
                    <xdr:rowOff>9525</xdr:rowOff>
                  </from>
                  <to>
                    <xdr:col>32</xdr:col>
                    <xdr:colOff>28575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locked="0" defaultSize="0" print="0" autoFill="0" autoPict="0" macro="[0]!ImporterParticipationHorairePremierTour">
                <anchor moveWithCells="1">
                  <from>
                    <xdr:col>34</xdr:col>
                    <xdr:colOff>466725</xdr:colOff>
                    <xdr:row>4</xdr:row>
                    <xdr:rowOff>133350</xdr:rowOff>
                  </from>
                  <to>
                    <xdr:col>38</xdr:col>
                    <xdr:colOff>66675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6" name="Button 183">
              <controlPr defaultSize="0" print="0" autoFill="0" autoPict="0" macro="[0]!SimulationJourneeParticipation">
                <anchor moveWithCells="1">
                  <from>
                    <xdr:col>33</xdr:col>
                    <xdr:colOff>904875</xdr:colOff>
                    <xdr:row>54</xdr:row>
                    <xdr:rowOff>9525</xdr:rowOff>
                  </from>
                  <to>
                    <xdr:col>35</xdr:col>
                    <xdr:colOff>876300</xdr:colOff>
                    <xdr:row>56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7" name="Button 184">
              <controlPr defaultSize="0" print="0" autoFill="0" autoPict="0" macro="[0]!ReinitialiserParticipation">
                <anchor moveWithCells="1">
                  <from>
                    <xdr:col>34</xdr:col>
                    <xdr:colOff>9525</xdr:colOff>
                    <xdr:row>57</xdr:row>
                    <xdr:rowOff>38100</xdr:rowOff>
                  </from>
                  <to>
                    <xdr:col>35</xdr:col>
                    <xdr:colOff>895350</xdr:colOff>
                    <xdr:row>59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4D3F3E1-8834-421C-A089-43980EF9F072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E2:E13</xm:sqref>
        </x14:conditionalFormatting>
        <x14:conditionalFormatting xmlns:xm="http://schemas.microsoft.com/office/excel/2006/main">
          <x14:cfRule type="dataBar" id="{A0DA79B3-DFA2-4623-83EE-7EAEB6D5939E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CF433-48E5-4BF9-BDC4-A966BB467084}">
  <sheetPr codeName="Feuil4">
    <tabColor theme="7" tint="0.79998168889431442"/>
    <pageSetUpPr fitToPage="1"/>
  </sheetPr>
  <dimension ref="A1:O76"/>
  <sheetViews>
    <sheetView showGridLines="0" zoomScale="60" zoomScaleNormal="60" zoomScaleSheetLayoutView="80" workbookViewId="0">
      <selection activeCell="B17" sqref="B17"/>
    </sheetView>
  </sheetViews>
  <sheetFormatPr baseColWidth="10" defaultColWidth="11.42578125" defaultRowHeight="12.75" x14ac:dyDescent="0.2"/>
  <cols>
    <col min="1" max="1" width="10.42578125" style="462" customWidth="1"/>
    <col min="2" max="2" width="16" style="462" customWidth="1"/>
    <col min="3" max="11" width="26.5703125" style="462" customWidth="1"/>
    <col min="12" max="12" width="25.28515625" style="462" customWidth="1"/>
    <col min="13" max="13" width="11.42578125" style="462"/>
    <col min="14" max="14" width="12.85546875" style="462" customWidth="1"/>
    <col min="15" max="15" width="10.42578125" style="462" customWidth="1"/>
    <col min="16" max="16" width="15.42578125" style="462" customWidth="1"/>
    <col min="17" max="17" width="16.140625" style="462" customWidth="1"/>
    <col min="18" max="18" width="12" style="462" customWidth="1"/>
    <col min="19" max="19" width="30.140625" style="462" customWidth="1"/>
    <col min="20" max="20" width="13.28515625" style="462" customWidth="1"/>
    <col min="21" max="21" width="14.42578125" style="462" customWidth="1"/>
    <col min="22" max="16384" width="11.42578125" style="462"/>
  </cols>
  <sheetData>
    <row r="1" spans="1:12" ht="16.5" customHeight="1" thickBot="1" x14ac:dyDescent="0.25">
      <c r="B1" s="679"/>
    </row>
    <row r="2" spans="1:12" ht="45" customHeight="1" thickBot="1" x14ac:dyDescent="0.25">
      <c r="A2" s="679"/>
      <c r="B2" s="680"/>
      <c r="C2" s="689" t="s">
        <v>140</v>
      </c>
      <c r="D2" s="690"/>
      <c r="E2" s="690"/>
      <c r="F2" s="690"/>
      <c r="G2" s="690"/>
      <c r="H2" s="690"/>
      <c r="I2" s="690"/>
      <c r="J2" s="690"/>
      <c r="K2" s="691"/>
      <c r="L2" s="635" t="s">
        <v>7</v>
      </c>
    </row>
    <row r="3" spans="1:12" ht="48" customHeight="1" thickBot="1" x14ac:dyDescent="0.25">
      <c r="B3" s="471" t="s">
        <v>79</v>
      </c>
      <c r="C3" s="589" t="str">
        <f>Synthèse!L2</f>
        <v>Candidat(e)
1</v>
      </c>
      <c r="D3" s="583" t="str">
        <f>Synthèse!M2</f>
        <v>Candidat(e)
2</v>
      </c>
      <c r="E3" s="584" t="str">
        <f>Synthèse!N2</f>
        <v>Candidat(e)
3</v>
      </c>
      <c r="F3" s="585" t="str">
        <f>Synthèse!O2</f>
        <v>Candidat(e)
4</v>
      </c>
      <c r="G3" s="586" t="str">
        <f>Synthèse!P2</f>
        <v>Candidat(e)
5</v>
      </c>
      <c r="H3" s="587" t="str">
        <f>Synthèse!Q2</f>
        <v>Candidat(e)
6</v>
      </c>
      <c r="I3" s="588" t="str">
        <f>Synthèse!R2</f>
        <v>Candidat(e)
7</v>
      </c>
      <c r="J3" s="633" t="s">
        <v>3</v>
      </c>
      <c r="K3" s="634" t="s">
        <v>4</v>
      </c>
      <c r="L3" s="636" t="s">
        <v>101</v>
      </c>
    </row>
    <row r="4" spans="1:12" ht="48" customHeight="1" thickBot="1" x14ac:dyDescent="0.25">
      <c r="B4" s="656"/>
      <c r="C4" s="476"/>
      <c r="D4" s="476"/>
      <c r="E4" s="476"/>
      <c r="F4" s="476"/>
      <c r="G4" s="476"/>
      <c r="H4" s="476"/>
      <c r="I4" s="475"/>
      <c r="J4" s="474"/>
      <c r="K4" s="473"/>
      <c r="L4" s="637" t="s">
        <v>131</v>
      </c>
    </row>
    <row r="5" spans="1:12" ht="48" customHeight="1" x14ac:dyDescent="0.2">
      <c r="B5" s="655"/>
      <c r="C5" s="659" t="s">
        <v>141</v>
      </c>
      <c r="D5" s="660" t="s">
        <v>141</v>
      </c>
      <c r="E5" s="660" t="s">
        <v>141</v>
      </c>
      <c r="F5" s="660" t="s">
        <v>141</v>
      </c>
      <c r="G5" s="660" t="s">
        <v>141</v>
      </c>
      <c r="H5" s="660" t="s">
        <v>141</v>
      </c>
      <c r="I5" s="660" t="s">
        <v>141</v>
      </c>
      <c r="J5" s="661" t="s">
        <v>141</v>
      </c>
      <c r="K5" s="662" t="s">
        <v>141</v>
      </c>
      <c r="L5" s="693" t="s">
        <v>131</v>
      </c>
    </row>
    <row r="6" spans="1:12" ht="48" customHeight="1" thickBot="1" x14ac:dyDescent="0.25">
      <c r="B6" s="655"/>
      <c r="C6" s="663"/>
      <c r="D6" s="664"/>
      <c r="E6" s="664"/>
      <c r="F6" s="664"/>
      <c r="G6" s="664"/>
      <c r="H6" s="664"/>
      <c r="I6" s="665"/>
      <c r="J6" s="663"/>
      <c r="K6" s="666"/>
      <c r="L6" s="692" t="s">
        <v>136</v>
      </c>
    </row>
    <row r="7" spans="1:12" ht="48" customHeight="1" x14ac:dyDescent="0.2">
      <c r="B7" s="657"/>
      <c r="C7" s="659" t="s">
        <v>141</v>
      </c>
      <c r="D7" s="660" t="s">
        <v>141</v>
      </c>
      <c r="E7" s="660" t="s">
        <v>141</v>
      </c>
      <c r="F7" s="660" t="s">
        <v>141</v>
      </c>
      <c r="G7" s="660" t="s">
        <v>141</v>
      </c>
      <c r="H7" s="660" t="s">
        <v>141</v>
      </c>
      <c r="I7" s="660" t="s">
        <v>141</v>
      </c>
      <c r="J7" s="661" t="s">
        <v>141</v>
      </c>
      <c r="K7" s="662" t="s">
        <v>141</v>
      </c>
      <c r="L7" s="693" t="s">
        <v>131</v>
      </c>
    </row>
    <row r="8" spans="1:12" ht="48" customHeight="1" thickBot="1" x14ac:dyDescent="0.25">
      <c r="B8" s="658"/>
      <c r="C8" s="667"/>
      <c r="D8" s="668"/>
      <c r="E8" s="668"/>
      <c r="F8" s="668"/>
      <c r="G8" s="668"/>
      <c r="H8" s="668"/>
      <c r="I8" s="669"/>
      <c r="J8" s="667"/>
      <c r="K8" s="670"/>
      <c r="L8" s="692" t="s">
        <v>137</v>
      </c>
    </row>
    <row r="9" spans="1:12" ht="48" customHeight="1" x14ac:dyDescent="0.2">
      <c r="B9" s="655" t="s">
        <v>78</v>
      </c>
      <c r="C9" s="659" t="s">
        <v>141</v>
      </c>
      <c r="D9" s="660" t="s">
        <v>141</v>
      </c>
      <c r="E9" s="660" t="s">
        <v>141</v>
      </c>
      <c r="F9" s="660" t="s">
        <v>141</v>
      </c>
      <c r="G9" s="660" t="s">
        <v>141</v>
      </c>
      <c r="H9" s="660" t="s">
        <v>141</v>
      </c>
      <c r="I9" s="660" t="s">
        <v>141</v>
      </c>
      <c r="J9" s="661" t="s">
        <v>141</v>
      </c>
      <c r="K9" s="662" t="s">
        <v>141</v>
      </c>
      <c r="L9" s="693" t="s">
        <v>131</v>
      </c>
    </row>
    <row r="10" spans="1:12" ht="48" customHeight="1" thickBot="1" x14ac:dyDescent="0.25">
      <c r="B10" s="655"/>
      <c r="C10" s="663"/>
      <c r="D10" s="664"/>
      <c r="E10" s="664"/>
      <c r="F10" s="664"/>
      <c r="G10" s="664"/>
      <c r="H10" s="664"/>
      <c r="I10" s="665"/>
      <c r="J10" s="663"/>
      <c r="K10" s="666"/>
      <c r="L10" s="692" t="s">
        <v>138</v>
      </c>
    </row>
    <row r="11" spans="1:12" ht="48" customHeight="1" x14ac:dyDescent="0.2">
      <c r="B11" s="657" t="s">
        <v>78</v>
      </c>
      <c r="C11" s="659" t="s">
        <v>141</v>
      </c>
      <c r="D11" s="660" t="s">
        <v>141</v>
      </c>
      <c r="E11" s="660" t="s">
        <v>141</v>
      </c>
      <c r="F11" s="660" t="s">
        <v>141</v>
      </c>
      <c r="G11" s="660" t="s">
        <v>141</v>
      </c>
      <c r="H11" s="660" t="s">
        <v>141</v>
      </c>
      <c r="I11" s="660" t="s">
        <v>141</v>
      </c>
      <c r="J11" s="661" t="s">
        <v>141</v>
      </c>
      <c r="K11" s="662" t="s">
        <v>141</v>
      </c>
      <c r="L11" s="693" t="s">
        <v>131</v>
      </c>
    </row>
    <row r="12" spans="1:12" ht="48" customHeight="1" thickBot="1" x14ac:dyDescent="0.25">
      <c r="B12" s="658"/>
      <c r="C12" s="667"/>
      <c r="D12" s="668"/>
      <c r="E12" s="668"/>
      <c r="F12" s="668"/>
      <c r="G12" s="668"/>
      <c r="H12" s="668"/>
      <c r="I12" s="669"/>
      <c r="J12" s="667"/>
      <c r="K12" s="670"/>
      <c r="L12" s="692" t="s">
        <v>139</v>
      </c>
    </row>
    <row r="13" spans="1:12" ht="20.100000000000001" customHeight="1" x14ac:dyDescent="0.2"/>
    <row r="14" spans="1:12" ht="26.25" customHeight="1" x14ac:dyDescent="0.2">
      <c r="C14" s="686" t="s">
        <v>145</v>
      </c>
      <c r="D14" s="672" t="s">
        <v>149</v>
      </c>
      <c r="E14" s="672"/>
      <c r="F14" s="672"/>
      <c r="G14" s="672"/>
      <c r="H14" s="672"/>
      <c r="I14" s="672"/>
      <c r="J14" s="672"/>
      <c r="K14" s="672"/>
    </row>
    <row r="15" spans="1:12" ht="26.25" customHeight="1" x14ac:dyDescent="0.2">
      <c r="C15" s="687" t="s">
        <v>146</v>
      </c>
      <c r="D15" s="683" t="s">
        <v>147</v>
      </c>
      <c r="E15" s="684"/>
      <c r="F15" s="684"/>
      <c r="G15" s="684"/>
      <c r="H15" s="684"/>
      <c r="I15" s="684"/>
      <c r="J15" s="684"/>
      <c r="K15" s="685"/>
    </row>
    <row r="16" spans="1:12" ht="26.25" customHeight="1" x14ac:dyDescent="0.2">
      <c r="C16" s="687"/>
      <c r="D16" s="688" t="s">
        <v>148</v>
      </c>
      <c r="E16" s="688"/>
      <c r="F16" s="688"/>
      <c r="G16" s="688"/>
      <c r="H16" s="688"/>
      <c r="I16" s="688"/>
      <c r="J16" s="688"/>
      <c r="K16" s="688"/>
    </row>
    <row r="17" spans="1:12" ht="18" customHeight="1" x14ac:dyDescent="0.2"/>
    <row r="18" spans="1:12" ht="26.25" customHeight="1" thickBot="1" x14ac:dyDescent="0.25">
      <c r="B18" s="679"/>
    </row>
    <row r="19" spans="1:12" ht="36.75" customHeight="1" thickBot="1" x14ac:dyDescent="0.25">
      <c r="A19" s="679"/>
      <c r="B19" s="680"/>
      <c r="C19" s="689" t="s">
        <v>150</v>
      </c>
      <c r="D19" s="690"/>
      <c r="E19" s="690"/>
      <c r="F19" s="690"/>
      <c r="G19" s="690"/>
      <c r="H19" s="690"/>
      <c r="I19" s="690"/>
      <c r="J19" s="690"/>
      <c r="K19" s="691"/>
      <c r="L19" s="472" t="s">
        <v>7</v>
      </c>
    </row>
    <row r="20" spans="1:12" ht="49.5" customHeight="1" thickBot="1" x14ac:dyDescent="0.25">
      <c r="B20" s="675" t="s">
        <v>79</v>
      </c>
      <c r="C20" s="501" t="str">
        <f>Synthèse!L2</f>
        <v>Candidat(e)
1</v>
      </c>
      <c r="D20" s="500" t="str">
        <f>Synthèse!M2</f>
        <v>Candidat(e)
2</v>
      </c>
      <c r="E20" s="638" t="str">
        <f>Synthèse!N2</f>
        <v>Candidat(e)
3</v>
      </c>
      <c r="F20" s="639" t="str">
        <f>Synthèse!O2</f>
        <v>Candidat(e)
4</v>
      </c>
      <c r="G20" s="640" t="str">
        <f>Synthèse!P2</f>
        <v>Candidat(e)
5</v>
      </c>
      <c r="H20" s="641" t="str">
        <f>Synthèse!Q2</f>
        <v>Candidat(e)
6</v>
      </c>
      <c r="I20" s="642" t="str">
        <f>Synthèse!R2</f>
        <v>Candidat(e)
7</v>
      </c>
      <c r="J20" s="653" t="s">
        <v>3</v>
      </c>
      <c r="K20" s="654" t="s">
        <v>4</v>
      </c>
      <c r="L20" s="470" t="s">
        <v>101</v>
      </c>
    </row>
    <row r="21" spans="1:12" ht="53.25" customHeight="1" thickBot="1" x14ac:dyDescent="0.25">
      <c r="B21" s="676"/>
      <c r="C21" s="499"/>
      <c r="D21" s="469"/>
      <c r="E21" s="469"/>
      <c r="F21" s="469"/>
      <c r="G21" s="469"/>
      <c r="H21" s="469"/>
      <c r="I21" s="649"/>
      <c r="J21" s="468"/>
      <c r="K21" s="467"/>
      <c r="L21" s="652" t="s">
        <v>131</v>
      </c>
    </row>
    <row r="22" spans="1:12" ht="53.25" customHeight="1" thickBot="1" x14ac:dyDescent="0.25">
      <c r="B22" s="677"/>
      <c r="C22" s="673"/>
      <c r="D22" s="643"/>
      <c r="E22" s="643"/>
      <c r="F22" s="643"/>
      <c r="G22" s="643"/>
      <c r="H22" s="643"/>
      <c r="I22" s="650"/>
      <c r="J22" s="644"/>
      <c r="K22" s="645"/>
      <c r="L22" s="652" t="s">
        <v>131</v>
      </c>
    </row>
    <row r="23" spans="1:12" ht="53.25" customHeight="1" thickBot="1" x14ac:dyDescent="0.25">
      <c r="B23" s="677" t="s">
        <v>78</v>
      </c>
      <c r="C23" s="673"/>
      <c r="D23" s="643"/>
      <c r="E23" s="643"/>
      <c r="F23" s="643"/>
      <c r="G23" s="643"/>
      <c r="H23" s="643"/>
      <c r="I23" s="650"/>
      <c r="J23" s="644"/>
      <c r="K23" s="645"/>
      <c r="L23" s="652" t="s">
        <v>131</v>
      </c>
    </row>
    <row r="24" spans="1:12" ht="53.25" customHeight="1" thickBot="1" x14ac:dyDescent="0.25">
      <c r="B24" s="678" t="s">
        <v>78</v>
      </c>
      <c r="C24" s="674"/>
      <c r="D24" s="647"/>
      <c r="E24" s="647"/>
      <c r="F24" s="647"/>
      <c r="G24" s="647"/>
      <c r="H24" s="647"/>
      <c r="I24" s="651"/>
      <c r="J24" s="646"/>
      <c r="K24" s="648"/>
      <c r="L24" s="652" t="s">
        <v>131</v>
      </c>
    </row>
    <row r="27" spans="1:12" ht="45" x14ac:dyDescent="0.2">
      <c r="C27" s="671" t="s">
        <v>142</v>
      </c>
      <c r="D27" s="671"/>
      <c r="E27" s="681"/>
      <c r="F27" s="681"/>
      <c r="G27" s="681"/>
      <c r="H27" s="681"/>
      <c r="I27" s="681"/>
      <c r="J27" s="671" t="s">
        <v>143</v>
      </c>
      <c r="K27" s="671"/>
    </row>
    <row r="29" spans="1:12" ht="30" x14ac:dyDescent="0.2">
      <c r="C29" s="682" t="s">
        <v>144</v>
      </c>
      <c r="D29" s="682"/>
      <c r="E29" s="682"/>
      <c r="F29" s="682"/>
      <c r="G29" s="682"/>
      <c r="H29" s="682"/>
      <c r="I29" s="682"/>
      <c r="J29" s="682"/>
      <c r="K29" s="682"/>
    </row>
    <row r="43" spans="3:8" ht="20.100000000000001" customHeight="1" x14ac:dyDescent="0.2"/>
    <row r="44" spans="3:8" ht="47.25" customHeight="1" x14ac:dyDescent="0.2">
      <c r="C44" s="466"/>
      <c r="D44" s="466"/>
      <c r="E44" s="466"/>
      <c r="F44" s="466"/>
      <c r="G44" s="466"/>
      <c r="H44" s="466"/>
    </row>
    <row r="45" spans="3:8" ht="26.25" customHeight="1" x14ac:dyDescent="0.2">
      <c r="C45" s="465"/>
      <c r="D45" s="465"/>
      <c r="E45" s="465"/>
      <c r="F45" s="465"/>
      <c r="G45" s="465"/>
      <c r="H45" s="465"/>
    </row>
    <row r="46" spans="3:8" ht="18.75" customHeight="1" x14ac:dyDescent="0.2">
      <c r="C46" s="465"/>
      <c r="D46" s="465"/>
      <c r="E46" s="465"/>
      <c r="F46" s="465"/>
      <c r="G46" s="465"/>
      <c r="H46" s="465"/>
    </row>
    <row r="47" spans="3:8" ht="20.100000000000001" customHeight="1" x14ac:dyDescent="0.2">
      <c r="C47" s="465"/>
      <c r="D47" s="465"/>
      <c r="E47" s="465"/>
      <c r="F47" s="465"/>
      <c r="G47" s="465"/>
      <c r="H47" s="465"/>
    </row>
    <row r="48" spans="3:8" ht="20.100000000000001" customHeight="1" x14ac:dyDescent="0.2">
      <c r="C48" s="465"/>
      <c r="D48" s="465"/>
      <c r="E48" s="465"/>
      <c r="F48" s="465"/>
      <c r="G48" s="465"/>
      <c r="H48" s="465"/>
    </row>
    <row r="49" spans="3:8" ht="20.100000000000001" customHeight="1" x14ac:dyDescent="0.2">
      <c r="C49" s="465"/>
      <c r="D49" s="465"/>
      <c r="E49" s="465"/>
      <c r="F49" s="465"/>
      <c r="G49" s="465"/>
      <c r="H49" s="465"/>
    </row>
    <row r="50" spans="3:8" ht="20.100000000000001" customHeight="1" x14ac:dyDescent="0.2">
      <c r="C50" s="465"/>
      <c r="D50" s="465"/>
      <c r="E50" s="465"/>
      <c r="F50" s="465"/>
      <c r="G50" s="465"/>
      <c r="H50" s="465"/>
    </row>
    <row r="51" spans="3:8" ht="20.100000000000001" customHeight="1" x14ac:dyDescent="0.2">
      <c r="C51" s="465"/>
      <c r="D51" s="465"/>
      <c r="E51" s="465"/>
      <c r="F51" s="465"/>
      <c r="G51" s="465"/>
      <c r="H51" s="465"/>
    </row>
    <row r="52" spans="3:8" ht="20.100000000000001" customHeight="1" x14ac:dyDescent="0.2">
      <c r="C52" s="465"/>
      <c r="D52" s="465"/>
      <c r="E52" s="465"/>
      <c r="F52" s="465"/>
      <c r="G52" s="465"/>
      <c r="H52" s="465"/>
    </row>
    <row r="53" spans="3:8" ht="20.100000000000001" customHeight="1" x14ac:dyDescent="0.2">
      <c r="C53" s="465"/>
      <c r="D53" s="465"/>
      <c r="E53" s="465"/>
      <c r="F53" s="465"/>
      <c r="G53" s="465"/>
      <c r="H53" s="465"/>
    </row>
    <row r="60" spans="3:8" ht="16.5" customHeight="1" x14ac:dyDescent="0.2"/>
    <row r="61" spans="3:8" ht="42" customHeight="1" x14ac:dyDescent="0.2"/>
    <row r="62" spans="3:8" ht="20.100000000000001" customHeight="1" x14ac:dyDescent="0.2"/>
    <row r="63" spans="3:8" ht="20.100000000000001" customHeight="1" x14ac:dyDescent="0.2"/>
    <row r="64" spans="3:8" ht="20.100000000000001" customHeight="1" x14ac:dyDescent="0.2"/>
    <row r="65" spans="9:15" ht="20.100000000000001" customHeight="1" x14ac:dyDescent="0.2"/>
    <row r="66" spans="9:15" ht="20.100000000000001" customHeight="1" x14ac:dyDescent="0.2"/>
    <row r="67" spans="9:15" ht="20.100000000000001" customHeight="1" x14ac:dyDescent="0.2"/>
    <row r="68" spans="9:15" ht="20.100000000000001" customHeight="1" x14ac:dyDescent="0.2"/>
    <row r="69" spans="9:15" ht="20.100000000000001" customHeight="1" x14ac:dyDescent="0.2"/>
    <row r="70" spans="9:15" ht="20.100000000000001" customHeight="1" x14ac:dyDescent="0.2"/>
    <row r="71" spans="9:15" ht="39.75" customHeight="1" x14ac:dyDescent="0.2"/>
    <row r="72" spans="9:15" ht="20.100000000000001" customHeight="1" x14ac:dyDescent="0.2"/>
    <row r="73" spans="9:15" ht="20.100000000000001" customHeight="1" x14ac:dyDescent="0.2"/>
    <row r="74" spans="9:15" ht="20.100000000000001" customHeight="1" x14ac:dyDescent="0.2"/>
    <row r="75" spans="9:15" ht="20.100000000000001" customHeight="1" x14ac:dyDescent="0.2"/>
    <row r="76" spans="9:15" ht="20.100000000000001" customHeight="1" x14ac:dyDescent="0.2">
      <c r="I76" s="466"/>
      <c r="J76" s="465"/>
      <c r="K76" s="465"/>
      <c r="L76" s="465"/>
      <c r="M76" s="465"/>
      <c r="N76" s="464"/>
      <c r="O76" s="463"/>
    </row>
  </sheetData>
  <sheetProtection algorithmName="SHA-512" hashValue="+VvSeujBhtc735mWYhaCLlViuETPHUQkyqjQWuq/0U7p65eHh1Ov1M3yVMPpv6ZPDkPd0r459V5QFV9okhfyBQ==" saltValue="aSCrMJNKVAlDQYmZ/4hfyw==" spinCount="100000" sheet="1" objects="1" scenarios="1"/>
  <mergeCells count="13">
    <mergeCell ref="C29:K29"/>
    <mergeCell ref="C27:D27"/>
    <mergeCell ref="J27:K27"/>
    <mergeCell ref="C19:K19"/>
    <mergeCell ref="C2:K2"/>
    <mergeCell ref="B5:B6"/>
    <mergeCell ref="B7:B8"/>
    <mergeCell ref="B9:B10"/>
    <mergeCell ref="B11:B12"/>
    <mergeCell ref="D14:K14"/>
    <mergeCell ref="D15:K15"/>
    <mergeCell ref="D16:K16"/>
    <mergeCell ref="C15:C16"/>
  </mergeCells>
  <conditionalFormatting sqref="Q4:Q15">
    <cfRule type="expression" dxfId="412" priority="4">
      <formula>AND($Q4&lt;$Q3, NOT(ISBLANK($Q4)))</formula>
    </cfRule>
    <cfRule type="cellIs" dxfId="411" priority="5" operator="greaterThan">
      <formula>#REF!</formula>
    </cfRule>
  </conditionalFormatting>
  <conditionalFormatting sqref="R4:R15">
    <cfRule type="cellIs" dxfId="410" priority="2" operator="greaterThan">
      <formula>1</formula>
    </cfRule>
  </conditionalFormatting>
  <dataValidations count="2">
    <dataValidation type="list" allowBlank="1" showInputMessage="1" showErrorMessage="1" sqref="C45:H53" xr:uid="{B2107AD8-0CB9-4D4D-89CF-75F74D2B97E8}">
      <formula1>$I$19:$I$20</formula1>
    </dataValidation>
    <dataValidation type="list" allowBlank="1" showInputMessage="1" showErrorMessage="1" sqref="B11 B9 B7 B5 I76 B21:B24" xr:uid="{EFFF5907-3868-4AF4-BAC2-19BC74A1B961}">
      <formula1>#REF!</formula1>
    </dataValidation>
  </dataValidations>
  <pageMargins left="0.25" right="0.25" top="0.75" bottom="0.75" header="0.3" footer="0.3"/>
  <pageSetup paperSize="9" scale="26" orientation="landscape" verticalDpi="598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2F87B-92E3-4351-B77E-891CFFB443E4}">
  <sheetPr codeName="Feuil2">
    <tabColor theme="6" tint="0.79998168889431442"/>
  </sheetPr>
  <dimension ref="B1:AI61"/>
  <sheetViews>
    <sheetView showGridLines="0" topLeftCell="A23" zoomScale="80" zoomScaleNormal="80" workbookViewId="0">
      <selection activeCell="C55" sqref="C5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.75" x14ac:dyDescent="0.3"/>
  <cols>
    <col min="1" max="1" width="4.42578125" style="381" customWidth="1"/>
    <col min="2" max="2" width="8.28515625" style="381" bestFit="1" customWidth="1"/>
    <col min="3" max="3" width="27.7109375" style="381" bestFit="1" customWidth="1"/>
    <col min="4" max="4" width="6.85546875" style="381" customWidth="1"/>
    <col min="5" max="5" width="6.28515625" style="381" customWidth="1"/>
    <col min="6" max="6" width="26.5703125" style="381" customWidth="1"/>
    <col min="7" max="7" width="14.85546875" style="381" customWidth="1"/>
    <col min="8" max="14" width="30.7109375" style="381" customWidth="1"/>
    <col min="15" max="16" width="11.42578125" style="381"/>
    <col min="17" max="17" width="15.5703125" style="381" customWidth="1"/>
    <col min="18" max="26" width="11.42578125" style="381"/>
    <col min="27" max="27" width="19.5703125" style="381" customWidth="1"/>
    <col min="28" max="28" width="12" style="381" customWidth="1"/>
    <col min="29" max="29" width="11" style="381" customWidth="1"/>
    <col min="30" max="30" width="13.28515625" style="381" customWidth="1"/>
    <col min="31" max="31" width="20" style="381" customWidth="1"/>
    <col min="32" max="34" width="11.42578125" style="381"/>
    <col min="35" max="35" width="26.5703125" style="381" bestFit="1" customWidth="1"/>
    <col min="36" max="36" width="20.28515625" style="381" customWidth="1"/>
    <col min="37" max="37" width="11.42578125" style="381" customWidth="1"/>
    <col min="38" max="16384" width="11.42578125" style="381"/>
  </cols>
  <sheetData>
    <row r="1" spans="2:35" ht="16.5" thickBot="1" x14ac:dyDescent="0.35">
      <c r="D1" s="380"/>
    </row>
    <row r="2" spans="2:35" ht="19.5" thickBot="1" x14ac:dyDescent="0.4">
      <c r="D2" s="384"/>
      <c r="H2" s="434">
        <v>1</v>
      </c>
      <c r="I2" s="502">
        <v>2</v>
      </c>
      <c r="J2" s="590"/>
      <c r="K2" s="590"/>
      <c r="L2" s="590"/>
      <c r="M2" s="590"/>
      <c r="N2" s="503">
        <v>3</v>
      </c>
      <c r="O2" s="385"/>
      <c r="P2" s="385"/>
      <c r="Q2" s="385"/>
    </row>
    <row r="3" spans="2:35" ht="46.5" customHeight="1" thickBot="1" x14ac:dyDescent="0.45">
      <c r="D3" s="384"/>
      <c r="E3" s="544" t="s">
        <v>15</v>
      </c>
      <c r="F3" s="545"/>
      <c r="G3" s="413" t="s">
        <v>0</v>
      </c>
      <c r="H3" s="582" t="str">
        <f>Synthèse!L$2</f>
        <v>Candidat(e)
1</v>
      </c>
      <c r="I3" s="583" t="str">
        <f>Synthèse!M$2</f>
        <v>Candidat(e)
2</v>
      </c>
      <c r="J3" s="584" t="str">
        <f>Synthèse!N$2</f>
        <v>Candidat(e)
3</v>
      </c>
      <c r="K3" s="585" t="str">
        <f>Synthèse!O$2</f>
        <v>Candidat(e)
4</v>
      </c>
      <c r="L3" s="586" t="str">
        <f>Synthèse!P$2</f>
        <v>Candidat(e)
5</v>
      </c>
      <c r="M3" s="587" t="str">
        <f>Synthèse!Q$2</f>
        <v>Candidat(e)
6</v>
      </c>
      <c r="N3" s="588" t="str">
        <f>Synthèse!R$2</f>
        <v>Candidat(e)
7</v>
      </c>
      <c r="O3" s="439" t="s">
        <v>3</v>
      </c>
      <c r="P3" s="440" t="s">
        <v>4</v>
      </c>
      <c r="Q3" s="435" t="s">
        <v>105</v>
      </c>
      <c r="Z3" s="539" t="s">
        <v>15</v>
      </c>
      <c r="AA3" s="540"/>
      <c r="AB3" s="400" t="s">
        <v>0</v>
      </c>
      <c r="AC3" s="541" t="s">
        <v>2</v>
      </c>
      <c r="AD3" s="542"/>
      <c r="AE3" s="543"/>
    </row>
    <row r="4" spans="2:35" ht="18.75" x14ac:dyDescent="0.35">
      <c r="B4" s="378" t="s">
        <v>11</v>
      </c>
      <c r="C4" s="379">
        <f>Synthèse!$B$17</f>
        <v>46103</v>
      </c>
      <c r="E4" s="414">
        <v>1</v>
      </c>
      <c r="F4" s="415" t="str" cm="1">
        <f t="array" aca="1" ref="F4" ca="1">INDIRECT("'Synthèse'!$B" &amp; ROW()-1)</f>
        <v>Ecole Chabaud</v>
      </c>
      <c r="G4" s="477">
        <f>Synthèse!C3</f>
        <v>553</v>
      </c>
      <c r="H4" s="592">
        <f ca="1">Synthèse!L3</f>
        <v>0</v>
      </c>
      <c r="I4" s="593">
        <f ca="1">Synthèse!M3</f>
        <v>0</v>
      </c>
      <c r="J4" s="593">
        <f ca="1">Synthèse!N3</f>
        <v>0</v>
      </c>
      <c r="K4" s="593">
        <f ca="1">Synthèse!O3</f>
        <v>0</v>
      </c>
      <c r="L4" s="593">
        <f ca="1">Synthèse!P3</f>
        <v>0</v>
      </c>
      <c r="M4" s="593">
        <f ca="1">Synthèse!Q3</f>
        <v>0</v>
      </c>
      <c r="N4" s="610">
        <f ca="1">Synthèse!R3</f>
        <v>0</v>
      </c>
      <c r="O4" s="416">
        <f ca="1">Synthèse!G3</f>
        <v>0</v>
      </c>
      <c r="P4" s="417">
        <f ca="1">Synthèse!H3</f>
        <v>0</v>
      </c>
      <c r="Q4" s="418" cm="1">
        <f t="array" aca="1" ref="Q4" ca="1">SUM(IFERROR(H4:P4,0))</f>
        <v>0</v>
      </c>
      <c r="Z4" s="401">
        <v>1</v>
      </c>
      <c r="AA4" s="402" t="str">
        <f>Synthèse!$B3</f>
        <v>Ecole Chabaud</v>
      </c>
      <c r="AB4" s="403">
        <f>Synthèse!$C3</f>
        <v>553</v>
      </c>
      <c r="AC4" s="404">
        <f ca="1">Synthèse!$E3</f>
        <v>0</v>
      </c>
      <c r="AD4" s="405">
        <f t="shared" ref="AD4:AE16" ca="1" si="0">$AC4/$AB4</f>
        <v>0</v>
      </c>
      <c r="AE4" s="388">
        <f t="shared" ca="1" si="0"/>
        <v>0</v>
      </c>
      <c r="AH4" s="378" t="s">
        <v>11</v>
      </c>
      <c r="AI4" s="379">
        <f>Synthèse!$B$17</f>
        <v>46103</v>
      </c>
    </row>
    <row r="5" spans="2:35" ht="18.75" x14ac:dyDescent="0.35">
      <c r="B5" s="382" t="s">
        <v>12</v>
      </c>
      <c r="C5" s="383" t="str">
        <f>Synthèse!$B$18</f>
        <v>Municipales 2ème tour</v>
      </c>
      <c r="E5" s="419">
        <v>2</v>
      </c>
      <c r="F5" s="420" t="str" cm="1">
        <f t="array" aca="1" ref="F5" ca="1">INDIRECT("'Synthèse'!$B" &amp; ROW()-1)</f>
        <v>Gymnase B</v>
      </c>
      <c r="G5" s="478">
        <f>Synthèse!C4</f>
        <v>740</v>
      </c>
      <c r="H5" s="421">
        <f ca="1">Synthèse!L4</f>
        <v>0</v>
      </c>
      <c r="I5" s="591">
        <f ca="1">Synthèse!M4</f>
        <v>0</v>
      </c>
      <c r="J5" s="591">
        <f ca="1">Synthèse!N4</f>
        <v>0</v>
      </c>
      <c r="K5" s="591">
        <f ca="1">Synthèse!O4</f>
        <v>0</v>
      </c>
      <c r="L5" s="591">
        <f ca="1">Synthèse!P4</f>
        <v>0</v>
      </c>
      <c r="M5" s="591">
        <f ca="1">Synthèse!Q4</f>
        <v>0</v>
      </c>
      <c r="N5" s="611">
        <f ca="1">Synthèse!R4</f>
        <v>0</v>
      </c>
      <c r="O5" s="422">
        <f ca="1">Synthèse!G4</f>
        <v>0</v>
      </c>
      <c r="P5" s="423">
        <f ca="1">Synthèse!H4</f>
        <v>0</v>
      </c>
      <c r="Q5" s="424" cm="1">
        <f t="array" aca="1" ref="Q5" ca="1">SUM(IFERROR(H5:P5,0))</f>
        <v>0</v>
      </c>
      <c r="Z5" s="401">
        <v>2</v>
      </c>
      <c r="AA5" s="402" t="str">
        <f>Synthèse!$B4</f>
        <v>Gymnase B</v>
      </c>
      <c r="AB5" s="406">
        <f>Synthèse!$C4</f>
        <v>740</v>
      </c>
      <c r="AC5" s="407">
        <f ca="1">Synthèse!$E4</f>
        <v>0</v>
      </c>
      <c r="AD5" s="408">
        <f t="shared" ca="1" si="0"/>
        <v>0</v>
      </c>
      <c r="AE5" s="388">
        <f t="shared" ca="1" si="0"/>
        <v>0</v>
      </c>
      <c r="AH5" s="382" t="s">
        <v>12</v>
      </c>
      <c r="AI5" s="383" t="str">
        <f>Synthèse!$B$18</f>
        <v>Municipales 2ème tour</v>
      </c>
    </row>
    <row r="6" spans="2:35" ht="19.5" thickBot="1" x14ac:dyDescent="0.4">
      <c r="B6" s="386" t="s">
        <v>13</v>
      </c>
      <c r="C6" s="387" t="str">
        <f>Synthèse!$B$19</f>
        <v>Cogolin</v>
      </c>
      <c r="E6" s="419">
        <v>3</v>
      </c>
      <c r="F6" s="420" t="str" cm="1">
        <f t="array" aca="1" ref="F6" ca="1">INDIRECT("'Synthèse'!$B" &amp; ROW()-1)</f>
        <v>Gymnase B</v>
      </c>
      <c r="G6" s="478">
        <f>Synthèse!C5</f>
        <v>713</v>
      </c>
      <c r="H6" s="421">
        <f ca="1">Synthèse!L5</f>
        <v>0</v>
      </c>
      <c r="I6" s="591">
        <f ca="1">Synthèse!M5</f>
        <v>0</v>
      </c>
      <c r="J6" s="591">
        <f ca="1">Synthèse!N5</f>
        <v>0</v>
      </c>
      <c r="K6" s="591">
        <f ca="1">Synthèse!O5</f>
        <v>0</v>
      </c>
      <c r="L6" s="591">
        <f ca="1">Synthèse!P5</f>
        <v>0</v>
      </c>
      <c r="M6" s="591">
        <f ca="1">Synthèse!Q5</f>
        <v>0</v>
      </c>
      <c r="N6" s="611">
        <f ca="1">Synthèse!R5</f>
        <v>0</v>
      </c>
      <c r="O6" s="422">
        <f ca="1">Synthèse!G5</f>
        <v>0</v>
      </c>
      <c r="P6" s="423">
        <f ca="1">Synthèse!H5</f>
        <v>0</v>
      </c>
      <c r="Q6" s="424" cm="1">
        <f t="array" aca="1" ref="Q6" ca="1">SUM(IFERROR(H6:P6,0))</f>
        <v>0</v>
      </c>
      <c r="Z6" s="401">
        <v>3</v>
      </c>
      <c r="AA6" s="402" t="str">
        <f>Synthèse!$B5</f>
        <v>Gymnase B</v>
      </c>
      <c r="AB6" s="406">
        <f>Synthèse!$C5</f>
        <v>713</v>
      </c>
      <c r="AC6" s="407">
        <f ca="1">Synthèse!$E5</f>
        <v>0</v>
      </c>
      <c r="AD6" s="408">
        <f t="shared" ca="1" si="0"/>
        <v>0</v>
      </c>
      <c r="AE6" s="388">
        <f t="shared" ca="1" si="0"/>
        <v>0</v>
      </c>
      <c r="AH6" s="386" t="s">
        <v>13</v>
      </c>
      <c r="AI6" s="387" t="str">
        <f>Synthèse!$B$19</f>
        <v>Cogolin</v>
      </c>
    </row>
    <row r="7" spans="2:35" ht="18.75" x14ac:dyDescent="0.35">
      <c r="E7" s="419">
        <v>4</v>
      </c>
      <c r="F7" s="420" t="str" cm="1">
        <f t="array" aca="1" ref="F7" ca="1">INDIRECT("'Synthèse'!$B" &amp; ROW()-1)</f>
        <v>Gymnase B</v>
      </c>
      <c r="G7" s="478">
        <f>Synthèse!C6</f>
        <v>679</v>
      </c>
      <c r="H7" s="421">
        <f ca="1">Synthèse!L6</f>
        <v>0</v>
      </c>
      <c r="I7" s="591">
        <f ca="1">Synthèse!M6</f>
        <v>0</v>
      </c>
      <c r="J7" s="591">
        <f ca="1">Synthèse!N6</f>
        <v>0</v>
      </c>
      <c r="K7" s="591">
        <f ca="1">Synthèse!O6</f>
        <v>0</v>
      </c>
      <c r="L7" s="591">
        <f ca="1">Synthèse!P6</f>
        <v>0</v>
      </c>
      <c r="M7" s="591">
        <f ca="1">Synthèse!Q6</f>
        <v>0</v>
      </c>
      <c r="N7" s="611">
        <f ca="1">Synthèse!R6</f>
        <v>0</v>
      </c>
      <c r="O7" s="422">
        <f ca="1">Synthèse!G6</f>
        <v>0</v>
      </c>
      <c r="P7" s="423">
        <f ca="1">Synthèse!H6</f>
        <v>0</v>
      </c>
      <c r="Q7" s="424" cm="1">
        <f t="array" aca="1" ref="Q7" ca="1">SUM(IFERROR(H7:P7,0))</f>
        <v>0</v>
      </c>
      <c r="Z7" s="401">
        <v>4</v>
      </c>
      <c r="AA7" s="402" t="str">
        <f>Synthèse!$B6</f>
        <v>Gymnase B</v>
      </c>
      <c r="AB7" s="406">
        <f>Synthèse!$C6</f>
        <v>679</v>
      </c>
      <c r="AC7" s="407">
        <f ca="1">Synthèse!$E6</f>
        <v>0</v>
      </c>
      <c r="AD7" s="408">
        <f t="shared" ca="1" si="0"/>
        <v>0</v>
      </c>
      <c r="AE7" s="388">
        <f t="shared" ca="1" si="0"/>
        <v>0</v>
      </c>
    </row>
    <row r="8" spans="2:35" ht="18.75" x14ac:dyDescent="0.35">
      <c r="E8" s="419">
        <v>5</v>
      </c>
      <c r="F8" s="420" t="str" cm="1">
        <f t="array" aca="1" ref="F8" ca="1">INDIRECT("'Synthèse'!$B" &amp; ROW()-1)</f>
        <v>COSEC</v>
      </c>
      <c r="G8" s="478">
        <f>Synthèse!C7</f>
        <v>701</v>
      </c>
      <c r="H8" s="421">
        <f ca="1">Synthèse!L7</f>
        <v>0</v>
      </c>
      <c r="I8" s="591">
        <f ca="1">Synthèse!M7</f>
        <v>0</v>
      </c>
      <c r="J8" s="591">
        <f ca="1">Synthèse!N7</f>
        <v>0</v>
      </c>
      <c r="K8" s="591">
        <f ca="1">Synthèse!O7</f>
        <v>0</v>
      </c>
      <c r="L8" s="591">
        <f ca="1">Synthèse!P7</f>
        <v>0</v>
      </c>
      <c r="M8" s="591">
        <f ca="1">Synthèse!Q7</f>
        <v>0</v>
      </c>
      <c r="N8" s="611">
        <f ca="1">Synthèse!R7</f>
        <v>0</v>
      </c>
      <c r="O8" s="422">
        <f ca="1">Synthèse!G7</f>
        <v>0</v>
      </c>
      <c r="P8" s="423">
        <f ca="1">Synthèse!H7</f>
        <v>0</v>
      </c>
      <c r="Q8" s="424" cm="1">
        <f t="array" aca="1" ref="Q8" ca="1">SUM(IFERROR(H8:P8,0))</f>
        <v>0</v>
      </c>
      <c r="Z8" s="401">
        <v>5</v>
      </c>
      <c r="AA8" s="402" t="str">
        <f>Synthèse!$B7</f>
        <v>COSEC</v>
      </c>
      <c r="AB8" s="406">
        <f>Synthèse!$C7</f>
        <v>701</v>
      </c>
      <c r="AC8" s="407">
        <f ca="1">Synthèse!$E7</f>
        <v>0</v>
      </c>
      <c r="AD8" s="408">
        <f t="shared" ca="1" si="0"/>
        <v>0</v>
      </c>
      <c r="AE8" s="388">
        <f t="shared" ca="1" si="0"/>
        <v>0</v>
      </c>
    </row>
    <row r="9" spans="2:35" ht="18.75" x14ac:dyDescent="0.35">
      <c r="E9" s="419">
        <v>6</v>
      </c>
      <c r="F9" s="420" t="str" cm="1">
        <f t="array" aca="1" ref="F9" ca="1">INDIRECT("'Synthèse'!$B" &amp; ROW()-1)</f>
        <v>COSEC</v>
      </c>
      <c r="G9" s="478">
        <f>Synthèse!C8</f>
        <v>712</v>
      </c>
      <c r="H9" s="421">
        <f ca="1">Synthèse!L8</f>
        <v>0</v>
      </c>
      <c r="I9" s="591">
        <f ca="1">Synthèse!M8</f>
        <v>0</v>
      </c>
      <c r="J9" s="591">
        <f ca="1">Synthèse!N8</f>
        <v>0</v>
      </c>
      <c r="K9" s="591">
        <f ca="1">Synthèse!O8</f>
        <v>0</v>
      </c>
      <c r="L9" s="591">
        <f ca="1">Synthèse!P8</f>
        <v>0</v>
      </c>
      <c r="M9" s="591">
        <f ca="1">Synthèse!Q8</f>
        <v>0</v>
      </c>
      <c r="N9" s="611">
        <f ca="1">Synthèse!R8</f>
        <v>0</v>
      </c>
      <c r="O9" s="422">
        <f ca="1">Synthèse!G8</f>
        <v>0</v>
      </c>
      <c r="P9" s="423">
        <f ca="1">Synthèse!H8</f>
        <v>0</v>
      </c>
      <c r="Q9" s="424" cm="1">
        <f t="array" aca="1" ref="Q9" ca="1">SUM(IFERROR(H9:P9,0))</f>
        <v>0</v>
      </c>
      <c r="Z9" s="401">
        <v>6</v>
      </c>
      <c r="AA9" s="402" t="str">
        <f>Synthèse!$B8</f>
        <v>COSEC</v>
      </c>
      <c r="AB9" s="406">
        <f>Synthèse!$C8</f>
        <v>712</v>
      </c>
      <c r="AC9" s="407">
        <f ca="1">Synthèse!$E8</f>
        <v>0</v>
      </c>
      <c r="AD9" s="408">
        <f t="shared" ca="1" si="0"/>
        <v>0</v>
      </c>
      <c r="AE9" s="388">
        <f t="shared" ca="1" si="0"/>
        <v>0</v>
      </c>
    </row>
    <row r="10" spans="2:35" ht="18.75" x14ac:dyDescent="0.35">
      <c r="E10" s="419">
        <v>7</v>
      </c>
      <c r="F10" s="420" t="str" cm="1">
        <f t="array" aca="1" ref="F10" ca="1">INDIRECT("'Synthèse'!$B" &amp; ROW()-1)</f>
        <v>COSEC</v>
      </c>
      <c r="G10" s="478">
        <f>Synthèse!C9</f>
        <v>731</v>
      </c>
      <c r="H10" s="421">
        <f ca="1">Synthèse!L9</f>
        <v>0</v>
      </c>
      <c r="I10" s="591">
        <f ca="1">Synthèse!M9</f>
        <v>0</v>
      </c>
      <c r="J10" s="591">
        <f ca="1">Synthèse!N9</f>
        <v>0</v>
      </c>
      <c r="K10" s="591">
        <f ca="1">Synthèse!O9</f>
        <v>0</v>
      </c>
      <c r="L10" s="591">
        <f ca="1">Synthèse!P9</f>
        <v>0</v>
      </c>
      <c r="M10" s="591">
        <f ca="1">Synthèse!Q9</f>
        <v>0</v>
      </c>
      <c r="N10" s="611">
        <f ca="1">Synthèse!R9</f>
        <v>0</v>
      </c>
      <c r="O10" s="422">
        <f ca="1">Synthèse!G9</f>
        <v>0</v>
      </c>
      <c r="P10" s="423">
        <f ca="1">Synthèse!H9</f>
        <v>0</v>
      </c>
      <c r="Q10" s="424" cm="1">
        <f t="array" aca="1" ref="Q10" ca="1">SUM(IFERROR(H10:P10,0))</f>
        <v>0</v>
      </c>
      <c r="Z10" s="401">
        <v>7</v>
      </c>
      <c r="AA10" s="402" t="str">
        <f>Synthèse!$B9</f>
        <v>COSEC</v>
      </c>
      <c r="AB10" s="406">
        <f>Synthèse!$C9</f>
        <v>731</v>
      </c>
      <c r="AC10" s="407">
        <f ca="1">Synthèse!$E9</f>
        <v>0</v>
      </c>
      <c r="AD10" s="408">
        <f t="shared" ca="1" si="0"/>
        <v>0</v>
      </c>
      <c r="AE10" s="388">
        <f t="shared" ca="1" si="0"/>
        <v>0</v>
      </c>
    </row>
    <row r="11" spans="2:35" ht="18.75" x14ac:dyDescent="0.35">
      <c r="E11" s="419">
        <v>8</v>
      </c>
      <c r="F11" s="420" t="str" cm="1">
        <f t="array" aca="1" ref="F11" ca="1">INDIRECT("'Synthèse'!$B" &amp; ROW()-1)</f>
        <v>COSEC</v>
      </c>
      <c r="G11" s="478">
        <f>Synthèse!C10</f>
        <v>646</v>
      </c>
      <c r="H11" s="421">
        <f ca="1">Synthèse!L10</f>
        <v>0</v>
      </c>
      <c r="I11" s="591">
        <f ca="1">Synthèse!M10</f>
        <v>0</v>
      </c>
      <c r="J11" s="591">
        <f ca="1">Synthèse!N10</f>
        <v>0</v>
      </c>
      <c r="K11" s="591">
        <f ca="1">Synthèse!O10</f>
        <v>0</v>
      </c>
      <c r="L11" s="591">
        <f ca="1">Synthèse!P10</f>
        <v>0</v>
      </c>
      <c r="M11" s="591">
        <f ca="1">Synthèse!Q10</f>
        <v>0</v>
      </c>
      <c r="N11" s="611">
        <f ca="1">Synthèse!R10</f>
        <v>0</v>
      </c>
      <c r="O11" s="422">
        <f ca="1">Synthèse!G10</f>
        <v>0</v>
      </c>
      <c r="P11" s="441">
        <f ca="1">Synthèse!H10</f>
        <v>0</v>
      </c>
      <c r="Q11" s="424" cm="1">
        <f t="array" aca="1" ref="Q11" ca="1">SUM(IFERROR(H11:P11,0))</f>
        <v>0</v>
      </c>
      <c r="Z11" s="401">
        <v>8</v>
      </c>
      <c r="AA11" s="402" t="str">
        <f>Synthèse!$B10</f>
        <v>COSEC</v>
      </c>
      <c r="AB11" s="406">
        <f>Synthèse!$C10</f>
        <v>646</v>
      </c>
      <c r="AC11" s="407">
        <f ca="1">Synthèse!$E10</f>
        <v>0</v>
      </c>
      <c r="AD11" s="408">
        <f t="shared" ca="1" si="0"/>
        <v>0</v>
      </c>
      <c r="AE11" s="388">
        <f t="shared" ca="1" si="0"/>
        <v>0</v>
      </c>
    </row>
    <row r="12" spans="2:35" ht="18.75" x14ac:dyDescent="0.35">
      <c r="E12" s="419">
        <v>9</v>
      </c>
      <c r="F12" s="420" t="str" cm="1">
        <f t="array" aca="1" ref="F12" ca="1">INDIRECT("'Synthèse'!$B" &amp; ROW()-1)</f>
        <v>CMM</v>
      </c>
      <c r="G12" s="478">
        <f>Synthèse!C11</f>
        <v>709</v>
      </c>
      <c r="H12" s="421">
        <f ca="1">Synthèse!L11</f>
        <v>0</v>
      </c>
      <c r="I12" s="591">
        <f ca="1">Synthèse!M11</f>
        <v>0</v>
      </c>
      <c r="J12" s="591">
        <f ca="1">Synthèse!N11</f>
        <v>0</v>
      </c>
      <c r="K12" s="591">
        <f ca="1">Synthèse!O11</f>
        <v>0</v>
      </c>
      <c r="L12" s="591">
        <f ca="1">Synthèse!P11</f>
        <v>0</v>
      </c>
      <c r="M12" s="591">
        <f ca="1">Synthèse!Q11</f>
        <v>0</v>
      </c>
      <c r="N12" s="611">
        <f ca="1">Synthèse!R11</f>
        <v>0</v>
      </c>
      <c r="O12" s="422">
        <f ca="1">Synthèse!G11</f>
        <v>0</v>
      </c>
      <c r="P12" s="423">
        <f ca="1">Synthèse!H11</f>
        <v>0</v>
      </c>
      <c r="Q12" s="424" cm="1">
        <f t="array" aca="1" ref="Q12" ca="1">SUM(IFERROR(H12:P12,0))</f>
        <v>0</v>
      </c>
      <c r="Z12" s="401">
        <v>9</v>
      </c>
      <c r="AA12" s="402" t="str">
        <f>Synthèse!$B11</f>
        <v>CMM</v>
      </c>
      <c r="AB12" s="406">
        <f>Synthèse!$C11</f>
        <v>709</v>
      </c>
      <c r="AC12" s="407">
        <f ca="1">Synthèse!$E11</f>
        <v>0</v>
      </c>
      <c r="AD12" s="408">
        <f t="shared" ca="1" si="0"/>
        <v>0</v>
      </c>
      <c r="AE12" s="388">
        <f t="shared" ca="1" si="0"/>
        <v>0</v>
      </c>
    </row>
    <row r="13" spans="2:35" ht="18.75" x14ac:dyDescent="0.35">
      <c r="E13" s="419">
        <v>10</v>
      </c>
      <c r="F13" s="420" t="str" cm="1">
        <f t="array" aca="1" ref="F13" ca="1">INDIRECT("'Synthèse'!$B" &amp; ROW()-1)</f>
        <v>CMM</v>
      </c>
      <c r="G13" s="478">
        <f>Synthèse!C12</f>
        <v>609</v>
      </c>
      <c r="H13" s="421">
        <f ca="1">Synthèse!L12</f>
        <v>0</v>
      </c>
      <c r="I13" s="591">
        <f ca="1">Synthèse!M12</f>
        <v>0</v>
      </c>
      <c r="J13" s="591">
        <f ca="1">Synthèse!N12</f>
        <v>0</v>
      </c>
      <c r="K13" s="591">
        <f ca="1">Synthèse!O12</f>
        <v>0</v>
      </c>
      <c r="L13" s="591">
        <f ca="1">Synthèse!P12</f>
        <v>0</v>
      </c>
      <c r="M13" s="591">
        <f ca="1">Synthèse!Q12</f>
        <v>0</v>
      </c>
      <c r="N13" s="611">
        <f ca="1">Synthèse!R12</f>
        <v>0</v>
      </c>
      <c r="O13" s="422">
        <f ca="1">Synthèse!G12</f>
        <v>0</v>
      </c>
      <c r="P13" s="423">
        <f ca="1">Synthèse!H12</f>
        <v>0</v>
      </c>
      <c r="Q13" s="424" cm="1">
        <f t="array" aca="1" ref="Q13" ca="1">SUM(IFERROR(H13:P13,0))</f>
        <v>0</v>
      </c>
      <c r="Z13" s="401">
        <v>10</v>
      </c>
      <c r="AA13" s="402" t="str">
        <f>Synthèse!$B12</f>
        <v>CMM</v>
      </c>
      <c r="AB13" s="406">
        <f>Synthèse!$C12</f>
        <v>609</v>
      </c>
      <c r="AC13" s="407">
        <f ca="1">Synthèse!$E12</f>
        <v>0</v>
      </c>
      <c r="AD13" s="408">
        <f t="shared" ca="1" si="0"/>
        <v>0</v>
      </c>
      <c r="AE13" s="388">
        <f t="shared" ca="1" si="0"/>
        <v>0</v>
      </c>
    </row>
    <row r="14" spans="2:35" ht="18.75" x14ac:dyDescent="0.35">
      <c r="E14" s="419">
        <v>11</v>
      </c>
      <c r="F14" s="420" t="str" cm="1">
        <f t="array" aca="1" ref="F14" ca="1">INDIRECT("'Synthèse'!$B" &amp; ROW()-1)</f>
        <v>CMM</v>
      </c>
      <c r="G14" s="478">
        <f>Synthèse!C13</f>
        <v>691</v>
      </c>
      <c r="H14" s="421">
        <f ca="1">Synthèse!L13</f>
        <v>0</v>
      </c>
      <c r="I14" s="591">
        <f ca="1">Synthèse!M13</f>
        <v>0</v>
      </c>
      <c r="J14" s="591">
        <f ca="1">Synthèse!N13</f>
        <v>0</v>
      </c>
      <c r="K14" s="591">
        <f ca="1">Synthèse!O13</f>
        <v>0</v>
      </c>
      <c r="L14" s="591">
        <f ca="1">Synthèse!P13</f>
        <v>0</v>
      </c>
      <c r="M14" s="591">
        <f ca="1">Synthèse!Q13</f>
        <v>0</v>
      </c>
      <c r="N14" s="611">
        <f ca="1">Synthèse!R13</f>
        <v>0</v>
      </c>
      <c r="O14" s="422">
        <f ca="1">Synthèse!G13</f>
        <v>0</v>
      </c>
      <c r="P14" s="423">
        <f ca="1">Synthèse!H13</f>
        <v>0</v>
      </c>
      <c r="Q14" s="424" cm="1">
        <f t="array" aca="1" ref="Q14" ca="1">SUM(IFERROR(H14:P14,0))</f>
        <v>0</v>
      </c>
      <c r="Z14" s="401">
        <v>11</v>
      </c>
      <c r="AA14" s="402" t="str">
        <f>Synthèse!$B13</f>
        <v>CMM</v>
      </c>
      <c r="AB14" s="406">
        <f>Synthèse!$C13</f>
        <v>691</v>
      </c>
      <c r="AC14" s="407">
        <f ca="1">Synthèse!$E13</f>
        <v>0</v>
      </c>
      <c r="AD14" s="408">
        <f t="shared" ca="1" si="0"/>
        <v>0</v>
      </c>
      <c r="AE14" s="388">
        <f t="shared" ca="1" si="0"/>
        <v>0</v>
      </c>
    </row>
    <row r="15" spans="2:35" ht="19.5" thickBot="1" x14ac:dyDescent="0.4">
      <c r="B15" s="531" t="s">
        <v>116</v>
      </c>
      <c r="C15" s="531"/>
      <c r="E15" s="425">
        <v>12</v>
      </c>
      <c r="F15" s="426" t="str" cm="1">
        <f t="array" aca="1" ref="F15" ca="1">INDIRECT("'Synthèse'!$B" &amp; ROW()-1)</f>
        <v>Base nautique</v>
      </c>
      <c r="G15" s="479">
        <f>Synthèse!C14</f>
        <v>680</v>
      </c>
      <c r="H15" s="421">
        <f ca="1">Synthèse!L14</f>
        <v>0</v>
      </c>
      <c r="I15" s="591">
        <f ca="1">Synthèse!M14</f>
        <v>0</v>
      </c>
      <c r="J15" s="591">
        <f ca="1">Synthèse!N14</f>
        <v>0</v>
      </c>
      <c r="K15" s="591">
        <f ca="1">Synthèse!O14</f>
        <v>0</v>
      </c>
      <c r="L15" s="591">
        <f ca="1">Synthèse!P14</f>
        <v>0</v>
      </c>
      <c r="M15" s="591">
        <f ca="1">Synthèse!Q14</f>
        <v>0</v>
      </c>
      <c r="N15" s="611">
        <f ca="1">Synthèse!R14</f>
        <v>0</v>
      </c>
      <c r="O15" s="427">
        <f ca="1">Synthèse!G14</f>
        <v>0</v>
      </c>
      <c r="P15" s="428">
        <f ca="1">Synthèse!H14</f>
        <v>0</v>
      </c>
      <c r="Q15" s="429" cm="1">
        <f t="array" aca="1" ref="Q15" ca="1">SUM(IFERROR(H15:P15,0))</f>
        <v>0</v>
      </c>
      <c r="Z15" s="409">
        <v>12</v>
      </c>
      <c r="AA15" s="402" t="str">
        <f>Synthèse!$B14</f>
        <v>Base nautique</v>
      </c>
      <c r="AB15" s="410">
        <f>Synthèse!$C14</f>
        <v>680</v>
      </c>
      <c r="AC15" s="411">
        <f ca="1">Synthèse!$E14</f>
        <v>0</v>
      </c>
      <c r="AD15" s="412">
        <f t="shared" ca="1" si="0"/>
        <v>0</v>
      </c>
      <c r="AE15" s="388">
        <f t="shared" ca="1" si="0"/>
        <v>0</v>
      </c>
      <c r="AH15" s="531" t="s">
        <v>116</v>
      </c>
      <c r="AI15" s="531"/>
    </row>
    <row r="16" spans="2:35" ht="27.75" customHeight="1" thickBot="1" x14ac:dyDescent="0.35">
      <c r="B16" s="532">
        <f ca="1">NOW()</f>
        <v>46095.781900925926</v>
      </c>
      <c r="C16" s="532"/>
      <c r="E16" s="546" t="s">
        <v>16</v>
      </c>
      <c r="F16" s="547"/>
      <c r="G16" s="430">
        <f>Synthèse!C15</f>
        <v>8164</v>
      </c>
      <c r="H16" s="594">
        <f ca="1">Synthèse!L15</f>
        <v>0</v>
      </c>
      <c r="I16" s="595">
        <f ca="1">Synthèse!M15</f>
        <v>0</v>
      </c>
      <c r="J16" s="595">
        <f ca="1">Synthèse!N15</f>
        <v>0</v>
      </c>
      <c r="K16" s="595">
        <f ca="1">Synthèse!O15</f>
        <v>0</v>
      </c>
      <c r="L16" s="595">
        <f ca="1">Synthèse!P15</f>
        <v>0</v>
      </c>
      <c r="M16" s="595">
        <f ca="1">Synthèse!Q15</f>
        <v>0</v>
      </c>
      <c r="N16" s="612">
        <f ca="1">Synthèse!R15</f>
        <v>0</v>
      </c>
      <c r="O16" s="431">
        <f ca="1">Synthèse!G15</f>
        <v>0</v>
      </c>
      <c r="P16" s="432">
        <f ca="1">Synthèse!H15</f>
        <v>0</v>
      </c>
      <c r="Q16" s="433" cm="1">
        <f t="array" aca="1" ref="Q16" ca="1">SUM(IFERROR(H16:P16,0))</f>
        <v>0</v>
      </c>
      <c r="Z16" s="529" t="s">
        <v>9</v>
      </c>
      <c r="AA16" s="530"/>
      <c r="AB16" s="436">
        <f>Synthèse!$C15</f>
        <v>8164</v>
      </c>
      <c r="AC16" s="437">
        <f ca="1">Synthèse!$E15</f>
        <v>0</v>
      </c>
      <c r="AD16" s="438">
        <f t="shared" ca="1" si="0"/>
        <v>0</v>
      </c>
      <c r="AE16" s="389">
        <f t="shared" ca="1" si="0"/>
        <v>0</v>
      </c>
      <c r="AH16" s="532">
        <f ca="1">NOW()</f>
        <v>46095.781900925926</v>
      </c>
      <c r="AI16" s="532"/>
    </row>
    <row r="17" spans="5:14" ht="13.5" customHeight="1" thickBot="1" x14ac:dyDescent="0.35"/>
    <row r="18" spans="5:14" ht="39" customHeight="1" thickBot="1" x14ac:dyDescent="0.35">
      <c r="E18" s="538" t="s">
        <v>104</v>
      </c>
      <c r="F18" s="538"/>
      <c r="G18" s="538"/>
      <c r="H18" s="535">
        <f ca="1">IFERROR(Q16/Synthèse!$E$15,0)</f>
        <v>0</v>
      </c>
      <c r="I18" s="536"/>
      <c r="J18" s="536"/>
      <c r="K18" s="536"/>
      <c r="L18" s="536"/>
      <c r="M18" s="536"/>
      <c r="N18" s="537"/>
    </row>
    <row r="19" spans="5:14" ht="12.75" customHeight="1" thickBot="1" x14ac:dyDescent="0.35">
      <c r="H19" s="390"/>
      <c r="I19" s="390"/>
      <c r="J19" s="390"/>
      <c r="K19" s="390"/>
      <c r="L19" s="390"/>
      <c r="M19" s="390"/>
    </row>
    <row r="20" spans="5:14" ht="16.5" thickBot="1" x14ac:dyDescent="0.35">
      <c r="H20" s="613">
        <v>1</v>
      </c>
      <c r="I20" s="614">
        <v>2</v>
      </c>
      <c r="J20" s="614">
        <v>3</v>
      </c>
      <c r="K20" s="614">
        <v>4</v>
      </c>
      <c r="L20" s="614">
        <v>5</v>
      </c>
      <c r="M20" s="614">
        <v>6</v>
      </c>
      <c r="N20" s="615">
        <v>7</v>
      </c>
    </row>
    <row r="21" spans="5:14" ht="32.25" thickBot="1" x14ac:dyDescent="0.35">
      <c r="E21" s="527" t="s">
        <v>15</v>
      </c>
      <c r="F21" s="528"/>
      <c r="G21" s="596" t="s">
        <v>0</v>
      </c>
      <c r="H21" s="582" t="str">
        <f t="shared" ref="H21:N21" si="1">H3</f>
        <v>Candidat(e)
1</v>
      </c>
      <c r="I21" s="583" t="str">
        <f t="shared" ref="I21:M21" si="2">I3</f>
        <v>Candidat(e)
2</v>
      </c>
      <c r="J21" s="584" t="str">
        <f t="shared" si="2"/>
        <v>Candidat(e)
3</v>
      </c>
      <c r="K21" s="585" t="str">
        <f t="shared" si="2"/>
        <v>Candidat(e)
4</v>
      </c>
      <c r="L21" s="586" t="str">
        <f t="shared" si="2"/>
        <v>Candidat(e)
5</v>
      </c>
      <c r="M21" s="587" t="str">
        <f t="shared" si="2"/>
        <v>Candidat(e)
6</v>
      </c>
      <c r="N21" s="588" t="str">
        <f t="shared" si="1"/>
        <v>Candidat(e)
7</v>
      </c>
    </row>
    <row r="22" spans="5:14" x14ac:dyDescent="0.3">
      <c r="E22" s="391">
        <v>1</v>
      </c>
      <c r="F22" s="392" t="str">
        <f t="shared" ref="F22:F33" ca="1" si="3">F4</f>
        <v>Ecole Chabaud</v>
      </c>
      <c r="G22" s="597">
        <f>Synthèse!C3</f>
        <v>553</v>
      </c>
      <c r="H22" s="605">
        <f ca="1">IF($Q4&lt;&gt;0,H4/$Q4,0)</f>
        <v>0</v>
      </c>
      <c r="I22" s="606">
        <f t="shared" ref="I22:M22" ca="1" si="4">IF($Q4&lt;&gt;0,I4/$Q4,0)</f>
        <v>0</v>
      </c>
      <c r="J22" s="606">
        <f t="shared" ca="1" si="4"/>
        <v>0</v>
      </c>
      <c r="K22" s="606">
        <f t="shared" ca="1" si="4"/>
        <v>0</v>
      </c>
      <c r="L22" s="606">
        <f t="shared" ca="1" si="4"/>
        <v>0</v>
      </c>
      <c r="M22" s="606">
        <f t="shared" ref="M22" ca="1" si="5">IF($Q4&lt;&gt;0,M4/$Q4,0)</f>
        <v>0</v>
      </c>
      <c r="N22" s="607">
        <f t="shared" ref="N22:N34" ca="1" si="6">IF($Q4&lt;&gt;0,N4/$Q4,0)</f>
        <v>0</v>
      </c>
    </row>
    <row r="23" spans="5:14" x14ac:dyDescent="0.3">
      <c r="E23" s="393">
        <v>2</v>
      </c>
      <c r="F23" s="394" t="str">
        <f t="shared" ca="1" si="3"/>
        <v>Gymnase B</v>
      </c>
      <c r="G23" s="598">
        <f>Synthèse!C4</f>
        <v>740</v>
      </c>
      <c r="H23" s="608">
        <f t="shared" ref="H23:L23" ca="1" si="7">IF($Q5&lt;&gt;0,H5/$Q5,0)</f>
        <v>0</v>
      </c>
      <c r="I23" s="600">
        <f t="shared" ref="I23:M23" ca="1" si="8">IF($Q5&lt;&gt;0,I5/$Q5,0)</f>
        <v>0</v>
      </c>
      <c r="J23" s="600">
        <f t="shared" ca="1" si="8"/>
        <v>0</v>
      </c>
      <c r="K23" s="600">
        <f t="shared" ca="1" si="8"/>
        <v>0</v>
      </c>
      <c r="L23" s="600">
        <f t="shared" ca="1" si="8"/>
        <v>0</v>
      </c>
      <c r="M23" s="600">
        <f t="shared" ref="M23" ca="1" si="9">IF($Q5&lt;&gt;0,M5/$Q5,0)</f>
        <v>0</v>
      </c>
      <c r="N23" s="609">
        <f t="shared" ca="1" si="6"/>
        <v>0</v>
      </c>
    </row>
    <row r="24" spans="5:14" x14ac:dyDescent="0.3">
      <c r="E24" s="393">
        <v>3</v>
      </c>
      <c r="F24" s="394" t="str">
        <f t="shared" ca="1" si="3"/>
        <v>Gymnase B</v>
      </c>
      <c r="G24" s="598">
        <f>Synthèse!C5</f>
        <v>713</v>
      </c>
      <c r="H24" s="608">
        <f t="shared" ref="H24:L24" ca="1" si="10">IF($Q6&lt;&gt;0,H6/$Q6,0)</f>
        <v>0</v>
      </c>
      <c r="I24" s="600">
        <f t="shared" ref="I24:M24" ca="1" si="11">IF($Q6&lt;&gt;0,I6/$Q6,0)</f>
        <v>0</v>
      </c>
      <c r="J24" s="600">
        <f t="shared" ca="1" si="11"/>
        <v>0</v>
      </c>
      <c r="K24" s="600">
        <f t="shared" ca="1" si="11"/>
        <v>0</v>
      </c>
      <c r="L24" s="600">
        <f t="shared" ca="1" si="11"/>
        <v>0</v>
      </c>
      <c r="M24" s="600">
        <f t="shared" ref="M24" ca="1" si="12">IF($Q6&lt;&gt;0,M6/$Q6,0)</f>
        <v>0</v>
      </c>
      <c r="N24" s="609">
        <f t="shared" ca="1" si="6"/>
        <v>0</v>
      </c>
    </row>
    <row r="25" spans="5:14" x14ac:dyDescent="0.3">
      <c r="E25" s="393">
        <v>4</v>
      </c>
      <c r="F25" s="394" t="str">
        <f t="shared" ca="1" si="3"/>
        <v>Gymnase B</v>
      </c>
      <c r="G25" s="598">
        <f>Synthèse!C6</f>
        <v>679</v>
      </c>
      <c r="H25" s="608">
        <f t="shared" ref="H25:L25" ca="1" si="13">IF($Q7&lt;&gt;0,H7/$Q7,0)</f>
        <v>0</v>
      </c>
      <c r="I25" s="600">
        <f t="shared" ref="I25:M25" ca="1" si="14">IF($Q7&lt;&gt;0,I7/$Q7,0)</f>
        <v>0</v>
      </c>
      <c r="J25" s="600">
        <f t="shared" ca="1" si="14"/>
        <v>0</v>
      </c>
      <c r="K25" s="600">
        <f t="shared" ca="1" si="14"/>
        <v>0</v>
      </c>
      <c r="L25" s="600">
        <f t="shared" ca="1" si="14"/>
        <v>0</v>
      </c>
      <c r="M25" s="600">
        <f t="shared" ref="M25" ca="1" si="15">IF($Q7&lt;&gt;0,M7/$Q7,0)</f>
        <v>0</v>
      </c>
      <c r="N25" s="609">
        <f t="shared" ca="1" si="6"/>
        <v>0</v>
      </c>
    </row>
    <row r="26" spans="5:14" x14ac:dyDescent="0.3">
      <c r="E26" s="393">
        <v>5</v>
      </c>
      <c r="F26" s="394" t="str">
        <f t="shared" ca="1" si="3"/>
        <v>COSEC</v>
      </c>
      <c r="G26" s="598">
        <f>Synthèse!C7</f>
        <v>701</v>
      </c>
      <c r="H26" s="608">
        <f t="shared" ref="H26:L26" ca="1" si="16">IF($Q8&lt;&gt;0,H8/$Q8,0)</f>
        <v>0</v>
      </c>
      <c r="I26" s="600">
        <f t="shared" ref="I26:M26" ca="1" si="17">IF($Q8&lt;&gt;0,I8/$Q8,0)</f>
        <v>0</v>
      </c>
      <c r="J26" s="600">
        <f t="shared" ca="1" si="17"/>
        <v>0</v>
      </c>
      <c r="K26" s="600">
        <f t="shared" ca="1" si="17"/>
        <v>0</v>
      </c>
      <c r="L26" s="600">
        <f t="shared" ca="1" si="17"/>
        <v>0</v>
      </c>
      <c r="M26" s="600">
        <f t="shared" ref="M26" ca="1" si="18">IF($Q8&lt;&gt;0,M8/$Q8,0)</f>
        <v>0</v>
      </c>
      <c r="N26" s="609">
        <f t="shared" ca="1" si="6"/>
        <v>0</v>
      </c>
    </row>
    <row r="27" spans="5:14" x14ac:dyDescent="0.3">
      <c r="E27" s="393">
        <v>6</v>
      </c>
      <c r="F27" s="394" t="str">
        <f t="shared" ca="1" si="3"/>
        <v>COSEC</v>
      </c>
      <c r="G27" s="598">
        <f>Synthèse!C8</f>
        <v>712</v>
      </c>
      <c r="H27" s="608">
        <f t="shared" ref="H27:L27" ca="1" si="19">IF($Q9&lt;&gt;0,H9/$Q9,0)</f>
        <v>0</v>
      </c>
      <c r="I27" s="600">
        <f t="shared" ref="I27:M27" ca="1" si="20">IF($Q9&lt;&gt;0,I9/$Q9,0)</f>
        <v>0</v>
      </c>
      <c r="J27" s="600">
        <f t="shared" ca="1" si="20"/>
        <v>0</v>
      </c>
      <c r="K27" s="600">
        <f t="shared" ca="1" si="20"/>
        <v>0</v>
      </c>
      <c r="L27" s="600">
        <f t="shared" ca="1" si="20"/>
        <v>0</v>
      </c>
      <c r="M27" s="600">
        <f t="shared" ref="M27" ca="1" si="21">IF($Q9&lt;&gt;0,M9/$Q9,0)</f>
        <v>0</v>
      </c>
      <c r="N27" s="609">
        <f t="shared" ca="1" si="6"/>
        <v>0</v>
      </c>
    </row>
    <row r="28" spans="5:14" x14ac:dyDescent="0.3">
      <c r="E28" s="393">
        <v>7</v>
      </c>
      <c r="F28" s="394" t="str">
        <f t="shared" ca="1" si="3"/>
        <v>COSEC</v>
      </c>
      <c r="G28" s="598">
        <f>Synthèse!C9</f>
        <v>731</v>
      </c>
      <c r="H28" s="608">
        <f t="shared" ref="H28:L28" ca="1" si="22">IF($Q10&lt;&gt;0,H10/$Q10,0)</f>
        <v>0</v>
      </c>
      <c r="I28" s="600">
        <f t="shared" ref="I28:M28" ca="1" si="23">IF($Q10&lt;&gt;0,I10/$Q10,0)</f>
        <v>0</v>
      </c>
      <c r="J28" s="600">
        <f t="shared" ca="1" si="23"/>
        <v>0</v>
      </c>
      <c r="K28" s="600">
        <f t="shared" ca="1" si="23"/>
        <v>0</v>
      </c>
      <c r="L28" s="600">
        <f t="shared" ca="1" si="23"/>
        <v>0</v>
      </c>
      <c r="M28" s="600">
        <f t="shared" ref="M28" ca="1" si="24">IF($Q10&lt;&gt;0,M10/$Q10,0)</f>
        <v>0</v>
      </c>
      <c r="N28" s="609">
        <f t="shared" ca="1" si="6"/>
        <v>0</v>
      </c>
    </row>
    <row r="29" spans="5:14" x14ac:dyDescent="0.3">
      <c r="E29" s="393">
        <v>8</v>
      </c>
      <c r="F29" s="394" t="str">
        <f t="shared" ca="1" si="3"/>
        <v>COSEC</v>
      </c>
      <c r="G29" s="598">
        <f>Synthèse!C10</f>
        <v>646</v>
      </c>
      <c r="H29" s="608">
        <f t="shared" ref="H29:L29" ca="1" si="25">IF($Q11&lt;&gt;0,H11/$Q11,0)</f>
        <v>0</v>
      </c>
      <c r="I29" s="600">
        <f t="shared" ref="I29:M29" ca="1" si="26">IF($Q11&lt;&gt;0,I11/$Q11,0)</f>
        <v>0</v>
      </c>
      <c r="J29" s="600">
        <f t="shared" ca="1" si="26"/>
        <v>0</v>
      </c>
      <c r="K29" s="600">
        <f t="shared" ca="1" si="26"/>
        <v>0</v>
      </c>
      <c r="L29" s="600">
        <f t="shared" ca="1" si="26"/>
        <v>0</v>
      </c>
      <c r="M29" s="600">
        <f t="shared" ref="M29" ca="1" si="27">IF($Q11&lt;&gt;0,M11/$Q11,0)</f>
        <v>0</v>
      </c>
      <c r="N29" s="609">
        <f t="shared" ca="1" si="6"/>
        <v>0</v>
      </c>
    </row>
    <row r="30" spans="5:14" x14ac:dyDescent="0.3">
      <c r="E30" s="393">
        <v>9</v>
      </c>
      <c r="F30" s="394" t="str">
        <f t="shared" ca="1" si="3"/>
        <v>CMM</v>
      </c>
      <c r="G30" s="598">
        <f>Synthèse!C11</f>
        <v>709</v>
      </c>
      <c r="H30" s="608">
        <f t="shared" ref="H30:L30" ca="1" si="28">IF($Q12&lt;&gt;0,H12/$Q12,0)</f>
        <v>0</v>
      </c>
      <c r="I30" s="600">
        <f t="shared" ref="I30:M30" ca="1" si="29">IF($Q12&lt;&gt;0,I12/$Q12,0)</f>
        <v>0</v>
      </c>
      <c r="J30" s="600">
        <f t="shared" ca="1" si="29"/>
        <v>0</v>
      </c>
      <c r="K30" s="600">
        <f t="shared" ca="1" si="29"/>
        <v>0</v>
      </c>
      <c r="L30" s="600">
        <f t="shared" ca="1" si="29"/>
        <v>0</v>
      </c>
      <c r="M30" s="600">
        <f t="shared" ref="M30" ca="1" si="30">IF($Q12&lt;&gt;0,M12/$Q12,0)</f>
        <v>0</v>
      </c>
      <c r="N30" s="609">
        <f t="shared" ca="1" si="6"/>
        <v>0</v>
      </c>
    </row>
    <row r="31" spans="5:14" x14ac:dyDescent="0.3">
      <c r="E31" s="393">
        <v>10</v>
      </c>
      <c r="F31" s="394" t="str">
        <f t="shared" ca="1" si="3"/>
        <v>CMM</v>
      </c>
      <c r="G31" s="598">
        <f>Synthèse!C12</f>
        <v>609</v>
      </c>
      <c r="H31" s="608">
        <f t="shared" ref="H31:L31" ca="1" si="31">IF($Q13&lt;&gt;0,H13/$Q13,0)</f>
        <v>0</v>
      </c>
      <c r="I31" s="600">
        <f t="shared" ref="I31:M31" ca="1" si="32">IF($Q13&lt;&gt;0,I13/$Q13,0)</f>
        <v>0</v>
      </c>
      <c r="J31" s="600">
        <f t="shared" ca="1" si="32"/>
        <v>0</v>
      </c>
      <c r="K31" s="600">
        <f t="shared" ca="1" si="32"/>
        <v>0</v>
      </c>
      <c r="L31" s="600">
        <f t="shared" ca="1" si="32"/>
        <v>0</v>
      </c>
      <c r="M31" s="600">
        <f t="shared" ref="M31" ca="1" si="33">IF($Q13&lt;&gt;0,M13/$Q13,0)</f>
        <v>0</v>
      </c>
      <c r="N31" s="609">
        <f t="shared" ca="1" si="6"/>
        <v>0</v>
      </c>
    </row>
    <row r="32" spans="5:14" x14ac:dyDescent="0.3">
      <c r="E32" s="393">
        <v>11</v>
      </c>
      <c r="F32" s="394" t="str">
        <f t="shared" ca="1" si="3"/>
        <v>CMM</v>
      </c>
      <c r="G32" s="598">
        <f>Synthèse!C13</f>
        <v>691</v>
      </c>
      <c r="H32" s="608">
        <f t="shared" ref="H32:L32" ca="1" si="34">IF($Q14&lt;&gt;0,H14/$Q14,0)</f>
        <v>0</v>
      </c>
      <c r="I32" s="600">
        <f t="shared" ref="I32:M32" ca="1" si="35">IF($Q14&lt;&gt;0,I14/$Q14,0)</f>
        <v>0</v>
      </c>
      <c r="J32" s="600">
        <f t="shared" ca="1" si="35"/>
        <v>0</v>
      </c>
      <c r="K32" s="600">
        <f t="shared" ca="1" si="35"/>
        <v>0</v>
      </c>
      <c r="L32" s="600">
        <f t="shared" ca="1" si="35"/>
        <v>0</v>
      </c>
      <c r="M32" s="600">
        <f t="shared" ref="M32" ca="1" si="36">IF($Q14&lt;&gt;0,M14/$Q14,0)</f>
        <v>0</v>
      </c>
      <c r="N32" s="609">
        <f t="shared" ca="1" si="6"/>
        <v>0</v>
      </c>
    </row>
    <row r="33" spans="5:14" ht="16.5" thickBot="1" x14ac:dyDescent="0.35">
      <c r="E33" s="395">
        <v>12</v>
      </c>
      <c r="F33" s="396" t="str">
        <f t="shared" ca="1" si="3"/>
        <v>Base nautique</v>
      </c>
      <c r="G33" s="599">
        <f>Synthèse!C14</f>
        <v>680</v>
      </c>
      <c r="H33" s="616">
        <f t="shared" ref="H33:L33" ca="1" si="37">IF($Q15&lt;&gt;0,H15/$Q15,0)</f>
        <v>0</v>
      </c>
      <c r="I33" s="617">
        <f t="shared" ref="I33:M33" ca="1" si="38">IF($Q15&lt;&gt;0,I15/$Q15,0)</f>
        <v>0</v>
      </c>
      <c r="J33" s="617">
        <f t="shared" ca="1" si="38"/>
        <v>0</v>
      </c>
      <c r="K33" s="617">
        <f t="shared" ca="1" si="38"/>
        <v>0</v>
      </c>
      <c r="L33" s="617">
        <f t="shared" ca="1" si="38"/>
        <v>0</v>
      </c>
      <c r="M33" s="617">
        <f t="shared" ref="M33" ca="1" si="39">IF($Q15&lt;&gt;0,M15/$Q15,0)</f>
        <v>0</v>
      </c>
      <c r="N33" s="618">
        <f t="shared" ca="1" si="6"/>
        <v>0</v>
      </c>
    </row>
    <row r="34" spans="5:14" ht="16.5" thickBot="1" x14ac:dyDescent="0.35">
      <c r="E34" s="533" t="str">
        <f>E16</f>
        <v>Total</v>
      </c>
      <c r="F34" s="534"/>
      <c r="G34" s="601">
        <f>Synthèse!C15</f>
        <v>8164</v>
      </c>
      <c r="H34" s="602">
        <f ca="1">IF($Q16&lt;&gt;0,H16/$Q16,0)</f>
        <v>0</v>
      </c>
      <c r="I34" s="603">
        <f t="shared" ref="I34:M34" ca="1" si="40">IF($Q16&lt;&gt;0,I16/$Q16,0)</f>
        <v>0</v>
      </c>
      <c r="J34" s="603">
        <f t="shared" ca="1" si="40"/>
        <v>0</v>
      </c>
      <c r="K34" s="603">
        <f t="shared" ca="1" si="40"/>
        <v>0</v>
      </c>
      <c r="L34" s="603">
        <f t="shared" ca="1" si="40"/>
        <v>0</v>
      </c>
      <c r="M34" s="603">
        <f t="shared" ref="M34" ca="1" si="41">IF($Q16&lt;&gt;0,M16/$Q16,0)</f>
        <v>0</v>
      </c>
      <c r="N34" s="604">
        <f t="shared" ca="1" si="6"/>
        <v>0</v>
      </c>
    </row>
    <row r="54" spans="3:7" x14ac:dyDescent="0.3">
      <c r="F54" s="381" t="s">
        <v>113</v>
      </c>
    </row>
    <row r="55" spans="3:7" x14ac:dyDescent="0.3">
      <c r="C55" s="397" t="s">
        <v>106</v>
      </c>
      <c r="F55" s="381" t="s">
        <v>107</v>
      </c>
      <c r="G55" s="381" t="s">
        <v>108</v>
      </c>
    </row>
    <row r="56" spans="3:7" x14ac:dyDescent="0.3">
      <c r="F56" s="381" t="s">
        <v>109</v>
      </c>
    </row>
    <row r="57" spans="3:7" x14ac:dyDescent="0.3">
      <c r="F57" s="381" t="s">
        <v>110</v>
      </c>
    </row>
    <row r="58" spans="3:7" x14ac:dyDescent="0.3">
      <c r="F58" s="381" t="s">
        <v>111</v>
      </c>
    </row>
    <row r="59" spans="3:7" x14ac:dyDescent="0.3">
      <c r="F59" s="381" t="s">
        <v>112</v>
      </c>
    </row>
    <row r="60" spans="3:7" x14ac:dyDescent="0.3">
      <c r="F60" s="381" t="s">
        <v>114</v>
      </c>
    </row>
    <row r="61" spans="3:7" x14ac:dyDescent="0.3">
      <c r="F61" s="381" t="s">
        <v>115</v>
      </c>
    </row>
  </sheetData>
  <sheetProtection algorithmName="SHA-512" hashValue="gZjC8+0dRu3ygT2FprSf+ibBz1sML2KVg8ZOePo47F78E8TRfILilrEKEPXCWsIvDTbtVqP7zwVose/6foX5kQ==" saltValue="OLF63XjDLR+z6r8+xaKvTA==" spinCount="100000" sheet="1" objects="1" scenarios="1"/>
  <mergeCells count="13">
    <mergeCell ref="AH15:AI15"/>
    <mergeCell ref="AH16:AI16"/>
    <mergeCell ref="Z3:AA3"/>
    <mergeCell ref="AC3:AE3"/>
    <mergeCell ref="E3:F3"/>
    <mergeCell ref="E16:F16"/>
    <mergeCell ref="E21:F21"/>
    <mergeCell ref="Z16:AA16"/>
    <mergeCell ref="B15:C15"/>
    <mergeCell ref="B16:C16"/>
    <mergeCell ref="E34:F34"/>
    <mergeCell ref="H18:N18"/>
    <mergeCell ref="E18:G18"/>
  </mergeCells>
  <conditionalFormatting sqref="H4:Q16">
    <cfRule type="cellIs" dxfId="409" priority="8" operator="lessThan">
      <formula>0</formula>
    </cfRule>
  </conditionalFormatting>
  <conditionalFormatting sqref="H22:N34">
    <cfRule type="cellIs" dxfId="408" priority="6" operator="lessThan">
      <formula>0</formula>
    </cfRule>
  </conditionalFormatting>
  <conditionalFormatting sqref="AE4:AE15">
    <cfRule type="dataBar" priority="4">
      <dataBar showValue="0"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{59EB3AB6-2D14-453F-AA52-A2563E1D2441}</x14:id>
        </ext>
      </extLst>
    </cfRule>
  </conditionalFormatting>
  <conditionalFormatting sqref="AE16">
    <cfRule type="dataBar" priority="5">
      <dataBar showValue="0">
        <cfvo type="num" val="0"/>
        <cfvo type="num" val="1"/>
        <color theme="4" tint="-0.499984740745262"/>
      </dataBar>
      <extLst>
        <ext xmlns:x14="http://schemas.microsoft.com/office/spreadsheetml/2009/9/main" uri="{B025F937-C7B1-47D3-B67F-A62EFF666E3E}">
          <x14:id>{FF1F790B-82C7-4213-8230-EE830E6EB4BF}</x14:id>
        </ext>
      </extLst>
    </cfRule>
  </conditionalFormatting>
  <conditionalFormatting sqref="H18:M18">
    <cfRule type="dataBar" priority="1">
      <dataBar>
        <cfvo type="num" val="0"/>
        <cfvo type="num" val="1"/>
        <color theme="4" tint="0.59999389629810485"/>
      </dataBar>
      <extLst>
        <ext xmlns:x14="http://schemas.microsoft.com/office/spreadsheetml/2009/9/main" uri="{B025F937-C7B1-47D3-B67F-A62EFF666E3E}">
          <x14:id>{A4D697F4-57F5-41BE-B45F-63CAC8886D06}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9EB3AB6-2D14-453F-AA52-A2563E1D2441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AE4:AE15</xm:sqref>
        </x14:conditionalFormatting>
        <x14:conditionalFormatting xmlns:xm="http://schemas.microsoft.com/office/excel/2006/main">
          <x14:cfRule type="dataBar" id="{FF1F790B-82C7-4213-8230-EE830E6EB4BF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AE16</xm:sqref>
        </x14:conditionalFormatting>
        <x14:conditionalFormatting xmlns:xm="http://schemas.microsoft.com/office/excel/2006/main">
          <x14:cfRule type="dataBar" id="{A4D697F4-57F5-41BE-B45F-63CAC8886D0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H18:M18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47D81-9559-4051-82F9-2D259A70BFBA}">
  <sheetPr codeName="Feuil43">
    <tabColor rgb="FFE1C1D1"/>
  </sheetPr>
  <dimension ref="A1:AB84"/>
  <sheetViews>
    <sheetView workbookViewId="0">
      <selection activeCell="Q16" sqref="Q16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3.7109375" customWidth="1"/>
    <col min="5" max="5" width="15.7109375" customWidth="1"/>
    <col min="6" max="6" width="17.7109375" customWidth="1"/>
    <col min="7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6.140625" customWidth="1"/>
    <col min="24" max="24" width="12" customWidth="1"/>
    <col min="26" max="26" width="13.28515625" customWidth="1"/>
    <col min="27" max="27" width="14.42578125" customWidth="1"/>
  </cols>
  <sheetData>
    <row r="1" spans="1:28" ht="16.5" customHeight="1" thickBot="1" x14ac:dyDescent="0.25">
      <c r="A1" s="357" t="s">
        <v>11</v>
      </c>
      <c r="B1" s="363">
        <f>Synthèse!$B$17</f>
        <v>46103</v>
      </c>
      <c r="D1" s="243"/>
      <c r="E1" s="551" t="s">
        <v>65</v>
      </c>
      <c r="F1" s="552"/>
      <c r="G1" s="552"/>
      <c r="H1" s="552"/>
      <c r="I1" s="552"/>
      <c r="J1" s="552"/>
      <c r="K1" s="552"/>
      <c r="L1" s="552"/>
      <c r="M1" s="552"/>
      <c r="N1" s="552"/>
      <c r="O1" s="552"/>
      <c r="P1" s="553"/>
      <c r="Q1" s="318" t="s">
        <v>7</v>
      </c>
      <c r="T1" s="372"/>
    </row>
    <row r="2" spans="1:28" ht="39.75" customHeight="1" thickBot="1" x14ac:dyDescent="0.25">
      <c r="A2" s="358" t="s">
        <v>12</v>
      </c>
      <c r="B2" s="364" t="str">
        <f>Synthèse!$B$18</f>
        <v>Municipales 2ème tour</v>
      </c>
      <c r="D2" s="280" t="s">
        <v>80</v>
      </c>
      <c r="E2" s="328" t="s">
        <v>67</v>
      </c>
      <c r="F2" s="332" t="s">
        <v>97</v>
      </c>
      <c r="G2" s="327" t="s">
        <v>68</v>
      </c>
      <c r="H2" s="330" t="s">
        <v>69</v>
      </c>
      <c r="I2" s="331" t="s">
        <v>70</v>
      </c>
      <c r="J2" s="329" t="s">
        <v>71</v>
      </c>
      <c r="K2" s="333" t="s">
        <v>72</v>
      </c>
      <c r="L2" s="319" t="s">
        <v>73</v>
      </c>
      <c r="M2" s="327" t="s">
        <v>74</v>
      </c>
      <c r="N2" s="334" t="s">
        <v>75</v>
      </c>
      <c r="O2" s="281" t="s">
        <v>3</v>
      </c>
      <c r="P2" s="282" t="s">
        <v>4</v>
      </c>
      <c r="Q2" s="315" t="s">
        <v>102</v>
      </c>
      <c r="T2" s="372"/>
      <c r="V2" s="292" t="s">
        <v>21</v>
      </c>
      <c r="W2" s="293" t="s">
        <v>56</v>
      </c>
      <c r="X2" s="294" t="s">
        <v>30</v>
      </c>
      <c r="Z2" s="295" t="s">
        <v>58</v>
      </c>
      <c r="AA2" s="295" t="s">
        <v>57</v>
      </c>
    </row>
    <row r="3" spans="1:28" ht="20.100000000000001" customHeight="1" thickBot="1" x14ac:dyDescent="0.25">
      <c r="A3" s="359" t="s">
        <v>13</v>
      </c>
      <c r="B3" s="365" t="str">
        <f>Synthèse!$B$19</f>
        <v>Cogolin</v>
      </c>
      <c r="D3" s="277" cm="1">
        <f t="array" ref="D3">IF(ROW(1:1)&lt;=$K$23, (ROW(1:1)), "")</f>
        <v>1</v>
      </c>
      <c r="E3" s="113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1</v>
      </c>
      <c r="F3" s="113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3</v>
      </c>
      <c r="G3" s="113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23</v>
      </c>
      <c r="H3" s="113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46</v>
      </c>
      <c r="I3" s="113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2</v>
      </c>
      <c r="J3" s="113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5</v>
      </c>
      <c r="K3" s="113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9</v>
      </c>
      <c r="L3" s="113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6</v>
      </c>
      <c r="M3" s="113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127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5</v>
      </c>
      <c r="O3" s="128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129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244">
        <f t="shared" ref="Q3:Q13" si="0">SUM(E3:P3)</f>
        <v>100</v>
      </c>
      <c r="T3" s="372"/>
      <c r="V3" s="268" t="s">
        <v>31</v>
      </c>
      <c r="W3" s="269">
        <v>0</v>
      </c>
      <c r="X3" s="270">
        <f>W3/$B$6</f>
        <v>0</v>
      </c>
      <c r="Z3" s="256"/>
      <c r="AA3" s="256"/>
    </row>
    <row r="4" spans="1:28" ht="20.100000000000001" customHeight="1" x14ac:dyDescent="0.2">
      <c r="A4" s="65" t="s">
        <v>22</v>
      </c>
      <c r="B4" s="375">
        <v>0</v>
      </c>
      <c r="D4" s="278" cm="1">
        <f t="array" ref="D4">IF(ROW(2:2)&lt;=$K$23, (ROW(2:2)), "")</f>
        <v>2</v>
      </c>
      <c r="E4" s="114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4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2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17</v>
      </c>
      <c r="H4" s="114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59</v>
      </c>
      <c r="I4" s="114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3</v>
      </c>
      <c r="J4" s="114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5</v>
      </c>
      <c r="K4" s="114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9</v>
      </c>
      <c r="L4" s="114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2</v>
      </c>
      <c r="M4" s="114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N4" s="114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115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P4" s="116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Q4" s="244">
        <f t="shared" si="0"/>
        <v>100</v>
      </c>
      <c r="T4" s="372"/>
      <c r="V4" s="271" t="s">
        <v>32</v>
      </c>
      <c r="W4" s="272">
        <v>60</v>
      </c>
      <c r="X4" s="273">
        <f t="shared" ref="X4:X12" si="1">IF(OR(W4=0, W4=""), NA(), W4/$B$6)</f>
        <v>0.11857707509881422</v>
      </c>
      <c r="Z4" s="251" t="s">
        <v>44</v>
      </c>
      <c r="AA4" s="296">
        <f t="shared" ref="AA4:AA13" si="2">IF(W4&lt;&gt;0,W4-W3,NA())</f>
        <v>60</v>
      </c>
    </row>
    <row r="5" spans="1:28" ht="20.100000000000001" customHeight="1" x14ac:dyDescent="0.2">
      <c r="A5" s="66" t="s">
        <v>23</v>
      </c>
      <c r="B5" s="376" t="s">
        <v>94</v>
      </c>
      <c r="D5" s="278" cm="1">
        <f t="array" ref="D5">IF(ROW(3:3)&lt;=$K$23, (ROW(3:3)), "")</f>
        <v>3</v>
      </c>
      <c r="E5" s="114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4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3</v>
      </c>
      <c r="G5" s="114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40</v>
      </c>
      <c r="H5" s="114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30</v>
      </c>
      <c r="I5" s="114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1</v>
      </c>
      <c r="J5" s="114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8</v>
      </c>
      <c r="K5" s="114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6</v>
      </c>
      <c r="L5" s="114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14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5</v>
      </c>
      <c r="N5" s="114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5</v>
      </c>
      <c r="O5" s="130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2</v>
      </c>
      <c r="P5" s="131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244">
        <f t="shared" si="0"/>
        <v>100</v>
      </c>
      <c r="T5" s="373"/>
      <c r="U5" s="186"/>
      <c r="V5" s="271" t="s">
        <v>33</v>
      </c>
      <c r="W5" s="272">
        <v>118</v>
      </c>
      <c r="X5" s="273">
        <f t="shared" si="1"/>
        <v>0.233201581027668</v>
      </c>
      <c r="Z5" s="252" t="s">
        <v>45</v>
      </c>
      <c r="AA5" s="297">
        <f t="shared" si="2"/>
        <v>58</v>
      </c>
    </row>
    <row r="6" spans="1:28" ht="20.100000000000001" customHeight="1" x14ac:dyDescent="0.2">
      <c r="A6" s="66" t="s">
        <v>0</v>
      </c>
      <c r="B6" s="144">
        <v>506</v>
      </c>
      <c r="D6" s="278" cm="1">
        <f t="array" ref="D6">IF(ROW(4:4)&lt;=$K$23, (ROW(4:4)), "")</f>
        <v>4</v>
      </c>
      <c r="E6" s="114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F6" s="114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G6" s="114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36</v>
      </c>
      <c r="H6" s="114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19</v>
      </c>
      <c r="I6" s="114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J6" s="114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8</v>
      </c>
      <c r="K6" s="114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12</v>
      </c>
      <c r="L6" s="114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4</v>
      </c>
      <c r="M6" s="114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7</v>
      </c>
      <c r="N6" s="114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</v>
      </c>
      <c r="O6" s="130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</v>
      </c>
      <c r="P6" s="131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Q6" s="244">
        <f t="shared" si="0"/>
        <v>100</v>
      </c>
      <c r="T6" s="373"/>
      <c r="U6" s="186"/>
      <c r="V6" s="271" t="s">
        <v>34</v>
      </c>
      <c r="W6" s="272">
        <v>179</v>
      </c>
      <c r="X6" s="273">
        <f t="shared" si="1"/>
        <v>0.35375494071146246</v>
      </c>
      <c r="Z6" s="252" t="s">
        <v>46</v>
      </c>
      <c r="AA6" s="297">
        <f t="shared" si="2"/>
        <v>61</v>
      </c>
    </row>
    <row r="7" spans="1:28" ht="20.100000000000001" customHeight="1" x14ac:dyDescent="0.2">
      <c r="A7" s="66" t="s">
        <v>2</v>
      </c>
      <c r="B7" s="123">
        <f>MAX(W4:W15)</f>
        <v>440</v>
      </c>
      <c r="D7" s="278" cm="1">
        <f t="array" ref="D7">IF(ROW(5:5)&lt;=$K$23, (ROW(5:5)), "")</f>
        <v>5</v>
      </c>
      <c r="E7" s="114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4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19</v>
      </c>
      <c r="H7" s="114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12</v>
      </c>
      <c r="I7" s="114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J7" s="114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K7" s="114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L7" s="114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3</v>
      </c>
      <c r="M7" s="114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114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115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2</v>
      </c>
      <c r="P7" s="116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244">
        <f t="shared" si="0"/>
        <v>40</v>
      </c>
      <c r="T7" s="373"/>
      <c r="U7" s="186"/>
      <c r="V7" s="271" t="s">
        <v>35</v>
      </c>
      <c r="W7" s="272">
        <v>235</v>
      </c>
      <c r="X7" s="273">
        <f t="shared" si="1"/>
        <v>0.46442687747035571</v>
      </c>
      <c r="Z7" s="252" t="s">
        <v>53</v>
      </c>
      <c r="AA7" s="297">
        <f t="shared" si="2"/>
        <v>56</v>
      </c>
    </row>
    <row r="8" spans="1:28" ht="20.100000000000001" customHeight="1" x14ac:dyDescent="0.2">
      <c r="A8" s="66" t="s">
        <v>1</v>
      </c>
      <c r="B8" s="124">
        <f>B7</f>
        <v>440</v>
      </c>
      <c r="D8" s="278" t="str" cm="1">
        <f t="array" ref="D8">IF(ROW(6:6)&lt;=$K$23, (ROW(6:6)), "")</f>
        <v/>
      </c>
      <c r="E8" s="114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4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4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14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14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14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14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14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114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115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116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244">
        <f t="shared" si="0"/>
        <v>0</v>
      </c>
      <c r="T8" s="373"/>
      <c r="U8" s="186"/>
      <c r="V8" s="271" t="s">
        <v>36</v>
      </c>
      <c r="W8" s="272">
        <v>283</v>
      </c>
      <c r="X8" s="273">
        <f t="shared" si="1"/>
        <v>0.55928853754940711</v>
      </c>
      <c r="Z8" s="252" t="s">
        <v>47</v>
      </c>
      <c r="AA8" s="297">
        <f t="shared" si="2"/>
        <v>48</v>
      </c>
    </row>
    <row r="9" spans="1:28" ht="20.100000000000001" customHeight="1" thickBot="1" x14ac:dyDescent="0.25">
      <c r="A9" s="67" t="s">
        <v>17</v>
      </c>
      <c r="B9" s="125">
        <f>B6-B7</f>
        <v>66</v>
      </c>
      <c r="D9" s="278" t="str" cm="1">
        <f t="array" ref="D9">IF(ROW(7:7)&lt;=$K$23, (ROW(7:7)), "")</f>
        <v/>
      </c>
      <c r="E9" s="114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4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4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14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14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14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14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14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114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117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118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244">
        <f t="shared" si="0"/>
        <v>0</v>
      </c>
      <c r="T9" s="373"/>
      <c r="U9" s="186"/>
      <c r="V9" s="271" t="s">
        <v>37</v>
      </c>
      <c r="W9" s="272">
        <v>319</v>
      </c>
      <c r="X9" s="273">
        <f t="shared" si="1"/>
        <v>0.63043478260869568</v>
      </c>
      <c r="Z9" s="252" t="s">
        <v>48</v>
      </c>
      <c r="AA9" s="297">
        <f t="shared" si="2"/>
        <v>36</v>
      </c>
    </row>
    <row r="10" spans="1:28" ht="20.100000000000001" customHeight="1" x14ac:dyDescent="0.2">
      <c r="A10" s="554" t="s">
        <v>59</v>
      </c>
      <c r="B10" s="554"/>
      <c r="D10" s="278" t="str" cm="1">
        <f t="array" ref="D10">IF(ROW(8:8)&lt;=$K$23, (ROW(8:8)), "")</f>
        <v/>
      </c>
      <c r="E10" s="114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4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4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14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14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14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14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14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114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117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118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244">
        <f t="shared" si="0"/>
        <v>0</v>
      </c>
      <c r="T10" s="373"/>
      <c r="U10" s="186"/>
      <c r="V10" s="271" t="s">
        <v>38</v>
      </c>
      <c r="W10" s="272">
        <v>350</v>
      </c>
      <c r="X10" s="273">
        <f t="shared" si="1"/>
        <v>0.69169960474308301</v>
      </c>
      <c r="Z10" s="252" t="s">
        <v>49</v>
      </c>
      <c r="AA10" s="297">
        <f t="shared" si="2"/>
        <v>31</v>
      </c>
    </row>
    <row r="11" spans="1:28" ht="20.100000000000001" customHeight="1" x14ac:dyDescent="0.2">
      <c r="A11" s="555"/>
      <c r="B11" s="555"/>
      <c r="D11" s="278" t="str" cm="1">
        <f t="array" ref="D11">IF(ROW(9:9)&lt;=$K$23, (ROW(9:9)), "")</f>
        <v/>
      </c>
      <c r="E11" s="114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4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4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14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14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14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14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14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114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117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118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244">
        <f t="shared" si="0"/>
        <v>0</v>
      </c>
      <c r="T11" s="373"/>
      <c r="U11" s="186"/>
      <c r="V11" s="271" t="s">
        <v>39</v>
      </c>
      <c r="W11" s="272">
        <v>380</v>
      </c>
      <c r="X11" s="273">
        <f t="shared" si="1"/>
        <v>0.75098814229249011</v>
      </c>
      <c r="Z11" s="252" t="s">
        <v>50</v>
      </c>
      <c r="AA11" s="297">
        <f t="shared" si="2"/>
        <v>30</v>
      </c>
    </row>
    <row r="12" spans="1:28" ht="20.100000000000001" customHeight="1" thickBot="1" x14ac:dyDescent="0.25">
      <c r="A12" s="556" t="s">
        <v>60</v>
      </c>
      <c r="B12" s="556"/>
      <c r="D12" s="279" t="str" cm="1">
        <f t="array" ref="D12">IF(ROW(10:10)&lt;=$K$23, (ROW(10:10)), "")</f>
        <v/>
      </c>
      <c r="E12" s="114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4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14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14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14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14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14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14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14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114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132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133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244">
        <f t="shared" si="0"/>
        <v>0</v>
      </c>
      <c r="T12" s="373"/>
      <c r="U12" s="186"/>
      <c r="V12" s="271" t="s">
        <v>40</v>
      </c>
      <c r="W12" s="272">
        <v>399</v>
      </c>
      <c r="X12" s="273">
        <f t="shared" si="1"/>
        <v>0.78853754940711462</v>
      </c>
      <c r="Z12" s="252" t="s">
        <v>51</v>
      </c>
      <c r="AA12" s="297">
        <f t="shared" si="2"/>
        <v>19</v>
      </c>
    </row>
    <row r="13" spans="1:28" ht="20.100000000000001" customHeight="1" thickBot="1" x14ac:dyDescent="0.3">
      <c r="A13" s="556"/>
      <c r="B13" s="556"/>
      <c r="D13" s="35" t="s">
        <v>9</v>
      </c>
      <c r="E13" s="119">
        <f t="shared" ref="E13:P13" si="3">SUM(E3:E12)</f>
        <v>3</v>
      </c>
      <c r="F13" s="120">
        <f t="shared" si="3"/>
        <v>11</v>
      </c>
      <c r="G13" s="120">
        <f t="shared" si="3"/>
        <v>135</v>
      </c>
      <c r="H13" s="120">
        <f t="shared" si="3"/>
        <v>166</v>
      </c>
      <c r="I13" s="120">
        <f t="shared" si="3"/>
        <v>9</v>
      </c>
      <c r="J13" s="120">
        <f t="shared" si="3"/>
        <v>27</v>
      </c>
      <c r="K13" s="120">
        <f t="shared" si="3"/>
        <v>37</v>
      </c>
      <c r="L13" s="120">
        <f t="shared" si="3"/>
        <v>15</v>
      </c>
      <c r="M13" s="120">
        <f t="shared" si="3"/>
        <v>13</v>
      </c>
      <c r="N13" s="120">
        <f t="shared" si="3"/>
        <v>13</v>
      </c>
      <c r="O13" s="121">
        <f t="shared" si="3"/>
        <v>8</v>
      </c>
      <c r="P13" s="122">
        <f t="shared" si="3"/>
        <v>3</v>
      </c>
      <c r="Q13" s="245">
        <f t="shared" si="0"/>
        <v>440</v>
      </c>
      <c r="T13" s="373"/>
      <c r="U13" s="186"/>
      <c r="V13" s="271" t="s">
        <v>41</v>
      </c>
      <c r="W13" s="272">
        <v>440</v>
      </c>
      <c r="X13" s="273">
        <f>IF(OR(W13=0, W13=""), NA(), W13/$B$6)</f>
        <v>0.86956521739130432</v>
      </c>
      <c r="Z13" s="253" t="s">
        <v>52</v>
      </c>
      <c r="AA13" s="298">
        <f t="shared" si="2"/>
        <v>41</v>
      </c>
    </row>
    <row r="14" spans="1:28" ht="20.100000000000001" customHeight="1" thickBot="1" x14ac:dyDescent="0.3">
      <c r="A14" s="556"/>
      <c r="B14" s="556"/>
      <c r="D14" s="60" t="s">
        <v>10</v>
      </c>
      <c r="E14" s="32">
        <f t="shared" ref="E14:Q14" si="4">IFERROR(E13/$B$7,0)</f>
        <v>6.8181818181818179E-3</v>
      </c>
      <c r="F14" s="33">
        <f t="shared" si="4"/>
        <v>2.5000000000000001E-2</v>
      </c>
      <c r="G14" s="33">
        <f t="shared" si="4"/>
        <v>0.30681818181818182</v>
      </c>
      <c r="H14" s="33">
        <f t="shared" si="4"/>
        <v>0.37727272727272726</v>
      </c>
      <c r="I14" s="33">
        <f t="shared" si="4"/>
        <v>2.0454545454545454E-2</v>
      </c>
      <c r="J14" s="33">
        <f t="shared" si="4"/>
        <v>6.1363636363636363E-2</v>
      </c>
      <c r="K14" s="33">
        <f t="shared" si="4"/>
        <v>8.4090909090909091E-2</v>
      </c>
      <c r="L14" s="33">
        <f t="shared" si="4"/>
        <v>3.4090909090909088E-2</v>
      </c>
      <c r="M14" s="33">
        <f t="shared" si="4"/>
        <v>2.9545454545454545E-2</v>
      </c>
      <c r="N14" s="33">
        <f t="shared" si="4"/>
        <v>2.9545454545454545E-2</v>
      </c>
      <c r="O14" s="32">
        <f t="shared" si="4"/>
        <v>1.8181818181818181E-2</v>
      </c>
      <c r="P14" s="34">
        <f t="shared" si="4"/>
        <v>6.8181818181818179E-3</v>
      </c>
      <c r="Q14" s="255">
        <f t="shared" si="4"/>
        <v>1</v>
      </c>
      <c r="T14" s="372"/>
      <c r="V14" s="302" t="s">
        <v>42</v>
      </c>
      <c r="W14" s="274"/>
      <c r="X14" s="275" t="e">
        <f>IF(OR(W14=0, W14=""), NA(), W14/$B$6)</f>
        <v>#N/A</v>
      </c>
      <c r="Y14" s="300"/>
      <c r="Z14" s="304" t="s">
        <v>54</v>
      </c>
      <c r="AA14" s="299" t="e">
        <f>IF(W14&lt;&gt;0,W14-W13,NA())</f>
        <v>#N/A</v>
      </c>
      <c r="AB14" s="300"/>
    </row>
    <row r="15" spans="1:28" ht="18" customHeight="1" thickBot="1" x14ac:dyDescent="0.25">
      <c r="A15" s="557" t="s">
        <v>66</v>
      </c>
      <c r="B15" s="557"/>
      <c r="C15" s="1"/>
      <c r="D15" s="1"/>
      <c r="Q15" s="254"/>
      <c r="T15" s="372"/>
      <c r="V15" s="250" t="s">
        <v>43</v>
      </c>
      <c r="W15" s="276"/>
      <c r="X15" s="301" t="e">
        <f>IF(OR(W15=0, W15=""), NA(), W15/$B$6)</f>
        <v>#N/A</v>
      </c>
      <c r="Z15" s="305" t="s">
        <v>55</v>
      </c>
      <c r="AA15" s="303" t="e">
        <f>IF(W15&lt;&gt;0,W15-W14,NA())</f>
        <v>#N/A</v>
      </c>
      <c r="AB15" s="300"/>
    </row>
    <row r="16" spans="1:28" ht="12.75" customHeight="1" x14ac:dyDescent="0.2">
      <c r="A16" s="557"/>
      <c r="B16" s="557"/>
      <c r="T16" s="372"/>
      <c r="V16" s="254"/>
      <c r="W16" s="254"/>
      <c r="X16" s="254"/>
      <c r="AA16" s="254"/>
    </row>
    <row r="17" spans="1:20" ht="18" customHeight="1" x14ac:dyDescent="0.25">
      <c r="A17" s="557"/>
      <c r="B17" s="557"/>
      <c r="E17" s="185"/>
      <c r="T17" s="372"/>
    </row>
    <row r="18" spans="1:20" ht="26.25" customHeight="1" x14ac:dyDescent="0.2">
      <c r="A18" s="557"/>
      <c r="B18" s="557"/>
      <c r="T18" s="372"/>
    </row>
    <row r="19" spans="1:20" x14ac:dyDescent="0.2">
      <c r="T19" s="372"/>
    </row>
    <row r="20" spans="1:20" x14ac:dyDescent="0.2">
      <c r="T20" s="372"/>
    </row>
    <row r="21" spans="1:20" x14ac:dyDescent="0.2">
      <c r="T21" s="372"/>
    </row>
    <row r="22" spans="1:20" x14ac:dyDescent="0.2">
      <c r="T22" s="372"/>
    </row>
    <row r="23" spans="1:20" x14ac:dyDescent="0.2">
      <c r="H23" s="134" t="s">
        <v>63</v>
      </c>
      <c r="J23" s="199">
        <f>CEILING($B$6, 100)/100</f>
        <v>6</v>
      </c>
      <c r="K23" s="199">
        <f>CEILING($B$7,100)/100</f>
        <v>5</v>
      </c>
      <c r="T23" s="372"/>
    </row>
    <row r="24" spans="1:20" x14ac:dyDescent="0.2">
      <c r="H24" s="135">
        <f>IF((ROW()-23)&lt;=$K$24,(ROW()-23),"Choisir")</f>
        <v>1</v>
      </c>
      <c r="J24" s="199">
        <f>MOD($B$7,100)</f>
        <v>40</v>
      </c>
      <c r="K24" s="200">
        <f>CEILING($B$6/300,1)</f>
        <v>2</v>
      </c>
      <c r="T24" s="372"/>
    </row>
    <row r="25" spans="1:20" x14ac:dyDescent="0.2">
      <c r="H25" s="135">
        <f>IF((ROW()-23)&lt;=$K$24,(ROW()-23),"Choisir")</f>
        <v>2</v>
      </c>
      <c r="T25" s="372"/>
    </row>
    <row r="26" spans="1:20" x14ac:dyDescent="0.2">
      <c r="H26" s="135" t="str">
        <f>IF((ROW()-23)&lt;=$K$24,(ROW()-23),"Choisir")</f>
        <v>Choisir</v>
      </c>
      <c r="T26" s="372"/>
    </row>
    <row r="27" spans="1:20" x14ac:dyDescent="0.2">
      <c r="H27" s="135" t="str">
        <f>IF((ROW()-23)&lt;=$K$24,(ROW()-23),"Choisir")</f>
        <v>Choisir</v>
      </c>
      <c r="T27" s="372"/>
    </row>
    <row r="28" spans="1:20" x14ac:dyDescent="0.2">
      <c r="T28" s="372"/>
    </row>
    <row r="29" spans="1:20" x14ac:dyDescent="0.2">
      <c r="T29" s="372"/>
    </row>
    <row r="30" spans="1:20" x14ac:dyDescent="0.2">
      <c r="T30" s="372"/>
    </row>
    <row r="31" spans="1:20" x14ac:dyDescent="0.2">
      <c r="T31" s="372"/>
    </row>
    <row r="32" spans="1:20" x14ac:dyDescent="0.2">
      <c r="T32" s="372"/>
    </row>
    <row r="33" spans="1:20" x14ac:dyDescent="0.2">
      <c r="T33" s="372"/>
    </row>
    <row r="34" spans="1:20" x14ac:dyDescent="0.2">
      <c r="T34" s="372"/>
    </row>
    <row r="35" spans="1:20" x14ac:dyDescent="0.2">
      <c r="T35" s="372"/>
    </row>
    <row r="36" spans="1:20" x14ac:dyDescent="0.2">
      <c r="T36" s="372"/>
    </row>
    <row r="37" spans="1:20" x14ac:dyDescent="0.2">
      <c r="T37" s="372"/>
    </row>
    <row r="38" spans="1:20" x14ac:dyDescent="0.2">
      <c r="T38" s="372"/>
    </row>
    <row r="39" spans="1:20" x14ac:dyDescent="0.2">
      <c r="T39" s="372"/>
    </row>
    <row r="40" spans="1:20" x14ac:dyDescent="0.2">
      <c r="T40" s="372"/>
    </row>
    <row r="41" spans="1:20" x14ac:dyDescent="0.2">
      <c r="T41" s="372"/>
    </row>
    <row r="42" spans="1:20" x14ac:dyDescent="0.2">
      <c r="T42" s="372"/>
    </row>
    <row r="43" spans="1:20" x14ac:dyDescent="0.2">
      <c r="T43" s="372"/>
    </row>
    <row r="44" spans="1:20" x14ac:dyDescent="0.2">
      <c r="T44" s="372"/>
    </row>
    <row r="45" spans="1:20" x14ac:dyDescent="0.2">
      <c r="T45" s="372"/>
    </row>
    <row r="46" spans="1:20" ht="13.5" thickBot="1" x14ac:dyDescent="0.25">
      <c r="A46" s="366"/>
      <c r="B46" s="366"/>
      <c r="C46" s="366"/>
      <c r="D46" s="366"/>
      <c r="E46" s="377"/>
      <c r="F46" s="366"/>
      <c r="G46" s="366"/>
      <c r="H46" s="366"/>
      <c r="I46" s="366"/>
      <c r="J46" s="366"/>
      <c r="K46" s="366"/>
      <c r="L46" s="366"/>
      <c r="M46" s="366"/>
      <c r="N46" s="366"/>
      <c r="O46" s="366"/>
      <c r="P46" s="366"/>
      <c r="Q46" s="366"/>
      <c r="R46" s="366"/>
      <c r="S46" s="366"/>
      <c r="T46" s="374"/>
    </row>
    <row r="47" spans="1:20" ht="14.25" thickTop="1" thickBot="1" x14ac:dyDescent="0.25">
      <c r="E47" s="126"/>
      <c r="T47" s="372"/>
    </row>
    <row r="48" spans="1:20" ht="20.100000000000001" customHeight="1" thickBot="1" x14ac:dyDescent="0.25">
      <c r="D48" s="189" t="s">
        <v>76</v>
      </c>
      <c r="E48" s="548" t="s">
        <v>100</v>
      </c>
      <c r="F48" s="549"/>
      <c r="G48" s="549"/>
      <c r="H48" s="549"/>
      <c r="I48" s="549"/>
      <c r="J48" s="549"/>
      <c r="K48" s="549"/>
      <c r="L48" s="549"/>
      <c r="M48" s="549"/>
      <c r="N48" s="549"/>
      <c r="O48" s="549"/>
      <c r="P48" s="550"/>
      <c r="Q48" s="306" t="s">
        <v>7</v>
      </c>
      <c r="T48" s="372"/>
    </row>
    <row r="49" spans="3:20" ht="36.75" thickBot="1" x14ac:dyDescent="0.25">
      <c r="C49" s="187"/>
      <c r="D49" s="284" t="s">
        <v>79</v>
      </c>
      <c r="E49" s="328" t="s">
        <v>67</v>
      </c>
      <c r="F49" s="332" t="s">
        <v>97</v>
      </c>
      <c r="G49" s="327" t="s">
        <v>68</v>
      </c>
      <c r="H49" s="330" t="s">
        <v>69</v>
      </c>
      <c r="I49" s="331" t="s">
        <v>70</v>
      </c>
      <c r="J49" s="329" t="s">
        <v>71</v>
      </c>
      <c r="K49" s="333" t="s">
        <v>72</v>
      </c>
      <c r="L49" s="319" t="s">
        <v>73</v>
      </c>
      <c r="M49" s="327" t="s">
        <v>74</v>
      </c>
      <c r="N49" s="334" t="s">
        <v>75</v>
      </c>
      <c r="O49" s="286" t="s">
        <v>3</v>
      </c>
      <c r="P49" s="285" t="s">
        <v>4</v>
      </c>
      <c r="Q49" s="308" t="s">
        <v>101</v>
      </c>
      <c r="T49" s="372"/>
    </row>
    <row r="50" spans="3:20" ht="19.5" customHeight="1" x14ac:dyDescent="0.2">
      <c r="C50" s="188"/>
      <c r="D50" s="283">
        <v>1</v>
      </c>
      <c r="E50" s="246">
        <v>1</v>
      </c>
      <c r="F50" s="247">
        <v>3</v>
      </c>
      <c r="G50" s="247">
        <v>23</v>
      </c>
      <c r="H50" s="247">
        <v>46</v>
      </c>
      <c r="I50" s="247">
        <v>2</v>
      </c>
      <c r="J50" s="247">
        <v>5</v>
      </c>
      <c r="K50" s="247">
        <v>9</v>
      </c>
      <c r="L50" s="247">
        <v>6</v>
      </c>
      <c r="M50" s="247"/>
      <c r="N50" s="248">
        <v>5</v>
      </c>
      <c r="O50" s="249"/>
      <c r="P50" s="248"/>
      <c r="Q50" s="307">
        <f t="shared" ref="Q50:Q59" si="5">SUM(E50:P50)</f>
        <v>100</v>
      </c>
      <c r="T50" s="372"/>
    </row>
    <row r="51" spans="3:20" ht="20.100000000000001" customHeight="1" x14ac:dyDescent="0.2">
      <c r="C51" s="188"/>
      <c r="D51" s="283">
        <v>3</v>
      </c>
      <c r="E51" s="246">
        <v>1</v>
      </c>
      <c r="F51" s="247">
        <v>6</v>
      </c>
      <c r="G51" s="247">
        <v>63</v>
      </c>
      <c r="H51" s="247">
        <v>76</v>
      </c>
      <c r="I51" s="247">
        <v>3</v>
      </c>
      <c r="J51" s="247">
        <v>13</v>
      </c>
      <c r="K51" s="247">
        <v>15</v>
      </c>
      <c r="L51" s="247">
        <v>6</v>
      </c>
      <c r="M51" s="247">
        <v>5</v>
      </c>
      <c r="N51" s="248">
        <v>10</v>
      </c>
      <c r="O51" s="249">
        <v>2</v>
      </c>
      <c r="P51" s="248"/>
      <c r="Q51" s="307">
        <f t="shared" si="5"/>
        <v>200</v>
      </c>
      <c r="T51" s="372"/>
    </row>
    <row r="52" spans="3:20" ht="20.100000000000001" customHeight="1" x14ac:dyDescent="0.2">
      <c r="C52" s="188"/>
      <c r="D52" s="283">
        <v>4</v>
      </c>
      <c r="E52" s="246">
        <v>3</v>
      </c>
      <c r="F52" s="247">
        <v>8</v>
      </c>
      <c r="G52" s="247">
        <v>99</v>
      </c>
      <c r="H52" s="247">
        <v>95</v>
      </c>
      <c r="I52" s="247">
        <v>5</v>
      </c>
      <c r="J52" s="247">
        <v>21</v>
      </c>
      <c r="K52" s="247">
        <v>27</v>
      </c>
      <c r="L52" s="247">
        <v>10</v>
      </c>
      <c r="M52" s="247">
        <v>12</v>
      </c>
      <c r="N52" s="248">
        <v>13</v>
      </c>
      <c r="O52" s="249">
        <v>5</v>
      </c>
      <c r="P52" s="248">
        <v>2</v>
      </c>
      <c r="Q52" s="307">
        <f t="shared" si="5"/>
        <v>300</v>
      </c>
      <c r="T52" s="372"/>
    </row>
    <row r="53" spans="3:20" ht="20.100000000000001" customHeight="1" x14ac:dyDescent="0.2">
      <c r="C53" s="188"/>
      <c r="D53" s="283" t="s">
        <v>78</v>
      </c>
      <c r="E53" s="246"/>
      <c r="F53" s="247"/>
      <c r="G53" s="247"/>
      <c r="H53" s="247"/>
      <c r="I53" s="247"/>
      <c r="J53" s="247"/>
      <c r="K53" s="247"/>
      <c r="L53" s="247"/>
      <c r="M53" s="247"/>
      <c r="N53" s="248"/>
      <c r="O53" s="249"/>
      <c r="P53" s="248"/>
      <c r="Q53" s="307">
        <f t="shared" si="5"/>
        <v>0</v>
      </c>
      <c r="T53" s="372"/>
    </row>
    <row r="54" spans="3:20" ht="20.100000000000001" customHeight="1" x14ac:dyDescent="0.2">
      <c r="C54" s="188"/>
      <c r="D54" s="283" t="s">
        <v>78</v>
      </c>
      <c r="E54" s="246"/>
      <c r="F54" s="247"/>
      <c r="G54" s="247"/>
      <c r="H54" s="247"/>
      <c r="I54" s="247"/>
      <c r="J54" s="247"/>
      <c r="K54" s="247"/>
      <c r="L54" s="247"/>
      <c r="M54" s="247"/>
      <c r="N54" s="248"/>
      <c r="O54" s="249"/>
      <c r="P54" s="248"/>
      <c r="Q54" s="307">
        <f t="shared" si="5"/>
        <v>0</v>
      </c>
      <c r="T54" s="372"/>
    </row>
    <row r="55" spans="3:20" ht="20.100000000000001" customHeight="1" x14ac:dyDescent="0.2">
      <c r="C55" s="188"/>
      <c r="D55" s="283" t="s">
        <v>78</v>
      </c>
      <c r="E55" s="246"/>
      <c r="F55" s="247"/>
      <c r="G55" s="247"/>
      <c r="H55" s="247"/>
      <c r="I55" s="247"/>
      <c r="J55" s="247"/>
      <c r="K55" s="247"/>
      <c r="L55" s="247"/>
      <c r="M55" s="247"/>
      <c r="N55" s="248"/>
      <c r="O55" s="249"/>
      <c r="P55" s="248"/>
      <c r="Q55" s="307">
        <f t="shared" si="5"/>
        <v>0</v>
      </c>
      <c r="T55" s="372"/>
    </row>
    <row r="56" spans="3:20" ht="20.100000000000001" customHeight="1" x14ac:dyDescent="0.2">
      <c r="C56" s="188"/>
      <c r="D56" s="283" t="s">
        <v>78</v>
      </c>
      <c r="E56" s="246"/>
      <c r="F56" s="247"/>
      <c r="G56" s="247"/>
      <c r="H56" s="247"/>
      <c r="I56" s="247"/>
      <c r="J56" s="247"/>
      <c r="K56" s="247"/>
      <c r="L56" s="247"/>
      <c r="M56" s="247"/>
      <c r="N56" s="248"/>
      <c r="O56" s="249"/>
      <c r="P56" s="248"/>
      <c r="Q56" s="307">
        <f t="shared" si="5"/>
        <v>0</v>
      </c>
      <c r="T56" s="372"/>
    </row>
    <row r="57" spans="3:20" ht="20.100000000000001" customHeight="1" x14ac:dyDescent="0.2">
      <c r="C57" s="188"/>
      <c r="D57" s="283" t="s">
        <v>78</v>
      </c>
      <c r="E57" s="246"/>
      <c r="F57" s="247"/>
      <c r="G57" s="247"/>
      <c r="H57" s="247"/>
      <c r="I57" s="247"/>
      <c r="J57" s="247"/>
      <c r="K57" s="247"/>
      <c r="L57" s="247"/>
      <c r="M57" s="247"/>
      <c r="N57" s="248"/>
      <c r="O57" s="249"/>
      <c r="P57" s="248"/>
      <c r="Q57" s="307">
        <f t="shared" si="5"/>
        <v>0</v>
      </c>
      <c r="T57" s="372"/>
    </row>
    <row r="58" spans="3:20" ht="20.100000000000001" customHeight="1" x14ac:dyDescent="0.2">
      <c r="C58" s="188"/>
      <c r="D58" s="283" t="s">
        <v>78</v>
      </c>
      <c r="E58" s="246"/>
      <c r="F58" s="247"/>
      <c r="G58" s="247"/>
      <c r="H58" s="247"/>
      <c r="I58" s="247"/>
      <c r="J58" s="247"/>
      <c r="K58" s="247"/>
      <c r="L58" s="247"/>
      <c r="M58" s="247"/>
      <c r="N58" s="248"/>
      <c r="O58" s="249"/>
      <c r="P58" s="248"/>
      <c r="Q58" s="307">
        <f t="shared" si="5"/>
        <v>0</v>
      </c>
      <c r="T58" s="372"/>
    </row>
    <row r="59" spans="3:20" ht="20.100000000000001" customHeight="1" thickBot="1" x14ac:dyDescent="0.25">
      <c r="C59" s="188"/>
      <c r="D59" s="287" t="s">
        <v>78</v>
      </c>
      <c r="E59" s="288"/>
      <c r="F59" s="289"/>
      <c r="G59" s="289"/>
      <c r="H59" s="289"/>
      <c r="I59" s="289"/>
      <c r="J59" s="289"/>
      <c r="K59" s="289"/>
      <c r="L59" s="289"/>
      <c r="M59" s="289"/>
      <c r="N59" s="290"/>
      <c r="O59" s="291"/>
      <c r="P59" s="290"/>
      <c r="Q59" s="307">
        <f t="shared" si="5"/>
        <v>0</v>
      </c>
      <c r="T59" s="372"/>
    </row>
    <row r="60" spans="3:20" x14ac:dyDescent="0.2">
      <c r="Q60" s="254"/>
      <c r="T60" s="372"/>
    </row>
    <row r="61" spans="3:20" x14ac:dyDescent="0.2">
      <c r="T61" s="372"/>
    </row>
    <row r="62" spans="3:20" x14ac:dyDescent="0.2">
      <c r="T62" s="372"/>
    </row>
    <row r="63" spans="3:20" ht="18" x14ac:dyDescent="0.25">
      <c r="E63" s="185"/>
      <c r="T63" s="372"/>
    </row>
    <row r="64" spans="3:20" x14ac:dyDescent="0.2">
      <c r="T64" s="372"/>
    </row>
    <row r="65" spans="4:20" ht="13.5" thickBot="1" x14ac:dyDescent="0.25">
      <c r="T65" s="372"/>
    </row>
    <row r="66" spans="4:20" ht="16.5" customHeight="1" thickBot="1" x14ac:dyDescent="0.25">
      <c r="D66" s="189" t="s">
        <v>77</v>
      </c>
      <c r="E66" s="548" t="s">
        <v>99</v>
      </c>
      <c r="F66" s="549"/>
      <c r="G66" s="549"/>
      <c r="H66" s="549"/>
      <c r="I66" s="549"/>
      <c r="J66" s="549"/>
      <c r="K66" s="549"/>
      <c r="L66" s="549"/>
      <c r="M66" s="549"/>
      <c r="N66" s="549"/>
      <c r="O66" s="549"/>
      <c r="P66" s="550"/>
      <c r="Q66" s="306" t="s">
        <v>7</v>
      </c>
      <c r="T66" s="372"/>
    </row>
    <row r="67" spans="4:20" ht="36.75" thickBot="1" x14ac:dyDescent="0.25">
      <c r="D67" s="284" t="s">
        <v>79</v>
      </c>
      <c r="E67" s="328" t="s">
        <v>67</v>
      </c>
      <c r="F67" s="332" t="s">
        <v>97</v>
      </c>
      <c r="G67" s="327" t="s">
        <v>68</v>
      </c>
      <c r="H67" s="330" t="s">
        <v>69</v>
      </c>
      <c r="I67" s="331" t="s">
        <v>70</v>
      </c>
      <c r="J67" s="329" t="s">
        <v>71</v>
      </c>
      <c r="K67" s="333" t="s">
        <v>72</v>
      </c>
      <c r="L67" s="319" t="s">
        <v>73</v>
      </c>
      <c r="M67" s="327" t="s">
        <v>74</v>
      </c>
      <c r="N67" s="334" t="s">
        <v>75</v>
      </c>
      <c r="O67" s="286" t="s">
        <v>3</v>
      </c>
      <c r="P67" s="285" t="s">
        <v>4</v>
      </c>
      <c r="Q67" s="313" t="s">
        <v>101</v>
      </c>
      <c r="T67" s="372"/>
    </row>
    <row r="68" spans="4:20" ht="20.100000000000001" customHeight="1" x14ac:dyDescent="0.2">
      <c r="D68" s="198">
        <v>2</v>
      </c>
      <c r="E68" s="191"/>
      <c r="F68" s="192">
        <v>2</v>
      </c>
      <c r="G68" s="192">
        <v>17</v>
      </c>
      <c r="H68" s="192">
        <v>59</v>
      </c>
      <c r="I68" s="192">
        <v>3</v>
      </c>
      <c r="J68" s="192">
        <v>5</v>
      </c>
      <c r="K68" s="192">
        <v>9</v>
      </c>
      <c r="L68" s="192">
        <v>2</v>
      </c>
      <c r="M68" s="192">
        <v>1</v>
      </c>
      <c r="N68" s="193"/>
      <c r="O68" s="194">
        <v>1</v>
      </c>
      <c r="P68" s="193">
        <v>1</v>
      </c>
      <c r="Q68" s="310">
        <f>SUM(E68:P68)</f>
        <v>100</v>
      </c>
      <c r="T68" s="372"/>
    </row>
    <row r="69" spans="4:20" ht="20.100000000000001" customHeight="1" x14ac:dyDescent="0.2">
      <c r="D69" s="196">
        <v>5</v>
      </c>
      <c r="E69" s="136"/>
      <c r="F69" s="137">
        <v>3</v>
      </c>
      <c r="G69" s="137">
        <v>36</v>
      </c>
      <c r="H69" s="137">
        <v>71</v>
      </c>
      <c r="I69" s="137">
        <v>4</v>
      </c>
      <c r="J69" s="137">
        <v>6</v>
      </c>
      <c r="K69" s="137">
        <v>10</v>
      </c>
      <c r="L69" s="137">
        <v>5</v>
      </c>
      <c r="M69" s="137">
        <v>1</v>
      </c>
      <c r="N69" s="138"/>
      <c r="O69" s="139">
        <v>3</v>
      </c>
      <c r="P69" s="138">
        <v>1</v>
      </c>
      <c r="Q69" s="244">
        <f>SUM(E69:P69)</f>
        <v>140</v>
      </c>
      <c r="T69" s="372"/>
    </row>
    <row r="70" spans="4:20" ht="20.100000000000001" customHeight="1" x14ac:dyDescent="0.2">
      <c r="D70" s="196" t="s">
        <v>78</v>
      </c>
      <c r="E70" s="136"/>
      <c r="F70" s="137"/>
      <c r="G70" s="137"/>
      <c r="H70" s="137"/>
      <c r="I70" s="137"/>
      <c r="J70" s="137"/>
      <c r="K70" s="137"/>
      <c r="L70" s="137"/>
      <c r="M70" s="137"/>
      <c r="N70" s="138"/>
      <c r="O70" s="139"/>
      <c r="P70" s="138"/>
      <c r="Q70" s="244">
        <f>SUM(E70:P70)</f>
        <v>0</v>
      </c>
      <c r="T70" s="372"/>
    </row>
    <row r="71" spans="4:20" ht="20.100000000000001" customHeight="1" x14ac:dyDescent="0.2">
      <c r="D71" s="196" t="s">
        <v>78</v>
      </c>
      <c r="E71" s="136"/>
      <c r="F71" s="137"/>
      <c r="G71" s="137"/>
      <c r="H71" s="137"/>
      <c r="I71" s="137"/>
      <c r="J71" s="137"/>
      <c r="K71" s="137"/>
      <c r="L71" s="137"/>
      <c r="M71" s="137"/>
      <c r="N71" s="138"/>
      <c r="O71" s="139"/>
      <c r="P71" s="138"/>
      <c r="Q71" s="244">
        <f>SUM(E71:P71)</f>
        <v>0</v>
      </c>
      <c r="T71" s="372"/>
    </row>
    <row r="72" spans="4:20" ht="20.100000000000001" customHeight="1" thickBot="1" x14ac:dyDescent="0.25">
      <c r="D72" s="197" t="s">
        <v>78</v>
      </c>
      <c r="E72" s="140"/>
      <c r="F72" s="141"/>
      <c r="G72" s="141"/>
      <c r="H72" s="141"/>
      <c r="I72" s="141"/>
      <c r="J72" s="141"/>
      <c r="K72" s="141"/>
      <c r="L72" s="141"/>
      <c r="M72" s="141"/>
      <c r="N72" s="142"/>
      <c r="O72" s="143"/>
      <c r="P72" s="142"/>
      <c r="Q72" s="311">
        <f>SUM(E72:P72)</f>
        <v>0</v>
      </c>
      <c r="T72" s="372"/>
    </row>
    <row r="73" spans="4:20" ht="20.100000000000001" customHeight="1" x14ac:dyDescent="0.2">
      <c r="D73" s="190"/>
      <c r="E73" s="188"/>
      <c r="F73" s="188"/>
      <c r="G73" s="188"/>
      <c r="H73" s="188"/>
      <c r="I73" s="188"/>
      <c r="J73" s="188"/>
      <c r="K73" s="188"/>
      <c r="L73" s="188"/>
      <c r="M73" s="188"/>
      <c r="N73" s="188"/>
      <c r="O73" s="188"/>
      <c r="P73" s="188"/>
      <c r="T73" s="372"/>
    </row>
    <row r="74" spans="4:20" ht="20.100000000000001" customHeight="1" x14ac:dyDescent="0.2">
      <c r="D74" s="190"/>
      <c r="E74" s="188"/>
      <c r="F74" s="188"/>
      <c r="G74" s="188"/>
      <c r="H74" s="188"/>
      <c r="I74" s="188"/>
      <c r="J74" s="188"/>
      <c r="K74" s="188"/>
      <c r="L74" s="188"/>
      <c r="M74" s="188"/>
      <c r="N74" s="188"/>
      <c r="O74" s="188"/>
      <c r="P74" s="188"/>
      <c r="T74" s="372"/>
    </row>
    <row r="75" spans="4:20" ht="20.100000000000001" customHeight="1" thickBot="1" x14ac:dyDescent="0.25">
      <c r="D75" s="190"/>
      <c r="E75" s="188"/>
      <c r="F75" s="188"/>
      <c r="G75" s="188"/>
      <c r="H75" s="188"/>
      <c r="I75" s="188"/>
      <c r="J75" s="188"/>
      <c r="K75" s="188"/>
      <c r="L75" s="188"/>
      <c r="M75" s="188"/>
      <c r="N75" s="188"/>
      <c r="O75" s="188"/>
      <c r="P75" s="188"/>
      <c r="T75" s="372"/>
    </row>
    <row r="76" spans="4:20" ht="20.100000000000001" customHeight="1" thickBot="1" x14ac:dyDescent="0.25">
      <c r="D76" s="189" t="s">
        <v>81</v>
      </c>
      <c r="E76" s="548" t="s">
        <v>98</v>
      </c>
      <c r="F76" s="549"/>
      <c r="G76" s="549"/>
      <c r="H76" s="549"/>
      <c r="I76" s="549"/>
      <c r="J76" s="549"/>
      <c r="K76" s="549"/>
      <c r="L76" s="549"/>
      <c r="M76" s="549"/>
      <c r="N76" s="549"/>
      <c r="O76" s="549"/>
      <c r="P76" s="550"/>
      <c r="Q76" s="312" t="s">
        <v>7</v>
      </c>
      <c r="T76" s="372"/>
    </row>
    <row r="77" spans="4:20" ht="36.75" thickBot="1" x14ac:dyDescent="0.25">
      <c r="D77" s="284" t="s">
        <v>79</v>
      </c>
      <c r="E77" s="328" t="s">
        <v>67</v>
      </c>
      <c r="F77" s="332" t="s">
        <v>97</v>
      </c>
      <c r="G77" s="327" t="s">
        <v>68</v>
      </c>
      <c r="H77" s="330" t="s">
        <v>69</v>
      </c>
      <c r="I77" s="331" t="s">
        <v>70</v>
      </c>
      <c r="J77" s="329" t="s">
        <v>71</v>
      </c>
      <c r="K77" s="333" t="s">
        <v>72</v>
      </c>
      <c r="L77" s="319" t="s">
        <v>73</v>
      </c>
      <c r="M77" s="327" t="s">
        <v>74</v>
      </c>
      <c r="N77" s="334" t="s">
        <v>75</v>
      </c>
      <c r="O77" s="286" t="s">
        <v>3</v>
      </c>
      <c r="P77" s="285" t="s">
        <v>4</v>
      </c>
      <c r="Q77" s="309" t="s">
        <v>101</v>
      </c>
      <c r="T77" s="372"/>
    </row>
    <row r="78" spans="4:20" ht="20.100000000000001" customHeight="1" x14ac:dyDescent="0.2">
      <c r="D78" s="198" t="s">
        <v>78</v>
      </c>
      <c r="E78" s="191"/>
      <c r="F78" s="192"/>
      <c r="G78" s="192"/>
      <c r="H78" s="192"/>
      <c r="I78" s="192"/>
      <c r="J78" s="192"/>
      <c r="K78" s="192"/>
      <c r="L78" s="192"/>
      <c r="M78" s="192"/>
      <c r="N78" s="193"/>
      <c r="O78" s="194"/>
      <c r="P78" s="193"/>
      <c r="Q78" s="310">
        <f>SUM(E78:P78)</f>
        <v>0</v>
      </c>
      <c r="T78" s="372"/>
    </row>
    <row r="79" spans="4:20" ht="20.100000000000001" customHeight="1" x14ac:dyDescent="0.2">
      <c r="D79" s="196" t="s">
        <v>78</v>
      </c>
      <c r="E79" s="136"/>
      <c r="F79" s="137"/>
      <c r="G79" s="137"/>
      <c r="H79" s="137"/>
      <c r="I79" s="137"/>
      <c r="J79" s="137"/>
      <c r="K79" s="137"/>
      <c r="L79" s="137"/>
      <c r="M79" s="137"/>
      <c r="N79" s="138"/>
      <c r="O79" s="139"/>
      <c r="P79" s="138"/>
      <c r="Q79" s="244">
        <f>SUM(E79:P79)</f>
        <v>0</v>
      </c>
      <c r="T79" s="372"/>
    </row>
    <row r="80" spans="4:20" ht="20.100000000000001" customHeight="1" thickBot="1" x14ac:dyDescent="0.25">
      <c r="D80" s="197" t="s">
        <v>78</v>
      </c>
      <c r="E80" s="140"/>
      <c r="F80" s="141"/>
      <c r="G80" s="141"/>
      <c r="H80" s="141"/>
      <c r="I80" s="141"/>
      <c r="J80" s="141"/>
      <c r="K80" s="141"/>
      <c r="L80" s="141"/>
      <c r="M80" s="141"/>
      <c r="N80" s="142"/>
      <c r="O80" s="143"/>
      <c r="P80" s="142"/>
      <c r="Q80" s="311">
        <f>SUM(E80:P80)</f>
        <v>0</v>
      </c>
      <c r="T80" s="372"/>
    </row>
    <row r="81" spans="4:20" ht="20.100000000000001" customHeight="1" x14ac:dyDescent="0.2">
      <c r="D81" s="190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95"/>
      <c r="T81" s="372"/>
    </row>
    <row r="82" spans="4:20" ht="20.100000000000001" customHeight="1" x14ac:dyDescent="0.2">
      <c r="D82" s="190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95"/>
      <c r="T82" s="372"/>
    </row>
    <row r="83" spans="4:20" x14ac:dyDescent="0.2">
      <c r="T83" s="372"/>
    </row>
    <row r="84" spans="4:20" x14ac:dyDescent="0.2">
      <c r="T84" s="372"/>
    </row>
  </sheetData>
  <sheetProtection algorithmName="SHA-512" hashValue="gVDmw3+QtCWwCN9ph30MAnCevdLma6jSF/MjZJjo/Q3N49XnGL7wCbRw26KObqwv8d7XLNCG1SaoF8c3BI5+yw==" saltValue="NEVimqGjRc69enWGwb1PJA==" spinCount="100000" sheet="1" objects="1" scenarios="1"/>
  <mergeCells count="7">
    <mergeCell ref="E76:P76"/>
    <mergeCell ref="E1:P1"/>
    <mergeCell ref="A10:B11"/>
    <mergeCell ref="A12:B14"/>
    <mergeCell ref="A15:B18"/>
    <mergeCell ref="E48:P48"/>
    <mergeCell ref="E66:P66"/>
  </mergeCells>
  <phoneticPr fontId="26" type="noConversion"/>
  <conditionalFormatting sqref="E3:Q12">
    <cfRule type="cellIs" dxfId="407" priority="16" operator="notBetween">
      <formula>0</formula>
      <formula>100</formula>
    </cfRule>
  </conditionalFormatting>
  <conditionalFormatting sqref="E3:Q14">
    <cfRule type="cellIs" dxfId="406" priority="19" operator="lessThan">
      <formula>0</formula>
    </cfRule>
  </conditionalFormatting>
  <conditionalFormatting sqref="E14:Q14">
    <cfRule type="cellIs" dxfId="405" priority="22" operator="greaterThan">
      <formula>1</formula>
    </cfRule>
  </conditionalFormatting>
  <conditionalFormatting sqref="Q3:Q13">
    <cfRule type="cellIs" dxfId="404" priority="20" operator="equal">
      <formula>0</formula>
    </cfRule>
  </conditionalFormatting>
  <conditionalFormatting sqref="Q13">
    <cfRule type="cellIs" dxfId="403" priority="24" operator="equal">
      <formula>$B$7</formula>
    </cfRule>
  </conditionalFormatting>
  <conditionalFormatting sqref="Q14">
    <cfRule type="cellIs" dxfId="402" priority="21" operator="equal">
      <formula>1</formula>
    </cfRule>
    <cfRule type="cellIs" dxfId="401" priority="23" operator="lessThan">
      <formula>1</formula>
    </cfRule>
  </conditionalFormatting>
  <conditionalFormatting sqref="W4:W15">
    <cfRule type="expression" dxfId="400" priority="25">
      <formula>AND($W4&lt;$W3, NOT(ISBLANK($W4)))</formula>
    </cfRule>
    <cfRule type="cellIs" dxfId="399" priority="26" operator="greaterThan">
      <formula>$B$6</formula>
    </cfRule>
  </conditionalFormatting>
  <conditionalFormatting sqref="X4:X15">
    <cfRule type="cellIs" dxfId="398" priority="18" operator="greaterThan">
      <formula>1</formula>
    </cfRule>
  </conditionalFormatting>
  <conditionalFormatting sqref="D68:D72 D50:D59 D78:D80">
    <cfRule type="colorScale" priority="14">
      <colorScale>
        <cfvo type="min"/>
        <cfvo type="max"/>
        <color theme="9" tint="0.79998168889431442"/>
        <color theme="9" tint="-0.499984740745262"/>
      </colorScale>
    </cfRule>
  </conditionalFormatting>
  <conditionalFormatting sqref="E3:P12">
    <cfRule type="expression" dxfId="397" priority="27">
      <formula>($D3&lt;=$K$23)</formula>
    </cfRule>
  </conditionalFormatting>
  <conditionalFormatting sqref="Q3:Q12">
    <cfRule type="expression" dxfId="396" priority="28">
      <formula>AND($D3=$K$23, Q3=$J$24)</formula>
    </cfRule>
    <cfRule type="expression" dxfId="395" priority="29">
      <formula>AND($D3=$K$23, MOD(Q3,100)&gt;$J$24)</formula>
    </cfRule>
    <cfRule type="cellIs" dxfId="394" priority="30" operator="equal">
      <formula>100</formula>
    </cfRule>
  </conditionalFormatting>
  <conditionalFormatting sqref="D3:P12">
    <cfRule type="expression" dxfId="393" priority="34">
      <formula>($D3&gt;$K$23)</formula>
    </cfRule>
  </conditionalFormatting>
  <conditionalFormatting sqref="E50:P59 E68:P72 E78:P80">
    <cfRule type="cellIs" dxfId="392" priority="31" operator="notBetween">
      <formula>0</formula>
      <formula>$B$7</formula>
    </cfRule>
    <cfRule type="expression" dxfId="391" priority="32">
      <formula>($D50&lt;=$K$23)</formula>
    </cfRule>
    <cfRule type="expression" dxfId="390" priority="33">
      <formula>($D50&gt;$K$23)</formula>
    </cfRule>
  </conditionalFormatting>
  <conditionalFormatting sqref="B8">
    <cfRule type="cellIs" dxfId="389" priority="12" operator="notEqual">
      <formula>$B$7</formula>
    </cfRule>
  </conditionalFormatting>
  <conditionalFormatting sqref="E50:P59">
    <cfRule type="expression" dxfId="388" priority="10">
      <formula>AND(E51&lt;MAX(E$50:E51), NOT(ISBLANK(E51)), NOT(E51=0))</formula>
    </cfRule>
  </conditionalFormatting>
  <conditionalFormatting sqref="E68:P72">
    <cfRule type="expression" dxfId="387" priority="11">
      <formula>AND(E69&lt;MAX(E$68:E69), NOT(ISBLANK(E69)), NOT(E69=0))</formula>
    </cfRule>
  </conditionalFormatting>
  <conditionalFormatting sqref="E78:P80">
    <cfRule type="expression" dxfId="386" priority="15">
      <formula>AND(E79&lt;MAX(E$78:E79), NOT(ISBLANK(E79)), NOT(E79=0))</formula>
    </cfRule>
  </conditionalFormatting>
  <conditionalFormatting sqref="Q50">
    <cfRule type="cellIs" dxfId="385" priority="1" operator="lessThan">
      <formula>0</formula>
    </cfRule>
    <cfRule type="cellIs" dxfId="384" priority="2" operator="equal">
      <formula>0</formula>
    </cfRule>
    <cfRule type="expression" dxfId="383" priority="3">
      <formula>OR(MOD($Q50,100)=0,AND($D50=$K$23,MOD($Q50,100)=$J$24))</formula>
    </cfRule>
  </conditionalFormatting>
  <conditionalFormatting sqref="Q52:Q59 Q68:Q72 Q78:Q80">
    <cfRule type="cellIs" dxfId="382" priority="4" operator="lessThan">
      <formula>0</formula>
    </cfRule>
    <cfRule type="cellIs" dxfId="381" priority="5" operator="equal">
      <formula>0</formula>
    </cfRule>
    <cfRule type="expression" dxfId="380" priority="6">
      <formula>OR(MOD($Q52,100)=0,AND($D52=$K$23,MOD($Q52,100)=$J$24))</formula>
    </cfRule>
  </conditionalFormatting>
  <conditionalFormatting sqref="Q51">
    <cfRule type="cellIs" dxfId="379" priority="7" operator="lessThan">
      <formula>0</formula>
    </cfRule>
    <cfRule type="cellIs" dxfId="378" priority="8" operator="equal">
      <formula>0</formula>
    </cfRule>
    <cfRule type="expression" dxfId="377" priority="9">
      <formula>OR(MOD($Q51,100)=0,AND($D50=$K$23,MOD($Q51,100)=$J$24))</formula>
    </cfRule>
  </conditionalFormatting>
  <dataValidations count="2">
    <dataValidation type="list" allowBlank="1" showInputMessage="1" showErrorMessage="1" sqref="D68:D72 D78:D82 D50:D59" xr:uid="{ADD5D60F-BE3B-4C74-9C35-A8C64EC2A50E}">
      <formula1>$D$3:$D$12</formula1>
    </dataValidation>
    <dataValidation type="list" allowBlank="1" showInputMessage="1" showErrorMessage="1" sqref="C50:C59" xr:uid="{CEE0577B-1D99-4B19-8565-0E6EF302CFDB}">
      <formula1>$H$24:$H$26</formula1>
    </dataValidation>
  </dataValidations>
  <pageMargins left="0.7" right="0.7" top="0.75" bottom="0.75" header="0.3" footer="0.3"/>
  <pageSetup paperSize="9" orientation="portrait" r:id="rId1"/>
  <cellWatches>
    <cellWatch r="I52"/>
  </cellWatche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F0F0-5A98-4FC1-90C0-5B68BE15F38E}">
  <sheetPr codeName="Feuil17">
    <tabColor rgb="FFB4A7D6"/>
  </sheetPr>
  <dimension ref="A1:V82"/>
  <sheetViews>
    <sheetView zoomScale="80" zoomScaleNormal="80" workbookViewId="0">
      <selection activeCell="Q4" sqref="Q4"/>
    </sheetView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24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357" t="s">
        <v>11</v>
      </c>
      <c r="B1" s="363">
        <f>Synthèse!$B$17</f>
        <v>46103</v>
      </c>
      <c r="D1" s="243"/>
      <c r="E1" s="551" t="s">
        <v>120</v>
      </c>
      <c r="F1" s="552"/>
      <c r="G1" s="552"/>
      <c r="H1" s="552"/>
      <c r="I1" s="552"/>
      <c r="J1" s="552"/>
      <c r="K1" s="552"/>
      <c r="L1" s="552"/>
      <c r="M1" s="553"/>
      <c r="N1" s="316" t="s">
        <v>7</v>
      </c>
      <c r="O1" s="372"/>
    </row>
    <row r="2" spans="1:22" ht="45" customHeight="1" thickBot="1" x14ac:dyDescent="0.25">
      <c r="A2" s="358" t="s">
        <v>12</v>
      </c>
      <c r="B2" s="364" t="str">
        <f>Synthèse!$B$18</f>
        <v>Municipales 2ème tour</v>
      </c>
      <c r="D2" s="280" t="s">
        <v>80</v>
      </c>
      <c r="E2" s="619" t="str">
        <f>Synthèse!L2</f>
        <v>Candidat(e)
1</v>
      </c>
      <c r="F2" s="620" t="str">
        <f>Synthèse!M2</f>
        <v>Candidat(e)
2</v>
      </c>
      <c r="G2" s="621" t="str">
        <f>Synthèse!N2</f>
        <v>Candidat(e)
3</v>
      </c>
      <c r="H2" s="622" t="str">
        <f>Synthèse!O2</f>
        <v>Candidat(e)
4</v>
      </c>
      <c r="I2" s="623" t="str">
        <f>Synthèse!P2</f>
        <v>Candidat(e)
5</v>
      </c>
      <c r="J2" s="624" t="str">
        <f>Synthèse!Q2</f>
        <v>Candidat(e)
6</v>
      </c>
      <c r="K2" s="625" t="str">
        <f>Synthèse!R2</f>
        <v>Candidat(e)
7</v>
      </c>
      <c r="L2" s="320" t="s">
        <v>3</v>
      </c>
      <c r="M2" s="321" t="s">
        <v>4</v>
      </c>
      <c r="N2" s="317" t="s">
        <v>102</v>
      </c>
      <c r="O2" s="372"/>
      <c r="P2" s="367" t="s">
        <v>21</v>
      </c>
      <c r="Q2" s="293" t="s">
        <v>56</v>
      </c>
      <c r="R2" s="294" t="s">
        <v>30</v>
      </c>
      <c r="T2" s="295" t="s">
        <v>58</v>
      </c>
      <c r="U2" s="295" t="s">
        <v>57</v>
      </c>
    </row>
    <row r="3" spans="1:22" ht="20.100000000000001" customHeight="1" thickBot="1" x14ac:dyDescent="0.25">
      <c r="A3" s="359" t="s">
        <v>13</v>
      </c>
      <c r="B3" s="365" t="str">
        <f>Synthèse!$B$19</f>
        <v>Cogolin</v>
      </c>
      <c r="D3" s="277" t="str" cm="1">
        <f t="array" ref="D3">IF(ROW(1:1)&lt;=$E$24, (ROW(1:1)), "")</f>
        <v/>
      </c>
      <c r="E3" s="113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3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13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13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13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13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13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28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2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44">
        <f t="shared" ref="N3:N13" si="0">SUM(E3:M3)</f>
        <v>0</v>
      </c>
      <c r="O3" s="372"/>
      <c r="P3" s="368" t="s">
        <v>31</v>
      </c>
      <c r="Q3" s="269">
        <v>0</v>
      </c>
      <c r="R3" s="270">
        <f>Q3/$B$6</f>
        <v>0</v>
      </c>
      <c r="T3" s="256"/>
      <c r="U3" s="256"/>
    </row>
    <row r="4" spans="1:22" ht="20.100000000000001" customHeight="1" x14ac:dyDescent="0.2">
      <c r="A4" s="65" t="s">
        <v>22</v>
      </c>
      <c r="B4" s="375">
        <v>0</v>
      </c>
      <c r="D4" s="278" t="str" cm="1">
        <f t="array" ref="D4">IF(ROW(2:2)&lt;=$E$24, (ROW(2:2)), "")</f>
        <v/>
      </c>
      <c r="E4" s="114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4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4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14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14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14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15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1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4">
        <f t="shared" si="0"/>
        <v>0</v>
      </c>
      <c r="O4" s="372"/>
      <c r="P4" s="369" t="s">
        <v>32</v>
      </c>
      <c r="Q4" s="324"/>
      <c r="R4" s="273" t="e">
        <f t="shared" ref="R4:R13" si="1">IF(OR(Q4=0, Q4=""), NA(), Q4/$B$6)</f>
        <v>#N/A</v>
      </c>
      <c r="T4" s="251" t="s">
        <v>44</v>
      </c>
      <c r="U4" s="296" t="e">
        <f t="shared" ref="U4:U13" si="2">IF(Q4&lt;&gt;0,Q4-Q3,NA())</f>
        <v>#N/A</v>
      </c>
    </row>
    <row r="5" spans="1:22" ht="20.100000000000001" customHeight="1" x14ac:dyDescent="0.2">
      <c r="A5" s="66" t="s">
        <v>23</v>
      </c>
      <c r="B5" s="376" t="str" cm="1">
        <f t="array" ref="B5">INDEX(Synthèse!B:B,B4+2)</f>
        <v>Nom</v>
      </c>
      <c r="D5" s="278" t="str" cm="1">
        <f t="array" ref="D5">IF(ROW(3:3)&lt;=$E$24, (ROW(3:3)), "")</f>
        <v/>
      </c>
      <c r="E5" s="114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4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14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14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14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14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14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3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31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4">
        <f t="shared" si="0"/>
        <v>0</v>
      </c>
      <c r="O5" s="373"/>
      <c r="P5" s="369" t="s">
        <v>33</v>
      </c>
      <c r="Q5" s="324"/>
      <c r="R5" s="273" t="e">
        <f t="shared" si="1"/>
        <v>#N/A</v>
      </c>
      <c r="T5" s="252" t="s">
        <v>45</v>
      </c>
      <c r="U5" s="297" t="e">
        <f t="shared" si="2"/>
        <v>#N/A</v>
      </c>
    </row>
    <row r="6" spans="1:22" ht="20.100000000000001" customHeight="1" x14ac:dyDescent="0.2">
      <c r="A6" s="66" t="s">
        <v>0</v>
      </c>
      <c r="B6" s="144">
        <v>200</v>
      </c>
      <c r="D6" s="278" t="str" cm="1">
        <f t="array" ref="D6">IF(ROW(4:4)&lt;=$E$24, (ROW(4:4)), "")</f>
        <v/>
      </c>
      <c r="E6" s="114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4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14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14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14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14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14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3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31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4">
        <f t="shared" si="0"/>
        <v>0</v>
      </c>
      <c r="O6" s="373"/>
      <c r="P6" s="369" t="s">
        <v>34</v>
      </c>
      <c r="Q6" s="324"/>
      <c r="R6" s="273" t="e">
        <f t="shared" si="1"/>
        <v>#N/A</v>
      </c>
      <c r="T6" s="252" t="s">
        <v>46</v>
      </c>
      <c r="U6" s="297" t="e">
        <f t="shared" si="2"/>
        <v>#N/A</v>
      </c>
    </row>
    <row r="7" spans="1:22" ht="20.100000000000001" customHeight="1" x14ac:dyDescent="0.2">
      <c r="A7" s="66" t="s">
        <v>2</v>
      </c>
      <c r="B7" s="123">
        <f>MAX(Q4:Q15)</f>
        <v>0</v>
      </c>
      <c r="D7" s="278" t="str" cm="1">
        <f t="array" ref="D7">IF(ROW(5:5)&lt;=$E$24, (ROW(5:5)), "")</f>
        <v/>
      </c>
      <c r="E7" s="114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4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4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14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14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14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15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1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4">
        <f t="shared" si="0"/>
        <v>0</v>
      </c>
      <c r="O7" s="373"/>
      <c r="P7" s="369" t="s">
        <v>35</v>
      </c>
      <c r="Q7" s="324"/>
      <c r="R7" s="273" t="e">
        <f t="shared" si="1"/>
        <v>#N/A</v>
      </c>
      <c r="T7" s="252" t="s">
        <v>53</v>
      </c>
      <c r="U7" s="297" t="e">
        <f t="shared" si="2"/>
        <v>#N/A</v>
      </c>
    </row>
    <row r="8" spans="1:22" ht="20.100000000000001" customHeight="1" x14ac:dyDescent="0.2">
      <c r="A8" s="66" t="s">
        <v>1</v>
      </c>
      <c r="B8" s="124"/>
      <c r="D8" s="278" t="str" cm="1">
        <f t="array" ref="D8">IF(ROW(6:6)&lt;=$E$24, (ROW(6:6)), "")</f>
        <v/>
      </c>
      <c r="E8" s="114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4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4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14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14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14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15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1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4">
        <f t="shared" si="0"/>
        <v>0</v>
      </c>
      <c r="O8" s="373"/>
      <c r="P8" s="369" t="s">
        <v>36</v>
      </c>
      <c r="Q8" s="324"/>
      <c r="R8" s="273" t="e">
        <f t="shared" si="1"/>
        <v>#N/A</v>
      </c>
      <c r="T8" s="252" t="s">
        <v>47</v>
      </c>
      <c r="U8" s="297" t="e">
        <f t="shared" si="2"/>
        <v>#N/A</v>
      </c>
    </row>
    <row r="9" spans="1:22" ht="20.100000000000001" customHeight="1" thickBot="1" x14ac:dyDescent="0.25">
      <c r="A9" s="67" t="s">
        <v>17</v>
      </c>
      <c r="B9" s="125">
        <f>B6-B7</f>
        <v>200</v>
      </c>
      <c r="D9" s="278" t="str" cm="1">
        <f t="array" ref="D9">IF(ROW(7:7)&lt;=$E$24, (ROW(7:7)), "")</f>
        <v/>
      </c>
      <c r="E9" s="114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4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4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14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14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14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17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18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4">
        <f t="shared" si="0"/>
        <v>0</v>
      </c>
      <c r="O9" s="373"/>
      <c r="P9" s="369" t="s">
        <v>37</v>
      </c>
      <c r="Q9" s="324"/>
      <c r="R9" s="273" t="e">
        <f t="shared" si="1"/>
        <v>#N/A</v>
      </c>
      <c r="T9" s="252" t="s">
        <v>48</v>
      </c>
      <c r="U9" s="297" t="e">
        <f t="shared" si="2"/>
        <v>#N/A</v>
      </c>
    </row>
    <row r="10" spans="1:22" ht="20.100000000000001" customHeight="1" x14ac:dyDescent="0.2">
      <c r="A10" s="554" t="s">
        <v>59</v>
      </c>
      <c r="B10" s="554"/>
      <c r="D10" s="278" t="str" cm="1">
        <f t="array" ref="D10">IF(ROW(8:8)&lt;=$E$24, (ROW(8:8)), "")</f>
        <v/>
      </c>
      <c r="E10" s="114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4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4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14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14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14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17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18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4">
        <f t="shared" si="0"/>
        <v>0</v>
      </c>
      <c r="O10" s="373"/>
      <c r="P10" s="369" t="s">
        <v>38</v>
      </c>
      <c r="Q10" s="324"/>
      <c r="R10" s="273" t="e">
        <f t="shared" si="1"/>
        <v>#N/A</v>
      </c>
      <c r="T10" s="252" t="s">
        <v>49</v>
      </c>
      <c r="U10" s="297" t="e">
        <f t="shared" si="2"/>
        <v>#N/A</v>
      </c>
    </row>
    <row r="11" spans="1:22" ht="20.100000000000001" customHeight="1" x14ac:dyDescent="0.2">
      <c r="A11" s="555"/>
      <c r="B11" s="555"/>
      <c r="D11" s="278" t="str" cm="1">
        <f t="array" ref="D11">IF(ROW(9:9)&lt;=$E$24, (ROW(9:9)), "")</f>
        <v/>
      </c>
      <c r="E11" s="114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4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4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14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14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14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17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18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4">
        <f t="shared" si="0"/>
        <v>0</v>
      </c>
      <c r="O11" s="373"/>
      <c r="P11" s="369" t="s">
        <v>39</v>
      </c>
      <c r="Q11" s="324"/>
      <c r="R11" s="273" t="e">
        <f t="shared" si="1"/>
        <v>#N/A</v>
      </c>
      <c r="T11" s="252" t="s">
        <v>50</v>
      </c>
      <c r="U11" s="297" t="e">
        <f t="shared" si="2"/>
        <v>#N/A</v>
      </c>
    </row>
    <row r="12" spans="1:22" ht="20.100000000000001" customHeight="1" thickBot="1" x14ac:dyDescent="0.25">
      <c r="A12" s="556" t="s">
        <v>60</v>
      </c>
      <c r="B12" s="556"/>
      <c r="D12" s="279" t="str" cm="1">
        <f t="array" ref="D12">IF(ROW(10:10)&lt;=$E$24, (ROW(10:10)), "")</f>
        <v/>
      </c>
      <c r="E12" s="114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4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14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14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14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14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14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32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33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4">
        <f t="shared" si="0"/>
        <v>0</v>
      </c>
      <c r="O12" s="373"/>
      <c r="P12" s="369" t="s">
        <v>40</v>
      </c>
      <c r="Q12" s="324"/>
      <c r="R12" s="273" t="e">
        <f t="shared" si="1"/>
        <v>#N/A</v>
      </c>
      <c r="T12" s="252" t="s">
        <v>51</v>
      </c>
      <c r="U12" s="297" t="e">
        <f t="shared" si="2"/>
        <v>#N/A</v>
      </c>
    </row>
    <row r="13" spans="1:22" ht="20.100000000000001" customHeight="1" thickBot="1" x14ac:dyDescent="0.3">
      <c r="A13" s="556"/>
      <c r="B13" s="556"/>
      <c r="D13" s="35" t="s">
        <v>9</v>
      </c>
      <c r="E13" s="119">
        <f>SUM(E3:E12)</f>
        <v>0</v>
      </c>
      <c r="F13" s="497">
        <f>SUM(F3:F12)</f>
        <v>0</v>
      </c>
      <c r="G13" s="497">
        <f t="shared" ref="G13:K13" si="3">SUM(G3:G12)</f>
        <v>0</v>
      </c>
      <c r="H13" s="497">
        <f t="shared" si="3"/>
        <v>0</v>
      </c>
      <c r="I13" s="497">
        <f t="shared" si="3"/>
        <v>0</v>
      </c>
      <c r="J13" s="497">
        <f t="shared" si="3"/>
        <v>0</v>
      </c>
      <c r="K13" s="120">
        <f t="shared" si="3"/>
        <v>0</v>
      </c>
      <c r="L13" s="121">
        <f t="shared" ref="K13:M13" si="4">SUM(L3:L12)</f>
        <v>0</v>
      </c>
      <c r="M13" s="122">
        <f t="shared" si="4"/>
        <v>0</v>
      </c>
      <c r="N13" s="355">
        <f t="shared" si="0"/>
        <v>0</v>
      </c>
      <c r="O13" s="373"/>
      <c r="P13" s="369" t="s">
        <v>41</v>
      </c>
      <c r="Q13" s="324"/>
      <c r="R13" s="273" t="e">
        <f t="shared" si="1"/>
        <v>#N/A</v>
      </c>
      <c r="T13" s="253" t="s">
        <v>52</v>
      </c>
      <c r="U13" s="298" t="e">
        <f t="shared" si="2"/>
        <v>#N/A</v>
      </c>
    </row>
    <row r="14" spans="1:22" ht="20.100000000000001" customHeight="1" thickBot="1" x14ac:dyDescent="0.3">
      <c r="A14" s="556"/>
      <c r="B14" s="556"/>
      <c r="D14" s="60" t="s">
        <v>10</v>
      </c>
      <c r="E14" s="32">
        <f t="shared" ref="E14:N14" si="5">IFERROR(E13/$B$7,0)</f>
        <v>0</v>
      </c>
      <c r="F14" s="498">
        <f t="shared" si="5"/>
        <v>0</v>
      </c>
      <c r="G14" s="498">
        <f t="shared" ref="G14:K14" si="6">IFERROR(G13/$B$7,0)</f>
        <v>0</v>
      </c>
      <c r="H14" s="498">
        <f t="shared" si="6"/>
        <v>0</v>
      </c>
      <c r="I14" s="498">
        <f t="shared" si="6"/>
        <v>0</v>
      </c>
      <c r="J14" s="498">
        <f t="shared" si="6"/>
        <v>0</v>
      </c>
      <c r="K14" s="33">
        <f t="shared" si="6"/>
        <v>0</v>
      </c>
      <c r="L14" s="32">
        <f t="shared" si="5"/>
        <v>0</v>
      </c>
      <c r="M14" s="34">
        <f t="shared" si="5"/>
        <v>0</v>
      </c>
      <c r="N14" s="356">
        <f t="shared" si="5"/>
        <v>0</v>
      </c>
      <c r="O14" s="372"/>
      <c r="P14" s="370" t="s">
        <v>42</v>
      </c>
      <c r="Q14" s="325"/>
      <c r="R14" s="275" t="e">
        <f>IF(OR(Q14=0, Q14=""), NA(), Q14/$B$6)</f>
        <v>#N/A</v>
      </c>
      <c r="S14" s="300"/>
      <c r="T14" s="304" t="s">
        <v>54</v>
      </c>
      <c r="U14" s="299" t="e">
        <f>IF(Q14&lt;&gt;0,Q14-Q13,NA())</f>
        <v>#N/A</v>
      </c>
      <c r="V14" s="300"/>
    </row>
    <row r="15" spans="1:22" ht="18" customHeight="1" thickBot="1" x14ac:dyDescent="0.25">
      <c r="A15" s="558" t="s">
        <v>66</v>
      </c>
      <c r="B15" s="558"/>
      <c r="C15" s="1"/>
      <c r="D15" s="1"/>
      <c r="N15" s="254"/>
      <c r="O15" s="372"/>
      <c r="P15" s="371" t="s">
        <v>43</v>
      </c>
      <c r="Q15" s="326"/>
      <c r="R15" s="301" t="e">
        <f>IF(OR(Q15=0, Q15=""), NA(), Q15/$B$6)</f>
        <v>#N/A</v>
      </c>
      <c r="T15" s="305" t="s">
        <v>55</v>
      </c>
      <c r="U15" s="303" t="e">
        <f>IF(Q15&lt;&gt;0,Q15-Q14,NA())</f>
        <v>#N/A</v>
      </c>
      <c r="V15" s="300"/>
    </row>
    <row r="16" spans="1:22" ht="12.75" customHeight="1" x14ac:dyDescent="0.2">
      <c r="A16" s="558"/>
      <c r="B16" s="558"/>
      <c r="O16" s="372"/>
      <c r="P16" s="254"/>
      <c r="Q16" s="254"/>
      <c r="R16" s="254"/>
      <c r="U16" s="254"/>
    </row>
    <row r="17" spans="1:15" ht="18" customHeight="1" x14ac:dyDescent="0.25">
      <c r="A17" s="558"/>
      <c r="B17" s="558"/>
      <c r="E17" s="185"/>
      <c r="F17" s="185"/>
      <c r="G17" s="185"/>
      <c r="H17" s="185"/>
      <c r="I17" s="185"/>
      <c r="J17" s="185"/>
      <c r="O17" s="372"/>
    </row>
    <row r="18" spans="1:15" ht="26.25" customHeight="1" x14ac:dyDescent="0.2">
      <c r="A18" s="558"/>
      <c r="B18" s="558"/>
      <c r="D18" s="353" t="s">
        <v>63</v>
      </c>
      <c r="O18" s="372"/>
    </row>
    <row r="19" spans="1:15" x14ac:dyDescent="0.2">
      <c r="D19" s="354">
        <f>IF((ROW()-23)&lt;=$E$25,(ROW()-23),"Choisir")</f>
        <v>-4</v>
      </c>
      <c r="O19" s="372"/>
    </row>
    <row r="20" spans="1:15" x14ac:dyDescent="0.2">
      <c r="D20" s="354">
        <f>IF((ROW()-23)&lt;=$E$25,(ROW()-23),"Choisir")</f>
        <v>-3</v>
      </c>
      <c r="O20" s="372"/>
    </row>
    <row r="21" spans="1:15" x14ac:dyDescent="0.2">
      <c r="D21" s="354">
        <f>IF((ROW()-23)&lt;=$E$25,(ROW()-23),"Choisir")</f>
        <v>-2</v>
      </c>
      <c r="O21" s="372"/>
    </row>
    <row r="22" spans="1:15" x14ac:dyDescent="0.2">
      <c r="D22" s="354">
        <f>IF((ROW()-23)&lt;=$E$25,(ROW()-23),"Choisir")</f>
        <v>-1</v>
      </c>
      <c r="O22" s="372"/>
    </row>
    <row r="23" spans="1:15" x14ac:dyDescent="0.2">
      <c r="O23" s="372"/>
    </row>
    <row r="24" spans="1:15" x14ac:dyDescent="0.2">
      <c r="D24" s="199">
        <f>CEILING($B$6, 100)/100</f>
        <v>2</v>
      </c>
      <c r="E24" s="335">
        <f>CEILING($B$7,100)/100</f>
        <v>0</v>
      </c>
      <c r="F24" s="335"/>
      <c r="G24" s="335"/>
      <c r="H24" s="335"/>
      <c r="I24" s="335"/>
      <c r="J24" s="335"/>
      <c r="O24" s="372"/>
    </row>
    <row r="25" spans="1:15" x14ac:dyDescent="0.2">
      <c r="D25" s="199">
        <f>MOD($B$7,100)</f>
        <v>0</v>
      </c>
      <c r="E25" s="200">
        <f>CEILING($B$6/300,1)</f>
        <v>1</v>
      </c>
      <c r="F25" s="200"/>
      <c r="G25" s="200"/>
      <c r="H25" s="200"/>
      <c r="I25" s="200"/>
      <c r="J25" s="200"/>
      <c r="O25" s="372"/>
    </row>
    <row r="26" spans="1:15" x14ac:dyDescent="0.2">
      <c r="O26" s="372"/>
    </row>
    <row r="27" spans="1:15" x14ac:dyDescent="0.2">
      <c r="O27" s="372"/>
    </row>
    <row r="28" spans="1:15" x14ac:dyDescent="0.2">
      <c r="O28" s="372"/>
    </row>
    <row r="29" spans="1:15" x14ac:dyDescent="0.2">
      <c r="O29" s="372"/>
    </row>
    <row r="30" spans="1:15" x14ac:dyDescent="0.2">
      <c r="O30" s="372"/>
    </row>
    <row r="31" spans="1:15" x14ac:dyDescent="0.2">
      <c r="O31" s="372"/>
    </row>
    <row r="32" spans="1:15" x14ac:dyDescent="0.2">
      <c r="O32" s="372"/>
    </row>
    <row r="33" spans="1:15" x14ac:dyDescent="0.2">
      <c r="O33" s="372"/>
    </row>
    <row r="34" spans="1:15" x14ac:dyDescent="0.2">
      <c r="O34" s="372"/>
    </row>
    <row r="35" spans="1:15" x14ac:dyDescent="0.2">
      <c r="O35" s="372"/>
    </row>
    <row r="36" spans="1:15" x14ac:dyDescent="0.2">
      <c r="O36" s="372"/>
    </row>
    <row r="37" spans="1:15" x14ac:dyDescent="0.2">
      <c r="O37" s="372"/>
    </row>
    <row r="38" spans="1:15" x14ac:dyDescent="0.2">
      <c r="O38" s="372"/>
    </row>
    <row r="39" spans="1:15" x14ac:dyDescent="0.2">
      <c r="O39" s="372"/>
    </row>
    <row r="40" spans="1:15" x14ac:dyDescent="0.2">
      <c r="O40" s="372"/>
    </row>
    <row r="41" spans="1:15" x14ac:dyDescent="0.2">
      <c r="O41" s="372"/>
    </row>
    <row r="42" spans="1:15" x14ac:dyDescent="0.2">
      <c r="O42" s="372"/>
    </row>
    <row r="43" spans="1:15" ht="13.5" thickBot="1" x14ac:dyDescent="0.25">
      <c r="A43" s="366"/>
      <c r="B43" s="366"/>
      <c r="C43" s="366"/>
      <c r="D43" s="366"/>
      <c r="E43" s="366"/>
      <c r="F43" s="366"/>
      <c r="G43" s="366"/>
      <c r="H43" s="366"/>
      <c r="I43" s="366"/>
      <c r="J43" s="366"/>
      <c r="K43" s="366"/>
      <c r="L43" s="366"/>
      <c r="M43" s="366"/>
      <c r="N43" s="366"/>
      <c r="O43" s="374"/>
    </row>
    <row r="44" spans="1:15" ht="13.5" thickTop="1" x14ac:dyDescent="0.2">
      <c r="O44" s="372"/>
    </row>
    <row r="45" spans="1:15" x14ac:dyDescent="0.2">
      <c r="O45" s="372"/>
    </row>
    <row r="46" spans="1:15" x14ac:dyDescent="0.2">
      <c r="E46" s="126"/>
      <c r="F46" s="126"/>
      <c r="G46" s="126"/>
      <c r="H46" s="126"/>
      <c r="I46" s="126"/>
      <c r="J46" s="126"/>
      <c r="O46" s="372"/>
    </row>
    <row r="47" spans="1:15" ht="13.5" thickBot="1" x14ac:dyDescent="0.25">
      <c r="E47" s="126"/>
      <c r="F47" s="126"/>
      <c r="G47" s="126"/>
      <c r="H47" s="126"/>
      <c r="I47" s="126"/>
      <c r="J47" s="126"/>
      <c r="O47" s="372"/>
    </row>
    <row r="48" spans="1:15" ht="20.100000000000001" customHeight="1" thickBot="1" x14ac:dyDescent="0.25">
      <c r="D48" s="189" t="s">
        <v>76</v>
      </c>
      <c r="E48" s="548" t="s">
        <v>117</v>
      </c>
      <c r="F48" s="549"/>
      <c r="G48" s="549"/>
      <c r="H48" s="549"/>
      <c r="I48" s="549"/>
      <c r="J48" s="549"/>
      <c r="K48" s="549"/>
      <c r="L48" s="549"/>
      <c r="M48" s="550"/>
      <c r="N48" s="306" t="s">
        <v>7</v>
      </c>
      <c r="O48" s="372"/>
    </row>
    <row r="49" spans="3:15" ht="47.25" customHeight="1" thickBot="1" x14ac:dyDescent="0.25">
      <c r="C49" s="187"/>
      <c r="D49" s="284" t="s">
        <v>79</v>
      </c>
      <c r="E49" s="626" t="str">
        <f>E2</f>
        <v>Candidat(e)
1</v>
      </c>
      <c r="F49" s="627" t="str">
        <f>F2</f>
        <v>Candidat(e)
2</v>
      </c>
      <c r="G49" s="628" t="str">
        <f t="shared" ref="G49:K49" si="7">G2</f>
        <v>Candidat(e)
3</v>
      </c>
      <c r="H49" s="629" t="str">
        <f t="shared" si="7"/>
        <v>Candidat(e)
4</v>
      </c>
      <c r="I49" s="630" t="str">
        <f t="shared" si="7"/>
        <v>Candidat(e)
5</v>
      </c>
      <c r="J49" s="631" t="str">
        <f t="shared" si="7"/>
        <v>Candidat(e)
6</v>
      </c>
      <c r="K49" s="632" t="str">
        <f t="shared" si="7"/>
        <v>Candidat(e)
7</v>
      </c>
      <c r="L49" s="322" t="s">
        <v>3</v>
      </c>
      <c r="M49" s="323" t="s">
        <v>4</v>
      </c>
      <c r="N49" s="308" t="s">
        <v>101</v>
      </c>
      <c r="O49" s="372"/>
    </row>
    <row r="50" spans="3:15" ht="19.5" customHeight="1" x14ac:dyDescent="0.2">
      <c r="C50" s="188"/>
      <c r="D50" s="283" t="s">
        <v>78</v>
      </c>
      <c r="E50" s="246"/>
      <c r="F50" s="246"/>
      <c r="G50" s="246"/>
      <c r="H50" s="246"/>
      <c r="I50" s="246"/>
      <c r="J50" s="246"/>
      <c r="K50" s="247"/>
      <c r="L50" s="249"/>
      <c r="M50" s="248"/>
      <c r="N50" s="307">
        <f t="shared" ref="N50:N59" si="8">SUM(E50:M50)</f>
        <v>0</v>
      </c>
      <c r="O50" s="372"/>
    </row>
    <row r="51" spans="3:15" ht="20.100000000000001" customHeight="1" x14ac:dyDescent="0.2">
      <c r="C51" s="188"/>
      <c r="D51" s="283" t="s">
        <v>78</v>
      </c>
      <c r="E51" s="246"/>
      <c r="F51" s="246"/>
      <c r="G51" s="246"/>
      <c r="H51" s="246"/>
      <c r="I51" s="246"/>
      <c r="J51" s="246"/>
      <c r="K51" s="247"/>
      <c r="L51" s="249"/>
      <c r="M51" s="248"/>
      <c r="N51" s="307">
        <f t="shared" si="8"/>
        <v>0</v>
      </c>
      <c r="O51" s="372"/>
    </row>
    <row r="52" spans="3:15" ht="20.100000000000001" customHeight="1" x14ac:dyDescent="0.2">
      <c r="C52" s="188"/>
      <c r="D52" s="283" t="s">
        <v>78</v>
      </c>
      <c r="E52" s="246"/>
      <c r="F52" s="246"/>
      <c r="G52" s="246"/>
      <c r="H52" s="246"/>
      <c r="I52" s="246"/>
      <c r="J52" s="246"/>
      <c r="K52" s="247"/>
      <c r="L52" s="249"/>
      <c r="M52" s="248"/>
      <c r="N52" s="307">
        <f t="shared" si="8"/>
        <v>0</v>
      </c>
      <c r="O52" s="372"/>
    </row>
    <row r="53" spans="3:15" ht="20.100000000000001" customHeight="1" x14ac:dyDescent="0.2">
      <c r="C53" s="188"/>
      <c r="D53" s="283" t="s">
        <v>78</v>
      </c>
      <c r="E53" s="246"/>
      <c r="F53" s="246"/>
      <c r="G53" s="246"/>
      <c r="H53" s="246"/>
      <c r="I53" s="246"/>
      <c r="J53" s="246"/>
      <c r="K53" s="247"/>
      <c r="L53" s="249"/>
      <c r="M53" s="248"/>
      <c r="N53" s="307">
        <f t="shared" si="8"/>
        <v>0</v>
      </c>
      <c r="O53" s="372"/>
    </row>
    <row r="54" spans="3:15" ht="20.100000000000001" customHeight="1" x14ac:dyDescent="0.2">
      <c r="C54" s="188"/>
      <c r="D54" s="283" t="s">
        <v>78</v>
      </c>
      <c r="E54" s="246"/>
      <c r="F54" s="246"/>
      <c r="G54" s="246"/>
      <c r="H54" s="246"/>
      <c r="I54" s="246"/>
      <c r="J54" s="246"/>
      <c r="K54" s="247"/>
      <c r="L54" s="249"/>
      <c r="M54" s="248"/>
      <c r="N54" s="307">
        <f t="shared" si="8"/>
        <v>0</v>
      </c>
      <c r="O54" s="372"/>
    </row>
    <row r="55" spans="3:15" ht="20.100000000000001" customHeight="1" x14ac:dyDescent="0.2">
      <c r="C55" s="188"/>
      <c r="D55" s="283" t="s">
        <v>78</v>
      </c>
      <c r="E55" s="246"/>
      <c r="F55" s="246"/>
      <c r="G55" s="246"/>
      <c r="H55" s="246"/>
      <c r="I55" s="246"/>
      <c r="J55" s="246"/>
      <c r="K55" s="247"/>
      <c r="L55" s="249"/>
      <c r="M55" s="248"/>
      <c r="N55" s="307">
        <f t="shared" si="8"/>
        <v>0</v>
      </c>
      <c r="O55" s="372"/>
    </row>
    <row r="56" spans="3:15" ht="20.100000000000001" customHeight="1" x14ac:dyDescent="0.2">
      <c r="C56" s="188"/>
      <c r="D56" s="283" t="s">
        <v>78</v>
      </c>
      <c r="E56" s="246"/>
      <c r="F56" s="246"/>
      <c r="G56" s="246"/>
      <c r="H56" s="246"/>
      <c r="I56" s="246"/>
      <c r="J56" s="246"/>
      <c r="K56" s="247"/>
      <c r="L56" s="249"/>
      <c r="M56" s="248"/>
      <c r="N56" s="307">
        <f t="shared" si="8"/>
        <v>0</v>
      </c>
      <c r="O56" s="372"/>
    </row>
    <row r="57" spans="3:15" ht="20.100000000000001" customHeight="1" x14ac:dyDescent="0.2">
      <c r="C57" s="188"/>
      <c r="D57" s="283" t="s">
        <v>78</v>
      </c>
      <c r="E57" s="246"/>
      <c r="F57" s="246"/>
      <c r="G57" s="246"/>
      <c r="H57" s="246"/>
      <c r="I57" s="246"/>
      <c r="J57" s="246"/>
      <c r="K57" s="247"/>
      <c r="L57" s="249"/>
      <c r="M57" s="248"/>
      <c r="N57" s="307">
        <f t="shared" si="8"/>
        <v>0</v>
      </c>
      <c r="O57" s="372"/>
    </row>
    <row r="58" spans="3:15" ht="20.100000000000001" customHeight="1" x14ac:dyDescent="0.2">
      <c r="C58" s="188"/>
      <c r="D58" s="283" t="s">
        <v>78</v>
      </c>
      <c r="E58" s="246"/>
      <c r="F58" s="246"/>
      <c r="G58" s="246"/>
      <c r="H58" s="246"/>
      <c r="I58" s="246"/>
      <c r="J58" s="246"/>
      <c r="K58" s="247"/>
      <c r="L58" s="249"/>
      <c r="M58" s="248"/>
      <c r="N58" s="307">
        <f t="shared" si="8"/>
        <v>0</v>
      </c>
      <c r="O58" s="372"/>
    </row>
    <row r="59" spans="3:15" ht="20.100000000000001" customHeight="1" thickBot="1" x14ac:dyDescent="0.25">
      <c r="C59" s="188"/>
      <c r="D59" s="287" t="s">
        <v>78</v>
      </c>
      <c r="E59" s="288"/>
      <c r="F59" s="288"/>
      <c r="G59" s="288"/>
      <c r="H59" s="288"/>
      <c r="I59" s="288"/>
      <c r="J59" s="288"/>
      <c r="K59" s="289"/>
      <c r="L59" s="291"/>
      <c r="M59" s="290"/>
      <c r="N59" s="307">
        <f t="shared" si="8"/>
        <v>0</v>
      </c>
      <c r="O59" s="372"/>
    </row>
    <row r="60" spans="3:15" x14ac:dyDescent="0.2">
      <c r="N60" s="254"/>
      <c r="O60" s="372"/>
    </row>
    <row r="61" spans="3:15" x14ac:dyDescent="0.2">
      <c r="O61" s="372"/>
    </row>
    <row r="62" spans="3:15" x14ac:dyDescent="0.2">
      <c r="O62" s="372"/>
    </row>
    <row r="63" spans="3:15" ht="18" x14ac:dyDescent="0.25">
      <c r="E63" s="185"/>
      <c r="F63" s="185"/>
      <c r="G63" s="185"/>
      <c r="H63" s="185"/>
      <c r="I63" s="185"/>
      <c r="J63" s="185"/>
      <c r="O63" s="372"/>
    </row>
    <row r="64" spans="3:15" x14ac:dyDescent="0.2">
      <c r="O64" s="372"/>
    </row>
    <row r="65" spans="4:15" ht="13.5" thickBot="1" x14ac:dyDescent="0.25">
      <c r="O65" s="372"/>
    </row>
    <row r="66" spans="4:15" ht="16.5" customHeight="1" thickBot="1" x14ac:dyDescent="0.25">
      <c r="D66" s="189" t="s">
        <v>77</v>
      </c>
      <c r="E66" s="548" t="s">
        <v>118</v>
      </c>
      <c r="F66" s="549"/>
      <c r="G66" s="549"/>
      <c r="H66" s="549"/>
      <c r="I66" s="549"/>
      <c r="J66" s="549"/>
      <c r="K66" s="549"/>
      <c r="L66" s="549"/>
      <c r="M66" s="550"/>
      <c r="N66" s="306" t="s">
        <v>7</v>
      </c>
      <c r="O66" s="372"/>
    </row>
    <row r="67" spans="4:15" ht="42" customHeight="1" thickBot="1" x14ac:dyDescent="0.25">
      <c r="D67" s="284" t="s">
        <v>79</v>
      </c>
      <c r="E67" s="626" t="str">
        <f>E2</f>
        <v>Candidat(e)
1</v>
      </c>
      <c r="F67" s="627" t="str">
        <f>F2</f>
        <v>Candidat(e)
2</v>
      </c>
      <c r="G67" s="628" t="str">
        <f t="shared" ref="G67:K67" si="9">G2</f>
        <v>Candidat(e)
3</v>
      </c>
      <c r="H67" s="629" t="str">
        <f t="shared" si="9"/>
        <v>Candidat(e)
4</v>
      </c>
      <c r="I67" s="630" t="str">
        <f t="shared" si="9"/>
        <v>Candidat(e)
5</v>
      </c>
      <c r="J67" s="631" t="str">
        <f t="shared" si="9"/>
        <v>Candidat(e)
6</v>
      </c>
      <c r="K67" s="632" t="str">
        <f t="shared" si="9"/>
        <v>Candidat(e)
7</v>
      </c>
      <c r="L67" s="322" t="s">
        <v>3</v>
      </c>
      <c r="M67" s="323" t="s">
        <v>4</v>
      </c>
      <c r="N67" s="313" t="s">
        <v>101</v>
      </c>
      <c r="O67" s="372"/>
    </row>
    <row r="68" spans="4:15" ht="20.100000000000001" customHeight="1" x14ac:dyDescent="0.2">
      <c r="D68" s="198" t="s">
        <v>78</v>
      </c>
      <c r="E68" s="191"/>
      <c r="F68" s="191"/>
      <c r="G68" s="191"/>
      <c r="H68" s="191"/>
      <c r="I68" s="191"/>
      <c r="J68" s="191"/>
      <c r="K68" s="192"/>
      <c r="L68" s="194"/>
      <c r="M68" s="193"/>
      <c r="N68" s="310">
        <f>SUM(E68:M68)</f>
        <v>0</v>
      </c>
      <c r="O68" s="372"/>
    </row>
    <row r="69" spans="4:15" ht="20.100000000000001" customHeight="1" x14ac:dyDescent="0.2">
      <c r="D69" s="196" t="s">
        <v>78</v>
      </c>
      <c r="E69" s="136"/>
      <c r="F69" s="136"/>
      <c r="G69" s="136"/>
      <c r="H69" s="136"/>
      <c r="I69" s="136"/>
      <c r="J69" s="136"/>
      <c r="K69" s="137"/>
      <c r="L69" s="139"/>
      <c r="M69" s="138"/>
      <c r="N69" s="244">
        <f>SUM(E69:M69)</f>
        <v>0</v>
      </c>
      <c r="O69" s="372"/>
    </row>
    <row r="70" spans="4:15" ht="20.100000000000001" customHeight="1" x14ac:dyDescent="0.2">
      <c r="D70" s="196" t="s">
        <v>78</v>
      </c>
      <c r="E70" s="136"/>
      <c r="F70" s="136"/>
      <c r="G70" s="136"/>
      <c r="H70" s="136"/>
      <c r="I70" s="136"/>
      <c r="J70" s="136"/>
      <c r="K70" s="137"/>
      <c r="L70" s="139"/>
      <c r="M70" s="138"/>
      <c r="N70" s="244">
        <f>SUM(E70:M70)</f>
        <v>0</v>
      </c>
      <c r="O70" s="372"/>
    </row>
    <row r="71" spans="4:15" ht="20.100000000000001" customHeight="1" x14ac:dyDescent="0.2">
      <c r="D71" s="196" t="s">
        <v>78</v>
      </c>
      <c r="E71" s="136"/>
      <c r="F71" s="136"/>
      <c r="G71" s="136"/>
      <c r="H71" s="136"/>
      <c r="I71" s="136"/>
      <c r="J71" s="136"/>
      <c r="K71" s="137"/>
      <c r="L71" s="139"/>
      <c r="M71" s="138"/>
      <c r="N71" s="244">
        <f>SUM(E71:M71)</f>
        <v>0</v>
      </c>
      <c r="O71" s="372"/>
    </row>
    <row r="72" spans="4:15" ht="20.100000000000001" customHeight="1" thickBot="1" x14ac:dyDescent="0.25">
      <c r="D72" s="197" t="s">
        <v>78</v>
      </c>
      <c r="E72" s="140"/>
      <c r="F72" s="140"/>
      <c r="G72" s="140"/>
      <c r="H72" s="140"/>
      <c r="I72" s="140"/>
      <c r="J72" s="140"/>
      <c r="K72" s="141"/>
      <c r="L72" s="143"/>
      <c r="M72" s="142"/>
      <c r="N72" s="311">
        <f>SUM(E72:M72)</f>
        <v>0</v>
      </c>
      <c r="O72" s="372"/>
    </row>
    <row r="73" spans="4:15" ht="20.100000000000001" customHeight="1" x14ac:dyDescent="0.2">
      <c r="D73" s="190"/>
      <c r="E73" s="188"/>
      <c r="F73" s="188"/>
      <c r="G73" s="188"/>
      <c r="H73" s="188"/>
      <c r="I73" s="188"/>
      <c r="J73" s="188"/>
      <c r="K73" s="188"/>
      <c r="L73" s="188"/>
      <c r="M73" s="188"/>
      <c r="O73" s="372"/>
    </row>
    <row r="74" spans="4:15" ht="20.100000000000001" customHeight="1" x14ac:dyDescent="0.2">
      <c r="D74" s="190"/>
      <c r="E74" s="188"/>
      <c r="F74" s="188"/>
      <c r="G74" s="188"/>
      <c r="H74" s="188"/>
      <c r="I74" s="188"/>
      <c r="J74" s="188"/>
      <c r="K74" s="188"/>
      <c r="L74" s="188"/>
      <c r="M74" s="188"/>
      <c r="O74" s="372"/>
    </row>
    <row r="75" spans="4:15" ht="20.100000000000001" customHeight="1" thickBot="1" x14ac:dyDescent="0.25">
      <c r="D75" s="190"/>
      <c r="E75" s="188"/>
      <c r="F75" s="188"/>
      <c r="G75" s="188"/>
      <c r="H75" s="188"/>
      <c r="I75" s="188"/>
      <c r="J75" s="188"/>
      <c r="K75" s="188"/>
      <c r="L75" s="188"/>
      <c r="M75" s="188"/>
      <c r="O75" s="372"/>
    </row>
    <row r="76" spans="4:15" ht="20.100000000000001" customHeight="1" thickBot="1" x14ac:dyDescent="0.25">
      <c r="D76" s="189" t="s">
        <v>81</v>
      </c>
      <c r="E76" s="548" t="s">
        <v>119</v>
      </c>
      <c r="F76" s="549"/>
      <c r="G76" s="549"/>
      <c r="H76" s="549"/>
      <c r="I76" s="549"/>
      <c r="J76" s="549"/>
      <c r="K76" s="549"/>
      <c r="L76" s="549"/>
      <c r="M76" s="550"/>
      <c r="N76" s="312" t="s">
        <v>7</v>
      </c>
      <c r="O76" s="372"/>
    </row>
    <row r="77" spans="4:15" ht="39.75" customHeight="1" thickBot="1" x14ac:dyDescent="0.25">
      <c r="D77" s="284" t="s">
        <v>79</v>
      </c>
      <c r="E77" s="626" t="str">
        <f>E2</f>
        <v>Candidat(e)
1</v>
      </c>
      <c r="F77" s="627" t="str">
        <f>F2</f>
        <v>Candidat(e)
2</v>
      </c>
      <c r="G77" s="628" t="str">
        <f t="shared" ref="G77:K77" si="10">G2</f>
        <v>Candidat(e)
3</v>
      </c>
      <c r="H77" s="629" t="str">
        <f t="shared" si="10"/>
        <v>Candidat(e)
4</v>
      </c>
      <c r="I77" s="630" t="str">
        <f t="shared" si="10"/>
        <v>Candidat(e)
5</v>
      </c>
      <c r="J77" s="631" t="str">
        <f t="shared" si="10"/>
        <v>Candidat(e)
6</v>
      </c>
      <c r="K77" s="632" t="str">
        <f t="shared" si="10"/>
        <v>Candidat(e)
7</v>
      </c>
      <c r="L77" s="322" t="s">
        <v>3</v>
      </c>
      <c r="M77" s="323" t="s">
        <v>4</v>
      </c>
      <c r="N77" s="309" t="s">
        <v>101</v>
      </c>
      <c r="O77" s="372"/>
    </row>
    <row r="78" spans="4:15" ht="20.100000000000001" customHeight="1" x14ac:dyDescent="0.2">
      <c r="D78" s="198" t="s">
        <v>78</v>
      </c>
      <c r="E78" s="191"/>
      <c r="F78" s="191"/>
      <c r="G78" s="191"/>
      <c r="H78" s="191"/>
      <c r="I78" s="191"/>
      <c r="J78" s="191"/>
      <c r="K78" s="192"/>
      <c r="L78" s="194"/>
      <c r="M78" s="193"/>
      <c r="N78" s="310">
        <f>SUM(E78:M78)</f>
        <v>0</v>
      </c>
      <c r="O78" s="372"/>
    </row>
    <row r="79" spans="4:15" ht="20.100000000000001" customHeight="1" x14ac:dyDescent="0.2">
      <c r="D79" s="196" t="s">
        <v>78</v>
      </c>
      <c r="E79" s="136"/>
      <c r="F79" s="136"/>
      <c r="G79" s="136"/>
      <c r="H79" s="136"/>
      <c r="I79" s="136"/>
      <c r="J79" s="136"/>
      <c r="K79" s="137"/>
      <c r="L79" s="139"/>
      <c r="M79" s="138"/>
      <c r="N79" s="244">
        <f>SUM(E79:M79)</f>
        <v>0</v>
      </c>
      <c r="O79" s="372"/>
    </row>
    <row r="80" spans="4:15" ht="20.100000000000001" customHeight="1" thickBot="1" x14ac:dyDescent="0.25">
      <c r="D80" s="197" t="s">
        <v>78</v>
      </c>
      <c r="E80" s="140"/>
      <c r="F80" s="140"/>
      <c r="G80" s="140"/>
      <c r="H80" s="140"/>
      <c r="I80" s="140"/>
      <c r="J80" s="140"/>
      <c r="K80" s="141"/>
      <c r="L80" s="143"/>
      <c r="M80" s="142"/>
      <c r="N80" s="311">
        <f>SUM(E80:M80)</f>
        <v>0</v>
      </c>
      <c r="O80" s="372"/>
    </row>
    <row r="81" spans="4:15" ht="20.100000000000001" customHeight="1" x14ac:dyDescent="0.2">
      <c r="D81" s="190"/>
      <c r="E81" s="188"/>
      <c r="F81" s="188"/>
      <c r="G81" s="188"/>
      <c r="H81" s="188"/>
      <c r="I81" s="188"/>
      <c r="J81" s="188"/>
      <c r="K81" s="188"/>
      <c r="L81" s="188"/>
      <c r="M81" s="188"/>
      <c r="N81" s="195"/>
      <c r="O81" s="372"/>
    </row>
    <row r="82" spans="4:15" ht="20.100000000000001" customHeight="1" x14ac:dyDescent="0.2">
      <c r="D82" s="190"/>
      <c r="E82" s="188"/>
      <c r="F82" s="188"/>
      <c r="G82" s="188"/>
      <c r="H82" s="188"/>
      <c r="I82" s="188"/>
      <c r="J82" s="188"/>
      <c r="K82" s="188"/>
      <c r="L82" s="188"/>
      <c r="M82" s="188"/>
      <c r="N82" s="195"/>
      <c r="O82" s="372"/>
    </row>
  </sheetData>
  <sheetProtection algorithmName="SHA-512" hashValue="8Cw5YV2lcVfiIGwMChxxRBEuKVy+8Nf3InubGQaEkN0fmtGNVD+nvCfjIP1y8ev40OWklEFBc+dlPZZjPDCHSw==" saltValue="hU48ETHzeCg3bC8VoPsKgw==" spinCount="100000" sheet="1" objects="1" scenarios="1"/>
  <mergeCells count="7">
    <mergeCell ref="E66:M66"/>
    <mergeCell ref="A15:B18"/>
    <mergeCell ref="E1:M1"/>
    <mergeCell ref="E48:M48"/>
    <mergeCell ref="E76:M76"/>
    <mergeCell ref="A10:B11"/>
    <mergeCell ref="A12:B14"/>
  </mergeCells>
  <phoneticPr fontId="53" type="noConversion"/>
  <conditionalFormatting sqref="B8">
    <cfRule type="cellIs" dxfId="376" priority="1" operator="equal">
      <formula>0</formula>
    </cfRule>
    <cfRule type="cellIs" dxfId="375" priority="45" operator="notEqual">
      <formula>$B$7</formula>
    </cfRule>
  </conditionalFormatting>
  <conditionalFormatting sqref="E3:N12">
    <cfRule type="cellIs" dxfId="374" priority="44" operator="notBetween">
      <formula>0</formula>
      <formula>100</formula>
    </cfRule>
  </conditionalFormatting>
  <conditionalFormatting sqref="E3:N14">
    <cfRule type="cellIs" dxfId="373" priority="47" operator="lessThan">
      <formula>0</formula>
    </cfRule>
  </conditionalFormatting>
  <conditionalFormatting sqref="E14:N14">
    <cfRule type="cellIs" dxfId="372" priority="54" operator="greaterThan">
      <formula>1</formula>
    </cfRule>
  </conditionalFormatting>
  <conditionalFormatting sqref="N3:N13">
    <cfRule type="cellIs" dxfId="371" priority="52" operator="equal">
      <formula>0</formula>
    </cfRule>
  </conditionalFormatting>
  <conditionalFormatting sqref="N13">
    <cfRule type="cellIs" dxfId="370" priority="56" operator="equal">
      <formula>$B$7</formula>
    </cfRule>
  </conditionalFormatting>
  <conditionalFormatting sqref="N14">
    <cfRule type="cellIs" dxfId="369" priority="53" operator="equal">
      <formula>1</formula>
    </cfRule>
    <cfRule type="cellIs" dxfId="368" priority="55" operator="lessThan">
      <formula>1</formula>
    </cfRule>
  </conditionalFormatting>
  <conditionalFormatting sqref="R4:R15">
    <cfRule type="cellIs" dxfId="367" priority="46" operator="greaterThan">
      <formula>1</formula>
    </cfRule>
  </conditionalFormatting>
  <conditionalFormatting sqref="D68:D72 D50:D59 D78:D80">
    <cfRule type="colorScale" priority="33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366" priority="4">
      <formula>AND(E50&lt;MAX(E$50:E50), NOT(ISBLANK(E50)), NOT(E50=0))</formula>
    </cfRule>
  </conditionalFormatting>
  <conditionalFormatting sqref="E68:M72">
    <cfRule type="expression" dxfId="365" priority="3">
      <formula>AND(E68&lt;MAX(E$68:E68), NOT(ISBLANK(E68)), NOT(E68=0))</formula>
    </cfRule>
  </conditionalFormatting>
  <conditionalFormatting sqref="E78:M80">
    <cfRule type="expression" dxfId="364" priority="148">
      <formula>AND(E78&lt;MAX(E$78:E78), NOT(ISBLANK(E78)), NOT(E78=0))</formula>
    </cfRule>
  </conditionalFormatting>
  <conditionalFormatting sqref="N3:N12">
    <cfRule type="expression" dxfId="363" priority="266">
      <formula>AND($D3=$E$24, N3=$D$25)</formula>
    </cfRule>
    <cfRule type="expression" dxfId="362" priority="267">
      <formula>AND($D3=$E$24, MOD(N3,100)&gt;$D$25)</formula>
    </cfRule>
    <cfRule type="cellIs" dxfId="361" priority="268" operator="equal">
      <formula>100</formula>
    </cfRule>
  </conditionalFormatting>
  <conditionalFormatting sqref="E3:M12">
    <cfRule type="expression" dxfId="360" priority="269">
      <formula>($D3&lt;=$E$24)</formula>
    </cfRule>
  </conditionalFormatting>
  <conditionalFormatting sqref="D3:M12">
    <cfRule type="expression" dxfId="359" priority="270">
      <formula>($D3&gt;$E$24)</formula>
    </cfRule>
  </conditionalFormatting>
  <conditionalFormatting sqref="E50:M59 E68:M72 E78:M80">
    <cfRule type="cellIs" dxfId="358" priority="286" operator="notBetween">
      <formula>0</formula>
      <formula>$B$7</formula>
    </cfRule>
    <cfRule type="expression" dxfId="357" priority="287">
      <formula>($D50&lt;=$E$24)</formula>
    </cfRule>
    <cfRule type="expression" dxfId="356" priority="288">
      <formula>($D50&gt;$E$24)</formula>
    </cfRule>
  </conditionalFormatting>
  <conditionalFormatting sqref="N50 N68:N72 N78:N80 N52:N59">
    <cfRule type="cellIs" dxfId="355" priority="376" operator="lessThan">
      <formula>0</formula>
    </cfRule>
    <cfRule type="cellIs" dxfId="354" priority="377" operator="equal">
      <formula>0</formula>
    </cfRule>
    <cfRule type="expression" dxfId="353" priority="378">
      <formula>OR(MOD($N50,100)=0,AND($D50=$E$24,MOD($N50,100)=$D$25))</formula>
    </cfRule>
  </conditionalFormatting>
  <conditionalFormatting sqref="N51">
    <cfRule type="cellIs" dxfId="352" priority="388" operator="notBetween">
      <formula>0</formula>
      <formula>$B$7</formula>
    </cfRule>
    <cfRule type="cellIs" dxfId="351" priority="389" operator="equal">
      <formula>0</formula>
    </cfRule>
    <cfRule type="expression" dxfId="350" priority="390">
      <formula>OR(MOD($N51,100)=0,AND($D51=$E$24,MOD($N51,100)=$D$25))</formula>
    </cfRule>
  </conditionalFormatting>
  <conditionalFormatting sqref="Q4:Q15">
    <cfRule type="expression" dxfId="349" priority="391">
      <formula>AND($Q4&lt;$Q3, NOT(ISBLANK($Q4)))</formula>
    </cfRule>
    <cfRule type="cellIs" dxfId="348" priority="392" operator="greaterThan">
      <formula>$B$6</formula>
    </cfRule>
  </conditionalFormatting>
  <dataValidations count="2">
    <dataValidation type="list" allowBlank="1" showInputMessage="1" showErrorMessage="1" sqref="D68:D72 D78:D82 D50:D59" xr:uid="{16BE8E6D-019E-4446-BDFE-0DD1503C603A}">
      <formula1>$D$3:$D$12</formula1>
    </dataValidation>
    <dataValidation type="list" allowBlank="1" showInputMessage="1" showErrorMessage="1" sqref="C50:C59" xr:uid="{26E6ADDE-67A2-40F5-90D2-78EBD3B4767D}">
      <formula1>$D$19:$D$21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146" r:id="rId4" name="Button 10">
              <controlPr defaultSize="0" print="0" autoFill="0" autoPict="0" macro="[0]!ReinitialiserEtGenererBureaux">
                <anchor moveWithCells="1">
                  <from>
                    <xdr:col>0</xdr:col>
                    <xdr:colOff>466725</xdr:colOff>
                    <xdr:row>23</xdr:row>
                    <xdr:rowOff>161925</xdr:rowOff>
                  </from>
                  <to>
                    <xdr:col>1</xdr:col>
                    <xdr:colOff>771525</xdr:colOff>
                    <xdr:row>26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E94EE-3E5D-486D-9A14-DF89D21A55A7}">
  <sheetPr codeName="Feuil42">
    <tabColor rgb="FFB4A7D6"/>
  </sheetPr>
  <dimension ref="A1:V82"/>
  <sheetViews>
    <sheetView zoomScale="80" zoomScaleNormal="80" workbookViewId="0">
      <selection activeCell="Q4" sqref="Q4"/>
    </sheetView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24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357" t="s">
        <v>11</v>
      </c>
      <c r="B1" s="363">
        <f>Synthèse!$B$17</f>
        <v>46103</v>
      </c>
      <c r="D1" s="243"/>
      <c r="E1" s="551" t="s">
        <v>120</v>
      </c>
      <c r="F1" s="552"/>
      <c r="G1" s="552"/>
      <c r="H1" s="552"/>
      <c r="I1" s="552"/>
      <c r="J1" s="552"/>
      <c r="K1" s="552"/>
      <c r="L1" s="552"/>
      <c r="M1" s="553"/>
      <c r="N1" s="316" t="s">
        <v>7</v>
      </c>
      <c r="O1" s="372"/>
    </row>
    <row r="2" spans="1:22" ht="45" customHeight="1" thickBot="1" x14ac:dyDescent="0.25">
      <c r="A2" s="358" t="s">
        <v>12</v>
      </c>
      <c r="B2" s="364" t="str">
        <f>Synthèse!$B$18</f>
        <v>Municipales 2ème tour</v>
      </c>
      <c r="D2" s="280" t="s">
        <v>80</v>
      </c>
      <c r="E2" s="619" t="str">
        <f>Synthèse!L2</f>
        <v>Candidat(e)
1</v>
      </c>
      <c r="F2" s="620" t="str">
        <f>Synthèse!M2</f>
        <v>Candidat(e)
2</v>
      </c>
      <c r="G2" s="621" t="str">
        <f>Synthèse!N2</f>
        <v>Candidat(e)
3</v>
      </c>
      <c r="H2" s="622" t="str">
        <f>Synthèse!O2</f>
        <v>Candidat(e)
4</v>
      </c>
      <c r="I2" s="623" t="str">
        <f>Synthèse!P2</f>
        <v>Candidat(e)
5</v>
      </c>
      <c r="J2" s="624" t="str">
        <f>Synthèse!Q2</f>
        <v>Candidat(e)
6</v>
      </c>
      <c r="K2" s="625" t="str">
        <f>Synthèse!R2</f>
        <v>Candidat(e)
7</v>
      </c>
      <c r="L2" s="320" t="s">
        <v>3</v>
      </c>
      <c r="M2" s="321" t="s">
        <v>4</v>
      </c>
      <c r="N2" s="317" t="s">
        <v>102</v>
      </c>
      <c r="O2" s="372"/>
      <c r="P2" s="367" t="s">
        <v>21</v>
      </c>
      <c r="Q2" s="293" t="s">
        <v>56</v>
      </c>
      <c r="R2" s="294" t="s">
        <v>30</v>
      </c>
      <c r="T2" s="295" t="s">
        <v>58</v>
      </c>
      <c r="U2" s="295" t="s">
        <v>57</v>
      </c>
    </row>
    <row r="3" spans="1:22" ht="20.100000000000001" customHeight="1" thickBot="1" x14ac:dyDescent="0.25">
      <c r="A3" s="359" t="s">
        <v>13</v>
      </c>
      <c r="B3" s="365" t="str">
        <f>Synthèse!$B$19</f>
        <v>Cogolin</v>
      </c>
      <c r="D3" s="277" t="str" cm="1">
        <f t="array" ref="D3">IF(ROW(1:1)&lt;=$E$24, (ROW(1:1)), "")</f>
        <v/>
      </c>
      <c r="E3" s="113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3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13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13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13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13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13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28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2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44">
        <f t="shared" ref="N3:N13" si="0">SUM(E3:M3)</f>
        <v>0</v>
      </c>
      <c r="O3" s="372"/>
      <c r="P3" s="368" t="s">
        <v>31</v>
      </c>
      <c r="Q3" s="269">
        <v>0</v>
      </c>
      <c r="R3" s="270">
        <f>Q3/$B$6</f>
        <v>0</v>
      </c>
      <c r="T3" s="256"/>
      <c r="U3" s="256"/>
    </row>
    <row r="4" spans="1:22" ht="20.100000000000001" customHeight="1" x14ac:dyDescent="0.2">
      <c r="A4" s="65" t="s">
        <v>22</v>
      </c>
      <c r="B4" s="375">
        <v>1</v>
      </c>
      <c r="D4" s="278" t="str" cm="1">
        <f t="array" ref="D4">IF(ROW(2:2)&lt;=$E$24, (ROW(2:2)), "")</f>
        <v/>
      </c>
      <c r="E4" s="114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4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4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14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14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14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15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1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4">
        <f t="shared" si="0"/>
        <v>0</v>
      </c>
      <c r="O4" s="372"/>
      <c r="P4" s="369" t="s">
        <v>32</v>
      </c>
      <c r="Q4" s="324"/>
      <c r="R4" s="273" t="e">
        <f t="shared" ref="R4:R13" si="1">IF(OR(Q4=0, Q4=""), NA(), Q4/$B$6)</f>
        <v>#N/A</v>
      </c>
      <c r="T4" s="251" t="s">
        <v>44</v>
      </c>
      <c r="U4" s="296" t="e">
        <f t="shared" ref="U4:U13" si="2">IF(Q4&lt;&gt;0,Q4-Q3,NA())</f>
        <v>#N/A</v>
      </c>
    </row>
    <row r="5" spans="1:22" ht="20.100000000000001" customHeight="1" x14ac:dyDescent="0.2">
      <c r="A5" s="66" t="s">
        <v>23</v>
      </c>
      <c r="B5" s="376" t="str">
        <f>INDEX(Synthèse!B:B,B4+2)</f>
        <v>Ecole Chabaud</v>
      </c>
      <c r="D5" s="278" t="str" cm="1">
        <f t="array" ref="D5">IF(ROW(3:3)&lt;=$E$24, (ROW(3:3)), "")</f>
        <v/>
      </c>
      <c r="E5" s="114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4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14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14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14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14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14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3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31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4">
        <f t="shared" si="0"/>
        <v>0</v>
      </c>
      <c r="O5" s="373"/>
      <c r="P5" s="369" t="s">
        <v>33</v>
      </c>
      <c r="Q5" s="324"/>
      <c r="R5" s="273" t="e">
        <f t="shared" si="1"/>
        <v>#N/A</v>
      </c>
      <c r="T5" s="252" t="s">
        <v>45</v>
      </c>
      <c r="U5" s="297" t="e">
        <f t="shared" si="2"/>
        <v>#N/A</v>
      </c>
    </row>
    <row r="6" spans="1:22" ht="20.100000000000001" customHeight="1" x14ac:dyDescent="0.2">
      <c r="A6" s="66" t="s">
        <v>0</v>
      </c>
      <c r="B6" s="144">
        <f>INDEX(Synthèse!C:C,B4+2)</f>
        <v>553</v>
      </c>
      <c r="D6" s="278" t="str" cm="1">
        <f t="array" ref="D6">IF(ROW(4:4)&lt;=$E$24, (ROW(4:4)), "")</f>
        <v/>
      </c>
      <c r="E6" s="114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4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14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14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14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14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14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3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31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4">
        <f t="shared" si="0"/>
        <v>0</v>
      </c>
      <c r="O6" s="373"/>
      <c r="P6" s="369" t="s">
        <v>34</v>
      </c>
      <c r="Q6" s="324"/>
      <c r="R6" s="273" t="e">
        <f t="shared" si="1"/>
        <v>#N/A</v>
      </c>
      <c r="T6" s="252" t="s">
        <v>46</v>
      </c>
      <c r="U6" s="297" t="e">
        <f t="shared" si="2"/>
        <v>#N/A</v>
      </c>
    </row>
    <row r="7" spans="1:22" ht="20.100000000000001" customHeight="1" x14ac:dyDescent="0.2">
      <c r="A7" s="66" t="s">
        <v>2</v>
      </c>
      <c r="B7" s="123">
        <f>MAX(Q4:Q15)</f>
        <v>0</v>
      </c>
      <c r="D7" s="278" t="str" cm="1">
        <f t="array" ref="D7">IF(ROW(5:5)&lt;=$E$24, (ROW(5:5)), "")</f>
        <v/>
      </c>
      <c r="E7" s="114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4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4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14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14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14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15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1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4">
        <f t="shared" si="0"/>
        <v>0</v>
      </c>
      <c r="O7" s="373"/>
      <c r="P7" s="369" t="s">
        <v>35</v>
      </c>
      <c r="Q7" s="324"/>
      <c r="R7" s="273" t="e">
        <f t="shared" si="1"/>
        <v>#N/A</v>
      </c>
      <c r="T7" s="252" t="s">
        <v>53</v>
      </c>
      <c r="U7" s="297" t="e">
        <f t="shared" si="2"/>
        <v>#N/A</v>
      </c>
    </row>
    <row r="8" spans="1:22" ht="20.100000000000001" customHeight="1" x14ac:dyDescent="0.2">
      <c r="A8" s="66" t="s">
        <v>1</v>
      </c>
      <c r="B8" s="124"/>
      <c r="D8" s="278" t="str" cm="1">
        <f t="array" ref="D8">IF(ROW(6:6)&lt;=$E$24, (ROW(6:6)), "")</f>
        <v/>
      </c>
      <c r="E8" s="114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4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4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14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14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14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15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1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4">
        <f t="shared" si="0"/>
        <v>0</v>
      </c>
      <c r="O8" s="373"/>
      <c r="P8" s="369" t="s">
        <v>36</v>
      </c>
      <c r="Q8" s="324"/>
      <c r="R8" s="273" t="e">
        <f t="shared" si="1"/>
        <v>#N/A</v>
      </c>
      <c r="T8" s="252" t="s">
        <v>47</v>
      </c>
      <c r="U8" s="297" t="e">
        <f t="shared" si="2"/>
        <v>#N/A</v>
      </c>
    </row>
    <row r="9" spans="1:22" ht="20.100000000000001" customHeight="1" thickBot="1" x14ac:dyDescent="0.25">
      <c r="A9" s="67" t="s">
        <v>17</v>
      </c>
      <c r="B9" s="125">
        <f>B6-B7</f>
        <v>553</v>
      </c>
      <c r="D9" s="278" t="str" cm="1">
        <f t="array" ref="D9">IF(ROW(7:7)&lt;=$E$24, (ROW(7:7)), "")</f>
        <v/>
      </c>
      <c r="E9" s="114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4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4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14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14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14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17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18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4">
        <f t="shared" si="0"/>
        <v>0</v>
      </c>
      <c r="O9" s="373"/>
      <c r="P9" s="369" t="s">
        <v>37</v>
      </c>
      <c r="Q9" s="324"/>
      <c r="R9" s="273" t="e">
        <f t="shared" si="1"/>
        <v>#N/A</v>
      </c>
      <c r="T9" s="252" t="s">
        <v>48</v>
      </c>
      <c r="U9" s="297" t="e">
        <f t="shared" si="2"/>
        <v>#N/A</v>
      </c>
    </row>
    <row r="10" spans="1:22" ht="20.100000000000001" customHeight="1" x14ac:dyDescent="0.2">
      <c r="A10" s="554" t="s">
        <v>59</v>
      </c>
      <c r="B10" s="554"/>
      <c r="D10" s="278" t="str" cm="1">
        <f t="array" ref="D10">IF(ROW(8:8)&lt;=$E$24, (ROW(8:8)), "")</f>
        <v/>
      </c>
      <c r="E10" s="114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4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4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14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14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14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17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18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4">
        <f t="shared" si="0"/>
        <v>0</v>
      </c>
      <c r="O10" s="373"/>
      <c r="P10" s="369" t="s">
        <v>38</v>
      </c>
      <c r="Q10" s="324"/>
      <c r="R10" s="273" t="e">
        <f t="shared" si="1"/>
        <v>#N/A</v>
      </c>
      <c r="T10" s="252" t="s">
        <v>49</v>
      </c>
      <c r="U10" s="297" t="e">
        <f t="shared" si="2"/>
        <v>#N/A</v>
      </c>
    </row>
    <row r="11" spans="1:22" ht="20.100000000000001" customHeight="1" x14ac:dyDescent="0.2">
      <c r="A11" s="555"/>
      <c r="B11" s="555"/>
      <c r="D11" s="278" t="str" cm="1">
        <f t="array" ref="D11">IF(ROW(9:9)&lt;=$E$24, (ROW(9:9)), "")</f>
        <v/>
      </c>
      <c r="E11" s="114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4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4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14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14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14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17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18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4">
        <f t="shared" si="0"/>
        <v>0</v>
      </c>
      <c r="O11" s="373"/>
      <c r="P11" s="369" t="s">
        <v>39</v>
      </c>
      <c r="Q11" s="324"/>
      <c r="R11" s="273" t="e">
        <f t="shared" si="1"/>
        <v>#N/A</v>
      </c>
      <c r="T11" s="252" t="s">
        <v>50</v>
      </c>
      <c r="U11" s="297" t="e">
        <f t="shared" si="2"/>
        <v>#N/A</v>
      </c>
    </row>
    <row r="12" spans="1:22" ht="20.100000000000001" customHeight="1" thickBot="1" x14ac:dyDescent="0.25">
      <c r="A12" s="556" t="s">
        <v>60</v>
      </c>
      <c r="B12" s="556"/>
      <c r="D12" s="279" t="str" cm="1">
        <f t="array" ref="D12">IF(ROW(10:10)&lt;=$E$24, (ROW(10:10)), "")</f>
        <v/>
      </c>
      <c r="E12" s="114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4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14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14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14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14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14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32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33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4">
        <f t="shared" si="0"/>
        <v>0</v>
      </c>
      <c r="O12" s="373"/>
      <c r="P12" s="369" t="s">
        <v>40</v>
      </c>
      <c r="Q12" s="324"/>
      <c r="R12" s="273" t="e">
        <f t="shared" si="1"/>
        <v>#N/A</v>
      </c>
      <c r="T12" s="252" t="s">
        <v>51</v>
      </c>
      <c r="U12" s="297" t="e">
        <f t="shared" si="2"/>
        <v>#N/A</v>
      </c>
    </row>
    <row r="13" spans="1:22" ht="20.100000000000001" customHeight="1" thickBot="1" x14ac:dyDescent="0.3">
      <c r="A13" s="556"/>
      <c r="B13" s="556"/>
      <c r="D13" s="35" t="s">
        <v>9</v>
      </c>
      <c r="E13" s="119">
        <f>SUM(E3:E12)</f>
        <v>0</v>
      </c>
      <c r="F13" s="497">
        <f>SUM(F3:F12)</f>
        <v>0</v>
      </c>
      <c r="G13" s="497">
        <f>SUM(G3:G12)</f>
        <v>0</v>
      </c>
      <c r="H13" s="497">
        <f>SUM(H3:H12)</f>
        <v>0</v>
      </c>
      <c r="I13" s="497">
        <f>SUM(I3:I12)</f>
        <v>0</v>
      </c>
      <c r="J13" s="497">
        <f>SUM(J3:J12)</f>
        <v>0</v>
      </c>
      <c r="K13" s="120">
        <f>SUM(K3:K12)</f>
        <v>0</v>
      </c>
      <c r="L13" s="121">
        <f>SUM(L3:L12)</f>
        <v>0</v>
      </c>
      <c r="M13" s="122">
        <f>SUM(M3:M12)</f>
        <v>0</v>
      </c>
      <c r="N13" s="355">
        <f t="shared" si="0"/>
        <v>0</v>
      </c>
      <c r="O13" s="373"/>
      <c r="P13" s="369" t="s">
        <v>41</v>
      </c>
      <c r="Q13" s="324"/>
      <c r="R13" s="273" t="e">
        <f t="shared" si="1"/>
        <v>#N/A</v>
      </c>
      <c r="T13" s="253" t="s">
        <v>52</v>
      </c>
      <c r="U13" s="298" t="e">
        <f t="shared" si="2"/>
        <v>#N/A</v>
      </c>
    </row>
    <row r="14" spans="1:22" ht="20.100000000000001" customHeight="1" thickBot="1" x14ac:dyDescent="0.3">
      <c r="A14" s="556"/>
      <c r="B14" s="556"/>
      <c r="D14" s="60" t="s">
        <v>10</v>
      </c>
      <c r="E14" s="32">
        <f t="shared" ref="E14:N14" si="3">IFERROR(E13/$B$7,0)</f>
        <v>0</v>
      </c>
      <c r="F14" s="498">
        <f t="shared" si="3"/>
        <v>0</v>
      </c>
      <c r="G14" s="498">
        <f t="shared" si="3"/>
        <v>0</v>
      </c>
      <c r="H14" s="498">
        <f t="shared" si="3"/>
        <v>0</v>
      </c>
      <c r="I14" s="498">
        <f t="shared" si="3"/>
        <v>0</v>
      </c>
      <c r="J14" s="498">
        <f t="shared" si="3"/>
        <v>0</v>
      </c>
      <c r="K14" s="33">
        <f t="shared" si="3"/>
        <v>0</v>
      </c>
      <c r="L14" s="32">
        <f t="shared" si="3"/>
        <v>0</v>
      </c>
      <c r="M14" s="34">
        <f t="shared" si="3"/>
        <v>0</v>
      </c>
      <c r="N14" s="356">
        <f t="shared" si="3"/>
        <v>0</v>
      </c>
      <c r="O14" s="372"/>
      <c r="P14" s="370" t="s">
        <v>42</v>
      </c>
      <c r="Q14" s="325"/>
      <c r="R14" s="275" t="e">
        <f>IF(OR(Q14=0, Q14=""), NA(), Q14/$B$6)</f>
        <v>#N/A</v>
      </c>
      <c r="S14" s="300"/>
      <c r="T14" s="304" t="s">
        <v>54</v>
      </c>
      <c r="U14" s="299" t="e">
        <f>IF(Q14&lt;&gt;0,Q14-Q13,NA())</f>
        <v>#N/A</v>
      </c>
      <c r="V14" s="300"/>
    </row>
    <row r="15" spans="1:22" ht="18" customHeight="1" thickBot="1" x14ac:dyDescent="0.25">
      <c r="A15" s="558" t="s">
        <v>66</v>
      </c>
      <c r="B15" s="558"/>
      <c r="C15" s="1"/>
      <c r="D15" s="1"/>
      <c r="N15" s="254"/>
      <c r="O15" s="372"/>
      <c r="P15" s="371" t="s">
        <v>43</v>
      </c>
      <c r="Q15" s="326"/>
      <c r="R15" s="301" t="e">
        <f>IF(OR(Q15=0, Q15=""), NA(), Q15/$B$6)</f>
        <v>#N/A</v>
      </c>
      <c r="T15" s="305" t="s">
        <v>55</v>
      </c>
      <c r="U15" s="303" t="e">
        <f>IF(Q15&lt;&gt;0,Q15-Q14,NA())</f>
        <v>#N/A</v>
      </c>
      <c r="V15" s="300"/>
    </row>
    <row r="16" spans="1:22" ht="12.75" customHeight="1" x14ac:dyDescent="0.2">
      <c r="A16" s="558"/>
      <c r="B16" s="558"/>
      <c r="O16" s="372"/>
      <c r="P16" s="254"/>
      <c r="Q16" s="254"/>
      <c r="R16" s="254"/>
      <c r="U16" s="254"/>
    </row>
    <row r="17" spans="1:15" ht="18" customHeight="1" x14ac:dyDescent="0.25">
      <c r="A17" s="558"/>
      <c r="B17" s="558"/>
      <c r="E17" s="185"/>
      <c r="F17" s="185"/>
      <c r="G17" s="185"/>
      <c r="H17" s="185"/>
      <c r="I17" s="185"/>
      <c r="J17" s="185"/>
      <c r="O17" s="372"/>
    </row>
    <row r="18" spans="1:15" ht="26.25" customHeight="1" x14ac:dyDescent="0.2">
      <c r="A18" s="558"/>
      <c r="B18" s="558"/>
      <c r="D18" s="353" t="s">
        <v>63</v>
      </c>
      <c r="O18" s="372"/>
    </row>
    <row r="19" spans="1:15" x14ac:dyDescent="0.2">
      <c r="D19" s="354">
        <f>IF((ROW()-23)&lt;=$E$25,(ROW()-23),"Choisir")</f>
        <v>-4</v>
      </c>
      <c r="O19" s="372"/>
    </row>
    <row r="20" spans="1:15" x14ac:dyDescent="0.2">
      <c r="D20" s="354">
        <f>IF((ROW()-23)&lt;=$E$25,(ROW()-23),"Choisir")</f>
        <v>-3</v>
      </c>
      <c r="O20" s="372"/>
    </row>
    <row r="21" spans="1:15" x14ac:dyDescent="0.2">
      <c r="D21" s="354">
        <f>IF((ROW()-23)&lt;=$E$25,(ROW()-23),"Choisir")</f>
        <v>-2</v>
      </c>
      <c r="O21" s="372"/>
    </row>
    <row r="22" spans="1:15" x14ac:dyDescent="0.2">
      <c r="D22" s="354">
        <f>IF((ROW()-23)&lt;=$E$25,(ROW()-23),"Choisir")</f>
        <v>-1</v>
      </c>
      <c r="O22" s="372"/>
    </row>
    <row r="23" spans="1:15" x14ac:dyDescent="0.2">
      <c r="O23" s="372"/>
    </row>
    <row r="24" spans="1:15" x14ac:dyDescent="0.2">
      <c r="D24" s="199">
        <f>CEILING($B$6, 100)/100</f>
        <v>6</v>
      </c>
      <c r="E24" s="335">
        <f>CEILING($B$7,100)/100</f>
        <v>0</v>
      </c>
      <c r="F24" s="335"/>
      <c r="G24" s="335"/>
      <c r="H24" s="335"/>
      <c r="I24" s="335"/>
      <c r="J24" s="335"/>
      <c r="O24" s="372"/>
    </row>
    <row r="25" spans="1:15" x14ac:dyDescent="0.2">
      <c r="D25" s="199">
        <f>MOD($B$7,100)</f>
        <v>0</v>
      </c>
      <c r="E25" s="200">
        <f>CEILING($B$6/300,1)</f>
        <v>2</v>
      </c>
      <c r="F25" s="200"/>
      <c r="G25" s="200"/>
      <c r="H25" s="200"/>
      <c r="I25" s="200"/>
      <c r="J25" s="200"/>
      <c r="O25" s="372"/>
    </row>
    <row r="26" spans="1:15" x14ac:dyDescent="0.2">
      <c r="O26" s="372"/>
    </row>
    <row r="27" spans="1:15" x14ac:dyDescent="0.2">
      <c r="O27" s="372"/>
    </row>
    <row r="28" spans="1:15" x14ac:dyDescent="0.2">
      <c r="O28" s="372"/>
    </row>
    <row r="29" spans="1:15" x14ac:dyDescent="0.2">
      <c r="O29" s="372"/>
    </row>
    <row r="30" spans="1:15" x14ac:dyDescent="0.2">
      <c r="O30" s="372"/>
    </row>
    <row r="31" spans="1:15" x14ac:dyDescent="0.2">
      <c r="O31" s="372"/>
    </row>
    <row r="32" spans="1:15" x14ac:dyDescent="0.2">
      <c r="O32" s="372"/>
    </row>
    <row r="33" spans="1:15" x14ac:dyDescent="0.2">
      <c r="O33" s="372"/>
    </row>
    <row r="34" spans="1:15" x14ac:dyDescent="0.2">
      <c r="O34" s="372"/>
    </row>
    <row r="35" spans="1:15" x14ac:dyDescent="0.2">
      <c r="O35" s="372"/>
    </row>
    <row r="36" spans="1:15" x14ac:dyDescent="0.2">
      <c r="O36" s="372"/>
    </row>
    <row r="37" spans="1:15" x14ac:dyDescent="0.2">
      <c r="O37" s="372"/>
    </row>
    <row r="38" spans="1:15" x14ac:dyDescent="0.2">
      <c r="O38" s="372"/>
    </row>
    <row r="39" spans="1:15" x14ac:dyDescent="0.2">
      <c r="O39" s="372"/>
    </row>
    <row r="40" spans="1:15" x14ac:dyDescent="0.2">
      <c r="O40" s="372"/>
    </row>
    <row r="41" spans="1:15" x14ac:dyDescent="0.2">
      <c r="O41" s="372"/>
    </row>
    <row r="42" spans="1:15" x14ac:dyDescent="0.2">
      <c r="O42" s="372"/>
    </row>
    <row r="43" spans="1:15" ht="13.5" thickBot="1" x14ac:dyDescent="0.25">
      <c r="A43" s="366"/>
      <c r="B43" s="366"/>
      <c r="C43" s="366"/>
      <c r="D43" s="366"/>
      <c r="E43" s="366"/>
      <c r="F43" s="366"/>
      <c r="G43" s="366"/>
      <c r="H43" s="366"/>
      <c r="I43" s="366"/>
      <c r="J43" s="366"/>
      <c r="K43" s="366"/>
      <c r="L43" s="366"/>
      <c r="M43" s="366"/>
      <c r="N43" s="366"/>
      <c r="O43" s="374"/>
    </row>
    <row r="44" spans="1:15" ht="13.5" thickTop="1" x14ac:dyDescent="0.2">
      <c r="O44" s="372"/>
    </row>
    <row r="45" spans="1:15" x14ac:dyDescent="0.2">
      <c r="O45" s="372"/>
    </row>
    <row r="46" spans="1:15" x14ac:dyDescent="0.2">
      <c r="E46" s="126"/>
      <c r="F46" s="126"/>
      <c r="G46" s="126"/>
      <c r="H46" s="126"/>
      <c r="I46" s="126"/>
      <c r="J46" s="126"/>
      <c r="O46" s="372"/>
    </row>
    <row r="47" spans="1:15" ht="13.5" thickBot="1" x14ac:dyDescent="0.25">
      <c r="E47" s="126"/>
      <c r="F47" s="126"/>
      <c r="G47" s="126"/>
      <c r="H47" s="126"/>
      <c r="I47" s="126"/>
      <c r="J47" s="126"/>
      <c r="O47" s="372"/>
    </row>
    <row r="48" spans="1:15" ht="20.100000000000001" customHeight="1" thickBot="1" x14ac:dyDescent="0.25">
      <c r="D48" s="189" t="s">
        <v>76</v>
      </c>
      <c r="E48" s="548" t="s">
        <v>117</v>
      </c>
      <c r="F48" s="549"/>
      <c r="G48" s="549"/>
      <c r="H48" s="549"/>
      <c r="I48" s="549"/>
      <c r="J48" s="549"/>
      <c r="K48" s="549"/>
      <c r="L48" s="549"/>
      <c r="M48" s="550"/>
      <c r="N48" s="306" t="s">
        <v>7</v>
      </c>
      <c r="O48" s="372"/>
    </row>
    <row r="49" spans="3:15" ht="47.25" customHeight="1" thickBot="1" x14ac:dyDescent="0.25">
      <c r="C49" s="187"/>
      <c r="D49" s="284" t="s">
        <v>79</v>
      </c>
      <c r="E49" s="626" t="str">
        <f>E2</f>
        <v>Candidat(e)
1</v>
      </c>
      <c r="F49" s="627" t="str">
        <f>F2</f>
        <v>Candidat(e)
2</v>
      </c>
      <c r="G49" s="628" t="str">
        <f t="shared" ref="G49:K49" si="4">G2</f>
        <v>Candidat(e)
3</v>
      </c>
      <c r="H49" s="629" t="str">
        <f t="shared" si="4"/>
        <v>Candidat(e)
4</v>
      </c>
      <c r="I49" s="630" t="str">
        <f t="shared" si="4"/>
        <v>Candidat(e)
5</v>
      </c>
      <c r="J49" s="631" t="str">
        <f t="shared" si="4"/>
        <v>Candidat(e)
6</v>
      </c>
      <c r="K49" s="632" t="str">
        <f t="shared" si="4"/>
        <v>Candidat(e)
7</v>
      </c>
      <c r="L49" s="322" t="s">
        <v>3</v>
      </c>
      <c r="M49" s="323" t="s">
        <v>4</v>
      </c>
      <c r="N49" s="308" t="s">
        <v>101</v>
      </c>
      <c r="O49" s="372"/>
    </row>
    <row r="50" spans="3:15" ht="19.5" customHeight="1" x14ac:dyDescent="0.2">
      <c r="C50" s="188"/>
      <c r="D50" s="283" t="s">
        <v>78</v>
      </c>
      <c r="E50" s="246"/>
      <c r="F50" s="246"/>
      <c r="G50" s="246"/>
      <c r="H50" s="246"/>
      <c r="I50" s="246"/>
      <c r="J50" s="246"/>
      <c r="K50" s="247"/>
      <c r="L50" s="249"/>
      <c r="M50" s="248"/>
      <c r="N50" s="307">
        <f t="shared" ref="N50:N59" si="5">SUM(E50:M50)</f>
        <v>0</v>
      </c>
      <c r="O50" s="372"/>
    </row>
    <row r="51" spans="3:15" ht="20.100000000000001" customHeight="1" x14ac:dyDescent="0.2">
      <c r="C51" s="188"/>
      <c r="D51" s="283" t="s">
        <v>78</v>
      </c>
      <c r="E51" s="246"/>
      <c r="F51" s="246"/>
      <c r="G51" s="246"/>
      <c r="H51" s="246"/>
      <c r="I51" s="246"/>
      <c r="J51" s="246"/>
      <c r="K51" s="247"/>
      <c r="L51" s="249"/>
      <c r="M51" s="248"/>
      <c r="N51" s="307">
        <f t="shared" si="5"/>
        <v>0</v>
      </c>
      <c r="O51" s="372"/>
    </row>
    <row r="52" spans="3:15" ht="20.100000000000001" customHeight="1" x14ac:dyDescent="0.2">
      <c r="C52" s="188"/>
      <c r="D52" s="283" t="s">
        <v>78</v>
      </c>
      <c r="E52" s="246"/>
      <c r="F52" s="246"/>
      <c r="G52" s="246"/>
      <c r="H52" s="246"/>
      <c r="I52" s="246"/>
      <c r="J52" s="246"/>
      <c r="K52" s="247"/>
      <c r="L52" s="249"/>
      <c r="M52" s="248"/>
      <c r="N52" s="307">
        <f t="shared" si="5"/>
        <v>0</v>
      </c>
      <c r="O52" s="372"/>
    </row>
    <row r="53" spans="3:15" ht="20.100000000000001" customHeight="1" x14ac:dyDescent="0.2">
      <c r="C53" s="188"/>
      <c r="D53" s="283" t="s">
        <v>78</v>
      </c>
      <c r="E53" s="246"/>
      <c r="F53" s="246"/>
      <c r="G53" s="246"/>
      <c r="H53" s="246"/>
      <c r="I53" s="246"/>
      <c r="J53" s="246"/>
      <c r="K53" s="247"/>
      <c r="L53" s="249"/>
      <c r="M53" s="248"/>
      <c r="N53" s="307">
        <f t="shared" si="5"/>
        <v>0</v>
      </c>
      <c r="O53" s="372"/>
    </row>
    <row r="54" spans="3:15" ht="20.100000000000001" customHeight="1" x14ac:dyDescent="0.2">
      <c r="C54" s="188"/>
      <c r="D54" s="283" t="s">
        <v>78</v>
      </c>
      <c r="E54" s="246"/>
      <c r="F54" s="246"/>
      <c r="G54" s="246"/>
      <c r="H54" s="246"/>
      <c r="I54" s="246"/>
      <c r="J54" s="246"/>
      <c r="K54" s="247"/>
      <c r="L54" s="249"/>
      <c r="M54" s="248"/>
      <c r="N54" s="307">
        <f t="shared" si="5"/>
        <v>0</v>
      </c>
      <c r="O54" s="372"/>
    </row>
    <row r="55" spans="3:15" ht="20.100000000000001" customHeight="1" x14ac:dyDescent="0.2">
      <c r="C55" s="188"/>
      <c r="D55" s="283" t="s">
        <v>78</v>
      </c>
      <c r="E55" s="246"/>
      <c r="F55" s="246"/>
      <c r="G55" s="246"/>
      <c r="H55" s="246"/>
      <c r="I55" s="246"/>
      <c r="J55" s="246"/>
      <c r="K55" s="247"/>
      <c r="L55" s="249"/>
      <c r="M55" s="248"/>
      <c r="N55" s="307">
        <f t="shared" si="5"/>
        <v>0</v>
      </c>
      <c r="O55" s="372"/>
    </row>
    <row r="56" spans="3:15" ht="20.100000000000001" customHeight="1" x14ac:dyDescent="0.2">
      <c r="C56" s="188"/>
      <c r="D56" s="283" t="s">
        <v>78</v>
      </c>
      <c r="E56" s="246"/>
      <c r="F56" s="246"/>
      <c r="G56" s="246"/>
      <c r="H56" s="246"/>
      <c r="I56" s="246"/>
      <c r="J56" s="246"/>
      <c r="K56" s="247"/>
      <c r="L56" s="249"/>
      <c r="M56" s="248"/>
      <c r="N56" s="307">
        <f t="shared" si="5"/>
        <v>0</v>
      </c>
      <c r="O56" s="372"/>
    </row>
    <row r="57" spans="3:15" ht="20.100000000000001" customHeight="1" x14ac:dyDescent="0.2">
      <c r="C57" s="188"/>
      <c r="D57" s="283" t="s">
        <v>78</v>
      </c>
      <c r="E57" s="246"/>
      <c r="F57" s="246"/>
      <c r="G57" s="246"/>
      <c r="H57" s="246"/>
      <c r="I57" s="246"/>
      <c r="J57" s="246"/>
      <c r="K57" s="247"/>
      <c r="L57" s="249"/>
      <c r="M57" s="248"/>
      <c r="N57" s="307">
        <f t="shared" si="5"/>
        <v>0</v>
      </c>
      <c r="O57" s="372"/>
    </row>
    <row r="58" spans="3:15" ht="20.100000000000001" customHeight="1" x14ac:dyDescent="0.2">
      <c r="C58" s="188"/>
      <c r="D58" s="283" t="s">
        <v>78</v>
      </c>
      <c r="E58" s="246"/>
      <c r="F58" s="246"/>
      <c r="G58" s="246"/>
      <c r="H58" s="246"/>
      <c r="I58" s="246"/>
      <c r="J58" s="246"/>
      <c r="K58" s="247"/>
      <c r="L58" s="249"/>
      <c r="M58" s="248"/>
      <c r="N58" s="307">
        <f t="shared" si="5"/>
        <v>0</v>
      </c>
      <c r="O58" s="372"/>
    </row>
    <row r="59" spans="3:15" ht="20.100000000000001" customHeight="1" thickBot="1" x14ac:dyDescent="0.25">
      <c r="C59" s="188"/>
      <c r="D59" s="287" t="s">
        <v>78</v>
      </c>
      <c r="E59" s="288"/>
      <c r="F59" s="288"/>
      <c r="G59" s="288"/>
      <c r="H59" s="288"/>
      <c r="I59" s="288"/>
      <c r="J59" s="288"/>
      <c r="K59" s="289"/>
      <c r="L59" s="291"/>
      <c r="M59" s="290"/>
      <c r="N59" s="307">
        <f t="shared" si="5"/>
        <v>0</v>
      </c>
      <c r="O59" s="372"/>
    </row>
    <row r="60" spans="3:15" x14ac:dyDescent="0.2">
      <c r="N60" s="254"/>
      <c r="O60" s="372"/>
    </row>
    <row r="61" spans="3:15" x14ac:dyDescent="0.2">
      <c r="O61" s="372"/>
    </row>
    <row r="62" spans="3:15" x14ac:dyDescent="0.2">
      <c r="O62" s="372"/>
    </row>
    <row r="63" spans="3:15" ht="18" x14ac:dyDescent="0.25">
      <c r="E63" s="185"/>
      <c r="F63" s="185"/>
      <c r="G63" s="185"/>
      <c r="H63" s="185"/>
      <c r="I63" s="185"/>
      <c r="J63" s="185"/>
      <c r="O63" s="372"/>
    </row>
    <row r="64" spans="3:15" x14ac:dyDescent="0.2">
      <c r="O64" s="372"/>
    </row>
    <row r="65" spans="4:15" ht="13.5" thickBot="1" x14ac:dyDescent="0.25">
      <c r="O65" s="372"/>
    </row>
    <row r="66" spans="4:15" ht="16.5" customHeight="1" thickBot="1" x14ac:dyDescent="0.25">
      <c r="D66" s="189" t="s">
        <v>77</v>
      </c>
      <c r="E66" s="548" t="s">
        <v>118</v>
      </c>
      <c r="F66" s="549"/>
      <c r="G66" s="549"/>
      <c r="H66" s="549"/>
      <c r="I66" s="549"/>
      <c r="J66" s="549"/>
      <c r="K66" s="549"/>
      <c r="L66" s="549"/>
      <c r="M66" s="550"/>
      <c r="N66" s="306" t="s">
        <v>7</v>
      </c>
      <c r="O66" s="372"/>
    </row>
    <row r="67" spans="4:15" ht="42" customHeight="1" thickBot="1" x14ac:dyDescent="0.25">
      <c r="D67" s="284" t="s">
        <v>79</v>
      </c>
      <c r="E67" s="626" t="str">
        <f>E2</f>
        <v>Candidat(e)
1</v>
      </c>
      <c r="F67" s="627" t="str">
        <f>F2</f>
        <v>Candidat(e)
2</v>
      </c>
      <c r="G67" s="628" t="str">
        <f t="shared" ref="G67:K67" si="6">G2</f>
        <v>Candidat(e)
3</v>
      </c>
      <c r="H67" s="629" t="str">
        <f t="shared" si="6"/>
        <v>Candidat(e)
4</v>
      </c>
      <c r="I67" s="630" t="str">
        <f t="shared" si="6"/>
        <v>Candidat(e)
5</v>
      </c>
      <c r="J67" s="631" t="str">
        <f t="shared" si="6"/>
        <v>Candidat(e)
6</v>
      </c>
      <c r="K67" s="632" t="str">
        <f t="shared" si="6"/>
        <v>Candidat(e)
7</v>
      </c>
      <c r="L67" s="322" t="s">
        <v>3</v>
      </c>
      <c r="M67" s="323" t="s">
        <v>4</v>
      </c>
      <c r="N67" s="313" t="s">
        <v>101</v>
      </c>
      <c r="O67" s="372"/>
    </row>
    <row r="68" spans="4:15" ht="20.100000000000001" customHeight="1" x14ac:dyDescent="0.2">
      <c r="D68" s="198" t="s">
        <v>78</v>
      </c>
      <c r="E68" s="191"/>
      <c r="F68" s="191"/>
      <c r="G68" s="191"/>
      <c r="H68" s="191"/>
      <c r="I68" s="191"/>
      <c r="J68" s="191"/>
      <c r="K68" s="192"/>
      <c r="L68" s="194"/>
      <c r="M68" s="193"/>
      <c r="N68" s="310">
        <f>SUM(E68:M68)</f>
        <v>0</v>
      </c>
      <c r="O68" s="372"/>
    </row>
    <row r="69" spans="4:15" ht="20.100000000000001" customHeight="1" x14ac:dyDescent="0.2">
      <c r="D69" s="196" t="s">
        <v>78</v>
      </c>
      <c r="E69" s="136"/>
      <c r="F69" s="136"/>
      <c r="G69" s="136"/>
      <c r="H69" s="136"/>
      <c r="I69" s="136"/>
      <c r="J69" s="136"/>
      <c r="K69" s="137"/>
      <c r="L69" s="139"/>
      <c r="M69" s="138"/>
      <c r="N69" s="244">
        <f>SUM(E69:M69)</f>
        <v>0</v>
      </c>
      <c r="O69" s="372"/>
    </row>
    <row r="70" spans="4:15" ht="20.100000000000001" customHeight="1" x14ac:dyDescent="0.2">
      <c r="D70" s="196" t="s">
        <v>78</v>
      </c>
      <c r="E70" s="136"/>
      <c r="F70" s="136"/>
      <c r="G70" s="136"/>
      <c r="H70" s="136"/>
      <c r="I70" s="136"/>
      <c r="J70" s="136"/>
      <c r="K70" s="137"/>
      <c r="L70" s="139"/>
      <c r="M70" s="138"/>
      <c r="N70" s="244">
        <f>SUM(E70:M70)</f>
        <v>0</v>
      </c>
      <c r="O70" s="372"/>
    </row>
    <row r="71" spans="4:15" ht="20.100000000000001" customHeight="1" x14ac:dyDescent="0.2">
      <c r="D71" s="196" t="s">
        <v>78</v>
      </c>
      <c r="E71" s="136"/>
      <c r="F71" s="136"/>
      <c r="G71" s="136"/>
      <c r="H71" s="136"/>
      <c r="I71" s="136"/>
      <c r="J71" s="136"/>
      <c r="K71" s="137"/>
      <c r="L71" s="139"/>
      <c r="M71" s="138"/>
      <c r="N71" s="244">
        <f>SUM(E71:M71)</f>
        <v>0</v>
      </c>
      <c r="O71" s="372"/>
    </row>
    <row r="72" spans="4:15" ht="20.100000000000001" customHeight="1" thickBot="1" x14ac:dyDescent="0.25">
      <c r="D72" s="197" t="s">
        <v>78</v>
      </c>
      <c r="E72" s="140"/>
      <c r="F72" s="140"/>
      <c r="G72" s="140"/>
      <c r="H72" s="140"/>
      <c r="I72" s="140"/>
      <c r="J72" s="140"/>
      <c r="K72" s="141"/>
      <c r="L72" s="143"/>
      <c r="M72" s="142"/>
      <c r="N72" s="311">
        <f>SUM(E72:M72)</f>
        <v>0</v>
      </c>
      <c r="O72" s="372"/>
    </row>
    <row r="73" spans="4:15" ht="20.100000000000001" customHeight="1" x14ac:dyDescent="0.2">
      <c r="D73" s="190"/>
      <c r="E73" s="188"/>
      <c r="F73" s="188"/>
      <c r="G73" s="188"/>
      <c r="H73" s="188"/>
      <c r="I73" s="188"/>
      <c r="J73" s="188"/>
      <c r="K73" s="188"/>
      <c r="L73" s="188"/>
      <c r="M73" s="188"/>
      <c r="O73" s="372"/>
    </row>
    <row r="74" spans="4:15" ht="20.100000000000001" customHeight="1" x14ac:dyDescent="0.2">
      <c r="D74" s="190"/>
      <c r="E74" s="188"/>
      <c r="F74" s="188"/>
      <c r="G74" s="188"/>
      <c r="H74" s="188"/>
      <c r="I74" s="188"/>
      <c r="J74" s="188"/>
      <c r="K74" s="188"/>
      <c r="L74" s="188"/>
      <c r="M74" s="188"/>
      <c r="O74" s="372"/>
    </row>
    <row r="75" spans="4:15" ht="20.100000000000001" customHeight="1" thickBot="1" x14ac:dyDescent="0.25">
      <c r="D75" s="190"/>
      <c r="E75" s="188"/>
      <c r="F75" s="188"/>
      <c r="G75" s="188"/>
      <c r="H75" s="188"/>
      <c r="I75" s="188"/>
      <c r="J75" s="188"/>
      <c r="K75" s="188"/>
      <c r="L75" s="188"/>
      <c r="M75" s="188"/>
      <c r="O75" s="372"/>
    </row>
    <row r="76" spans="4:15" ht="20.100000000000001" customHeight="1" thickBot="1" x14ac:dyDescent="0.25">
      <c r="D76" s="189" t="s">
        <v>81</v>
      </c>
      <c r="E76" s="548" t="s">
        <v>119</v>
      </c>
      <c r="F76" s="549"/>
      <c r="G76" s="549"/>
      <c r="H76" s="549"/>
      <c r="I76" s="549"/>
      <c r="J76" s="549"/>
      <c r="K76" s="549"/>
      <c r="L76" s="549"/>
      <c r="M76" s="550"/>
      <c r="N76" s="312" t="s">
        <v>7</v>
      </c>
      <c r="O76" s="372"/>
    </row>
    <row r="77" spans="4:15" ht="39.75" customHeight="1" thickBot="1" x14ac:dyDescent="0.25">
      <c r="D77" s="284" t="s">
        <v>79</v>
      </c>
      <c r="E77" s="626" t="str">
        <f>E2</f>
        <v>Candidat(e)
1</v>
      </c>
      <c r="F77" s="627" t="str">
        <f>F2</f>
        <v>Candidat(e)
2</v>
      </c>
      <c r="G77" s="628" t="str">
        <f t="shared" ref="G77:K77" si="7">G2</f>
        <v>Candidat(e)
3</v>
      </c>
      <c r="H77" s="629" t="str">
        <f t="shared" si="7"/>
        <v>Candidat(e)
4</v>
      </c>
      <c r="I77" s="630" t="str">
        <f t="shared" si="7"/>
        <v>Candidat(e)
5</v>
      </c>
      <c r="J77" s="631" t="str">
        <f t="shared" si="7"/>
        <v>Candidat(e)
6</v>
      </c>
      <c r="K77" s="632" t="str">
        <f t="shared" si="7"/>
        <v>Candidat(e)
7</v>
      </c>
      <c r="L77" s="322" t="s">
        <v>3</v>
      </c>
      <c r="M77" s="323" t="s">
        <v>4</v>
      </c>
      <c r="N77" s="309" t="s">
        <v>101</v>
      </c>
      <c r="O77" s="372"/>
    </row>
    <row r="78" spans="4:15" ht="20.100000000000001" customHeight="1" x14ac:dyDescent="0.2">
      <c r="D78" s="198" t="s">
        <v>78</v>
      </c>
      <c r="E78" s="191"/>
      <c r="F78" s="191"/>
      <c r="G78" s="191"/>
      <c r="H78" s="191"/>
      <c r="I78" s="191"/>
      <c r="J78" s="191"/>
      <c r="K78" s="192"/>
      <c r="L78" s="194"/>
      <c r="M78" s="193"/>
      <c r="N78" s="310">
        <f>SUM(E78:M78)</f>
        <v>0</v>
      </c>
      <c r="O78" s="372"/>
    </row>
    <row r="79" spans="4:15" ht="20.100000000000001" customHeight="1" x14ac:dyDescent="0.2">
      <c r="D79" s="196" t="s">
        <v>78</v>
      </c>
      <c r="E79" s="136"/>
      <c r="F79" s="136"/>
      <c r="G79" s="136"/>
      <c r="H79" s="136"/>
      <c r="I79" s="136"/>
      <c r="J79" s="136"/>
      <c r="K79" s="137"/>
      <c r="L79" s="139"/>
      <c r="M79" s="138"/>
      <c r="N79" s="244">
        <f>SUM(E79:M79)</f>
        <v>0</v>
      </c>
      <c r="O79" s="372"/>
    </row>
    <row r="80" spans="4:15" ht="20.100000000000001" customHeight="1" thickBot="1" x14ac:dyDescent="0.25">
      <c r="D80" s="197" t="s">
        <v>78</v>
      </c>
      <c r="E80" s="140"/>
      <c r="F80" s="140"/>
      <c r="G80" s="140"/>
      <c r="H80" s="140"/>
      <c r="I80" s="140"/>
      <c r="J80" s="140"/>
      <c r="K80" s="141"/>
      <c r="L80" s="143"/>
      <c r="M80" s="142"/>
      <c r="N80" s="311">
        <f>SUM(E80:M80)</f>
        <v>0</v>
      </c>
      <c r="O80" s="372"/>
    </row>
    <row r="81" spans="4:15" ht="20.100000000000001" customHeight="1" x14ac:dyDescent="0.2">
      <c r="D81" s="190"/>
      <c r="E81" s="188"/>
      <c r="F81" s="188"/>
      <c r="G81" s="188"/>
      <c r="H81" s="188"/>
      <c r="I81" s="188"/>
      <c r="J81" s="188"/>
      <c r="K81" s="188"/>
      <c r="L81" s="188"/>
      <c r="M81" s="188"/>
      <c r="N81" s="195"/>
      <c r="O81" s="372"/>
    </row>
    <row r="82" spans="4:15" ht="20.100000000000001" customHeight="1" x14ac:dyDescent="0.2">
      <c r="D82" s="190"/>
      <c r="E82" s="188"/>
      <c r="F82" s="188"/>
      <c r="G82" s="188"/>
      <c r="H82" s="188"/>
      <c r="I82" s="188"/>
      <c r="J82" s="188"/>
      <c r="K82" s="188"/>
      <c r="L82" s="188"/>
      <c r="M82" s="188"/>
      <c r="N82" s="195"/>
      <c r="O82" s="372"/>
    </row>
  </sheetData>
  <sheetProtection algorithmName="SHA-512" hashValue="KDUbdhVgmHSle9g9K/Qu1VCHEdRC7q0O9m5ebc507KggngRHhj0XTVT93WwKQKT50BBFR3wAxY1Z+tu9G6wu0g==" saltValue="1GC1otbIC0Iox5KRfhStHg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347" priority="1" operator="equal">
      <formula>0</formula>
    </cfRule>
    <cfRule type="cellIs" dxfId="346" priority="6" operator="notEqual">
      <formula>$B$7</formula>
    </cfRule>
  </conditionalFormatting>
  <conditionalFormatting sqref="E3:N12">
    <cfRule type="cellIs" dxfId="345" priority="5" operator="notBetween">
      <formula>0</formula>
      <formula>100</formula>
    </cfRule>
  </conditionalFormatting>
  <conditionalFormatting sqref="E3:N14">
    <cfRule type="cellIs" dxfId="344" priority="8" operator="lessThan">
      <formula>0</formula>
    </cfRule>
  </conditionalFormatting>
  <conditionalFormatting sqref="E14:N14">
    <cfRule type="cellIs" dxfId="343" priority="11" operator="greaterThan">
      <formula>1</formula>
    </cfRule>
  </conditionalFormatting>
  <conditionalFormatting sqref="N3:N13">
    <cfRule type="cellIs" dxfId="342" priority="9" operator="equal">
      <formula>0</formula>
    </cfRule>
  </conditionalFormatting>
  <conditionalFormatting sqref="N13">
    <cfRule type="cellIs" dxfId="341" priority="13" operator="equal">
      <formula>$B$7</formula>
    </cfRule>
  </conditionalFormatting>
  <conditionalFormatting sqref="N14">
    <cfRule type="cellIs" dxfId="340" priority="10" operator="equal">
      <formula>1</formula>
    </cfRule>
    <cfRule type="cellIs" dxfId="339" priority="12" operator="lessThan">
      <formula>1</formula>
    </cfRule>
  </conditionalFormatting>
  <conditionalFormatting sqref="R4:R15">
    <cfRule type="cellIs" dxfId="338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337" priority="3">
      <formula>AND(E50&lt;MAX(E$50:E50), NOT(ISBLANK(E50)), NOT(E50=0))</formula>
    </cfRule>
  </conditionalFormatting>
  <conditionalFormatting sqref="E68:M72">
    <cfRule type="expression" dxfId="336" priority="2">
      <formula>AND(E68&lt;MAX(E$68:E68), NOT(ISBLANK(E68)), NOT(E68=0))</formula>
    </cfRule>
  </conditionalFormatting>
  <conditionalFormatting sqref="E78:M80">
    <cfRule type="expression" dxfId="335" priority="14">
      <formula>AND(E78&lt;MAX(E$78:E78), NOT(ISBLANK(E78)), NOT(E78=0))</formula>
    </cfRule>
  </conditionalFormatting>
  <conditionalFormatting sqref="N3:N12">
    <cfRule type="expression" dxfId="334" priority="15">
      <formula>AND($D3=$E$24, N3=$D$25)</formula>
    </cfRule>
    <cfRule type="expression" dxfId="333" priority="16">
      <formula>AND($D3=$E$24, MOD(N3,100)&gt;$D$25)</formula>
    </cfRule>
    <cfRule type="cellIs" dxfId="332" priority="17" operator="equal">
      <formula>100</formula>
    </cfRule>
  </conditionalFormatting>
  <conditionalFormatting sqref="E3:M12">
    <cfRule type="expression" dxfId="331" priority="18">
      <formula>($D3&lt;=$E$24)</formula>
    </cfRule>
  </conditionalFormatting>
  <conditionalFormatting sqref="D3:M12">
    <cfRule type="expression" dxfId="330" priority="19">
      <formula>($D3&gt;$E$24)</formula>
    </cfRule>
  </conditionalFormatting>
  <conditionalFormatting sqref="E50:M59 E68:M72 E78:M80">
    <cfRule type="cellIs" dxfId="329" priority="20" operator="notBetween">
      <formula>0</formula>
      <formula>$B$7</formula>
    </cfRule>
    <cfRule type="expression" dxfId="328" priority="21">
      <formula>($D50&lt;=$E$24)</formula>
    </cfRule>
    <cfRule type="expression" dxfId="327" priority="22">
      <formula>($D50&gt;$E$24)</formula>
    </cfRule>
  </conditionalFormatting>
  <conditionalFormatting sqref="N50 N68:N72 N78:N80 N52:N59">
    <cfRule type="cellIs" dxfId="326" priority="23" operator="lessThan">
      <formula>0</formula>
    </cfRule>
    <cfRule type="cellIs" dxfId="325" priority="24" operator="equal">
      <formula>0</formula>
    </cfRule>
    <cfRule type="expression" dxfId="324" priority="25">
      <formula>OR(MOD($N50,100)=0,AND($D50=$E$24,MOD($N50,100)=$D$25))</formula>
    </cfRule>
  </conditionalFormatting>
  <conditionalFormatting sqref="N51">
    <cfRule type="cellIs" dxfId="323" priority="26" operator="notBetween">
      <formula>0</formula>
      <formula>$B$7</formula>
    </cfRule>
    <cfRule type="cellIs" dxfId="322" priority="27" operator="equal">
      <formula>0</formula>
    </cfRule>
    <cfRule type="expression" dxfId="321" priority="28">
      <formula>OR(MOD($N51,100)=0,AND($D51=$E$24,MOD($N51,100)=$D$25))</formula>
    </cfRule>
  </conditionalFormatting>
  <conditionalFormatting sqref="Q4:Q15">
    <cfRule type="expression" dxfId="320" priority="29">
      <formula>AND($Q4&lt;$Q3, NOT(ISBLANK($Q4)))</formula>
    </cfRule>
    <cfRule type="cellIs" dxfId="319" priority="30" operator="greaterThan">
      <formula>$B$6</formula>
    </cfRule>
  </conditionalFormatting>
  <dataValidations count="2">
    <dataValidation type="list" allowBlank="1" showInputMessage="1" showErrorMessage="1" sqref="C50:C59" xr:uid="{0F72391D-06DB-421B-AFC8-5A0B73C7D8F0}">
      <formula1>$D$19:$D$21</formula1>
    </dataValidation>
    <dataValidation type="list" allowBlank="1" showInputMessage="1" showErrorMessage="1" sqref="D68:D72 D78:D82 D50:D59" xr:uid="{1EFB1BF1-B6C2-4A57-96AC-B602487F050B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088D4-3142-4621-9FAE-8D6BD68B132E}">
  <sheetPr codeName="Feuil44">
    <tabColor rgb="FFB4A7D6"/>
  </sheetPr>
  <dimension ref="A1:V82"/>
  <sheetViews>
    <sheetView zoomScale="80" zoomScaleNormal="80" workbookViewId="0">
      <selection activeCell="Q4" sqref="Q4"/>
    </sheetView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24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357" t="s">
        <v>11</v>
      </c>
      <c r="B1" s="363">
        <f>Synthèse!$B$17</f>
        <v>46103</v>
      </c>
      <c r="D1" s="243"/>
      <c r="E1" s="551" t="s">
        <v>120</v>
      </c>
      <c r="F1" s="552"/>
      <c r="G1" s="552"/>
      <c r="H1" s="552"/>
      <c r="I1" s="552"/>
      <c r="J1" s="552"/>
      <c r="K1" s="552"/>
      <c r="L1" s="552"/>
      <c r="M1" s="553"/>
      <c r="N1" s="316" t="s">
        <v>7</v>
      </c>
      <c r="O1" s="372"/>
    </row>
    <row r="2" spans="1:22" ht="45" customHeight="1" thickBot="1" x14ac:dyDescent="0.25">
      <c r="A2" s="358" t="s">
        <v>12</v>
      </c>
      <c r="B2" s="364" t="str">
        <f>Synthèse!$B$18</f>
        <v>Municipales 2ème tour</v>
      </c>
      <c r="D2" s="280" t="s">
        <v>80</v>
      </c>
      <c r="E2" s="619" t="str">
        <f>Synthèse!L2</f>
        <v>Candidat(e)
1</v>
      </c>
      <c r="F2" s="620" t="str">
        <f>Synthèse!M2</f>
        <v>Candidat(e)
2</v>
      </c>
      <c r="G2" s="621" t="str">
        <f>Synthèse!N2</f>
        <v>Candidat(e)
3</v>
      </c>
      <c r="H2" s="622" t="str">
        <f>Synthèse!O2</f>
        <v>Candidat(e)
4</v>
      </c>
      <c r="I2" s="623" t="str">
        <f>Synthèse!P2</f>
        <v>Candidat(e)
5</v>
      </c>
      <c r="J2" s="624" t="str">
        <f>Synthèse!Q2</f>
        <v>Candidat(e)
6</v>
      </c>
      <c r="K2" s="625" t="str">
        <f>Synthèse!R2</f>
        <v>Candidat(e)
7</v>
      </c>
      <c r="L2" s="320" t="s">
        <v>3</v>
      </c>
      <c r="M2" s="321" t="s">
        <v>4</v>
      </c>
      <c r="N2" s="317" t="s">
        <v>102</v>
      </c>
      <c r="O2" s="372"/>
      <c r="P2" s="367" t="s">
        <v>21</v>
      </c>
      <c r="Q2" s="293" t="s">
        <v>56</v>
      </c>
      <c r="R2" s="294" t="s">
        <v>30</v>
      </c>
      <c r="T2" s="295" t="s">
        <v>58</v>
      </c>
      <c r="U2" s="295" t="s">
        <v>57</v>
      </c>
    </row>
    <row r="3" spans="1:22" ht="20.100000000000001" customHeight="1" thickBot="1" x14ac:dyDescent="0.25">
      <c r="A3" s="359" t="s">
        <v>13</v>
      </c>
      <c r="B3" s="365" t="str">
        <f>Synthèse!$B$19</f>
        <v>Cogolin</v>
      </c>
      <c r="D3" s="277" t="str" cm="1">
        <f t="array" ref="D3">IF(ROW(1:1)&lt;=$E$24, (ROW(1:1)), "")</f>
        <v/>
      </c>
      <c r="E3" s="113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3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13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13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13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13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13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28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2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44">
        <f t="shared" ref="N3:N13" si="0">SUM(E3:M3)</f>
        <v>0</v>
      </c>
      <c r="O3" s="372"/>
      <c r="P3" s="368" t="s">
        <v>31</v>
      </c>
      <c r="Q3" s="269">
        <v>0</v>
      </c>
      <c r="R3" s="270">
        <f>Q3/$B$6</f>
        <v>0</v>
      </c>
      <c r="T3" s="256"/>
      <c r="U3" s="256"/>
    </row>
    <row r="4" spans="1:22" ht="20.100000000000001" customHeight="1" x14ac:dyDescent="0.2">
      <c r="A4" s="65" t="s">
        <v>22</v>
      </c>
      <c r="B4" s="375">
        <v>2</v>
      </c>
      <c r="D4" s="278" t="str" cm="1">
        <f t="array" ref="D4">IF(ROW(2:2)&lt;=$E$24, (ROW(2:2)), "")</f>
        <v/>
      </c>
      <c r="E4" s="114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4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4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14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14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14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15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1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4">
        <f t="shared" si="0"/>
        <v>0</v>
      </c>
      <c r="O4" s="372"/>
      <c r="P4" s="369" t="s">
        <v>32</v>
      </c>
      <c r="Q4" s="324"/>
      <c r="R4" s="273" t="e">
        <f t="shared" ref="R4:R13" si="1">IF(OR(Q4=0, Q4=""), NA(), Q4/$B$6)</f>
        <v>#N/A</v>
      </c>
      <c r="T4" s="251" t="s">
        <v>44</v>
      </c>
      <c r="U4" s="296" t="e">
        <f t="shared" ref="U4:U13" si="2">IF(Q4&lt;&gt;0,Q4-Q3,NA())</f>
        <v>#N/A</v>
      </c>
    </row>
    <row r="5" spans="1:22" ht="20.100000000000001" customHeight="1" x14ac:dyDescent="0.2">
      <c r="A5" s="66" t="s">
        <v>23</v>
      </c>
      <c r="B5" s="376" t="str">
        <f>INDEX(Synthèse!B:B,B4+2)</f>
        <v>Gymnase B</v>
      </c>
      <c r="D5" s="278" t="str" cm="1">
        <f t="array" ref="D5">IF(ROW(3:3)&lt;=$E$24, (ROW(3:3)), "")</f>
        <v/>
      </c>
      <c r="E5" s="114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4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14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14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14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14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14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3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31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4">
        <f t="shared" si="0"/>
        <v>0</v>
      </c>
      <c r="O5" s="373"/>
      <c r="P5" s="369" t="s">
        <v>33</v>
      </c>
      <c r="Q5" s="324"/>
      <c r="R5" s="273" t="e">
        <f t="shared" si="1"/>
        <v>#N/A</v>
      </c>
      <c r="T5" s="252" t="s">
        <v>45</v>
      </c>
      <c r="U5" s="297" t="e">
        <f t="shared" si="2"/>
        <v>#N/A</v>
      </c>
    </row>
    <row r="6" spans="1:22" ht="20.100000000000001" customHeight="1" x14ac:dyDescent="0.2">
      <c r="A6" s="66" t="s">
        <v>0</v>
      </c>
      <c r="B6" s="144">
        <f>INDEX(Synthèse!C:C,B4+2)</f>
        <v>740</v>
      </c>
      <c r="D6" s="278" t="str" cm="1">
        <f t="array" ref="D6">IF(ROW(4:4)&lt;=$E$24, (ROW(4:4)), "")</f>
        <v/>
      </c>
      <c r="E6" s="114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4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14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14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14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14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14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3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31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4">
        <f t="shared" si="0"/>
        <v>0</v>
      </c>
      <c r="O6" s="373"/>
      <c r="P6" s="369" t="s">
        <v>34</v>
      </c>
      <c r="Q6" s="324"/>
      <c r="R6" s="273" t="e">
        <f t="shared" si="1"/>
        <v>#N/A</v>
      </c>
      <c r="T6" s="252" t="s">
        <v>46</v>
      </c>
      <c r="U6" s="297" t="e">
        <f t="shared" si="2"/>
        <v>#N/A</v>
      </c>
    </row>
    <row r="7" spans="1:22" ht="20.100000000000001" customHeight="1" x14ac:dyDescent="0.2">
      <c r="A7" s="66" t="s">
        <v>2</v>
      </c>
      <c r="B7" s="123">
        <f>MAX(Q4:Q15)</f>
        <v>0</v>
      </c>
      <c r="D7" s="278" t="str" cm="1">
        <f t="array" ref="D7">IF(ROW(5:5)&lt;=$E$24, (ROW(5:5)), "")</f>
        <v/>
      </c>
      <c r="E7" s="114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4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4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14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14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14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15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1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4">
        <f t="shared" si="0"/>
        <v>0</v>
      </c>
      <c r="O7" s="373"/>
      <c r="P7" s="369" t="s">
        <v>35</v>
      </c>
      <c r="Q7" s="324"/>
      <c r="R7" s="273" t="e">
        <f t="shared" si="1"/>
        <v>#N/A</v>
      </c>
      <c r="T7" s="252" t="s">
        <v>53</v>
      </c>
      <c r="U7" s="297" t="e">
        <f t="shared" si="2"/>
        <v>#N/A</v>
      </c>
    </row>
    <row r="8" spans="1:22" ht="20.100000000000001" customHeight="1" x14ac:dyDescent="0.2">
      <c r="A8" s="66" t="s">
        <v>1</v>
      </c>
      <c r="B8" s="124"/>
      <c r="D8" s="278" t="str" cm="1">
        <f t="array" ref="D8">IF(ROW(6:6)&lt;=$E$24, (ROW(6:6)), "")</f>
        <v/>
      </c>
      <c r="E8" s="114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4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4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14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14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14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15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1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4">
        <f t="shared" si="0"/>
        <v>0</v>
      </c>
      <c r="O8" s="373"/>
      <c r="P8" s="369" t="s">
        <v>36</v>
      </c>
      <c r="Q8" s="324"/>
      <c r="R8" s="273" t="e">
        <f t="shared" si="1"/>
        <v>#N/A</v>
      </c>
      <c r="T8" s="252" t="s">
        <v>47</v>
      </c>
      <c r="U8" s="297" t="e">
        <f t="shared" si="2"/>
        <v>#N/A</v>
      </c>
    </row>
    <row r="9" spans="1:22" ht="20.100000000000001" customHeight="1" thickBot="1" x14ac:dyDescent="0.25">
      <c r="A9" s="67" t="s">
        <v>17</v>
      </c>
      <c r="B9" s="125">
        <f>B6-B7</f>
        <v>740</v>
      </c>
      <c r="D9" s="278" t="str" cm="1">
        <f t="array" ref="D9">IF(ROW(7:7)&lt;=$E$24, (ROW(7:7)), "")</f>
        <v/>
      </c>
      <c r="E9" s="114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4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4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14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14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14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17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18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4">
        <f t="shared" si="0"/>
        <v>0</v>
      </c>
      <c r="O9" s="373"/>
      <c r="P9" s="369" t="s">
        <v>37</v>
      </c>
      <c r="Q9" s="324"/>
      <c r="R9" s="273" t="e">
        <f t="shared" si="1"/>
        <v>#N/A</v>
      </c>
      <c r="T9" s="252" t="s">
        <v>48</v>
      </c>
      <c r="U9" s="297" t="e">
        <f t="shared" si="2"/>
        <v>#N/A</v>
      </c>
    </row>
    <row r="10" spans="1:22" ht="20.100000000000001" customHeight="1" x14ac:dyDescent="0.2">
      <c r="A10" s="554" t="s">
        <v>59</v>
      </c>
      <c r="B10" s="554"/>
      <c r="D10" s="278" t="str" cm="1">
        <f t="array" ref="D10">IF(ROW(8:8)&lt;=$E$24, (ROW(8:8)), "")</f>
        <v/>
      </c>
      <c r="E10" s="114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4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4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14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14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14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17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18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4">
        <f t="shared" si="0"/>
        <v>0</v>
      </c>
      <c r="O10" s="373"/>
      <c r="P10" s="369" t="s">
        <v>38</v>
      </c>
      <c r="Q10" s="324"/>
      <c r="R10" s="273" t="e">
        <f t="shared" si="1"/>
        <v>#N/A</v>
      </c>
      <c r="T10" s="252" t="s">
        <v>49</v>
      </c>
      <c r="U10" s="297" t="e">
        <f t="shared" si="2"/>
        <v>#N/A</v>
      </c>
    </row>
    <row r="11" spans="1:22" ht="20.100000000000001" customHeight="1" x14ac:dyDescent="0.2">
      <c r="A11" s="555"/>
      <c r="B11" s="555"/>
      <c r="D11" s="278" t="str" cm="1">
        <f t="array" ref="D11">IF(ROW(9:9)&lt;=$E$24, (ROW(9:9)), "")</f>
        <v/>
      </c>
      <c r="E11" s="114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4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4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14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14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14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17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18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4">
        <f t="shared" si="0"/>
        <v>0</v>
      </c>
      <c r="O11" s="373"/>
      <c r="P11" s="369" t="s">
        <v>39</v>
      </c>
      <c r="Q11" s="324"/>
      <c r="R11" s="273" t="e">
        <f t="shared" si="1"/>
        <v>#N/A</v>
      </c>
      <c r="T11" s="252" t="s">
        <v>50</v>
      </c>
      <c r="U11" s="297" t="e">
        <f t="shared" si="2"/>
        <v>#N/A</v>
      </c>
    </row>
    <row r="12" spans="1:22" ht="20.100000000000001" customHeight="1" thickBot="1" x14ac:dyDescent="0.25">
      <c r="A12" s="556" t="s">
        <v>60</v>
      </c>
      <c r="B12" s="556"/>
      <c r="D12" s="279" t="str" cm="1">
        <f t="array" ref="D12">IF(ROW(10:10)&lt;=$E$24, (ROW(10:10)), "")</f>
        <v/>
      </c>
      <c r="E12" s="114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4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14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14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14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14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14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32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33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4">
        <f t="shared" si="0"/>
        <v>0</v>
      </c>
      <c r="O12" s="373"/>
      <c r="P12" s="369" t="s">
        <v>40</v>
      </c>
      <c r="Q12" s="324"/>
      <c r="R12" s="273" t="e">
        <f t="shared" si="1"/>
        <v>#N/A</v>
      </c>
      <c r="T12" s="252" t="s">
        <v>51</v>
      </c>
      <c r="U12" s="297" t="e">
        <f t="shared" si="2"/>
        <v>#N/A</v>
      </c>
    </row>
    <row r="13" spans="1:22" ht="20.100000000000001" customHeight="1" thickBot="1" x14ac:dyDescent="0.3">
      <c r="A13" s="556"/>
      <c r="B13" s="556"/>
      <c r="D13" s="35" t="s">
        <v>9</v>
      </c>
      <c r="E13" s="119">
        <f>SUM(E3:E12)</f>
        <v>0</v>
      </c>
      <c r="F13" s="497">
        <f>SUM(F3:F12)</f>
        <v>0</v>
      </c>
      <c r="G13" s="497">
        <f>SUM(G3:G12)</f>
        <v>0</v>
      </c>
      <c r="H13" s="497">
        <f>SUM(H3:H12)</f>
        <v>0</v>
      </c>
      <c r="I13" s="497">
        <f>SUM(I3:I12)</f>
        <v>0</v>
      </c>
      <c r="J13" s="497">
        <f>SUM(J3:J12)</f>
        <v>0</v>
      </c>
      <c r="K13" s="120">
        <f>SUM(K3:K12)</f>
        <v>0</v>
      </c>
      <c r="L13" s="121">
        <f>SUM(L3:L12)</f>
        <v>0</v>
      </c>
      <c r="M13" s="122">
        <f>SUM(M3:M12)</f>
        <v>0</v>
      </c>
      <c r="N13" s="355">
        <f t="shared" si="0"/>
        <v>0</v>
      </c>
      <c r="O13" s="373"/>
      <c r="P13" s="369" t="s">
        <v>41</v>
      </c>
      <c r="Q13" s="324"/>
      <c r="R13" s="273" t="e">
        <f t="shared" si="1"/>
        <v>#N/A</v>
      </c>
      <c r="T13" s="253" t="s">
        <v>52</v>
      </c>
      <c r="U13" s="298" t="e">
        <f t="shared" si="2"/>
        <v>#N/A</v>
      </c>
    </row>
    <row r="14" spans="1:22" ht="20.100000000000001" customHeight="1" thickBot="1" x14ac:dyDescent="0.3">
      <c r="A14" s="556"/>
      <c r="B14" s="556"/>
      <c r="D14" s="60" t="s">
        <v>10</v>
      </c>
      <c r="E14" s="32">
        <f t="shared" ref="E14:N14" si="3">IFERROR(E13/$B$7,0)</f>
        <v>0</v>
      </c>
      <c r="F14" s="498">
        <f t="shared" si="3"/>
        <v>0</v>
      </c>
      <c r="G14" s="498">
        <f t="shared" si="3"/>
        <v>0</v>
      </c>
      <c r="H14" s="498">
        <f t="shared" si="3"/>
        <v>0</v>
      </c>
      <c r="I14" s="498">
        <f t="shared" si="3"/>
        <v>0</v>
      </c>
      <c r="J14" s="498">
        <f t="shared" si="3"/>
        <v>0</v>
      </c>
      <c r="K14" s="33">
        <f t="shared" si="3"/>
        <v>0</v>
      </c>
      <c r="L14" s="32">
        <f t="shared" si="3"/>
        <v>0</v>
      </c>
      <c r="M14" s="34">
        <f t="shared" si="3"/>
        <v>0</v>
      </c>
      <c r="N14" s="356">
        <f t="shared" si="3"/>
        <v>0</v>
      </c>
      <c r="O14" s="372"/>
      <c r="P14" s="370" t="s">
        <v>42</v>
      </c>
      <c r="Q14" s="325"/>
      <c r="R14" s="275" t="e">
        <f>IF(OR(Q14=0, Q14=""), NA(), Q14/$B$6)</f>
        <v>#N/A</v>
      </c>
      <c r="S14" s="300"/>
      <c r="T14" s="304" t="s">
        <v>54</v>
      </c>
      <c r="U14" s="299" t="e">
        <f>IF(Q14&lt;&gt;0,Q14-Q13,NA())</f>
        <v>#N/A</v>
      </c>
      <c r="V14" s="300"/>
    </row>
    <row r="15" spans="1:22" ht="18" customHeight="1" thickBot="1" x14ac:dyDescent="0.25">
      <c r="A15" s="558" t="s">
        <v>66</v>
      </c>
      <c r="B15" s="558"/>
      <c r="C15" s="1"/>
      <c r="D15" s="1"/>
      <c r="N15" s="254"/>
      <c r="O15" s="372"/>
      <c r="P15" s="371" t="s">
        <v>43</v>
      </c>
      <c r="Q15" s="326"/>
      <c r="R15" s="301" t="e">
        <f>IF(OR(Q15=0, Q15=""), NA(), Q15/$B$6)</f>
        <v>#N/A</v>
      </c>
      <c r="T15" s="305" t="s">
        <v>55</v>
      </c>
      <c r="U15" s="303" t="e">
        <f>IF(Q15&lt;&gt;0,Q15-Q14,NA())</f>
        <v>#N/A</v>
      </c>
      <c r="V15" s="300"/>
    </row>
    <row r="16" spans="1:22" ht="12.75" customHeight="1" x14ac:dyDescent="0.2">
      <c r="A16" s="558"/>
      <c r="B16" s="558"/>
      <c r="O16" s="372"/>
      <c r="P16" s="254"/>
      <c r="Q16" s="254"/>
      <c r="R16" s="254"/>
      <c r="U16" s="254"/>
    </row>
    <row r="17" spans="1:15" ht="18" customHeight="1" x14ac:dyDescent="0.25">
      <c r="A17" s="558"/>
      <c r="B17" s="558"/>
      <c r="E17" s="185"/>
      <c r="F17" s="185"/>
      <c r="G17" s="185"/>
      <c r="H17" s="185"/>
      <c r="I17" s="185"/>
      <c r="J17" s="185"/>
      <c r="O17" s="372"/>
    </row>
    <row r="18" spans="1:15" ht="26.25" customHeight="1" x14ac:dyDescent="0.2">
      <c r="A18" s="558"/>
      <c r="B18" s="558"/>
      <c r="D18" s="353" t="s">
        <v>63</v>
      </c>
      <c r="O18" s="372"/>
    </row>
    <row r="19" spans="1:15" x14ac:dyDescent="0.2">
      <c r="D19" s="354">
        <f>IF((ROW()-23)&lt;=$E$25,(ROW()-23),"Choisir")</f>
        <v>-4</v>
      </c>
      <c r="O19" s="372"/>
    </row>
    <row r="20" spans="1:15" x14ac:dyDescent="0.2">
      <c r="D20" s="354">
        <f>IF((ROW()-23)&lt;=$E$25,(ROW()-23),"Choisir")</f>
        <v>-3</v>
      </c>
      <c r="O20" s="372"/>
    </row>
    <row r="21" spans="1:15" x14ac:dyDescent="0.2">
      <c r="D21" s="354">
        <f>IF((ROW()-23)&lt;=$E$25,(ROW()-23),"Choisir")</f>
        <v>-2</v>
      </c>
      <c r="O21" s="372"/>
    </row>
    <row r="22" spans="1:15" x14ac:dyDescent="0.2">
      <c r="D22" s="354">
        <f>IF((ROW()-23)&lt;=$E$25,(ROW()-23),"Choisir")</f>
        <v>-1</v>
      </c>
      <c r="O22" s="372"/>
    </row>
    <row r="23" spans="1:15" x14ac:dyDescent="0.2">
      <c r="O23" s="372"/>
    </row>
    <row r="24" spans="1:15" x14ac:dyDescent="0.2">
      <c r="D24" s="199">
        <f>CEILING($B$6, 100)/100</f>
        <v>8</v>
      </c>
      <c r="E24" s="335">
        <f>CEILING($B$7,100)/100</f>
        <v>0</v>
      </c>
      <c r="F24" s="335"/>
      <c r="G24" s="335"/>
      <c r="H24" s="335"/>
      <c r="I24" s="335"/>
      <c r="J24" s="335"/>
      <c r="O24" s="372"/>
    </row>
    <row r="25" spans="1:15" x14ac:dyDescent="0.2">
      <c r="D25" s="199">
        <f>MOD($B$7,100)</f>
        <v>0</v>
      </c>
      <c r="E25" s="200">
        <f>CEILING($B$6/300,1)</f>
        <v>3</v>
      </c>
      <c r="F25" s="200"/>
      <c r="G25" s="200"/>
      <c r="H25" s="200"/>
      <c r="I25" s="200"/>
      <c r="J25" s="200"/>
      <c r="O25" s="372"/>
    </row>
    <row r="26" spans="1:15" x14ac:dyDescent="0.2">
      <c r="O26" s="372"/>
    </row>
    <row r="27" spans="1:15" x14ac:dyDescent="0.2">
      <c r="O27" s="372"/>
    </row>
    <row r="28" spans="1:15" x14ac:dyDescent="0.2">
      <c r="O28" s="372"/>
    </row>
    <row r="29" spans="1:15" x14ac:dyDescent="0.2">
      <c r="O29" s="372"/>
    </row>
    <row r="30" spans="1:15" x14ac:dyDescent="0.2">
      <c r="O30" s="372"/>
    </row>
    <row r="31" spans="1:15" x14ac:dyDescent="0.2">
      <c r="O31" s="372"/>
    </row>
    <row r="32" spans="1:15" x14ac:dyDescent="0.2">
      <c r="O32" s="372"/>
    </row>
    <row r="33" spans="1:15" x14ac:dyDescent="0.2">
      <c r="O33" s="372"/>
    </row>
    <row r="34" spans="1:15" x14ac:dyDescent="0.2">
      <c r="O34" s="372"/>
    </row>
    <row r="35" spans="1:15" x14ac:dyDescent="0.2">
      <c r="O35" s="372"/>
    </row>
    <row r="36" spans="1:15" x14ac:dyDescent="0.2">
      <c r="O36" s="372"/>
    </row>
    <row r="37" spans="1:15" x14ac:dyDescent="0.2">
      <c r="O37" s="372"/>
    </row>
    <row r="38" spans="1:15" x14ac:dyDescent="0.2">
      <c r="O38" s="372"/>
    </row>
    <row r="39" spans="1:15" x14ac:dyDescent="0.2">
      <c r="O39" s="372"/>
    </row>
    <row r="40" spans="1:15" x14ac:dyDescent="0.2">
      <c r="O40" s="372"/>
    </row>
    <row r="41" spans="1:15" x14ac:dyDescent="0.2">
      <c r="O41" s="372"/>
    </row>
    <row r="42" spans="1:15" x14ac:dyDescent="0.2">
      <c r="O42" s="372"/>
    </row>
    <row r="43" spans="1:15" ht="13.5" thickBot="1" x14ac:dyDescent="0.25">
      <c r="A43" s="366"/>
      <c r="B43" s="366"/>
      <c r="C43" s="366"/>
      <c r="D43" s="366"/>
      <c r="E43" s="366"/>
      <c r="F43" s="366"/>
      <c r="G43" s="366"/>
      <c r="H43" s="366"/>
      <c r="I43" s="366"/>
      <c r="J43" s="366"/>
      <c r="K43" s="366"/>
      <c r="L43" s="366"/>
      <c r="M43" s="366"/>
      <c r="N43" s="366"/>
      <c r="O43" s="374"/>
    </row>
    <row r="44" spans="1:15" ht="13.5" thickTop="1" x14ac:dyDescent="0.2">
      <c r="O44" s="372"/>
    </row>
    <row r="45" spans="1:15" x14ac:dyDescent="0.2">
      <c r="O45" s="372"/>
    </row>
    <row r="46" spans="1:15" x14ac:dyDescent="0.2">
      <c r="E46" s="126"/>
      <c r="F46" s="126"/>
      <c r="G46" s="126"/>
      <c r="H46" s="126"/>
      <c r="I46" s="126"/>
      <c r="J46" s="126"/>
      <c r="O46" s="372"/>
    </row>
    <row r="47" spans="1:15" ht="13.5" thickBot="1" x14ac:dyDescent="0.25">
      <c r="E47" s="126"/>
      <c r="F47" s="126"/>
      <c r="G47" s="126"/>
      <c r="H47" s="126"/>
      <c r="I47" s="126"/>
      <c r="J47" s="126"/>
      <c r="O47" s="372"/>
    </row>
    <row r="48" spans="1:15" ht="20.100000000000001" customHeight="1" thickBot="1" x14ac:dyDescent="0.25">
      <c r="D48" s="189" t="s">
        <v>76</v>
      </c>
      <c r="E48" s="548" t="s">
        <v>117</v>
      </c>
      <c r="F48" s="549"/>
      <c r="G48" s="549"/>
      <c r="H48" s="549"/>
      <c r="I48" s="549"/>
      <c r="J48" s="549"/>
      <c r="K48" s="549"/>
      <c r="L48" s="549"/>
      <c r="M48" s="550"/>
      <c r="N48" s="306" t="s">
        <v>7</v>
      </c>
      <c r="O48" s="372"/>
    </row>
    <row r="49" spans="3:15" ht="47.25" customHeight="1" thickBot="1" x14ac:dyDescent="0.25">
      <c r="C49" s="187"/>
      <c r="D49" s="284" t="s">
        <v>79</v>
      </c>
      <c r="E49" s="626" t="str">
        <f>E2</f>
        <v>Candidat(e)
1</v>
      </c>
      <c r="F49" s="627" t="str">
        <f>F2</f>
        <v>Candidat(e)
2</v>
      </c>
      <c r="G49" s="628" t="str">
        <f t="shared" ref="G49:K49" si="4">G2</f>
        <v>Candidat(e)
3</v>
      </c>
      <c r="H49" s="629" t="str">
        <f t="shared" si="4"/>
        <v>Candidat(e)
4</v>
      </c>
      <c r="I49" s="630" t="str">
        <f t="shared" si="4"/>
        <v>Candidat(e)
5</v>
      </c>
      <c r="J49" s="631" t="str">
        <f t="shared" si="4"/>
        <v>Candidat(e)
6</v>
      </c>
      <c r="K49" s="632" t="str">
        <f t="shared" si="4"/>
        <v>Candidat(e)
7</v>
      </c>
      <c r="L49" s="322" t="s">
        <v>3</v>
      </c>
      <c r="M49" s="323" t="s">
        <v>4</v>
      </c>
      <c r="N49" s="308" t="s">
        <v>101</v>
      </c>
      <c r="O49" s="372"/>
    </row>
    <row r="50" spans="3:15" ht="19.5" customHeight="1" x14ac:dyDescent="0.2">
      <c r="C50" s="188"/>
      <c r="D50" s="283" t="s">
        <v>78</v>
      </c>
      <c r="E50" s="246"/>
      <c r="F50" s="246"/>
      <c r="G50" s="246"/>
      <c r="H50" s="246"/>
      <c r="I50" s="246"/>
      <c r="J50" s="246"/>
      <c r="K50" s="247"/>
      <c r="L50" s="249"/>
      <c r="M50" s="248"/>
      <c r="N50" s="307">
        <f t="shared" ref="N50:N59" si="5">SUM(E50:M50)</f>
        <v>0</v>
      </c>
      <c r="O50" s="372"/>
    </row>
    <row r="51" spans="3:15" ht="20.100000000000001" customHeight="1" x14ac:dyDescent="0.2">
      <c r="C51" s="188"/>
      <c r="D51" s="283" t="s">
        <v>78</v>
      </c>
      <c r="E51" s="246"/>
      <c r="F51" s="246"/>
      <c r="G51" s="246"/>
      <c r="H51" s="246"/>
      <c r="I51" s="246"/>
      <c r="J51" s="246"/>
      <c r="K51" s="247"/>
      <c r="L51" s="249"/>
      <c r="M51" s="248"/>
      <c r="N51" s="307">
        <f t="shared" si="5"/>
        <v>0</v>
      </c>
      <c r="O51" s="372"/>
    </row>
    <row r="52" spans="3:15" ht="20.100000000000001" customHeight="1" x14ac:dyDescent="0.2">
      <c r="C52" s="188"/>
      <c r="D52" s="283" t="s">
        <v>78</v>
      </c>
      <c r="E52" s="246"/>
      <c r="F52" s="246"/>
      <c r="G52" s="246"/>
      <c r="H52" s="246"/>
      <c r="I52" s="246"/>
      <c r="J52" s="246"/>
      <c r="K52" s="247"/>
      <c r="L52" s="249"/>
      <c r="M52" s="248"/>
      <c r="N52" s="307">
        <f t="shared" si="5"/>
        <v>0</v>
      </c>
      <c r="O52" s="372"/>
    </row>
    <row r="53" spans="3:15" ht="20.100000000000001" customHeight="1" x14ac:dyDescent="0.2">
      <c r="C53" s="188"/>
      <c r="D53" s="283" t="s">
        <v>78</v>
      </c>
      <c r="E53" s="246"/>
      <c r="F53" s="246"/>
      <c r="G53" s="246"/>
      <c r="H53" s="246"/>
      <c r="I53" s="246"/>
      <c r="J53" s="246"/>
      <c r="K53" s="247"/>
      <c r="L53" s="249"/>
      <c r="M53" s="248"/>
      <c r="N53" s="307">
        <f t="shared" si="5"/>
        <v>0</v>
      </c>
      <c r="O53" s="372"/>
    </row>
    <row r="54" spans="3:15" ht="20.100000000000001" customHeight="1" x14ac:dyDescent="0.2">
      <c r="C54" s="188"/>
      <c r="D54" s="283" t="s">
        <v>78</v>
      </c>
      <c r="E54" s="246"/>
      <c r="F54" s="246"/>
      <c r="G54" s="246"/>
      <c r="H54" s="246"/>
      <c r="I54" s="246"/>
      <c r="J54" s="246"/>
      <c r="K54" s="247"/>
      <c r="L54" s="249"/>
      <c r="M54" s="248"/>
      <c r="N54" s="307">
        <f t="shared" si="5"/>
        <v>0</v>
      </c>
      <c r="O54" s="372"/>
    </row>
    <row r="55" spans="3:15" ht="20.100000000000001" customHeight="1" x14ac:dyDescent="0.2">
      <c r="C55" s="188"/>
      <c r="D55" s="283" t="s">
        <v>78</v>
      </c>
      <c r="E55" s="246"/>
      <c r="F55" s="246"/>
      <c r="G55" s="246"/>
      <c r="H55" s="246"/>
      <c r="I55" s="246"/>
      <c r="J55" s="246"/>
      <c r="K55" s="247"/>
      <c r="L55" s="249"/>
      <c r="M55" s="248"/>
      <c r="N55" s="307">
        <f t="shared" si="5"/>
        <v>0</v>
      </c>
      <c r="O55" s="372"/>
    </row>
    <row r="56" spans="3:15" ht="20.100000000000001" customHeight="1" x14ac:dyDescent="0.2">
      <c r="C56" s="188"/>
      <c r="D56" s="283" t="s">
        <v>78</v>
      </c>
      <c r="E56" s="246"/>
      <c r="F56" s="246"/>
      <c r="G56" s="246"/>
      <c r="H56" s="246"/>
      <c r="I56" s="246"/>
      <c r="J56" s="246"/>
      <c r="K56" s="247"/>
      <c r="L56" s="249"/>
      <c r="M56" s="248"/>
      <c r="N56" s="307">
        <f t="shared" si="5"/>
        <v>0</v>
      </c>
      <c r="O56" s="372"/>
    </row>
    <row r="57" spans="3:15" ht="20.100000000000001" customHeight="1" x14ac:dyDescent="0.2">
      <c r="C57" s="188"/>
      <c r="D57" s="283" t="s">
        <v>78</v>
      </c>
      <c r="E57" s="246"/>
      <c r="F57" s="246"/>
      <c r="G57" s="246"/>
      <c r="H57" s="246"/>
      <c r="I57" s="246"/>
      <c r="J57" s="246"/>
      <c r="K57" s="247"/>
      <c r="L57" s="249"/>
      <c r="M57" s="248"/>
      <c r="N57" s="307">
        <f t="shared" si="5"/>
        <v>0</v>
      </c>
      <c r="O57" s="372"/>
    </row>
    <row r="58" spans="3:15" ht="20.100000000000001" customHeight="1" x14ac:dyDescent="0.2">
      <c r="C58" s="188"/>
      <c r="D58" s="283" t="s">
        <v>78</v>
      </c>
      <c r="E58" s="246"/>
      <c r="F58" s="246"/>
      <c r="G58" s="246"/>
      <c r="H58" s="246"/>
      <c r="I58" s="246"/>
      <c r="J58" s="246"/>
      <c r="K58" s="247"/>
      <c r="L58" s="249"/>
      <c r="M58" s="248"/>
      <c r="N58" s="307">
        <f t="shared" si="5"/>
        <v>0</v>
      </c>
      <c r="O58" s="372"/>
    </row>
    <row r="59" spans="3:15" ht="20.100000000000001" customHeight="1" thickBot="1" x14ac:dyDescent="0.25">
      <c r="C59" s="188"/>
      <c r="D59" s="287" t="s">
        <v>78</v>
      </c>
      <c r="E59" s="288"/>
      <c r="F59" s="288"/>
      <c r="G59" s="288"/>
      <c r="H59" s="288"/>
      <c r="I59" s="288"/>
      <c r="J59" s="288"/>
      <c r="K59" s="289"/>
      <c r="L59" s="291"/>
      <c r="M59" s="290"/>
      <c r="N59" s="307">
        <f t="shared" si="5"/>
        <v>0</v>
      </c>
      <c r="O59" s="372"/>
    </row>
    <row r="60" spans="3:15" x14ac:dyDescent="0.2">
      <c r="N60" s="254"/>
      <c r="O60" s="372"/>
    </row>
    <row r="61" spans="3:15" x14ac:dyDescent="0.2">
      <c r="O61" s="372"/>
    </row>
    <row r="62" spans="3:15" x14ac:dyDescent="0.2">
      <c r="O62" s="372"/>
    </row>
    <row r="63" spans="3:15" ht="18" x14ac:dyDescent="0.25">
      <c r="E63" s="185"/>
      <c r="F63" s="185"/>
      <c r="G63" s="185"/>
      <c r="H63" s="185"/>
      <c r="I63" s="185"/>
      <c r="J63" s="185"/>
      <c r="O63" s="372"/>
    </row>
    <row r="64" spans="3:15" x14ac:dyDescent="0.2">
      <c r="O64" s="372"/>
    </row>
    <row r="65" spans="4:15" ht="13.5" thickBot="1" x14ac:dyDescent="0.25">
      <c r="O65" s="372"/>
    </row>
    <row r="66" spans="4:15" ht="16.5" customHeight="1" thickBot="1" x14ac:dyDescent="0.25">
      <c r="D66" s="189" t="s">
        <v>77</v>
      </c>
      <c r="E66" s="548" t="s">
        <v>118</v>
      </c>
      <c r="F66" s="549"/>
      <c r="G66" s="549"/>
      <c r="H66" s="549"/>
      <c r="I66" s="549"/>
      <c r="J66" s="549"/>
      <c r="K66" s="549"/>
      <c r="L66" s="549"/>
      <c r="M66" s="550"/>
      <c r="N66" s="306" t="s">
        <v>7</v>
      </c>
      <c r="O66" s="372"/>
    </row>
    <row r="67" spans="4:15" ht="42" customHeight="1" thickBot="1" x14ac:dyDescent="0.25">
      <c r="D67" s="284" t="s">
        <v>79</v>
      </c>
      <c r="E67" s="626" t="str">
        <f>E2</f>
        <v>Candidat(e)
1</v>
      </c>
      <c r="F67" s="627" t="str">
        <f>F2</f>
        <v>Candidat(e)
2</v>
      </c>
      <c r="G67" s="628" t="str">
        <f t="shared" ref="G67:K67" si="6">G2</f>
        <v>Candidat(e)
3</v>
      </c>
      <c r="H67" s="629" t="str">
        <f t="shared" si="6"/>
        <v>Candidat(e)
4</v>
      </c>
      <c r="I67" s="630" t="str">
        <f t="shared" si="6"/>
        <v>Candidat(e)
5</v>
      </c>
      <c r="J67" s="631" t="str">
        <f t="shared" si="6"/>
        <v>Candidat(e)
6</v>
      </c>
      <c r="K67" s="632" t="str">
        <f t="shared" si="6"/>
        <v>Candidat(e)
7</v>
      </c>
      <c r="L67" s="322" t="s">
        <v>3</v>
      </c>
      <c r="M67" s="323" t="s">
        <v>4</v>
      </c>
      <c r="N67" s="313" t="s">
        <v>101</v>
      </c>
      <c r="O67" s="372"/>
    </row>
    <row r="68" spans="4:15" ht="20.100000000000001" customHeight="1" x14ac:dyDescent="0.2">
      <c r="D68" s="198" t="s">
        <v>78</v>
      </c>
      <c r="E68" s="191"/>
      <c r="F68" s="191"/>
      <c r="G68" s="191"/>
      <c r="H68" s="191"/>
      <c r="I68" s="191"/>
      <c r="J68" s="191"/>
      <c r="K68" s="192"/>
      <c r="L68" s="194"/>
      <c r="M68" s="193"/>
      <c r="N68" s="310">
        <f>SUM(E68:M68)</f>
        <v>0</v>
      </c>
      <c r="O68" s="372"/>
    </row>
    <row r="69" spans="4:15" ht="20.100000000000001" customHeight="1" x14ac:dyDescent="0.2">
      <c r="D69" s="196" t="s">
        <v>78</v>
      </c>
      <c r="E69" s="136"/>
      <c r="F69" s="136"/>
      <c r="G69" s="136"/>
      <c r="H69" s="136"/>
      <c r="I69" s="136"/>
      <c r="J69" s="136"/>
      <c r="K69" s="137"/>
      <c r="L69" s="139"/>
      <c r="M69" s="138"/>
      <c r="N69" s="244">
        <f>SUM(E69:M69)</f>
        <v>0</v>
      </c>
      <c r="O69" s="372"/>
    </row>
    <row r="70" spans="4:15" ht="20.100000000000001" customHeight="1" x14ac:dyDescent="0.2">
      <c r="D70" s="196" t="s">
        <v>78</v>
      </c>
      <c r="E70" s="136"/>
      <c r="F70" s="136"/>
      <c r="G70" s="136"/>
      <c r="H70" s="136"/>
      <c r="I70" s="136"/>
      <c r="J70" s="136"/>
      <c r="K70" s="137"/>
      <c r="L70" s="139"/>
      <c r="M70" s="138"/>
      <c r="N70" s="244">
        <f>SUM(E70:M70)</f>
        <v>0</v>
      </c>
      <c r="O70" s="372"/>
    </row>
    <row r="71" spans="4:15" ht="20.100000000000001" customHeight="1" x14ac:dyDescent="0.2">
      <c r="D71" s="196" t="s">
        <v>78</v>
      </c>
      <c r="E71" s="136"/>
      <c r="F71" s="136"/>
      <c r="G71" s="136"/>
      <c r="H71" s="136"/>
      <c r="I71" s="136"/>
      <c r="J71" s="136"/>
      <c r="K71" s="137"/>
      <c r="L71" s="139"/>
      <c r="M71" s="138"/>
      <c r="N71" s="244">
        <f>SUM(E71:M71)</f>
        <v>0</v>
      </c>
      <c r="O71" s="372"/>
    </row>
    <row r="72" spans="4:15" ht="20.100000000000001" customHeight="1" thickBot="1" x14ac:dyDescent="0.25">
      <c r="D72" s="197" t="s">
        <v>78</v>
      </c>
      <c r="E72" s="140"/>
      <c r="F72" s="140"/>
      <c r="G72" s="140"/>
      <c r="H72" s="140"/>
      <c r="I72" s="140"/>
      <c r="J72" s="140"/>
      <c r="K72" s="141"/>
      <c r="L72" s="143"/>
      <c r="M72" s="142"/>
      <c r="N72" s="311">
        <f>SUM(E72:M72)</f>
        <v>0</v>
      </c>
      <c r="O72" s="372"/>
    </row>
    <row r="73" spans="4:15" ht="20.100000000000001" customHeight="1" x14ac:dyDescent="0.2">
      <c r="D73" s="190"/>
      <c r="E73" s="188"/>
      <c r="F73" s="188"/>
      <c r="G73" s="188"/>
      <c r="H73" s="188"/>
      <c r="I73" s="188"/>
      <c r="J73" s="188"/>
      <c r="K73" s="188"/>
      <c r="L73" s="188"/>
      <c r="M73" s="188"/>
      <c r="O73" s="372"/>
    </row>
    <row r="74" spans="4:15" ht="20.100000000000001" customHeight="1" x14ac:dyDescent="0.2">
      <c r="D74" s="190"/>
      <c r="E74" s="188"/>
      <c r="F74" s="188"/>
      <c r="G74" s="188"/>
      <c r="H74" s="188"/>
      <c r="I74" s="188"/>
      <c r="J74" s="188"/>
      <c r="K74" s="188"/>
      <c r="L74" s="188"/>
      <c r="M74" s="188"/>
      <c r="O74" s="372"/>
    </row>
    <row r="75" spans="4:15" ht="20.100000000000001" customHeight="1" thickBot="1" x14ac:dyDescent="0.25">
      <c r="D75" s="190"/>
      <c r="E75" s="188"/>
      <c r="F75" s="188"/>
      <c r="G75" s="188"/>
      <c r="H75" s="188"/>
      <c r="I75" s="188"/>
      <c r="J75" s="188"/>
      <c r="K75" s="188"/>
      <c r="L75" s="188"/>
      <c r="M75" s="188"/>
      <c r="O75" s="372"/>
    </row>
    <row r="76" spans="4:15" ht="20.100000000000001" customHeight="1" thickBot="1" x14ac:dyDescent="0.25">
      <c r="D76" s="189" t="s">
        <v>81</v>
      </c>
      <c r="E76" s="548" t="s">
        <v>119</v>
      </c>
      <c r="F76" s="549"/>
      <c r="G76" s="549"/>
      <c r="H76" s="549"/>
      <c r="I76" s="549"/>
      <c r="J76" s="549"/>
      <c r="K76" s="549"/>
      <c r="L76" s="549"/>
      <c r="M76" s="550"/>
      <c r="N76" s="312" t="s">
        <v>7</v>
      </c>
      <c r="O76" s="372"/>
    </row>
    <row r="77" spans="4:15" ht="39.75" customHeight="1" thickBot="1" x14ac:dyDescent="0.25">
      <c r="D77" s="284" t="s">
        <v>79</v>
      </c>
      <c r="E77" s="626" t="str">
        <f>E2</f>
        <v>Candidat(e)
1</v>
      </c>
      <c r="F77" s="627" t="str">
        <f>F2</f>
        <v>Candidat(e)
2</v>
      </c>
      <c r="G77" s="628" t="str">
        <f t="shared" ref="G77:K77" si="7">G2</f>
        <v>Candidat(e)
3</v>
      </c>
      <c r="H77" s="629" t="str">
        <f t="shared" si="7"/>
        <v>Candidat(e)
4</v>
      </c>
      <c r="I77" s="630" t="str">
        <f t="shared" si="7"/>
        <v>Candidat(e)
5</v>
      </c>
      <c r="J77" s="631" t="str">
        <f t="shared" si="7"/>
        <v>Candidat(e)
6</v>
      </c>
      <c r="K77" s="632" t="str">
        <f t="shared" si="7"/>
        <v>Candidat(e)
7</v>
      </c>
      <c r="L77" s="322" t="s">
        <v>3</v>
      </c>
      <c r="M77" s="323" t="s">
        <v>4</v>
      </c>
      <c r="N77" s="309" t="s">
        <v>101</v>
      </c>
      <c r="O77" s="372"/>
    </row>
    <row r="78" spans="4:15" ht="20.100000000000001" customHeight="1" x14ac:dyDescent="0.2">
      <c r="D78" s="198" t="s">
        <v>78</v>
      </c>
      <c r="E78" s="191"/>
      <c r="F78" s="191"/>
      <c r="G78" s="191"/>
      <c r="H78" s="191"/>
      <c r="I78" s="191"/>
      <c r="J78" s="191"/>
      <c r="K78" s="192"/>
      <c r="L78" s="194"/>
      <c r="M78" s="193"/>
      <c r="N78" s="310">
        <f>SUM(E78:M78)</f>
        <v>0</v>
      </c>
      <c r="O78" s="372"/>
    </row>
    <row r="79" spans="4:15" ht="20.100000000000001" customHeight="1" x14ac:dyDescent="0.2">
      <c r="D79" s="196" t="s">
        <v>78</v>
      </c>
      <c r="E79" s="136"/>
      <c r="F79" s="136"/>
      <c r="G79" s="136"/>
      <c r="H79" s="136"/>
      <c r="I79" s="136"/>
      <c r="J79" s="136"/>
      <c r="K79" s="137"/>
      <c r="L79" s="139"/>
      <c r="M79" s="138"/>
      <c r="N79" s="244">
        <f>SUM(E79:M79)</f>
        <v>0</v>
      </c>
      <c r="O79" s="372"/>
    </row>
    <row r="80" spans="4:15" ht="20.100000000000001" customHeight="1" thickBot="1" x14ac:dyDescent="0.25">
      <c r="D80" s="197" t="s">
        <v>78</v>
      </c>
      <c r="E80" s="140"/>
      <c r="F80" s="140"/>
      <c r="G80" s="140"/>
      <c r="H80" s="140"/>
      <c r="I80" s="140"/>
      <c r="J80" s="140"/>
      <c r="K80" s="141"/>
      <c r="L80" s="143"/>
      <c r="M80" s="142"/>
      <c r="N80" s="311">
        <f>SUM(E80:M80)</f>
        <v>0</v>
      </c>
      <c r="O80" s="372"/>
    </row>
    <row r="81" spans="4:15" ht="20.100000000000001" customHeight="1" x14ac:dyDescent="0.2">
      <c r="D81" s="190"/>
      <c r="E81" s="188"/>
      <c r="F81" s="188"/>
      <c r="G81" s="188"/>
      <c r="H81" s="188"/>
      <c r="I81" s="188"/>
      <c r="J81" s="188"/>
      <c r="K81" s="188"/>
      <c r="L81" s="188"/>
      <c r="M81" s="188"/>
      <c r="N81" s="195"/>
      <c r="O81" s="372"/>
    </row>
    <row r="82" spans="4:15" ht="20.100000000000001" customHeight="1" x14ac:dyDescent="0.2">
      <c r="D82" s="190"/>
      <c r="E82" s="188"/>
      <c r="F82" s="188"/>
      <c r="G82" s="188"/>
      <c r="H82" s="188"/>
      <c r="I82" s="188"/>
      <c r="J82" s="188"/>
      <c r="K82" s="188"/>
      <c r="L82" s="188"/>
      <c r="M82" s="188"/>
      <c r="N82" s="195"/>
      <c r="O82" s="372"/>
    </row>
  </sheetData>
  <sheetProtection algorithmName="SHA-512" hashValue="s8+nt07jW2R+N5acH/0P8eq4UI9RHPvUhAXqXYUBRNBb+Rc0j7E3ZdQYfQsZLtMip1mDrYlQnl2C6puArbF8zg==" saltValue="8W6p1KTT6nrxhiJqzyZPNw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318" priority="1" operator="equal">
      <formula>0</formula>
    </cfRule>
    <cfRule type="cellIs" dxfId="317" priority="6" operator="notEqual">
      <formula>$B$7</formula>
    </cfRule>
  </conditionalFormatting>
  <conditionalFormatting sqref="E3:N12">
    <cfRule type="cellIs" dxfId="316" priority="5" operator="notBetween">
      <formula>0</formula>
      <formula>100</formula>
    </cfRule>
  </conditionalFormatting>
  <conditionalFormatting sqref="E3:N14">
    <cfRule type="cellIs" dxfId="315" priority="8" operator="lessThan">
      <formula>0</formula>
    </cfRule>
  </conditionalFormatting>
  <conditionalFormatting sqref="E14:N14">
    <cfRule type="cellIs" dxfId="314" priority="11" operator="greaterThan">
      <formula>1</formula>
    </cfRule>
  </conditionalFormatting>
  <conditionalFormatting sqref="N3:N13">
    <cfRule type="cellIs" dxfId="313" priority="9" operator="equal">
      <formula>0</formula>
    </cfRule>
  </conditionalFormatting>
  <conditionalFormatting sqref="N13">
    <cfRule type="cellIs" dxfId="312" priority="13" operator="equal">
      <formula>$B$7</formula>
    </cfRule>
  </conditionalFormatting>
  <conditionalFormatting sqref="N14">
    <cfRule type="cellIs" dxfId="311" priority="10" operator="equal">
      <formula>1</formula>
    </cfRule>
    <cfRule type="cellIs" dxfId="310" priority="12" operator="lessThan">
      <formula>1</formula>
    </cfRule>
  </conditionalFormatting>
  <conditionalFormatting sqref="R4:R15">
    <cfRule type="cellIs" dxfId="309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308" priority="3">
      <formula>AND(E50&lt;MAX(E$50:E50), NOT(ISBLANK(E50)), NOT(E50=0))</formula>
    </cfRule>
  </conditionalFormatting>
  <conditionalFormatting sqref="E68:M72">
    <cfRule type="expression" dxfId="307" priority="2">
      <formula>AND(E68&lt;MAX(E$68:E68), NOT(ISBLANK(E68)), NOT(E68=0))</formula>
    </cfRule>
  </conditionalFormatting>
  <conditionalFormatting sqref="E78:M80">
    <cfRule type="expression" dxfId="306" priority="14">
      <formula>AND(E78&lt;MAX(E$78:E78), NOT(ISBLANK(E78)), NOT(E78=0))</formula>
    </cfRule>
  </conditionalFormatting>
  <conditionalFormatting sqref="N3:N12">
    <cfRule type="expression" dxfId="305" priority="15">
      <formula>AND($D3=$E$24, N3=$D$25)</formula>
    </cfRule>
    <cfRule type="expression" dxfId="304" priority="16">
      <formula>AND($D3=$E$24, MOD(N3,100)&gt;$D$25)</formula>
    </cfRule>
    <cfRule type="cellIs" dxfId="303" priority="17" operator="equal">
      <formula>100</formula>
    </cfRule>
  </conditionalFormatting>
  <conditionalFormatting sqref="E3:M12">
    <cfRule type="expression" dxfId="302" priority="18">
      <formula>($D3&lt;=$E$24)</formula>
    </cfRule>
  </conditionalFormatting>
  <conditionalFormatting sqref="D3:M12">
    <cfRule type="expression" dxfId="301" priority="19">
      <formula>($D3&gt;$E$24)</formula>
    </cfRule>
  </conditionalFormatting>
  <conditionalFormatting sqref="E50:M59 E68:M72 E78:M80">
    <cfRule type="cellIs" dxfId="300" priority="20" operator="notBetween">
      <formula>0</formula>
      <formula>$B$7</formula>
    </cfRule>
    <cfRule type="expression" dxfId="299" priority="21">
      <formula>($D50&lt;=$E$24)</formula>
    </cfRule>
    <cfRule type="expression" dxfId="298" priority="22">
      <formula>($D50&gt;$E$24)</formula>
    </cfRule>
  </conditionalFormatting>
  <conditionalFormatting sqref="N50 N68:N72 N78:N80 N52:N59">
    <cfRule type="cellIs" dxfId="297" priority="23" operator="lessThan">
      <formula>0</formula>
    </cfRule>
    <cfRule type="cellIs" dxfId="296" priority="24" operator="equal">
      <formula>0</formula>
    </cfRule>
    <cfRule type="expression" dxfId="295" priority="25">
      <formula>OR(MOD($N50,100)=0,AND($D50=$E$24,MOD($N50,100)=$D$25))</formula>
    </cfRule>
  </conditionalFormatting>
  <conditionalFormatting sqref="N51">
    <cfRule type="cellIs" dxfId="294" priority="26" operator="notBetween">
      <formula>0</formula>
      <formula>$B$7</formula>
    </cfRule>
    <cfRule type="cellIs" dxfId="293" priority="27" operator="equal">
      <formula>0</formula>
    </cfRule>
    <cfRule type="expression" dxfId="292" priority="28">
      <formula>OR(MOD($N51,100)=0,AND($D51=$E$24,MOD($N51,100)=$D$25))</formula>
    </cfRule>
  </conditionalFormatting>
  <conditionalFormatting sqref="Q4:Q15">
    <cfRule type="expression" dxfId="291" priority="29">
      <formula>AND($Q4&lt;$Q3, NOT(ISBLANK($Q4)))</formula>
    </cfRule>
    <cfRule type="cellIs" dxfId="290" priority="30" operator="greaterThan">
      <formula>$B$6</formula>
    </cfRule>
  </conditionalFormatting>
  <dataValidations count="2">
    <dataValidation type="list" allowBlank="1" showInputMessage="1" showErrorMessage="1" sqref="C50:C59" xr:uid="{40235982-61B9-42BB-A2B2-3D42E8A45C98}">
      <formula1>$D$19:$D$21</formula1>
    </dataValidation>
    <dataValidation type="list" allowBlank="1" showInputMessage="1" showErrorMessage="1" sqref="D68:D72 D78:D82 D50:D59" xr:uid="{25A1D99F-22DD-4D4B-B127-C2C7D57C288C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46F94-201F-429C-93AA-47411F562792}">
  <sheetPr codeName="Feuil45">
    <tabColor rgb="FFB4A7D6"/>
  </sheetPr>
  <dimension ref="A1:V82"/>
  <sheetViews>
    <sheetView zoomScale="80" zoomScaleNormal="80" workbookViewId="0">
      <selection activeCell="Q4" sqref="Q4"/>
    </sheetView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24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357" t="s">
        <v>11</v>
      </c>
      <c r="B1" s="363">
        <f>Synthèse!$B$17</f>
        <v>46103</v>
      </c>
      <c r="D1" s="243"/>
      <c r="E1" s="551" t="s">
        <v>120</v>
      </c>
      <c r="F1" s="552"/>
      <c r="G1" s="552"/>
      <c r="H1" s="552"/>
      <c r="I1" s="552"/>
      <c r="J1" s="552"/>
      <c r="K1" s="552"/>
      <c r="L1" s="552"/>
      <c r="M1" s="553"/>
      <c r="N1" s="316" t="s">
        <v>7</v>
      </c>
      <c r="O1" s="372"/>
    </row>
    <row r="2" spans="1:22" ht="45" customHeight="1" thickBot="1" x14ac:dyDescent="0.25">
      <c r="A2" s="358" t="s">
        <v>12</v>
      </c>
      <c r="B2" s="364" t="str">
        <f>Synthèse!$B$18</f>
        <v>Municipales 2ème tour</v>
      </c>
      <c r="D2" s="280" t="s">
        <v>80</v>
      </c>
      <c r="E2" s="619" t="str">
        <f>Synthèse!L2</f>
        <v>Candidat(e)
1</v>
      </c>
      <c r="F2" s="620" t="str">
        <f>Synthèse!M2</f>
        <v>Candidat(e)
2</v>
      </c>
      <c r="G2" s="621" t="str">
        <f>Synthèse!N2</f>
        <v>Candidat(e)
3</v>
      </c>
      <c r="H2" s="622" t="str">
        <f>Synthèse!O2</f>
        <v>Candidat(e)
4</v>
      </c>
      <c r="I2" s="623" t="str">
        <f>Synthèse!P2</f>
        <v>Candidat(e)
5</v>
      </c>
      <c r="J2" s="624" t="str">
        <f>Synthèse!Q2</f>
        <v>Candidat(e)
6</v>
      </c>
      <c r="K2" s="625" t="str">
        <f>Synthèse!R2</f>
        <v>Candidat(e)
7</v>
      </c>
      <c r="L2" s="320" t="s">
        <v>3</v>
      </c>
      <c r="M2" s="321" t="s">
        <v>4</v>
      </c>
      <c r="N2" s="317" t="s">
        <v>102</v>
      </c>
      <c r="O2" s="372"/>
      <c r="P2" s="367" t="s">
        <v>21</v>
      </c>
      <c r="Q2" s="293" t="s">
        <v>56</v>
      </c>
      <c r="R2" s="294" t="s">
        <v>30</v>
      </c>
      <c r="T2" s="295" t="s">
        <v>58</v>
      </c>
      <c r="U2" s="295" t="s">
        <v>57</v>
      </c>
    </row>
    <row r="3" spans="1:22" ht="20.100000000000001" customHeight="1" thickBot="1" x14ac:dyDescent="0.25">
      <c r="A3" s="359" t="s">
        <v>13</v>
      </c>
      <c r="B3" s="365" t="str">
        <f>Synthèse!$B$19</f>
        <v>Cogolin</v>
      </c>
      <c r="D3" s="277" t="str" cm="1">
        <f t="array" ref="D3">IF(ROW(1:1)&lt;=$E$24, (ROW(1:1)), "")</f>
        <v/>
      </c>
      <c r="E3" s="113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3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13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13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13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13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13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28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2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44">
        <f t="shared" ref="N3:N13" si="0">SUM(E3:M3)</f>
        <v>0</v>
      </c>
      <c r="O3" s="372"/>
      <c r="P3" s="368" t="s">
        <v>31</v>
      </c>
      <c r="Q3" s="269">
        <v>0</v>
      </c>
      <c r="R3" s="270">
        <f>Q3/$B$6</f>
        <v>0</v>
      </c>
      <c r="T3" s="256"/>
      <c r="U3" s="256"/>
    </row>
    <row r="4" spans="1:22" ht="20.100000000000001" customHeight="1" x14ac:dyDescent="0.2">
      <c r="A4" s="65" t="s">
        <v>22</v>
      </c>
      <c r="B4" s="375">
        <v>3</v>
      </c>
      <c r="D4" s="278" t="str" cm="1">
        <f t="array" ref="D4">IF(ROW(2:2)&lt;=$E$24, (ROW(2:2)), "")</f>
        <v/>
      </c>
      <c r="E4" s="114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4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4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14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14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14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15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1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4">
        <f t="shared" si="0"/>
        <v>0</v>
      </c>
      <c r="O4" s="372"/>
      <c r="P4" s="369" t="s">
        <v>32</v>
      </c>
      <c r="Q4" s="324"/>
      <c r="R4" s="273" t="e">
        <f t="shared" ref="R4:R13" si="1">IF(OR(Q4=0, Q4=""), NA(), Q4/$B$6)</f>
        <v>#N/A</v>
      </c>
      <c r="T4" s="251" t="s">
        <v>44</v>
      </c>
      <c r="U4" s="296" t="e">
        <f t="shared" ref="U4:U13" si="2">IF(Q4&lt;&gt;0,Q4-Q3,NA())</f>
        <v>#N/A</v>
      </c>
    </row>
    <row r="5" spans="1:22" ht="20.100000000000001" customHeight="1" x14ac:dyDescent="0.2">
      <c r="A5" s="66" t="s">
        <v>23</v>
      </c>
      <c r="B5" s="376" t="str">
        <f>INDEX(Synthèse!B:B,B4+2)</f>
        <v>Gymnase B</v>
      </c>
      <c r="D5" s="278" t="str" cm="1">
        <f t="array" ref="D5">IF(ROW(3:3)&lt;=$E$24, (ROW(3:3)), "")</f>
        <v/>
      </c>
      <c r="E5" s="114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4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14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14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14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14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14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3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31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4">
        <f t="shared" si="0"/>
        <v>0</v>
      </c>
      <c r="O5" s="373"/>
      <c r="P5" s="369" t="s">
        <v>33</v>
      </c>
      <c r="Q5" s="324"/>
      <c r="R5" s="273" t="e">
        <f t="shared" si="1"/>
        <v>#N/A</v>
      </c>
      <c r="T5" s="252" t="s">
        <v>45</v>
      </c>
      <c r="U5" s="297" t="e">
        <f t="shared" si="2"/>
        <v>#N/A</v>
      </c>
    </row>
    <row r="6" spans="1:22" ht="20.100000000000001" customHeight="1" x14ac:dyDescent="0.2">
      <c r="A6" s="66" t="s">
        <v>0</v>
      </c>
      <c r="B6" s="144">
        <f>INDEX(Synthèse!C:C,B4+2)</f>
        <v>713</v>
      </c>
      <c r="D6" s="278" t="str" cm="1">
        <f t="array" ref="D6">IF(ROW(4:4)&lt;=$E$24, (ROW(4:4)), "")</f>
        <v/>
      </c>
      <c r="E6" s="114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4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14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14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14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14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14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3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31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4">
        <f t="shared" si="0"/>
        <v>0</v>
      </c>
      <c r="O6" s="373"/>
      <c r="P6" s="369" t="s">
        <v>34</v>
      </c>
      <c r="Q6" s="324"/>
      <c r="R6" s="273" t="e">
        <f t="shared" si="1"/>
        <v>#N/A</v>
      </c>
      <c r="T6" s="252" t="s">
        <v>46</v>
      </c>
      <c r="U6" s="297" t="e">
        <f t="shared" si="2"/>
        <v>#N/A</v>
      </c>
    </row>
    <row r="7" spans="1:22" ht="20.100000000000001" customHeight="1" x14ac:dyDescent="0.2">
      <c r="A7" s="66" t="s">
        <v>2</v>
      </c>
      <c r="B7" s="123">
        <f>MAX(Q4:Q15)</f>
        <v>0</v>
      </c>
      <c r="D7" s="278" t="str" cm="1">
        <f t="array" ref="D7">IF(ROW(5:5)&lt;=$E$24, (ROW(5:5)), "")</f>
        <v/>
      </c>
      <c r="E7" s="114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4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4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14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14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14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15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1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4">
        <f t="shared" si="0"/>
        <v>0</v>
      </c>
      <c r="O7" s="373"/>
      <c r="P7" s="369" t="s">
        <v>35</v>
      </c>
      <c r="Q7" s="324"/>
      <c r="R7" s="273" t="e">
        <f t="shared" si="1"/>
        <v>#N/A</v>
      </c>
      <c r="T7" s="252" t="s">
        <v>53</v>
      </c>
      <c r="U7" s="297" t="e">
        <f t="shared" si="2"/>
        <v>#N/A</v>
      </c>
    </row>
    <row r="8" spans="1:22" ht="20.100000000000001" customHeight="1" x14ac:dyDescent="0.2">
      <c r="A8" s="66" t="s">
        <v>1</v>
      </c>
      <c r="B8" s="124"/>
      <c r="D8" s="278" t="str" cm="1">
        <f t="array" ref="D8">IF(ROW(6:6)&lt;=$E$24, (ROW(6:6)), "")</f>
        <v/>
      </c>
      <c r="E8" s="114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4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4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14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14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14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15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1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4">
        <f t="shared" si="0"/>
        <v>0</v>
      </c>
      <c r="O8" s="373"/>
      <c r="P8" s="369" t="s">
        <v>36</v>
      </c>
      <c r="Q8" s="324"/>
      <c r="R8" s="273" t="e">
        <f t="shared" si="1"/>
        <v>#N/A</v>
      </c>
      <c r="T8" s="252" t="s">
        <v>47</v>
      </c>
      <c r="U8" s="297" t="e">
        <f t="shared" si="2"/>
        <v>#N/A</v>
      </c>
    </row>
    <row r="9" spans="1:22" ht="20.100000000000001" customHeight="1" thickBot="1" x14ac:dyDescent="0.25">
      <c r="A9" s="67" t="s">
        <v>17</v>
      </c>
      <c r="B9" s="125">
        <f>B6-B7</f>
        <v>713</v>
      </c>
      <c r="D9" s="278" t="str" cm="1">
        <f t="array" ref="D9">IF(ROW(7:7)&lt;=$E$24, (ROW(7:7)), "")</f>
        <v/>
      </c>
      <c r="E9" s="114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4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4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14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14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14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17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18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4">
        <f t="shared" si="0"/>
        <v>0</v>
      </c>
      <c r="O9" s="373"/>
      <c r="P9" s="369" t="s">
        <v>37</v>
      </c>
      <c r="Q9" s="324"/>
      <c r="R9" s="273" t="e">
        <f t="shared" si="1"/>
        <v>#N/A</v>
      </c>
      <c r="T9" s="252" t="s">
        <v>48</v>
      </c>
      <c r="U9" s="297" t="e">
        <f t="shared" si="2"/>
        <v>#N/A</v>
      </c>
    </row>
    <row r="10" spans="1:22" ht="20.100000000000001" customHeight="1" x14ac:dyDescent="0.2">
      <c r="A10" s="554" t="s">
        <v>59</v>
      </c>
      <c r="B10" s="554"/>
      <c r="D10" s="278" t="str" cm="1">
        <f t="array" ref="D10">IF(ROW(8:8)&lt;=$E$24, (ROW(8:8)), "")</f>
        <v/>
      </c>
      <c r="E10" s="114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4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4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14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14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14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17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18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4">
        <f t="shared" si="0"/>
        <v>0</v>
      </c>
      <c r="O10" s="373"/>
      <c r="P10" s="369" t="s">
        <v>38</v>
      </c>
      <c r="Q10" s="324"/>
      <c r="R10" s="273" t="e">
        <f t="shared" si="1"/>
        <v>#N/A</v>
      </c>
      <c r="T10" s="252" t="s">
        <v>49</v>
      </c>
      <c r="U10" s="297" t="e">
        <f t="shared" si="2"/>
        <v>#N/A</v>
      </c>
    </row>
    <row r="11" spans="1:22" ht="20.100000000000001" customHeight="1" x14ac:dyDescent="0.2">
      <c r="A11" s="555"/>
      <c r="B11" s="555"/>
      <c r="D11" s="278" t="str" cm="1">
        <f t="array" ref="D11">IF(ROW(9:9)&lt;=$E$24, (ROW(9:9)), "")</f>
        <v/>
      </c>
      <c r="E11" s="114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4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4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14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14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14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17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18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4">
        <f t="shared" si="0"/>
        <v>0</v>
      </c>
      <c r="O11" s="373"/>
      <c r="P11" s="369" t="s">
        <v>39</v>
      </c>
      <c r="Q11" s="324"/>
      <c r="R11" s="273" t="e">
        <f t="shared" si="1"/>
        <v>#N/A</v>
      </c>
      <c r="T11" s="252" t="s">
        <v>50</v>
      </c>
      <c r="U11" s="297" t="e">
        <f t="shared" si="2"/>
        <v>#N/A</v>
      </c>
    </row>
    <row r="12" spans="1:22" ht="20.100000000000001" customHeight="1" thickBot="1" x14ac:dyDescent="0.25">
      <c r="A12" s="556" t="s">
        <v>60</v>
      </c>
      <c r="B12" s="556"/>
      <c r="D12" s="279" t="str" cm="1">
        <f t="array" ref="D12">IF(ROW(10:10)&lt;=$E$24, (ROW(10:10)), "")</f>
        <v/>
      </c>
      <c r="E12" s="114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4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14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14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14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14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14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32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33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4">
        <f t="shared" si="0"/>
        <v>0</v>
      </c>
      <c r="O12" s="373"/>
      <c r="P12" s="369" t="s">
        <v>40</v>
      </c>
      <c r="Q12" s="324"/>
      <c r="R12" s="273" t="e">
        <f t="shared" si="1"/>
        <v>#N/A</v>
      </c>
      <c r="T12" s="252" t="s">
        <v>51</v>
      </c>
      <c r="U12" s="297" t="e">
        <f t="shared" si="2"/>
        <v>#N/A</v>
      </c>
    </row>
    <row r="13" spans="1:22" ht="20.100000000000001" customHeight="1" thickBot="1" x14ac:dyDescent="0.3">
      <c r="A13" s="556"/>
      <c r="B13" s="556"/>
      <c r="D13" s="35" t="s">
        <v>9</v>
      </c>
      <c r="E13" s="119">
        <f>SUM(E3:E12)</f>
        <v>0</v>
      </c>
      <c r="F13" s="497">
        <f>SUM(F3:F12)</f>
        <v>0</v>
      </c>
      <c r="G13" s="497">
        <f>SUM(G3:G12)</f>
        <v>0</v>
      </c>
      <c r="H13" s="497">
        <f>SUM(H3:H12)</f>
        <v>0</v>
      </c>
      <c r="I13" s="497">
        <f>SUM(I3:I12)</f>
        <v>0</v>
      </c>
      <c r="J13" s="497">
        <f>SUM(J3:J12)</f>
        <v>0</v>
      </c>
      <c r="K13" s="120">
        <f>SUM(K3:K12)</f>
        <v>0</v>
      </c>
      <c r="L13" s="121">
        <f>SUM(L3:L12)</f>
        <v>0</v>
      </c>
      <c r="M13" s="122">
        <f>SUM(M3:M12)</f>
        <v>0</v>
      </c>
      <c r="N13" s="355">
        <f t="shared" si="0"/>
        <v>0</v>
      </c>
      <c r="O13" s="373"/>
      <c r="P13" s="369" t="s">
        <v>41</v>
      </c>
      <c r="Q13" s="324"/>
      <c r="R13" s="273" t="e">
        <f t="shared" si="1"/>
        <v>#N/A</v>
      </c>
      <c r="T13" s="253" t="s">
        <v>52</v>
      </c>
      <c r="U13" s="298" t="e">
        <f t="shared" si="2"/>
        <v>#N/A</v>
      </c>
    </row>
    <row r="14" spans="1:22" ht="20.100000000000001" customHeight="1" thickBot="1" x14ac:dyDescent="0.3">
      <c r="A14" s="556"/>
      <c r="B14" s="556"/>
      <c r="D14" s="60" t="s">
        <v>10</v>
      </c>
      <c r="E14" s="32">
        <f t="shared" ref="E14:N14" si="3">IFERROR(E13/$B$7,0)</f>
        <v>0</v>
      </c>
      <c r="F14" s="498">
        <f t="shared" si="3"/>
        <v>0</v>
      </c>
      <c r="G14" s="498">
        <f t="shared" si="3"/>
        <v>0</v>
      </c>
      <c r="H14" s="498">
        <f t="shared" si="3"/>
        <v>0</v>
      </c>
      <c r="I14" s="498">
        <f t="shared" si="3"/>
        <v>0</v>
      </c>
      <c r="J14" s="498">
        <f t="shared" si="3"/>
        <v>0</v>
      </c>
      <c r="K14" s="33">
        <f t="shared" si="3"/>
        <v>0</v>
      </c>
      <c r="L14" s="32">
        <f t="shared" si="3"/>
        <v>0</v>
      </c>
      <c r="M14" s="34">
        <f t="shared" si="3"/>
        <v>0</v>
      </c>
      <c r="N14" s="356">
        <f t="shared" si="3"/>
        <v>0</v>
      </c>
      <c r="O14" s="372"/>
      <c r="P14" s="370" t="s">
        <v>42</v>
      </c>
      <c r="Q14" s="325"/>
      <c r="R14" s="275" t="e">
        <f>IF(OR(Q14=0, Q14=""), NA(), Q14/$B$6)</f>
        <v>#N/A</v>
      </c>
      <c r="S14" s="300"/>
      <c r="T14" s="304" t="s">
        <v>54</v>
      </c>
      <c r="U14" s="299" t="e">
        <f>IF(Q14&lt;&gt;0,Q14-Q13,NA())</f>
        <v>#N/A</v>
      </c>
      <c r="V14" s="300"/>
    </row>
    <row r="15" spans="1:22" ht="18" customHeight="1" thickBot="1" x14ac:dyDescent="0.25">
      <c r="A15" s="558" t="s">
        <v>66</v>
      </c>
      <c r="B15" s="558"/>
      <c r="C15" s="1"/>
      <c r="D15" s="1"/>
      <c r="N15" s="254"/>
      <c r="O15" s="372"/>
      <c r="P15" s="371" t="s">
        <v>43</v>
      </c>
      <c r="Q15" s="326"/>
      <c r="R15" s="301" t="e">
        <f>IF(OR(Q15=0, Q15=""), NA(), Q15/$B$6)</f>
        <v>#N/A</v>
      </c>
      <c r="T15" s="305" t="s">
        <v>55</v>
      </c>
      <c r="U15" s="303" t="e">
        <f>IF(Q15&lt;&gt;0,Q15-Q14,NA())</f>
        <v>#N/A</v>
      </c>
      <c r="V15" s="300"/>
    </row>
    <row r="16" spans="1:22" ht="12.75" customHeight="1" x14ac:dyDescent="0.2">
      <c r="A16" s="558"/>
      <c r="B16" s="558"/>
      <c r="O16" s="372"/>
      <c r="P16" s="254"/>
      <c r="Q16" s="254"/>
      <c r="R16" s="254"/>
      <c r="U16" s="254"/>
    </row>
    <row r="17" spans="1:15" ht="18" customHeight="1" x14ac:dyDescent="0.25">
      <c r="A17" s="558"/>
      <c r="B17" s="558"/>
      <c r="E17" s="185"/>
      <c r="F17" s="185"/>
      <c r="G17" s="185"/>
      <c r="H17" s="185"/>
      <c r="I17" s="185"/>
      <c r="J17" s="185"/>
      <c r="O17" s="372"/>
    </row>
    <row r="18" spans="1:15" ht="26.25" customHeight="1" x14ac:dyDescent="0.2">
      <c r="A18" s="558"/>
      <c r="B18" s="558"/>
      <c r="D18" s="353" t="s">
        <v>63</v>
      </c>
      <c r="O18" s="372"/>
    </row>
    <row r="19" spans="1:15" x14ac:dyDescent="0.2">
      <c r="D19" s="354">
        <f>IF((ROW()-23)&lt;=$E$25,(ROW()-23),"Choisir")</f>
        <v>-4</v>
      </c>
      <c r="O19" s="372"/>
    </row>
    <row r="20" spans="1:15" x14ac:dyDescent="0.2">
      <c r="D20" s="354">
        <f>IF((ROW()-23)&lt;=$E$25,(ROW()-23),"Choisir")</f>
        <v>-3</v>
      </c>
      <c r="O20" s="372"/>
    </row>
    <row r="21" spans="1:15" x14ac:dyDescent="0.2">
      <c r="D21" s="354">
        <f>IF((ROW()-23)&lt;=$E$25,(ROW()-23),"Choisir")</f>
        <v>-2</v>
      </c>
      <c r="O21" s="372"/>
    </row>
    <row r="22" spans="1:15" x14ac:dyDescent="0.2">
      <c r="D22" s="354">
        <f>IF((ROW()-23)&lt;=$E$25,(ROW()-23),"Choisir")</f>
        <v>-1</v>
      </c>
      <c r="O22" s="372"/>
    </row>
    <row r="23" spans="1:15" x14ac:dyDescent="0.2">
      <c r="O23" s="372"/>
    </row>
    <row r="24" spans="1:15" x14ac:dyDescent="0.2">
      <c r="D24" s="199">
        <f>CEILING($B$6, 100)/100</f>
        <v>8</v>
      </c>
      <c r="E24" s="335">
        <f>CEILING($B$7,100)/100</f>
        <v>0</v>
      </c>
      <c r="F24" s="335"/>
      <c r="G24" s="335"/>
      <c r="H24" s="335"/>
      <c r="I24" s="335"/>
      <c r="J24" s="335"/>
      <c r="O24" s="372"/>
    </row>
    <row r="25" spans="1:15" x14ac:dyDescent="0.2">
      <c r="D25" s="199">
        <f>MOD($B$7,100)</f>
        <v>0</v>
      </c>
      <c r="E25" s="200">
        <f>CEILING($B$6/300,1)</f>
        <v>3</v>
      </c>
      <c r="F25" s="200"/>
      <c r="G25" s="200"/>
      <c r="H25" s="200"/>
      <c r="I25" s="200"/>
      <c r="J25" s="200"/>
      <c r="O25" s="372"/>
    </row>
    <row r="26" spans="1:15" x14ac:dyDescent="0.2">
      <c r="O26" s="372"/>
    </row>
    <row r="27" spans="1:15" x14ac:dyDescent="0.2">
      <c r="O27" s="372"/>
    </row>
    <row r="28" spans="1:15" x14ac:dyDescent="0.2">
      <c r="O28" s="372"/>
    </row>
    <row r="29" spans="1:15" x14ac:dyDescent="0.2">
      <c r="O29" s="372"/>
    </row>
    <row r="30" spans="1:15" x14ac:dyDescent="0.2">
      <c r="O30" s="372"/>
    </row>
    <row r="31" spans="1:15" x14ac:dyDescent="0.2">
      <c r="O31" s="372"/>
    </row>
    <row r="32" spans="1:15" x14ac:dyDescent="0.2">
      <c r="O32" s="372"/>
    </row>
    <row r="33" spans="1:15" x14ac:dyDescent="0.2">
      <c r="O33" s="372"/>
    </row>
    <row r="34" spans="1:15" x14ac:dyDescent="0.2">
      <c r="O34" s="372"/>
    </row>
    <row r="35" spans="1:15" x14ac:dyDescent="0.2">
      <c r="O35" s="372"/>
    </row>
    <row r="36" spans="1:15" x14ac:dyDescent="0.2">
      <c r="O36" s="372"/>
    </row>
    <row r="37" spans="1:15" x14ac:dyDescent="0.2">
      <c r="O37" s="372"/>
    </row>
    <row r="38" spans="1:15" x14ac:dyDescent="0.2">
      <c r="O38" s="372"/>
    </row>
    <row r="39" spans="1:15" x14ac:dyDescent="0.2">
      <c r="O39" s="372"/>
    </row>
    <row r="40" spans="1:15" x14ac:dyDescent="0.2">
      <c r="O40" s="372"/>
    </row>
    <row r="41" spans="1:15" x14ac:dyDescent="0.2">
      <c r="O41" s="372"/>
    </row>
    <row r="42" spans="1:15" x14ac:dyDescent="0.2">
      <c r="O42" s="372"/>
    </row>
    <row r="43" spans="1:15" ht="13.5" thickBot="1" x14ac:dyDescent="0.25">
      <c r="A43" s="366"/>
      <c r="B43" s="366"/>
      <c r="C43" s="366"/>
      <c r="D43" s="366"/>
      <c r="E43" s="366"/>
      <c r="F43" s="366"/>
      <c r="G43" s="366"/>
      <c r="H43" s="366"/>
      <c r="I43" s="366"/>
      <c r="J43" s="366"/>
      <c r="K43" s="366"/>
      <c r="L43" s="366"/>
      <c r="M43" s="366"/>
      <c r="N43" s="366"/>
      <c r="O43" s="374"/>
    </row>
    <row r="44" spans="1:15" ht="13.5" thickTop="1" x14ac:dyDescent="0.2">
      <c r="O44" s="372"/>
    </row>
    <row r="45" spans="1:15" x14ac:dyDescent="0.2">
      <c r="O45" s="372"/>
    </row>
    <row r="46" spans="1:15" x14ac:dyDescent="0.2">
      <c r="E46" s="126"/>
      <c r="F46" s="126"/>
      <c r="G46" s="126"/>
      <c r="H46" s="126"/>
      <c r="I46" s="126"/>
      <c r="J46" s="126"/>
      <c r="O46" s="372"/>
    </row>
    <row r="47" spans="1:15" ht="13.5" thickBot="1" x14ac:dyDescent="0.25">
      <c r="E47" s="126"/>
      <c r="F47" s="126"/>
      <c r="G47" s="126"/>
      <c r="H47" s="126"/>
      <c r="I47" s="126"/>
      <c r="J47" s="126"/>
      <c r="O47" s="372"/>
    </row>
    <row r="48" spans="1:15" ht="20.100000000000001" customHeight="1" thickBot="1" x14ac:dyDescent="0.25">
      <c r="D48" s="189" t="s">
        <v>76</v>
      </c>
      <c r="E48" s="548" t="s">
        <v>117</v>
      </c>
      <c r="F48" s="549"/>
      <c r="G48" s="549"/>
      <c r="H48" s="549"/>
      <c r="I48" s="549"/>
      <c r="J48" s="549"/>
      <c r="K48" s="549"/>
      <c r="L48" s="549"/>
      <c r="M48" s="550"/>
      <c r="N48" s="306" t="s">
        <v>7</v>
      </c>
      <c r="O48" s="372"/>
    </row>
    <row r="49" spans="3:15" ht="47.25" customHeight="1" thickBot="1" x14ac:dyDescent="0.25">
      <c r="C49" s="187"/>
      <c r="D49" s="284" t="s">
        <v>79</v>
      </c>
      <c r="E49" s="626" t="str">
        <f>E2</f>
        <v>Candidat(e)
1</v>
      </c>
      <c r="F49" s="627" t="str">
        <f>F2</f>
        <v>Candidat(e)
2</v>
      </c>
      <c r="G49" s="628" t="str">
        <f t="shared" ref="G49:K49" si="4">G2</f>
        <v>Candidat(e)
3</v>
      </c>
      <c r="H49" s="629" t="str">
        <f t="shared" si="4"/>
        <v>Candidat(e)
4</v>
      </c>
      <c r="I49" s="630" t="str">
        <f t="shared" si="4"/>
        <v>Candidat(e)
5</v>
      </c>
      <c r="J49" s="631" t="str">
        <f t="shared" si="4"/>
        <v>Candidat(e)
6</v>
      </c>
      <c r="K49" s="632" t="str">
        <f t="shared" si="4"/>
        <v>Candidat(e)
7</v>
      </c>
      <c r="L49" s="322" t="s">
        <v>3</v>
      </c>
      <c r="M49" s="323" t="s">
        <v>4</v>
      </c>
      <c r="N49" s="308" t="s">
        <v>101</v>
      </c>
      <c r="O49" s="372"/>
    </row>
    <row r="50" spans="3:15" ht="19.5" customHeight="1" x14ac:dyDescent="0.2">
      <c r="C50" s="188"/>
      <c r="D50" s="283" t="s">
        <v>78</v>
      </c>
      <c r="E50" s="246"/>
      <c r="F50" s="246"/>
      <c r="G50" s="246"/>
      <c r="H50" s="246"/>
      <c r="I50" s="246"/>
      <c r="J50" s="246"/>
      <c r="K50" s="247"/>
      <c r="L50" s="249"/>
      <c r="M50" s="248"/>
      <c r="N50" s="307">
        <f t="shared" ref="N50:N59" si="5">SUM(E50:M50)</f>
        <v>0</v>
      </c>
      <c r="O50" s="372"/>
    </row>
    <row r="51" spans="3:15" ht="20.100000000000001" customHeight="1" x14ac:dyDescent="0.2">
      <c r="C51" s="188"/>
      <c r="D51" s="283" t="s">
        <v>78</v>
      </c>
      <c r="E51" s="246"/>
      <c r="F51" s="246"/>
      <c r="G51" s="246"/>
      <c r="H51" s="246"/>
      <c r="I51" s="246"/>
      <c r="J51" s="246"/>
      <c r="K51" s="247"/>
      <c r="L51" s="249"/>
      <c r="M51" s="248"/>
      <c r="N51" s="307">
        <f t="shared" si="5"/>
        <v>0</v>
      </c>
      <c r="O51" s="372"/>
    </row>
    <row r="52" spans="3:15" ht="20.100000000000001" customHeight="1" x14ac:dyDescent="0.2">
      <c r="C52" s="188"/>
      <c r="D52" s="283" t="s">
        <v>78</v>
      </c>
      <c r="E52" s="246"/>
      <c r="F52" s="246"/>
      <c r="G52" s="246"/>
      <c r="H52" s="246"/>
      <c r="I52" s="246"/>
      <c r="J52" s="246"/>
      <c r="K52" s="247"/>
      <c r="L52" s="249"/>
      <c r="M52" s="248"/>
      <c r="N52" s="307">
        <f t="shared" si="5"/>
        <v>0</v>
      </c>
      <c r="O52" s="372"/>
    </row>
    <row r="53" spans="3:15" ht="20.100000000000001" customHeight="1" x14ac:dyDescent="0.2">
      <c r="C53" s="188"/>
      <c r="D53" s="283" t="s">
        <v>78</v>
      </c>
      <c r="E53" s="246"/>
      <c r="F53" s="246"/>
      <c r="G53" s="246"/>
      <c r="H53" s="246"/>
      <c r="I53" s="246"/>
      <c r="J53" s="246"/>
      <c r="K53" s="247"/>
      <c r="L53" s="249"/>
      <c r="M53" s="248"/>
      <c r="N53" s="307">
        <f t="shared" si="5"/>
        <v>0</v>
      </c>
      <c r="O53" s="372"/>
    </row>
    <row r="54" spans="3:15" ht="20.100000000000001" customHeight="1" x14ac:dyDescent="0.2">
      <c r="C54" s="188"/>
      <c r="D54" s="283" t="s">
        <v>78</v>
      </c>
      <c r="E54" s="246"/>
      <c r="F54" s="246"/>
      <c r="G54" s="246"/>
      <c r="H54" s="246"/>
      <c r="I54" s="246"/>
      <c r="J54" s="246"/>
      <c r="K54" s="247"/>
      <c r="L54" s="249"/>
      <c r="M54" s="248"/>
      <c r="N54" s="307">
        <f t="shared" si="5"/>
        <v>0</v>
      </c>
      <c r="O54" s="372"/>
    </row>
    <row r="55" spans="3:15" ht="20.100000000000001" customHeight="1" x14ac:dyDescent="0.2">
      <c r="C55" s="188"/>
      <c r="D55" s="283" t="s">
        <v>78</v>
      </c>
      <c r="E55" s="246"/>
      <c r="F55" s="246"/>
      <c r="G55" s="246"/>
      <c r="H55" s="246"/>
      <c r="I55" s="246"/>
      <c r="J55" s="246"/>
      <c r="K55" s="247"/>
      <c r="L55" s="249"/>
      <c r="M55" s="248"/>
      <c r="N55" s="307">
        <f t="shared" si="5"/>
        <v>0</v>
      </c>
      <c r="O55" s="372"/>
    </row>
    <row r="56" spans="3:15" ht="20.100000000000001" customHeight="1" x14ac:dyDescent="0.2">
      <c r="C56" s="188"/>
      <c r="D56" s="283" t="s">
        <v>78</v>
      </c>
      <c r="E56" s="246"/>
      <c r="F56" s="246"/>
      <c r="G56" s="246"/>
      <c r="H56" s="246"/>
      <c r="I56" s="246"/>
      <c r="J56" s="246"/>
      <c r="K56" s="247"/>
      <c r="L56" s="249"/>
      <c r="M56" s="248"/>
      <c r="N56" s="307">
        <f t="shared" si="5"/>
        <v>0</v>
      </c>
      <c r="O56" s="372"/>
    </row>
    <row r="57" spans="3:15" ht="20.100000000000001" customHeight="1" x14ac:dyDescent="0.2">
      <c r="C57" s="188"/>
      <c r="D57" s="283" t="s">
        <v>78</v>
      </c>
      <c r="E57" s="246"/>
      <c r="F57" s="246"/>
      <c r="G57" s="246"/>
      <c r="H57" s="246"/>
      <c r="I57" s="246"/>
      <c r="J57" s="246"/>
      <c r="K57" s="247"/>
      <c r="L57" s="249"/>
      <c r="M57" s="248"/>
      <c r="N57" s="307">
        <f t="shared" si="5"/>
        <v>0</v>
      </c>
      <c r="O57" s="372"/>
    </row>
    <row r="58" spans="3:15" ht="20.100000000000001" customHeight="1" x14ac:dyDescent="0.2">
      <c r="C58" s="188"/>
      <c r="D58" s="283" t="s">
        <v>78</v>
      </c>
      <c r="E58" s="246"/>
      <c r="F58" s="246"/>
      <c r="G58" s="246"/>
      <c r="H58" s="246"/>
      <c r="I58" s="246"/>
      <c r="J58" s="246"/>
      <c r="K58" s="247"/>
      <c r="L58" s="249"/>
      <c r="M58" s="248"/>
      <c r="N58" s="307">
        <f t="shared" si="5"/>
        <v>0</v>
      </c>
      <c r="O58" s="372"/>
    </row>
    <row r="59" spans="3:15" ht="20.100000000000001" customHeight="1" thickBot="1" x14ac:dyDescent="0.25">
      <c r="C59" s="188"/>
      <c r="D59" s="287" t="s">
        <v>78</v>
      </c>
      <c r="E59" s="288"/>
      <c r="F59" s="288"/>
      <c r="G59" s="288"/>
      <c r="H59" s="288"/>
      <c r="I59" s="288"/>
      <c r="J59" s="288"/>
      <c r="K59" s="289"/>
      <c r="L59" s="291"/>
      <c r="M59" s="290"/>
      <c r="N59" s="307">
        <f t="shared" si="5"/>
        <v>0</v>
      </c>
      <c r="O59" s="372"/>
    </row>
    <row r="60" spans="3:15" x14ac:dyDescent="0.2">
      <c r="N60" s="254"/>
      <c r="O60" s="372"/>
    </row>
    <row r="61" spans="3:15" x14ac:dyDescent="0.2">
      <c r="O61" s="372"/>
    </row>
    <row r="62" spans="3:15" x14ac:dyDescent="0.2">
      <c r="O62" s="372"/>
    </row>
    <row r="63" spans="3:15" ht="18" x14ac:dyDescent="0.25">
      <c r="E63" s="185"/>
      <c r="F63" s="185"/>
      <c r="G63" s="185"/>
      <c r="H63" s="185"/>
      <c r="I63" s="185"/>
      <c r="J63" s="185"/>
      <c r="O63" s="372"/>
    </row>
    <row r="64" spans="3:15" x14ac:dyDescent="0.2">
      <c r="O64" s="372"/>
    </row>
    <row r="65" spans="4:15" ht="13.5" thickBot="1" x14ac:dyDescent="0.25">
      <c r="O65" s="372"/>
    </row>
    <row r="66" spans="4:15" ht="16.5" customHeight="1" thickBot="1" x14ac:dyDescent="0.25">
      <c r="D66" s="189" t="s">
        <v>77</v>
      </c>
      <c r="E66" s="548" t="s">
        <v>118</v>
      </c>
      <c r="F66" s="549"/>
      <c r="G66" s="549"/>
      <c r="H66" s="549"/>
      <c r="I66" s="549"/>
      <c r="J66" s="549"/>
      <c r="K66" s="549"/>
      <c r="L66" s="549"/>
      <c r="M66" s="550"/>
      <c r="N66" s="306" t="s">
        <v>7</v>
      </c>
      <c r="O66" s="372"/>
    </row>
    <row r="67" spans="4:15" ht="42" customHeight="1" thickBot="1" x14ac:dyDescent="0.25">
      <c r="D67" s="284" t="s">
        <v>79</v>
      </c>
      <c r="E67" s="626" t="str">
        <f>E2</f>
        <v>Candidat(e)
1</v>
      </c>
      <c r="F67" s="627" t="str">
        <f>F2</f>
        <v>Candidat(e)
2</v>
      </c>
      <c r="G67" s="628" t="str">
        <f t="shared" ref="G67:K67" si="6">G2</f>
        <v>Candidat(e)
3</v>
      </c>
      <c r="H67" s="629" t="str">
        <f t="shared" si="6"/>
        <v>Candidat(e)
4</v>
      </c>
      <c r="I67" s="630" t="str">
        <f t="shared" si="6"/>
        <v>Candidat(e)
5</v>
      </c>
      <c r="J67" s="631" t="str">
        <f t="shared" si="6"/>
        <v>Candidat(e)
6</v>
      </c>
      <c r="K67" s="632" t="str">
        <f t="shared" si="6"/>
        <v>Candidat(e)
7</v>
      </c>
      <c r="L67" s="322" t="s">
        <v>3</v>
      </c>
      <c r="M67" s="323" t="s">
        <v>4</v>
      </c>
      <c r="N67" s="313" t="s">
        <v>101</v>
      </c>
      <c r="O67" s="372"/>
    </row>
    <row r="68" spans="4:15" ht="20.100000000000001" customHeight="1" x14ac:dyDescent="0.2">
      <c r="D68" s="198" t="s">
        <v>78</v>
      </c>
      <c r="E68" s="191"/>
      <c r="F68" s="191"/>
      <c r="G68" s="191"/>
      <c r="H68" s="191"/>
      <c r="I68" s="191"/>
      <c r="J68" s="191"/>
      <c r="K68" s="192"/>
      <c r="L68" s="194"/>
      <c r="M68" s="193"/>
      <c r="N68" s="310">
        <f>SUM(E68:M68)</f>
        <v>0</v>
      </c>
      <c r="O68" s="372"/>
    </row>
    <row r="69" spans="4:15" ht="20.100000000000001" customHeight="1" x14ac:dyDescent="0.2">
      <c r="D69" s="196" t="s">
        <v>78</v>
      </c>
      <c r="E69" s="136"/>
      <c r="F69" s="136"/>
      <c r="G69" s="136"/>
      <c r="H69" s="136"/>
      <c r="I69" s="136"/>
      <c r="J69" s="136"/>
      <c r="K69" s="137"/>
      <c r="L69" s="139"/>
      <c r="M69" s="138"/>
      <c r="N69" s="244">
        <f>SUM(E69:M69)</f>
        <v>0</v>
      </c>
      <c r="O69" s="372"/>
    </row>
    <row r="70" spans="4:15" ht="20.100000000000001" customHeight="1" x14ac:dyDescent="0.2">
      <c r="D70" s="196" t="s">
        <v>78</v>
      </c>
      <c r="E70" s="136"/>
      <c r="F70" s="136"/>
      <c r="G70" s="136"/>
      <c r="H70" s="136"/>
      <c r="I70" s="136"/>
      <c r="J70" s="136"/>
      <c r="K70" s="137"/>
      <c r="L70" s="139"/>
      <c r="M70" s="138"/>
      <c r="N70" s="244">
        <f>SUM(E70:M70)</f>
        <v>0</v>
      </c>
      <c r="O70" s="372"/>
    </row>
    <row r="71" spans="4:15" ht="20.100000000000001" customHeight="1" x14ac:dyDescent="0.2">
      <c r="D71" s="196" t="s">
        <v>78</v>
      </c>
      <c r="E71" s="136"/>
      <c r="F71" s="136"/>
      <c r="G71" s="136"/>
      <c r="H71" s="136"/>
      <c r="I71" s="136"/>
      <c r="J71" s="136"/>
      <c r="K71" s="137"/>
      <c r="L71" s="139"/>
      <c r="M71" s="138"/>
      <c r="N71" s="244">
        <f>SUM(E71:M71)</f>
        <v>0</v>
      </c>
      <c r="O71" s="372"/>
    </row>
    <row r="72" spans="4:15" ht="20.100000000000001" customHeight="1" thickBot="1" x14ac:dyDescent="0.25">
      <c r="D72" s="197" t="s">
        <v>78</v>
      </c>
      <c r="E72" s="140"/>
      <c r="F72" s="140"/>
      <c r="G72" s="140"/>
      <c r="H72" s="140"/>
      <c r="I72" s="140"/>
      <c r="J72" s="140"/>
      <c r="K72" s="141"/>
      <c r="L72" s="143"/>
      <c r="M72" s="142"/>
      <c r="N72" s="311">
        <f>SUM(E72:M72)</f>
        <v>0</v>
      </c>
      <c r="O72" s="372"/>
    </row>
    <row r="73" spans="4:15" ht="20.100000000000001" customHeight="1" x14ac:dyDescent="0.2">
      <c r="D73" s="190"/>
      <c r="E73" s="188"/>
      <c r="F73" s="188"/>
      <c r="G73" s="188"/>
      <c r="H73" s="188"/>
      <c r="I73" s="188"/>
      <c r="J73" s="188"/>
      <c r="K73" s="188"/>
      <c r="L73" s="188"/>
      <c r="M73" s="188"/>
      <c r="O73" s="372"/>
    </row>
    <row r="74" spans="4:15" ht="20.100000000000001" customHeight="1" x14ac:dyDescent="0.2">
      <c r="D74" s="190"/>
      <c r="E74" s="188"/>
      <c r="F74" s="188"/>
      <c r="G74" s="188"/>
      <c r="H74" s="188"/>
      <c r="I74" s="188"/>
      <c r="J74" s="188"/>
      <c r="K74" s="188"/>
      <c r="L74" s="188"/>
      <c r="M74" s="188"/>
      <c r="O74" s="372"/>
    </row>
    <row r="75" spans="4:15" ht="20.100000000000001" customHeight="1" thickBot="1" x14ac:dyDescent="0.25">
      <c r="D75" s="190"/>
      <c r="E75" s="188"/>
      <c r="F75" s="188"/>
      <c r="G75" s="188"/>
      <c r="H75" s="188"/>
      <c r="I75" s="188"/>
      <c r="J75" s="188"/>
      <c r="K75" s="188"/>
      <c r="L75" s="188"/>
      <c r="M75" s="188"/>
      <c r="O75" s="372"/>
    </row>
    <row r="76" spans="4:15" ht="20.100000000000001" customHeight="1" thickBot="1" x14ac:dyDescent="0.25">
      <c r="D76" s="189" t="s">
        <v>81</v>
      </c>
      <c r="E76" s="548" t="s">
        <v>119</v>
      </c>
      <c r="F76" s="549"/>
      <c r="G76" s="549"/>
      <c r="H76" s="549"/>
      <c r="I76" s="549"/>
      <c r="J76" s="549"/>
      <c r="K76" s="549"/>
      <c r="L76" s="549"/>
      <c r="M76" s="550"/>
      <c r="N76" s="312" t="s">
        <v>7</v>
      </c>
      <c r="O76" s="372"/>
    </row>
    <row r="77" spans="4:15" ht="39.75" customHeight="1" thickBot="1" x14ac:dyDescent="0.25">
      <c r="D77" s="284" t="s">
        <v>79</v>
      </c>
      <c r="E77" s="626" t="str">
        <f>E2</f>
        <v>Candidat(e)
1</v>
      </c>
      <c r="F77" s="627" t="str">
        <f>F2</f>
        <v>Candidat(e)
2</v>
      </c>
      <c r="G77" s="628" t="str">
        <f t="shared" ref="G77:K77" si="7">G2</f>
        <v>Candidat(e)
3</v>
      </c>
      <c r="H77" s="629" t="str">
        <f t="shared" si="7"/>
        <v>Candidat(e)
4</v>
      </c>
      <c r="I77" s="630" t="str">
        <f t="shared" si="7"/>
        <v>Candidat(e)
5</v>
      </c>
      <c r="J77" s="631" t="str">
        <f t="shared" si="7"/>
        <v>Candidat(e)
6</v>
      </c>
      <c r="K77" s="632" t="str">
        <f t="shared" si="7"/>
        <v>Candidat(e)
7</v>
      </c>
      <c r="L77" s="322" t="s">
        <v>3</v>
      </c>
      <c r="M77" s="323" t="s">
        <v>4</v>
      </c>
      <c r="N77" s="309" t="s">
        <v>101</v>
      </c>
      <c r="O77" s="372"/>
    </row>
    <row r="78" spans="4:15" ht="20.100000000000001" customHeight="1" x14ac:dyDescent="0.2">
      <c r="D78" s="198" t="s">
        <v>78</v>
      </c>
      <c r="E78" s="191"/>
      <c r="F78" s="191"/>
      <c r="G78" s="191"/>
      <c r="H78" s="191"/>
      <c r="I78" s="191"/>
      <c r="J78" s="191"/>
      <c r="K78" s="192"/>
      <c r="L78" s="194"/>
      <c r="M78" s="193"/>
      <c r="N78" s="310">
        <f>SUM(E78:M78)</f>
        <v>0</v>
      </c>
      <c r="O78" s="372"/>
    </row>
    <row r="79" spans="4:15" ht="20.100000000000001" customHeight="1" x14ac:dyDescent="0.2">
      <c r="D79" s="196" t="s">
        <v>78</v>
      </c>
      <c r="E79" s="136"/>
      <c r="F79" s="136"/>
      <c r="G79" s="136"/>
      <c r="H79" s="136"/>
      <c r="I79" s="136"/>
      <c r="J79" s="136"/>
      <c r="K79" s="137"/>
      <c r="L79" s="139"/>
      <c r="M79" s="138"/>
      <c r="N79" s="244">
        <f>SUM(E79:M79)</f>
        <v>0</v>
      </c>
      <c r="O79" s="372"/>
    </row>
    <row r="80" spans="4:15" ht="20.100000000000001" customHeight="1" thickBot="1" x14ac:dyDescent="0.25">
      <c r="D80" s="197" t="s">
        <v>78</v>
      </c>
      <c r="E80" s="140"/>
      <c r="F80" s="140"/>
      <c r="G80" s="140"/>
      <c r="H80" s="140"/>
      <c r="I80" s="140"/>
      <c r="J80" s="140"/>
      <c r="K80" s="141"/>
      <c r="L80" s="143"/>
      <c r="M80" s="142"/>
      <c r="N80" s="311">
        <f>SUM(E80:M80)</f>
        <v>0</v>
      </c>
      <c r="O80" s="372"/>
    </row>
    <row r="81" spans="4:15" ht="20.100000000000001" customHeight="1" x14ac:dyDescent="0.2">
      <c r="D81" s="190"/>
      <c r="E81" s="188"/>
      <c r="F81" s="188"/>
      <c r="G81" s="188"/>
      <c r="H81" s="188"/>
      <c r="I81" s="188"/>
      <c r="J81" s="188"/>
      <c r="K81" s="188"/>
      <c r="L81" s="188"/>
      <c r="M81" s="188"/>
      <c r="N81" s="195"/>
      <c r="O81" s="372"/>
    </row>
    <row r="82" spans="4:15" ht="20.100000000000001" customHeight="1" x14ac:dyDescent="0.2">
      <c r="D82" s="190"/>
      <c r="E82" s="188"/>
      <c r="F82" s="188"/>
      <c r="G82" s="188"/>
      <c r="H82" s="188"/>
      <c r="I82" s="188"/>
      <c r="J82" s="188"/>
      <c r="K82" s="188"/>
      <c r="L82" s="188"/>
      <c r="M82" s="188"/>
      <c r="N82" s="195"/>
      <c r="O82" s="372"/>
    </row>
  </sheetData>
  <sheetProtection algorithmName="SHA-512" hashValue="Db/49/qxyPt25cgctHLvQlTLyFCXCoQeW10Jn9fRkgVbSc7R1NjS9gcklnz7K48HXnR8HDDZHv1zNNp2EOM6Zg==" saltValue="XdnxcLQHQx1BluHTrd77CA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289" priority="1" operator="equal">
      <formula>0</formula>
    </cfRule>
    <cfRule type="cellIs" dxfId="288" priority="6" operator="notEqual">
      <formula>$B$7</formula>
    </cfRule>
  </conditionalFormatting>
  <conditionalFormatting sqref="E3:N12">
    <cfRule type="cellIs" dxfId="287" priority="5" operator="notBetween">
      <formula>0</formula>
      <formula>100</formula>
    </cfRule>
  </conditionalFormatting>
  <conditionalFormatting sqref="E3:N14">
    <cfRule type="cellIs" dxfId="286" priority="8" operator="lessThan">
      <formula>0</formula>
    </cfRule>
  </conditionalFormatting>
  <conditionalFormatting sqref="E14:N14">
    <cfRule type="cellIs" dxfId="285" priority="11" operator="greaterThan">
      <formula>1</formula>
    </cfRule>
  </conditionalFormatting>
  <conditionalFormatting sqref="N3:N13">
    <cfRule type="cellIs" dxfId="284" priority="9" operator="equal">
      <formula>0</formula>
    </cfRule>
  </conditionalFormatting>
  <conditionalFormatting sqref="N13">
    <cfRule type="cellIs" dxfId="283" priority="13" operator="equal">
      <formula>$B$7</formula>
    </cfRule>
  </conditionalFormatting>
  <conditionalFormatting sqref="N14">
    <cfRule type="cellIs" dxfId="282" priority="10" operator="equal">
      <formula>1</formula>
    </cfRule>
    <cfRule type="cellIs" dxfId="281" priority="12" operator="lessThan">
      <formula>1</formula>
    </cfRule>
  </conditionalFormatting>
  <conditionalFormatting sqref="R4:R15">
    <cfRule type="cellIs" dxfId="280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279" priority="3">
      <formula>AND(E50&lt;MAX(E$50:E50), NOT(ISBLANK(E50)), NOT(E50=0))</formula>
    </cfRule>
  </conditionalFormatting>
  <conditionalFormatting sqref="E68:M72">
    <cfRule type="expression" dxfId="278" priority="2">
      <formula>AND(E68&lt;MAX(E$68:E68), NOT(ISBLANK(E68)), NOT(E68=0))</formula>
    </cfRule>
  </conditionalFormatting>
  <conditionalFormatting sqref="E78:M80">
    <cfRule type="expression" dxfId="277" priority="14">
      <formula>AND(E78&lt;MAX(E$78:E78), NOT(ISBLANK(E78)), NOT(E78=0))</formula>
    </cfRule>
  </conditionalFormatting>
  <conditionalFormatting sqref="N3:N12">
    <cfRule type="expression" dxfId="276" priority="15">
      <formula>AND($D3=$E$24, N3=$D$25)</formula>
    </cfRule>
    <cfRule type="expression" dxfId="275" priority="16">
      <formula>AND($D3=$E$24, MOD(N3,100)&gt;$D$25)</formula>
    </cfRule>
    <cfRule type="cellIs" dxfId="274" priority="17" operator="equal">
      <formula>100</formula>
    </cfRule>
  </conditionalFormatting>
  <conditionalFormatting sqref="E3:M12">
    <cfRule type="expression" dxfId="273" priority="18">
      <formula>($D3&lt;=$E$24)</formula>
    </cfRule>
  </conditionalFormatting>
  <conditionalFormatting sqref="D3:M12">
    <cfRule type="expression" dxfId="272" priority="19">
      <formula>($D3&gt;$E$24)</formula>
    </cfRule>
  </conditionalFormatting>
  <conditionalFormatting sqref="E50:M59 E68:M72 E78:M80">
    <cfRule type="cellIs" dxfId="271" priority="20" operator="notBetween">
      <formula>0</formula>
      <formula>$B$7</formula>
    </cfRule>
    <cfRule type="expression" dxfId="270" priority="21">
      <formula>($D50&lt;=$E$24)</formula>
    </cfRule>
    <cfRule type="expression" dxfId="269" priority="22">
      <formula>($D50&gt;$E$24)</formula>
    </cfRule>
  </conditionalFormatting>
  <conditionalFormatting sqref="N50 N68:N72 N78:N80 N52:N59">
    <cfRule type="cellIs" dxfId="268" priority="23" operator="lessThan">
      <formula>0</formula>
    </cfRule>
    <cfRule type="cellIs" dxfId="267" priority="24" operator="equal">
      <formula>0</formula>
    </cfRule>
    <cfRule type="expression" dxfId="266" priority="25">
      <formula>OR(MOD($N50,100)=0,AND($D50=$E$24,MOD($N50,100)=$D$25))</formula>
    </cfRule>
  </conditionalFormatting>
  <conditionalFormatting sqref="N51">
    <cfRule type="cellIs" dxfId="265" priority="26" operator="notBetween">
      <formula>0</formula>
      <formula>$B$7</formula>
    </cfRule>
    <cfRule type="cellIs" dxfId="264" priority="27" operator="equal">
      <formula>0</formula>
    </cfRule>
    <cfRule type="expression" dxfId="263" priority="28">
      <formula>OR(MOD($N51,100)=0,AND($D51=$E$24,MOD($N51,100)=$D$25))</formula>
    </cfRule>
  </conditionalFormatting>
  <conditionalFormatting sqref="Q4:Q15">
    <cfRule type="expression" dxfId="262" priority="29">
      <formula>AND($Q4&lt;$Q3, NOT(ISBLANK($Q4)))</formula>
    </cfRule>
    <cfRule type="cellIs" dxfId="261" priority="30" operator="greaterThan">
      <formula>$B$6</formula>
    </cfRule>
  </conditionalFormatting>
  <dataValidations count="2">
    <dataValidation type="list" allowBlank="1" showInputMessage="1" showErrorMessage="1" sqref="C50:C59" xr:uid="{27A6D772-9D5F-468F-99DC-BF719EF8CB29}">
      <formula1>$D$19:$D$21</formula1>
    </dataValidation>
    <dataValidation type="list" allowBlank="1" showInputMessage="1" showErrorMessage="1" sqref="D68:D72 D78:D82 D50:D59" xr:uid="{504A9B74-4C74-42E8-809E-810D590143EE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FF69F-8438-4B26-A43D-E036C02F5BA4}">
  <sheetPr codeName="Feuil46">
    <tabColor rgb="FFB4A7D6"/>
  </sheetPr>
  <dimension ref="A1:V82"/>
  <sheetViews>
    <sheetView zoomScale="80" zoomScaleNormal="80" workbookViewId="0">
      <selection activeCell="Q4" sqref="Q4"/>
    </sheetView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24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357" t="s">
        <v>11</v>
      </c>
      <c r="B1" s="363">
        <f>Synthèse!$B$17</f>
        <v>46103</v>
      </c>
      <c r="D1" s="243"/>
      <c r="E1" s="551" t="s">
        <v>120</v>
      </c>
      <c r="F1" s="552"/>
      <c r="G1" s="552"/>
      <c r="H1" s="552"/>
      <c r="I1" s="552"/>
      <c r="J1" s="552"/>
      <c r="K1" s="552"/>
      <c r="L1" s="552"/>
      <c r="M1" s="553"/>
      <c r="N1" s="316" t="s">
        <v>7</v>
      </c>
      <c r="O1" s="372"/>
    </row>
    <row r="2" spans="1:22" ht="45" customHeight="1" thickBot="1" x14ac:dyDescent="0.25">
      <c r="A2" s="358" t="s">
        <v>12</v>
      </c>
      <c r="B2" s="364" t="str">
        <f>Synthèse!$B$18</f>
        <v>Municipales 2ème tour</v>
      </c>
      <c r="D2" s="280" t="s">
        <v>80</v>
      </c>
      <c r="E2" s="619" t="str">
        <f>Synthèse!L2</f>
        <v>Candidat(e)
1</v>
      </c>
      <c r="F2" s="620" t="str">
        <f>Synthèse!M2</f>
        <v>Candidat(e)
2</v>
      </c>
      <c r="G2" s="621" t="str">
        <f>Synthèse!N2</f>
        <v>Candidat(e)
3</v>
      </c>
      <c r="H2" s="622" t="str">
        <f>Synthèse!O2</f>
        <v>Candidat(e)
4</v>
      </c>
      <c r="I2" s="623" t="str">
        <f>Synthèse!P2</f>
        <v>Candidat(e)
5</v>
      </c>
      <c r="J2" s="624" t="str">
        <f>Synthèse!Q2</f>
        <v>Candidat(e)
6</v>
      </c>
      <c r="K2" s="625" t="str">
        <f>Synthèse!R2</f>
        <v>Candidat(e)
7</v>
      </c>
      <c r="L2" s="320" t="s">
        <v>3</v>
      </c>
      <c r="M2" s="321" t="s">
        <v>4</v>
      </c>
      <c r="N2" s="317" t="s">
        <v>102</v>
      </c>
      <c r="O2" s="372"/>
      <c r="P2" s="367" t="s">
        <v>21</v>
      </c>
      <c r="Q2" s="293" t="s">
        <v>56</v>
      </c>
      <c r="R2" s="294" t="s">
        <v>30</v>
      </c>
      <c r="T2" s="295" t="s">
        <v>58</v>
      </c>
      <c r="U2" s="295" t="s">
        <v>57</v>
      </c>
    </row>
    <row r="3" spans="1:22" ht="20.100000000000001" customHeight="1" thickBot="1" x14ac:dyDescent="0.25">
      <c r="A3" s="359" t="s">
        <v>13</v>
      </c>
      <c r="B3" s="365" t="str">
        <f>Synthèse!$B$19</f>
        <v>Cogolin</v>
      </c>
      <c r="D3" s="277" t="str" cm="1">
        <f t="array" ref="D3">IF(ROW(1:1)&lt;=$E$24, (ROW(1:1)), "")</f>
        <v/>
      </c>
      <c r="E3" s="113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3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13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13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13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13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13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28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2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44">
        <f t="shared" ref="N3:N13" si="0">SUM(E3:M3)</f>
        <v>0</v>
      </c>
      <c r="O3" s="372"/>
      <c r="P3" s="368" t="s">
        <v>31</v>
      </c>
      <c r="Q3" s="269">
        <v>0</v>
      </c>
      <c r="R3" s="270">
        <f>Q3/$B$6</f>
        <v>0</v>
      </c>
      <c r="T3" s="256"/>
      <c r="U3" s="256"/>
    </row>
    <row r="4" spans="1:22" ht="20.100000000000001" customHeight="1" x14ac:dyDescent="0.2">
      <c r="A4" s="65" t="s">
        <v>22</v>
      </c>
      <c r="B4" s="375">
        <v>4</v>
      </c>
      <c r="D4" s="278" t="str" cm="1">
        <f t="array" ref="D4">IF(ROW(2:2)&lt;=$E$24, (ROW(2:2)), "")</f>
        <v/>
      </c>
      <c r="E4" s="114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4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4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14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14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14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15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1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4">
        <f t="shared" si="0"/>
        <v>0</v>
      </c>
      <c r="O4" s="372"/>
      <c r="P4" s="369" t="s">
        <v>32</v>
      </c>
      <c r="Q4" s="324"/>
      <c r="R4" s="273" t="e">
        <f t="shared" ref="R4:R13" si="1">IF(OR(Q4=0, Q4=""), NA(), Q4/$B$6)</f>
        <v>#N/A</v>
      </c>
      <c r="T4" s="251" t="s">
        <v>44</v>
      </c>
      <c r="U4" s="296" t="e">
        <f t="shared" ref="U4:U13" si="2">IF(Q4&lt;&gt;0,Q4-Q3,NA())</f>
        <v>#N/A</v>
      </c>
    </row>
    <row r="5" spans="1:22" ht="20.100000000000001" customHeight="1" x14ac:dyDescent="0.2">
      <c r="A5" s="66" t="s">
        <v>23</v>
      </c>
      <c r="B5" s="376" t="str">
        <f>INDEX(Synthèse!B:B,B4+2)</f>
        <v>Gymnase B</v>
      </c>
      <c r="D5" s="278" t="str" cm="1">
        <f t="array" ref="D5">IF(ROW(3:3)&lt;=$E$24, (ROW(3:3)), "")</f>
        <v/>
      </c>
      <c r="E5" s="114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4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14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14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14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14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14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3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31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4">
        <f t="shared" si="0"/>
        <v>0</v>
      </c>
      <c r="O5" s="373"/>
      <c r="P5" s="369" t="s">
        <v>33</v>
      </c>
      <c r="Q5" s="324"/>
      <c r="R5" s="273" t="e">
        <f t="shared" si="1"/>
        <v>#N/A</v>
      </c>
      <c r="T5" s="252" t="s">
        <v>45</v>
      </c>
      <c r="U5" s="297" t="e">
        <f t="shared" si="2"/>
        <v>#N/A</v>
      </c>
    </row>
    <row r="6" spans="1:22" ht="20.100000000000001" customHeight="1" x14ac:dyDescent="0.2">
      <c r="A6" s="66" t="s">
        <v>0</v>
      </c>
      <c r="B6" s="144">
        <f>INDEX(Synthèse!C:C,B4+2)</f>
        <v>679</v>
      </c>
      <c r="D6" s="278" t="str" cm="1">
        <f t="array" ref="D6">IF(ROW(4:4)&lt;=$E$24, (ROW(4:4)), "")</f>
        <v/>
      </c>
      <c r="E6" s="114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4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14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14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14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14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14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3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31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4">
        <f t="shared" si="0"/>
        <v>0</v>
      </c>
      <c r="O6" s="373"/>
      <c r="P6" s="369" t="s">
        <v>34</v>
      </c>
      <c r="Q6" s="324"/>
      <c r="R6" s="273" t="e">
        <f t="shared" si="1"/>
        <v>#N/A</v>
      </c>
      <c r="T6" s="252" t="s">
        <v>46</v>
      </c>
      <c r="U6" s="297" t="e">
        <f t="shared" si="2"/>
        <v>#N/A</v>
      </c>
    </row>
    <row r="7" spans="1:22" ht="20.100000000000001" customHeight="1" x14ac:dyDescent="0.2">
      <c r="A7" s="66" t="s">
        <v>2</v>
      </c>
      <c r="B7" s="123">
        <f>MAX(Q4:Q15)</f>
        <v>0</v>
      </c>
      <c r="D7" s="278" t="str" cm="1">
        <f t="array" ref="D7">IF(ROW(5:5)&lt;=$E$24, (ROW(5:5)), "")</f>
        <v/>
      </c>
      <c r="E7" s="114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4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4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14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14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14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15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1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4">
        <f t="shared" si="0"/>
        <v>0</v>
      </c>
      <c r="O7" s="373"/>
      <c r="P7" s="369" t="s">
        <v>35</v>
      </c>
      <c r="Q7" s="324"/>
      <c r="R7" s="273" t="e">
        <f t="shared" si="1"/>
        <v>#N/A</v>
      </c>
      <c r="T7" s="252" t="s">
        <v>53</v>
      </c>
      <c r="U7" s="297" t="e">
        <f t="shared" si="2"/>
        <v>#N/A</v>
      </c>
    </row>
    <row r="8" spans="1:22" ht="20.100000000000001" customHeight="1" x14ac:dyDescent="0.2">
      <c r="A8" s="66" t="s">
        <v>1</v>
      </c>
      <c r="B8" s="124"/>
      <c r="D8" s="278" t="str" cm="1">
        <f t="array" ref="D8">IF(ROW(6:6)&lt;=$E$24, (ROW(6:6)), "")</f>
        <v/>
      </c>
      <c r="E8" s="114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4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4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14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14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14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15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1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4">
        <f t="shared" si="0"/>
        <v>0</v>
      </c>
      <c r="O8" s="373"/>
      <c r="P8" s="369" t="s">
        <v>36</v>
      </c>
      <c r="Q8" s="324"/>
      <c r="R8" s="273" t="e">
        <f t="shared" si="1"/>
        <v>#N/A</v>
      </c>
      <c r="T8" s="252" t="s">
        <v>47</v>
      </c>
      <c r="U8" s="297" t="e">
        <f t="shared" si="2"/>
        <v>#N/A</v>
      </c>
    </row>
    <row r="9" spans="1:22" ht="20.100000000000001" customHeight="1" thickBot="1" x14ac:dyDescent="0.25">
      <c r="A9" s="67" t="s">
        <v>17</v>
      </c>
      <c r="B9" s="125">
        <f>B6-B7</f>
        <v>679</v>
      </c>
      <c r="D9" s="278" t="str" cm="1">
        <f t="array" ref="D9">IF(ROW(7:7)&lt;=$E$24, (ROW(7:7)), "")</f>
        <v/>
      </c>
      <c r="E9" s="114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4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4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14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14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14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17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18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4">
        <f t="shared" si="0"/>
        <v>0</v>
      </c>
      <c r="O9" s="373"/>
      <c r="P9" s="369" t="s">
        <v>37</v>
      </c>
      <c r="Q9" s="324"/>
      <c r="R9" s="273" t="e">
        <f t="shared" si="1"/>
        <v>#N/A</v>
      </c>
      <c r="T9" s="252" t="s">
        <v>48</v>
      </c>
      <c r="U9" s="297" t="e">
        <f t="shared" si="2"/>
        <v>#N/A</v>
      </c>
    </row>
    <row r="10" spans="1:22" ht="20.100000000000001" customHeight="1" x14ac:dyDescent="0.2">
      <c r="A10" s="554" t="s">
        <v>59</v>
      </c>
      <c r="B10" s="554"/>
      <c r="D10" s="278" t="str" cm="1">
        <f t="array" ref="D10">IF(ROW(8:8)&lt;=$E$24, (ROW(8:8)), "")</f>
        <v/>
      </c>
      <c r="E10" s="114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4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4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14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14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14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17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18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4">
        <f t="shared" si="0"/>
        <v>0</v>
      </c>
      <c r="O10" s="373"/>
      <c r="P10" s="369" t="s">
        <v>38</v>
      </c>
      <c r="Q10" s="324"/>
      <c r="R10" s="273" t="e">
        <f t="shared" si="1"/>
        <v>#N/A</v>
      </c>
      <c r="T10" s="252" t="s">
        <v>49</v>
      </c>
      <c r="U10" s="297" t="e">
        <f t="shared" si="2"/>
        <v>#N/A</v>
      </c>
    </row>
    <row r="11" spans="1:22" ht="20.100000000000001" customHeight="1" x14ac:dyDescent="0.2">
      <c r="A11" s="555"/>
      <c r="B11" s="555"/>
      <c r="D11" s="278" t="str" cm="1">
        <f t="array" ref="D11">IF(ROW(9:9)&lt;=$E$24, (ROW(9:9)), "")</f>
        <v/>
      </c>
      <c r="E11" s="114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4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4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14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14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14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17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18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4">
        <f t="shared" si="0"/>
        <v>0</v>
      </c>
      <c r="O11" s="373"/>
      <c r="P11" s="369" t="s">
        <v>39</v>
      </c>
      <c r="Q11" s="324"/>
      <c r="R11" s="273" t="e">
        <f t="shared" si="1"/>
        <v>#N/A</v>
      </c>
      <c r="T11" s="252" t="s">
        <v>50</v>
      </c>
      <c r="U11" s="297" t="e">
        <f t="shared" si="2"/>
        <v>#N/A</v>
      </c>
    </row>
    <row r="12" spans="1:22" ht="20.100000000000001" customHeight="1" thickBot="1" x14ac:dyDescent="0.25">
      <c r="A12" s="556" t="s">
        <v>60</v>
      </c>
      <c r="B12" s="556"/>
      <c r="D12" s="279" t="str" cm="1">
        <f t="array" ref="D12">IF(ROW(10:10)&lt;=$E$24, (ROW(10:10)), "")</f>
        <v/>
      </c>
      <c r="E12" s="114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4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14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14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14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14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14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32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33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4">
        <f t="shared" si="0"/>
        <v>0</v>
      </c>
      <c r="O12" s="373"/>
      <c r="P12" s="369" t="s">
        <v>40</v>
      </c>
      <c r="Q12" s="324"/>
      <c r="R12" s="273" t="e">
        <f t="shared" si="1"/>
        <v>#N/A</v>
      </c>
      <c r="T12" s="252" t="s">
        <v>51</v>
      </c>
      <c r="U12" s="297" t="e">
        <f t="shared" si="2"/>
        <v>#N/A</v>
      </c>
    </row>
    <row r="13" spans="1:22" ht="20.100000000000001" customHeight="1" thickBot="1" x14ac:dyDescent="0.3">
      <c r="A13" s="556"/>
      <c r="B13" s="556"/>
      <c r="D13" s="35" t="s">
        <v>9</v>
      </c>
      <c r="E13" s="119">
        <f>SUM(E3:E12)</f>
        <v>0</v>
      </c>
      <c r="F13" s="497">
        <f>SUM(F3:F12)</f>
        <v>0</v>
      </c>
      <c r="G13" s="497">
        <f>SUM(G3:G12)</f>
        <v>0</v>
      </c>
      <c r="H13" s="497">
        <f>SUM(H3:H12)</f>
        <v>0</v>
      </c>
      <c r="I13" s="497">
        <f>SUM(I3:I12)</f>
        <v>0</v>
      </c>
      <c r="J13" s="497">
        <f>SUM(J3:J12)</f>
        <v>0</v>
      </c>
      <c r="K13" s="120">
        <f>SUM(K3:K12)</f>
        <v>0</v>
      </c>
      <c r="L13" s="121">
        <f>SUM(L3:L12)</f>
        <v>0</v>
      </c>
      <c r="M13" s="122">
        <f>SUM(M3:M12)</f>
        <v>0</v>
      </c>
      <c r="N13" s="355">
        <f t="shared" si="0"/>
        <v>0</v>
      </c>
      <c r="O13" s="373"/>
      <c r="P13" s="369" t="s">
        <v>41</v>
      </c>
      <c r="Q13" s="324"/>
      <c r="R13" s="273" t="e">
        <f t="shared" si="1"/>
        <v>#N/A</v>
      </c>
      <c r="T13" s="253" t="s">
        <v>52</v>
      </c>
      <c r="U13" s="298" t="e">
        <f t="shared" si="2"/>
        <v>#N/A</v>
      </c>
    </row>
    <row r="14" spans="1:22" ht="20.100000000000001" customHeight="1" thickBot="1" x14ac:dyDescent="0.3">
      <c r="A14" s="556"/>
      <c r="B14" s="556"/>
      <c r="D14" s="60" t="s">
        <v>10</v>
      </c>
      <c r="E14" s="32">
        <f t="shared" ref="E14:N14" si="3">IFERROR(E13/$B$7,0)</f>
        <v>0</v>
      </c>
      <c r="F14" s="498">
        <f t="shared" si="3"/>
        <v>0</v>
      </c>
      <c r="G14" s="498">
        <f t="shared" si="3"/>
        <v>0</v>
      </c>
      <c r="H14" s="498">
        <f t="shared" si="3"/>
        <v>0</v>
      </c>
      <c r="I14" s="498">
        <f t="shared" si="3"/>
        <v>0</v>
      </c>
      <c r="J14" s="498">
        <f t="shared" si="3"/>
        <v>0</v>
      </c>
      <c r="K14" s="33">
        <f t="shared" si="3"/>
        <v>0</v>
      </c>
      <c r="L14" s="32">
        <f t="shared" si="3"/>
        <v>0</v>
      </c>
      <c r="M14" s="34">
        <f t="shared" si="3"/>
        <v>0</v>
      </c>
      <c r="N14" s="356">
        <f t="shared" si="3"/>
        <v>0</v>
      </c>
      <c r="O14" s="372"/>
      <c r="P14" s="370" t="s">
        <v>42</v>
      </c>
      <c r="Q14" s="325"/>
      <c r="R14" s="275" t="e">
        <f>IF(OR(Q14=0, Q14=""), NA(), Q14/$B$6)</f>
        <v>#N/A</v>
      </c>
      <c r="S14" s="300"/>
      <c r="T14" s="304" t="s">
        <v>54</v>
      </c>
      <c r="U14" s="299" t="e">
        <f>IF(Q14&lt;&gt;0,Q14-Q13,NA())</f>
        <v>#N/A</v>
      </c>
      <c r="V14" s="300"/>
    </row>
    <row r="15" spans="1:22" ht="18" customHeight="1" thickBot="1" x14ac:dyDescent="0.25">
      <c r="A15" s="558" t="s">
        <v>66</v>
      </c>
      <c r="B15" s="558"/>
      <c r="C15" s="1"/>
      <c r="D15" s="1"/>
      <c r="N15" s="254"/>
      <c r="O15" s="372"/>
      <c r="P15" s="371" t="s">
        <v>43</v>
      </c>
      <c r="Q15" s="326"/>
      <c r="R15" s="301" t="e">
        <f>IF(OR(Q15=0, Q15=""), NA(), Q15/$B$6)</f>
        <v>#N/A</v>
      </c>
      <c r="T15" s="305" t="s">
        <v>55</v>
      </c>
      <c r="U15" s="303" t="e">
        <f>IF(Q15&lt;&gt;0,Q15-Q14,NA())</f>
        <v>#N/A</v>
      </c>
      <c r="V15" s="300"/>
    </row>
    <row r="16" spans="1:22" ht="12.75" customHeight="1" x14ac:dyDescent="0.2">
      <c r="A16" s="558"/>
      <c r="B16" s="558"/>
      <c r="O16" s="372"/>
      <c r="P16" s="254"/>
      <c r="Q16" s="254"/>
      <c r="R16" s="254"/>
      <c r="U16" s="254"/>
    </row>
    <row r="17" spans="1:15" ht="18" customHeight="1" x14ac:dyDescent="0.25">
      <c r="A17" s="558"/>
      <c r="B17" s="558"/>
      <c r="E17" s="185"/>
      <c r="F17" s="185"/>
      <c r="G17" s="185"/>
      <c r="H17" s="185"/>
      <c r="I17" s="185"/>
      <c r="J17" s="185"/>
      <c r="O17" s="372"/>
    </row>
    <row r="18" spans="1:15" ht="26.25" customHeight="1" x14ac:dyDescent="0.2">
      <c r="A18" s="558"/>
      <c r="B18" s="558"/>
      <c r="D18" s="353" t="s">
        <v>63</v>
      </c>
      <c r="O18" s="372"/>
    </row>
    <row r="19" spans="1:15" x14ac:dyDescent="0.2">
      <c r="D19" s="354">
        <f>IF((ROW()-23)&lt;=$E$25,(ROW()-23),"Choisir")</f>
        <v>-4</v>
      </c>
      <c r="O19" s="372"/>
    </row>
    <row r="20" spans="1:15" x14ac:dyDescent="0.2">
      <c r="D20" s="354">
        <f>IF((ROW()-23)&lt;=$E$25,(ROW()-23),"Choisir")</f>
        <v>-3</v>
      </c>
      <c r="O20" s="372"/>
    </row>
    <row r="21" spans="1:15" x14ac:dyDescent="0.2">
      <c r="D21" s="354">
        <f>IF((ROW()-23)&lt;=$E$25,(ROW()-23),"Choisir")</f>
        <v>-2</v>
      </c>
      <c r="O21" s="372"/>
    </row>
    <row r="22" spans="1:15" x14ac:dyDescent="0.2">
      <c r="D22" s="354">
        <f>IF((ROW()-23)&lt;=$E$25,(ROW()-23),"Choisir")</f>
        <v>-1</v>
      </c>
      <c r="O22" s="372"/>
    </row>
    <row r="23" spans="1:15" x14ac:dyDescent="0.2">
      <c r="O23" s="372"/>
    </row>
    <row r="24" spans="1:15" x14ac:dyDescent="0.2">
      <c r="D24" s="199">
        <f>CEILING($B$6, 100)/100</f>
        <v>7</v>
      </c>
      <c r="E24" s="335">
        <f>CEILING($B$7,100)/100</f>
        <v>0</v>
      </c>
      <c r="F24" s="335"/>
      <c r="G24" s="335"/>
      <c r="H24" s="335"/>
      <c r="I24" s="335"/>
      <c r="J24" s="335"/>
      <c r="O24" s="372"/>
    </row>
    <row r="25" spans="1:15" x14ac:dyDescent="0.2">
      <c r="D25" s="199">
        <f>MOD($B$7,100)</f>
        <v>0</v>
      </c>
      <c r="E25" s="200">
        <f>CEILING($B$6/300,1)</f>
        <v>3</v>
      </c>
      <c r="F25" s="200"/>
      <c r="G25" s="200"/>
      <c r="H25" s="200"/>
      <c r="I25" s="200"/>
      <c r="J25" s="200"/>
      <c r="O25" s="372"/>
    </row>
    <row r="26" spans="1:15" x14ac:dyDescent="0.2">
      <c r="O26" s="372"/>
    </row>
    <row r="27" spans="1:15" x14ac:dyDescent="0.2">
      <c r="O27" s="372"/>
    </row>
    <row r="28" spans="1:15" x14ac:dyDescent="0.2">
      <c r="O28" s="372"/>
    </row>
    <row r="29" spans="1:15" x14ac:dyDescent="0.2">
      <c r="O29" s="372"/>
    </row>
    <row r="30" spans="1:15" x14ac:dyDescent="0.2">
      <c r="O30" s="372"/>
    </row>
    <row r="31" spans="1:15" x14ac:dyDescent="0.2">
      <c r="O31" s="372"/>
    </row>
    <row r="32" spans="1:15" x14ac:dyDescent="0.2">
      <c r="O32" s="372"/>
    </row>
    <row r="33" spans="1:15" x14ac:dyDescent="0.2">
      <c r="O33" s="372"/>
    </row>
    <row r="34" spans="1:15" x14ac:dyDescent="0.2">
      <c r="O34" s="372"/>
    </row>
    <row r="35" spans="1:15" x14ac:dyDescent="0.2">
      <c r="O35" s="372"/>
    </row>
    <row r="36" spans="1:15" x14ac:dyDescent="0.2">
      <c r="O36" s="372"/>
    </row>
    <row r="37" spans="1:15" x14ac:dyDescent="0.2">
      <c r="O37" s="372"/>
    </row>
    <row r="38" spans="1:15" x14ac:dyDescent="0.2">
      <c r="O38" s="372"/>
    </row>
    <row r="39" spans="1:15" x14ac:dyDescent="0.2">
      <c r="O39" s="372"/>
    </row>
    <row r="40" spans="1:15" x14ac:dyDescent="0.2">
      <c r="O40" s="372"/>
    </row>
    <row r="41" spans="1:15" x14ac:dyDescent="0.2">
      <c r="O41" s="372"/>
    </row>
    <row r="42" spans="1:15" x14ac:dyDescent="0.2">
      <c r="O42" s="372"/>
    </row>
    <row r="43" spans="1:15" ht="13.5" thickBot="1" x14ac:dyDescent="0.25">
      <c r="A43" s="366"/>
      <c r="B43" s="366"/>
      <c r="C43" s="366"/>
      <c r="D43" s="366"/>
      <c r="E43" s="366"/>
      <c r="F43" s="366"/>
      <c r="G43" s="366"/>
      <c r="H43" s="366"/>
      <c r="I43" s="366"/>
      <c r="J43" s="366"/>
      <c r="K43" s="366"/>
      <c r="L43" s="366"/>
      <c r="M43" s="366"/>
      <c r="N43" s="366"/>
      <c r="O43" s="374"/>
    </row>
    <row r="44" spans="1:15" ht="13.5" thickTop="1" x14ac:dyDescent="0.2">
      <c r="O44" s="372"/>
    </row>
    <row r="45" spans="1:15" x14ac:dyDescent="0.2">
      <c r="O45" s="372"/>
    </row>
    <row r="46" spans="1:15" x14ac:dyDescent="0.2">
      <c r="E46" s="126"/>
      <c r="F46" s="126"/>
      <c r="G46" s="126"/>
      <c r="H46" s="126"/>
      <c r="I46" s="126"/>
      <c r="J46" s="126"/>
      <c r="O46" s="372"/>
    </row>
    <row r="47" spans="1:15" ht="13.5" thickBot="1" x14ac:dyDescent="0.25">
      <c r="E47" s="126"/>
      <c r="F47" s="126"/>
      <c r="G47" s="126"/>
      <c r="H47" s="126"/>
      <c r="I47" s="126"/>
      <c r="J47" s="126"/>
      <c r="O47" s="372"/>
    </row>
    <row r="48" spans="1:15" ht="20.100000000000001" customHeight="1" thickBot="1" x14ac:dyDescent="0.25">
      <c r="D48" s="189" t="s">
        <v>76</v>
      </c>
      <c r="E48" s="548" t="s">
        <v>117</v>
      </c>
      <c r="F48" s="549"/>
      <c r="G48" s="549"/>
      <c r="H48" s="549"/>
      <c r="I48" s="549"/>
      <c r="J48" s="549"/>
      <c r="K48" s="549"/>
      <c r="L48" s="549"/>
      <c r="M48" s="550"/>
      <c r="N48" s="306" t="s">
        <v>7</v>
      </c>
      <c r="O48" s="372"/>
    </row>
    <row r="49" spans="3:15" ht="47.25" customHeight="1" thickBot="1" x14ac:dyDescent="0.25">
      <c r="C49" s="187"/>
      <c r="D49" s="284" t="s">
        <v>79</v>
      </c>
      <c r="E49" s="626" t="str">
        <f>E2</f>
        <v>Candidat(e)
1</v>
      </c>
      <c r="F49" s="627" t="str">
        <f>F2</f>
        <v>Candidat(e)
2</v>
      </c>
      <c r="G49" s="628" t="str">
        <f t="shared" ref="G49:K49" si="4">G2</f>
        <v>Candidat(e)
3</v>
      </c>
      <c r="H49" s="629" t="str">
        <f t="shared" si="4"/>
        <v>Candidat(e)
4</v>
      </c>
      <c r="I49" s="630" t="str">
        <f t="shared" si="4"/>
        <v>Candidat(e)
5</v>
      </c>
      <c r="J49" s="631" t="str">
        <f t="shared" si="4"/>
        <v>Candidat(e)
6</v>
      </c>
      <c r="K49" s="632" t="str">
        <f t="shared" si="4"/>
        <v>Candidat(e)
7</v>
      </c>
      <c r="L49" s="322" t="s">
        <v>3</v>
      </c>
      <c r="M49" s="323" t="s">
        <v>4</v>
      </c>
      <c r="N49" s="308" t="s">
        <v>101</v>
      </c>
      <c r="O49" s="372"/>
    </row>
    <row r="50" spans="3:15" ht="19.5" customHeight="1" x14ac:dyDescent="0.2">
      <c r="C50" s="188"/>
      <c r="D50" s="283" t="s">
        <v>78</v>
      </c>
      <c r="E50" s="246"/>
      <c r="F50" s="246"/>
      <c r="G50" s="246"/>
      <c r="H50" s="246"/>
      <c r="I50" s="246"/>
      <c r="J50" s="246"/>
      <c r="K50" s="247"/>
      <c r="L50" s="249"/>
      <c r="M50" s="248"/>
      <c r="N50" s="307">
        <f t="shared" ref="N50:N59" si="5">SUM(E50:M50)</f>
        <v>0</v>
      </c>
      <c r="O50" s="372"/>
    </row>
    <row r="51" spans="3:15" ht="20.100000000000001" customHeight="1" x14ac:dyDescent="0.2">
      <c r="C51" s="188"/>
      <c r="D51" s="283" t="s">
        <v>78</v>
      </c>
      <c r="E51" s="246"/>
      <c r="F51" s="246"/>
      <c r="G51" s="246"/>
      <c r="H51" s="246"/>
      <c r="I51" s="246"/>
      <c r="J51" s="246"/>
      <c r="K51" s="247"/>
      <c r="L51" s="249"/>
      <c r="M51" s="248"/>
      <c r="N51" s="307">
        <f t="shared" si="5"/>
        <v>0</v>
      </c>
      <c r="O51" s="372"/>
    </row>
    <row r="52" spans="3:15" ht="20.100000000000001" customHeight="1" x14ac:dyDescent="0.2">
      <c r="C52" s="188"/>
      <c r="D52" s="283" t="s">
        <v>78</v>
      </c>
      <c r="E52" s="246"/>
      <c r="F52" s="246"/>
      <c r="G52" s="246"/>
      <c r="H52" s="246"/>
      <c r="I52" s="246"/>
      <c r="J52" s="246"/>
      <c r="K52" s="247"/>
      <c r="L52" s="249"/>
      <c r="M52" s="248"/>
      <c r="N52" s="307">
        <f t="shared" si="5"/>
        <v>0</v>
      </c>
      <c r="O52" s="372"/>
    </row>
    <row r="53" spans="3:15" ht="20.100000000000001" customHeight="1" x14ac:dyDescent="0.2">
      <c r="C53" s="188"/>
      <c r="D53" s="283" t="s">
        <v>78</v>
      </c>
      <c r="E53" s="246"/>
      <c r="F53" s="246"/>
      <c r="G53" s="246"/>
      <c r="H53" s="246"/>
      <c r="I53" s="246"/>
      <c r="J53" s="246"/>
      <c r="K53" s="247"/>
      <c r="L53" s="249"/>
      <c r="M53" s="248"/>
      <c r="N53" s="307">
        <f t="shared" si="5"/>
        <v>0</v>
      </c>
      <c r="O53" s="372"/>
    </row>
    <row r="54" spans="3:15" ht="20.100000000000001" customHeight="1" x14ac:dyDescent="0.2">
      <c r="C54" s="188"/>
      <c r="D54" s="283" t="s">
        <v>78</v>
      </c>
      <c r="E54" s="246"/>
      <c r="F54" s="246"/>
      <c r="G54" s="246"/>
      <c r="H54" s="246"/>
      <c r="I54" s="246"/>
      <c r="J54" s="246"/>
      <c r="K54" s="247"/>
      <c r="L54" s="249"/>
      <c r="M54" s="248"/>
      <c r="N54" s="307">
        <f t="shared" si="5"/>
        <v>0</v>
      </c>
      <c r="O54" s="372"/>
    </row>
    <row r="55" spans="3:15" ht="20.100000000000001" customHeight="1" x14ac:dyDescent="0.2">
      <c r="C55" s="188"/>
      <c r="D55" s="283" t="s">
        <v>78</v>
      </c>
      <c r="E55" s="246"/>
      <c r="F55" s="246"/>
      <c r="G55" s="246"/>
      <c r="H55" s="246"/>
      <c r="I55" s="246"/>
      <c r="J55" s="246"/>
      <c r="K55" s="247"/>
      <c r="L55" s="249"/>
      <c r="M55" s="248"/>
      <c r="N55" s="307">
        <f t="shared" si="5"/>
        <v>0</v>
      </c>
      <c r="O55" s="372"/>
    </row>
    <row r="56" spans="3:15" ht="20.100000000000001" customHeight="1" x14ac:dyDescent="0.2">
      <c r="C56" s="188"/>
      <c r="D56" s="283" t="s">
        <v>78</v>
      </c>
      <c r="E56" s="246"/>
      <c r="F56" s="246"/>
      <c r="G56" s="246"/>
      <c r="H56" s="246"/>
      <c r="I56" s="246"/>
      <c r="J56" s="246"/>
      <c r="K56" s="247"/>
      <c r="L56" s="249"/>
      <c r="M56" s="248"/>
      <c r="N56" s="307">
        <f t="shared" si="5"/>
        <v>0</v>
      </c>
      <c r="O56" s="372"/>
    </row>
    <row r="57" spans="3:15" ht="20.100000000000001" customHeight="1" x14ac:dyDescent="0.2">
      <c r="C57" s="188"/>
      <c r="D57" s="283" t="s">
        <v>78</v>
      </c>
      <c r="E57" s="246"/>
      <c r="F57" s="246"/>
      <c r="G57" s="246"/>
      <c r="H57" s="246"/>
      <c r="I57" s="246"/>
      <c r="J57" s="246"/>
      <c r="K57" s="247"/>
      <c r="L57" s="249"/>
      <c r="M57" s="248"/>
      <c r="N57" s="307">
        <f t="shared" si="5"/>
        <v>0</v>
      </c>
      <c r="O57" s="372"/>
    </row>
    <row r="58" spans="3:15" ht="20.100000000000001" customHeight="1" x14ac:dyDescent="0.2">
      <c r="C58" s="188"/>
      <c r="D58" s="283" t="s">
        <v>78</v>
      </c>
      <c r="E58" s="246"/>
      <c r="F58" s="246"/>
      <c r="G58" s="246"/>
      <c r="H58" s="246"/>
      <c r="I58" s="246"/>
      <c r="J58" s="246"/>
      <c r="K58" s="247"/>
      <c r="L58" s="249"/>
      <c r="M58" s="248"/>
      <c r="N58" s="307">
        <f t="shared" si="5"/>
        <v>0</v>
      </c>
      <c r="O58" s="372"/>
    </row>
    <row r="59" spans="3:15" ht="20.100000000000001" customHeight="1" thickBot="1" x14ac:dyDescent="0.25">
      <c r="C59" s="188"/>
      <c r="D59" s="287" t="s">
        <v>78</v>
      </c>
      <c r="E59" s="288"/>
      <c r="F59" s="288"/>
      <c r="G59" s="288"/>
      <c r="H59" s="288"/>
      <c r="I59" s="288"/>
      <c r="J59" s="288"/>
      <c r="K59" s="289"/>
      <c r="L59" s="291"/>
      <c r="M59" s="290"/>
      <c r="N59" s="307">
        <f t="shared" si="5"/>
        <v>0</v>
      </c>
      <c r="O59" s="372"/>
    </row>
    <row r="60" spans="3:15" x14ac:dyDescent="0.2">
      <c r="N60" s="254"/>
      <c r="O60" s="372"/>
    </row>
    <row r="61" spans="3:15" x14ac:dyDescent="0.2">
      <c r="O61" s="372"/>
    </row>
    <row r="62" spans="3:15" x14ac:dyDescent="0.2">
      <c r="O62" s="372"/>
    </row>
    <row r="63" spans="3:15" ht="18" x14ac:dyDescent="0.25">
      <c r="E63" s="185"/>
      <c r="F63" s="185"/>
      <c r="G63" s="185"/>
      <c r="H63" s="185"/>
      <c r="I63" s="185"/>
      <c r="J63" s="185"/>
      <c r="O63" s="372"/>
    </row>
    <row r="64" spans="3:15" x14ac:dyDescent="0.2">
      <c r="O64" s="372"/>
    </row>
    <row r="65" spans="4:15" ht="13.5" thickBot="1" x14ac:dyDescent="0.25">
      <c r="O65" s="372"/>
    </row>
    <row r="66" spans="4:15" ht="16.5" customHeight="1" thickBot="1" x14ac:dyDescent="0.25">
      <c r="D66" s="189" t="s">
        <v>77</v>
      </c>
      <c r="E66" s="548" t="s">
        <v>118</v>
      </c>
      <c r="F66" s="549"/>
      <c r="G66" s="549"/>
      <c r="H66" s="549"/>
      <c r="I66" s="549"/>
      <c r="J66" s="549"/>
      <c r="K66" s="549"/>
      <c r="L66" s="549"/>
      <c r="M66" s="550"/>
      <c r="N66" s="306" t="s">
        <v>7</v>
      </c>
      <c r="O66" s="372"/>
    </row>
    <row r="67" spans="4:15" ht="42" customHeight="1" thickBot="1" x14ac:dyDescent="0.25">
      <c r="D67" s="284" t="s">
        <v>79</v>
      </c>
      <c r="E67" s="626" t="str">
        <f>E2</f>
        <v>Candidat(e)
1</v>
      </c>
      <c r="F67" s="627" t="str">
        <f>F2</f>
        <v>Candidat(e)
2</v>
      </c>
      <c r="G67" s="628" t="str">
        <f t="shared" ref="G67:K67" si="6">G2</f>
        <v>Candidat(e)
3</v>
      </c>
      <c r="H67" s="629" t="str">
        <f t="shared" si="6"/>
        <v>Candidat(e)
4</v>
      </c>
      <c r="I67" s="630" t="str">
        <f t="shared" si="6"/>
        <v>Candidat(e)
5</v>
      </c>
      <c r="J67" s="631" t="str">
        <f t="shared" si="6"/>
        <v>Candidat(e)
6</v>
      </c>
      <c r="K67" s="632" t="str">
        <f t="shared" si="6"/>
        <v>Candidat(e)
7</v>
      </c>
      <c r="L67" s="322" t="s">
        <v>3</v>
      </c>
      <c r="M67" s="323" t="s">
        <v>4</v>
      </c>
      <c r="N67" s="313" t="s">
        <v>101</v>
      </c>
      <c r="O67" s="372"/>
    </row>
    <row r="68" spans="4:15" ht="20.100000000000001" customHeight="1" x14ac:dyDescent="0.2">
      <c r="D68" s="198" t="s">
        <v>78</v>
      </c>
      <c r="E68" s="191"/>
      <c r="F68" s="191"/>
      <c r="G68" s="191"/>
      <c r="H68" s="191"/>
      <c r="I68" s="191"/>
      <c r="J68" s="191"/>
      <c r="K68" s="192"/>
      <c r="L68" s="194"/>
      <c r="M68" s="193"/>
      <c r="N68" s="310">
        <f>SUM(E68:M68)</f>
        <v>0</v>
      </c>
      <c r="O68" s="372"/>
    </row>
    <row r="69" spans="4:15" ht="20.100000000000001" customHeight="1" x14ac:dyDescent="0.2">
      <c r="D69" s="196" t="s">
        <v>78</v>
      </c>
      <c r="E69" s="136"/>
      <c r="F69" s="136"/>
      <c r="G69" s="136"/>
      <c r="H69" s="136"/>
      <c r="I69" s="136"/>
      <c r="J69" s="136"/>
      <c r="K69" s="137"/>
      <c r="L69" s="139"/>
      <c r="M69" s="138"/>
      <c r="N69" s="244">
        <f>SUM(E69:M69)</f>
        <v>0</v>
      </c>
      <c r="O69" s="372"/>
    </row>
    <row r="70" spans="4:15" ht="20.100000000000001" customHeight="1" x14ac:dyDescent="0.2">
      <c r="D70" s="196" t="s">
        <v>78</v>
      </c>
      <c r="E70" s="136"/>
      <c r="F70" s="136"/>
      <c r="G70" s="136"/>
      <c r="H70" s="136"/>
      <c r="I70" s="136"/>
      <c r="J70" s="136"/>
      <c r="K70" s="137"/>
      <c r="L70" s="139"/>
      <c r="M70" s="138"/>
      <c r="N70" s="244">
        <f>SUM(E70:M70)</f>
        <v>0</v>
      </c>
      <c r="O70" s="372"/>
    </row>
    <row r="71" spans="4:15" ht="20.100000000000001" customHeight="1" x14ac:dyDescent="0.2">
      <c r="D71" s="196" t="s">
        <v>78</v>
      </c>
      <c r="E71" s="136"/>
      <c r="F71" s="136"/>
      <c r="G71" s="136"/>
      <c r="H71" s="136"/>
      <c r="I71" s="136"/>
      <c r="J71" s="136"/>
      <c r="K71" s="137"/>
      <c r="L71" s="139"/>
      <c r="M71" s="138"/>
      <c r="N71" s="244">
        <f>SUM(E71:M71)</f>
        <v>0</v>
      </c>
      <c r="O71" s="372"/>
    </row>
    <row r="72" spans="4:15" ht="20.100000000000001" customHeight="1" thickBot="1" x14ac:dyDescent="0.25">
      <c r="D72" s="197" t="s">
        <v>78</v>
      </c>
      <c r="E72" s="140"/>
      <c r="F72" s="140"/>
      <c r="G72" s="140"/>
      <c r="H72" s="140"/>
      <c r="I72" s="140"/>
      <c r="J72" s="140"/>
      <c r="K72" s="141"/>
      <c r="L72" s="143"/>
      <c r="M72" s="142"/>
      <c r="N72" s="311">
        <f>SUM(E72:M72)</f>
        <v>0</v>
      </c>
      <c r="O72" s="372"/>
    </row>
    <row r="73" spans="4:15" ht="20.100000000000001" customHeight="1" x14ac:dyDescent="0.2">
      <c r="D73" s="190"/>
      <c r="E73" s="188"/>
      <c r="F73" s="188"/>
      <c r="G73" s="188"/>
      <c r="H73" s="188"/>
      <c r="I73" s="188"/>
      <c r="J73" s="188"/>
      <c r="K73" s="188"/>
      <c r="L73" s="188"/>
      <c r="M73" s="188"/>
      <c r="O73" s="372"/>
    </row>
    <row r="74" spans="4:15" ht="20.100000000000001" customHeight="1" x14ac:dyDescent="0.2">
      <c r="D74" s="190"/>
      <c r="E74" s="188"/>
      <c r="F74" s="188"/>
      <c r="G74" s="188"/>
      <c r="H74" s="188"/>
      <c r="I74" s="188"/>
      <c r="J74" s="188"/>
      <c r="K74" s="188"/>
      <c r="L74" s="188"/>
      <c r="M74" s="188"/>
      <c r="O74" s="372"/>
    </row>
    <row r="75" spans="4:15" ht="20.100000000000001" customHeight="1" thickBot="1" x14ac:dyDescent="0.25">
      <c r="D75" s="190"/>
      <c r="E75" s="188"/>
      <c r="F75" s="188"/>
      <c r="G75" s="188"/>
      <c r="H75" s="188"/>
      <c r="I75" s="188"/>
      <c r="J75" s="188"/>
      <c r="K75" s="188"/>
      <c r="L75" s="188"/>
      <c r="M75" s="188"/>
      <c r="O75" s="372"/>
    </row>
    <row r="76" spans="4:15" ht="20.100000000000001" customHeight="1" thickBot="1" x14ac:dyDescent="0.25">
      <c r="D76" s="189" t="s">
        <v>81</v>
      </c>
      <c r="E76" s="548" t="s">
        <v>119</v>
      </c>
      <c r="F76" s="549"/>
      <c r="G76" s="549"/>
      <c r="H76" s="549"/>
      <c r="I76" s="549"/>
      <c r="J76" s="549"/>
      <c r="K76" s="549"/>
      <c r="L76" s="549"/>
      <c r="M76" s="550"/>
      <c r="N76" s="312" t="s">
        <v>7</v>
      </c>
      <c r="O76" s="372"/>
    </row>
    <row r="77" spans="4:15" ht="39.75" customHeight="1" thickBot="1" x14ac:dyDescent="0.25">
      <c r="D77" s="284" t="s">
        <v>79</v>
      </c>
      <c r="E77" s="626" t="str">
        <f>E2</f>
        <v>Candidat(e)
1</v>
      </c>
      <c r="F77" s="627" t="str">
        <f>F2</f>
        <v>Candidat(e)
2</v>
      </c>
      <c r="G77" s="628" t="str">
        <f t="shared" ref="G77:K77" si="7">G2</f>
        <v>Candidat(e)
3</v>
      </c>
      <c r="H77" s="629" t="str">
        <f t="shared" si="7"/>
        <v>Candidat(e)
4</v>
      </c>
      <c r="I77" s="630" t="str">
        <f t="shared" si="7"/>
        <v>Candidat(e)
5</v>
      </c>
      <c r="J77" s="631" t="str">
        <f t="shared" si="7"/>
        <v>Candidat(e)
6</v>
      </c>
      <c r="K77" s="632" t="str">
        <f t="shared" si="7"/>
        <v>Candidat(e)
7</v>
      </c>
      <c r="L77" s="322" t="s">
        <v>3</v>
      </c>
      <c r="M77" s="323" t="s">
        <v>4</v>
      </c>
      <c r="N77" s="309" t="s">
        <v>101</v>
      </c>
      <c r="O77" s="372"/>
    </row>
    <row r="78" spans="4:15" ht="20.100000000000001" customHeight="1" x14ac:dyDescent="0.2">
      <c r="D78" s="198" t="s">
        <v>78</v>
      </c>
      <c r="E78" s="191"/>
      <c r="F78" s="191"/>
      <c r="G78" s="191"/>
      <c r="H78" s="191"/>
      <c r="I78" s="191"/>
      <c r="J78" s="191"/>
      <c r="K78" s="192"/>
      <c r="L78" s="194"/>
      <c r="M78" s="193"/>
      <c r="N78" s="310">
        <f>SUM(E78:M78)</f>
        <v>0</v>
      </c>
      <c r="O78" s="372"/>
    </row>
    <row r="79" spans="4:15" ht="20.100000000000001" customHeight="1" x14ac:dyDescent="0.2">
      <c r="D79" s="196" t="s">
        <v>78</v>
      </c>
      <c r="E79" s="136"/>
      <c r="F79" s="136"/>
      <c r="G79" s="136"/>
      <c r="H79" s="136"/>
      <c r="I79" s="136"/>
      <c r="J79" s="136"/>
      <c r="K79" s="137"/>
      <c r="L79" s="139"/>
      <c r="M79" s="138"/>
      <c r="N79" s="244">
        <f>SUM(E79:M79)</f>
        <v>0</v>
      </c>
      <c r="O79" s="372"/>
    </row>
    <row r="80" spans="4:15" ht="20.100000000000001" customHeight="1" thickBot="1" x14ac:dyDescent="0.25">
      <c r="D80" s="197" t="s">
        <v>78</v>
      </c>
      <c r="E80" s="140"/>
      <c r="F80" s="140"/>
      <c r="G80" s="140"/>
      <c r="H80" s="140"/>
      <c r="I80" s="140"/>
      <c r="J80" s="140"/>
      <c r="K80" s="141"/>
      <c r="L80" s="143"/>
      <c r="M80" s="142"/>
      <c r="N80" s="311">
        <f>SUM(E80:M80)</f>
        <v>0</v>
      </c>
      <c r="O80" s="372"/>
    </row>
    <row r="81" spans="4:15" ht="20.100000000000001" customHeight="1" x14ac:dyDescent="0.2">
      <c r="D81" s="190"/>
      <c r="E81" s="188"/>
      <c r="F81" s="188"/>
      <c r="G81" s="188"/>
      <c r="H81" s="188"/>
      <c r="I81" s="188"/>
      <c r="J81" s="188"/>
      <c r="K81" s="188"/>
      <c r="L81" s="188"/>
      <c r="M81" s="188"/>
      <c r="N81" s="195"/>
      <c r="O81" s="372"/>
    </row>
    <row r="82" spans="4:15" ht="20.100000000000001" customHeight="1" x14ac:dyDescent="0.2">
      <c r="D82" s="190"/>
      <c r="E82" s="188"/>
      <c r="F82" s="188"/>
      <c r="G82" s="188"/>
      <c r="H82" s="188"/>
      <c r="I82" s="188"/>
      <c r="J82" s="188"/>
      <c r="K82" s="188"/>
      <c r="L82" s="188"/>
      <c r="M82" s="188"/>
      <c r="N82" s="195"/>
      <c r="O82" s="372"/>
    </row>
  </sheetData>
  <sheetProtection algorithmName="SHA-512" hashValue="kBAoQPkybyYmUNk/4gLmFb3/zG2aNCmNU3S4340wrXx172Xl8tL4tGwO26f0vozjuI1AN6tfwQ8qm4y6NwLqkg==" saltValue="p3OMvctj+BHnnRhTU5baqw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260" priority="1" operator="equal">
      <formula>0</formula>
    </cfRule>
    <cfRule type="cellIs" dxfId="259" priority="6" operator="notEqual">
      <formula>$B$7</formula>
    </cfRule>
  </conditionalFormatting>
  <conditionalFormatting sqref="E3:N12">
    <cfRule type="cellIs" dxfId="258" priority="5" operator="notBetween">
      <formula>0</formula>
      <formula>100</formula>
    </cfRule>
  </conditionalFormatting>
  <conditionalFormatting sqref="E3:N14">
    <cfRule type="cellIs" dxfId="257" priority="8" operator="lessThan">
      <formula>0</formula>
    </cfRule>
  </conditionalFormatting>
  <conditionalFormatting sqref="E14:N14">
    <cfRule type="cellIs" dxfId="256" priority="11" operator="greaterThan">
      <formula>1</formula>
    </cfRule>
  </conditionalFormatting>
  <conditionalFormatting sqref="N3:N13">
    <cfRule type="cellIs" dxfId="255" priority="9" operator="equal">
      <formula>0</formula>
    </cfRule>
  </conditionalFormatting>
  <conditionalFormatting sqref="N13">
    <cfRule type="cellIs" dxfId="254" priority="13" operator="equal">
      <formula>$B$7</formula>
    </cfRule>
  </conditionalFormatting>
  <conditionalFormatting sqref="N14">
    <cfRule type="cellIs" dxfId="253" priority="10" operator="equal">
      <formula>1</formula>
    </cfRule>
    <cfRule type="cellIs" dxfId="252" priority="12" operator="lessThan">
      <formula>1</formula>
    </cfRule>
  </conditionalFormatting>
  <conditionalFormatting sqref="R4:R15">
    <cfRule type="cellIs" dxfId="251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250" priority="3">
      <formula>AND(E50&lt;MAX(E$50:E50), NOT(ISBLANK(E50)), NOT(E50=0))</formula>
    </cfRule>
  </conditionalFormatting>
  <conditionalFormatting sqref="E68:M72">
    <cfRule type="expression" dxfId="249" priority="2">
      <formula>AND(E68&lt;MAX(E$68:E68), NOT(ISBLANK(E68)), NOT(E68=0))</formula>
    </cfRule>
  </conditionalFormatting>
  <conditionalFormatting sqref="E78:M80">
    <cfRule type="expression" dxfId="248" priority="14">
      <formula>AND(E78&lt;MAX(E$78:E78), NOT(ISBLANK(E78)), NOT(E78=0))</formula>
    </cfRule>
  </conditionalFormatting>
  <conditionalFormatting sqref="N3:N12">
    <cfRule type="expression" dxfId="247" priority="15">
      <formula>AND($D3=$E$24, N3=$D$25)</formula>
    </cfRule>
    <cfRule type="expression" dxfId="246" priority="16">
      <formula>AND($D3=$E$24, MOD(N3,100)&gt;$D$25)</formula>
    </cfRule>
    <cfRule type="cellIs" dxfId="245" priority="17" operator="equal">
      <formula>100</formula>
    </cfRule>
  </conditionalFormatting>
  <conditionalFormatting sqref="E3:M12">
    <cfRule type="expression" dxfId="244" priority="18">
      <formula>($D3&lt;=$E$24)</formula>
    </cfRule>
  </conditionalFormatting>
  <conditionalFormatting sqref="D3:M12">
    <cfRule type="expression" dxfId="243" priority="19">
      <formula>($D3&gt;$E$24)</formula>
    </cfRule>
  </conditionalFormatting>
  <conditionalFormatting sqref="E50:M59 E68:M72 E78:M80">
    <cfRule type="cellIs" dxfId="242" priority="20" operator="notBetween">
      <formula>0</formula>
      <formula>$B$7</formula>
    </cfRule>
    <cfRule type="expression" dxfId="241" priority="21">
      <formula>($D50&lt;=$E$24)</formula>
    </cfRule>
    <cfRule type="expression" dxfId="240" priority="22">
      <formula>($D50&gt;$E$24)</formula>
    </cfRule>
  </conditionalFormatting>
  <conditionalFormatting sqref="N50 N68:N72 N78:N80 N52:N59">
    <cfRule type="cellIs" dxfId="239" priority="23" operator="lessThan">
      <formula>0</formula>
    </cfRule>
    <cfRule type="cellIs" dxfId="238" priority="24" operator="equal">
      <formula>0</formula>
    </cfRule>
    <cfRule type="expression" dxfId="237" priority="25">
      <formula>OR(MOD($N50,100)=0,AND($D50=$E$24,MOD($N50,100)=$D$25))</formula>
    </cfRule>
  </conditionalFormatting>
  <conditionalFormatting sqref="N51">
    <cfRule type="cellIs" dxfId="236" priority="26" operator="notBetween">
      <formula>0</formula>
      <formula>$B$7</formula>
    </cfRule>
    <cfRule type="cellIs" dxfId="235" priority="27" operator="equal">
      <formula>0</formula>
    </cfRule>
    <cfRule type="expression" dxfId="234" priority="28">
      <formula>OR(MOD($N51,100)=0,AND($D51=$E$24,MOD($N51,100)=$D$25))</formula>
    </cfRule>
  </conditionalFormatting>
  <conditionalFormatting sqref="Q4:Q15">
    <cfRule type="expression" dxfId="233" priority="29">
      <formula>AND($Q4&lt;$Q3, NOT(ISBLANK($Q4)))</formula>
    </cfRule>
    <cfRule type="cellIs" dxfId="232" priority="30" operator="greaterThan">
      <formula>$B$6</formula>
    </cfRule>
  </conditionalFormatting>
  <dataValidations count="2">
    <dataValidation type="list" allowBlank="1" showInputMessage="1" showErrorMessage="1" sqref="C50:C59" xr:uid="{EAABA3B4-CE79-4F94-AB81-C8BA1FDD9705}">
      <formula1>$D$19:$D$21</formula1>
    </dataValidation>
    <dataValidation type="list" allowBlank="1" showInputMessage="1" showErrorMessage="1" sqref="D68:D72 D78:D82 D50:D59" xr:uid="{69CDB287-4837-4CC6-934E-7E04C8EE6F56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26B3F-2A11-434F-87A5-5943FB4199A4}">
  <sheetPr codeName="Feuil47">
    <tabColor rgb="FFB4A7D6"/>
  </sheetPr>
  <dimension ref="A1:V82"/>
  <sheetViews>
    <sheetView zoomScale="80" zoomScaleNormal="80" workbookViewId="0">
      <selection activeCell="Q4" sqref="Q4"/>
    </sheetView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24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357" t="s">
        <v>11</v>
      </c>
      <c r="B1" s="363">
        <f>Synthèse!$B$17</f>
        <v>46103</v>
      </c>
      <c r="D1" s="243"/>
      <c r="E1" s="551" t="s">
        <v>120</v>
      </c>
      <c r="F1" s="552"/>
      <c r="G1" s="552"/>
      <c r="H1" s="552"/>
      <c r="I1" s="552"/>
      <c r="J1" s="552"/>
      <c r="K1" s="552"/>
      <c r="L1" s="552"/>
      <c r="M1" s="553"/>
      <c r="N1" s="316" t="s">
        <v>7</v>
      </c>
      <c r="O1" s="372"/>
    </row>
    <row r="2" spans="1:22" ht="45" customHeight="1" thickBot="1" x14ac:dyDescent="0.25">
      <c r="A2" s="358" t="s">
        <v>12</v>
      </c>
      <c r="B2" s="364" t="str">
        <f>Synthèse!$B$18</f>
        <v>Municipales 2ème tour</v>
      </c>
      <c r="D2" s="280" t="s">
        <v>80</v>
      </c>
      <c r="E2" s="619" t="str">
        <f>Synthèse!L2</f>
        <v>Candidat(e)
1</v>
      </c>
      <c r="F2" s="620" t="str">
        <f>Synthèse!M2</f>
        <v>Candidat(e)
2</v>
      </c>
      <c r="G2" s="621" t="str">
        <f>Synthèse!N2</f>
        <v>Candidat(e)
3</v>
      </c>
      <c r="H2" s="622" t="str">
        <f>Synthèse!O2</f>
        <v>Candidat(e)
4</v>
      </c>
      <c r="I2" s="623" t="str">
        <f>Synthèse!P2</f>
        <v>Candidat(e)
5</v>
      </c>
      <c r="J2" s="624" t="str">
        <f>Synthèse!Q2</f>
        <v>Candidat(e)
6</v>
      </c>
      <c r="K2" s="625" t="str">
        <f>Synthèse!R2</f>
        <v>Candidat(e)
7</v>
      </c>
      <c r="L2" s="320" t="s">
        <v>3</v>
      </c>
      <c r="M2" s="321" t="s">
        <v>4</v>
      </c>
      <c r="N2" s="317" t="s">
        <v>102</v>
      </c>
      <c r="O2" s="372"/>
      <c r="P2" s="367" t="s">
        <v>21</v>
      </c>
      <c r="Q2" s="293" t="s">
        <v>56</v>
      </c>
      <c r="R2" s="294" t="s">
        <v>30</v>
      </c>
      <c r="T2" s="295" t="s">
        <v>58</v>
      </c>
      <c r="U2" s="295" t="s">
        <v>57</v>
      </c>
    </row>
    <row r="3" spans="1:22" ht="20.100000000000001" customHeight="1" thickBot="1" x14ac:dyDescent="0.25">
      <c r="A3" s="359" t="s">
        <v>13</v>
      </c>
      <c r="B3" s="365" t="str">
        <f>Synthèse!$B$19</f>
        <v>Cogolin</v>
      </c>
      <c r="D3" s="277" t="str" cm="1">
        <f t="array" ref="D3">IF(ROW(1:1)&lt;=$E$24, (ROW(1:1)), "")</f>
        <v/>
      </c>
      <c r="E3" s="113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3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13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13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13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13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13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28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2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44">
        <f t="shared" ref="N3:N13" si="0">SUM(E3:M3)</f>
        <v>0</v>
      </c>
      <c r="O3" s="372"/>
      <c r="P3" s="368" t="s">
        <v>31</v>
      </c>
      <c r="Q3" s="269">
        <v>0</v>
      </c>
      <c r="R3" s="270">
        <f>Q3/$B$6</f>
        <v>0</v>
      </c>
      <c r="T3" s="256"/>
      <c r="U3" s="256"/>
    </row>
    <row r="4" spans="1:22" ht="20.100000000000001" customHeight="1" x14ac:dyDescent="0.2">
      <c r="A4" s="65" t="s">
        <v>22</v>
      </c>
      <c r="B4" s="375">
        <v>5</v>
      </c>
      <c r="D4" s="278" t="str" cm="1">
        <f t="array" ref="D4">IF(ROW(2:2)&lt;=$E$24, (ROW(2:2)), "")</f>
        <v/>
      </c>
      <c r="E4" s="114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4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4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14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14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14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15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1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4">
        <f t="shared" si="0"/>
        <v>0</v>
      </c>
      <c r="O4" s="372"/>
      <c r="P4" s="369" t="s">
        <v>32</v>
      </c>
      <c r="Q4" s="324"/>
      <c r="R4" s="273" t="e">
        <f t="shared" ref="R4:R13" si="1">IF(OR(Q4=0, Q4=""), NA(), Q4/$B$6)</f>
        <v>#N/A</v>
      </c>
      <c r="T4" s="251" t="s">
        <v>44</v>
      </c>
      <c r="U4" s="296" t="e">
        <f t="shared" ref="U4:U13" si="2">IF(Q4&lt;&gt;0,Q4-Q3,NA())</f>
        <v>#N/A</v>
      </c>
    </row>
    <row r="5" spans="1:22" ht="20.100000000000001" customHeight="1" x14ac:dyDescent="0.2">
      <c r="A5" s="66" t="s">
        <v>23</v>
      </c>
      <c r="B5" s="376" t="str">
        <f>INDEX(Synthèse!B:B,B4+2)</f>
        <v>COSEC</v>
      </c>
      <c r="D5" s="278" t="str" cm="1">
        <f t="array" ref="D5">IF(ROW(3:3)&lt;=$E$24, (ROW(3:3)), "")</f>
        <v/>
      </c>
      <c r="E5" s="114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4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14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14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14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14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14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3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31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4">
        <f t="shared" si="0"/>
        <v>0</v>
      </c>
      <c r="O5" s="373"/>
      <c r="P5" s="369" t="s">
        <v>33</v>
      </c>
      <c r="Q5" s="324"/>
      <c r="R5" s="273" t="e">
        <f t="shared" si="1"/>
        <v>#N/A</v>
      </c>
      <c r="T5" s="252" t="s">
        <v>45</v>
      </c>
      <c r="U5" s="297" t="e">
        <f t="shared" si="2"/>
        <v>#N/A</v>
      </c>
    </row>
    <row r="6" spans="1:22" ht="20.100000000000001" customHeight="1" x14ac:dyDescent="0.2">
      <c r="A6" s="66" t="s">
        <v>0</v>
      </c>
      <c r="B6" s="144">
        <f>INDEX(Synthèse!C:C,B4+2)</f>
        <v>701</v>
      </c>
      <c r="D6" s="278" t="str" cm="1">
        <f t="array" ref="D6">IF(ROW(4:4)&lt;=$E$24, (ROW(4:4)), "")</f>
        <v/>
      </c>
      <c r="E6" s="114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4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14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14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14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14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14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3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31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4">
        <f t="shared" si="0"/>
        <v>0</v>
      </c>
      <c r="O6" s="373"/>
      <c r="P6" s="369" t="s">
        <v>34</v>
      </c>
      <c r="Q6" s="324"/>
      <c r="R6" s="273" t="e">
        <f t="shared" si="1"/>
        <v>#N/A</v>
      </c>
      <c r="T6" s="252" t="s">
        <v>46</v>
      </c>
      <c r="U6" s="297" t="e">
        <f t="shared" si="2"/>
        <v>#N/A</v>
      </c>
    </row>
    <row r="7" spans="1:22" ht="20.100000000000001" customHeight="1" x14ac:dyDescent="0.2">
      <c r="A7" s="66" t="s">
        <v>2</v>
      </c>
      <c r="B7" s="123">
        <f>MAX(Q4:Q15)</f>
        <v>0</v>
      </c>
      <c r="D7" s="278" t="str" cm="1">
        <f t="array" ref="D7">IF(ROW(5:5)&lt;=$E$24, (ROW(5:5)), "")</f>
        <v/>
      </c>
      <c r="E7" s="114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4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4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14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14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14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15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1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4">
        <f t="shared" si="0"/>
        <v>0</v>
      </c>
      <c r="O7" s="373"/>
      <c r="P7" s="369" t="s">
        <v>35</v>
      </c>
      <c r="Q7" s="324"/>
      <c r="R7" s="273" t="e">
        <f t="shared" si="1"/>
        <v>#N/A</v>
      </c>
      <c r="T7" s="252" t="s">
        <v>53</v>
      </c>
      <c r="U7" s="297" t="e">
        <f t="shared" si="2"/>
        <v>#N/A</v>
      </c>
    </row>
    <row r="8" spans="1:22" ht="20.100000000000001" customHeight="1" x14ac:dyDescent="0.2">
      <c r="A8" s="66" t="s">
        <v>1</v>
      </c>
      <c r="B8" s="124"/>
      <c r="D8" s="278" t="str" cm="1">
        <f t="array" ref="D8">IF(ROW(6:6)&lt;=$E$24, (ROW(6:6)), "")</f>
        <v/>
      </c>
      <c r="E8" s="114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4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4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14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14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14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15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1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4">
        <f t="shared" si="0"/>
        <v>0</v>
      </c>
      <c r="O8" s="373"/>
      <c r="P8" s="369" t="s">
        <v>36</v>
      </c>
      <c r="Q8" s="324"/>
      <c r="R8" s="273" t="e">
        <f t="shared" si="1"/>
        <v>#N/A</v>
      </c>
      <c r="T8" s="252" t="s">
        <v>47</v>
      </c>
      <c r="U8" s="297" t="e">
        <f t="shared" si="2"/>
        <v>#N/A</v>
      </c>
    </row>
    <row r="9" spans="1:22" ht="20.100000000000001" customHeight="1" thickBot="1" x14ac:dyDescent="0.25">
      <c r="A9" s="67" t="s">
        <v>17</v>
      </c>
      <c r="B9" s="125">
        <f>B6-B7</f>
        <v>701</v>
      </c>
      <c r="D9" s="278" t="str" cm="1">
        <f t="array" ref="D9">IF(ROW(7:7)&lt;=$E$24, (ROW(7:7)), "")</f>
        <v/>
      </c>
      <c r="E9" s="114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4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4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14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14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14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17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18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4">
        <f t="shared" si="0"/>
        <v>0</v>
      </c>
      <c r="O9" s="373"/>
      <c r="P9" s="369" t="s">
        <v>37</v>
      </c>
      <c r="Q9" s="324"/>
      <c r="R9" s="273" t="e">
        <f t="shared" si="1"/>
        <v>#N/A</v>
      </c>
      <c r="T9" s="252" t="s">
        <v>48</v>
      </c>
      <c r="U9" s="297" t="e">
        <f t="shared" si="2"/>
        <v>#N/A</v>
      </c>
    </row>
    <row r="10" spans="1:22" ht="20.100000000000001" customHeight="1" x14ac:dyDescent="0.2">
      <c r="A10" s="554" t="s">
        <v>59</v>
      </c>
      <c r="B10" s="554"/>
      <c r="D10" s="278" t="str" cm="1">
        <f t="array" ref="D10">IF(ROW(8:8)&lt;=$E$24, (ROW(8:8)), "")</f>
        <v/>
      </c>
      <c r="E10" s="114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4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4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14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14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14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17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18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4">
        <f t="shared" si="0"/>
        <v>0</v>
      </c>
      <c r="O10" s="373"/>
      <c r="P10" s="369" t="s">
        <v>38</v>
      </c>
      <c r="Q10" s="324"/>
      <c r="R10" s="273" t="e">
        <f t="shared" si="1"/>
        <v>#N/A</v>
      </c>
      <c r="T10" s="252" t="s">
        <v>49</v>
      </c>
      <c r="U10" s="297" t="e">
        <f t="shared" si="2"/>
        <v>#N/A</v>
      </c>
    </row>
    <row r="11" spans="1:22" ht="20.100000000000001" customHeight="1" x14ac:dyDescent="0.2">
      <c r="A11" s="555"/>
      <c r="B11" s="555"/>
      <c r="D11" s="278" t="str" cm="1">
        <f t="array" ref="D11">IF(ROW(9:9)&lt;=$E$24, (ROW(9:9)), "")</f>
        <v/>
      </c>
      <c r="E11" s="114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4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4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14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14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14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17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18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4">
        <f t="shared" si="0"/>
        <v>0</v>
      </c>
      <c r="O11" s="373"/>
      <c r="P11" s="369" t="s">
        <v>39</v>
      </c>
      <c r="Q11" s="324"/>
      <c r="R11" s="273" t="e">
        <f t="shared" si="1"/>
        <v>#N/A</v>
      </c>
      <c r="T11" s="252" t="s">
        <v>50</v>
      </c>
      <c r="U11" s="297" t="e">
        <f t="shared" si="2"/>
        <v>#N/A</v>
      </c>
    </row>
    <row r="12" spans="1:22" ht="20.100000000000001" customHeight="1" thickBot="1" x14ac:dyDescent="0.25">
      <c r="A12" s="556" t="s">
        <v>60</v>
      </c>
      <c r="B12" s="556"/>
      <c r="D12" s="279" t="str" cm="1">
        <f t="array" ref="D12">IF(ROW(10:10)&lt;=$E$24, (ROW(10:10)), "")</f>
        <v/>
      </c>
      <c r="E12" s="114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4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14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14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14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14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14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32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33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4">
        <f t="shared" si="0"/>
        <v>0</v>
      </c>
      <c r="O12" s="373"/>
      <c r="P12" s="369" t="s">
        <v>40</v>
      </c>
      <c r="Q12" s="324"/>
      <c r="R12" s="273" t="e">
        <f t="shared" si="1"/>
        <v>#N/A</v>
      </c>
      <c r="T12" s="252" t="s">
        <v>51</v>
      </c>
      <c r="U12" s="297" t="e">
        <f t="shared" si="2"/>
        <v>#N/A</v>
      </c>
    </row>
    <row r="13" spans="1:22" ht="20.100000000000001" customHeight="1" thickBot="1" x14ac:dyDescent="0.3">
      <c r="A13" s="556"/>
      <c r="B13" s="556"/>
      <c r="D13" s="35" t="s">
        <v>9</v>
      </c>
      <c r="E13" s="119">
        <f>SUM(E3:E12)</f>
        <v>0</v>
      </c>
      <c r="F13" s="497">
        <f>SUM(F3:F12)</f>
        <v>0</v>
      </c>
      <c r="G13" s="497">
        <f>SUM(G3:G12)</f>
        <v>0</v>
      </c>
      <c r="H13" s="497">
        <f>SUM(H3:H12)</f>
        <v>0</v>
      </c>
      <c r="I13" s="497">
        <f>SUM(I3:I12)</f>
        <v>0</v>
      </c>
      <c r="J13" s="497">
        <f>SUM(J3:J12)</f>
        <v>0</v>
      </c>
      <c r="K13" s="120">
        <f>SUM(K3:K12)</f>
        <v>0</v>
      </c>
      <c r="L13" s="121">
        <f>SUM(L3:L12)</f>
        <v>0</v>
      </c>
      <c r="M13" s="122">
        <f>SUM(M3:M12)</f>
        <v>0</v>
      </c>
      <c r="N13" s="355">
        <f t="shared" si="0"/>
        <v>0</v>
      </c>
      <c r="O13" s="373"/>
      <c r="P13" s="369" t="s">
        <v>41</v>
      </c>
      <c r="Q13" s="324"/>
      <c r="R13" s="273" t="e">
        <f t="shared" si="1"/>
        <v>#N/A</v>
      </c>
      <c r="T13" s="253" t="s">
        <v>52</v>
      </c>
      <c r="U13" s="298" t="e">
        <f t="shared" si="2"/>
        <v>#N/A</v>
      </c>
    </row>
    <row r="14" spans="1:22" ht="20.100000000000001" customHeight="1" thickBot="1" x14ac:dyDescent="0.3">
      <c r="A14" s="556"/>
      <c r="B14" s="556"/>
      <c r="D14" s="60" t="s">
        <v>10</v>
      </c>
      <c r="E14" s="32">
        <f t="shared" ref="E14:N14" si="3">IFERROR(E13/$B$7,0)</f>
        <v>0</v>
      </c>
      <c r="F14" s="498">
        <f t="shared" si="3"/>
        <v>0</v>
      </c>
      <c r="G14" s="498">
        <f t="shared" si="3"/>
        <v>0</v>
      </c>
      <c r="H14" s="498">
        <f t="shared" si="3"/>
        <v>0</v>
      </c>
      <c r="I14" s="498">
        <f t="shared" si="3"/>
        <v>0</v>
      </c>
      <c r="J14" s="498">
        <f t="shared" si="3"/>
        <v>0</v>
      </c>
      <c r="K14" s="33">
        <f t="shared" si="3"/>
        <v>0</v>
      </c>
      <c r="L14" s="32">
        <f t="shared" si="3"/>
        <v>0</v>
      </c>
      <c r="M14" s="34">
        <f t="shared" si="3"/>
        <v>0</v>
      </c>
      <c r="N14" s="356">
        <f t="shared" si="3"/>
        <v>0</v>
      </c>
      <c r="O14" s="372"/>
      <c r="P14" s="370" t="s">
        <v>42</v>
      </c>
      <c r="Q14" s="325"/>
      <c r="R14" s="275" t="e">
        <f>IF(OR(Q14=0, Q14=""), NA(), Q14/$B$6)</f>
        <v>#N/A</v>
      </c>
      <c r="S14" s="300"/>
      <c r="T14" s="304" t="s">
        <v>54</v>
      </c>
      <c r="U14" s="299" t="e">
        <f>IF(Q14&lt;&gt;0,Q14-Q13,NA())</f>
        <v>#N/A</v>
      </c>
      <c r="V14" s="300"/>
    </row>
    <row r="15" spans="1:22" ht="18" customHeight="1" thickBot="1" x14ac:dyDescent="0.25">
      <c r="A15" s="558" t="s">
        <v>66</v>
      </c>
      <c r="B15" s="558"/>
      <c r="C15" s="1"/>
      <c r="D15" s="1"/>
      <c r="N15" s="254"/>
      <c r="O15" s="372"/>
      <c r="P15" s="371" t="s">
        <v>43</v>
      </c>
      <c r="Q15" s="326"/>
      <c r="R15" s="301" t="e">
        <f>IF(OR(Q15=0, Q15=""), NA(), Q15/$B$6)</f>
        <v>#N/A</v>
      </c>
      <c r="T15" s="305" t="s">
        <v>55</v>
      </c>
      <c r="U15" s="303" t="e">
        <f>IF(Q15&lt;&gt;0,Q15-Q14,NA())</f>
        <v>#N/A</v>
      </c>
      <c r="V15" s="300"/>
    </row>
    <row r="16" spans="1:22" ht="12.75" customHeight="1" x14ac:dyDescent="0.2">
      <c r="A16" s="558"/>
      <c r="B16" s="558"/>
      <c r="O16" s="372"/>
      <c r="P16" s="254"/>
      <c r="Q16" s="254"/>
      <c r="R16" s="254"/>
      <c r="U16" s="254"/>
    </row>
    <row r="17" spans="1:15" ht="18" customHeight="1" x14ac:dyDescent="0.25">
      <c r="A17" s="558"/>
      <c r="B17" s="558"/>
      <c r="E17" s="185"/>
      <c r="F17" s="185"/>
      <c r="G17" s="185"/>
      <c r="H17" s="185"/>
      <c r="I17" s="185"/>
      <c r="J17" s="185"/>
      <c r="O17" s="372"/>
    </row>
    <row r="18" spans="1:15" ht="26.25" customHeight="1" x14ac:dyDescent="0.2">
      <c r="A18" s="558"/>
      <c r="B18" s="558"/>
      <c r="D18" s="353" t="s">
        <v>63</v>
      </c>
      <c r="O18" s="372"/>
    </row>
    <row r="19" spans="1:15" x14ac:dyDescent="0.2">
      <c r="D19" s="354">
        <f>IF((ROW()-23)&lt;=$E$25,(ROW()-23),"Choisir")</f>
        <v>-4</v>
      </c>
      <c r="O19" s="372"/>
    </row>
    <row r="20" spans="1:15" x14ac:dyDescent="0.2">
      <c r="D20" s="354">
        <f>IF((ROW()-23)&lt;=$E$25,(ROW()-23),"Choisir")</f>
        <v>-3</v>
      </c>
      <c r="O20" s="372"/>
    </row>
    <row r="21" spans="1:15" x14ac:dyDescent="0.2">
      <c r="D21" s="354">
        <f>IF((ROW()-23)&lt;=$E$25,(ROW()-23),"Choisir")</f>
        <v>-2</v>
      </c>
      <c r="O21" s="372"/>
    </row>
    <row r="22" spans="1:15" x14ac:dyDescent="0.2">
      <c r="D22" s="354">
        <f>IF((ROW()-23)&lt;=$E$25,(ROW()-23),"Choisir")</f>
        <v>-1</v>
      </c>
      <c r="O22" s="372"/>
    </row>
    <row r="23" spans="1:15" x14ac:dyDescent="0.2">
      <c r="O23" s="372"/>
    </row>
    <row r="24" spans="1:15" x14ac:dyDescent="0.2">
      <c r="D24" s="199">
        <f>CEILING($B$6, 100)/100</f>
        <v>8</v>
      </c>
      <c r="E24" s="335">
        <f>CEILING($B$7,100)/100</f>
        <v>0</v>
      </c>
      <c r="F24" s="335"/>
      <c r="G24" s="335"/>
      <c r="H24" s="335"/>
      <c r="I24" s="335"/>
      <c r="J24" s="335"/>
      <c r="O24" s="372"/>
    </row>
    <row r="25" spans="1:15" x14ac:dyDescent="0.2">
      <c r="D25" s="199">
        <f>MOD($B$7,100)</f>
        <v>0</v>
      </c>
      <c r="E25" s="200">
        <f>CEILING($B$6/300,1)</f>
        <v>3</v>
      </c>
      <c r="F25" s="200"/>
      <c r="G25" s="200"/>
      <c r="H25" s="200"/>
      <c r="I25" s="200"/>
      <c r="J25" s="200"/>
      <c r="O25" s="372"/>
    </row>
    <row r="26" spans="1:15" x14ac:dyDescent="0.2">
      <c r="O26" s="372"/>
    </row>
    <row r="27" spans="1:15" x14ac:dyDescent="0.2">
      <c r="O27" s="372"/>
    </row>
    <row r="28" spans="1:15" x14ac:dyDescent="0.2">
      <c r="O28" s="372"/>
    </row>
    <row r="29" spans="1:15" x14ac:dyDescent="0.2">
      <c r="O29" s="372"/>
    </row>
    <row r="30" spans="1:15" x14ac:dyDescent="0.2">
      <c r="O30" s="372"/>
    </row>
    <row r="31" spans="1:15" x14ac:dyDescent="0.2">
      <c r="O31" s="372"/>
    </row>
    <row r="32" spans="1:15" x14ac:dyDescent="0.2">
      <c r="O32" s="372"/>
    </row>
    <row r="33" spans="1:15" x14ac:dyDescent="0.2">
      <c r="O33" s="372"/>
    </row>
    <row r="34" spans="1:15" x14ac:dyDescent="0.2">
      <c r="O34" s="372"/>
    </row>
    <row r="35" spans="1:15" x14ac:dyDescent="0.2">
      <c r="O35" s="372"/>
    </row>
    <row r="36" spans="1:15" x14ac:dyDescent="0.2">
      <c r="O36" s="372"/>
    </row>
    <row r="37" spans="1:15" x14ac:dyDescent="0.2">
      <c r="O37" s="372"/>
    </row>
    <row r="38" spans="1:15" x14ac:dyDescent="0.2">
      <c r="O38" s="372"/>
    </row>
    <row r="39" spans="1:15" x14ac:dyDescent="0.2">
      <c r="O39" s="372"/>
    </row>
    <row r="40" spans="1:15" x14ac:dyDescent="0.2">
      <c r="O40" s="372"/>
    </row>
    <row r="41" spans="1:15" x14ac:dyDescent="0.2">
      <c r="O41" s="372"/>
    </row>
    <row r="42" spans="1:15" x14ac:dyDescent="0.2">
      <c r="O42" s="372"/>
    </row>
    <row r="43" spans="1:15" ht="13.5" thickBot="1" x14ac:dyDescent="0.25">
      <c r="A43" s="366"/>
      <c r="B43" s="366"/>
      <c r="C43" s="366"/>
      <c r="D43" s="366"/>
      <c r="E43" s="366"/>
      <c r="F43" s="366"/>
      <c r="G43" s="366"/>
      <c r="H43" s="366"/>
      <c r="I43" s="366"/>
      <c r="J43" s="366"/>
      <c r="K43" s="366"/>
      <c r="L43" s="366"/>
      <c r="M43" s="366"/>
      <c r="N43" s="366"/>
      <c r="O43" s="374"/>
    </row>
    <row r="44" spans="1:15" ht="13.5" thickTop="1" x14ac:dyDescent="0.2">
      <c r="O44" s="372"/>
    </row>
    <row r="45" spans="1:15" x14ac:dyDescent="0.2">
      <c r="O45" s="372"/>
    </row>
    <row r="46" spans="1:15" x14ac:dyDescent="0.2">
      <c r="E46" s="126"/>
      <c r="F46" s="126"/>
      <c r="G46" s="126"/>
      <c r="H46" s="126"/>
      <c r="I46" s="126"/>
      <c r="J46" s="126"/>
      <c r="O46" s="372"/>
    </row>
    <row r="47" spans="1:15" ht="13.5" thickBot="1" x14ac:dyDescent="0.25">
      <c r="E47" s="126"/>
      <c r="F47" s="126"/>
      <c r="G47" s="126"/>
      <c r="H47" s="126"/>
      <c r="I47" s="126"/>
      <c r="J47" s="126"/>
      <c r="O47" s="372"/>
    </row>
    <row r="48" spans="1:15" ht="20.100000000000001" customHeight="1" thickBot="1" x14ac:dyDescent="0.25">
      <c r="D48" s="189" t="s">
        <v>76</v>
      </c>
      <c r="E48" s="548" t="s">
        <v>117</v>
      </c>
      <c r="F48" s="549"/>
      <c r="G48" s="549"/>
      <c r="H48" s="549"/>
      <c r="I48" s="549"/>
      <c r="J48" s="549"/>
      <c r="K48" s="549"/>
      <c r="L48" s="549"/>
      <c r="M48" s="550"/>
      <c r="N48" s="306" t="s">
        <v>7</v>
      </c>
      <c r="O48" s="372"/>
    </row>
    <row r="49" spans="3:15" ht="47.25" customHeight="1" thickBot="1" x14ac:dyDescent="0.25">
      <c r="C49" s="187"/>
      <c r="D49" s="284" t="s">
        <v>79</v>
      </c>
      <c r="E49" s="626" t="str">
        <f>E2</f>
        <v>Candidat(e)
1</v>
      </c>
      <c r="F49" s="627" t="str">
        <f>F2</f>
        <v>Candidat(e)
2</v>
      </c>
      <c r="G49" s="628" t="str">
        <f t="shared" ref="G49:K49" si="4">G2</f>
        <v>Candidat(e)
3</v>
      </c>
      <c r="H49" s="629" t="str">
        <f t="shared" si="4"/>
        <v>Candidat(e)
4</v>
      </c>
      <c r="I49" s="630" t="str">
        <f t="shared" si="4"/>
        <v>Candidat(e)
5</v>
      </c>
      <c r="J49" s="631" t="str">
        <f t="shared" si="4"/>
        <v>Candidat(e)
6</v>
      </c>
      <c r="K49" s="632" t="str">
        <f t="shared" si="4"/>
        <v>Candidat(e)
7</v>
      </c>
      <c r="L49" s="322" t="s">
        <v>3</v>
      </c>
      <c r="M49" s="323" t="s">
        <v>4</v>
      </c>
      <c r="N49" s="308" t="s">
        <v>101</v>
      </c>
      <c r="O49" s="372"/>
    </row>
    <row r="50" spans="3:15" ht="19.5" customHeight="1" x14ac:dyDescent="0.2">
      <c r="C50" s="188"/>
      <c r="D50" s="283" t="s">
        <v>78</v>
      </c>
      <c r="E50" s="246"/>
      <c r="F50" s="246"/>
      <c r="G50" s="246"/>
      <c r="H50" s="246"/>
      <c r="I50" s="246"/>
      <c r="J50" s="246"/>
      <c r="K50" s="247"/>
      <c r="L50" s="249"/>
      <c r="M50" s="248"/>
      <c r="N50" s="307">
        <f t="shared" ref="N50:N59" si="5">SUM(E50:M50)</f>
        <v>0</v>
      </c>
      <c r="O50" s="372"/>
    </row>
    <row r="51" spans="3:15" ht="20.100000000000001" customHeight="1" x14ac:dyDescent="0.2">
      <c r="C51" s="188"/>
      <c r="D51" s="283" t="s">
        <v>78</v>
      </c>
      <c r="E51" s="246"/>
      <c r="F51" s="246"/>
      <c r="G51" s="246"/>
      <c r="H51" s="246"/>
      <c r="I51" s="246"/>
      <c r="J51" s="246"/>
      <c r="K51" s="247"/>
      <c r="L51" s="249"/>
      <c r="M51" s="248"/>
      <c r="N51" s="307">
        <f t="shared" si="5"/>
        <v>0</v>
      </c>
      <c r="O51" s="372"/>
    </row>
    <row r="52" spans="3:15" ht="20.100000000000001" customHeight="1" x14ac:dyDescent="0.2">
      <c r="C52" s="188"/>
      <c r="D52" s="283" t="s">
        <v>78</v>
      </c>
      <c r="E52" s="246"/>
      <c r="F52" s="246"/>
      <c r="G52" s="246"/>
      <c r="H52" s="246"/>
      <c r="I52" s="246"/>
      <c r="J52" s="246"/>
      <c r="K52" s="247"/>
      <c r="L52" s="249"/>
      <c r="M52" s="248"/>
      <c r="N52" s="307">
        <f t="shared" si="5"/>
        <v>0</v>
      </c>
      <c r="O52" s="372"/>
    </row>
    <row r="53" spans="3:15" ht="20.100000000000001" customHeight="1" x14ac:dyDescent="0.2">
      <c r="C53" s="188"/>
      <c r="D53" s="283" t="s">
        <v>78</v>
      </c>
      <c r="E53" s="246"/>
      <c r="F53" s="246"/>
      <c r="G53" s="246"/>
      <c r="H53" s="246"/>
      <c r="I53" s="246"/>
      <c r="J53" s="246"/>
      <c r="K53" s="247"/>
      <c r="L53" s="249"/>
      <c r="M53" s="248"/>
      <c r="N53" s="307">
        <f t="shared" si="5"/>
        <v>0</v>
      </c>
      <c r="O53" s="372"/>
    </row>
    <row r="54" spans="3:15" ht="20.100000000000001" customHeight="1" x14ac:dyDescent="0.2">
      <c r="C54" s="188"/>
      <c r="D54" s="283" t="s">
        <v>78</v>
      </c>
      <c r="E54" s="246"/>
      <c r="F54" s="246"/>
      <c r="G54" s="246"/>
      <c r="H54" s="246"/>
      <c r="I54" s="246"/>
      <c r="J54" s="246"/>
      <c r="K54" s="247"/>
      <c r="L54" s="249"/>
      <c r="M54" s="248"/>
      <c r="N54" s="307">
        <f t="shared" si="5"/>
        <v>0</v>
      </c>
      <c r="O54" s="372"/>
    </row>
    <row r="55" spans="3:15" ht="20.100000000000001" customHeight="1" x14ac:dyDescent="0.2">
      <c r="C55" s="188"/>
      <c r="D55" s="283" t="s">
        <v>78</v>
      </c>
      <c r="E55" s="246"/>
      <c r="F55" s="246"/>
      <c r="G55" s="246"/>
      <c r="H55" s="246"/>
      <c r="I55" s="246"/>
      <c r="J55" s="246"/>
      <c r="K55" s="247"/>
      <c r="L55" s="249"/>
      <c r="M55" s="248"/>
      <c r="N55" s="307">
        <f t="shared" si="5"/>
        <v>0</v>
      </c>
      <c r="O55" s="372"/>
    </row>
    <row r="56" spans="3:15" ht="20.100000000000001" customHeight="1" x14ac:dyDescent="0.2">
      <c r="C56" s="188"/>
      <c r="D56" s="283" t="s">
        <v>78</v>
      </c>
      <c r="E56" s="246"/>
      <c r="F56" s="246"/>
      <c r="G56" s="246"/>
      <c r="H56" s="246"/>
      <c r="I56" s="246"/>
      <c r="J56" s="246"/>
      <c r="K56" s="247"/>
      <c r="L56" s="249"/>
      <c r="M56" s="248"/>
      <c r="N56" s="307">
        <f t="shared" si="5"/>
        <v>0</v>
      </c>
      <c r="O56" s="372"/>
    </row>
    <row r="57" spans="3:15" ht="20.100000000000001" customHeight="1" x14ac:dyDescent="0.2">
      <c r="C57" s="188"/>
      <c r="D57" s="283" t="s">
        <v>78</v>
      </c>
      <c r="E57" s="246"/>
      <c r="F57" s="246"/>
      <c r="G57" s="246"/>
      <c r="H57" s="246"/>
      <c r="I57" s="246"/>
      <c r="J57" s="246"/>
      <c r="K57" s="247"/>
      <c r="L57" s="249"/>
      <c r="M57" s="248"/>
      <c r="N57" s="307">
        <f t="shared" si="5"/>
        <v>0</v>
      </c>
      <c r="O57" s="372"/>
    </row>
    <row r="58" spans="3:15" ht="20.100000000000001" customHeight="1" x14ac:dyDescent="0.2">
      <c r="C58" s="188"/>
      <c r="D58" s="283" t="s">
        <v>78</v>
      </c>
      <c r="E58" s="246"/>
      <c r="F58" s="246"/>
      <c r="G58" s="246"/>
      <c r="H58" s="246"/>
      <c r="I58" s="246"/>
      <c r="J58" s="246"/>
      <c r="K58" s="247"/>
      <c r="L58" s="249"/>
      <c r="M58" s="248"/>
      <c r="N58" s="307">
        <f t="shared" si="5"/>
        <v>0</v>
      </c>
      <c r="O58" s="372"/>
    </row>
    <row r="59" spans="3:15" ht="20.100000000000001" customHeight="1" thickBot="1" x14ac:dyDescent="0.25">
      <c r="C59" s="188"/>
      <c r="D59" s="287" t="s">
        <v>78</v>
      </c>
      <c r="E59" s="288"/>
      <c r="F59" s="288"/>
      <c r="G59" s="288"/>
      <c r="H59" s="288"/>
      <c r="I59" s="288"/>
      <c r="J59" s="288"/>
      <c r="K59" s="289"/>
      <c r="L59" s="291"/>
      <c r="M59" s="290"/>
      <c r="N59" s="307">
        <f t="shared" si="5"/>
        <v>0</v>
      </c>
      <c r="O59" s="372"/>
    </row>
    <row r="60" spans="3:15" x14ac:dyDescent="0.2">
      <c r="N60" s="254"/>
      <c r="O60" s="372"/>
    </row>
    <row r="61" spans="3:15" x14ac:dyDescent="0.2">
      <c r="O61" s="372"/>
    </row>
    <row r="62" spans="3:15" x14ac:dyDescent="0.2">
      <c r="O62" s="372"/>
    </row>
    <row r="63" spans="3:15" ht="18" x14ac:dyDescent="0.25">
      <c r="E63" s="185"/>
      <c r="F63" s="185"/>
      <c r="G63" s="185"/>
      <c r="H63" s="185"/>
      <c r="I63" s="185"/>
      <c r="J63" s="185"/>
      <c r="O63" s="372"/>
    </row>
    <row r="64" spans="3:15" x14ac:dyDescent="0.2">
      <c r="O64" s="372"/>
    </row>
    <row r="65" spans="4:15" ht="13.5" thickBot="1" x14ac:dyDescent="0.25">
      <c r="O65" s="372"/>
    </row>
    <row r="66" spans="4:15" ht="16.5" customHeight="1" thickBot="1" x14ac:dyDescent="0.25">
      <c r="D66" s="189" t="s">
        <v>77</v>
      </c>
      <c r="E66" s="548" t="s">
        <v>118</v>
      </c>
      <c r="F66" s="549"/>
      <c r="G66" s="549"/>
      <c r="H66" s="549"/>
      <c r="I66" s="549"/>
      <c r="J66" s="549"/>
      <c r="K66" s="549"/>
      <c r="L66" s="549"/>
      <c r="M66" s="550"/>
      <c r="N66" s="306" t="s">
        <v>7</v>
      </c>
      <c r="O66" s="372"/>
    </row>
    <row r="67" spans="4:15" ht="42" customHeight="1" thickBot="1" x14ac:dyDescent="0.25">
      <c r="D67" s="284" t="s">
        <v>79</v>
      </c>
      <c r="E67" s="626" t="str">
        <f>E2</f>
        <v>Candidat(e)
1</v>
      </c>
      <c r="F67" s="627" t="str">
        <f>F2</f>
        <v>Candidat(e)
2</v>
      </c>
      <c r="G67" s="628" t="str">
        <f t="shared" ref="G67:K67" si="6">G2</f>
        <v>Candidat(e)
3</v>
      </c>
      <c r="H67" s="629" t="str">
        <f t="shared" si="6"/>
        <v>Candidat(e)
4</v>
      </c>
      <c r="I67" s="630" t="str">
        <f t="shared" si="6"/>
        <v>Candidat(e)
5</v>
      </c>
      <c r="J67" s="631" t="str">
        <f t="shared" si="6"/>
        <v>Candidat(e)
6</v>
      </c>
      <c r="K67" s="632" t="str">
        <f t="shared" si="6"/>
        <v>Candidat(e)
7</v>
      </c>
      <c r="L67" s="322" t="s">
        <v>3</v>
      </c>
      <c r="M67" s="323" t="s">
        <v>4</v>
      </c>
      <c r="N67" s="313" t="s">
        <v>101</v>
      </c>
      <c r="O67" s="372"/>
    </row>
    <row r="68" spans="4:15" ht="20.100000000000001" customHeight="1" x14ac:dyDescent="0.2">
      <c r="D68" s="198" t="s">
        <v>78</v>
      </c>
      <c r="E68" s="191"/>
      <c r="F68" s="191"/>
      <c r="G68" s="191"/>
      <c r="H68" s="191"/>
      <c r="I68" s="191"/>
      <c r="J68" s="191"/>
      <c r="K68" s="192"/>
      <c r="L68" s="194"/>
      <c r="M68" s="193"/>
      <c r="N68" s="310">
        <f>SUM(E68:M68)</f>
        <v>0</v>
      </c>
      <c r="O68" s="372"/>
    </row>
    <row r="69" spans="4:15" ht="20.100000000000001" customHeight="1" x14ac:dyDescent="0.2">
      <c r="D69" s="196" t="s">
        <v>78</v>
      </c>
      <c r="E69" s="136"/>
      <c r="F69" s="136"/>
      <c r="G69" s="136"/>
      <c r="H69" s="136"/>
      <c r="I69" s="136"/>
      <c r="J69" s="136"/>
      <c r="K69" s="137"/>
      <c r="L69" s="139"/>
      <c r="M69" s="138"/>
      <c r="N69" s="244">
        <f>SUM(E69:M69)</f>
        <v>0</v>
      </c>
      <c r="O69" s="372"/>
    </row>
    <row r="70" spans="4:15" ht="20.100000000000001" customHeight="1" x14ac:dyDescent="0.2">
      <c r="D70" s="196" t="s">
        <v>78</v>
      </c>
      <c r="E70" s="136"/>
      <c r="F70" s="136"/>
      <c r="G70" s="136"/>
      <c r="H70" s="136"/>
      <c r="I70" s="136"/>
      <c r="J70" s="136"/>
      <c r="K70" s="137"/>
      <c r="L70" s="139"/>
      <c r="M70" s="138"/>
      <c r="N70" s="244">
        <f>SUM(E70:M70)</f>
        <v>0</v>
      </c>
      <c r="O70" s="372"/>
    </row>
    <row r="71" spans="4:15" ht="20.100000000000001" customHeight="1" x14ac:dyDescent="0.2">
      <c r="D71" s="196" t="s">
        <v>78</v>
      </c>
      <c r="E71" s="136"/>
      <c r="F71" s="136"/>
      <c r="G71" s="136"/>
      <c r="H71" s="136"/>
      <c r="I71" s="136"/>
      <c r="J71" s="136"/>
      <c r="K71" s="137"/>
      <c r="L71" s="139"/>
      <c r="M71" s="138"/>
      <c r="N71" s="244">
        <f>SUM(E71:M71)</f>
        <v>0</v>
      </c>
      <c r="O71" s="372"/>
    </row>
    <row r="72" spans="4:15" ht="20.100000000000001" customHeight="1" thickBot="1" x14ac:dyDescent="0.25">
      <c r="D72" s="197" t="s">
        <v>78</v>
      </c>
      <c r="E72" s="140"/>
      <c r="F72" s="140"/>
      <c r="G72" s="140"/>
      <c r="H72" s="140"/>
      <c r="I72" s="140"/>
      <c r="J72" s="140"/>
      <c r="K72" s="141"/>
      <c r="L72" s="143"/>
      <c r="M72" s="142"/>
      <c r="N72" s="311">
        <f>SUM(E72:M72)</f>
        <v>0</v>
      </c>
      <c r="O72" s="372"/>
    </row>
    <row r="73" spans="4:15" ht="20.100000000000001" customHeight="1" x14ac:dyDescent="0.2">
      <c r="D73" s="190"/>
      <c r="E73" s="188"/>
      <c r="F73" s="188"/>
      <c r="G73" s="188"/>
      <c r="H73" s="188"/>
      <c r="I73" s="188"/>
      <c r="J73" s="188"/>
      <c r="K73" s="188"/>
      <c r="L73" s="188"/>
      <c r="M73" s="188"/>
      <c r="O73" s="372"/>
    </row>
    <row r="74" spans="4:15" ht="20.100000000000001" customHeight="1" x14ac:dyDescent="0.2">
      <c r="D74" s="190"/>
      <c r="E74" s="188"/>
      <c r="F74" s="188"/>
      <c r="G74" s="188"/>
      <c r="H74" s="188"/>
      <c r="I74" s="188"/>
      <c r="J74" s="188"/>
      <c r="K74" s="188"/>
      <c r="L74" s="188"/>
      <c r="M74" s="188"/>
      <c r="O74" s="372"/>
    </row>
    <row r="75" spans="4:15" ht="20.100000000000001" customHeight="1" thickBot="1" x14ac:dyDescent="0.25">
      <c r="D75" s="190"/>
      <c r="E75" s="188"/>
      <c r="F75" s="188"/>
      <c r="G75" s="188"/>
      <c r="H75" s="188"/>
      <c r="I75" s="188"/>
      <c r="J75" s="188"/>
      <c r="K75" s="188"/>
      <c r="L75" s="188"/>
      <c r="M75" s="188"/>
      <c r="O75" s="372"/>
    </row>
    <row r="76" spans="4:15" ht="20.100000000000001" customHeight="1" thickBot="1" x14ac:dyDescent="0.25">
      <c r="D76" s="189" t="s">
        <v>81</v>
      </c>
      <c r="E76" s="548" t="s">
        <v>119</v>
      </c>
      <c r="F76" s="549"/>
      <c r="G76" s="549"/>
      <c r="H76" s="549"/>
      <c r="I76" s="549"/>
      <c r="J76" s="549"/>
      <c r="K76" s="549"/>
      <c r="L76" s="549"/>
      <c r="M76" s="550"/>
      <c r="N76" s="312" t="s">
        <v>7</v>
      </c>
      <c r="O76" s="372"/>
    </row>
    <row r="77" spans="4:15" ht="39.75" customHeight="1" thickBot="1" x14ac:dyDescent="0.25">
      <c r="D77" s="284" t="s">
        <v>79</v>
      </c>
      <c r="E77" s="626" t="str">
        <f>E2</f>
        <v>Candidat(e)
1</v>
      </c>
      <c r="F77" s="627" t="str">
        <f>F2</f>
        <v>Candidat(e)
2</v>
      </c>
      <c r="G77" s="628" t="str">
        <f t="shared" ref="G77:K77" si="7">G2</f>
        <v>Candidat(e)
3</v>
      </c>
      <c r="H77" s="629" t="str">
        <f t="shared" si="7"/>
        <v>Candidat(e)
4</v>
      </c>
      <c r="I77" s="630" t="str">
        <f t="shared" si="7"/>
        <v>Candidat(e)
5</v>
      </c>
      <c r="J77" s="631" t="str">
        <f t="shared" si="7"/>
        <v>Candidat(e)
6</v>
      </c>
      <c r="K77" s="632" t="str">
        <f t="shared" si="7"/>
        <v>Candidat(e)
7</v>
      </c>
      <c r="L77" s="322" t="s">
        <v>3</v>
      </c>
      <c r="M77" s="323" t="s">
        <v>4</v>
      </c>
      <c r="N77" s="309" t="s">
        <v>101</v>
      </c>
      <c r="O77" s="372"/>
    </row>
    <row r="78" spans="4:15" ht="20.100000000000001" customHeight="1" x14ac:dyDescent="0.2">
      <c r="D78" s="198" t="s">
        <v>78</v>
      </c>
      <c r="E78" s="191"/>
      <c r="F78" s="191"/>
      <c r="G78" s="191"/>
      <c r="H78" s="191"/>
      <c r="I78" s="191"/>
      <c r="J78" s="191"/>
      <c r="K78" s="192"/>
      <c r="L78" s="194"/>
      <c r="M78" s="193"/>
      <c r="N78" s="310">
        <f>SUM(E78:M78)</f>
        <v>0</v>
      </c>
      <c r="O78" s="372"/>
    </row>
    <row r="79" spans="4:15" ht="20.100000000000001" customHeight="1" x14ac:dyDescent="0.2">
      <c r="D79" s="196" t="s">
        <v>78</v>
      </c>
      <c r="E79" s="136"/>
      <c r="F79" s="136"/>
      <c r="G79" s="136"/>
      <c r="H79" s="136"/>
      <c r="I79" s="136"/>
      <c r="J79" s="136"/>
      <c r="K79" s="137"/>
      <c r="L79" s="139"/>
      <c r="M79" s="138"/>
      <c r="N79" s="244">
        <f>SUM(E79:M79)</f>
        <v>0</v>
      </c>
      <c r="O79" s="372"/>
    </row>
    <row r="80" spans="4:15" ht="20.100000000000001" customHeight="1" thickBot="1" x14ac:dyDescent="0.25">
      <c r="D80" s="197" t="s">
        <v>78</v>
      </c>
      <c r="E80" s="140"/>
      <c r="F80" s="140"/>
      <c r="G80" s="140"/>
      <c r="H80" s="140"/>
      <c r="I80" s="140"/>
      <c r="J80" s="140"/>
      <c r="K80" s="141"/>
      <c r="L80" s="143"/>
      <c r="M80" s="142"/>
      <c r="N80" s="311">
        <f>SUM(E80:M80)</f>
        <v>0</v>
      </c>
      <c r="O80" s="372"/>
    </row>
    <row r="81" spans="4:15" ht="20.100000000000001" customHeight="1" x14ac:dyDescent="0.2">
      <c r="D81" s="190"/>
      <c r="E81" s="188"/>
      <c r="F81" s="188"/>
      <c r="G81" s="188"/>
      <c r="H81" s="188"/>
      <c r="I81" s="188"/>
      <c r="J81" s="188"/>
      <c r="K81" s="188"/>
      <c r="L81" s="188"/>
      <c r="M81" s="188"/>
      <c r="N81" s="195"/>
      <c r="O81" s="372"/>
    </row>
    <row r="82" spans="4:15" ht="20.100000000000001" customHeight="1" x14ac:dyDescent="0.2">
      <c r="D82" s="190"/>
      <c r="E82" s="188"/>
      <c r="F82" s="188"/>
      <c r="G82" s="188"/>
      <c r="H82" s="188"/>
      <c r="I82" s="188"/>
      <c r="J82" s="188"/>
      <c r="K82" s="188"/>
      <c r="L82" s="188"/>
      <c r="M82" s="188"/>
      <c r="N82" s="195"/>
      <c r="O82" s="372"/>
    </row>
  </sheetData>
  <sheetProtection algorithmName="SHA-512" hashValue="LhHsKPxgT5RR5KrGSX/JPe655iC3g+i/UYtaBNosn8TVTfDfEihjddkri2qnTWCQNFL98OZsyjqfJskKGzmiYA==" saltValue="ujx9q/N6GiCGQrpLnMtgvA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231" priority="1" operator="equal">
      <formula>0</formula>
    </cfRule>
    <cfRule type="cellIs" dxfId="230" priority="6" operator="notEqual">
      <formula>$B$7</formula>
    </cfRule>
  </conditionalFormatting>
  <conditionalFormatting sqref="E3:N12">
    <cfRule type="cellIs" dxfId="229" priority="5" operator="notBetween">
      <formula>0</formula>
      <formula>100</formula>
    </cfRule>
  </conditionalFormatting>
  <conditionalFormatting sqref="E3:N14">
    <cfRule type="cellIs" dxfId="228" priority="8" operator="lessThan">
      <formula>0</formula>
    </cfRule>
  </conditionalFormatting>
  <conditionalFormatting sqref="E14:N14">
    <cfRule type="cellIs" dxfId="227" priority="11" operator="greaterThan">
      <formula>1</formula>
    </cfRule>
  </conditionalFormatting>
  <conditionalFormatting sqref="N3:N13">
    <cfRule type="cellIs" dxfId="226" priority="9" operator="equal">
      <formula>0</formula>
    </cfRule>
  </conditionalFormatting>
  <conditionalFormatting sqref="N13">
    <cfRule type="cellIs" dxfId="225" priority="13" operator="equal">
      <formula>$B$7</formula>
    </cfRule>
  </conditionalFormatting>
  <conditionalFormatting sqref="N14">
    <cfRule type="cellIs" dxfId="224" priority="10" operator="equal">
      <formula>1</formula>
    </cfRule>
    <cfRule type="cellIs" dxfId="223" priority="12" operator="lessThan">
      <formula>1</formula>
    </cfRule>
  </conditionalFormatting>
  <conditionalFormatting sqref="R4:R15">
    <cfRule type="cellIs" dxfId="222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221" priority="3">
      <formula>AND(E50&lt;MAX(E$50:E50), NOT(ISBLANK(E50)), NOT(E50=0))</formula>
    </cfRule>
  </conditionalFormatting>
  <conditionalFormatting sqref="E68:M72">
    <cfRule type="expression" dxfId="220" priority="2">
      <formula>AND(E68&lt;MAX(E$68:E68), NOT(ISBLANK(E68)), NOT(E68=0))</formula>
    </cfRule>
  </conditionalFormatting>
  <conditionalFormatting sqref="E78:M80">
    <cfRule type="expression" dxfId="219" priority="14">
      <formula>AND(E78&lt;MAX(E$78:E78), NOT(ISBLANK(E78)), NOT(E78=0))</formula>
    </cfRule>
  </conditionalFormatting>
  <conditionalFormatting sqref="N3:N12">
    <cfRule type="expression" dxfId="218" priority="15">
      <formula>AND($D3=$E$24, N3=$D$25)</formula>
    </cfRule>
    <cfRule type="expression" dxfId="217" priority="16">
      <formula>AND($D3=$E$24, MOD(N3,100)&gt;$D$25)</formula>
    </cfRule>
    <cfRule type="cellIs" dxfId="216" priority="17" operator="equal">
      <formula>100</formula>
    </cfRule>
  </conditionalFormatting>
  <conditionalFormatting sqref="E3:M12">
    <cfRule type="expression" dxfId="215" priority="18">
      <formula>($D3&lt;=$E$24)</formula>
    </cfRule>
  </conditionalFormatting>
  <conditionalFormatting sqref="D3:M12">
    <cfRule type="expression" dxfId="214" priority="19">
      <formula>($D3&gt;$E$24)</formula>
    </cfRule>
  </conditionalFormatting>
  <conditionalFormatting sqref="E50:M59 E68:M72 E78:M80">
    <cfRule type="cellIs" dxfId="213" priority="20" operator="notBetween">
      <formula>0</formula>
      <formula>$B$7</formula>
    </cfRule>
    <cfRule type="expression" dxfId="212" priority="21">
      <formula>($D50&lt;=$E$24)</formula>
    </cfRule>
    <cfRule type="expression" dxfId="211" priority="22">
      <formula>($D50&gt;$E$24)</formula>
    </cfRule>
  </conditionalFormatting>
  <conditionalFormatting sqref="N50 N68:N72 N78:N80 N52:N59">
    <cfRule type="cellIs" dxfId="210" priority="23" operator="lessThan">
      <formula>0</formula>
    </cfRule>
    <cfRule type="cellIs" dxfId="209" priority="24" operator="equal">
      <formula>0</formula>
    </cfRule>
    <cfRule type="expression" dxfId="208" priority="25">
      <formula>OR(MOD($N50,100)=0,AND($D50=$E$24,MOD($N50,100)=$D$25))</formula>
    </cfRule>
  </conditionalFormatting>
  <conditionalFormatting sqref="N51">
    <cfRule type="cellIs" dxfId="207" priority="26" operator="notBetween">
      <formula>0</formula>
      <formula>$B$7</formula>
    </cfRule>
    <cfRule type="cellIs" dxfId="206" priority="27" operator="equal">
      <formula>0</formula>
    </cfRule>
    <cfRule type="expression" dxfId="205" priority="28">
      <formula>OR(MOD($N51,100)=0,AND($D51=$E$24,MOD($N51,100)=$D$25))</formula>
    </cfRule>
  </conditionalFormatting>
  <conditionalFormatting sqref="Q4:Q15">
    <cfRule type="expression" dxfId="204" priority="29">
      <formula>AND($Q4&lt;$Q3, NOT(ISBLANK($Q4)))</formula>
    </cfRule>
    <cfRule type="cellIs" dxfId="203" priority="30" operator="greaterThan">
      <formula>$B$6</formula>
    </cfRule>
  </conditionalFormatting>
  <dataValidations count="2">
    <dataValidation type="list" allowBlank="1" showInputMessage="1" showErrorMessage="1" sqref="C50:C59" xr:uid="{0449AC5D-ACED-42E5-88DA-0F5F58BC41DE}">
      <formula1>$D$19:$D$21</formula1>
    </dataValidation>
    <dataValidation type="list" allowBlank="1" showInputMessage="1" showErrorMessage="1" sqref="D68:D72 D78:D82 D50:D59" xr:uid="{983F090A-BC4C-4220-AFDF-15D28C9AC79E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D1019-368F-40FB-AC62-9FCE14B3032E}">
  <sheetPr codeName="Feuil48">
    <tabColor rgb="FFB4A7D6"/>
  </sheetPr>
  <dimension ref="A1:V82"/>
  <sheetViews>
    <sheetView zoomScale="80" zoomScaleNormal="80" workbookViewId="0">
      <selection activeCell="Q4" sqref="Q4"/>
    </sheetView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24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357" t="s">
        <v>11</v>
      </c>
      <c r="B1" s="363">
        <f>Synthèse!$B$17</f>
        <v>46103</v>
      </c>
      <c r="D1" s="243"/>
      <c r="E1" s="551" t="s">
        <v>120</v>
      </c>
      <c r="F1" s="552"/>
      <c r="G1" s="552"/>
      <c r="H1" s="552"/>
      <c r="I1" s="552"/>
      <c r="J1" s="552"/>
      <c r="K1" s="552"/>
      <c r="L1" s="552"/>
      <c r="M1" s="553"/>
      <c r="N1" s="316" t="s">
        <v>7</v>
      </c>
      <c r="O1" s="372"/>
    </row>
    <row r="2" spans="1:22" ht="45" customHeight="1" thickBot="1" x14ac:dyDescent="0.25">
      <c r="A2" s="358" t="s">
        <v>12</v>
      </c>
      <c r="B2" s="364" t="str">
        <f>Synthèse!$B$18</f>
        <v>Municipales 2ème tour</v>
      </c>
      <c r="D2" s="280" t="s">
        <v>80</v>
      </c>
      <c r="E2" s="619" t="str">
        <f>Synthèse!L2</f>
        <v>Candidat(e)
1</v>
      </c>
      <c r="F2" s="620" t="str">
        <f>Synthèse!M2</f>
        <v>Candidat(e)
2</v>
      </c>
      <c r="G2" s="621" t="str">
        <f>Synthèse!N2</f>
        <v>Candidat(e)
3</v>
      </c>
      <c r="H2" s="622" t="str">
        <f>Synthèse!O2</f>
        <v>Candidat(e)
4</v>
      </c>
      <c r="I2" s="623" t="str">
        <f>Synthèse!P2</f>
        <v>Candidat(e)
5</v>
      </c>
      <c r="J2" s="624" t="str">
        <f>Synthèse!Q2</f>
        <v>Candidat(e)
6</v>
      </c>
      <c r="K2" s="625" t="str">
        <f>Synthèse!R2</f>
        <v>Candidat(e)
7</v>
      </c>
      <c r="L2" s="320" t="s">
        <v>3</v>
      </c>
      <c r="M2" s="321" t="s">
        <v>4</v>
      </c>
      <c r="N2" s="317" t="s">
        <v>102</v>
      </c>
      <c r="O2" s="372"/>
      <c r="P2" s="367" t="s">
        <v>21</v>
      </c>
      <c r="Q2" s="293" t="s">
        <v>56</v>
      </c>
      <c r="R2" s="294" t="s">
        <v>30</v>
      </c>
      <c r="T2" s="295" t="s">
        <v>58</v>
      </c>
      <c r="U2" s="295" t="s">
        <v>57</v>
      </c>
    </row>
    <row r="3" spans="1:22" ht="20.100000000000001" customHeight="1" thickBot="1" x14ac:dyDescent="0.25">
      <c r="A3" s="359" t="s">
        <v>13</v>
      </c>
      <c r="B3" s="365" t="str">
        <f>Synthèse!$B$19</f>
        <v>Cogolin</v>
      </c>
      <c r="D3" s="277" t="str" cm="1">
        <f t="array" ref="D3">IF(ROW(1:1)&lt;=$E$24, (ROW(1:1)), "")</f>
        <v/>
      </c>
      <c r="E3" s="113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3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13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13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13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13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13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28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2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44">
        <f t="shared" ref="N3:N13" si="0">SUM(E3:M3)</f>
        <v>0</v>
      </c>
      <c r="O3" s="372"/>
      <c r="P3" s="368" t="s">
        <v>31</v>
      </c>
      <c r="Q3" s="269">
        <v>0</v>
      </c>
      <c r="R3" s="270">
        <f>Q3/$B$6</f>
        <v>0</v>
      </c>
      <c r="T3" s="256"/>
      <c r="U3" s="256"/>
    </row>
    <row r="4" spans="1:22" ht="20.100000000000001" customHeight="1" x14ac:dyDescent="0.2">
      <c r="A4" s="65" t="s">
        <v>22</v>
      </c>
      <c r="B4" s="375">
        <v>6</v>
      </c>
      <c r="D4" s="278" t="str" cm="1">
        <f t="array" ref="D4">IF(ROW(2:2)&lt;=$E$24, (ROW(2:2)), "")</f>
        <v/>
      </c>
      <c r="E4" s="114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4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4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14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14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14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15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1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4">
        <f t="shared" si="0"/>
        <v>0</v>
      </c>
      <c r="O4" s="372"/>
      <c r="P4" s="369" t="s">
        <v>32</v>
      </c>
      <c r="Q4" s="324"/>
      <c r="R4" s="273" t="e">
        <f t="shared" ref="R4:R13" si="1">IF(OR(Q4=0, Q4=""), NA(), Q4/$B$6)</f>
        <v>#N/A</v>
      </c>
      <c r="T4" s="251" t="s">
        <v>44</v>
      </c>
      <c r="U4" s="296" t="e">
        <f t="shared" ref="U4:U13" si="2">IF(Q4&lt;&gt;0,Q4-Q3,NA())</f>
        <v>#N/A</v>
      </c>
    </row>
    <row r="5" spans="1:22" ht="20.100000000000001" customHeight="1" x14ac:dyDescent="0.2">
      <c r="A5" s="66" t="s">
        <v>23</v>
      </c>
      <c r="B5" s="376" t="str">
        <f>INDEX(Synthèse!B:B,B4+2)</f>
        <v>COSEC</v>
      </c>
      <c r="D5" s="278" t="str" cm="1">
        <f t="array" ref="D5">IF(ROW(3:3)&lt;=$E$24, (ROW(3:3)), "")</f>
        <v/>
      </c>
      <c r="E5" s="114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4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14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14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14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14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14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3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31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4">
        <f t="shared" si="0"/>
        <v>0</v>
      </c>
      <c r="O5" s="373"/>
      <c r="P5" s="369" t="s">
        <v>33</v>
      </c>
      <c r="Q5" s="324"/>
      <c r="R5" s="273" t="e">
        <f t="shared" si="1"/>
        <v>#N/A</v>
      </c>
      <c r="T5" s="252" t="s">
        <v>45</v>
      </c>
      <c r="U5" s="297" t="e">
        <f t="shared" si="2"/>
        <v>#N/A</v>
      </c>
    </row>
    <row r="6" spans="1:22" ht="20.100000000000001" customHeight="1" x14ac:dyDescent="0.2">
      <c r="A6" s="66" t="s">
        <v>0</v>
      </c>
      <c r="B6" s="144">
        <f>INDEX(Synthèse!C:C,B4+2)</f>
        <v>712</v>
      </c>
      <c r="D6" s="278" t="str" cm="1">
        <f t="array" ref="D6">IF(ROW(4:4)&lt;=$E$24, (ROW(4:4)), "")</f>
        <v/>
      </c>
      <c r="E6" s="114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4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14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14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14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14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14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3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31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4">
        <f t="shared" si="0"/>
        <v>0</v>
      </c>
      <c r="O6" s="373"/>
      <c r="P6" s="369" t="s">
        <v>34</v>
      </c>
      <c r="Q6" s="324"/>
      <c r="R6" s="273" t="e">
        <f t="shared" si="1"/>
        <v>#N/A</v>
      </c>
      <c r="T6" s="252" t="s">
        <v>46</v>
      </c>
      <c r="U6" s="297" t="e">
        <f t="shared" si="2"/>
        <v>#N/A</v>
      </c>
    </row>
    <row r="7" spans="1:22" ht="20.100000000000001" customHeight="1" x14ac:dyDescent="0.2">
      <c r="A7" s="66" t="s">
        <v>2</v>
      </c>
      <c r="B7" s="123">
        <f>MAX(Q4:Q15)</f>
        <v>0</v>
      </c>
      <c r="D7" s="278" t="str" cm="1">
        <f t="array" ref="D7">IF(ROW(5:5)&lt;=$E$24, (ROW(5:5)), "")</f>
        <v/>
      </c>
      <c r="E7" s="114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4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4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14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14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14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15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1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4">
        <f t="shared" si="0"/>
        <v>0</v>
      </c>
      <c r="O7" s="373"/>
      <c r="P7" s="369" t="s">
        <v>35</v>
      </c>
      <c r="Q7" s="324"/>
      <c r="R7" s="273" t="e">
        <f t="shared" si="1"/>
        <v>#N/A</v>
      </c>
      <c r="T7" s="252" t="s">
        <v>53</v>
      </c>
      <c r="U7" s="297" t="e">
        <f t="shared" si="2"/>
        <v>#N/A</v>
      </c>
    </row>
    <row r="8" spans="1:22" ht="20.100000000000001" customHeight="1" x14ac:dyDescent="0.2">
      <c r="A8" s="66" t="s">
        <v>1</v>
      </c>
      <c r="B8" s="124"/>
      <c r="D8" s="278" t="str" cm="1">
        <f t="array" ref="D8">IF(ROW(6:6)&lt;=$E$24, (ROW(6:6)), "")</f>
        <v/>
      </c>
      <c r="E8" s="114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4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4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14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14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14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15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1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4">
        <f t="shared" si="0"/>
        <v>0</v>
      </c>
      <c r="O8" s="373"/>
      <c r="P8" s="369" t="s">
        <v>36</v>
      </c>
      <c r="Q8" s="324"/>
      <c r="R8" s="273" t="e">
        <f t="shared" si="1"/>
        <v>#N/A</v>
      </c>
      <c r="T8" s="252" t="s">
        <v>47</v>
      </c>
      <c r="U8" s="297" t="e">
        <f t="shared" si="2"/>
        <v>#N/A</v>
      </c>
    </row>
    <row r="9" spans="1:22" ht="20.100000000000001" customHeight="1" thickBot="1" x14ac:dyDescent="0.25">
      <c r="A9" s="67" t="s">
        <v>17</v>
      </c>
      <c r="B9" s="125">
        <f>B6-B7</f>
        <v>712</v>
      </c>
      <c r="D9" s="278" t="str" cm="1">
        <f t="array" ref="D9">IF(ROW(7:7)&lt;=$E$24, (ROW(7:7)), "")</f>
        <v/>
      </c>
      <c r="E9" s="114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4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4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14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14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14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17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18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4">
        <f t="shared" si="0"/>
        <v>0</v>
      </c>
      <c r="O9" s="373"/>
      <c r="P9" s="369" t="s">
        <v>37</v>
      </c>
      <c r="Q9" s="324"/>
      <c r="R9" s="273" t="e">
        <f t="shared" si="1"/>
        <v>#N/A</v>
      </c>
      <c r="T9" s="252" t="s">
        <v>48</v>
      </c>
      <c r="U9" s="297" t="e">
        <f t="shared" si="2"/>
        <v>#N/A</v>
      </c>
    </row>
    <row r="10" spans="1:22" ht="20.100000000000001" customHeight="1" x14ac:dyDescent="0.2">
      <c r="A10" s="554" t="s">
        <v>59</v>
      </c>
      <c r="B10" s="554"/>
      <c r="D10" s="278" t="str" cm="1">
        <f t="array" ref="D10">IF(ROW(8:8)&lt;=$E$24, (ROW(8:8)), "")</f>
        <v/>
      </c>
      <c r="E10" s="114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4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4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14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14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14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17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18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4">
        <f t="shared" si="0"/>
        <v>0</v>
      </c>
      <c r="O10" s="373"/>
      <c r="P10" s="369" t="s">
        <v>38</v>
      </c>
      <c r="Q10" s="324"/>
      <c r="R10" s="273" t="e">
        <f t="shared" si="1"/>
        <v>#N/A</v>
      </c>
      <c r="T10" s="252" t="s">
        <v>49</v>
      </c>
      <c r="U10" s="297" t="e">
        <f t="shared" si="2"/>
        <v>#N/A</v>
      </c>
    </row>
    <row r="11" spans="1:22" ht="20.100000000000001" customHeight="1" x14ac:dyDescent="0.2">
      <c r="A11" s="555"/>
      <c r="B11" s="555"/>
      <c r="D11" s="278" t="str" cm="1">
        <f t="array" ref="D11">IF(ROW(9:9)&lt;=$E$24, (ROW(9:9)), "")</f>
        <v/>
      </c>
      <c r="E11" s="114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4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4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14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14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14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17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18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4">
        <f t="shared" si="0"/>
        <v>0</v>
      </c>
      <c r="O11" s="373"/>
      <c r="P11" s="369" t="s">
        <v>39</v>
      </c>
      <c r="Q11" s="324"/>
      <c r="R11" s="273" t="e">
        <f t="shared" si="1"/>
        <v>#N/A</v>
      </c>
      <c r="T11" s="252" t="s">
        <v>50</v>
      </c>
      <c r="U11" s="297" t="e">
        <f t="shared" si="2"/>
        <v>#N/A</v>
      </c>
    </row>
    <row r="12" spans="1:22" ht="20.100000000000001" customHeight="1" thickBot="1" x14ac:dyDescent="0.25">
      <c r="A12" s="556" t="s">
        <v>60</v>
      </c>
      <c r="B12" s="556"/>
      <c r="D12" s="279" t="str" cm="1">
        <f t="array" ref="D12">IF(ROW(10:10)&lt;=$E$24, (ROW(10:10)), "")</f>
        <v/>
      </c>
      <c r="E12" s="114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4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14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14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14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14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14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32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33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4">
        <f t="shared" si="0"/>
        <v>0</v>
      </c>
      <c r="O12" s="373"/>
      <c r="P12" s="369" t="s">
        <v>40</v>
      </c>
      <c r="Q12" s="324"/>
      <c r="R12" s="273" t="e">
        <f t="shared" si="1"/>
        <v>#N/A</v>
      </c>
      <c r="T12" s="252" t="s">
        <v>51</v>
      </c>
      <c r="U12" s="297" t="e">
        <f t="shared" si="2"/>
        <v>#N/A</v>
      </c>
    </row>
    <row r="13" spans="1:22" ht="20.100000000000001" customHeight="1" thickBot="1" x14ac:dyDescent="0.3">
      <c r="A13" s="556"/>
      <c r="B13" s="556"/>
      <c r="D13" s="35" t="s">
        <v>9</v>
      </c>
      <c r="E13" s="119">
        <f>SUM(E3:E12)</f>
        <v>0</v>
      </c>
      <c r="F13" s="497">
        <f>SUM(F3:F12)</f>
        <v>0</v>
      </c>
      <c r="G13" s="497">
        <f>SUM(G3:G12)</f>
        <v>0</v>
      </c>
      <c r="H13" s="497">
        <f>SUM(H3:H12)</f>
        <v>0</v>
      </c>
      <c r="I13" s="497">
        <f>SUM(I3:I12)</f>
        <v>0</v>
      </c>
      <c r="J13" s="497">
        <f>SUM(J3:J12)</f>
        <v>0</v>
      </c>
      <c r="K13" s="120">
        <f>SUM(K3:K12)</f>
        <v>0</v>
      </c>
      <c r="L13" s="121">
        <f>SUM(L3:L12)</f>
        <v>0</v>
      </c>
      <c r="M13" s="122">
        <f>SUM(M3:M12)</f>
        <v>0</v>
      </c>
      <c r="N13" s="355">
        <f t="shared" si="0"/>
        <v>0</v>
      </c>
      <c r="O13" s="373"/>
      <c r="P13" s="369" t="s">
        <v>41</v>
      </c>
      <c r="Q13" s="324"/>
      <c r="R13" s="273" t="e">
        <f t="shared" si="1"/>
        <v>#N/A</v>
      </c>
      <c r="T13" s="253" t="s">
        <v>52</v>
      </c>
      <c r="U13" s="298" t="e">
        <f t="shared" si="2"/>
        <v>#N/A</v>
      </c>
    </row>
    <row r="14" spans="1:22" ht="20.100000000000001" customHeight="1" thickBot="1" x14ac:dyDescent="0.3">
      <c r="A14" s="556"/>
      <c r="B14" s="556"/>
      <c r="D14" s="60" t="s">
        <v>10</v>
      </c>
      <c r="E14" s="32">
        <f t="shared" ref="E14:N14" si="3">IFERROR(E13/$B$7,0)</f>
        <v>0</v>
      </c>
      <c r="F14" s="498">
        <f t="shared" si="3"/>
        <v>0</v>
      </c>
      <c r="G14" s="498">
        <f t="shared" si="3"/>
        <v>0</v>
      </c>
      <c r="H14" s="498">
        <f t="shared" si="3"/>
        <v>0</v>
      </c>
      <c r="I14" s="498">
        <f t="shared" si="3"/>
        <v>0</v>
      </c>
      <c r="J14" s="498">
        <f t="shared" si="3"/>
        <v>0</v>
      </c>
      <c r="K14" s="33">
        <f t="shared" si="3"/>
        <v>0</v>
      </c>
      <c r="L14" s="32">
        <f t="shared" si="3"/>
        <v>0</v>
      </c>
      <c r="M14" s="34">
        <f t="shared" si="3"/>
        <v>0</v>
      </c>
      <c r="N14" s="356">
        <f t="shared" si="3"/>
        <v>0</v>
      </c>
      <c r="O14" s="372"/>
      <c r="P14" s="370" t="s">
        <v>42</v>
      </c>
      <c r="Q14" s="325"/>
      <c r="R14" s="275" t="e">
        <f>IF(OR(Q14=0, Q14=""), NA(), Q14/$B$6)</f>
        <v>#N/A</v>
      </c>
      <c r="S14" s="300"/>
      <c r="T14" s="304" t="s">
        <v>54</v>
      </c>
      <c r="U14" s="299" t="e">
        <f>IF(Q14&lt;&gt;0,Q14-Q13,NA())</f>
        <v>#N/A</v>
      </c>
      <c r="V14" s="300"/>
    </row>
    <row r="15" spans="1:22" ht="18" customHeight="1" thickBot="1" x14ac:dyDescent="0.25">
      <c r="A15" s="558" t="s">
        <v>66</v>
      </c>
      <c r="B15" s="558"/>
      <c r="C15" s="1"/>
      <c r="D15" s="1"/>
      <c r="N15" s="254"/>
      <c r="O15" s="372"/>
      <c r="P15" s="371" t="s">
        <v>43</v>
      </c>
      <c r="Q15" s="326"/>
      <c r="R15" s="301" t="e">
        <f>IF(OR(Q15=0, Q15=""), NA(), Q15/$B$6)</f>
        <v>#N/A</v>
      </c>
      <c r="T15" s="305" t="s">
        <v>55</v>
      </c>
      <c r="U15" s="303" t="e">
        <f>IF(Q15&lt;&gt;0,Q15-Q14,NA())</f>
        <v>#N/A</v>
      </c>
      <c r="V15" s="300"/>
    </row>
    <row r="16" spans="1:22" ht="12.75" customHeight="1" x14ac:dyDescent="0.2">
      <c r="A16" s="558"/>
      <c r="B16" s="558"/>
      <c r="O16" s="372"/>
      <c r="P16" s="254"/>
      <c r="Q16" s="254"/>
      <c r="R16" s="254"/>
      <c r="U16" s="254"/>
    </row>
    <row r="17" spans="1:15" ht="18" customHeight="1" x14ac:dyDescent="0.25">
      <c r="A17" s="558"/>
      <c r="B17" s="558"/>
      <c r="E17" s="185"/>
      <c r="F17" s="185"/>
      <c r="G17" s="185"/>
      <c r="H17" s="185"/>
      <c r="I17" s="185"/>
      <c r="J17" s="185"/>
      <c r="O17" s="372"/>
    </row>
    <row r="18" spans="1:15" ht="26.25" customHeight="1" x14ac:dyDescent="0.2">
      <c r="A18" s="558"/>
      <c r="B18" s="558"/>
      <c r="D18" s="353" t="s">
        <v>63</v>
      </c>
      <c r="O18" s="372"/>
    </row>
    <row r="19" spans="1:15" x14ac:dyDescent="0.2">
      <c r="D19" s="354">
        <f>IF((ROW()-23)&lt;=$E$25,(ROW()-23),"Choisir")</f>
        <v>-4</v>
      </c>
      <c r="O19" s="372"/>
    </row>
    <row r="20" spans="1:15" x14ac:dyDescent="0.2">
      <c r="D20" s="354">
        <f>IF((ROW()-23)&lt;=$E$25,(ROW()-23),"Choisir")</f>
        <v>-3</v>
      </c>
      <c r="O20" s="372"/>
    </row>
    <row r="21" spans="1:15" x14ac:dyDescent="0.2">
      <c r="D21" s="354">
        <f>IF((ROW()-23)&lt;=$E$25,(ROW()-23),"Choisir")</f>
        <v>-2</v>
      </c>
      <c r="O21" s="372"/>
    </row>
    <row r="22" spans="1:15" x14ac:dyDescent="0.2">
      <c r="D22" s="354">
        <f>IF((ROW()-23)&lt;=$E$25,(ROW()-23),"Choisir")</f>
        <v>-1</v>
      </c>
      <c r="O22" s="372"/>
    </row>
    <row r="23" spans="1:15" x14ac:dyDescent="0.2">
      <c r="O23" s="372"/>
    </row>
    <row r="24" spans="1:15" x14ac:dyDescent="0.2">
      <c r="D24" s="199">
        <f>CEILING($B$6, 100)/100</f>
        <v>8</v>
      </c>
      <c r="E24" s="335">
        <f>CEILING($B$7,100)/100</f>
        <v>0</v>
      </c>
      <c r="F24" s="335"/>
      <c r="G24" s="335"/>
      <c r="H24" s="335"/>
      <c r="I24" s="335"/>
      <c r="J24" s="335"/>
      <c r="O24" s="372"/>
    </row>
    <row r="25" spans="1:15" x14ac:dyDescent="0.2">
      <c r="D25" s="199">
        <f>MOD($B$7,100)</f>
        <v>0</v>
      </c>
      <c r="E25" s="200">
        <f>CEILING($B$6/300,1)</f>
        <v>3</v>
      </c>
      <c r="F25" s="200"/>
      <c r="G25" s="200"/>
      <c r="H25" s="200"/>
      <c r="I25" s="200"/>
      <c r="J25" s="200"/>
      <c r="O25" s="372"/>
    </row>
    <row r="26" spans="1:15" x14ac:dyDescent="0.2">
      <c r="O26" s="372"/>
    </row>
    <row r="27" spans="1:15" x14ac:dyDescent="0.2">
      <c r="O27" s="372"/>
    </row>
    <row r="28" spans="1:15" x14ac:dyDescent="0.2">
      <c r="O28" s="372"/>
    </row>
    <row r="29" spans="1:15" x14ac:dyDescent="0.2">
      <c r="O29" s="372"/>
    </row>
    <row r="30" spans="1:15" x14ac:dyDescent="0.2">
      <c r="O30" s="372"/>
    </row>
    <row r="31" spans="1:15" x14ac:dyDescent="0.2">
      <c r="O31" s="372"/>
    </row>
    <row r="32" spans="1:15" x14ac:dyDescent="0.2">
      <c r="O32" s="372"/>
    </row>
    <row r="33" spans="1:15" x14ac:dyDescent="0.2">
      <c r="O33" s="372"/>
    </row>
    <row r="34" spans="1:15" x14ac:dyDescent="0.2">
      <c r="O34" s="372"/>
    </row>
    <row r="35" spans="1:15" x14ac:dyDescent="0.2">
      <c r="O35" s="372"/>
    </row>
    <row r="36" spans="1:15" x14ac:dyDescent="0.2">
      <c r="O36" s="372"/>
    </row>
    <row r="37" spans="1:15" x14ac:dyDescent="0.2">
      <c r="O37" s="372"/>
    </row>
    <row r="38" spans="1:15" x14ac:dyDescent="0.2">
      <c r="O38" s="372"/>
    </row>
    <row r="39" spans="1:15" x14ac:dyDescent="0.2">
      <c r="O39" s="372"/>
    </row>
    <row r="40" spans="1:15" x14ac:dyDescent="0.2">
      <c r="O40" s="372"/>
    </row>
    <row r="41" spans="1:15" x14ac:dyDescent="0.2">
      <c r="O41" s="372"/>
    </row>
    <row r="42" spans="1:15" x14ac:dyDescent="0.2">
      <c r="O42" s="372"/>
    </row>
    <row r="43" spans="1:15" ht="13.5" thickBot="1" x14ac:dyDescent="0.25">
      <c r="A43" s="366"/>
      <c r="B43" s="366"/>
      <c r="C43" s="366"/>
      <c r="D43" s="366"/>
      <c r="E43" s="366"/>
      <c r="F43" s="366"/>
      <c r="G43" s="366"/>
      <c r="H43" s="366"/>
      <c r="I43" s="366"/>
      <c r="J43" s="366"/>
      <c r="K43" s="366"/>
      <c r="L43" s="366"/>
      <c r="M43" s="366"/>
      <c r="N43" s="366"/>
      <c r="O43" s="374"/>
    </row>
    <row r="44" spans="1:15" ht="13.5" thickTop="1" x14ac:dyDescent="0.2">
      <c r="O44" s="372"/>
    </row>
    <row r="45" spans="1:15" x14ac:dyDescent="0.2">
      <c r="O45" s="372"/>
    </row>
    <row r="46" spans="1:15" x14ac:dyDescent="0.2">
      <c r="E46" s="126"/>
      <c r="F46" s="126"/>
      <c r="G46" s="126"/>
      <c r="H46" s="126"/>
      <c r="I46" s="126"/>
      <c r="J46" s="126"/>
      <c r="O46" s="372"/>
    </row>
    <row r="47" spans="1:15" ht="13.5" thickBot="1" x14ac:dyDescent="0.25">
      <c r="E47" s="126"/>
      <c r="F47" s="126"/>
      <c r="G47" s="126"/>
      <c r="H47" s="126"/>
      <c r="I47" s="126"/>
      <c r="J47" s="126"/>
      <c r="O47" s="372"/>
    </row>
    <row r="48" spans="1:15" ht="20.100000000000001" customHeight="1" thickBot="1" x14ac:dyDescent="0.25">
      <c r="D48" s="189" t="s">
        <v>76</v>
      </c>
      <c r="E48" s="548" t="s">
        <v>117</v>
      </c>
      <c r="F48" s="549"/>
      <c r="G48" s="549"/>
      <c r="H48" s="549"/>
      <c r="I48" s="549"/>
      <c r="J48" s="549"/>
      <c r="K48" s="549"/>
      <c r="L48" s="549"/>
      <c r="M48" s="550"/>
      <c r="N48" s="306" t="s">
        <v>7</v>
      </c>
      <c r="O48" s="372"/>
    </row>
    <row r="49" spans="3:15" ht="47.25" customHeight="1" thickBot="1" x14ac:dyDescent="0.25">
      <c r="C49" s="187"/>
      <c r="D49" s="284" t="s">
        <v>79</v>
      </c>
      <c r="E49" s="626" t="str">
        <f>E2</f>
        <v>Candidat(e)
1</v>
      </c>
      <c r="F49" s="627" t="str">
        <f>F2</f>
        <v>Candidat(e)
2</v>
      </c>
      <c r="G49" s="628" t="str">
        <f t="shared" ref="G49:K49" si="4">G2</f>
        <v>Candidat(e)
3</v>
      </c>
      <c r="H49" s="629" t="str">
        <f t="shared" si="4"/>
        <v>Candidat(e)
4</v>
      </c>
      <c r="I49" s="630" t="str">
        <f t="shared" si="4"/>
        <v>Candidat(e)
5</v>
      </c>
      <c r="J49" s="631" t="str">
        <f t="shared" si="4"/>
        <v>Candidat(e)
6</v>
      </c>
      <c r="K49" s="632" t="str">
        <f t="shared" si="4"/>
        <v>Candidat(e)
7</v>
      </c>
      <c r="L49" s="322" t="s">
        <v>3</v>
      </c>
      <c r="M49" s="323" t="s">
        <v>4</v>
      </c>
      <c r="N49" s="308" t="s">
        <v>101</v>
      </c>
      <c r="O49" s="372"/>
    </row>
    <row r="50" spans="3:15" ht="19.5" customHeight="1" x14ac:dyDescent="0.2">
      <c r="C50" s="188"/>
      <c r="D50" s="283" t="s">
        <v>78</v>
      </c>
      <c r="E50" s="246"/>
      <c r="F50" s="246"/>
      <c r="G50" s="246"/>
      <c r="H50" s="246"/>
      <c r="I50" s="246"/>
      <c r="J50" s="246"/>
      <c r="K50" s="247"/>
      <c r="L50" s="249"/>
      <c r="M50" s="248"/>
      <c r="N50" s="307">
        <f t="shared" ref="N50:N59" si="5">SUM(E50:M50)</f>
        <v>0</v>
      </c>
      <c r="O50" s="372"/>
    </row>
    <row r="51" spans="3:15" ht="20.100000000000001" customHeight="1" x14ac:dyDescent="0.2">
      <c r="C51" s="188"/>
      <c r="D51" s="283" t="s">
        <v>78</v>
      </c>
      <c r="E51" s="246"/>
      <c r="F51" s="246"/>
      <c r="G51" s="246"/>
      <c r="H51" s="246"/>
      <c r="I51" s="246"/>
      <c r="J51" s="246"/>
      <c r="K51" s="247"/>
      <c r="L51" s="249"/>
      <c r="M51" s="248"/>
      <c r="N51" s="307">
        <f t="shared" si="5"/>
        <v>0</v>
      </c>
      <c r="O51" s="372"/>
    </row>
    <row r="52" spans="3:15" ht="20.100000000000001" customHeight="1" x14ac:dyDescent="0.2">
      <c r="C52" s="188"/>
      <c r="D52" s="283" t="s">
        <v>78</v>
      </c>
      <c r="E52" s="246"/>
      <c r="F52" s="246"/>
      <c r="G52" s="246"/>
      <c r="H52" s="246"/>
      <c r="I52" s="246"/>
      <c r="J52" s="246"/>
      <c r="K52" s="247"/>
      <c r="L52" s="249"/>
      <c r="M52" s="248"/>
      <c r="N52" s="307">
        <f t="shared" si="5"/>
        <v>0</v>
      </c>
      <c r="O52" s="372"/>
    </row>
    <row r="53" spans="3:15" ht="20.100000000000001" customHeight="1" x14ac:dyDescent="0.2">
      <c r="C53" s="188"/>
      <c r="D53" s="283" t="s">
        <v>78</v>
      </c>
      <c r="E53" s="246"/>
      <c r="F53" s="246"/>
      <c r="G53" s="246"/>
      <c r="H53" s="246"/>
      <c r="I53" s="246"/>
      <c r="J53" s="246"/>
      <c r="K53" s="247"/>
      <c r="L53" s="249"/>
      <c r="M53" s="248"/>
      <c r="N53" s="307">
        <f t="shared" si="5"/>
        <v>0</v>
      </c>
      <c r="O53" s="372"/>
    </row>
    <row r="54" spans="3:15" ht="20.100000000000001" customHeight="1" x14ac:dyDescent="0.2">
      <c r="C54" s="188"/>
      <c r="D54" s="283" t="s">
        <v>78</v>
      </c>
      <c r="E54" s="246"/>
      <c r="F54" s="246"/>
      <c r="G54" s="246"/>
      <c r="H54" s="246"/>
      <c r="I54" s="246"/>
      <c r="J54" s="246"/>
      <c r="K54" s="247"/>
      <c r="L54" s="249"/>
      <c r="M54" s="248"/>
      <c r="N54" s="307">
        <f t="shared" si="5"/>
        <v>0</v>
      </c>
      <c r="O54" s="372"/>
    </row>
    <row r="55" spans="3:15" ht="20.100000000000001" customHeight="1" x14ac:dyDescent="0.2">
      <c r="C55" s="188"/>
      <c r="D55" s="283" t="s">
        <v>78</v>
      </c>
      <c r="E55" s="246"/>
      <c r="F55" s="246"/>
      <c r="G55" s="246"/>
      <c r="H55" s="246"/>
      <c r="I55" s="246"/>
      <c r="J55" s="246"/>
      <c r="K55" s="247"/>
      <c r="L55" s="249"/>
      <c r="M55" s="248"/>
      <c r="N55" s="307">
        <f t="shared" si="5"/>
        <v>0</v>
      </c>
      <c r="O55" s="372"/>
    </row>
    <row r="56" spans="3:15" ht="20.100000000000001" customHeight="1" x14ac:dyDescent="0.2">
      <c r="C56" s="188"/>
      <c r="D56" s="283" t="s">
        <v>78</v>
      </c>
      <c r="E56" s="246"/>
      <c r="F56" s="246"/>
      <c r="G56" s="246"/>
      <c r="H56" s="246"/>
      <c r="I56" s="246"/>
      <c r="J56" s="246"/>
      <c r="K56" s="247"/>
      <c r="L56" s="249"/>
      <c r="M56" s="248"/>
      <c r="N56" s="307">
        <f t="shared" si="5"/>
        <v>0</v>
      </c>
      <c r="O56" s="372"/>
    </row>
    <row r="57" spans="3:15" ht="20.100000000000001" customHeight="1" x14ac:dyDescent="0.2">
      <c r="C57" s="188"/>
      <c r="D57" s="283" t="s">
        <v>78</v>
      </c>
      <c r="E57" s="246"/>
      <c r="F57" s="246"/>
      <c r="G57" s="246"/>
      <c r="H57" s="246"/>
      <c r="I57" s="246"/>
      <c r="J57" s="246"/>
      <c r="K57" s="247"/>
      <c r="L57" s="249"/>
      <c r="M57" s="248"/>
      <c r="N57" s="307">
        <f t="shared" si="5"/>
        <v>0</v>
      </c>
      <c r="O57" s="372"/>
    </row>
    <row r="58" spans="3:15" ht="20.100000000000001" customHeight="1" x14ac:dyDescent="0.2">
      <c r="C58" s="188"/>
      <c r="D58" s="283" t="s">
        <v>78</v>
      </c>
      <c r="E58" s="246"/>
      <c r="F58" s="246"/>
      <c r="G58" s="246"/>
      <c r="H58" s="246"/>
      <c r="I58" s="246"/>
      <c r="J58" s="246"/>
      <c r="K58" s="247"/>
      <c r="L58" s="249"/>
      <c r="M58" s="248"/>
      <c r="N58" s="307">
        <f t="shared" si="5"/>
        <v>0</v>
      </c>
      <c r="O58" s="372"/>
    </row>
    <row r="59" spans="3:15" ht="20.100000000000001" customHeight="1" thickBot="1" x14ac:dyDescent="0.25">
      <c r="C59" s="188"/>
      <c r="D59" s="287" t="s">
        <v>78</v>
      </c>
      <c r="E59" s="288"/>
      <c r="F59" s="288"/>
      <c r="G59" s="288"/>
      <c r="H59" s="288"/>
      <c r="I59" s="288"/>
      <c r="J59" s="288"/>
      <c r="K59" s="289"/>
      <c r="L59" s="291"/>
      <c r="M59" s="290"/>
      <c r="N59" s="307">
        <f t="shared" si="5"/>
        <v>0</v>
      </c>
      <c r="O59" s="372"/>
    </row>
    <row r="60" spans="3:15" x14ac:dyDescent="0.2">
      <c r="N60" s="254"/>
      <c r="O60" s="372"/>
    </row>
    <row r="61" spans="3:15" x14ac:dyDescent="0.2">
      <c r="O61" s="372"/>
    </row>
    <row r="62" spans="3:15" x14ac:dyDescent="0.2">
      <c r="O62" s="372"/>
    </row>
    <row r="63" spans="3:15" ht="18" x14ac:dyDescent="0.25">
      <c r="E63" s="185"/>
      <c r="F63" s="185"/>
      <c r="G63" s="185"/>
      <c r="H63" s="185"/>
      <c r="I63" s="185"/>
      <c r="J63" s="185"/>
      <c r="O63" s="372"/>
    </row>
    <row r="64" spans="3:15" x14ac:dyDescent="0.2">
      <c r="O64" s="372"/>
    </row>
    <row r="65" spans="4:15" ht="13.5" thickBot="1" x14ac:dyDescent="0.25">
      <c r="O65" s="372"/>
    </row>
    <row r="66" spans="4:15" ht="16.5" customHeight="1" thickBot="1" x14ac:dyDescent="0.25">
      <c r="D66" s="189" t="s">
        <v>77</v>
      </c>
      <c r="E66" s="548" t="s">
        <v>118</v>
      </c>
      <c r="F66" s="549"/>
      <c r="G66" s="549"/>
      <c r="H66" s="549"/>
      <c r="I66" s="549"/>
      <c r="J66" s="549"/>
      <c r="K66" s="549"/>
      <c r="L66" s="549"/>
      <c r="M66" s="550"/>
      <c r="N66" s="306" t="s">
        <v>7</v>
      </c>
      <c r="O66" s="372"/>
    </row>
    <row r="67" spans="4:15" ht="42" customHeight="1" thickBot="1" x14ac:dyDescent="0.25">
      <c r="D67" s="284" t="s">
        <v>79</v>
      </c>
      <c r="E67" s="626" t="str">
        <f>E2</f>
        <v>Candidat(e)
1</v>
      </c>
      <c r="F67" s="627" t="str">
        <f>F2</f>
        <v>Candidat(e)
2</v>
      </c>
      <c r="G67" s="628" t="str">
        <f t="shared" ref="G67:K67" si="6">G2</f>
        <v>Candidat(e)
3</v>
      </c>
      <c r="H67" s="629" t="str">
        <f t="shared" si="6"/>
        <v>Candidat(e)
4</v>
      </c>
      <c r="I67" s="630" t="str">
        <f t="shared" si="6"/>
        <v>Candidat(e)
5</v>
      </c>
      <c r="J67" s="631" t="str">
        <f t="shared" si="6"/>
        <v>Candidat(e)
6</v>
      </c>
      <c r="K67" s="632" t="str">
        <f t="shared" si="6"/>
        <v>Candidat(e)
7</v>
      </c>
      <c r="L67" s="322" t="s">
        <v>3</v>
      </c>
      <c r="M67" s="323" t="s">
        <v>4</v>
      </c>
      <c r="N67" s="313" t="s">
        <v>101</v>
      </c>
      <c r="O67" s="372"/>
    </row>
    <row r="68" spans="4:15" ht="20.100000000000001" customHeight="1" x14ac:dyDescent="0.2">
      <c r="D68" s="198" t="s">
        <v>78</v>
      </c>
      <c r="E68" s="191"/>
      <c r="F68" s="191"/>
      <c r="G68" s="191"/>
      <c r="H68" s="191"/>
      <c r="I68" s="191"/>
      <c r="J68" s="191"/>
      <c r="K68" s="192"/>
      <c r="L68" s="194"/>
      <c r="M68" s="193"/>
      <c r="N68" s="310">
        <f>SUM(E68:M68)</f>
        <v>0</v>
      </c>
      <c r="O68" s="372"/>
    </row>
    <row r="69" spans="4:15" ht="20.100000000000001" customHeight="1" x14ac:dyDescent="0.2">
      <c r="D69" s="196" t="s">
        <v>78</v>
      </c>
      <c r="E69" s="136"/>
      <c r="F69" s="136"/>
      <c r="G69" s="136"/>
      <c r="H69" s="136"/>
      <c r="I69" s="136"/>
      <c r="J69" s="136"/>
      <c r="K69" s="137"/>
      <c r="L69" s="139"/>
      <c r="M69" s="138"/>
      <c r="N69" s="244">
        <f>SUM(E69:M69)</f>
        <v>0</v>
      </c>
      <c r="O69" s="372"/>
    </row>
    <row r="70" spans="4:15" ht="20.100000000000001" customHeight="1" x14ac:dyDescent="0.2">
      <c r="D70" s="196" t="s">
        <v>78</v>
      </c>
      <c r="E70" s="136"/>
      <c r="F70" s="136"/>
      <c r="G70" s="136"/>
      <c r="H70" s="136"/>
      <c r="I70" s="136"/>
      <c r="J70" s="136"/>
      <c r="K70" s="137"/>
      <c r="L70" s="139"/>
      <c r="M70" s="138"/>
      <c r="N70" s="244">
        <f>SUM(E70:M70)</f>
        <v>0</v>
      </c>
      <c r="O70" s="372"/>
    </row>
    <row r="71" spans="4:15" ht="20.100000000000001" customHeight="1" x14ac:dyDescent="0.2">
      <c r="D71" s="196" t="s">
        <v>78</v>
      </c>
      <c r="E71" s="136"/>
      <c r="F71" s="136"/>
      <c r="G71" s="136"/>
      <c r="H71" s="136"/>
      <c r="I71" s="136"/>
      <c r="J71" s="136"/>
      <c r="K71" s="137"/>
      <c r="L71" s="139"/>
      <c r="M71" s="138"/>
      <c r="N71" s="244">
        <f>SUM(E71:M71)</f>
        <v>0</v>
      </c>
      <c r="O71" s="372"/>
    </row>
    <row r="72" spans="4:15" ht="20.100000000000001" customHeight="1" thickBot="1" x14ac:dyDescent="0.25">
      <c r="D72" s="197" t="s">
        <v>78</v>
      </c>
      <c r="E72" s="140"/>
      <c r="F72" s="140"/>
      <c r="G72" s="140"/>
      <c r="H72" s="140"/>
      <c r="I72" s="140"/>
      <c r="J72" s="140"/>
      <c r="K72" s="141"/>
      <c r="L72" s="143"/>
      <c r="M72" s="142"/>
      <c r="N72" s="311">
        <f>SUM(E72:M72)</f>
        <v>0</v>
      </c>
      <c r="O72" s="372"/>
    </row>
    <row r="73" spans="4:15" ht="20.100000000000001" customHeight="1" x14ac:dyDescent="0.2">
      <c r="D73" s="190"/>
      <c r="E73" s="188"/>
      <c r="F73" s="188"/>
      <c r="G73" s="188"/>
      <c r="H73" s="188"/>
      <c r="I73" s="188"/>
      <c r="J73" s="188"/>
      <c r="K73" s="188"/>
      <c r="L73" s="188"/>
      <c r="M73" s="188"/>
      <c r="O73" s="372"/>
    </row>
    <row r="74" spans="4:15" ht="20.100000000000001" customHeight="1" x14ac:dyDescent="0.2">
      <c r="D74" s="190"/>
      <c r="E74" s="188"/>
      <c r="F74" s="188"/>
      <c r="G74" s="188"/>
      <c r="H74" s="188"/>
      <c r="I74" s="188"/>
      <c r="J74" s="188"/>
      <c r="K74" s="188"/>
      <c r="L74" s="188"/>
      <c r="M74" s="188"/>
      <c r="O74" s="372"/>
    </row>
    <row r="75" spans="4:15" ht="20.100000000000001" customHeight="1" thickBot="1" x14ac:dyDescent="0.25">
      <c r="D75" s="190"/>
      <c r="E75" s="188"/>
      <c r="F75" s="188"/>
      <c r="G75" s="188"/>
      <c r="H75" s="188"/>
      <c r="I75" s="188"/>
      <c r="J75" s="188"/>
      <c r="K75" s="188"/>
      <c r="L75" s="188"/>
      <c r="M75" s="188"/>
      <c r="O75" s="372"/>
    </row>
    <row r="76" spans="4:15" ht="20.100000000000001" customHeight="1" thickBot="1" x14ac:dyDescent="0.25">
      <c r="D76" s="189" t="s">
        <v>81</v>
      </c>
      <c r="E76" s="548" t="s">
        <v>119</v>
      </c>
      <c r="F76" s="549"/>
      <c r="G76" s="549"/>
      <c r="H76" s="549"/>
      <c r="I76" s="549"/>
      <c r="J76" s="549"/>
      <c r="K76" s="549"/>
      <c r="L76" s="549"/>
      <c r="M76" s="550"/>
      <c r="N76" s="312" t="s">
        <v>7</v>
      </c>
      <c r="O76" s="372"/>
    </row>
    <row r="77" spans="4:15" ht="39.75" customHeight="1" thickBot="1" x14ac:dyDescent="0.25">
      <c r="D77" s="284" t="s">
        <v>79</v>
      </c>
      <c r="E77" s="626" t="str">
        <f>E2</f>
        <v>Candidat(e)
1</v>
      </c>
      <c r="F77" s="627" t="str">
        <f>F2</f>
        <v>Candidat(e)
2</v>
      </c>
      <c r="G77" s="628" t="str">
        <f t="shared" ref="G77:K77" si="7">G2</f>
        <v>Candidat(e)
3</v>
      </c>
      <c r="H77" s="629" t="str">
        <f t="shared" si="7"/>
        <v>Candidat(e)
4</v>
      </c>
      <c r="I77" s="630" t="str">
        <f t="shared" si="7"/>
        <v>Candidat(e)
5</v>
      </c>
      <c r="J77" s="631" t="str">
        <f t="shared" si="7"/>
        <v>Candidat(e)
6</v>
      </c>
      <c r="K77" s="632" t="str">
        <f t="shared" si="7"/>
        <v>Candidat(e)
7</v>
      </c>
      <c r="L77" s="322" t="s">
        <v>3</v>
      </c>
      <c r="M77" s="323" t="s">
        <v>4</v>
      </c>
      <c r="N77" s="309" t="s">
        <v>101</v>
      </c>
      <c r="O77" s="372"/>
    </row>
    <row r="78" spans="4:15" ht="20.100000000000001" customHeight="1" x14ac:dyDescent="0.2">
      <c r="D78" s="198" t="s">
        <v>78</v>
      </c>
      <c r="E78" s="191"/>
      <c r="F78" s="191"/>
      <c r="G78" s="191"/>
      <c r="H78" s="191"/>
      <c r="I78" s="191"/>
      <c r="J78" s="191"/>
      <c r="K78" s="192"/>
      <c r="L78" s="194"/>
      <c r="M78" s="193"/>
      <c r="N78" s="310">
        <f>SUM(E78:M78)</f>
        <v>0</v>
      </c>
      <c r="O78" s="372"/>
    </row>
    <row r="79" spans="4:15" ht="20.100000000000001" customHeight="1" x14ac:dyDescent="0.2">
      <c r="D79" s="196" t="s">
        <v>78</v>
      </c>
      <c r="E79" s="136"/>
      <c r="F79" s="136"/>
      <c r="G79" s="136"/>
      <c r="H79" s="136"/>
      <c r="I79" s="136"/>
      <c r="J79" s="136"/>
      <c r="K79" s="137"/>
      <c r="L79" s="139"/>
      <c r="M79" s="138"/>
      <c r="N79" s="244">
        <f>SUM(E79:M79)</f>
        <v>0</v>
      </c>
      <c r="O79" s="372"/>
    </row>
    <row r="80" spans="4:15" ht="20.100000000000001" customHeight="1" thickBot="1" x14ac:dyDescent="0.25">
      <c r="D80" s="197" t="s">
        <v>78</v>
      </c>
      <c r="E80" s="140"/>
      <c r="F80" s="140"/>
      <c r="G80" s="140"/>
      <c r="H80" s="140"/>
      <c r="I80" s="140"/>
      <c r="J80" s="140"/>
      <c r="K80" s="141"/>
      <c r="L80" s="143"/>
      <c r="M80" s="142"/>
      <c r="N80" s="311">
        <f>SUM(E80:M80)</f>
        <v>0</v>
      </c>
      <c r="O80" s="372"/>
    </row>
    <row r="81" spans="4:15" ht="20.100000000000001" customHeight="1" x14ac:dyDescent="0.2">
      <c r="D81" s="190"/>
      <c r="E81" s="188"/>
      <c r="F81" s="188"/>
      <c r="G81" s="188"/>
      <c r="H81" s="188"/>
      <c r="I81" s="188"/>
      <c r="J81" s="188"/>
      <c r="K81" s="188"/>
      <c r="L81" s="188"/>
      <c r="M81" s="188"/>
      <c r="N81" s="195"/>
      <c r="O81" s="372"/>
    </row>
    <row r="82" spans="4:15" ht="20.100000000000001" customHeight="1" x14ac:dyDescent="0.2">
      <c r="D82" s="190"/>
      <c r="E82" s="188"/>
      <c r="F82" s="188"/>
      <c r="G82" s="188"/>
      <c r="H82" s="188"/>
      <c r="I82" s="188"/>
      <c r="J82" s="188"/>
      <c r="K82" s="188"/>
      <c r="L82" s="188"/>
      <c r="M82" s="188"/>
      <c r="N82" s="195"/>
      <c r="O82" s="372"/>
    </row>
  </sheetData>
  <sheetProtection algorithmName="SHA-512" hashValue="OGFelaeuExS1+p8HO+1kye4vN0VyjPvH6NdUZjkkR8S7ohCpJLnBHle4dyQKQW3fhHsq8v/wN4lWRPp0/yH3uQ==" saltValue="KcajYHl2nVbiJPT+M2KXoQ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202" priority="1" operator="equal">
      <formula>0</formula>
    </cfRule>
    <cfRule type="cellIs" dxfId="201" priority="6" operator="notEqual">
      <formula>$B$7</formula>
    </cfRule>
  </conditionalFormatting>
  <conditionalFormatting sqref="E3:N12">
    <cfRule type="cellIs" dxfId="200" priority="5" operator="notBetween">
      <formula>0</formula>
      <formula>100</formula>
    </cfRule>
  </conditionalFormatting>
  <conditionalFormatting sqref="E3:N14">
    <cfRule type="cellIs" dxfId="199" priority="8" operator="lessThan">
      <formula>0</formula>
    </cfRule>
  </conditionalFormatting>
  <conditionalFormatting sqref="E14:N14">
    <cfRule type="cellIs" dxfId="198" priority="11" operator="greaterThan">
      <formula>1</formula>
    </cfRule>
  </conditionalFormatting>
  <conditionalFormatting sqref="N3:N13">
    <cfRule type="cellIs" dxfId="197" priority="9" operator="equal">
      <formula>0</formula>
    </cfRule>
  </conditionalFormatting>
  <conditionalFormatting sqref="N13">
    <cfRule type="cellIs" dxfId="196" priority="13" operator="equal">
      <formula>$B$7</formula>
    </cfRule>
  </conditionalFormatting>
  <conditionalFormatting sqref="N14">
    <cfRule type="cellIs" dxfId="195" priority="10" operator="equal">
      <formula>1</formula>
    </cfRule>
    <cfRule type="cellIs" dxfId="194" priority="12" operator="lessThan">
      <formula>1</formula>
    </cfRule>
  </conditionalFormatting>
  <conditionalFormatting sqref="R4:R15">
    <cfRule type="cellIs" dxfId="193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192" priority="3">
      <formula>AND(E50&lt;MAX(E$50:E50), NOT(ISBLANK(E50)), NOT(E50=0))</formula>
    </cfRule>
  </conditionalFormatting>
  <conditionalFormatting sqref="E68:M72">
    <cfRule type="expression" dxfId="191" priority="2">
      <formula>AND(E68&lt;MAX(E$68:E68), NOT(ISBLANK(E68)), NOT(E68=0))</formula>
    </cfRule>
  </conditionalFormatting>
  <conditionalFormatting sqref="E78:M80">
    <cfRule type="expression" dxfId="190" priority="14">
      <formula>AND(E78&lt;MAX(E$78:E78), NOT(ISBLANK(E78)), NOT(E78=0))</formula>
    </cfRule>
  </conditionalFormatting>
  <conditionalFormatting sqref="N3:N12">
    <cfRule type="expression" dxfId="189" priority="15">
      <formula>AND($D3=$E$24, N3=$D$25)</formula>
    </cfRule>
    <cfRule type="expression" dxfId="188" priority="16">
      <formula>AND($D3=$E$24, MOD(N3,100)&gt;$D$25)</formula>
    </cfRule>
    <cfRule type="cellIs" dxfId="187" priority="17" operator="equal">
      <formula>100</formula>
    </cfRule>
  </conditionalFormatting>
  <conditionalFormatting sqref="E3:M12">
    <cfRule type="expression" dxfId="186" priority="18">
      <formula>($D3&lt;=$E$24)</formula>
    </cfRule>
  </conditionalFormatting>
  <conditionalFormatting sqref="D3:M12">
    <cfRule type="expression" dxfId="185" priority="19">
      <formula>($D3&gt;$E$24)</formula>
    </cfRule>
  </conditionalFormatting>
  <conditionalFormatting sqref="E50:M59 E68:M72 E78:M80">
    <cfRule type="cellIs" dxfId="184" priority="20" operator="notBetween">
      <formula>0</formula>
      <formula>$B$7</formula>
    </cfRule>
    <cfRule type="expression" dxfId="183" priority="21">
      <formula>($D50&lt;=$E$24)</formula>
    </cfRule>
    <cfRule type="expression" dxfId="182" priority="22">
      <formula>($D50&gt;$E$24)</formula>
    </cfRule>
  </conditionalFormatting>
  <conditionalFormatting sqref="N50 N68:N72 N78:N80 N52:N59">
    <cfRule type="cellIs" dxfId="181" priority="23" operator="lessThan">
      <formula>0</formula>
    </cfRule>
    <cfRule type="cellIs" dxfId="180" priority="24" operator="equal">
      <formula>0</formula>
    </cfRule>
    <cfRule type="expression" dxfId="179" priority="25">
      <formula>OR(MOD($N50,100)=0,AND($D50=$E$24,MOD($N50,100)=$D$25))</formula>
    </cfRule>
  </conditionalFormatting>
  <conditionalFormatting sqref="N51">
    <cfRule type="cellIs" dxfId="178" priority="26" operator="notBetween">
      <formula>0</formula>
      <formula>$B$7</formula>
    </cfRule>
    <cfRule type="cellIs" dxfId="177" priority="27" operator="equal">
      <formula>0</formula>
    </cfRule>
    <cfRule type="expression" dxfId="176" priority="28">
      <formula>OR(MOD($N51,100)=0,AND($D51=$E$24,MOD($N51,100)=$D$25))</formula>
    </cfRule>
  </conditionalFormatting>
  <conditionalFormatting sqref="Q4:Q15">
    <cfRule type="expression" dxfId="175" priority="29">
      <formula>AND($Q4&lt;$Q3, NOT(ISBLANK($Q4)))</formula>
    </cfRule>
    <cfRule type="cellIs" dxfId="174" priority="30" operator="greaterThan">
      <formula>$B$6</formula>
    </cfRule>
  </conditionalFormatting>
  <dataValidations count="2">
    <dataValidation type="list" allowBlank="1" showInputMessage="1" showErrorMessage="1" sqref="C50:C59" xr:uid="{9D95513A-352C-4467-8204-0F5EE5A4AF73}">
      <formula1>$D$19:$D$21</formula1>
    </dataValidation>
    <dataValidation type="list" allowBlank="1" showInputMessage="1" showErrorMessage="1" sqref="D68:D72 D78:D82 D50:D59" xr:uid="{2FB4476B-77CC-4428-B5DE-14F956D3C8EF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FFC83-35EC-43BB-BCBF-4D3C71B1A98B}">
  <sheetPr codeName="Feuil49">
    <tabColor rgb="FFB4A7D6"/>
  </sheetPr>
  <dimension ref="A1:V82"/>
  <sheetViews>
    <sheetView zoomScale="80" zoomScaleNormal="80" workbookViewId="0">
      <selection activeCell="Q4" sqref="Q4"/>
    </sheetView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24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357" t="s">
        <v>11</v>
      </c>
      <c r="B1" s="363">
        <f>Synthèse!$B$17</f>
        <v>46103</v>
      </c>
      <c r="D1" s="243"/>
      <c r="E1" s="551" t="s">
        <v>120</v>
      </c>
      <c r="F1" s="552"/>
      <c r="G1" s="552"/>
      <c r="H1" s="552"/>
      <c r="I1" s="552"/>
      <c r="J1" s="552"/>
      <c r="K1" s="552"/>
      <c r="L1" s="552"/>
      <c r="M1" s="553"/>
      <c r="N1" s="316" t="s">
        <v>7</v>
      </c>
      <c r="O1" s="372"/>
    </row>
    <row r="2" spans="1:22" ht="45" customHeight="1" thickBot="1" x14ac:dyDescent="0.25">
      <c r="A2" s="358" t="s">
        <v>12</v>
      </c>
      <c r="B2" s="364" t="str">
        <f>Synthèse!$B$18</f>
        <v>Municipales 2ème tour</v>
      </c>
      <c r="D2" s="280" t="s">
        <v>80</v>
      </c>
      <c r="E2" s="619" t="str">
        <f>Synthèse!L2</f>
        <v>Candidat(e)
1</v>
      </c>
      <c r="F2" s="620" t="str">
        <f>Synthèse!M2</f>
        <v>Candidat(e)
2</v>
      </c>
      <c r="G2" s="621" t="str">
        <f>Synthèse!N2</f>
        <v>Candidat(e)
3</v>
      </c>
      <c r="H2" s="622" t="str">
        <f>Synthèse!O2</f>
        <v>Candidat(e)
4</v>
      </c>
      <c r="I2" s="623" t="str">
        <f>Synthèse!P2</f>
        <v>Candidat(e)
5</v>
      </c>
      <c r="J2" s="624" t="str">
        <f>Synthèse!Q2</f>
        <v>Candidat(e)
6</v>
      </c>
      <c r="K2" s="625" t="str">
        <f>Synthèse!R2</f>
        <v>Candidat(e)
7</v>
      </c>
      <c r="L2" s="320" t="s">
        <v>3</v>
      </c>
      <c r="M2" s="321" t="s">
        <v>4</v>
      </c>
      <c r="N2" s="317" t="s">
        <v>102</v>
      </c>
      <c r="O2" s="372"/>
      <c r="P2" s="367" t="s">
        <v>21</v>
      </c>
      <c r="Q2" s="293" t="s">
        <v>56</v>
      </c>
      <c r="R2" s="294" t="s">
        <v>30</v>
      </c>
      <c r="T2" s="295" t="s">
        <v>58</v>
      </c>
      <c r="U2" s="295" t="s">
        <v>57</v>
      </c>
    </row>
    <row r="3" spans="1:22" ht="20.100000000000001" customHeight="1" thickBot="1" x14ac:dyDescent="0.25">
      <c r="A3" s="359" t="s">
        <v>13</v>
      </c>
      <c r="B3" s="365" t="str">
        <f>Synthèse!$B$19</f>
        <v>Cogolin</v>
      </c>
      <c r="D3" s="277" t="str" cm="1">
        <f t="array" ref="D3">IF(ROW(1:1)&lt;=$E$24, (ROW(1:1)), "")</f>
        <v/>
      </c>
      <c r="E3" s="113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3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13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13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13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13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13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28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2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44">
        <f t="shared" ref="N3:N13" si="0">SUM(E3:M3)</f>
        <v>0</v>
      </c>
      <c r="O3" s="372"/>
      <c r="P3" s="368" t="s">
        <v>31</v>
      </c>
      <c r="Q3" s="269">
        <v>0</v>
      </c>
      <c r="R3" s="270">
        <f>Q3/$B$6</f>
        <v>0</v>
      </c>
      <c r="T3" s="256"/>
      <c r="U3" s="256"/>
    </row>
    <row r="4" spans="1:22" ht="20.100000000000001" customHeight="1" x14ac:dyDescent="0.2">
      <c r="A4" s="65" t="s">
        <v>22</v>
      </c>
      <c r="B4" s="375">
        <v>7</v>
      </c>
      <c r="D4" s="278" t="str" cm="1">
        <f t="array" ref="D4">IF(ROW(2:2)&lt;=$E$24, (ROW(2:2)), "")</f>
        <v/>
      </c>
      <c r="E4" s="114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4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4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14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14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14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15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1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4">
        <f t="shared" si="0"/>
        <v>0</v>
      </c>
      <c r="O4" s="372"/>
      <c r="P4" s="369" t="s">
        <v>32</v>
      </c>
      <c r="Q4" s="324"/>
      <c r="R4" s="273" t="e">
        <f t="shared" ref="R4:R13" si="1">IF(OR(Q4=0, Q4=""), NA(), Q4/$B$6)</f>
        <v>#N/A</v>
      </c>
      <c r="T4" s="251" t="s">
        <v>44</v>
      </c>
      <c r="U4" s="296" t="e">
        <f t="shared" ref="U4:U13" si="2">IF(Q4&lt;&gt;0,Q4-Q3,NA())</f>
        <v>#N/A</v>
      </c>
    </row>
    <row r="5" spans="1:22" ht="20.100000000000001" customHeight="1" x14ac:dyDescent="0.2">
      <c r="A5" s="66" t="s">
        <v>23</v>
      </c>
      <c r="B5" s="376" t="str">
        <f>INDEX(Synthèse!B:B,B4+2)</f>
        <v>COSEC</v>
      </c>
      <c r="D5" s="278" t="str" cm="1">
        <f t="array" ref="D5">IF(ROW(3:3)&lt;=$E$24, (ROW(3:3)), "")</f>
        <v/>
      </c>
      <c r="E5" s="114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4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14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14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14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14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14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3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31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4">
        <f t="shared" si="0"/>
        <v>0</v>
      </c>
      <c r="O5" s="373"/>
      <c r="P5" s="369" t="s">
        <v>33</v>
      </c>
      <c r="Q5" s="324"/>
      <c r="R5" s="273" t="e">
        <f t="shared" si="1"/>
        <v>#N/A</v>
      </c>
      <c r="T5" s="252" t="s">
        <v>45</v>
      </c>
      <c r="U5" s="297" t="e">
        <f t="shared" si="2"/>
        <v>#N/A</v>
      </c>
    </row>
    <row r="6" spans="1:22" ht="20.100000000000001" customHeight="1" x14ac:dyDescent="0.2">
      <c r="A6" s="66" t="s">
        <v>0</v>
      </c>
      <c r="B6" s="144">
        <f>INDEX(Synthèse!C:C,B4+2)</f>
        <v>731</v>
      </c>
      <c r="D6" s="278" t="str" cm="1">
        <f t="array" ref="D6">IF(ROW(4:4)&lt;=$E$24, (ROW(4:4)), "")</f>
        <v/>
      </c>
      <c r="E6" s="114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4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14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14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14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14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14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3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31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4">
        <f t="shared" si="0"/>
        <v>0</v>
      </c>
      <c r="O6" s="373"/>
      <c r="P6" s="369" t="s">
        <v>34</v>
      </c>
      <c r="Q6" s="324"/>
      <c r="R6" s="273" t="e">
        <f t="shared" si="1"/>
        <v>#N/A</v>
      </c>
      <c r="T6" s="252" t="s">
        <v>46</v>
      </c>
      <c r="U6" s="297" t="e">
        <f t="shared" si="2"/>
        <v>#N/A</v>
      </c>
    </row>
    <row r="7" spans="1:22" ht="20.100000000000001" customHeight="1" x14ac:dyDescent="0.2">
      <c r="A7" s="66" t="s">
        <v>2</v>
      </c>
      <c r="B7" s="123">
        <f>MAX(Q4:Q15)</f>
        <v>0</v>
      </c>
      <c r="D7" s="278" t="str" cm="1">
        <f t="array" ref="D7">IF(ROW(5:5)&lt;=$E$24, (ROW(5:5)), "")</f>
        <v/>
      </c>
      <c r="E7" s="114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4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4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14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14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14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15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1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4">
        <f t="shared" si="0"/>
        <v>0</v>
      </c>
      <c r="O7" s="373"/>
      <c r="P7" s="369" t="s">
        <v>35</v>
      </c>
      <c r="Q7" s="324"/>
      <c r="R7" s="273" t="e">
        <f t="shared" si="1"/>
        <v>#N/A</v>
      </c>
      <c r="T7" s="252" t="s">
        <v>53</v>
      </c>
      <c r="U7" s="297" t="e">
        <f t="shared" si="2"/>
        <v>#N/A</v>
      </c>
    </row>
    <row r="8" spans="1:22" ht="20.100000000000001" customHeight="1" x14ac:dyDescent="0.2">
      <c r="A8" s="66" t="s">
        <v>1</v>
      </c>
      <c r="B8" s="124"/>
      <c r="D8" s="278" t="str" cm="1">
        <f t="array" ref="D8">IF(ROW(6:6)&lt;=$E$24, (ROW(6:6)), "")</f>
        <v/>
      </c>
      <c r="E8" s="114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4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4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14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14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14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15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1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4">
        <f t="shared" si="0"/>
        <v>0</v>
      </c>
      <c r="O8" s="373"/>
      <c r="P8" s="369" t="s">
        <v>36</v>
      </c>
      <c r="Q8" s="324"/>
      <c r="R8" s="273" t="e">
        <f t="shared" si="1"/>
        <v>#N/A</v>
      </c>
      <c r="T8" s="252" t="s">
        <v>47</v>
      </c>
      <c r="U8" s="297" t="e">
        <f t="shared" si="2"/>
        <v>#N/A</v>
      </c>
    </row>
    <row r="9" spans="1:22" ht="20.100000000000001" customHeight="1" thickBot="1" x14ac:dyDescent="0.25">
      <c r="A9" s="67" t="s">
        <v>17</v>
      </c>
      <c r="B9" s="125">
        <f>B6-B7</f>
        <v>731</v>
      </c>
      <c r="D9" s="278" t="str" cm="1">
        <f t="array" ref="D9">IF(ROW(7:7)&lt;=$E$24, (ROW(7:7)), "")</f>
        <v/>
      </c>
      <c r="E9" s="114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4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4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14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14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14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17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18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4">
        <f t="shared" si="0"/>
        <v>0</v>
      </c>
      <c r="O9" s="373"/>
      <c r="P9" s="369" t="s">
        <v>37</v>
      </c>
      <c r="Q9" s="324"/>
      <c r="R9" s="273" t="e">
        <f t="shared" si="1"/>
        <v>#N/A</v>
      </c>
      <c r="T9" s="252" t="s">
        <v>48</v>
      </c>
      <c r="U9" s="297" t="e">
        <f t="shared" si="2"/>
        <v>#N/A</v>
      </c>
    </row>
    <row r="10" spans="1:22" ht="20.100000000000001" customHeight="1" x14ac:dyDescent="0.2">
      <c r="A10" s="554" t="s">
        <v>59</v>
      </c>
      <c r="B10" s="554"/>
      <c r="D10" s="278" t="str" cm="1">
        <f t="array" ref="D10">IF(ROW(8:8)&lt;=$E$24, (ROW(8:8)), "")</f>
        <v/>
      </c>
      <c r="E10" s="114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4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4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14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14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14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17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18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4">
        <f t="shared" si="0"/>
        <v>0</v>
      </c>
      <c r="O10" s="373"/>
      <c r="P10" s="369" t="s">
        <v>38</v>
      </c>
      <c r="Q10" s="324"/>
      <c r="R10" s="273" t="e">
        <f t="shared" si="1"/>
        <v>#N/A</v>
      </c>
      <c r="T10" s="252" t="s">
        <v>49</v>
      </c>
      <c r="U10" s="297" t="e">
        <f t="shared" si="2"/>
        <v>#N/A</v>
      </c>
    </row>
    <row r="11" spans="1:22" ht="20.100000000000001" customHeight="1" x14ac:dyDescent="0.2">
      <c r="A11" s="555"/>
      <c r="B11" s="555"/>
      <c r="D11" s="278" t="str" cm="1">
        <f t="array" ref="D11">IF(ROW(9:9)&lt;=$E$24, (ROW(9:9)), "")</f>
        <v/>
      </c>
      <c r="E11" s="114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4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4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14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14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14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17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18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4">
        <f t="shared" si="0"/>
        <v>0</v>
      </c>
      <c r="O11" s="373"/>
      <c r="P11" s="369" t="s">
        <v>39</v>
      </c>
      <c r="Q11" s="324"/>
      <c r="R11" s="273" t="e">
        <f t="shared" si="1"/>
        <v>#N/A</v>
      </c>
      <c r="T11" s="252" t="s">
        <v>50</v>
      </c>
      <c r="U11" s="297" t="e">
        <f t="shared" si="2"/>
        <v>#N/A</v>
      </c>
    </row>
    <row r="12" spans="1:22" ht="20.100000000000001" customHeight="1" thickBot="1" x14ac:dyDescent="0.25">
      <c r="A12" s="556" t="s">
        <v>60</v>
      </c>
      <c r="B12" s="556"/>
      <c r="D12" s="279" t="str" cm="1">
        <f t="array" ref="D12">IF(ROW(10:10)&lt;=$E$24, (ROW(10:10)), "")</f>
        <v/>
      </c>
      <c r="E12" s="114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4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14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14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14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14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14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32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33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4">
        <f t="shared" si="0"/>
        <v>0</v>
      </c>
      <c r="O12" s="373"/>
      <c r="P12" s="369" t="s">
        <v>40</v>
      </c>
      <c r="Q12" s="324"/>
      <c r="R12" s="273" t="e">
        <f t="shared" si="1"/>
        <v>#N/A</v>
      </c>
      <c r="T12" s="252" t="s">
        <v>51</v>
      </c>
      <c r="U12" s="297" t="e">
        <f t="shared" si="2"/>
        <v>#N/A</v>
      </c>
    </row>
    <row r="13" spans="1:22" ht="20.100000000000001" customHeight="1" thickBot="1" x14ac:dyDescent="0.3">
      <c r="A13" s="556"/>
      <c r="B13" s="556"/>
      <c r="D13" s="35" t="s">
        <v>9</v>
      </c>
      <c r="E13" s="119">
        <f>SUM(E3:E12)</f>
        <v>0</v>
      </c>
      <c r="F13" s="497">
        <f>SUM(F3:F12)</f>
        <v>0</v>
      </c>
      <c r="G13" s="497">
        <f>SUM(G3:G12)</f>
        <v>0</v>
      </c>
      <c r="H13" s="497">
        <f>SUM(H3:H12)</f>
        <v>0</v>
      </c>
      <c r="I13" s="497">
        <f>SUM(I3:I12)</f>
        <v>0</v>
      </c>
      <c r="J13" s="497">
        <f>SUM(J3:J12)</f>
        <v>0</v>
      </c>
      <c r="K13" s="120">
        <f>SUM(K3:K12)</f>
        <v>0</v>
      </c>
      <c r="L13" s="121">
        <f>SUM(L3:L12)</f>
        <v>0</v>
      </c>
      <c r="M13" s="122">
        <f>SUM(M3:M12)</f>
        <v>0</v>
      </c>
      <c r="N13" s="355">
        <f t="shared" si="0"/>
        <v>0</v>
      </c>
      <c r="O13" s="373"/>
      <c r="P13" s="369" t="s">
        <v>41</v>
      </c>
      <c r="Q13" s="324"/>
      <c r="R13" s="273" t="e">
        <f t="shared" si="1"/>
        <v>#N/A</v>
      </c>
      <c r="T13" s="253" t="s">
        <v>52</v>
      </c>
      <c r="U13" s="298" t="e">
        <f t="shared" si="2"/>
        <v>#N/A</v>
      </c>
    </row>
    <row r="14" spans="1:22" ht="20.100000000000001" customHeight="1" thickBot="1" x14ac:dyDescent="0.3">
      <c r="A14" s="556"/>
      <c r="B14" s="556"/>
      <c r="D14" s="60" t="s">
        <v>10</v>
      </c>
      <c r="E14" s="32">
        <f t="shared" ref="E14:N14" si="3">IFERROR(E13/$B$7,0)</f>
        <v>0</v>
      </c>
      <c r="F14" s="498">
        <f t="shared" si="3"/>
        <v>0</v>
      </c>
      <c r="G14" s="498">
        <f t="shared" si="3"/>
        <v>0</v>
      </c>
      <c r="H14" s="498">
        <f t="shared" si="3"/>
        <v>0</v>
      </c>
      <c r="I14" s="498">
        <f t="shared" si="3"/>
        <v>0</v>
      </c>
      <c r="J14" s="498">
        <f t="shared" si="3"/>
        <v>0</v>
      </c>
      <c r="K14" s="33">
        <f t="shared" si="3"/>
        <v>0</v>
      </c>
      <c r="L14" s="32">
        <f t="shared" si="3"/>
        <v>0</v>
      </c>
      <c r="M14" s="34">
        <f t="shared" si="3"/>
        <v>0</v>
      </c>
      <c r="N14" s="356">
        <f t="shared" si="3"/>
        <v>0</v>
      </c>
      <c r="O14" s="372"/>
      <c r="P14" s="370" t="s">
        <v>42</v>
      </c>
      <c r="Q14" s="325"/>
      <c r="R14" s="275" t="e">
        <f>IF(OR(Q14=0, Q14=""), NA(), Q14/$B$6)</f>
        <v>#N/A</v>
      </c>
      <c r="S14" s="300"/>
      <c r="T14" s="304" t="s">
        <v>54</v>
      </c>
      <c r="U14" s="299" t="e">
        <f>IF(Q14&lt;&gt;0,Q14-Q13,NA())</f>
        <v>#N/A</v>
      </c>
      <c r="V14" s="300"/>
    </row>
    <row r="15" spans="1:22" ht="18" customHeight="1" thickBot="1" x14ac:dyDescent="0.25">
      <c r="A15" s="558" t="s">
        <v>66</v>
      </c>
      <c r="B15" s="558"/>
      <c r="C15" s="1"/>
      <c r="D15" s="1"/>
      <c r="N15" s="254"/>
      <c r="O15" s="372"/>
      <c r="P15" s="371" t="s">
        <v>43</v>
      </c>
      <c r="Q15" s="326"/>
      <c r="R15" s="301" t="e">
        <f>IF(OR(Q15=0, Q15=""), NA(), Q15/$B$6)</f>
        <v>#N/A</v>
      </c>
      <c r="T15" s="305" t="s">
        <v>55</v>
      </c>
      <c r="U15" s="303" t="e">
        <f>IF(Q15&lt;&gt;0,Q15-Q14,NA())</f>
        <v>#N/A</v>
      </c>
      <c r="V15" s="300"/>
    </row>
    <row r="16" spans="1:22" ht="12.75" customHeight="1" x14ac:dyDescent="0.2">
      <c r="A16" s="558"/>
      <c r="B16" s="558"/>
      <c r="O16" s="372"/>
      <c r="P16" s="254"/>
      <c r="Q16" s="254"/>
      <c r="R16" s="254"/>
      <c r="U16" s="254"/>
    </row>
    <row r="17" spans="1:15" ht="18" customHeight="1" x14ac:dyDescent="0.25">
      <c r="A17" s="558"/>
      <c r="B17" s="558"/>
      <c r="E17" s="185"/>
      <c r="F17" s="185"/>
      <c r="G17" s="185"/>
      <c r="H17" s="185"/>
      <c r="I17" s="185"/>
      <c r="J17" s="185"/>
      <c r="O17" s="372"/>
    </row>
    <row r="18" spans="1:15" ht="26.25" customHeight="1" x14ac:dyDescent="0.2">
      <c r="A18" s="558"/>
      <c r="B18" s="558"/>
      <c r="D18" s="353" t="s">
        <v>63</v>
      </c>
      <c r="O18" s="372"/>
    </row>
    <row r="19" spans="1:15" x14ac:dyDescent="0.2">
      <c r="D19" s="354">
        <f>IF((ROW()-23)&lt;=$E$25,(ROW()-23),"Choisir")</f>
        <v>-4</v>
      </c>
      <c r="O19" s="372"/>
    </row>
    <row r="20" spans="1:15" x14ac:dyDescent="0.2">
      <c r="D20" s="354">
        <f>IF((ROW()-23)&lt;=$E$25,(ROW()-23),"Choisir")</f>
        <v>-3</v>
      </c>
      <c r="O20" s="372"/>
    </row>
    <row r="21" spans="1:15" x14ac:dyDescent="0.2">
      <c r="D21" s="354">
        <f>IF((ROW()-23)&lt;=$E$25,(ROW()-23),"Choisir")</f>
        <v>-2</v>
      </c>
      <c r="O21" s="372"/>
    </row>
    <row r="22" spans="1:15" x14ac:dyDescent="0.2">
      <c r="D22" s="354">
        <f>IF((ROW()-23)&lt;=$E$25,(ROW()-23),"Choisir")</f>
        <v>-1</v>
      </c>
      <c r="O22" s="372"/>
    </row>
    <row r="23" spans="1:15" x14ac:dyDescent="0.2">
      <c r="O23" s="372"/>
    </row>
    <row r="24" spans="1:15" x14ac:dyDescent="0.2">
      <c r="D24" s="199">
        <f>CEILING($B$6, 100)/100</f>
        <v>8</v>
      </c>
      <c r="E24" s="335">
        <f>CEILING($B$7,100)/100</f>
        <v>0</v>
      </c>
      <c r="F24" s="335"/>
      <c r="G24" s="335"/>
      <c r="H24" s="335"/>
      <c r="I24" s="335"/>
      <c r="J24" s="335"/>
      <c r="O24" s="372"/>
    </row>
    <row r="25" spans="1:15" x14ac:dyDescent="0.2">
      <c r="D25" s="199">
        <f>MOD($B$7,100)</f>
        <v>0</v>
      </c>
      <c r="E25" s="200">
        <f>CEILING($B$6/300,1)</f>
        <v>3</v>
      </c>
      <c r="F25" s="200"/>
      <c r="G25" s="200"/>
      <c r="H25" s="200"/>
      <c r="I25" s="200"/>
      <c r="J25" s="200"/>
      <c r="O25" s="372"/>
    </row>
    <row r="26" spans="1:15" x14ac:dyDescent="0.2">
      <c r="O26" s="372"/>
    </row>
    <row r="27" spans="1:15" x14ac:dyDescent="0.2">
      <c r="O27" s="372"/>
    </row>
    <row r="28" spans="1:15" x14ac:dyDescent="0.2">
      <c r="O28" s="372"/>
    </row>
    <row r="29" spans="1:15" x14ac:dyDescent="0.2">
      <c r="O29" s="372"/>
    </row>
    <row r="30" spans="1:15" x14ac:dyDescent="0.2">
      <c r="O30" s="372"/>
    </row>
    <row r="31" spans="1:15" x14ac:dyDescent="0.2">
      <c r="O31" s="372"/>
    </row>
    <row r="32" spans="1:15" x14ac:dyDescent="0.2">
      <c r="O32" s="372"/>
    </row>
    <row r="33" spans="1:15" x14ac:dyDescent="0.2">
      <c r="O33" s="372"/>
    </row>
    <row r="34" spans="1:15" x14ac:dyDescent="0.2">
      <c r="O34" s="372"/>
    </row>
    <row r="35" spans="1:15" x14ac:dyDescent="0.2">
      <c r="O35" s="372"/>
    </row>
    <row r="36" spans="1:15" x14ac:dyDescent="0.2">
      <c r="O36" s="372"/>
    </row>
    <row r="37" spans="1:15" x14ac:dyDescent="0.2">
      <c r="O37" s="372"/>
    </row>
    <row r="38" spans="1:15" x14ac:dyDescent="0.2">
      <c r="O38" s="372"/>
    </row>
    <row r="39" spans="1:15" x14ac:dyDescent="0.2">
      <c r="O39" s="372"/>
    </row>
    <row r="40" spans="1:15" x14ac:dyDescent="0.2">
      <c r="O40" s="372"/>
    </row>
    <row r="41" spans="1:15" x14ac:dyDescent="0.2">
      <c r="O41" s="372"/>
    </row>
    <row r="42" spans="1:15" x14ac:dyDescent="0.2">
      <c r="O42" s="372"/>
    </row>
    <row r="43" spans="1:15" ht="13.5" thickBot="1" x14ac:dyDescent="0.25">
      <c r="A43" s="366"/>
      <c r="B43" s="366"/>
      <c r="C43" s="366"/>
      <c r="D43" s="366"/>
      <c r="E43" s="366"/>
      <c r="F43" s="366"/>
      <c r="G43" s="366"/>
      <c r="H43" s="366"/>
      <c r="I43" s="366"/>
      <c r="J43" s="366"/>
      <c r="K43" s="366"/>
      <c r="L43" s="366"/>
      <c r="M43" s="366"/>
      <c r="N43" s="366"/>
      <c r="O43" s="374"/>
    </row>
    <row r="44" spans="1:15" ht="13.5" thickTop="1" x14ac:dyDescent="0.2">
      <c r="O44" s="372"/>
    </row>
    <row r="45" spans="1:15" x14ac:dyDescent="0.2">
      <c r="O45" s="372"/>
    </row>
    <row r="46" spans="1:15" x14ac:dyDescent="0.2">
      <c r="E46" s="126"/>
      <c r="F46" s="126"/>
      <c r="G46" s="126"/>
      <c r="H46" s="126"/>
      <c r="I46" s="126"/>
      <c r="J46" s="126"/>
      <c r="O46" s="372"/>
    </row>
    <row r="47" spans="1:15" ht="13.5" thickBot="1" x14ac:dyDescent="0.25">
      <c r="E47" s="126"/>
      <c r="F47" s="126"/>
      <c r="G47" s="126"/>
      <c r="H47" s="126"/>
      <c r="I47" s="126"/>
      <c r="J47" s="126"/>
      <c r="O47" s="372"/>
    </row>
    <row r="48" spans="1:15" ht="20.100000000000001" customHeight="1" thickBot="1" x14ac:dyDescent="0.25">
      <c r="D48" s="189" t="s">
        <v>76</v>
      </c>
      <c r="E48" s="548" t="s">
        <v>117</v>
      </c>
      <c r="F48" s="549"/>
      <c r="G48" s="549"/>
      <c r="H48" s="549"/>
      <c r="I48" s="549"/>
      <c r="J48" s="549"/>
      <c r="K48" s="549"/>
      <c r="L48" s="549"/>
      <c r="M48" s="550"/>
      <c r="N48" s="306" t="s">
        <v>7</v>
      </c>
      <c r="O48" s="372"/>
    </row>
    <row r="49" spans="3:15" ht="47.25" customHeight="1" thickBot="1" x14ac:dyDescent="0.25">
      <c r="C49" s="187"/>
      <c r="D49" s="284" t="s">
        <v>79</v>
      </c>
      <c r="E49" s="626" t="str">
        <f>E2</f>
        <v>Candidat(e)
1</v>
      </c>
      <c r="F49" s="627" t="str">
        <f>F2</f>
        <v>Candidat(e)
2</v>
      </c>
      <c r="G49" s="628" t="str">
        <f t="shared" ref="G49:K49" si="4">G2</f>
        <v>Candidat(e)
3</v>
      </c>
      <c r="H49" s="629" t="str">
        <f t="shared" si="4"/>
        <v>Candidat(e)
4</v>
      </c>
      <c r="I49" s="630" t="str">
        <f t="shared" si="4"/>
        <v>Candidat(e)
5</v>
      </c>
      <c r="J49" s="631" t="str">
        <f t="shared" si="4"/>
        <v>Candidat(e)
6</v>
      </c>
      <c r="K49" s="632" t="str">
        <f t="shared" si="4"/>
        <v>Candidat(e)
7</v>
      </c>
      <c r="L49" s="322" t="s">
        <v>3</v>
      </c>
      <c r="M49" s="323" t="s">
        <v>4</v>
      </c>
      <c r="N49" s="308" t="s">
        <v>101</v>
      </c>
      <c r="O49" s="372"/>
    </row>
    <row r="50" spans="3:15" ht="19.5" customHeight="1" x14ac:dyDescent="0.2">
      <c r="C50" s="188"/>
      <c r="D50" s="283" t="s">
        <v>78</v>
      </c>
      <c r="E50" s="246"/>
      <c r="F50" s="246"/>
      <c r="G50" s="246"/>
      <c r="H50" s="246"/>
      <c r="I50" s="246"/>
      <c r="J50" s="246"/>
      <c r="K50" s="247"/>
      <c r="L50" s="249"/>
      <c r="M50" s="248"/>
      <c r="N50" s="307">
        <f t="shared" ref="N50:N59" si="5">SUM(E50:M50)</f>
        <v>0</v>
      </c>
      <c r="O50" s="372"/>
    </row>
    <row r="51" spans="3:15" ht="20.100000000000001" customHeight="1" x14ac:dyDescent="0.2">
      <c r="C51" s="188"/>
      <c r="D51" s="283" t="s">
        <v>78</v>
      </c>
      <c r="E51" s="246"/>
      <c r="F51" s="246"/>
      <c r="G51" s="246"/>
      <c r="H51" s="246"/>
      <c r="I51" s="246"/>
      <c r="J51" s="246"/>
      <c r="K51" s="247"/>
      <c r="L51" s="249"/>
      <c r="M51" s="248"/>
      <c r="N51" s="307">
        <f t="shared" si="5"/>
        <v>0</v>
      </c>
      <c r="O51" s="372"/>
    </row>
    <row r="52" spans="3:15" ht="20.100000000000001" customHeight="1" x14ac:dyDescent="0.2">
      <c r="C52" s="188"/>
      <c r="D52" s="283" t="s">
        <v>78</v>
      </c>
      <c r="E52" s="246"/>
      <c r="F52" s="246"/>
      <c r="G52" s="246"/>
      <c r="H52" s="246"/>
      <c r="I52" s="246"/>
      <c r="J52" s="246"/>
      <c r="K52" s="247"/>
      <c r="L52" s="249"/>
      <c r="M52" s="248"/>
      <c r="N52" s="307">
        <f t="shared" si="5"/>
        <v>0</v>
      </c>
      <c r="O52" s="372"/>
    </row>
    <row r="53" spans="3:15" ht="20.100000000000001" customHeight="1" x14ac:dyDescent="0.2">
      <c r="C53" s="188"/>
      <c r="D53" s="283" t="s">
        <v>78</v>
      </c>
      <c r="E53" s="246"/>
      <c r="F53" s="246"/>
      <c r="G53" s="246"/>
      <c r="H53" s="246"/>
      <c r="I53" s="246"/>
      <c r="J53" s="246"/>
      <c r="K53" s="247"/>
      <c r="L53" s="249"/>
      <c r="M53" s="248"/>
      <c r="N53" s="307">
        <f t="shared" si="5"/>
        <v>0</v>
      </c>
      <c r="O53" s="372"/>
    </row>
    <row r="54" spans="3:15" ht="20.100000000000001" customHeight="1" x14ac:dyDescent="0.2">
      <c r="C54" s="188"/>
      <c r="D54" s="283" t="s">
        <v>78</v>
      </c>
      <c r="E54" s="246"/>
      <c r="F54" s="246"/>
      <c r="G54" s="246"/>
      <c r="H54" s="246"/>
      <c r="I54" s="246"/>
      <c r="J54" s="246"/>
      <c r="K54" s="247"/>
      <c r="L54" s="249"/>
      <c r="M54" s="248"/>
      <c r="N54" s="307">
        <f t="shared" si="5"/>
        <v>0</v>
      </c>
      <c r="O54" s="372"/>
    </row>
    <row r="55" spans="3:15" ht="20.100000000000001" customHeight="1" x14ac:dyDescent="0.2">
      <c r="C55" s="188"/>
      <c r="D55" s="283" t="s">
        <v>78</v>
      </c>
      <c r="E55" s="246"/>
      <c r="F55" s="246"/>
      <c r="G55" s="246"/>
      <c r="H55" s="246"/>
      <c r="I55" s="246"/>
      <c r="J55" s="246"/>
      <c r="K55" s="247"/>
      <c r="L55" s="249"/>
      <c r="M55" s="248"/>
      <c r="N55" s="307">
        <f t="shared" si="5"/>
        <v>0</v>
      </c>
      <c r="O55" s="372"/>
    </row>
    <row r="56" spans="3:15" ht="20.100000000000001" customHeight="1" x14ac:dyDescent="0.2">
      <c r="C56" s="188"/>
      <c r="D56" s="283" t="s">
        <v>78</v>
      </c>
      <c r="E56" s="246"/>
      <c r="F56" s="246"/>
      <c r="G56" s="246"/>
      <c r="H56" s="246"/>
      <c r="I56" s="246"/>
      <c r="J56" s="246"/>
      <c r="K56" s="247"/>
      <c r="L56" s="249"/>
      <c r="M56" s="248"/>
      <c r="N56" s="307">
        <f t="shared" si="5"/>
        <v>0</v>
      </c>
      <c r="O56" s="372"/>
    </row>
    <row r="57" spans="3:15" ht="20.100000000000001" customHeight="1" x14ac:dyDescent="0.2">
      <c r="C57" s="188"/>
      <c r="D57" s="283" t="s">
        <v>78</v>
      </c>
      <c r="E57" s="246"/>
      <c r="F57" s="246"/>
      <c r="G57" s="246"/>
      <c r="H57" s="246"/>
      <c r="I57" s="246"/>
      <c r="J57" s="246"/>
      <c r="K57" s="247"/>
      <c r="L57" s="249"/>
      <c r="M57" s="248"/>
      <c r="N57" s="307">
        <f t="shared" si="5"/>
        <v>0</v>
      </c>
      <c r="O57" s="372"/>
    </row>
    <row r="58" spans="3:15" ht="20.100000000000001" customHeight="1" x14ac:dyDescent="0.2">
      <c r="C58" s="188"/>
      <c r="D58" s="283" t="s">
        <v>78</v>
      </c>
      <c r="E58" s="246"/>
      <c r="F58" s="246"/>
      <c r="G58" s="246"/>
      <c r="H58" s="246"/>
      <c r="I58" s="246"/>
      <c r="J58" s="246"/>
      <c r="K58" s="247"/>
      <c r="L58" s="249"/>
      <c r="M58" s="248"/>
      <c r="N58" s="307">
        <f t="shared" si="5"/>
        <v>0</v>
      </c>
      <c r="O58" s="372"/>
    </row>
    <row r="59" spans="3:15" ht="20.100000000000001" customHeight="1" thickBot="1" x14ac:dyDescent="0.25">
      <c r="C59" s="188"/>
      <c r="D59" s="287" t="s">
        <v>78</v>
      </c>
      <c r="E59" s="288"/>
      <c r="F59" s="288"/>
      <c r="G59" s="288"/>
      <c r="H59" s="288"/>
      <c r="I59" s="288"/>
      <c r="J59" s="288"/>
      <c r="K59" s="289"/>
      <c r="L59" s="291"/>
      <c r="M59" s="290"/>
      <c r="N59" s="307">
        <f t="shared" si="5"/>
        <v>0</v>
      </c>
      <c r="O59" s="372"/>
    </row>
    <row r="60" spans="3:15" x14ac:dyDescent="0.2">
      <c r="N60" s="254"/>
      <c r="O60" s="372"/>
    </row>
    <row r="61" spans="3:15" x14ac:dyDescent="0.2">
      <c r="O61" s="372"/>
    </row>
    <row r="62" spans="3:15" x14ac:dyDescent="0.2">
      <c r="O62" s="372"/>
    </row>
    <row r="63" spans="3:15" ht="18" x14ac:dyDescent="0.25">
      <c r="E63" s="185"/>
      <c r="F63" s="185"/>
      <c r="G63" s="185"/>
      <c r="H63" s="185"/>
      <c r="I63" s="185"/>
      <c r="J63" s="185"/>
      <c r="O63" s="372"/>
    </row>
    <row r="64" spans="3:15" x14ac:dyDescent="0.2">
      <c r="O64" s="372"/>
    </row>
    <row r="65" spans="4:15" ht="13.5" thickBot="1" x14ac:dyDescent="0.25">
      <c r="O65" s="372"/>
    </row>
    <row r="66" spans="4:15" ht="16.5" customHeight="1" thickBot="1" x14ac:dyDescent="0.25">
      <c r="D66" s="189" t="s">
        <v>77</v>
      </c>
      <c r="E66" s="548" t="s">
        <v>118</v>
      </c>
      <c r="F66" s="549"/>
      <c r="G66" s="549"/>
      <c r="H66" s="549"/>
      <c r="I66" s="549"/>
      <c r="J66" s="549"/>
      <c r="K66" s="549"/>
      <c r="L66" s="549"/>
      <c r="M66" s="550"/>
      <c r="N66" s="306" t="s">
        <v>7</v>
      </c>
      <c r="O66" s="372"/>
    </row>
    <row r="67" spans="4:15" ht="42" customHeight="1" thickBot="1" x14ac:dyDescent="0.25">
      <c r="D67" s="284" t="s">
        <v>79</v>
      </c>
      <c r="E67" s="626" t="str">
        <f>E2</f>
        <v>Candidat(e)
1</v>
      </c>
      <c r="F67" s="627" t="str">
        <f>F2</f>
        <v>Candidat(e)
2</v>
      </c>
      <c r="G67" s="628" t="str">
        <f t="shared" ref="G67:K67" si="6">G2</f>
        <v>Candidat(e)
3</v>
      </c>
      <c r="H67" s="629" t="str">
        <f t="shared" si="6"/>
        <v>Candidat(e)
4</v>
      </c>
      <c r="I67" s="630" t="str">
        <f t="shared" si="6"/>
        <v>Candidat(e)
5</v>
      </c>
      <c r="J67" s="631" t="str">
        <f t="shared" si="6"/>
        <v>Candidat(e)
6</v>
      </c>
      <c r="K67" s="632" t="str">
        <f t="shared" si="6"/>
        <v>Candidat(e)
7</v>
      </c>
      <c r="L67" s="322" t="s">
        <v>3</v>
      </c>
      <c r="M67" s="323" t="s">
        <v>4</v>
      </c>
      <c r="N67" s="313" t="s">
        <v>101</v>
      </c>
      <c r="O67" s="372"/>
    </row>
    <row r="68" spans="4:15" ht="20.100000000000001" customHeight="1" x14ac:dyDescent="0.2">
      <c r="D68" s="198" t="s">
        <v>78</v>
      </c>
      <c r="E68" s="191"/>
      <c r="F68" s="191"/>
      <c r="G68" s="191"/>
      <c r="H68" s="191"/>
      <c r="I68" s="191"/>
      <c r="J68" s="191"/>
      <c r="K68" s="192"/>
      <c r="L68" s="194"/>
      <c r="M68" s="193"/>
      <c r="N68" s="310">
        <f>SUM(E68:M68)</f>
        <v>0</v>
      </c>
      <c r="O68" s="372"/>
    </row>
    <row r="69" spans="4:15" ht="20.100000000000001" customHeight="1" x14ac:dyDescent="0.2">
      <c r="D69" s="196" t="s">
        <v>78</v>
      </c>
      <c r="E69" s="136"/>
      <c r="F69" s="136"/>
      <c r="G69" s="136"/>
      <c r="H69" s="136"/>
      <c r="I69" s="136"/>
      <c r="J69" s="136"/>
      <c r="K69" s="137"/>
      <c r="L69" s="139"/>
      <c r="M69" s="138"/>
      <c r="N69" s="244">
        <f>SUM(E69:M69)</f>
        <v>0</v>
      </c>
      <c r="O69" s="372"/>
    </row>
    <row r="70" spans="4:15" ht="20.100000000000001" customHeight="1" x14ac:dyDescent="0.2">
      <c r="D70" s="196" t="s">
        <v>78</v>
      </c>
      <c r="E70" s="136"/>
      <c r="F70" s="136"/>
      <c r="G70" s="136"/>
      <c r="H70" s="136"/>
      <c r="I70" s="136"/>
      <c r="J70" s="136"/>
      <c r="K70" s="137"/>
      <c r="L70" s="139"/>
      <c r="M70" s="138"/>
      <c r="N70" s="244">
        <f>SUM(E70:M70)</f>
        <v>0</v>
      </c>
      <c r="O70" s="372"/>
    </row>
    <row r="71" spans="4:15" ht="20.100000000000001" customHeight="1" x14ac:dyDescent="0.2">
      <c r="D71" s="196" t="s">
        <v>78</v>
      </c>
      <c r="E71" s="136"/>
      <c r="F71" s="136"/>
      <c r="G71" s="136"/>
      <c r="H71" s="136"/>
      <c r="I71" s="136"/>
      <c r="J71" s="136"/>
      <c r="K71" s="137"/>
      <c r="L71" s="139"/>
      <c r="M71" s="138"/>
      <c r="N71" s="244">
        <f>SUM(E71:M71)</f>
        <v>0</v>
      </c>
      <c r="O71" s="372"/>
    </row>
    <row r="72" spans="4:15" ht="20.100000000000001" customHeight="1" thickBot="1" x14ac:dyDescent="0.25">
      <c r="D72" s="197" t="s">
        <v>78</v>
      </c>
      <c r="E72" s="140"/>
      <c r="F72" s="140"/>
      <c r="G72" s="140"/>
      <c r="H72" s="140"/>
      <c r="I72" s="140"/>
      <c r="J72" s="140"/>
      <c r="K72" s="141"/>
      <c r="L72" s="143"/>
      <c r="M72" s="142"/>
      <c r="N72" s="311">
        <f>SUM(E72:M72)</f>
        <v>0</v>
      </c>
      <c r="O72" s="372"/>
    </row>
    <row r="73" spans="4:15" ht="20.100000000000001" customHeight="1" x14ac:dyDescent="0.2">
      <c r="D73" s="190"/>
      <c r="E73" s="188"/>
      <c r="F73" s="188"/>
      <c r="G73" s="188"/>
      <c r="H73" s="188"/>
      <c r="I73" s="188"/>
      <c r="J73" s="188"/>
      <c r="K73" s="188"/>
      <c r="L73" s="188"/>
      <c r="M73" s="188"/>
      <c r="O73" s="372"/>
    </row>
    <row r="74" spans="4:15" ht="20.100000000000001" customHeight="1" x14ac:dyDescent="0.2">
      <c r="D74" s="190"/>
      <c r="E74" s="188"/>
      <c r="F74" s="188"/>
      <c r="G74" s="188"/>
      <c r="H74" s="188"/>
      <c r="I74" s="188"/>
      <c r="J74" s="188"/>
      <c r="K74" s="188"/>
      <c r="L74" s="188"/>
      <c r="M74" s="188"/>
      <c r="O74" s="372"/>
    </row>
    <row r="75" spans="4:15" ht="20.100000000000001" customHeight="1" thickBot="1" x14ac:dyDescent="0.25">
      <c r="D75" s="190"/>
      <c r="E75" s="188"/>
      <c r="F75" s="188"/>
      <c r="G75" s="188"/>
      <c r="H75" s="188"/>
      <c r="I75" s="188"/>
      <c r="J75" s="188"/>
      <c r="K75" s="188"/>
      <c r="L75" s="188"/>
      <c r="M75" s="188"/>
      <c r="O75" s="372"/>
    </row>
    <row r="76" spans="4:15" ht="20.100000000000001" customHeight="1" thickBot="1" x14ac:dyDescent="0.25">
      <c r="D76" s="189" t="s">
        <v>81</v>
      </c>
      <c r="E76" s="548" t="s">
        <v>119</v>
      </c>
      <c r="F76" s="549"/>
      <c r="G76" s="549"/>
      <c r="H76" s="549"/>
      <c r="I76" s="549"/>
      <c r="J76" s="549"/>
      <c r="K76" s="549"/>
      <c r="L76" s="549"/>
      <c r="M76" s="550"/>
      <c r="N76" s="312" t="s">
        <v>7</v>
      </c>
      <c r="O76" s="372"/>
    </row>
    <row r="77" spans="4:15" ht="39.75" customHeight="1" thickBot="1" x14ac:dyDescent="0.25">
      <c r="D77" s="284" t="s">
        <v>79</v>
      </c>
      <c r="E77" s="626" t="str">
        <f>E2</f>
        <v>Candidat(e)
1</v>
      </c>
      <c r="F77" s="627" t="str">
        <f>F2</f>
        <v>Candidat(e)
2</v>
      </c>
      <c r="G77" s="628" t="str">
        <f t="shared" ref="G77:K77" si="7">G2</f>
        <v>Candidat(e)
3</v>
      </c>
      <c r="H77" s="629" t="str">
        <f t="shared" si="7"/>
        <v>Candidat(e)
4</v>
      </c>
      <c r="I77" s="630" t="str">
        <f t="shared" si="7"/>
        <v>Candidat(e)
5</v>
      </c>
      <c r="J77" s="631" t="str">
        <f t="shared" si="7"/>
        <v>Candidat(e)
6</v>
      </c>
      <c r="K77" s="632" t="str">
        <f t="shared" si="7"/>
        <v>Candidat(e)
7</v>
      </c>
      <c r="L77" s="322" t="s">
        <v>3</v>
      </c>
      <c r="M77" s="323" t="s">
        <v>4</v>
      </c>
      <c r="N77" s="309" t="s">
        <v>101</v>
      </c>
      <c r="O77" s="372"/>
    </row>
    <row r="78" spans="4:15" ht="20.100000000000001" customHeight="1" x14ac:dyDescent="0.2">
      <c r="D78" s="198" t="s">
        <v>78</v>
      </c>
      <c r="E78" s="191"/>
      <c r="F78" s="191"/>
      <c r="G78" s="191"/>
      <c r="H78" s="191"/>
      <c r="I78" s="191"/>
      <c r="J78" s="191"/>
      <c r="K78" s="192"/>
      <c r="L78" s="194"/>
      <c r="M78" s="193"/>
      <c r="N78" s="310">
        <f>SUM(E78:M78)</f>
        <v>0</v>
      </c>
      <c r="O78" s="372"/>
    </row>
    <row r="79" spans="4:15" ht="20.100000000000001" customHeight="1" x14ac:dyDescent="0.2">
      <c r="D79" s="196" t="s">
        <v>78</v>
      </c>
      <c r="E79" s="136"/>
      <c r="F79" s="136"/>
      <c r="G79" s="136"/>
      <c r="H79" s="136"/>
      <c r="I79" s="136"/>
      <c r="J79" s="136"/>
      <c r="K79" s="137"/>
      <c r="L79" s="139"/>
      <c r="M79" s="138"/>
      <c r="N79" s="244">
        <f>SUM(E79:M79)</f>
        <v>0</v>
      </c>
      <c r="O79" s="372"/>
    </row>
    <row r="80" spans="4:15" ht="20.100000000000001" customHeight="1" thickBot="1" x14ac:dyDescent="0.25">
      <c r="D80" s="197" t="s">
        <v>78</v>
      </c>
      <c r="E80" s="140"/>
      <c r="F80" s="140"/>
      <c r="G80" s="140"/>
      <c r="H80" s="140"/>
      <c r="I80" s="140"/>
      <c r="J80" s="140"/>
      <c r="K80" s="141"/>
      <c r="L80" s="143"/>
      <c r="M80" s="142"/>
      <c r="N80" s="311">
        <f>SUM(E80:M80)</f>
        <v>0</v>
      </c>
      <c r="O80" s="372"/>
    </row>
    <row r="81" spans="4:15" ht="20.100000000000001" customHeight="1" x14ac:dyDescent="0.2">
      <c r="D81" s="190"/>
      <c r="E81" s="188"/>
      <c r="F81" s="188"/>
      <c r="G81" s="188"/>
      <c r="H81" s="188"/>
      <c r="I81" s="188"/>
      <c r="J81" s="188"/>
      <c r="K81" s="188"/>
      <c r="L81" s="188"/>
      <c r="M81" s="188"/>
      <c r="N81" s="195"/>
      <c r="O81" s="372"/>
    </row>
    <row r="82" spans="4:15" ht="20.100000000000001" customHeight="1" x14ac:dyDescent="0.2">
      <c r="D82" s="190"/>
      <c r="E82" s="188"/>
      <c r="F82" s="188"/>
      <c r="G82" s="188"/>
      <c r="H82" s="188"/>
      <c r="I82" s="188"/>
      <c r="J82" s="188"/>
      <c r="K82" s="188"/>
      <c r="L82" s="188"/>
      <c r="M82" s="188"/>
      <c r="N82" s="195"/>
      <c r="O82" s="372"/>
    </row>
  </sheetData>
  <sheetProtection algorithmName="SHA-512" hashValue="QvfBi82nJcKzu8ZGZY4p3CNgJny1iELuAnbO5hQ+/dmf7O7PAstEIiBQqb/yxz5OouFPJ9O6T3xmGnqFmiSK5g==" saltValue="+thsak/MRUvz8OtheOnW2g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173" priority="1" operator="equal">
      <formula>0</formula>
    </cfRule>
    <cfRule type="cellIs" dxfId="172" priority="6" operator="notEqual">
      <formula>$B$7</formula>
    </cfRule>
  </conditionalFormatting>
  <conditionalFormatting sqref="E3:N12">
    <cfRule type="cellIs" dxfId="171" priority="5" operator="notBetween">
      <formula>0</formula>
      <formula>100</formula>
    </cfRule>
  </conditionalFormatting>
  <conditionalFormatting sqref="E3:N14">
    <cfRule type="cellIs" dxfId="170" priority="8" operator="lessThan">
      <formula>0</formula>
    </cfRule>
  </conditionalFormatting>
  <conditionalFormatting sqref="E14:N14">
    <cfRule type="cellIs" dxfId="169" priority="11" operator="greaterThan">
      <formula>1</formula>
    </cfRule>
  </conditionalFormatting>
  <conditionalFormatting sqref="N3:N13">
    <cfRule type="cellIs" dxfId="168" priority="9" operator="equal">
      <formula>0</formula>
    </cfRule>
  </conditionalFormatting>
  <conditionalFormatting sqref="N13">
    <cfRule type="cellIs" dxfId="167" priority="13" operator="equal">
      <formula>$B$7</formula>
    </cfRule>
  </conditionalFormatting>
  <conditionalFormatting sqref="N14">
    <cfRule type="cellIs" dxfId="166" priority="10" operator="equal">
      <formula>1</formula>
    </cfRule>
    <cfRule type="cellIs" dxfId="165" priority="12" operator="lessThan">
      <formula>1</formula>
    </cfRule>
  </conditionalFormatting>
  <conditionalFormatting sqref="R4:R15">
    <cfRule type="cellIs" dxfId="164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163" priority="3">
      <formula>AND(E50&lt;MAX(E$50:E50), NOT(ISBLANK(E50)), NOT(E50=0))</formula>
    </cfRule>
  </conditionalFormatting>
  <conditionalFormatting sqref="E68:M72">
    <cfRule type="expression" dxfId="162" priority="2">
      <formula>AND(E68&lt;MAX(E$68:E68), NOT(ISBLANK(E68)), NOT(E68=0))</formula>
    </cfRule>
  </conditionalFormatting>
  <conditionalFormatting sqref="E78:M80">
    <cfRule type="expression" dxfId="161" priority="14">
      <formula>AND(E78&lt;MAX(E$78:E78), NOT(ISBLANK(E78)), NOT(E78=0))</formula>
    </cfRule>
  </conditionalFormatting>
  <conditionalFormatting sqref="N3:N12">
    <cfRule type="expression" dxfId="160" priority="15">
      <formula>AND($D3=$E$24, N3=$D$25)</formula>
    </cfRule>
    <cfRule type="expression" dxfId="159" priority="16">
      <formula>AND($D3=$E$24, MOD(N3,100)&gt;$D$25)</formula>
    </cfRule>
    <cfRule type="cellIs" dxfId="158" priority="17" operator="equal">
      <formula>100</formula>
    </cfRule>
  </conditionalFormatting>
  <conditionalFormatting sqref="E3:M12">
    <cfRule type="expression" dxfId="157" priority="18">
      <formula>($D3&lt;=$E$24)</formula>
    </cfRule>
  </conditionalFormatting>
  <conditionalFormatting sqref="D3:M12">
    <cfRule type="expression" dxfId="156" priority="19">
      <formula>($D3&gt;$E$24)</formula>
    </cfRule>
  </conditionalFormatting>
  <conditionalFormatting sqref="E50:M59 E68:M72 E78:M80">
    <cfRule type="cellIs" dxfId="155" priority="20" operator="notBetween">
      <formula>0</formula>
      <formula>$B$7</formula>
    </cfRule>
    <cfRule type="expression" dxfId="154" priority="21">
      <formula>($D50&lt;=$E$24)</formula>
    </cfRule>
    <cfRule type="expression" dxfId="153" priority="22">
      <formula>($D50&gt;$E$24)</formula>
    </cfRule>
  </conditionalFormatting>
  <conditionalFormatting sqref="N50 N68:N72 N78:N80 N52:N59">
    <cfRule type="cellIs" dxfId="152" priority="23" operator="lessThan">
      <formula>0</formula>
    </cfRule>
    <cfRule type="cellIs" dxfId="151" priority="24" operator="equal">
      <formula>0</formula>
    </cfRule>
    <cfRule type="expression" dxfId="150" priority="25">
      <formula>OR(MOD($N50,100)=0,AND($D50=$E$24,MOD($N50,100)=$D$25))</formula>
    </cfRule>
  </conditionalFormatting>
  <conditionalFormatting sqref="N51">
    <cfRule type="cellIs" dxfId="149" priority="26" operator="notBetween">
      <formula>0</formula>
      <formula>$B$7</formula>
    </cfRule>
    <cfRule type="cellIs" dxfId="148" priority="27" operator="equal">
      <formula>0</formula>
    </cfRule>
    <cfRule type="expression" dxfId="147" priority="28">
      <formula>OR(MOD($N51,100)=0,AND($D51=$E$24,MOD($N51,100)=$D$25))</formula>
    </cfRule>
  </conditionalFormatting>
  <conditionalFormatting sqref="Q4:Q15">
    <cfRule type="expression" dxfId="146" priority="29">
      <formula>AND($Q4&lt;$Q3, NOT(ISBLANK($Q4)))</formula>
    </cfRule>
    <cfRule type="cellIs" dxfId="145" priority="30" operator="greaterThan">
      <formula>$B$6</formula>
    </cfRule>
  </conditionalFormatting>
  <dataValidations count="2">
    <dataValidation type="list" allowBlank="1" showInputMessage="1" showErrorMessage="1" sqref="C50:C59" xr:uid="{54F51EC6-4896-4BB0-8A44-65EF7B3977B8}">
      <formula1>$D$19:$D$21</formula1>
    </dataValidation>
    <dataValidation type="list" allowBlank="1" showInputMessage="1" showErrorMessage="1" sqref="D68:D72 D78:D82 D50:D59" xr:uid="{F551F85A-D1BC-4845-8D45-D6EDA58EA9FB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9277A-EAC3-4562-92AF-E4BABDAAE5E8}">
  <sheetPr codeName="Feuil50">
    <tabColor rgb="FFB4A7D6"/>
  </sheetPr>
  <dimension ref="A1:V82"/>
  <sheetViews>
    <sheetView zoomScale="80" zoomScaleNormal="80" workbookViewId="0">
      <selection activeCell="Q4" sqref="Q4"/>
    </sheetView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24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357" t="s">
        <v>11</v>
      </c>
      <c r="B1" s="363">
        <f>Synthèse!$B$17</f>
        <v>46103</v>
      </c>
      <c r="D1" s="243"/>
      <c r="E1" s="551" t="s">
        <v>120</v>
      </c>
      <c r="F1" s="552"/>
      <c r="G1" s="552"/>
      <c r="H1" s="552"/>
      <c r="I1" s="552"/>
      <c r="J1" s="552"/>
      <c r="K1" s="552"/>
      <c r="L1" s="552"/>
      <c r="M1" s="553"/>
      <c r="N1" s="316" t="s">
        <v>7</v>
      </c>
      <c r="O1" s="372"/>
    </row>
    <row r="2" spans="1:22" ht="45" customHeight="1" thickBot="1" x14ac:dyDescent="0.25">
      <c r="A2" s="358" t="s">
        <v>12</v>
      </c>
      <c r="B2" s="364" t="str">
        <f>Synthèse!$B$18</f>
        <v>Municipales 2ème tour</v>
      </c>
      <c r="D2" s="280" t="s">
        <v>80</v>
      </c>
      <c r="E2" s="619" t="str">
        <f>Synthèse!L2</f>
        <v>Candidat(e)
1</v>
      </c>
      <c r="F2" s="620" t="str">
        <f>Synthèse!M2</f>
        <v>Candidat(e)
2</v>
      </c>
      <c r="G2" s="621" t="str">
        <f>Synthèse!N2</f>
        <v>Candidat(e)
3</v>
      </c>
      <c r="H2" s="622" t="str">
        <f>Synthèse!O2</f>
        <v>Candidat(e)
4</v>
      </c>
      <c r="I2" s="623" t="str">
        <f>Synthèse!P2</f>
        <v>Candidat(e)
5</v>
      </c>
      <c r="J2" s="624" t="str">
        <f>Synthèse!Q2</f>
        <v>Candidat(e)
6</v>
      </c>
      <c r="K2" s="625" t="str">
        <f>Synthèse!R2</f>
        <v>Candidat(e)
7</v>
      </c>
      <c r="L2" s="320" t="s">
        <v>3</v>
      </c>
      <c r="M2" s="321" t="s">
        <v>4</v>
      </c>
      <c r="N2" s="317" t="s">
        <v>102</v>
      </c>
      <c r="O2" s="372"/>
      <c r="P2" s="367" t="s">
        <v>21</v>
      </c>
      <c r="Q2" s="293" t="s">
        <v>56</v>
      </c>
      <c r="R2" s="294" t="s">
        <v>30</v>
      </c>
      <c r="T2" s="295" t="s">
        <v>58</v>
      </c>
      <c r="U2" s="295" t="s">
        <v>57</v>
      </c>
    </row>
    <row r="3" spans="1:22" ht="20.100000000000001" customHeight="1" thickBot="1" x14ac:dyDescent="0.25">
      <c r="A3" s="359" t="s">
        <v>13</v>
      </c>
      <c r="B3" s="365" t="str">
        <f>Synthèse!$B$19</f>
        <v>Cogolin</v>
      </c>
      <c r="D3" s="277" t="str" cm="1">
        <f t="array" ref="D3">IF(ROW(1:1)&lt;=$E$24, (ROW(1:1)), "")</f>
        <v/>
      </c>
      <c r="E3" s="113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3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13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13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13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13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13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28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2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44">
        <f t="shared" ref="N3:N13" si="0">SUM(E3:M3)</f>
        <v>0</v>
      </c>
      <c r="O3" s="372"/>
      <c r="P3" s="368" t="s">
        <v>31</v>
      </c>
      <c r="Q3" s="269">
        <v>0</v>
      </c>
      <c r="R3" s="270">
        <f>Q3/$B$6</f>
        <v>0</v>
      </c>
      <c r="T3" s="256"/>
      <c r="U3" s="256"/>
    </row>
    <row r="4" spans="1:22" ht="20.100000000000001" customHeight="1" x14ac:dyDescent="0.2">
      <c r="A4" s="65" t="s">
        <v>22</v>
      </c>
      <c r="B4" s="375">
        <v>8</v>
      </c>
      <c r="D4" s="278" t="str" cm="1">
        <f t="array" ref="D4">IF(ROW(2:2)&lt;=$E$24, (ROW(2:2)), "")</f>
        <v/>
      </c>
      <c r="E4" s="114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4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4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14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14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14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15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1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4">
        <f t="shared" si="0"/>
        <v>0</v>
      </c>
      <c r="O4" s="372"/>
      <c r="P4" s="369" t="s">
        <v>32</v>
      </c>
      <c r="Q4" s="324"/>
      <c r="R4" s="273" t="e">
        <f t="shared" ref="R4:R13" si="1">IF(OR(Q4=0, Q4=""), NA(), Q4/$B$6)</f>
        <v>#N/A</v>
      </c>
      <c r="T4" s="251" t="s">
        <v>44</v>
      </c>
      <c r="U4" s="296" t="e">
        <f t="shared" ref="U4:U13" si="2">IF(Q4&lt;&gt;0,Q4-Q3,NA())</f>
        <v>#N/A</v>
      </c>
    </row>
    <row r="5" spans="1:22" ht="20.100000000000001" customHeight="1" x14ac:dyDescent="0.2">
      <c r="A5" s="66" t="s">
        <v>23</v>
      </c>
      <c r="B5" s="376" t="str">
        <f>INDEX(Synthèse!B:B,B4+2)</f>
        <v>COSEC</v>
      </c>
      <c r="D5" s="278" t="str" cm="1">
        <f t="array" ref="D5">IF(ROW(3:3)&lt;=$E$24, (ROW(3:3)), "")</f>
        <v/>
      </c>
      <c r="E5" s="114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4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14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14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14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14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14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3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31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4">
        <f t="shared" si="0"/>
        <v>0</v>
      </c>
      <c r="O5" s="373"/>
      <c r="P5" s="369" t="s">
        <v>33</v>
      </c>
      <c r="Q5" s="324"/>
      <c r="R5" s="273" t="e">
        <f t="shared" si="1"/>
        <v>#N/A</v>
      </c>
      <c r="T5" s="252" t="s">
        <v>45</v>
      </c>
      <c r="U5" s="297" t="e">
        <f t="shared" si="2"/>
        <v>#N/A</v>
      </c>
    </row>
    <row r="6" spans="1:22" ht="20.100000000000001" customHeight="1" x14ac:dyDescent="0.2">
      <c r="A6" s="66" t="s">
        <v>0</v>
      </c>
      <c r="B6" s="144">
        <f>INDEX(Synthèse!C:C,B4+2)</f>
        <v>646</v>
      </c>
      <c r="D6" s="278" t="str" cm="1">
        <f t="array" ref="D6">IF(ROW(4:4)&lt;=$E$24, (ROW(4:4)), "")</f>
        <v/>
      </c>
      <c r="E6" s="114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4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14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14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14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14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14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3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31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4">
        <f t="shared" si="0"/>
        <v>0</v>
      </c>
      <c r="O6" s="373"/>
      <c r="P6" s="369" t="s">
        <v>34</v>
      </c>
      <c r="Q6" s="324"/>
      <c r="R6" s="273" t="e">
        <f t="shared" si="1"/>
        <v>#N/A</v>
      </c>
      <c r="T6" s="252" t="s">
        <v>46</v>
      </c>
      <c r="U6" s="297" t="e">
        <f t="shared" si="2"/>
        <v>#N/A</v>
      </c>
    </row>
    <row r="7" spans="1:22" ht="20.100000000000001" customHeight="1" x14ac:dyDescent="0.2">
      <c r="A7" s="66" t="s">
        <v>2</v>
      </c>
      <c r="B7" s="123">
        <f>MAX(Q4:Q15)</f>
        <v>0</v>
      </c>
      <c r="D7" s="278" t="str" cm="1">
        <f t="array" ref="D7">IF(ROW(5:5)&lt;=$E$24, (ROW(5:5)), "")</f>
        <v/>
      </c>
      <c r="E7" s="114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4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4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14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14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14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15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1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4">
        <f t="shared" si="0"/>
        <v>0</v>
      </c>
      <c r="O7" s="373"/>
      <c r="P7" s="369" t="s">
        <v>35</v>
      </c>
      <c r="Q7" s="324"/>
      <c r="R7" s="273" t="e">
        <f t="shared" si="1"/>
        <v>#N/A</v>
      </c>
      <c r="T7" s="252" t="s">
        <v>53</v>
      </c>
      <c r="U7" s="297" t="e">
        <f t="shared" si="2"/>
        <v>#N/A</v>
      </c>
    </row>
    <row r="8" spans="1:22" ht="20.100000000000001" customHeight="1" x14ac:dyDescent="0.2">
      <c r="A8" s="66" t="s">
        <v>1</v>
      </c>
      <c r="B8" s="124"/>
      <c r="D8" s="278" t="str" cm="1">
        <f t="array" ref="D8">IF(ROW(6:6)&lt;=$E$24, (ROW(6:6)), "")</f>
        <v/>
      </c>
      <c r="E8" s="114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4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4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14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14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14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15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1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4">
        <f t="shared" si="0"/>
        <v>0</v>
      </c>
      <c r="O8" s="373"/>
      <c r="P8" s="369" t="s">
        <v>36</v>
      </c>
      <c r="Q8" s="324"/>
      <c r="R8" s="273" t="e">
        <f t="shared" si="1"/>
        <v>#N/A</v>
      </c>
      <c r="T8" s="252" t="s">
        <v>47</v>
      </c>
      <c r="U8" s="297" t="e">
        <f t="shared" si="2"/>
        <v>#N/A</v>
      </c>
    </row>
    <row r="9" spans="1:22" ht="20.100000000000001" customHeight="1" thickBot="1" x14ac:dyDescent="0.25">
      <c r="A9" s="67" t="s">
        <v>17</v>
      </c>
      <c r="B9" s="125">
        <f>B6-B7</f>
        <v>646</v>
      </c>
      <c r="D9" s="278" t="str" cm="1">
        <f t="array" ref="D9">IF(ROW(7:7)&lt;=$E$24, (ROW(7:7)), "")</f>
        <v/>
      </c>
      <c r="E9" s="114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4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4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14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14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14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17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18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4">
        <f t="shared" si="0"/>
        <v>0</v>
      </c>
      <c r="O9" s="373"/>
      <c r="P9" s="369" t="s">
        <v>37</v>
      </c>
      <c r="Q9" s="324"/>
      <c r="R9" s="273" t="e">
        <f t="shared" si="1"/>
        <v>#N/A</v>
      </c>
      <c r="T9" s="252" t="s">
        <v>48</v>
      </c>
      <c r="U9" s="297" t="e">
        <f t="shared" si="2"/>
        <v>#N/A</v>
      </c>
    </row>
    <row r="10" spans="1:22" ht="20.100000000000001" customHeight="1" x14ac:dyDescent="0.2">
      <c r="A10" s="554" t="s">
        <v>59</v>
      </c>
      <c r="B10" s="554"/>
      <c r="D10" s="278" t="str" cm="1">
        <f t="array" ref="D10">IF(ROW(8:8)&lt;=$E$24, (ROW(8:8)), "")</f>
        <v/>
      </c>
      <c r="E10" s="114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4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4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14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14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14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17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18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4">
        <f t="shared" si="0"/>
        <v>0</v>
      </c>
      <c r="O10" s="373"/>
      <c r="P10" s="369" t="s">
        <v>38</v>
      </c>
      <c r="Q10" s="324"/>
      <c r="R10" s="273" t="e">
        <f t="shared" si="1"/>
        <v>#N/A</v>
      </c>
      <c r="T10" s="252" t="s">
        <v>49</v>
      </c>
      <c r="U10" s="297" t="e">
        <f t="shared" si="2"/>
        <v>#N/A</v>
      </c>
    </row>
    <row r="11" spans="1:22" ht="20.100000000000001" customHeight="1" x14ac:dyDescent="0.2">
      <c r="A11" s="555"/>
      <c r="B11" s="555"/>
      <c r="D11" s="278" t="str" cm="1">
        <f t="array" ref="D11">IF(ROW(9:9)&lt;=$E$24, (ROW(9:9)), "")</f>
        <v/>
      </c>
      <c r="E11" s="114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4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4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14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14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14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17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18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4">
        <f t="shared" si="0"/>
        <v>0</v>
      </c>
      <c r="O11" s="373"/>
      <c r="P11" s="369" t="s">
        <v>39</v>
      </c>
      <c r="Q11" s="324"/>
      <c r="R11" s="273" t="e">
        <f t="shared" si="1"/>
        <v>#N/A</v>
      </c>
      <c r="T11" s="252" t="s">
        <v>50</v>
      </c>
      <c r="U11" s="297" t="e">
        <f t="shared" si="2"/>
        <v>#N/A</v>
      </c>
    </row>
    <row r="12" spans="1:22" ht="20.100000000000001" customHeight="1" thickBot="1" x14ac:dyDescent="0.25">
      <c r="A12" s="556" t="s">
        <v>60</v>
      </c>
      <c r="B12" s="556"/>
      <c r="D12" s="279" t="str" cm="1">
        <f t="array" ref="D12">IF(ROW(10:10)&lt;=$E$24, (ROW(10:10)), "")</f>
        <v/>
      </c>
      <c r="E12" s="114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4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14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14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14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14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14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32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33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4">
        <f t="shared" si="0"/>
        <v>0</v>
      </c>
      <c r="O12" s="373"/>
      <c r="P12" s="369" t="s">
        <v>40</v>
      </c>
      <c r="Q12" s="324"/>
      <c r="R12" s="273" t="e">
        <f t="shared" si="1"/>
        <v>#N/A</v>
      </c>
      <c r="T12" s="252" t="s">
        <v>51</v>
      </c>
      <c r="U12" s="297" t="e">
        <f t="shared" si="2"/>
        <v>#N/A</v>
      </c>
    </row>
    <row r="13" spans="1:22" ht="20.100000000000001" customHeight="1" thickBot="1" x14ac:dyDescent="0.3">
      <c r="A13" s="556"/>
      <c r="B13" s="556"/>
      <c r="D13" s="35" t="s">
        <v>9</v>
      </c>
      <c r="E13" s="119">
        <f>SUM(E3:E12)</f>
        <v>0</v>
      </c>
      <c r="F13" s="497">
        <f>SUM(F3:F12)</f>
        <v>0</v>
      </c>
      <c r="G13" s="497">
        <f>SUM(G3:G12)</f>
        <v>0</v>
      </c>
      <c r="H13" s="497">
        <f>SUM(H3:H12)</f>
        <v>0</v>
      </c>
      <c r="I13" s="497">
        <f>SUM(I3:I12)</f>
        <v>0</v>
      </c>
      <c r="J13" s="497">
        <f>SUM(J3:J12)</f>
        <v>0</v>
      </c>
      <c r="K13" s="120">
        <f>SUM(K3:K12)</f>
        <v>0</v>
      </c>
      <c r="L13" s="121">
        <f>SUM(L3:L12)</f>
        <v>0</v>
      </c>
      <c r="M13" s="122">
        <f>SUM(M3:M12)</f>
        <v>0</v>
      </c>
      <c r="N13" s="355">
        <f t="shared" si="0"/>
        <v>0</v>
      </c>
      <c r="O13" s="373"/>
      <c r="P13" s="369" t="s">
        <v>41</v>
      </c>
      <c r="Q13" s="324"/>
      <c r="R13" s="273" t="e">
        <f t="shared" si="1"/>
        <v>#N/A</v>
      </c>
      <c r="T13" s="253" t="s">
        <v>52</v>
      </c>
      <c r="U13" s="298" t="e">
        <f t="shared" si="2"/>
        <v>#N/A</v>
      </c>
    </row>
    <row r="14" spans="1:22" ht="20.100000000000001" customHeight="1" thickBot="1" x14ac:dyDescent="0.3">
      <c r="A14" s="556"/>
      <c r="B14" s="556"/>
      <c r="D14" s="60" t="s">
        <v>10</v>
      </c>
      <c r="E14" s="32">
        <f t="shared" ref="E14:N14" si="3">IFERROR(E13/$B$7,0)</f>
        <v>0</v>
      </c>
      <c r="F14" s="498">
        <f t="shared" si="3"/>
        <v>0</v>
      </c>
      <c r="G14" s="498">
        <f t="shared" si="3"/>
        <v>0</v>
      </c>
      <c r="H14" s="498">
        <f t="shared" si="3"/>
        <v>0</v>
      </c>
      <c r="I14" s="498">
        <f t="shared" si="3"/>
        <v>0</v>
      </c>
      <c r="J14" s="498">
        <f t="shared" si="3"/>
        <v>0</v>
      </c>
      <c r="K14" s="33">
        <f t="shared" si="3"/>
        <v>0</v>
      </c>
      <c r="L14" s="32">
        <f t="shared" si="3"/>
        <v>0</v>
      </c>
      <c r="M14" s="34">
        <f t="shared" si="3"/>
        <v>0</v>
      </c>
      <c r="N14" s="356">
        <f t="shared" si="3"/>
        <v>0</v>
      </c>
      <c r="O14" s="372"/>
      <c r="P14" s="370" t="s">
        <v>42</v>
      </c>
      <c r="Q14" s="325"/>
      <c r="R14" s="275" t="e">
        <f>IF(OR(Q14=0, Q14=""), NA(), Q14/$B$6)</f>
        <v>#N/A</v>
      </c>
      <c r="S14" s="300"/>
      <c r="T14" s="304" t="s">
        <v>54</v>
      </c>
      <c r="U14" s="299" t="e">
        <f>IF(Q14&lt;&gt;0,Q14-Q13,NA())</f>
        <v>#N/A</v>
      </c>
      <c r="V14" s="300"/>
    </row>
    <row r="15" spans="1:22" ht="18" customHeight="1" thickBot="1" x14ac:dyDescent="0.25">
      <c r="A15" s="558" t="s">
        <v>66</v>
      </c>
      <c r="B15" s="558"/>
      <c r="C15" s="1"/>
      <c r="D15" s="1"/>
      <c r="N15" s="254"/>
      <c r="O15" s="372"/>
      <c r="P15" s="371" t="s">
        <v>43</v>
      </c>
      <c r="Q15" s="326"/>
      <c r="R15" s="301" t="e">
        <f>IF(OR(Q15=0, Q15=""), NA(), Q15/$B$6)</f>
        <v>#N/A</v>
      </c>
      <c r="T15" s="305" t="s">
        <v>55</v>
      </c>
      <c r="U15" s="303" t="e">
        <f>IF(Q15&lt;&gt;0,Q15-Q14,NA())</f>
        <v>#N/A</v>
      </c>
      <c r="V15" s="300"/>
    </row>
    <row r="16" spans="1:22" ht="12.75" customHeight="1" x14ac:dyDescent="0.2">
      <c r="A16" s="558"/>
      <c r="B16" s="558"/>
      <c r="O16" s="372"/>
      <c r="P16" s="254"/>
      <c r="Q16" s="254"/>
      <c r="R16" s="254"/>
      <c r="U16" s="254"/>
    </row>
    <row r="17" spans="1:15" ht="18" customHeight="1" x14ac:dyDescent="0.25">
      <c r="A17" s="558"/>
      <c r="B17" s="558"/>
      <c r="E17" s="185"/>
      <c r="F17" s="185"/>
      <c r="G17" s="185"/>
      <c r="H17" s="185"/>
      <c r="I17" s="185"/>
      <c r="J17" s="185"/>
      <c r="O17" s="372"/>
    </row>
    <row r="18" spans="1:15" ht="26.25" customHeight="1" x14ac:dyDescent="0.2">
      <c r="A18" s="558"/>
      <c r="B18" s="558"/>
      <c r="D18" s="353" t="s">
        <v>63</v>
      </c>
      <c r="O18" s="372"/>
    </row>
    <row r="19" spans="1:15" x14ac:dyDescent="0.2">
      <c r="D19" s="354">
        <f>IF((ROW()-23)&lt;=$E$25,(ROW()-23),"Choisir")</f>
        <v>-4</v>
      </c>
      <c r="O19" s="372"/>
    </row>
    <row r="20" spans="1:15" x14ac:dyDescent="0.2">
      <c r="D20" s="354">
        <f>IF((ROW()-23)&lt;=$E$25,(ROW()-23),"Choisir")</f>
        <v>-3</v>
      </c>
      <c r="O20" s="372"/>
    </row>
    <row r="21" spans="1:15" x14ac:dyDescent="0.2">
      <c r="D21" s="354">
        <f>IF((ROW()-23)&lt;=$E$25,(ROW()-23),"Choisir")</f>
        <v>-2</v>
      </c>
      <c r="O21" s="372"/>
    </row>
    <row r="22" spans="1:15" x14ac:dyDescent="0.2">
      <c r="D22" s="354">
        <f>IF((ROW()-23)&lt;=$E$25,(ROW()-23),"Choisir")</f>
        <v>-1</v>
      </c>
      <c r="O22" s="372"/>
    </row>
    <row r="23" spans="1:15" x14ac:dyDescent="0.2">
      <c r="O23" s="372"/>
    </row>
    <row r="24" spans="1:15" x14ac:dyDescent="0.2">
      <c r="D24" s="199">
        <f>CEILING($B$6, 100)/100</f>
        <v>7</v>
      </c>
      <c r="E24" s="335">
        <f>CEILING($B$7,100)/100</f>
        <v>0</v>
      </c>
      <c r="F24" s="335"/>
      <c r="G24" s="335"/>
      <c r="H24" s="335"/>
      <c r="I24" s="335"/>
      <c r="J24" s="335"/>
      <c r="O24" s="372"/>
    </row>
    <row r="25" spans="1:15" x14ac:dyDescent="0.2">
      <c r="D25" s="199">
        <f>MOD($B$7,100)</f>
        <v>0</v>
      </c>
      <c r="E25" s="200">
        <f>CEILING($B$6/300,1)</f>
        <v>3</v>
      </c>
      <c r="F25" s="200"/>
      <c r="G25" s="200"/>
      <c r="H25" s="200"/>
      <c r="I25" s="200"/>
      <c r="J25" s="200"/>
      <c r="O25" s="372"/>
    </row>
    <row r="26" spans="1:15" x14ac:dyDescent="0.2">
      <c r="O26" s="372"/>
    </row>
    <row r="27" spans="1:15" x14ac:dyDescent="0.2">
      <c r="O27" s="372"/>
    </row>
    <row r="28" spans="1:15" x14ac:dyDescent="0.2">
      <c r="O28" s="372"/>
    </row>
    <row r="29" spans="1:15" x14ac:dyDescent="0.2">
      <c r="O29" s="372"/>
    </row>
    <row r="30" spans="1:15" x14ac:dyDescent="0.2">
      <c r="O30" s="372"/>
    </row>
    <row r="31" spans="1:15" x14ac:dyDescent="0.2">
      <c r="O31" s="372"/>
    </row>
    <row r="32" spans="1:15" x14ac:dyDescent="0.2">
      <c r="O32" s="372"/>
    </row>
    <row r="33" spans="1:15" x14ac:dyDescent="0.2">
      <c r="O33" s="372"/>
    </row>
    <row r="34" spans="1:15" x14ac:dyDescent="0.2">
      <c r="O34" s="372"/>
    </row>
    <row r="35" spans="1:15" x14ac:dyDescent="0.2">
      <c r="O35" s="372"/>
    </row>
    <row r="36" spans="1:15" x14ac:dyDescent="0.2">
      <c r="O36" s="372"/>
    </row>
    <row r="37" spans="1:15" x14ac:dyDescent="0.2">
      <c r="O37" s="372"/>
    </row>
    <row r="38" spans="1:15" x14ac:dyDescent="0.2">
      <c r="O38" s="372"/>
    </row>
    <row r="39" spans="1:15" x14ac:dyDescent="0.2">
      <c r="O39" s="372"/>
    </row>
    <row r="40" spans="1:15" x14ac:dyDescent="0.2">
      <c r="O40" s="372"/>
    </row>
    <row r="41" spans="1:15" x14ac:dyDescent="0.2">
      <c r="O41" s="372"/>
    </row>
    <row r="42" spans="1:15" x14ac:dyDescent="0.2">
      <c r="O42" s="372"/>
    </row>
    <row r="43" spans="1:15" ht="13.5" thickBot="1" x14ac:dyDescent="0.25">
      <c r="A43" s="366"/>
      <c r="B43" s="366"/>
      <c r="C43" s="366"/>
      <c r="D43" s="366"/>
      <c r="E43" s="366"/>
      <c r="F43" s="366"/>
      <c r="G43" s="366"/>
      <c r="H43" s="366"/>
      <c r="I43" s="366"/>
      <c r="J43" s="366"/>
      <c r="K43" s="366"/>
      <c r="L43" s="366"/>
      <c r="M43" s="366"/>
      <c r="N43" s="366"/>
      <c r="O43" s="374"/>
    </row>
    <row r="44" spans="1:15" ht="13.5" thickTop="1" x14ac:dyDescent="0.2">
      <c r="O44" s="372"/>
    </row>
    <row r="45" spans="1:15" x14ac:dyDescent="0.2">
      <c r="O45" s="372"/>
    </row>
    <row r="46" spans="1:15" x14ac:dyDescent="0.2">
      <c r="E46" s="126"/>
      <c r="F46" s="126"/>
      <c r="G46" s="126"/>
      <c r="H46" s="126"/>
      <c r="I46" s="126"/>
      <c r="J46" s="126"/>
      <c r="O46" s="372"/>
    </row>
    <row r="47" spans="1:15" ht="13.5" thickBot="1" x14ac:dyDescent="0.25">
      <c r="E47" s="126"/>
      <c r="F47" s="126"/>
      <c r="G47" s="126"/>
      <c r="H47" s="126"/>
      <c r="I47" s="126"/>
      <c r="J47" s="126"/>
      <c r="O47" s="372"/>
    </row>
    <row r="48" spans="1:15" ht="20.100000000000001" customHeight="1" thickBot="1" x14ac:dyDescent="0.25">
      <c r="D48" s="189" t="s">
        <v>76</v>
      </c>
      <c r="E48" s="548" t="s">
        <v>117</v>
      </c>
      <c r="F48" s="549"/>
      <c r="G48" s="549"/>
      <c r="H48" s="549"/>
      <c r="I48" s="549"/>
      <c r="J48" s="549"/>
      <c r="K48" s="549"/>
      <c r="L48" s="549"/>
      <c r="M48" s="550"/>
      <c r="N48" s="306" t="s">
        <v>7</v>
      </c>
      <c r="O48" s="372"/>
    </row>
    <row r="49" spans="3:15" ht="47.25" customHeight="1" thickBot="1" x14ac:dyDescent="0.25">
      <c r="C49" s="187"/>
      <c r="D49" s="284" t="s">
        <v>79</v>
      </c>
      <c r="E49" s="626" t="str">
        <f>E2</f>
        <v>Candidat(e)
1</v>
      </c>
      <c r="F49" s="627" t="str">
        <f>F2</f>
        <v>Candidat(e)
2</v>
      </c>
      <c r="G49" s="628" t="str">
        <f t="shared" ref="G49:K49" si="4">G2</f>
        <v>Candidat(e)
3</v>
      </c>
      <c r="H49" s="629" t="str">
        <f t="shared" si="4"/>
        <v>Candidat(e)
4</v>
      </c>
      <c r="I49" s="630" t="str">
        <f t="shared" si="4"/>
        <v>Candidat(e)
5</v>
      </c>
      <c r="J49" s="631" t="str">
        <f t="shared" si="4"/>
        <v>Candidat(e)
6</v>
      </c>
      <c r="K49" s="632" t="str">
        <f t="shared" si="4"/>
        <v>Candidat(e)
7</v>
      </c>
      <c r="L49" s="322" t="s">
        <v>3</v>
      </c>
      <c r="M49" s="323" t="s">
        <v>4</v>
      </c>
      <c r="N49" s="308" t="s">
        <v>101</v>
      </c>
      <c r="O49" s="372"/>
    </row>
    <row r="50" spans="3:15" ht="19.5" customHeight="1" x14ac:dyDescent="0.2">
      <c r="C50" s="188"/>
      <c r="D50" s="283" t="s">
        <v>78</v>
      </c>
      <c r="E50" s="246"/>
      <c r="F50" s="246"/>
      <c r="G50" s="246"/>
      <c r="H50" s="246"/>
      <c r="I50" s="246"/>
      <c r="J50" s="246"/>
      <c r="K50" s="247"/>
      <c r="L50" s="249"/>
      <c r="M50" s="248"/>
      <c r="N50" s="307">
        <f t="shared" ref="N50:N59" si="5">SUM(E50:M50)</f>
        <v>0</v>
      </c>
      <c r="O50" s="372"/>
    </row>
    <row r="51" spans="3:15" ht="20.100000000000001" customHeight="1" x14ac:dyDescent="0.2">
      <c r="C51" s="188"/>
      <c r="D51" s="283" t="s">
        <v>78</v>
      </c>
      <c r="E51" s="246"/>
      <c r="F51" s="246"/>
      <c r="G51" s="246"/>
      <c r="H51" s="246"/>
      <c r="I51" s="246"/>
      <c r="J51" s="246"/>
      <c r="K51" s="247"/>
      <c r="L51" s="249"/>
      <c r="M51" s="248"/>
      <c r="N51" s="307">
        <f t="shared" si="5"/>
        <v>0</v>
      </c>
      <c r="O51" s="372"/>
    </row>
    <row r="52" spans="3:15" ht="20.100000000000001" customHeight="1" x14ac:dyDescent="0.2">
      <c r="C52" s="188"/>
      <c r="D52" s="283" t="s">
        <v>78</v>
      </c>
      <c r="E52" s="246"/>
      <c r="F52" s="246"/>
      <c r="G52" s="246"/>
      <c r="H52" s="246"/>
      <c r="I52" s="246"/>
      <c r="J52" s="246"/>
      <c r="K52" s="247"/>
      <c r="L52" s="249"/>
      <c r="M52" s="248"/>
      <c r="N52" s="307">
        <f t="shared" si="5"/>
        <v>0</v>
      </c>
      <c r="O52" s="372"/>
    </row>
    <row r="53" spans="3:15" ht="20.100000000000001" customHeight="1" x14ac:dyDescent="0.2">
      <c r="C53" s="188"/>
      <c r="D53" s="283" t="s">
        <v>78</v>
      </c>
      <c r="E53" s="246"/>
      <c r="F53" s="246"/>
      <c r="G53" s="246"/>
      <c r="H53" s="246"/>
      <c r="I53" s="246"/>
      <c r="J53" s="246"/>
      <c r="K53" s="247"/>
      <c r="L53" s="249"/>
      <c r="M53" s="248"/>
      <c r="N53" s="307">
        <f t="shared" si="5"/>
        <v>0</v>
      </c>
      <c r="O53" s="372"/>
    </row>
    <row r="54" spans="3:15" ht="20.100000000000001" customHeight="1" x14ac:dyDescent="0.2">
      <c r="C54" s="188"/>
      <c r="D54" s="283" t="s">
        <v>78</v>
      </c>
      <c r="E54" s="246"/>
      <c r="F54" s="246"/>
      <c r="G54" s="246"/>
      <c r="H54" s="246"/>
      <c r="I54" s="246"/>
      <c r="J54" s="246"/>
      <c r="K54" s="247"/>
      <c r="L54" s="249"/>
      <c r="M54" s="248"/>
      <c r="N54" s="307">
        <f t="shared" si="5"/>
        <v>0</v>
      </c>
      <c r="O54" s="372"/>
    </row>
    <row r="55" spans="3:15" ht="20.100000000000001" customHeight="1" x14ac:dyDescent="0.2">
      <c r="C55" s="188"/>
      <c r="D55" s="283" t="s">
        <v>78</v>
      </c>
      <c r="E55" s="246"/>
      <c r="F55" s="246"/>
      <c r="G55" s="246"/>
      <c r="H55" s="246"/>
      <c r="I55" s="246"/>
      <c r="J55" s="246"/>
      <c r="K55" s="247"/>
      <c r="L55" s="249"/>
      <c r="M55" s="248"/>
      <c r="N55" s="307">
        <f t="shared" si="5"/>
        <v>0</v>
      </c>
      <c r="O55" s="372"/>
    </row>
    <row r="56" spans="3:15" ht="20.100000000000001" customHeight="1" x14ac:dyDescent="0.2">
      <c r="C56" s="188"/>
      <c r="D56" s="283" t="s">
        <v>78</v>
      </c>
      <c r="E56" s="246"/>
      <c r="F56" s="246"/>
      <c r="G56" s="246"/>
      <c r="H56" s="246"/>
      <c r="I56" s="246"/>
      <c r="J56" s="246"/>
      <c r="K56" s="247"/>
      <c r="L56" s="249"/>
      <c r="M56" s="248"/>
      <c r="N56" s="307">
        <f t="shared" si="5"/>
        <v>0</v>
      </c>
      <c r="O56" s="372"/>
    </row>
    <row r="57" spans="3:15" ht="20.100000000000001" customHeight="1" x14ac:dyDescent="0.2">
      <c r="C57" s="188"/>
      <c r="D57" s="283" t="s">
        <v>78</v>
      </c>
      <c r="E57" s="246"/>
      <c r="F57" s="246"/>
      <c r="G57" s="246"/>
      <c r="H57" s="246"/>
      <c r="I57" s="246"/>
      <c r="J57" s="246"/>
      <c r="K57" s="247"/>
      <c r="L57" s="249"/>
      <c r="M57" s="248"/>
      <c r="N57" s="307">
        <f t="shared" si="5"/>
        <v>0</v>
      </c>
      <c r="O57" s="372"/>
    </row>
    <row r="58" spans="3:15" ht="20.100000000000001" customHeight="1" x14ac:dyDescent="0.2">
      <c r="C58" s="188"/>
      <c r="D58" s="283" t="s">
        <v>78</v>
      </c>
      <c r="E58" s="246"/>
      <c r="F58" s="246"/>
      <c r="G58" s="246"/>
      <c r="H58" s="246"/>
      <c r="I58" s="246"/>
      <c r="J58" s="246"/>
      <c r="K58" s="247"/>
      <c r="L58" s="249"/>
      <c r="M58" s="248"/>
      <c r="N58" s="307">
        <f t="shared" si="5"/>
        <v>0</v>
      </c>
      <c r="O58" s="372"/>
    </row>
    <row r="59" spans="3:15" ht="20.100000000000001" customHeight="1" thickBot="1" x14ac:dyDescent="0.25">
      <c r="C59" s="188"/>
      <c r="D59" s="287" t="s">
        <v>78</v>
      </c>
      <c r="E59" s="288"/>
      <c r="F59" s="288"/>
      <c r="G59" s="288"/>
      <c r="H59" s="288"/>
      <c r="I59" s="288"/>
      <c r="J59" s="288"/>
      <c r="K59" s="289"/>
      <c r="L59" s="291"/>
      <c r="M59" s="290"/>
      <c r="N59" s="307">
        <f t="shared" si="5"/>
        <v>0</v>
      </c>
      <c r="O59" s="372"/>
    </row>
    <row r="60" spans="3:15" x14ac:dyDescent="0.2">
      <c r="N60" s="254"/>
      <c r="O60" s="372"/>
    </row>
    <row r="61" spans="3:15" x14ac:dyDescent="0.2">
      <c r="O61" s="372"/>
    </row>
    <row r="62" spans="3:15" x14ac:dyDescent="0.2">
      <c r="O62" s="372"/>
    </row>
    <row r="63" spans="3:15" ht="18" x14ac:dyDescent="0.25">
      <c r="E63" s="185"/>
      <c r="F63" s="185"/>
      <c r="G63" s="185"/>
      <c r="H63" s="185"/>
      <c r="I63" s="185"/>
      <c r="J63" s="185"/>
      <c r="O63" s="372"/>
    </row>
    <row r="64" spans="3:15" x14ac:dyDescent="0.2">
      <c r="O64" s="372"/>
    </row>
    <row r="65" spans="4:15" ht="13.5" thickBot="1" x14ac:dyDescent="0.25">
      <c r="O65" s="372"/>
    </row>
    <row r="66" spans="4:15" ht="16.5" customHeight="1" thickBot="1" x14ac:dyDescent="0.25">
      <c r="D66" s="189" t="s">
        <v>77</v>
      </c>
      <c r="E66" s="548" t="s">
        <v>118</v>
      </c>
      <c r="F66" s="549"/>
      <c r="G66" s="549"/>
      <c r="H66" s="549"/>
      <c r="I66" s="549"/>
      <c r="J66" s="549"/>
      <c r="K66" s="549"/>
      <c r="L66" s="549"/>
      <c r="M66" s="550"/>
      <c r="N66" s="306" t="s">
        <v>7</v>
      </c>
      <c r="O66" s="372"/>
    </row>
    <row r="67" spans="4:15" ht="42" customHeight="1" thickBot="1" x14ac:dyDescent="0.25">
      <c r="D67" s="284" t="s">
        <v>79</v>
      </c>
      <c r="E67" s="626" t="str">
        <f>E2</f>
        <v>Candidat(e)
1</v>
      </c>
      <c r="F67" s="627" t="str">
        <f>F2</f>
        <v>Candidat(e)
2</v>
      </c>
      <c r="G67" s="628" t="str">
        <f t="shared" ref="G67:K67" si="6">G2</f>
        <v>Candidat(e)
3</v>
      </c>
      <c r="H67" s="629" t="str">
        <f t="shared" si="6"/>
        <v>Candidat(e)
4</v>
      </c>
      <c r="I67" s="630" t="str">
        <f t="shared" si="6"/>
        <v>Candidat(e)
5</v>
      </c>
      <c r="J67" s="631" t="str">
        <f t="shared" si="6"/>
        <v>Candidat(e)
6</v>
      </c>
      <c r="K67" s="632" t="str">
        <f t="shared" si="6"/>
        <v>Candidat(e)
7</v>
      </c>
      <c r="L67" s="322" t="s">
        <v>3</v>
      </c>
      <c r="M67" s="323" t="s">
        <v>4</v>
      </c>
      <c r="N67" s="313" t="s">
        <v>101</v>
      </c>
      <c r="O67" s="372"/>
    </row>
    <row r="68" spans="4:15" ht="20.100000000000001" customHeight="1" x14ac:dyDescent="0.2">
      <c r="D68" s="198" t="s">
        <v>78</v>
      </c>
      <c r="E68" s="191"/>
      <c r="F68" s="191"/>
      <c r="G68" s="191"/>
      <c r="H68" s="191"/>
      <c r="I68" s="191"/>
      <c r="J68" s="191"/>
      <c r="K68" s="192"/>
      <c r="L68" s="194"/>
      <c r="M68" s="193"/>
      <c r="N68" s="310">
        <f>SUM(E68:M68)</f>
        <v>0</v>
      </c>
      <c r="O68" s="372"/>
    </row>
    <row r="69" spans="4:15" ht="20.100000000000001" customHeight="1" x14ac:dyDescent="0.2">
      <c r="D69" s="196" t="s">
        <v>78</v>
      </c>
      <c r="E69" s="136"/>
      <c r="F69" s="136"/>
      <c r="G69" s="136"/>
      <c r="H69" s="136"/>
      <c r="I69" s="136"/>
      <c r="J69" s="136"/>
      <c r="K69" s="137"/>
      <c r="L69" s="139"/>
      <c r="M69" s="138"/>
      <c r="N69" s="244">
        <f>SUM(E69:M69)</f>
        <v>0</v>
      </c>
      <c r="O69" s="372"/>
    </row>
    <row r="70" spans="4:15" ht="20.100000000000001" customHeight="1" x14ac:dyDescent="0.2">
      <c r="D70" s="196" t="s">
        <v>78</v>
      </c>
      <c r="E70" s="136"/>
      <c r="F70" s="136"/>
      <c r="G70" s="136"/>
      <c r="H70" s="136"/>
      <c r="I70" s="136"/>
      <c r="J70" s="136"/>
      <c r="K70" s="137"/>
      <c r="L70" s="139"/>
      <c r="M70" s="138"/>
      <c r="N70" s="244">
        <f>SUM(E70:M70)</f>
        <v>0</v>
      </c>
      <c r="O70" s="372"/>
    </row>
    <row r="71" spans="4:15" ht="20.100000000000001" customHeight="1" x14ac:dyDescent="0.2">
      <c r="D71" s="196" t="s">
        <v>78</v>
      </c>
      <c r="E71" s="136"/>
      <c r="F71" s="136"/>
      <c r="G71" s="136"/>
      <c r="H71" s="136"/>
      <c r="I71" s="136"/>
      <c r="J71" s="136"/>
      <c r="K71" s="137"/>
      <c r="L71" s="139"/>
      <c r="M71" s="138"/>
      <c r="N71" s="244">
        <f>SUM(E71:M71)</f>
        <v>0</v>
      </c>
      <c r="O71" s="372"/>
    </row>
    <row r="72" spans="4:15" ht="20.100000000000001" customHeight="1" thickBot="1" x14ac:dyDescent="0.25">
      <c r="D72" s="197" t="s">
        <v>78</v>
      </c>
      <c r="E72" s="140"/>
      <c r="F72" s="140"/>
      <c r="G72" s="140"/>
      <c r="H72" s="140"/>
      <c r="I72" s="140"/>
      <c r="J72" s="140"/>
      <c r="K72" s="141"/>
      <c r="L72" s="143"/>
      <c r="M72" s="142"/>
      <c r="N72" s="311">
        <f>SUM(E72:M72)</f>
        <v>0</v>
      </c>
      <c r="O72" s="372"/>
    </row>
    <row r="73" spans="4:15" ht="20.100000000000001" customHeight="1" x14ac:dyDescent="0.2">
      <c r="D73" s="190"/>
      <c r="E73" s="188"/>
      <c r="F73" s="188"/>
      <c r="G73" s="188"/>
      <c r="H73" s="188"/>
      <c r="I73" s="188"/>
      <c r="J73" s="188"/>
      <c r="K73" s="188"/>
      <c r="L73" s="188"/>
      <c r="M73" s="188"/>
      <c r="O73" s="372"/>
    </row>
    <row r="74" spans="4:15" ht="20.100000000000001" customHeight="1" x14ac:dyDescent="0.2">
      <c r="D74" s="190"/>
      <c r="E74" s="188"/>
      <c r="F74" s="188"/>
      <c r="G74" s="188"/>
      <c r="H74" s="188"/>
      <c r="I74" s="188"/>
      <c r="J74" s="188"/>
      <c r="K74" s="188"/>
      <c r="L74" s="188"/>
      <c r="M74" s="188"/>
      <c r="O74" s="372"/>
    </row>
    <row r="75" spans="4:15" ht="20.100000000000001" customHeight="1" thickBot="1" x14ac:dyDescent="0.25">
      <c r="D75" s="190"/>
      <c r="E75" s="188"/>
      <c r="F75" s="188"/>
      <c r="G75" s="188"/>
      <c r="H75" s="188"/>
      <c r="I75" s="188"/>
      <c r="J75" s="188"/>
      <c r="K75" s="188"/>
      <c r="L75" s="188"/>
      <c r="M75" s="188"/>
      <c r="O75" s="372"/>
    </row>
    <row r="76" spans="4:15" ht="20.100000000000001" customHeight="1" thickBot="1" x14ac:dyDescent="0.25">
      <c r="D76" s="189" t="s">
        <v>81</v>
      </c>
      <c r="E76" s="548" t="s">
        <v>119</v>
      </c>
      <c r="F76" s="549"/>
      <c r="G76" s="549"/>
      <c r="H76" s="549"/>
      <c r="I76" s="549"/>
      <c r="J76" s="549"/>
      <c r="K76" s="549"/>
      <c r="L76" s="549"/>
      <c r="M76" s="550"/>
      <c r="N76" s="312" t="s">
        <v>7</v>
      </c>
      <c r="O76" s="372"/>
    </row>
    <row r="77" spans="4:15" ht="39.75" customHeight="1" thickBot="1" x14ac:dyDescent="0.25">
      <c r="D77" s="284" t="s">
        <v>79</v>
      </c>
      <c r="E77" s="626" t="str">
        <f>E2</f>
        <v>Candidat(e)
1</v>
      </c>
      <c r="F77" s="627" t="str">
        <f>F2</f>
        <v>Candidat(e)
2</v>
      </c>
      <c r="G77" s="628" t="str">
        <f t="shared" ref="G77:K77" si="7">G2</f>
        <v>Candidat(e)
3</v>
      </c>
      <c r="H77" s="629" t="str">
        <f t="shared" si="7"/>
        <v>Candidat(e)
4</v>
      </c>
      <c r="I77" s="630" t="str">
        <f t="shared" si="7"/>
        <v>Candidat(e)
5</v>
      </c>
      <c r="J77" s="631" t="str">
        <f t="shared" si="7"/>
        <v>Candidat(e)
6</v>
      </c>
      <c r="K77" s="632" t="str">
        <f t="shared" si="7"/>
        <v>Candidat(e)
7</v>
      </c>
      <c r="L77" s="322" t="s">
        <v>3</v>
      </c>
      <c r="M77" s="323" t="s">
        <v>4</v>
      </c>
      <c r="N77" s="309" t="s">
        <v>101</v>
      </c>
      <c r="O77" s="372"/>
    </row>
    <row r="78" spans="4:15" ht="20.100000000000001" customHeight="1" x14ac:dyDescent="0.2">
      <c r="D78" s="198" t="s">
        <v>78</v>
      </c>
      <c r="E78" s="191"/>
      <c r="F78" s="191"/>
      <c r="G78" s="191"/>
      <c r="H78" s="191"/>
      <c r="I78" s="191"/>
      <c r="J78" s="191"/>
      <c r="K78" s="192"/>
      <c r="L78" s="194"/>
      <c r="M78" s="193"/>
      <c r="N78" s="310">
        <f>SUM(E78:M78)</f>
        <v>0</v>
      </c>
      <c r="O78" s="372"/>
    </row>
    <row r="79" spans="4:15" ht="20.100000000000001" customHeight="1" x14ac:dyDescent="0.2">
      <c r="D79" s="196" t="s">
        <v>78</v>
      </c>
      <c r="E79" s="136"/>
      <c r="F79" s="136"/>
      <c r="G79" s="136"/>
      <c r="H79" s="136"/>
      <c r="I79" s="136"/>
      <c r="J79" s="136"/>
      <c r="K79" s="137"/>
      <c r="L79" s="139"/>
      <c r="M79" s="138"/>
      <c r="N79" s="244">
        <f>SUM(E79:M79)</f>
        <v>0</v>
      </c>
      <c r="O79" s="372"/>
    </row>
    <row r="80" spans="4:15" ht="20.100000000000001" customHeight="1" thickBot="1" x14ac:dyDescent="0.25">
      <c r="D80" s="197" t="s">
        <v>78</v>
      </c>
      <c r="E80" s="140"/>
      <c r="F80" s="140"/>
      <c r="G80" s="140"/>
      <c r="H80" s="140"/>
      <c r="I80" s="140"/>
      <c r="J80" s="140"/>
      <c r="K80" s="141"/>
      <c r="L80" s="143"/>
      <c r="M80" s="142"/>
      <c r="N80" s="311">
        <f>SUM(E80:M80)</f>
        <v>0</v>
      </c>
      <c r="O80" s="372"/>
    </row>
    <row r="81" spans="4:15" ht="20.100000000000001" customHeight="1" x14ac:dyDescent="0.2">
      <c r="D81" s="190"/>
      <c r="E81" s="188"/>
      <c r="F81" s="188"/>
      <c r="G81" s="188"/>
      <c r="H81" s="188"/>
      <c r="I81" s="188"/>
      <c r="J81" s="188"/>
      <c r="K81" s="188"/>
      <c r="L81" s="188"/>
      <c r="M81" s="188"/>
      <c r="N81" s="195"/>
      <c r="O81" s="372"/>
    </row>
    <row r="82" spans="4:15" ht="20.100000000000001" customHeight="1" x14ac:dyDescent="0.2">
      <c r="D82" s="190"/>
      <c r="E82" s="188"/>
      <c r="F82" s="188"/>
      <c r="G82" s="188"/>
      <c r="H82" s="188"/>
      <c r="I82" s="188"/>
      <c r="J82" s="188"/>
      <c r="K82" s="188"/>
      <c r="L82" s="188"/>
      <c r="M82" s="188"/>
      <c r="N82" s="195"/>
      <c r="O82" s="372"/>
    </row>
  </sheetData>
  <sheetProtection algorithmName="SHA-512" hashValue="eSYpYvov+2LPr6QVCnTHaUrn5CqR+nUos8vQM2H9vLcMSRlroAizafiji1oZxextOleD+v7OkCH5Mz+3hC5Gow==" saltValue="GTTDbKhgCoBYtu6XL5YtAg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144" priority="1" operator="equal">
      <formula>0</formula>
    </cfRule>
    <cfRule type="cellIs" dxfId="143" priority="6" operator="notEqual">
      <formula>$B$7</formula>
    </cfRule>
  </conditionalFormatting>
  <conditionalFormatting sqref="E3:N12">
    <cfRule type="cellIs" dxfId="142" priority="5" operator="notBetween">
      <formula>0</formula>
      <formula>100</formula>
    </cfRule>
  </conditionalFormatting>
  <conditionalFormatting sqref="E3:N14">
    <cfRule type="cellIs" dxfId="141" priority="8" operator="lessThan">
      <formula>0</formula>
    </cfRule>
  </conditionalFormatting>
  <conditionalFormatting sqref="E14:N14">
    <cfRule type="cellIs" dxfId="140" priority="11" operator="greaterThan">
      <formula>1</formula>
    </cfRule>
  </conditionalFormatting>
  <conditionalFormatting sqref="N3:N13">
    <cfRule type="cellIs" dxfId="139" priority="9" operator="equal">
      <formula>0</formula>
    </cfRule>
  </conditionalFormatting>
  <conditionalFormatting sqref="N13">
    <cfRule type="cellIs" dxfId="138" priority="13" operator="equal">
      <formula>$B$7</formula>
    </cfRule>
  </conditionalFormatting>
  <conditionalFormatting sqref="N14">
    <cfRule type="cellIs" dxfId="137" priority="10" operator="equal">
      <formula>1</formula>
    </cfRule>
    <cfRule type="cellIs" dxfId="136" priority="12" operator="lessThan">
      <formula>1</formula>
    </cfRule>
  </conditionalFormatting>
  <conditionalFormatting sqref="R4:R15">
    <cfRule type="cellIs" dxfId="135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134" priority="3">
      <formula>AND(E50&lt;MAX(E$50:E50), NOT(ISBLANK(E50)), NOT(E50=0))</formula>
    </cfRule>
  </conditionalFormatting>
  <conditionalFormatting sqref="E68:M72">
    <cfRule type="expression" dxfId="133" priority="2">
      <formula>AND(E68&lt;MAX(E$68:E68), NOT(ISBLANK(E68)), NOT(E68=0))</formula>
    </cfRule>
  </conditionalFormatting>
  <conditionalFormatting sqref="E78:M80">
    <cfRule type="expression" dxfId="132" priority="14">
      <formula>AND(E78&lt;MAX(E$78:E78), NOT(ISBLANK(E78)), NOT(E78=0))</formula>
    </cfRule>
  </conditionalFormatting>
  <conditionalFormatting sqref="N3:N12">
    <cfRule type="expression" dxfId="131" priority="15">
      <formula>AND($D3=$E$24, N3=$D$25)</formula>
    </cfRule>
    <cfRule type="expression" dxfId="130" priority="16">
      <formula>AND($D3=$E$24, MOD(N3,100)&gt;$D$25)</formula>
    </cfRule>
    <cfRule type="cellIs" dxfId="129" priority="17" operator="equal">
      <formula>100</formula>
    </cfRule>
  </conditionalFormatting>
  <conditionalFormatting sqref="E3:M12">
    <cfRule type="expression" dxfId="128" priority="18">
      <formula>($D3&lt;=$E$24)</formula>
    </cfRule>
  </conditionalFormatting>
  <conditionalFormatting sqref="D3:M12">
    <cfRule type="expression" dxfId="127" priority="19">
      <formula>($D3&gt;$E$24)</formula>
    </cfRule>
  </conditionalFormatting>
  <conditionalFormatting sqref="E50:M59 E68:M72 E78:M80">
    <cfRule type="cellIs" dxfId="126" priority="20" operator="notBetween">
      <formula>0</formula>
      <formula>$B$7</formula>
    </cfRule>
    <cfRule type="expression" dxfId="125" priority="21">
      <formula>($D50&lt;=$E$24)</formula>
    </cfRule>
    <cfRule type="expression" dxfId="124" priority="22">
      <formula>($D50&gt;$E$24)</formula>
    </cfRule>
  </conditionalFormatting>
  <conditionalFormatting sqref="N50 N68:N72 N78:N80 N52:N59">
    <cfRule type="cellIs" dxfId="123" priority="23" operator="lessThan">
      <formula>0</formula>
    </cfRule>
    <cfRule type="cellIs" dxfId="122" priority="24" operator="equal">
      <formula>0</formula>
    </cfRule>
    <cfRule type="expression" dxfId="121" priority="25">
      <formula>OR(MOD($N50,100)=0,AND($D50=$E$24,MOD($N50,100)=$D$25))</formula>
    </cfRule>
  </conditionalFormatting>
  <conditionalFormatting sqref="N51">
    <cfRule type="cellIs" dxfId="120" priority="26" operator="notBetween">
      <formula>0</formula>
      <formula>$B$7</formula>
    </cfRule>
    <cfRule type="cellIs" dxfId="119" priority="27" operator="equal">
      <formula>0</formula>
    </cfRule>
    <cfRule type="expression" dxfId="118" priority="28">
      <formula>OR(MOD($N51,100)=0,AND($D51=$E$24,MOD($N51,100)=$D$25))</formula>
    </cfRule>
  </conditionalFormatting>
  <conditionalFormatting sqref="Q4:Q15">
    <cfRule type="expression" dxfId="117" priority="29">
      <formula>AND($Q4&lt;$Q3, NOT(ISBLANK($Q4)))</formula>
    </cfRule>
    <cfRule type="cellIs" dxfId="116" priority="30" operator="greaterThan">
      <formula>$B$6</formula>
    </cfRule>
  </conditionalFormatting>
  <dataValidations count="2">
    <dataValidation type="list" allowBlank="1" showInputMessage="1" showErrorMessage="1" sqref="C50:C59" xr:uid="{00F32F6B-0034-4F36-B8C6-6DCAFD18138D}">
      <formula1>$D$19:$D$21</formula1>
    </dataValidation>
    <dataValidation type="list" allowBlank="1" showInputMessage="1" showErrorMessage="1" sqref="D68:D72 D78:D82 D50:D59" xr:uid="{96FE5660-DFDA-4B4B-B1CF-60AB0C9DC18E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8C910-7A03-466D-9121-639CBAEB1750}">
  <sheetPr codeName="Feuil51">
    <tabColor rgb="FFB4A7D6"/>
  </sheetPr>
  <dimension ref="A1:V82"/>
  <sheetViews>
    <sheetView zoomScale="80" zoomScaleNormal="80" workbookViewId="0">
      <selection activeCell="Q4" sqref="Q4"/>
    </sheetView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24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357" t="s">
        <v>11</v>
      </c>
      <c r="B1" s="363">
        <f>Synthèse!$B$17</f>
        <v>46103</v>
      </c>
      <c r="D1" s="243"/>
      <c r="E1" s="551" t="s">
        <v>120</v>
      </c>
      <c r="F1" s="552"/>
      <c r="G1" s="552"/>
      <c r="H1" s="552"/>
      <c r="I1" s="552"/>
      <c r="J1" s="552"/>
      <c r="K1" s="552"/>
      <c r="L1" s="552"/>
      <c r="M1" s="553"/>
      <c r="N1" s="316" t="s">
        <v>7</v>
      </c>
      <c r="O1" s="372"/>
    </row>
    <row r="2" spans="1:22" ht="45" customHeight="1" thickBot="1" x14ac:dyDescent="0.25">
      <c r="A2" s="358" t="s">
        <v>12</v>
      </c>
      <c r="B2" s="364" t="str">
        <f>Synthèse!$B$18</f>
        <v>Municipales 2ème tour</v>
      </c>
      <c r="D2" s="280" t="s">
        <v>80</v>
      </c>
      <c r="E2" s="619" t="str">
        <f>Synthèse!L2</f>
        <v>Candidat(e)
1</v>
      </c>
      <c r="F2" s="620" t="str">
        <f>Synthèse!M2</f>
        <v>Candidat(e)
2</v>
      </c>
      <c r="G2" s="621" t="str">
        <f>Synthèse!N2</f>
        <v>Candidat(e)
3</v>
      </c>
      <c r="H2" s="622" t="str">
        <f>Synthèse!O2</f>
        <v>Candidat(e)
4</v>
      </c>
      <c r="I2" s="623" t="str">
        <f>Synthèse!P2</f>
        <v>Candidat(e)
5</v>
      </c>
      <c r="J2" s="624" t="str">
        <f>Synthèse!Q2</f>
        <v>Candidat(e)
6</v>
      </c>
      <c r="K2" s="625" t="str">
        <f>Synthèse!R2</f>
        <v>Candidat(e)
7</v>
      </c>
      <c r="L2" s="320" t="s">
        <v>3</v>
      </c>
      <c r="M2" s="321" t="s">
        <v>4</v>
      </c>
      <c r="N2" s="317" t="s">
        <v>102</v>
      </c>
      <c r="O2" s="372"/>
      <c r="P2" s="367" t="s">
        <v>21</v>
      </c>
      <c r="Q2" s="293" t="s">
        <v>56</v>
      </c>
      <c r="R2" s="294" t="s">
        <v>30</v>
      </c>
      <c r="T2" s="295" t="s">
        <v>58</v>
      </c>
      <c r="U2" s="295" t="s">
        <v>57</v>
      </c>
    </row>
    <row r="3" spans="1:22" ht="20.100000000000001" customHeight="1" thickBot="1" x14ac:dyDescent="0.25">
      <c r="A3" s="359" t="s">
        <v>13</v>
      </c>
      <c r="B3" s="365" t="str">
        <f>Synthèse!$B$19</f>
        <v>Cogolin</v>
      </c>
      <c r="D3" s="277" t="str" cm="1">
        <f t="array" ref="D3">IF(ROW(1:1)&lt;=$E$24, (ROW(1:1)), "")</f>
        <v/>
      </c>
      <c r="E3" s="113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3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13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13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13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13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13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28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2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44">
        <f t="shared" ref="N3:N13" si="0">SUM(E3:M3)</f>
        <v>0</v>
      </c>
      <c r="O3" s="372"/>
      <c r="P3" s="368" t="s">
        <v>31</v>
      </c>
      <c r="Q3" s="269">
        <v>0</v>
      </c>
      <c r="R3" s="270">
        <f>Q3/$B$6</f>
        <v>0</v>
      </c>
      <c r="T3" s="256"/>
      <c r="U3" s="256"/>
    </row>
    <row r="4" spans="1:22" ht="20.100000000000001" customHeight="1" x14ac:dyDescent="0.2">
      <c r="A4" s="65" t="s">
        <v>22</v>
      </c>
      <c r="B4" s="375">
        <v>9</v>
      </c>
      <c r="D4" s="278" t="str" cm="1">
        <f t="array" ref="D4">IF(ROW(2:2)&lt;=$E$24, (ROW(2:2)), "")</f>
        <v/>
      </c>
      <c r="E4" s="114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4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4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14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14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14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15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1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4">
        <f t="shared" si="0"/>
        <v>0</v>
      </c>
      <c r="O4" s="372"/>
      <c r="P4" s="369" t="s">
        <v>32</v>
      </c>
      <c r="Q4" s="324"/>
      <c r="R4" s="273" t="e">
        <f t="shared" ref="R4:R13" si="1">IF(OR(Q4=0, Q4=""), NA(), Q4/$B$6)</f>
        <v>#N/A</v>
      </c>
      <c r="T4" s="251" t="s">
        <v>44</v>
      </c>
      <c r="U4" s="296" t="e">
        <f t="shared" ref="U4:U13" si="2">IF(Q4&lt;&gt;0,Q4-Q3,NA())</f>
        <v>#N/A</v>
      </c>
    </row>
    <row r="5" spans="1:22" ht="20.100000000000001" customHeight="1" x14ac:dyDescent="0.2">
      <c r="A5" s="66" t="s">
        <v>23</v>
      </c>
      <c r="B5" s="376" t="str">
        <f>INDEX(Synthèse!B:B,B4+2)</f>
        <v>CMM</v>
      </c>
      <c r="D5" s="278" t="str" cm="1">
        <f t="array" ref="D5">IF(ROW(3:3)&lt;=$E$24, (ROW(3:3)), "")</f>
        <v/>
      </c>
      <c r="E5" s="114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4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14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14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14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14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14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3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31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4">
        <f t="shared" si="0"/>
        <v>0</v>
      </c>
      <c r="O5" s="373"/>
      <c r="P5" s="369" t="s">
        <v>33</v>
      </c>
      <c r="Q5" s="324"/>
      <c r="R5" s="273" t="e">
        <f t="shared" si="1"/>
        <v>#N/A</v>
      </c>
      <c r="T5" s="252" t="s">
        <v>45</v>
      </c>
      <c r="U5" s="297" t="e">
        <f t="shared" si="2"/>
        <v>#N/A</v>
      </c>
    </row>
    <row r="6" spans="1:22" ht="20.100000000000001" customHeight="1" x14ac:dyDescent="0.2">
      <c r="A6" s="66" t="s">
        <v>0</v>
      </c>
      <c r="B6" s="144">
        <f>INDEX(Synthèse!C:C,B4+2)</f>
        <v>709</v>
      </c>
      <c r="D6" s="278" t="str" cm="1">
        <f t="array" ref="D6">IF(ROW(4:4)&lt;=$E$24, (ROW(4:4)), "")</f>
        <v/>
      </c>
      <c r="E6" s="114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4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14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14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14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14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14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3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31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4">
        <f t="shared" si="0"/>
        <v>0</v>
      </c>
      <c r="O6" s="373"/>
      <c r="P6" s="369" t="s">
        <v>34</v>
      </c>
      <c r="Q6" s="324"/>
      <c r="R6" s="273" t="e">
        <f t="shared" si="1"/>
        <v>#N/A</v>
      </c>
      <c r="T6" s="252" t="s">
        <v>46</v>
      </c>
      <c r="U6" s="297" t="e">
        <f t="shared" si="2"/>
        <v>#N/A</v>
      </c>
    </row>
    <row r="7" spans="1:22" ht="20.100000000000001" customHeight="1" x14ac:dyDescent="0.2">
      <c r="A7" s="66" t="s">
        <v>2</v>
      </c>
      <c r="B7" s="123">
        <f>MAX(Q4:Q15)</f>
        <v>0</v>
      </c>
      <c r="D7" s="278" t="str" cm="1">
        <f t="array" ref="D7">IF(ROW(5:5)&lt;=$E$24, (ROW(5:5)), "")</f>
        <v/>
      </c>
      <c r="E7" s="114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4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4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14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14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14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15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1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4">
        <f t="shared" si="0"/>
        <v>0</v>
      </c>
      <c r="O7" s="373"/>
      <c r="P7" s="369" t="s">
        <v>35</v>
      </c>
      <c r="Q7" s="324"/>
      <c r="R7" s="273" t="e">
        <f t="shared" si="1"/>
        <v>#N/A</v>
      </c>
      <c r="T7" s="252" t="s">
        <v>53</v>
      </c>
      <c r="U7" s="297" t="e">
        <f t="shared" si="2"/>
        <v>#N/A</v>
      </c>
    </row>
    <row r="8" spans="1:22" ht="20.100000000000001" customHeight="1" x14ac:dyDescent="0.2">
      <c r="A8" s="66" t="s">
        <v>1</v>
      </c>
      <c r="B8" s="124"/>
      <c r="D8" s="278" t="str" cm="1">
        <f t="array" ref="D8">IF(ROW(6:6)&lt;=$E$24, (ROW(6:6)), "")</f>
        <v/>
      </c>
      <c r="E8" s="114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4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4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14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14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14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15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1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4">
        <f t="shared" si="0"/>
        <v>0</v>
      </c>
      <c r="O8" s="373"/>
      <c r="P8" s="369" t="s">
        <v>36</v>
      </c>
      <c r="Q8" s="324"/>
      <c r="R8" s="273" t="e">
        <f t="shared" si="1"/>
        <v>#N/A</v>
      </c>
      <c r="T8" s="252" t="s">
        <v>47</v>
      </c>
      <c r="U8" s="297" t="e">
        <f t="shared" si="2"/>
        <v>#N/A</v>
      </c>
    </row>
    <row r="9" spans="1:22" ht="20.100000000000001" customHeight="1" thickBot="1" x14ac:dyDescent="0.25">
      <c r="A9" s="67" t="s">
        <v>17</v>
      </c>
      <c r="B9" s="125">
        <f>B6-B7</f>
        <v>709</v>
      </c>
      <c r="D9" s="278" t="str" cm="1">
        <f t="array" ref="D9">IF(ROW(7:7)&lt;=$E$24, (ROW(7:7)), "")</f>
        <v/>
      </c>
      <c r="E9" s="114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4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4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14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14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14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17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18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4">
        <f t="shared" si="0"/>
        <v>0</v>
      </c>
      <c r="O9" s="373"/>
      <c r="P9" s="369" t="s">
        <v>37</v>
      </c>
      <c r="Q9" s="324"/>
      <c r="R9" s="273" t="e">
        <f t="shared" si="1"/>
        <v>#N/A</v>
      </c>
      <c r="T9" s="252" t="s">
        <v>48</v>
      </c>
      <c r="U9" s="297" t="e">
        <f t="shared" si="2"/>
        <v>#N/A</v>
      </c>
    </row>
    <row r="10" spans="1:22" ht="20.100000000000001" customHeight="1" x14ac:dyDescent="0.2">
      <c r="A10" s="554" t="s">
        <v>59</v>
      </c>
      <c r="B10" s="554"/>
      <c r="D10" s="278" t="str" cm="1">
        <f t="array" ref="D10">IF(ROW(8:8)&lt;=$E$24, (ROW(8:8)), "")</f>
        <v/>
      </c>
      <c r="E10" s="114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4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4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14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14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14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17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18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4">
        <f t="shared" si="0"/>
        <v>0</v>
      </c>
      <c r="O10" s="373"/>
      <c r="P10" s="369" t="s">
        <v>38</v>
      </c>
      <c r="Q10" s="324"/>
      <c r="R10" s="273" t="e">
        <f t="shared" si="1"/>
        <v>#N/A</v>
      </c>
      <c r="T10" s="252" t="s">
        <v>49</v>
      </c>
      <c r="U10" s="297" t="e">
        <f t="shared" si="2"/>
        <v>#N/A</v>
      </c>
    </row>
    <row r="11" spans="1:22" ht="20.100000000000001" customHeight="1" x14ac:dyDescent="0.2">
      <c r="A11" s="555"/>
      <c r="B11" s="555"/>
      <c r="D11" s="278" t="str" cm="1">
        <f t="array" ref="D11">IF(ROW(9:9)&lt;=$E$24, (ROW(9:9)), "")</f>
        <v/>
      </c>
      <c r="E11" s="114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4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4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14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14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14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17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18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4">
        <f t="shared" si="0"/>
        <v>0</v>
      </c>
      <c r="O11" s="373"/>
      <c r="P11" s="369" t="s">
        <v>39</v>
      </c>
      <c r="Q11" s="324"/>
      <c r="R11" s="273" t="e">
        <f t="shared" si="1"/>
        <v>#N/A</v>
      </c>
      <c r="T11" s="252" t="s">
        <v>50</v>
      </c>
      <c r="U11" s="297" t="e">
        <f t="shared" si="2"/>
        <v>#N/A</v>
      </c>
    </row>
    <row r="12" spans="1:22" ht="20.100000000000001" customHeight="1" thickBot="1" x14ac:dyDescent="0.25">
      <c r="A12" s="556" t="s">
        <v>60</v>
      </c>
      <c r="B12" s="556"/>
      <c r="D12" s="279" t="str" cm="1">
        <f t="array" ref="D12">IF(ROW(10:10)&lt;=$E$24, (ROW(10:10)), "")</f>
        <v/>
      </c>
      <c r="E12" s="114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4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14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14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14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14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14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32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33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4">
        <f t="shared" si="0"/>
        <v>0</v>
      </c>
      <c r="O12" s="373"/>
      <c r="P12" s="369" t="s">
        <v>40</v>
      </c>
      <c r="Q12" s="324"/>
      <c r="R12" s="273" t="e">
        <f t="shared" si="1"/>
        <v>#N/A</v>
      </c>
      <c r="T12" s="252" t="s">
        <v>51</v>
      </c>
      <c r="U12" s="297" t="e">
        <f t="shared" si="2"/>
        <v>#N/A</v>
      </c>
    </row>
    <row r="13" spans="1:22" ht="20.100000000000001" customHeight="1" thickBot="1" x14ac:dyDescent="0.3">
      <c r="A13" s="556"/>
      <c r="B13" s="556"/>
      <c r="D13" s="35" t="s">
        <v>9</v>
      </c>
      <c r="E13" s="119">
        <f>SUM(E3:E12)</f>
        <v>0</v>
      </c>
      <c r="F13" s="497">
        <f>SUM(F3:F12)</f>
        <v>0</v>
      </c>
      <c r="G13" s="497">
        <f>SUM(G3:G12)</f>
        <v>0</v>
      </c>
      <c r="H13" s="497">
        <f>SUM(H3:H12)</f>
        <v>0</v>
      </c>
      <c r="I13" s="497">
        <f>SUM(I3:I12)</f>
        <v>0</v>
      </c>
      <c r="J13" s="497">
        <f>SUM(J3:J12)</f>
        <v>0</v>
      </c>
      <c r="K13" s="120">
        <f>SUM(K3:K12)</f>
        <v>0</v>
      </c>
      <c r="L13" s="121">
        <f>SUM(L3:L12)</f>
        <v>0</v>
      </c>
      <c r="M13" s="122">
        <f>SUM(M3:M12)</f>
        <v>0</v>
      </c>
      <c r="N13" s="355">
        <f t="shared" si="0"/>
        <v>0</v>
      </c>
      <c r="O13" s="373"/>
      <c r="P13" s="369" t="s">
        <v>41</v>
      </c>
      <c r="Q13" s="324"/>
      <c r="R13" s="273" t="e">
        <f t="shared" si="1"/>
        <v>#N/A</v>
      </c>
      <c r="T13" s="253" t="s">
        <v>52</v>
      </c>
      <c r="U13" s="298" t="e">
        <f t="shared" si="2"/>
        <v>#N/A</v>
      </c>
    </row>
    <row r="14" spans="1:22" ht="20.100000000000001" customHeight="1" thickBot="1" x14ac:dyDescent="0.3">
      <c r="A14" s="556"/>
      <c r="B14" s="556"/>
      <c r="D14" s="60" t="s">
        <v>10</v>
      </c>
      <c r="E14" s="32">
        <f t="shared" ref="E14:N14" si="3">IFERROR(E13/$B$7,0)</f>
        <v>0</v>
      </c>
      <c r="F14" s="498">
        <f t="shared" si="3"/>
        <v>0</v>
      </c>
      <c r="G14" s="498">
        <f t="shared" si="3"/>
        <v>0</v>
      </c>
      <c r="H14" s="498">
        <f t="shared" si="3"/>
        <v>0</v>
      </c>
      <c r="I14" s="498">
        <f t="shared" si="3"/>
        <v>0</v>
      </c>
      <c r="J14" s="498">
        <f t="shared" si="3"/>
        <v>0</v>
      </c>
      <c r="K14" s="33">
        <f t="shared" si="3"/>
        <v>0</v>
      </c>
      <c r="L14" s="32">
        <f t="shared" si="3"/>
        <v>0</v>
      </c>
      <c r="M14" s="34">
        <f t="shared" si="3"/>
        <v>0</v>
      </c>
      <c r="N14" s="356">
        <f t="shared" si="3"/>
        <v>0</v>
      </c>
      <c r="O14" s="372"/>
      <c r="P14" s="370" t="s">
        <v>42</v>
      </c>
      <c r="Q14" s="325"/>
      <c r="R14" s="275" t="e">
        <f>IF(OR(Q14=0, Q14=""), NA(), Q14/$B$6)</f>
        <v>#N/A</v>
      </c>
      <c r="S14" s="300"/>
      <c r="T14" s="304" t="s">
        <v>54</v>
      </c>
      <c r="U14" s="299" t="e">
        <f>IF(Q14&lt;&gt;0,Q14-Q13,NA())</f>
        <v>#N/A</v>
      </c>
      <c r="V14" s="300"/>
    </row>
    <row r="15" spans="1:22" ht="18" customHeight="1" thickBot="1" x14ac:dyDescent="0.25">
      <c r="A15" s="558" t="s">
        <v>66</v>
      </c>
      <c r="B15" s="558"/>
      <c r="C15" s="1"/>
      <c r="D15" s="1"/>
      <c r="N15" s="254"/>
      <c r="O15" s="372"/>
      <c r="P15" s="371" t="s">
        <v>43</v>
      </c>
      <c r="Q15" s="326"/>
      <c r="R15" s="301" t="e">
        <f>IF(OR(Q15=0, Q15=""), NA(), Q15/$B$6)</f>
        <v>#N/A</v>
      </c>
      <c r="T15" s="305" t="s">
        <v>55</v>
      </c>
      <c r="U15" s="303" t="e">
        <f>IF(Q15&lt;&gt;0,Q15-Q14,NA())</f>
        <v>#N/A</v>
      </c>
      <c r="V15" s="300"/>
    </row>
    <row r="16" spans="1:22" ht="12.75" customHeight="1" x14ac:dyDescent="0.2">
      <c r="A16" s="558"/>
      <c r="B16" s="558"/>
      <c r="O16" s="372"/>
      <c r="P16" s="254"/>
      <c r="Q16" s="254"/>
      <c r="R16" s="254"/>
      <c r="U16" s="254"/>
    </row>
    <row r="17" spans="1:15" ht="18" customHeight="1" x14ac:dyDescent="0.25">
      <c r="A17" s="558"/>
      <c r="B17" s="558"/>
      <c r="E17" s="185"/>
      <c r="F17" s="185"/>
      <c r="G17" s="185"/>
      <c r="H17" s="185"/>
      <c r="I17" s="185"/>
      <c r="J17" s="185"/>
      <c r="O17" s="372"/>
    </row>
    <row r="18" spans="1:15" ht="26.25" customHeight="1" x14ac:dyDescent="0.2">
      <c r="A18" s="558"/>
      <c r="B18" s="558"/>
      <c r="D18" s="353" t="s">
        <v>63</v>
      </c>
      <c r="O18" s="372"/>
    </row>
    <row r="19" spans="1:15" x14ac:dyDescent="0.2">
      <c r="D19" s="354">
        <f>IF((ROW()-23)&lt;=$E$25,(ROW()-23),"Choisir")</f>
        <v>-4</v>
      </c>
      <c r="O19" s="372"/>
    </row>
    <row r="20" spans="1:15" x14ac:dyDescent="0.2">
      <c r="D20" s="354">
        <f>IF((ROW()-23)&lt;=$E$25,(ROW()-23),"Choisir")</f>
        <v>-3</v>
      </c>
      <c r="O20" s="372"/>
    </row>
    <row r="21" spans="1:15" x14ac:dyDescent="0.2">
      <c r="D21" s="354">
        <f>IF((ROW()-23)&lt;=$E$25,(ROW()-23),"Choisir")</f>
        <v>-2</v>
      </c>
      <c r="O21" s="372"/>
    </row>
    <row r="22" spans="1:15" x14ac:dyDescent="0.2">
      <c r="D22" s="354">
        <f>IF((ROW()-23)&lt;=$E$25,(ROW()-23),"Choisir")</f>
        <v>-1</v>
      </c>
      <c r="O22" s="372"/>
    </row>
    <row r="23" spans="1:15" x14ac:dyDescent="0.2">
      <c r="O23" s="372"/>
    </row>
    <row r="24" spans="1:15" x14ac:dyDescent="0.2">
      <c r="D24" s="199">
        <f>CEILING($B$6, 100)/100</f>
        <v>8</v>
      </c>
      <c r="E24" s="335">
        <f>CEILING($B$7,100)/100</f>
        <v>0</v>
      </c>
      <c r="F24" s="335"/>
      <c r="G24" s="335"/>
      <c r="H24" s="335"/>
      <c r="I24" s="335"/>
      <c r="J24" s="335"/>
      <c r="O24" s="372"/>
    </row>
    <row r="25" spans="1:15" x14ac:dyDescent="0.2">
      <c r="D25" s="199">
        <f>MOD($B$7,100)</f>
        <v>0</v>
      </c>
      <c r="E25" s="200">
        <f>CEILING($B$6/300,1)</f>
        <v>3</v>
      </c>
      <c r="F25" s="200"/>
      <c r="G25" s="200"/>
      <c r="H25" s="200"/>
      <c r="I25" s="200"/>
      <c r="J25" s="200"/>
      <c r="O25" s="372"/>
    </row>
    <row r="26" spans="1:15" x14ac:dyDescent="0.2">
      <c r="O26" s="372"/>
    </row>
    <row r="27" spans="1:15" x14ac:dyDescent="0.2">
      <c r="O27" s="372"/>
    </row>
    <row r="28" spans="1:15" x14ac:dyDescent="0.2">
      <c r="O28" s="372"/>
    </row>
    <row r="29" spans="1:15" x14ac:dyDescent="0.2">
      <c r="O29" s="372"/>
    </row>
    <row r="30" spans="1:15" x14ac:dyDescent="0.2">
      <c r="O30" s="372"/>
    </row>
    <row r="31" spans="1:15" x14ac:dyDescent="0.2">
      <c r="O31" s="372"/>
    </row>
    <row r="32" spans="1:15" x14ac:dyDescent="0.2">
      <c r="O32" s="372"/>
    </row>
    <row r="33" spans="1:15" x14ac:dyDescent="0.2">
      <c r="O33" s="372"/>
    </row>
    <row r="34" spans="1:15" x14ac:dyDescent="0.2">
      <c r="O34" s="372"/>
    </row>
    <row r="35" spans="1:15" x14ac:dyDescent="0.2">
      <c r="O35" s="372"/>
    </row>
    <row r="36" spans="1:15" x14ac:dyDescent="0.2">
      <c r="O36" s="372"/>
    </row>
    <row r="37" spans="1:15" x14ac:dyDescent="0.2">
      <c r="O37" s="372"/>
    </row>
    <row r="38" spans="1:15" x14ac:dyDescent="0.2">
      <c r="O38" s="372"/>
    </row>
    <row r="39" spans="1:15" x14ac:dyDescent="0.2">
      <c r="O39" s="372"/>
    </row>
    <row r="40" spans="1:15" x14ac:dyDescent="0.2">
      <c r="O40" s="372"/>
    </row>
    <row r="41" spans="1:15" x14ac:dyDescent="0.2">
      <c r="O41" s="372"/>
    </row>
    <row r="42" spans="1:15" x14ac:dyDescent="0.2">
      <c r="O42" s="372"/>
    </row>
    <row r="43" spans="1:15" ht="13.5" thickBot="1" x14ac:dyDescent="0.25">
      <c r="A43" s="366"/>
      <c r="B43" s="366"/>
      <c r="C43" s="366"/>
      <c r="D43" s="366"/>
      <c r="E43" s="366"/>
      <c r="F43" s="366"/>
      <c r="G43" s="366"/>
      <c r="H43" s="366"/>
      <c r="I43" s="366"/>
      <c r="J43" s="366"/>
      <c r="K43" s="366"/>
      <c r="L43" s="366"/>
      <c r="M43" s="366"/>
      <c r="N43" s="366"/>
      <c r="O43" s="374"/>
    </row>
    <row r="44" spans="1:15" ht="13.5" thickTop="1" x14ac:dyDescent="0.2">
      <c r="O44" s="372"/>
    </row>
    <row r="45" spans="1:15" x14ac:dyDescent="0.2">
      <c r="O45" s="372"/>
    </row>
    <row r="46" spans="1:15" x14ac:dyDescent="0.2">
      <c r="E46" s="126"/>
      <c r="F46" s="126"/>
      <c r="G46" s="126"/>
      <c r="H46" s="126"/>
      <c r="I46" s="126"/>
      <c r="J46" s="126"/>
      <c r="O46" s="372"/>
    </row>
    <row r="47" spans="1:15" ht="13.5" thickBot="1" x14ac:dyDescent="0.25">
      <c r="E47" s="126"/>
      <c r="F47" s="126"/>
      <c r="G47" s="126"/>
      <c r="H47" s="126"/>
      <c r="I47" s="126"/>
      <c r="J47" s="126"/>
      <c r="O47" s="372"/>
    </row>
    <row r="48" spans="1:15" ht="20.100000000000001" customHeight="1" thickBot="1" x14ac:dyDescent="0.25">
      <c r="D48" s="189" t="s">
        <v>76</v>
      </c>
      <c r="E48" s="548" t="s">
        <v>117</v>
      </c>
      <c r="F48" s="549"/>
      <c r="G48" s="549"/>
      <c r="H48" s="549"/>
      <c r="I48" s="549"/>
      <c r="J48" s="549"/>
      <c r="K48" s="549"/>
      <c r="L48" s="549"/>
      <c r="M48" s="550"/>
      <c r="N48" s="306" t="s">
        <v>7</v>
      </c>
      <c r="O48" s="372"/>
    </row>
    <row r="49" spans="3:15" ht="47.25" customHeight="1" thickBot="1" x14ac:dyDescent="0.25">
      <c r="C49" s="187"/>
      <c r="D49" s="284" t="s">
        <v>79</v>
      </c>
      <c r="E49" s="626" t="str">
        <f>E2</f>
        <v>Candidat(e)
1</v>
      </c>
      <c r="F49" s="627" t="str">
        <f>F2</f>
        <v>Candidat(e)
2</v>
      </c>
      <c r="G49" s="628" t="str">
        <f t="shared" ref="G49:K49" si="4">G2</f>
        <v>Candidat(e)
3</v>
      </c>
      <c r="H49" s="629" t="str">
        <f t="shared" si="4"/>
        <v>Candidat(e)
4</v>
      </c>
      <c r="I49" s="630" t="str">
        <f t="shared" si="4"/>
        <v>Candidat(e)
5</v>
      </c>
      <c r="J49" s="631" t="str">
        <f t="shared" si="4"/>
        <v>Candidat(e)
6</v>
      </c>
      <c r="K49" s="632" t="str">
        <f t="shared" si="4"/>
        <v>Candidat(e)
7</v>
      </c>
      <c r="L49" s="322" t="s">
        <v>3</v>
      </c>
      <c r="M49" s="323" t="s">
        <v>4</v>
      </c>
      <c r="N49" s="308" t="s">
        <v>101</v>
      </c>
      <c r="O49" s="372"/>
    </row>
    <row r="50" spans="3:15" ht="19.5" customHeight="1" x14ac:dyDescent="0.2">
      <c r="C50" s="188"/>
      <c r="D50" s="283" t="s">
        <v>78</v>
      </c>
      <c r="E50" s="246"/>
      <c r="F50" s="246"/>
      <c r="G50" s="246"/>
      <c r="H50" s="246"/>
      <c r="I50" s="246"/>
      <c r="J50" s="246"/>
      <c r="K50" s="247"/>
      <c r="L50" s="249"/>
      <c r="M50" s="248"/>
      <c r="N50" s="307">
        <f t="shared" ref="N50:N59" si="5">SUM(E50:M50)</f>
        <v>0</v>
      </c>
      <c r="O50" s="372"/>
    </row>
    <row r="51" spans="3:15" ht="20.100000000000001" customHeight="1" x14ac:dyDescent="0.2">
      <c r="C51" s="188"/>
      <c r="D51" s="283" t="s">
        <v>78</v>
      </c>
      <c r="E51" s="246"/>
      <c r="F51" s="246"/>
      <c r="G51" s="246"/>
      <c r="H51" s="246"/>
      <c r="I51" s="246"/>
      <c r="J51" s="246"/>
      <c r="K51" s="247"/>
      <c r="L51" s="249"/>
      <c r="M51" s="248"/>
      <c r="N51" s="307">
        <f t="shared" si="5"/>
        <v>0</v>
      </c>
      <c r="O51" s="372"/>
    </row>
    <row r="52" spans="3:15" ht="20.100000000000001" customHeight="1" x14ac:dyDescent="0.2">
      <c r="C52" s="188"/>
      <c r="D52" s="283" t="s">
        <v>78</v>
      </c>
      <c r="E52" s="246"/>
      <c r="F52" s="246"/>
      <c r="G52" s="246"/>
      <c r="H52" s="246"/>
      <c r="I52" s="246"/>
      <c r="J52" s="246"/>
      <c r="K52" s="247"/>
      <c r="L52" s="249"/>
      <c r="M52" s="248"/>
      <c r="N52" s="307">
        <f t="shared" si="5"/>
        <v>0</v>
      </c>
      <c r="O52" s="372"/>
    </row>
    <row r="53" spans="3:15" ht="20.100000000000001" customHeight="1" x14ac:dyDescent="0.2">
      <c r="C53" s="188"/>
      <c r="D53" s="283" t="s">
        <v>78</v>
      </c>
      <c r="E53" s="246"/>
      <c r="F53" s="246"/>
      <c r="G53" s="246"/>
      <c r="H53" s="246"/>
      <c r="I53" s="246"/>
      <c r="J53" s="246"/>
      <c r="K53" s="247"/>
      <c r="L53" s="249"/>
      <c r="M53" s="248"/>
      <c r="N53" s="307">
        <f t="shared" si="5"/>
        <v>0</v>
      </c>
      <c r="O53" s="372"/>
    </row>
    <row r="54" spans="3:15" ht="20.100000000000001" customHeight="1" x14ac:dyDescent="0.2">
      <c r="C54" s="188"/>
      <c r="D54" s="283" t="s">
        <v>78</v>
      </c>
      <c r="E54" s="246"/>
      <c r="F54" s="246"/>
      <c r="G54" s="246"/>
      <c r="H54" s="246"/>
      <c r="I54" s="246"/>
      <c r="J54" s="246"/>
      <c r="K54" s="247"/>
      <c r="L54" s="249"/>
      <c r="M54" s="248"/>
      <c r="N54" s="307">
        <f t="shared" si="5"/>
        <v>0</v>
      </c>
      <c r="O54" s="372"/>
    </row>
    <row r="55" spans="3:15" ht="20.100000000000001" customHeight="1" x14ac:dyDescent="0.2">
      <c r="C55" s="188"/>
      <c r="D55" s="283" t="s">
        <v>78</v>
      </c>
      <c r="E55" s="246"/>
      <c r="F55" s="246"/>
      <c r="G55" s="246"/>
      <c r="H55" s="246"/>
      <c r="I55" s="246"/>
      <c r="J55" s="246"/>
      <c r="K55" s="247"/>
      <c r="L55" s="249"/>
      <c r="M55" s="248"/>
      <c r="N55" s="307">
        <f t="shared" si="5"/>
        <v>0</v>
      </c>
      <c r="O55" s="372"/>
    </row>
    <row r="56" spans="3:15" ht="20.100000000000001" customHeight="1" x14ac:dyDescent="0.2">
      <c r="C56" s="188"/>
      <c r="D56" s="283" t="s">
        <v>78</v>
      </c>
      <c r="E56" s="246"/>
      <c r="F56" s="246"/>
      <c r="G56" s="246"/>
      <c r="H56" s="246"/>
      <c r="I56" s="246"/>
      <c r="J56" s="246"/>
      <c r="K56" s="247"/>
      <c r="L56" s="249"/>
      <c r="M56" s="248"/>
      <c r="N56" s="307">
        <f t="shared" si="5"/>
        <v>0</v>
      </c>
      <c r="O56" s="372"/>
    </row>
    <row r="57" spans="3:15" ht="20.100000000000001" customHeight="1" x14ac:dyDescent="0.2">
      <c r="C57" s="188"/>
      <c r="D57" s="283" t="s">
        <v>78</v>
      </c>
      <c r="E57" s="246"/>
      <c r="F57" s="246"/>
      <c r="G57" s="246"/>
      <c r="H57" s="246"/>
      <c r="I57" s="246"/>
      <c r="J57" s="246"/>
      <c r="K57" s="247"/>
      <c r="L57" s="249"/>
      <c r="M57" s="248"/>
      <c r="N57" s="307">
        <f t="shared" si="5"/>
        <v>0</v>
      </c>
      <c r="O57" s="372"/>
    </row>
    <row r="58" spans="3:15" ht="20.100000000000001" customHeight="1" x14ac:dyDescent="0.2">
      <c r="C58" s="188"/>
      <c r="D58" s="283" t="s">
        <v>78</v>
      </c>
      <c r="E58" s="246"/>
      <c r="F58" s="246"/>
      <c r="G58" s="246"/>
      <c r="H58" s="246"/>
      <c r="I58" s="246"/>
      <c r="J58" s="246"/>
      <c r="K58" s="247"/>
      <c r="L58" s="249"/>
      <c r="M58" s="248"/>
      <c r="N58" s="307">
        <f t="shared" si="5"/>
        <v>0</v>
      </c>
      <c r="O58" s="372"/>
    </row>
    <row r="59" spans="3:15" ht="20.100000000000001" customHeight="1" thickBot="1" x14ac:dyDescent="0.25">
      <c r="C59" s="188"/>
      <c r="D59" s="287" t="s">
        <v>78</v>
      </c>
      <c r="E59" s="288"/>
      <c r="F59" s="288"/>
      <c r="G59" s="288"/>
      <c r="H59" s="288"/>
      <c r="I59" s="288"/>
      <c r="J59" s="288"/>
      <c r="K59" s="289"/>
      <c r="L59" s="291"/>
      <c r="M59" s="290"/>
      <c r="N59" s="307">
        <f t="shared" si="5"/>
        <v>0</v>
      </c>
      <c r="O59" s="372"/>
    </row>
    <row r="60" spans="3:15" x14ac:dyDescent="0.2">
      <c r="N60" s="254"/>
      <c r="O60" s="372"/>
    </row>
    <row r="61" spans="3:15" x14ac:dyDescent="0.2">
      <c r="O61" s="372"/>
    </row>
    <row r="62" spans="3:15" x14ac:dyDescent="0.2">
      <c r="O62" s="372"/>
    </row>
    <row r="63" spans="3:15" ht="18" x14ac:dyDescent="0.25">
      <c r="E63" s="185"/>
      <c r="F63" s="185"/>
      <c r="G63" s="185"/>
      <c r="H63" s="185"/>
      <c r="I63" s="185"/>
      <c r="J63" s="185"/>
      <c r="O63" s="372"/>
    </row>
    <row r="64" spans="3:15" x14ac:dyDescent="0.2">
      <c r="O64" s="372"/>
    </row>
    <row r="65" spans="4:15" ht="13.5" thickBot="1" x14ac:dyDescent="0.25">
      <c r="O65" s="372"/>
    </row>
    <row r="66" spans="4:15" ht="16.5" customHeight="1" thickBot="1" x14ac:dyDescent="0.25">
      <c r="D66" s="189" t="s">
        <v>77</v>
      </c>
      <c r="E66" s="548" t="s">
        <v>118</v>
      </c>
      <c r="F66" s="549"/>
      <c r="G66" s="549"/>
      <c r="H66" s="549"/>
      <c r="I66" s="549"/>
      <c r="J66" s="549"/>
      <c r="K66" s="549"/>
      <c r="L66" s="549"/>
      <c r="M66" s="550"/>
      <c r="N66" s="306" t="s">
        <v>7</v>
      </c>
      <c r="O66" s="372"/>
    </row>
    <row r="67" spans="4:15" ht="42" customHeight="1" thickBot="1" x14ac:dyDescent="0.25">
      <c r="D67" s="284" t="s">
        <v>79</v>
      </c>
      <c r="E67" s="626" t="str">
        <f>E2</f>
        <v>Candidat(e)
1</v>
      </c>
      <c r="F67" s="627" t="str">
        <f>F2</f>
        <v>Candidat(e)
2</v>
      </c>
      <c r="G67" s="628" t="str">
        <f t="shared" ref="G67:K67" si="6">G2</f>
        <v>Candidat(e)
3</v>
      </c>
      <c r="H67" s="629" t="str">
        <f t="shared" si="6"/>
        <v>Candidat(e)
4</v>
      </c>
      <c r="I67" s="630" t="str">
        <f t="shared" si="6"/>
        <v>Candidat(e)
5</v>
      </c>
      <c r="J67" s="631" t="str">
        <f t="shared" si="6"/>
        <v>Candidat(e)
6</v>
      </c>
      <c r="K67" s="632" t="str">
        <f t="shared" si="6"/>
        <v>Candidat(e)
7</v>
      </c>
      <c r="L67" s="322" t="s">
        <v>3</v>
      </c>
      <c r="M67" s="323" t="s">
        <v>4</v>
      </c>
      <c r="N67" s="313" t="s">
        <v>101</v>
      </c>
      <c r="O67" s="372"/>
    </row>
    <row r="68" spans="4:15" ht="20.100000000000001" customHeight="1" x14ac:dyDescent="0.2">
      <c r="D68" s="198" t="s">
        <v>78</v>
      </c>
      <c r="E68" s="191"/>
      <c r="F68" s="191"/>
      <c r="G68" s="191"/>
      <c r="H68" s="191"/>
      <c r="I68" s="191"/>
      <c r="J68" s="191"/>
      <c r="K68" s="192"/>
      <c r="L68" s="194"/>
      <c r="M68" s="193"/>
      <c r="N68" s="310">
        <f>SUM(E68:M68)</f>
        <v>0</v>
      </c>
      <c r="O68" s="372"/>
    </row>
    <row r="69" spans="4:15" ht="20.100000000000001" customHeight="1" x14ac:dyDescent="0.2">
      <c r="D69" s="196" t="s">
        <v>78</v>
      </c>
      <c r="E69" s="136"/>
      <c r="F69" s="136"/>
      <c r="G69" s="136"/>
      <c r="H69" s="136"/>
      <c r="I69" s="136"/>
      <c r="J69" s="136"/>
      <c r="K69" s="137"/>
      <c r="L69" s="139"/>
      <c r="M69" s="138"/>
      <c r="N69" s="244">
        <f>SUM(E69:M69)</f>
        <v>0</v>
      </c>
      <c r="O69" s="372"/>
    </row>
    <row r="70" spans="4:15" ht="20.100000000000001" customHeight="1" x14ac:dyDescent="0.2">
      <c r="D70" s="196" t="s">
        <v>78</v>
      </c>
      <c r="E70" s="136"/>
      <c r="F70" s="136"/>
      <c r="G70" s="136"/>
      <c r="H70" s="136"/>
      <c r="I70" s="136"/>
      <c r="J70" s="136"/>
      <c r="K70" s="137"/>
      <c r="L70" s="139"/>
      <c r="M70" s="138"/>
      <c r="N70" s="244">
        <f>SUM(E70:M70)</f>
        <v>0</v>
      </c>
      <c r="O70" s="372"/>
    </row>
    <row r="71" spans="4:15" ht="20.100000000000001" customHeight="1" x14ac:dyDescent="0.2">
      <c r="D71" s="196" t="s">
        <v>78</v>
      </c>
      <c r="E71" s="136"/>
      <c r="F71" s="136"/>
      <c r="G71" s="136"/>
      <c r="H71" s="136"/>
      <c r="I71" s="136"/>
      <c r="J71" s="136"/>
      <c r="K71" s="137"/>
      <c r="L71" s="139"/>
      <c r="M71" s="138"/>
      <c r="N71" s="244">
        <f>SUM(E71:M71)</f>
        <v>0</v>
      </c>
      <c r="O71" s="372"/>
    </row>
    <row r="72" spans="4:15" ht="20.100000000000001" customHeight="1" thickBot="1" x14ac:dyDescent="0.25">
      <c r="D72" s="197" t="s">
        <v>78</v>
      </c>
      <c r="E72" s="140"/>
      <c r="F72" s="140"/>
      <c r="G72" s="140"/>
      <c r="H72" s="140"/>
      <c r="I72" s="140"/>
      <c r="J72" s="140"/>
      <c r="K72" s="141"/>
      <c r="L72" s="143"/>
      <c r="M72" s="142"/>
      <c r="N72" s="311">
        <f>SUM(E72:M72)</f>
        <v>0</v>
      </c>
      <c r="O72" s="372"/>
    </row>
    <row r="73" spans="4:15" ht="20.100000000000001" customHeight="1" x14ac:dyDescent="0.2">
      <c r="D73" s="190"/>
      <c r="E73" s="188"/>
      <c r="F73" s="188"/>
      <c r="G73" s="188"/>
      <c r="H73" s="188"/>
      <c r="I73" s="188"/>
      <c r="J73" s="188"/>
      <c r="K73" s="188"/>
      <c r="L73" s="188"/>
      <c r="M73" s="188"/>
      <c r="O73" s="372"/>
    </row>
    <row r="74" spans="4:15" ht="20.100000000000001" customHeight="1" x14ac:dyDescent="0.2">
      <c r="D74" s="190"/>
      <c r="E74" s="188"/>
      <c r="F74" s="188"/>
      <c r="G74" s="188"/>
      <c r="H74" s="188"/>
      <c r="I74" s="188"/>
      <c r="J74" s="188"/>
      <c r="K74" s="188"/>
      <c r="L74" s="188"/>
      <c r="M74" s="188"/>
      <c r="O74" s="372"/>
    </row>
    <row r="75" spans="4:15" ht="20.100000000000001" customHeight="1" thickBot="1" x14ac:dyDescent="0.25">
      <c r="D75" s="190"/>
      <c r="E75" s="188"/>
      <c r="F75" s="188"/>
      <c r="G75" s="188"/>
      <c r="H75" s="188"/>
      <c r="I75" s="188"/>
      <c r="J75" s="188"/>
      <c r="K75" s="188"/>
      <c r="L75" s="188"/>
      <c r="M75" s="188"/>
      <c r="O75" s="372"/>
    </row>
    <row r="76" spans="4:15" ht="20.100000000000001" customHeight="1" thickBot="1" x14ac:dyDescent="0.25">
      <c r="D76" s="189" t="s">
        <v>81</v>
      </c>
      <c r="E76" s="548" t="s">
        <v>119</v>
      </c>
      <c r="F76" s="549"/>
      <c r="G76" s="549"/>
      <c r="H76" s="549"/>
      <c r="I76" s="549"/>
      <c r="J76" s="549"/>
      <c r="K76" s="549"/>
      <c r="L76" s="549"/>
      <c r="M76" s="550"/>
      <c r="N76" s="312" t="s">
        <v>7</v>
      </c>
      <c r="O76" s="372"/>
    </row>
    <row r="77" spans="4:15" ht="39.75" customHeight="1" thickBot="1" x14ac:dyDescent="0.25">
      <c r="D77" s="284" t="s">
        <v>79</v>
      </c>
      <c r="E77" s="626" t="str">
        <f>E2</f>
        <v>Candidat(e)
1</v>
      </c>
      <c r="F77" s="627" t="str">
        <f>F2</f>
        <v>Candidat(e)
2</v>
      </c>
      <c r="G77" s="628" t="str">
        <f t="shared" ref="G77:K77" si="7">G2</f>
        <v>Candidat(e)
3</v>
      </c>
      <c r="H77" s="629" t="str">
        <f t="shared" si="7"/>
        <v>Candidat(e)
4</v>
      </c>
      <c r="I77" s="630" t="str">
        <f t="shared" si="7"/>
        <v>Candidat(e)
5</v>
      </c>
      <c r="J77" s="631" t="str">
        <f t="shared" si="7"/>
        <v>Candidat(e)
6</v>
      </c>
      <c r="K77" s="632" t="str">
        <f t="shared" si="7"/>
        <v>Candidat(e)
7</v>
      </c>
      <c r="L77" s="322" t="s">
        <v>3</v>
      </c>
      <c r="M77" s="323" t="s">
        <v>4</v>
      </c>
      <c r="N77" s="309" t="s">
        <v>101</v>
      </c>
      <c r="O77" s="372"/>
    </row>
    <row r="78" spans="4:15" ht="20.100000000000001" customHeight="1" x14ac:dyDescent="0.2">
      <c r="D78" s="198" t="s">
        <v>78</v>
      </c>
      <c r="E78" s="191"/>
      <c r="F78" s="191"/>
      <c r="G78" s="191"/>
      <c r="H78" s="191"/>
      <c r="I78" s="191"/>
      <c r="J78" s="191"/>
      <c r="K78" s="192"/>
      <c r="L78" s="194"/>
      <c r="M78" s="193"/>
      <c r="N78" s="310">
        <f>SUM(E78:M78)</f>
        <v>0</v>
      </c>
      <c r="O78" s="372"/>
    </row>
    <row r="79" spans="4:15" ht="20.100000000000001" customHeight="1" x14ac:dyDescent="0.2">
      <c r="D79" s="196" t="s">
        <v>78</v>
      </c>
      <c r="E79" s="136"/>
      <c r="F79" s="136"/>
      <c r="G79" s="136"/>
      <c r="H79" s="136"/>
      <c r="I79" s="136"/>
      <c r="J79" s="136"/>
      <c r="K79" s="137"/>
      <c r="L79" s="139"/>
      <c r="M79" s="138"/>
      <c r="N79" s="244">
        <f>SUM(E79:M79)</f>
        <v>0</v>
      </c>
      <c r="O79" s="372"/>
    </row>
    <row r="80" spans="4:15" ht="20.100000000000001" customHeight="1" thickBot="1" x14ac:dyDescent="0.25">
      <c r="D80" s="197" t="s">
        <v>78</v>
      </c>
      <c r="E80" s="140"/>
      <c r="F80" s="140"/>
      <c r="G80" s="140"/>
      <c r="H80" s="140"/>
      <c r="I80" s="140"/>
      <c r="J80" s="140"/>
      <c r="K80" s="141"/>
      <c r="L80" s="143"/>
      <c r="M80" s="142"/>
      <c r="N80" s="311">
        <f>SUM(E80:M80)</f>
        <v>0</v>
      </c>
      <c r="O80" s="372"/>
    </row>
    <row r="81" spans="4:15" ht="20.100000000000001" customHeight="1" x14ac:dyDescent="0.2">
      <c r="D81" s="190"/>
      <c r="E81" s="188"/>
      <c r="F81" s="188"/>
      <c r="G81" s="188"/>
      <c r="H81" s="188"/>
      <c r="I81" s="188"/>
      <c r="J81" s="188"/>
      <c r="K81" s="188"/>
      <c r="L81" s="188"/>
      <c r="M81" s="188"/>
      <c r="N81" s="195"/>
      <c r="O81" s="372"/>
    </row>
    <row r="82" spans="4:15" ht="20.100000000000001" customHeight="1" x14ac:dyDescent="0.2">
      <c r="D82" s="190"/>
      <c r="E82" s="188"/>
      <c r="F82" s="188"/>
      <c r="G82" s="188"/>
      <c r="H82" s="188"/>
      <c r="I82" s="188"/>
      <c r="J82" s="188"/>
      <c r="K82" s="188"/>
      <c r="L82" s="188"/>
      <c r="M82" s="188"/>
      <c r="N82" s="195"/>
      <c r="O82" s="372"/>
    </row>
  </sheetData>
  <sheetProtection algorithmName="SHA-512" hashValue="QfS1mxQUmwAMiluPKN2BIspRQrkDfrRsR+FFPoOzQNCckg6zMunphYRGneaXaU1Rp+8naQg+crrEMpU/ghGkpQ==" saltValue="9br2hdnp4wWHP6VCASEv7Q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115" priority="1" operator="equal">
      <formula>0</formula>
    </cfRule>
    <cfRule type="cellIs" dxfId="114" priority="6" operator="notEqual">
      <formula>$B$7</formula>
    </cfRule>
  </conditionalFormatting>
  <conditionalFormatting sqref="E3:N12">
    <cfRule type="cellIs" dxfId="113" priority="5" operator="notBetween">
      <formula>0</formula>
      <formula>100</formula>
    </cfRule>
  </conditionalFormatting>
  <conditionalFormatting sqref="E3:N14">
    <cfRule type="cellIs" dxfId="112" priority="8" operator="lessThan">
      <formula>0</formula>
    </cfRule>
  </conditionalFormatting>
  <conditionalFormatting sqref="E14:N14">
    <cfRule type="cellIs" dxfId="111" priority="11" operator="greaterThan">
      <formula>1</formula>
    </cfRule>
  </conditionalFormatting>
  <conditionalFormatting sqref="N3:N13">
    <cfRule type="cellIs" dxfId="110" priority="9" operator="equal">
      <formula>0</formula>
    </cfRule>
  </conditionalFormatting>
  <conditionalFormatting sqref="N13">
    <cfRule type="cellIs" dxfId="109" priority="13" operator="equal">
      <formula>$B$7</formula>
    </cfRule>
  </conditionalFormatting>
  <conditionalFormatting sqref="N14">
    <cfRule type="cellIs" dxfId="108" priority="10" operator="equal">
      <formula>1</formula>
    </cfRule>
    <cfRule type="cellIs" dxfId="107" priority="12" operator="lessThan">
      <formula>1</formula>
    </cfRule>
  </conditionalFormatting>
  <conditionalFormatting sqref="R4:R15">
    <cfRule type="cellIs" dxfId="106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105" priority="3">
      <formula>AND(E50&lt;MAX(E$50:E50), NOT(ISBLANK(E50)), NOT(E50=0))</formula>
    </cfRule>
  </conditionalFormatting>
  <conditionalFormatting sqref="E68:M72">
    <cfRule type="expression" dxfId="104" priority="2">
      <formula>AND(E68&lt;MAX(E$68:E68), NOT(ISBLANK(E68)), NOT(E68=0))</formula>
    </cfRule>
  </conditionalFormatting>
  <conditionalFormatting sqref="E78:M80">
    <cfRule type="expression" dxfId="103" priority="14">
      <formula>AND(E78&lt;MAX(E$78:E78), NOT(ISBLANK(E78)), NOT(E78=0))</formula>
    </cfRule>
  </conditionalFormatting>
  <conditionalFormatting sqref="N3:N12">
    <cfRule type="expression" dxfId="102" priority="15">
      <formula>AND($D3=$E$24, N3=$D$25)</formula>
    </cfRule>
    <cfRule type="expression" dxfId="101" priority="16">
      <formula>AND($D3=$E$24, MOD(N3,100)&gt;$D$25)</formula>
    </cfRule>
    <cfRule type="cellIs" dxfId="100" priority="17" operator="equal">
      <formula>100</formula>
    </cfRule>
  </conditionalFormatting>
  <conditionalFormatting sqref="E3:M12">
    <cfRule type="expression" dxfId="99" priority="18">
      <formula>($D3&lt;=$E$24)</formula>
    </cfRule>
  </conditionalFormatting>
  <conditionalFormatting sqref="D3:M12">
    <cfRule type="expression" dxfId="98" priority="19">
      <formula>($D3&gt;$E$24)</formula>
    </cfRule>
  </conditionalFormatting>
  <conditionalFormatting sqref="E50:M59 E68:M72 E78:M80">
    <cfRule type="cellIs" dxfId="97" priority="20" operator="notBetween">
      <formula>0</formula>
      <formula>$B$7</formula>
    </cfRule>
    <cfRule type="expression" dxfId="96" priority="21">
      <formula>($D50&lt;=$E$24)</formula>
    </cfRule>
    <cfRule type="expression" dxfId="95" priority="22">
      <formula>($D50&gt;$E$24)</formula>
    </cfRule>
  </conditionalFormatting>
  <conditionalFormatting sqref="N50 N68:N72 N78:N80 N52:N59">
    <cfRule type="cellIs" dxfId="94" priority="23" operator="lessThan">
      <formula>0</formula>
    </cfRule>
    <cfRule type="cellIs" dxfId="93" priority="24" operator="equal">
      <formula>0</formula>
    </cfRule>
    <cfRule type="expression" dxfId="92" priority="25">
      <formula>OR(MOD($N50,100)=0,AND($D50=$E$24,MOD($N50,100)=$D$25))</formula>
    </cfRule>
  </conditionalFormatting>
  <conditionalFormatting sqref="N51">
    <cfRule type="cellIs" dxfId="91" priority="26" operator="notBetween">
      <formula>0</formula>
      <formula>$B$7</formula>
    </cfRule>
    <cfRule type="cellIs" dxfId="90" priority="27" operator="equal">
      <formula>0</formula>
    </cfRule>
    <cfRule type="expression" dxfId="89" priority="28">
      <formula>OR(MOD($N51,100)=0,AND($D51=$E$24,MOD($N51,100)=$D$25))</formula>
    </cfRule>
  </conditionalFormatting>
  <conditionalFormatting sqref="Q4:Q15">
    <cfRule type="expression" dxfId="88" priority="29">
      <formula>AND($Q4&lt;$Q3, NOT(ISBLANK($Q4)))</formula>
    </cfRule>
    <cfRule type="cellIs" dxfId="87" priority="30" operator="greaterThan">
      <formula>$B$6</formula>
    </cfRule>
  </conditionalFormatting>
  <dataValidations count="2">
    <dataValidation type="list" allowBlank="1" showInputMessage="1" showErrorMessage="1" sqref="C50:C59" xr:uid="{2340F390-932B-4C39-80ED-CCF7CC93AD4C}">
      <formula1>$D$19:$D$21</formula1>
    </dataValidation>
    <dataValidation type="list" allowBlank="1" showInputMessage="1" showErrorMessage="1" sqref="D68:D72 D78:D82 D50:D59" xr:uid="{4395BBA5-90B8-499A-83C9-A98678F9111B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42090-0612-4D58-83F3-A1FA9BD12093}">
  <sheetPr codeName="Feuil52">
    <tabColor rgb="FFB4A7D6"/>
  </sheetPr>
  <dimension ref="A1:V82"/>
  <sheetViews>
    <sheetView zoomScale="80" zoomScaleNormal="80" workbookViewId="0">
      <selection activeCell="Q4" sqref="Q4"/>
    </sheetView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24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357" t="s">
        <v>11</v>
      </c>
      <c r="B1" s="363">
        <f>Synthèse!$B$17</f>
        <v>46103</v>
      </c>
      <c r="D1" s="243"/>
      <c r="E1" s="551" t="s">
        <v>120</v>
      </c>
      <c r="F1" s="552"/>
      <c r="G1" s="552"/>
      <c r="H1" s="552"/>
      <c r="I1" s="552"/>
      <c r="J1" s="552"/>
      <c r="K1" s="552"/>
      <c r="L1" s="552"/>
      <c r="M1" s="553"/>
      <c r="N1" s="316" t="s">
        <v>7</v>
      </c>
      <c r="O1" s="372"/>
    </row>
    <row r="2" spans="1:22" ht="45" customHeight="1" thickBot="1" x14ac:dyDescent="0.25">
      <c r="A2" s="358" t="s">
        <v>12</v>
      </c>
      <c r="B2" s="364" t="str">
        <f>Synthèse!$B$18</f>
        <v>Municipales 2ème tour</v>
      </c>
      <c r="D2" s="280" t="s">
        <v>80</v>
      </c>
      <c r="E2" s="619" t="str">
        <f>Synthèse!L2</f>
        <v>Candidat(e)
1</v>
      </c>
      <c r="F2" s="620" t="str">
        <f>Synthèse!M2</f>
        <v>Candidat(e)
2</v>
      </c>
      <c r="G2" s="621" t="str">
        <f>Synthèse!N2</f>
        <v>Candidat(e)
3</v>
      </c>
      <c r="H2" s="622" t="str">
        <f>Synthèse!O2</f>
        <v>Candidat(e)
4</v>
      </c>
      <c r="I2" s="623" t="str">
        <f>Synthèse!P2</f>
        <v>Candidat(e)
5</v>
      </c>
      <c r="J2" s="624" t="str">
        <f>Synthèse!Q2</f>
        <v>Candidat(e)
6</v>
      </c>
      <c r="K2" s="625" t="str">
        <f>Synthèse!R2</f>
        <v>Candidat(e)
7</v>
      </c>
      <c r="L2" s="320" t="s">
        <v>3</v>
      </c>
      <c r="M2" s="321" t="s">
        <v>4</v>
      </c>
      <c r="N2" s="317" t="s">
        <v>102</v>
      </c>
      <c r="O2" s="372"/>
      <c r="P2" s="367" t="s">
        <v>21</v>
      </c>
      <c r="Q2" s="293" t="s">
        <v>56</v>
      </c>
      <c r="R2" s="294" t="s">
        <v>30</v>
      </c>
      <c r="T2" s="295" t="s">
        <v>58</v>
      </c>
      <c r="U2" s="295" t="s">
        <v>57</v>
      </c>
    </row>
    <row r="3" spans="1:22" ht="20.100000000000001" customHeight="1" thickBot="1" x14ac:dyDescent="0.25">
      <c r="A3" s="359" t="s">
        <v>13</v>
      </c>
      <c r="B3" s="365" t="str">
        <f>Synthèse!$B$19</f>
        <v>Cogolin</v>
      </c>
      <c r="D3" s="277" t="str" cm="1">
        <f t="array" ref="D3">IF(ROW(1:1)&lt;=$E$24, (ROW(1:1)), "")</f>
        <v/>
      </c>
      <c r="E3" s="113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3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13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13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13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13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13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28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2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44">
        <f t="shared" ref="N3:N13" si="0">SUM(E3:M3)</f>
        <v>0</v>
      </c>
      <c r="O3" s="372"/>
      <c r="P3" s="368" t="s">
        <v>31</v>
      </c>
      <c r="Q3" s="269">
        <v>0</v>
      </c>
      <c r="R3" s="270">
        <f>Q3/$B$6</f>
        <v>0</v>
      </c>
      <c r="T3" s="256"/>
      <c r="U3" s="256"/>
    </row>
    <row r="4" spans="1:22" ht="20.100000000000001" customHeight="1" x14ac:dyDescent="0.2">
      <c r="A4" s="65" t="s">
        <v>22</v>
      </c>
      <c r="B4" s="375">
        <v>10</v>
      </c>
      <c r="D4" s="278" t="str" cm="1">
        <f t="array" ref="D4">IF(ROW(2:2)&lt;=$E$24, (ROW(2:2)), "")</f>
        <v/>
      </c>
      <c r="E4" s="114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4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4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14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14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14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15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1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4">
        <f t="shared" si="0"/>
        <v>0</v>
      </c>
      <c r="O4" s="372"/>
      <c r="P4" s="369" t="s">
        <v>32</v>
      </c>
      <c r="Q4" s="324"/>
      <c r="R4" s="273" t="e">
        <f t="shared" ref="R4:R13" si="1">IF(OR(Q4=0, Q4=""), NA(), Q4/$B$6)</f>
        <v>#N/A</v>
      </c>
      <c r="T4" s="251" t="s">
        <v>44</v>
      </c>
      <c r="U4" s="296" t="e">
        <f t="shared" ref="U4:U13" si="2">IF(Q4&lt;&gt;0,Q4-Q3,NA())</f>
        <v>#N/A</v>
      </c>
    </row>
    <row r="5" spans="1:22" ht="20.100000000000001" customHeight="1" x14ac:dyDescent="0.2">
      <c r="A5" s="66" t="s">
        <v>23</v>
      </c>
      <c r="B5" s="376" t="str">
        <f>INDEX(Synthèse!B:B,B4+2)</f>
        <v>CMM</v>
      </c>
      <c r="D5" s="278" t="str" cm="1">
        <f t="array" ref="D5">IF(ROW(3:3)&lt;=$E$24, (ROW(3:3)), "")</f>
        <v/>
      </c>
      <c r="E5" s="114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4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14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14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14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14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14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3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31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4">
        <f t="shared" si="0"/>
        <v>0</v>
      </c>
      <c r="O5" s="373"/>
      <c r="P5" s="369" t="s">
        <v>33</v>
      </c>
      <c r="Q5" s="324"/>
      <c r="R5" s="273" t="e">
        <f t="shared" si="1"/>
        <v>#N/A</v>
      </c>
      <c r="T5" s="252" t="s">
        <v>45</v>
      </c>
      <c r="U5" s="297" t="e">
        <f t="shared" si="2"/>
        <v>#N/A</v>
      </c>
    </row>
    <row r="6" spans="1:22" ht="20.100000000000001" customHeight="1" x14ac:dyDescent="0.2">
      <c r="A6" s="66" t="s">
        <v>0</v>
      </c>
      <c r="B6" s="144">
        <f>INDEX(Synthèse!C:C,B4+2)</f>
        <v>609</v>
      </c>
      <c r="D6" s="278" t="str" cm="1">
        <f t="array" ref="D6">IF(ROW(4:4)&lt;=$E$24, (ROW(4:4)), "")</f>
        <v/>
      </c>
      <c r="E6" s="114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4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14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14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14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14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14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3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31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4">
        <f t="shared" si="0"/>
        <v>0</v>
      </c>
      <c r="O6" s="373"/>
      <c r="P6" s="369" t="s">
        <v>34</v>
      </c>
      <c r="Q6" s="324"/>
      <c r="R6" s="273" t="e">
        <f t="shared" si="1"/>
        <v>#N/A</v>
      </c>
      <c r="T6" s="252" t="s">
        <v>46</v>
      </c>
      <c r="U6" s="297" t="e">
        <f t="shared" si="2"/>
        <v>#N/A</v>
      </c>
    </row>
    <row r="7" spans="1:22" ht="20.100000000000001" customHeight="1" x14ac:dyDescent="0.2">
      <c r="A7" s="66" t="s">
        <v>2</v>
      </c>
      <c r="B7" s="123">
        <f>MAX(Q4:Q15)</f>
        <v>0</v>
      </c>
      <c r="D7" s="278" t="str" cm="1">
        <f t="array" ref="D7">IF(ROW(5:5)&lt;=$E$24, (ROW(5:5)), "")</f>
        <v/>
      </c>
      <c r="E7" s="114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4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4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14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14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14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15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1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4">
        <f t="shared" si="0"/>
        <v>0</v>
      </c>
      <c r="O7" s="373"/>
      <c r="P7" s="369" t="s">
        <v>35</v>
      </c>
      <c r="Q7" s="324"/>
      <c r="R7" s="273" t="e">
        <f t="shared" si="1"/>
        <v>#N/A</v>
      </c>
      <c r="T7" s="252" t="s">
        <v>53</v>
      </c>
      <c r="U7" s="297" t="e">
        <f t="shared" si="2"/>
        <v>#N/A</v>
      </c>
    </row>
    <row r="8" spans="1:22" ht="20.100000000000001" customHeight="1" x14ac:dyDescent="0.2">
      <c r="A8" s="66" t="s">
        <v>1</v>
      </c>
      <c r="B8" s="124"/>
      <c r="D8" s="278" t="str" cm="1">
        <f t="array" ref="D8">IF(ROW(6:6)&lt;=$E$24, (ROW(6:6)), "")</f>
        <v/>
      </c>
      <c r="E8" s="114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4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4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14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14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14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15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1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4">
        <f t="shared" si="0"/>
        <v>0</v>
      </c>
      <c r="O8" s="373"/>
      <c r="P8" s="369" t="s">
        <v>36</v>
      </c>
      <c r="Q8" s="324"/>
      <c r="R8" s="273" t="e">
        <f t="shared" si="1"/>
        <v>#N/A</v>
      </c>
      <c r="T8" s="252" t="s">
        <v>47</v>
      </c>
      <c r="U8" s="297" t="e">
        <f t="shared" si="2"/>
        <v>#N/A</v>
      </c>
    </row>
    <row r="9" spans="1:22" ht="20.100000000000001" customHeight="1" thickBot="1" x14ac:dyDescent="0.25">
      <c r="A9" s="67" t="s">
        <v>17</v>
      </c>
      <c r="B9" s="125">
        <f>B6-B7</f>
        <v>609</v>
      </c>
      <c r="D9" s="278" t="str" cm="1">
        <f t="array" ref="D9">IF(ROW(7:7)&lt;=$E$24, (ROW(7:7)), "")</f>
        <v/>
      </c>
      <c r="E9" s="114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4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4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14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14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14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17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18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4">
        <f t="shared" si="0"/>
        <v>0</v>
      </c>
      <c r="O9" s="373"/>
      <c r="P9" s="369" t="s">
        <v>37</v>
      </c>
      <c r="Q9" s="324"/>
      <c r="R9" s="273" t="e">
        <f t="shared" si="1"/>
        <v>#N/A</v>
      </c>
      <c r="T9" s="252" t="s">
        <v>48</v>
      </c>
      <c r="U9" s="297" t="e">
        <f t="shared" si="2"/>
        <v>#N/A</v>
      </c>
    </row>
    <row r="10" spans="1:22" ht="20.100000000000001" customHeight="1" x14ac:dyDescent="0.2">
      <c r="A10" s="554" t="s">
        <v>59</v>
      </c>
      <c r="B10" s="554"/>
      <c r="D10" s="278" t="str" cm="1">
        <f t="array" ref="D10">IF(ROW(8:8)&lt;=$E$24, (ROW(8:8)), "")</f>
        <v/>
      </c>
      <c r="E10" s="114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4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4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14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14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14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17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18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4">
        <f t="shared" si="0"/>
        <v>0</v>
      </c>
      <c r="O10" s="373"/>
      <c r="P10" s="369" t="s">
        <v>38</v>
      </c>
      <c r="Q10" s="324"/>
      <c r="R10" s="273" t="e">
        <f t="shared" si="1"/>
        <v>#N/A</v>
      </c>
      <c r="T10" s="252" t="s">
        <v>49</v>
      </c>
      <c r="U10" s="297" t="e">
        <f t="shared" si="2"/>
        <v>#N/A</v>
      </c>
    </row>
    <row r="11" spans="1:22" ht="20.100000000000001" customHeight="1" x14ac:dyDescent="0.2">
      <c r="A11" s="555"/>
      <c r="B11" s="555"/>
      <c r="D11" s="278" t="str" cm="1">
        <f t="array" ref="D11">IF(ROW(9:9)&lt;=$E$24, (ROW(9:9)), "")</f>
        <v/>
      </c>
      <c r="E11" s="114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4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4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14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14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14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17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18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4">
        <f t="shared" si="0"/>
        <v>0</v>
      </c>
      <c r="O11" s="373"/>
      <c r="P11" s="369" t="s">
        <v>39</v>
      </c>
      <c r="Q11" s="324"/>
      <c r="R11" s="273" t="e">
        <f t="shared" si="1"/>
        <v>#N/A</v>
      </c>
      <c r="T11" s="252" t="s">
        <v>50</v>
      </c>
      <c r="U11" s="297" t="e">
        <f t="shared" si="2"/>
        <v>#N/A</v>
      </c>
    </row>
    <row r="12" spans="1:22" ht="20.100000000000001" customHeight="1" thickBot="1" x14ac:dyDescent="0.25">
      <c r="A12" s="556" t="s">
        <v>60</v>
      </c>
      <c r="B12" s="556"/>
      <c r="D12" s="279" t="str" cm="1">
        <f t="array" ref="D12">IF(ROW(10:10)&lt;=$E$24, (ROW(10:10)), "")</f>
        <v/>
      </c>
      <c r="E12" s="114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4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14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14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14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14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14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32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33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4">
        <f t="shared" si="0"/>
        <v>0</v>
      </c>
      <c r="O12" s="373"/>
      <c r="P12" s="369" t="s">
        <v>40</v>
      </c>
      <c r="Q12" s="324"/>
      <c r="R12" s="273" t="e">
        <f t="shared" si="1"/>
        <v>#N/A</v>
      </c>
      <c r="T12" s="252" t="s">
        <v>51</v>
      </c>
      <c r="U12" s="297" t="e">
        <f t="shared" si="2"/>
        <v>#N/A</v>
      </c>
    </row>
    <row r="13" spans="1:22" ht="20.100000000000001" customHeight="1" thickBot="1" x14ac:dyDescent="0.3">
      <c r="A13" s="556"/>
      <c r="B13" s="556"/>
      <c r="D13" s="35" t="s">
        <v>9</v>
      </c>
      <c r="E13" s="119">
        <f>SUM(E3:E12)</f>
        <v>0</v>
      </c>
      <c r="F13" s="497">
        <f>SUM(F3:F12)</f>
        <v>0</v>
      </c>
      <c r="G13" s="497">
        <f>SUM(G3:G12)</f>
        <v>0</v>
      </c>
      <c r="H13" s="497">
        <f>SUM(H3:H12)</f>
        <v>0</v>
      </c>
      <c r="I13" s="497">
        <f>SUM(I3:I12)</f>
        <v>0</v>
      </c>
      <c r="J13" s="497">
        <f>SUM(J3:J12)</f>
        <v>0</v>
      </c>
      <c r="K13" s="120">
        <f>SUM(K3:K12)</f>
        <v>0</v>
      </c>
      <c r="L13" s="121">
        <f>SUM(L3:L12)</f>
        <v>0</v>
      </c>
      <c r="M13" s="122">
        <f>SUM(M3:M12)</f>
        <v>0</v>
      </c>
      <c r="N13" s="355">
        <f t="shared" si="0"/>
        <v>0</v>
      </c>
      <c r="O13" s="373"/>
      <c r="P13" s="369" t="s">
        <v>41</v>
      </c>
      <c r="Q13" s="324"/>
      <c r="R13" s="273" t="e">
        <f t="shared" si="1"/>
        <v>#N/A</v>
      </c>
      <c r="T13" s="253" t="s">
        <v>52</v>
      </c>
      <c r="U13" s="298" t="e">
        <f t="shared" si="2"/>
        <v>#N/A</v>
      </c>
    </row>
    <row r="14" spans="1:22" ht="20.100000000000001" customHeight="1" thickBot="1" x14ac:dyDescent="0.3">
      <c r="A14" s="556"/>
      <c r="B14" s="556"/>
      <c r="D14" s="60" t="s">
        <v>10</v>
      </c>
      <c r="E14" s="32">
        <f t="shared" ref="E14:N14" si="3">IFERROR(E13/$B$7,0)</f>
        <v>0</v>
      </c>
      <c r="F14" s="498">
        <f t="shared" si="3"/>
        <v>0</v>
      </c>
      <c r="G14" s="498">
        <f t="shared" si="3"/>
        <v>0</v>
      </c>
      <c r="H14" s="498">
        <f t="shared" si="3"/>
        <v>0</v>
      </c>
      <c r="I14" s="498">
        <f t="shared" si="3"/>
        <v>0</v>
      </c>
      <c r="J14" s="498">
        <f t="shared" si="3"/>
        <v>0</v>
      </c>
      <c r="K14" s="33">
        <f t="shared" si="3"/>
        <v>0</v>
      </c>
      <c r="L14" s="32">
        <f t="shared" si="3"/>
        <v>0</v>
      </c>
      <c r="M14" s="34">
        <f t="shared" si="3"/>
        <v>0</v>
      </c>
      <c r="N14" s="356">
        <f t="shared" si="3"/>
        <v>0</v>
      </c>
      <c r="O14" s="372"/>
      <c r="P14" s="370" t="s">
        <v>42</v>
      </c>
      <c r="Q14" s="325"/>
      <c r="R14" s="275" t="e">
        <f>IF(OR(Q14=0, Q14=""), NA(), Q14/$B$6)</f>
        <v>#N/A</v>
      </c>
      <c r="S14" s="300"/>
      <c r="T14" s="304" t="s">
        <v>54</v>
      </c>
      <c r="U14" s="299" t="e">
        <f>IF(Q14&lt;&gt;0,Q14-Q13,NA())</f>
        <v>#N/A</v>
      </c>
      <c r="V14" s="300"/>
    </row>
    <row r="15" spans="1:22" ht="18" customHeight="1" thickBot="1" x14ac:dyDescent="0.25">
      <c r="A15" s="558" t="s">
        <v>66</v>
      </c>
      <c r="B15" s="558"/>
      <c r="C15" s="1"/>
      <c r="D15" s="1"/>
      <c r="N15" s="254"/>
      <c r="O15" s="372"/>
      <c r="P15" s="371" t="s">
        <v>43</v>
      </c>
      <c r="Q15" s="326"/>
      <c r="R15" s="301" t="e">
        <f>IF(OR(Q15=0, Q15=""), NA(), Q15/$B$6)</f>
        <v>#N/A</v>
      </c>
      <c r="T15" s="305" t="s">
        <v>55</v>
      </c>
      <c r="U15" s="303" t="e">
        <f>IF(Q15&lt;&gt;0,Q15-Q14,NA())</f>
        <v>#N/A</v>
      </c>
      <c r="V15" s="300"/>
    </row>
    <row r="16" spans="1:22" ht="12.75" customHeight="1" x14ac:dyDescent="0.2">
      <c r="A16" s="558"/>
      <c r="B16" s="558"/>
      <c r="O16" s="372"/>
      <c r="P16" s="254"/>
      <c r="Q16" s="254"/>
      <c r="R16" s="254"/>
      <c r="U16" s="254"/>
    </row>
    <row r="17" spans="1:15" ht="18" customHeight="1" x14ac:dyDescent="0.25">
      <c r="A17" s="558"/>
      <c r="B17" s="558"/>
      <c r="E17" s="185"/>
      <c r="F17" s="185"/>
      <c r="G17" s="185"/>
      <c r="H17" s="185"/>
      <c r="I17" s="185"/>
      <c r="J17" s="185"/>
      <c r="O17" s="372"/>
    </row>
    <row r="18" spans="1:15" ht="26.25" customHeight="1" x14ac:dyDescent="0.2">
      <c r="A18" s="558"/>
      <c r="B18" s="558"/>
      <c r="D18" s="353" t="s">
        <v>63</v>
      </c>
      <c r="O18" s="372"/>
    </row>
    <row r="19" spans="1:15" x14ac:dyDescent="0.2">
      <c r="D19" s="354">
        <f>IF((ROW()-23)&lt;=$E$25,(ROW()-23),"Choisir")</f>
        <v>-4</v>
      </c>
      <c r="O19" s="372"/>
    </row>
    <row r="20" spans="1:15" x14ac:dyDescent="0.2">
      <c r="D20" s="354">
        <f>IF((ROW()-23)&lt;=$E$25,(ROW()-23),"Choisir")</f>
        <v>-3</v>
      </c>
      <c r="O20" s="372"/>
    </row>
    <row r="21" spans="1:15" x14ac:dyDescent="0.2">
      <c r="D21" s="354">
        <f>IF((ROW()-23)&lt;=$E$25,(ROW()-23),"Choisir")</f>
        <v>-2</v>
      </c>
      <c r="O21" s="372"/>
    </row>
    <row r="22" spans="1:15" x14ac:dyDescent="0.2">
      <c r="D22" s="354">
        <f>IF((ROW()-23)&lt;=$E$25,(ROW()-23),"Choisir")</f>
        <v>-1</v>
      </c>
      <c r="O22" s="372"/>
    </row>
    <row r="23" spans="1:15" x14ac:dyDescent="0.2">
      <c r="O23" s="372"/>
    </row>
    <row r="24" spans="1:15" x14ac:dyDescent="0.2">
      <c r="D24" s="199">
        <f>CEILING($B$6, 100)/100</f>
        <v>7</v>
      </c>
      <c r="E24" s="335">
        <f>CEILING($B$7,100)/100</f>
        <v>0</v>
      </c>
      <c r="F24" s="335"/>
      <c r="G24" s="335"/>
      <c r="H24" s="335"/>
      <c r="I24" s="335"/>
      <c r="J24" s="335"/>
      <c r="O24" s="372"/>
    </row>
    <row r="25" spans="1:15" x14ac:dyDescent="0.2">
      <c r="D25" s="199">
        <f>MOD($B$7,100)</f>
        <v>0</v>
      </c>
      <c r="E25" s="200">
        <f>CEILING($B$6/300,1)</f>
        <v>3</v>
      </c>
      <c r="F25" s="200"/>
      <c r="G25" s="200"/>
      <c r="H25" s="200"/>
      <c r="I25" s="200"/>
      <c r="J25" s="200"/>
      <c r="O25" s="372"/>
    </row>
    <row r="26" spans="1:15" x14ac:dyDescent="0.2">
      <c r="O26" s="372"/>
    </row>
    <row r="27" spans="1:15" x14ac:dyDescent="0.2">
      <c r="O27" s="372"/>
    </row>
    <row r="28" spans="1:15" x14ac:dyDescent="0.2">
      <c r="O28" s="372"/>
    </row>
    <row r="29" spans="1:15" x14ac:dyDescent="0.2">
      <c r="O29" s="372"/>
    </row>
    <row r="30" spans="1:15" x14ac:dyDescent="0.2">
      <c r="O30" s="372"/>
    </row>
    <row r="31" spans="1:15" x14ac:dyDescent="0.2">
      <c r="O31" s="372"/>
    </row>
    <row r="32" spans="1:15" x14ac:dyDescent="0.2">
      <c r="O32" s="372"/>
    </row>
    <row r="33" spans="1:15" x14ac:dyDescent="0.2">
      <c r="O33" s="372"/>
    </row>
    <row r="34" spans="1:15" x14ac:dyDescent="0.2">
      <c r="O34" s="372"/>
    </row>
    <row r="35" spans="1:15" x14ac:dyDescent="0.2">
      <c r="O35" s="372"/>
    </row>
    <row r="36" spans="1:15" x14ac:dyDescent="0.2">
      <c r="O36" s="372"/>
    </row>
    <row r="37" spans="1:15" x14ac:dyDescent="0.2">
      <c r="O37" s="372"/>
    </row>
    <row r="38" spans="1:15" x14ac:dyDescent="0.2">
      <c r="O38" s="372"/>
    </row>
    <row r="39" spans="1:15" x14ac:dyDescent="0.2">
      <c r="O39" s="372"/>
    </row>
    <row r="40" spans="1:15" x14ac:dyDescent="0.2">
      <c r="O40" s="372"/>
    </row>
    <row r="41" spans="1:15" x14ac:dyDescent="0.2">
      <c r="O41" s="372"/>
    </row>
    <row r="42" spans="1:15" x14ac:dyDescent="0.2">
      <c r="O42" s="372"/>
    </row>
    <row r="43" spans="1:15" ht="13.5" thickBot="1" x14ac:dyDescent="0.25">
      <c r="A43" s="366"/>
      <c r="B43" s="366"/>
      <c r="C43" s="366"/>
      <c r="D43" s="366"/>
      <c r="E43" s="366"/>
      <c r="F43" s="366"/>
      <c r="G43" s="366"/>
      <c r="H43" s="366"/>
      <c r="I43" s="366"/>
      <c r="J43" s="366"/>
      <c r="K43" s="366"/>
      <c r="L43" s="366"/>
      <c r="M43" s="366"/>
      <c r="N43" s="366"/>
      <c r="O43" s="374"/>
    </row>
    <row r="44" spans="1:15" ht="13.5" thickTop="1" x14ac:dyDescent="0.2">
      <c r="O44" s="372"/>
    </row>
    <row r="45" spans="1:15" x14ac:dyDescent="0.2">
      <c r="O45" s="372"/>
    </row>
    <row r="46" spans="1:15" x14ac:dyDescent="0.2">
      <c r="E46" s="126"/>
      <c r="F46" s="126"/>
      <c r="G46" s="126"/>
      <c r="H46" s="126"/>
      <c r="I46" s="126"/>
      <c r="J46" s="126"/>
      <c r="O46" s="372"/>
    </row>
    <row r="47" spans="1:15" ht="13.5" thickBot="1" x14ac:dyDescent="0.25">
      <c r="E47" s="126"/>
      <c r="F47" s="126"/>
      <c r="G47" s="126"/>
      <c r="H47" s="126"/>
      <c r="I47" s="126"/>
      <c r="J47" s="126"/>
      <c r="O47" s="372"/>
    </row>
    <row r="48" spans="1:15" ht="20.100000000000001" customHeight="1" thickBot="1" x14ac:dyDescent="0.25">
      <c r="D48" s="189" t="s">
        <v>76</v>
      </c>
      <c r="E48" s="548" t="s">
        <v>117</v>
      </c>
      <c r="F48" s="549"/>
      <c r="G48" s="549"/>
      <c r="H48" s="549"/>
      <c r="I48" s="549"/>
      <c r="J48" s="549"/>
      <c r="K48" s="549"/>
      <c r="L48" s="549"/>
      <c r="M48" s="550"/>
      <c r="N48" s="306" t="s">
        <v>7</v>
      </c>
      <c r="O48" s="372"/>
    </row>
    <row r="49" spans="3:15" ht="47.25" customHeight="1" thickBot="1" x14ac:dyDescent="0.25">
      <c r="C49" s="187"/>
      <c r="D49" s="284" t="s">
        <v>79</v>
      </c>
      <c r="E49" s="626" t="str">
        <f>E2</f>
        <v>Candidat(e)
1</v>
      </c>
      <c r="F49" s="627" t="str">
        <f>F2</f>
        <v>Candidat(e)
2</v>
      </c>
      <c r="G49" s="628" t="str">
        <f t="shared" ref="G49:K49" si="4">G2</f>
        <v>Candidat(e)
3</v>
      </c>
      <c r="H49" s="629" t="str">
        <f t="shared" si="4"/>
        <v>Candidat(e)
4</v>
      </c>
      <c r="I49" s="630" t="str">
        <f t="shared" si="4"/>
        <v>Candidat(e)
5</v>
      </c>
      <c r="J49" s="631" t="str">
        <f t="shared" si="4"/>
        <v>Candidat(e)
6</v>
      </c>
      <c r="K49" s="632" t="str">
        <f t="shared" si="4"/>
        <v>Candidat(e)
7</v>
      </c>
      <c r="L49" s="322" t="s">
        <v>3</v>
      </c>
      <c r="M49" s="323" t="s">
        <v>4</v>
      </c>
      <c r="N49" s="308" t="s">
        <v>101</v>
      </c>
      <c r="O49" s="372"/>
    </row>
    <row r="50" spans="3:15" ht="19.5" customHeight="1" x14ac:dyDescent="0.2">
      <c r="C50" s="188"/>
      <c r="D50" s="283" t="s">
        <v>78</v>
      </c>
      <c r="E50" s="246"/>
      <c r="F50" s="246"/>
      <c r="G50" s="246"/>
      <c r="H50" s="246"/>
      <c r="I50" s="246"/>
      <c r="J50" s="246"/>
      <c r="K50" s="247"/>
      <c r="L50" s="249"/>
      <c r="M50" s="248"/>
      <c r="N50" s="307">
        <f t="shared" ref="N50:N59" si="5">SUM(E50:M50)</f>
        <v>0</v>
      </c>
      <c r="O50" s="372"/>
    </row>
    <row r="51" spans="3:15" ht="20.100000000000001" customHeight="1" x14ac:dyDescent="0.2">
      <c r="C51" s="188"/>
      <c r="D51" s="283" t="s">
        <v>78</v>
      </c>
      <c r="E51" s="246"/>
      <c r="F51" s="246"/>
      <c r="G51" s="246"/>
      <c r="H51" s="246"/>
      <c r="I51" s="246"/>
      <c r="J51" s="246"/>
      <c r="K51" s="247"/>
      <c r="L51" s="249"/>
      <c r="M51" s="248"/>
      <c r="N51" s="307">
        <f t="shared" si="5"/>
        <v>0</v>
      </c>
      <c r="O51" s="372"/>
    </row>
    <row r="52" spans="3:15" ht="20.100000000000001" customHeight="1" x14ac:dyDescent="0.2">
      <c r="C52" s="188"/>
      <c r="D52" s="283" t="s">
        <v>78</v>
      </c>
      <c r="E52" s="246"/>
      <c r="F52" s="246"/>
      <c r="G52" s="246"/>
      <c r="H52" s="246"/>
      <c r="I52" s="246"/>
      <c r="J52" s="246"/>
      <c r="K52" s="247"/>
      <c r="L52" s="249"/>
      <c r="M52" s="248"/>
      <c r="N52" s="307">
        <f t="shared" si="5"/>
        <v>0</v>
      </c>
      <c r="O52" s="372"/>
    </row>
    <row r="53" spans="3:15" ht="20.100000000000001" customHeight="1" x14ac:dyDescent="0.2">
      <c r="C53" s="188"/>
      <c r="D53" s="283" t="s">
        <v>78</v>
      </c>
      <c r="E53" s="246"/>
      <c r="F53" s="246"/>
      <c r="G53" s="246"/>
      <c r="H53" s="246"/>
      <c r="I53" s="246"/>
      <c r="J53" s="246"/>
      <c r="K53" s="247"/>
      <c r="L53" s="249"/>
      <c r="M53" s="248"/>
      <c r="N53" s="307">
        <f t="shared" si="5"/>
        <v>0</v>
      </c>
      <c r="O53" s="372"/>
    </row>
    <row r="54" spans="3:15" ht="20.100000000000001" customHeight="1" x14ac:dyDescent="0.2">
      <c r="C54" s="188"/>
      <c r="D54" s="283" t="s">
        <v>78</v>
      </c>
      <c r="E54" s="246"/>
      <c r="F54" s="246"/>
      <c r="G54" s="246"/>
      <c r="H54" s="246"/>
      <c r="I54" s="246"/>
      <c r="J54" s="246"/>
      <c r="K54" s="247"/>
      <c r="L54" s="249"/>
      <c r="M54" s="248"/>
      <c r="N54" s="307">
        <f t="shared" si="5"/>
        <v>0</v>
      </c>
      <c r="O54" s="372"/>
    </row>
    <row r="55" spans="3:15" ht="20.100000000000001" customHeight="1" x14ac:dyDescent="0.2">
      <c r="C55" s="188"/>
      <c r="D55" s="283" t="s">
        <v>78</v>
      </c>
      <c r="E55" s="246"/>
      <c r="F55" s="246"/>
      <c r="G55" s="246"/>
      <c r="H55" s="246"/>
      <c r="I55" s="246"/>
      <c r="J55" s="246"/>
      <c r="K55" s="247"/>
      <c r="L55" s="249"/>
      <c r="M55" s="248"/>
      <c r="N55" s="307">
        <f t="shared" si="5"/>
        <v>0</v>
      </c>
      <c r="O55" s="372"/>
    </row>
    <row r="56" spans="3:15" ht="20.100000000000001" customHeight="1" x14ac:dyDescent="0.2">
      <c r="C56" s="188"/>
      <c r="D56" s="283" t="s">
        <v>78</v>
      </c>
      <c r="E56" s="246"/>
      <c r="F56" s="246"/>
      <c r="G56" s="246"/>
      <c r="H56" s="246"/>
      <c r="I56" s="246"/>
      <c r="J56" s="246"/>
      <c r="K56" s="247"/>
      <c r="L56" s="249"/>
      <c r="M56" s="248"/>
      <c r="N56" s="307">
        <f t="shared" si="5"/>
        <v>0</v>
      </c>
      <c r="O56" s="372"/>
    </row>
    <row r="57" spans="3:15" ht="20.100000000000001" customHeight="1" x14ac:dyDescent="0.2">
      <c r="C57" s="188"/>
      <c r="D57" s="283" t="s">
        <v>78</v>
      </c>
      <c r="E57" s="246"/>
      <c r="F57" s="246"/>
      <c r="G57" s="246"/>
      <c r="H57" s="246"/>
      <c r="I57" s="246"/>
      <c r="J57" s="246"/>
      <c r="K57" s="247"/>
      <c r="L57" s="249"/>
      <c r="M57" s="248"/>
      <c r="N57" s="307">
        <f t="shared" si="5"/>
        <v>0</v>
      </c>
      <c r="O57" s="372"/>
    </row>
    <row r="58" spans="3:15" ht="20.100000000000001" customHeight="1" x14ac:dyDescent="0.2">
      <c r="C58" s="188"/>
      <c r="D58" s="283" t="s">
        <v>78</v>
      </c>
      <c r="E58" s="246"/>
      <c r="F58" s="246"/>
      <c r="G58" s="246"/>
      <c r="H58" s="246"/>
      <c r="I58" s="246"/>
      <c r="J58" s="246"/>
      <c r="K58" s="247"/>
      <c r="L58" s="249"/>
      <c r="M58" s="248"/>
      <c r="N58" s="307">
        <f t="shared" si="5"/>
        <v>0</v>
      </c>
      <c r="O58" s="372"/>
    </row>
    <row r="59" spans="3:15" ht="20.100000000000001" customHeight="1" thickBot="1" x14ac:dyDescent="0.25">
      <c r="C59" s="188"/>
      <c r="D59" s="287" t="s">
        <v>78</v>
      </c>
      <c r="E59" s="288"/>
      <c r="F59" s="288"/>
      <c r="G59" s="288"/>
      <c r="H59" s="288"/>
      <c r="I59" s="288"/>
      <c r="J59" s="288"/>
      <c r="K59" s="289"/>
      <c r="L59" s="291"/>
      <c r="M59" s="290"/>
      <c r="N59" s="307">
        <f t="shared" si="5"/>
        <v>0</v>
      </c>
      <c r="O59" s="372"/>
    </row>
    <row r="60" spans="3:15" x14ac:dyDescent="0.2">
      <c r="N60" s="254"/>
      <c r="O60" s="372"/>
    </row>
    <row r="61" spans="3:15" x14ac:dyDescent="0.2">
      <c r="O61" s="372"/>
    </row>
    <row r="62" spans="3:15" x14ac:dyDescent="0.2">
      <c r="O62" s="372"/>
    </row>
    <row r="63" spans="3:15" ht="18" x14ac:dyDescent="0.25">
      <c r="E63" s="185"/>
      <c r="F63" s="185"/>
      <c r="G63" s="185"/>
      <c r="H63" s="185"/>
      <c r="I63" s="185"/>
      <c r="J63" s="185"/>
      <c r="O63" s="372"/>
    </row>
    <row r="64" spans="3:15" x14ac:dyDescent="0.2">
      <c r="O64" s="372"/>
    </row>
    <row r="65" spans="4:15" ht="13.5" thickBot="1" x14ac:dyDescent="0.25">
      <c r="O65" s="372"/>
    </row>
    <row r="66" spans="4:15" ht="16.5" customHeight="1" thickBot="1" x14ac:dyDescent="0.25">
      <c r="D66" s="189" t="s">
        <v>77</v>
      </c>
      <c r="E66" s="548" t="s">
        <v>118</v>
      </c>
      <c r="F66" s="549"/>
      <c r="G66" s="549"/>
      <c r="H66" s="549"/>
      <c r="I66" s="549"/>
      <c r="J66" s="549"/>
      <c r="K66" s="549"/>
      <c r="L66" s="549"/>
      <c r="M66" s="550"/>
      <c r="N66" s="306" t="s">
        <v>7</v>
      </c>
      <c r="O66" s="372"/>
    </row>
    <row r="67" spans="4:15" ht="42" customHeight="1" thickBot="1" x14ac:dyDescent="0.25">
      <c r="D67" s="284" t="s">
        <v>79</v>
      </c>
      <c r="E67" s="626" t="str">
        <f>E2</f>
        <v>Candidat(e)
1</v>
      </c>
      <c r="F67" s="627" t="str">
        <f>F2</f>
        <v>Candidat(e)
2</v>
      </c>
      <c r="G67" s="628" t="str">
        <f t="shared" ref="G67:K67" si="6">G2</f>
        <v>Candidat(e)
3</v>
      </c>
      <c r="H67" s="629" t="str">
        <f t="shared" si="6"/>
        <v>Candidat(e)
4</v>
      </c>
      <c r="I67" s="630" t="str">
        <f t="shared" si="6"/>
        <v>Candidat(e)
5</v>
      </c>
      <c r="J67" s="631" t="str">
        <f t="shared" si="6"/>
        <v>Candidat(e)
6</v>
      </c>
      <c r="K67" s="632" t="str">
        <f t="shared" si="6"/>
        <v>Candidat(e)
7</v>
      </c>
      <c r="L67" s="322" t="s">
        <v>3</v>
      </c>
      <c r="M67" s="323" t="s">
        <v>4</v>
      </c>
      <c r="N67" s="313" t="s">
        <v>101</v>
      </c>
      <c r="O67" s="372"/>
    </row>
    <row r="68" spans="4:15" ht="20.100000000000001" customHeight="1" x14ac:dyDescent="0.2">
      <c r="D68" s="198" t="s">
        <v>78</v>
      </c>
      <c r="E68" s="191"/>
      <c r="F68" s="191"/>
      <c r="G68" s="191"/>
      <c r="H68" s="191"/>
      <c r="I68" s="191"/>
      <c r="J68" s="191"/>
      <c r="K68" s="192"/>
      <c r="L68" s="194"/>
      <c r="M68" s="193"/>
      <c r="N68" s="310">
        <f>SUM(E68:M68)</f>
        <v>0</v>
      </c>
      <c r="O68" s="372"/>
    </row>
    <row r="69" spans="4:15" ht="20.100000000000001" customHeight="1" x14ac:dyDescent="0.2">
      <c r="D69" s="196" t="s">
        <v>78</v>
      </c>
      <c r="E69" s="136"/>
      <c r="F69" s="136"/>
      <c r="G69" s="136"/>
      <c r="H69" s="136"/>
      <c r="I69" s="136"/>
      <c r="J69" s="136"/>
      <c r="K69" s="137"/>
      <c r="L69" s="139"/>
      <c r="M69" s="138"/>
      <c r="N69" s="244">
        <f>SUM(E69:M69)</f>
        <v>0</v>
      </c>
      <c r="O69" s="372"/>
    </row>
    <row r="70" spans="4:15" ht="20.100000000000001" customHeight="1" x14ac:dyDescent="0.2">
      <c r="D70" s="196" t="s">
        <v>78</v>
      </c>
      <c r="E70" s="136"/>
      <c r="F70" s="136"/>
      <c r="G70" s="136"/>
      <c r="H70" s="136"/>
      <c r="I70" s="136"/>
      <c r="J70" s="136"/>
      <c r="K70" s="137"/>
      <c r="L70" s="139"/>
      <c r="M70" s="138"/>
      <c r="N70" s="244">
        <f>SUM(E70:M70)</f>
        <v>0</v>
      </c>
      <c r="O70" s="372"/>
    </row>
    <row r="71" spans="4:15" ht="20.100000000000001" customHeight="1" x14ac:dyDescent="0.2">
      <c r="D71" s="196" t="s">
        <v>78</v>
      </c>
      <c r="E71" s="136"/>
      <c r="F71" s="136"/>
      <c r="G71" s="136"/>
      <c r="H71" s="136"/>
      <c r="I71" s="136"/>
      <c r="J71" s="136"/>
      <c r="K71" s="137"/>
      <c r="L71" s="139"/>
      <c r="M71" s="138"/>
      <c r="N71" s="244">
        <f>SUM(E71:M71)</f>
        <v>0</v>
      </c>
      <c r="O71" s="372"/>
    </row>
    <row r="72" spans="4:15" ht="20.100000000000001" customHeight="1" thickBot="1" x14ac:dyDescent="0.25">
      <c r="D72" s="197" t="s">
        <v>78</v>
      </c>
      <c r="E72" s="140"/>
      <c r="F72" s="140"/>
      <c r="G72" s="140"/>
      <c r="H72" s="140"/>
      <c r="I72" s="140"/>
      <c r="J72" s="140"/>
      <c r="K72" s="141"/>
      <c r="L72" s="143"/>
      <c r="M72" s="142"/>
      <c r="N72" s="311">
        <f>SUM(E72:M72)</f>
        <v>0</v>
      </c>
      <c r="O72" s="372"/>
    </row>
    <row r="73" spans="4:15" ht="20.100000000000001" customHeight="1" x14ac:dyDescent="0.2">
      <c r="D73" s="190"/>
      <c r="E73" s="188"/>
      <c r="F73" s="188"/>
      <c r="G73" s="188"/>
      <c r="H73" s="188"/>
      <c r="I73" s="188"/>
      <c r="J73" s="188"/>
      <c r="K73" s="188"/>
      <c r="L73" s="188"/>
      <c r="M73" s="188"/>
      <c r="O73" s="372"/>
    </row>
    <row r="74" spans="4:15" ht="20.100000000000001" customHeight="1" x14ac:dyDescent="0.2">
      <c r="D74" s="190"/>
      <c r="E74" s="188"/>
      <c r="F74" s="188"/>
      <c r="G74" s="188"/>
      <c r="H74" s="188"/>
      <c r="I74" s="188"/>
      <c r="J74" s="188"/>
      <c r="K74" s="188"/>
      <c r="L74" s="188"/>
      <c r="M74" s="188"/>
      <c r="O74" s="372"/>
    </row>
    <row r="75" spans="4:15" ht="20.100000000000001" customHeight="1" thickBot="1" x14ac:dyDescent="0.25">
      <c r="D75" s="190"/>
      <c r="E75" s="188"/>
      <c r="F75" s="188"/>
      <c r="G75" s="188"/>
      <c r="H75" s="188"/>
      <c r="I75" s="188"/>
      <c r="J75" s="188"/>
      <c r="K75" s="188"/>
      <c r="L75" s="188"/>
      <c r="M75" s="188"/>
      <c r="O75" s="372"/>
    </row>
    <row r="76" spans="4:15" ht="20.100000000000001" customHeight="1" thickBot="1" x14ac:dyDescent="0.25">
      <c r="D76" s="189" t="s">
        <v>81</v>
      </c>
      <c r="E76" s="548" t="s">
        <v>119</v>
      </c>
      <c r="F76" s="549"/>
      <c r="G76" s="549"/>
      <c r="H76" s="549"/>
      <c r="I76" s="549"/>
      <c r="J76" s="549"/>
      <c r="K76" s="549"/>
      <c r="L76" s="549"/>
      <c r="M76" s="550"/>
      <c r="N76" s="312" t="s">
        <v>7</v>
      </c>
      <c r="O76" s="372"/>
    </row>
    <row r="77" spans="4:15" ht="39.75" customHeight="1" thickBot="1" x14ac:dyDescent="0.25">
      <c r="D77" s="284" t="s">
        <v>79</v>
      </c>
      <c r="E77" s="626" t="str">
        <f>E2</f>
        <v>Candidat(e)
1</v>
      </c>
      <c r="F77" s="627" t="str">
        <f>F2</f>
        <v>Candidat(e)
2</v>
      </c>
      <c r="G77" s="628" t="str">
        <f t="shared" ref="G77:K77" si="7">G2</f>
        <v>Candidat(e)
3</v>
      </c>
      <c r="H77" s="629" t="str">
        <f t="shared" si="7"/>
        <v>Candidat(e)
4</v>
      </c>
      <c r="I77" s="630" t="str">
        <f t="shared" si="7"/>
        <v>Candidat(e)
5</v>
      </c>
      <c r="J77" s="631" t="str">
        <f t="shared" si="7"/>
        <v>Candidat(e)
6</v>
      </c>
      <c r="K77" s="632" t="str">
        <f t="shared" si="7"/>
        <v>Candidat(e)
7</v>
      </c>
      <c r="L77" s="322" t="s">
        <v>3</v>
      </c>
      <c r="M77" s="323" t="s">
        <v>4</v>
      </c>
      <c r="N77" s="309" t="s">
        <v>101</v>
      </c>
      <c r="O77" s="372"/>
    </row>
    <row r="78" spans="4:15" ht="20.100000000000001" customHeight="1" x14ac:dyDescent="0.2">
      <c r="D78" s="198" t="s">
        <v>78</v>
      </c>
      <c r="E78" s="191"/>
      <c r="F78" s="191"/>
      <c r="G78" s="191"/>
      <c r="H78" s="191"/>
      <c r="I78" s="191"/>
      <c r="J78" s="191"/>
      <c r="K78" s="192"/>
      <c r="L78" s="194"/>
      <c r="M78" s="193"/>
      <c r="N78" s="310">
        <f>SUM(E78:M78)</f>
        <v>0</v>
      </c>
      <c r="O78" s="372"/>
    </row>
    <row r="79" spans="4:15" ht="20.100000000000001" customHeight="1" x14ac:dyDescent="0.2">
      <c r="D79" s="196" t="s">
        <v>78</v>
      </c>
      <c r="E79" s="136"/>
      <c r="F79" s="136"/>
      <c r="G79" s="136"/>
      <c r="H79" s="136"/>
      <c r="I79" s="136"/>
      <c r="J79" s="136"/>
      <c r="K79" s="137"/>
      <c r="L79" s="139"/>
      <c r="M79" s="138"/>
      <c r="N79" s="244">
        <f>SUM(E79:M79)</f>
        <v>0</v>
      </c>
      <c r="O79" s="372"/>
    </row>
    <row r="80" spans="4:15" ht="20.100000000000001" customHeight="1" thickBot="1" x14ac:dyDescent="0.25">
      <c r="D80" s="197" t="s">
        <v>78</v>
      </c>
      <c r="E80" s="140"/>
      <c r="F80" s="140"/>
      <c r="G80" s="140"/>
      <c r="H80" s="140"/>
      <c r="I80" s="140"/>
      <c r="J80" s="140"/>
      <c r="K80" s="141"/>
      <c r="L80" s="143"/>
      <c r="M80" s="142"/>
      <c r="N80" s="311">
        <f>SUM(E80:M80)</f>
        <v>0</v>
      </c>
      <c r="O80" s="372"/>
    </row>
    <row r="81" spans="4:15" ht="20.100000000000001" customHeight="1" x14ac:dyDescent="0.2">
      <c r="D81" s="190"/>
      <c r="E81" s="188"/>
      <c r="F81" s="188"/>
      <c r="G81" s="188"/>
      <c r="H81" s="188"/>
      <c r="I81" s="188"/>
      <c r="J81" s="188"/>
      <c r="K81" s="188"/>
      <c r="L81" s="188"/>
      <c r="M81" s="188"/>
      <c r="N81" s="195"/>
      <c r="O81" s="372"/>
    </row>
    <row r="82" spans="4:15" ht="20.100000000000001" customHeight="1" x14ac:dyDescent="0.2">
      <c r="D82" s="190"/>
      <c r="E82" s="188"/>
      <c r="F82" s="188"/>
      <c r="G82" s="188"/>
      <c r="H82" s="188"/>
      <c r="I82" s="188"/>
      <c r="J82" s="188"/>
      <c r="K82" s="188"/>
      <c r="L82" s="188"/>
      <c r="M82" s="188"/>
      <c r="N82" s="195"/>
      <c r="O82" s="372"/>
    </row>
  </sheetData>
  <sheetProtection algorithmName="SHA-512" hashValue="npjmIzJ/EKuB1zePoyb12036t+IrFfptO+V6oUV3xK7bBabjfgH+NChegcii2pWE+IAt5J/77Qvh5w2eXdfJ2w==" saltValue="DElvKVgbv7y/1iwsXJ9RHw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86" priority="1" operator="equal">
      <formula>0</formula>
    </cfRule>
    <cfRule type="cellIs" dxfId="85" priority="6" operator="notEqual">
      <formula>$B$7</formula>
    </cfRule>
  </conditionalFormatting>
  <conditionalFormatting sqref="E3:N12">
    <cfRule type="cellIs" dxfId="84" priority="5" operator="notBetween">
      <formula>0</formula>
      <formula>100</formula>
    </cfRule>
  </conditionalFormatting>
  <conditionalFormatting sqref="E3:N14">
    <cfRule type="cellIs" dxfId="83" priority="8" operator="lessThan">
      <formula>0</formula>
    </cfRule>
  </conditionalFormatting>
  <conditionalFormatting sqref="E14:N14">
    <cfRule type="cellIs" dxfId="82" priority="11" operator="greaterThan">
      <formula>1</formula>
    </cfRule>
  </conditionalFormatting>
  <conditionalFormatting sqref="N3:N13">
    <cfRule type="cellIs" dxfId="81" priority="9" operator="equal">
      <formula>0</formula>
    </cfRule>
  </conditionalFormatting>
  <conditionalFormatting sqref="N13">
    <cfRule type="cellIs" dxfId="80" priority="13" operator="equal">
      <formula>$B$7</formula>
    </cfRule>
  </conditionalFormatting>
  <conditionalFormatting sqref="N14">
    <cfRule type="cellIs" dxfId="79" priority="10" operator="equal">
      <formula>1</formula>
    </cfRule>
    <cfRule type="cellIs" dxfId="78" priority="12" operator="lessThan">
      <formula>1</formula>
    </cfRule>
  </conditionalFormatting>
  <conditionalFormatting sqref="R4:R15">
    <cfRule type="cellIs" dxfId="77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76" priority="3">
      <formula>AND(E50&lt;MAX(E$50:E50), NOT(ISBLANK(E50)), NOT(E50=0))</formula>
    </cfRule>
  </conditionalFormatting>
  <conditionalFormatting sqref="E68:M72">
    <cfRule type="expression" dxfId="75" priority="2">
      <formula>AND(E68&lt;MAX(E$68:E68), NOT(ISBLANK(E68)), NOT(E68=0))</formula>
    </cfRule>
  </conditionalFormatting>
  <conditionalFormatting sqref="E78:M80">
    <cfRule type="expression" dxfId="74" priority="14">
      <formula>AND(E78&lt;MAX(E$78:E78), NOT(ISBLANK(E78)), NOT(E78=0))</formula>
    </cfRule>
  </conditionalFormatting>
  <conditionalFormatting sqref="N3:N12">
    <cfRule type="expression" dxfId="73" priority="15">
      <formula>AND($D3=$E$24, N3=$D$25)</formula>
    </cfRule>
    <cfRule type="expression" dxfId="72" priority="16">
      <formula>AND($D3=$E$24, MOD(N3,100)&gt;$D$25)</formula>
    </cfRule>
    <cfRule type="cellIs" dxfId="71" priority="17" operator="equal">
      <formula>100</formula>
    </cfRule>
  </conditionalFormatting>
  <conditionalFormatting sqref="E3:M12">
    <cfRule type="expression" dxfId="70" priority="18">
      <formula>($D3&lt;=$E$24)</formula>
    </cfRule>
  </conditionalFormatting>
  <conditionalFormatting sqref="D3:M12">
    <cfRule type="expression" dxfId="69" priority="19">
      <formula>($D3&gt;$E$24)</formula>
    </cfRule>
  </conditionalFormatting>
  <conditionalFormatting sqref="E50:M59 E68:M72 E78:M80">
    <cfRule type="cellIs" dxfId="68" priority="20" operator="notBetween">
      <formula>0</formula>
      <formula>$B$7</formula>
    </cfRule>
    <cfRule type="expression" dxfId="67" priority="21">
      <formula>($D50&lt;=$E$24)</formula>
    </cfRule>
    <cfRule type="expression" dxfId="66" priority="22">
      <formula>($D50&gt;$E$24)</formula>
    </cfRule>
  </conditionalFormatting>
  <conditionalFormatting sqref="N50 N68:N72 N78:N80 N52:N59">
    <cfRule type="cellIs" dxfId="65" priority="23" operator="lessThan">
      <formula>0</formula>
    </cfRule>
    <cfRule type="cellIs" dxfId="64" priority="24" operator="equal">
      <formula>0</formula>
    </cfRule>
    <cfRule type="expression" dxfId="63" priority="25">
      <formula>OR(MOD($N50,100)=0,AND($D50=$E$24,MOD($N50,100)=$D$25))</formula>
    </cfRule>
  </conditionalFormatting>
  <conditionalFormatting sqref="N51">
    <cfRule type="cellIs" dxfId="62" priority="26" operator="notBetween">
      <formula>0</formula>
      <formula>$B$7</formula>
    </cfRule>
    <cfRule type="cellIs" dxfId="61" priority="27" operator="equal">
      <formula>0</formula>
    </cfRule>
    <cfRule type="expression" dxfId="60" priority="28">
      <formula>OR(MOD($N51,100)=0,AND($D51=$E$24,MOD($N51,100)=$D$25))</formula>
    </cfRule>
  </conditionalFormatting>
  <conditionalFormatting sqref="Q4:Q15">
    <cfRule type="expression" dxfId="59" priority="29">
      <formula>AND($Q4&lt;$Q3, NOT(ISBLANK($Q4)))</formula>
    </cfRule>
    <cfRule type="cellIs" dxfId="58" priority="30" operator="greaterThan">
      <formula>$B$6</formula>
    </cfRule>
  </conditionalFormatting>
  <dataValidations count="2">
    <dataValidation type="list" allowBlank="1" showInputMessage="1" showErrorMessage="1" sqref="C50:C59" xr:uid="{9081DB91-08DF-4A54-8C17-970B4C909087}">
      <formula1>$D$19:$D$21</formula1>
    </dataValidation>
    <dataValidation type="list" allowBlank="1" showInputMessage="1" showErrorMessage="1" sqref="D68:D72 D78:D82 D50:D59" xr:uid="{4639ED14-BFAD-4F56-B68F-548B884997B7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F0C30-E5CA-4D31-B9BD-5E6624CFD5E8}">
  <sheetPr codeName="Feuil53">
    <tabColor rgb="FFB4A7D6"/>
  </sheetPr>
  <dimension ref="A1:V82"/>
  <sheetViews>
    <sheetView zoomScale="80" zoomScaleNormal="80" workbookViewId="0">
      <selection activeCell="Q4" sqref="Q4"/>
    </sheetView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24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357" t="s">
        <v>11</v>
      </c>
      <c r="B1" s="363">
        <f>Synthèse!$B$17</f>
        <v>46103</v>
      </c>
      <c r="D1" s="243"/>
      <c r="E1" s="551" t="s">
        <v>120</v>
      </c>
      <c r="F1" s="552"/>
      <c r="G1" s="552"/>
      <c r="H1" s="552"/>
      <c r="I1" s="552"/>
      <c r="J1" s="552"/>
      <c r="K1" s="552"/>
      <c r="L1" s="552"/>
      <c r="M1" s="553"/>
      <c r="N1" s="316" t="s">
        <v>7</v>
      </c>
      <c r="O1" s="372"/>
    </row>
    <row r="2" spans="1:22" ht="45" customHeight="1" thickBot="1" x14ac:dyDescent="0.25">
      <c r="A2" s="358" t="s">
        <v>12</v>
      </c>
      <c r="B2" s="364" t="str">
        <f>Synthèse!$B$18</f>
        <v>Municipales 2ème tour</v>
      </c>
      <c r="D2" s="280" t="s">
        <v>80</v>
      </c>
      <c r="E2" s="619" t="str">
        <f>Synthèse!L2</f>
        <v>Candidat(e)
1</v>
      </c>
      <c r="F2" s="620" t="str">
        <f>Synthèse!M2</f>
        <v>Candidat(e)
2</v>
      </c>
      <c r="G2" s="621" t="str">
        <f>Synthèse!N2</f>
        <v>Candidat(e)
3</v>
      </c>
      <c r="H2" s="622" t="str">
        <f>Synthèse!O2</f>
        <v>Candidat(e)
4</v>
      </c>
      <c r="I2" s="623" t="str">
        <f>Synthèse!P2</f>
        <v>Candidat(e)
5</v>
      </c>
      <c r="J2" s="624" t="str">
        <f>Synthèse!Q2</f>
        <v>Candidat(e)
6</v>
      </c>
      <c r="K2" s="625" t="str">
        <f>Synthèse!R2</f>
        <v>Candidat(e)
7</v>
      </c>
      <c r="L2" s="320" t="s">
        <v>3</v>
      </c>
      <c r="M2" s="321" t="s">
        <v>4</v>
      </c>
      <c r="N2" s="317" t="s">
        <v>102</v>
      </c>
      <c r="O2" s="372"/>
      <c r="P2" s="367" t="s">
        <v>21</v>
      </c>
      <c r="Q2" s="293" t="s">
        <v>56</v>
      </c>
      <c r="R2" s="294" t="s">
        <v>30</v>
      </c>
      <c r="T2" s="295" t="s">
        <v>58</v>
      </c>
      <c r="U2" s="295" t="s">
        <v>57</v>
      </c>
    </row>
    <row r="3" spans="1:22" ht="20.100000000000001" customHeight="1" thickBot="1" x14ac:dyDescent="0.25">
      <c r="A3" s="359" t="s">
        <v>13</v>
      </c>
      <c r="B3" s="365" t="str">
        <f>Synthèse!$B$19</f>
        <v>Cogolin</v>
      </c>
      <c r="D3" s="277" t="str" cm="1">
        <f t="array" ref="D3">IF(ROW(1:1)&lt;=$E$24, (ROW(1:1)), "")</f>
        <v/>
      </c>
      <c r="E3" s="113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3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13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13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13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13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13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28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2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44">
        <f t="shared" ref="N3:N13" si="0">SUM(E3:M3)</f>
        <v>0</v>
      </c>
      <c r="O3" s="372"/>
      <c r="P3" s="368" t="s">
        <v>31</v>
      </c>
      <c r="Q3" s="269">
        <v>0</v>
      </c>
      <c r="R3" s="270">
        <f>Q3/$B$6</f>
        <v>0</v>
      </c>
      <c r="T3" s="256"/>
      <c r="U3" s="256"/>
    </row>
    <row r="4" spans="1:22" ht="20.100000000000001" customHeight="1" x14ac:dyDescent="0.2">
      <c r="A4" s="65" t="s">
        <v>22</v>
      </c>
      <c r="B4" s="375">
        <v>11</v>
      </c>
      <c r="D4" s="278" t="str" cm="1">
        <f t="array" ref="D4">IF(ROW(2:2)&lt;=$E$24, (ROW(2:2)), "")</f>
        <v/>
      </c>
      <c r="E4" s="114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4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4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14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14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14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15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1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4">
        <f t="shared" si="0"/>
        <v>0</v>
      </c>
      <c r="O4" s="372"/>
      <c r="P4" s="369" t="s">
        <v>32</v>
      </c>
      <c r="Q4" s="324"/>
      <c r="R4" s="273" t="e">
        <f t="shared" ref="R4:R13" si="1">IF(OR(Q4=0, Q4=""), NA(), Q4/$B$6)</f>
        <v>#N/A</v>
      </c>
      <c r="T4" s="251" t="s">
        <v>44</v>
      </c>
      <c r="U4" s="296" t="e">
        <f t="shared" ref="U4:U13" si="2">IF(Q4&lt;&gt;0,Q4-Q3,NA())</f>
        <v>#N/A</v>
      </c>
    </row>
    <row r="5" spans="1:22" ht="20.100000000000001" customHeight="1" x14ac:dyDescent="0.2">
      <c r="A5" s="66" t="s">
        <v>23</v>
      </c>
      <c r="B5" s="376" t="str">
        <f>INDEX(Synthèse!B:B,B4+2)</f>
        <v>CMM</v>
      </c>
      <c r="D5" s="278" t="str" cm="1">
        <f t="array" ref="D5">IF(ROW(3:3)&lt;=$E$24, (ROW(3:3)), "")</f>
        <v/>
      </c>
      <c r="E5" s="114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4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14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14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14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14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14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3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31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4">
        <f t="shared" si="0"/>
        <v>0</v>
      </c>
      <c r="O5" s="373"/>
      <c r="P5" s="369" t="s">
        <v>33</v>
      </c>
      <c r="Q5" s="324"/>
      <c r="R5" s="273" t="e">
        <f t="shared" si="1"/>
        <v>#N/A</v>
      </c>
      <c r="T5" s="252" t="s">
        <v>45</v>
      </c>
      <c r="U5" s="297" t="e">
        <f t="shared" si="2"/>
        <v>#N/A</v>
      </c>
    </row>
    <row r="6" spans="1:22" ht="20.100000000000001" customHeight="1" x14ac:dyDescent="0.2">
      <c r="A6" s="66" t="s">
        <v>0</v>
      </c>
      <c r="B6" s="144">
        <f>INDEX(Synthèse!C:C,B4+2)</f>
        <v>691</v>
      </c>
      <c r="D6" s="278" t="str" cm="1">
        <f t="array" ref="D6">IF(ROW(4:4)&lt;=$E$24, (ROW(4:4)), "")</f>
        <v/>
      </c>
      <c r="E6" s="114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4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14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14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14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14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14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3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31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4">
        <f t="shared" si="0"/>
        <v>0</v>
      </c>
      <c r="O6" s="373"/>
      <c r="P6" s="369" t="s">
        <v>34</v>
      </c>
      <c r="Q6" s="324"/>
      <c r="R6" s="273" t="e">
        <f t="shared" si="1"/>
        <v>#N/A</v>
      </c>
      <c r="T6" s="252" t="s">
        <v>46</v>
      </c>
      <c r="U6" s="297" t="e">
        <f t="shared" si="2"/>
        <v>#N/A</v>
      </c>
    </row>
    <row r="7" spans="1:22" ht="20.100000000000001" customHeight="1" x14ac:dyDescent="0.2">
      <c r="A7" s="66" t="s">
        <v>2</v>
      </c>
      <c r="B7" s="123">
        <f>MAX(Q4:Q15)</f>
        <v>0</v>
      </c>
      <c r="D7" s="278" t="str" cm="1">
        <f t="array" ref="D7">IF(ROW(5:5)&lt;=$E$24, (ROW(5:5)), "")</f>
        <v/>
      </c>
      <c r="E7" s="114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4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4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14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14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14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15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1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4">
        <f t="shared" si="0"/>
        <v>0</v>
      </c>
      <c r="O7" s="373"/>
      <c r="P7" s="369" t="s">
        <v>35</v>
      </c>
      <c r="Q7" s="324"/>
      <c r="R7" s="273" t="e">
        <f t="shared" si="1"/>
        <v>#N/A</v>
      </c>
      <c r="T7" s="252" t="s">
        <v>53</v>
      </c>
      <c r="U7" s="297" t="e">
        <f t="shared" si="2"/>
        <v>#N/A</v>
      </c>
    </row>
    <row r="8" spans="1:22" ht="20.100000000000001" customHeight="1" x14ac:dyDescent="0.2">
      <c r="A8" s="66" t="s">
        <v>1</v>
      </c>
      <c r="B8" s="124"/>
      <c r="D8" s="278" t="str" cm="1">
        <f t="array" ref="D8">IF(ROW(6:6)&lt;=$E$24, (ROW(6:6)), "")</f>
        <v/>
      </c>
      <c r="E8" s="114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4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4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14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14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14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15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1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4">
        <f t="shared" si="0"/>
        <v>0</v>
      </c>
      <c r="O8" s="373"/>
      <c r="P8" s="369" t="s">
        <v>36</v>
      </c>
      <c r="Q8" s="324"/>
      <c r="R8" s="273" t="e">
        <f t="shared" si="1"/>
        <v>#N/A</v>
      </c>
      <c r="T8" s="252" t="s">
        <v>47</v>
      </c>
      <c r="U8" s="297" t="e">
        <f t="shared" si="2"/>
        <v>#N/A</v>
      </c>
    </row>
    <row r="9" spans="1:22" ht="20.100000000000001" customHeight="1" thickBot="1" x14ac:dyDescent="0.25">
      <c r="A9" s="67" t="s">
        <v>17</v>
      </c>
      <c r="B9" s="125">
        <f>B6-B7</f>
        <v>691</v>
      </c>
      <c r="D9" s="278" t="str" cm="1">
        <f t="array" ref="D9">IF(ROW(7:7)&lt;=$E$24, (ROW(7:7)), "")</f>
        <v/>
      </c>
      <c r="E9" s="114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4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4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14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14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14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17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18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4">
        <f t="shared" si="0"/>
        <v>0</v>
      </c>
      <c r="O9" s="373"/>
      <c r="P9" s="369" t="s">
        <v>37</v>
      </c>
      <c r="Q9" s="324"/>
      <c r="R9" s="273" t="e">
        <f t="shared" si="1"/>
        <v>#N/A</v>
      </c>
      <c r="T9" s="252" t="s">
        <v>48</v>
      </c>
      <c r="U9" s="297" t="e">
        <f t="shared" si="2"/>
        <v>#N/A</v>
      </c>
    </row>
    <row r="10" spans="1:22" ht="20.100000000000001" customHeight="1" x14ac:dyDescent="0.2">
      <c r="A10" s="554" t="s">
        <v>59</v>
      </c>
      <c r="B10" s="554"/>
      <c r="D10" s="278" t="str" cm="1">
        <f t="array" ref="D10">IF(ROW(8:8)&lt;=$E$24, (ROW(8:8)), "")</f>
        <v/>
      </c>
      <c r="E10" s="114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4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4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14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14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14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17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18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4">
        <f t="shared" si="0"/>
        <v>0</v>
      </c>
      <c r="O10" s="373"/>
      <c r="P10" s="369" t="s">
        <v>38</v>
      </c>
      <c r="Q10" s="324"/>
      <c r="R10" s="273" t="e">
        <f t="shared" si="1"/>
        <v>#N/A</v>
      </c>
      <c r="T10" s="252" t="s">
        <v>49</v>
      </c>
      <c r="U10" s="297" t="e">
        <f t="shared" si="2"/>
        <v>#N/A</v>
      </c>
    </row>
    <row r="11" spans="1:22" ht="20.100000000000001" customHeight="1" x14ac:dyDescent="0.2">
      <c r="A11" s="555"/>
      <c r="B11" s="555"/>
      <c r="D11" s="278" t="str" cm="1">
        <f t="array" ref="D11">IF(ROW(9:9)&lt;=$E$24, (ROW(9:9)), "")</f>
        <v/>
      </c>
      <c r="E11" s="114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4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4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14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14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14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17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18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4">
        <f t="shared" si="0"/>
        <v>0</v>
      </c>
      <c r="O11" s="373"/>
      <c r="P11" s="369" t="s">
        <v>39</v>
      </c>
      <c r="Q11" s="324"/>
      <c r="R11" s="273" t="e">
        <f t="shared" si="1"/>
        <v>#N/A</v>
      </c>
      <c r="T11" s="252" t="s">
        <v>50</v>
      </c>
      <c r="U11" s="297" t="e">
        <f t="shared" si="2"/>
        <v>#N/A</v>
      </c>
    </row>
    <row r="12" spans="1:22" ht="20.100000000000001" customHeight="1" thickBot="1" x14ac:dyDescent="0.25">
      <c r="A12" s="556" t="s">
        <v>60</v>
      </c>
      <c r="B12" s="556"/>
      <c r="D12" s="279" t="str" cm="1">
        <f t="array" ref="D12">IF(ROW(10:10)&lt;=$E$24, (ROW(10:10)), "")</f>
        <v/>
      </c>
      <c r="E12" s="114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4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14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14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14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14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14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32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33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4">
        <f t="shared" si="0"/>
        <v>0</v>
      </c>
      <c r="O12" s="373"/>
      <c r="P12" s="369" t="s">
        <v>40</v>
      </c>
      <c r="Q12" s="324"/>
      <c r="R12" s="273" t="e">
        <f t="shared" si="1"/>
        <v>#N/A</v>
      </c>
      <c r="T12" s="252" t="s">
        <v>51</v>
      </c>
      <c r="U12" s="297" t="e">
        <f t="shared" si="2"/>
        <v>#N/A</v>
      </c>
    </row>
    <row r="13" spans="1:22" ht="20.100000000000001" customHeight="1" thickBot="1" x14ac:dyDescent="0.3">
      <c r="A13" s="556"/>
      <c r="B13" s="556"/>
      <c r="D13" s="35" t="s">
        <v>9</v>
      </c>
      <c r="E13" s="119">
        <f>SUM(E3:E12)</f>
        <v>0</v>
      </c>
      <c r="F13" s="497">
        <f>SUM(F3:F12)</f>
        <v>0</v>
      </c>
      <c r="G13" s="497">
        <f>SUM(G3:G12)</f>
        <v>0</v>
      </c>
      <c r="H13" s="497">
        <f>SUM(H3:H12)</f>
        <v>0</v>
      </c>
      <c r="I13" s="497">
        <f>SUM(I3:I12)</f>
        <v>0</v>
      </c>
      <c r="J13" s="497">
        <f>SUM(J3:J12)</f>
        <v>0</v>
      </c>
      <c r="K13" s="120">
        <f>SUM(K3:K12)</f>
        <v>0</v>
      </c>
      <c r="L13" s="121">
        <f>SUM(L3:L12)</f>
        <v>0</v>
      </c>
      <c r="M13" s="122">
        <f>SUM(M3:M12)</f>
        <v>0</v>
      </c>
      <c r="N13" s="355">
        <f t="shared" si="0"/>
        <v>0</v>
      </c>
      <c r="O13" s="373"/>
      <c r="P13" s="369" t="s">
        <v>41</v>
      </c>
      <c r="Q13" s="324"/>
      <c r="R13" s="273" t="e">
        <f t="shared" si="1"/>
        <v>#N/A</v>
      </c>
      <c r="T13" s="253" t="s">
        <v>52</v>
      </c>
      <c r="U13" s="298" t="e">
        <f t="shared" si="2"/>
        <v>#N/A</v>
      </c>
    </row>
    <row r="14" spans="1:22" ht="20.100000000000001" customHeight="1" thickBot="1" x14ac:dyDescent="0.3">
      <c r="A14" s="556"/>
      <c r="B14" s="556"/>
      <c r="D14" s="60" t="s">
        <v>10</v>
      </c>
      <c r="E14" s="32">
        <f t="shared" ref="E14:N14" si="3">IFERROR(E13/$B$7,0)</f>
        <v>0</v>
      </c>
      <c r="F14" s="498">
        <f t="shared" si="3"/>
        <v>0</v>
      </c>
      <c r="G14" s="498">
        <f t="shared" si="3"/>
        <v>0</v>
      </c>
      <c r="H14" s="498">
        <f t="shared" si="3"/>
        <v>0</v>
      </c>
      <c r="I14" s="498">
        <f t="shared" si="3"/>
        <v>0</v>
      </c>
      <c r="J14" s="498">
        <f t="shared" si="3"/>
        <v>0</v>
      </c>
      <c r="K14" s="33">
        <f t="shared" si="3"/>
        <v>0</v>
      </c>
      <c r="L14" s="32">
        <f t="shared" si="3"/>
        <v>0</v>
      </c>
      <c r="M14" s="34">
        <f t="shared" si="3"/>
        <v>0</v>
      </c>
      <c r="N14" s="356">
        <f t="shared" si="3"/>
        <v>0</v>
      </c>
      <c r="O14" s="372"/>
      <c r="P14" s="370" t="s">
        <v>42</v>
      </c>
      <c r="Q14" s="325"/>
      <c r="R14" s="275" t="e">
        <f>IF(OR(Q14=0, Q14=""), NA(), Q14/$B$6)</f>
        <v>#N/A</v>
      </c>
      <c r="S14" s="300"/>
      <c r="T14" s="304" t="s">
        <v>54</v>
      </c>
      <c r="U14" s="299" t="e">
        <f>IF(Q14&lt;&gt;0,Q14-Q13,NA())</f>
        <v>#N/A</v>
      </c>
      <c r="V14" s="300"/>
    </row>
    <row r="15" spans="1:22" ht="18" customHeight="1" thickBot="1" x14ac:dyDescent="0.25">
      <c r="A15" s="558" t="s">
        <v>66</v>
      </c>
      <c r="B15" s="558"/>
      <c r="C15" s="1"/>
      <c r="D15" s="1"/>
      <c r="N15" s="254"/>
      <c r="O15" s="372"/>
      <c r="P15" s="371" t="s">
        <v>43</v>
      </c>
      <c r="Q15" s="326"/>
      <c r="R15" s="301" t="e">
        <f>IF(OR(Q15=0, Q15=""), NA(), Q15/$B$6)</f>
        <v>#N/A</v>
      </c>
      <c r="T15" s="305" t="s">
        <v>55</v>
      </c>
      <c r="U15" s="303" t="e">
        <f>IF(Q15&lt;&gt;0,Q15-Q14,NA())</f>
        <v>#N/A</v>
      </c>
      <c r="V15" s="300"/>
    </row>
    <row r="16" spans="1:22" ht="12.75" customHeight="1" x14ac:dyDescent="0.2">
      <c r="A16" s="558"/>
      <c r="B16" s="558"/>
      <c r="O16" s="372"/>
      <c r="P16" s="254"/>
      <c r="Q16" s="254"/>
      <c r="R16" s="254"/>
      <c r="U16" s="254"/>
    </row>
    <row r="17" spans="1:15" ht="18" customHeight="1" x14ac:dyDescent="0.25">
      <c r="A17" s="558"/>
      <c r="B17" s="558"/>
      <c r="E17" s="185"/>
      <c r="F17" s="185"/>
      <c r="G17" s="185"/>
      <c r="H17" s="185"/>
      <c r="I17" s="185"/>
      <c r="J17" s="185"/>
      <c r="O17" s="372"/>
    </row>
    <row r="18" spans="1:15" ht="26.25" customHeight="1" x14ac:dyDescent="0.2">
      <c r="A18" s="558"/>
      <c r="B18" s="558"/>
      <c r="D18" s="353" t="s">
        <v>63</v>
      </c>
      <c r="O18" s="372"/>
    </row>
    <row r="19" spans="1:15" x14ac:dyDescent="0.2">
      <c r="D19" s="354">
        <f>IF((ROW()-23)&lt;=$E$25,(ROW()-23),"Choisir")</f>
        <v>-4</v>
      </c>
      <c r="O19" s="372"/>
    </row>
    <row r="20" spans="1:15" x14ac:dyDescent="0.2">
      <c r="D20" s="354">
        <f>IF((ROW()-23)&lt;=$E$25,(ROW()-23),"Choisir")</f>
        <v>-3</v>
      </c>
      <c r="O20" s="372"/>
    </row>
    <row r="21" spans="1:15" x14ac:dyDescent="0.2">
      <c r="D21" s="354">
        <f>IF((ROW()-23)&lt;=$E$25,(ROW()-23),"Choisir")</f>
        <v>-2</v>
      </c>
      <c r="O21" s="372"/>
    </row>
    <row r="22" spans="1:15" x14ac:dyDescent="0.2">
      <c r="D22" s="354">
        <f>IF((ROW()-23)&lt;=$E$25,(ROW()-23),"Choisir")</f>
        <v>-1</v>
      </c>
      <c r="O22" s="372"/>
    </row>
    <row r="23" spans="1:15" x14ac:dyDescent="0.2">
      <c r="O23" s="372"/>
    </row>
    <row r="24" spans="1:15" x14ac:dyDescent="0.2">
      <c r="D24" s="199">
        <f>CEILING($B$6, 100)/100</f>
        <v>7</v>
      </c>
      <c r="E24" s="335">
        <f>CEILING($B$7,100)/100</f>
        <v>0</v>
      </c>
      <c r="F24" s="335"/>
      <c r="G24" s="335"/>
      <c r="H24" s="335"/>
      <c r="I24" s="335"/>
      <c r="J24" s="335"/>
      <c r="O24" s="372"/>
    </row>
    <row r="25" spans="1:15" x14ac:dyDescent="0.2">
      <c r="D25" s="199">
        <f>MOD($B$7,100)</f>
        <v>0</v>
      </c>
      <c r="E25" s="200">
        <f>CEILING($B$6/300,1)</f>
        <v>3</v>
      </c>
      <c r="F25" s="200"/>
      <c r="G25" s="200"/>
      <c r="H25" s="200"/>
      <c r="I25" s="200"/>
      <c r="J25" s="200"/>
      <c r="O25" s="372"/>
    </row>
    <row r="26" spans="1:15" x14ac:dyDescent="0.2">
      <c r="O26" s="372"/>
    </row>
    <row r="27" spans="1:15" x14ac:dyDescent="0.2">
      <c r="O27" s="372"/>
    </row>
    <row r="28" spans="1:15" x14ac:dyDescent="0.2">
      <c r="O28" s="372"/>
    </row>
    <row r="29" spans="1:15" x14ac:dyDescent="0.2">
      <c r="O29" s="372"/>
    </row>
    <row r="30" spans="1:15" x14ac:dyDescent="0.2">
      <c r="O30" s="372"/>
    </row>
    <row r="31" spans="1:15" x14ac:dyDescent="0.2">
      <c r="O31" s="372"/>
    </row>
    <row r="32" spans="1:15" x14ac:dyDescent="0.2">
      <c r="O32" s="372"/>
    </row>
    <row r="33" spans="1:15" x14ac:dyDescent="0.2">
      <c r="O33" s="372"/>
    </row>
    <row r="34" spans="1:15" x14ac:dyDescent="0.2">
      <c r="O34" s="372"/>
    </row>
    <row r="35" spans="1:15" x14ac:dyDescent="0.2">
      <c r="O35" s="372"/>
    </row>
    <row r="36" spans="1:15" x14ac:dyDescent="0.2">
      <c r="O36" s="372"/>
    </row>
    <row r="37" spans="1:15" x14ac:dyDescent="0.2">
      <c r="O37" s="372"/>
    </row>
    <row r="38" spans="1:15" x14ac:dyDescent="0.2">
      <c r="O38" s="372"/>
    </row>
    <row r="39" spans="1:15" x14ac:dyDescent="0.2">
      <c r="O39" s="372"/>
    </row>
    <row r="40" spans="1:15" x14ac:dyDescent="0.2">
      <c r="O40" s="372"/>
    </row>
    <row r="41" spans="1:15" x14ac:dyDescent="0.2">
      <c r="O41" s="372"/>
    </row>
    <row r="42" spans="1:15" x14ac:dyDescent="0.2">
      <c r="O42" s="372"/>
    </row>
    <row r="43" spans="1:15" ht="13.5" thickBot="1" x14ac:dyDescent="0.25">
      <c r="A43" s="366"/>
      <c r="B43" s="366"/>
      <c r="C43" s="366"/>
      <c r="D43" s="366"/>
      <c r="E43" s="366"/>
      <c r="F43" s="366"/>
      <c r="G43" s="366"/>
      <c r="H43" s="366"/>
      <c r="I43" s="366"/>
      <c r="J43" s="366"/>
      <c r="K43" s="366"/>
      <c r="L43" s="366"/>
      <c r="M43" s="366"/>
      <c r="N43" s="366"/>
      <c r="O43" s="374"/>
    </row>
    <row r="44" spans="1:15" ht="13.5" thickTop="1" x14ac:dyDescent="0.2">
      <c r="O44" s="372"/>
    </row>
    <row r="45" spans="1:15" x14ac:dyDescent="0.2">
      <c r="O45" s="372"/>
    </row>
    <row r="46" spans="1:15" x14ac:dyDescent="0.2">
      <c r="E46" s="126"/>
      <c r="F46" s="126"/>
      <c r="G46" s="126"/>
      <c r="H46" s="126"/>
      <c r="I46" s="126"/>
      <c r="J46" s="126"/>
      <c r="O46" s="372"/>
    </row>
    <row r="47" spans="1:15" ht="13.5" thickBot="1" x14ac:dyDescent="0.25">
      <c r="E47" s="126"/>
      <c r="F47" s="126"/>
      <c r="G47" s="126"/>
      <c r="H47" s="126"/>
      <c r="I47" s="126"/>
      <c r="J47" s="126"/>
      <c r="O47" s="372"/>
    </row>
    <row r="48" spans="1:15" ht="20.100000000000001" customHeight="1" thickBot="1" x14ac:dyDescent="0.25">
      <c r="D48" s="189" t="s">
        <v>76</v>
      </c>
      <c r="E48" s="548" t="s">
        <v>117</v>
      </c>
      <c r="F48" s="549"/>
      <c r="G48" s="549"/>
      <c r="H48" s="549"/>
      <c r="I48" s="549"/>
      <c r="J48" s="549"/>
      <c r="K48" s="549"/>
      <c r="L48" s="549"/>
      <c r="M48" s="550"/>
      <c r="N48" s="306" t="s">
        <v>7</v>
      </c>
      <c r="O48" s="372"/>
    </row>
    <row r="49" spans="3:15" ht="47.25" customHeight="1" thickBot="1" x14ac:dyDescent="0.25">
      <c r="C49" s="187"/>
      <c r="D49" s="284" t="s">
        <v>79</v>
      </c>
      <c r="E49" s="626" t="str">
        <f>E2</f>
        <v>Candidat(e)
1</v>
      </c>
      <c r="F49" s="627" t="str">
        <f>F2</f>
        <v>Candidat(e)
2</v>
      </c>
      <c r="G49" s="628" t="str">
        <f t="shared" ref="G49:K49" si="4">G2</f>
        <v>Candidat(e)
3</v>
      </c>
      <c r="H49" s="629" t="str">
        <f t="shared" si="4"/>
        <v>Candidat(e)
4</v>
      </c>
      <c r="I49" s="630" t="str">
        <f t="shared" si="4"/>
        <v>Candidat(e)
5</v>
      </c>
      <c r="J49" s="631" t="str">
        <f t="shared" si="4"/>
        <v>Candidat(e)
6</v>
      </c>
      <c r="K49" s="632" t="str">
        <f t="shared" si="4"/>
        <v>Candidat(e)
7</v>
      </c>
      <c r="L49" s="322" t="s">
        <v>3</v>
      </c>
      <c r="M49" s="323" t="s">
        <v>4</v>
      </c>
      <c r="N49" s="308" t="s">
        <v>101</v>
      </c>
      <c r="O49" s="372"/>
    </row>
    <row r="50" spans="3:15" ht="19.5" customHeight="1" x14ac:dyDescent="0.2">
      <c r="C50" s="188"/>
      <c r="D50" s="283" t="s">
        <v>78</v>
      </c>
      <c r="E50" s="246"/>
      <c r="F50" s="246"/>
      <c r="G50" s="246"/>
      <c r="H50" s="246"/>
      <c r="I50" s="246"/>
      <c r="J50" s="246"/>
      <c r="K50" s="247"/>
      <c r="L50" s="249"/>
      <c r="M50" s="248"/>
      <c r="N50" s="307">
        <f t="shared" ref="N50:N59" si="5">SUM(E50:M50)</f>
        <v>0</v>
      </c>
      <c r="O50" s="372"/>
    </row>
    <row r="51" spans="3:15" ht="20.100000000000001" customHeight="1" x14ac:dyDescent="0.2">
      <c r="C51" s="188"/>
      <c r="D51" s="283" t="s">
        <v>78</v>
      </c>
      <c r="E51" s="246"/>
      <c r="F51" s="246"/>
      <c r="G51" s="246"/>
      <c r="H51" s="246"/>
      <c r="I51" s="246"/>
      <c r="J51" s="246"/>
      <c r="K51" s="247"/>
      <c r="L51" s="249"/>
      <c r="M51" s="248"/>
      <c r="N51" s="307">
        <f t="shared" si="5"/>
        <v>0</v>
      </c>
      <c r="O51" s="372"/>
    </row>
    <row r="52" spans="3:15" ht="20.100000000000001" customHeight="1" x14ac:dyDescent="0.2">
      <c r="C52" s="188"/>
      <c r="D52" s="283" t="s">
        <v>78</v>
      </c>
      <c r="E52" s="246"/>
      <c r="F52" s="246"/>
      <c r="G52" s="246"/>
      <c r="H52" s="246"/>
      <c r="I52" s="246"/>
      <c r="J52" s="246"/>
      <c r="K52" s="247"/>
      <c r="L52" s="249"/>
      <c r="M52" s="248"/>
      <c r="N52" s="307">
        <f t="shared" si="5"/>
        <v>0</v>
      </c>
      <c r="O52" s="372"/>
    </row>
    <row r="53" spans="3:15" ht="20.100000000000001" customHeight="1" x14ac:dyDescent="0.2">
      <c r="C53" s="188"/>
      <c r="D53" s="283" t="s">
        <v>78</v>
      </c>
      <c r="E53" s="246"/>
      <c r="F53" s="246"/>
      <c r="G53" s="246"/>
      <c r="H53" s="246"/>
      <c r="I53" s="246"/>
      <c r="J53" s="246"/>
      <c r="K53" s="247"/>
      <c r="L53" s="249"/>
      <c r="M53" s="248"/>
      <c r="N53" s="307">
        <f t="shared" si="5"/>
        <v>0</v>
      </c>
      <c r="O53" s="372"/>
    </row>
    <row r="54" spans="3:15" ht="20.100000000000001" customHeight="1" x14ac:dyDescent="0.2">
      <c r="C54" s="188"/>
      <c r="D54" s="283" t="s">
        <v>78</v>
      </c>
      <c r="E54" s="246"/>
      <c r="F54" s="246"/>
      <c r="G54" s="246"/>
      <c r="H54" s="246"/>
      <c r="I54" s="246"/>
      <c r="J54" s="246"/>
      <c r="K54" s="247"/>
      <c r="L54" s="249"/>
      <c r="M54" s="248"/>
      <c r="N54" s="307">
        <f t="shared" si="5"/>
        <v>0</v>
      </c>
      <c r="O54" s="372"/>
    </row>
    <row r="55" spans="3:15" ht="20.100000000000001" customHeight="1" x14ac:dyDescent="0.2">
      <c r="C55" s="188"/>
      <c r="D55" s="283" t="s">
        <v>78</v>
      </c>
      <c r="E55" s="246"/>
      <c r="F55" s="246"/>
      <c r="G55" s="246"/>
      <c r="H55" s="246"/>
      <c r="I55" s="246"/>
      <c r="J55" s="246"/>
      <c r="K55" s="247"/>
      <c r="L55" s="249"/>
      <c r="M55" s="248"/>
      <c r="N55" s="307">
        <f t="shared" si="5"/>
        <v>0</v>
      </c>
      <c r="O55" s="372"/>
    </row>
    <row r="56" spans="3:15" ht="20.100000000000001" customHeight="1" x14ac:dyDescent="0.2">
      <c r="C56" s="188"/>
      <c r="D56" s="283" t="s">
        <v>78</v>
      </c>
      <c r="E56" s="246"/>
      <c r="F56" s="246"/>
      <c r="G56" s="246"/>
      <c r="H56" s="246"/>
      <c r="I56" s="246"/>
      <c r="J56" s="246"/>
      <c r="K56" s="247"/>
      <c r="L56" s="249"/>
      <c r="M56" s="248"/>
      <c r="N56" s="307">
        <f t="shared" si="5"/>
        <v>0</v>
      </c>
      <c r="O56" s="372"/>
    </row>
    <row r="57" spans="3:15" ht="20.100000000000001" customHeight="1" x14ac:dyDescent="0.2">
      <c r="C57" s="188"/>
      <c r="D57" s="283" t="s">
        <v>78</v>
      </c>
      <c r="E57" s="246"/>
      <c r="F57" s="246"/>
      <c r="G57" s="246"/>
      <c r="H57" s="246"/>
      <c r="I57" s="246"/>
      <c r="J57" s="246"/>
      <c r="K57" s="247"/>
      <c r="L57" s="249"/>
      <c r="M57" s="248"/>
      <c r="N57" s="307">
        <f t="shared" si="5"/>
        <v>0</v>
      </c>
      <c r="O57" s="372"/>
    </row>
    <row r="58" spans="3:15" ht="20.100000000000001" customHeight="1" x14ac:dyDescent="0.2">
      <c r="C58" s="188"/>
      <c r="D58" s="283" t="s">
        <v>78</v>
      </c>
      <c r="E58" s="246"/>
      <c r="F58" s="246"/>
      <c r="G58" s="246"/>
      <c r="H58" s="246"/>
      <c r="I58" s="246"/>
      <c r="J58" s="246"/>
      <c r="K58" s="247"/>
      <c r="L58" s="249"/>
      <c r="M58" s="248"/>
      <c r="N58" s="307">
        <f t="shared" si="5"/>
        <v>0</v>
      </c>
      <c r="O58" s="372"/>
    </row>
    <row r="59" spans="3:15" ht="20.100000000000001" customHeight="1" thickBot="1" x14ac:dyDescent="0.25">
      <c r="C59" s="188"/>
      <c r="D59" s="287" t="s">
        <v>78</v>
      </c>
      <c r="E59" s="288"/>
      <c r="F59" s="288"/>
      <c r="G59" s="288"/>
      <c r="H59" s="288"/>
      <c r="I59" s="288"/>
      <c r="J59" s="288"/>
      <c r="K59" s="289"/>
      <c r="L59" s="291"/>
      <c r="M59" s="290"/>
      <c r="N59" s="307">
        <f t="shared" si="5"/>
        <v>0</v>
      </c>
      <c r="O59" s="372"/>
    </row>
    <row r="60" spans="3:15" x14ac:dyDescent="0.2">
      <c r="N60" s="254"/>
      <c r="O60" s="372"/>
    </row>
    <row r="61" spans="3:15" x14ac:dyDescent="0.2">
      <c r="O61" s="372"/>
    </row>
    <row r="62" spans="3:15" x14ac:dyDescent="0.2">
      <c r="O62" s="372"/>
    </row>
    <row r="63" spans="3:15" ht="18" x14ac:dyDescent="0.25">
      <c r="E63" s="185"/>
      <c r="F63" s="185"/>
      <c r="G63" s="185"/>
      <c r="H63" s="185"/>
      <c r="I63" s="185"/>
      <c r="J63" s="185"/>
      <c r="O63" s="372"/>
    </row>
    <row r="64" spans="3:15" x14ac:dyDescent="0.2">
      <c r="O64" s="372"/>
    </row>
    <row r="65" spans="4:15" ht="13.5" thickBot="1" x14ac:dyDescent="0.25">
      <c r="O65" s="372"/>
    </row>
    <row r="66" spans="4:15" ht="16.5" customHeight="1" thickBot="1" x14ac:dyDescent="0.25">
      <c r="D66" s="189" t="s">
        <v>77</v>
      </c>
      <c r="E66" s="548" t="s">
        <v>118</v>
      </c>
      <c r="F66" s="549"/>
      <c r="G66" s="549"/>
      <c r="H66" s="549"/>
      <c r="I66" s="549"/>
      <c r="J66" s="549"/>
      <c r="K66" s="549"/>
      <c r="L66" s="549"/>
      <c r="M66" s="550"/>
      <c r="N66" s="306" t="s">
        <v>7</v>
      </c>
      <c r="O66" s="372"/>
    </row>
    <row r="67" spans="4:15" ht="42" customHeight="1" thickBot="1" x14ac:dyDescent="0.25">
      <c r="D67" s="284" t="s">
        <v>79</v>
      </c>
      <c r="E67" s="626" t="str">
        <f>E2</f>
        <v>Candidat(e)
1</v>
      </c>
      <c r="F67" s="627" t="str">
        <f>F2</f>
        <v>Candidat(e)
2</v>
      </c>
      <c r="G67" s="628" t="str">
        <f t="shared" ref="G67:K67" si="6">G2</f>
        <v>Candidat(e)
3</v>
      </c>
      <c r="H67" s="629" t="str">
        <f t="shared" si="6"/>
        <v>Candidat(e)
4</v>
      </c>
      <c r="I67" s="630" t="str">
        <f t="shared" si="6"/>
        <v>Candidat(e)
5</v>
      </c>
      <c r="J67" s="631" t="str">
        <f t="shared" si="6"/>
        <v>Candidat(e)
6</v>
      </c>
      <c r="K67" s="632" t="str">
        <f t="shared" si="6"/>
        <v>Candidat(e)
7</v>
      </c>
      <c r="L67" s="322" t="s">
        <v>3</v>
      </c>
      <c r="M67" s="323" t="s">
        <v>4</v>
      </c>
      <c r="N67" s="313" t="s">
        <v>101</v>
      </c>
      <c r="O67" s="372"/>
    </row>
    <row r="68" spans="4:15" ht="20.100000000000001" customHeight="1" x14ac:dyDescent="0.2">
      <c r="D68" s="198" t="s">
        <v>78</v>
      </c>
      <c r="E68" s="191"/>
      <c r="F68" s="191"/>
      <c r="G68" s="191"/>
      <c r="H68" s="191"/>
      <c r="I68" s="191"/>
      <c r="J68" s="191"/>
      <c r="K68" s="192"/>
      <c r="L68" s="194"/>
      <c r="M68" s="193"/>
      <c r="N68" s="310">
        <f>SUM(E68:M68)</f>
        <v>0</v>
      </c>
      <c r="O68" s="372"/>
    </row>
    <row r="69" spans="4:15" ht="20.100000000000001" customHeight="1" x14ac:dyDescent="0.2">
      <c r="D69" s="196" t="s">
        <v>78</v>
      </c>
      <c r="E69" s="136"/>
      <c r="F69" s="136"/>
      <c r="G69" s="136"/>
      <c r="H69" s="136"/>
      <c r="I69" s="136"/>
      <c r="J69" s="136"/>
      <c r="K69" s="137"/>
      <c r="L69" s="139"/>
      <c r="M69" s="138"/>
      <c r="N69" s="244">
        <f>SUM(E69:M69)</f>
        <v>0</v>
      </c>
      <c r="O69" s="372"/>
    </row>
    <row r="70" spans="4:15" ht="20.100000000000001" customHeight="1" x14ac:dyDescent="0.2">
      <c r="D70" s="196" t="s">
        <v>78</v>
      </c>
      <c r="E70" s="136"/>
      <c r="F70" s="136"/>
      <c r="G70" s="136"/>
      <c r="H70" s="136"/>
      <c r="I70" s="136"/>
      <c r="J70" s="136"/>
      <c r="K70" s="137"/>
      <c r="L70" s="139"/>
      <c r="M70" s="138"/>
      <c r="N70" s="244">
        <f>SUM(E70:M70)</f>
        <v>0</v>
      </c>
      <c r="O70" s="372"/>
    </row>
    <row r="71" spans="4:15" ht="20.100000000000001" customHeight="1" x14ac:dyDescent="0.2">
      <c r="D71" s="196" t="s">
        <v>78</v>
      </c>
      <c r="E71" s="136"/>
      <c r="F71" s="136"/>
      <c r="G71" s="136"/>
      <c r="H71" s="136"/>
      <c r="I71" s="136"/>
      <c r="J71" s="136"/>
      <c r="K71" s="137"/>
      <c r="L71" s="139"/>
      <c r="M71" s="138"/>
      <c r="N71" s="244">
        <f>SUM(E71:M71)</f>
        <v>0</v>
      </c>
      <c r="O71" s="372"/>
    </row>
    <row r="72" spans="4:15" ht="20.100000000000001" customHeight="1" thickBot="1" x14ac:dyDescent="0.25">
      <c r="D72" s="197" t="s">
        <v>78</v>
      </c>
      <c r="E72" s="140"/>
      <c r="F72" s="140"/>
      <c r="G72" s="140"/>
      <c r="H72" s="140"/>
      <c r="I72" s="140"/>
      <c r="J72" s="140"/>
      <c r="K72" s="141"/>
      <c r="L72" s="143"/>
      <c r="M72" s="142"/>
      <c r="N72" s="311">
        <f>SUM(E72:M72)</f>
        <v>0</v>
      </c>
      <c r="O72" s="372"/>
    </row>
    <row r="73" spans="4:15" ht="20.100000000000001" customHeight="1" x14ac:dyDescent="0.2">
      <c r="D73" s="190"/>
      <c r="E73" s="188"/>
      <c r="F73" s="188"/>
      <c r="G73" s="188"/>
      <c r="H73" s="188"/>
      <c r="I73" s="188"/>
      <c r="J73" s="188"/>
      <c r="K73" s="188"/>
      <c r="L73" s="188"/>
      <c r="M73" s="188"/>
      <c r="O73" s="372"/>
    </row>
    <row r="74" spans="4:15" ht="20.100000000000001" customHeight="1" x14ac:dyDescent="0.2">
      <c r="D74" s="190"/>
      <c r="E74" s="188"/>
      <c r="F74" s="188"/>
      <c r="G74" s="188"/>
      <c r="H74" s="188"/>
      <c r="I74" s="188"/>
      <c r="J74" s="188"/>
      <c r="K74" s="188"/>
      <c r="L74" s="188"/>
      <c r="M74" s="188"/>
      <c r="O74" s="372"/>
    </row>
    <row r="75" spans="4:15" ht="20.100000000000001" customHeight="1" thickBot="1" x14ac:dyDescent="0.25">
      <c r="D75" s="190"/>
      <c r="E75" s="188"/>
      <c r="F75" s="188"/>
      <c r="G75" s="188"/>
      <c r="H75" s="188"/>
      <c r="I75" s="188"/>
      <c r="J75" s="188"/>
      <c r="K75" s="188"/>
      <c r="L75" s="188"/>
      <c r="M75" s="188"/>
      <c r="O75" s="372"/>
    </row>
    <row r="76" spans="4:15" ht="20.100000000000001" customHeight="1" thickBot="1" x14ac:dyDescent="0.25">
      <c r="D76" s="189" t="s">
        <v>81</v>
      </c>
      <c r="E76" s="548" t="s">
        <v>119</v>
      </c>
      <c r="F76" s="549"/>
      <c r="G76" s="549"/>
      <c r="H76" s="549"/>
      <c r="I76" s="549"/>
      <c r="J76" s="549"/>
      <c r="K76" s="549"/>
      <c r="L76" s="549"/>
      <c r="M76" s="550"/>
      <c r="N76" s="312" t="s">
        <v>7</v>
      </c>
      <c r="O76" s="372"/>
    </row>
    <row r="77" spans="4:15" ht="39.75" customHeight="1" thickBot="1" x14ac:dyDescent="0.25">
      <c r="D77" s="284" t="s">
        <v>79</v>
      </c>
      <c r="E77" s="626" t="str">
        <f>E2</f>
        <v>Candidat(e)
1</v>
      </c>
      <c r="F77" s="627" t="str">
        <f>F2</f>
        <v>Candidat(e)
2</v>
      </c>
      <c r="G77" s="628" t="str">
        <f t="shared" ref="G77:K77" si="7">G2</f>
        <v>Candidat(e)
3</v>
      </c>
      <c r="H77" s="629" t="str">
        <f t="shared" si="7"/>
        <v>Candidat(e)
4</v>
      </c>
      <c r="I77" s="630" t="str">
        <f t="shared" si="7"/>
        <v>Candidat(e)
5</v>
      </c>
      <c r="J77" s="631" t="str">
        <f t="shared" si="7"/>
        <v>Candidat(e)
6</v>
      </c>
      <c r="K77" s="632" t="str">
        <f t="shared" si="7"/>
        <v>Candidat(e)
7</v>
      </c>
      <c r="L77" s="322" t="s">
        <v>3</v>
      </c>
      <c r="M77" s="323" t="s">
        <v>4</v>
      </c>
      <c r="N77" s="309" t="s">
        <v>101</v>
      </c>
      <c r="O77" s="372"/>
    </row>
    <row r="78" spans="4:15" ht="20.100000000000001" customHeight="1" x14ac:dyDescent="0.2">
      <c r="D78" s="198" t="s">
        <v>78</v>
      </c>
      <c r="E78" s="191"/>
      <c r="F78" s="191"/>
      <c r="G78" s="191"/>
      <c r="H78" s="191"/>
      <c r="I78" s="191"/>
      <c r="J78" s="191"/>
      <c r="K78" s="192"/>
      <c r="L78" s="194"/>
      <c r="M78" s="193"/>
      <c r="N78" s="310">
        <f>SUM(E78:M78)</f>
        <v>0</v>
      </c>
      <c r="O78" s="372"/>
    </row>
    <row r="79" spans="4:15" ht="20.100000000000001" customHeight="1" x14ac:dyDescent="0.2">
      <c r="D79" s="196" t="s">
        <v>78</v>
      </c>
      <c r="E79" s="136"/>
      <c r="F79" s="136"/>
      <c r="G79" s="136"/>
      <c r="H79" s="136"/>
      <c r="I79" s="136"/>
      <c r="J79" s="136"/>
      <c r="K79" s="137"/>
      <c r="L79" s="139"/>
      <c r="M79" s="138"/>
      <c r="N79" s="244">
        <f>SUM(E79:M79)</f>
        <v>0</v>
      </c>
      <c r="O79" s="372"/>
    </row>
    <row r="80" spans="4:15" ht="20.100000000000001" customHeight="1" thickBot="1" x14ac:dyDescent="0.25">
      <c r="D80" s="197" t="s">
        <v>78</v>
      </c>
      <c r="E80" s="140"/>
      <c r="F80" s="140"/>
      <c r="G80" s="140"/>
      <c r="H80" s="140"/>
      <c r="I80" s="140"/>
      <c r="J80" s="140"/>
      <c r="K80" s="141"/>
      <c r="L80" s="143"/>
      <c r="M80" s="142"/>
      <c r="N80" s="311">
        <f>SUM(E80:M80)</f>
        <v>0</v>
      </c>
      <c r="O80" s="372"/>
    </row>
    <row r="81" spans="4:15" ht="20.100000000000001" customHeight="1" x14ac:dyDescent="0.2">
      <c r="D81" s="190"/>
      <c r="E81" s="188"/>
      <c r="F81" s="188"/>
      <c r="G81" s="188"/>
      <c r="H81" s="188"/>
      <c r="I81" s="188"/>
      <c r="J81" s="188"/>
      <c r="K81" s="188"/>
      <c r="L81" s="188"/>
      <c r="M81" s="188"/>
      <c r="N81" s="195"/>
      <c r="O81" s="372"/>
    </row>
    <row r="82" spans="4:15" ht="20.100000000000001" customHeight="1" x14ac:dyDescent="0.2">
      <c r="D82" s="190"/>
      <c r="E82" s="188"/>
      <c r="F82" s="188"/>
      <c r="G82" s="188"/>
      <c r="H82" s="188"/>
      <c r="I82" s="188"/>
      <c r="J82" s="188"/>
      <c r="K82" s="188"/>
      <c r="L82" s="188"/>
      <c r="M82" s="188"/>
      <c r="N82" s="195"/>
      <c r="O82" s="372"/>
    </row>
  </sheetData>
  <sheetProtection algorithmName="SHA-512" hashValue="a6jY/rU5nVk+icqaF/oXCA841icB9xjNQQuXo0vGCbEPB4pj50b7Sptmhxiar2LrGMR/PTROeN0hWEyXIP6MOg==" saltValue="gUDeRiLcr2RRpcqn647oRA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57" priority="1" operator="equal">
      <formula>0</formula>
    </cfRule>
    <cfRule type="cellIs" dxfId="56" priority="6" operator="notEqual">
      <formula>$B$7</formula>
    </cfRule>
  </conditionalFormatting>
  <conditionalFormatting sqref="E3:N12">
    <cfRule type="cellIs" dxfId="55" priority="5" operator="notBetween">
      <formula>0</formula>
      <formula>100</formula>
    </cfRule>
  </conditionalFormatting>
  <conditionalFormatting sqref="E3:N14">
    <cfRule type="cellIs" dxfId="54" priority="8" operator="lessThan">
      <formula>0</formula>
    </cfRule>
  </conditionalFormatting>
  <conditionalFormatting sqref="E14:N14">
    <cfRule type="cellIs" dxfId="53" priority="11" operator="greaterThan">
      <formula>1</formula>
    </cfRule>
  </conditionalFormatting>
  <conditionalFormatting sqref="N3:N13">
    <cfRule type="cellIs" dxfId="52" priority="9" operator="equal">
      <formula>0</formula>
    </cfRule>
  </conditionalFormatting>
  <conditionalFormatting sqref="N13">
    <cfRule type="cellIs" dxfId="51" priority="13" operator="equal">
      <formula>$B$7</formula>
    </cfRule>
  </conditionalFormatting>
  <conditionalFormatting sqref="N14">
    <cfRule type="cellIs" dxfId="50" priority="10" operator="equal">
      <formula>1</formula>
    </cfRule>
    <cfRule type="cellIs" dxfId="49" priority="12" operator="lessThan">
      <formula>1</formula>
    </cfRule>
  </conditionalFormatting>
  <conditionalFormatting sqref="R4:R15">
    <cfRule type="cellIs" dxfId="48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47" priority="3">
      <formula>AND(E50&lt;MAX(E$50:E50), NOT(ISBLANK(E50)), NOT(E50=0))</formula>
    </cfRule>
  </conditionalFormatting>
  <conditionalFormatting sqref="E68:M72">
    <cfRule type="expression" dxfId="46" priority="2">
      <formula>AND(E68&lt;MAX(E$68:E68), NOT(ISBLANK(E68)), NOT(E68=0))</formula>
    </cfRule>
  </conditionalFormatting>
  <conditionalFormatting sqref="E78:M80">
    <cfRule type="expression" dxfId="45" priority="14">
      <formula>AND(E78&lt;MAX(E$78:E78), NOT(ISBLANK(E78)), NOT(E78=0))</formula>
    </cfRule>
  </conditionalFormatting>
  <conditionalFormatting sqref="N3:N12">
    <cfRule type="expression" dxfId="44" priority="15">
      <formula>AND($D3=$E$24, N3=$D$25)</formula>
    </cfRule>
    <cfRule type="expression" dxfId="43" priority="16">
      <formula>AND($D3=$E$24, MOD(N3,100)&gt;$D$25)</formula>
    </cfRule>
    <cfRule type="cellIs" dxfId="42" priority="17" operator="equal">
      <formula>100</formula>
    </cfRule>
  </conditionalFormatting>
  <conditionalFormatting sqref="E3:M12">
    <cfRule type="expression" dxfId="41" priority="18">
      <formula>($D3&lt;=$E$24)</formula>
    </cfRule>
  </conditionalFormatting>
  <conditionalFormatting sqref="D3:M12">
    <cfRule type="expression" dxfId="40" priority="19">
      <formula>($D3&gt;$E$24)</formula>
    </cfRule>
  </conditionalFormatting>
  <conditionalFormatting sqref="E50:M59 E68:M72 E78:M80">
    <cfRule type="cellIs" dxfId="39" priority="20" operator="notBetween">
      <formula>0</formula>
      <formula>$B$7</formula>
    </cfRule>
    <cfRule type="expression" dxfId="38" priority="21">
      <formula>($D50&lt;=$E$24)</formula>
    </cfRule>
    <cfRule type="expression" dxfId="37" priority="22">
      <formula>($D50&gt;$E$24)</formula>
    </cfRule>
  </conditionalFormatting>
  <conditionalFormatting sqref="N50 N68:N72 N78:N80 N52:N59">
    <cfRule type="cellIs" dxfId="36" priority="23" operator="lessThan">
      <formula>0</formula>
    </cfRule>
    <cfRule type="cellIs" dxfId="35" priority="24" operator="equal">
      <formula>0</formula>
    </cfRule>
    <cfRule type="expression" dxfId="34" priority="25">
      <formula>OR(MOD($N50,100)=0,AND($D50=$E$24,MOD($N50,100)=$D$25))</formula>
    </cfRule>
  </conditionalFormatting>
  <conditionalFormatting sqref="N51">
    <cfRule type="cellIs" dxfId="33" priority="26" operator="notBetween">
      <formula>0</formula>
      <formula>$B$7</formula>
    </cfRule>
    <cfRule type="cellIs" dxfId="32" priority="27" operator="equal">
      <formula>0</formula>
    </cfRule>
    <cfRule type="expression" dxfId="31" priority="28">
      <formula>OR(MOD($N51,100)=0,AND($D51=$E$24,MOD($N51,100)=$D$25))</formula>
    </cfRule>
  </conditionalFormatting>
  <conditionalFormatting sqref="Q4:Q15">
    <cfRule type="expression" dxfId="30" priority="29">
      <formula>AND($Q4&lt;$Q3, NOT(ISBLANK($Q4)))</formula>
    </cfRule>
    <cfRule type="cellIs" dxfId="29" priority="30" operator="greaterThan">
      <formula>$B$6</formula>
    </cfRule>
  </conditionalFormatting>
  <dataValidations count="2">
    <dataValidation type="list" allowBlank="1" showInputMessage="1" showErrorMessage="1" sqref="C50:C59" xr:uid="{68BE624E-E9EC-4ABE-AB15-5687165BFE23}">
      <formula1>$D$19:$D$21</formula1>
    </dataValidation>
    <dataValidation type="list" allowBlank="1" showInputMessage="1" showErrorMessage="1" sqref="D68:D72 D78:D82 D50:D59" xr:uid="{ABDE8F8F-D40D-4FB2-B0C5-FE4C5D80BD95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A4E18-C2CE-481C-A144-03A8DEF3C242}">
  <sheetPr codeName="Feuil54">
    <tabColor rgb="FFB4A7D6"/>
  </sheetPr>
  <dimension ref="A1:V82"/>
  <sheetViews>
    <sheetView zoomScale="80" zoomScaleNormal="80" workbookViewId="0">
      <selection activeCell="Q4" sqref="Q4"/>
    </sheetView>
  </sheetViews>
  <sheetFormatPr baseColWidth="10" defaultColWidth="11.42578125" defaultRowHeight="12.75" x14ac:dyDescent="0.2"/>
  <cols>
    <col min="1" max="1" width="15.85546875" customWidth="1"/>
    <col min="2" max="2" width="29.5703125" customWidth="1"/>
    <col min="3" max="3" width="3.140625" customWidth="1"/>
    <col min="4" max="4" width="13.7109375" customWidth="1"/>
    <col min="5" max="11" width="24" customWidth="1"/>
    <col min="14" max="14" width="12.85546875" customWidth="1"/>
    <col min="15" max="15" width="10.42578125" customWidth="1"/>
    <col min="16" max="16" width="15.42578125" customWidth="1"/>
    <col min="17" max="17" width="16.140625" customWidth="1"/>
    <col min="18" max="18" width="12" customWidth="1"/>
    <col min="20" max="20" width="13.28515625" customWidth="1"/>
    <col min="21" max="21" width="14.42578125" customWidth="1"/>
  </cols>
  <sheetData>
    <row r="1" spans="1:22" ht="16.5" customHeight="1" thickBot="1" x14ac:dyDescent="0.25">
      <c r="A1" s="357" t="s">
        <v>11</v>
      </c>
      <c r="B1" s="363">
        <f>Synthèse!$B$17</f>
        <v>46103</v>
      </c>
      <c r="D1" s="243"/>
      <c r="E1" s="551" t="s">
        <v>120</v>
      </c>
      <c r="F1" s="552"/>
      <c r="G1" s="552"/>
      <c r="H1" s="552"/>
      <c r="I1" s="552"/>
      <c r="J1" s="552"/>
      <c r="K1" s="552"/>
      <c r="L1" s="552"/>
      <c r="M1" s="553"/>
      <c r="N1" s="316" t="s">
        <v>7</v>
      </c>
      <c r="O1" s="372"/>
    </row>
    <row r="2" spans="1:22" ht="45" customHeight="1" thickBot="1" x14ac:dyDescent="0.25">
      <c r="A2" s="358" t="s">
        <v>12</v>
      </c>
      <c r="B2" s="364" t="str">
        <f>Synthèse!$B$18</f>
        <v>Municipales 2ème tour</v>
      </c>
      <c r="D2" s="280" t="s">
        <v>80</v>
      </c>
      <c r="E2" s="619" t="str">
        <f>Synthèse!L2</f>
        <v>Candidat(e)
1</v>
      </c>
      <c r="F2" s="620" t="str">
        <f>Synthèse!M2</f>
        <v>Candidat(e)
2</v>
      </c>
      <c r="G2" s="621" t="str">
        <f>Synthèse!N2</f>
        <v>Candidat(e)
3</v>
      </c>
      <c r="H2" s="622" t="str">
        <f>Synthèse!O2</f>
        <v>Candidat(e)
4</v>
      </c>
      <c r="I2" s="623" t="str">
        <f>Synthèse!P2</f>
        <v>Candidat(e)
5</v>
      </c>
      <c r="J2" s="624" t="str">
        <f>Synthèse!Q2</f>
        <v>Candidat(e)
6</v>
      </c>
      <c r="K2" s="625" t="str">
        <f>Synthèse!R2</f>
        <v>Candidat(e)
7</v>
      </c>
      <c r="L2" s="320" t="s">
        <v>3</v>
      </c>
      <c r="M2" s="321" t="s">
        <v>4</v>
      </c>
      <c r="N2" s="317" t="s">
        <v>102</v>
      </c>
      <c r="O2" s="372"/>
      <c r="P2" s="367" t="s">
        <v>21</v>
      </c>
      <c r="Q2" s="293" t="s">
        <v>56</v>
      </c>
      <c r="R2" s="294" t="s">
        <v>30</v>
      </c>
      <c r="T2" s="295" t="s">
        <v>58</v>
      </c>
      <c r="U2" s="295" t="s">
        <v>57</v>
      </c>
    </row>
    <row r="3" spans="1:22" ht="20.100000000000001" customHeight="1" thickBot="1" x14ac:dyDescent="0.25">
      <c r="A3" s="359" t="s">
        <v>13</v>
      </c>
      <c r="B3" s="365" t="str">
        <f>Synthèse!$B$19</f>
        <v>Cogolin</v>
      </c>
      <c r="D3" s="277" t="str" cm="1">
        <f t="array" ref="D3">IF(ROW(1:1)&lt;=$E$24, (ROW(1:1)), "")</f>
        <v/>
      </c>
      <c r="E3" s="113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113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113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113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113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113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113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128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12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44">
        <f t="shared" ref="N3:N13" si="0">SUM(E3:M3)</f>
        <v>0</v>
      </c>
      <c r="O3" s="372"/>
      <c r="P3" s="368" t="s">
        <v>31</v>
      </c>
      <c r="Q3" s="269">
        <v>0</v>
      </c>
      <c r="R3" s="270">
        <f>Q3/$B$6</f>
        <v>0</v>
      </c>
      <c r="T3" s="256"/>
      <c r="U3" s="256"/>
    </row>
    <row r="4" spans="1:22" ht="20.100000000000001" customHeight="1" x14ac:dyDescent="0.2">
      <c r="A4" s="65" t="s">
        <v>22</v>
      </c>
      <c r="B4" s="375">
        <v>12</v>
      </c>
      <c r="D4" s="278" t="str" cm="1">
        <f t="array" ref="D4">IF(ROW(2:2)&lt;=$E$24, (ROW(2:2)), "")</f>
        <v/>
      </c>
      <c r="E4" s="114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114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114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114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114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114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114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115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116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4">
        <f t="shared" si="0"/>
        <v>0</v>
      </c>
      <c r="O4" s="372"/>
      <c r="P4" s="369" t="s">
        <v>32</v>
      </c>
      <c r="Q4" s="324"/>
      <c r="R4" s="273" t="e">
        <f t="shared" ref="R4:R13" si="1">IF(OR(Q4=0, Q4=""), NA(), Q4/$B$6)</f>
        <v>#N/A</v>
      </c>
      <c r="T4" s="251" t="s">
        <v>44</v>
      </c>
      <c r="U4" s="296" t="e">
        <f t="shared" ref="U4:U13" si="2">IF(Q4&lt;&gt;0,Q4-Q3,NA())</f>
        <v>#N/A</v>
      </c>
    </row>
    <row r="5" spans="1:22" ht="20.100000000000001" customHeight="1" x14ac:dyDescent="0.2">
      <c r="A5" s="66" t="s">
        <v>23</v>
      </c>
      <c r="B5" s="376" t="str">
        <f>INDEX(Synthèse!B:B,B4+2)</f>
        <v>Base nautique</v>
      </c>
      <c r="D5" s="278" t="str" cm="1">
        <f t="array" ref="D5">IF(ROW(3:3)&lt;=$E$24, (ROW(3:3)), "")</f>
        <v/>
      </c>
      <c r="E5" s="114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114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114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114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114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114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114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13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131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4">
        <f t="shared" si="0"/>
        <v>0</v>
      </c>
      <c r="O5" s="373"/>
      <c r="P5" s="369" t="s">
        <v>33</v>
      </c>
      <c r="Q5" s="324"/>
      <c r="R5" s="273" t="e">
        <f t="shared" si="1"/>
        <v>#N/A</v>
      </c>
      <c r="T5" s="252" t="s">
        <v>45</v>
      </c>
      <c r="U5" s="297" t="e">
        <f t="shared" si="2"/>
        <v>#N/A</v>
      </c>
    </row>
    <row r="6" spans="1:22" ht="20.100000000000001" customHeight="1" x14ac:dyDescent="0.2">
      <c r="A6" s="66" t="s">
        <v>0</v>
      </c>
      <c r="B6" s="144">
        <f>INDEX(Synthèse!C:C,B4+2)</f>
        <v>680</v>
      </c>
      <c r="D6" s="278" t="str" cm="1">
        <f t="array" ref="D6">IF(ROW(4:4)&lt;=$E$24, (ROW(4:4)), "")</f>
        <v/>
      </c>
      <c r="E6" s="114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114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114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114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114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114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114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13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131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4">
        <f t="shared" si="0"/>
        <v>0</v>
      </c>
      <c r="O6" s="373"/>
      <c r="P6" s="369" t="s">
        <v>34</v>
      </c>
      <c r="Q6" s="324"/>
      <c r="R6" s="273" t="e">
        <f t="shared" si="1"/>
        <v>#N/A</v>
      </c>
      <c r="T6" s="252" t="s">
        <v>46</v>
      </c>
      <c r="U6" s="297" t="e">
        <f t="shared" si="2"/>
        <v>#N/A</v>
      </c>
    </row>
    <row r="7" spans="1:22" ht="20.100000000000001" customHeight="1" x14ac:dyDescent="0.2">
      <c r="A7" s="66" t="s">
        <v>2</v>
      </c>
      <c r="B7" s="123">
        <f>MAX(Q4:Q15)</f>
        <v>0</v>
      </c>
      <c r="D7" s="278" t="str" cm="1">
        <f t="array" ref="D7">IF(ROW(5:5)&lt;=$E$24, (ROW(5:5)), "")</f>
        <v/>
      </c>
      <c r="E7" s="114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114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114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114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114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114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114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115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116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4">
        <f t="shared" si="0"/>
        <v>0</v>
      </c>
      <c r="O7" s="373"/>
      <c r="P7" s="369" t="s">
        <v>35</v>
      </c>
      <c r="Q7" s="324"/>
      <c r="R7" s="273" t="e">
        <f t="shared" si="1"/>
        <v>#N/A</v>
      </c>
      <c r="T7" s="252" t="s">
        <v>53</v>
      </c>
      <c r="U7" s="297" t="e">
        <f t="shared" si="2"/>
        <v>#N/A</v>
      </c>
    </row>
    <row r="8" spans="1:22" ht="20.100000000000001" customHeight="1" x14ac:dyDescent="0.2">
      <c r="A8" s="66" t="s">
        <v>1</v>
      </c>
      <c r="B8" s="124"/>
      <c r="D8" s="278" t="str" cm="1">
        <f t="array" ref="D8">IF(ROW(6:6)&lt;=$E$24, (ROW(6:6)), "")</f>
        <v/>
      </c>
      <c r="E8" s="114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114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114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114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114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114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114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115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116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4">
        <f t="shared" si="0"/>
        <v>0</v>
      </c>
      <c r="O8" s="373"/>
      <c r="P8" s="369" t="s">
        <v>36</v>
      </c>
      <c r="Q8" s="324"/>
      <c r="R8" s="273" t="e">
        <f t="shared" si="1"/>
        <v>#N/A</v>
      </c>
      <c r="T8" s="252" t="s">
        <v>47</v>
      </c>
      <c r="U8" s="297" t="e">
        <f t="shared" si="2"/>
        <v>#N/A</v>
      </c>
    </row>
    <row r="9" spans="1:22" ht="20.100000000000001" customHeight="1" thickBot="1" x14ac:dyDescent="0.25">
      <c r="A9" s="67" t="s">
        <v>17</v>
      </c>
      <c r="B9" s="125">
        <f>B6-B7</f>
        <v>680</v>
      </c>
      <c r="D9" s="278" t="str" cm="1">
        <f t="array" ref="D9">IF(ROW(7:7)&lt;=$E$24, (ROW(7:7)), "")</f>
        <v/>
      </c>
      <c r="E9" s="114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114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114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114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114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114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114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117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118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4">
        <f t="shared" si="0"/>
        <v>0</v>
      </c>
      <c r="O9" s="373"/>
      <c r="P9" s="369" t="s">
        <v>37</v>
      </c>
      <c r="Q9" s="324"/>
      <c r="R9" s="273" t="e">
        <f t="shared" si="1"/>
        <v>#N/A</v>
      </c>
      <c r="T9" s="252" t="s">
        <v>48</v>
      </c>
      <c r="U9" s="297" t="e">
        <f t="shared" si="2"/>
        <v>#N/A</v>
      </c>
    </row>
    <row r="10" spans="1:22" ht="20.100000000000001" customHeight="1" x14ac:dyDescent="0.2">
      <c r="A10" s="554" t="s">
        <v>59</v>
      </c>
      <c r="B10" s="554"/>
      <c r="D10" s="278" t="str" cm="1">
        <f t="array" ref="D10">IF(ROW(8:8)&lt;=$E$24, (ROW(8:8)), "")</f>
        <v/>
      </c>
      <c r="E10" s="114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114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114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114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114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114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114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117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118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4">
        <f t="shared" si="0"/>
        <v>0</v>
      </c>
      <c r="O10" s="373"/>
      <c r="P10" s="369" t="s">
        <v>38</v>
      </c>
      <c r="Q10" s="324"/>
      <c r="R10" s="273" t="e">
        <f t="shared" si="1"/>
        <v>#N/A</v>
      </c>
      <c r="T10" s="252" t="s">
        <v>49</v>
      </c>
      <c r="U10" s="297" t="e">
        <f t="shared" si="2"/>
        <v>#N/A</v>
      </c>
    </row>
    <row r="11" spans="1:22" ht="20.100000000000001" customHeight="1" x14ac:dyDescent="0.2">
      <c r="A11" s="555"/>
      <c r="B11" s="555"/>
      <c r="D11" s="278" t="str" cm="1">
        <f t="array" ref="D11">IF(ROW(9:9)&lt;=$E$24, (ROW(9:9)), "")</f>
        <v/>
      </c>
      <c r="E11" s="114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114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114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114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114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114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114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117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118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4">
        <f t="shared" si="0"/>
        <v>0</v>
      </c>
      <c r="O11" s="373"/>
      <c r="P11" s="369" t="s">
        <v>39</v>
      </c>
      <c r="Q11" s="324"/>
      <c r="R11" s="273" t="e">
        <f t="shared" si="1"/>
        <v>#N/A</v>
      </c>
      <c r="T11" s="252" t="s">
        <v>50</v>
      </c>
      <c r="U11" s="297" t="e">
        <f t="shared" si="2"/>
        <v>#N/A</v>
      </c>
    </row>
    <row r="12" spans="1:22" ht="20.100000000000001" customHeight="1" thickBot="1" x14ac:dyDescent="0.25">
      <c r="A12" s="556" t="s">
        <v>60</v>
      </c>
      <c r="B12" s="556"/>
      <c r="D12" s="279" t="str" cm="1">
        <f t="array" ref="D12">IF(ROW(10:10)&lt;=$E$24, (ROW(10:10)), "")</f>
        <v/>
      </c>
      <c r="E12" s="114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114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114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114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114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114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114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132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133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4">
        <f t="shared" si="0"/>
        <v>0</v>
      </c>
      <c r="O12" s="373"/>
      <c r="P12" s="369" t="s">
        <v>40</v>
      </c>
      <c r="Q12" s="324"/>
      <c r="R12" s="273" t="e">
        <f t="shared" si="1"/>
        <v>#N/A</v>
      </c>
      <c r="T12" s="252" t="s">
        <v>51</v>
      </c>
      <c r="U12" s="297" t="e">
        <f t="shared" si="2"/>
        <v>#N/A</v>
      </c>
    </row>
    <row r="13" spans="1:22" ht="20.100000000000001" customHeight="1" thickBot="1" x14ac:dyDescent="0.3">
      <c r="A13" s="556"/>
      <c r="B13" s="556"/>
      <c r="D13" s="35" t="s">
        <v>9</v>
      </c>
      <c r="E13" s="119">
        <f>SUM(E3:E12)</f>
        <v>0</v>
      </c>
      <c r="F13" s="497">
        <f>SUM(F3:F12)</f>
        <v>0</v>
      </c>
      <c r="G13" s="497">
        <f>SUM(G3:G12)</f>
        <v>0</v>
      </c>
      <c r="H13" s="497">
        <f>SUM(H3:H12)</f>
        <v>0</v>
      </c>
      <c r="I13" s="497">
        <f>SUM(I3:I12)</f>
        <v>0</v>
      </c>
      <c r="J13" s="497">
        <f>SUM(J3:J12)</f>
        <v>0</v>
      </c>
      <c r="K13" s="120">
        <f>SUM(K3:K12)</f>
        <v>0</v>
      </c>
      <c r="L13" s="121">
        <f>SUM(L3:L12)</f>
        <v>0</v>
      </c>
      <c r="M13" s="122">
        <f>SUM(M3:M12)</f>
        <v>0</v>
      </c>
      <c r="N13" s="355">
        <f t="shared" si="0"/>
        <v>0</v>
      </c>
      <c r="O13" s="373"/>
      <c r="P13" s="369" t="s">
        <v>41</v>
      </c>
      <c r="Q13" s="324"/>
      <c r="R13" s="273" t="e">
        <f t="shared" si="1"/>
        <v>#N/A</v>
      </c>
      <c r="T13" s="253" t="s">
        <v>52</v>
      </c>
      <c r="U13" s="298" t="e">
        <f t="shared" si="2"/>
        <v>#N/A</v>
      </c>
    </row>
    <row r="14" spans="1:22" ht="20.100000000000001" customHeight="1" thickBot="1" x14ac:dyDescent="0.3">
      <c r="A14" s="556"/>
      <c r="B14" s="556"/>
      <c r="D14" s="60" t="s">
        <v>10</v>
      </c>
      <c r="E14" s="32">
        <f t="shared" ref="E14:N14" si="3">IFERROR(E13/$B$7,0)</f>
        <v>0</v>
      </c>
      <c r="F14" s="498">
        <f t="shared" si="3"/>
        <v>0</v>
      </c>
      <c r="G14" s="498">
        <f t="shared" si="3"/>
        <v>0</v>
      </c>
      <c r="H14" s="498">
        <f t="shared" si="3"/>
        <v>0</v>
      </c>
      <c r="I14" s="498">
        <f t="shared" si="3"/>
        <v>0</v>
      </c>
      <c r="J14" s="498">
        <f t="shared" si="3"/>
        <v>0</v>
      </c>
      <c r="K14" s="33">
        <f t="shared" si="3"/>
        <v>0</v>
      </c>
      <c r="L14" s="32">
        <f t="shared" si="3"/>
        <v>0</v>
      </c>
      <c r="M14" s="34">
        <f t="shared" si="3"/>
        <v>0</v>
      </c>
      <c r="N14" s="356">
        <f t="shared" si="3"/>
        <v>0</v>
      </c>
      <c r="O14" s="372"/>
      <c r="P14" s="370" t="s">
        <v>42</v>
      </c>
      <c r="Q14" s="325"/>
      <c r="R14" s="275" t="e">
        <f>IF(OR(Q14=0, Q14=""), NA(), Q14/$B$6)</f>
        <v>#N/A</v>
      </c>
      <c r="S14" s="300"/>
      <c r="T14" s="304" t="s">
        <v>54</v>
      </c>
      <c r="U14" s="299" t="e">
        <f>IF(Q14&lt;&gt;0,Q14-Q13,NA())</f>
        <v>#N/A</v>
      </c>
      <c r="V14" s="300"/>
    </row>
    <row r="15" spans="1:22" ht="18" customHeight="1" thickBot="1" x14ac:dyDescent="0.25">
      <c r="A15" s="558" t="s">
        <v>66</v>
      </c>
      <c r="B15" s="558"/>
      <c r="C15" s="1"/>
      <c r="D15" s="1"/>
      <c r="N15" s="254"/>
      <c r="O15" s="372"/>
      <c r="P15" s="371" t="s">
        <v>43</v>
      </c>
      <c r="Q15" s="326"/>
      <c r="R15" s="301" t="e">
        <f>IF(OR(Q15=0, Q15=""), NA(), Q15/$B$6)</f>
        <v>#N/A</v>
      </c>
      <c r="T15" s="305" t="s">
        <v>55</v>
      </c>
      <c r="U15" s="303" t="e">
        <f>IF(Q15&lt;&gt;0,Q15-Q14,NA())</f>
        <v>#N/A</v>
      </c>
      <c r="V15" s="300"/>
    </row>
    <row r="16" spans="1:22" ht="12.75" customHeight="1" x14ac:dyDescent="0.2">
      <c r="A16" s="558"/>
      <c r="B16" s="558"/>
      <c r="O16" s="372"/>
      <c r="P16" s="254"/>
      <c r="Q16" s="254"/>
      <c r="R16" s="254"/>
      <c r="U16" s="254"/>
    </row>
    <row r="17" spans="1:15" ht="18" customHeight="1" x14ac:dyDescent="0.25">
      <c r="A17" s="558"/>
      <c r="B17" s="558"/>
      <c r="E17" s="185"/>
      <c r="F17" s="185"/>
      <c r="G17" s="185"/>
      <c r="H17" s="185"/>
      <c r="I17" s="185"/>
      <c r="J17" s="185"/>
      <c r="O17" s="372"/>
    </row>
    <row r="18" spans="1:15" ht="26.25" customHeight="1" x14ac:dyDescent="0.2">
      <c r="A18" s="558"/>
      <c r="B18" s="558"/>
      <c r="D18" s="353" t="s">
        <v>63</v>
      </c>
      <c r="O18" s="372"/>
    </row>
    <row r="19" spans="1:15" x14ac:dyDescent="0.2">
      <c r="D19" s="354">
        <f>IF((ROW()-23)&lt;=$E$25,(ROW()-23),"Choisir")</f>
        <v>-4</v>
      </c>
      <c r="O19" s="372"/>
    </row>
    <row r="20" spans="1:15" x14ac:dyDescent="0.2">
      <c r="D20" s="354">
        <f>IF((ROW()-23)&lt;=$E$25,(ROW()-23),"Choisir")</f>
        <v>-3</v>
      </c>
      <c r="O20" s="372"/>
    </row>
    <row r="21" spans="1:15" x14ac:dyDescent="0.2">
      <c r="D21" s="354">
        <f>IF((ROW()-23)&lt;=$E$25,(ROW()-23),"Choisir")</f>
        <v>-2</v>
      </c>
      <c r="O21" s="372"/>
    </row>
    <row r="22" spans="1:15" x14ac:dyDescent="0.2">
      <c r="D22" s="354">
        <f>IF((ROW()-23)&lt;=$E$25,(ROW()-23),"Choisir")</f>
        <v>-1</v>
      </c>
      <c r="O22" s="372"/>
    </row>
    <row r="23" spans="1:15" x14ac:dyDescent="0.2">
      <c r="O23" s="372"/>
    </row>
    <row r="24" spans="1:15" x14ac:dyDescent="0.2">
      <c r="D24" s="199">
        <f>CEILING($B$6, 100)/100</f>
        <v>7</v>
      </c>
      <c r="E24" s="335">
        <f>CEILING($B$7,100)/100</f>
        <v>0</v>
      </c>
      <c r="F24" s="335"/>
      <c r="G24" s="335"/>
      <c r="H24" s="335"/>
      <c r="I24" s="335"/>
      <c r="J24" s="335"/>
      <c r="O24" s="372"/>
    </row>
    <row r="25" spans="1:15" x14ac:dyDescent="0.2">
      <c r="D25" s="199">
        <f>MOD($B$7,100)</f>
        <v>0</v>
      </c>
      <c r="E25" s="200">
        <f>CEILING($B$6/300,1)</f>
        <v>3</v>
      </c>
      <c r="F25" s="200"/>
      <c r="G25" s="200"/>
      <c r="H25" s="200"/>
      <c r="I25" s="200"/>
      <c r="J25" s="200"/>
      <c r="O25" s="372"/>
    </row>
    <row r="26" spans="1:15" x14ac:dyDescent="0.2">
      <c r="O26" s="372"/>
    </row>
    <row r="27" spans="1:15" x14ac:dyDescent="0.2">
      <c r="O27" s="372"/>
    </row>
    <row r="28" spans="1:15" x14ac:dyDescent="0.2">
      <c r="O28" s="372"/>
    </row>
    <row r="29" spans="1:15" x14ac:dyDescent="0.2">
      <c r="O29" s="372"/>
    </row>
    <row r="30" spans="1:15" x14ac:dyDescent="0.2">
      <c r="O30" s="372"/>
    </row>
    <row r="31" spans="1:15" x14ac:dyDescent="0.2">
      <c r="O31" s="372"/>
    </row>
    <row r="32" spans="1:15" x14ac:dyDescent="0.2">
      <c r="O32" s="372"/>
    </row>
    <row r="33" spans="1:15" x14ac:dyDescent="0.2">
      <c r="O33" s="372"/>
    </row>
    <row r="34" spans="1:15" x14ac:dyDescent="0.2">
      <c r="O34" s="372"/>
    </row>
    <row r="35" spans="1:15" x14ac:dyDescent="0.2">
      <c r="O35" s="372"/>
    </row>
    <row r="36" spans="1:15" x14ac:dyDescent="0.2">
      <c r="O36" s="372"/>
    </row>
    <row r="37" spans="1:15" x14ac:dyDescent="0.2">
      <c r="O37" s="372"/>
    </row>
    <row r="38" spans="1:15" x14ac:dyDescent="0.2">
      <c r="O38" s="372"/>
    </row>
    <row r="39" spans="1:15" x14ac:dyDescent="0.2">
      <c r="O39" s="372"/>
    </row>
    <row r="40" spans="1:15" x14ac:dyDescent="0.2">
      <c r="O40" s="372"/>
    </row>
    <row r="41" spans="1:15" x14ac:dyDescent="0.2">
      <c r="O41" s="372"/>
    </row>
    <row r="42" spans="1:15" x14ac:dyDescent="0.2">
      <c r="O42" s="372"/>
    </row>
    <row r="43" spans="1:15" ht="13.5" thickBot="1" x14ac:dyDescent="0.25">
      <c r="A43" s="366"/>
      <c r="B43" s="366"/>
      <c r="C43" s="366"/>
      <c r="D43" s="366"/>
      <c r="E43" s="366"/>
      <c r="F43" s="366"/>
      <c r="G43" s="366"/>
      <c r="H43" s="366"/>
      <c r="I43" s="366"/>
      <c r="J43" s="366"/>
      <c r="K43" s="366"/>
      <c r="L43" s="366"/>
      <c r="M43" s="366"/>
      <c r="N43" s="366"/>
      <c r="O43" s="374"/>
    </row>
    <row r="44" spans="1:15" ht="13.5" thickTop="1" x14ac:dyDescent="0.2">
      <c r="O44" s="372"/>
    </row>
    <row r="45" spans="1:15" x14ac:dyDescent="0.2">
      <c r="O45" s="372"/>
    </row>
    <row r="46" spans="1:15" x14ac:dyDescent="0.2">
      <c r="E46" s="126"/>
      <c r="F46" s="126"/>
      <c r="G46" s="126"/>
      <c r="H46" s="126"/>
      <c r="I46" s="126"/>
      <c r="J46" s="126"/>
      <c r="O46" s="372"/>
    </row>
    <row r="47" spans="1:15" ht="13.5" thickBot="1" x14ac:dyDescent="0.25">
      <c r="E47" s="126"/>
      <c r="F47" s="126"/>
      <c r="G47" s="126"/>
      <c r="H47" s="126"/>
      <c r="I47" s="126"/>
      <c r="J47" s="126"/>
      <c r="O47" s="372"/>
    </row>
    <row r="48" spans="1:15" ht="20.100000000000001" customHeight="1" thickBot="1" x14ac:dyDescent="0.25">
      <c r="D48" s="189" t="s">
        <v>76</v>
      </c>
      <c r="E48" s="548" t="s">
        <v>117</v>
      </c>
      <c r="F48" s="549"/>
      <c r="G48" s="549"/>
      <c r="H48" s="549"/>
      <c r="I48" s="549"/>
      <c r="J48" s="549"/>
      <c r="K48" s="549"/>
      <c r="L48" s="549"/>
      <c r="M48" s="550"/>
      <c r="N48" s="306" t="s">
        <v>7</v>
      </c>
      <c r="O48" s="372"/>
    </row>
    <row r="49" spans="3:15" ht="47.25" customHeight="1" thickBot="1" x14ac:dyDescent="0.25">
      <c r="C49" s="187"/>
      <c r="D49" s="284" t="s">
        <v>79</v>
      </c>
      <c r="E49" s="626" t="str">
        <f>E2</f>
        <v>Candidat(e)
1</v>
      </c>
      <c r="F49" s="627" t="str">
        <f>F2</f>
        <v>Candidat(e)
2</v>
      </c>
      <c r="G49" s="628" t="str">
        <f t="shared" ref="G49:K49" si="4">G2</f>
        <v>Candidat(e)
3</v>
      </c>
      <c r="H49" s="629" t="str">
        <f t="shared" si="4"/>
        <v>Candidat(e)
4</v>
      </c>
      <c r="I49" s="630" t="str">
        <f t="shared" si="4"/>
        <v>Candidat(e)
5</v>
      </c>
      <c r="J49" s="631" t="str">
        <f t="shared" si="4"/>
        <v>Candidat(e)
6</v>
      </c>
      <c r="K49" s="632" t="str">
        <f t="shared" si="4"/>
        <v>Candidat(e)
7</v>
      </c>
      <c r="L49" s="322" t="s">
        <v>3</v>
      </c>
      <c r="M49" s="323" t="s">
        <v>4</v>
      </c>
      <c r="N49" s="308" t="s">
        <v>101</v>
      </c>
      <c r="O49" s="372"/>
    </row>
    <row r="50" spans="3:15" ht="19.5" customHeight="1" x14ac:dyDescent="0.2">
      <c r="C50" s="188"/>
      <c r="D50" s="283" t="s">
        <v>78</v>
      </c>
      <c r="E50" s="246"/>
      <c r="F50" s="246"/>
      <c r="G50" s="246"/>
      <c r="H50" s="246"/>
      <c r="I50" s="246"/>
      <c r="J50" s="246"/>
      <c r="K50" s="247"/>
      <c r="L50" s="249"/>
      <c r="M50" s="248"/>
      <c r="N50" s="307">
        <f t="shared" ref="N50:N59" si="5">SUM(E50:M50)</f>
        <v>0</v>
      </c>
      <c r="O50" s="372"/>
    </row>
    <row r="51" spans="3:15" ht="20.100000000000001" customHeight="1" x14ac:dyDescent="0.2">
      <c r="C51" s="188"/>
      <c r="D51" s="283" t="s">
        <v>78</v>
      </c>
      <c r="E51" s="246"/>
      <c r="F51" s="246"/>
      <c r="G51" s="246"/>
      <c r="H51" s="246"/>
      <c r="I51" s="246"/>
      <c r="J51" s="246"/>
      <c r="K51" s="247"/>
      <c r="L51" s="249"/>
      <c r="M51" s="248"/>
      <c r="N51" s="307">
        <f t="shared" si="5"/>
        <v>0</v>
      </c>
      <c r="O51" s="372"/>
    </row>
    <row r="52" spans="3:15" ht="20.100000000000001" customHeight="1" x14ac:dyDescent="0.2">
      <c r="C52" s="188"/>
      <c r="D52" s="283" t="s">
        <v>78</v>
      </c>
      <c r="E52" s="246"/>
      <c r="F52" s="246"/>
      <c r="G52" s="246"/>
      <c r="H52" s="246"/>
      <c r="I52" s="246"/>
      <c r="J52" s="246"/>
      <c r="K52" s="247"/>
      <c r="L52" s="249"/>
      <c r="M52" s="248"/>
      <c r="N52" s="307">
        <f t="shared" si="5"/>
        <v>0</v>
      </c>
      <c r="O52" s="372"/>
    </row>
    <row r="53" spans="3:15" ht="20.100000000000001" customHeight="1" x14ac:dyDescent="0.2">
      <c r="C53" s="188"/>
      <c r="D53" s="283" t="s">
        <v>78</v>
      </c>
      <c r="E53" s="246"/>
      <c r="F53" s="246"/>
      <c r="G53" s="246"/>
      <c r="H53" s="246"/>
      <c r="I53" s="246"/>
      <c r="J53" s="246"/>
      <c r="K53" s="247"/>
      <c r="L53" s="249"/>
      <c r="M53" s="248"/>
      <c r="N53" s="307">
        <f t="shared" si="5"/>
        <v>0</v>
      </c>
      <c r="O53" s="372"/>
    </row>
    <row r="54" spans="3:15" ht="20.100000000000001" customHeight="1" x14ac:dyDescent="0.2">
      <c r="C54" s="188"/>
      <c r="D54" s="283" t="s">
        <v>78</v>
      </c>
      <c r="E54" s="246"/>
      <c r="F54" s="246"/>
      <c r="G54" s="246"/>
      <c r="H54" s="246"/>
      <c r="I54" s="246"/>
      <c r="J54" s="246"/>
      <c r="K54" s="247"/>
      <c r="L54" s="249"/>
      <c r="M54" s="248"/>
      <c r="N54" s="307">
        <f t="shared" si="5"/>
        <v>0</v>
      </c>
      <c r="O54" s="372"/>
    </row>
    <row r="55" spans="3:15" ht="20.100000000000001" customHeight="1" x14ac:dyDescent="0.2">
      <c r="C55" s="188"/>
      <c r="D55" s="283" t="s">
        <v>78</v>
      </c>
      <c r="E55" s="246"/>
      <c r="F55" s="246"/>
      <c r="G55" s="246"/>
      <c r="H55" s="246"/>
      <c r="I55" s="246"/>
      <c r="J55" s="246"/>
      <c r="K55" s="247"/>
      <c r="L55" s="249"/>
      <c r="M55" s="248"/>
      <c r="N55" s="307">
        <f t="shared" si="5"/>
        <v>0</v>
      </c>
      <c r="O55" s="372"/>
    </row>
    <row r="56" spans="3:15" ht="20.100000000000001" customHeight="1" x14ac:dyDescent="0.2">
      <c r="C56" s="188"/>
      <c r="D56" s="283" t="s">
        <v>78</v>
      </c>
      <c r="E56" s="246"/>
      <c r="F56" s="246"/>
      <c r="G56" s="246"/>
      <c r="H56" s="246"/>
      <c r="I56" s="246"/>
      <c r="J56" s="246"/>
      <c r="K56" s="247"/>
      <c r="L56" s="249"/>
      <c r="M56" s="248"/>
      <c r="N56" s="307">
        <f t="shared" si="5"/>
        <v>0</v>
      </c>
      <c r="O56" s="372"/>
    </row>
    <row r="57" spans="3:15" ht="20.100000000000001" customHeight="1" x14ac:dyDescent="0.2">
      <c r="C57" s="188"/>
      <c r="D57" s="283" t="s">
        <v>78</v>
      </c>
      <c r="E57" s="246"/>
      <c r="F57" s="246"/>
      <c r="G57" s="246"/>
      <c r="H57" s="246"/>
      <c r="I57" s="246"/>
      <c r="J57" s="246"/>
      <c r="K57" s="247"/>
      <c r="L57" s="249"/>
      <c r="M57" s="248"/>
      <c r="N57" s="307">
        <f t="shared" si="5"/>
        <v>0</v>
      </c>
      <c r="O57" s="372"/>
    </row>
    <row r="58" spans="3:15" ht="20.100000000000001" customHeight="1" x14ac:dyDescent="0.2">
      <c r="C58" s="188"/>
      <c r="D58" s="283" t="s">
        <v>78</v>
      </c>
      <c r="E58" s="246"/>
      <c r="F58" s="246"/>
      <c r="G58" s="246"/>
      <c r="H58" s="246"/>
      <c r="I58" s="246"/>
      <c r="J58" s="246"/>
      <c r="K58" s="247"/>
      <c r="L58" s="249"/>
      <c r="M58" s="248"/>
      <c r="N58" s="307">
        <f t="shared" si="5"/>
        <v>0</v>
      </c>
      <c r="O58" s="372"/>
    </row>
    <row r="59" spans="3:15" ht="20.100000000000001" customHeight="1" thickBot="1" x14ac:dyDescent="0.25">
      <c r="C59" s="188"/>
      <c r="D59" s="287" t="s">
        <v>78</v>
      </c>
      <c r="E59" s="288"/>
      <c r="F59" s="288"/>
      <c r="G59" s="288"/>
      <c r="H59" s="288"/>
      <c r="I59" s="288"/>
      <c r="J59" s="288"/>
      <c r="K59" s="289"/>
      <c r="L59" s="291"/>
      <c r="M59" s="290"/>
      <c r="N59" s="307">
        <f t="shared" si="5"/>
        <v>0</v>
      </c>
      <c r="O59" s="372"/>
    </row>
    <row r="60" spans="3:15" x14ac:dyDescent="0.2">
      <c r="N60" s="254"/>
      <c r="O60" s="372"/>
    </row>
    <row r="61" spans="3:15" x14ac:dyDescent="0.2">
      <c r="O61" s="372"/>
    </row>
    <row r="62" spans="3:15" x14ac:dyDescent="0.2">
      <c r="O62" s="372"/>
    </row>
    <row r="63" spans="3:15" ht="18" x14ac:dyDescent="0.25">
      <c r="E63" s="185"/>
      <c r="F63" s="185"/>
      <c r="G63" s="185"/>
      <c r="H63" s="185"/>
      <c r="I63" s="185"/>
      <c r="J63" s="185"/>
      <c r="O63" s="372"/>
    </row>
    <row r="64" spans="3:15" x14ac:dyDescent="0.2">
      <c r="O64" s="372"/>
    </row>
    <row r="65" spans="4:15" ht="13.5" thickBot="1" x14ac:dyDescent="0.25">
      <c r="O65" s="372"/>
    </row>
    <row r="66" spans="4:15" ht="16.5" customHeight="1" thickBot="1" x14ac:dyDescent="0.25">
      <c r="D66" s="189" t="s">
        <v>77</v>
      </c>
      <c r="E66" s="548" t="s">
        <v>118</v>
      </c>
      <c r="F66" s="549"/>
      <c r="G66" s="549"/>
      <c r="H66" s="549"/>
      <c r="I66" s="549"/>
      <c r="J66" s="549"/>
      <c r="K66" s="549"/>
      <c r="L66" s="549"/>
      <c r="M66" s="550"/>
      <c r="N66" s="306" t="s">
        <v>7</v>
      </c>
      <c r="O66" s="372"/>
    </row>
    <row r="67" spans="4:15" ht="42" customHeight="1" thickBot="1" x14ac:dyDescent="0.25">
      <c r="D67" s="284" t="s">
        <v>79</v>
      </c>
      <c r="E67" s="626" t="str">
        <f>E2</f>
        <v>Candidat(e)
1</v>
      </c>
      <c r="F67" s="627" t="str">
        <f>F2</f>
        <v>Candidat(e)
2</v>
      </c>
      <c r="G67" s="628" t="str">
        <f t="shared" ref="G67:K67" si="6">G2</f>
        <v>Candidat(e)
3</v>
      </c>
      <c r="H67" s="629" t="str">
        <f t="shared" si="6"/>
        <v>Candidat(e)
4</v>
      </c>
      <c r="I67" s="630" t="str">
        <f t="shared" si="6"/>
        <v>Candidat(e)
5</v>
      </c>
      <c r="J67" s="631" t="str">
        <f t="shared" si="6"/>
        <v>Candidat(e)
6</v>
      </c>
      <c r="K67" s="632" t="str">
        <f t="shared" si="6"/>
        <v>Candidat(e)
7</v>
      </c>
      <c r="L67" s="322" t="s">
        <v>3</v>
      </c>
      <c r="M67" s="323" t="s">
        <v>4</v>
      </c>
      <c r="N67" s="313" t="s">
        <v>101</v>
      </c>
      <c r="O67" s="372"/>
    </row>
    <row r="68" spans="4:15" ht="20.100000000000001" customHeight="1" x14ac:dyDescent="0.2">
      <c r="D68" s="198" t="s">
        <v>78</v>
      </c>
      <c r="E68" s="191"/>
      <c r="F68" s="191"/>
      <c r="G68" s="191"/>
      <c r="H68" s="191"/>
      <c r="I68" s="191"/>
      <c r="J68" s="191"/>
      <c r="K68" s="192"/>
      <c r="L68" s="194"/>
      <c r="M68" s="193"/>
      <c r="N68" s="310">
        <f>SUM(E68:M68)</f>
        <v>0</v>
      </c>
      <c r="O68" s="372"/>
    </row>
    <row r="69" spans="4:15" ht="20.100000000000001" customHeight="1" x14ac:dyDescent="0.2">
      <c r="D69" s="196" t="s">
        <v>78</v>
      </c>
      <c r="E69" s="136"/>
      <c r="F69" s="136"/>
      <c r="G69" s="136"/>
      <c r="H69" s="136"/>
      <c r="I69" s="136"/>
      <c r="J69" s="136"/>
      <c r="K69" s="137"/>
      <c r="L69" s="139"/>
      <c r="M69" s="138"/>
      <c r="N69" s="244">
        <f>SUM(E69:M69)</f>
        <v>0</v>
      </c>
      <c r="O69" s="372"/>
    </row>
    <row r="70" spans="4:15" ht="20.100000000000001" customHeight="1" x14ac:dyDescent="0.2">
      <c r="D70" s="196" t="s">
        <v>78</v>
      </c>
      <c r="E70" s="136"/>
      <c r="F70" s="136"/>
      <c r="G70" s="136"/>
      <c r="H70" s="136"/>
      <c r="I70" s="136"/>
      <c r="J70" s="136"/>
      <c r="K70" s="137"/>
      <c r="L70" s="139"/>
      <c r="M70" s="138"/>
      <c r="N70" s="244">
        <f>SUM(E70:M70)</f>
        <v>0</v>
      </c>
      <c r="O70" s="372"/>
    </row>
    <row r="71" spans="4:15" ht="20.100000000000001" customHeight="1" x14ac:dyDescent="0.2">
      <c r="D71" s="196" t="s">
        <v>78</v>
      </c>
      <c r="E71" s="136"/>
      <c r="F71" s="136"/>
      <c r="G71" s="136"/>
      <c r="H71" s="136"/>
      <c r="I71" s="136"/>
      <c r="J71" s="136"/>
      <c r="K71" s="137"/>
      <c r="L71" s="139"/>
      <c r="M71" s="138"/>
      <c r="N71" s="244">
        <f>SUM(E71:M71)</f>
        <v>0</v>
      </c>
      <c r="O71" s="372"/>
    </row>
    <row r="72" spans="4:15" ht="20.100000000000001" customHeight="1" thickBot="1" x14ac:dyDescent="0.25">
      <c r="D72" s="197" t="s">
        <v>78</v>
      </c>
      <c r="E72" s="140"/>
      <c r="F72" s="140"/>
      <c r="G72" s="140"/>
      <c r="H72" s="140"/>
      <c r="I72" s="140"/>
      <c r="J72" s="140"/>
      <c r="K72" s="141"/>
      <c r="L72" s="143"/>
      <c r="M72" s="142"/>
      <c r="N72" s="311">
        <f>SUM(E72:M72)</f>
        <v>0</v>
      </c>
      <c r="O72" s="372"/>
    </row>
    <row r="73" spans="4:15" ht="20.100000000000001" customHeight="1" x14ac:dyDescent="0.2">
      <c r="D73" s="190"/>
      <c r="E73" s="188"/>
      <c r="F73" s="188"/>
      <c r="G73" s="188"/>
      <c r="H73" s="188"/>
      <c r="I73" s="188"/>
      <c r="J73" s="188"/>
      <c r="K73" s="188"/>
      <c r="L73" s="188"/>
      <c r="M73" s="188"/>
      <c r="O73" s="372"/>
    </row>
    <row r="74" spans="4:15" ht="20.100000000000001" customHeight="1" x14ac:dyDescent="0.2">
      <c r="D74" s="190"/>
      <c r="E74" s="188"/>
      <c r="F74" s="188"/>
      <c r="G74" s="188"/>
      <c r="H74" s="188"/>
      <c r="I74" s="188"/>
      <c r="J74" s="188"/>
      <c r="K74" s="188"/>
      <c r="L74" s="188"/>
      <c r="M74" s="188"/>
      <c r="O74" s="372"/>
    </row>
    <row r="75" spans="4:15" ht="20.100000000000001" customHeight="1" thickBot="1" x14ac:dyDescent="0.25">
      <c r="D75" s="190"/>
      <c r="E75" s="188"/>
      <c r="F75" s="188"/>
      <c r="G75" s="188"/>
      <c r="H75" s="188"/>
      <c r="I75" s="188"/>
      <c r="J75" s="188"/>
      <c r="K75" s="188"/>
      <c r="L75" s="188"/>
      <c r="M75" s="188"/>
      <c r="O75" s="372"/>
    </row>
    <row r="76" spans="4:15" ht="20.100000000000001" customHeight="1" thickBot="1" x14ac:dyDescent="0.25">
      <c r="D76" s="189" t="s">
        <v>81</v>
      </c>
      <c r="E76" s="548" t="s">
        <v>119</v>
      </c>
      <c r="F76" s="549"/>
      <c r="G76" s="549"/>
      <c r="H76" s="549"/>
      <c r="I76" s="549"/>
      <c r="J76" s="549"/>
      <c r="K76" s="549"/>
      <c r="L76" s="549"/>
      <c r="M76" s="550"/>
      <c r="N76" s="312" t="s">
        <v>7</v>
      </c>
      <c r="O76" s="372"/>
    </row>
    <row r="77" spans="4:15" ht="39.75" customHeight="1" thickBot="1" x14ac:dyDescent="0.25">
      <c r="D77" s="284" t="s">
        <v>79</v>
      </c>
      <c r="E77" s="626" t="str">
        <f>E2</f>
        <v>Candidat(e)
1</v>
      </c>
      <c r="F77" s="627" t="str">
        <f>F2</f>
        <v>Candidat(e)
2</v>
      </c>
      <c r="G77" s="628" t="str">
        <f t="shared" ref="G77:K77" si="7">G2</f>
        <v>Candidat(e)
3</v>
      </c>
      <c r="H77" s="629" t="str">
        <f t="shared" si="7"/>
        <v>Candidat(e)
4</v>
      </c>
      <c r="I77" s="630" t="str">
        <f t="shared" si="7"/>
        <v>Candidat(e)
5</v>
      </c>
      <c r="J77" s="631" t="str">
        <f t="shared" si="7"/>
        <v>Candidat(e)
6</v>
      </c>
      <c r="K77" s="632" t="str">
        <f t="shared" si="7"/>
        <v>Candidat(e)
7</v>
      </c>
      <c r="L77" s="322" t="s">
        <v>3</v>
      </c>
      <c r="M77" s="323" t="s">
        <v>4</v>
      </c>
      <c r="N77" s="309" t="s">
        <v>101</v>
      </c>
      <c r="O77" s="372"/>
    </row>
    <row r="78" spans="4:15" ht="20.100000000000001" customHeight="1" x14ac:dyDescent="0.2">
      <c r="D78" s="198" t="s">
        <v>78</v>
      </c>
      <c r="E78" s="191"/>
      <c r="F78" s="191"/>
      <c r="G78" s="191"/>
      <c r="H78" s="191"/>
      <c r="I78" s="191"/>
      <c r="J78" s="191"/>
      <c r="K78" s="192"/>
      <c r="L78" s="194"/>
      <c r="M78" s="193"/>
      <c r="N78" s="310">
        <f>SUM(E78:M78)</f>
        <v>0</v>
      </c>
      <c r="O78" s="372"/>
    </row>
    <row r="79" spans="4:15" ht="20.100000000000001" customHeight="1" x14ac:dyDescent="0.2">
      <c r="D79" s="196" t="s">
        <v>78</v>
      </c>
      <c r="E79" s="136"/>
      <c r="F79" s="136"/>
      <c r="G79" s="136"/>
      <c r="H79" s="136"/>
      <c r="I79" s="136"/>
      <c r="J79" s="136"/>
      <c r="K79" s="137"/>
      <c r="L79" s="139"/>
      <c r="M79" s="138"/>
      <c r="N79" s="244">
        <f>SUM(E79:M79)</f>
        <v>0</v>
      </c>
      <c r="O79" s="372"/>
    </row>
    <row r="80" spans="4:15" ht="20.100000000000001" customHeight="1" thickBot="1" x14ac:dyDescent="0.25">
      <c r="D80" s="197" t="s">
        <v>78</v>
      </c>
      <c r="E80" s="140"/>
      <c r="F80" s="140"/>
      <c r="G80" s="140"/>
      <c r="H80" s="140"/>
      <c r="I80" s="140"/>
      <c r="J80" s="140"/>
      <c r="K80" s="141"/>
      <c r="L80" s="143"/>
      <c r="M80" s="142"/>
      <c r="N80" s="311">
        <f>SUM(E80:M80)</f>
        <v>0</v>
      </c>
      <c r="O80" s="372"/>
    </row>
    <row r="81" spans="4:15" ht="20.100000000000001" customHeight="1" x14ac:dyDescent="0.2">
      <c r="D81" s="190"/>
      <c r="E81" s="188"/>
      <c r="F81" s="188"/>
      <c r="G81" s="188"/>
      <c r="H81" s="188"/>
      <c r="I81" s="188"/>
      <c r="J81" s="188"/>
      <c r="K81" s="188"/>
      <c r="L81" s="188"/>
      <c r="M81" s="188"/>
      <c r="N81" s="195"/>
      <c r="O81" s="372"/>
    </row>
    <row r="82" spans="4:15" ht="20.100000000000001" customHeight="1" x14ac:dyDescent="0.2">
      <c r="D82" s="190"/>
      <c r="E82" s="188"/>
      <c r="F82" s="188"/>
      <c r="G82" s="188"/>
      <c r="H82" s="188"/>
      <c r="I82" s="188"/>
      <c r="J82" s="188"/>
      <c r="K82" s="188"/>
      <c r="L82" s="188"/>
      <c r="M82" s="188"/>
      <c r="N82" s="195"/>
      <c r="O82" s="372"/>
    </row>
  </sheetData>
  <sheetProtection algorithmName="SHA-512" hashValue="wAEJZLMb4G97d9zdqm7wW+F7dwXcfp+cyiTRgrlDJKJwN6X2C9tJtmhzh9AEEid0PksQ9n4RFgE5ZfBNb8zi3A==" saltValue="rik8f87P4oHVJRUVtfFydQ==" spinCount="100000" sheet="1" objects="1" scenarios="1"/>
  <mergeCells count="7">
    <mergeCell ref="E76:M76"/>
    <mergeCell ref="E1:M1"/>
    <mergeCell ref="A10:B11"/>
    <mergeCell ref="A12:B14"/>
    <mergeCell ref="A15:B18"/>
    <mergeCell ref="E48:M48"/>
    <mergeCell ref="E66:M66"/>
  </mergeCells>
  <conditionalFormatting sqref="B8">
    <cfRule type="cellIs" dxfId="28" priority="1" operator="equal">
      <formula>0</formula>
    </cfRule>
    <cfRule type="cellIs" dxfId="27" priority="6" operator="notEqual">
      <formula>$B$7</formula>
    </cfRule>
  </conditionalFormatting>
  <conditionalFormatting sqref="E3:N12">
    <cfRule type="cellIs" dxfId="26" priority="5" operator="notBetween">
      <formula>0</formula>
      <formula>100</formula>
    </cfRule>
  </conditionalFormatting>
  <conditionalFormatting sqref="E3:N14">
    <cfRule type="cellIs" dxfId="25" priority="8" operator="lessThan">
      <formula>0</formula>
    </cfRule>
  </conditionalFormatting>
  <conditionalFormatting sqref="E14:N14">
    <cfRule type="cellIs" dxfId="24" priority="11" operator="greaterThan">
      <formula>1</formula>
    </cfRule>
  </conditionalFormatting>
  <conditionalFormatting sqref="N3:N13">
    <cfRule type="cellIs" dxfId="23" priority="9" operator="equal">
      <formula>0</formula>
    </cfRule>
  </conditionalFormatting>
  <conditionalFormatting sqref="N13">
    <cfRule type="cellIs" dxfId="22" priority="13" operator="equal">
      <formula>$B$7</formula>
    </cfRule>
  </conditionalFormatting>
  <conditionalFormatting sqref="N14">
    <cfRule type="cellIs" dxfId="21" priority="10" operator="equal">
      <formula>1</formula>
    </cfRule>
    <cfRule type="cellIs" dxfId="20" priority="12" operator="lessThan">
      <formula>1</formula>
    </cfRule>
  </conditionalFormatting>
  <conditionalFormatting sqref="R4:R15">
    <cfRule type="cellIs" dxfId="19" priority="7" operator="greaterThan">
      <formula>1</formula>
    </cfRule>
  </conditionalFormatting>
  <conditionalFormatting sqref="D68:D72 D50:D59 D78:D80">
    <cfRule type="colorScale" priority="4">
      <colorScale>
        <cfvo type="min"/>
        <cfvo type="max"/>
        <color theme="9" tint="0.79998168889431442"/>
        <color theme="9" tint="-0.499984740745262"/>
      </colorScale>
    </cfRule>
  </conditionalFormatting>
  <conditionalFormatting sqref="E50:M59">
    <cfRule type="expression" dxfId="18" priority="3">
      <formula>AND(E50&lt;MAX(E$50:E50), NOT(ISBLANK(E50)), NOT(E50=0))</formula>
    </cfRule>
  </conditionalFormatting>
  <conditionalFormatting sqref="E68:M72">
    <cfRule type="expression" dxfId="17" priority="2">
      <formula>AND(E68&lt;MAX(E$68:E68), NOT(ISBLANK(E68)), NOT(E68=0))</formula>
    </cfRule>
  </conditionalFormatting>
  <conditionalFormatting sqref="E78:M80">
    <cfRule type="expression" dxfId="16" priority="14">
      <formula>AND(E78&lt;MAX(E$78:E78), NOT(ISBLANK(E78)), NOT(E78=0))</formula>
    </cfRule>
  </conditionalFormatting>
  <conditionalFormatting sqref="N3:N12">
    <cfRule type="expression" dxfId="15" priority="15">
      <formula>AND($D3=$E$24, N3=$D$25)</formula>
    </cfRule>
    <cfRule type="expression" dxfId="14" priority="16">
      <formula>AND($D3=$E$24, MOD(N3,100)&gt;$D$25)</formula>
    </cfRule>
    <cfRule type="cellIs" dxfId="13" priority="17" operator="equal">
      <formula>100</formula>
    </cfRule>
  </conditionalFormatting>
  <conditionalFormatting sqref="E3:M12">
    <cfRule type="expression" dxfId="12" priority="18">
      <formula>($D3&lt;=$E$24)</formula>
    </cfRule>
  </conditionalFormatting>
  <conditionalFormatting sqref="D3:M12">
    <cfRule type="expression" dxfId="11" priority="19">
      <formula>($D3&gt;$E$24)</formula>
    </cfRule>
  </conditionalFormatting>
  <conditionalFormatting sqref="E50:M59 E68:M72 E78:M80">
    <cfRule type="cellIs" dxfId="10" priority="20" operator="notBetween">
      <formula>0</formula>
      <formula>$B$7</formula>
    </cfRule>
    <cfRule type="expression" dxfId="9" priority="21">
      <formula>($D50&lt;=$E$24)</formula>
    </cfRule>
    <cfRule type="expression" dxfId="8" priority="22">
      <formula>($D50&gt;$E$24)</formula>
    </cfRule>
  </conditionalFormatting>
  <conditionalFormatting sqref="N50 N68:N72 N78:N80 N52:N59">
    <cfRule type="cellIs" dxfId="7" priority="23" operator="lessThan">
      <formula>0</formula>
    </cfRule>
    <cfRule type="cellIs" dxfId="6" priority="24" operator="equal">
      <formula>0</formula>
    </cfRule>
    <cfRule type="expression" dxfId="5" priority="25">
      <formula>OR(MOD($N50,100)=0,AND($D50=$E$24,MOD($N50,100)=$D$25))</formula>
    </cfRule>
  </conditionalFormatting>
  <conditionalFormatting sqref="N51">
    <cfRule type="cellIs" dxfId="4" priority="26" operator="notBetween">
      <formula>0</formula>
      <formula>$B$7</formula>
    </cfRule>
    <cfRule type="cellIs" dxfId="3" priority="27" operator="equal">
      <formula>0</formula>
    </cfRule>
    <cfRule type="expression" dxfId="2" priority="28">
      <formula>OR(MOD($N51,100)=0,AND($D51=$E$24,MOD($N51,100)=$D$25))</formula>
    </cfRule>
  </conditionalFormatting>
  <conditionalFormatting sqref="Q4:Q15">
    <cfRule type="expression" dxfId="1" priority="29">
      <formula>AND($Q4&lt;$Q3, NOT(ISBLANK($Q4)))</formula>
    </cfRule>
    <cfRule type="cellIs" dxfId="0" priority="30" operator="greaterThan">
      <formula>$B$6</formula>
    </cfRule>
  </conditionalFormatting>
  <dataValidations count="2">
    <dataValidation type="list" allowBlank="1" showInputMessage="1" showErrorMessage="1" sqref="C50:C59" xr:uid="{986B26FE-AE1B-42EC-B703-7689E33ED823}">
      <formula1>$D$19:$D$21</formula1>
    </dataValidation>
    <dataValidation type="list" allowBlank="1" showInputMessage="1" showErrorMessage="1" sqref="D68:D72 D78:D82 D50:D59" xr:uid="{1F2F764A-2FAF-4EC3-B762-9159C3C2A604}">
      <formula1>$D$3:$D$12</formula1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706643-F7E9-4CF7-B131-5D2E84B119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18</vt:i4>
      </vt:variant>
      <vt:variant>
        <vt:lpstr>Plages nommées</vt:lpstr>
      </vt:variant>
      <vt:variant>
        <vt:i4>43</vt:i4>
      </vt:variant>
    </vt:vector>
  </HeadingPairs>
  <TitlesOfParts>
    <vt:vector size="61" baseType="lpstr">
      <vt:lpstr>Synthèse</vt:lpstr>
      <vt:lpstr>Participation horaire</vt:lpstr>
      <vt:lpstr>Feuille décompte</vt:lpstr>
      <vt:lpstr>Projection</vt:lpstr>
      <vt:lpstr>Exemple</vt:lpstr>
      <vt:lpstr>Bureau 0</vt:lpstr>
      <vt:lpstr>Bureau 1</vt:lpstr>
      <vt:lpstr>Bureau 2</vt:lpstr>
      <vt:lpstr>Bureau 3</vt:lpstr>
      <vt:lpstr>Bureau 4</vt:lpstr>
      <vt:lpstr>Bureau 5</vt:lpstr>
      <vt:lpstr>Bureau 6</vt:lpstr>
      <vt:lpstr>Bureau 7</vt:lpstr>
      <vt:lpstr>Bureau 8</vt:lpstr>
      <vt:lpstr>Bureau 9</vt:lpstr>
      <vt:lpstr>Bureau 10</vt:lpstr>
      <vt:lpstr>Bureau 11</vt:lpstr>
      <vt:lpstr>Bureau 12</vt:lpstr>
      <vt:lpstr>'Bureau 1'!Table1</vt:lpstr>
      <vt:lpstr>'Bureau 10'!Table1</vt:lpstr>
      <vt:lpstr>'Bureau 11'!Table1</vt:lpstr>
      <vt:lpstr>'Bureau 12'!Table1</vt:lpstr>
      <vt:lpstr>'Bureau 2'!Table1</vt:lpstr>
      <vt:lpstr>'Bureau 3'!Table1</vt:lpstr>
      <vt:lpstr>'Bureau 4'!Table1</vt:lpstr>
      <vt:lpstr>'Bureau 5'!Table1</vt:lpstr>
      <vt:lpstr>'Bureau 6'!Table1</vt:lpstr>
      <vt:lpstr>'Bureau 7'!Table1</vt:lpstr>
      <vt:lpstr>'Bureau 8'!Table1</vt:lpstr>
      <vt:lpstr>'Bureau 9'!Table1</vt:lpstr>
      <vt:lpstr>Exemple!Table1</vt:lpstr>
      <vt:lpstr>'Feuille décompte'!Table1</vt:lpstr>
      <vt:lpstr>Table1</vt:lpstr>
      <vt:lpstr>'Bureau 1'!Table2</vt:lpstr>
      <vt:lpstr>'Bureau 10'!Table2</vt:lpstr>
      <vt:lpstr>'Bureau 11'!Table2</vt:lpstr>
      <vt:lpstr>'Bureau 12'!Table2</vt:lpstr>
      <vt:lpstr>'Bureau 2'!Table2</vt:lpstr>
      <vt:lpstr>'Bureau 3'!Table2</vt:lpstr>
      <vt:lpstr>'Bureau 4'!Table2</vt:lpstr>
      <vt:lpstr>'Bureau 5'!Table2</vt:lpstr>
      <vt:lpstr>'Bureau 6'!Table2</vt:lpstr>
      <vt:lpstr>'Bureau 7'!Table2</vt:lpstr>
      <vt:lpstr>'Bureau 8'!Table2</vt:lpstr>
      <vt:lpstr>'Bureau 9'!Table2</vt:lpstr>
      <vt:lpstr>Exemple!Table2</vt:lpstr>
      <vt:lpstr>Table2</vt:lpstr>
      <vt:lpstr>'Bureau 1'!Table3</vt:lpstr>
      <vt:lpstr>'Bureau 10'!Table3</vt:lpstr>
      <vt:lpstr>'Bureau 11'!Table3</vt:lpstr>
      <vt:lpstr>'Bureau 12'!Table3</vt:lpstr>
      <vt:lpstr>'Bureau 2'!Table3</vt:lpstr>
      <vt:lpstr>'Bureau 3'!Table3</vt:lpstr>
      <vt:lpstr>'Bureau 4'!Table3</vt:lpstr>
      <vt:lpstr>'Bureau 5'!Table3</vt:lpstr>
      <vt:lpstr>'Bureau 6'!Table3</vt:lpstr>
      <vt:lpstr>'Bureau 7'!Table3</vt:lpstr>
      <vt:lpstr>'Bureau 8'!Table3</vt:lpstr>
      <vt:lpstr>'Bureau 9'!Table3</vt:lpstr>
      <vt:lpstr>Exemple!Table3</vt:lpstr>
      <vt:lpstr>Table3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Remi Barbero</dc:creator>
  <cp:lastModifiedBy>Rémi Barbero</cp:lastModifiedBy>
  <cp:lastPrinted>2025-04-24T12:11:21Z</cp:lastPrinted>
  <dcterms:created xsi:type="dcterms:W3CDTF">2025-03-13T09:37:21Z</dcterms:created>
  <dcterms:modified xsi:type="dcterms:W3CDTF">2026-03-14T17:45:56Z</dcterms:modified>
</cp:coreProperties>
</file>