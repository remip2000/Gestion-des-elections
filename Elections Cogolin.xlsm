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2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14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5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16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17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18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ienacfr-my.sharepoint.com/personal/remi_barbero_alumni_enac_fr/Documents/Echange/Elections/"/>
    </mc:Choice>
  </mc:AlternateContent>
  <xr:revisionPtr revIDLastSave="29524" documentId="8_{3D8CA70B-F25C-47DC-8201-55A6B902040C}" xr6:coauthVersionLast="47" xr6:coauthVersionMax="47" xr10:uidLastSave="{96005C6A-3BC2-4FE0-9FC6-85A863EB9674}"/>
  <bookViews>
    <workbookView xWindow="-120" yWindow="-120" windowWidth="30960" windowHeight="16800" tabRatio="885" activeTab="2" xr2:uid="{28D96937-7F1A-4454-97EC-737EE8B96C21}"/>
    <workbookView xWindow="30600" yWindow="-120" windowWidth="30960" windowHeight="16800" activeTab="4" xr2:uid="{E646C558-477A-4F2F-8547-301542C7084D}"/>
  </bookViews>
  <sheets>
    <sheet name="Synthèse" sheetId="1" r:id="rId1"/>
    <sheet name="Participation horaire" sheetId="3" r:id="rId2"/>
    <sheet name="Sièges" sheetId="1182" r:id="rId3"/>
    <sheet name="Feuille décompte" sheetId="952" r:id="rId4"/>
    <sheet name="Projection" sheetId="757" r:id="rId5"/>
    <sheet name="Exemple" sheetId="578" r:id="rId6"/>
    <sheet name="Bureau 0" sheetId="207" r:id="rId7"/>
    <sheet name="Bureau 1" sheetId="1170" r:id="rId8"/>
    <sheet name="Bureau 2" sheetId="1171" r:id="rId9"/>
    <sheet name="Bureau 3" sheetId="1172" r:id="rId10"/>
    <sheet name="Bureau 4" sheetId="1173" r:id="rId11"/>
    <sheet name="Bureau 5" sheetId="1174" r:id="rId12"/>
    <sheet name="Bureau 6" sheetId="1175" r:id="rId13"/>
    <sheet name="Bureau 7" sheetId="1176" r:id="rId14"/>
    <sheet name="Bureau 8" sheetId="1177" r:id="rId15"/>
    <sheet name="Bureau 9" sheetId="1178" r:id="rId16"/>
    <sheet name="Bureau 10" sheetId="1179" r:id="rId17"/>
    <sheet name="Bureau 11" sheetId="1180" r:id="rId18"/>
    <sheet name="Bureau 12" sheetId="1181" r:id="rId19"/>
  </sheets>
  <functionGroups builtInGroupCount="19"/>
  <definedNames>
    <definedName name="_xleta.COUNT" hidden="1" xlm="1">#NAME?</definedName>
    <definedName name="_xleta.NA" hidden="1" xlm="1">#NAME?</definedName>
    <definedName name="_xleta.NOT" hidden="1" xlm="1">#NAME?</definedName>
    <definedName name="_xleta.ROW" hidden="1" xlm="1">#NAME?</definedName>
    <definedName name="_xleta.T" hidden="1" xlm="1">#NAME?</definedName>
    <definedName name="_xleta.TEXTJOIN" hidden="1" xlm="1">#NAME?</definedName>
    <definedName name="_xlpm.c" hidden="1" xlm="1">#NAME?</definedName>
    <definedName name="_xlpm.candidats" hidden="1" xlm="1">#NAME?</definedName>
    <definedName name="_xlpm.leaders" hidden="1" xlm="1">#NAME?</definedName>
    <definedName name="_xlpm.maxs" hidden="1" xlm="1">#NAME?</definedName>
    <definedName name="_xlpm.maxv" hidden="1" xlm="1">#NAME?</definedName>
    <definedName name="_xlpm.nb" hidden="1" xlm="1">#NAME?</definedName>
    <definedName name="_xlpm.p" hidden="1" xlm="1">#NAME?</definedName>
    <definedName name="_xlpm.pct" hidden="1" xlm="1">#NAME?</definedName>
    <definedName name="_xlpm.s" hidden="1" xlm="1">#NAME?</definedName>
    <definedName name="_xlpm.scores" hidden="1" xlm="1">#NAME?</definedName>
    <definedName name="_xlpm.total" hidden="1" xlm="1">#NAME?</definedName>
    <definedName name="_xlpm.v" hidden="1" xlm="1">#NAME?</definedName>
    <definedName name="_xlpm.voix" hidden="1" xlm="1">#NAME?</definedName>
    <definedName name="CalculSieges">Sièges!$E$1:$O$3</definedName>
    <definedName name="exTable3">#REF!</definedName>
    <definedName name="Table1" localSheetId="7">'Bureau 1'!$D$49:$H$59</definedName>
    <definedName name="Table1" localSheetId="16">'Bureau 10'!$D$49:$H$59</definedName>
    <definedName name="Table1" localSheetId="17">'Bureau 11'!$D$49:$H$59</definedName>
    <definedName name="Table1" localSheetId="18">'Bureau 12'!$D$49:$H$59</definedName>
    <definedName name="Table1" localSheetId="8">'Bureau 2'!$D$49:$H$59</definedName>
    <definedName name="Table1" localSheetId="9">'Bureau 3'!$D$49:$H$59</definedName>
    <definedName name="Table1" localSheetId="10">'Bureau 4'!$D$49:$H$59</definedName>
    <definedName name="Table1" localSheetId="11">'Bureau 5'!$D$49:$H$59</definedName>
    <definedName name="Table1" localSheetId="12">'Bureau 6'!$D$49:$H$59</definedName>
    <definedName name="Table1" localSheetId="13">'Bureau 7'!$D$49:$H$59</definedName>
    <definedName name="Table1" localSheetId="14">'Bureau 8'!$D$49:$H$59</definedName>
    <definedName name="Table1" localSheetId="15">'Bureau 9'!$D$49:$H$59</definedName>
    <definedName name="Table1" localSheetId="5">Exemple!$D$49:$P$59</definedName>
    <definedName name="Table1" localSheetId="3">'Feuille décompte'!$A$6:$E$15</definedName>
    <definedName name="Table1">'Bureau 0'!$D$49:$H$59</definedName>
    <definedName name="Table1bis">'Feuille décompte'!$A$24:$E$28</definedName>
    <definedName name="Table2" localSheetId="7">'Bureau 1'!$D$67:$H$72</definedName>
    <definedName name="Table2" localSheetId="16">'Bureau 10'!$D$67:$H$72</definedName>
    <definedName name="Table2" localSheetId="17">'Bureau 11'!$D$67:$H$72</definedName>
    <definedName name="Table2" localSheetId="18">'Bureau 12'!$D$67:$H$72</definedName>
    <definedName name="Table2" localSheetId="8">'Bureau 2'!$D$67:$H$72</definedName>
    <definedName name="Table2" localSheetId="9">'Bureau 3'!$D$67:$H$72</definedName>
    <definedName name="Table2" localSheetId="10">'Bureau 4'!$D$67:$H$72</definedName>
    <definedName name="Table2" localSheetId="11">'Bureau 5'!$D$67:$H$72</definedName>
    <definedName name="Table2" localSheetId="12">'Bureau 6'!$D$67:$H$72</definedName>
    <definedName name="Table2" localSheetId="13">'Bureau 7'!$D$67:$H$72</definedName>
    <definedName name="Table2" localSheetId="14">'Bureau 8'!$D$67:$H$72</definedName>
    <definedName name="Table2" localSheetId="15">'Bureau 9'!$D$67:$H$72</definedName>
    <definedName name="Table2" localSheetId="5">Exemple!$D$67:$P$72</definedName>
    <definedName name="Table2" localSheetId="3">'Feuille décompte'!#REF!</definedName>
    <definedName name="Table2">'Bureau 0'!$D$67:$H$72</definedName>
    <definedName name="Table3" localSheetId="7">'Bureau 1'!$D$78:$H$80</definedName>
    <definedName name="Table3" localSheetId="16">'Bureau 10'!$D$78:$H$80</definedName>
    <definedName name="Table3" localSheetId="17">'Bureau 11'!$D$78:$H$80</definedName>
    <definedName name="Table3" localSheetId="18">'Bureau 12'!$D$78:$H$80</definedName>
    <definedName name="Table3" localSheetId="8">'Bureau 2'!$D$78:$H$80</definedName>
    <definedName name="Table3" localSheetId="9">'Bureau 3'!$D$78:$H$80</definedName>
    <definedName name="Table3" localSheetId="10">'Bureau 4'!$D$78:$H$80</definedName>
    <definedName name="Table3" localSheetId="11">'Bureau 5'!$D$78:$H$80</definedName>
    <definedName name="Table3" localSheetId="12">'Bureau 6'!$D$78:$H$80</definedName>
    <definedName name="Table3" localSheetId="13">'Bureau 7'!$D$78:$H$80</definedName>
    <definedName name="Table3" localSheetId="14">'Bureau 8'!$D$78:$H$80</definedName>
    <definedName name="Table3" localSheetId="15">'Bureau 9'!$D$78:$H$80</definedName>
    <definedName name="Table3" localSheetId="5">Exemple!$D$78:$P$80</definedName>
    <definedName name="Table3" localSheetId="3">'Feuille décompte'!#REF!</definedName>
    <definedName name="Table3">'Bureau 0'!$D$78:$H$80</definedName>
    <definedName name="TableauAges">Sièges!$Y$3:$AD$38</definedName>
    <definedName name="TableDepouillement1">#REF!</definedName>
    <definedName name="TableDepouillement1bis">#REF!</definedName>
  </definedNames>
  <calcPr calcId="191029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9" i="1182" l="1"/>
  <c r="AC39" i="1182"/>
  <c r="AA40" i="1182"/>
  <c r="AC40" i="1182"/>
  <c r="H20" i="757"/>
  <c r="H19" i="757"/>
  <c r="N25" i="757"/>
  <c r="N24" i="757"/>
  <c r="N23" i="757"/>
  <c r="N22" i="757"/>
  <c r="Z3" i="1182"/>
  <c r="AC7" i="1182" l="1"/>
  <c r="AC8" i="1182"/>
  <c r="AC9" i="1182"/>
  <c r="AC10" i="1182"/>
  <c r="AC11" i="1182"/>
  <c r="AC12" i="1182"/>
  <c r="AC13" i="1182"/>
  <c r="AC14" i="1182"/>
  <c r="AC15" i="1182"/>
  <c r="AC16" i="1182"/>
  <c r="AC17" i="1182"/>
  <c r="AC18" i="1182"/>
  <c r="AC19" i="1182"/>
  <c r="AC20" i="1182"/>
  <c r="AC21" i="1182"/>
  <c r="AC22" i="1182"/>
  <c r="AC23" i="1182"/>
  <c r="AC24" i="1182"/>
  <c r="AC25" i="1182"/>
  <c r="AC26" i="1182"/>
  <c r="AC27" i="1182"/>
  <c r="AC28" i="1182"/>
  <c r="AC29" i="1182"/>
  <c r="AC30" i="1182"/>
  <c r="AC31" i="1182"/>
  <c r="AC32" i="1182"/>
  <c r="AC33" i="1182"/>
  <c r="AC34" i="1182"/>
  <c r="AC35" i="1182"/>
  <c r="AC36" i="1182"/>
  <c r="AC37" i="1182"/>
  <c r="AC38" i="1182"/>
  <c r="AC6" i="1182"/>
  <c r="AA7" i="1182"/>
  <c r="AA8" i="1182"/>
  <c r="AA9" i="1182"/>
  <c r="AA10" i="1182"/>
  <c r="AA11" i="1182"/>
  <c r="AA12" i="1182"/>
  <c r="AA13" i="1182"/>
  <c r="AA14" i="1182"/>
  <c r="AA15" i="1182"/>
  <c r="AA16" i="1182"/>
  <c r="AA17" i="1182"/>
  <c r="AA18" i="1182"/>
  <c r="AA19" i="1182"/>
  <c r="AA20" i="1182"/>
  <c r="AA21" i="1182"/>
  <c r="AA22" i="1182"/>
  <c r="AA23" i="1182"/>
  <c r="AA24" i="1182"/>
  <c r="AA25" i="1182"/>
  <c r="AA26" i="1182"/>
  <c r="AA27" i="1182"/>
  <c r="AA28" i="1182"/>
  <c r="AA29" i="1182"/>
  <c r="AA30" i="1182"/>
  <c r="AA31" i="1182"/>
  <c r="AA32" i="1182"/>
  <c r="AA33" i="1182"/>
  <c r="AA34" i="1182"/>
  <c r="AA35" i="1182"/>
  <c r="AA36" i="1182"/>
  <c r="AA37" i="1182"/>
  <c r="AA38" i="1182"/>
  <c r="AA6" i="1182"/>
  <c r="AB3" i="1182"/>
  <c r="F20" i="1182"/>
  <c r="F19" i="1182"/>
  <c r="E13" i="1182"/>
  <c r="E3" i="1182"/>
  <c r="E15" i="1182" s="1"/>
  <c r="E2" i="1182"/>
  <c r="E14" i="1182" s="1"/>
  <c r="B4" i="1182"/>
  <c r="A4" i="1182"/>
  <c r="B3" i="1182"/>
  <c r="A3" i="1182"/>
  <c r="B2" i="1182"/>
  <c r="A2" i="1182"/>
  <c r="B1" i="1182"/>
  <c r="A1" i="1182"/>
  <c r="B6" i="1181"/>
  <c r="B5" i="1181"/>
  <c r="I80" i="1181"/>
  <c r="I79" i="1181"/>
  <c r="I78" i="1181"/>
  <c r="I72" i="1181"/>
  <c r="I71" i="1181"/>
  <c r="I70" i="1181"/>
  <c r="I69" i="1181"/>
  <c r="I68" i="1181"/>
  <c r="I59" i="1181"/>
  <c r="I58" i="1181"/>
  <c r="I57" i="1181"/>
  <c r="I56" i="1181"/>
  <c r="I55" i="1181"/>
  <c r="I54" i="1181"/>
  <c r="I53" i="1181"/>
  <c r="I52" i="1181"/>
  <c r="I51" i="1181"/>
  <c r="I50" i="1181"/>
  <c r="E25" i="1181"/>
  <c r="D22" i="1181" s="1"/>
  <c r="D24" i="1181"/>
  <c r="D21" i="1181"/>
  <c r="D20" i="1181"/>
  <c r="P15" i="1181"/>
  <c r="M15" i="1181"/>
  <c r="P14" i="1181"/>
  <c r="M14" i="1181"/>
  <c r="P13" i="1181"/>
  <c r="M13" i="1181"/>
  <c r="P12" i="1181"/>
  <c r="M12" i="1181"/>
  <c r="P11" i="1181"/>
  <c r="M11" i="1181"/>
  <c r="P10" i="1181"/>
  <c r="M10" i="1181"/>
  <c r="P9" i="1181"/>
  <c r="M9" i="1181"/>
  <c r="P8" i="1181"/>
  <c r="M8" i="1181"/>
  <c r="B8" i="1181"/>
  <c r="D25" i="1181" s="1"/>
  <c r="P7" i="1181"/>
  <c r="M7" i="1181"/>
  <c r="P6" i="1181"/>
  <c r="M6" i="1181"/>
  <c r="P5" i="1181"/>
  <c r="M5" i="1181"/>
  <c r="P4" i="1181"/>
  <c r="M4" i="1181"/>
  <c r="A4" i="1181"/>
  <c r="M3" i="1181"/>
  <c r="B3" i="1181"/>
  <c r="A3" i="1181"/>
  <c r="F2" i="1181"/>
  <c r="F67" i="1181" s="1"/>
  <c r="E2" i="1181"/>
  <c r="E67" i="1181" s="1"/>
  <c r="B2" i="1181"/>
  <c r="A2" i="1181"/>
  <c r="B1" i="1181"/>
  <c r="A1" i="1181"/>
  <c r="B6" i="1180"/>
  <c r="B5" i="1180"/>
  <c r="I80" i="1180"/>
  <c r="I79" i="1180"/>
  <c r="I78" i="1180"/>
  <c r="I72" i="1180"/>
  <c r="I71" i="1180"/>
  <c r="I70" i="1180"/>
  <c r="I69" i="1180"/>
  <c r="I68" i="1180"/>
  <c r="I59" i="1180"/>
  <c r="I58" i="1180"/>
  <c r="I57" i="1180"/>
  <c r="I56" i="1180"/>
  <c r="I55" i="1180"/>
  <c r="I54" i="1180"/>
  <c r="I53" i="1180"/>
  <c r="I52" i="1180"/>
  <c r="I51" i="1180"/>
  <c r="I50" i="1180"/>
  <c r="E25" i="1180"/>
  <c r="D22" i="1180" s="1"/>
  <c r="D24" i="1180"/>
  <c r="P15" i="1180"/>
  <c r="M15" i="1180"/>
  <c r="P14" i="1180"/>
  <c r="M14" i="1180"/>
  <c r="P13" i="1180"/>
  <c r="M13" i="1180"/>
  <c r="P12" i="1180"/>
  <c r="M12" i="1180"/>
  <c r="P11" i="1180"/>
  <c r="M11" i="1180"/>
  <c r="P10" i="1180"/>
  <c r="M10" i="1180"/>
  <c r="P9" i="1180"/>
  <c r="M9" i="1180"/>
  <c r="P8" i="1180"/>
  <c r="M8" i="1180"/>
  <c r="B8" i="1180"/>
  <c r="D25" i="1180" s="1"/>
  <c r="P7" i="1180"/>
  <c r="M7" i="1180"/>
  <c r="P6" i="1180"/>
  <c r="M6" i="1180"/>
  <c r="P5" i="1180"/>
  <c r="M5" i="1180"/>
  <c r="P4" i="1180"/>
  <c r="M4" i="1180"/>
  <c r="A4" i="1180"/>
  <c r="M3" i="1180"/>
  <c r="B3" i="1180"/>
  <c r="A3" i="1180"/>
  <c r="F2" i="1180"/>
  <c r="F67" i="1180" s="1"/>
  <c r="E2" i="1180"/>
  <c r="E67" i="1180" s="1"/>
  <c r="B2" i="1180"/>
  <c r="A2" i="1180"/>
  <c r="B1" i="1180"/>
  <c r="A1" i="1180"/>
  <c r="B6" i="1179"/>
  <c r="B5" i="1179"/>
  <c r="I80" i="1179"/>
  <c r="I79" i="1179"/>
  <c r="I78" i="1179"/>
  <c r="I72" i="1179"/>
  <c r="I71" i="1179"/>
  <c r="I70" i="1179"/>
  <c r="I69" i="1179"/>
  <c r="I68" i="1179"/>
  <c r="I59" i="1179"/>
  <c r="I58" i="1179"/>
  <c r="I57" i="1179"/>
  <c r="I56" i="1179"/>
  <c r="I55" i="1179"/>
  <c r="I54" i="1179"/>
  <c r="I53" i="1179"/>
  <c r="I52" i="1179"/>
  <c r="I51" i="1179"/>
  <c r="I50" i="1179"/>
  <c r="E25" i="1179"/>
  <c r="D22" i="1179" s="1"/>
  <c r="D24" i="1179"/>
  <c r="D20" i="1179"/>
  <c r="P15" i="1179"/>
  <c r="M15" i="1179"/>
  <c r="P14" i="1179"/>
  <c r="M14" i="1179"/>
  <c r="P13" i="1179"/>
  <c r="M13" i="1179"/>
  <c r="P12" i="1179"/>
  <c r="M12" i="1179"/>
  <c r="P11" i="1179"/>
  <c r="M11" i="1179"/>
  <c r="P10" i="1179"/>
  <c r="M10" i="1179"/>
  <c r="P9" i="1179"/>
  <c r="M9" i="1179"/>
  <c r="P8" i="1179"/>
  <c r="M8" i="1179"/>
  <c r="B8" i="1179"/>
  <c r="D25" i="1179" s="1"/>
  <c r="P7" i="1179"/>
  <c r="M7" i="1179"/>
  <c r="P6" i="1179"/>
  <c r="M6" i="1179"/>
  <c r="P5" i="1179"/>
  <c r="M5" i="1179"/>
  <c r="P4" i="1179"/>
  <c r="M4" i="1179"/>
  <c r="A4" i="1179"/>
  <c r="M3" i="1179"/>
  <c r="B3" i="1179"/>
  <c r="A3" i="1179"/>
  <c r="F2" i="1179"/>
  <c r="F67" i="1179" s="1"/>
  <c r="E2" i="1179"/>
  <c r="E67" i="1179" s="1"/>
  <c r="B2" i="1179"/>
  <c r="A2" i="1179"/>
  <c r="B1" i="1179"/>
  <c r="A1" i="1179"/>
  <c r="B6" i="1178"/>
  <c r="B5" i="1178"/>
  <c r="I80" i="1178"/>
  <c r="I79" i="1178"/>
  <c r="I78" i="1178"/>
  <c r="I72" i="1178"/>
  <c r="I71" i="1178"/>
  <c r="I70" i="1178"/>
  <c r="I69" i="1178"/>
  <c r="I68" i="1178"/>
  <c r="I59" i="1178"/>
  <c r="I58" i="1178"/>
  <c r="I57" i="1178"/>
  <c r="I56" i="1178"/>
  <c r="I55" i="1178"/>
  <c r="I54" i="1178"/>
  <c r="I53" i="1178"/>
  <c r="I52" i="1178"/>
  <c r="I51" i="1178"/>
  <c r="I50" i="1178"/>
  <c r="E25" i="1178"/>
  <c r="D22" i="1178" s="1"/>
  <c r="D24" i="1178"/>
  <c r="D21" i="1178"/>
  <c r="D20" i="1178"/>
  <c r="D19" i="1178"/>
  <c r="P15" i="1178"/>
  <c r="M15" i="1178"/>
  <c r="P14" i="1178"/>
  <c r="M14" i="1178"/>
  <c r="P13" i="1178"/>
  <c r="M13" i="1178"/>
  <c r="P12" i="1178"/>
  <c r="M12" i="1178"/>
  <c r="P11" i="1178"/>
  <c r="M11" i="1178"/>
  <c r="P10" i="1178"/>
  <c r="M10" i="1178"/>
  <c r="P9" i="1178"/>
  <c r="M9" i="1178"/>
  <c r="P8" i="1178"/>
  <c r="M8" i="1178"/>
  <c r="B8" i="1178"/>
  <c r="D25" i="1178" s="1"/>
  <c r="P7" i="1178"/>
  <c r="M7" i="1178"/>
  <c r="P6" i="1178"/>
  <c r="M6" i="1178"/>
  <c r="P5" i="1178"/>
  <c r="M5" i="1178"/>
  <c r="P4" i="1178"/>
  <c r="M4" i="1178"/>
  <c r="A4" i="1178"/>
  <c r="M3" i="1178"/>
  <c r="B3" i="1178"/>
  <c r="A3" i="1178"/>
  <c r="F2" i="1178"/>
  <c r="F67" i="1178" s="1"/>
  <c r="E2" i="1178"/>
  <c r="E67" i="1178" s="1"/>
  <c r="B2" i="1178"/>
  <c r="A2" i="1178"/>
  <c r="B1" i="1178"/>
  <c r="A1" i="1178"/>
  <c r="B6" i="1177"/>
  <c r="B5" i="1177"/>
  <c r="I80" i="1177"/>
  <c r="I79" i="1177"/>
  <c r="I78" i="1177"/>
  <c r="I72" i="1177"/>
  <c r="I71" i="1177"/>
  <c r="I70" i="1177"/>
  <c r="I69" i="1177"/>
  <c r="I68" i="1177"/>
  <c r="I59" i="1177"/>
  <c r="I58" i="1177"/>
  <c r="I57" i="1177"/>
  <c r="I56" i="1177"/>
  <c r="I55" i="1177"/>
  <c r="I54" i="1177"/>
  <c r="I53" i="1177"/>
  <c r="I52" i="1177"/>
  <c r="I51" i="1177"/>
  <c r="I50" i="1177"/>
  <c r="E25" i="1177"/>
  <c r="D22" i="1177" s="1"/>
  <c r="D24" i="1177"/>
  <c r="D21" i="1177"/>
  <c r="D20" i="1177"/>
  <c r="P15" i="1177"/>
  <c r="M15" i="1177"/>
  <c r="P14" i="1177"/>
  <c r="M14" i="1177"/>
  <c r="P13" i="1177"/>
  <c r="M13" i="1177"/>
  <c r="P12" i="1177"/>
  <c r="M12" i="1177"/>
  <c r="P11" i="1177"/>
  <c r="M11" i="1177"/>
  <c r="P10" i="1177"/>
  <c r="M10" i="1177"/>
  <c r="P9" i="1177"/>
  <c r="M9" i="1177"/>
  <c r="P8" i="1177"/>
  <c r="M8" i="1177"/>
  <c r="B8" i="1177"/>
  <c r="D25" i="1177" s="1"/>
  <c r="P7" i="1177"/>
  <c r="M7" i="1177"/>
  <c r="P6" i="1177"/>
  <c r="M6" i="1177"/>
  <c r="P5" i="1177"/>
  <c r="M5" i="1177"/>
  <c r="P4" i="1177"/>
  <c r="M4" i="1177"/>
  <c r="A4" i="1177"/>
  <c r="M3" i="1177"/>
  <c r="B3" i="1177"/>
  <c r="A3" i="1177"/>
  <c r="F2" i="1177"/>
  <c r="F67" i="1177" s="1"/>
  <c r="E2" i="1177"/>
  <c r="E67" i="1177" s="1"/>
  <c r="B2" i="1177"/>
  <c r="A2" i="1177"/>
  <c r="B1" i="1177"/>
  <c r="A1" i="1177"/>
  <c r="B6" i="1176"/>
  <c r="B5" i="1176"/>
  <c r="I80" i="1176"/>
  <c r="I79" i="1176"/>
  <c r="I78" i="1176"/>
  <c r="I72" i="1176"/>
  <c r="I71" i="1176"/>
  <c r="I70" i="1176"/>
  <c r="I69" i="1176"/>
  <c r="I68" i="1176"/>
  <c r="I59" i="1176"/>
  <c r="I58" i="1176"/>
  <c r="I57" i="1176"/>
  <c r="I56" i="1176"/>
  <c r="I55" i="1176"/>
  <c r="I54" i="1176"/>
  <c r="I53" i="1176"/>
  <c r="I52" i="1176"/>
  <c r="I51" i="1176"/>
  <c r="I50" i="1176"/>
  <c r="E25" i="1176"/>
  <c r="D22" i="1176" s="1"/>
  <c r="D24" i="1176"/>
  <c r="D21" i="1176"/>
  <c r="D20" i="1176"/>
  <c r="D19" i="1176"/>
  <c r="P15" i="1176"/>
  <c r="M15" i="1176"/>
  <c r="P14" i="1176"/>
  <c r="M14" i="1176"/>
  <c r="P13" i="1176"/>
  <c r="M13" i="1176"/>
  <c r="P12" i="1176"/>
  <c r="M12" i="1176"/>
  <c r="P11" i="1176"/>
  <c r="M11" i="1176"/>
  <c r="P10" i="1176"/>
  <c r="M10" i="1176"/>
  <c r="P9" i="1176"/>
  <c r="M9" i="1176"/>
  <c r="P8" i="1176"/>
  <c r="M8" i="1176"/>
  <c r="B8" i="1176"/>
  <c r="D25" i="1176" s="1"/>
  <c r="P7" i="1176"/>
  <c r="M7" i="1176"/>
  <c r="P6" i="1176"/>
  <c r="M6" i="1176"/>
  <c r="P5" i="1176"/>
  <c r="M5" i="1176"/>
  <c r="P4" i="1176"/>
  <c r="M4" i="1176"/>
  <c r="A4" i="1176"/>
  <c r="M3" i="1176"/>
  <c r="B3" i="1176"/>
  <c r="A3" i="1176"/>
  <c r="F2" i="1176"/>
  <c r="F67" i="1176" s="1"/>
  <c r="E2" i="1176"/>
  <c r="E67" i="1176" s="1"/>
  <c r="B2" i="1176"/>
  <c r="A2" i="1176"/>
  <c r="B1" i="1176"/>
  <c r="A1" i="1176"/>
  <c r="B6" i="1175"/>
  <c r="B5" i="1175"/>
  <c r="I80" i="1175"/>
  <c r="I79" i="1175"/>
  <c r="I78" i="1175"/>
  <c r="I72" i="1175"/>
  <c r="I71" i="1175"/>
  <c r="I70" i="1175"/>
  <c r="I69" i="1175"/>
  <c r="I68" i="1175"/>
  <c r="I59" i="1175"/>
  <c r="I58" i="1175"/>
  <c r="I57" i="1175"/>
  <c r="I56" i="1175"/>
  <c r="I55" i="1175"/>
  <c r="I54" i="1175"/>
  <c r="I53" i="1175"/>
  <c r="I52" i="1175"/>
  <c r="I51" i="1175"/>
  <c r="I50" i="1175"/>
  <c r="E25" i="1175"/>
  <c r="D22" i="1175" s="1"/>
  <c r="D24" i="1175"/>
  <c r="D21" i="1175"/>
  <c r="D20" i="1175"/>
  <c r="D19" i="1175"/>
  <c r="P15" i="1175"/>
  <c r="M15" i="1175"/>
  <c r="P14" i="1175"/>
  <c r="M14" i="1175"/>
  <c r="P13" i="1175"/>
  <c r="M13" i="1175"/>
  <c r="P12" i="1175"/>
  <c r="M12" i="1175"/>
  <c r="P11" i="1175"/>
  <c r="M11" i="1175"/>
  <c r="P10" i="1175"/>
  <c r="M10" i="1175"/>
  <c r="P9" i="1175"/>
  <c r="M9" i="1175"/>
  <c r="P8" i="1175"/>
  <c r="M8" i="1175"/>
  <c r="B8" i="1175"/>
  <c r="D25" i="1175" s="1"/>
  <c r="P7" i="1175"/>
  <c r="M7" i="1175"/>
  <c r="P6" i="1175"/>
  <c r="M6" i="1175"/>
  <c r="P5" i="1175"/>
  <c r="M5" i="1175"/>
  <c r="P4" i="1175"/>
  <c r="M4" i="1175"/>
  <c r="A4" i="1175"/>
  <c r="M3" i="1175"/>
  <c r="B3" i="1175"/>
  <c r="A3" i="1175"/>
  <c r="F2" i="1175"/>
  <c r="F67" i="1175" s="1"/>
  <c r="E2" i="1175"/>
  <c r="E67" i="1175" s="1"/>
  <c r="B2" i="1175"/>
  <c r="A2" i="1175"/>
  <c r="B1" i="1175"/>
  <c r="A1" i="1175"/>
  <c r="B6" i="1174"/>
  <c r="B5" i="1174"/>
  <c r="I80" i="1174"/>
  <c r="I79" i="1174"/>
  <c r="I78" i="1174"/>
  <c r="I72" i="1174"/>
  <c r="I71" i="1174"/>
  <c r="I70" i="1174"/>
  <c r="I69" i="1174"/>
  <c r="I68" i="1174"/>
  <c r="I59" i="1174"/>
  <c r="I58" i="1174"/>
  <c r="I57" i="1174"/>
  <c r="I56" i="1174"/>
  <c r="I55" i="1174"/>
  <c r="I54" i="1174"/>
  <c r="I53" i="1174"/>
  <c r="I52" i="1174"/>
  <c r="I51" i="1174"/>
  <c r="I50" i="1174"/>
  <c r="E25" i="1174"/>
  <c r="D22" i="1174" s="1"/>
  <c r="D24" i="1174"/>
  <c r="D21" i="1174"/>
  <c r="D20" i="1174"/>
  <c r="P15" i="1174"/>
  <c r="M15" i="1174"/>
  <c r="P14" i="1174"/>
  <c r="M14" i="1174"/>
  <c r="P13" i="1174"/>
  <c r="M13" i="1174"/>
  <c r="P12" i="1174"/>
  <c r="M12" i="1174"/>
  <c r="P11" i="1174"/>
  <c r="M11" i="1174"/>
  <c r="P10" i="1174"/>
  <c r="M10" i="1174"/>
  <c r="P9" i="1174"/>
  <c r="M9" i="1174"/>
  <c r="P8" i="1174"/>
  <c r="M8" i="1174"/>
  <c r="B8" i="1174"/>
  <c r="D25" i="1174" s="1"/>
  <c r="P7" i="1174"/>
  <c r="M7" i="1174"/>
  <c r="P6" i="1174"/>
  <c r="M6" i="1174"/>
  <c r="P5" i="1174"/>
  <c r="M5" i="1174"/>
  <c r="P4" i="1174"/>
  <c r="M4" i="1174"/>
  <c r="A4" i="1174"/>
  <c r="M3" i="1174"/>
  <c r="B3" i="1174"/>
  <c r="A3" i="1174"/>
  <c r="F2" i="1174"/>
  <c r="F67" i="1174" s="1"/>
  <c r="E2" i="1174"/>
  <c r="E67" i="1174" s="1"/>
  <c r="B2" i="1174"/>
  <c r="A2" i="1174"/>
  <c r="B1" i="1174"/>
  <c r="A1" i="1174"/>
  <c r="B6" i="1173"/>
  <c r="B5" i="1173"/>
  <c r="I80" i="1173"/>
  <c r="I79" i="1173"/>
  <c r="I78" i="1173"/>
  <c r="I72" i="1173"/>
  <c r="I71" i="1173"/>
  <c r="I70" i="1173"/>
  <c r="I69" i="1173"/>
  <c r="I68" i="1173"/>
  <c r="I59" i="1173"/>
  <c r="I58" i="1173"/>
  <c r="I57" i="1173"/>
  <c r="I56" i="1173"/>
  <c r="I55" i="1173"/>
  <c r="I54" i="1173"/>
  <c r="I53" i="1173"/>
  <c r="I52" i="1173"/>
  <c r="I51" i="1173"/>
  <c r="I50" i="1173"/>
  <c r="E25" i="1173"/>
  <c r="D22" i="1173" s="1"/>
  <c r="D24" i="1173"/>
  <c r="P15" i="1173"/>
  <c r="M15" i="1173"/>
  <c r="P14" i="1173"/>
  <c r="M14" i="1173"/>
  <c r="P13" i="1173"/>
  <c r="M13" i="1173"/>
  <c r="P12" i="1173"/>
  <c r="M12" i="1173"/>
  <c r="P11" i="1173"/>
  <c r="M11" i="1173"/>
  <c r="P10" i="1173"/>
  <c r="M10" i="1173"/>
  <c r="P9" i="1173"/>
  <c r="M9" i="1173"/>
  <c r="P8" i="1173"/>
  <c r="M8" i="1173"/>
  <c r="B8" i="1173"/>
  <c r="D25" i="1173" s="1"/>
  <c r="P7" i="1173"/>
  <c r="M7" i="1173"/>
  <c r="P6" i="1173"/>
  <c r="M6" i="1173"/>
  <c r="P5" i="1173"/>
  <c r="M5" i="1173"/>
  <c r="P4" i="1173"/>
  <c r="M4" i="1173"/>
  <c r="A4" i="1173"/>
  <c r="M3" i="1173"/>
  <c r="B3" i="1173"/>
  <c r="A3" i="1173"/>
  <c r="F2" i="1173"/>
  <c r="F67" i="1173" s="1"/>
  <c r="E2" i="1173"/>
  <c r="E67" i="1173" s="1"/>
  <c r="B2" i="1173"/>
  <c r="A2" i="1173"/>
  <c r="B1" i="1173"/>
  <c r="A1" i="1173"/>
  <c r="B6" i="1172"/>
  <c r="B5" i="1172"/>
  <c r="I80" i="1172"/>
  <c r="I79" i="1172"/>
  <c r="I78" i="1172"/>
  <c r="I72" i="1172"/>
  <c r="I71" i="1172"/>
  <c r="I70" i="1172"/>
  <c r="I69" i="1172"/>
  <c r="I68" i="1172"/>
  <c r="I59" i="1172"/>
  <c r="I58" i="1172"/>
  <c r="I57" i="1172"/>
  <c r="I56" i="1172"/>
  <c r="I55" i="1172"/>
  <c r="I54" i="1172"/>
  <c r="I53" i="1172"/>
  <c r="I52" i="1172"/>
  <c r="I51" i="1172"/>
  <c r="I50" i="1172"/>
  <c r="E25" i="1172"/>
  <c r="D22" i="1172" s="1"/>
  <c r="D24" i="1172"/>
  <c r="D21" i="1172"/>
  <c r="D20" i="1172"/>
  <c r="D19" i="1172"/>
  <c r="P15" i="1172"/>
  <c r="M15" i="1172"/>
  <c r="P14" i="1172"/>
  <c r="M14" i="1172"/>
  <c r="P13" i="1172"/>
  <c r="M13" i="1172"/>
  <c r="P12" i="1172"/>
  <c r="M12" i="1172"/>
  <c r="P11" i="1172"/>
  <c r="M11" i="1172"/>
  <c r="P10" i="1172"/>
  <c r="M10" i="1172"/>
  <c r="P9" i="1172"/>
  <c r="M9" i="1172"/>
  <c r="P8" i="1172"/>
  <c r="M8" i="1172"/>
  <c r="B8" i="1172"/>
  <c r="D25" i="1172" s="1"/>
  <c r="P7" i="1172"/>
  <c r="M7" i="1172"/>
  <c r="P6" i="1172"/>
  <c r="M6" i="1172"/>
  <c r="P5" i="1172"/>
  <c r="M5" i="1172"/>
  <c r="P4" i="1172"/>
  <c r="M4" i="1172"/>
  <c r="A4" i="1172"/>
  <c r="M3" i="1172"/>
  <c r="B3" i="1172"/>
  <c r="A3" i="1172"/>
  <c r="F2" i="1172"/>
  <c r="F67" i="1172" s="1"/>
  <c r="E2" i="1172"/>
  <c r="E67" i="1172" s="1"/>
  <c r="B2" i="1172"/>
  <c r="A2" i="1172"/>
  <c r="B1" i="1172"/>
  <c r="A1" i="1172"/>
  <c r="B6" i="1171"/>
  <c r="B5" i="1171"/>
  <c r="I80" i="1171"/>
  <c r="I79" i="1171"/>
  <c r="I78" i="1171"/>
  <c r="I72" i="1171"/>
  <c r="I71" i="1171"/>
  <c r="I70" i="1171"/>
  <c r="I69" i="1171"/>
  <c r="I68" i="1171"/>
  <c r="I59" i="1171"/>
  <c r="I58" i="1171"/>
  <c r="I57" i="1171"/>
  <c r="I56" i="1171"/>
  <c r="I55" i="1171"/>
  <c r="I54" i="1171"/>
  <c r="I53" i="1171"/>
  <c r="I52" i="1171"/>
  <c r="I51" i="1171"/>
  <c r="I50" i="1171"/>
  <c r="E25" i="1171"/>
  <c r="D22" i="1171" s="1"/>
  <c r="D24" i="1171"/>
  <c r="D21" i="1171"/>
  <c r="D20" i="1171"/>
  <c r="D19" i="1171"/>
  <c r="P15" i="1171"/>
  <c r="M15" i="1171"/>
  <c r="P14" i="1171"/>
  <c r="M14" i="1171"/>
  <c r="P13" i="1171"/>
  <c r="M13" i="1171"/>
  <c r="P12" i="1171"/>
  <c r="M12" i="1171"/>
  <c r="P11" i="1171"/>
  <c r="M11" i="1171"/>
  <c r="P10" i="1171"/>
  <c r="M10" i="1171"/>
  <c r="P9" i="1171"/>
  <c r="M9" i="1171"/>
  <c r="P8" i="1171"/>
  <c r="M8" i="1171"/>
  <c r="B8" i="1171"/>
  <c r="D25" i="1171" s="1"/>
  <c r="P7" i="1171"/>
  <c r="M7" i="1171"/>
  <c r="P6" i="1171"/>
  <c r="M6" i="1171"/>
  <c r="P5" i="1171"/>
  <c r="M5" i="1171"/>
  <c r="P4" i="1171"/>
  <c r="M4" i="1171"/>
  <c r="A4" i="1171"/>
  <c r="M3" i="1171"/>
  <c r="B3" i="1171"/>
  <c r="A3" i="1171"/>
  <c r="F2" i="1171"/>
  <c r="F67" i="1171" s="1"/>
  <c r="E2" i="1171"/>
  <c r="E67" i="1171" s="1"/>
  <c r="B2" i="1171"/>
  <c r="A2" i="1171"/>
  <c r="B1" i="1171"/>
  <c r="A1" i="1171"/>
  <c r="B6" i="1170"/>
  <c r="B5" i="1170"/>
  <c r="I80" i="1170"/>
  <c r="I79" i="1170"/>
  <c r="I78" i="1170"/>
  <c r="I72" i="1170"/>
  <c r="I71" i="1170"/>
  <c r="I70" i="1170"/>
  <c r="I69" i="1170"/>
  <c r="I68" i="1170"/>
  <c r="I59" i="1170"/>
  <c r="I58" i="1170"/>
  <c r="I57" i="1170"/>
  <c r="I56" i="1170"/>
  <c r="I55" i="1170"/>
  <c r="I54" i="1170"/>
  <c r="I53" i="1170"/>
  <c r="I52" i="1170"/>
  <c r="I51" i="1170"/>
  <c r="I50" i="1170"/>
  <c r="E25" i="1170"/>
  <c r="D22" i="1170" s="1"/>
  <c r="D24" i="1170"/>
  <c r="P15" i="1170"/>
  <c r="M15" i="1170"/>
  <c r="P14" i="1170"/>
  <c r="M14" i="1170"/>
  <c r="P13" i="1170"/>
  <c r="M13" i="1170"/>
  <c r="P12" i="1170"/>
  <c r="M12" i="1170"/>
  <c r="P11" i="1170"/>
  <c r="M11" i="1170"/>
  <c r="P10" i="1170"/>
  <c r="M10" i="1170"/>
  <c r="P9" i="1170"/>
  <c r="M9" i="1170"/>
  <c r="P8" i="1170"/>
  <c r="M8" i="1170"/>
  <c r="B8" i="1170"/>
  <c r="D25" i="1170" s="1"/>
  <c r="P7" i="1170"/>
  <c r="M7" i="1170"/>
  <c r="P6" i="1170"/>
  <c r="M6" i="1170"/>
  <c r="P5" i="1170"/>
  <c r="M5" i="1170"/>
  <c r="P4" i="1170"/>
  <c r="M4" i="1170"/>
  <c r="A4" i="1170"/>
  <c r="M3" i="1170"/>
  <c r="B3" i="1170"/>
  <c r="A3" i="1170"/>
  <c r="F2" i="1170"/>
  <c r="F67" i="1170" s="1"/>
  <c r="E2" i="1170"/>
  <c r="E67" i="1170" s="1"/>
  <c r="B2" i="1170"/>
  <c r="A2" i="1170"/>
  <c r="B1" i="1170"/>
  <c r="A1" i="1170"/>
  <c r="B2" i="207"/>
  <c r="B4" i="207"/>
  <c r="A4" i="207"/>
  <c r="B3" i="207"/>
  <c r="A3" i="207"/>
  <c r="A2" i="207"/>
  <c r="B1" i="207"/>
  <c r="A1" i="207"/>
  <c r="X25" i="757"/>
  <c r="W25" i="757"/>
  <c r="X24" i="757"/>
  <c r="W24" i="757"/>
  <c r="X23" i="757"/>
  <c r="W23" i="757"/>
  <c r="X22" i="757"/>
  <c r="W22" i="757"/>
  <c r="M25" i="757"/>
  <c r="M24" i="757"/>
  <c r="M23" i="757"/>
  <c r="M22" i="757"/>
  <c r="B18" i="3"/>
  <c r="B17" i="3"/>
  <c r="A18" i="3"/>
  <c r="A17" i="3"/>
  <c r="A16" i="3"/>
  <c r="A15" i="3"/>
  <c r="B15" i="3"/>
  <c r="B16" i="3"/>
  <c r="B35" i="952"/>
  <c r="B34" i="952"/>
  <c r="B33" i="952"/>
  <c r="E4" i="1" a="1"/>
  <c r="E8" i="1" a="1"/>
  <c r="E12" i="1" a="1"/>
  <c r="E5" i="1" a="1"/>
  <c r="E9" i="1" a="1"/>
  <c r="E13" i="1" a="1"/>
  <c r="E6" i="1" a="1"/>
  <c r="E10" i="1" a="1"/>
  <c r="E14" i="1" a="1"/>
  <c r="E7" i="1" a="1"/>
  <c r="E11" i="1" a="1"/>
  <c r="D5" i="1" a="1"/>
  <c r="D9" i="1" a="1"/>
  <c r="D13" i="1" a="1"/>
  <c r="D6" i="1" a="1"/>
  <c r="D14" i="1" a="1"/>
  <c r="D10" i="1" a="1"/>
  <c r="D7" i="1" a="1"/>
  <c r="D11" i="1" a="1"/>
  <c r="D4" i="1" a="1"/>
  <c r="D8" i="1" a="1"/>
  <c r="D12" i="1" a="1"/>
  <c r="E3" i="1" a="1"/>
  <c r="D3" i="1" a="1"/>
  <c r="M2" i="1182" l="1"/>
  <c r="M3" i="1182"/>
  <c r="E11" i="1"/>
  <c r="E7" i="1"/>
  <c r="E14" i="1"/>
  <c r="E10" i="1"/>
  <c r="E6" i="1"/>
  <c r="E13" i="1"/>
  <c r="E9" i="1"/>
  <c r="E5" i="1"/>
  <c r="E12" i="1"/>
  <c r="E8" i="1"/>
  <c r="E4" i="1"/>
  <c r="D12" i="1"/>
  <c r="D8" i="1"/>
  <c r="D4" i="1"/>
  <c r="D11" i="1"/>
  <c r="D7" i="1"/>
  <c r="D10" i="1"/>
  <c r="D14" i="1"/>
  <c r="D6" i="1"/>
  <c r="D13" i="1"/>
  <c r="D9" i="1"/>
  <c r="D5" i="1"/>
  <c r="E3" i="1"/>
  <c r="D3" i="1"/>
  <c r="B10" i="1181"/>
  <c r="D19" i="1181"/>
  <c r="E49" i="1181"/>
  <c r="F49" i="1181"/>
  <c r="E77" i="1181"/>
  <c r="F77" i="1181"/>
  <c r="E24" i="1181"/>
  <c r="B10" i="1180"/>
  <c r="D19" i="1180"/>
  <c r="E49" i="1180"/>
  <c r="D20" i="1180"/>
  <c r="F49" i="1180"/>
  <c r="D21" i="1180"/>
  <c r="E77" i="1180"/>
  <c r="F77" i="1180"/>
  <c r="E24" i="1180"/>
  <c r="B10" i="1179"/>
  <c r="D19" i="1179"/>
  <c r="E49" i="1179"/>
  <c r="F49" i="1179"/>
  <c r="D21" i="1179"/>
  <c r="E77" i="1179"/>
  <c r="F77" i="1179"/>
  <c r="E24" i="1179"/>
  <c r="B10" i="1178"/>
  <c r="E49" i="1178"/>
  <c r="F49" i="1178"/>
  <c r="E77" i="1178"/>
  <c r="F77" i="1178"/>
  <c r="E24" i="1178"/>
  <c r="B10" i="1177"/>
  <c r="D19" i="1177"/>
  <c r="E49" i="1177"/>
  <c r="F49" i="1177"/>
  <c r="E77" i="1177"/>
  <c r="F77" i="1177"/>
  <c r="E24" i="1177"/>
  <c r="B10" i="1176"/>
  <c r="E49" i="1176"/>
  <c r="F49" i="1176"/>
  <c r="E77" i="1176"/>
  <c r="F77" i="1176"/>
  <c r="E24" i="1176"/>
  <c r="B10" i="1175"/>
  <c r="E49" i="1175"/>
  <c r="F49" i="1175"/>
  <c r="E77" i="1175"/>
  <c r="F77" i="1175"/>
  <c r="E24" i="1175"/>
  <c r="B10" i="1174"/>
  <c r="D19" i="1174"/>
  <c r="E49" i="1174"/>
  <c r="F49" i="1174"/>
  <c r="E77" i="1174"/>
  <c r="F77" i="1174"/>
  <c r="E24" i="1174"/>
  <c r="B10" i="1173"/>
  <c r="D19" i="1173"/>
  <c r="E49" i="1173"/>
  <c r="D20" i="1173"/>
  <c r="F49" i="1173"/>
  <c r="D21" i="1173"/>
  <c r="E77" i="1173"/>
  <c r="F77" i="1173"/>
  <c r="E24" i="1173"/>
  <c r="B10" i="1172"/>
  <c r="E49" i="1172"/>
  <c r="F49" i="1172"/>
  <c r="E77" i="1172"/>
  <c r="F77" i="1172"/>
  <c r="E24" i="1172"/>
  <c r="B10" i="1171"/>
  <c r="E49" i="1171"/>
  <c r="F49" i="1171"/>
  <c r="E77" i="1171"/>
  <c r="F77" i="1171"/>
  <c r="E24" i="1171"/>
  <c r="B10" i="1170"/>
  <c r="D19" i="1170"/>
  <c r="E49" i="1170"/>
  <c r="D20" i="1170"/>
  <c r="F49" i="1170"/>
  <c r="D21" i="1170"/>
  <c r="E77" i="1170"/>
  <c r="F77" i="1170"/>
  <c r="E24" i="1170"/>
  <c r="D5" i="757"/>
  <c r="D6" i="757"/>
  <c r="D7" i="757"/>
  <c r="D8" i="757"/>
  <c r="D9" i="757"/>
  <c r="D10" i="757"/>
  <c r="D11" i="757"/>
  <c r="D12" i="757"/>
  <c r="D13" i="757"/>
  <c r="D14" i="757"/>
  <c r="D15" i="757"/>
  <c r="D4" i="757"/>
  <c r="D4" i="1181" l="1" a="1"/>
  <c r="D4" i="1181" s="1"/>
  <c r="D11" i="1181" a="1"/>
  <c r="D11" i="1181" s="1"/>
  <c r="D8" i="1181" a="1"/>
  <c r="D8" i="1181" s="1"/>
  <c r="D5" i="1181" a="1"/>
  <c r="D5" i="1181" s="1"/>
  <c r="D12" i="1181" a="1"/>
  <c r="D12" i="1181" s="1"/>
  <c r="D9" i="1181" a="1"/>
  <c r="D9" i="1181" s="1"/>
  <c r="D6" i="1181" a="1"/>
  <c r="D6" i="1181" s="1"/>
  <c r="D10" i="1181" a="1"/>
  <c r="D10" i="1181" s="1"/>
  <c r="D3" i="1181" a="1"/>
  <c r="D3" i="1181" s="1"/>
  <c r="D7" i="1181" a="1"/>
  <c r="D7" i="1181" s="1"/>
  <c r="D4" i="1180" a="1"/>
  <c r="D4" i="1180" s="1"/>
  <c r="D11" i="1180" a="1"/>
  <c r="D11" i="1180" s="1"/>
  <c r="D8" i="1180" a="1"/>
  <c r="D8" i="1180" s="1"/>
  <c r="D5" i="1180" a="1"/>
  <c r="D5" i="1180" s="1"/>
  <c r="D12" i="1180" a="1"/>
  <c r="D12" i="1180" s="1"/>
  <c r="D9" i="1180" a="1"/>
  <c r="D9" i="1180" s="1"/>
  <c r="D6" i="1180" a="1"/>
  <c r="D6" i="1180" s="1"/>
  <c r="D10" i="1180" a="1"/>
  <c r="D10" i="1180" s="1"/>
  <c r="D3" i="1180" a="1"/>
  <c r="D3" i="1180" s="1"/>
  <c r="D7" i="1180" a="1"/>
  <c r="D7" i="1180" s="1"/>
  <c r="D4" i="1179" a="1"/>
  <c r="D4" i="1179" s="1"/>
  <c r="D11" i="1179" a="1"/>
  <c r="D11" i="1179" s="1"/>
  <c r="D8" i="1179" a="1"/>
  <c r="D8" i="1179" s="1"/>
  <c r="D5" i="1179" a="1"/>
  <c r="D5" i="1179" s="1"/>
  <c r="D12" i="1179" a="1"/>
  <c r="D12" i="1179" s="1"/>
  <c r="D9" i="1179" a="1"/>
  <c r="D9" i="1179" s="1"/>
  <c r="D6" i="1179" a="1"/>
  <c r="D6" i="1179" s="1"/>
  <c r="D10" i="1179" a="1"/>
  <c r="D10" i="1179" s="1"/>
  <c r="D3" i="1179" a="1"/>
  <c r="D3" i="1179" s="1"/>
  <c r="D7" i="1179" a="1"/>
  <c r="D7" i="1179" s="1"/>
  <c r="D4" i="1178" a="1"/>
  <c r="D4" i="1178" s="1"/>
  <c r="D11" i="1178" a="1"/>
  <c r="D11" i="1178" s="1"/>
  <c r="D8" i="1178" a="1"/>
  <c r="D8" i="1178" s="1"/>
  <c r="D5" i="1178" a="1"/>
  <c r="D5" i="1178" s="1"/>
  <c r="D12" i="1178" a="1"/>
  <c r="D12" i="1178" s="1"/>
  <c r="D9" i="1178" a="1"/>
  <c r="D9" i="1178" s="1"/>
  <c r="D6" i="1178" a="1"/>
  <c r="D6" i="1178" s="1"/>
  <c r="D10" i="1178" a="1"/>
  <c r="D10" i="1178" s="1"/>
  <c r="D3" i="1178" a="1"/>
  <c r="D3" i="1178" s="1"/>
  <c r="D7" i="1178" a="1"/>
  <c r="D7" i="1178" s="1"/>
  <c r="D4" i="1177" a="1"/>
  <c r="D4" i="1177" s="1"/>
  <c r="D11" i="1177" a="1"/>
  <c r="D11" i="1177" s="1"/>
  <c r="D8" i="1177" a="1"/>
  <c r="D8" i="1177" s="1"/>
  <c r="D5" i="1177" a="1"/>
  <c r="D5" i="1177" s="1"/>
  <c r="D12" i="1177" a="1"/>
  <c r="D12" i="1177" s="1"/>
  <c r="D9" i="1177" a="1"/>
  <c r="D9" i="1177" s="1"/>
  <c r="D6" i="1177" a="1"/>
  <c r="D6" i="1177" s="1"/>
  <c r="D10" i="1177" a="1"/>
  <c r="D10" i="1177" s="1"/>
  <c r="D3" i="1177" a="1"/>
  <c r="D3" i="1177" s="1"/>
  <c r="D7" i="1177" a="1"/>
  <c r="D7" i="1177" s="1"/>
  <c r="D4" i="1176" a="1"/>
  <c r="D4" i="1176" s="1"/>
  <c r="D11" i="1176" a="1"/>
  <c r="D11" i="1176" s="1"/>
  <c r="D8" i="1176" a="1"/>
  <c r="D8" i="1176" s="1"/>
  <c r="D5" i="1176" a="1"/>
  <c r="D5" i="1176" s="1"/>
  <c r="D12" i="1176" a="1"/>
  <c r="D12" i="1176" s="1"/>
  <c r="D9" i="1176" a="1"/>
  <c r="D9" i="1176" s="1"/>
  <c r="D6" i="1176" a="1"/>
  <c r="D6" i="1176" s="1"/>
  <c r="D10" i="1176" a="1"/>
  <c r="D10" i="1176" s="1"/>
  <c r="D3" i="1176" a="1"/>
  <c r="D3" i="1176" s="1"/>
  <c r="D7" i="1176" a="1"/>
  <c r="D7" i="1176" s="1"/>
  <c r="D4" i="1175" a="1"/>
  <c r="D4" i="1175" s="1"/>
  <c r="D11" i="1175" a="1"/>
  <c r="D11" i="1175" s="1"/>
  <c r="D8" i="1175" a="1"/>
  <c r="D8" i="1175" s="1"/>
  <c r="D5" i="1175" a="1"/>
  <c r="D5" i="1175" s="1"/>
  <c r="D12" i="1175" a="1"/>
  <c r="D12" i="1175" s="1"/>
  <c r="D9" i="1175" a="1"/>
  <c r="D9" i="1175" s="1"/>
  <c r="D6" i="1175" a="1"/>
  <c r="D6" i="1175" s="1"/>
  <c r="D3" i="1175" a="1"/>
  <c r="D3" i="1175" s="1"/>
  <c r="D10" i="1175" a="1"/>
  <c r="D10" i="1175" s="1"/>
  <c r="D7" i="1175" a="1"/>
  <c r="D7" i="1175" s="1"/>
  <c r="D4" i="1174" a="1"/>
  <c r="D4" i="1174" s="1"/>
  <c r="D11" i="1174" a="1"/>
  <c r="D11" i="1174" s="1"/>
  <c r="D8" i="1174" a="1"/>
  <c r="D8" i="1174" s="1"/>
  <c r="D5" i="1174" a="1"/>
  <c r="D5" i="1174" s="1"/>
  <c r="D12" i="1174" a="1"/>
  <c r="D12" i="1174" s="1"/>
  <c r="D9" i="1174" a="1"/>
  <c r="D9" i="1174" s="1"/>
  <c r="D6" i="1174" a="1"/>
  <c r="D6" i="1174" s="1"/>
  <c r="D3" i="1174" a="1"/>
  <c r="D3" i="1174" s="1"/>
  <c r="D10" i="1174" a="1"/>
  <c r="D10" i="1174" s="1"/>
  <c r="D7" i="1174" a="1"/>
  <c r="D7" i="1174" s="1"/>
  <c r="D4" i="1173" a="1"/>
  <c r="D4" i="1173" s="1"/>
  <c r="D11" i="1173" a="1"/>
  <c r="D11" i="1173" s="1"/>
  <c r="D8" i="1173" a="1"/>
  <c r="D8" i="1173" s="1"/>
  <c r="D5" i="1173" a="1"/>
  <c r="D5" i="1173" s="1"/>
  <c r="D12" i="1173" a="1"/>
  <c r="D12" i="1173" s="1"/>
  <c r="D9" i="1173" a="1"/>
  <c r="D9" i="1173" s="1"/>
  <c r="D6" i="1173" a="1"/>
  <c r="D6" i="1173" s="1"/>
  <c r="D10" i="1173" a="1"/>
  <c r="D10" i="1173" s="1"/>
  <c r="D3" i="1173" a="1"/>
  <c r="D3" i="1173" s="1"/>
  <c r="D7" i="1173" a="1"/>
  <c r="D7" i="1173" s="1"/>
  <c r="D4" i="1172" a="1"/>
  <c r="D4" i="1172" s="1"/>
  <c r="D5" i="1172" a="1"/>
  <c r="D5" i="1172" s="1"/>
  <c r="D11" i="1172" a="1"/>
  <c r="D11" i="1172" s="1"/>
  <c r="D8" i="1172" a="1"/>
  <c r="D8" i="1172" s="1"/>
  <c r="D12" i="1172" a="1"/>
  <c r="D12" i="1172" s="1"/>
  <c r="D9" i="1172" a="1"/>
  <c r="D9" i="1172" s="1"/>
  <c r="D6" i="1172" a="1"/>
  <c r="D6" i="1172" s="1"/>
  <c r="D3" i="1172" a="1"/>
  <c r="D3" i="1172" s="1"/>
  <c r="D10" i="1172" a="1"/>
  <c r="D10" i="1172" s="1"/>
  <c r="D7" i="1172" a="1"/>
  <c r="D7" i="1172" s="1"/>
  <c r="D4" i="1171" a="1"/>
  <c r="D4" i="1171" s="1"/>
  <c r="D3" i="1171" a="1"/>
  <c r="D3" i="1171" s="1"/>
  <c r="D11" i="1171" a="1"/>
  <c r="D11" i="1171" s="1"/>
  <c r="D8" i="1171" a="1"/>
  <c r="D8" i="1171" s="1"/>
  <c r="D5" i="1171" a="1"/>
  <c r="D5" i="1171" s="1"/>
  <c r="D12" i="1171" a="1"/>
  <c r="D12" i="1171" s="1"/>
  <c r="D9" i="1171" a="1"/>
  <c r="D9" i="1171" s="1"/>
  <c r="D6" i="1171" a="1"/>
  <c r="D6" i="1171" s="1"/>
  <c r="D10" i="1171" a="1"/>
  <c r="D10" i="1171" s="1"/>
  <c r="D7" i="1171" a="1"/>
  <c r="D7" i="1171" s="1"/>
  <c r="D4" i="1170" a="1"/>
  <c r="D4" i="1170" s="1"/>
  <c r="D11" i="1170" a="1"/>
  <c r="D11" i="1170" s="1"/>
  <c r="D8" i="1170" a="1"/>
  <c r="D8" i="1170" s="1"/>
  <c r="D5" i="1170" a="1"/>
  <c r="D5" i="1170" s="1"/>
  <c r="D12" i="1170" a="1"/>
  <c r="D12" i="1170" s="1"/>
  <c r="D9" i="1170" a="1"/>
  <c r="D9" i="1170" s="1"/>
  <c r="D6" i="1170" a="1"/>
  <c r="D6" i="1170" s="1"/>
  <c r="D3" i="1170" a="1"/>
  <c r="D3" i="1170" s="1"/>
  <c r="D10" i="1170" a="1"/>
  <c r="D10" i="1170" s="1"/>
  <c r="D7" i="1170" a="1"/>
  <c r="D7" i="1170" s="1"/>
  <c r="G3" i="757"/>
  <c r="C24" i="952"/>
  <c r="C6" i="952"/>
  <c r="F2" i="207"/>
  <c r="F49" i="207" s="1"/>
  <c r="G7" i="1181" l="1" a="1"/>
  <c r="G7" i="1181" s="1"/>
  <c r="F7" i="1181" a="1"/>
  <c r="F7" i="1181" s="1"/>
  <c r="E7" i="1181" a="1"/>
  <c r="E7" i="1181" s="1"/>
  <c r="H7" i="1181" a="1"/>
  <c r="H7" i="1181" s="1"/>
  <c r="G10" i="1181" a="1"/>
  <c r="G10" i="1181" s="1"/>
  <c r="F10" i="1181" a="1"/>
  <c r="F10" i="1181" s="1"/>
  <c r="E10" i="1181" a="1"/>
  <c r="E10" i="1181" s="1"/>
  <c r="H10" i="1181" a="1"/>
  <c r="H10" i="1181" s="1"/>
  <c r="F6" i="1181" a="1"/>
  <c r="F6" i="1181" s="1"/>
  <c r="E6" i="1181" a="1"/>
  <c r="E6" i="1181" s="1"/>
  <c r="H6" i="1181" a="1"/>
  <c r="H6" i="1181" s="1"/>
  <c r="G6" i="1181" a="1"/>
  <c r="G6" i="1181" s="1"/>
  <c r="F9" i="1181" a="1"/>
  <c r="F9" i="1181" s="1"/>
  <c r="E9" i="1181" a="1"/>
  <c r="E9" i="1181" s="1"/>
  <c r="H9" i="1181" a="1"/>
  <c r="H9" i="1181" s="1"/>
  <c r="G9" i="1181" a="1"/>
  <c r="G9" i="1181" s="1"/>
  <c r="F12" i="1181" a="1"/>
  <c r="F12" i="1181" s="1"/>
  <c r="E12" i="1181" a="1"/>
  <c r="E12" i="1181" s="1"/>
  <c r="H12" i="1181" a="1"/>
  <c r="H12" i="1181" s="1"/>
  <c r="G12" i="1181" a="1"/>
  <c r="G12" i="1181" s="1"/>
  <c r="E5" i="1181" a="1"/>
  <c r="E5" i="1181" s="1"/>
  <c r="H5" i="1181" a="1"/>
  <c r="H5" i="1181" s="1"/>
  <c r="G5" i="1181" a="1"/>
  <c r="G5" i="1181" s="1"/>
  <c r="F5" i="1181" a="1"/>
  <c r="F5" i="1181" s="1"/>
  <c r="H8" i="1181" a="1"/>
  <c r="H8" i="1181" s="1"/>
  <c r="G8" i="1181" a="1"/>
  <c r="G8" i="1181" s="1"/>
  <c r="F8" i="1181" a="1"/>
  <c r="F8" i="1181" s="1"/>
  <c r="E8" i="1181" a="1"/>
  <c r="E8" i="1181" s="1"/>
  <c r="H11" i="1181" a="1"/>
  <c r="H11" i="1181" s="1"/>
  <c r="G11" i="1181" a="1"/>
  <c r="G11" i="1181" s="1"/>
  <c r="F11" i="1181" a="1"/>
  <c r="F11" i="1181" s="1"/>
  <c r="E11" i="1181" a="1"/>
  <c r="E11" i="1181" s="1"/>
  <c r="G3" i="1181" a="1"/>
  <c r="G3" i="1181" s="1"/>
  <c r="F3" i="1181" a="1"/>
  <c r="F3" i="1181" s="1"/>
  <c r="E3" i="1181" a="1"/>
  <c r="E3" i="1181" s="1"/>
  <c r="H3" i="1181" a="1"/>
  <c r="H3" i="1181" s="1"/>
  <c r="H4" i="1181" a="1"/>
  <c r="H4" i="1181" s="1"/>
  <c r="G4" i="1181" a="1"/>
  <c r="G4" i="1181" s="1"/>
  <c r="F4" i="1181" a="1"/>
  <c r="F4" i="1181" s="1"/>
  <c r="E4" i="1181" a="1"/>
  <c r="E4" i="1181" s="1"/>
  <c r="G3" i="1180" a="1"/>
  <c r="G3" i="1180" s="1"/>
  <c r="F3" i="1180" a="1"/>
  <c r="F3" i="1180" s="1"/>
  <c r="E3" i="1180" a="1"/>
  <c r="E3" i="1180" s="1"/>
  <c r="H3" i="1180" a="1"/>
  <c r="H3" i="1180" s="1"/>
  <c r="G10" i="1180" a="1"/>
  <c r="G10" i="1180" s="1"/>
  <c r="F10" i="1180" a="1"/>
  <c r="F10" i="1180" s="1"/>
  <c r="E10" i="1180" a="1"/>
  <c r="E10" i="1180" s="1"/>
  <c r="H10" i="1180" a="1"/>
  <c r="H10" i="1180" s="1"/>
  <c r="F6" i="1180" a="1"/>
  <c r="F6" i="1180" s="1"/>
  <c r="E6" i="1180" a="1"/>
  <c r="E6" i="1180" s="1"/>
  <c r="H6" i="1180" a="1"/>
  <c r="H6" i="1180" s="1"/>
  <c r="G6" i="1180" a="1"/>
  <c r="G6" i="1180" s="1"/>
  <c r="F9" i="1180" a="1"/>
  <c r="F9" i="1180" s="1"/>
  <c r="E9" i="1180" a="1"/>
  <c r="E9" i="1180" s="1"/>
  <c r="H9" i="1180" a="1"/>
  <c r="H9" i="1180" s="1"/>
  <c r="G9" i="1180" a="1"/>
  <c r="G9" i="1180" s="1"/>
  <c r="F12" i="1180" a="1"/>
  <c r="F12" i="1180" s="1"/>
  <c r="E12" i="1180" a="1"/>
  <c r="E12" i="1180" s="1"/>
  <c r="H12" i="1180" a="1"/>
  <c r="H12" i="1180" s="1"/>
  <c r="G12" i="1180" a="1"/>
  <c r="G12" i="1180" s="1"/>
  <c r="E5" i="1180" a="1"/>
  <c r="E5" i="1180" s="1"/>
  <c r="H5" i="1180" a="1"/>
  <c r="H5" i="1180" s="1"/>
  <c r="G5" i="1180" a="1"/>
  <c r="G5" i="1180" s="1"/>
  <c r="F5" i="1180" a="1"/>
  <c r="F5" i="1180" s="1"/>
  <c r="H8" i="1180" a="1"/>
  <c r="H8" i="1180" s="1"/>
  <c r="G8" i="1180" a="1"/>
  <c r="G8" i="1180" s="1"/>
  <c r="F8" i="1180" a="1"/>
  <c r="F8" i="1180" s="1"/>
  <c r="E8" i="1180" a="1"/>
  <c r="E8" i="1180" s="1"/>
  <c r="G7" i="1180" a="1"/>
  <c r="G7" i="1180" s="1"/>
  <c r="F7" i="1180" a="1"/>
  <c r="F7" i="1180" s="1"/>
  <c r="E7" i="1180" a="1"/>
  <c r="E7" i="1180" s="1"/>
  <c r="H7" i="1180" a="1"/>
  <c r="H7" i="1180" s="1"/>
  <c r="H11" i="1180" a="1"/>
  <c r="H11" i="1180" s="1"/>
  <c r="G11" i="1180" a="1"/>
  <c r="G11" i="1180" s="1"/>
  <c r="F11" i="1180" a="1"/>
  <c r="F11" i="1180" s="1"/>
  <c r="E11" i="1180" a="1"/>
  <c r="E11" i="1180" s="1"/>
  <c r="H4" i="1180" a="1"/>
  <c r="H4" i="1180" s="1"/>
  <c r="G4" i="1180" a="1"/>
  <c r="G4" i="1180" s="1"/>
  <c r="F4" i="1180" a="1"/>
  <c r="F4" i="1180" s="1"/>
  <c r="E4" i="1180" a="1"/>
  <c r="E4" i="1180" s="1"/>
  <c r="G10" i="1179" a="1"/>
  <c r="G10" i="1179" s="1"/>
  <c r="F10" i="1179" a="1"/>
  <c r="F10" i="1179" s="1"/>
  <c r="E10" i="1179" a="1"/>
  <c r="E10" i="1179" s="1"/>
  <c r="H10" i="1179" a="1"/>
  <c r="H10" i="1179" s="1"/>
  <c r="F6" i="1179" a="1"/>
  <c r="F6" i="1179" s="1"/>
  <c r="E6" i="1179" a="1"/>
  <c r="E6" i="1179" s="1"/>
  <c r="H6" i="1179" a="1"/>
  <c r="H6" i="1179" s="1"/>
  <c r="G6" i="1179" a="1"/>
  <c r="G6" i="1179" s="1"/>
  <c r="F9" i="1179" a="1"/>
  <c r="F9" i="1179" s="1"/>
  <c r="E9" i="1179" a="1"/>
  <c r="E9" i="1179" s="1"/>
  <c r="H9" i="1179" a="1"/>
  <c r="H9" i="1179" s="1"/>
  <c r="G9" i="1179" a="1"/>
  <c r="G9" i="1179" s="1"/>
  <c r="F12" i="1179" a="1"/>
  <c r="F12" i="1179" s="1"/>
  <c r="E12" i="1179" a="1"/>
  <c r="E12" i="1179" s="1"/>
  <c r="H12" i="1179" a="1"/>
  <c r="H12" i="1179" s="1"/>
  <c r="G12" i="1179" a="1"/>
  <c r="G12" i="1179" s="1"/>
  <c r="E5" i="1179" a="1"/>
  <c r="E5" i="1179" s="1"/>
  <c r="H5" i="1179" a="1"/>
  <c r="H5" i="1179" s="1"/>
  <c r="G5" i="1179" a="1"/>
  <c r="G5" i="1179" s="1"/>
  <c r="F5" i="1179" a="1"/>
  <c r="F5" i="1179" s="1"/>
  <c r="H8" i="1179" a="1"/>
  <c r="H8" i="1179" s="1"/>
  <c r="G8" i="1179" a="1"/>
  <c r="G8" i="1179" s="1"/>
  <c r="F8" i="1179" a="1"/>
  <c r="F8" i="1179" s="1"/>
  <c r="E8" i="1179" a="1"/>
  <c r="E8" i="1179" s="1"/>
  <c r="G7" i="1179" a="1"/>
  <c r="G7" i="1179" s="1"/>
  <c r="F7" i="1179" a="1"/>
  <c r="F7" i="1179" s="1"/>
  <c r="E7" i="1179" a="1"/>
  <c r="E7" i="1179" s="1"/>
  <c r="H7" i="1179" a="1"/>
  <c r="H7" i="1179" s="1"/>
  <c r="H11" i="1179" a="1"/>
  <c r="H11" i="1179" s="1"/>
  <c r="G11" i="1179" a="1"/>
  <c r="G11" i="1179" s="1"/>
  <c r="F11" i="1179" a="1"/>
  <c r="F11" i="1179" s="1"/>
  <c r="E11" i="1179" a="1"/>
  <c r="E11" i="1179" s="1"/>
  <c r="G3" i="1179" a="1"/>
  <c r="G3" i="1179" s="1"/>
  <c r="F3" i="1179" a="1"/>
  <c r="F3" i="1179" s="1"/>
  <c r="E3" i="1179" a="1"/>
  <c r="E3" i="1179" s="1"/>
  <c r="H3" i="1179" a="1"/>
  <c r="H3" i="1179" s="1"/>
  <c r="H4" i="1179" a="1"/>
  <c r="H4" i="1179" s="1"/>
  <c r="G4" i="1179" a="1"/>
  <c r="G4" i="1179" s="1"/>
  <c r="F4" i="1179" a="1"/>
  <c r="F4" i="1179" s="1"/>
  <c r="E4" i="1179" a="1"/>
  <c r="E4" i="1179" s="1"/>
  <c r="G10" i="1178" a="1"/>
  <c r="G10" i="1178" s="1"/>
  <c r="F10" i="1178" a="1"/>
  <c r="F10" i="1178" s="1"/>
  <c r="E10" i="1178" a="1"/>
  <c r="E10" i="1178" s="1"/>
  <c r="H10" i="1178" a="1"/>
  <c r="H10" i="1178" s="1"/>
  <c r="F6" i="1178" a="1"/>
  <c r="F6" i="1178" s="1"/>
  <c r="E6" i="1178" a="1"/>
  <c r="E6" i="1178" s="1"/>
  <c r="H6" i="1178" a="1"/>
  <c r="H6" i="1178" s="1"/>
  <c r="G6" i="1178" a="1"/>
  <c r="G6" i="1178" s="1"/>
  <c r="F9" i="1178" a="1"/>
  <c r="F9" i="1178" s="1"/>
  <c r="E9" i="1178" a="1"/>
  <c r="E9" i="1178" s="1"/>
  <c r="H9" i="1178" a="1"/>
  <c r="H9" i="1178" s="1"/>
  <c r="G9" i="1178" a="1"/>
  <c r="G9" i="1178" s="1"/>
  <c r="F12" i="1178" a="1"/>
  <c r="F12" i="1178" s="1"/>
  <c r="E12" i="1178" a="1"/>
  <c r="E12" i="1178" s="1"/>
  <c r="H12" i="1178" a="1"/>
  <c r="H12" i="1178" s="1"/>
  <c r="G12" i="1178" a="1"/>
  <c r="G12" i="1178" s="1"/>
  <c r="E5" i="1178" a="1"/>
  <c r="E5" i="1178" s="1"/>
  <c r="I5" i="1178" s="1"/>
  <c r="H5" i="1178" a="1"/>
  <c r="H5" i="1178" s="1"/>
  <c r="G5" i="1178" a="1"/>
  <c r="G5" i="1178" s="1"/>
  <c r="F5" i="1178" a="1"/>
  <c r="F5" i="1178" s="1"/>
  <c r="H8" i="1178" a="1"/>
  <c r="H8" i="1178" s="1"/>
  <c r="G8" i="1178" a="1"/>
  <c r="G8" i="1178" s="1"/>
  <c r="F8" i="1178" a="1"/>
  <c r="F8" i="1178" s="1"/>
  <c r="E8" i="1178" a="1"/>
  <c r="E8" i="1178" s="1"/>
  <c r="G7" i="1178" a="1"/>
  <c r="G7" i="1178" s="1"/>
  <c r="F7" i="1178" a="1"/>
  <c r="F7" i="1178" s="1"/>
  <c r="E7" i="1178" a="1"/>
  <c r="E7" i="1178" s="1"/>
  <c r="H7" i="1178" a="1"/>
  <c r="H7" i="1178" s="1"/>
  <c r="H11" i="1178" a="1"/>
  <c r="H11" i="1178" s="1"/>
  <c r="G11" i="1178" a="1"/>
  <c r="G11" i="1178" s="1"/>
  <c r="F11" i="1178" a="1"/>
  <c r="F11" i="1178" s="1"/>
  <c r="E11" i="1178" a="1"/>
  <c r="E11" i="1178" s="1"/>
  <c r="G3" i="1178" a="1"/>
  <c r="G3" i="1178" s="1"/>
  <c r="F3" i="1178" a="1"/>
  <c r="F3" i="1178" s="1"/>
  <c r="E3" i="1178" a="1"/>
  <c r="E3" i="1178" s="1"/>
  <c r="H3" i="1178" a="1"/>
  <c r="H3" i="1178" s="1"/>
  <c r="H4" i="1178" a="1"/>
  <c r="H4" i="1178" s="1"/>
  <c r="G4" i="1178" a="1"/>
  <c r="G4" i="1178" s="1"/>
  <c r="F4" i="1178" a="1"/>
  <c r="F4" i="1178" s="1"/>
  <c r="E4" i="1178" a="1"/>
  <c r="E4" i="1178" s="1"/>
  <c r="G3" i="1177" a="1"/>
  <c r="G3" i="1177" s="1"/>
  <c r="F3" i="1177" a="1"/>
  <c r="F3" i="1177" s="1"/>
  <c r="E3" i="1177" a="1"/>
  <c r="E3" i="1177" s="1"/>
  <c r="H3" i="1177" a="1"/>
  <c r="H3" i="1177" s="1"/>
  <c r="G10" i="1177" a="1"/>
  <c r="G10" i="1177" s="1"/>
  <c r="F10" i="1177" a="1"/>
  <c r="F10" i="1177" s="1"/>
  <c r="E10" i="1177" a="1"/>
  <c r="E10" i="1177" s="1"/>
  <c r="H10" i="1177" a="1"/>
  <c r="H10" i="1177" s="1"/>
  <c r="F6" i="1177" a="1"/>
  <c r="F6" i="1177" s="1"/>
  <c r="E6" i="1177" a="1"/>
  <c r="E6" i="1177" s="1"/>
  <c r="H6" i="1177" a="1"/>
  <c r="H6" i="1177" s="1"/>
  <c r="G6" i="1177" a="1"/>
  <c r="G6" i="1177" s="1"/>
  <c r="F9" i="1177" a="1"/>
  <c r="F9" i="1177" s="1"/>
  <c r="E9" i="1177" a="1"/>
  <c r="E9" i="1177" s="1"/>
  <c r="H9" i="1177" a="1"/>
  <c r="H9" i="1177" s="1"/>
  <c r="G9" i="1177" a="1"/>
  <c r="G9" i="1177" s="1"/>
  <c r="F12" i="1177" a="1"/>
  <c r="F12" i="1177" s="1"/>
  <c r="E12" i="1177" a="1"/>
  <c r="E12" i="1177" s="1"/>
  <c r="H12" i="1177" a="1"/>
  <c r="H12" i="1177" s="1"/>
  <c r="G12" i="1177" a="1"/>
  <c r="G12" i="1177" s="1"/>
  <c r="E5" i="1177" a="1"/>
  <c r="E5" i="1177" s="1"/>
  <c r="H5" i="1177" a="1"/>
  <c r="H5" i="1177" s="1"/>
  <c r="G5" i="1177" a="1"/>
  <c r="G5" i="1177" s="1"/>
  <c r="F5" i="1177" a="1"/>
  <c r="F5" i="1177" s="1"/>
  <c r="H8" i="1177" a="1"/>
  <c r="H8" i="1177" s="1"/>
  <c r="G8" i="1177" a="1"/>
  <c r="G8" i="1177" s="1"/>
  <c r="F8" i="1177" a="1"/>
  <c r="F8" i="1177" s="1"/>
  <c r="E8" i="1177" a="1"/>
  <c r="E8" i="1177" s="1"/>
  <c r="G7" i="1177" a="1"/>
  <c r="G7" i="1177" s="1"/>
  <c r="F7" i="1177" a="1"/>
  <c r="F7" i="1177" s="1"/>
  <c r="E7" i="1177" a="1"/>
  <c r="E7" i="1177" s="1"/>
  <c r="H7" i="1177" a="1"/>
  <c r="H7" i="1177" s="1"/>
  <c r="H11" i="1177" a="1"/>
  <c r="H11" i="1177" s="1"/>
  <c r="G11" i="1177" a="1"/>
  <c r="G11" i="1177" s="1"/>
  <c r="F11" i="1177" a="1"/>
  <c r="F11" i="1177" s="1"/>
  <c r="E11" i="1177" a="1"/>
  <c r="E11" i="1177" s="1"/>
  <c r="H4" i="1177" a="1"/>
  <c r="H4" i="1177" s="1"/>
  <c r="G4" i="1177" a="1"/>
  <c r="G4" i="1177" s="1"/>
  <c r="F4" i="1177" a="1"/>
  <c r="F4" i="1177" s="1"/>
  <c r="E4" i="1177" a="1"/>
  <c r="E4" i="1177" s="1"/>
  <c r="G3" i="1176" a="1"/>
  <c r="G3" i="1176" s="1"/>
  <c r="F3" i="1176" a="1"/>
  <c r="F3" i="1176" s="1"/>
  <c r="E3" i="1176" a="1"/>
  <c r="E3" i="1176" s="1"/>
  <c r="H3" i="1176" a="1"/>
  <c r="H3" i="1176" s="1"/>
  <c r="G10" i="1176" a="1"/>
  <c r="G10" i="1176" s="1"/>
  <c r="F10" i="1176" a="1"/>
  <c r="F10" i="1176" s="1"/>
  <c r="E10" i="1176" a="1"/>
  <c r="E10" i="1176" s="1"/>
  <c r="H10" i="1176" a="1"/>
  <c r="H10" i="1176" s="1"/>
  <c r="F6" i="1176" a="1"/>
  <c r="F6" i="1176" s="1"/>
  <c r="E6" i="1176" a="1"/>
  <c r="E6" i="1176" s="1"/>
  <c r="H6" i="1176" a="1"/>
  <c r="H6" i="1176" s="1"/>
  <c r="G6" i="1176" a="1"/>
  <c r="G6" i="1176" s="1"/>
  <c r="F9" i="1176" a="1"/>
  <c r="F9" i="1176" s="1"/>
  <c r="E9" i="1176" a="1"/>
  <c r="E9" i="1176" s="1"/>
  <c r="H9" i="1176" a="1"/>
  <c r="H9" i="1176" s="1"/>
  <c r="G9" i="1176" a="1"/>
  <c r="G9" i="1176" s="1"/>
  <c r="F12" i="1176" a="1"/>
  <c r="F12" i="1176" s="1"/>
  <c r="E12" i="1176" a="1"/>
  <c r="E12" i="1176" s="1"/>
  <c r="H12" i="1176" a="1"/>
  <c r="H12" i="1176" s="1"/>
  <c r="G12" i="1176" a="1"/>
  <c r="G12" i="1176" s="1"/>
  <c r="E5" i="1176" a="1"/>
  <c r="E5" i="1176" s="1"/>
  <c r="H5" i="1176" a="1"/>
  <c r="H5" i="1176" s="1"/>
  <c r="G5" i="1176" a="1"/>
  <c r="G5" i="1176" s="1"/>
  <c r="F5" i="1176" a="1"/>
  <c r="F5" i="1176" s="1"/>
  <c r="H8" i="1176" a="1"/>
  <c r="H8" i="1176" s="1"/>
  <c r="G8" i="1176" a="1"/>
  <c r="G8" i="1176" s="1"/>
  <c r="F8" i="1176" a="1"/>
  <c r="F8" i="1176" s="1"/>
  <c r="E8" i="1176" a="1"/>
  <c r="E8" i="1176" s="1"/>
  <c r="G7" i="1176" a="1"/>
  <c r="G7" i="1176" s="1"/>
  <c r="F7" i="1176" a="1"/>
  <c r="F7" i="1176" s="1"/>
  <c r="E7" i="1176" a="1"/>
  <c r="E7" i="1176" s="1"/>
  <c r="H7" i="1176" a="1"/>
  <c r="H7" i="1176" s="1"/>
  <c r="H11" i="1176" a="1"/>
  <c r="H11" i="1176" s="1"/>
  <c r="G11" i="1176" a="1"/>
  <c r="G11" i="1176" s="1"/>
  <c r="F11" i="1176" a="1"/>
  <c r="F11" i="1176" s="1"/>
  <c r="E11" i="1176" a="1"/>
  <c r="E11" i="1176" s="1"/>
  <c r="H4" i="1176" a="1"/>
  <c r="H4" i="1176" s="1"/>
  <c r="G4" i="1176" a="1"/>
  <c r="G4" i="1176" s="1"/>
  <c r="F4" i="1176" a="1"/>
  <c r="F4" i="1176" s="1"/>
  <c r="E4" i="1176" a="1"/>
  <c r="E4" i="1176" s="1"/>
  <c r="H11" i="1175" a="1"/>
  <c r="H11" i="1175" s="1"/>
  <c r="G11" i="1175" a="1"/>
  <c r="G11" i="1175" s="1"/>
  <c r="F11" i="1175" a="1"/>
  <c r="F11" i="1175" s="1"/>
  <c r="E11" i="1175" a="1"/>
  <c r="E11" i="1175" s="1"/>
  <c r="G3" i="1175" a="1"/>
  <c r="G3" i="1175" s="1"/>
  <c r="F3" i="1175" a="1"/>
  <c r="F3" i="1175" s="1"/>
  <c r="E3" i="1175" a="1"/>
  <c r="E3" i="1175" s="1"/>
  <c r="H3" i="1175" a="1"/>
  <c r="H3" i="1175" s="1"/>
  <c r="F12" i="1175" a="1"/>
  <c r="F12" i="1175" s="1"/>
  <c r="E12" i="1175" a="1"/>
  <c r="E12" i="1175" s="1"/>
  <c r="H12" i="1175" a="1"/>
  <c r="H12" i="1175" s="1"/>
  <c r="G12" i="1175" a="1"/>
  <c r="G12" i="1175" s="1"/>
  <c r="F6" i="1175" a="1"/>
  <c r="F6" i="1175" s="1"/>
  <c r="E6" i="1175" a="1"/>
  <c r="E6" i="1175" s="1"/>
  <c r="H6" i="1175" a="1"/>
  <c r="H6" i="1175" s="1"/>
  <c r="G6" i="1175" a="1"/>
  <c r="G6" i="1175" s="1"/>
  <c r="F9" i="1175" a="1"/>
  <c r="F9" i="1175" s="1"/>
  <c r="E9" i="1175" a="1"/>
  <c r="E9" i="1175" s="1"/>
  <c r="H9" i="1175" a="1"/>
  <c r="H9" i="1175" s="1"/>
  <c r="G9" i="1175" a="1"/>
  <c r="G9" i="1175" s="1"/>
  <c r="E5" i="1175" a="1"/>
  <c r="E5" i="1175" s="1"/>
  <c r="H5" i="1175" a="1"/>
  <c r="H5" i="1175" s="1"/>
  <c r="G5" i="1175" a="1"/>
  <c r="G5" i="1175" s="1"/>
  <c r="F5" i="1175" a="1"/>
  <c r="F5" i="1175" s="1"/>
  <c r="H8" i="1175" a="1"/>
  <c r="H8" i="1175" s="1"/>
  <c r="G8" i="1175" a="1"/>
  <c r="G8" i="1175" s="1"/>
  <c r="F8" i="1175" a="1"/>
  <c r="F8" i="1175" s="1"/>
  <c r="E8" i="1175" a="1"/>
  <c r="E8" i="1175" s="1"/>
  <c r="G7" i="1175" a="1"/>
  <c r="G7" i="1175" s="1"/>
  <c r="F7" i="1175" a="1"/>
  <c r="F7" i="1175" s="1"/>
  <c r="E7" i="1175" a="1"/>
  <c r="E7" i="1175" s="1"/>
  <c r="H7" i="1175" a="1"/>
  <c r="H7" i="1175" s="1"/>
  <c r="G10" i="1175" a="1"/>
  <c r="G10" i="1175" s="1"/>
  <c r="F10" i="1175" a="1"/>
  <c r="F10" i="1175" s="1"/>
  <c r="E10" i="1175" a="1"/>
  <c r="E10" i="1175" s="1"/>
  <c r="H10" i="1175" a="1"/>
  <c r="H10" i="1175" s="1"/>
  <c r="H4" i="1175" a="1"/>
  <c r="H4" i="1175" s="1"/>
  <c r="G4" i="1175" a="1"/>
  <c r="G4" i="1175" s="1"/>
  <c r="F4" i="1175" a="1"/>
  <c r="F4" i="1175" s="1"/>
  <c r="E4" i="1175" a="1"/>
  <c r="E4" i="1175" s="1"/>
  <c r="G7" i="1174" a="1"/>
  <c r="G7" i="1174" s="1"/>
  <c r="F7" i="1174" a="1"/>
  <c r="F7" i="1174" s="1"/>
  <c r="E7" i="1174" a="1"/>
  <c r="E7" i="1174" s="1"/>
  <c r="H7" i="1174" a="1"/>
  <c r="H7" i="1174" s="1"/>
  <c r="G10" i="1174" a="1"/>
  <c r="G10" i="1174" s="1"/>
  <c r="F10" i="1174" a="1"/>
  <c r="F10" i="1174" s="1"/>
  <c r="E10" i="1174" a="1"/>
  <c r="E10" i="1174" s="1"/>
  <c r="H10" i="1174" a="1"/>
  <c r="H10" i="1174" s="1"/>
  <c r="H4" i="1174" a="1"/>
  <c r="H4" i="1174" s="1"/>
  <c r="G4" i="1174" a="1"/>
  <c r="G4" i="1174" s="1"/>
  <c r="E4" i="1174" a="1"/>
  <c r="E4" i="1174" s="1"/>
  <c r="F4" i="1174" a="1"/>
  <c r="F4" i="1174" s="1"/>
  <c r="G3" i="1174" a="1"/>
  <c r="G3" i="1174" s="1"/>
  <c r="F3" i="1174" a="1"/>
  <c r="F3" i="1174" s="1"/>
  <c r="E3" i="1174" a="1"/>
  <c r="E3" i="1174" s="1"/>
  <c r="H3" i="1174" a="1"/>
  <c r="H3" i="1174" s="1"/>
  <c r="F6" i="1174" a="1"/>
  <c r="F6" i="1174" s="1"/>
  <c r="E6" i="1174" a="1"/>
  <c r="E6" i="1174" s="1"/>
  <c r="H6" i="1174" a="1"/>
  <c r="H6" i="1174" s="1"/>
  <c r="G6" i="1174" a="1"/>
  <c r="G6" i="1174" s="1"/>
  <c r="F9" i="1174" a="1"/>
  <c r="F9" i="1174" s="1"/>
  <c r="E9" i="1174" a="1"/>
  <c r="E9" i="1174" s="1"/>
  <c r="H9" i="1174" a="1"/>
  <c r="H9" i="1174" s="1"/>
  <c r="G9" i="1174" a="1"/>
  <c r="G9" i="1174" s="1"/>
  <c r="F12" i="1174" a="1"/>
  <c r="F12" i="1174" s="1"/>
  <c r="E12" i="1174" a="1"/>
  <c r="E12" i="1174" s="1"/>
  <c r="H12" i="1174" a="1"/>
  <c r="H12" i="1174" s="1"/>
  <c r="G12" i="1174" a="1"/>
  <c r="G12" i="1174" s="1"/>
  <c r="E5" i="1174" a="1"/>
  <c r="E5" i="1174" s="1"/>
  <c r="H5" i="1174" a="1"/>
  <c r="H5" i="1174" s="1"/>
  <c r="G5" i="1174" a="1"/>
  <c r="G5" i="1174" s="1"/>
  <c r="F5" i="1174" a="1"/>
  <c r="F5" i="1174" s="1"/>
  <c r="H8" i="1174" a="1"/>
  <c r="H8" i="1174" s="1"/>
  <c r="G8" i="1174" a="1"/>
  <c r="G8" i="1174" s="1"/>
  <c r="F8" i="1174" a="1"/>
  <c r="F8" i="1174" s="1"/>
  <c r="E8" i="1174" a="1"/>
  <c r="E8" i="1174" s="1"/>
  <c r="H11" i="1174" a="1"/>
  <c r="H11" i="1174" s="1"/>
  <c r="G11" i="1174" a="1"/>
  <c r="G11" i="1174" s="1"/>
  <c r="F11" i="1174" a="1"/>
  <c r="F11" i="1174" s="1"/>
  <c r="E11" i="1174" a="1"/>
  <c r="E11" i="1174" s="1"/>
  <c r="E5" i="1173" a="1"/>
  <c r="E5" i="1173" s="1"/>
  <c r="H5" i="1173" a="1"/>
  <c r="H5" i="1173" s="1"/>
  <c r="G5" i="1173" a="1"/>
  <c r="G5" i="1173" s="1"/>
  <c r="F5" i="1173" a="1"/>
  <c r="F5" i="1173" s="1"/>
  <c r="H8" i="1173" a="1"/>
  <c r="H8" i="1173" s="1"/>
  <c r="G8" i="1173" a="1"/>
  <c r="G8" i="1173" s="1"/>
  <c r="F8" i="1173" a="1"/>
  <c r="F8" i="1173" s="1"/>
  <c r="E8" i="1173" a="1"/>
  <c r="E8" i="1173" s="1"/>
  <c r="H11" i="1173" a="1"/>
  <c r="H11" i="1173" s="1"/>
  <c r="G11" i="1173" a="1"/>
  <c r="G11" i="1173" s="1"/>
  <c r="F11" i="1173" a="1"/>
  <c r="F11" i="1173" s="1"/>
  <c r="E11" i="1173" a="1"/>
  <c r="E11" i="1173" s="1"/>
  <c r="G3" i="1173" a="1"/>
  <c r="G3" i="1173" s="1"/>
  <c r="F3" i="1173" a="1"/>
  <c r="F3" i="1173" s="1"/>
  <c r="E3" i="1173" a="1"/>
  <c r="E3" i="1173" s="1"/>
  <c r="H3" i="1173" a="1"/>
  <c r="H3" i="1173" s="1"/>
  <c r="H4" i="1173" a="1"/>
  <c r="H4" i="1173" s="1"/>
  <c r="G4" i="1173" a="1"/>
  <c r="G4" i="1173" s="1"/>
  <c r="F4" i="1173" a="1"/>
  <c r="F4" i="1173" s="1"/>
  <c r="E4" i="1173" a="1"/>
  <c r="E4" i="1173" s="1"/>
  <c r="G10" i="1173" a="1"/>
  <c r="G10" i="1173" s="1"/>
  <c r="F10" i="1173" a="1"/>
  <c r="F10" i="1173" s="1"/>
  <c r="E10" i="1173" a="1"/>
  <c r="E10" i="1173" s="1"/>
  <c r="H10" i="1173" a="1"/>
  <c r="H10" i="1173" s="1"/>
  <c r="G7" i="1173" a="1"/>
  <c r="G7" i="1173" s="1"/>
  <c r="F7" i="1173" a="1"/>
  <c r="F7" i="1173" s="1"/>
  <c r="E7" i="1173" a="1"/>
  <c r="E7" i="1173" s="1"/>
  <c r="H7" i="1173" a="1"/>
  <c r="H7" i="1173" s="1"/>
  <c r="F6" i="1173" a="1"/>
  <c r="F6" i="1173" s="1"/>
  <c r="E6" i="1173" a="1"/>
  <c r="E6" i="1173" s="1"/>
  <c r="H6" i="1173" a="1"/>
  <c r="H6" i="1173" s="1"/>
  <c r="G6" i="1173" a="1"/>
  <c r="G6" i="1173" s="1"/>
  <c r="F9" i="1173" a="1"/>
  <c r="F9" i="1173" s="1"/>
  <c r="E9" i="1173" a="1"/>
  <c r="E9" i="1173" s="1"/>
  <c r="H9" i="1173" a="1"/>
  <c r="H9" i="1173" s="1"/>
  <c r="G9" i="1173" a="1"/>
  <c r="G9" i="1173" s="1"/>
  <c r="F12" i="1173" a="1"/>
  <c r="F12" i="1173" s="1"/>
  <c r="E12" i="1173" a="1"/>
  <c r="E12" i="1173" s="1"/>
  <c r="H12" i="1173" a="1"/>
  <c r="H12" i="1173" s="1"/>
  <c r="G12" i="1173" a="1"/>
  <c r="G12" i="1173" s="1"/>
  <c r="G7" i="1172" a="1"/>
  <c r="G7" i="1172" s="1"/>
  <c r="F7" i="1172" a="1"/>
  <c r="F7" i="1172" s="1"/>
  <c r="E7" i="1172" a="1"/>
  <c r="E7" i="1172" s="1"/>
  <c r="H7" i="1172" a="1"/>
  <c r="H7" i="1172" s="1"/>
  <c r="G10" i="1172" a="1"/>
  <c r="G10" i="1172" s="1"/>
  <c r="F10" i="1172" a="1"/>
  <c r="F10" i="1172" s="1"/>
  <c r="E10" i="1172" a="1"/>
  <c r="E10" i="1172" s="1"/>
  <c r="H10" i="1172" a="1"/>
  <c r="H10" i="1172" s="1"/>
  <c r="G3" i="1172" a="1"/>
  <c r="G3" i="1172" s="1"/>
  <c r="F3" i="1172" a="1"/>
  <c r="F3" i="1172" s="1"/>
  <c r="E3" i="1172" a="1"/>
  <c r="E3" i="1172" s="1"/>
  <c r="H3" i="1172" a="1"/>
  <c r="H3" i="1172" s="1"/>
  <c r="H11" i="1172" a="1"/>
  <c r="H11" i="1172" s="1"/>
  <c r="G11" i="1172" a="1"/>
  <c r="G11" i="1172" s="1"/>
  <c r="F11" i="1172" a="1"/>
  <c r="F11" i="1172" s="1"/>
  <c r="E11" i="1172" a="1"/>
  <c r="E11" i="1172" s="1"/>
  <c r="F6" i="1172" a="1"/>
  <c r="F6" i="1172" s="1"/>
  <c r="E6" i="1172" a="1"/>
  <c r="E6" i="1172" s="1"/>
  <c r="H6" i="1172" a="1"/>
  <c r="H6" i="1172" s="1"/>
  <c r="G6" i="1172" a="1"/>
  <c r="G6" i="1172" s="1"/>
  <c r="F9" i="1172" a="1"/>
  <c r="F9" i="1172" s="1"/>
  <c r="E9" i="1172" a="1"/>
  <c r="E9" i="1172" s="1"/>
  <c r="H9" i="1172" a="1"/>
  <c r="H9" i="1172" s="1"/>
  <c r="G9" i="1172" a="1"/>
  <c r="G9" i="1172" s="1"/>
  <c r="F12" i="1172" a="1"/>
  <c r="F12" i="1172" s="1"/>
  <c r="E12" i="1172" a="1"/>
  <c r="E12" i="1172" s="1"/>
  <c r="H12" i="1172" a="1"/>
  <c r="H12" i="1172" s="1"/>
  <c r="G12" i="1172" a="1"/>
  <c r="G12" i="1172" s="1"/>
  <c r="G8" i="1172" a="1"/>
  <c r="G8" i="1172" s="1"/>
  <c r="H8" i="1172" a="1"/>
  <c r="H8" i="1172" s="1"/>
  <c r="F8" i="1172" a="1"/>
  <c r="F8" i="1172" s="1"/>
  <c r="E8" i="1172" a="1"/>
  <c r="E8" i="1172" s="1"/>
  <c r="E5" i="1172" a="1"/>
  <c r="E5" i="1172" s="1"/>
  <c r="H5" i="1172" a="1"/>
  <c r="H5" i="1172" s="1"/>
  <c r="G5" i="1172" a="1"/>
  <c r="G5" i="1172" s="1"/>
  <c r="F5" i="1172" a="1"/>
  <c r="F5" i="1172" s="1"/>
  <c r="H4" i="1172" a="1"/>
  <c r="H4" i="1172" s="1"/>
  <c r="G4" i="1172" a="1"/>
  <c r="G4" i="1172" s="1"/>
  <c r="F4" i="1172" a="1"/>
  <c r="F4" i="1172" s="1"/>
  <c r="E4" i="1172" a="1"/>
  <c r="E4" i="1172" s="1"/>
  <c r="G7" i="1171" a="1"/>
  <c r="G7" i="1171" s="1"/>
  <c r="F7" i="1171" a="1"/>
  <c r="F7" i="1171" s="1"/>
  <c r="E7" i="1171" a="1"/>
  <c r="E7" i="1171" s="1"/>
  <c r="H7" i="1171" a="1"/>
  <c r="H7" i="1171" s="1"/>
  <c r="F6" i="1171" a="1"/>
  <c r="F6" i="1171" s="1"/>
  <c r="E6" i="1171" a="1"/>
  <c r="E6" i="1171" s="1"/>
  <c r="H6" i="1171" a="1"/>
  <c r="H6" i="1171" s="1"/>
  <c r="G6" i="1171" a="1"/>
  <c r="G6" i="1171" s="1"/>
  <c r="F12" i="1171" a="1"/>
  <c r="F12" i="1171" s="1"/>
  <c r="E12" i="1171" a="1"/>
  <c r="E12" i="1171" s="1"/>
  <c r="H12" i="1171" a="1"/>
  <c r="H12" i="1171" s="1"/>
  <c r="G12" i="1171" a="1"/>
  <c r="G12" i="1171" s="1"/>
  <c r="E5" i="1171" a="1"/>
  <c r="E5" i="1171" s="1"/>
  <c r="H5" i="1171" a="1"/>
  <c r="H5" i="1171" s="1"/>
  <c r="G5" i="1171" a="1"/>
  <c r="G5" i="1171" s="1"/>
  <c r="F5" i="1171" a="1"/>
  <c r="F5" i="1171" s="1"/>
  <c r="F9" i="1171" a="1"/>
  <c r="F9" i="1171" s="1"/>
  <c r="E9" i="1171" a="1"/>
  <c r="E9" i="1171" s="1"/>
  <c r="H9" i="1171" a="1"/>
  <c r="H9" i="1171" s="1"/>
  <c r="G9" i="1171" a="1"/>
  <c r="G9" i="1171" s="1"/>
  <c r="H8" i="1171" a="1"/>
  <c r="H8" i="1171" s="1"/>
  <c r="G8" i="1171" a="1"/>
  <c r="G8" i="1171" s="1"/>
  <c r="F8" i="1171" a="1"/>
  <c r="F8" i="1171" s="1"/>
  <c r="E8" i="1171" a="1"/>
  <c r="E8" i="1171" s="1"/>
  <c r="H11" i="1171" a="1"/>
  <c r="H11" i="1171" s="1"/>
  <c r="G11" i="1171" a="1"/>
  <c r="G11" i="1171" s="1"/>
  <c r="F11" i="1171" a="1"/>
  <c r="F11" i="1171" s="1"/>
  <c r="E11" i="1171" a="1"/>
  <c r="E11" i="1171" s="1"/>
  <c r="G3" i="1171" a="1"/>
  <c r="G3" i="1171" s="1"/>
  <c r="F3" i="1171" a="1"/>
  <c r="F3" i="1171" s="1"/>
  <c r="E3" i="1171" a="1"/>
  <c r="E3" i="1171" s="1"/>
  <c r="H3" i="1171" a="1"/>
  <c r="H3" i="1171" s="1"/>
  <c r="G10" i="1171" a="1"/>
  <c r="G10" i="1171" s="1"/>
  <c r="F10" i="1171" a="1"/>
  <c r="F10" i="1171" s="1"/>
  <c r="E10" i="1171" a="1"/>
  <c r="E10" i="1171" s="1"/>
  <c r="H10" i="1171" a="1"/>
  <c r="H10" i="1171" s="1"/>
  <c r="H4" i="1171" a="1"/>
  <c r="H4" i="1171" s="1"/>
  <c r="G4" i="1171" a="1"/>
  <c r="G4" i="1171" s="1"/>
  <c r="F4" i="1171" a="1"/>
  <c r="F4" i="1171" s="1"/>
  <c r="E4" i="1171" a="1"/>
  <c r="E4" i="1171" s="1"/>
  <c r="H11" i="1170" a="1"/>
  <c r="H11" i="1170" s="1"/>
  <c r="G11" i="1170" a="1"/>
  <c r="G11" i="1170" s="1"/>
  <c r="F11" i="1170" a="1"/>
  <c r="F11" i="1170" s="1"/>
  <c r="E11" i="1170" a="1"/>
  <c r="E11" i="1170" s="1"/>
  <c r="H4" i="1170" a="1"/>
  <c r="H4" i="1170" s="1"/>
  <c r="G4" i="1170" a="1"/>
  <c r="G4" i="1170" s="1"/>
  <c r="F4" i="1170" a="1"/>
  <c r="F4" i="1170" s="1"/>
  <c r="E4" i="1170" a="1"/>
  <c r="E4" i="1170" s="1"/>
  <c r="F6" i="1170" a="1"/>
  <c r="F6" i="1170" s="1"/>
  <c r="E6" i="1170" a="1"/>
  <c r="E6" i="1170" s="1"/>
  <c r="H6" i="1170" a="1"/>
  <c r="H6" i="1170" s="1"/>
  <c r="G6" i="1170" a="1"/>
  <c r="G6" i="1170" s="1"/>
  <c r="F7" i="1170" a="1"/>
  <c r="F7" i="1170" s="1"/>
  <c r="E7" i="1170" a="1"/>
  <c r="E7" i="1170" s="1"/>
  <c r="H7" i="1170" a="1"/>
  <c r="H7" i="1170" s="1"/>
  <c r="G7" i="1170" a="1"/>
  <c r="G7" i="1170" s="1"/>
  <c r="G3" i="1170" a="1"/>
  <c r="G3" i="1170" s="1"/>
  <c r="F3" i="1170" a="1"/>
  <c r="F3" i="1170" s="1"/>
  <c r="E3" i="1170" a="1"/>
  <c r="E3" i="1170" s="1"/>
  <c r="H3" i="1170" a="1"/>
  <c r="H3" i="1170" s="1"/>
  <c r="F9" i="1170" a="1"/>
  <c r="F9" i="1170" s="1"/>
  <c r="E9" i="1170" a="1"/>
  <c r="E9" i="1170" s="1"/>
  <c r="H9" i="1170" a="1"/>
  <c r="H9" i="1170" s="1"/>
  <c r="G9" i="1170" a="1"/>
  <c r="G9" i="1170" s="1"/>
  <c r="G10" i="1170" a="1"/>
  <c r="G10" i="1170" s="1"/>
  <c r="F10" i="1170" a="1"/>
  <c r="F10" i="1170" s="1"/>
  <c r="E10" i="1170" a="1"/>
  <c r="E10" i="1170" s="1"/>
  <c r="H10" i="1170" a="1"/>
  <c r="H10" i="1170" s="1"/>
  <c r="F12" i="1170" a="1"/>
  <c r="F12" i="1170" s="1"/>
  <c r="E12" i="1170" a="1"/>
  <c r="E12" i="1170" s="1"/>
  <c r="H12" i="1170" a="1"/>
  <c r="H12" i="1170" s="1"/>
  <c r="G12" i="1170" a="1"/>
  <c r="G12" i="1170" s="1"/>
  <c r="E5" i="1170" a="1"/>
  <c r="E5" i="1170" s="1"/>
  <c r="H5" i="1170" a="1"/>
  <c r="H5" i="1170" s="1"/>
  <c r="G5" i="1170" a="1"/>
  <c r="G5" i="1170" s="1"/>
  <c r="F5" i="1170" a="1"/>
  <c r="F5" i="1170" s="1"/>
  <c r="H8" i="1170" a="1"/>
  <c r="H8" i="1170" s="1"/>
  <c r="G8" i="1170" a="1"/>
  <c r="G8" i="1170" s="1"/>
  <c r="F8" i="1170" a="1"/>
  <c r="F8" i="1170" s="1"/>
  <c r="E8" i="1170" a="1"/>
  <c r="E8" i="1170" s="1"/>
  <c r="F77" i="207"/>
  <c r="F67" i="207"/>
  <c r="G42" i="1"/>
  <c r="G41" i="1"/>
  <c r="AC8" i="3"/>
  <c r="I63" i="3"/>
  <c r="N60" i="3"/>
  <c r="I59" i="3"/>
  <c r="O56" i="3"/>
  <c r="K64" i="3"/>
  <c r="Q60" i="3"/>
  <c r="H65" i="3"/>
  <c r="R59" i="3"/>
  <c r="Y12" i="3"/>
  <c r="AA6" i="3"/>
  <c r="O58" i="3"/>
  <c r="N65" i="3"/>
  <c r="L60" i="3"/>
  <c r="Q59" i="3"/>
  <c r="M57" i="3"/>
  <c r="M58" i="3"/>
  <c r="I60" i="3"/>
  <c r="G62" i="3"/>
  <c r="N62" i="3"/>
  <c r="I61" i="3"/>
  <c r="P55" i="3"/>
  <c r="P64" i="3"/>
  <c r="G56" i="3"/>
  <c r="G55" i="3"/>
  <c r="L63" i="3"/>
  <c r="I56" i="3"/>
  <c r="M63" i="3"/>
  <c r="P63" i="3"/>
  <c r="I65" i="3"/>
  <c r="AC4" i="3"/>
  <c r="AC2" i="3"/>
  <c r="H60" i="3"/>
  <c r="G59" i="3"/>
  <c r="H63" i="3"/>
  <c r="AC9" i="3"/>
  <c r="M59" i="3"/>
  <c r="J56" i="3"/>
  <c r="I62" i="3"/>
  <c r="AA3" i="3"/>
  <c r="L62" i="3"/>
  <c r="O65" i="3"/>
  <c r="P62" i="3"/>
  <c r="R61" i="3"/>
  <c r="AC6" i="3"/>
  <c r="R55" i="3"/>
  <c r="K54" i="3"/>
  <c r="Q58" i="3"/>
  <c r="L54" i="3"/>
  <c r="O64" i="3"/>
  <c r="H56" i="3"/>
  <c r="N55" i="3"/>
  <c r="P54" i="3"/>
  <c r="L64" i="3"/>
  <c r="N64" i="3"/>
  <c r="M61" i="3"/>
  <c r="AC5" i="3"/>
  <c r="J60" i="3"/>
  <c r="I58" i="3"/>
  <c r="H57" i="3"/>
  <c r="J61" i="3"/>
  <c r="H54" i="3"/>
  <c r="Q55" i="3"/>
  <c r="I64" i="3"/>
  <c r="Q57" i="3"/>
  <c r="L59" i="3"/>
  <c r="AA4" i="3"/>
  <c r="O54" i="3"/>
  <c r="J65" i="3"/>
  <c r="O60" i="3"/>
  <c r="P56" i="3"/>
  <c r="N57" i="3"/>
  <c r="K55" i="3"/>
  <c r="H59" i="3"/>
  <c r="K62" i="3"/>
  <c r="G61" i="3"/>
  <c r="L56" i="3"/>
  <c r="AA10" i="3"/>
  <c r="M64" i="3"/>
  <c r="J59" i="3"/>
  <c r="P65" i="3"/>
  <c r="K56" i="3"/>
  <c r="L61" i="3"/>
  <c r="R62" i="3"/>
  <c r="K58" i="3"/>
  <c r="M62" i="3"/>
  <c r="AA8" i="3"/>
  <c r="M56" i="3"/>
  <c r="K57" i="3"/>
  <c r="AC12" i="3"/>
  <c r="G57" i="3"/>
  <c r="I55" i="3"/>
  <c r="G60" i="3"/>
  <c r="M54" i="3"/>
  <c r="J63" i="3"/>
  <c r="N56" i="3"/>
  <c r="R64" i="3"/>
  <c r="O59" i="3"/>
  <c r="K61" i="3"/>
  <c r="J64" i="3"/>
  <c r="M55" i="3"/>
  <c r="R57" i="3"/>
  <c r="G64" i="3"/>
  <c r="J58" i="3"/>
  <c r="R58" i="3"/>
  <c r="AC7" i="3"/>
  <c r="Q54" i="3"/>
  <c r="I57" i="3"/>
  <c r="H64" i="3"/>
  <c r="K63" i="3"/>
  <c r="Q56" i="3"/>
  <c r="P61" i="3"/>
  <c r="N54" i="3"/>
  <c r="AC3" i="3"/>
  <c r="O62" i="3"/>
  <c r="Q61" i="3"/>
  <c r="N59" i="3"/>
  <c r="AA13" i="3"/>
  <c r="M60" i="3"/>
  <c r="Q65" i="3"/>
  <c r="R56" i="3"/>
  <c r="J62" i="3"/>
  <c r="AC13" i="3"/>
  <c r="P59" i="3"/>
  <c r="AA9" i="3"/>
  <c r="N61" i="3"/>
  <c r="L58" i="3"/>
  <c r="N58" i="3"/>
  <c r="L55" i="3"/>
  <c r="P57" i="3"/>
  <c r="K65" i="3"/>
  <c r="I54" i="3"/>
  <c r="AA5" i="3"/>
  <c r="AA12" i="3"/>
  <c r="G65" i="3"/>
  <c r="Q63" i="3"/>
  <c r="H62" i="3"/>
  <c r="AC11" i="3"/>
  <c r="H61" i="3"/>
  <c r="H55" i="3"/>
  <c r="AA2" i="3"/>
  <c r="J54" i="3"/>
  <c r="O57" i="3"/>
  <c r="G58" i="3"/>
  <c r="N63" i="3"/>
  <c r="R65" i="3"/>
  <c r="L57" i="3"/>
  <c r="Q62" i="3"/>
  <c r="O55" i="3"/>
  <c r="K59" i="3"/>
  <c r="J57" i="3"/>
  <c r="J55" i="3"/>
  <c r="G63" i="3"/>
  <c r="O63" i="3"/>
  <c r="L65" i="3"/>
  <c r="Y10" i="3"/>
  <c r="R60" i="3"/>
  <c r="AC10" i="3"/>
  <c r="H58" i="3"/>
  <c r="O61" i="3"/>
  <c r="Y7" i="3"/>
  <c r="M65" i="3"/>
  <c r="R63" i="3"/>
  <c r="AA11" i="3"/>
  <c r="K60" i="3"/>
  <c r="AA7" i="3"/>
  <c r="Q64" i="3"/>
  <c r="P58" i="3"/>
  <c r="P60" i="3"/>
  <c r="G54" i="3"/>
  <c r="R54" i="3"/>
  <c r="I10" i="1181" l="1"/>
  <c r="I12" i="1181"/>
  <c r="I6" i="1181"/>
  <c r="I4" i="1181"/>
  <c r="I11" i="1181"/>
  <c r="I9" i="1181"/>
  <c r="I5" i="1181"/>
  <c r="H13" i="1181"/>
  <c r="H14" i="1181" s="1"/>
  <c r="I8" i="1181"/>
  <c r="I3" i="1181"/>
  <c r="E13" i="1181"/>
  <c r="I7" i="1181"/>
  <c r="F13" i="1181"/>
  <c r="F14" i="1181" s="1"/>
  <c r="I5" i="1179"/>
  <c r="G13" i="1181"/>
  <c r="G14" i="1181" s="1"/>
  <c r="I9" i="1180"/>
  <c r="I12" i="1180"/>
  <c r="I6" i="1180"/>
  <c r="I4" i="1180"/>
  <c r="I7" i="1180"/>
  <c r="I10" i="1180"/>
  <c r="I5" i="1180"/>
  <c r="I11" i="1180"/>
  <c r="I8" i="1180"/>
  <c r="H13" i="1180"/>
  <c r="H14" i="1180" s="1"/>
  <c r="I10" i="1179"/>
  <c r="I3" i="1180"/>
  <c r="E13" i="1180"/>
  <c r="F13" i="1180"/>
  <c r="F14" i="1180" s="1"/>
  <c r="G13" i="1180"/>
  <c r="G14" i="1180" s="1"/>
  <c r="G13" i="1179"/>
  <c r="G14" i="1179" s="1"/>
  <c r="I4" i="1179"/>
  <c r="I11" i="1179"/>
  <c r="I8" i="1179"/>
  <c r="I12" i="1179"/>
  <c r="I6" i="1179"/>
  <c r="H13" i="1179"/>
  <c r="H14" i="1179" s="1"/>
  <c r="I3" i="1179"/>
  <c r="E13" i="1179"/>
  <c r="I7" i="1179"/>
  <c r="F13" i="1179"/>
  <c r="F14" i="1179" s="1"/>
  <c r="I9" i="1179"/>
  <c r="I12" i="1178"/>
  <c r="I10" i="1178"/>
  <c r="F13" i="1178"/>
  <c r="F14" i="1178" s="1"/>
  <c r="G13" i="1178"/>
  <c r="G14" i="1178" s="1"/>
  <c r="I4" i="1178"/>
  <c r="I11" i="1178"/>
  <c r="I8" i="1178"/>
  <c r="I7" i="1176"/>
  <c r="I6" i="1178"/>
  <c r="I5" i="1177"/>
  <c r="I11" i="1176"/>
  <c r="H13" i="1178"/>
  <c r="H14" i="1178" s="1"/>
  <c r="I3" i="1178"/>
  <c r="E13" i="1178"/>
  <c r="I7" i="1178"/>
  <c r="I9" i="1178"/>
  <c r="I4" i="1177"/>
  <c r="I7" i="1175"/>
  <c r="I7" i="1177"/>
  <c r="I10" i="1177"/>
  <c r="I9" i="1177"/>
  <c r="I11" i="1177"/>
  <c r="I8" i="1177"/>
  <c r="H13" i="1177"/>
  <c r="H14" i="1177" s="1"/>
  <c r="I4" i="1174"/>
  <c r="I3" i="1177"/>
  <c r="E13" i="1177"/>
  <c r="I12" i="1177"/>
  <c r="I6" i="1177"/>
  <c r="F13" i="1177"/>
  <c r="F14" i="1177" s="1"/>
  <c r="G13" i="1177"/>
  <c r="G14" i="1177" s="1"/>
  <c r="I10" i="1176"/>
  <c r="I8" i="1176"/>
  <c r="I4" i="1176"/>
  <c r="I9" i="1176"/>
  <c r="I5" i="1176"/>
  <c r="H13" i="1176"/>
  <c r="H14" i="1176" s="1"/>
  <c r="I7" i="1174"/>
  <c r="I3" i="1176"/>
  <c r="E13" i="1176"/>
  <c r="I12" i="1176"/>
  <c r="I6" i="1176"/>
  <c r="F13" i="1176"/>
  <c r="F14" i="1176" s="1"/>
  <c r="G13" i="1176"/>
  <c r="G14" i="1176" s="1"/>
  <c r="I10" i="1175"/>
  <c r="I4" i="1175"/>
  <c r="H13" i="1175"/>
  <c r="H14" i="1175" s="1"/>
  <c r="I3" i="1175"/>
  <c r="E13" i="1175"/>
  <c r="I6" i="1175"/>
  <c r="F13" i="1175"/>
  <c r="F14" i="1175" s="1"/>
  <c r="G13" i="1175"/>
  <c r="G14" i="1175" s="1"/>
  <c r="I5" i="1175"/>
  <c r="I4" i="1173"/>
  <c r="I11" i="1173"/>
  <c r="I8" i="1175"/>
  <c r="I11" i="1175"/>
  <c r="I9" i="1175"/>
  <c r="I12" i="1175"/>
  <c r="I10" i="1174"/>
  <c r="I12" i="1174"/>
  <c r="I11" i="1174"/>
  <c r="H13" i="1174"/>
  <c r="H14" i="1174" s="1"/>
  <c r="I3" i="1174"/>
  <c r="E13" i="1174"/>
  <c r="F13" i="1174"/>
  <c r="F14" i="1174" s="1"/>
  <c r="I9" i="1174"/>
  <c r="I5" i="1174"/>
  <c r="G13" i="1174"/>
  <c r="G14" i="1174" s="1"/>
  <c r="I8" i="1174"/>
  <c r="I6" i="1174"/>
  <c r="I10" i="1173"/>
  <c r="H13" i="1173"/>
  <c r="H14" i="1173" s="1"/>
  <c r="I8" i="1173"/>
  <c r="I3" i="1173"/>
  <c r="E13" i="1173"/>
  <c r="I12" i="1173"/>
  <c r="I6" i="1173"/>
  <c r="F13" i="1173"/>
  <c r="F14" i="1173" s="1"/>
  <c r="G13" i="1173"/>
  <c r="G14" i="1173" s="1"/>
  <c r="I7" i="1173"/>
  <c r="I9" i="1173"/>
  <c r="I5" i="1173"/>
  <c r="I10" i="1172"/>
  <c r="I7" i="1172"/>
  <c r="I4" i="1172"/>
  <c r="I8" i="1172"/>
  <c r="I11" i="1172"/>
  <c r="H13" i="1172"/>
  <c r="H14" i="1172" s="1"/>
  <c r="I3" i="1172"/>
  <c r="E13" i="1172"/>
  <c r="I9" i="1172"/>
  <c r="I12" i="1172"/>
  <c r="I6" i="1172"/>
  <c r="F13" i="1172"/>
  <c r="F14" i="1172" s="1"/>
  <c r="I5" i="1172"/>
  <c r="G13" i="1172"/>
  <c r="G14" i="1172" s="1"/>
  <c r="I7" i="1171"/>
  <c r="I10" i="1171"/>
  <c r="I9" i="1171"/>
  <c r="I12" i="1171"/>
  <c r="I8" i="1170"/>
  <c r="I4" i="1171"/>
  <c r="H13" i="1171"/>
  <c r="H14" i="1171" s="1"/>
  <c r="I8" i="1171"/>
  <c r="I3" i="1171"/>
  <c r="E13" i="1171"/>
  <c r="F13" i="1171"/>
  <c r="F14" i="1171" s="1"/>
  <c r="I6" i="1171"/>
  <c r="G13" i="1171"/>
  <c r="G14" i="1171" s="1"/>
  <c r="I5" i="1171"/>
  <c r="I11" i="1170"/>
  <c r="I11" i="1171"/>
  <c r="I4" i="1170"/>
  <c r="I7" i="1170"/>
  <c r="I9" i="1170"/>
  <c r="H14" i="1170"/>
  <c r="I3" i="1170"/>
  <c r="F14" i="1170"/>
  <c r="I6" i="1170"/>
  <c r="I12" i="1170"/>
  <c r="I10" i="1170"/>
  <c r="I5" i="1170"/>
  <c r="G14" i="1170"/>
  <c r="S58" i="3"/>
  <c r="S61" i="3"/>
  <c r="S59" i="3"/>
  <c r="S62" i="3"/>
  <c r="S65" i="3"/>
  <c r="S57" i="3"/>
  <c r="S56" i="3"/>
  <c r="S64" i="3"/>
  <c r="S60" i="3"/>
  <c r="S63" i="3"/>
  <c r="S55" i="3"/>
  <c r="S54" i="3"/>
  <c r="B24" i="952"/>
  <c r="B6" i="952"/>
  <c r="Y2" i="3"/>
  <c r="Y9" i="3"/>
  <c r="Y13" i="3"/>
  <c r="Y8" i="3"/>
  <c r="Y11" i="3"/>
  <c r="Y5" i="3"/>
  <c r="Y4" i="3"/>
  <c r="Y6" i="3"/>
  <c r="Y3" i="3"/>
  <c r="E14" i="1181" l="1"/>
  <c r="I13" i="1181"/>
  <c r="I14" i="1181" s="1"/>
  <c r="E14" i="1180"/>
  <c r="I13" i="1180"/>
  <c r="I14" i="1180" s="1"/>
  <c r="E14" i="1179"/>
  <c r="I13" i="1179"/>
  <c r="I14" i="1179" s="1"/>
  <c r="E14" i="1178"/>
  <c r="I13" i="1178"/>
  <c r="I14" i="1178" s="1"/>
  <c r="E14" i="1177"/>
  <c r="I13" i="1177"/>
  <c r="I14" i="1177" s="1"/>
  <c r="E14" i="1176"/>
  <c r="I13" i="1176"/>
  <c r="I14" i="1176" s="1"/>
  <c r="E14" i="1175"/>
  <c r="I13" i="1175"/>
  <c r="I14" i="1175" s="1"/>
  <c r="E14" i="1174"/>
  <c r="I13" i="1174"/>
  <c r="I14" i="1174" s="1"/>
  <c r="E14" i="1173"/>
  <c r="I13" i="1173"/>
  <c r="I14" i="1173" s="1"/>
  <c r="E14" i="1172"/>
  <c r="I13" i="1172"/>
  <c r="I14" i="1172" s="1"/>
  <c r="E14" i="1171"/>
  <c r="I13" i="1171"/>
  <c r="I14" i="1171" s="1"/>
  <c r="E14" i="1170"/>
  <c r="I13" i="1170"/>
  <c r="I14" i="1170" s="1"/>
  <c r="W29" i="757"/>
  <c r="L29" i="757"/>
  <c r="F3" i="3"/>
  <c r="F4" i="3"/>
  <c r="F5" i="3"/>
  <c r="F6" i="3"/>
  <c r="F7" i="3"/>
  <c r="F8" i="3"/>
  <c r="F9" i="3"/>
  <c r="F10" i="3"/>
  <c r="F11" i="3"/>
  <c r="F12" i="3"/>
  <c r="F13" i="3"/>
  <c r="F2" i="3"/>
  <c r="G49" i="3" a="1"/>
  <c r="G49" i="3" s="1"/>
  <c r="H49" i="3" a="1"/>
  <c r="H49" i="3" s="1"/>
  <c r="I49" i="3" a="1"/>
  <c r="I49" i="3" s="1"/>
  <c r="J49" i="3" a="1"/>
  <c r="J49" i="3" s="1"/>
  <c r="K49" i="3" a="1"/>
  <c r="K49" i="3" s="1"/>
  <c r="L49" i="3" a="1"/>
  <c r="L49" i="3" s="1"/>
  <c r="M49" i="3" a="1"/>
  <c r="M49" i="3" s="1"/>
  <c r="N49" i="3" a="1"/>
  <c r="N49" i="3" s="1"/>
  <c r="O49" i="3" a="1"/>
  <c r="O49" i="3" s="1"/>
  <c r="P49" i="3" a="1"/>
  <c r="P49" i="3" s="1"/>
  <c r="Q49" i="3" a="1"/>
  <c r="Q49" i="3" s="1"/>
  <c r="R49" i="3" a="1"/>
  <c r="R49" i="3" s="1"/>
  <c r="S49" i="3" a="1"/>
  <c r="S49" i="3" s="1"/>
  <c r="G50" i="3" a="1"/>
  <c r="G50" i="3" s="1"/>
  <c r="H50" i="3" a="1"/>
  <c r="H50" i="3" s="1"/>
  <c r="I50" i="3" a="1"/>
  <c r="I50" i="3" s="1"/>
  <c r="J50" i="3" a="1"/>
  <c r="J50" i="3" s="1"/>
  <c r="K50" i="3" a="1"/>
  <c r="K50" i="3" s="1"/>
  <c r="L50" i="3" a="1"/>
  <c r="L50" i="3" s="1"/>
  <c r="M50" i="3" a="1"/>
  <c r="M50" i="3" s="1"/>
  <c r="N50" i="3" a="1"/>
  <c r="N50" i="3" s="1"/>
  <c r="O50" i="3" a="1"/>
  <c r="O50" i="3" s="1"/>
  <c r="P50" i="3" a="1"/>
  <c r="P50" i="3" s="1"/>
  <c r="Q50" i="3" a="1"/>
  <c r="Q50" i="3" s="1"/>
  <c r="R50" i="3" a="1"/>
  <c r="R50" i="3" s="1"/>
  <c r="S50" i="3" a="1"/>
  <c r="S50" i="3" s="1"/>
  <c r="L7" i="1" a="1"/>
  <c r="U3" i="3"/>
  <c r="O6" i="3"/>
  <c r="Q9" i="3"/>
  <c r="G10" i="3"/>
  <c r="W9" i="3"/>
  <c r="K9" i="3"/>
  <c r="U6" i="3"/>
  <c r="G11" i="3"/>
  <c r="W10" i="3"/>
  <c r="O13" i="3"/>
  <c r="G12" i="3"/>
  <c r="I12" i="3"/>
  <c r="W7" i="3"/>
  <c r="S11" i="3"/>
  <c r="O5" i="3"/>
  <c r="U7" i="3"/>
  <c r="G5" i="3"/>
  <c r="U11" i="3"/>
  <c r="U5" i="3"/>
  <c r="Q6" i="3"/>
  <c r="S5" i="3"/>
  <c r="S6" i="3"/>
  <c r="O4" i="3"/>
  <c r="G7" i="3"/>
  <c r="Q8" i="3"/>
  <c r="M8" i="3"/>
  <c r="W4" i="3"/>
  <c r="Q7" i="3"/>
  <c r="Q3" i="3"/>
  <c r="W13" i="3"/>
  <c r="W12" i="3"/>
  <c r="M12" i="3"/>
  <c r="I11" i="3"/>
  <c r="M6" i="3"/>
  <c r="Q2" i="3"/>
  <c r="K10" i="3"/>
  <c r="W2" i="3"/>
  <c r="M3" i="3"/>
  <c r="G3" i="3"/>
  <c r="Q5" i="3"/>
  <c r="U13" i="3"/>
  <c r="M2" i="3"/>
  <c r="I2" i="3"/>
  <c r="W3" i="3"/>
  <c r="I6" i="3"/>
  <c r="W6" i="3"/>
  <c r="S2" i="3"/>
  <c r="M9" i="3"/>
  <c r="K11" i="3"/>
  <c r="K2" i="3"/>
  <c r="Q4" i="3"/>
  <c r="O10" i="3"/>
  <c r="O12" i="3"/>
  <c r="M4" i="3"/>
  <c r="O8" i="3"/>
  <c r="S8" i="3"/>
  <c r="S3" i="3"/>
  <c r="W5" i="3"/>
  <c r="Q10" i="3"/>
  <c r="G4" i="3"/>
  <c r="I4" i="3"/>
  <c r="M10" i="3"/>
  <c r="M7" i="1" a="1"/>
  <c r="S13" i="3"/>
  <c r="I8" i="3"/>
  <c r="G8" i="3"/>
  <c r="K3" i="3"/>
  <c r="K12" i="3"/>
  <c r="K4" i="3"/>
  <c r="I5" i="3"/>
  <c r="U9" i="3"/>
  <c r="S4" i="3"/>
  <c r="I9" i="3"/>
  <c r="S12" i="3"/>
  <c r="M7" i="3"/>
  <c r="U12" i="3"/>
  <c r="M11" i="3"/>
  <c r="S7" i="3"/>
  <c r="U2" i="3"/>
  <c r="G6" i="3"/>
  <c r="G13" i="3"/>
  <c r="I3" i="3"/>
  <c r="I7" i="3"/>
  <c r="I10" i="3"/>
  <c r="U10" i="3"/>
  <c r="K6" i="3"/>
  <c r="M5" i="3"/>
  <c r="S10" i="3"/>
  <c r="M13" i="3"/>
  <c r="K5" i="3"/>
  <c r="S9" i="3"/>
  <c r="Q11" i="3"/>
  <c r="U8" i="3"/>
  <c r="U4" i="3"/>
  <c r="K8" i="3"/>
  <c r="O2" i="3"/>
  <c r="O3" i="3"/>
  <c r="O9" i="3"/>
  <c r="G2" i="3"/>
  <c r="G9" i="3"/>
  <c r="W11" i="3"/>
  <c r="O7" i="3"/>
  <c r="I13" i="3"/>
  <c r="K7" i="3"/>
  <c r="K13" i="3"/>
  <c r="Q13" i="3"/>
  <c r="W8" i="3"/>
  <c r="O11" i="3"/>
  <c r="Q12" i="3"/>
  <c r="M7" i="1" l="1"/>
  <c r="G8" i="757" s="1"/>
  <c r="L7" i="1"/>
  <c r="F3" i="757"/>
  <c r="B3" i="3"/>
  <c r="B4" i="3"/>
  <c r="B5" i="3"/>
  <c r="B6" i="3"/>
  <c r="B7" i="3"/>
  <c r="B8" i="3"/>
  <c r="B9" i="3"/>
  <c r="B10" i="3"/>
  <c r="B11" i="3"/>
  <c r="B12" i="3"/>
  <c r="B13" i="3"/>
  <c r="B2" i="3"/>
  <c r="W5" i="757"/>
  <c r="W6" i="757"/>
  <c r="W7" i="757"/>
  <c r="W8" i="757"/>
  <c r="W9" i="757"/>
  <c r="W10" i="757"/>
  <c r="W11" i="757"/>
  <c r="W12" i="757"/>
  <c r="W13" i="757"/>
  <c r="W14" i="757"/>
  <c r="W15" i="757"/>
  <c r="W4" i="757"/>
  <c r="V5" i="757"/>
  <c r="V6" i="757"/>
  <c r="V7" i="757"/>
  <c r="V8" i="757"/>
  <c r="V9" i="757"/>
  <c r="V10" i="757"/>
  <c r="V11" i="757"/>
  <c r="V12" i="757"/>
  <c r="V13" i="757"/>
  <c r="V14" i="757"/>
  <c r="V15" i="757"/>
  <c r="V4" i="757"/>
  <c r="B3" i="578"/>
  <c r="B2" i="578"/>
  <c r="B1" i="578"/>
  <c r="B6" i="207" a="1"/>
  <c r="B6" i="207" s="1"/>
  <c r="M3" i="1" a="1"/>
  <c r="L6" i="1" a="1"/>
  <c r="M12" i="1" a="1"/>
  <c r="C9" i="757" a="1"/>
  <c r="M11" i="1" a="1"/>
  <c r="L5" i="1" a="1"/>
  <c r="M4" i="1" a="1"/>
  <c r="C8" i="757" a="1"/>
  <c r="C14" i="757" a="1"/>
  <c r="C13" i="757" a="1"/>
  <c r="C6" i="757" a="1"/>
  <c r="M6" i="1" a="1"/>
  <c r="C4" i="757" a="1"/>
  <c r="C15" i="757" a="1"/>
  <c r="C10" i="757" a="1"/>
  <c r="M13" i="1" a="1"/>
  <c r="L8" i="1" a="1"/>
  <c r="L10" i="1" a="1"/>
  <c r="C12" i="757" a="1"/>
  <c r="M14" i="1" a="1"/>
  <c r="L9" i="1" a="1"/>
  <c r="L4" i="1" a="1"/>
  <c r="C11" i="757" a="1"/>
  <c r="C5" i="757" a="1"/>
  <c r="L11" i="1" a="1"/>
  <c r="L3" i="1" a="1"/>
  <c r="M5" i="1" a="1"/>
  <c r="M8" i="1" a="1"/>
  <c r="M9" i="1" a="1"/>
  <c r="L12" i="1" a="1"/>
  <c r="L13" i="1" a="1"/>
  <c r="L14" i="1" a="1"/>
  <c r="C7" i="757" a="1"/>
  <c r="M10" i="1" a="1"/>
  <c r="M3" i="1" l="1"/>
  <c r="G4" i="757" s="1"/>
  <c r="L3" i="1"/>
  <c r="M11" i="1"/>
  <c r="G12" i="757" s="1"/>
  <c r="L11" i="1"/>
  <c r="L14" i="1"/>
  <c r="M14" i="1"/>
  <c r="G15" i="757" s="1"/>
  <c r="L13" i="1"/>
  <c r="M13" i="1"/>
  <c r="G14" i="757" s="1"/>
  <c r="M12" i="1"/>
  <c r="G13" i="757" s="1"/>
  <c r="L12" i="1"/>
  <c r="M10" i="1"/>
  <c r="G11" i="757" s="1"/>
  <c r="L10" i="1"/>
  <c r="M9" i="1"/>
  <c r="G10" i="757" s="1"/>
  <c r="L9" i="1"/>
  <c r="M8" i="1"/>
  <c r="G9" i="757" s="1"/>
  <c r="L8" i="1"/>
  <c r="L6" i="1"/>
  <c r="M6" i="1"/>
  <c r="G7" i="757" s="1"/>
  <c r="M5" i="1"/>
  <c r="G6" i="757" s="1"/>
  <c r="L5" i="1"/>
  <c r="L4" i="1"/>
  <c r="M4" i="1"/>
  <c r="G5" i="757" s="1"/>
  <c r="C8" i="757"/>
  <c r="C7" i="757"/>
  <c r="C6" i="757"/>
  <c r="C12" i="757"/>
  <c r="C15" i="757"/>
  <c r="C11" i="757"/>
  <c r="C14" i="757"/>
  <c r="C10" i="757"/>
  <c r="C13" i="757"/>
  <c r="C9" i="757"/>
  <c r="C5" i="757"/>
  <c r="C4" i="757"/>
  <c r="M15" i="1" l="1" a="1"/>
  <c r="M15" i="1" s="1"/>
  <c r="M14" i="3"/>
  <c r="G16" i="757" l="1"/>
  <c r="F3" i="1182"/>
  <c r="F14" i="3"/>
  <c r="AD12" i="3" l="1"/>
  <c r="L7" i="3"/>
  <c r="L41" i="3" s="1" a="1"/>
  <c r="L41" i="3" s="1"/>
  <c r="R13" i="3"/>
  <c r="R44" i="3" s="1" a="1"/>
  <c r="R44" i="3" s="1"/>
  <c r="X12" i="3"/>
  <c r="Q47" i="3" s="1" a="1"/>
  <c r="Q47" i="3" s="1"/>
  <c r="AD11" i="3"/>
  <c r="N11" i="3"/>
  <c r="P42" i="3" s="1" a="1"/>
  <c r="P42" i="3" s="1"/>
  <c r="T10" i="3"/>
  <c r="O45" i="3" s="1" a="1"/>
  <c r="O45" i="3" s="1"/>
  <c r="Z9" i="3"/>
  <c r="N48" i="3" s="1" a="1"/>
  <c r="N48" i="3" s="1"/>
  <c r="J9" i="3"/>
  <c r="N40" i="3" s="1" a="1"/>
  <c r="N40" i="3" s="1"/>
  <c r="P8" i="3"/>
  <c r="M43" i="3" s="1" a="1"/>
  <c r="M43" i="3" s="1"/>
  <c r="V7" i="3"/>
  <c r="L46" i="3" s="1" a="1"/>
  <c r="L46" i="3" s="1"/>
  <c r="AB6" i="3"/>
  <c r="L6" i="3"/>
  <c r="K41" i="3" s="1" a="1"/>
  <c r="K41" i="3" s="1"/>
  <c r="R5" i="3"/>
  <c r="J44" i="3" s="1" a="1"/>
  <c r="J44" i="3" s="1"/>
  <c r="X4" i="3"/>
  <c r="I47" i="3" s="1" a="1"/>
  <c r="I47" i="3" s="1"/>
  <c r="AD3" i="3"/>
  <c r="N3" i="3"/>
  <c r="H42" i="3" s="1" a="1"/>
  <c r="H42" i="3" s="1"/>
  <c r="P9" i="3"/>
  <c r="N43" i="3" s="1" a="1"/>
  <c r="N43" i="3" s="1"/>
  <c r="R6" i="3"/>
  <c r="K44" i="3" s="1" a="1"/>
  <c r="K44" i="3" s="1"/>
  <c r="AD4" i="3"/>
  <c r="AB13" i="3"/>
  <c r="L13" i="3"/>
  <c r="R41" i="3" s="1" a="1"/>
  <c r="R41" i="3" s="1"/>
  <c r="R12" i="3"/>
  <c r="Q44" i="3" s="1" a="1"/>
  <c r="Q44" i="3" s="1"/>
  <c r="X11" i="3"/>
  <c r="P47" i="3" s="1" a="1"/>
  <c r="P47" i="3" s="1"/>
  <c r="AD10" i="3"/>
  <c r="N10" i="3"/>
  <c r="O42" i="3" s="1" a="1"/>
  <c r="O42" i="3" s="1"/>
  <c r="T9" i="3"/>
  <c r="N45" i="3" s="1" a="1"/>
  <c r="N45" i="3" s="1"/>
  <c r="Z8" i="3"/>
  <c r="M48" i="3" s="1" a="1"/>
  <c r="M48" i="3" s="1"/>
  <c r="J8" i="3"/>
  <c r="M40" i="3" s="1" a="1"/>
  <c r="M40" i="3" s="1"/>
  <c r="P7" i="3"/>
  <c r="L43" i="3" s="1" a="1"/>
  <c r="L43" i="3" s="1"/>
  <c r="V6" i="3"/>
  <c r="K46" i="3" s="1" a="1"/>
  <c r="K46" i="3" s="1"/>
  <c r="AB5" i="3"/>
  <c r="L5" i="3"/>
  <c r="J41" i="3" s="1" a="1"/>
  <c r="J41" i="3" s="1"/>
  <c r="R4" i="3"/>
  <c r="I44" i="3" s="1" a="1"/>
  <c r="I44" i="3" s="1"/>
  <c r="X3" i="3"/>
  <c r="H47" i="3" s="1" a="1"/>
  <c r="H47" i="3" s="1"/>
  <c r="N12" i="3"/>
  <c r="Q42" i="3" s="1" a="1"/>
  <c r="Q42" i="3" s="1"/>
  <c r="T3" i="3"/>
  <c r="H45" i="3" s="1" a="1"/>
  <c r="H45" i="3" s="1"/>
  <c r="V13" i="3"/>
  <c r="R46" i="3" s="1" a="1"/>
  <c r="R46" i="3" s="1"/>
  <c r="AB12" i="3"/>
  <c r="L12" i="3"/>
  <c r="Q41" i="3" s="1" a="1"/>
  <c r="Q41" i="3" s="1"/>
  <c r="R11" i="3"/>
  <c r="P44" i="3" s="1" a="1"/>
  <c r="P44" i="3" s="1"/>
  <c r="X10" i="3"/>
  <c r="O47" i="3" s="1" a="1"/>
  <c r="O47" i="3" s="1"/>
  <c r="AD9" i="3"/>
  <c r="N9" i="3"/>
  <c r="N42" i="3" s="1" a="1"/>
  <c r="N42" i="3" s="1"/>
  <c r="T8" i="3"/>
  <c r="M45" i="3" s="1" a="1"/>
  <c r="M45" i="3" s="1"/>
  <c r="Z7" i="3"/>
  <c r="L48" i="3" s="1" a="1"/>
  <c r="L48" i="3" s="1"/>
  <c r="J7" i="3"/>
  <c r="L40" i="3" s="1" a="1"/>
  <c r="L40" i="3" s="1"/>
  <c r="P6" i="3"/>
  <c r="K43" i="3" s="1" a="1"/>
  <c r="K43" i="3" s="1"/>
  <c r="V5" i="3"/>
  <c r="J46" i="3" s="1" a="1"/>
  <c r="J46" i="3" s="1"/>
  <c r="AB4" i="3"/>
  <c r="L4" i="3"/>
  <c r="I41" i="3" s="1" a="1"/>
  <c r="I41" i="3" s="1"/>
  <c r="R3" i="3"/>
  <c r="H44" i="3" s="1" a="1"/>
  <c r="H44" i="3" s="1"/>
  <c r="N13" i="3"/>
  <c r="R42" i="3" s="1" a="1"/>
  <c r="R42" i="3" s="1"/>
  <c r="P13" i="3"/>
  <c r="R43" i="3" s="1" a="1"/>
  <c r="R43" i="3" s="1"/>
  <c r="V12" i="3"/>
  <c r="Q46" i="3" s="1" a="1"/>
  <c r="Q46" i="3" s="1"/>
  <c r="AB11" i="3"/>
  <c r="L11" i="3"/>
  <c r="P41" i="3" s="1" a="1"/>
  <c r="P41" i="3" s="1"/>
  <c r="R10" i="3"/>
  <c r="O44" i="3" s="1" a="1"/>
  <c r="O44" i="3" s="1"/>
  <c r="X9" i="3"/>
  <c r="N47" i="3" s="1" a="1"/>
  <c r="N47" i="3" s="1"/>
  <c r="AD8" i="3"/>
  <c r="N8" i="3"/>
  <c r="M42" i="3" s="1" a="1"/>
  <c r="M42" i="3" s="1"/>
  <c r="T7" i="3"/>
  <c r="L45" i="3" s="1" a="1"/>
  <c r="L45" i="3" s="1"/>
  <c r="Z6" i="3"/>
  <c r="K48" i="3" s="1" a="1"/>
  <c r="K48" i="3" s="1"/>
  <c r="J6" i="3"/>
  <c r="K40" i="3" s="1" a="1"/>
  <c r="K40" i="3" s="1"/>
  <c r="P5" i="3"/>
  <c r="J43" i="3" s="1" a="1"/>
  <c r="J43" i="3" s="1"/>
  <c r="V4" i="3"/>
  <c r="I46" i="3" s="1" a="1"/>
  <c r="I46" i="3" s="1"/>
  <c r="AB3" i="3"/>
  <c r="T12" i="3"/>
  <c r="Q45" i="3" s="1" a="1"/>
  <c r="Q45" i="3" s="1"/>
  <c r="Z10" i="3"/>
  <c r="O48" i="3" s="1" a="1"/>
  <c r="O48" i="3" s="1"/>
  <c r="AB7" i="3"/>
  <c r="N4" i="3"/>
  <c r="I42" i="3" s="1" a="1"/>
  <c r="I42" i="3" s="1"/>
  <c r="Z13" i="3"/>
  <c r="R48" i="3" s="1" a="1"/>
  <c r="R48" i="3" s="1"/>
  <c r="J13" i="3"/>
  <c r="R40" i="3" s="1" a="1"/>
  <c r="R40" i="3" s="1"/>
  <c r="P12" i="3"/>
  <c r="Q43" i="3" s="1" a="1"/>
  <c r="Q43" i="3" s="1"/>
  <c r="V11" i="3"/>
  <c r="P46" i="3" s="1" a="1"/>
  <c r="P46" i="3" s="1"/>
  <c r="AB10" i="3"/>
  <c r="L10" i="3"/>
  <c r="O41" i="3" s="1" a="1"/>
  <c r="O41" i="3" s="1"/>
  <c r="R9" i="3"/>
  <c r="N44" i="3" s="1" a="1"/>
  <c r="N44" i="3" s="1"/>
  <c r="X8" i="3"/>
  <c r="M47" i="3" s="1" a="1"/>
  <c r="M47" i="3" s="1"/>
  <c r="AD7" i="3"/>
  <c r="N7" i="3"/>
  <c r="L42" i="3" s="1" a="1"/>
  <c r="L42" i="3" s="1"/>
  <c r="T6" i="3"/>
  <c r="K45" i="3" s="1" a="1"/>
  <c r="K45" i="3" s="1"/>
  <c r="Z5" i="3"/>
  <c r="J48" i="3" s="1" a="1"/>
  <c r="J48" i="3" s="1"/>
  <c r="J5" i="3"/>
  <c r="J40" i="3" s="1" a="1"/>
  <c r="J40" i="3" s="1"/>
  <c r="P4" i="3"/>
  <c r="I43" i="3" s="1" a="1"/>
  <c r="I43" i="3" s="1"/>
  <c r="V3" i="3"/>
  <c r="H46" i="3" s="1" a="1"/>
  <c r="H46" i="3" s="1"/>
  <c r="X13" i="3"/>
  <c r="R47" i="3" s="1" a="1"/>
  <c r="R47" i="3" s="1"/>
  <c r="T11" i="3"/>
  <c r="P45" i="3" s="1" a="1"/>
  <c r="P45" i="3" s="1"/>
  <c r="J10" i="3"/>
  <c r="O40" i="3" s="1" a="1"/>
  <c r="O40" i="3" s="1"/>
  <c r="V8" i="3"/>
  <c r="M46" i="3" s="1" a="1"/>
  <c r="M46" i="3" s="1"/>
  <c r="X5" i="3"/>
  <c r="J47" i="3" s="1" a="1"/>
  <c r="J47" i="3" s="1"/>
  <c r="T13" i="3"/>
  <c r="R45" i="3" s="1" a="1"/>
  <c r="R45" i="3" s="1"/>
  <c r="Z12" i="3"/>
  <c r="Q48" i="3" s="1" a="1"/>
  <c r="Q48" i="3" s="1"/>
  <c r="J12" i="3"/>
  <c r="Q40" i="3" s="1" a="1"/>
  <c r="Q40" i="3" s="1"/>
  <c r="P11" i="3"/>
  <c r="P43" i="3" s="1" a="1"/>
  <c r="P43" i="3" s="1"/>
  <c r="V10" i="3"/>
  <c r="O46" i="3" s="1" a="1"/>
  <c r="O46" i="3" s="1"/>
  <c r="AB9" i="3"/>
  <c r="L9" i="3"/>
  <c r="N41" i="3" s="1" a="1"/>
  <c r="N41" i="3" s="1"/>
  <c r="R8" i="3"/>
  <c r="M44" i="3" s="1" a="1"/>
  <c r="M44" i="3" s="1"/>
  <c r="X7" i="3"/>
  <c r="L47" i="3" s="1" a="1"/>
  <c r="L47" i="3" s="1"/>
  <c r="AD6" i="3"/>
  <c r="N6" i="3"/>
  <c r="K42" i="3" s="1" a="1"/>
  <c r="K42" i="3" s="1"/>
  <c r="T5" i="3"/>
  <c r="J45" i="3" s="1" a="1"/>
  <c r="J45" i="3" s="1"/>
  <c r="Z4" i="3"/>
  <c r="I48" i="3" s="1" a="1"/>
  <c r="I48" i="3" s="1"/>
  <c r="J4" i="3"/>
  <c r="I40" i="3" s="1" a="1"/>
  <c r="I40" i="3" s="1"/>
  <c r="P3" i="3"/>
  <c r="H43" i="3" s="1" a="1"/>
  <c r="H43" i="3" s="1"/>
  <c r="AD13" i="3"/>
  <c r="Z11" i="3"/>
  <c r="P48" i="3" s="1" a="1"/>
  <c r="P48" i="3" s="1"/>
  <c r="J11" i="3"/>
  <c r="P40" i="3" s="1" a="1"/>
  <c r="P40" i="3" s="1"/>
  <c r="P10" i="3"/>
  <c r="O43" i="3" s="1" a="1"/>
  <c r="O43" i="3" s="1"/>
  <c r="V9" i="3"/>
  <c r="N46" i="3" s="1" a="1"/>
  <c r="N46" i="3" s="1"/>
  <c r="AB8" i="3"/>
  <c r="L8" i="3"/>
  <c r="M41" i="3" s="1" a="1"/>
  <c r="M41" i="3" s="1"/>
  <c r="R7" i="3"/>
  <c r="L44" i="3" s="1" a="1"/>
  <c r="L44" i="3" s="1"/>
  <c r="X6" i="3"/>
  <c r="K47" i="3" s="1" a="1"/>
  <c r="K47" i="3" s="1"/>
  <c r="AD5" i="3"/>
  <c r="N5" i="3"/>
  <c r="J42" i="3" s="1" a="1"/>
  <c r="J42" i="3" s="1"/>
  <c r="T4" i="3"/>
  <c r="I45" i="3" s="1" a="1"/>
  <c r="I45" i="3" s="1"/>
  <c r="Z3" i="3"/>
  <c r="H48" i="3" s="1" a="1"/>
  <c r="H48" i="3" s="1"/>
  <c r="L3" i="3" l="1"/>
  <c r="H41" i="3" s="1" a="1"/>
  <c r="H41" i="3" s="1"/>
  <c r="J3" i="3"/>
  <c r="H40" i="3" s="1" a="1"/>
  <c r="H40" i="3" s="1"/>
  <c r="H7" i="3"/>
  <c r="L39" i="3" s="1" a="1"/>
  <c r="L39" i="3" s="1"/>
  <c r="C7" i="3"/>
  <c r="D7" i="3" s="1"/>
  <c r="E7" i="3" s="1"/>
  <c r="J2" i="3"/>
  <c r="G40" i="3" s="1" a="1"/>
  <c r="G40" i="3" s="1"/>
  <c r="I14" i="3"/>
  <c r="J14" i="3" s="1"/>
  <c r="S40" i="3" s="1" a="1"/>
  <c r="S40" i="3" s="1"/>
  <c r="Z2" i="3"/>
  <c r="G48" i="3" s="1" a="1"/>
  <c r="G48" i="3" s="1"/>
  <c r="Y14" i="3"/>
  <c r="Z14" i="3" s="1"/>
  <c r="S48" i="3" s="1" a="1"/>
  <c r="S48" i="3" s="1"/>
  <c r="H11" i="3"/>
  <c r="P39" i="3" s="1" a="1"/>
  <c r="P39" i="3" s="1"/>
  <c r="C11" i="3"/>
  <c r="D11" i="3" s="1"/>
  <c r="E11" i="3" s="1"/>
  <c r="N14" i="3"/>
  <c r="S42" i="3" s="1" a="1"/>
  <c r="S42" i="3" s="1"/>
  <c r="N2" i="3"/>
  <c r="G42" i="3" s="1" a="1"/>
  <c r="G42" i="3" s="1"/>
  <c r="X2" i="3"/>
  <c r="G47" i="3" s="1" a="1"/>
  <c r="G47" i="3" s="1"/>
  <c r="W14" i="3"/>
  <c r="X14" i="3" s="1"/>
  <c r="S47" i="3" s="1" a="1"/>
  <c r="S47" i="3" s="1"/>
  <c r="K14" i="3"/>
  <c r="L14" i="3" s="1"/>
  <c r="S41" i="3" s="1" a="1"/>
  <c r="S41" i="3" s="1"/>
  <c r="L2" i="3"/>
  <c r="G41" i="3" s="1" a="1"/>
  <c r="G41" i="3" s="1"/>
  <c r="O14" i="3"/>
  <c r="P14" i="3" s="1"/>
  <c r="S43" i="3" s="1" a="1"/>
  <c r="S43" i="3" s="1"/>
  <c r="P2" i="3"/>
  <c r="G43" i="3" s="1" a="1"/>
  <c r="G43" i="3" s="1"/>
  <c r="T2" i="3"/>
  <c r="G45" i="3" s="1" a="1"/>
  <c r="G45" i="3" s="1"/>
  <c r="S14" i="3"/>
  <c r="T14" i="3" s="1"/>
  <c r="S45" i="3" s="1" a="1"/>
  <c r="S45" i="3" s="1"/>
  <c r="U14" i="3"/>
  <c r="V14" i="3" s="1"/>
  <c r="S46" i="3" s="1" a="1"/>
  <c r="S46" i="3" s="1"/>
  <c r="V2" i="3"/>
  <c r="G46" i="3" s="1" a="1"/>
  <c r="G46" i="3" s="1"/>
  <c r="C4" i="3"/>
  <c r="D4" i="3" s="1"/>
  <c r="E4" i="3" s="1"/>
  <c r="H4" i="3"/>
  <c r="I39" i="3" s="1" a="1"/>
  <c r="I39" i="3" s="1"/>
  <c r="H2" i="3"/>
  <c r="G39" i="3" s="1" a="1"/>
  <c r="G39" i="3" s="1"/>
  <c r="C2" i="3"/>
  <c r="G14" i="3"/>
  <c r="H14" i="3" s="1"/>
  <c r="S39" i="3" s="1" a="1"/>
  <c r="S39" i="3" s="1"/>
  <c r="C5" i="3"/>
  <c r="D5" i="3" s="1"/>
  <c r="E5" i="3" s="1"/>
  <c r="H5" i="3"/>
  <c r="J39" i="3" s="1" a="1"/>
  <c r="J39" i="3" s="1"/>
  <c r="AC14" i="3"/>
  <c r="AD14" i="3" s="1"/>
  <c r="AD2" i="3"/>
  <c r="C8" i="3"/>
  <c r="D8" i="3" s="1"/>
  <c r="E8" i="3" s="1"/>
  <c r="H8" i="3"/>
  <c r="M39" i="3" s="1" a="1"/>
  <c r="M39" i="3" s="1"/>
  <c r="H6" i="3"/>
  <c r="K39" i="3" s="1" a="1"/>
  <c r="K39" i="3" s="1"/>
  <c r="C6" i="3"/>
  <c r="D6" i="3" s="1"/>
  <c r="E6" i="3" s="1"/>
  <c r="AA14" i="3"/>
  <c r="AB14" i="3" s="1"/>
  <c r="AB2" i="3"/>
  <c r="C9" i="3"/>
  <c r="D9" i="3" s="1"/>
  <c r="E9" i="3" s="1"/>
  <c r="H9" i="3"/>
  <c r="N39" i="3" s="1" a="1"/>
  <c r="N39" i="3" s="1"/>
  <c r="C12" i="3"/>
  <c r="D12" i="3" s="1"/>
  <c r="E12" i="3" s="1"/>
  <c r="H12" i="3"/>
  <c r="Q39" i="3" s="1" a="1"/>
  <c r="Q39" i="3" s="1"/>
  <c r="H3" i="3"/>
  <c r="H39" i="3" s="1" a="1"/>
  <c r="H39" i="3" s="1"/>
  <c r="C3" i="3"/>
  <c r="D3" i="3" s="1"/>
  <c r="E3" i="3" s="1"/>
  <c r="C10" i="3"/>
  <c r="D10" i="3" s="1"/>
  <c r="E10" i="3" s="1"/>
  <c r="H10" i="3"/>
  <c r="O39" i="3" s="1" a="1"/>
  <c r="O39" i="3" s="1"/>
  <c r="C13" i="3"/>
  <c r="D13" i="3" s="1"/>
  <c r="E13" i="3" s="1"/>
  <c r="H13" i="3"/>
  <c r="R39" i="3" s="1" a="1"/>
  <c r="R39" i="3" s="1"/>
  <c r="Q14" i="3"/>
  <c r="R14" i="3" s="1"/>
  <c r="S44" i="3" s="1" a="1"/>
  <c r="S44" i="3" s="1"/>
  <c r="R2" i="3"/>
  <c r="G44" i="3" s="1" a="1"/>
  <c r="G44" i="3" s="1"/>
  <c r="D2" i="3" l="1"/>
  <c r="E2" i="3" s="1"/>
  <c r="C14" i="3"/>
  <c r="D14" i="3" s="1"/>
  <c r="E14" i="3" s="1"/>
  <c r="Q80" i="578" l="1"/>
  <c r="Q79" i="578"/>
  <c r="Q78" i="578"/>
  <c r="Q72" i="578"/>
  <c r="Q71" i="578"/>
  <c r="Q70" i="578"/>
  <c r="Q69" i="578"/>
  <c r="Q68" i="578"/>
  <c r="Q59" i="578"/>
  <c r="Q58" i="578"/>
  <c r="Q57" i="578"/>
  <c r="Q56" i="578"/>
  <c r="Q55" i="578"/>
  <c r="Q54" i="578"/>
  <c r="Q53" i="578"/>
  <c r="Q52" i="578"/>
  <c r="Q51" i="578"/>
  <c r="Q50" i="578"/>
  <c r="E2" i="207"/>
  <c r="E49" i="207" l="1"/>
  <c r="E67" i="207"/>
  <c r="E77" i="207"/>
  <c r="X13" i="578"/>
  <c r="B7" i="578"/>
  <c r="K24" i="578"/>
  <c r="H24" i="578"/>
  <c r="J23" i="578"/>
  <c r="AA15" i="578"/>
  <c r="X15" i="578"/>
  <c r="AA14" i="578"/>
  <c r="X14" i="578"/>
  <c r="AA13" i="578"/>
  <c r="AA12" i="578"/>
  <c r="X12" i="578"/>
  <c r="AA11" i="578"/>
  <c r="X11" i="578"/>
  <c r="AA10" i="578"/>
  <c r="X10" i="578"/>
  <c r="AA9" i="578"/>
  <c r="X9" i="578"/>
  <c r="AA8" i="578"/>
  <c r="X8" i="578"/>
  <c r="AA7" i="578"/>
  <c r="X7" i="578"/>
  <c r="AA6" i="578"/>
  <c r="X6" i="578"/>
  <c r="AA5" i="578"/>
  <c r="X5" i="578"/>
  <c r="AA4" i="578"/>
  <c r="X4" i="578"/>
  <c r="X3" i="578"/>
  <c r="C15" i="1" a="1"/>
  <c r="C15" i="1" s="1"/>
  <c r="D16" i="757" s="1"/>
  <c r="W16" i="757" l="1"/>
  <c r="H27" i="578"/>
  <c r="H26" i="578"/>
  <c r="H25" i="578"/>
  <c r="B8" i="578"/>
  <c r="J24" i="578"/>
  <c r="K23" i="578"/>
  <c r="B9" i="578"/>
  <c r="D7" i="578" l="1" a="1"/>
  <c r="D7" i="578" s="1"/>
  <c r="D5" i="578" a="1"/>
  <c r="D5" i="578" s="1"/>
  <c r="D8" i="578" a="1"/>
  <c r="D8" i="578" s="1"/>
  <c r="D3" i="578" a="1"/>
  <c r="D3" i="578" s="1"/>
  <c r="D11" i="578" a="1"/>
  <c r="D11" i="578" s="1"/>
  <c r="D6" i="578" a="1"/>
  <c r="D6" i="578" s="1"/>
  <c r="D9" i="578" a="1"/>
  <c r="D9" i="578" s="1"/>
  <c r="D4" i="578" a="1"/>
  <c r="D4" i="578" s="1"/>
  <c r="D10" i="578" a="1"/>
  <c r="D10" i="578" s="1"/>
  <c r="D12" i="578" a="1"/>
  <c r="D12" i="578" s="1"/>
  <c r="P8" i="578" l="1" a="1"/>
  <c r="P8" i="578" s="1"/>
  <c r="L8" i="578" a="1"/>
  <c r="L8" i="578" s="1"/>
  <c r="H8" i="578" a="1"/>
  <c r="H8" i="578" s="1"/>
  <c r="O8" i="578" a="1"/>
  <c r="O8" i="578" s="1"/>
  <c r="K8" i="578" a="1"/>
  <c r="K8" i="578" s="1"/>
  <c r="G8" i="578" a="1"/>
  <c r="G8" i="578" s="1"/>
  <c r="J8" i="578" a="1"/>
  <c r="J8" i="578" s="1"/>
  <c r="I8" i="578" a="1"/>
  <c r="I8" i="578" s="1"/>
  <c r="F8" i="578" a="1"/>
  <c r="F8" i="578" s="1"/>
  <c r="N8" i="578" a="1"/>
  <c r="N8" i="578" s="1"/>
  <c r="M8" i="578" a="1"/>
  <c r="M8" i="578" s="1"/>
  <c r="E8" i="578" a="1"/>
  <c r="E8" i="578" s="1"/>
  <c r="N12" i="578" a="1"/>
  <c r="N12" i="578" s="1"/>
  <c r="J12" i="578" a="1"/>
  <c r="J12" i="578" s="1"/>
  <c r="F12" i="578" a="1"/>
  <c r="F12" i="578" s="1"/>
  <c r="M12" i="578" a="1"/>
  <c r="M12" i="578" s="1"/>
  <c r="I12" i="578" a="1"/>
  <c r="I12" i="578" s="1"/>
  <c r="E12" i="578" a="1"/>
  <c r="E12" i="578" s="1"/>
  <c r="H12" i="578" a="1"/>
  <c r="H12" i="578" s="1"/>
  <c r="G12" i="578" a="1"/>
  <c r="G12" i="578" s="1"/>
  <c r="P12" i="578" a="1"/>
  <c r="P12" i="578" s="1"/>
  <c r="O12" i="578" a="1"/>
  <c r="O12" i="578" s="1"/>
  <c r="L12" i="578" a="1"/>
  <c r="L12" i="578" s="1"/>
  <c r="K12" i="578" a="1"/>
  <c r="K12" i="578" s="1"/>
  <c r="M5" i="578" a="1"/>
  <c r="M5" i="578" s="1"/>
  <c r="I5" i="578" a="1"/>
  <c r="I5" i="578" s="1"/>
  <c r="E5" i="578" a="1"/>
  <c r="E5" i="578" s="1"/>
  <c r="P5" i="578" a="1"/>
  <c r="P5" i="578" s="1"/>
  <c r="L5" i="578" a="1"/>
  <c r="L5" i="578" s="1"/>
  <c r="H5" i="578" a="1"/>
  <c r="H5" i="578" s="1"/>
  <c r="O5" i="578" a="1"/>
  <c r="O5" i="578" s="1"/>
  <c r="K5" i="578" a="1"/>
  <c r="K5" i="578" s="1"/>
  <c r="G5" i="578" a="1"/>
  <c r="G5" i="578" s="1"/>
  <c r="N5" i="578" a="1"/>
  <c r="N5" i="578" s="1"/>
  <c r="J5" i="578" a="1"/>
  <c r="J5" i="578" s="1"/>
  <c r="F5" i="578" a="1"/>
  <c r="F5" i="578" s="1"/>
  <c r="P7" i="578" a="1"/>
  <c r="P7" i="578" s="1"/>
  <c r="L7" i="578" a="1"/>
  <c r="L7" i="578" s="1"/>
  <c r="H7" i="578" a="1"/>
  <c r="H7" i="578" s="1"/>
  <c r="O7" i="578" a="1"/>
  <c r="O7" i="578" s="1"/>
  <c r="K7" i="578" a="1"/>
  <c r="K7" i="578" s="1"/>
  <c r="G7" i="578" a="1"/>
  <c r="G7" i="578" s="1"/>
  <c r="N7" i="578" a="1"/>
  <c r="N7" i="578" s="1"/>
  <c r="J7" i="578" a="1"/>
  <c r="J7" i="578" s="1"/>
  <c r="F7" i="578" a="1"/>
  <c r="F7" i="578" s="1"/>
  <c r="E7" i="578" a="1"/>
  <c r="E7" i="578" s="1"/>
  <c r="M7" i="578" a="1"/>
  <c r="M7" i="578" s="1"/>
  <c r="I7" i="578" a="1"/>
  <c r="I7" i="578" s="1"/>
  <c r="O10" i="578" a="1"/>
  <c r="O10" i="578" s="1"/>
  <c r="K10" i="578" a="1"/>
  <c r="K10" i="578" s="1"/>
  <c r="G10" i="578" a="1"/>
  <c r="G10" i="578" s="1"/>
  <c r="N10" i="578" a="1"/>
  <c r="N10" i="578" s="1"/>
  <c r="J10" i="578" a="1"/>
  <c r="J10" i="578" s="1"/>
  <c r="F10" i="578" a="1"/>
  <c r="F10" i="578" s="1"/>
  <c r="I10" i="578" a="1"/>
  <c r="I10" i="578" s="1"/>
  <c r="H10" i="578" a="1"/>
  <c r="H10" i="578" s="1"/>
  <c r="P10" i="578" a="1"/>
  <c r="P10" i="578" s="1"/>
  <c r="E10" i="578" a="1"/>
  <c r="E10" i="578" s="1"/>
  <c r="M10" i="578" a="1"/>
  <c r="M10" i="578" s="1"/>
  <c r="L10" i="578" a="1"/>
  <c r="L10" i="578" s="1"/>
  <c r="N4" i="578" a="1"/>
  <c r="N4" i="578" s="1"/>
  <c r="J4" i="578" a="1"/>
  <c r="J4" i="578" s="1"/>
  <c r="F4" i="578" a="1"/>
  <c r="F4" i="578" s="1"/>
  <c r="M4" i="578" a="1"/>
  <c r="M4" i="578" s="1"/>
  <c r="I4" i="578" a="1"/>
  <c r="I4" i="578" s="1"/>
  <c r="E4" i="578" a="1"/>
  <c r="E4" i="578" s="1"/>
  <c r="K4" i="578" a="1"/>
  <c r="K4" i="578" s="1"/>
  <c r="H4" i="578" a="1"/>
  <c r="H4" i="578" s="1"/>
  <c r="G4" i="578" a="1"/>
  <c r="G4" i="578" s="1"/>
  <c r="O4" i="578" a="1"/>
  <c r="O4" i="578" s="1"/>
  <c r="P4" i="578" a="1"/>
  <c r="P4" i="578" s="1"/>
  <c r="L4" i="578" a="1"/>
  <c r="L4" i="578" s="1"/>
  <c r="O9" i="578" a="1"/>
  <c r="O9" i="578" s="1"/>
  <c r="K9" i="578" a="1"/>
  <c r="K9" i="578" s="1"/>
  <c r="G9" i="578" a="1"/>
  <c r="G9" i="578" s="1"/>
  <c r="N9" i="578" a="1"/>
  <c r="N9" i="578" s="1"/>
  <c r="J9" i="578" a="1"/>
  <c r="J9" i="578" s="1"/>
  <c r="F9" i="578" a="1"/>
  <c r="F9" i="578" s="1"/>
  <c r="M9" i="578" a="1"/>
  <c r="M9" i="578" s="1"/>
  <c r="I9" i="578" a="1"/>
  <c r="I9" i="578" s="1"/>
  <c r="E9" i="578" a="1"/>
  <c r="E9" i="578" s="1"/>
  <c r="L9" i="578" a="1"/>
  <c r="L9" i="578" s="1"/>
  <c r="H9" i="578" a="1"/>
  <c r="H9" i="578" s="1"/>
  <c r="P9" i="578" a="1"/>
  <c r="P9" i="578" s="1"/>
  <c r="M6" i="578" a="1"/>
  <c r="M6" i="578" s="1"/>
  <c r="I6" i="578" a="1"/>
  <c r="I6" i="578" s="1"/>
  <c r="E6" i="578" a="1"/>
  <c r="E6" i="578" s="1"/>
  <c r="P6" i="578" a="1"/>
  <c r="P6" i="578" s="1"/>
  <c r="L6" i="578" a="1"/>
  <c r="L6" i="578" s="1"/>
  <c r="H6" i="578" a="1"/>
  <c r="H6" i="578" s="1"/>
  <c r="K6" i="578" a="1"/>
  <c r="K6" i="578" s="1"/>
  <c r="J6" i="578" a="1"/>
  <c r="J6" i="578" s="1"/>
  <c r="G6" i="578" a="1"/>
  <c r="G6" i="578" s="1"/>
  <c r="O6" i="578" a="1"/>
  <c r="O6" i="578" s="1"/>
  <c r="N6" i="578" a="1"/>
  <c r="N6" i="578" s="1"/>
  <c r="F6" i="578" a="1"/>
  <c r="F6" i="578" s="1"/>
  <c r="N11" i="578" a="1"/>
  <c r="N11" i="578" s="1"/>
  <c r="J11" i="578" a="1"/>
  <c r="J11" i="578" s="1"/>
  <c r="F11" i="578" a="1"/>
  <c r="F11" i="578" s="1"/>
  <c r="M11" i="578" a="1"/>
  <c r="M11" i="578" s="1"/>
  <c r="I11" i="578" a="1"/>
  <c r="I11" i="578" s="1"/>
  <c r="E11" i="578" a="1"/>
  <c r="E11" i="578" s="1"/>
  <c r="P11" i="578" a="1"/>
  <c r="P11" i="578" s="1"/>
  <c r="L11" i="578" a="1"/>
  <c r="L11" i="578" s="1"/>
  <c r="H11" i="578" a="1"/>
  <c r="H11" i="578" s="1"/>
  <c r="K11" i="578" a="1"/>
  <c r="K11" i="578" s="1"/>
  <c r="G11" i="578" a="1"/>
  <c r="G11" i="578" s="1"/>
  <c r="O11" i="578" a="1"/>
  <c r="O11" i="578" s="1"/>
  <c r="P3" i="578" a="1"/>
  <c r="P3" i="578" s="1"/>
  <c r="L3" i="578" a="1"/>
  <c r="L3" i="578" s="1"/>
  <c r="H3" i="578" a="1"/>
  <c r="H3" i="578" s="1"/>
  <c r="O3" i="578" a="1"/>
  <c r="O3" i="578" s="1"/>
  <c r="K3" i="578" a="1"/>
  <c r="K3" i="578" s="1"/>
  <c r="G3" i="578" a="1"/>
  <c r="G3" i="578" s="1"/>
  <c r="E3" i="578" a="1"/>
  <c r="E3" i="578" s="1"/>
  <c r="N3" i="578" a="1"/>
  <c r="N3" i="578" s="1"/>
  <c r="M3" i="578" a="1"/>
  <c r="M3" i="578" s="1"/>
  <c r="I3" i="578" a="1"/>
  <c r="I3" i="578" s="1"/>
  <c r="J3" i="578" a="1"/>
  <c r="J3" i="578" s="1"/>
  <c r="F3" i="578" a="1"/>
  <c r="F3" i="578" s="1"/>
  <c r="J13" i="578" l="1"/>
  <c r="J14" i="578" s="1"/>
  <c r="H13" i="578"/>
  <c r="H14" i="578" s="1"/>
  <c r="I13" i="578"/>
  <c r="I14" i="578" s="1"/>
  <c r="G13" i="578"/>
  <c r="G14" i="578" s="1"/>
  <c r="K13" i="578"/>
  <c r="K14" i="578" s="1"/>
  <c r="N13" i="578"/>
  <c r="N14" i="578" s="1"/>
  <c r="L13" i="578"/>
  <c r="L14" i="578" s="1"/>
  <c r="M13" i="578"/>
  <c r="M14" i="578" s="1"/>
  <c r="Q10" i="578"/>
  <c r="F13" i="578"/>
  <c r="F14" i="578" s="1"/>
  <c r="O13" i="578"/>
  <c r="O14" i="578" s="1"/>
  <c r="Q4" i="578"/>
  <c r="Q5" i="578"/>
  <c r="Q8" i="578"/>
  <c r="E13" i="578"/>
  <c r="Q3" i="578"/>
  <c r="Q12" i="578"/>
  <c r="Q11" i="578"/>
  <c r="Q6" i="578"/>
  <c r="Q7" i="578"/>
  <c r="P13" i="578"/>
  <c r="P14" i="578" s="1"/>
  <c r="Q9" i="578"/>
  <c r="E14" i="578" l="1"/>
  <c r="Q13" i="578"/>
  <c r="Q14" i="578" s="1"/>
  <c r="I80" i="207"/>
  <c r="I79" i="207"/>
  <c r="I78" i="207"/>
  <c r="I72" i="207"/>
  <c r="I71" i="207"/>
  <c r="I70" i="207"/>
  <c r="I69" i="207"/>
  <c r="I68" i="207"/>
  <c r="I59" i="207"/>
  <c r="I58" i="207"/>
  <c r="I57" i="207"/>
  <c r="I56" i="207"/>
  <c r="I55" i="207"/>
  <c r="I54" i="207"/>
  <c r="I53" i="207"/>
  <c r="I52" i="207"/>
  <c r="I51" i="207"/>
  <c r="I50" i="207"/>
  <c r="P4" i="207" l="1"/>
  <c r="P5" i="207"/>
  <c r="P6" i="207"/>
  <c r="P7" i="207"/>
  <c r="P8" i="207"/>
  <c r="P9" i="207"/>
  <c r="P10" i="207"/>
  <c r="P11" i="207"/>
  <c r="P12" i="207"/>
  <c r="P13" i="207"/>
  <c r="M6" i="207"/>
  <c r="M7" i="207"/>
  <c r="M8" i="207"/>
  <c r="M9" i="207"/>
  <c r="M11" i="207"/>
  <c r="P15" i="207"/>
  <c r="P14" i="207"/>
  <c r="M15" i="207"/>
  <c r="M14" i="207"/>
  <c r="E25" i="207" l="1"/>
  <c r="AG50" i="3"/>
  <c r="AG49" i="3"/>
  <c r="AG48" i="3"/>
  <c r="AG47" i="3"/>
  <c r="AG46" i="3"/>
  <c r="AG45" i="3"/>
  <c r="AG44" i="3"/>
  <c r="AG43" i="3"/>
  <c r="AG42" i="3"/>
  <c r="AG41" i="3"/>
  <c r="AG40" i="3"/>
  <c r="AG39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Z50" i="3"/>
  <c r="Z49" i="3"/>
  <c r="Z48" i="3"/>
  <c r="Z47" i="3"/>
  <c r="Z46" i="3"/>
  <c r="Z45" i="3"/>
  <c r="Z44" i="3"/>
  <c r="Z43" i="3"/>
  <c r="Z42" i="3"/>
  <c r="Z41" i="3"/>
  <c r="Z40" i="3"/>
  <c r="Z39" i="3"/>
  <c r="Y50" i="3"/>
  <c r="Y49" i="3"/>
  <c r="Y48" i="3"/>
  <c r="Y47" i="3"/>
  <c r="Y46" i="3"/>
  <c r="Y45" i="3"/>
  <c r="Y44" i="3"/>
  <c r="Y43" i="3"/>
  <c r="Y42" i="3"/>
  <c r="Y41" i="3"/>
  <c r="Y40" i="3"/>
  <c r="Y39" i="3"/>
  <c r="X50" i="3"/>
  <c r="X49" i="3"/>
  <c r="X48" i="3"/>
  <c r="X47" i="3"/>
  <c r="X46" i="3"/>
  <c r="X45" i="3"/>
  <c r="X44" i="3"/>
  <c r="X43" i="3"/>
  <c r="X42" i="3"/>
  <c r="X41" i="3"/>
  <c r="X40" i="3"/>
  <c r="X39" i="3"/>
  <c r="W50" i="3"/>
  <c r="W49" i="3"/>
  <c r="W48" i="3"/>
  <c r="W47" i="3"/>
  <c r="W46" i="3"/>
  <c r="W45" i="3"/>
  <c r="W44" i="3"/>
  <c r="W43" i="3"/>
  <c r="W42" i="3"/>
  <c r="W41" i="3"/>
  <c r="W40" i="3"/>
  <c r="W39" i="3"/>
  <c r="V50" i="3"/>
  <c r="V49" i="3"/>
  <c r="V48" i="3"/>
  <c r="V47" i="3"/>
  <c r="V46" i="3"/>
  <c r="V45" i="3"/>
  <c r="V44" i="3"/>
  <c r="V43" i="3"/>
  <c r="V42" i="3"/>
  <c r="V41" i="3"/>
  <c r="V40" i="3"/>
  <c r="V39" i="3"/>
  <c r="U50" i="3"/>
  <c r="U49" i="3"/>
  <c r="U48" i="3"/>
  <c r="U47" i="3"/>
  <c r="U46" i="3"/>
  <c r="U45" i="3"/>
  <c r="U44" i="3"/>
  <c r="U43" i="3"/>
  <c r="U42" i="3"/>
  <c r="U41" i="3"/>
  <c r="U40" i="3"/>
  <c r="U39" i="3"/>
  <c r="B8" i="207"/>
  <c r="E24" i="207" s="1"/>
  <c r="E9" i="757" l="1"/>
  <c r="E11" i="757"/>
  <c r="E15" i="757"/>
  <c r="E6" i="757"/>
  <c r="E13" i="757"/>
  <c r="E5" i="757"/>
  <c r="E14" i="757"/>
  <c r="E10" i="757"/>
  <c r="E7" i="757"/>
  <c r="E12" i="757"/>
  <c r="E8" i="757"/>
  <c r="E4" i="757"/>
  <c r="X9" i="757"/>
  <c r="Y9" i="757" s="1"/>
  <c r="X11" i="757"/>
  <c r="Z11" i="757" s="1"/>
  <c r="X15" i="757"/>
  <c r="Z15" i="757" s="1"/>
  <c r="X8" i="757"/>
  <c r="Y8" i="757" s="1"/>
  <c r="X6" i="757"/>
  <c r="Z6" i="757" s="1"/>
  <c r="X13" i="757"/>
  <c r="Z13" i="757" s="1"/>
  <c r="X5" i="757"/>
  <c r="Y5" i="757" s="1"/>
  <c r="X14" i="757"/>
  <c r="Z14" i="757" s="1"/>
  <c r="X10" i="757"/>
  <c r="Z10" i="757" s="1"/>
  <c r="X7" i="757"/>
  <c r="Y7" i="757" s="1"/>
  <c r="X12" i="757"/>
  <c r="Z12" i="757" s="1"/>
  <c r="X4" i="757"/>
  <c r="Z4" i="757" s="1"/>
  <c r="D8" i="207" a="1"/>
  <c r="D8" i="207" s="1"/>
  <c r="D7" i="207" a="1"/>
  <c r="D7" i="207" s="1"/>
  <c r="D6" i="207" a="1"/>
  <c r="D6" i="207" s="1"/>
  <c r="D5" i="207" a="1"/>
  <c r="D5" i="207" s="1"/>
  <c r="D12" i="207" a="1"/>
  <c r="D12" i="207" s="1"/>
  <c r="D4" i="207" a="1"/>
  <c r="D4" i="207" s="1"/>
  <c r="D11" i="207" a="1"/>
  <c r="D11" i="207" s="1"/>
  <c r="D3" i="207" a="1"/>
  <c r="D3" i="207" s="1"/>
  <c r="D10" i="207" a="1"/>
  <c r="D10" i="207" s="1"/>
  <c r="D9" i="207" a="1"/>
  <c r="D9" i="207" s="1"/>
  <c r="D22" i="207"/>
  <c r="D21" i="207"/>
  <c r="D20" i="207"/>
  <c r="D19" i="207"/>
  <c r="M12" i="207"/>
  <c r="M10" i="207"/>
  <c r="M5" i="207"/>
  <c r="M13" i="207"/>
  <c r="D24" i="207"/>
  <c r="M4" i="207"/>
  <c r="M3" i="207"/>
  <c r="D25" i="207"/>
  <c r="B10" i="207"/>
  <c r="F4" i="207" l="1" a="1"/>
  <c r="F4" i="207" s="1"/>
  <c r="F3" i="207" a="1"/>
  <c r="F3" i="207" s="1"/>
  <c r="Y13" i="757"/>
  <c r="Z8" i="757"/>
  <c r="Y14" i="757"/>
  <c r="Y12" i="757"/>
  <c r="Y15" i="757"/>
  <c r="Z7" i="757"/>
  <c r="Z5" i="757"/>
  <c r="Y11" i="757"/>
  <c r="F11" i="207" a="1"/>
  <c r="F11" i="207" s="1"/>
  <c r="F7" i="207" a="1"/>
  <c r="F7" i="207" s="1"/>
  <c r="F9" i="207" a="1"/>
  <c r="F9" i="207" s="1"/>
  <c r="F10" i="207" a="1"/>
  <c r="F10" i="207" s="1"/>
  <c r="F12" i="207" a="1"/>
  <c r="F12" i="207" s="1"/>
  <c r="F5" i="207" a="1"/>
  <c r="F5" i="207" s="1"/>
  <c r="F6" i="207" a="1"/>
  <c r="F6" i="207" s="1"/>
  <c r="F8" i="207" a="1"/>
  <c r="F8" i="207" s="1"/>
  <c r="E4" i="207" a="1"/>
  <c r="E4" i="207" s="1"/>
  <c r="E5" i="207" a="1"/>
  <c r="E5" i="207" s="1"/>
  <c r="E6" i="207" a="1"/>
  <c r="E6" i="207" s="1"/>
  <c r="E9" i="207" a="1"/>
  <c r="E9" i="207" s="1"/>
  <c r="E10" i="207" a="1"/>
  <c r="E10" i="207" s="1"/>
  <c r="E12" i="207" a="1"/>
  <c r="E12" i="207" s="1"/>
  <c r="E7" i="207" a="1"/>
  <c r="E7" i="207" s="1"/>
  <c r="E11" i="207" a="1"/>
  <c r="E11" i="207" s="1"/>
  <c r="E8" i="207" a="1"/>
  <c r="E8" i="207" s="1"/>
  <c r="Y4" i="757"/>
  <c r="Z9" i="757"/>
  <c r="Y10" i="757"/>
  <c r="Y6" i="757"/>
  <c r="E3" i="207" a="1"/>
  <c r="E3" i="207" s="1"/>
  <c r="G4" i="207" a="1"/>
  <c r="G4" i="207" s="1"/>
  <c r="H4" i="207" a="1"/>
  <c r="H4" i="207" s="1"/>
  <c r="H12" i="207" a="1"/>
  <c r="H12" i="207" s="1"/>
  <c r="G12" i="207" a="1"/>
  <c r="G12" i="207" s="1"/>
  <c r="G11" i="207" a="1"/>
  <c r="G11" i="207" s="1"/>
  <c r="H11" i="207" a="1"/>
  <c r="H11" i="207" s="1"/>
  <c r="H5" i="207" a="1"/>
  <c r="H5" i="207" s="1"/>
  <c r="G5" i="207" a="1"/>
  <c r="G5" i="207" s="1"/>
  <c r="H6" i="207" a="1"/>
  <c r="H6" i="207" s="1"/>
  <c r="G6" i="207" a="1"/>
  <c r="G6" i="207" s="1"/>
  <c r="H3" i="207" a="1"/>
  <c r="H3" i="207" s="1"/>
  <c r="G3" i="207" a="1"/>
  <c r="G3" i="207" s="1"/>
  <c r="G8" i="207" a="1"/>
  <c r="G8" i="207" s="1"/>
  <c r="H8" i="207" a="1"/>
  <c r="H8" i="207" s="1"/>
  <c r="G9" i="207" a="1"/>
  <c r="G9" i="207" s="1"/>
  <c r="H9" i="207" a="1"/>
  <c r="H9" i="207" s="1"/>
  <c r="G10" i="207" a="1"/>
  <c r="G10" i="207" s="1"/>
  <c r="H10" i="207" a="1"/>
  <c r="H10" i="207" s="1"/>
  <c r="H7" i="207" a="1"/>
  <c r="H7" i="207" s="1"/>
  <c r="G7" i="207" a="1"/>
  <c r="G7" i="207" s="1"/>
  <c r="F13" i="207" l="1"/>
  <c r="F14" i="207" s="1"/>
  <c r="E13" i="207"/>
  <c r="G13" i="207"/>
  <c r="G14" i="207" s="1"/>
  <c r="H13" i="207"/>
  <c r="H14" i="207" s="1"/>
  <c r="I7" i="207"/>
  <c r="I9" i="207"/>
  <c r="I3" i="207"/>
  <c r="I12" i="207"/>
  <c r="I10" i="207"/>
  <c r="I8" i="207"/>
  <c r="I6" i="207"/>
  <c r="I5" i="207"/>
  <c r="I11" i="207"/>
  <c r="I4" i="207"/>
  <c r="E14" i="207" l="1"/>
  <c r="I13" i="207"/>
  <c r="I14" i="207" s="1"/>
  <c r="D15" i="1" l="1" a="1"/>
  <c r="D15" i="1" s="1"/>
  <c r="E15" i="1" a="1"/>
  <c r="E15" i="1" s="1"/>
  <c r="J7" i="1"/>
  <c r="F7" i="1"/>
  <c r="J5" i="1"/>
  <c r="F5" i="1"/>
  <c r="J9" i="1"/>
  <c r="F9" i="1"/>
  <c r="J13" i="1"/>
  <c r="F13" i="1"/>
  <c r="F6" i="1"/>
  <c r="J6" i="1"/>
  <c r="F4" i="1"/>
  <c r="J4" i="1"/>
  <c r="F14" i="1"/>
  <c r="J14" i="1"/>
  <c r="F8" i="1"/>
  <c r="J8" i="1"/>
  <c r="F10" i="1"/>
  <c r="J10" i="1"/>
  <c r="F12" i="1"/>
  <c r="J12" i="1"/>
  <c r="J11" i="1"/>
  <c r="F11" i="1"/>
  <c r="F3" i="1"/>
  <c r="J3" i="1"/>
  <c r="J15" i="1" l="1"/>
  <c r="J16" i="1" s="1"/>
  <c r="X16" i="757"/>
  <c r="Y16" i="757" s="1"/>
  <c r="E16" i="757"/>
  <c r="E17" i="757" s="1"/>
  <c r="F15" i="1" a="1"/>
  <c r="F15" i="1" s="1"/>
  <c r="F16" i="1" s="1"/>
  <c r="K14" i="1"/>
  <c r="K8" i="1"/>
  <c r="K4" i="1"/>
  <c r="K7" i="1"/>
  <c r="K6" i="1"/>
  <c r="K11" i="1"/>
  <c r="K13" i="1"/>
  <c r="K9" i="1"/>
  <c r="K12" i="1"/>
  <c r="K10" i="1"/>
  <c r="K5" i="1"/>
  <c r="K3" i="1"/>
  <c r="K15" i="1" a="1"/>
  <c r="K15" i="1" s="1"/>
  <c r="E16" i="1"/>
  <c r="D16" i="1"/>
  <c r="Z16" i="757" l="1"/>
  <c r="K16" i="1"/>
  <c r="F5" i="757" l="1"/>
  <c r="N4" i="1" l="1" a="1"/>
  <c r="N4" i="1" s="1"/>
  <c r="H4" i="1"/>
  <c r="I5" i="757" l="1"/>
  <c r="G4" i="1"/>
  <c r="H5" i="757" l="1"/>
  <c r="J5" i="757" s="1" a="1"/>
  <c r="J5" i="757" s="1"/>
  <c r="I4" i="1"/>
  <c r="N3" i="1" l="1" a="1"/>
  <c r="N3" i="1" s="1"/>
  <c r="F4" i="757"/>
  <c r="G3" i="1"/>
  <c r="H4" i="757" l="1"/>
  <c r="H3" i="1"/>
  <c r="I3" i="1" l="1"/>
  <c r="I4" i="757"/>
  <c r="J4" i="757" s="1" a="1"/>
  <c r="J4" i="757" s="1"/>
  <c r="H5" i="1"/>
  <c r="F6" i="757" l="1"/>
  <c r="I6" i="757"/>
  <c r="N5" i="1" a="1"/>
  <c r="N5" i="1" s="1"/>
  <c r="G5" i="1"/>
  <c r="I5" i="1" l="1"/>
  <c r="H6" i="757"/>
  <c r="J6" i="757" s="1" a="1"/>
  <c r="J6" i="757" s="1"/>
  <c r="H14" i="1"/>
  <c r="I15" i="757" l="1"/>
  <c r="N14" i="1" l="1" a="1"/>
  <c r="N14" i="1" s="1"/>
  <c r="F15" i="757"/>
  <c r="G14" i="1"/>
  <c r="I14" i="1" l="1"/>
  <c r="H15" i="757"/>
  <c r="J15" i="757" s="1" a="1"/>
  <c r="J15" i="757" s="1"/>
  <c r="H13" i="1"/>
  <c r="F14" i="757" l="1"/>
  <c r="I14" i="757"/>
  <c r="G13" i="1"/>
  <c r="I13" i="1" l="1"/>
  <c r="H14" i="757"/>
  <c r="J14" i="757" s="1" a="1"/>
  <c r="J14" i="757" s="1"/>
  <c r="N13" i="1" l="1" a="1"/>
  <c r="N13" i="1" s="1"/>
  <c r="H12" i="1"/>
  <c r="I13" i="757" l="1"/>
  <c r="G12" i="1"/>
  <c r="F13" i="757" l="1"/>
  <c r="I12" i="1"/>
  <c r="H13" i="757"/>
  <c r="J13" i="757" l="1" a="1"/>
  <c r="J13" i="757" s="1"/>
  <c r="N12" i="1" a="1"/>
  <c r="N12" i="1" s="1"/>
  <c r="F12" i="757" l="1"/>
  <c r="N11" i="1" l="1" a="1"/>
  <c r="N11" i="1" s="1"/>
  <c r="H11" i="1"/>
  <c r="I12" i="757" l="1"/>
  <c r="G11" i="1"/>
  <c r="I11" i="1" l="1"/>
  <c r="H12" i="757"/>
  <c r="J12" i="757" s="1" a="1"/>
  <c r="J12" i="757" s="1"/>
  <c r="H10" i="1"/>
  <c r="I11" i="757" l="1"/>
  <c r="F11" i="757" l="1"/>
  <c r="N10" i="1" a="1"/>
  <c r="N10" i="1" s="1"/>
  <c r="G10" i="1"/>
  <c r="I10" i="1" l="1"/>
  <c r="H11" i="757"/>
  <c r="J11" i="757" s="1" a="1"/>
  <c r="J11" i="757" s="1"/>
  <c r="H9" i="1"/>
  <c r="I10" i="757" l="1"/>
  <c r="F10" i="757" l="1"/>
  <c r="N9" i="1" l="1" a="1"/>
  <c r="N9" i="1" s="1"/>
  <c r="G9" i="1"/>
  <c r="I9" i="1" l="1"/>
  <c r="H10" i="757"/>
  <c r="J10" i="757" s="1" a="1"/>
  <c r="J10" i="757" s="1"/>
  <c r="G8" i="1"/>
  <c r="H9" i="757" l="1"/>
  <c r="F9" i="757"/>
  <c r="N8" i="1" a="1"/>
  <c r="N8" i="1" s="1"/>
  <c r="H8" i="1"/>
  <c r="I8" i="1" l="1"/>
  <c r="I9" i="757"/>
  <c r="J9" i="757" s="1" a="1"/>
  <c r="J9" i="757" s="1"/>
  <c r="G7" i="1"/>
  <c r="F8" i="757" l="1"/>
  <c r="H8" i="757"/>
  <c r="N7" i="1" l="1" a="1"/>
  <c r="N7" i="1" s="1"/>
  <c r="H7" i="1"/>
  <c r="I8" i="757" l="1"/>
  <c r="J8" i="757" s="1" a="1"/>
  <c r="J8" i="757" s="1"/>
  <c r="I7" i="1"/>
  <c r="G6" i="1"/>
  <c r="G15" i="1" l="1" a="1"/>
  <c r="G15" i="1" s="1"/>
  <c r="H7" i="757"/>
  <c r="H16" i="757" l="1"/>
  <c r="G16" i="1"/>
  <c r="H17" i="757" s="1"/>
  <c r="H6" i="1"/>
  <c r="H15" i="1" l="1" a="1"/>
  <c r="H15" i="1" s="1"/>
  <c r="I6" i="1"/>
  <c r="I15" i="1" s="1" a="1"/>
  <c r="I15" i="1" s="1"/>
  <c r="I7" i="757"/>
  <c r="M16" i="1" l="1"/>
  <c r="F7" i="757"/>
  <c r="J7" i="757" s="1" a="1"/>
  <c r="J7" i="757" s="1"/>
  <c r="I16" i="1"/>
  <c r="L15" i="1" a="1"/>
  <c r="L15" i="1" s="1"/>
  <c r="H16" i="1"/>
  <c r="I17" i="757" s="1"/>
  <c r="I16" i="757"/>
  <c r="F2" i="1182" l="1"/>
  <c r="F7" i="1182" s="1"/>
  <c r="G17" i="757"/>
  <c r="G3" i="1182"/>
  <c r="N6" i="1" a="1"/>
  <c r="N6" i="1" s="1"/>
  <c r="N15" i="1" s="1" a="1"/>
  <c r="N15" i="1" s="1"/>
  <c r="N16" i="1" s="1"/>
  <c r="L16" i="1"/>
  <c r="F16" i="757"/>
  <c r="L14" i="757" l="1" a="1"/>
  <c r="L14" i="757" s="1"/>
  <c r="E9" i="1182"/>
  <c r="H3" i="1182"/>
  <c r="E7" i="1182" a="1"/>
  <c r="E7" i="1182" s="1"/>
  <c r="F17" i="757"/>
  <c r="G2" i="1182"/>
  <c r="J16" i="757" a="1"/>
  <c r="J16" i="757" s="1"/>
  <c r="J17" i="757" s="1"/>
  <c r="L17" i="757" l="1"/>
  <c r="F15" i="1182"/>
  <c r="H2" i="1182"/>
  <c r="G7" i="1182"/>
  <c r="I3" i="1182" l="1"/>
  <c r="J3" i="1182"/>
  <c r="O15" i="1182"/>
  <c r="P15" i="1182"/>
  <c r="T15" i="1182"/>
  <c r="Q15" i="1182"/>
  <c r="R15" i="1182"/>
  <c r="S15" i="1182"/>
  <c r="U15" i="1182"/>
  <c r="V15" i="1182"/>
  <c r="I15" i="1182"/>
  <c r="J15" i="1182"/>
  <c r="K15" i="1182"/>
  <c r="L15" i="1182"/>
  <c r="M15" i="1182"/>
  <c r="N15" i="1182"/>
  <c r="H15" i="1182"/>
  <c r="G15" i="1182"/>
  <c r="F14" i="1182"/>
  <c r="J2" i="1182" s="1"/>
  <c r="J4" i="1182" s="1"/>
  <c r="I2" i="1182" l="1"/>
  <c r="I4" i="1182" s="1"/>
  <c r="F16" i="1182"/>
  <c r="G20" i="1182" s="1"/>
  <c r="L2" i="1182" s="1"/>
  <c r="O14" i="1182"/>
  <c r="P14" i="1182"/>
  <c r="Q14" i="1182"/>
  <c r="R14" i="1182"/>
  <c r="S14" i="1182"/>
  <c r="T14" i="1182"/>
  <c r="U14" i="1182"/>
  <c r="V14" i="1182"/>
  <c r="H14" i="1182"/>
  <c r="I14" i="1182"/>
  <c r="J14" i="1182"/>
  <c r="K14" i="1182"/>
  <c r="L14" i="1182"/>
  <c r="M14" i="1182"/>
  <c r="N14" i="1182"/>
  <c r="G14" i="1182"/>
  <c r="G19" i="1182" l="1"/>
  <c r="K3" i="1182" s="1"/>
  <c r="L3" i="1182"/>
  <c r="K2" i="1182" l="1"/>
  <c r="N3" i="1182"/>
  <c r="N2" i="1182" l="1"/>
  <c r="F19" i="757" s="1"/>
  <c r="K4" i="1182"/>
  <c r="G19" i="757"/>
  <c r="O3" i="1182"/>
  <c r="G20" i="757" l="1"/>
  <c r="N4" i="1182"/>
  <c r="O2" i="1182"/>
  <c r="F20" i="757" s="1"/>
  <c r="L4" i="1182"/>
  <c r="O4" i="118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tc={EABFF79C-6F3E-45A7-AFDB-E16C33B25AA4}</author>
    <author>tc={015AC820-E43D-4952-9147-E1AB8B697D08}</author>
    <author>tc={755B2C32-0CC1-4AB8-9943-9B321C73B956}</author>
    <author>tc={1E4F50FE-453F-4374-81CD-FED15F974F3D}</author>
    <author>tc={E0FD2FBA-4E1B-4572-A9D0-6315CEDAEDFE}</author>
    <author>tc={22C51930-100C-4141-9123-FA056F76C484}</author>
    <author>tc={7B16B4CC-E443-48A6-9659-3BBEFC3ECC16}</author>
    <author>tc={3E003C7E-19BB-45E7-BEB5-218C116527E2}</author>
    <author>tc={5F46F273-6C46-4161-A494-247D2B6B31A3}</author>
    <author>tc={0DF602ED-B4B4-48F8-A449-73B218BAB594}</author>
  </authors>
  <commentList>
    <comment ref="W3" authorId="0" shapeId="0" xr:uid="{EABFF79C-6F3E-45A7-AFDB-E16C33B25AA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015AC820-E43D-4952-9147-E1AB8B697D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755B2C32-0CC1-4AB8-9943-9B321C73B9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1E4F50FE-453F-4374-81CD-FED15F974F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E0FD2FBA-4E1B-4572-A9D0-6315CEDAED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22C51930-100C-4141-9123-FA056F76C4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7B16B4CC-E443-48A6-9659-3BBEFC3ECC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3E003C7E-19BB-45E7-BEB5-218C116527E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5F46F273-6C46-4161-A494-247D2B6B31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0DF602ED-B4B4-48F8-A449-73B218BAB5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<sst xmlns="http://schemas.openxmlformats.org/spreadsheetml/2006/main" count="1592" uniqueCount="185">
  <si>
    <t>Inscrits</t>
  </si>
  <si>
    <t>Emargements</t>
  </si>
  <si>
    <t>Votants</t>
  </si>
  <si>
    <t>Blancs</t>
  </si>
  <si>
    <t>Nuls</t>
  </si>
  <si>
    <t>Exprimés</t>
  </si>
  <si>
    <t>Participation</t>
  </si>
  <si>
    <t>Vérification</t>
  </si>
  <si>
    <t>Total exprimé</t>
  </si>
  <si>
    <t>TOTAL</t>
  </si>
  <si>
    <t>%</t>
  </si>
  <si>
    <t>Date</t>
  </si>
  <si>
    <t>Election</t>
  </si>
  <si>
    <t>Ville</t>
  </si>
  <si>
    <t>Cogolin</t>
  </si>
  <si>
    <t>Bureaux</t>
  </si>
  <si>
    <t>Total</t>
  </si>
  <si>
    <t>Abstention</t>
  </si>
  <si>
    <t xml:space="preserve">Les cases grisées sont </t>
  </si>
  <si>
    <t>calculées automatiquement</t>
  </si>
  <si>
    <t>Ne pas éditer</t>
  </si>
  <si>
    <t>Heure</t>
  </si>
  <si>
    <t>Bureau n°</t>
  </si>
  <si>
    <t>Nom</t>
  </si>
  <si>
    <t>Seules les cases bleu clair</t>
  </si>
  <si>
    <t>sont à remplir</t>
  </si>
  <si>
    <t>Gymnase B</t>
  </si>
  <si>
    <t>COSEC</t>
  </si>
  <si>
    <t>CMM</t>
  </si>
  <si>
    <t>Base nautique</t>
  </si>
  <si>
    <t>Votants %</t>
  </si>
  <si>
    <t>08h00</t>
  </si>
  <si>
    <t>09h00</t>
  </si>
  <si>
    <t>10h00</t>
  </si>
  <si>
    <t>11h00</t>
  </si>
  <si>
    <t>12h00</t>
  </si>
  <si>
    <t>13h00</t>
  </si>
  <si>
    <t>14h00</t>
  </si>
  <si>
    <t>15h00</t>
  </si>
  <si>
    <t>16h00</t>
  </si>
  <si>
    <t>17h00</t>
  </si>
  <si>
    <t>18h00</t>
  </si>
  <si>
    <t>19h00</t>
  </si>
  <si>
    <t>20h00</t>
  </si>
  <si>
    <t>8h-9h</t>
  </si>
  <si>
    <t>9h-10h</t>
  </si>
  <si>
    <t>10h-11h</t>
  </si>
  <si>
    <t>12h-13h</t>
  </si>
  <si>
    <t>13h-14h</t>
  </si>
  <si>
    <t>14h-15h</t>
  </si>
  <si>
    <t>15h-16h</t>
  </si>
  <si>
    <t>16h-17h</t>
  </si>
  <si>
    <t>17h-18h</t>
  </si>
  <si>
    <t>11h-12h</t>
  </si>
  <si>
    <t>18h-19h</t>
  </si>
  <si>
    <t>19h-20h</t>
  </si>
  <si>
    <t>Votants cumulés</t>
  </si>
  <si>
    <t>Votants sur la période</t>
  </si>
  <si>
    <t>Période horaire</t>
  </si>
  <si>
    <t>Seules les cases bleu clair sont à remplir</t>
  </si>
  <si>
    <t>Les cases grisées sont calculées automatiquement Ne pas éditer</t>
  </si>
  <si>
    <t>Tour actuel</t>
  </si>
  <si>
    <t>Tour précédent</t>
  </si>
  <si>
    <t>Table</t>
  </si>
  <si>
    <t>Valeurs du tour précédent</t>
  </si>
  <si>
    <t>Résultats relatifs par centaines dépouillées</t>
  </si>
  <si>
    <r>
      <t xml:space="preserve">Ce tableur </t>
    </r>
    <r>
      <rPr>
        <i/>
        <u/>
        <sz val="14"/>
        <color rgb="FF000000"/>
        <rFont val="Calibri"/>
        <family val="2"/>
      </rPr>
      <t>ne remplace pas</t>
    </r>
    <r>
      <rPr>
        <i/>
        <sz val="14"/>
        <color rgb="FF000000"/>
        <rFont val="Calibri"/>
        <family val="2"/>
      </rPr>
      <t xml:space="preserve"> les notes papier, il est un complément mais il ne fait pas foi.</t>
    </r>
  </si>
  <si>
    <t>Candidat 1</t>
  </si>
  <si>
    <t>Candidat 3</t>
  </si>
  <si>
    <t>Candidat 4</t>
  </si>
  <si>
    <t>Candidat 5</t>
  </si>
  <si>
    <t>Candidat 6</t>
  </si>
  <si>
    <t>Candidat 7</t>
  </si>
  <si>
    <t>Candidat 8</t>
  </si>
  <si>
    <t>Candidat 9</t>
  </si>
  <si>
    <t>Candidat 10</t>
  </si>
  <si>
    <t>TABLE 1</t>
  </si>
  <si>
    <t>TABLE 2</t>
  </si>
  <si>
    <t/>
  </si>
  <si>
    <t>N° Centaine</t>
  </si>
  <si>
    <t>Enveloppe  de centaine</t>
  </si>
  <si>
    <t>TABLE 3</t>
  </si>
  <si>
    <t>Bureau 1</t>
  </si>
  <si>
    <t>Bureau 2</t>
  </si>
  <si>
    <t>Bureau 3</t>
  </si>
  <si>
    <t>Bureau 4</t>
  </si>
  <si>
    <t>Bureau 5</t>
  </si>
  <si>
    <t>Bureau 6</t>
  </si>
  <si>
    <t>Bureau 7</t>
  </si>
  <si>
    <t>Bureau 8</t>
  </si>
  <si>
    <t>Bureau 9</t>
  </si>
  <si>
    <t>Bureau 10</t>
  </si>
  <si>
    <t>Bureau 11</t>
  </si>
  <si>
    <t>Bureau 12</t>
  </si>
  <si>
    <t>Exemple</t>
  </si>
  <si>
    <t>N°</t>
  </si>
  <si>
    <t>Abstention (%)</t>
  </si>
  <si>
    <t>Candidat 2</t>
  </si>
  <si>
    <t>Résultats cumulatifs à chaque centaine dépouillée par la table 3</t>
  </si>
  <si>
    <t>Résultats cumulatifs à chaque centaine dépouillée par la table 2</t>
  </si>
  <si>
    <t>Résultats cumulatifs à chaque centaine dépouillée par la table 1</t>
  </si>
  <si>
    <t>Sous-totaux enveloppes ouvertes</t>
  </si>
  <si>
    <t>Sous-totaux centaines</t>
  </si>
  <si>
    <t>Ecole Chabaud</t>
  </si>
  <si>
    <t>Total dépouillé</t>
  </si>
  <si>
    <t>Ctrl + F1</t>
  </si>
  <si>
    <t>Masquer le ruban</t>
  </si>
  <si>
    <t>Affichage / Quadrillage</t>
  </si>
  <si>
    <t>Affichage / Barre de formule</t>
  </si>
  <si>
    <t>Affichage / En-têtes</t>
  </si>
  <si>
    <t>Révision / Protéger la feuille</t>
  </si>
  <si>
    <t>Affichage / Nouvelle fenêtre : Feuille Projection sur écran du public</t>
  </si>
  <si>
    <t>Agrandir la barre de défilement horizontal au max à gauche pour masquer les onglets</t>
  </si>
  <si>
    <t>Sélectionner une case en dehors de l'affichage afin de ne pas voir la cellule sélectionnée entourée en vert</t>
  </si>
  <si>
    <t>Dernière mise à jour :</t>
  </si>
  <si>
    <t>Résultats cumulatifs de chaque centaine dépouillée par la table 1</t>
  </si>
  <si>
    <t>Résultats cumulatifs de chaque centaine dépouillée par la table 2</t>
  </si>
  <si>
    <t>Résultats cumulatifs de chaque centaine dépouillée par la table 3</t>
  </si>
  <si>
    <t>Résultats relatifs aux centaines dépouillées</t>
  </si>
  <si>
    <t>Seuil 1</t>
  </si>
  <si>
    <t>Seuil 2</t>
  </si>
  <si>
    <t>Seuil 0</t>
  </si>
  <si>
    <t>Seuil 3</t>
  </si>
  <si>
    <t>Nb Bureaux</t>
  </si>
  <si>
    <t>Nb Candidats</t>
  </si>
  <si>
    <t xml:space="preserve">               / 100</t>
  </si>
  <si>
    <t xml:space="preserve">              / 200</t>
  </si>
  <si>
    <t xml:space="preserve">               / 300</t>
  </si>
  <si>
    <t xml:space="preserve">               / 400</t>
  </si>
  <si>
    <t xml:space="preserve">               / 500</t>
  </si>
  <si>
    <t xml:space="preserve">Calculs des résultats de chaque centaine dépouillée par la table </t>
  </si>
  <si>
    <t xml:space="preserve">Bureau n°          </t>
  </si>
  <si>
    <t xml:space="preserve">Table n°          </t>
  </si>
  <si>
    <t>Feuille de calcul des résultats par centaines</t>
  </si>
  <si>
    <t xml:space="preserve">Ligne blanche </t>
  </si>
  <si>
    <t xml:space="preserve">Ligne bleue </t>
  </si>
  <si>
    <t xml:space="preserve">Récapitulatif </t>
  </si>
  <si>
    <t>M. Pierre-Yves 
TIERCE</t>
  </si>
  <si>
    <t>Mme Isabelle 
FARNET RISSO</t>
  </si>
  <si>
    <t>top 1</t>
  </si>
  <si>
    <t xml:space="preserve">Actuellement en tête : </t>
  </si>
  <si>
    <t xml:space="preserve">       -             =        </t>
  </si>
  <si>
    <t>Le nombre de voix tel que lu directement sur la feuille de dépouillement.</t>
  </si>
  <si>
    <t>Recopier ce score calculé dans le tableau Récapitulatif ci-dessous (et envoyer au bureau centralisateur)</t>
  </si>
  <si>
    <r>
      <t xml:space="preserve">Calcul à faire : </t>
    </r>
    <r>
      <rPr>
        <i/>
        <sz val="20"/>
        <color rgb="FF000000"/>
        <rFont val="Arial"/>
        <family val="2"/>
        <scheme val="minor"/>
      </rPr>
      <t>Nb voix actuel - Nb voix précédent = Score du candidat dans cette centaine là.</t>
    </r>
  </si>
  <si>
    <r>
      <t xml:space="preserve">Aucun calcul nécessaire ici. C'est tout simplement </t>
    </r>
    <r>
      <rPr>
        <i/>
        <sz val="20"/>
        <color rgb="FF000000"/>
        <rFont val="Arial"/>
        <family val="2"/>
        <scheme val="minor"/>
      </rPr>
      <t>le nombre de batonnets.</t>
    </r>
  </si>
  <si>
    <t>105  -  55   =  50</t>
  </si>
  <si>
    <t xml:space="preserve"> 9   -    4    =   5</t>
  </si>
  <si>
    <t>Récapitulatif  - Exemple</t>
  </si>
  <si>
    <t>84  -  40  =  44</t>
  </si>
  <si>
    <t>2    -   1   =   1</t>
  </si>
  <si>
    <r>
      <t xml:space="preserve">    </t>
    </r>
    <r>
      <rPr>
        <sz val="28"/>
        <color theme="1"/>
        <rFont val="Segoe Print"/>
      </rPr>
      <t>100</t>
    </r>
    <r>
      <rPr>
        <i/>
        <sz val="28"/>
        <color rgb="FF666666"/>
        <rFont val="Calibri"/>
        <family val="2"/>
      </rPr>
      <t xml:space="preserve">  / 100</t>
    </r>
  </si>
  <si>
    <r>
      <t xml:space="preserve">   </t>
    </r>
    <r>
      <rPr>
        <sz val="28"/>
        <color theme="1"/>
        <rFont val="Segoe Print"/>
      </rPr>
      <t>200</t>
    </r>
    <r>
      <rPr>
        <i/>
        <sz val="28"/>
        <color rgb="FF666666"/>
        <rFont val="Calibri"/>
        <family val="2"/>
      </rPr>
      <t xml:space="preserve">  / 100</t>
    </r>
  </si>
  <si>
    <t>Tour</t>
  </si>
  <si>
    <t>Municipales</t>
  </si>
  <si>
    <t>Seules les cases bleu clair sont 
à remplir</t>
  </si>
  <si>
    <t>Listes</t>
  </si>
  <si>
    <t>Voix</t>
  </si>
  <si>
    <t>Prime majoritaire</t>
  </si>
  <si>
    <t>Sièges à distribuer aux conseils</t>
  </si>
  <si>
    <t>Municipal</t>
  </si>
  <si>
    <t>Communautaire</t>
  </si>
  <si>
    <t>En tête</t>
  </si>
  <si>
    <t>Sièges au conseil 
municipal</t>
  </si>
  <si>
    <t>Sièges au conseil 
communautaire</t>
  </si>
  <si>
    <t>Egalité ?</t>
  </si>
  <si>
    <t>Conseil</t>
  </si>
  <si>
    <t>Restant PFM</t>
  </si>
  <si>
    <t>Éligible 
&gt;=5%</t>
  </si>
  <si>
    <t>Prime majoritaire CM</t>
  </si>
  <si>
    <t>Date de naissance</t>
  </si>
  <si>
    <t>Membre de la liste</t>
  </si>
  <si>
    <t>Age</t>
  </si>
  <si>
    <t>Sièges
PFM
CM</t>
  </si>
  <si>
    <t>Sièges
PFM
CC</t>
  </si>
  <si>
    <t>Prime
majoritaire
CC</t>
  </si>
  <si>
    <t>Sièges aux
conseils</t>
  </si>
  <si>
    <t>municipal</t>
  </si>
  <si>
    <t>communautaire</t>
  </si>
  <si>
    <t>Voix éligibles
(&gt;=5%)</t>
  </si>
  <si>
    <t>Moyenne d'âge</t>
  </si>
  <si>
    <t>Participation à</t>
  </si>
  <si>
    <t>Quotients - Méthode de la plus forte moyenne</t>
  </si>
  <si>
    <t>Mairie</t>
  </si>
  <si>
    <t>Com. Com.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</si>
</sst>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 mmmm\ yyyy"/>
    <numFmt numFmtId="165" formatCode="[$-F400]h:mm:ss\ AM/PM"/>
    <numFmt numFmtId="166" formatCode="0.0%"/>
    <numFmt numFmtId="167" formatCode="hh&quot;h&quot;"/>
    <numFmt numFmtId="168" formatCode="h:mm;@"/>
    <numFmt numFmtId="173" formatCode="0\ %"/>
  </numFmts>
  <fonts count="124" x14ac:knownFonts="1">
    <font>
      <sz val="10"/>
      <color rgb="FF000000"/>
      <name val="Arial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b/>
      <sz val="10"/>
      <color rgb="FF666666"/>
      <name val="Calibri"/>
      <family val="2"/>
    </font>
    <font>
      <b/>
      <i/>
      <sz val="10"/>
      <color rgb="FF666666"/>
      <name val="Calibri"/>
      <family val="2"/>
    </font>
    <font>
      <sz val="10"/>
      <color theme="1"/>
      <name val="Calibri"/>
      <family val="2"/>
    </font>
    <font>
      <i/>
      <sz val="10"/>
      <color rgb="FF666666"/>
      <name val="Calibri"/>
      <family val="2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</font>
    <font>
      <sz val="12"/>
      <color theme="1"/>
      <name val="Calibri"/>
      <family val="2"/>
    </font>
    <font>
      <i/>
      <sz val="12"/>
      <color rgb="FF666666"/>
      <name val="Calibri"/>
      <family val="2"/>
    </font>
    <font>
      <b/>
      <sz val="10"/>
      <color theme="1"/>
      <name val="Calibri"/>
      <family val="2"/>
    </font>
    <font>
      <sz val="12"/>
      <color rgb="FF000000"/>
      <name val="Calibri"/>
      <family val="2"/>
    </font>
    <font>
      <b/>
      <sz val="10"/>
      <color theme="1"/>
      <name val="Calibri"/>
      <family val="2"/>
    </font>
    <font>
      <sz val="10"/>
      <color rgb="FF1F1F1F"/>
      <name val="Calibri"/>
      <family val="2"/>
    </font>
    <font>
      <sz val="10"/>
      <color theme="1"/>
      <name val="Arial"/>
      <family val="2"/>
    </font>
    <font>
      <b/>
      <sz val="10"/>
      <color rgb="FF999999"/>
      <name val="Calibri"/>
      <family val="2"/>
    </font>
    <font>
      <sz val="10"/>
      <color rgb="FF718C00"/>
      <name val="Calibri"/>
      <family val="2"/>
    </font>
    <font>
      <sz val="10"/>
      <color rgb="FF999999"/>
      <name val="Calibri"/>
      <family val="2"/>
    </font>
    <font>
      <sz val="12"/>
      <color rgb="FF999999"/>
      <name val="Calibri"/>
      <family val="2"/>
    </font>
    <font>
      <sz val="10"/>
      <color theme="1"/>
      <name val="Arial"/>
      <family val="2"/>
      <scheme val="minor"/>
    </font>
    <font>
      <sz val="10"/>
      <color rgb="FF999999"/>
      <name val="Calibri"/>
      <family val="2"/>
    </font>
    <font>
      <sz val="9"/>
      <color rgb="FF000000"/>
      <name val="Calibri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2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  <font>
      <b/>
      <sz val="12"/>
      <name val="Calibri"/>
      <family val="2"/>
    </font>
    <font>
      <sz val="10"/>
      <color theme="0" tint="-0.34998626667073579"/>
      <name val="Calibri"/>
      <family val="2"/>
    </font>
    <font>
      <sz val="10"/>
      <color theme="0" tint="-0.34998626667073579"/>
      <name val="Arial"/>
      <family val="2"/>
      <scheme val="minor"/>
    </font>
    <font>
      <i/>
      <sz val="14"/>
      <color theme="1"/>
      <name val="Calibri"/>
      <family val="2"/>
    </font>
    <font>
      <sz val="10"/>
      <color theme="0" tint="-0.499984740745262"/>
      <name val="Calibri"/>
      <family val="2"/>
    </font>
    <font>
      <sz val="12"/>
      <color theme="0" tint="-0.499984740745262"/>
      <name val="Calibri"/>
      <family val="2"/>
    </font>
    <font>
      <b/>
      <sz val="12"/>
      <color theme="1"/>
      <name val="Calibri"/>
      <family val="2"/>
    </font>
    <font>
      <sz val="8"/>
      <color theme="1"/>
      <name val="Calibri"/>
      <family val="2"/>
    </font>
    <font>
      <b/>
      <sz val="11"/>
      <color rgb="FF000000"/>
      <name val="Arial"/>
      <family val="2"/>
      <scheme val="minor"/>
    </font>
    <font>
      <sz val="10"/>
      <color theme="0"/>
      <name val="Calibri"/>
      <family val="2"/>
    </font>
    <font>
      <sz val="10"/>
      <color theme="1" tint="0.499984740745262"/>
      <name val="Calibri"/>
      <family val="2"/>
    </font>
    <font>
      <sz val="14"/>
      <color rgb="FF000000"/>
      <name val="Arial"/>
      <family val="2"/>
      <scheme val="minor"/>
    </font>
    <font>
      <b/>
      <sz val="18"/>
      <color theme="1"/>
      <name val="Calibri"/>
      <family val="2"/>
    </font>
    <font>
      <b/>
      <sz val="18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4"/>
      <color theme="4" tint="-0.249977111117893"/>
      <name val="Arial"/>
      <family val="2"/>
      <scheme val="minor"/>
    </font>
    <font>
      <sz val="12"/>
      <color theme="4" tint="-0.249977111117893"/>
      <name val="Arial"/>
      <family val="2"/>
      <scheme val="minor"/>
    </font>
    <font>
      <i/>
      <sz val="9"/>
      <color rgb="FF666666"/>
      <name val="Calibri"/>
      <family val="2"/>
    </font>
    <font>
      <i/>
      <sz val="14"/>
      <color rgb="FF000000"/>
      <name val="Calibri"/>
      <family val="2"/>
    </font>
    <font>
      <i/>
      <u/>
      <sz val="14"/>
      <color rgb="FF00000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sz val="8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i/>
      <sz val="12"/>
      <color theme="0" tint="-0.499984740745262"/>
      <name val="Calibri"/>
      <family val="2"/>
    </font>
    <font>
      <sz val="10"/>
      <color rgb="FF000000"/>
      <name val="Arial"/>
      <family val="2"/>
    </font>
    <font>
      <sz val="12"/>
      <color rgb="FF000000"/>
      <name val="Arial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  <font>
      <i/>
      <sz val="14"/>
      <color theme="0" tint="-0.499984740745262"/>
      <name val="Calibri"/>
      <family val="2"/>
    </font>
    <font>
      <sz val="14"/>
      <name val="Arial"/>
      <family val="2"/>
    </font>
    <font>
      <b/>
      <sz val="14"/>
      <name val="Calibri"/>
      <family val="2"/>
    </font>
    <font>
      <b/>
      <sz val="14"/>
      <name val="Arial"/>
      <family val="2"/>
      <scheme val="minor"/>
    </font>
    <font>
      <b/>
      <sz val="12"/>
      <name val="Arial"/>
      <family val="2"/>
      <scheme val="minor"/>
    </font>
    <font>
      <b/>
      <sz val="14"/>
      <name val="Arial"/>
      <family val="2"/>
    </font>
    <font>
      <i/>
      <sz val="16"/>
      <color rgb="FF666666"/>
      <name val="Calibri"/>
      <family val="2"/>
    </font>
    <font>
      <b/>
      <sz val="36"/>
      <color rgb="FF000000"/>
      <name val="Arial"/>
      <family val="2"/>
      <scheme val="minor"/>
    </font>
    <font>
      <b/>
      <sz val="20"/>
      <color rgb="FF000000"/>
      <name val="Arial"/>
      <family val="2"/>
      <scheme val="minor"/>
    </font>
    <font>
      <sz val="10"/>
      <color theme="1" tint="0.249977111117893"/>
      <name val="Arial"/>
      <family val="2"/>
      <scheme val="minor"/>
    </font>
    <font>
      <sz val="12"/>
      <color rgb="FF000000"/>
      <name val="Arial"/>
      <family val="2"/>
      <scheme val="minor"/>
    </font>
    <font>
      <sz val="14"/>
      <name val="Arial"/>
      <family val="2"/>
      <scheme val="minor"/>
    </font>
    <font>
      <sz val="11"/>
      <name val="Calibri"/>
      <family val="2"/>
    </font>
    <font>
      <i/>
      <sz val="14"/>
      <color rgb="FF666666"/>
      <name val="Calibri"/>
      <family val="2"/>
    </font>
    <font>
      <b/>
      <i/>
      <sz val="14"/>
      <color theme="0" tint="-0.499984740745262"/>
      <name val="Calibri"/>
      <family val="2"/>
    </font>
    <font>
      <sz val="16"/>
      <color theme="1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theme="1"/>
      <name val="Arial"/>
      <family val="2"/>
      <scheme val="minor"/>
    </font>
    <font>
      <sz val="12"/>
      <color theme="0" tint="-0.34998626667073579"/>
      <name val="Calibri"/>
      <family val="2"/>
    </font>
    <font>
      <sz val="12"/>
      <color theme="0" tint="-0.34998626667073579"/>
      <name val="Arial"/>
      <family val="2"/>
      <scheme val="minor"/>
    </font>
    <font>
      <b/>
      <sz val="20"/>
      <name val="Arial"/>
      <family val="2"/>
      <scheme val="minor"/>
    </font>
    <font>
      <sz val="20"/>
      <name val="Arial"/>
      <family val="2"/>
      <scheme val="minor"/>
    </font>
    <font>
      <b/>
      <sz val="18"/>
      <name val="Calibri"/>
      <family val="2"/>
    </font>
    <font>
      <sz val="10"/>
      <color rgb="FF000000"/>
      <name val="Marianne"/>
      <family val="3"/>
    </font>
    <font>
      <b/>
      <sz val="10"/>
      <color theme="1"/>
      <name val="Marianne"/>
      <family val="3"/>
    </font>
    <font>
      <sz val="16"/>
      <color rgb="FF000000"/>
      <name val="Marianne"/>
      <family val="3"/>
    </font>
    <font>
      <b/>
      <sz val="10"/>
      <color rgb="FF666666"/>
      <name val="Marianne"/>
      <family val="3"/>
    </font>
    <font>
      <b/>
      <sz val="16"/>
      <name val="Marianne"/>
      <family val="3"/>
    </font>
    <font>
      <sz val="18"/>
      <color rgb="FF000000"/>
      <name val="Marianne"/>
      <family val="3"/>
    </font>
    <font>
      <sz val="18"/>
      <name val="Marianne"/>
      <family val="3"/>
    </font>
    <font>
      <sz val="16"/>
      <color theme="1"/>
      <name val="Marianne"/>
      <family val="3"/>
    </font>
    <font>
      <i/>
      <sz val="16"/>
      <color theme="0" tint="-0.499984740745262"/>
      <name val="Marianne"/>
      <family val="3"/>
    </font>
    <font>
      <sz val="10"/>
      <color rgb="FF718C00"/>
      <name val="Marianne"/>
      <family val="3"/>
    </font>
    <font>
      <i/>
      <sz val="16"/>
      <color rgb="FF666666"/>
      <name val="Marianne"/>
      <family val="3"/>
    </font>
    <font>
      <sz val="24"/>
      <color rgb="FF000000"/>
      <name val="Marianne"/>
      <family val="3"/>
    </font>
    <font>
      <sz val="36"/>
      <color rgb="FF000000"/>
      <name val="Marianne"/>
      <family val="3"/>
    </font>
    <font>
      <b/>
      <sz val="24"/>
      <color theme="1"/>
      <name val="Marianne"/>
      <family val="3"/>
    </font>
    <font>
      <i/>
      <sz val="24"/>
      <color rgb="FF666666"/>
      <name val="Marianne"/>
      <family val="3"/>
    </font>
    <font>
      <b/>
      <sz val="22"/>
      <color rgb="FF000000"/>
      <name val="Marianne"/>
      <family val="3"/>
    </font>
    <font>
      <b/>
      <sz val="20"/>
      <color rgb="FF000000"/>
      <name val="Marianne"/>
      <family val="3"/>
    </font>
    <font>
      <i/>
      <sz val="28"/>
      <color rgb="FF666666"/>
      <name val="Calibri"/>
      <family val="2"/>
    </font>
    <font>
      <sz val="20"/>
      <color rgb="FF000000"/>
      <name val="Arial"/>
      <family val="2"/>
      <scheme val="minor"/>
    </font>
    <font>
      <i/>
      <sz val="20"/>
      <color rgb="FF000000"/>
      <name val="Arial"/>
      <family val="2"/>
      <scheme val="minor"/>
    </font>
    <font>
      <sz val="14"/>
      <color theme="1"/>
      <name val="Calibri"/>
      <family val="2"/>
    </font>
    <font>
      <u/>
      <sz val="48"/>
      <color rgb="FF000000"/>
      <name val="Arial"/>
      <family val="2"/>
      <scheme val="minor"/>
    </font>
    <font>
      <sz val="28"/>
      <name val="Segoe Print"/>
    </font>
    <font>
      <sz val="28"/>
      <color theme="1"/>
      <name val="Segoe Print"/>
    </font>
    <font>
      <b/>
      <i/>
      <sz val="24"/>
      <color theme="1"/>
      <name val="Marianne"/>
      <family val="3"/>
    </font>
    <font>
      <i/>
      <sz val="18"/>
      <color theme="1" tint="0.14999847407452621"/>
      <name val="Marianne"/>
      <family val="3"/>
    </font>
    <font>
      <sz val="48"/>
      <color rgb="FF000000"/>
      <name val="Marianne"/>
      <family val="3"/>
    </font>
    <font>
      <i/>
      <sz val="22"/>
      <color rgb="FF000000"/>
      <name val="Marianne"/>
      <family val="3"/>
    </font>
    <font>
      <sz val="22"/>
      <color rgb="FF000000"/>
      <name val="Marianne"/>
      <family val="3"/>
    </font>
    <font>
      <sz val="18"/>
      <color theme="1"/>
      <name val="Marianne"/>
      <family val="3"/>
    </font>
    <font>
      <b/>
      <i/>
      <sz val="14"/>
      <color theme="1"/>
      <name val="Calibri"/>
      <family val="2"/>
    </font>
    <font>
      <sz val="11"/>
      <color rgb="FF000000"/>
      <name val="Calibri"/>
      <family val="2"/>
      <charset val="1"/>
    </font>
    <font>
      <b/>
      <sz val="24"/>
      <color rgb="FF000000"/>
      <name val="Marianne"/>
      <family val="3"/>
    </font>
    <font>
      <i/>
      <sz val="10"/>
      <color theme="0" tint="-0.499984740745262"/>
      <name val="Arial"/>
      <family val="2"/>
      <scheme val="minor"/>
    </font>
    <font>
      <b/>
      <sz val="24"/>
      <name val="Marianne"/>
      <family val="3"/>
    </font>
    <font>
      <i/>
      <sz val="12"/>
      <color theme="0" tint="-0.499984740745262"/>
      <name val="Arial"/>
      <family val="2"/>
      <scheme val="minor"/>
    </font>
    <font>
      <sz val="26"/>
      <color rgb="FF000000"/>
      <name val="Marianne"/>
      <family val="3"/>
    </font>
    <font>
      <sz val="72"/>
      <color rgb="FF000000"/>
      <name val="Marianne"/>
      <family val="3"/>
    </font>
    <font>
      <b/>
      <sz val="24"/>
      <color theme="0" tint="-0.499984740745262"/>
      <name val="Marianne"/>
      <family val="3"/>
    </font>
  </fonts>
  <fills count="71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  <fill>
      <patternFill patternType="solid">
        <fgColor rgb="FFC9DAF8"/>
        <bgColor rgb="FFC9DAF8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4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14999847407452621"/>
        <bgColor rgb="FFEFEFE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D9D9D9"/>
      </patternFill>
    </fill>
    <fill>
      <patternFill patternType="solid">
        <fgColor theme="2" tint="-0.249977111117893"/>
        <bgColor rgb="FFEAD1DC"/>
      </patternFill>
    </fill>
    <fill>
      <patternFill patternType="solid">
        <fgColor theme="2" tint="-0.14999847407452621"/>
        <bgColor rgb="FFF9C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rgb="FFDAF1F3"/>
        <bgColor rgb="FFB7B7B7"/>
      </patternFill>
    </fill>
    <fill>
      <patternFill patternType="solid">
        <fgColor theme="0" tint="-0.14999847407452621"/>
        <bgColor rgb="FFB7B7B7"/>
      </patternFill>
    </fill>
    <fill>
      <patternFill patternType="solid">
        <fgColor rgb="FFE6EEEE"/>
        <bgColor rgb="FFB7B7B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0.249977111117893"/>
        <bgColor rgb="FFEFEFE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14999847407452621"/>
        <bgColor rgb="FFF9CB9C"/>
      </patternFill>
    </fill>
    <fill>
      <patternFill patternType="solid">
        <fgColor theme="0" tint="-0.14999847407452621"/>
        <bgColor rgb="FFB6D7A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EAD1DC"/>
      </patternFill>
    </fill>
    <fill>
      <patternFill patternType="solid">
        <fgColor theme="4"/>
        <bgColor rgb="FFB7B7B7"/>
      </patternFill>
    </fill>
    <fill>
      <patternFill patternType="solid">
        <fgColor theme="5"/>
        <bgColor rgb="FFB7B7B7"/>
      </patternFill>
    </fill>
    <fill>
      <patternFill patternType="solid">
        <fgColor theme="6"/>
        <bgColor rgb="FFB7B7B7"/>
      </patternFill>
    </fill>
    <fill>
      <patternFill patternType="solid">
        <fgColor theme="7"/>
        <bgColor rgb="FFB7B7B7"/>
      </patternFill>
    </fill>
    <fill>
      <patternFill patternType="solid">
        <fgColor theme="8"/>
        <bgColor rgb="FFB7B7B7"/>
      </patternFill>
    </fill>
    <fill>
      <patternFill patternType="solid">
        <fgColor theme="9"/>
        <bgColor rgb="FFB7B7B7"/>
      </patternFill>
    </fill>
    <fill>
      <patternFill patternType="solid">
        <fgColor theme="1"/>
        <bgColor rgb="FFB7B7B7"/>
      </patternFill>
    </fill>
    <fill>
      <patternFill patternType="solid">
        <fgColor theme="4" tint="0.39997558519241921"/>
        <bgColor rgb="FFB7B7B7"/>
      </patternFill>
    </fill>
    <fill>
      <patternFill patternType="solid">
        <fgColor theme="5" tint="0.39997558519241921"/>
        <bgColor rgb="FFB7B7B7"/>
      </patternFill>
    </fill>
    <fill>
      <patternFill patternType="solid">
        <fgColor theme="6" tint="0.39997558519241921"/>
        <bgColor rgb="FFB7B7B7"/>
      </patternFill>
    </fill>
    <fill>
      <patternFill patternType="solid">
        <fgColor theme="7" tint="0.39997558519241921"/>
        <bgColor rgb="FFB7B7B7"/>
      </patternFill>
    </fill>
    <fill>
      <patternFill patternType="solid">
        <fgColor theme="8" tint="0.39997558519241921"/>
        <bgColor rgb="FFB7B7B7"/>
      </patternFill>
    </fill>
    <fill>
      <patternFill patternType="solid">
        <fgColor theme="9" tint="0.39997558519241921"/>
        <bgColor rgb="FFB7B7B7"/>
      </patternFill>
    </fill>
    <fill>
      <patternFill patternType="solid">
        <fgColor theme="1" tint="0.249977111117893"/>
        <bgColor rgb="FFB7B7B7"/>
      </patternFill>
    </fill>
    <fill>
      <patternFill patternType="solid">
        <fgColor theme="9" tint="0.79998168889431442"/>
        <bgColor rgb="FFF4CCCC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0" tint="-0.249977111117893"/>
        <bgColor rgb="FFB7B7B7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rgb="FFFCE5CD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9E7FD"/>
        <bgColor indexed="64"/>
      </patternFill>
    </fill>
    <fill>
      <patternFill patternType="solid">
        <fgColor rgb="FFBFBFBF"/>
        <bgColor rgb="FFD9D9D9"/>
      </patternFill>
    </fill>
    <fill>
      <patternFill patternType="solid">
        <fgColor rgb="FFBFBFBF"/>
        <bgColor indexed="64"/>
      </patternFill>
    </fill>
    <fill>
      <patternFill patternType="solid">
        <fgColor rgb="FFE1C1D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D9EAD3"/>
      </patternFill>
    </fill>
    <fill>
      <patternFill patternType="solid">
        <fgColor theme="7" tint="0.79998168889431442"/>
        <bgColor rgb="FFD9EAD3"/>
      </patternFill>
    </fill>
    <fill>
      <patternFill patternType="solid">
        <fgColor theme="0" tint="-0.249977111117893"/>
        <bgColor rgb="FFD9EAD3"/>
      </patternFill>
    </fill>
    <fill>
      <patternFill patternType="solid">
        <fgColor theme="0" tint="-0.14999847407452621"/>
        <bgColor rgb="FFD5A6BD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rgb="FFF4CCCC"/>
      </patternFill>
    </fill>
    <fill>
      <patternFill patternType="solid">
        <fgColor theme="0"/>
        <bgColor rgb="FFF4CCCC"/>
      </patternFill>
    </fill>
    <fill>
      <patternFill patternType="solid">
        <fgColor theme="0"/>
        <bgColor indexed="64"/>
      </patternFill>
    </fill>
    <fill>
      <patternFill patternType="solid">
        <fgColor rgb="FFE6EEEE"/>
        <bgColor indexed="64"/>
      </patternFill>
    </fill>
    <fill>
      <patternFill patternType="solid">
        <fgColor rgb="FFD1F1DA"/>
        <bgColor indexed="64"/>
      </patternFill>
    </fill>
    <fill>
      <patternFill patternType="solid">
        <fgColor rgb="FFFEF2CD"/>
        <bgColor indexed="64"/>
      </patternFill>
    </fill>
    <fill>
      <patternFill patternType="solid">
        <fgColor theme="5" tint="0.59999389629810485"/>
        <bgColor indexed="64"/>
      </patternFill>
    </fill>
  </fills>
  <borders count="266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 style="medium">
        <color rgb="FFCCCCCC"/>
      </top>
      <bottom style="medium">
        <color rgb="FFCCCCCC"/>
      </bottom>
      <diagonal/>
    </border>
    <border>
      <left style="medium">
        <color rgb="FFD9D9D9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 style="medium">
        <color rgb="FFD9D9D9"/>
      </left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EFEFEF"/>
      </left>
      <right/>
      <top style="thin">
        <color rgb="FFEFEFEF"/>
      </top>
      <bottom/>
      <diagonal/>
    </border>
    <border>
      <left/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rgb="FFEFEFEF"/>
      </left>
      <right/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9900FF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thin">
        <color rgb="FF000000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/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indexed="64"/>
      </top>
      <bottom/>
      <diagonal/>
    </border>
    <border>
      <left style="double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rgb="FF000000"/>
      </bottom>
      <diagonal/>
    </border>
    <border>
      <left style="medium">
        <color theme="0" tint="-0.499984740745262"/>
      </left>
      <right/>
      <top style="medium">
        <color indexed="64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/>
      <top/>
      <bottom/>
      <diagonal/>
    </border>
    <border>
      <left style="medium">
        <color theme="0" tint="-0.499984740745262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/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theme="0" tint="-0.499984740745262"/>
      </right>
      <top/>
      <bottom style="thin">
        <color indexed="64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0" tint="-0.499984740745262"/>
      </right>
      <top style="thin">
        <color indexed="64"/>
      </top>
      <bottom style="thin">
        <color indexed="64"/>
      </bottom>
      <diagonal/>
    </border>
    <border>
      <left/>
      <right style="medium">
        <color theme="0" tint="-0.499984740745262"/>
      </right>
      <top style="thin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 tint="-0.499984740745262"/>
      </left>
      <right/>
      <top style="medium">
        <color indexed="64"/>
      </top>
      <bottom style="thin">
        <color theme="0" tint="-0.34998626667073579"/>
      </bottom>
      <diagonal/>
    </border>
    <border>
      <left style="medium">
        <color theme="0" tint="-0.499984740745262"/>
      </left>
      <right/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indexed="64"/>
      </right>
      <top style="thin">
        <color indexed="64"/>
      </top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0" tint="-0.499984740745262"/>
      </bottom>
      <diagonal/>
    </border>
    <border>
      <left style="thin">
        <color indexed="64"/>
      </left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0" tint="-0.499984740745262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theme="0" tint="-0.499984740745262"/>
      </right>
      <top style="thin">
        <color theme="0" tint="-0.34998626667073579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000000"/>
      </top>
      <bottom style="thin">
        <color theme="4" tint="0.39997558519241921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medium">
        <color indexed="64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</borders>
  <cellStyleXfs count="5">
    <xf numFmtId="0" fontId="0" fillId="0" borderId="0"/>
    <xf numFmtId="9" fontId="25" fillId="0" borderId="0" applyFont="0" applyFill="0" applyBorder="0" applyAlignment="0" applyProtection="0"/>
    <xf numFmtId="0" fontId="25" fillId="0" borderId="0"/>
    <xf numFmtId="0" fontId="116" fillId="0" borderId="0"/>
    <xf numFmtId="173" fontId="116" fillId="0" borderId="0" applyBorder="0" applyProtection="0"/>
  </cellStyleXfs>
  <cellXfs count="919">
    <xf numFmtId="0" fontId="0" fillId="0" borderId="0" xfId="0"/>
    <xf numFmtId="0" fontId="6" fillId="0" borderId="0" xfId="0" applyFont="1"/>
    <xf numFmtId="0" fontId="10" fillId="0" borderId="0" xfId="0" applyFont="1"/>
    <xf numFmtId="10" fontId="16" fillId="0" borderId="0" xfId="0" applyNumberFormat="1" applyFont="1"/>
    <xf numFmtId="0" fontId="6" fillId="0" borderId="0" xfId="0" applyFont="1" applyAlignment="1">
      <alignment horizontal="center"/>
    </xf>
    <xf numFmtId="0" fontId="17" fillId="0" borderId="0" xfId="0" applyFont="1"/>
    <xf numFmtId="10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0" fontId="21" fillId="5" borderId="31" xfId="0" applyFont="1" applyFill="1" applyBorder="1" applyAlignment="1">
      <alignment horizontal="right"/>
    </xf>
    <xf numFmtId="10" fontId="20" fillId="5" borderId="32" xfId="0" applyNumberFormat="1" applyFont="1" applyFill="1" applyBorder="1" applyAlignment="1">
      <alignment horizontal="center" vertical="center"/>
    </xf>
    <xf numFmtId="0" fontId="21" fillId="5" borderId="33" xfId="0" applyFont="1" applyFill="1" applyBorder="1" applyAlignment="1">
      <alignment horizontal="right"/>
    </xf>
    <xf numFmtId="0" fontId="23" fillId="0" borderId="0" xfId="0" applyFont="1"/>
    <xf numFmtId="0" fontId="10" fillId="5" borderId="0" xfId="0" applyFont="1" applyFill="1"/>
    <xf numFmtId="0" fontId="16" fillId="5" borderId="0" xfId="0" applyFont="1" applyFill="1"/>
    <xf numFmtId="10" fontId="3" fillId="8" borderId="39" xfId="0" applyNumberFormat="1" applyFont="1" applyFill="1" applyBorder="1" applyAlignment="1">
      <alignment horizontal="center" vertical="center"/>
    </xf>
    <xf numFmtId="10" fontId="3" fillId="8" borderId="18" xfId="0" applyNumberFormat="1" applyFont="1" applyFill="1" applyBorder="1" applyAlignment="1">
      <alignment horizontal="center" vertical="center"/>
    </xf>
    <xf numFmtId="10" fontId="3" fillId="8" borderId="40" xfId="0" applyNumberFormat="1" applyFont="1" applyFill="1" applyBorder="1" applyAlignment="1">
      <alignment horizontal="center" vertical="center"/>
    </xf>
    <xf numFmtId="9" fontId="19" fillId="2" borderId="36" xfId="1" applyFont="1" applyFill="1" applyBorder="1"/>
    <xf numFmtId="9" fontId="19" fillId="2" borderId="37" xfId="1" applyFont="1" applyFill="1" applyBorder="1"/>
    <xf numFmtId="3" fontId="9" fillId="3" borderId="43" xfId="0" applyNumberFormat="1" applyFont="1" applyFill="1" applyBorder="1" applyAlignment="1">
      <alignment horizontal="right"/>
    </xf>
    <xf numFmtId="10" fontId="9" fillId="7" borderId="44" xfId="0" applyNumberFormat="1" applyFont="1" applyFill="1" applyBorder="1" applyAlignment="1">
      <alignment horizontal="right"/>
    </xf>
    <xf numFmtId="9" fontId="6" fillId="0" borderId="0" xfId="0" applyNumberFormat="1" applyFont="1"/>
    <xf numFmtId="0" fontId="24" fillId="0" borderId="0" xfId="0" applyFont="1"/>
    <xf numFmtId="0" fontId="28" fillId="14" borderId="0" xfId="0" applyFont="1" applyFill="1"/>
    <xf numFmtId="0" fontId="6" fillId="14" borderId="0" xfId="0" applyFont="1" applyFill="1" applyAlignment="1">
      <alignment horizontal="right"/>
    </xf>
    <xf numFmtId="0" fontId="10" fillId="12" borderId="0" xfId="0" applyFont="1" applyFill="1"/>
    <xf numFmtId="0" fontId="6" fillId="13" borderId="0" xfId="0" applyFont="1" applyFill="1" applyAlignment="1">
      <alignment horizontal="right"/>
    </xf>
    <xf numFmtId="0" fontId="16" fillId="12" borderId="0" xfId="0" applyFont="1" applyFill="1"/>
    <xf numFmtId="0" fontId="3" fillId="16" borderId="8" xfId="0" applyFont="1" applyFill="1" applyBorder="1" applyAlignment="1">
      <alignment horizontal="center"/>
    </xf>
    <xf numFmtId="0" fontId="3" fillId="16" borderId="6" xfId="0" applyFont="1" applyFill="1" applyBorder="1" applyAlignment="1">
      <alignment horizontal="center"/>
    </xf>
    <xf numFmtId="0" fontId="3" fillId="16" borderId="5" xfId="0" applyFont="1" applyFill="1" applyBorder="1" applyAlignment="1">
      <alignment horizontal="center"/>
    </xf>
    <xf numFmtId="10" fontId="9" fillId="12" borderId="50" xfId="0" applyNumberFormat="1" applyFont="1" applyFill="1" applyBorder="1"/>
    <xf numFmtId="10" fontId="9" fillId="12" borderId="57" xfId="0" applyNumberFormat="1" applyFont="1" applyFill="1" applyBorder="1"/>
    <xf numFmtId="10" fontId="9" fillId="12" borderId="51" xfId="0" applyNumberFormat="1" applyFont="1" applyFill="1" applyBorder="1"/>
    <xf numFmtId="0" fontId="8" fillId="2" borderId="68" xfId="0" applyFont="1" applyFill="1" applyBorder="1" applyAlignment="1">
      <alignment horizontal="center"/>
    </xf>
    <xf numFmtId="10" fontId="3" fillId="8" borderId="11" xfId="0" applyNumberFormat="1" applyFont="1" applyFill="1" applyBorder="1" applyAlignment="1">
      <alignment horizontal="center" vertical="center"/>
    </xf>
    <xf numFmtId="10" fontId="3" fillId="8" borderId="15" xfId="0" applyNumberFormat="1" applyFont="1" applyFill="1" applyBorder="1" applyAlignment="1">
      <alignment horizontal="center" vertical="center"/>
    </xf>
    <xf numFmtId="10" fontId="3" fillId="8" borderId="14" xfId="0" applyNumberFormat="1" applyFont="1" applyFill="1" applyBorder="1" applyAlignment="1">
      <alignment horizontal="center" vertical="center"/>
    </xf>
    <xf numFmtId="10" fontId="3" fillId="8" borderId="9" xfId="0" applyNumberFormat="1" applyFont="1" applyFill="1" applyBorder="1" applyAlignment="1">
      <alignment horizontal="center" vertical="center"/>
    </xf>
    <xf numFmtId="10" fontId="3" fillId="8" borderId="29" xfId="0" applyNumberFormat="1" applyFont="1" applyFill="1" applyBorder="1" applyAlignment="1">
      <alignment horizontal="center" vertical="center"/>
    </xf>
    <xf numFmtId="10" fontId="3" fillId="8" borderId="19" xfId="0" applyNumberFormat="1" applyFont="1" applyFill="1" applyBorder="1" applyAlignment="1">
      <alignment horizontal="center" vertical="center"/>
    </xf>
    <xf numFmtId="10" fontId="20" fillId="24" borderId="26" xfId="0" applyNumberFormat="1" applyFont="1" applyFill="1" applyBorder="1" applyAlignment="1">
      <alignment horizontal="center" vertical="center"/>
    </xf>
    <xf numFmtId="10" fontId="20" fillId="24" borderId="28" xfId="0" applyNumberFormat="1" applyFont="1" applyFill="1" applyBorder="1" applyAlignment="1">
      <alignment horizontal="center" vertical="center"/>
    </xf>
    <xf numFmtId="10" fontId="20" fillId="24" borderId="30" xfId="0" applyNumberFormat="1" applyFont="1" applyFill="1" applyBorder="1" applyAlignment="1">
      <alignment horizontal="center" vertical="center"/>
    </xf>
    <xf numFmtId="0" fontId="1" fillId="26" borderId="82" xfId="0" applyFont="1" applyFill="1" applyBorder="1" applyAlignment="1">
      <alignment horizontal="center" vertical="center"/>
    </xf>
    <xf numFmtId="9" fontId="19" fillId="2" borderId="75" xfId="1" applyFont="1" applyFill="1" applyBorder="1"/>
    <xf numFmtId="9" fontId="19" fillId="2" borderId="38" xfId="1" applyFont="1" applyFill="1" applyBorder="1"/>
    <xf numFmtId="10" fontId="3" fillId="8" borderId="83" xfId="0" applyNumberFormat="1" applyFont="1" applyFill="1" applyBorder="1" applyAlignment="1">
      <alignment horizontal="center" vertical="center"/>
    </xf>
    <xf numFmtId="10" fontId="3" fillId="8" borderId="84" xfId="0" applyNumberFormat="1" applyFont="1" applyFill="1" applyBorder="1" applyAlignment="1">
      <alignment horizontal="center" vertical="center"/>
    </xf>
    <xf numFmtId="10" fontId="3" fillId="8" borderId="85" xfId="0" applyNumberFormat="1" applyFont="1" applyFill="1" applyBorder="1" applyAlignment="1">
      <alignment horizontal="center" vertical="center"/>
    </xf>
    <xf numFmtId="10" fontId="3" fillId="8" borderId="86" xfId="0" applyNumberFormat="1" applyFont="1" applyFill="1" applyBorder="1" applyAlignment="1">
      <alignment horizontal="center" vertical="center"/>
    </xf>
    <xf numFmtId="3" fontId="14" fillId="25" borderId="43" xfId="0" applyNumberFormat="1" applyFont="1" applyFill="1" applyBorder="1" applyAlignment="1">
      <alignment horizontal="right"/>
    </xf>
    <xf numFmtId="10" fontId="3" fillId="25" borderId="44" xfId="0" applyNumberFormat="1" applyFont="1" applyFill="1" applyBorder="1" applyAlignment="1">
      <alignment horizontal="center" vertical="center"/>
    </xf>
    <xf numFmtId="3" fontId="14" fillId="25" borderId="87" xfId="0" applyNumberFormat="1" applyFont="1" applyFill="1" applyBorder="1" applyAlignment="1">
      <alignment horizontal="right"/>
    </xf>
    <xf numFmtId="10" fontId="3" fillId="25" borderId="88" xfId="0" applyNumberFormat="1" applyFont="1" applyFill="1" applyBorder="1" applyAlignment="1">
      <alignment horizontal="center" vertical="center"/>
    </xf>
    <xf numFmtId="0" fontId="14" fillId="25" borderId="87" xfId="0" applyFont="1" applyFill="1" applyBorder="1" applyAlignment="1">
      <alignment horizontal="right"/>
    </xf>
    <xf numFmtId="10" fontId="3" fillId="25" borderId="89" xfId="0" applyNumberFormat="1" applyFont="1" applyFill="1" applyBorder="1" applyAlignment="1">
      <alignment horizontal="center" vertical="center"/>
    </xf>
    <xf numFmtId="10" fontId="3" fillId="25" borderId="90" xfId="0" applyNumberFormat="1" applyFont="1" applyFill="1" applyBorder="1" applyAlignment="1">
      <alignment horizontal="center" vertical="center"/>
    </xf>
    <xf numFmtId="0" fontId="28" fillId="0" borderId="0" xfId="0" applyFont="1"/>
    <xf numFmtId="10" fontId="8" fillId="2" borderId="67" xfId="0" applyNumberFormat="1" applyFont="1" applyFill="1" applyBorder="1" applyAlignment="1">
      <alignment horizontal="center"/>
    </xf>
    <xf numFmtId="10" fontId="3" fillId="8" borderId="6" xfId="0" applyNumberFormat="1" applyFont="1" applyFill="1" applyBorder="1" applyAlignment="1">
      <alignment horizontal="center" vertical="center"/>
    </xf>
    <xf numFmtId="10" fontId="3" fillId="8" borderId="103" xfId="0" applyNumberFormat="1" applyFont="1" applyFill="1" applyBorder="1" applyAlignment="1">
      <alignment horizontal="center" vertical="center"/>
    </xf>
    <xf numFmtId="10" fontId="3" fillId="8" borderId="104" xfId="0" applyNumberFormat="1" applyFont="1" applyFill="1" applyBorder="1" applyAlignment="1">
      <alignment horizontal="center" vertical="center"/>
    </xf>
    <xf numFmtId="0" fontId="14" fillId="25" borderId="43" xfId="0" applyFont="1" applyFill="1" applyBorder="1" applyAlignment="1">
      <alignment horizontal="right"/>
    </xf>
    <xf numFmtId="0" fontId="28" fillId="11" borderId="46" xfId="0" applyFont="1" applyFill="1" applyBorder="1"/>
    <xf numFmtId="0" fontId="28" fillId="11" borderId="48" xfId="0" applyFont="1" applyFill="1" applyBorder="1"/>
    <xf numFmtId="0" fontId="28" fillId="11" borderId="50" xfId="0" applyFont="1" applyFill="1" applyBorder="1"/>
    <xf numFmtId="10" fontId="20" fillId="5" borderId="26" xfId="0" applyNumberFormat="1" applyFont="1" applyFill="1" applyBorder="1" applyAlignment="1">
      <alignment horizontal="center" vertical="center"/>
    </xf>
    <xf numFmtId="10" fontId="20" fillId="5" borderId="28" xfId="0" applyNumberFormat="1" applyFont="1" applyFill="1" applyBorder="1" applyAlignment="1">
      <alignment horizontal="center" vertical="center"/>
    </xf>
    <xf numFmtId="10" fontId="20" fillId="5" borderId="30" xfId="0" applyNumberFormat="1" applyFont="1" applyFill="1" applyBorder="1" applyAlignment="1">
      <alignment horizontal="center" vertical="center"/>
    </xf>
    <xf numFmtId="10" fontId="35" fillId="9" borderId="113" xfId="1" applyNumberFormat="1" applyFont="1" applyFill="1" applyBorder="1" applyAlignment="1">
      <alignment horizontal="center"/>
    </xf>
    <xf numFmtId="10" fontId="35" fillId="9" borderId="92" xfId="1" applyNumberFormat="1" applyFont="1" applyFill="1" applyBorder="1" applyAlignment="1">
      <alignment horizontal="center"/>
    </xf>
    <xf numFmtId="0" fontId="35" fillId="11" borderId="114" xfId="0" applyFont="1" applyFill="1" applyBorder="1" applyAlignment="1">
      <alignment horizontal="center"/>
    </xf>
    <xf numFmtId="0" fontId="35" fillId="11" borderId="118" xfId="0" applyFont="1" applyFill="1" applyBorder="1" applyAlignment="1">
      <alignment horizontal="center"/>
    </xf>
    <xf numFmtId="10" fontId="35" fillId="9" borderId="119" xfId="1" applyNumberFormat="1" applyFont="1" applyFill="1" applyBorder="1" applyAlignment="1">
      <alignment horizontal="center"/>
    </xf>
    <xf numFmtId="10" fontId="35" fillId="9" borderId="120" xfId="1" applyNumberFormat="1" applyFont="1" applyFill="1" applyBorder="1" applyAlignment="1">
      <alignment horizontal="center"/>
    </xf>
    <xf numFmtId="10" fontId="36" fillId="11" borderId="123" xfId="1" applyNumberFormat="1" applyFont="1" applyFill="1" applyBorder="1" applyAlignment="1">
      <alignment horizontal="right"/>
    </xf>
    <xf numFmtId="10" fontId="36" fillId="11" borderId="124" xfId="1" applyNumberFormat="1" applyFont="1" applyFill="1" applyBorder="1" applyAlignment="1">
      <alignment horizontal="right"/>
    </xf>
    <xf numFmtId="0" fontId="20" fillId="23" borderId="25" xfId="0" applyFont="1" applyFill="1" applyBorder="1" applyAlignment="1">
      <alignment horizontal="center" vertical="center"/>
    </xf>
    <xf numFmtId="0" fontId="20" fillId="23" borderId="27" xfId="0" applyFont="1" applyFill="1" applyBorder="1" applyAlignment="1">
      <alignment horizontal="center" vertical="center"/>
    </xf>
    <xf numFmtId="0" fontId="35" fillId="11" borderId="115" xfId="0" applyFont="1" applyFill="1" applyBorder="1" applyAlignment="1">
      <alignment horizontal="center"/>
    </xf>
    <xf numFmtId="0" fontId="35" fillId="11" borderId="69" xfId="0" applyFont="1" applyFill="1" applyBorder="1" applyAlignment="1">
      <alignment horizontal="center"/>
    </xf>
    <xf numFmtId="0" fontId="35" fillId="11" borderId="107" xfId="0" applyFont="1" applyFill="1" applyBorder="1" applyAlignment="1">
      <alignment horizontal="center"/>
    </xf>
    <xf numFmtId="0" fontId="35" fillId="11" borderId="108" xfId="0" applyFont="1" applyFill="1" applyBorder="1" applyAlignment="1">
      <alignment horizontal="center"/>
    </xf>
    <xf numFmtId="0" fontId="35" fillId="30" borderId="116" xfId="0" applyFont="1" applyFill="1" applyBorder="1" applyAlignment="1">
      <alignment horizontal="center"/>
    </xf>
    <xf numFmtId="10" fontId="35" fillId="9" borderId="65" xfId="1" applyNumberFormat="1" applyFont="1" applyFill="1" applyBorder="1" applyAlignment="1">
      <alignment horizontal="center"/>
    </xf>
    <xf numFmtId="10" fontId="35" fillId="9" borderId="106" xfId="1" applyNumberFormat="1" applyFont="1" applyFill="1" applyBorder="1" applyAlignment="1">
      <alignment horizontal="center"/>
    </xf>
    <xf numFmtId="10" fontId="35" fillId="9" borderId="91" xfId="1" applyNumberFormat="1" applyFont="1" applyFill="1" applyBorder="1" applyAlignment="1">
      <alignment horizontal="center"/>
    </xf>
    <xf numFmtId="10" fontId="35" fillId="9" borderId="48" xfId="1" applyNumberFormat="1" applyFont="1" applyFill="1" applyBorder="1" applyAlignment="1">
      <alignment horizontal="center"/>
    </xf>
    <xf numFmtId="10" fontId="35" fillId="9" borderId="34" xfId="1" applyNumberFormat="1" applyFont="1" applyFill="1" applyBorder="1" applyAlignment="1">
      <alignment horizontal="center"/>
    </xf>
    <xf numFmtId="10" fontId="35" fillId="9" borderId="49" xfId="1" applyNumberFormat="1" applyFont="1" applyFill="1" applyBorder="1" applyAlignment="1">
      <alignment horizontal="center"/>
    </xf>
    <xf numFmtId="0" fontId="35" fillId="30" borderId="117" xfId="0" applyFont="1" applyFill="1" applyBorder="1" applyAlignment="1">
      <alignment horizontal="center"/>
    </xf>
    <xf numFmtId="10" fontId="35" fillId="9" borderId="80" xfId="1" applyNumberFormat="1" applyFont="1" applyFill="1" applyBorder="1" applyAlignment="1">
      <alignment horizontal="center"/>
    </xf>
    <xf numFmtId="10" fontId="35" fillId="9" borderId="96" xfId="1" applyNumberFormat="1" applyFont="1" applyFill="1" applyBorder="1" applyAlignment="1">
      <alignment horizontal="center"/>
    </xf>
    <xf numFmtId="10" fontId="35" fillId="9" borderId="54" xfId="1" applyNumberFormat="1" applyFont="1" applyFill="1" applyBorder="1" applyAlignment="1">
      <alignment horizontal="center"/>
    </xf>
    <xf numFmtId="0" fontId="36" fillId="11" borderId="121" xfId="0" applyFont="1" applyFill="1" applyBorder="1" applyAlignment="1">
      <alignment horizontal="right"/>
    </xf>
    <xf numFmtId="10" fontId="36" fillId="11" borderId="122" xfId="1" applyNumberFormat="1" applyFont="1" applyFill="1" applyBorder="1" applyAlignment="1">
      <alignment horizontal="right"/>
    </xf>
    <xf numFmtId="10" fontId="36" fillId="11" borderId="111" xfId="1" applyNumberFormat="1" applyFont="1" applyFill="1" applyBorder="1" applyAlignment="1">
      <alignment horizontal="right"/>
    </xf>
    <xf numFmtId="10" fontId="36" fillId="11" borderId="112" xfId="1" applyNumberFormat="1" applyFont="1" applyFill="1" applyBorder="1" applyAlignment="1">
      <alignment horizontal="right"/>
    </xf>
    <xf numFmtId="0" fontId="0" fillId="11" borderId="0" xfId="0" applyFill="1"/>
    <xf numFmtId="0" fontId="37" fillId="0" borderId="0" xfId="0" applyFont="1" applyAlignment="1">
      <alignment vertical="center"/>
    </xf>
    <xf numFmtId="0" fontId="6" fillId="29" borderId="137" xfId="0" applyFont="1" applyFill="1" applyBorder="1"/>
    <xf numFmtId="0" fontId="6" fillId="29" borderId="0" xfId="0" applyFont="1" applyFill="1"/>
    <xf numFmtId="0" fontId="6" fillId="29" borderId="93" xfId="0" applyFont="1" applyFill="1" applyBorder="1"/>
    <xf numFmtId="0" fontId="0" fillId="29" borderId="137" xfId="0" applyFill="1" applyBorder="1"/>
    <xf numFmtId="0" fontId="0" fillId="29" borderId="0" xfId="0" applyFill="1"/>
    <xf numFmtId="0" fontId="0" fillId="29" borderId="93" xfId="0" applyFill="1" applyBorder="1"/>
    <xf numFmtId="0" fontId="0" fillId="11" borderId="137" xfId="0" applyFill="1" applyBorder="1"/>
    <xf numFmtId="0" fontId="0" fillId="11" borderId="93" xfId="0" applyFill="1" applyBorder="1"/>
    <xf numFmtId="0" fontId="0" fillId="11" borderId="67" xfId="0" applyFill="1" applyBorder="1"/>
    <xf numFmtId="0" fontId="0" fillId="11" borderId="78" xfId="0" applyFill="1" applyBorder="1"/>
    <xf numFmtId="0" fontId="0" fillId="11" borderId="75" xfId="0" applyFill="1" applyBorder="1"/>
    <xf numFmtId="0" fontId="29" fillId="14" borderId="60" xfId="0" applyFont="1" applyFill="1" applyBorder="1" applyAlignment="1" applyProtection="1">
      <alignment horizontal="center" vertical="center"/>
      <protection locked="0"/>
    </xf>
    <xf numFmtId="0" fontId="29" fillId="14" borderId="64" xfId="0" applyFont="1" applyFill="1" applyBorder="1" applyAlignment="1" applyProtection="1">
      <alignment horizontal="center" vertical="center"/>
      <protection locked="0"/>
    </xf>
    <xf numFmtId="3" fontId="29" fillId="14" borderId="48" xfId="0" applyNumberFormat="1" applyFont="1" applyFill="1" applyBorder="1" applyAlignment="1" applyProtection="1">
      <alignment horizontal="center" vertical="center"/>
      <protection locked="0"/>
    </xf>
    <xf numFmtId="3" fontId="29" fillId="14" borderId="49" xfId="0" applyNumberFormat="1" applyFont="1" applyFill="1" applyBorder="1" applyAlignment="1" applyProtection="1">
      <alignment horizontal="center" vertical="center"/>
      <protection locked="0"/>
    </xf>
    <xf numFmtId="3" fontId="29" fillId="14" borderId="80" xfId="0" applyNumberFormat="1" applyFont="1" applyFill="1" applyBorder="1" applyAlignment="1" applyProtection="1">
      <alignment horizontal="center" vertical="center"/>
      <protection locked="0"/>
    </xf>
    <xf numFmtId="3" fontId="29" fillId="14" borderId="54" xfId="0" applyNumberFormat="1" applyFont="1" applyFill="1" applyBorder="1" applyAlignment="1" applyProtection="1">
      <alignment horizontal="center" vertical="center"/>
      <protection locked="0"/>
    </xf>
    <xf numFmtId="0" fontId="11" fillId="12" borderId="46" xfId="0" applyFont="1" applyFill="1" applyBorder="1" applyAlignment="1" applyProtection="1">
      <alignment horizontal="right"/>
      <protection locked="0"/>
    </xf>
    <xf numFmtId="0" fontId="11" fillId="12" borderId="56" xfId="0" applyFont="1" applyFill="1" applyBorder="1" applyAlignment="1" applyProtection="1">
      <alignment horizontal="right"/>
      <protection locked="0"/>
    </xf>
    <xf numFmtId="3" fontId="27" fillId="12" borderId="46" xfId="0" applyNumberFormat="1" applyFont="1" applyFill="1" applyBorder="1" applyAlignment="1" applyProtection="1">
      <alignment horizontal="right"/>
      <protection locked="0"/>
    </xf>
    <xf numFmtId="3" fontId="27" fillId="12" borderId="47" xfId="0" applyNumberFormat="1" applyFont="1" applyFill="1" applyBorder="1" applyAlignment="1" applyProtection="1">
      <alignment horizontal="right"/>
      <protection locked="0"/>
    </xf>
    <xf numFmtId="3" fontId="42" fillId="11" borderId="49" xfId="0" applyNumberFormat="1" applyFont="1" applyFill="1" applyBorder="1" applyAlignment="1">
      <alignment horizontal="center" vertical="center"/>
    </xf>
    <xf numFmtId="3" fontId="42" fillId="18" borderId="49" xfId="0" applyNumberFormat="1" applyFont="1" applyFill="1" applyBorder="1" applyAlignment="1" applyProtection="1">
      <alignment horizontal="center" vertical="center"/>
      <protection locked="0"/>
    </xf>
    <xf numFmtId="3" fontId="42" fillId="11" borderId="51" xfId="0" applyNumberFormat="1" applyFont="1" applyFill="1" applyBorder="1" applyAlignment="1">
      <alignment horizontal="center" vertical="center"/>
    </xf>
    <xf numFmtId="0" fontId="25" fillId="0" borderId="0" xfId="0" applyFont="1"/>
    <xf numFmtId="0" fontId="29" fillId="14" borderId="138" xfId="0" applyFont="1" applyFill="1" applyBorder="1" applyAlignment="1" applyProtection="1">
      <alignment horizontal="center" vertical="center"/>
      <protection locked="0"/>
    </xf>
    <xf numFmtId="0" fontId="29" fillId="14" borderId="46" xfId="0" applyFont="1" applyFill="1" applyBorder="1" applyAlignment="1" applyProtection="1">
      <alignment horizontal="center" vertical="center"/>
      <protection locked="0"/>
    </xf>
    <xf numFmtId="0" fontId="29" fillId="14" borderId="79" xfId="0" applyFont="1" applyFill="1" applyBorder="1" applyAlignment="1" applyProtection="1">
      <alignment horizontal="center" vertical="center"/>
      <protection locked="0"/>
    </xf>
    <xf numFmtId="0" fontId="29" fillId="14" borderId="48" xfId="0" applyFont="1" applyFill="1" applyBorder="1" applyAlignment="1" applyProtection="1">
      <alignment horizontal="center" vertical="center"/>
      <protection locked="0"/>
    </xf>
    <xf numFmtId="0" fontId="29" fillId="14" borderId="94" xfId="0" applyFont="1" applyFill="1" applyBorder="1" applyAlignment="1" applyProtection="1">
      <alignment horizontal="center" vertical="center"/>
      <protection locked="0"/>
    </xf>
    <xf numFmtId="3" fontId="29" fillId="14" borderId="50" xfId="0" applyNumberFormat="1" applyFont="1" applyFill="1" applyBorder="1" applyAlignment="1" applyProtection="1">
      <alignment horizontal="center" vertical="center"/>
      <protection locked="0"/>
    </xf>
    <xf numFmtId="3" fontId="29" fillId="14" borderId="51" xfId="0" applyNumberFormat="1" applyFont="1" applyFill="1" applyBorder="1" applyAlignment="1" applyProtection="1">
      <alignment horizontal="center" vertical="center"/>
      <protection locked="0"/>
    </xf>
    <xf numFmtId="0" fontId="25" fillId="0" borderId="34" xfId="0" applyFont="1" applyBorder="1"/>
    <xf numFmtId="0" fontId="0" fillId="0" borderId="34" xfId="0" applyBorder="1"/>
    <xf numFmtId="0" fontId="0" fillId="14" borderId="64" xfId="0" applyFill="1" applyBorder="1" applyAlignment="1" applyProtection="1">
      <alignment horizontal="center" vertical="center"/>
      <protection locked="0"/>
    </xf>
    <xf numFmtId="0" fontId="0" fillId="14" borderId="34" xfId="0" applyFill="1" applyBorder="1" applyAlignment="1" applyProtection="1">
      <alignment horizontal="center" vertical="center"/>
      <protection locked="0"/>
    </xf>
    <xf numFmtId="0" fontId="0" fillId="14" borderId="49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0" fillId="14" borderId="61" xfId="0" applyFill="1" applyBorder="1" applyAlignment="1" applyProtection="1">
      <alignment horizontal="center" vertical="center"/>
      <protection locked="0"/>
    </xf>
    <xf numFmtId="0" fontId="0" fillId="14" borderId="57" xfId="0" applyFill="1" applyBorder="1" applyAlignment="1" applyProtection="1">
      <alignment horizontal="center" vertical="center"/>
      <protection locked="0"/>
    </xf>
    <xf numFmtId="0" fontId="0" fillId="14" borderId="51" xfId="0" applyFill="1" applyBorder="1" applyAlignment="1" applyProtection="1">
      <alignment horizontal="center" vertical="center"/>
      <protection locked="0"/>
    </xf>
    <xf numFmtId="0" fontId="0" fillId="14" borderId="50" xfId="0" applyFill="1" applyBorder="1" applyAlignment="1" applyProtection="1">
      <alignment horizontal="center" vertical="center"/>
      <protection locked="0"/>
    </xf>
    <xf numFmtId="0" fontId="42" fillId="11" borderId="49" xfId="0" applyFont="1" applyFill="1" applyBorder="1" applyAlignment="1">
      <alignment horizontal="center" vertical="center"/>
    </xf>
    <xf numFmtId="0" fontId="6" fillId="0" borderId="0" xfId="0" applyFont="1" applyProtection="1">
      <protection hidden="1"/>
    </xf>
    <xf numFmtId="0" fontId="6" fillId="0" borderId="136" xfId="0" applyFont="1" applyBorder="1" applyProtection="1">
      <protection hidden="1"/>
    </xf>
    <xf numFmtId="0" fontId="6" fillId="6" borderId="35" xfId="0" applyFont="1" applyFill="1" applyBorder="1" applyProtection="1">
      <protection hidden="1"/>
    </xf>
    <xf numFmtId="0" fontId="38" fillId="31" borderId="129" xfId="0" applyFont="1" applyFill="1" applyBorder="1" applyProtection="1">
      <protection hidden="1"/>
    </xf>
    <xf numFmtId="0" fontId="38" fillId="32" borderId="130" xfId="0" applyFont="1" applyFill="1" applyBorder="1" applyProtection="1">
      <protection hidden="1"/>
    </xf>
    <xf numFmtId="0" fontId="38" fillId="33" borderId="130" xfId="0" applyFont="1" applyFill="1" applyBorder="1" applyProtection="1">
      <protection hidden="1"/>
    </xf>
    <xf numFmtId="0" fontId="38" fillId="34" borderId="130" xfId="0" applyFont="1" applyFill="1" applyBorder="1" applyProtection="1">
      <protection hidden="1"/>
    </xf>
    <xf numFmtId="0" fontId="38" fillId="35" borderId="130" xfId="0" applyFont="1" applyFill="1" applyBorder="1" applyProtection="1">
      <protection hidden="1"/>
    </xf>
    <xf numFmtId="0" fontId="38" fillId="36" borderId="130" xfId="0" applyFont="1" applyFill="1" applyBorder="1" applyProtection="1">
      <protection hidden="1"/>
    </xf>
    <xf numFmtId="0" fontId="38" fillId="31" borderId="130" xfId="0" applyFont="1" applyFill="1" applyBorder="1" applyProtection="1">
      <protection hidden="1"/>
    </xf>
    <xf numFmtId="0" fontId="40" fillId="37" borderId="89" xfId="0" applyFont="1" applyFill="1" applyBorder="1" applyProtection="1">
      <protection hidden="1"/>
    </xf>
    <xf numFmtId="0" fontId="6" fillId="6" borderId="131" xfId="0" applyFont="1" applyFill="1" applyBorder="1" applyProtection="1">
      <protection hidden="1"/>
    </xf>
    <xf numFmtId="0" fontId="38" fillId="38" borderId="129" xfId="0" applyFont="1" applyFill="1" applyBorder="1" applyProtection="1">
      <protection hidden="1"/>
    </xf>
    <xf numFmtId="0" fontId="38" fillId="39" borderId="130" xfId="0" applyFont="1" applyFill="1" applyBorder="1" applyProtection="1">
      <protection hidden="1"/>
    </xf>
    <xf numFmtId="0" fontId="38" fillId="40" borderId="130" xfId="0" applyFont="1" applyFill="1" applyBorder="1" applyProtection="1">
      <protection hidden="1"/>
    </xf>
    <xf numFmtId="0" fontId="38" fillId="41" borderId="130" xfId="0" applyFont="1" applyFill="1" applyBorder="1" applyProtection="1">
      <protection hidden="1"/>
    </xf>
    <xf numFmtId="0" fontId="38" fillId="42" borderId="130" xfId="0" applyFont="1" applyFill="1" applyBorder="1" applyProtection="1">
      <protection hidden="1"/>
    </xf>
    <xf numFmtId="0" fontId="38" fillId="43" borderId="130" xfId="0" applyFont="1" applyFill="1" applyBorder="1" applyProtection="1">
      <protection hidden="1"/>
    </xf>
    <xf numFmtId="0" fontId="38" fillId="38" borderId="130" xfId="0" applyFont="1" applyFill="1" applyBorder="1" applyProtection="1">
      <protection hidden="1"/>
    </xf>
    <xf numFmtId="0" fontId="40" fillId="44" borderId="89" xfId="0" applyFont="1" applyFill="1" applyBorder="1" applyProtection="1">
      <protection hidden="1"/>
    </xf>
    <xf numFmtId="0" fontId="28" fillId="6" borderId="128" xfId="0" applyFont="1" applyFill="1" applyBorder="1" applyProtection="1">
      <protection hidden="1"/>
    </xf>
    <xf numFmtId="0" fontId="6" fillId="6" borderId="7" xfId="0" applyFont="1" applyFill="1" applyBorder="1" applyProtection="1">
      <protection hidden="1"/>
    </xf>
    <xf numFmtId="0" fontId="6" fillId="6" borderId="125" xfId="0" applyFont="1" applyFill="1" applyBorder="1" applyProtection="1">
      <protection hidden="1"/>
    </xf>
    <xf numFmtId="0" fontId="6" fillId="6" borderId="15" xfId="0" applyFont="1" applyFill="1" applyBorder="1" applyProtection="1">
      <protection hidden="1"/>
    </xf>
    <xf numFmtId="0" fontId="28" fillId="6" borderId="133" xfId="0" applyFont="1" applyFill="1" applyBorder="1" applyProtection="1">
      <protection hidden="1"/>
    </xf>
    <xf numFmtId="0" fontId="28" fillId="6" borderId="62" xfId="0" applyFont="1" applyFill="1" applyBorder="1" applyProtection="1">
      <protection hidden="1"/>
    </xf>
    <xf numFmtId="10" fontId="6" fillId="6" borderId="17" xfId="0" applyNumberFormat="1" applyFont="1" applyFill="1" applyBorder="1" applyProtection="1">
      <protection hidden="1"/>
    </xf>
    <xf numFmtId="10" fontId="6" fillId="6" borderId="16" xfId="0" applyNumberFormat="1" applyFont="1" applyFill="1" applyBorder="1" applyProtection="1">
      <protection hidden="1"/>
    </xf>
    <xf numFmtId="10" fontId="6" fillId="6" borderId="9" xfId="0" applyNumberFormat="1" applyFont="1" applyFill="1" applyBorder="1" applyProtection="1">
      <protection hidden="1"/>
    </xf>
    <xf numFmtId="0" fontId="28" fillId="6" borderId="134" xfId="0" applyFont="1" applyFill="1" applyBorder="1" applyProtection="1">
      <protection hidden="1"/>
    </xf>
    <xf numFmtId="0" fontId="41" fillId="6" borderId="62" xfId="0" applyFont="1" applyFill="1" applyBorder="1" applyProtection="1">
      <protection hidden="1"/>
    </xf>
    <xf numFmtId="10" fontId="41" fillId="6" borderId="17" xfId="0" applyNumberFormat="1" applyFont="1" applyFill="1" applyBorder="1" applyProtection="1">
      <protection hidden="1"/>
    </xf>
    <xf numFmtId="10" fontId="41" fillId="6" borderId="16" xfId="0" applyNumberFormat="1" applyFont="1" applyFill="1" applyBorder="1" applyProtection="1">
      <protection hidden="1"/>
    </xf>
    <xf numFmtId="10" fontId="41" fillId="6" borderId="9" xfId="0" applyNumberFormat="1" applyFont="1" applyFill="1" applyBorder="1" applyProtection="1">
      <protection hidden="1"/>
    </xf>
    <xf numFmtId="0" fontId="41" fillId="6" borderId="134" xfId="0" applyFont="1" applyFill="1" applyBorder="1" applyProtection="1">
      <protection hidden="1"/>
    </xf>
    <xf numFmtId="0" fontId="41" fillId="6" borderId="127" xfId="0" applyFont="1" applyFill="1" applyBorder="1" applyProtection="1">
      <protection hidden="1"/>
    </xf>
    <xf numFmtId="10" fontId="41" fillId="6" borderId="97" xfId="0" applyNumberFormat="1" applyFont="1" applyFill="1" applyBorder="1" applyProtection="1">
      <protection hidden="1"/>
    </xf>
    <xf numFmtId="10" fontId="41" fillId="6" borderId="126" xfId="0" applyNumberFormat="1" applyFont="1" applyFill="1" applyBorder="1" applyProtection="1">
      <protection hidden="1"/>
    </xf>
    <xf numFmtId="10" fontId="41" fillId="6" borderId="132" xfId="0" applyNumberFormat="1" applyFont="1" applyFill="1" applyBorder="1" applyProtection="1">
      <protection hidden="1"/>
    </xf>
    <xf numFmtId="0" fontId="41" fillId="6" borderId="135" xfId="0" applyFont="1" applyFill="1" applyBorder="1" applyProtection="1">
      <protection hidden="1"/>
    </xf>
    <xf numFmtId="0" fontId="46" fillId="0" borderId="0" xfId="0" applyFont="1"/>
    <xf numFmtId="0" fontId="47" fillId="0" borderId="93" xfId="0" applyFont="1" applyBorder="1" applyAlignment="1">
      <alignment vertical="top" wrapText="1"/>
    </xf>
    <xf numFmtId="0" fontId="25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5" fillId="11" borderId="3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60" xfId="0" applyFill="1" applyBorder="1" applyAlignment="1" applyProtection="1">
      <alignment horizontal="center" vertical="center"/>
      <protection locked="0"/>
    </xf>
    <xf numFmtId="0" fontId="0" fillId="14" borderId="56" xfId="0" applyFill="1" applyBorder="1" applyAlignment="1" applyProtection="1">
      <alignment horizontal="center" vertical="center"/>
      <protection locked="0"/>
    </xf>
    <xf numFmtId="0" fontId="0" fillId="14" borderId="47" xfId="0" applyFill="1" applyBorder="1" applyAlignment="1" applyProtection="1">
      <alignment horizontal="center" vertical="center"/>
      <protection locked="0"/>
    </xf>
    <xf numFmtId="0" fontId="0" fillId="14" borderId="46" xfId="0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0" fillId="49" borderId="37" xfId="0" applyFill="1" applyBorder="1" applyAlignment="1" applyProtection="1">
      <alignment horizontal="center" vertical="center"/>
      <protection locked="0"/>
    </xf>
    <xf numFmtId="0" fontId="0" fillId="49" borderId="38" xfId="0" applyFill="1" applyBorder="1" applyAlignment="1" applyProtection="1">
      <alignment horizontal="center" vertical="center"/>
      <protection locked="0"/>
    </xf>
    <xf numFmtId="0" fontId="0" fillId="49" borderId="36" xfId="0" applyFill="1" applyBorder="1" applyAlignment="1" applyProtection="1">
      <alignment horizontal="center" vertical="center"/>
      <protection locked="0"/>
    </xf>
    <xf numFmtId="0" fontId="28" fillId="11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/>
    </xf>
    <xf numFmtId="0" fontId="1" fillId="46" borderId="143" xfId="0" applyFont="1" applyFill="1" applyBorder="1" applyAlignment="1">
      <alignment horizontal="center"/>
    </xf>
    <xf numFmtId="0" fontId="52" fillId="46" borderId="144" xfId="0" applyFont="1" applyFill="1" applyBorder="1" applyAlignment="1">
      <alignment horizontal="center" vertical="center"/>
    </xf>
    <xf numFmtId="0" fontId="52" fillId="46" borderId="95" xfId="0" applyFont="1" applyFill="1" applyBorder="1" applyAlignment="1">
      <alignment horizontal="center" vertical="center"/>
    </xf>
    <xf numFmtId="0" fontId="52" fillId="46" borderId="145" xfId="0" applyFont="1" applyFill="1" applyBorder="1" applyAlignment="1">
      <alignment horizontal="center" vertical="center"/>
    </xf>
    <xf numFmtId="3" fontId="6" fillId="9" borderId="72" xfId="0" applyNumberFormat="1" applyFont="1" applyFill="1" applyBorder="1" applyAlignment="1">
      <alignment horizontal="center"/>
    </xf>
    <xf numFmtId="3" fontId="6" fillId="9" borderId="145" xfId="0" applyNumberFormat="1" applyFont="1" applyFill="1" applyBorder="1" applyAlignment="1">
      <alignment horizontal="center"/>
    </xf>
    <xf numFmtId="3" fontId="6" fillId="12" borderId="145" xfId="0" applyNumberFormat="1" applyFont="1" applyFill="1" applyBorder="1" applyAlignment="1">
      <alignment horizontal="center"/>
    </xf>
    <xf numFmtId="10" fontId="6" fillId="12" borderId="72" xfId="0" applyNumberFormat="1" applyFont="1" applyFill="1" applyBorder="1" applyAlignment="1">
      <alignment horizontal="center"/>
    </xf>
    <xf numFmtId="10" fontId="6" fillId="12" borderId="146" xfId="1" applyNumberFormat="1" applyFont="1" applyFill="1" applyBorder="1" applyAlignment="1">
      <alignment horizontal="center"/>
    </xf>
    <xf numFmtId="3" fontId="6" fillId="9" borderId="105" xfId="0" applyNumberFormat="1" applyFont="1" applyFill="1" applyBorder="1" applyAlignment="1">
      <alignment horizontal="center"/>
    </xf>
    <xf numFmtId="3" fontId="6" fillId="9" borderId="140" xfId="0" applyNumberFormat="1" applyFont="1" applyFill="1" applyBorder="1" applyAlignment="1">
      <alignment horizontal="center"/>
    </xf>
    <xf numFmtId="3" fontId="6" fillId="12" borderId="140" xfId="0" applyNumberFormat="1" applyFont="1" applyFill="1" applyBorder="1" applyAlignment="1">
      <alignment horizontal="center"/>
    </xf>
    <xf numFmtId="10" fontId="6" fillId="12" borderId="105" xfId="0" applyNumberFormat="1" applyFont="1" applyFill="1" applyBorder="1" applyAlignment="1">
      <alignment horizontal="center"/>
    </xf>
    <xf numFmtId="10" fontId="6" fillId="12" borderId="148" xfId="1" applyNumberFormat="1" applyFont="1" applyFill="1" applyBorder="1" applyAlignment="1">
      <alignment horizontal="center"/>
    </xf>
    <xf numFmtId="3" fontId="6" fillId="9" borderId="53" xfId="0" applyNumberFormat="1" applyFont="1" applyFill="1" applyBorder="1" applyAlignment="1">
      <alignment horizontal="center"/>
    </xf>
    <xf numFmtId="3" fontId="6" fillId="9" borderId="59" xfId="0" applyNumberFormat="1" applyFont="1" applyFill="1" applyBorder="1" applyAlignment="1">
      <alignment horizontal="center"/>
    </xf>
    <xf numFmtId="3" fontId="6" fillId="12" borderId="59" xfId="0" applyNumberFormat="1" applyFont="1" applyFill="1" applyBorder="1" applyAlignment="1">
      <alignment horizontal="center"/>
    </xf>
    <xf numFmtId="10" fontId="6" fillId="12" borderId="53" xfId="0" applyNumberFormat="1" applyFont="1" applyFill="1" applyBorder="1" applyAlignment="1">
      <alignment horizontal="center"/>
    </xf>
    <xf numFmtId="10" fontId="6" fillId="12" borderId="142" xfId="1" applyNumberFormat="1" applyFont="1" applyFill="1" applyBorder="1" applyAlignment="1">
      <alignment horizontal="center"/>
    </xf>
    <xf numFmtId="0" fontId="51" fillId="11" borderId="145" xfId="0" applyFont="1" applyFill="1" applyBorder="1" applyAlignment="1">
      <alignment horizontal="center" vertical="center"/>
    </xf>
    <xf numFmtId="0" fontId="51" fillId="11" borderId="141" xfId="0" applyFont="1" applyFill="1" applyBorder="1" applyAlignment="1">
      <alignment horizontal="center" vertical="center"/>
    </xf>
    <xf numFmtId="0" fontId="6" fillId="15" borderId="95" xfId="0" applyFont="1" applyFill="1" applyBorder="1" applyAlignment="1">
      <alignment horizontal="center"/>
    </xf>
    <xf numFmtId="3" fontId="6" fillId="45" borderId="149" xfId="0" applyNumberFormat="1" applyFont="1" applyFill="1" applyBorder="1" applyAlignment="1">
      <alignment horizontal="center" vertical="center"/>
    </xf>
    <xf numFmtId="0" fontId="6" fillId="15" borderId="19" xfId="0" applyFont="1" applyFill="1" applyBorder="1" applyAlignment="1">
      <alignment horizontal="center"/>
    </xf>
    <xf numFmtId="3" fontId="6" fillId="45" borderId="150" xfId="0" applyNumberFormat="1" applyFont="1" applyFill="1" applyBorder="1" applyAlignment="1">
      <alignment horizontal="center" vertical="center"/>
    </xf>
    <xf numFmtId="0" fontId="6" fillId="15" borderId="151" xfId="0" applyFont="1" applyFill="1" applyBorder="1" applyAlignment="1">
      <alignment horizontal="center"/>
    </xf>
    <xf numFmtId="3" fontId="6" fillId="45" borderId="152" xfId="0" applyNumberFormat="1" applyFont="1" applyFill="1" applyBorder="1" applyAlignment="1">
      <alignment horizontal="center" vertical="center"/>
    </xf>
    <xf numFmtId="0" fontId="6" fillId="13" borderId="153" xfId="0" applyFont="1" applyFill="1" applyBorder="1" applyAlignment="1">
      <alignment horizontal="center"/>
    </xf>
    <xf numFmtId="0" fontId="6" fillId="13" borderId="154" xfId="0" applyFont="1" applyFill="1" applyBorder="1" applyAlignment="1">
      <alignment horizontal="center"/>
    </xf>
    <xf numFmtId="0" fontId="6" fillId="13" borderId="155" xfId="0" applyFont="1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7" fillId="4" borderId="156" xfId="0" applyFont="1" applyFill="1" applyBorder="1" applyAlignment="1">
      <alignment horizontal="center" vertical="center"/>
    </xf>
    <xf numFmtId="0" fontId="12" fillId="4" borderId="158" xfId="0" applyFont="1" applyFill="1" applyBorder="1" applyAlignment="1">
      <alignment horizontal="right"/>
    </xf>
    <xf numFmtId="0" fontId="54" fillId="14" borderId="64" xfId="0" applyFont="1" applyFill="1" applyBorder="1" applyAlignment="1" applyProtection="1">
      <alignment horizontal="center" vertical="center"/>
      <protection locked="0"/>
    </xf>
    <xf numFmtId="0" fontId="54" fillId="14" borderId="34" xfId="0" applyFont="1" applyFill="1" applyBorder="1" applyAlignment="1" applyProtection="1">
      <alignment horizontal="center" vertical="center"/>
      <protection locked="0"/>
    </xf>
    <xf numFmtId="0" fontId="54" fillId="14" borderId="49" xfId="0" applyFont="1" applyFill="1" applyBorder="1" applyAlignment="1" applyProtection="1">
      <alignment horizontal="center" vertical="center"/>
      <protection locked="0"/>
    </xf>
    <xf numFmtId="0" fontId="54" fillId="14" borderId="48" xfId="0" applyFont="1" applyFill="1" applyBorder="1" applyAlignment="1" applyProtection="1">
      <alignment horizontal="center" vertical="center"/>
      <protection locked="0"/>
    </xf>
    <xf numFmtId="165" fontId="32" fillId="21" borderId="81" xfId="0" applyNumberFormat="1" applyFont="1" applyFill="1" applyBorder="1" applyAlignment="1">
      <alignment horizontal="center" vertical="center"/>
    </xf>
    <xf numFmtId="165" fontId="0" fillId="9" borderId="70" xfId="0" applyNumberFormat="1" applyFill="1" applyBorder="1" applyAlignment="1">
      <alignment horizontal="center" vertical="center"/>
    </xf>
    <xf numFmtId="165" fontId="0" fillId="9" borderId="52" xfId="0" applyNumberFormat="1" applyFill="1" applyBorder="1" applyAlignment="1">
      <alignment horizontal="center" vertical="center"/>
    </xf>
    <xf numFmtId="165" fontId="0" fillId="9" borderId="53" xfId="0" applyNumberFormat="1" applyFill="1" applyBorder="1" applyAlignment="1">
      <alignment horizontal="center" vertical="center"/>
    </xf>
    <xf numFmtId="0" fontId="0" fillId="0" borderId="159" xfId="0" applyBorder="1"/>
    <xf numFmtId="10" fontId="56" fillId="12" borderId="157" xfId="0" applyNumberFormat="1" applyFont="1" applyFill="1" applyBorder="1"/>
    <xf numFmtId="0" fontId="54" fillId="9" borderId="63" xfId="0" applyFont="1" applyFill="1" applyBorder="1" applyAlignment="1">
      <alignment horizontal="center" vertical="center" wrapText="1"/>
    </xf>
    <xf numFmtId="0" fontId="4" fillId="2" borderId="160" xfId="0" applyFont="1" applyFill="1" applyBorder="1" applyAlignment="1">
      <alignment horizontal="center"/>
    </xf>
    <xf numFmtId="0" fontId="6" fillId="46" borderId="8" xfId="0" applyFont="1" applyFill="1" applyBorder="1" applyAlignment="1">
      <alignment vertical="center"/>
    </xf>
    <xf numFmtId="0" fontId="6" fillId="46" borderId="10" xfId="0" applyFont="1" applyFill="1" applyBorder="1" applyAlignment="1">
      <alignment vertical="center"/>
    </xf>
    <xf numFmtId="0" fontId="6" fillId="46" borderId="12" xfId="0" applyFont="1" applyFill="1" applyBorder="1" applyAlignment="1">
      <alignment vertical="center"/>
    </xf>
    <xf numFmtId="164" fontId="15" fillId="15" borderId="71" xfId="0" applyNumberFormat="1" applyFont="1" applyFill="1" applyBorder="1" applyAlignment="1" applyProtection="1">
      <alignment horizontal="center" vertical="center"/>
      <protection locked="0"/>
    </xf>
    <xf numFmtId="0" fontId="13" fillId="15" borderId="14" xfId="0" applyFont="1" applyFill="1" applyBorder="1" applyAlignment="1" applyProtection="1">
      <alignment horizontal="center" vertical="center"/>
      <protection locked="0"/>
    </xf>
    <xf numFmtId="0" fontId="15" fillId="15" borderId="13" xfId="0" applyFont="1" applyFill="1" applyBorder="1" applyAlignment="1" applyProtection="1">
      <alignment horizontal="center" vertical="center"/>
      <protection locked="0"/>
    </xf>
    <xf numFmtId="0" fontId="51" fillId="11" borderId="72" xfId="0" applyFont="1" applyFill="1" applyBorder="1" applyAlignment="1">
      <alignment horizontal="center" vertical="center"/>
    </xf>
    <xf numFmtId="0" fontId="6" fillId="46" borderId="72" xfId="0" applyFont="1" applyFill="1" applyBorder="1" applyAlignment="1">
      <alignment horizontal="center"/>
    </xf>
    <xf numFmtId="0" fontId="6" fillId="46" borderId="147" xfId="0" applyFont="1" applyFill="1" applyBorder="1" applyAlignment="1">
      <alignment horizontal="center"/>
    </xf>
    <xf numFmtId="0" fontId="6" fillId="46" borderId="162" xfId="0" applyFont="1" applyFill="1" applyBorder="1" applyAlignment="1">
      <alignment horizontal="center"/>
    </xf>
    <xf numFmtId="165" fontId="6" fillId="21" borderId="72" xfId="0" applyNumberFormat="1" applyFont="1" applyFill="1" applyBorder="1" applyAlignment="1">
      <alignment horizontal="center" vertical="center"/>
    </xf>
    <xf numFmtId="0" fontId="6" fillId="21" borderId="72" xfId="0" applyFont="1" applyFill="1" applyBorder="1" applyAlignment="1">
      <alignment horizontal="center" vertical="center"/>
    </xf>
    <xf numFmtId="10" fontId="22" fillId="9" borderId="112" xfId="1" applyNumberFormat="1" applyFont="1" applyFill="1" applyBorder="1" applyAlignment="1">
      <alignment horizontal="center" vertical="center"/>
    </xf>
    <xf numFmtId="165" fontId="6" fillId="21" borderId="105" xfId="0" applyNumberFormat="1" applyFont="1" applyFill="1" applyBorder="1" applyAlignment="1">
      <alignment horizontal="center" vertical="center"/>
    </xf>
    <xf numFmtId="0" fontId="6" fillId="20" borderId="105" xfId="0" applyFont="1" applyFill="1" applyBorder="1" applyAlignment="1">
      <alignment horizontal="center" vertical="center"/>
    </xf>
    <xf numFmtId="10" fontId="22" fillId="9" borderId="54" xfId="1" applyNumberFormat="1" applyFont="1" applyFill="1" applyBorder="1" applyAlignment="1">
      <alignment horizontal="center" vertical="center"/>
    </xf>
    <xf numFmtId="0" fontId="32" fillId="22" borderId="163" xfId="0" applyFont="1" applyFill="1" applyBorder="1" applyAlignment="1">
      <alignment horizontal="center" vertical="center"/>
    </xf>
    <xf numFmtId="10" fontId="33" fillId="9" borderId="164" xfId="1" applyNumberFormat="1" applyFont="1" applyFill="1" applyBorder="1" applyAlignment="1">
      <alignment horizontal="center" vertical="center"/>
    </xf>
    <xf numFmtId="0" fontId="32" fillId="22" borderId="165" xfId="0" applyFont="1" applyFill="1" applyBorder="1" applyAlignment="1">
      <alignment horizontal="center" vertical="center"/>
    </xf>
    <xf numFmtId="0" fontId="29" fillId="2" borderId="36" xfId="0" applyFont="1" applyFill="1" applyBorder="1" applyAlignment="1">
      <alignment horizontal="center" vertical="center"/>
    </xf>
    <xf numFmtId="0" fontId="29" fillId="2" borderId="37" xfId="0" applyFont="1" applyFill="1" applyBorder="1" applyAlignment="1">
      <alignment horizontal="center" vertical="center"/>
    </xf>
    <xf numFmtId="0" fontId="29" fillId="2" borderId="38" xfId="0" applyFont="1" applyFill="1" applyBorder="1" applyAlignment="1">
      <alignment horizontal="center" vertical="center"/>
    </xf>
    <xf numFmtId="0" fontId="29" fillId="19" borderId="35" xfId="0" applyFont="1" applyFill="1" applyBorder="1" applyAlignment="1">
      <alignment horizontal="center" vertical="center" wrapText="1"/>
    </xf>
    <xf numFmtId="0" fontId="52" fillId="2" borderId="69" xfId="0" applyFont="1" applyFill="1" applyBorder="1" applyAlignment="1">
      <alignment horizontal="center" vertical="center"/>
    </xf>
    <xf numFmtId="0" fontId="52" fillId="2" borderId="108" xfId="0" applyFont="1" applyFill="1" applyBorder="1" applyAlignment="1">
      <alignment horizontal="center" vertical="center"/>
    </xf>
    <xf numFmtId="0" fontId="54" fillId="49" borderId="37" xfId="0" applyFont="1" applyFill="1" applyBorder="1" applyAlignment="1" applyProtection="1">
      <alignment horizontal="center" vertical="center"/>
      <protection locked="0"/>
    </xf>
    <xf numFmtId="0" fontId="54" fillId="9" borderId="35" xfId="0" applyFont="1" applyFill="1" applyBorder="1" applyAlignment="1">
      <alignment horizontal="center" vertical="center"/>
    </xf>
    <xf numFmtId="0" fontId="55" fillId="9" borderId="108" xfId="0" applyFont="1" applyFill="1" applyBorder="1" applyAlignment="1">
      <alignment horizontal="center" vertical="center" wrapText="1"/>
    </xf>
    <xf numFmtId="0" fontId="55" fillId="9" borderId="69" xfId="0" applyFont="1" applyFill="1" applyBorder="1" applyAlignment="1">
      <alignment horizontal="center" vertical="center" wrapText="1"/>
    </xf>
    <xf numFmtId="0" fontId="54" fillId="49" borderId="38" xfId="0" applyFont="1" applyFill="1" applyBorder="1" applyAlignment="1" applyProtection="1">
      <alignment horizontal="center" vertical="center"/>
      <protection locked="0"/>
    </xf>
    <xf numFmtId="0" fontId="54" fillId="14" borderId="61" xfId="0" applyFont="1" applyFill="1" applyBorder="1" applyAlignment="1" applyProtection="1">
      <alignment horizontal="center" vertical="center"/>
      <protection locked="0"/>
    </xf>
    <xf numFmtId="0" fontId="54" fillId="14" borderId="57" xfId="0" applyFont="1" applyFill="1" applyBorder="1" applyAlignment="1" applyProtection="1">
      <alignment horizontal="center" vertical="center"/>
      <protection locked="0"/>
    </xf>
    <xf numFmtId="0" fontId="54" fillId="14" borderId="51" xfId="0" applyFont="1" applyFill="1" applyBorder="1" applyAlignment="1" applyProtection="1">
      <alignment horizontal="center" vertical="center"/>
      <protection locked="0"/>
    </xf>
    <xf numFmtId="0" fontId="54" fillId="14" borderId="50" xfId="0" applyFont="1" applyFill="1" applyBorder="1" applyAlignment="1" applyProtection="1">
      <alignment horizontal="center" vertical="center"/>
      <protection locked="0"/>
    </xf>
    <xf numFmtId="0" fontId="52" fillId="21" borderId="72" xfId="0" applyFont="1" applyFill="1" applyBorder="1" applyAlignment="1">
      <alignment horizontal="center" vertical="center"/>
    </xf>
    <xf numFmtId="0" fontId="52" fillId="21" borderId="72" xfId="0" applyFont="1" applyFill="1" applyBorder="1" applyAlignment="1">
      <alignment horizontal="center" vertical="center" wrapText="1"/>
    </xf>
    <xf numFmtId="0" fontId="55" fillId="9" borderId="55" xfId="0" applyFont="1" applyFill="1" applyBorder="1" applyAlignment="1">
      <alignment horizontal="center" vertical="center"/>
    </xf>
    <xf numFmtId="0" fontId="55" fillId="9" borderId="55" xfId="0" applyFont="1" applyFill="1" applyBorder="1" applyAlignment="1">
      <alignment horizontal="center" vertical="center" wrapText="1"/>
    </xf>
    <xf numFmtId="0" fontId="0" fillId="9" borderId="47" xfId="0" applyFill="1" applyBorder="1" applyAlignment="1">
      <alignment horizontal="center" vertical="center"/>
    </xf>
    <xf numFmtId="0" fontId="0" fillId="9" borderId="49" xfId="0" applyFill="1" applyBorder="1" applyAlignment="1">
      <alignment horizontal="center" vertical="center"/>
    </xf>
    <xf numFmtId="0" fontId="0" fillId="9" borderId="51" xfId="0" applyFill="1" applyBorder="1" applyAlignment="1">
      <alignment horizontal="center" vertical="center"/>
    </xf>
    <xf numFmtId="0" fontId="33" fillId="9" borderId="167" xfId="0" applyFont="1" applyFill="1" applyBorder="1" applyAlignment="1">
      <alignment horizontal="center" vertical="center"/>
    </xf>
    <xf numFmtId="0" fontId="0" fillId="0" borderId="166" xfId="0" applyBorder="1"/>
    <xf numFmtId="10" fontId="33" fillId="9" borderId="168" xfId="1" applyNumberFormat="1" applyFont="1" applyFill="1" applyBorder="1" applyAlignment="1">
      <alignment horizontal="center" vertical="center"/>
    </xf>
    <xf numFmtId="165" fontId="32" fillId="21" borderId="169" xfId="0" applyNumberFormat="1" applyFont="1" applyFill="1" applyBorder="1" applyAlignment="1">
      <alignment horizontal="center" vertical="center"/>
    </xf>
    <xf numFmtId="0" fontId="33" fillId="9" borderId="170" xfId="0" applyFont="1" applyFill="1" applyBorder="1" applyAlignment="1">
      <alignment horizontal="center" vertical="center"/>
    </xf>
    <xf numFmtId="165" fontId="33" fillId="9" borderId="171" xfId="0" applyNumberFormat="1" applyFont="1" applyFill="1" applyBorder="1" applyAlignment="1">
      <alignment horizontal="center" vertical="center"/>
    </xf>
    <xf numFmtId="165" fontId="33" fillId="9" borderId="172" xfId="0" applyNumberFormat="1" applyFont="1" applyFill="1" applyBorder="1" applyAlignment="1">
      <alignment horizontal="center" vertical="center"/>
    </xf>
    <xf numFmtId="0" fontId="7" fillId="2" borderId="173" xfId="0" applyFont="1" applyFill="1" applyBorder="1" applyAlignment="1">
      <alignment horizontal="center"/>
    </xf>
    <xf numFmtId="0" fontId="7" fillId="4" borderId="174" xfId="0" applyFont="1" applyFill="1" applyBorder="1" applyAlignment="1">
      <alignment horizontal="center" vertical="center"/>
    </xf>
    <xf numFmtId="0" fontId="48" fillId="2" borderId="173" xfId="0" applyFont="1" applyFill="1" applyBorder="1" applyAlignment="1">
      <alignment horizontal="center" vertical="center" wrapText="1"/>
    </xf>
    <xf numFmtId="0" fontId="48" fillId="2" borderId="156" xfId="0" applyFont="1" applyFill="1" applyBorder="1" applyAlignment="1">
      <alignment horizontal="center" vertical="center" wrapText="1"/>
    </xf>
    <xf numFmtId="0" fontId="7" fillId="4" borderId="175" xfId="0" applyFont="1" applyFill="1" applyBorder="1" applyAlignment="1">
      <alignment horizontal="center" vertical="center"/>
    </xf>
    <xf numFmtId="0" fontId="7" fillId="4" borderId="176" xfId="0" applyFont="1" applyFill="1" applyBorder="1" applyAlignment="1">
      <alignment horizontal="center" vertical="center"/>
    </xf>
    <xf numFmtId="0" fontId="7" fillId="2" borderId="177" xfId="0" applyFont="1" applyFill="1" applyBorder="1" applyAlignment="1">
      <alignment horizontal="center"/>
    </xf>
    <xf numFmtId="0" fontId="48" fillId="2" borderId="175" xfId="0" applyFont="1" applyFill="1" applyBorder="1" applyAlignment="1">
      <alignment horizontal="center" vertical="center" wrapText="1"/>
    </xf>
    <xf numFmtId="3" fontId="9" fillId="51" borderId="4" xfId="0" applyNumberFormat="1" applyFont="1" applyFill="1" applyBorder="1" applyAlignment="1">
      <alignment horizontal="right"/>
    </xf>
    <xf numFmtId="0" fontId="48" fillId="2" borderId="178" xfId="0" applyFont="1" applyFill="1" applyBorder="1" applyAlignment="1">
      <alignment horizontal="center" vertical="center" wrapText="1"/>
    </xf>
    <xf numFmtId="0" fontId="7" fillId="2" borderId="179" xfId="0" applyFont="1" applyFill="1" applyBorder="1" applyAlignment="1">
      <alignment horizontal="center"/>
    </xf>
    <xf numFmtId="0" fontId="7" fillId="2" borderId="180" xfId="0" applyFont="1" applyFill="1" applyBorder="1" applyAlignment="1">
      <alignment horizontal="center"/>
    </xf>
    <xf numFmtId="0" fontId="52" fillId="54" borderId="139" xfId="0" applyFont="1" applyFill="1" applyBorder="1" applyAlignment="1">
      <alignment horizontal="center" vertical="center" wrapText="1"/>
    </xf>
    <xf numFmtId="0" fontId="55" fillId="56" borderId="69" xfId="0" applyFont="1" applyFill="1" applyBorder="1" applyAlignment="1">
      <alignment horizontal="center" vertical="center" wrapText="1"/>
    </xf>
    <xf numFmtId="0" fontId="55" fillId="56" borderId="108" xfId="0" applyFont="1" applyFill="1" applyBorder="1" applyAlignment="1">
      <alignment horizontal="center" vertical="center" wrapText="1"/>
    </xf>
    <xf numFmtId="0" fontId="52" fillId="50" borderId="139" xfId="0" applyFont="1" applyFill="1" applyBorder="1" applyAlignment="1">
      <alignment horizontal="center" vertical="center" wrapText="1"/>
    </xf>
    <xf numFmtId="0" fontId="52" fillId="18" borderId="139" xfId="0" applyFont="1" applyFill="1" applyBorder="1" applyAlignment="1">
      <alignment horizontal="center" vertical="center" wrapText="1"/>
    </xf>
    <xf numFmtId="0" fontId="52" fillId="52" borderId="139" xfId="0" applyFont="1" applyFill="1" applyBorder="1" applyAlignment="1">
      <alignment horizontal="center" vertical="center" wrapText="1"/>
    </xf>
    <xf numFmtId="0" fontId="52" fillId="53" borderId="139" xfId="0" applyFont="1" applyFill="1" applyBorder="1" applyAlignment="1">
      <alignment horizontal="center" vertical="center" wrapText="1"/>
    </xf>
    <xf numFmtId="0" fontId="52" fillId="48" borderId="139" xfId="0" applyFont="1" applyFill="1" applyBorder="1" applyAlignment="1">
      <alignment horizontal="center" vertical="center" wrapText="1"/>
    </xf>
    <xf numFmtId="0" fontId="52" fillId="57" borderId="139" xfId="0" applyFont="1" applyFill="1" applyBorder="1" applyAlignment="1">
      <alignment horizontal="center" vertical="center" wrapText="1"/>
    </xf>
    <xf numFmtId="0" fontId="52" fillId="49" borderId="139" xfId="0" applyFont="1" applyFill="1" applyBorder="1" applyAlignment="1">
      <alignment horizontal="center" vertical="center" wrapText="1"/>
    </xf>
    <xf numFmtId="0" fontId="52" fillId="58" borderId="139" xfId="0" applyFont="1" applyFill="1" applyBorder="1" applyAlignment="1">
      <alignment horizontal="center" vertical="center" wrapText="1"/>
    </xf>
    <xf numFmtId="0" fontId="6" fillId="11" borderId="0" xfId="0" applyFont="1" applyFill="1" applyAlignment="1">
      <alignment horizontal="center" vertical="center" wrapText="1"/>
    </xf>
    <xf numFmtId="3" fontId="3" fillId="9" borderId="36" xfId="0" applyNumberFormat="1" applyFont="1" applyFill="1" applyBorder="1" applyAlignment="1">
      <alignment horizontal="center" vertical="center" wrapText="1"/>
    </xf>
    <xf numFmtId="3" fontId="3" fillId="10" borderId="83" xfId="0" applyNumberFormat="1" applyFont="1" applyFill="1" applyBorder="1" applyAlignment="1">
      <alignment horizontal="center"/>
    </xf>
    <xf numFmtId="3" fontId="3" fillId="9" borderId="17" xfId="0" applyNumberFormat="1" applyFont="1" applyFill="1" applyBorder="1" applyAlignment="1">
      <alignment horizontal="center" vertical="center"/>
    </xf>
    <xf numFmtId="3" fontId="3" fillId="9" borderId="16" xfId="0" applyNumberFormat="1" applyFont="1" applyFill="1" applyBorder="1" applyAlignment="1">
      <alignment horizontal="center" vertical="center"/>
    </xf>
    <xf numFmtId="0" fontId="3" fillId="9" borderId="46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101" xfId="0" applyFont="1" applyFill="1" applyBorder="1" applyAlignment="1">
      <alignment horizontal="center" vertical="center"/>
    </xf>
    <xf numFmtId="0" fontId="3" fillId="9" borderId="98" xfId="0" applyFont="1" applyFill="1" applyBorder="1" applyAlignment="1">
      <alignment horizontal="center" vertical="center"/>
    </xf>
    <xf numFmtId="3" fontId="3" fillId="9" borderId="37" xfId="0" applyNumberFormat="1" applyFont="1" applyFill="1" applyBorder="1" applyAlignment="1">
      <alignment horizontal="center" vertical="center" wrapText="1"/>
    </xf>
    <xf numFmtId="3" fontId="3" fillId="10" borderId="73" xfId="0" applyNumberFormat="1" applyFont="1" applyFill="1" applyBorder="1" applyAlignment="1">
      <alignment horizontal="center"/>
    </xf>
    <xf numFmtId="0" fontId="3" fillId="9" borderId="48" xfId="0" applyFont="1" applyFill="1" applyBorder="1" applyAlignment="1">
      <alignment horizontal="center" vertical="center"/>
    </xf>
    <xf numFmtId="0" fontId="3" fillId="9" borderId="99" xfId="0" applyFont="1" applyFill="1" applyBorder="1" applyAlignment="1">
      <alignment horizontal="center" vertical="center"/>
    </xf>
    <xf numFmtId="3" fontId="3" fillId="9" borderId="42" xfId="0" applyNumberFormat="1" applyFont="1" applyFill="1" applyBorder="1" applyAlignment="1">
      <alignment horizontal="center" vertical="center" wrapText="1"/>
    </xf>
    <xf numFmtId="3" fontId="3" fillId="10" borderId="75" xfId="0" applyNumberFormat="1" applyFont="1" applyFill="1" applyBorder="1" applyAlignment="1">
      <alignment horizontal="center"/>
    </xf>
    <xf numFmtId="0" fontId="3" fillId="9" borderId="74" xfId="0" applyFont="1" applyFill="1" applyBorder="1" applyAlignment="1">
      <alignment horizontal="center" vertical="center"/>
    </xf>
    <xf numFmtId="0" fontId="3" fillId="9" borderId="80" xfId="0" applyFont="1" applyFill="1" applyBorder="1" applyAlignment="1">
      <alignment horizontal="center" vertical="center"/>
    </xf>
    <xf numFmtId="0" fontId="3" fillId="9" borderId="100" xfId="0" applyFont="1" applyFill="1" applyBorder="1" applyAlignment="1">
      <alignment horizontal="center" vertical="center"/>
    </xf>
    <xf numFmtId="0" fontId="25" fillId="11" borderId="34" xfId="0" applyFont="1" applyFill="1" applyBorder="1"/>
    <xf numFmtId="0" fontId="0" fillId="11" borderId="34" xfId="0" applyFill="1" applyBorder="1"/>
    <xf numFmtId="0" fontId="6" fillId="46" borderId="98" xfId="0" applyFont="1" applyFill="1" applyBorder="1" applyAlignment="1">
      <alignment vertical="center"/>
    </xf>
    <xf numFmtId="0" fontId="6" fillId="46" borderId="99" xfId="0" applyFont="1" applyFill="1" applyBorder="1" applyAlignment="1">
      <alignment vertical="center"/>
    </xf>
    <xf numFmtId="0" fontId="6" fillId="46" borderId="186" xfId="0" applyFont="1" applyFill="1" applyBorder="1" applyAlignment="1">
      <alignment vertical="center"/>
    </xf>
    <xf numFmtId="164" fontId="15" fillId="19" borderId="103" xfId="0" applyNumberFormat="1" applyFont="1" applyFill="1" applyBorder="1" applyAlignment="1">
      <alignment horizontal="center" vertical="center"/>
    </xf>
    <xf numFmtId="0" fontId="13" fillId="19" borderId="104" xfId="0" applyFont="1" applyFill="1" applyBorder="1" applyAlignment="1">
      <alignment horizontal="center" vertical="center"/>
    </xf>
    <xf numFmtId="164" fontId="15" fillId="46" borderId="103" xfId="0" applyNumberFormat="1" applyFont="1" applyFill="1" applyBorder="1" applyAlignment="1">
      <alignment horizontal="center" vertical="center"/>
    </xf>
    <xf numFmtId="0" fontId="13" fillId="46" borderId="104" xfId="0" applyFont="1" applyFill="1" applyBorder="1" applyAlignment="1">
      <alignment horizontal="center" vertical="center"/>
    </xf>
    <xf numFmtId="0" fontId="15" fillId="46" borderId="187" xfId="0" applyFont="1" applyFill="1" applyBorder="1" applyAlignment="1">
      <alignment horizontal="center" vertical="center"/>
    </xf>
    <xf numFmtId="0" fontId="0" fillId="0" borderId="189" xfId="0" applyBorder="1"/>
    <xf numFmtId="0" fontId="0" fillId="0" borderId="190" xfId="0" applyBorder="1"/>
    <xf numFmtId="0" fontId="47" fillId="0" borderId="190" xfId="0" applyFont="1" applyBorder="1" applyAlignment="1">
      <alignment vertical="top" wrapText="1"/>
    </xf>
    <xf numFmtId="0" fontId="0" fillId="0" borderId="192" xfId="0" applyBorder="1"/>
    <xf numFmtId="0" fontId="43" fillId="9" borderId="47" xfId="0" applyFont="1" applyFill="1" applyBorder="1" applyAlignment="1">
      <alignment horizontal="center" vertical="center"/>
    </xf>
    <xf numFmtId="0" fontId="44" fillId="9" borderId="49" xfId="0" applyFont="1" applyFill="1" applyBorder="1" applyAlignment="1">
      <alignment horizontal="center" vertical="center"/>
    </xf>
    <xf numFmtId="0" fontId="25" fillId="0" borderId="189" xfId="0" applyFont="1" applyBorder="1"/>
    <xf numFmtId="0" fontId="7" fillId="4" borderId="197" xfId="0" applyFont="1" applyFill="1" applyBorder="1" applyAlignment="1">
      <alignment horizontal="center"/>
    </xf>
    <xf numFmtId="10" fontId="35" fillId="6" borderId="9" xfId="0" applyNumberFormat="1" applyFont="1" applyFill="1" applyBorder="1" applyProtection="1">
      <protection hidden="1"/>
    </xf>
    <xf numFmtId="0" fontId="0" fillId="52" borderId="34" xfId="0" applyFill="1" applyBorder="1"/>
    <xf numFmtId="0" fontId="25" fillId="53" borderId="34" xfId="0" applyFont="1" applyFill="1" applyBorder="1"/>
    <xf numFmtId="0" fontId="25" fillId="58" borderId="34" xfId="0" applyFont="1" applyFill="1" applyBorder="1"/>
    <xf numFmtId="0" fontId="45" fillId="63" borderId="34" xfId="0" applyFont="1" applyFill="1" applyBorder="1"/>
    <xf numFmtId="3" fontId="59" fillId="17" borderId="65" xfId="0" applyNumberFormat="1" applyFont="1" applyFill="1" applyBorder="1" applyAlignment="1">
      <alignment horizontal="right"/>
    </xf>
    <xf numFmtId="3" fontId="59" fillId="27" borderId="66" xfId="0" applyNumberFormat="1" applyFont="1" applyFill="1" applyBorder="1" applyAlignment="1">
      <alignment horizontal="right"/>
    </xf>
    <xf numFmtId="3" fontId="60" fillId="27" borderId="65" xfId="0" applyNumberFormat="1" applyFont="1" applyFill="1" applyBorder="1" applyAlignment="1">
      <alignment horizontal="right"/>
    </xf>
    <xf numFmtId="3" fontId="60" fillId="27" borderId="66" xfId="0" applyNumberFormat="1" applyFont="1" applyFill="1" applyBorder="1" applyAlignment="1">
      <alignment horizontal="right"/>
    </xf>
    <xf numFmtId="0" fontId="61" fillId="5" borderId="161" xfId="0" applyFont="1" applyFill="1" applyBorder="1" applyAlignment="1">
      <alignment horizontal="right"/>
    </xf>
    <xf numFmtId="10" fontId="59" fillId="12" borderId="50" xfId="0" applyNumberFormat="1" applyFont="1" applyFill="1" applyBorder="1"/>
    <xf numFmtId="10" fontId="59" fillId="28" borderId="59" xfId="0" applyNumberFormat="1" applyFont="1" applyFill="1" applyBorder="1"/>
    <xf numFmtId="10" fontId="60" fillId="28" borderId="50" xfId="0" applyNumberFormat="1" applyFont="1" applyFill="1" applyBorder="1"/>
    <xf numFmtId="10" fontId="60" fillId="62" borderId="59" xfId="0" applyNumberFormat="1" applyFont="1" applyFill="1" applyBorder="1"/>
    <xf numFmtId="3" fontId="60" fillId="27" borderId="6" xfId="0" applyNumberFormat="1" applyFont="1" applyFill="1" applyBorder="1" applyAlignment="1">
      <alignment horizontal="right"/>
    </xf>
    <xf numFmtId="10" fontId="60" fillId="47" borderId="77" xfId="0" applyNumberFormat="1" applyFont="1" applyFill="1" applyBorder="1"/>
    <xf numFmtId="0" fontId="25" fillId="0" borderId="0" xfId="2"/>
    <xf numFmtId="0" fontId="7" fillId="0" borderId="0" xfId="2" applyFont="1" applyAlignment="1">
      <alignment horizontal="center" vertical="center"/>
    </xf>
    <xf numFmtId="0" fontId="25" fillId="0" borderId="0" xfId="2" applyAlignment="1" applyProtection="1">
      <alignment horizontal="center" vertical="center"/>
      <protection locked="0"/>
    </xf>
    <xf numFmtId="0" fontId="64" fillId="14" borderId="46" xfId="2" applyFont="1" applyFill="1" applyBorder="1" applyAlignment="1" applyProtection="1">
      <alignment horizontal="center" vertical="center"/>
      <protection locked="0"/>
    </xf>
    <xf numFmtId="0" fontId="64" fillId="14" borderId="56" xfId="2" applyFont="1" applyFill="1" applyBorder="1" applyAlignment="1" applyProtection="1">
      <alignment horizontal="center" vertical="center"/>
      <protection locked="0"/>
    </xf>
    <xf numFmtId="0" fontId="54" fillId="66" borderId="112" xfId="2" applyFont="1" applyFill="1" applyBorder="1" applyAlignment="1" applyProtection="1">
      <alignment horizontal="center" vertical="center"/>
      <protection locked="0"/>
    </xf>
    <xf numFmtId="0" fontId="54" fillId="66" borderId="122" xfId="2" applyFont="1" applyFill="1" applyBorder="1" applyAlignment="1" applyProtection="1">
      <alignment horizontal="center" vertical="center"/>
      <protection locked="0"/>
    </xf>
    <xf numFmtId="0" fontId="54" fillId="66" borderId="199" xfId="2" applyFont="1" applyFill="1" applyBorder="1" applyAlignment="1" applyProtection="1">
      <alignment horizontal="center" vertical="center"/>
      <protection locked="0"/>
    </xf>
    <xf numFmtId="0" fontId="5" fillId="2" borderId="182" xfId="0" applyFont="1" applyFill="1" applyBorder="1" applyAlignment="1">
      <alignment horizontal="center" vertical="center"/>
    </xf>
    <xf numFmtId="0" fontId="7" fillId="4" borderId="201" xfId="0" applyFont="1" applyFill="1" applyBorder="1" applyAlignment="1">
      <alignment horizontal="center"/>
    </xf>
    <xf numFmtId="0" fontId="7" fillId="4" borderId="202" xfId="0" applyFont="1" applyFill="1" applyBorder="1" applyAlignment="1">
      <alignment horizontal="center"/>
    </xf>
    <xf numFmtId="10" fontId="61" fillId="5" borderId="157" xfId="0" applyNumberFormat="1" applyFont="1" applyFill="1" applyBorder="1"/>
    <xf numFmtId="0" fontId="60" fillId="46" borderId="68" xfId="0" applyFont="1" applyFill="1" applyBorder="1"/>
    <xf numFmtId="10" fontId="60" fillId="46" borderId="67" xfId="0" applyNumberFormat="1" applyFont="1" applyFill="1" applyBorder="1"/>
    <xf numFmtId="0" fontId="66" fillId="11" borderId="73" xfId="0" applyFont="1" applyFill="1" applyBorder="1" applyAlignment="1">
      <alignment horizontal="center" vertical="center"/>
    </xf>
    <xf numFmtId="0" fontId="25" fillId="11" borderId="46" xfId="0" applyFont="1" applyFill="1" applyBorder="1"/>
    <xf numFmtId="0" fontId="25" fillId="11" borderId="50" xfId="0" applyFont="1" applyFill="1" applyBorder="1"/>
    <xf numFmtId="0" fontId="1" fillId="46" borderId="203" xfId="0" applyFont="1" applyFill="1" applyBorder="1" applyAlignment="1">
      <alignment horizontal="center"/>
    </xf>
    <xf numFmtId="0" fontId="63" fillId="5" borderId="116" xfId="0" applyFont="1" applyFill="1" applyBorder="1" applyAlignment="1">
      <alignment horizontal="right"/>
    </xf>
    <xf numFmtId="10" fontId="63" fillId="5" borderId="205" xfId="0" applyNumberFormat="1" applyFont="1" applyFill="1" applyBorder="1"/>
    <xf numFmtId="0" fontId="64" fillId="14" borderId="60" xfId="2" applyFont="1" applyFill="1" applyBorder="1" applyAlignment="1" applyProtection="1">
      <alignment horizontal="center" vertical="center"/>
      <protection locked="0"/>
    </xf>
    <xf numFmtId="0" fontId="62" fillId="11" borderId="75" xfId="0" applyFont="1" applyFill="1" applyBorder="1" applyAlignment="1">
      <alignment horizontal="center" vertical="center"/>
    </xf>
    <xf numFmtId="0" fontId="0" fillId="9" borderId="47" xfId="0" applyFill="1" applyBorder="1" applyAlignment="1">
      <alignment horizontal="center"/>
    </xf>
    <xf numFmtId="0" fontId="0" fillId="9" borderId="51" xfId="0" applyFill="1" applyBorder="1" applyAlignment="1">
      <alignment horizontal="center"/>
    </xf>
    <xf numFmtId="0" fontId="6" fillId="13" borderId="112" xfId="0" applyFont="1" applyFill="1" applyBorder="1" applyAlignment="1">
      <alignment horizontal="center"/>
    </xf>
    <xf numFmtId="0" fontId="6" fillId="13" borderId="208" xfId="0" applyFont="1" applyFill="1" applyBorder="1" applyAlignment="1">
      <alignment horizontal="center"/>
    </xf>
    <xf numFmtId="0" fontId="6" fillId="13" borderId="209" xfId="0" applyFont="1" applyFill="1" applyBorder="1" applyAlignment="1">
      <alignment horizontal="center"/>
    </xf>
    <xf numFmtId="0" fontId="63" fillId="5" borderId="210" xfId="0" applyFont="1" applyFill="1" applyBorder="1" applyAlignment="1">
      <alignment horizontal="right"/>
    </xf>
    <xf numFmtId="10" fontId="63" fillId="5" borderId="211" xfId="0" applyNumberFormat="1" applyFont="1" applyFill="1" applyBorder="1"/>
    <xf numFmtId="0" fontId="52" fillId="46" borderId="102" xfId="0" applyFont="1" applyFill="1" applyBorder="1" applyAlignment="1">
      <alignment horizontal="center" vertical="center"/>
    </xf>
    <xf numFmtId="0" fontId="52" fillId="46" borderId="212" xfId="0" applyFont="1" applyFill="1" applyBorder="1" applyAlignment="1">
      <alignment horizontal="center" vertical="center"/>
    </xf>
    <xf numFmtId="0" fontId="64" fillId="14" borderId="34" xfId="2" applyFont="1" applyFill="1" applyBorder="1" applyAlignment="1" applyProtection="1">
      <alignment horizontal="center" vertical="center"/>
      <protection locked="0"/>
    </xf>
    <xf numFmtId="0" fontId="64" fillId="14" borderId="48" xfId="2" applyFont="1" applyFill="1" applyBorder="1" applyAlignment="1" applyProtection="1">
      <alignment horizontal="center" vertical="center"/>
      <protection locked="0"/>
    </xf>
    <xf numFmtId="0" fontId="54" fillId="67" borderId="35" xfId="2" applyFont="1" applyFill="1" applyBorder="1" applyAlignment="1" applyProtection="1">
      <alignment horizontal="center" vertical="center"/>
      <protection locked="0"/>
    </xf>
    <xf numFmtId="0" fontId="64" fillId="14" borderId="64" xfId="2" applyFont="1" applyFill="1" applyBorder="1" applyAlignment="1" applyProtection="1">
      <alignment horizontal="center" vertical="center"/>
      <protection locked="0"/>
    </xf>
    <xf numFmtId="0" fontId="54" fillId="67" borderId="36" xfId="2" applyFont="1" applyFill="1" applyBorder="1" applyAlignment="1" applyProtection="1">
      <alignment horizontal="center" vertical="center"/>
      <protection locked="0"/>
    </xf>
    <xf numFmtId="0" fontId="54" fillId="67" borderId="37" xfId="2" applyFont="1" applyFill="1" applyBorder="1" applyAlignment="1" applyProtection="1">
      <alignment horizontal="center" vertical="center"/>
      <protection locked="0"/>
    </xf>
    <xf numFmtId="0" fontId="39" fillId="0" borderId="75" xfId="2" applyFont="1" applyBorder="1" applyAlignment="1">
      <alignment horizontal="center" vertical="center"/>
    </xf>
    <xf numFmtId="0" fontId="68" fillId="0" borderId="0" xfId="2" applyFont="1" applyAlignment="1">
      <alignment vertical="center"/>
    </xf>
    <xf numFmtId="0" fontId="6" fillId="6" borderId="102" xfId="0" applyFont="1" applyFill="1" applyBorder="1" applyProtection="1">
      <protection hidden="1"/>
    </xf>
    <xf numFmtId="0" fontId="0" fillId="11" borderId="48" xfId="0" applyFill="1" applyBorder="1"/>
    <xf numFmtId="0" fontId="0" fillId="11" borderId="49" xfId="0" applyFill="1" applyBorder="1"/>
    <xf numFmtId="0" fontId="0" fillId="11" borderId="50" xfId="0" applyFill="1" applyBorder="1"/>
    <xf numFmtId="0" fontId="0" fillId="11" borderId="57" xfId="0" applyFill="1" applyBorder="1"/>
    <xf numFmtId="0" fontId="0" fillId="11" borderId="51" xfId="0" applyFill="1" applyBorder="1"/>
    <xf numFmtId="165" fontId="0" fillId="11" borderId="70" xfId="0" applyNumberFormat="1" applyFill="1" applyBorder="1" applyAlignment="1">
      <alignment horizontal="center" vertical="center"/>
    </xf>
    <xf numFmtId="165" fontId="0" fillId="11" borderId="52" xfId="0" applyNumberFormat="1" applyFill="1" applyBorder="1" applyAlignment="1">
      <alignment horizontal="center" vertical="center"/>
    </xf>
    <xf numFmtId="165" fontId="0" fillId="11" borderId="53" xfId="0" applyNumberFormat="1" applyFill="1" applyBorder="1" applyAlignment="1">
      <alignment horizontal="center" vertical="center"/>
    </xf>
    <xf numFmtId="0" fontId="0" fillId="11" borderId="64" xfId="0" applyFill="1" applyBorder="1"/>
    <xf numFmtId="0" fontId="0" fillId="11" borderId="46" xfId="0" applyFill="1" applyBorder="1"/>
    <xf numFmtId="0" fontId="0" fillId="11" borderId="60" xfId="0" applyFill="1" applyBorder="1"/>
    <xf numFmtId="0" fontId="0" fillId="11" borderId="56" xfId="0" applyFill="1" applyBorder="1"/>
    <xf numFmtId="0" fontId="0" fillId="11" borderId="47" xfId="0" applyFill="1" applyBorder="1"/>
    <xf numFmtId="0" fontId="0" fillId="11" borderId="61" xfId="0" applyFill="1" applyBorder="1"/>
    <xf numFmtId="0" fontId="38" fillId="31" borderId="214" xfId="0" applyFont="1" applyFill="1" applyBorder="1" applyProtection="1">
      <protection hidden="1"/>
    </xf>
    <xf numFmtId="0" fontId="38" fillId="32" borderId="215" xfId="0" applyFont="1" applyFill="1" applyBorder="1" applyProtection="1">
      <protection hidden="1"/>
    </xf>
    <xf numFmtId="0" fontId="38" fillId="33" borderId="215" xfId="0" applyFont="1" applyFill="1" applyBorder="1" applyProtection="1">
      <protection hidden="1"/>
    </xf>
    <xf numFmtId="0" fontId="38" fillId="34" borderId="215" xfId="0" applyFont="1" applyFill="1" applyBorder="1" applyProtection="1">
      <protection hidden="1"/>
    </xf>
    <xf numFmtId="0" fontId="38" fillId="35" borderId="215" xfId="0" applyFont="1" applyFill="1" applyBorder="1" applyProtection="1">
      <protection hidden="1"/>
    </xf>
    <xf numFmtId="0" fontId="38" fillId="36" borderId="215" xfId="0" applyFont="1" applyFill="1" applyBorder="1" applyProtection="1">
      <protection hidden="1"/>
    </xf>
    <xf numFmtId="0" fontId="38" fillId="31" borderId="215" xfId="0" applyFont="1" applyFill="1" applyBorder="1" applyProtection="1">
      <protection hidden="1"/>
    </xf>
    <xf numFmtId="0" fontId="40" fillId="37" borderId="213" xfId="0" applyFont="1" applyFill="1" applyBorder="1" applyProtection="1">
      <protection hidden="1"/>
    </xf>
    <xf numFmtId="165" fontId="70" fillId="11" borderId="216" xfId="0" applyNumberFormat="1" applyFont="1" applyFill="1" applyBorder="1" applyAlignment="1">
      <alignment horizontal="center" vertical="center"/>
    </xf>
    <xf numFmtId="165" fontId="70" fillId="11" borderId="217" xfId="0" applyNumberFormat="1" applyFont="1" applyFill="1" applyBorder="1" applyAlignment="1">
      <alignment horizontal="center" vertical="center"/>
    </xf>
    <xf numFmtId="0" fontId="70" fillId="11" borderId="218" xfId="0" applyFont="1" applyFill="1" applyBorder="1"/>
    <xf numFmtId="0" fontId="70" fillId="11" borderId="219" xfId="0" applyFont="1" applyFill="1" applyBorder="1"/>
    <xf numFmtId="0" fontId="70" fillId="11" borderId="220" xfId="0" applyFont="1" applyFill="1" applyBorder="1"/>
    <xf numFmtId="0" fontId="70" fillId="11" borderId="221" xfId="0" applyFont="1" applyFill="1" applyBorder="1"/>
    <xf numFmtId="0" fontId="70" fillId="11" borderId="106" xfId="0" applyFont="1" applyFill="1" applyBorder="1"/>
    <xf numFmtId="0" fontId="70" fillId="11" borderId="222" xfId="0" applyFont="1" applyFill="1" applyBorder="1"/>
    <xf numFmtId="0" fontId="29" fillId="14" borderId="49" xfId="0" applyFont="1" applyFill="1" applyBorder="1" applyAlignment="1" applyProtection="1">
      <alignment horizontal="center" vertical="center"/>
      <protection locked="0"/>
    </xf>
    <xf numFmtId="0" fontId="29" fillId="14" borderId="47" xfId="0" applyFont="1" applyFill="1" applyBorder="1" applyAlignment="1" applyProtection="1">
      <alignment horizontal="center" vertical="center"/>
      <protection locked="0"/>
    </xf>
    <xf numFmtId="0" fontId="11" fillId="46" borderId="98" xfId="0" applyFont="1" applyFill="1" applyBorder="1" applyAlignment="1">
      <alignment vertical="center"/>
    </xf>
    <xf numFmtId="0" fontId="11" fillId="46" borderId="99" xfId="0" applyFont="1" applyFill="1" applyBorder="1" applyAlignment="1">
      <alignment vertical="center"/>
    </xf>
    <xf numFmtId="0" fontId="11" fillId="11" borderId="46" xfId="0" applyFont="1" applyFill="1" applyBorder="1"/>
    <xf numFmtId="0" fontId="11" fillId="11" borderId="48" xfId="0" applyFont="1" applyFill="1" applyBorder="1"/>
    <xf numFmtId="0" fontId="11" fillId="11" borderId="50" xfId="0" applyFont="1" applyFill="1" applyBorder="1"/>
    <xf numFmtId="0" fontId="73" fillId="19" borderId="35" xfId="0" applyFont="1" applyFill="1" applyBorder="1" applyAlignment="1">
      <alignment horizontal="center" vertical="center" wrapText="1"/>
    </xf>
    <xf numFmtId="0" fontId="60" fillId="2" borderId="68" xfId="0" applyFont="1" applyFill="1" applyBorder="1" applyAlignment="1">
      <alignment horizontal="center"/>
    </xf>
    <xf numFmtId="0" fontId="74" fillId="4" borderId="226" xfId="0" applyFont="1" applyFill="1" applyBorder="1" applyAlignment="1">
      <alignment horizontal="right"/>
    </xf>
    <xf numFmtId="10" fontId="60" fillId="2" borderId="67" xfId="0" applyNumberFormat="1" applyFont="1" applyFill="1" applyBorder="1" applyAlignment="1">
      <alignment horizontal="center"/>
    </xf>
    <xf numFmtId="10" fontId="75" fillId="12" borderId="182" xfId="0" applyNumberFormat="1" applyFont="1" applyFill="1" applyBorder="1"/>
    <xf numFmtId="0" fontId="76" fillId="12" borderId="46" xfId="0" applyFont="1" applyFill="1" applyBorder="1" applyAlignment="1" applyProtection="1">
      <alignment horizontal="right"/>
      <protection locked="0"/>
    </xf>
    <xf numFmtId="0" fontId="76" fillId="12" borderId="60" xfId="0" applyFont="1" applyFill="1" applyBorder="1" applyAlignment="1" applyProtection="1">
      <alignment horizontal="right"/>
      <protection locked="0"/>
    </xf>
    <xf numFmtId="3" fontId="77" fillId="12" borderId="65" xfId="0" applyNumberFormat="1" applyFont="1" applyFill="1" applyBorder="1" applyAlignment="1" applyProtection="1">
      <alignment horizontal="right"/>
      <protection locked="0"/>
    </xf>
    <xf numFmtId="3" fontId="77" fillId="12" borderId="91" xfId="0" applyNumberFormat="1" applyFont="1" applyFill="1" applyBorder="1" applyAlignment="1" applyProtection="1">
      <alignment horizontal="right"/>
      <protection locked="0"/>
    </xf>
    <xf numFmtId="10" fontId="78" fillId="12" borderId="50" xfId="0" applyNumberFormat="1" applyFont="1" applyFill="1" applyBorder="1"/>
    <xf numFmtId="10" fontId="78" fillId="12" borderId="61" xfId="0" applyNumberFormat="1" applyFont="1" applyFill="1" applyBorder="1"/>
    <xf numFmtId="10" fontId="78" fillId="12" borderId="51" xfId="0" applyNumberFormat="1" applyFont="1" applyFill="1" applyBorder="1"/>
    <xf numFmtId="165" fontId="11" fillId="21" borderId="76" xfId="0" applyNumberFormat="1" applyFont="1" applyFill="1" applyBorder="1" applyAlignment="1">
      <alignment horizontal="center" vertical="center"/>
    </xf>
    <xf numFmtId="0" fontId="11" fillId="21" borderId="72" xfId="0" applyFont="1" applyFill="1" applyBorder="1" applyAlignment="1">
      <alignment horizontal="center" vertical="center"/>
    </xf>
    <xf numFmtId="10" fontId="79" fillId="9" borderId="112" xfId="1" applyNumberFormat="1" applyFont="1" applyFill="1" applyBorder="1" applyAlignment="1">
      <alignment horizontal="center" vertical="center"/>
    </xf>
    <xf numFmtId="0" fontId="71" fillId="0" borderId="0" xfId="0" applyFont="1"/>
    <xf numFmtId="165" fontId="11" fillId="21" borderId="185" xfId="0" applyNumberFormat="1" applyFont="1" applyFill="1" applyBorder="1" applyAlignment="1">
      <alignment horizontal="center" vertical="center"/>
    </xf>
    <xf numFmtId="0" fontId="11" fillId="20" borderId="105" xfId="0" applyFont="1" applyFill="1" applyBorder="1" applyAlignment="1" applyProtection="1">
      <alignment horizontal="center" vertical="center"/>
      <protection locked="0"/>
    </xf>
    <xf numFmtId="10" fontId="79" fillId="9" borderId="54" xfId="1" applyNumberFormat="1" applyFont="1" applyFill="1" applyBorder="1" applyAlignment="1">
      <alignment horizontal="center" vertical="center"/>
    </xf>
    <xf numFmtId="165" fontId="71" fillId="9" borderId="70" xfId="0" applyNumberFormat="1" applyFont="1" applyFill="1" applyBorder="1" applyAlignment="1">
      <alignment horizontal="center" vertical="center"/>
    </xf>
    <xf numFmtId="0" fontId="71" fillId="9" borderId="47" xfId="0" applyFont="1" applyFill="1" applyBorder="1" applyAlignment="1">
      <alignment horizontal="center" vertical="center"/>
    </xf>
    <xf numFmtId="165" fontId="71" fillId="9" borderId="52" xfId="0" applyNumberFormat="1" applyFont="1" applyFill="1" applyBorder="1" applyAlignment="1">
      <alignment horizontal="center" vertical="center"/>
    </xf>
    <xf numFmtId="0" fontId="71" fillId="9" borderId="49" xfId="0" applyFont="1" applyFill="1" applyBorder="1" applyAlignment="1">
      <alignment horizontal="center" vertical="center"/>
    </xf>
    <xf numFmtId="165" fontId="71" fillId="9" borderId="53" xfId="0" applyNumberFormat="1" applyFont="1" applyFill="1" applyBorder="1" applyAlignment="1">
      <alignment horizontal="center" vertical="center"/>
    </xf>
    <xf numFmtId="0" fontId="71" fillId="9" borderId="51" xfId="0" applyFont="1" applyFill="1" applyBorder="1" applyAlignment="1">
      <alignment horizontal="center" vertical="center"/>
    </xf>
    <xf numFmtId="165" fontId="80" fillId="21" borderId="191" xfId="0" applyNumberFormat="1" applyFont="1" applyFill="1" applyBorder="1" applyAlignment="1">
      <alignment horizontal="center" vertical="center"/>
    </xf>
    <xf numFmtId="0" fontId="80" fillId="22" borderId="163" xfId="0" applyFont="1" applyFill="1" applyBorder="1" applyAlignment="1" applyProtection="1">
      <alignment horizontal="center" vertical="center"/>
      <protection locked="0"/>
    </xf>
    <xf numFmtId="10" fontId="81" fillId="9" borderId="164" xfId="1" applyNumberFormat="1" applyFont="1" applyFill="1" applyBorder="1" applyAlignment="1">
      <alignment horizontal="center" vertical="center"/>
    </xf>
    <xf numFmtId="0" fontId="71" fillId="0" borderId="166" xfId="0" applyFont="1" applyBorder="1"/>
    <xf numFmtId="165" fontId="81" fillId="9" borderId="171" xfId="0" applyNumberFormat="1" applyFont="1" applyFill="1" applyBorder="1" applyAlignment="1">
      <alignment horizontal="center" vertical="center"/>
    </xf>
    <xf numFmtId="0" fontId="81" fillId="9" borderId="167" xfId="0" applyFont="1" applyFill="1" applyBorder="1" applyAlignment="1">
      <alignment horizontal="center" vertical="center"/>
    </xf>
    <xf numFmtId="165" fontId="80" fillId="21" borderId="182" xfId="0" applyNumberFormat="1" applyFont="1" applyFill="1" applyBorder="1" applyAlignment="1">
      <alignment horizontal="center" vertical="center"/>
    </xf>
    <xf numFmtId="0" fontId="80" fillId="22" borderId="165" xfId="0" applyFont="1" applyFill="1" applyBorder="1" applyAlignment="1" applyProtection="1">
      <alignment horizontal="center" vertical="center"/>
      <protection locked="0"/>
    </xf>
    <xf numFmtId="10" fontId="81" fillId="9" borderId="168" xfId="1" applyNumberFormat="1" applyFont="1" applyFill="1" applyBorder="1" applyAlignment="1">
      <alignment horizontal="center" vertical="center"/>
    </xf>
    <xf numFmtId="165" fontId="81" fillId="9" borderId="172" xfId="0" applyNumberFormat="1" applyFont="1" applyFill="1" applyBorder="1" applyAlignment="1">
      <alignment horizontal="center" vertical="center"/>
    </xf>
    <xf numFmtId="0" fontId="81" fillId="9" borderId="170" xfId="0" applyFont="1" applyFill="1" applyBorder="1" applyAlignment="1">
      <alignment horizontal="center" vertical="center"/>
    </xf>
    <xf numFmtId="0" fontId="31" fillId="21" borderId="76" xfId="0" applyFont="1" applyFill="1" applyBorder="1" applyAlignment="1">
      <alignment horizontal="center" vertical="center"/>
    </xf>
    <xf numFmtId="0" fontId="31" fillId="21" borderId="72" xfId="0" applyFont="1" applyFill="1" applyBorder="1" applyAlignment="1">
      <alignment horizontal="center" vertical="center" wrapText="1"/>
    </xf>
    <xf numFmtId="0" fontId="65" fillId="9" borderId="55" xfId="0" applyFont="1" applyFill="1" applyBorder="1" applyAlignment="1">
      <alignment horizontal="center" vertical="center"/>
    </xf>
    <xf numFmtId="0" fontId="52" fillId="46" borderId="76" xfId="0" applyFont="1" applyFill="1" applyBorder="1" applyAlignment="1">
      <alignment horizontal="center" vertical="center"/>
    </xf>
    <xf numFmtId="3" fontId="6" fillId="12" borderId="76" xfId="0" applyNumberFormat="1" applyFont="1" applyFill="1" applyBorder="1" applyAlignment="1">
      <alignment horizontal="center" vertical="center"/>
    </xf>
    <xf numFmtId="3" fontId="6" fillId="12" borderId="40" xfId="0" applyNumberFormat="1" applyFont="1" applyFill="1" applyBorder="1" applyAlignment="1">
      <alignment horizontal="center" vertical="center"/>
    </xf>
    <xf numFmtId="3" fontId="6" fillId="12" borderId="227" xfId="0" applyNumberFormat="1" applyFont="1" applyFill="1" applyBorder="1" applyAlignment="1">
      <alignment horizontal="center" vertical="center"/>
    </xf>
    <xf numFmtId="3" fontId="60" fillId="17" borderId="138" xfId="0" applyNumberFormat="1" applyFont="1" applyFill="1" applyBorder="1" applyAlignment="1">
      <alignment horizontal="right"/>
    </xf>
    <xf numFmtId="10" fontId="60" fillId="12" borderId="224" xfId="0" applyNumberFormat="1" applyFont="1" applyFill="1" applyBorder="1"/>
    <xf numFmtId="3" fontId="6" fillId="9" borderId="48" xfId="0" applyNumberFormat="1" applyFont="1" applyFill="1" applyBorder="1" applyAlignment="1">
      <alignment horizontal="center"/>
    </xf>
    <xf numFmtId="3" fontId="6" fillId="9" borderId="49" xfId="0" applyNumberFormat="1" applyFont="1" applyFill="1" applyBorder="1" applyAlignment="1">
      <alignment horizontal="center"/>
    </xf>
    <xf numFmtId="10" fontId="59" fillId="12" borderId="51" xfId="0" applyNumberFormat="1" applyFont="1" applyFill="1" applyBorder="1"/>
    <xf numFmtId="0" fontId="52" fillId="46" borderId="122" xfId="0" applyFont="1" applyFill="1" applyBorder="1" applyAlignment="1">
      <alignment horizontal="center" vertical="center"/>
    </xf>
    <xf numFmtId="0" fontId="52" fillId="46" borderId="112" xfId="0" applyFont="1" applyFill="1" applyBorder="1" applyAlignment="1">
      <alignment horizontal="center" vertical="center"/>
    </xf>
    <xf numFmtId="3" fontId="59" fillId="17" borderId="91" xfId="0" applyNumberFormat="1" applyFont="1" applyFill="1" applyBorder="1" applyAlignment="1">
      <alignment horizontal="right"/>
    </xf>
    <xf numFmtId="3" fontId="6" fillId="9" borderId="46" xfId="0" applyNumberFormat="1" applyFont="1" applyFill="1" applyBorder="1" applyAlignment="1">
      <alignment horizontal="center"/>
    </xf>
    <xf numFmtId="3" fontId="6" fillId="9" borderId="47" xfId="0" applyNumberFormat="1" applyFont="1" applyFill="1" applyBorder="1" applyAlignment="1">
      <alignment horizontal="center"/>
    </xf>
    <xf numFmtId="3" fontId="6" fillId="9" borderId="50" xfId="0" applyNumberFormat="1" applyFont="1" applyFill="1" applyBorder="1" applyAlignment="1">
      <alignment horizontal="center"/>
    </xf>
    <xf numFmtId="3" fontId="6" fillId="9" borderId="51" xfId="0" applyNumberFormat="1" applyFont="1" applyFill="1" applyBorder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52" fillId="53" borderId="228" xfId="0" applyFont="1" applyFill="1" applyBorder="1" applyAlignment="1">
      <alignment horizontal="center" vertical="center" wrapText="1"/>
    </xf>
    <xf numFmtId="0" fontId="64" fillId="23" borderId="69" xfId="2" applyFont="1" applyFill="1" applyBorder="1" applyAlignment="1">
      <alignment horizontal="center" vertical="center" wrapText="1"/>
    </xf>
    <xf numFmtId="0" fontId="64" fillId="23" borderId="108" xfId="2" applyFont="1" applyFill="1" applyBorder="1" applyAlignment="1">
      <alignment horizontal="center" vertical="center" wrapText="1"/>
    </xf>
    <xf numFmtId="0" fontId="64" fillId="23" borderId="122" xfId="2" applyFont="1" applyFill="1" applyBorder="1" applyAlignment="1">
      <alignment horizontal="center" vertical="center" wrapText="1"/>
    </xf>
    <xf numFmtId="0" fontId="64" fillId="23" borderId="112" xfId="2" applyFont="1" applyFill="1" applyBorder="1" applyAlignment="1">
      <alignment horizontal="center" vertical="center" wrapText="1"/>
    </xf>
    <xf numFmtId="0" fontId="82" fillId="14" borderId="70" xfId="2" applyFont="1" applyFill="1" applyBorder="1" applyAlignment="1" applyProtection="1">
      <alignment horizontal="center" vertical="center"/>
      <protection locked="0"/>
    </xf>
    <xf numFmtId="0" fontId="82" fillId="14" borderId="56" xfId="2" applyFont="1" applyFill="1" applyBorder="1" applyAlignment="1" applyProtection="1">
      <alignment horizontal="center" vertical="center"/>
      <protection locked="0"/>
    </xf>
    <xf numFmtId="0" fontId="82" fillId="14" borderId="46" xfId="2" applyFont="1" applyFill="1" applyBorder="1" applyAlignment="1" applyProtection="1">
      <alignment horizontal="center" vertical="center"/>
      <protection locked="0"/>
    </xf>
    <xf numFmtId="0" fontId="82" fillId="14" borderId="47" xfId="2" applyFont="1" applyFill="1" applyBorder="1" applyAlignment="1" applyProtection="1">
      <alignment horizontal="center" vertical="center"/>
      <protection locked="0"/>
    </xf>
    <xf numFmtId="0" fontId="83" fillId="66" borderId="80" xfId="2" applyFont="1" applyFill="1" applyBorder="1" applyAlignment="1" applyProtection="1">
      <alignment horizontal="center" vertical="center"/>
      <protection locked="0"/>
    </xf>
    <xf numFmtId="0" fontId="83" fillId="66" borderId="207" xfId="2" applyFont="1" applyFill="1" applyBorder="1" applyAlignment="1" applyProtection="1">
      <alignment horizontal="center" vertical="center"/>
      <protection locked="0"/>
    </xf>
    <xf numFmtId="0" fontId="83" fillId="66" borderId="54" xfId="2" applyFont="1" applyFill="1" applyBorder="1" applyAlignment="1" applyProtection="1">
      <alignment horizontal="center" vertical="center"/>
      <protection locked="0"/>
    </xf>
    <xf numFmtId="0" fontId="83" fillId="66" borderId="50" xfId="2" applyFont="1" applyFill="1" applyBorder="1" applyAlignment="1" applyProtection="1">
      <alignment horizontal="center" vertical="center"/>
      <protection locked="0"/>
    </xf>
    <xf numFmtId="0" fontId="83" fillId="66" borderId="61" xfId="2" applyFont="1" applyFill="1" applyBorder="1" applyAlignment="1" applyProtection="1">
      <alignment horizontal="center" vertical="center"/>
      <protection locked="0"/>
    </xf>
    <xf numFmtId="0" fontId="83" fillId="66" borderId="51" xfId="2" applyFont="1" applyFill="1" applyBorder="1" applyAlignment="1" applyProtection="1">
      <alignment horizontal="center" vertical="center"/>
      <protection locked="0"/>
    </xf>
    <xf numFmtId="0" fontId="84" fillId="53" borderId="228" xfId="0" applyFont="1" applyFill="1" applyBorder="1" applyAlignment="1">
      <alignment horizontal="center" vertical="center" wrapText="1"/>
    </xf>
    <xf numFmtId="0" fontId="72" fillId="9" borderId="55" xfId="2" applyFont="1" applyFill="1" applyBorder="1" applyAlignment="1">
      <alignment horizontal="center" vertical="center"/>
    </xf>
    <xf numFmtId="0" fontId="72" fillId="9" borderId="35" xfId="2" applyFont="1" applyFill="1" applyBorder="1" applyAlignment="1">
      <alignment horizontal="center" vertical="center"/>
    </xf>
    <xf numFmtId="0" fontId="67" fillId="19" borderId="173" xfId="2" applyFont="1" applyFill="1" applyBorder="1" applyAlignment="1">
      <alignment horizontal="center" vertical="center"/>
    </xf>
    <xf numFmtId="0" fontId="67" fillId="19" borderId="198" xfId="2" applyFont="1" applyFill="1" applyBorder="1" applyAlignment="1">
      <alignment horizontal="center" vertical="center" wrapText="1"/>
    </xf>
    <xf numFmtId="0" fontId="67" fillId="2" borderId="173" xfId="2" applyFont="1" applyFill="1" applyBorder="1" applyAlignment="1">
      <alignment horizontal="center" vertical="center"/>
    </xf>
    <xf numFmtId="0" fontId="67" fillId="2" borderId="198" xfId="2" applyFont="1" applyFill="1" applyBorder="1" applyAlignment="1">
      <alignment horizontal="center" vertical="center" wrapText="1"/>
    </xf>
    <xf numFmtId="0" fontId="54" fillId="67" borderId="63" xfId="2" applyFont="1" applyFill="1" applyBorder="1" applyAlignment="1" applyProtection="1">
      <alignment horizontal="center" vertical="center"/>
      <protection locked="0"/>
    </xf>
    <xf numFmtId="0" fontId="64" fillId="14" borderId="234" xfId="2" applyFont="1" applyFill="1" applyBorder="1" applyAlignment="1" applyProtection="1">
      <alignment horizontal="center" vertical="center"/>
      <protection locked="0"/>
    </xf>
    <xf numFmtId="0" fontId="64" fillId="14" borderId="206" xfId="2" applyFont="1" applyFill="1" applyBorder="1" applyAlignment="1" applyProtection="1">
      <alignment horizontal="center" vertical="center"/>
      <protection locked="0"/>
    </xf>
    <xf numFmtId="0" fontId="64" fillId="14" borderId="235" xfId="2" applyFont="1" applyFill="1" applyBorder="1" applyAlignment="1" applyProtection="1">
      <alignment horizontal="center" vertical="center"/>
      <protection locked="0"/>
    </xf>
    <xf numFmtId="0" fontId="68" fillId="0" borderId="0" xfId="2" applyFont="1" applyAlignment="1">
      <alignment horizontal="center" vertical="center"/>
    </xf>
    <xf numFmtId="0" fontId="85" fillId="0" borderId="0" xfId="0" applyFont="1"/>
    <xf numFmtId="164" fontId="86" fillId="0" borderId="0" xfId="0" applyNumberFormat="1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 vertical="center"/>
      <protection locked="0"/>
    </xf>
    <xf numFmtId="0" fontId="88" fillId="0" borderId="0" xfId="0" applyFont="1" applyAlignment="1">
      <alignment horizontal="center"/>
    </xf>
    <xf numFmtId="0" fontId="87" fillId="26" borderId="102" xfId="0" applyFont="1" applyFill="1" applyBorder="1" applyAlignment="1">
      <alignment horizontal="center" vertical="center"/>
    </xf>
    <xf numFmtId="0" fontId="87" fillId="26" borderId="108" xfId="0" applyFont="1" applyFill="1" applyBorder="1" applyAlignment="1">
      <alignment horizontal="center" vertical="center"/>
    </xf>
    <xf numFmtId="0" fontId="90" fillId="26" borderId="110" xfId="0" applyFont="1" applyFill="1" applyBorder="1" applyAlignment="1">
      <alignment horizontal="center" vertical="center"/>
    </xf>
    <xf numFmtId="0" fontId="87" fillId="16" borderId="188" xfId="0" applyFont="1" applyFill="1" applyBorder="1" applyAlignment="1">
      <alignment horizontal="center"/>
    </xf>
    <xf numFmtId="0" fontId="87" fillId="16" borderId="47" xfId="0" applyFont="1" applyFill="1" applyBorder="1" applyAlignment="1">
      <alignment horizontal="center"/>
    </xf>
    <xf numFmtId="3" fontId="87" fillId="16" borderId="138" xfId="0" applyNumberFormat="1" applyFont="1" applyFill="1" applyBorder="1" applyAlignment="1">
      <alignment horizontal="center"/>
    </xf>
    <xf numFmtId="3" fontId="87" fillId="16" borderId="58" xfId="0" applyNumberFormat="1" applyFont="1" applyFill="1" applyBorder="1" applyAlignment="1">
      <alignment horizontal="center"/>
    </xf>
    <xf numFmtId="0" fontId="92" fillId="13" borderId="137" xfId="0" applyFont="1" applyFill="1" applyBorder="1" applyAlignment="1">
      <alignment horizontal="center"/>
    </xf>
    <xf numFmtId="0" fontId="92" fillId="13" borderId="213" xfId="0" applyFont="1" applyFill="1" applyBorder="1" applyAlignment="1">
      <alignment horizontal="center"/>
    </xf>
    <xf numFmtId="3" fontId="93" fillId="10" borderId="229" xfId="0" applyNumberFormat="1" applyFont="1" applyFill="1" applyBorder="1" applyAlignment="1">
      <alignment horizontal="center"/>
    </xf>
    <xf numFmtId="3" fontId="93" fillId="10" borderId="232" xfId="0" applyNumberFormat="1" applyFont="1" applyFill="1" applyBorder="1" applyAlignment="1">
      <alignment horizontal="center"/>
    </xf>
    <xf numFmtId="0" fontId="93" fillId="10" borderId="194" xfId="0" applyFont="1" applyFill="1" applyBorder="1" applyAlignment="1">
      <alignment horizontal="center"/>
    </xf>
    <xf numFmtId="0" fontId="87" fillId="30" borderId="8" xfId="0" applyFont="1" applyFill="1" applyBorder="1" applyAlignment="1">
      <alignment horizontal="center"/>
    </xf>
    <xf numFmtId="0" fontId="87" fillId="30" borderId="6" xfId="0" applyFont="1" applyFill="1" applyBorder="1" applyAlignment="1">
      <alignment horizontal="center"/>
    </xf>
    <xf numFmtId="3" fontId="87" fillId="11" borderId="183" xfId="0" applyNumberFormat="1" applyFont="1" applyFill="1" applyBorder="1" applyAlignment="1">
      <alignment horizontal="center" vertical="center" wrapText="1"/>
    </xf>
    <xf numFmtId="3" fontId="92" fillId="9" borderId="46" xfId="0" applyNumberFormat="1" applyFont="1" applyFill="1" applyBorder="1" applyAlignment="1">
      <alignment horizontal="center"/>
    </xf>
    <xf numFmtId="166" fontId="92" fillId="9" borderId="47" xfId="1" applyNumberFormat="1" applyFont="1" applyFill="1" applyBorder="1" applyAlignment="1">
      <alignment horizontal="center"/>
    </xf>
    <xf numFmtId="9" fontId="94" fillId="19" borderId="183" xfId="1" applyFont="1" applyFill="1" applyBorder="1"/>
    <xf numFmtId="0" fontId="87" fillId="16" borderId="68" xfId="0" applyFont="1" applyFill="1" applyBorder="1" applyAlignment="1">
      <alignment horizontal="center"/>
    </xf>
    <xf numFmtId="0" fontId="87" fillId="16" borderId="49" xfId="0" applyFont="1" applyFill="1" applyBorder="1" applyAlignment="1">
      <alignment horizontal="center"/>
    </xf>
    <xf numFmtId="0" fontId="87" fillId="16" borderId="223" xfId="0" applyFont="1" applyFill="1" applyBorder="1" applyAlignment="1">
      <alignment horizontal="center"/>
    </xf>
    <xf numFmtId="0" fontId="87" fillId="16" borderId="200" xfId="0" applyFont="1" applyFill="1" applyBorder="1" applyAlignment="1">
      <alignment horizontal="center"/>
    </xf>
    <xf numFmtId="0" fontId="92" fillId="13" borderId="147" xfId="0" applyFont="1" applyFill="1" applyBorder="1" applyAlignment="1">
      <alignment horizontal="center"/>
    </xf>
    <xf numFmtId="0" fontId="92" fillId="13" borderId="208" xfId="0" applyFont="1" applyFill="1" applyBorder="1" applyAlignment="1">
      <alignment horizontal="center"/>
    </xf>
    <xf numFmtId="0" fontId="95" fillId="10" borderId="230" xfId="0" applyFont="1" applyFill="1" applyBorder="1" applyAlignment="1">
      <alignment horizontal="center"/>
    </xf>
    <xf numFmtId="0" fontId="95" fillId="10" borderId="195" xfId="0" applyFont="1" applyFill="1" applyBorder="1" applyAlignment="1">
      <alignment horizontal="center"/>
    </xf>
    <xf numFmtId="3" fontId="87" fillId="11" borderId="37" xfId="0" applyNumberFormat="1" applyFont="1" applyFill="1" applyBorder="1" applyAlignment="1">
      <alignment horizontal="center" vertical="center" wrapText="1"/>
    </xf>
    <xf numFmtId="3" fontId="92" fillId="9" borderId="48" xfId="0" applyNumberFormat="1" applyFont="1" applyFill="1" applyBorder="1" applyAlignment="1">
      <alignment horizontal="center"/>
    </xf>
    <xf numFmtId="166" fontId="92" fillId="9" borderId="49" xfId="1" applyNumberFormat="1" applyFont="1" applyFill="1" applyBorder="1" applyAlignment="1">
      <alignment horizontal="center"/>
    </xf>
    <xf numFmtId="0" fontId="87" fillId="16" borderId="67" xfId="0" applyFont="1" applyFill="1" applyBorder="1" applyAlignment="1">
      <alignment horizontal="center"/>
    </xf>
    <xf numFmtId="0" fontId="87" fillId="16" borderId="51" xfId="0" applyFont="1" applyFill="1" applyBorder="1" applyAlignment="1">
      <alignment horizontal="center"/>
    </xf>
    <xf numFmtId="0" fontId="87" fillId="16" borderId="224" xfId="0" applyFont="1" applyFill="1" applyBorder="1" applyAlignment="1">
      <alignment horizontal="center"/>
    </xf>
    <xf numFmtId="0" fontId="87" fillId="16" borderId="59" xfId="0" applyFont="1" applyFill="1" applyBorder="1" applyAlignment="1">
      <alignment horizontal="center"/>
    </xf>
    <xf numFmtId="0" fontId="95" fillId="10" borderId="231" xfId="0" applyFont="1" applyFill="1" applyBorder="1" applyAlignment="1">
      <alignment horizontal="center"/>
    </xf>
    <xf numFmtId="0" fontId="95" fillId="10" borderId="196" xfId="0" applyFont="1" applyFill="1" applyBorder="1" applyAlignment="1">
      <alignment horizontal="center"/>
    </xf>
    <xf numFmtId="3" fontId="87" fillId="11" borderId="42" xfId="0" applyNumberFormat="1" applyFont="1" applyFill="1" applyBorder="1" applyAlignment="1">
      <alignment horizontal="center" vertical="center" wrapText="1"/>
    </xf>
    <xf numFmtId="3" fontId="92" fillId="9" borderId="50" xfId="0" applyNumberFormat="1" applyFont="1" applyFill="1" applyBorder="1" applyAlignment="1">
      <alignment horizontal="center"/>
    </xf>
    <xf numFmtId="166" fontId="92" fillId="9" borderId="51" xfId="1" applyNumberFormat="1" applyFont="1" applyFill="1" applyBorder="1" applyAlignment="1">
      <alignment horizontal="center"/>
    </xf>
    <xf numFmtId="9" fontId="94" fillId="19" borderId="233" xfId="1" applyFont="1" applyFill="1" applyBorder="1"/>
    <xf numFmtId="3" fontId="96" fillId="16" borderId="60" xfId="0" applyNumberFormat="1" applyFont="1" applyFill="1" applyBorder="1" applyAlignment="1">
      <alignment horizontal="center" vertical="center"/>
    </xf>
    <xf numFmtId="3" fontId="96" fillId="16" borderId="58" xfId="0" applyNumberFormat="1" applyFont="1" applyFill="1" applyBorder="1" applyAlignment="1">
      <alignment horizontal="center" vertical="center"/>
    </xf>
    <xf numFmtId="0" fontId="98" fillId="13" borderId="70" xfId="0" applyFont="1" applyFill="1" applyBorder="1" applyAlignment="1">
      <alignment horizontal="center" vertical="center"/>
    </xf>
    <xf numFmtId="0" fontId="98" fillId="13" borderId="47" xfId="0" applyFont="1" applyFill="1" applyBorder="1" applyAlignment="1">
      <alignment horizontal="center" vertical="center"/>
    </xf>
    <xf numFmtId="3" fontId="100" fillId="61" borderId="43" xfId="0" applyNumberFormat="1" applyFont="1" applyFill="1" applyBorder="1" applyAlignment="1">
      <alignment horizontal="center" vertical="center"/>
    </xf>
    <xf numFmtId="3" fontId="100" fillId="60" borderId="102" xfId="0" applyNumberFormat="1" applyFont="1" applyFill="1" applyBorder="1" applyAlignment="1">
      <alignment horizontal="center" vertical="center"/>
    </xf>
    <xf numFmtId="10" fontId="100" fillId="59" borderId="35" xfId="1" applyNumberFormat="1" applyFont="1" applyFill="1" applyBorder="1" applyAlignment="1">
      <alignment horizontal="center" vertical="center"/>
    </xf>
    <xf numFmtId="9" fontId="94" fillId="19" borderId="35" xfId="1" applyFont="1" applyFill="1" applyBorder="1"/>
    <xf numFmtId="10" fontId="96" fillId="16" borderId="236" xfId="1" applyNumberFormat="1" applyFont="1" applyFill="1" applyBorder="1" applyAlignment="1">
      <alignment horizontal="center" vertical="center"/>
    </xf>
    <xf numFmtId="10" fontId="98" fillId="13" borderId="235" xfId="1" applyNumberFormat="1" applyFont="1" applyFill="1" applyBorder="1" applyAlignment="1">
      <alignment horizontal="center" vertical="center"/>
    </xf>
    <xf numFmtId="10" fontId="98" fillId="13" borderId="211" xfId="1" applyNumberFormat="1" applyFont="1" applyFill="1" applyBorder="1" applyAlignment="1">
      <alignment horizontal="center" vertical="center"/>
    </xf>
    <xf numFmtId="0" fontId="85" fillId="0" borderId="0" xfId="0" applyFont="1" applyFill="1"/>
    <xf numFmtId="0" fontId="100" fillId="0" borderId="0" xfId="0" applyFont="1" applyFill="1" applyBorder="1" applyAlignment="1">
      <alignment horizontal="center" vertical="center"/>
    </xf>
    <xf numFmtId="3" fontId="100" fillId="0" borderId="0" xfId="0" applyNumberFormat="1" applyFont="1" applyFill="1" applyBorder="1" applyAlignment="1">
      <alignment horizontal="center" vertical="center"/>
    </xf>
    <xf numFmtId="10" fontId="100" fillId="0" borderId="0" xfId="1" applyNumberFormat="1" applyFont="1" applyFill="1" applyBorder="1" applyAlignment="1">
      <alignment horizontal="center" vertical="center"/>
    </xf>
    <xf numFmtId="9" fontId="94" fillId="0" borderId="0" xfId="1" applyFont="1" applyFill="1" applyBorder="1"/>
    <xf numFmtId="167" fontId="97" fillId="0" borderId="0" xfId="0" applyNumberFormat="1" applyFont="1" applyFill="1" applyAlignment="1">
      <alignment horizontal="center" vertical="center"/>
    </xf>
    <xf numFmtId="167" fontId="97" fillId="0" borderId="0" xfId="0" applyNumberFormat="1" applyFont="1" applyAlignment="1">
      <alignment horizontal="center" vertical="center"/>
    </xf>
    <xf numFmtId="0" fontId="87" fillId="0" borderId="0" xfId="0" applyFont="1"/>
    <xf numFmtId="10" fontId="0" fillId="14" borderId="34" xfId="0" applyNumberFormat="1" applyFill="1" applyBorder="1" applyProtection="1">
      <protection locked="0"/>
    </xf>
    <xf numFmtId="10" fontId="25" fillId="14" borderId="34" xfId="0" applyNumberFormat="1" applyFont="1" applyFill="1" applyBorder="1" applyProtection="1">
      <protection locked="0"/>
    </xf>
    <xf numFmtId="10" fontId="85" fillId="0" borderId="0" xfId="0" applyNumberFormat="1" applyFont="1"/>
    <xf numFmtId="0" fontId="89" fillId="68" borderId="108" xfId="0" applyFont="1" applyFill="1" applyBorder="1" applyAlignment="1">
      <alignment horizontal="center" vertical="center" wrapText="1"/>
    </xf>
    <xf numFmtId="0" fontId="31" fillId="68" borderId="139" xfId="0" applyFont="1" applyFill="1" applyBorder="1" applyAlignment="1" applyProtection="1">
      <alignment horizontal="center" vertical="center" wrapText="1"/>
      <protection locked="0"/>
    </xf>
    <xf numFmtId="0" fontId="31" fillId="68" borderId="139" xfId="0" applyFont="1" applyFill="1" applyBorder="1" applyAlignment="1">
      <alignment horizontal="center" vertical="center" wrapText="1"/>
    </xf>
    <xf numFmtId="3" fontId="87" fillId="16" borderId="235" xfId="0" applyNumberFormat="1" applyFont="1" applyFill="1" applyBorder="1" applyAlignment="1">
      <alignment horizontal="center" vertical="center"/>
    </xf>
    <xf numFmtId="0" fontId="64" fillId="14" borderId="58" xfId="2" applyFont="1" applyFill="1" applyBorder="1" applyAlignment="1" applyProtection="1">
      <alignment horizontal="center" vertical="center"/>
      <protection locked="0"/>
    </xf>
    <xf numFmtId="0" fontId="64" fillId="14" borderId="200" xfId="2" applyFont="1" applyFill="1" applyBorder="1" applyAlignment="1" applyProtection="1">
      <alignment horizontal="center" vertical="center"/>
      <protection locked="0"/>
    </xf>
    <xf numFmtId="0" fontId="64" fillId="14" borderId="236" xfId="2" applyFont="1" applyFill="1" applyBorder="1" applyAlignment="1" applyProtection="1">
      <alignment horizontal="center" vertical="center"/>
      <protection locked="0"/>
    </xf>
    <xf numFmtId="164" fontId="105" fillId="19" borderId="103" xfId="0" applyNumberFormat="1" applyFont="1" applyFill="1" applyBorder="1" applyAlignment="1">
      <alignment horizontal="center" vertical="center"/>
    </xf>
    <xf numFmtId="0" fontId="105" fillId="19" borderId="104" xfId="0" applyFont="1" applyFill="1" applyBorder="1" applyAlignment="1">
      <alignment horizontal="center" vertical="center"/>
    </xf>
    <xf numFmtId="0" fontId="105" fillId="19" borderId="187" xfId="0" applyFont="1" applyFill="1" applyBorder="1" applyAlignment="1">
      <alignment horizontal="center" vertical="center"/>
    </xf>
    <xf numFmtId="0" fontId="105" fillId="46" borderId="98" xfId="0" applyFont="1" applyFill="1" applyBorder="1" applyAlignment="1">
      <alignment horizontal="center" vertical="center"/>
    </xf>
    <xf numFmtId="0" fontId="105" fillId="46" borderId="99" xfId="0" applyFont="1" applyFill="1" applyBorder="1" applyAlignment="1">
      <alignment horizontal="center" vertical="center"/>
    </xf>
    <xf numFmtId="0" fontId="105" fillId="46" borderId="186" xfId="0" applyFont="1" applyFill="1" applyBorder="1" applyAlignment="1">
      <alignment horizontal="center" vertical="center"/>
    </xf>
    <xf numFmtId="0" fontId="25" fillId="0" borderId="78" xfId="2" applyBorder="1"/>
    <xf numFmtId="0" fontId="102" fillId="65" borderId="198" xfId="2" applyFont="1" applyFill="1" applyBorder="1" applyAlignment="1">
      <alignment horizontal="center" vertical="center"/>
    </xf>
    <xf numFmtId="0" fontId="102" fillId="64" borderId="160" xfId="2" applyFont="1" applyFill="1" applyBorder="1" applyAlignment="1">
      <alignment horizontal="center" vertical="center"/>
    </xf>
    <xf numFmtId="0" fontId="102" fillId="65" borderId="174" xfId="2" applyFont="1" applyFill="1" applyBorder="1" applyAlignment="1">
      <alignment horizontal="center" vertical="center"/>
    </xf>
    <xf numFmtId="0" fontId="102" fillId="64" borderId="243" xfId="2" applyFont="1" applyFill="1" applyBorder="1" applyAlignment="1">
      <alignment horizontal="center" vertical="center"/>
    </xf>
    <xf numFmtId="0" fontId="102" fillId="65" borderId="244" xfId="2" applyFont="1" applyFill="1" applyBorder="1" applyAlignment="1">
      <alignment horizontal="center" vertical="center"/>
    </xf>
    <xf numFmtId="0" fontId="102" fillId="64" borderId="178" xfId="2" applyFont="1" applyFill="1" applyBorder="1" applyAlignment="1">
      <alignment horizontal="center" vertical="center"/>
    </xf>
    <xf numFmtId="0" fontId="102" fillId="64" borderId="198" xfId="2" applyFont="1" applyFill="1" applyBorder="1" applyAlignment="1">
      <alignment horizontal="center" vertical="center"/>
    </xf>
    <xf numFmtId="0" fontId="102" fillId="64" borderId="245" xfId="2" applyFont="1" applyFill="1" applyBorder="1" applyAlignment="1">
      <alignment horizontal="center" vertical="center"/>
    </xf>
    <xf numFmtId="0" fontId="102" fillId="64" borderId="244" xfId="2" applyFont="1" applyFill="1" applyBorder="1" applyAlignment="1">
      <alignment horizontal="center" vertical="center"/>
    </xf>
    <xf numFmtId="0" fontId="102" fillId="64" borderId="246" xfId="2" applyFont="1" applyFill="1" applyBorder="1" applyAlignment="1">
      <alignment horizontal="center" vertical="center"/>
    </xf>
    <xf numFmtId="0" fontId="25" fillId="0" borderId="0" xfId="2" applyBorder="1"/>
    <xf numFmtId="0" fontId="107" fillId="67" borderId="35" xfId="2" applyFont="1" applyFill="1" applyBorder="1" applyAlignment="1" applyProtection="1">
      <alignment horizontal="center" vertical="center"/>
      <protection locked="0"/>
    </xf>
    <xf numFmtId="0" fontId="107" fillId="66" borderId="199" xfId="2" applyFont="1" applyFill="1" applyBorder="1" applyAlignment="1" applyProtection="1">
      <alignment horizontal="center" vertical="center"/>
      <protection locked="0"/>
    </xf>
    <xf numFmtId="0" fontId="107" fillId="66" borderId="122" xfId="2" applyFont="1" applyFill="1" applyBorder="1" applyAlignment="1" applyProtection="1">
      <alignment horizontal="center" vertical="center"/>
      <protection locked="0"/>
    </xf>
    <xf numFmtId="0" fontId="107" fillId="66" borderId="112" xfId="2" applyFont="1" applyFill="1" applyBorder="1" applyAlignment="1" applyProtection="1">
      <alignment horizontal="center" vertical="center"/>
      <protection locked="0"/>
    </xf>
    <xf numFmtId="0" fontId="107" fillId="14" borderId="70" xfId="2" applyFont="1" applyFill="1" applyBorder="1" applyAlignment="1" applyProtection="1">
      <alignment horizontal="center" vertical="center"/>
      <protection locked="0"/>
    </xf>
    <xf numFmtId="0" fontId="107" fillId="14" borderId="56" xfId="2" applyFont="1" applyFill="1" applyBorder="1" applyAlignment="1" applyProtection="1">
      <alignment horizontal="center" vertical="center"/>
      <protection locked="0"/>
    </xf>
    <xf numFmtId="0" fontId="107" fillId="14" borderId="46" xfId="2" applyFont="1" applyFill="1" applyBorder="1" applyAlignment="1" applyProtection="1">
      <alignment horizontal="center" vertical="center"/>
      <protection locked="0"/>
    </xf>
    <xf numFmtId="0" fontId="107" fillId="14" borderId="47" xfId="2" applyFont="1" applyFill="1" applyBorder="1" applyAlignment="1" applyProtection="1">
      <alignment horizontal="center" vertical="center"/>
      <protection locked="0"/>
    </xf>
    <xf numFmtId="0" fontId="107" fillId="66" borderId="50" xfId="2" applyFont="1" applyFill="1" applyBorder="1" applyAlignment="1" applyProtection="1">
      <alignment horizontal="center" vertical="center"/>
      <protection locked="0"/>
    </xf>
    <xf numFmtId="0" fontId="107" fillId="66" borderId="61" xfId="2" applyFont="1" applyFill="1" applyBorder="1" applyAlignment="1" applyProtection="1">
      <alignment horizontal="center" vertical="center"/>
      <protection locked="0"/>
    </xf>
    <xf numFmtId="0" fontId="107" fillId="66" borderId="51" xfId="2" applyFont="1" applyFill="1" applyBorder="1" applyAlignment="1" applyProtection="1">
      <alignment horizontal="center" vertical="center"/>
      <protection locked="0"/>
    </xf>
    <xf numFmtId="0" fontId="107" fillId="67" borderId="36" xfId="2" applyFont="1" applyFill="1" applyBorder="1" applyAlignment="1" applyProtection="1">
      <alignment horizontal="center" vertical="center"/>
      <protection locked="0"/>
    </xf>
    <xf numFmtId="0" fontId="107" fillId="14" borderId="60" xfId="2" applyFont="1" applyFill="1" applyBorder="1" applyAlignment="1" applyProtection="1">
      <alignment horizontal="center" vertical="center"/>
      <protection locked="0"/>
    </xf>
    <xf numFmtId="0" fontId="107" fillId="14" borderId="58" xfId="2" applyFont="1" applyFill="1" applyBorder="1" applyAlignment="1" applyProtection="1">
      <alignment horizontal="center" vertical="center"/>
      <protection locked="0"/>
    </xf>
    <xf numFmtId="0" fontId="107" fillId="67" borderId="38" xfId="2" applyFont="1" applyFill="1" applyBorder="1" applyAlignment="1" applyProtection="1">
      <alignment horizontal="center" vertical="center"/>
      <protection locked="0"/>
    </xf>
    <xf numFmtId="0" fontId="107" fillId="14" borderId="61" xfId="2" applyFont="1" applyFill="1" applyBorder="1" applyAlignment="1" applyProtection="1">
      <alignment horizontal="center" vertical="center"/>
      <protection locked="0"/>
    </xf>
    <xf numFmtId="0" fontId="107" fillId="14" borderId="57" xfId="2" applyFont="1" applyFill="1" applyBorder="1" applyAlignment="1" applyProtection="1">
      <alignment horizontal="center" vertical="center"/>
      <protection locked="0"/>
    </xf>
    <xf numFmtId="0" fontId="107" fillId="14" borderId="50" xfId="2" applyFont="1" applyFill="1" applyBorder="1" applyAlignment="1" applyProtection="1">
      <alignment horizontal="center" vertical="center"/>
      <protection locked="0"/>
    </xf>
    <xf numFmtId="0" fontId="107" fillId="14" borderId="59" xfId="2" applyFont="1" applyFill="1" applyBorder="1" applyAlignment="1" applyProtection="1">
      <alignment horizontal="center" vertical="center"/>
      <protection locked="0"/>
    </xf>
    <xf numFmtId="0" fontId="52" fillId="50" borderId="95" xfId="0" applyFont="1" applyFill="1" applyBorder="1" applyAlignment="1">
      <alignment horizontal="center" vertical="center" wrapText="1"/>
    </xf>
    <xf numFmtId="0" fontId="89" fillId="69" borderId="102" xfId="0" applyFont="1" applyFill="1" applyBorder="1" applyAlignment="1">
      <alignment horizontal="center" vertical="center" wrapText="1"/>
    </xf>
    <xf numFmtId="0" fontId="31" fillId="69" borderId="139" xfId="0" applyFont="1" applyFill="1" applyBorder="1" applyAlignment="1" applyProtection="1">
      <alignment horizontal="center" vertical="center" wrapText="1"/>
      <protection locked="0"/>
    </xf>
    <xf numFmtId="0" fontId="31" fillId="69" borderId="139" xfId="0" applyFont="1" applyFill="1" applyBorder="1" applyAlignment="1">
      <alignment horizontal="center" vertical="center" wrapText="1"/>
    </xf>
    <xf numFmtId="0" fontId="84" fillId="50" borderId="95" xfId="0" applyFont="1" applyFill="1" applyBorder="1" applyAlignment="1">
      <alignment horizontal="center" vertical="center" wrapText="1"/>
    </xf>
    <xf numFmtId="0" fontId="99" fillId="10" borderId="247" xfId="0" applyFont="1" applyFill="1" applyBorder="1" applyAlignment="1">
      <alignment horizontal="center" vertical="center"/>
    </xf>
    <xf numFmtId="0" fontId="110" fillId="55" borderId="193" xfId="0" applyFont="1" applyFill="1" applyBorder="1" applyAlignment="1">
      <alignment horizontal="center" vertical="center"/>
    </xf>
    <xf numFmtId="0" fontId="110" fillId="46" borderId="193" xfId="0" applyFont="1" applyFill="1" applyBorder="1" applyAlignment="1">
      <alignment horizontal="center" vertical="center" wrapText="1"/>
    </xf>
    <xf numFmtId="0" fontId="87" fillId="30" borderId="249" xfId="0" applyFont="1" applyFill="1" applyBorder="1" applyAlignment="1">
      <alignment horizontal="center"/>
    </xf>
    <xf numFmtId="0" fontId="101" fillId="0" borderId="0" xfId="0" applyFont="1" applyBorder="1" applyAlignment="1">
      <alignment vertical="center"/>
    </xf>
    <xf numFmtId="10" fontId="101" fillId="0" borderId="0" xfId="0" applyNumberFormat="1" applyFont="1" applyBorder="1" applyAlignment="1">
      <alignment vertical="center"/>
    </xf>
    <xf numFmtId="0" fontId="87" fillId="30" borderId="0" xfId="0" applyFont="1" applyFill="1" applyBorder="1" applyAlignment="1">
      <alignment horizontal="center"/>
    </xf>
    <xf numFmtId="0" fontId="99" fillId="10" borderId="250" xfId="0" applyFont="1" applyFill="1" applyBorder="1" applyAlignment="1">
      <alignment horizontal="center" vertical="center"/>
    </xf>
    <xf numFmtId="0" fontId="99" fillId="10" borderId="194" xfId="0" applyFont="1" applyFill="1" applyBorder="1" applyAlignment="1">
      <alignment horizontal="center" vertical="center"/>
    </xf>
    <xf numFmtId="10" fontId="99" fillId="10" borderId="251" xfId="1" applyNumberFormat="1" applyFont="1" applyFill="1" applyBorder="1" applyAlignment="1">
      <alignment horizontal="center" vertical="center"/>
    </xf>
    <xf numFmtId="10" fontId="99" fillId="10" borderId="81" xfId="1" applyNumberFormat="1" applyFont="1" applyFill="1" applyBorder="1" applyAlignment="1">
      <alignment horizontal="center" vertical="center"/>
    </xf>
    <xf numFmtId="0" fontId="97" fillId="0" borderId="0" xfId="0" applyFont="1" applyAlignment="1">
      <alignment horizontal="center" vertical="center"/>
    </xf>
    <xf numFmtId="0" fontId="85" fillId="0" borderId="0" xfId="0" applyFont="1" applyFill="1" applyBorder="1"/>
    <xf numFmtId="0" fontId="87" fillId="0" borderId="0" xfId="0" applyFont="1" applyFill="1" applyBorder="1" applyAlignment="1">
      <alignment horizontal="center"/>
    </xf>
    <xf numFmtId="0" fontId="88" fillId="0" borderId="0" xfId="0" applyFont="1" applyFill="1" applyBorder="1" applyAlignment="1">
      <alignment horizontal="center"/>
    </xf>
    <xf numFmtId="0" fontId="110" fillId="55" borderId="173" xfId="0" applyFont="1" applyFill="1" applyBorder="1" applyAlignment="1">
      <alignment horizontal="center" vertical="center"/>
    </xf>
    <xf numFmtId="0" fontId="13" fillId="29" borderId="102" xfId="0" applyFont="1" applyFill="1" applyBorder="1" applyAlignment="1" applyProtection="1">
      <alignment horizontal="center"/>
      <protection hidden="1"/>
    </xf>
    <xf numFmtId="0" fontId="30" fillId="29" borderId="110" xfId="0" applyFont="1" applyFill="1" applyBorder="1" applyAlignment="1" applyProtection="1">
      <alignment horizontal="center"/>
      <protection hidden="1"/>
    </xf>
    <xf numFmtId="0" fontId="30" fillId="29" borderId="45" xfId="0" applyFont="1" applyFill="1" applyBorder="1" applyAlignment="1" applyProtection="1">
      <alignment horizontal="center"/>
      <protection hidden="1"/>
    </xf>
    <xf numFmtId="0" fontId="30" fillId="29" borderId="115" xfId="0" applyFont="1" applyFill="1" applyBorder="1" applyAlignment="1" applyProtection="1">
      <alignment horizontal="center"/>
      <protection hidden="1"/>
    </xf>
    <xf numFmtId="0" fontId="1" fillId="26" borderId="1" xfId="0" applyFont="1" applyFill="1" applyBorder="1" applyAlignment="1">
      <alignment horizontal="center" vertical="center"/>
    </xf>
    <xf numFmtId="0" fontId="2" fillId="11" borderId="3" xfId="0" applyFont="1" applyFill="1" applyBorder="1"/>
    <xf numFmtId="0" fontId="31" fillId="29" borderId="102" xfId="0" applyFont="1" applyFill="1" applyBorder="1" applyAlignment="1">
      <alignment horizontal="center"/>
    </xf>
    <xf numFmtId="0" fontId="31" fillId="29" borderId="110" xfId="0" applyFont="1" applyFill="1" applyBorder="1" applyAlignment="1">
      <alignment horizontal="center"/>
    </xf>
    <xf numFmtId="0" fontId="31" fillId="29" borderId="45" xfId="0" applyFont="1" applyFill="1" applyBorder="1" applyAlignment="1">
      <alignment horizontal="center"/>
    </xf>
    <xf numFmtId="0" fontId="18" fillId="25" borderId="22" xfId="0" applyFont="1" applyFill="1" applyBorder="1" applyAlignment="1">
      <alignment horizontal="center" vertical="center"/>
    </xf>
    <xf numFmtId="0" fontId="2" fillId="11" borderId="23" xfId="0" applyFont="1" applyFill="1" applyBorder="1"/>
    <xf numFmtId="0" fontId="18" fillId="25" borderId="24" xfId="0" applyFont="1" applyFill="1" applyBorder="1" applyAlignment="1">
      <alignment horizontal="center" vertical="center"/>
    </xf>
    <xf numFmtId="0" fontId="2" fillId="11" borderId="109" xfId="0" applyFont="1" applyFill="1" applyBorder="1"/>
    <xf numFmtId="0" fontId="37" fillId="11" borderId="102" xfId="0" applyFont="1" applyFill="1" applyBorder="1" applyAlignment="1">
      <alignment horizontal="center" vertical="center"/>
    </xf>
    <xf numFmtId="0" fontId="37" fillId="11" borderId="45" xfId="0" applyFont="1" applyFill="1" applyBorder="1" applyAlignment="1">
      <alignment horizontal="center" vertical="center"/>
    </xf>
    <xf numFmtId="0" fontId="39" fillId="11" borderId="102" xfId="0" applyFont="1" applyFill="1" applyBorder="1" applyAlignment="1">
      <alignment horizontal="center" vertical="center"/>
    </xf>
    <xf numFmtId="0" fontId="39" fillId="11" borderId="110" xfId="0" applyFont="1" applyFill="1" applyBorder="1" applyAlignment="1">
      <alignment horizontal="center" vertical="center"/>
    </xf>
    <xf numFmtId="0" fontId="1" fillId="26" borderId="20" xfId="0" applyFont="1" applyFill="1" applyBorder="1" applyAlignment="1">
      <alignment horizontal="center" vertical="center"/>
    </xf>
    <xf numFmtId="0" fontId="2" fillId="11" borderId="21" xfId="0" applyFont="1" applyFill="1" applyBorder="1"/>
    <xf numFmtId="0" fontId="1" fillId="26" borderId="2" xfId="0" applyFont="1" applyFill="1" applyBorder="1" applyAlignment="1">
      <alignment horizontal="center" vertical="center"/>
    </xf>
    <xf numFmtId="0" fontId="30" fillId="29" borderId="102" xfId="0" applyFont="1" applyFill="1" applyBorder="1" applyAlignment="1" applyProtection="1">
      <alignment horizontal="center"/>
      <protection hidden="1"/>
    </xf>
    <xf numFmtId="0" fontId="30" fillId="29" borderId="239" xfId="0" applyFont="1" applyFill="1" applyBorder="1" applyAlignment="1" applyProtection="1">
      <alignment horizontal="center"/>
      <protection hidden="1"/>
    </xf>
    <xf numFmtId="0" fontId="1" fillId="2" borderId="20" xfId="0" applyFont="1" applyFill="1" applyBorder="1" applyAlignment="1">
      <alignment horizontal="center"/>
    </xf>
    <xf numFmtId="0" fontId="2" fillId="0" borderId="41" xfId="0" applyFont="1" applyBorder="1"/>
    <xf numFmtId="0" fontId="2" fillId="11" borderId="2" xfId="0" applyFont="1" applyFill="1" applyBorder="1"/>
    <xf numFmtId="0" fontId="1" fillId="26" borderId="102" xfId="0" applyFont="1" applyFill="1" applyBorder="1" applyAlignment="1">
      <alignment horizontal="center" vertical="center"/>
    </xf>
    <xf numFmtId="0" fontId="2" fillId="11" borderId="45" xfId="0" applyFont="1" applyFill="1" applyBorder="1"/>
    <xf numFmtId="0" fontId="106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9" fillId="9" borderId="102" xfId="2" applyFont="1" applyFill="1" applyBorder="1" applyAlignment="1">
      <alignment horizontal="center" vertical="center"/>
    </xf>
    <xf numFmtId="0" fontId="69" fillId="9" borderId="110" xfId="2" applyFont="1" applyFill="1" applyBorder="1" applyAlignment="1">
      <alignment horizontal="center" vertical="center"/>
    </xf>
    <xf numFmtId="0" fontId="69" fillId="9" borderId="45" xfId="2" applyFont="1" applyFill="1" applyBorder="1" applyAlignment="1">
      <alignment horizontal="center" vertical="center"/>
    </xf>
    <xf numFmtId="0" fontId="103" fillId="14" borderId="200" xfId="2" applyFont="1" applyFill="1" applyBorder="1" applyAlignment="1">
      <alignment horizontal="center" vertical="center"/>
    </xf>
    <xf numFmtId="0" fontId="103" fillId="14" borderId="66" xfId="2" applyFont="1" applyFill="1" applyBorder="1" applyAlignment="1">
      <alignment horizontal="left" vertical="center"/>
    </xf>
    <xf numFmtId="0" fontId="103" fillId="14" borderId="240" xfId="2" applyFont="1" applyFill="1" applyBorder="1" applyAlignment="1">
      <alignment horizontal="left" vertical="center"/>
    </xf>
    <xf numFmtId="0" fontId="103" fillId="14" borderId="101" xfId="2" applyFont="1" applyFill="1" applyBorder="1" applyAlignment="1">
      <alignment horizontal="left" vertical="center"/>
    </xf>
    <xf numFmtId="0" fontId="107" fillId="67" borderId="72" xfId="2" applyFont="1" applyFill="1" applyBorder="1" applyAlignment="1" applyProtection="1">
      <alignment horizontal="center" vertical="center"/>
      <protection locked="0"/>
    </xf>
    <xf numFmtId="0" fontId="107" fillId="67" borderId="67" xfId="2" applyFont="1" applyFill="1" applyBorder="1" applyAlignment="1" applyProtection="1">
      <alignment horizontal="center" vertical="center"/>
      <protection locked="0"/>
    </xf>
    <xf numFmtId="0" fontId="54" fillId="67" borderId="137" xfId="2" applyFont="1" applyFill="1" applyBorder="1" applyAlignment="1" applyProtection="1">
      <alignment horizontal="center" vertical="center"/>
      <protection locked="0"/>
    </xf>
    <xf numFmtId="0" fontId="54" fillId="67" borderId="72" xfId="2" applyFont="1" applyFill="1" applyBorder="1" applyAlignment="1" applyProtection="1">
      <alignment horizontal="center" vertical="center"/>
      <protection locked="0"/>
    </xf>
    <xf numFmtId="0" fontId="54" fillId="67" borderId="67" xfId="2" applyFont="1" applyFill="1" applyBorder="1" applyAlignment="1" applyProtection="1">
      <alignment horizontal="center" vertical="center"/>
      <protection locked="0"/>
    </xf>
    <xf numFmtId="0" fontId="103" fillId="0" borderId="140" xfId="2" applyFont="1" applyBorder="1" applyAlignment="1">
      <alignment horizontal="center" vertical="center"/>
    </xf>
    <xf numFmtId="0" fontId="103" fillId="0" borderId="66" xfId="2" applyFont="1" applyBorder="1" applyAlignment="1">
      <alignment horizontal="center" vertical="center"/>
    </xf>
    <xf numFmtId="0" fontId="103" fillId="0" borderId="140" xfId="2" applyFont="1" applyBorder="1" applyAlignment="1">
      <alignment horizontal="left" vertical="center"/>
    </xf>
    <xf numFmtId="0" fontId="103" fillId="0" borderId="185" xfId="2" applyFont="1" applyBorder="1" applyAlignment="1">
      <alignment horizontal="left" vertical="center"/>
    </xf>
    <xf numFmtId="0" fontId="103" fillId="0" borderId="207" xfId="2" applyFont="1" applyBorder="1" applyAlignment="1">
      <alignment horizontal="left" vertical="center"/>
    </xf>
    <xf numFmtId="0" fontId="103" fillId="0" borderId="242" xfId="2" applyFont="1" applyBorder="1" applyAlignment="1">
      <alignment horizontal="left" vertical="center"/>
    </xf>
    <xf numFmtId="0" fontId="103" fillId="0" borderId="0" xfId="2" applyFont="1" applyBorder="1" applyAlignment="1">
      <alignment horizontal="left" vertical="center"/>
    </xf>
    <xf numFmtId="0" fontId="103" fillId="0" borderId="241" xfId="2" applyFont="1" applyBorder="1" applyAlignment="1">
      <alignment horizontal="left" vertical="center"/>
    </xf>
    <xf numFmtId="0" fontId="103" fillId="14" borderId="140" xfId="2" applyFont="1" applyFill="1" applyBorder="1" applyAlignment="1">
      <alignment horizontal="left" vertical="center"/>
    </xf>
    <xf numFmtId="0" fontId="103" fillId="14" borderId="185" xfId="2" applyFont="1" applyFill="1" applyBorder="1" applyAlignment="1">
      <alignment horizontal="left" vertical="center"/>
    </xf>
    <xf numFmtId="0" fontId="103" fillId="14" borderId="207" xfId="2" applyFont="1" applyFill="1" applyBorder="1" applyAlignment="1">
      <alignment horizontal="left" vertical="center"/>
    </xf>
    <xf numFmtId="0" fontId="90" fillId="26" borderId="102" xfId="0" applyFont="1" applyFill="1" applyBorder="1" applyAlignment="1">
      <alignment horizontal="center" vertical="center"/>
    </xf>
    <xf numFmtId="0" fontId="91" fillId="11" borderId="184" xfId="0" applyFont="1" applyFill="1" applyBorder="1"/>
    <xf numFmtId="0" fontId="91" fillId="46" borderId="102" xfId="0" applyFont="1" applyFill="1" applyBorder="1" applyAlignment="1">
      <alignment horizontal="center" vertical="center"/>
    </xf>
    <xf numFmtId="0" fontId="91" fillId="46" borderId="110" xfId="0" applyFont="1" applyFill="1" applyBorder="1" applyAlignment="1">
      <alignment horizontal="center" vertical="center"/>
    </xf>
    <xf numFmtId="0" fontId="91" fillId="46" borderId="45" xfId="0" applyFont="1" applyFill="1" applyBorder="1" applyAlignment="1">
      <alignment horizontal="center" vertical="center"/>
    </xf>
    <xf numFmtId="0" fontId="87" fillId="26" borderId="72" xfId="0" applyFont="1" applyFill="1" applyBorder="1" applyAlignment="1">
      <alignment horizontal="center" vertical="center"/>
    </xf>
    <xf numFmtId="0" fontId="87" fillId="26" borderId="204" xfId="0" applyFont="1" applyFill="1" applyBorder="1" applyAlignment="1">
      <alignment horizontal="center" vertical="center"/>
    </xf>
    <xf numFmtId="0" fontId="96" fillId="16" borderId="237" xfId="0" applyFont="1" applyFill="1" applyBorder="1" applyAlignment="1">
      <alignment horizontal="center" vertical="center"/>
    </xf>
    <xf numFmtId="0" fontId="96" fillId="16" borderId="238" xfId="0" applyFont="1" applyFill="1" applyBorder="1" applyAlignment="1">
      <alignment horizontal="center" vertical="center"/>
    </xf>
    <xf numFmtId="0" fontId="100" fillId="11" borderId="102" xfId="0" applyFont="1" applyFill="1" applyBorder="1" applyAlignment="1">
      <alignment horizontal="center" vertical="center"/>
    </xf>
    <xf numFmtId="0" fontId="100" fillId="11" borderId="45" xfId="0" applyFont="1" applyFill="1" applyBorder="1" applyAlignment="1">
      <alignment horizontal="center" vertical="center"/>
    </xf>
    <xf numFmtId="0" fontId="96" fillId="16" borderId="67" xfId="0" applyFont="1" applyFill="1" applyBorder="1" applyAlignment="1">
      <alignment horizontal="center" vertical="center"/>
    </xf>
    <xf numFmtId="0" fontId="96" fillId="16" borderId="78" xfId="0" applyFont="1" applyFill="1" applyBorder="1" applyAlignment="1">
      <alignment horizontal="center" vertical="center"/>
    </xf>
    <xf numFmtId="0" fontId="97" fillId="0" borderId="0" xfId="0" applyFont="1" applyAlignment="1">
      <alignment horizontal="center" vertical="center"/>
    </xf>
    <xf numFmtId="167" fontId="111" fillId="0" borderId="0" xfId="0" applyNumberFormat="1" applyFont="1" applyAlignment="1">
      <alignment horizontal="center" vertical="center"/>
    </xf>
    <xf numFmtId="0" fontId="45" fillId="9" borderId="102" xfId="0" applyFont="1" applyFill="1" applyBorder="1" applyAlignment="1">
      <alignment horizontal="center" vertical="center"/>
    </xf>
    <xf numFmtId="0" fontId="45" fillId="9" borderId="110" xfId="0" applyFont="1" applyFill="1" applyBorder="1" applyAlignment="1">
      <alignment horizontal="center" vertical="center"/>
    </xf>
    <xf numFmtId="0" fontId="45" fillId="9" borderId="45" xfId="0" applyFont="1" applyFill="1" applyBorder="1" applyAlignment="1">
      <alignment horizontal="center" vertical="center"/>
    </xf>
    <xf numFmtId="0" fontId="37" fillId="9" borderId="102" xfId="0" applyFont="1" applyFill="1" applyBorder="1" applyAlignment="1">
      <alignment horizontal="center" vertical="center"/>
    </xf>
    <xf numFmtId="0" fontId="37" fillId="9" borderId="110" xfId="0" applyFont="1" applyFill="1" applyBorder="1" applyAlignment="1">
      <alignment horizontal="center" vertical="center"/>
    </xf>
    <xf numFmtId="0" fontId="37" fillId="9" borderId="45" xfId="0" applyFont="1" applyFill="1" applyBorder="1" applyAlignment="1">
      <alignment horizontal="center" vertical="center"/>
    </xf>
    <xf numFmtId="0" fontId="34" fillId="14" borderId="76" xfId="0" applyFont="1" applyFill="1" applyBorder="1" applyAlignment="1">
      <alignment horizontal="center" vertical="center" wrapText="1"/>
    </xf>
    <xf numFmtId="0" fontId="34" fillId="14" borderId="0" xfId="0" applyFont="1" applyFill="1" applyAlignment="1">
      <alignment horizontal="center" vertical="center" wrapText="1"/>
    </xf>
    <xf numFmtId="0" fontId="34" fillId="12" borderId="0" xfId="0" applyFont="1" applyFill="1" applyAlignment="1">
      <alignment horizontal="center" vertical="center" wrapText="1"/>
    </xf>
    <xf numFmtId="0" fontId="49" fillId="48" borderId="0" xfId="0" applyFont="1" applyFill="1" applyAlignment="1">
      <alignment horizontal="center" vertical="center" wrapText="1"/>
    </xf>
    <xf numFmtId="0" fontId="65" fillId="9" borderId="55" xfId="0" applyFont="1" applyFill="1" applyBorder="1" applyAlignment="1">
      <alignment horizontal="center" vertical="center" wrapText="1"/>
    </xf>
    <xf numFmtId="0" fontId="65" fillId="9" borderId="63" xfId="0" applyFont="1" applyFill="1" applyBorder="1" applyAlignment="1">
      <alignment horizontal="center" vertical="center" wrapText="1"/>
    </xf>
    <xf numFmtId="0" fontId="49" fillId="50" borderId="0" xfId="0" applyFont="1" applyFill="1" applyAlignment="1">
      <alignment horizontal="center" vertical="center" wrapText="1"/>
    </xf>
    <xf numFmtId="0" fontId="37" fillId="9" borderId="76" xfId="0" applyFont="1" applyFill="1" applyBorder="1" applyAlignment="1">
      <alignment horizontal="center" vertical="center"/>
    </xf>
    <xf numFmtId="0" fontId="37" fillId="9" borderId="204" xfId="0" applyFont="1" applyFill="1" applyBorder="1" applyAlignment="1">
      <alignment horizontal="center" vertical="center"/>
    </xf>
    <xf numFmtId="0" fontId="6" fillId="46" borderId="252" xfId="0" applyFont="1" applyFill="1" applyBorder="1" applyAlignment="1">
      <alignment vertical="center"/>
    </xf>
    <xf numFmtId="0" fontId="37" fillId="15" borderId="29" xfId="0" applyFont="1" applyFill="1" applyBorder="1" applyAlignment="1" applyProtection="1">
      <alignment horizontal="center" vertical="center"/>
      <protection locked="0"/>
    </xf>
    <xf numFmtId="0" fontId="6" fillId="46" borderId="181" xfId="0" applyFont="1" applyFill="1" applyBorder="1" applyAlignment="1">
      <alignment vertical="center"/>
    </xf>
    <xf numFmtId="0" fontId="15" fillId="19" borderId="254" xfId="0" applyFont="1" applyFill="1" applyBorder="1" applyAlignment="1">
      <alignment horizontal="center" vertical="center"/>
    </xf>
    <xf numFmtId="0" fontId="6" fillId="46" borderId="255" xfId="0" applyFont="1" applyFill="1" applyBorder="1" applyAlignment="1">
      <alignment vertical="center"/>
    </xf>
    <xf numFmtId="0" fontId="15" fillId="19" borderId="256" xfId="0" applyFont="1" applyFill="1" applyBorder="1" applyAlignment="1">
      <alignment horizontal="center" vertical="center"/>
    </xf>
    <xf numFmtId="0" fontId="11" fillId="46" borderId="255" xfId="0" applyFont="1" applyFill="1" applyBorder="1" applyAlignment="1">
      <alignment vertical="center"/>
    </xf>
    <xf numFmtId="0" fontId="11" fillId="46" borderId="181" xfId="0" applyFont="1" applyFill="1" applyBorder="1" applyAlignment="1">
      <alignment vertical="center"/>
    </xf>
    <xf numFmtId="164" fontId="114" fillId="19" borderId="46" xfId="0" applyNumberFormat="1" applyFont="1" applyFill="1" applyBorder="1" applyAlignment="1">
      <alignment horizontal="center" vertical="center"/>
    </xf>
    <xf numFmtId="164" fontId="114" fillId="19" borderId="47" xfId="0" applyNumberFormat="1" applyFont="1" applyFill="1" applyBorder="1" applyAlignment="1">
      <alignment horizontal="center" vertical="center"/>
    </xf>
    <xf numFmtId="0" fontId="114" fillId="19" borderId="48" xfId="0" applyFont="1" applyFill="1" applyBorder="1" applyAlignment="1">
      <alignment horizontal="center" vertical="center"/>
    </xf>
    <xf numFmtId="0" fontId="114" fillId="19" borderId="49" xfId="0" applyFont="1" applyFill="1" applyBorder="1" applyAlignment="1">
      <alignment horizontal="center" vertical="center"/>
    </xf>
    <xf numFmtId="164" fontId="11" fillId="19" borderId="103" xfId="0" applyNumberFormat="1" applyFont="1" applyFill="1" applyBorder="1" applyAlignment="1">
      <alignment horizontal="center" vertical="center"/>
    </xf>
    <xf numFmtId="0" fontId="11" fillId="19" borderId="104" xfId="0" applyFont="1" applyFill="1" applyBorder="1" applyAlignment="1">
      <alignment horizontal="center" vertical="center"/>
    </xf>
    <xf numFmtId="0" fontId="11" fillId="19" borderId="256" xfId="0" applyFont="1" applyFill="1" applyBorder="1" applyAlignment="1">
      <alignment horizontal="center" vertical="center"/>
    </xf>
    <xf numFmtId="0" fontId="11" fillId="19" borderId="254" xfId="0" applyFont="1" applyFill="1" applyBorder="1" applyAlignment="1">
      <alignment horizontal="center" vertical="center"/>
    </xf>
    <xf numFmtId="0" fontId="115" fillId="14" borderId="76" xfId="0" applyFont="1" applyFill="1" applyBorder="1" applyAlignment="1">
      <alignment horizontal="center" vertical="center" wrapText="1"/>
    </xf>
    <xf numFmtId="0" fontId="115" fillId="14" borderId="0" xfId="0" applyFont="1" applyFill="1" applyBorder="1" applyAlignment="1">
      <alignment horizontal="center" vertical="center" wrapText="1"/>
    </xf>
    <xf numFmtId="167" fontId="111" fillId="0" borderId="0" xfId="0" applyNumberFormat="1" applyFont="1" applyAlignment="1">
      <alignment vertical="center"/>
    </xf>
    <xf numFmtId="0" fontId="114" fillId="19" borderId="52" xfId="0" applyFont="1" applyFill="1" applyBorder="1" applyAlignment="1">
      <alignment horizontal="center" vertical="center"/>
    </xf>
    <xf numFmtId="0" fontId="114" fillId="19" borderId="94" xfId="0" applyFont="1" applyFill="1" applyBorder="1" applyAlignment="1">
      <alignment horizontal="center" vertical="center"/>
    </xf>
    <xf numFmtId="0" fontId="114" fillId="19" borderId="53" xfId="0" applyFont="1" applyFill="1" applyBorder="1" applyAlignment="1">
      <alignment horizontal="center" vertical="center"/>
    </xf>
    <xf numFmtId="0" fontId="114" fillId="19" borderId="258" xfId="0" applyFont="1" applyFill="1" applyBorder="1" applyAlignment="1">
      <alignment horizontal="center" vertical="center"/>
    </xf>
    <xf numFmtId="0" fontId="31" fillId="55" borderId="122" xfId="0" applyFont="1" applyFill="1" applyBorder="1" applyAlignment="1">
      <alignment horizontal="center" vertical="center"/>
    </xf>
    <xf numFmtId="0" fontId="31" fillId="55" borderId="112" xfId="0" applyFont="1" applyFill="1" applyBorder="1" applyAlignment="1">
      <alignment horizontal="center" vertical="center"/>
    </xf>
    <xf numFmtId="0" fontId="7" fillId="2" borderId="225" xfId="0" applyFont="1" applyFill="1" applyBorder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25" fillId="0" borderId="0" xfId="0" applyFont="1" applyAlignment="1"/>
    <xf numFmtId="1" fontId="85" fillId="0" borderId="0" xfId="0" applyNumberFormat="1" applyFont="1"/>
    <xf numFmtId="0" fontId="112" fillId="0" borderId="34" xfId="0" applyFont="1" applyBorder="1" applyAlignment="1">
      <alignment horizontal="center" vertical="center"/>
    </xf>
    <xf numFmtId="0" fontId="100" fillId="0" borderId="34" xfId="0" applyFont="1" applyBorder="1" applyAlignment="1">
      <alignment horizontal="center" vertical="center" wrapText="1"/>
    </xf>
    <xf numFmtId="0" fontId="112" fillId="0" borderId="46" xfId="0" applyFont="1" applyBorder="1" applyAlignment="1">
      <alignment horizontal="center" vertical="center"/>
    </xf>
    <xf numFmtId="0" fontId="112" fillId="0" borderId="56" xfId="0" applyFont="1" applyBorder="1" applyAlignment="1">
      <alignment horizontal="center" vertical="center"/>
    </xf>
    <xf numFmtId="0" fontId="112" fillId="0" borderId="47" xfId="0" applyFont="1" applyBorder="1" applyAlignment="1">
      <alignment horizontal="center" vertical="center"/>
    </xf>
    <xf numFmtId="0" fontId="112" fillId="0" borderId="48" xfId="0" applyFont="1" applyBorder="1" applyAlignment="1">
      <alignment horizontal="center" vertical="center"/>
    </xf>
    <xf numFmtId="0" fontId="112" fillId="0" borderId="49" xfId="0" applyFont="1" applyBorder="1" applyAlignment="1">
      <alignment horizontal="center" vertical="center"/>
    </xf>
    <xf numFmtId="0" fontId="100" fillId="0" borderId="48" xfId="0" applyFont="1" applyBorder="1" applyAlignment="1">
      <alignment horizontal="center" vertical="center" wrapText="1"/>
    </xf>
    <xf numFmtId="0" fontId="100" fillId="0" borderId="49" xfId="0" applyFont="1" applyBorder="1" applyAlignment="1">
      <alignment horizontal="center" vertical="center" wrapText="1"/>
    </xf>
    <xf numFmtId="10" fontId="113" fillId="0" borderId="50" xfId="0" applyNumberFormat="1" applyFont="1" applyBorder="1" applyAlignment="1">
      <alignment horizontal="center" vertical="center"/>
    </xf>
    <xf numFmtId="10" fontId="113" fillId="0" borderId="57" xfId="0" applyNumberFormat="1" applyFont="1" applyBorder="1" applyAlignment="1">
      <alignment horizontal="center" vertical="center"/>
    </xf>
    <xf numFmtId="10" fontId="113" fillId="0" borderId="51" xfId="0" applyNumberFormat="1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8" fillId="0" borderId="0" xfId="0" applyFont="1" applyBorder="1" applyAlignment="1">
      <alignment horizontal="center" vertical="center"/>
    </xf>
    <xf numFmtId="0" fontId="0" fillId="14" borderId="34" xfId="0" applyFill="1" applyBorder="1" applyAlignment="1">
      <alignment horizontal="center" vertical="center"/>
    </xf>
    <xf numFmtId="0" fontId="0" fillId="14" borderId="50" xfId="0" applyFill="1" applyBorder="1" applyAlignment="1">
      <alignment horizontal="center" vertical="center"/>
    </xf>
    <xf numFmtId="0" fontId="100" fillId="11" borderId="46" xfId="0" applyFont="1" applyFill="1" applyBorder="1" applyAlignment="1">
      <alignment horizontal="center" vertical="center" wrapText="1"/>
    </xf>
    <xf numFmtId="0" fontId="100" fillId="11" borderId="56" xfId="0" applyFont="1" applyFill="1" applyBorder="1" applyAlignment="1">
      <alignment horizontal="center" vertical="center"/>
    </xf>
    <xf numFmtId="0" fontId="100" fillId="11" borderId="50" xfId="0" applyFont="1" applyFill="1" applyBorder="1" applyAlignment="1">
      <alignment horizontal="center" vertical="center"/>
    </xf>
    <xf numFmtId="0" fontId="100" fillId="11" borderId="57" xfId="0" applyFont="1" applyFill="1" applyBorder="1" applyAlignment="1">
      <alignment horizontal="center" vertical="center"/>
    </xf>
    <xf numFmtId="1" fontId="119" fillId="9" borderId="60" xfId="1" applyNumberFormat="1" applyFont="1" applyFill="1" applyBorder="1" applyAlignment="1">
      <alignment horizontal="center" vertical="center"/>
    </xf>
    <xf numFmtId="1" fontId="119" fillId="9" borderId="47" xfId="1" applyNumberFormat="1" applyFont="1" applyFill="1" applyBorder="1" applyAlignment="1">
      <alignment horizontal="center" vertical="center"/>
    </xf>
    <xf numFmtId="1" fontId="117" fillId="9" borderId="61" xfId="0" applyNumberFormat="1" applyFont="1" applyFill="1" applyBorder="1" applyAlignment="1">
      <alignment horizontal="center" vertical="center"/>
    </xf>
    <xf numFmtId="1" fontId="117" fillId="9" borderId="51" xfId="0" applyNumberFormat="1" applyFont="1" applyFill="1" applyBorder="1" applyAlignment="1">
      <alignment horizontal="center" vertical="center"/>
    </xf>
    <xf numFmtId="0" fontId="100" fillId="11" borderId="47" xfId="0" applyFont="1" applyFill="1" applyBorder="1" applyAlignment="1">
      <alignment horizontal="center" vertical="center"/>
    </xf>
    <xf numFmtId="0" fontId="100" fillId="11" borderId="51" xfId="0" applyFont="1" applyFill="1" applyBorder="1" applyAlignment="1">
      <alignment horizontal="center" vertical="center"/>
    </xf>
    <xf numFmtId="0" fontId="25" fillId="50" borderId="183" xfId="0" applyFont="1" applyFill="1" applyBorder="1" applyAlignment="1">
      <alignment horizontal="center" vertical="center" wrapText="1"/>
    </xf>
    <xf numFmtId="0" fontId="0" fillId="50" borderId="46" xfId="0" applyFill="1" applyBorder="1" applyAlignment="1">
      <alignment horizontal="center" vertical="center" wrapText="1"/>
    </xf>
    <xf numFmtId="0" fontId="25" fillId="53" borderId="38" xfId="0" applyFont="1" applyFill="1" applyBorder="1" applyAlignment="1">
      <alignment horizontal="center" vertical="center" wrapText="1"/>
    </xf>
    <xf numFmtId="0" fontId="0" fillId="53" borderId="50" xfId="0" applyFill="1" applyBorder="1" applyAlignment="1">
      <alignment horizontal="center" vertical="center" wrapText="1"/>
    </xf>
    <xf numFmtId="0" fontId="25" fillId="9" borderId="35" xfId="0" applyFont="1" applyFill="1" applyBorder="1" applyAlignment="1">
      <alignment horizontal="center" vertical="center" wrapText="1"/>
    </xf>
    <xf numFmtId="0" fontId="25" fillId="9" borderId="139" xfId="0" applyFont="1" applyFill="1" applyBorder="1" applyAlignment="1">
      <alignment horizontal="center" vertical="center" wrapText="1"/>
    </xf>
    <xf numFmtId="0" fontId="25" fillId="9" borderId="259" xfId="0" applyFont="1" applyFill="1" applyBorder="1" applyAlignment="1">
      <alignment horizontal="center" vertical="center" wrapText="1"/>
    </xf>
    <xf numFmtId="0" fontId="25" fillId="9" borderId="69" xfId="0" applyFont="1" applyFill="1" applyBorder="1" applyAlignment="1">
      <alignment horizontal="center" vertical="center" wrapText="1"/>
    </xf>
    <xf numFmtId="0" fontId="25" fillId="9" borderId="108" xfId="0" applyFont="1" applyFill="1" applyBorder="1" applyAlignment="1">
      <alignment horizontal="center" vertical="center" wrapText="1"/>
    </xf>
    <xf numFmtId="0" fontId="25" fillId="9" borderId="110" xfId="0" applyFont="1" applyFill="1" applyBorder="1" applyAlignment="1">
      <alignment horizontal="center" vertical="center" wrapText="1"/>
    </xf>
    <xf numFmtId="0" fontId="0" fillId="9" borderId="69" xfId="0" applyFill="1" applyBorder="1" applyAlignment="1">
      <alignment horizontal="center" vertical="center"/>
    </xf>
    <xf numFmtId="0" fontId="25" fillId="9" borderId="139" xfId="0" applyFont="1" applyFill="1" applyBorder="1" applyAlignment="1">
      <alignment horizontal="center" vertical="center"/>
    </xf>
    <xf numFmtId="0" fontId="25" fillId="9" borderId="107" xfId="0" applyFont="1" applyFill="1" applyBorder="1" applyAlignment="1">
      <alignment horizontal="center" vertical="center"/>
    </xf>
    <xf numFmtId="0" fontId="25" fillId="9" borderId="108" xfId="0" applyFont="1" applyFill="1" applyBorder="1" applyAlignment="1">
      <alignment horizontal="center" vertical="center"/>
    </xf>
    <xf numFmtId="0" fontId="25" fillId="9" borderId="46" xfId="0" applyFont="1" applyFill="1" applyBorder="1" applyAlignment="1">
      <alignment horizontal="center" vertical="center"/>
    </xf>
    <xf numFmtId="0" fontId="25" fillId="9" borderId="47" xfId="0" applyFont="1" applyFill="1" applyBorder="1" applyAlignment="1">
      <alignment horizontal="center" vertical="center"/>
    </xf>
    <xf numFmtId="0" fontId="25" fillId="9" borderId="51" xfId="0" applyFont="1" applyFill="1" applyBorder="1" applyAlignment="1">
      <alignment horizontal="center" vertical="center"/>
    </xf>
    <xf numFmtId="14" fontId="0" fillId="14" borderId="56" xfId="0" applyNumberFormat="1" applyFill="1" applyBorder="1" applyAlignment="1">
      <alignment horizontal="center" vertical="center"/>
    </xf>
    <xf numFmtId="14" fontId="0" fillId="14" borderId="34" xfId="0" applyNumberFormat="1" applyFill="1" applyBorder="1" applyAlignment="1">
      <alignment horizontal="center" vertical="center"/>
    </xf>
    <xf numFmtId="14" fontId="0" fillId="14" borderId="0" xfId="0" applyNumberFormat="1" applyFill="1" applyBorder="1"/>
    <xf numFmtId="14" fontId="0" fillId="14" borderId="57" xfId="0" applyNumberFormat="1" applyFill="1" applyBorder="1" applyAlignment="1">
      <alignment horizontal="center" vertical="center"/>
    </xf>
    <xf numFmtId="0" fontId="0" fillId="23" borderId="47" xfId="0" applyFill="1" applyBorder="1" applyAlignment="1">
      <alignment horizontal="center" vertical="center" wrapText="1"/>
    </xf>
    <xf numFmtId="2" fontId="0" fillId="23" borderId="60" xfId="0" applyNumberFormat="1" applyFill="1" applyBorder="1" applyAlignment="1">
      <alignment horizontal="center" vertical="center"/>
    </xf>
    <xf numFmtId="2" fontId="0" fillId="23" borderId="56" xfId="0" applyNumberFormat="1" applyFill="1" applyBorder="1" applyAlignment="1">
      <alignment horizontal="center" vertical="center"/>
    </xf>
    <xf numFmtId="2" fontId="0" fillId="23" borderId="47" xfId="0" applyNumberFormat="1" applyFill="1" applyBorder="1" applyAlignment="1">
      <alignment horizontal="center" vertical="center"/>
    </xf>
    <xf numFmtId="0" fontId="0" fillId="23" borderId="51" xfId="0" applyFill="1" applyBorder="1" applyAlignment="1">
      <alignment horizontal="center" vertical="center" wrapText="1"/>
    </xf>
    <xf numFmtId="2" fontId="0" fillId="23" borderId="61" xfId="0" applyNumberFormat="1" applyFill="1" applyBorder="1" applyAlignment="1">
      <alignment horizontal="center" vertical="center"/>
    </xf>
    <xf numFmtId="2" fontId="0" fillId="23" borderId="57" xfId="0" applyNumberFormat="1" applyFill="1" applyBorder="1" applyAlignment="1">
      <alignment horizontal="center" vertical="center"/>
    </xf>
    <xf numFmtId="2" fontId="0" fillId="23" borderId="51" xfId="0" applyNumberFormat="1" applyFill="1" applyBorder="1" applyAlignment="1">
      <alignment horizontal="center" vertical="center"/>
    </xf>
    <xf numFmtId="0" fontId="0" fillId="23" borderId="46" xfId="0" applyFill="1" applyBorder="1" applyAlignment="1">
      <alignment horizontal="center" vertical="center"/>
    </xf>
    <xf numFmtId="0" fontId="25" fillId="23" borderId="47" xfId="0" applyFont="1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23" borderId="51" xfId="0" applyFill="1" applyBorder="1" applyAlignment="1">
      <alignment horizontal="center" vertical="center"/>
    </xf>
    <xf numFmtId="0" fontId="0" fillId="23" borderId="101" xfId="0" applyFill="1" applyBorder="1" applyAlignment="1">
      <alignment horizontal="center" vertical="center" wrapText="1"/>
    </xf>
    <xf numFmtId="10" fontId="0" fillId="23" borderId="66" xfId="0" applyNumberFormat="1" applyFill="1" applyBorder="1" applyAlignment="1">
      <alignment horizontal="center" vertical="center" wrapText="1"/>
    </xf>
    <xf numFmtId="0" fontId="0" fillId="23" borderId="183" xfId="0" applyFill="1" applyBorder="1" applyAlignment="1">
      <alignment horizontal="center" vertical="center" wrapText="1"/>
    </xf>
    <xf numFmtId="0" fontId="0" fillId="23" borderId="61" xfId="0" applyFill="1" applyBorder="1" applyAlignment="1">
      <alignment horizontal="center" vertical="center" wrapText="1"/>
    </xf>
    <xf numFmtId="10" fontId="0" fillId="23" borderId="59" xfId="0" applyNumberFormat="1" applyFill="1" applyBorder="1" applyAlignment="1">
      <alignment horizontal="center" vertical="center" wrapText="1"/>
    </xf>
    <xf numFmtId="0" fontId="0" fillId="23" borderId="38" xfId="0" applyFill="1" applyBorder="1" applyAlignment="1">
      <alignment horizontal="center" vertical="center" wrapText="1"/>
    </xf>
    <xf numFmtId="0" fontId="0" fillId="23" borderId="50" xfId="0" applyFill="1" applyBorder="1" applyAlignment="1">
      <alignment horizontal="center" vertical="center" wrapText="1"/>
    </xf>
    <xf numFmtId="2" fontId="0" fillId="0" borderId="224" xfId="0" applyNumberFormat="1" applyBorder="1" applyAlignment="1">
      <alignment horizontal="center" vertical="center"/>
    </xf>
    <xf numFmtId="2" fontId="0" fillId="23" borderId="91" xfId="0" applyNumberFormat="1" applyFill="1" applyBorder="1" applyAlignment="1">
      <alignment horizontal="center" vertical="center"/>
    </xf>
    <xf numFmtId="0" fontId="0" fillId="53" borderId="72" xfId="0" applyFill="1" applyBorder="1" applyAlignment="1">
      <alignment horizontal="center" vertical="center" wrapText="1"/>
    </xf>
    <xf numFmtId="0" fontId="0" fillId="53" borderId="67" xfId="0" applyFill="1" applyBorder="1" applyAlignment="1">
      <alignment horizontal="center" vertical="center" wrapText="1"/>
    </xf>
    <xf numFmtId="0" fontId="0" fillId="50" borderId="204" xfId="0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0" fontId="0" fillId="50" borderId="72" xfId="0" applyFill="1" applyBorder="1" applyAlignment="1">
      <alignment horizontal="center" vertical="center" wrapText="1"/>
    </xf>
    <xf numFmtId="0" fontId="0" fillId="50" borderId="137" xfId="0" applyFill="1" applyBorder="1" applyAlignment="1">
      <alignment horizontal="center" vertical="center" wrapText="1"/>
    </xf>
    <xf numFmtId="0" fontId="0" fillId="50" borderId="93" xfId="0" applyFill="1" applyBorder="1" applyAlignment="1">
      <alignment horizontal="center" vertical="center" wrapText="1"/>
    </xf>
    <xf numFmtId="0" fontId="0" fillId="53" borderId="204" xfId="0" applyFill="1" applyBorder="1" applyAlignment="1">
      <alignment horizontal="center" vertical="center" wrapText="1"/>
    </xf>
    <xf numFmtId="0" fontId="0" fillId="53" borderId="75" xfId="0" applyFill="1" applyBorder="1" applyAlignment="1">
      <alignment horizontal="center" vertical="center" wrapText="1"/>
    </xf>
    <xf numFmtId="0" fontId="0" fillId="9" borderId="102" xfId="0" applyFill="1" applyBorder="1" applyAlignment="1">
      <alignment horizontal="center" vertical="center" wrapText="1"/>
    </xf>
    <xf numFmtId="14" fontId="0" fillId="14" borderId="60" xfId="0" applyNumberFormat="1" applyFill="1" applyBorder="1" applyAlignment="1">
      <alignment horizontal="center" vertical="center"/>
    </xf>
    <xf numFmtId="14" fontId="0" fillId="14" borderId="64" xfId="0" applyNumberFormat="1" applyFill="1" applyBorder="1" applyAlignment="1">
      <alignment horizontal="center" vertical="center"/>
    </xf>
    <xf numFmtId="0" fontId="0" fillId="23" borderId="36" xfId="0" applyFill="1" applyBorder="1" applyAlignment="1">
      <alignment horizontal="center" vertical="center"/>
    </xf>
    <xf numFmtId="0" fontId="0" fillId="23" borderId="37" xfId="0" applyFill="1" applyBorder="1" applyAlignment="1">
      <alignment horizontal="center" vertical="center"/>
    </xf>
    <xf numFmtId="0" fontId="0" fillId="23" borderId="38" xfId="0" applyFill="1" applyBorder="1" applyAlignment="1">
      <alignment horizontal="center" vertical="center"/>
    </xf>
    <xf numFmtId="0" fontId="120" fillId="9" borderId="264" xfId="0" applyFont="1" applyFill="1" applyBorder="1" applyAlignment="1">
      <alignment horizontal="center" vertical="center"/>
    </xf>
    <xf numFmtId="0" fontId="0" fillId="23" borderId="46" xfId="0" applyFill="1" applyBorder="1" applyAlignment="1">
      <alignment horizontal="center" vertical="center" wrapText="1"/>
    </xf>
    <xf numFmtId="2" fontId="0" fillId="0" borderId="138" xfId="0" applyNumberFormat="1" applyBorder="1" applyAlignment="1">
      <alignment horizontal="center" vertical="center"/>
    </xf>
    <xf numFmtId="0" fontId="120" fillId="70" borderId="262" xfId="0" applyFont="1" applyFill="1" applyBorder="1" applyAlignment="1">
      <alignment horizontal="center" vertical="center"/>
    </xf>
    <xf numFmtId="0" fontId="120" fillId="70" borderId="261" xfId="0" applyFont="1" applyFill="1" applyBorder="1" applyAlignment="1">
      <alignment horizontal="center" vertical="center"/>
    </xf>
    <xf numFmtId="0" fontId="120" fillId="70" borderId="260" xfId="0" applyFont="1" applyFill="1" applyBorder="1" applyAlignment="1">
      <alignment horizontal="center" vertical="center"/>
    </xf>
    <xf numFmtId="0" fontId="120" fillId="70" borderId="263" xfId="0" applyFont="1" applyFill="1" applyBorder="1" applyAlignment="1">
      <alignment horizontal="center" vertical="center"/>
    </xf>
    <xf numFmtId="9" fontId="109" fillId="65" borderId="193" xfId="1" applyNumberFormat="1" applyFont="1" applyFill="1" applyBorder="1" applyAlignment="1">
      <alignment horizontal="center" vertical="center"/>
    </xf>
    <xf numFmtId="0" fontId="114" fillId="46" borderId="188" xfId="0" applyFont="1" applyFill="1" applyBorder="1" applyAlignment="1">
      <alignment horizontal="center" vertical="center"/>
    </xf>
    <xf numFmtId="0" fontId="114" fillId="46" borderId="248" xfId="0" applyFont="1" applyFill="1" applyBorder="1" applyAlignment="1">
      <alignment horizontal="center" vertical="center"/>
    </xf>
    <xf numFmtId="0" fontId="114" fillId="46" borderId="257" xfId="0" applyFont="1" applyFill="1" applyBorder="1" applyAlignment="1">
      <alignment horizontal="center" vertical="center"/>
    </xf>
    <xf numFmtId="0" fontId="114" fillId="46" borderId="67" xfId="0" applyFont="1" applyFill="1" applyBorder="1" applyAlignment="1">
      <alignment horizontal="center" vertical="center"/>
    </xf>
    <xf numFmtId="0" fontId="121" fillId="0" borderId="0" xfId="0" applyFont="1" applyAlignment="1">
      <alignment horizontal="center"/>
    </xf>
    <xf numFmtId="168" fontId="122" fillId="0" borderId="0" xfId="0" applyNumberFormat="1" applyFont="1" applyAlignment="1">
      <alignment horizontal="center" vertical="center"/>
    </xf>
    <xf numFmtId="167" fontId="111" fillId="0" borderId="0" xfId="0" applyNumberFormat="1" applyFont="1" applyBorder="1" applyAlignment="1">
      <alignment vertical="center"/>
    </xf>
    <xf numFmtId="0" fontId="25" fillId="9" borderId="80" xfId="0" applyFont="1" applyFill="1" applyBorder="1" applyAlignment="1">
      <alignment horizontal="center" vertical="center"/>
    </xf>
    <xf numFmtId="0" fontId="25" fillId="9" borderId="69" xfId="0" applyFont="1" applyFill="1" applyBorder="1" applyAlignment="1">
      <alignment horizontal="center" vertical="center"/>
    </xf>
    <xf numFmtId="0" fontId="0" fillId="23" borderId="108" xfId="0" applyFill="1" applyBorder="1" applyAlignment="1">
      <alignment horizontal="center" vertical="center"/>
    </xf>
    <xf numFmtId="0" fontId="45" fillId="23" borderId="112" xfId="0" applyFont="1" applyFill="1" applyBorder="1" applyAlignment="1">
      <alignment horizontal="center" vertical="center" wrapText="1"/>
    </xf>
    <xf numFmtId="0" fontId="45" fillId="23" borderId="211" xfId="0" applyFont="1" applyFill="1" applyBorder="1" applyAlignment="1">
      <alignment horizontal="center" vertical="center" wrapText="1"/>
    </xf>
    <xf numFmtId="0" fontId="45" fillId="23" borderId="122" xfId="0" applyFont="1" applyFill="1" applyBorder="1" applyAlignment="1">
      <alignment horizontal="center" vertical="center"/>
    </xf>
    <xf numFmtId="0" fontId="45" fillId="23" borderId="235" xfId="0" applyFont="1" applyFill="1" applyBorder="1" applyAlignment="1">
      <alignment horizontal="center" vertical="center"/>
    </xf>
    <xf numFmtId="10" fontId="45" fillId="23" borderId="112" xfId="1" applyNumberFormat="1" applyFont="1" applyFill="1" applyBorder="1" applyAlignment="1">
      <alignment horizontal="center" vertical="center"/>
    </xf>
    <xf numFmtId="10" fontId="45" fillId="23" borderId="211" xfId="1" applyNumberFormat="1" applyFont="1" applyFill="1" applyBorder="1" applyAlignment="1">
      <alignment horizontal="center" vertical="center"/>
    </xf>
    <xf numFmtId="0" fontId="69" fillId="14" borderId="53" xfId="0" applyFont="1" applyFill="1" applyBorder="1" applyAlignment="1">
      <alignment horizontal="center" vertical="center"/>
    </xf>
    <xf numFmtId="0" fontId="69" fillId="14" borderId="38" xfId="0" applyFont="1" applyFill="1" applyBorder="1" applyAlignment="1">
      <alignment horizontal="center" vertical="center"/>
    </xf>
    <xf numFmtId="0" fontId="44" fillId="23" borderId="46" xfId="0" applyFont="1" applyFill="1" applyBorder="1" applyAlignment="1">
      <alignment horizontal="center" vertical="center"/>
    </xf>
    <xf numFmtId="0" fontId="44" fillId="23" borderId="47" xfId="0" applyFont="1" applyFill="1" applyBorder="1" applyAlignment="1">
      <alignment horizontal="center" vertical="center"/>
    </xf>
    <xf numFmtId="0" fontId="44" fillId="23" borderId="50" xfId="0" applyFont="1" applyFill="1" applyBorder="1" applyAlignment="1">
      <alignment horizontal="center" vertical="center"/>
    </xf>
    <xf numFmtId="0" fontId="44" fillId="23" borderId="51" xfId="0" applyFont="1" applyFill="1" applyBorder="1" applyAlignment="1">
      <alignment horizontal="center" vertical="center"/>
    </xf>
    <xf numFmtId="0" fontId="25" fillId="11" borderId="102" xfId="0" applyFont="1" applyFill="1" applyBorder="1" applyAlignment="1">
      <alignment horizontal="center" vertical="center"/>
    </xf>
    <xf numFmtId="0" fontId="25" fillId="11" borderId="110" xfId="0" applyFont="1" applyFill="1" applyBorder="1" applyAlignment="1">
      <alignment horizontal="center" vertical="center"/>
    </xf>
    <xf numFmtId="0" fontId="25" fillId="11" borderId="45" xfId="0" applyFont="1" applyFill="1" applyBorder="1" applyAlignment="1">
      <alignment horizontal="center" vertical="center"/>
    </xf>
    <xf numFmtId="164" fontId="114" fillId="19" borderId="70" xfId="0" applyNumberFormat="1" applyFont="1" applyFill="1" applyBorder="1" applyAlignment="1">
      <alignment horizontal="center" vertical="center"/>
    </xf>
    <xf numFmtId="164" fontId="114" fillId="19" borderId="138" xfId="0" applyNumberFormat="1" applyFont="1" applyFill="1" applyBorder="1" applyAlignment="1">
      <alignment horizontal="center" vertical="center"/>
    </xf>
    <xf numFmtId="164" fontId="114" fillId="19" borderId="79" xfId="0" applyNumberFormat="1" applyFont="1" applyFill="1" applyBorder="1" applyAlignment="1">
      <alignment horizontal="center" vertical="center"/>
    </xf>
    <xf numFmtId="0" fontId="114" fillId="19" borderId="223" xfId="0" applyFont="1" applyFill="1" applyBorder="1" applyAlignment="1">
      <alignment horizontal="center" vertical="center"/>
    </xf>
    <xf numFmtId="0" fontId="114" fillId="19" borderId="224" xfId="0" applyFont="1" applyFill="1" applyBorder="1" applyAlignment="1">
      <alignment horizontal="center" vertical="center"/>
    </xf>
    <xf numFmtId="0" fontId="114" fillId="46" borderId="265" xfId="0" applyFont="1" applyFill="1" applyBorder="1" applyAlignment="1">
      <alignment horizontal="center" vertical="center"/>
    </xf>
    <xf numFmtId="0" fontId="114" fillId="46" borderId="62" xfId="0" applyFont="1" applyFill="1" applyBorder="1" applyAlignment="1">
      <alignment horizontal="center" vertical="center"/>
    </xf>
    <xf numFmtId="0" fontId="114" fillId="46" borderId="253" xfId="0" applyFont="1" applyFill="1" applyBorder="1" applyAlignment="1">
      <alignment horizontal="center" vertical="center"/>
    </xf>
    <xf numFmtId="0" fontId="114" fillId="46" borderId="63" xfId="0" applyFont="1" applyFill="1" applyBorder="1" applyAlignment="1">
      <alignment horizontal="center" vertical="center"/>
    </xf>
    <xf numFmtId="1" fontId="123" fillId="11" borderId="47" xfId="1" applyNumberFormat="1" applyFont="1" applyFill="1" applyBorder="1" applyAlignment="1">
      <alignment horizontal="center" vertical="center"/>
    </xf>
    <xf numFmtId="1" fontId="123" fillId="11" borderId="51" xfId="0" applyNumberFormat="1" applyFont="1" applyFill="1" applyBorder="1" applyAlignment="1">
      <alignment horizontal="center" vertical="center"/>
    </xf>
    <xf numFmtId="0" fontId="11" fillId="46" borderId="98" xfId="0" applyFont="1" applyFill="1" applyBorder="1" applyAlignment="1">
      <alignment horizontal="center" vertical="center"/>
    </xf>
    <xf numFmtId="0" fontId="11" fillId="46" borderId="99" xfId="0" applyFont="1" applyFill="1" applyBorder="1" applyAlignment="1">
      <alignment horizontal="center" vertical="center"/>
    </xf>
    <xf numFmtId="0" fontId="11" fillId="46" borderId="255" xfId="0" applyFont="1" applyFill="1" applyBorder="1" applyAlignment="1">
      <alignment horizontal="center" vertical="center"/>
    </xf>
    <xf numFmtId="0" fontId="11" fillId="46" borderId="181" xfId="0" applyFont="1" applyFill="1" applyBorder="1" applyAlignment="1">
      <alignment horizontal="center" vertical="center"/>
    </xf>
    <xf numFmtId="0" fontId="71" fillId="11" borderId="122" xfId="0" applyFont="1" applyFill="1" applyBorder="1" applyAlignment="1">
      <alignment horizontal="center" vertical="center"/>
    </xf>
    <xf numFmtId="0" fontId="71" fillId="11" borderId="112" xfId="0" applyFont="1" applyFill="1" applyBorder="1" applyAlignment="1">
      <alignment horizontal="center" vertical="center"/>
    </xf>
    <xf numFmtId="0" fontId="71" fillId="9" borderId="70" xfId="0" applyFont="1" applyFill="1" applyBorder="1" applyAlignment="1">
      <alignment horizontal="center" vertical="center"/>
    </xf>
    <xf numFmtId="0" fontId="71" fillId="9" borderId="36" xfId="0" applyFont="1" applyFill="1" applyBorder="1" applyAlignment="1">
      <alignment horizontal="center" vertical="center"/>
    </xf>
    <xf numFmtId="0" fontId="25" fillId="11" borderId="46" xfId="0" applyFont="1" applyFill="1" applyBorder="1" applyAlignment="1">
      <alignment horizontal="center" vertical="center"/>
    </xf>
    <xf numFmtId="0" fontId="25" fillId="11" borderId="50" xfId="0" applyFont="1" applyFill="1" applyBorder="1" applyAlignment="1">
      <alignment horizontal="center" vertical="center"/>
    </xf>
    <xf numFmtId="2" fontId="0" fillId="23" borderId="49" xfId="0" applyNumberFormat="1" applyFill="1" applyBorder="1" applyAlignment="1">
      <alignment horizontal="center" vertical="center"/>
    </xf>
    <xf numFmtId="2" fontId="0" fillId="23" borderId="200" xfId="0" applyNumberFormat="1" applyFill="1" applyBorder="1" applyAlignment="1">
      <alignment horizontal="center" vertical="center"/>
    </xf>
    <xf numFmtId="2" fontId="0" fillId="23" borderId="59" xfId="0" applyNumberFormat="1" applyFill="1" applyBorder="1" applyAlignment="1">
      <alignment horizontal="center" vertical="center"/>
    </xf>
    <xf numFmtId="0" fontId="0" fillId="14" borderId="48" xfId="0" applyFill="1" applyBorder="1" applyAlignment="1">
      <alignment horizontal="center" vertical="center"/>
    </xf>
    <xf numFmtId="0" fontId="0" fillId="23" borderId="183" xfId="0" applyFill="1" applyBorder="1" applyAlignment="1">
      <alignment horizontal="center" vertical="center"/>
    </xf>
    <xf numFmtId="14" fontId="0" fillId="14" borderId="106" xfId="0" applyNumberFormat="1" applyFill="1" applyBorder="1" applyAlignment="1">
      <alignment horizontal="center" vertical="center"/>
    </xf>
    <xf numFmtId="2" fontId="0" fillId="23" borderId="66" xfId="0" applyNumberFormat="1" applyFill="1" applyBorder="1" applyAlignment="1">
      <alignment horizontal="center" vertical="center"/>
    </xf>
    <xf numFmtId="0" fontId="0" fillId="14" borderId="65" xfId="0" applyFill="1" applyBorder="1" applyAlignment="1">
      <alignment horizontal="center" vertical="center"/>
    </xf>
  </cellXfs>
  <cellStyles count="5">
    <cellStyle name="Normal" xfId="0" builtinId="0"/>
    <cellStyle name="Normal 2" xfId="2" xr:uid="{F2D815EC-0B5C-4DB7-994B-E332FD4A4F0F}"/>
    <cellStyle name="Normal 3" xfId="3" xr:uid="{0EE214B6-5317-475D-A6F6-DB0EF38A7103}"/>
    <cellStyle name="Pourcentage" xfId="1" builtinId="5"/>
    <cellStyle name="Pourcentage 2" xfId="4" xr:uid="{6258632B-52B5-4567-B37C-933BDD7E69F2}"/>
  </cellStyles>
  <dxfs count="527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rgb="FFFF0000"/>
          <bgColor rgb="FFFF0000"/>
        </patternFill>
      </fill>
    </dxf>
    <dxf>
      <font>
        <b val="0"/>
        <i val="0"/>
      </font>
      <fill>
        <patternFill>
          <bgColor theme="7" tint="0.79998168889431442"/>
        </patternFill>
      </fill>
    </dxf>
    <dxf>
      <font>
        <b val="0"/>
        <i val="0"/>
      </font>
      <fill>
        <patternFill>
          <bgColor theme="7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 val="0"/>
        <i val="0"/>
      </font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66FF33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theme="0" tint="-0.14996795556505021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C4D7EE"/>
      <color rgb="FF333333"/>
      <color rgb="FFE6EEEE"/>
      <color rgb="FFFFCCFF"/>
      <color rgb="FFE1C1D1"/>
      <color rgb="FFFFFFFF"/>
      <color rgb="FFCCD6E6"/>
      <color rgb="FFE6EAF0"/>
      <color rgb="FF66FF33"/>
      <color rgb="FFDAF1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rPr lang="fr-FR" b="0">
                <a:solidFill>
                  <a:srgbClr val="000000"/>
                </a:solidFill>
                <a:latin typeface="+mn-lt"/>
              </a:rPr>
              <a:t>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760-4393-B926-AF1160C079E1}"/>
              </c:ext>
            </c:extLst>
          </c:dPt>
          <c:dPt>
            <c:idx val="1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760-4393-B926-AF1160C079E1}"/>
              </c:ext>
            </c:extLst>
          </c:dPt>
          <c:dPt>
            <c:idx val="2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60-4393-B926-AF1160C079E1}"/>
              </c:ext>
            </c:extLst>
          </c:dPt>
          <c:dPt>
            <c:idx val="3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760-4393-B926-AF1160C079E1}"/>
              </c:ext>
            </c:extLst>
          </c:dPt>
          <c:dPt>
            <c:idx val="4"/>
            <c:invertIfNegative val="1"/>
            <c:bubble3D val="0"/>
            <c:spPr>
              <a:solidFill>
                <a:srgbClr val="FFE1CC"/>
              </a:solidFill>
              <a:ln cmpd="sng">
                <a:solidFill>
                  <a:srgbClr val="FFE1CC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760-4393-B926-AF1160C079E1}"/>
              </c:ext>
            </c:extLst>
          </c:dPt>
          <c:dPt>
            <c:idx val="5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B3CEFB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760-4393-B926-AF1160C079E1}"/>
              </c:ext>
            </c:extLst>
          </c:dPt>
          <c:dPt>
            <c:idx val="6"/>
            <c:invertIfNegative val="1"/>
            <c:bubble3D val="0"/>
            <c:spPr>
              <a:solidFill>
                <a:srgbClr val="F7B4AE"/>
              </a:solidFill>
              <a:ln cmpd="sng">
                <a:solidFill>
                  <a:srgbClr val="F7B4AE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9D69-473A-8EC0-98BCBEC8387C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F28E8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9D69-473A-8EC0-98BCBEC8387C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cmpd="sng">
                <a:solidFill>
                  <a:srgbClr val="C2211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9D69-473A-8EC0-98BCBEC8387C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cmpd="sng">
                <a:solidFill>
                  <a:srgbClr val="81160E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9D69-473A-8EC0-98BCBEC8387C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AC5C-4A2A-BFCA-CB41D856AAFC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cmpd="sng">
                <a:solidFill>
                  <a:srgbClr val="FDE49B"/>
                </a:solidFill>
              </a:ln>
            </c:spPr>
            <c:extLst>
              <c:ext xmlns:c16="http://schemas.microsoft.com/office/drawing/2014/chart" uri="{C3380CC4-5D6E-409C-BE32-E72D297353CC}">
                <c16:uniqueId val="{00000016-C514-4C24-B867-D570729FAC98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C514-4C24-B867-D570729FAC98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cmpd="sng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C514-4C24-B867-D570729FAC98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cmpd="sng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C514-4C24-B867-D570729FAC98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A-C514-4C24-B867-D570729FAC98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cmpd="sng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C514-4C24-B867-D570729FAC98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C514-4C24-B867-D570729FAC98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cmpd="sng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C514-4C24-B867-D570729FAC98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cmpd="sng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C514-4C24-B867-D570729FAC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Synthèse!$L$2:$M$2</c:f>
              <c:strCache>
                <c:ptCount val="2"/>
                <c:pt idx="0">
                  <c:v>M. Pierre-Yves 
TIERCE</c:v>
                </c:pt>
                <c:pt idx="1">
                  <c:v>Mme Isabelle 
FARNET RISSO</c:v>
                </c:pt>
              </c:strCache>
            </c:strRef>
          </c:cat>
          <c:val>
            <c:numRef>
              <c:f>Synthèse!$L$16:$M$16</c:f>
              <c:numCache>
                <c:formatCode>0.00%</c:formatCode>
                <c:ptCount val="2"/>
                <c:pt idx="0">
                  <c:v>0.6</c:v>
                </c:pt>
                <c:pt idx="1">
                  <c:v>0.4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C-D760-4393-B926-AF1160C07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sz="1800" b="0">
                <a:solidFill>
                  <a:srgbClr val="757575"/>
                </a:solidFill>
                <a:latin typeface="+mn-lt"/>
              </a:rPr>
              <a:t>Taux de participation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6.5015479876160992E-2"/>
          <c:w val="0.83989080979742214"/>
          <c:h val="0.84373223470905145"/>
        </c:manualLayout>
      </c:layout>
      <c:lineChart>
        <c:grouping val="standard"/>
        <c:varyColors val="1"/>
        <c:ser>
          <c:idx val="12"/>
          <c:order val="0"/>
          <c:tx>
            <c:v>Total</c:v>
          </c:tx>
          <c:spPr>
            <a:ln w="317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1.2861342479176875E-2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4E6-465A-A140-56AAFC05372E}"/>
            </c:ext>
          </c:extLst>
        </c:ser>
        <c:ser>
          <c:idx val="11"/>
          <c:order val="1"/>
          <c:tx>
            <c:v>Bureau 12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4E6-465A-A140-56AAFC05372E}"/>
            </c:ext>
          </c:extLst>
        </c:ser>
        <c:ser>
          <c:idx val="10"/>
          <c:order val="2"/>
          <c:tx>
            <c:v>Bureau 11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4E6-465A-A140-56AAFC05372E}"/>
            </c:ext>
          </c:extLst>
        </c:ser>
        <c:ser>
          <c:idx val="9"/>
          <c:order val="3"/>
          <c:tx>
            <c:v>Bureau 10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4E6-465A-A140-56AAFC05372E}"/>
            </c:ext>
          </c:extLst>
        </c:ser>
        <c:ser>
          <c:idx val="8"/>
          <c:order val="4"/>
          <c:tx>
            <c:v>Bureau 9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4E6-465A-A140-56AAFC05372E}"/>
            </c:ext>
          </c:extLst>
        </c:ser>
        <c:ser>
          <c:idx val="7"/>
          <c:order val="5"/>
          <c:tx>
            <c:v>Bureau 8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4E6-465A-A140-56AAFC05372E}"/>
            </c:ext>
          </c:extLst>
        </c:ser>
        <c:ser>
          <c:idx val="6"/>
          <c:order val="6"/>
          <c:tx>
            <c:v>Bureau 7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4E6-465A-A140-56AAFC05372E}"/>
            </c:ext>
          </c:extLst>
        </c:ser>
        <c:ser>
          <c:idx val="5"/>
          <c:order val="7"/>
          <c:tx>
            <c:v>Bureau 6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E6-465A-A140-56AAFC05372E}"/>
            </c:ext>
          </c:extLst>
        </c:ser>
        <c:ser>
          <c:idx val="4"/>
          <c:order val="8"/>
          <c:tx>
            <c:v>Bureau 5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E6-465A-A140-56AAFC05372E}"/>
            </c:ext>
          </c:extLst>
        </c:ser>
        <c:ser>
          <c:idx val="3"/>
          <c:order val="9"/>
          <c:tx>
            <c:v>Bureau 4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E6-465A-A140-56AAFC05372E}"/>
            </c:ext>
          </c:extLst>
        </c:ser>
        <c:ser>
          <c:idx val="2"/>
          <c:order val="10"/>
          <c:tx>
            <c:v>Bureau 3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E6-465A-A140-56AAFC05372E}"/>
            </c:ext>
          </c:extLst>
        </c:ser>
        <c:ser>
          <c:idx val="1"/>
          <c:order val="11"/>
          <c:tx>
            <c:v>Bureau 2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E6-465A-A140-56AAFC05372E}"/>
            </c:ext>
          </c:extLst>
        </c:ser>
        <c:ser>
          <c:idx val="0"/>
          <c:order val="12"/>
          <c:tx>
            <c:v>Bureau 1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0.189873417721519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E6-465A-A140-56AAFC05372E}"/>
            </c:ext>
          </c:extLst>
        </c:ser>
        <c:ser>
          <c:idx val="13"/>
          <c:order val="13"/>
          <c:tx>
            <c:v>Total - 1er tour</c:v>
          </c:tx>
          <c:spPr>
            <a:ln w="31750" cap="rnd" cmpd="sng" algn="ctr">
              <a:solidFill>
                <a:srgbClr val="404040">
                  <a:alpha val="5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chemeClr val="bg1">
                  <a:lumMod val="50000"/>
                  <a:alpha val="80000"/>
                </a:schemeClr>
              </a:solidFill>
              <a:ln w="31750" cap="rnd" cmpd="sng" algn="ctr">
                <a:solidFill>
                  <a:srgbClr val="404040">
                    <a:alpha val="50000"/>
                  </a:srgbClr>
                </a:solidFill>
                <a:prstDash val="dash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horaire'!$T$38:$T$50</c15:sqref>
                  </c15:fullRef>
                </c:ext>
              </c:extLst>
              <c:f>'Participation horaire'!$T$38:$T$48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horaire'!$AG$38:$AG$50</c15:sqref>
                  </c15:fullRef>
                </c:ext>
              </c:extLst>
              <c:f>'Participation horaire'!$AG$38:$AG$48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4.8272482234746387E-2</c:v>
                </c:pt>
                <c:pt idx="2">
                  <c:v>0.11455525606469003</c:v>
                </c:pt>
                <c:pt idx="3">
                  <c:v>0.20779220779220781</c:v>
                </c:pt>
                <c:pt idx="4">
                  <c:v>0.30531732418524871</c:v>
                </c:pt>
                <c:pt idx="5">
                  <c:v>0.36535162950257288</c:v>
                </c:pt>
                <c:pt idx="6">
                  <c:v>0.4164420485175202</c:v>
                </c:pt>
                <c:pt idx="7">
                  <c:v>0.47096299926488605</c:v>
                </c:pt>
                <c:pt idx="8">
                  <c:v>0.5204606714040676</c:v>
                </c:pt>
                <c:pt idx="9">
                  <c:v>0.54949767213918155</c:v>
                </c:pt>
                <c:pt idx="10">
                  <c:v>0.57363391325655477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381-4D9C-87CD-6FB0CF0F0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  <c:extLst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Affluence horaire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6.5015479876160992E-2"/>
          <c:w val="0.83989080979742214"/>
          <c:h val="0.84373223470905145"/>
        </c:manualLayout>
      </c:layout>
      <c:barChart>
        <c:barDir val="col"/>
        <c:grouping val="clustered"/>
        <c:varyColors val="1"/>
        <c:ser>
          <c:idx val="12"/>
          <c:order val="1"/>
          <c:tx>
            <c:strRef>
              <c:f>'Participation horaire'!$G$53</c:f>
              <c:strCache>
                <c:ptCount val="1"/>
                <c:pt idx="0">
                  <c:v>Bureau 1</c:v>
                </c:pt>
              </c:strCache>
            </c:strRef>
          </c:tx>
          <c:spPr>
            <a:solidFill>
              <a:schemeClr val="accent1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horaire'!$G$54:$G$63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71-47A9-AAA9-4D8BFF0DF9E1}"/>
            </c:ext>
          </c:extLst>
        </c:ser>
        <c:ser>
          <c:idx val="11"/>
          <c:order val="2"/>
          <c:tx>
            <c:strRef>
              <c:f>'Participation horaire'!$H$53</c:f>
              <c:strCache>
                <c:ptCount val="1"/>
                <c:pt idx="0">
                  <c:v>Bureau 2</c:v>
                </c:pt>
              </c:strCache>
            </c:strRef>
          </c:tx>
          <c:spPr>
            <a:solidFill>
              <a:schemeClr val="accent2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horaire'!$H$54:$H$63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71-47A9-AAA9-4D8BFF0DF9E1}"/>
            </c:ext>
          </c:extLst>
        </c:ser>
        <c:ser>
          <c:idx val="10"/>
          <c:order val="3"/>
          <c:tx>
            <c:strRef>
              <c:f>'Participation horaire'!$I$53</c:f>
              <c:strCache>
                <c:ptCount val="1"/>
                <c:pt idx="0">
                  <c:v>Bureau 3</c:v>
                </c:pt>
              </c:strCache>
            </c:strRef>
          </c:tx>
          <c:spPr>
            <a:solidFill>
              <a:schemeClr val="accent3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horaire'!$I$54:$I$63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71-47A9-AAA9-4D8BFF0DF9E1}"/>
            </c:ext>
          </c:extLst>
        </c:ser>
        <c:ser>
          <c:idx val="9"/>
          <c:order val="4"/>
          <c:tx>
            <c:strRef>
              <c:f>'Participation horaire'!$J$53</c:f>
              <c:strCache>
                <c:ptCount val="1"/>
                <c:pt idx="0">
                  <c:v>Bureau 4</c:v>
                </c:pt>
              </c:strCache>
            </c:strRef>
          </c:tx>
          <c:spPr>
            <a:solidFill>
              <a:schemeClr val="accent4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horaire'!$J$54:$J$63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71-47A9-AAA9-4D8BFF0DF9E1}"/>
            </c:ext>
          </c:extLst>
        </c:ser>
        <c:ser>
          <c:idx val="8"/>
          <c:order val="5"/>
          <c:tx>
            <c:strRef>
              <c:f>'Participation horaire'!$K$53</c:f>
              <c:strCache>
                <c:ptCount val="1"/>
                <c:pt idx="0">
                  <c:v>Bureau 5</c:v>
                </c:pt>
              </c:strCache>
            </c:strRef>
          </c:tx>
          <c:spPr>
            <a:solidFill>
              <a:schemeClr val="accent5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horaire'!$K$54:$K$63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71-47A9-AAA9-4D8BFF0DF9E1}"/>
            </c:ext>
          </c:extLst>
        </c:ser>
        <c:ser>
          <c:idx val="7"/>
          <c:order val="6"/>
          <c:tx>
            <c:strRef>
              <c:f>'Participation horaire'!$L$53</c:f>
              <c:strCache>
                <c:ptCount val="1"/>
                <c:pt idx="0">
                  <c:v>Bureau 6</c:v>
                </c:pt>
              </c:strCache>
            </c:strRef>
          </c:tx>
          <c:spPr>
            <a:solidFill>
              <a:schemeClr val="accent6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horaire'!$L$54:$L$63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71-47A9-AAA9-4D8BFF0DF9E1}"/>
            </c:ext>
          </c:extLst>
        </c:ser>
        <c:ser>
          <c:idx val="6"/>
          <c:order val="7"/>
          <c:tx>
            <c:strRef>
              <c:f>'Participation horaire'!$M$53</c:f>
              <c:strCache>
                <c:ptCount val="1"/>
                <c:pt idx="0">
                  <c:v>Bureau 7</c:v>
                </c:pt>
              </c:strCache>
            </c:strRef>
          </c:tx>
          <c:spPr>
            <a:solidFill>
              <a:schemeClr val="accent1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horaire'!$M$54:$M$63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71-47A9-AAA9-4D8BFF0DF9E1}"/>
            </c:ext>
          </c:extLst>
        </c:ser>
        <c:ser>
          <c:idx val="5"/>
          <c:order val="8"/>
          <c:tx>
            <c:strRef>
              <c:f>'Participation horaire'!$N$53</c:f>
              <c:strCache>
                <c:ptCount val="1"/>
                <c:pt idx="0">
                  <c:v>Bureau 8</c:v>
                </c:pt>
              </c:strCache>
            </c:strRef>
          </c:tx>
          <c:spPr>
            <a:solidFill>
              <a:schemeClr val="accent2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horaire'!$N$54:$N$63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C71-47A9-AAA9-4D8BFF0DF9E1}"/>
            </c:ext>
          </c:extLst>
        </c:ser>
        <c:ser>
          <c:idx val="4"/>
          <c:order val="9"/>
          <c:tx>
            <c:strRef>
              <c:f>'Participation horaire'!$O$53</c:f>
              <c:strCache>
                <c:ptCount val="1"/>
                <c:pt idx="0">
                  <c:v>Bureau 9</c:v>
                </c:pt>
              </c:strCache>
            </c:strRef>
          </c:tx>
          <c:spPr>
            <a:solidFill>
              <a:schemeClr val="accent3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horaire'!$O$54:$O$63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C71-47A9-AAA9-4D8BFF0DF9E1}"/>
            </c:ext>
          </c:extLst>
        </c:ser>
        <c:ser>
          <c:idx val="3"/>
          <c:order val="10"/>
          <c:tx>
            <c:strRef>
              <c:f>'Participation horaire'!$P$53</c:f>
              <c:strCache>
                <c:ptCount val="1"/>
                <c:pt idx="0">
                  <c:v>Bureau 10</c:v>
                </c:pt>
              </c:strCache>
            </c:strRef>
          </c:tx>
          <c:spPr>
            <a:solidFill>
              <a:schemeClr val="accent4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horaire'!$P$54:$P$63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C71-47A9-AAA9-4D8BFF0DF9E1}"/>
            </c:ext>
          </c:extLst>
        </c:ser>
        <c:ser>
          <c:idx val="2"/>
          <c:order val="11"/>
          <c:tx>
            <c:strRef>
              <c:f>'Participation horaire'!$Q$53</c:f>
              <c:strCache>
                <c:ptCount val="1"/>
                <c:pt idx="0">
                  <c:v>Bureau 11</c:v>
                </c:pt>
              </c:strCache>
            </c:strRef>
          </c:tx>
          <c:spPr>
            <a:solidFill>
              <a:schemeClr val="accent5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horaire'!$Q$54:$Q$63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71-47A9-AAA9-4D8BFF0DF9E1}"/>
            </c:ext>
          </c:extLst>
        </c:ser>
        <c:ser>
          <c:idx val="1"/>
          <c:order val="12"/>
          <c:tx>
            <c:strRef>
              <c:f>'Participation horaire'!$R$53</c:f>
              <c:strCache>
                <c:ptCount val="1"/>
                <c:pt idx="0">
                  <c:v>Bureau 12</c:v>
                </c:pt>
              </c:strCache>
            </c:strRef>
          </c:tx>
          <c:spPr>
            <a:solidFill>
              <a:schemeClr val="accent6">
                <a:alpha val="50000"/>
              </a:schemeClr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horaire'!$R$54:$R$63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C71-47A9-AAA9-4D8BFF0DF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lineChart>
        <c:grouping val="standard"/>
        <c:varyColors val="1"/>
        <c:ser>
          <c:idx val="0"/>
          <c:order val="0"/>
          <c:tx>
            <c:strRef>
              <c:f>'Participation horaire'!$S$53</c:f>
              <c:strCache>
                <c:ptCount val="1"/>
                <c:pt idx="0">
                  <c:v>Total</c:v>
                </c:pt>
              </c:strCache>
            </c:strRef>
          </c:tx>
          <c:spPr>
            <a:ln w="444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horaire'!$S$54:$S$63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C71-47A9-AAA9-4D8BFF0DF9E1}"/>
            </c:ext>
          </c:extLst>
        </c:ser>
        <c:ser>
          <c:idx val="13"/>
          <c:order val="13"/>
          <c:tx>
            <c:v>1er tour</c:v>
          </c:tx>
          <c:spPr>
            <a:ln w="31750"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dPt>
            <c:idx val="9"/>
            <c:bubble3D val="0"/>
            <c:spPr>
              <a:ln w="31750">
                <a:solidFill>
                  <a:schemeClr val="bg1">
                    <a:lumMod val="50000"/>
                    <a:alpha val="60000"/>
                  </a:schemeClr>
                </a:solidFill>
                <a:prstDash val="dash"/>
              </a:ln>
            </c:spPr>
            <c:extLst>
              <c:ext xmlns:c16="http://schemas.microsoft.com/office/drawing/2014/chart" uri="{C3380CC4-5D6E-409C-BE32-E72D297353CC}">
                <c16:uniqueId val="{00000001-4409-4024-A379-ED44EFC990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>
                        <a:alpha val="60000"/>
                      </a:schemeClr>
                    </a:solidFill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horaire'!$AG$54:$AG$63</c:f>
              <c:numCache>
                <c:formatCode>General</c:formatCode>
                <c:ptCount val="10"/>
                <c:pt idx="0">
                  <c:v>394</c:v>
                </c:pt>
                <c:pt idx="1">
                  <c:v>545</c:v>
                </c:pt>
                <c:pt idx="2">
                  <c:v>757</c:v>
                </c:pt>
                <c:pt idx="3">
                  <c:v>796</c:v>
                </c:pt>
                <c:pt idx="4">
                  <c:v>470</c:v>
                </c:pt>
                <c:pt idx="5">
                  <c:v>437</c:v>
                </c:pt>
                <c:pt idx="6">
                  <c:v>445</c:v>
                </c:pt>
                <c:pt idx="7">
                  <c:v>404</c:v>
                </c:pt>
                <c:pt idx="8">
                  <c:v>237</c:v>
                </c:pt>
                <c:pt idx="9">
                  <c:v>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9-4024-A379-ED44EFC99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7557040"/>
        <c:axId val="1797558000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  <c:valAx>
        <c:axId val="17975580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/>
        </c:spPr>
        <c:crossAx val="1797557040"/>
        <c:crosses val="max"/>
        <c:crossBetween val="between"/>
      </c:valAx>
      <c:catAx>
        <c:axId val="1797557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97558000"/>
        <c:crosses val="autoZero"/>
        <c:auto val="1"/>
        <c:lblAlgn val="ctr"/>
        <c:lblOffset val="100"/>
        <c:noMultiLvlLbl val="0"/>
      </c:catAx>
    </c:plotArea>
    <c:legend>
      <c:legendPos val="r"/>
      <c:overlay val="0"/>
      <c:spPr>
        <a:ln>
          <a:solidFill>
            <a:srgbClr val="000000">
              <a:alpha val="50000"/>
            </a:srgbClr>
          </a:solidFill>
        </a:ln>
      </c:spPr>
    </c:legend>
    <c:plotVisOnly val="1"/>
    <c:dispBlanksAs val="zero"/>
    <c:showDLblsOverMax val="1"/>
    <c:extLst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035751863304763E-2"/>
          <c:y val="7.3892983912780222E-2"/>
          <c:w val="0.89628611385083534"/>
          <c:h val="0.65696149230059531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w="25400" cmpd="sng">
              <a:solidFill>
                <a:schemeClr val="accent3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FEF2CD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67F-4B32-9431-FF4402D00F1A}"/>
              </c:ext>
            </c:extLst>
          </c:dPt>
          <c:dPt>
            <c:idx val="1"/>
            <c:invertIfNegative val="1"/>
            <c:bubble3D val="0"/>
            <c:spPr>
              <a:solidFill>
                <a:srgbClr val="D1F1DA"/>
              </a:solidFill>
              <a:ln w="25400" cmpd="sng">
                <a:solidFill>
                  <a:schemeClr val="accent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67F-4B32-9431-FF4402D00F1A}"/>
              </c:ext>
            </c:extLst>
          </c:dPt>
          <c:dPt>
            <c:idx val="2"/>
            <c:invertIfNegative val="1"/>
            <c:bubble3D val="0"/>
            <c:spPr>
              <a:solidFill>
                <a:srgbClr val="D1F1DA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67F-4B32-9431-FF4402D00F1A}"/>
              </c:ext>
            </c:extLst>
          </c:dPt>
          <c:dPt>
            <c:idx val="3"/>
            <c:invertIfNegative val="1"/>
            <c:bubble3D val="0"/>
            <c:spPr>
              <a:solidFill>
                <a:srgbClr val="D1F1DA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67F-4B32-9431-FF4402D00F1A}"/>
              </c:ext>
            </c:extLst>
          </c:dPt>
          <c:dPt>
            <c:idx val="4"/>
            <c:invertIfNegative val="1"/>
            <c:bubble3D val="0"/>
            <c:spPr>
              <a:solidFill>
                <a:srgbClr val="FFE1CC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67F-4B32-9431-FF4402D00F1A}"/>
              </c:ext>
            </c:extLst>
          </c:dPt>
          <c:dPt>
            <c:idx val="5"/>
            <c:invertIfNegative val="1"/>
            <c:bubble3D val="0"/>
            <c:spPr>
              <a:solidFill>
                <a:srgbClr val="B3CEFB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67F-4B32-9431-FF4402D00F1A}"/>
              </c:ext>
            </c:extLst>
          </c:dPt>
          <c:dPt>
            <c:idx val="6"/>
            <c:invertIfNegative val="1"/>
            <c:bubble3D val="0"/>
            <c:spPr>
              <a:solidFill>
                <a:srgbClr val="F7B4AE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D67F-4B32-9431-FF4402D00F1A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D67F-4B32-9431-FF4402D00F1A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D67F-4B32-9431-FF4402D00F1A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D67F-4B32-9431-FF4402D00F1A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5-D67F-4B32-9431-FF4402D00F1A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D67F-4B32-9431-FF4402D00F1A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D67F-4B32-9431-FF4402D00F1A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D67F-4B32-9431-FF4402D00F1A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D67F-4B32-9431-FF4402D00F1A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D67F-4B32-9431-FF4402D00F1A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D67F-4B32-9431-FF4402D00F1A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D67F-4B32-9431-FF4402D00F1A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D67F-4B32-9431-FF4402D00F1A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w="25400" cmpd="sng">
                <a:solidFill>
                  <a:schemeClr val="accent3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D67F-4B32-9431-FF4402D00F1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Synthèse!$L$2:$M$2</c:f>
              <c:strCache>
                <c:ptCount val="2"/>
                <c:pt idx="0">
                  <c:v>M. Pierre-Yves 
TIERCE</c:v>
                </c:pt>
                <c:pt idx="1">
                  <c:v>Mme Isabelle 
FARNET RISSO</c:v>
                </c:pt>
              </c:strCache>
            </c:strRef>
          </c:cat>
          <c:val>
            <c:numRef>
              <c:f>Synthèse!$L$16:$M$16</c:f>
              <c:numCache>
                <c:formatCode>0.00%</c:formatCode>
                <c:ptCount val="2"/>
                <c:pt idx="0">
                  <c:v>0.6</c:v>
                </c:pt>
                <c:pt idx="1">
                  <c:v>0.4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 cmpd="sng">
                    <a:solidFill>
                      <a:schemeClr val="accent3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28-D67F-4B32-9431-FF4402D00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/>
        </c:sp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txPr>
    <a:bodyPr/>
    <a:lstStyle/>
    <a:p>
      <a:pPr>
        <a:defRPr sz="1600"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00"/>
            </a:pPr>
            <a:r>
              <a:rPr lang="fr-FR" sz="3200" b="0"/>
              <a:t>Taux de participation</a:t>
            </a:r>
          </a:p>
        </c:rich>
      </c:tx>
      <c:layout>
        <c:manualLayout>
          <c:xMode val="edge"/>
          <c:yMode val="edge"/>
          <c:x val="0.1130242309248333"/>
          <c:y val="0.1527344729650480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0.10097475533105395"/>
          <c:w val="0.82556245507403725"/>
          <c:h val="0.80777299530896007"/>
        </c:manualLayout>
      </c:layout>
      <c:lineChart>
        <c:grouping val="standard"/>
        <c:varyColors val="1"/>
        <c:ser>
          <c:idx val="13"/>
          <c:order val="0"/>
          <c:tx>
            <c:v>1er tour</c:v>
          </c:tx>
          <c:spPr>
            <a:ln w="50800">
              <a:solidFill>
                <a:schemeClr val="bg1">
                  <a:lumMod val="50000"/>
                  <a:alpha val="60000"/>
                </a:schemeClr>
              </a:solidFill>
              <a:prstDash val="sysDash"/>
            </a:ln>
          </c:spPr>
          <c:marker>
            <c:symbol val="none"/>
          </c:marker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0-523E-436C-8C91-65034AF5583F}"/>
              </c:ext>
            </c:extLst>
          </c:dPt>
          <c:cat>
            <c:strLit>
              <c:ptCount val="11"/>
              <c:pt idx="0">
                <c:v>08h00</c:v>
              </c:pt>
              <c:pt idx="1">
                <c:v>09h00</c:v>
              </c:pt>
              <c:pt idx="2">
                <c:v>10h00</c:v>
              </c:pt>
              <c:pt idx="3">
                <c:v>11h00</c:v>
              </c:pt>
              <c:pt idx="4">
                <c:v>12h00</c:v>
              </c:pt>
              <c:pt idx="5">
                <c:v>13h00</c:v>
              </c:pt>
              <c:pt idx="6">
                <c:v>14h00</c:v>
              </c:pt>
              <c:pt idx="7">
                <c:v>15h00</c:v>
              </c:pt>
              <c:pt idx="8">
                <c:v>16h00</c:v>
              </c:pt>
              <c:pt idx="9">
                <c:v>17h00</c:v>
              </c:pt>
              <c:pt idx="10">
                <c:v>18h00</c:v>
              </c:pt>
              <c:pt idx="11">
                <c:v>19h00</c:v>
              </c:pt>
              <c:pt idx="12">
                <c:v>20h00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('Participation horaire'!$AG$38,'Participation horaire'!$AF$14:$AO$14)</c15:sqref>
                  </c15:fullRef>
                </c:ext>
              </c:extLst>
              <c:f>('Participation horaire'!$AG$38,'Participation horaire'!$AF$14:$AO$14)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4.8272482234746387E-2</c:v>
                </c:pt>
                <c:pt idx="2">
                  <c:v>0.11455525606469003</c:v>
                </c:pt>
                <c:pt idx="3">
                  <c:v>0.20779220779220781</c:v>
                </c:pt>
                <c:pt idx="4">
                  <c:v>0.30531732418524871</c:v>
                </c:pt>
                <c:pt idx="5">
                  <c:v>0.36535162950257288</c:v>
                </c:pt>
                <c:pt idx="6">
                  <c:v>0.4164420485175202</c:v>
                </c:pt>
                <c:pt idx="7">
                  <c:v>0.47096299926488605</c:v>
                </c:pt>
                <c:pt idx="8">
                  <c:v>0.5204606714040676</c:v>
                </c:pt>
                <c:pt idx="9">
                  <c:v>0.54949767213918155</c:v>
                </c:pt>
                <c:pt idx="10">
                  <c:v>0.57363391325655477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B-4423-BC19-CF5D8FEBECA2}"/>
            </c:ext>
          </c:extLst>
        </c:ser>
        <c:ser>
          <c:idx val="12"/>
          <c:order val="1"/>
          <c:tx>
            <c:v>2nd tour</c:v>
          </c:tx>
          <c:spPr>
            <a:ln w="381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 vert="horz" wrap="square" lIns="38100" tIns="19050" rIns="38100" bIns="108000" anchor="t" anchorCtr="0">
                <a:spAutoFit/>
              </a:bodyPr>
              <a:lstStyle/>
              <a:p>
                <a:pPr>
                  <a:defRPr sz="2400" b="1">
                    <a:ln>
                      <a:noFill/>
                    </a:ln>
                    <a:effectLst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f>'Participation horaire'!$S$38:$S$50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1.2861342479176875E-2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53-453C-8FEA-EA6F406B7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155108"/>
        <c:axId val="555101647"/>
        <c:extLst>
          <c:ext xmlns:c15="http://schemas.microsoft.com/office/drawing/2012/chart" uri="{02D57815-91ED-43cb-92C2-25804820EDAC}">
            <c15:filteredLineSeries>
              <c15:ser>
                <c:idx val="11"/>
                <c:order val="2"/>
                <c:tx>
                  <c:v>Bureau 12</c:v>
                </c:tx>
                <c:spPr>
                  <a:ln w="19050" cap="rnd" cmpd="sng" algn="ctr">
                    <a:solidFill>
                      <a:srgbClr val="46BDC6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'Participation horaire'!$F$38:$F$50</c15:sqref>
                        </c15:fullRef>
                        <c15:formulaRef>
                          <c15:sqref>'Participation horaire'!$F$38:$F$48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'Participation horaire'!$R$38:$R$50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F53-453C-8FEA-EA6F406B7B39}"/>
                  </c:ext>
                </c:extLst>
              </c15:ser>
            </c15:filteredLineSeries>
            <c15:filteredLineSeries>
              <c15:ser>
                <c:idx val="10"/>
                <c:order val="3"/>
                <c:tx>
                  <c:v>Bureau 11</c:v>
                </c:tx>
                <c:spPr>
                  <a:ln w="19050" cap="rnd" cmpd="sng" algn="ctr">
                    <a:solidFill>
                      <a:srgbClr val="FF6D01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horaire'!$F$38:$F$50</c15:sqref>
                        </c15:fullRef>
                        <c15:formulaRef>
                          <c15:sqref>'Participation horaire'!$F$38:$F$48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'Participation horaire'!$Q$38:$Q$50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F53-453C-8FEA-EA6F406B7B39}"/>
                  </c:ext>
                </c:extLst>
              </c15:ser>
            </c15:filteredLineSeries>
            <c15:filteredLineSeries>
              <c15:ser>
                <c:idx val="9"/>
                <c:order val="4"/>
                <c:tx>
                  <c:v>Bureau 10</c:v>
                </c:tx>
                <c:spPr>
                  <a:ln w="19050" cap="rnd" cmpd="sng" algn="ctr">
                    <a:solidFill>
                      <a:srgbClr val="34A853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horaire'!$F$38:$F$50</c15:sqref>
                        </c15:fullRef>
                        <c15:formulaRef>
                          <c15:sqref>'Participation horaire'!$F$38:$F$48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'Participation horaire'!$P$38:$P$50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F53-453C-8FEA-EA6F406B7B39}"/>
                  </c:ext>
                </c:extLst>
              </c15:ser>
            </c15:filteredLineSeries>
            <c15:filteredLineSeries>
              <c15:ser>
                <c:idx val="8"/>
                <c:order val="5"/>
                <c:tx>
                  <c:v>Bureau 9</c:v>
                </c:tx>
                <c:spPr>
                  <a:ln w="19050" cap="rnd" cmpd="sng" algn="ctr">
                    <a:solidFill>
                      <a:srgbClr val="FBBC04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horaire'!$F$38:$F$50</c15:sqref>
                        </c15:fullRef>
                        <c15:formulaRef>
                          <c15:sqref>'Participation horaire'!$F$38:$F$48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'Participation horaire'!$O$38:$O$50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F53-453C-8FEA-EA6F406B7B39}"/>
                  </c:ext>
                </c:extLst>
              </c15:ser>
            </c15:filteredLineSeries>
            <c15:filteredLineSeries>
              <c15:ser>
                <c:idx val="7"/>
                <c:order val="6"/>
                <c:tx>
                  <c:v>Bureau 8</c:v>
                </c:tx>
                <c:spPr>
                  <a:ln w="19050" cap="rnd" cmpd="sng" algn="ctr">
                    <a:solidFill>
                      <a:srgbClr val="EA4335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horaire'!$F$38:$F$50</c15:sqref>
                        </c15:fullRef>
                        <c15:formulaRef>
                          <c15:sqref>'Participation horaire'!$F$38:$F$48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'Participation horaire'!$N$38:$N$50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F53-453C-8FEA-EA6F406B7B39}"/>
                  </c:ext>
                </c:extLst>
              </c15:ser>
            </c15:filteredLineSeries>
            <c15:filteredLineSeries>
              <c15:ser>
                <c:idx val="6"/>
                <c:order val="7"/>
                <c:tx>
                  <c:v>Bureau 7</c:v>
                </c:tx>
                <c:spPr>
                  <a:ln w="19050" cap="rnd" cmpd="sng" algn="ctr">
                    <a:solidFill>
                      <a:srgbClr val="4285F4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horaire'!$F$38:$F$50</c15:sqref>
                        </c15:fullRef>
                        <c15:formulaRef>
                          <c15:sqref>'Participation horaire'!$F$38:$F$48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'Participation horaire'!$M$38:$M$50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F53-453C-8FEA-EA6F406B7B39}"/>
                  </c:ext>
                </c:extLst>
              </c15:ser>
            </c15:filteredLineSeries>
            <c15:filteredLineSeries>
              <c15:ser>
                <c:idx val="5"/>
                <c:order val="8"/>
                <c:tx>
                  <c:v>Bureau 6</c:v>
                </c:tx>
                <c:spPr>
                  <a:ln w="19050" cap="rnd" cmpd="sng" algn="ctr">
                    <a:solidFill>
                      <a:srgbClr val="46BDC6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horaire'!$F$38:$F$50</c15:sqref>
                        </c15:fullRef>
                        <c15:formulaRef>
                          <c15:sqref>'Participation horaire'!$F$38:$F$48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'Participation horaire'!$L$38:$L$50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F53-453C-8FEA-EA6F406B7B39}"/>
                  </c:ext>
                </c:extLst>
              </c15:ser>
            </c15:filteredLineSeries>
            <c15:filteredLineSeries>
              <c15:ser>
                <c:idx val="4"/>
                <c:order val="9"/>
                <c:tx>
                  <c:v>Bureau 5</c:v>
                </c:tx>
                <c:spPr>
                  <a:ln w="19050" cap="rnd" cmpd="sng" algn="ctr">
                    <a:solidFill>
                      <a:srgbClr val="FF6D01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horaire'!$F$38:$F$50</c15:sqref>
                        </c15:fullRef>
                        <c15:formulaRef>
                          <c15:sqref>'Participation horaire'!$F$38:$F$48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'Participation horaire'!$K$38:$K$50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F53-453C-8FEA-EA6F406B7B39}"/>
                  </c:ext>
                </c:extLst>
              </c15:ser>
            </c15:filteredLineSeries>
            <c15:filteredLineSeries>
              <c15:ser>
                <c:idx val="3"/>
                <c:order val="10"/>
                <c:tx>
                  <c:v>Bureau 4</c:v>
                </c:tx>
                <c:spPr>
                  <a:ln w="19050" cap="rnd" cmpd="sng" algn="ctr">
                    <a:solidFill>
                      <a:srgbClr val="34A853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horaire'!$F$38:$F$50</c15:sqref>
                        </c15:fullRef>
                        <c15:formulaRef>
                          <c15:sqref>'Participation horaire'!$F$38:$F$48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'Participation horaire'!$J$38:$J$50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F53-453C-8FEA-EA6F406B7B39}"/>
                  </c:ext>
                </c:extLst>
              </c15:ser>
            </c15:filteredLineSeries>
            <c15:filteredLineSeries>
              <c15:ser>
                <c:idx val="2"/>
                <c:order val="11"/>
                <c:tx>
                  <c:v>Bureau 3</c:v>
                </c:tx>
                <c:spPr>
                  <a:ln w="19050" cap="rnd" cmpd="sng" algn="ctr">
                    <a:solidFill>
                      <a:srgbClr val="FBBC04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horaire'!$F$38:$F$50</c15:sqref>
                        </c15:fullRef>
                        <c15:formulaRef>
                          <c15:sqref>'Participation horaire'!$F$38:$F$48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'Participation horaire'!$I$38:$I$50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F53-453C-8FEA-EA6F406B7B39}"/>
                  </c:ext>
                </c:extLst>
              </c15:ser>
            </c15:filteredLineSeries>
            <c15:filteredLineSeries>
              <c15:ser>
                <c:idx val="1"/>
                <c:order val="12"/>
                <c:tx>
                  <c:v>Bureau 2</c:v>
                </c:tx>
                <c:spPr>
                  <a:ln w="19050" cap="rnd" cmpd="sng" algn="ctr">
                    <a:solidFill>
                      <a:srgbClr val="EA4335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horaire'!$F$38:$F$50</c15:sqref>
                        </c15:fullRef>
                        <c15:formulaRef>
                          <c15:sqref>'Participation horaire'!$F$38:$F$48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'Participation horaire'!$H$38:$H$50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F53-453C-8FEA-EA6F406B7B39}"/>
                  </c:ext>
                </c:extLst>
              </c15:ser>
            </c15:filteredLineSeries>
            <c15:filteredLineSeries>
              <c15:ser>
                <c:idx val="0"/>
                <c:order val="13"/>
                <c:tx>
                  <c:v>Bureau 1</c:v>
                </c:tx>
                <c:spPr>
                  <a:ln w="19050" cap="rnd" cmpd="sng" algn="ctr">
                    <a:solidFill>
                      <a:srgbClr val="4285F4">
                        <a:alpha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'Participation horaire'!$F$38:$F$50</c15:sqref>
                        </c15:fullRef>
                        <c15:formulaRef>
                          <c15:sqref>'Participation horaire'!$F$38:$F$48</c15:sqref>
                        </c15:formulaRef>
                      </c:ext>
                    </c:extLst>
                    <c:strCache>
                      <c:ptCount val="11"/>
                      <c:pt idx="0">
                        <c:v>08h00</c:v>
                      </c:pt>
                      <c:pt idx="1">
                        <c:v>09h00</c:v>
                      </c:pt>
                      <c:pt idx="2">
                        <c:v>10h00</c:v>
                      </c:pt>
                      <c:pt idx="3">
                        <c:v>11h00</c:v>
                      </c:pt>
                      <c:pt idx="4">
                        <c:v>12h00</c:v>
                      </c:pt>
                      <c:pt idx="5">
                        <c:v>13h00</c:v>
                      </c:pt>
                      <c:pt idx="6">
                        <c:v>14h00</c:v>
                      </c:pt>
                      <c:pt idx="7">
                        <c:v>15h00</c:v>
                      </c:pt>
                      <c:pt idx="8">
                        <c:v>16h00</c:v>
                      </c:pt>
                      <c:pt idx="9">
                        <c:v>17h00</c:v>
                      </c:pt>
                      <c:pt idx="10">
                        <c:v>18h00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'Participation horaire'!$G$38:$G$50</c15:sqref>
                        </c15:formulaRef>
                      </c:ext>
                    </c:extLst>
                    <c:numCache>
                      <c:formatCode>0.00%</c:formatCode>
                      <c:ptCount val="11"/>
                      <c:pt idx="0" formatCode="General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0.189873417721519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F53-453C-8FEA-EA6F406B7B39}"/>
                  </c:ext>
                </c:extLst>
              </c15:ser>
            </c15:filteredLineSeries>
          </c:ext>
        </c:extLst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/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>
              <a:defRPr sz="1400"/>
            </a:pPr>
            <a:endParaRPr lang="fr-FR"/>
          </a:p>
        </c:txPr>
        <c:crossAx val="16001551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86043241208745"/>
          <c:y val="0.19633307980311124"/>
          <c:w val="9.8626204680958757E-2"/>
          <c:h val="0.51978527988629364"/>
        </c:manualLayout>
      </c:layout>
      <c:overlay val="0"/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zero"/>
    <c:showDLblsOverMax val="1"/>
    <c:extLst/>
  </c:chart>
  <c:spPr>
    <a:solidFill>
      <a:srgbClr val="EFEFEF"/>
    </a:solidFill>
  </c:spPr>
  <c:txPr>
    <a:bodyPr/>
    <a:lstStyle/>
    <a:p>
      <a:pPr>
        <a:defRPr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00" b="0"/>
            </a:pPr>
            <a:r>
              <a:rPr lang="fr-FR" sz="3200" b="0"/>
              <a:t>Affluence horaire</a:t>
            </a:r>
          </a:p>
        </c:rich>
      </c:tx>
      <c:layout>
        <c:manualLayout>
          <c:xMode val="edge"/>
          <c:yMode val="edge"/>
          <c:x val="0.55577018581883397"/>
          <c:y val="6.35527559055118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200417727797612E-2"/>
          <c:y val="3.7805991968525417E-2"/>
          <c:w val="0.83989080979742214"/>
          <c:h val="0.81129976590763997"/>
        </c:manualLayout>
      </c:layout>
      <c:barChart>
        <c:barDir val="col"/>
        <c:grouping val="clustered"/>
        <c:varyColors val="1"/>
        <c:ser>
          <c:idx val="13"/>
          <c:order val="0"/>
          <c:tx>
            <c:v>1er tour</c:v>
          </c:tx>
          <c:spPr>
            <a:pattFill prst="wdDnDiag">
              <a:fgClr>
                <a:schemeClr val="bg1">
                  <a:lumMod val="75000"/>
                </a:schemeClr>
              </a:fgClr>
              <a:bgClr>
                <a:schemeClr val="bg1">
                  <a:lumMod val="95000"/>
                </a:schemeClr>
              </a:bgClr>
            </a:pattFill>
            <a:ln w="31750">
              <a:solidFill>
                <a:schemeClr val="bg1">
                  <a:lumMod val="50000"/>
                  <a:alpha val="70000"/>
                </a:schemeClr>
              </a:solidFill>
              <a:prstDash val="dash"/>
            </a:ln>
          </c:spPr>
          <c:invertIfNegative val="0"/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C8C7-4860-B0AE-D11CE030E8A2}"/>
              </c:ext>
            </c:extLst>
          </c:dPt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horaire'!$AG$54:$AG$63</c:f>
              <c:numCache>
                <c:formatCode>General</c:formatCode>
                <c:ptCount val="10"/>
                <c:pt idx="0">
                  <c:v>394</c:v>
                </c:pt>
                <c:pt idx="1">
                  <c:v>545</c:v>
                </c:pt>
                <c:pt idx="2">
                  <c:v>757</c:v>
                </c:pt>
                <c:pt idx="3">
                  <c:v>796</c:v>
                </c:pt>
                <c:pt idx="4">
                  <c:v>470</c:v>
                </c:pt>
                <c:pt idx="5">
                  <c:v>437</c:v>
                </c:pt>
                <c:pt idx="6">
                  <c:v>445</c:v>
                </c:pt>
                <c:pt idx="7">
                  <c:v>404</c:v>
                </c:pt>
                <c:pt idx="8">
                  <c:v>237</c:v>
                </c:pt>
                <c:pt idx="9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8C7-4860-B0AE-D11CE030E8A2}"/>
            </c:ext>
          </c:extLst>
        </c:ser>
        <c:ser>
          <c:idx val="0"/>
          <c:order val="1"/>
          <c:tx>
            <c:v>2nd tour</c:v>
          </c:tx>
          <c:spPr>
            <a:solidFill>
              <a:schemeClr val="tx1"/>
            </a:solidFill>
            <a:ln w="4445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'Participation horaire'!$F$54:$F$63</c:f>
              <c:strCache>
                <c:ptCount val="10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</c:strCache>
            </c:strRef>
          </c:cat>
          <c:val>
            <c:numRef>
              <c:f>'Participation horaire'!$S$54:$S$63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8C7-4860-B0AE-D11CE030E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anchor="ctr" anchorCtr="0"/>
          <a:lstStyle/>
          <a:p>
            <a:pPr>
              <a:defRPr sz="2000"/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ln>
            <a:solidFill/>
          </a:ln>
        </c:spPr>
        <c:crossAx val="16001551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12457568028317"/>
          <c:y val="0.22300559409847615"/>
          <c:w val="8.7157242619829392E-2"/>
          <c:h val="0.57135638951275025"/>
        </c:manualLayout>
      </c:layout>
      <c:overlay val="0"/>
      <c:spPr>
        <a:ln>
          <a:noFill/>
        </a:ln>
      </c:spPr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gap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txPr>
    <a:bodyPr/>
    <a:lstStyle/>
    <a:p>
      <a:pPr>
        <a:defRPr sz="1400"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Exemple!$D$13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FC-4E5C-A81B-B89D6E7F77AA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FC-4E5C-A81B-B89D6E7F77A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CFC-4E5C-A81B-B89D6E7F77AA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CFC-4E5C-A81B-B89D6E7F77A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CFC-4E5C-A81B-B89D6E7F77AA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CFC-4E5C-A81B-B89D6E7F77AA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CFC-4E5C-A81B-B89D6E7F77A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CFC-4E5C-A81B-B89D6E7F77AA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CFC-4E5C-A81B-B89D6E7F77AA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CFC-4E5C-A81B-B89D6E7F77A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CFC-4E5C-A81B-B89D6E7F77A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CFC-4E5C-A81B-B89D6E7F77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Exemple!$E$2:$P$2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Exemple!$E$13:$P$13</c:f>
              <c:numCache>
                <c:formatCode>General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135</c:v>
                </c:pt>
                <c:pt idx="3">
                  <c:v>166</c:v>
                </c:pt>
                <c:pt idx="4">
                  <c:v>9</c:v>
                </c:pt>
                <c:pt idx="5">
                  <c:v>27</c:v>
                </c:pt>
                <c:pt idx="6">
                  <c:v>37</c:v>
                </c:pt>
                <c:pt idx="7">
                  <c:v>15</c:v>
                </c:pt>
                <c:pt idx="8">
                  <c:v>13</c:v>
                </c:pt>
                <c:pt idx="9">
                  <c:v>13</c:v>
                </c:pt>
                <c:pt idx="10" formatCode="#,##0">
                  <c:v>8</c:v>
                </c:pt>
                <c:pt idx="11" formatCode="#,##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CFC-4E5C-A81B-B89D6E7F7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Exemple!$X$2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EB7-4F87-8B1F-77327802573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EB7-4F87-8B1F-77327802573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EB7-4F87-8B1F-77327802573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EB7-4F87-8B1F-77327802573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EB7-4F87-8B1F-77327802573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B7-4F87-8B1F-77327802573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EB7-4F87-8B1F-77327802573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EB7-4F87-8B1F-77327802573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EB7-4F87-8B1F-77327802573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EB7-4F87-8B1F-77327802573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EB7-4F87-8B1F-77327802573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EB7-4F87-8B1F-77327802573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EB7-4F87-8B1F-77327802573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Exemple!$X$3:$X$15</c:f>
              <c:numCache>
                <c:formatCode>0.00%</c:formatCode>
                <c:ptCount val="13"/>
                <c:pt idx="0">
                  <c:v>0</c:v>
                </c:pt>
                <c:pt idx="1">
                  <c:v>0.11857707509881422</c:v>
                </c:pt>
                <c:pt idx="2">
                  <c:v>0.233201581027668</c:v>
                </c:pt>
                <c:pt idx="3">
                  <c:v>0.35375494071146246</c:v>
                </c:pt>
                <c:pt idx="4">
                  <c:v>0.46442687747035571</c:v>
                </c:pt>
                <c:pt idx="5">
                  <c:v>0.55928853754940711</c:v>
                </c:pt>
                <c:pt idx="6">
                  <c:v>0.63043478260869568</c:v>
                </c:pt>
                <c:pt idx="7">
                  <c:v>0.69169960474308301</c:v>
                </c:pt>
                <c:pt idx="8">
                  <c:v>0.75098814229249011</c:v>
                </c:pt>
                <c:pt idx="9">
                  <c:v>0.78853754940711462</c:v>
                </c:pt>
                <c:pt idx="10">
                  <c:v>0.86956521739130432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B7-4F87-8B1F-773278025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Exemple!$AA$2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396-485D-A4C3-5694BF10549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396-485D-A4C3-5694BF10549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396-485D-A4C3-5694BF10549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396-485D-A4C3-5694BF10549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396-485D-A4C3-5694BF10549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396-485D-A4C3-5694BF10549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396-485D-A4C3-5694BF10549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396-485D-A4C3-5694BF10549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396-485D-A4C3-5694BF10549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396-485D-A4C3-5694BF10549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396-485D-A4C3-5694BF10549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396-485D-A4C3-5694BF10549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396-485D-A4C3-5694BF10549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Exemple!$AA$4:$AA$15</c:f>
              <c:numCache>
                <c:formatCode>General</c:formatCode>
                <c:ptCount val="12"/>
                <c:pt idx="0">
                  <c:v>60</c:v>
                </c:pt>
                <c:pt idx="1">
                  <c:v>58</c:v>
                </c:pt>
                <c:pt idx="2">
                  <c:v>61</c:v>
                </c:pt>
                <c:pt idx="3">
                  <c:v>56</c:v>
                </c:pt>
                <c:pt idx="4">
                  <c:v>48</c:v>
                </c:pt>
                <c:pt idx="5">
                  <c:v>36</c:v>
                </c:pt>
                <c:pt idx="6">
                  <c:v>31</c:v>
                </c:pt>
                <c:pt idx="7">
                  <c:v>30</c:v>
                </c:pt>
                <c:pt idx="8">
                  <c:v>19</c:v>
                </c:pt>
                <c:pt idx="9">
                  <c:v>41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396-485D-A4C3-5694BF10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Dépouillement du bureau 0 - Nom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8-EA70-41AD-B1C4-117C5EADDF9A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A-EA70-41AD-B1C4-117C5EADDF9A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C-EA70-41AD-B1C4-117C5EADDF9A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E-EA70-41AD-B1C4-117C5EADDF9A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0-EA70-41AD-B1C4-117C5EADDF9A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2-EA70-41AD-B1C4-117C5EADDF9A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4-EA70-41AD-B1C4-117C5EADDF9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6-EA70-41AD-B1C4-117C5EADDF9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8-EA70-41AD-B1C4-117C5EADDF9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A-EA70-41AD-B1C4-117C5EADDF9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C-EA70-41AD-B1C4-117C5EADDF9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E-EA70-41AD-B1C4-117C5EADDF9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7F28-46AE-ADEF-48D8DE29FE6C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F28-46AE-ADEF-48D8DE29FE6C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7F28-46AE-ADEF-48D8DE29FE6C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F28-46AE-ADEF-48D8DE29FE6C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0-7F28-46AE-ADEF-48D8DE29FE6C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F28-46AE-ADEF-48D8DE29FE6C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2-7F28-46AE-ADEF-48D8DE29FE6C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F28-46AE-ADEF-48D8DE29FE6C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BA71-47B0-8E86-A4D5A495B1C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A71-47B0-8E86-A4D5A495B1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0'!$E$2:$H$2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0'!$E$14:$H$14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EA70-41AD-B1C4-117C5EADD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0 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0'!$M$2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E73-429A-9A32-59AB00AFD32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73-429A-9A32-59AB00AFD32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E73-429A-9A32-59AB00AFD32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73-429A-9A32-59AB00AFD32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E73-429A-9A32-59AB00AFD32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73-429A-9A32-59AB00AFD32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E73-429A-9A32-59AB00AFD32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E73-429A-9A32-59AB00AFD32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E73-429A-9A32-59AB00AFD32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E73-429A-9A32-59AB00AFD32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E73-429A-9A32-59AB00AFD32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E73-429A-9A32-59AB00AFD32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E73-429A-9A32-59AB00AFD32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0'!$M$3:$M$15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E73-429A-9A32-59AB00AF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0 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0'!$P$2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2DE-4D37-8F9D-F3A8F583D53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2DE-4D37-8F9D-F3A8F583D53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2DE-4D37-8F9D-F3A8F583D53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2DE-4D37-8F9D-F3A8F583D53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2DE-4D37-8F9D-F3A8F583D53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2DE-4D37-8F9D-F3A8F583D53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2DE-4D37-8F9D-F3A8F583D53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2DE-4D37-8F9D-F3A8F583D53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2DE-4D37-8F9D-F3A8F583D53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2DE-4D37-8F9D-F3A8F583D53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2DE-4D37-8F9D-F3A8F583D53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2DE-4D37-8F9D-F3A8F583D53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2DE-4D37-8F9D-F3A8F583D5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0'!$P$4:$P$15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DE-4D37-8F9D-F3A8F583D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1 - Ecole Chabaud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A1ED-438E-AB2D-99CBD2CF7DAC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ED-438E-AB2D-99CBD2CF7DAC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ED-438E-AB2D-99CBD2CF7DAC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A1ED-438E-AB2D-99CBD2CF7DAC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ED-438E-AB2D-99CBD2CF7DAC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ED-438E-AB2D-99CBD2CF7DAC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A1ED-438E-AB2D-99CBD2CF7DAC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A1ED-438E-AB2D-99CBD2CF7DAC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A1ED-438E-AB2D-99CBD2CF7DAC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A1ED-438E-AB2D-99CBD2CF7DAC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A1ED-438E-AB2D-99CBD2CF7DAC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A1ED-438E-AB2D-99CBD2CF7DAC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A1ED-438E-AB2D-99CBD2CF7DAC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A1ED-438E-AB2D-99CBD2CF7DAC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A1ED-438E-AB2D-99CBD2CF7DAC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A1ED-438E-AB2D-99CBD2CF7DAC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A1ED-438E-AB2D-99CBD2CF7DAC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A1ED-438E-AB2D-99CBD2CF7DAC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A1ED-438E-AB2D-99CBD2CF7DAC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A1ED-438E-AB2D-99CBD2CF7DAC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A1ED-438E-AB2D-99CBD2CF7DAC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A1ED-438E-AB2D-99CBD2CF7D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1'!$E$14:$H$14</c:f>
              <c:numCache>
                <c:formatCode>0.00%</c:formatCode>
                <c:ptCount val="4"/>
                <c:pt idx="0">
                  <c:v>0.5714285714285714</c:v>
                </c:pt>
                <c:pt idx="1">
                  <c:v>0.38095238095238093</c:v>
                </c:pt>
                <c:pt idx="2">
                  <c:v>2.8571428571428571E-2</c:v>
                </c:pt>
                <c:pt idx="3">
                  <c:v>1.9047619047619049E-2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1ED-438E-AB2D-99CBD2CF7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266-47F3-9467-49FC3B491EDA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66-47F3-9467-49FC3B491EDA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266-47F3-9467-49FC3B491EDA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266-47F3-9467-49FC3B491EDA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266-47F3-9467-49FC3B491EDA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266-47F3-9467-49FC3B491EDA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266-47F3-9467-49FC3B491EDA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266-47F3-9467-49FC3B491EDA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266-47F3-9467-49FC3B491EDA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266-47F3-9467-49FC3B491EDA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266-47F3-9467-49FC3B491EDA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266-47F3-9467-49FC3B491EDA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266-47F3-9467-49FC3B491EDA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0.52500000000000002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266-47F3-9467-49FC3B491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36B-441F-B811-887D6A778A4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36B-441F-B811-887D6A778A4A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36B-441F-B811-887D6A778A4A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36B-441F-B811-887D6A778A4A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36B-441F-B811-887D6A778A4A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36B-441F-B811-887D6A778A4A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36B-441F-B811-887D6A778A4A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36B-441F-B811-887D6A778A4A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36B-441F-B811-887D6A778A4A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36B-441F-B811-887D6A778A4A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36B-441F-B811-887D6A778A4A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36B-441F-B811-887D6A778A4A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36B-441F-B811-887D6A778A4A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105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36B-441F-B811-887D6A778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2 -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C6-4952-86C2-40BE1CA5375E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C6-4952-86C2-40BE1CA5375E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C6-4952-86C2-40BE1CA5375E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C6-4952-86C2-40BE1CA5375E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C6-4952-86C2-40BE1CA5375E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C6-4952-86C2-40BE1CA5375E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C6-4952-86C2-40BE1CA5375E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C6-4952-86C2-40BE1CA5375E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2EC6-4952-86C2-40BE1CA5375E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2EC6-4952-86C2-40BE1CA5375E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2EC6-4952-86C2-40BE1CA5375E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2EC6-4952-86C2-40BE1CA5375E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2EC6-4952-86C2-40BE1CA5375E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2EC6-4952-86C2-40BE1CA5375E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2EC6-4952-86C2-40BE1CA5375E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2EC6-4952-86C2-40BE1CA5375E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2EC6-4952-86C2-40BE1CA5375E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2EC6-4952-86C2-40BE1CA5375E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2EC6-4952-86C2-40BE1CA5375E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2EC6-4952-86C2-40BE1CA5375E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2EC6-4952-86C2-40BE1CA5375E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2EC6-4952-86C2-40BE1CA5375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2'!$E$2:$H$2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2'!$E$14:$H$14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2EC6-4952-86C2-40BE1CA5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2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2'!$M$2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4F4-4BC2-89D9-2FDBC80B9F0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F4-4BC2-89D9-2FDBC80B9F0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4F4-4BC2-89D9-2FDBC80B9F0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4F4-4BC2-89D9-2FDBC80B9F0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4F4-4BC2-89D9-2FDBC80B9F0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4F4-4BC2-89D9-2FDBC80B9F0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4F4-4BC2-89D9-2FDBC80B9F0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4F4-4BC2-89D9-2FDBC80B9F0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4F4-4BC2-89D9-2FDBC80B9F0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4F4-4BC2-89D9-2FDBC80B9F0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4F4-4BC2-89D9-2FDBC80B9F0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4F4-4BC2-89D9-2FDBC80B9F0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4F4-4BC2-89D9-2FDBC80B9F0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2'!$M$3:$M$15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4F4-4BC2-89D9-2FDBC80B9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2'!$P$2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721-4525-A127-11C3B2DE916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721-4525-A127-11C3B2DE916E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721-4525-A127-11C3B2DE916E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721-4525-A127-11C3B2DE916E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721-4525-A127-11C3B2DE916E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721-4525-A127-11C3B2DE916E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721-4525-A127-11C3B2DE916E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721-4525-A127-11C3B2DE916E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721-4525-A127-11C3B2DE916E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721-4525-A127-11C3B2DE916E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721-4525-A127-11C3B2DE916E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721-4525-A127-11C3B2DE916E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721-4525-A127-11C3B2DE916E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2'!$P$4:$P$15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721-4525-A127-11C3B2DE9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3 -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3'!$D$13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8B53-4731-8CEF-E4F8E3EE1DB7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8B53-4731-8CEF-E4F8E3EE1DB7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8B53-4731-8CEF-E4F8E3EE1DB7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8B53-4731-8CEF-E4F8E3EE1DB7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8B53-4731-8CEF-E4F8E3EE1DB7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8B53-4731-8CEF-E4F8E3EE1DB7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8B53-4731-8CEF-E4F8E3EE1DB7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8B53-4731-8CEF-E4F8E3EE1DB7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8B53-4731-8CEF-E4F8E3EE1DB7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8B53-4731-8CEF-E4F8E3EE1DB7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8B53-4731-8CEF-E4F8E3EE1DB7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8B53-4731-8CEF-E4F8E3EE1DB7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8B53-4731-8CEF-E4F8E3EE1DB7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8B53-4731-8CEF-E4F8E3EE1DB7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8B53-4731-8CEF-E4F8E3EE1DB7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8B53-4731-8CEF-E4F8E3EE1DB7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8B53-4731-8CEF-E4F8E3EE1DB7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8B53-4731-8CEF-E4F8E3EE1DB7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8B53-4731-8CEF-E4F8E3EE1DB7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8B53-4731-8CEF-E4F8E3EE1DB7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8B53-4731-8CEF-E4F8E3EE1DB7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8B53-4731-8CEF-E4F8E3EE1D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3'!$E$2:$H$2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3'!$E$14:$H$14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B53-4731-8CEF-E4F8E3EE1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3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3'!$M$2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2E2-461C-A30D-68FDD401254A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2E2-461C-A30D-68FDD401254A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2E2-461C-A30D-68FDD401254A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2E2-461C-A30D-68FDD401254A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2E2-461C-A30D-68FDD401254A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2E2-461C-A30D-68FDD401254A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2E2-461C-A30D-68FDD401254A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2E2-461C-A30D-68FDD401254A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2E2-461C-A30D-68FDD401254A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2E2-461C-A30D-68FDD401254A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2E2-461C-A30D-68FDD401254A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2E2-461C-A30D-68FDD401254A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2E2-461C-A30D-68FDD401254A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3'!$M$3:$M$15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2E2-461C-A30D-68FDD4012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3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3'!$P$2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89B-4D62-97E6-C972ADDCB42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89B-4D62-97E6-C972ADDCB428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89B-4D62-97E6-C972ADDCB428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89B-4D62-97E6-C972ADDCB428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89B-4D62-97E6-C972ADDCB428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89B-4D62-97E6-C972ADDCB428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89B-4D62-97E6-C972ADDCB428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89B-4D62-97E6-C972ADDCB428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89B-4D62-97E6-C972ADDCB428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89B-4D62-97E6-C972ADDCB428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89B-4D62-97E6-C972ADDCB428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89B-4D62-97E6-C972ADDCB428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89B-4D62-97E6-C972ADDCB428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3'!$P$4:$P$15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89B-4D62-97E6-C972ADDCB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4 -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4'!$D$13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F-4717-A011-9245B0F3B145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6F-4717-A011-9245B0F3B145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6F-4717-A011-9245B0F3B145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6F-4717-A011-9245B0F3B145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6F-4717-A011-9245B0F3B145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6F-4717-A011-9245B0F3B145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6F-4717-A011-9245B0F3B145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6F-4717-A011-9245B0F3B145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716F-4717-A011-9245B0F3B145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716F-4717-A011-9245B0F3B145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716F-4717-A011-9245B0F3B145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716F-4717-A011-9245B0F3B145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716F-4717-A011-9245B0F3B145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716F-4717-A011-9245B0F3B145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16F-4717-A011-9245B0F3B145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16F-4717-A011-9245B0F3B145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16F-4717-A011-9245B0F3B145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16F-4717-A011-9245B0F3B145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716F-4717-A011-9245B0F3B145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716F-4717-A011-9245B0F3B145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716F-4717-A011-9245B0F3B145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716F-4717-A011-9245B0F3B14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4'!$E$2:$H$2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4'!$E$14:$H$14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16F-4717-A011-9245B0F3B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4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4'!$M$2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131-43D3-B0E5-4F0AD9C76580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31-43D3-B0E5-4F0AD9C76580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131-43D3-B0E5-4F0AD9C76580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131-43D3-B0E5-4F0AD9C76580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131-43D3-B0E5-4F0AD9C76580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131-43D3-B0E5-4F0AD9C76580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131-43D3-B0E5-4F0AD9C76580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131-43D3-B0E5-4F0AD9C76580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131-43D3-B0E5-4F0AD9C76580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131-43D3-B0E5-4F0AD9C76580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131-43D3-B0E5-4F0AD9C76580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131-43D3-B0E5-4F0AD9C76580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131-43D3-B0E5-4F0AD9C76580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4'!$M$3:$M$15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131-43D3-B0E5-4F0AD9C76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4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4'!$P$2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67B-443F-A98C-0476A416BAC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67B-443F-A98C-0476A416BAC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67B-443F-A98C-0476A416BAC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67B-443F-A98C-0476A416BAC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67B-443F-A98C-0476A416BAC0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67B-443F-A98C-0476A416BAC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67B-443F-A98C-0476A416BAC0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67B-443F-A98C-0476A416BAC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67B-443F-A98C-0476A416BAC0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67B-443F-A98C-0476A416BAC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67B-443F-A98C-0476A416BAC0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67B-443F-A98C-0476A416BAC0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67B-443F-A98C-0476A416BAC0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4'!$P$4:$P$15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67B-443F-A98C-0476A416B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5 -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5'!$D$13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378C-483B-807C-42CB3766B20D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378C-483B-807C-42CB3766B20D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8C-483B-807C-42CB3766B20D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8C-483B-807C-42CB3766B20D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378C-483B-807C-42CB3766B20D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378C-483B-807C-42CB3766B20D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378C-483B-807C-42CB3766B20D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378C-483B-807C-42CB3766B20D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378C-483B-807C-42CB3766B20D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378C-483B-807C-42CB3766B20D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378C-483B-807C-42CB3766B20D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378C-483B-807C-42CB3766B20D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378C-483B-807C-42CB3766B20D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378C-483B-807C-42CB3766B20D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378C-483B-807C-42CB3766B20D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378C-483B-807C-42CB3766B20D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378C-483B-807C-42CB3766B20D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378C-483B-807C-42CB3766B20D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378C-483B-807C-42CB3766B20D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378C-483B-807C-42CB3766B20D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378C-483B-807C-42CB3766B20D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378C-483B-807C-42CB3766B20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5'!$E$2:$H$2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5'!$E$14:$H$14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378C-483B-807C-42CB3766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5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5'!$M$2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1CD-4DC8-BF5A-A645EF40837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1CD-4DC8-BF5A-A645EF40837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1CD-4DC8-BF5A-A645EF40837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1CD-4DC8-BF5A-A645EF40837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1CD-4DC8-BF5A-A645EF40837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1CD-4DC8-BF5A-A645EF40837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1CD-4DC8-BF5A-A645EF40837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1CD-4DC8-BF5A-A645EF40837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1CD-4DC8-BF5A-A645EF40837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1CD-4DC8-BF5A-A645EF40837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1CD-4DC8-BF5A-A645EF40837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1CD-4DC8-BF5A-A645EF40837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1CD-4DC8-BF5A-A645EF40837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5'!$M$3:$M$15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1CD-4DC8-BF5A-A645EF408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5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5'!$P$2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385-4160-8A63-2F6CF93593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385-4160-8A63-2F6CF9359362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385-4160-8A63-2F6CF9359362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385-4160-8A63-2F6CF9359362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385-4160-8A63-2F6CF9359362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385-4160-8A63-2F6CF9359362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385-4160-8A63-2F6CF9359362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385-4160-8A63-2F6CF9359362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385-4160-8A63-2F6CF9359362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385-4160-8A63-2F6CF9359362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385-4160-8A63-2F6CF9359362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385-4160-8A63-2F6CF9359362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385-4160-8A63-2F6CF9359362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5'!$P$4:$P$15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385-4160-8A63-2F6CF9359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6 -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6'!$D$13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C0-428B-9E0F-9B3819DA207F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C0-428B-9E0F-9B3819DA207F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C0-428B-9E0F-9B3819DA207F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6BC0-428B-9E0F-9B3819DA207F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6BC0-428B-9E0F-9B3819DA207F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6BC0-428B-9E0F-9B3819DA207F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6BC0-428B-9E0F-9B3819DA207F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6BC0-428B-9E0F-9B3819DA207F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6BC0-428B-9E0F-9B3819DA207F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6BC0-428B-9E0F-9B3819DA207F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6BC0-428B-9E0F-9B3819DA207F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6BC0-428B-9E0F-9B3819DA207F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6BC0-428B-9E0F-9B3819DA207F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6BC0-428B-9E0F-9B3819DA207F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6BC0-428B-9E0F-9B3819DA207F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6BC0-428B-9E0F-9B3819DA207F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6BC0-428B-9E0F-9B3819DA207F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6BC0-428B-9E0F-9B3819DA207F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6BC0-428B-9E0F-9B3819DA207F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6BC0-428B-9E0F-9B3819DA207F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6BC0-428B-9E0F-9B3819DA207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6BC0-428B-9E0F-9B3819DA20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6'!$E$2:$H$2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6'!$E$14:$H$14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6BC0-428B-9E0F-9B3819DA2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6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6'!$M$2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61C-4B8F-868E-C185DC0C5A2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61C-4B8F-868E-C185DC0C5A2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61C-4B8F-868E-C185DC0C5A2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61C-4B8F-868E-C185DC0C5A2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61C-4B8F-868E-C185DC0C5A2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61C-4B8F-868E-C185DC0C5A2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61C-4B8F-868E-C185DC0C5A2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61C-4B8F-868E-C185DC0C5A2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61C-4B8F-868E-C185DC0C5A2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61C-4B8F-868E-C185DC0C5A2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61C-4B8F-868E-C185DC0C5A2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61C-4B8F-868E-C185DC0C5A2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61C-4B8F-868E-C185DC0C5A2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6'!$M$3:$M$15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61C-4B8F-868E-C185DC0C5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6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6'!$P$2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A03-42F1-82EB-AD83E706363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A03-42F1-82EB-AD83E706363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A03-42F1-82EB-AD83E706363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A03-42F1-82EB-AD83E706363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A03-42F1-82EB-AD83E706363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A03-42F1-82EB-AD83E706363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A03-42F1-82EB-AD83E706363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A03-42F1-82EB-AD83E706363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A03-42F1-82EB-AD83E706363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A03-42F1-82EB-AD83E706363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A03-42F1-82EB-AD83E706363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A03-42F1-82EB-AD83E706363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A03-42F1-82EB-AD83E706363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6'!$P$4:$P$15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A03-42F1-82EB-AD83E7063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7 -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7'!$D$13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A1F4-4814-9BAA-4D9845A55F57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F4-4814-9BAA-4D9845A55F57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F4-4814-9BAA-4D9845A55F57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A1F4-4814-9BAA-4D9845A55F57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F4-4814-9BAA-4D9845A55F57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F4-4814-9BAA-4D9845A55F57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A1F4-4814-9BAA-4D9845A55F57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A1F4-4814-9BAA-4D9845A55F57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A1F4-4814-9BAA-4D9845A55F57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A1F4-4814-9BAA-4D9845A55F57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A1F4-4814-9BAA-4D9845A55F57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A1F4-4814-9BAA-4D9845A55F57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A1F4-4814-9BAA-4D9845A55F57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A1F4-4814-9BAA-4D9845A55F57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A1F4-4814-9BAA-4D9845A55F57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A1F4-4814-9BAA-4D9845A55F57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A1F4-4814-9BAA-4D9845A55F57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A1F4-4814-9BAA-4D9845A55F57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A1F4-4814-9BAA-4D9845A55F57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A1F4-4814-9BAA-4D9845A55F57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A1F4-4814-9BAA-4D9845A55F57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A1F4-4814-9BAA-4D9845A55F5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7'!$E$2:$H$2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7'!$E$14:$H$14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1F4-4814-9BAA-4D9845A55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7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7'!$M$2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162-43AE-93B7-AF3EFA0E148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162-43AE-93B7-AF3EFA0E1489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162-43AE-93B7-AF3EFA0E1489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162-43AE-93B7-AF3EFA0E1489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162-43AE-93B7-AF3EFA0E1489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162-43AE-93B7-AF3EFA0E1489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162-43AE-93B7-AF3EFA0E1489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162-43AE-93B7-AF3EFA0E1489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162-43AE-93B7-AF3EFA0E1489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162-43AE-93B7-AF3EFA0E1489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162-43AE-93B7-AF3EFA0E1489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162-43AE-93B7-AF3EFA0E1489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162-43AE-93B7-AF3EFA0E148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7'!$M$3:$M$15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162-43AE-93B7-AF3EFA0E1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7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7'!$P$2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1F3-40DE-877A-5F54FA8A8304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1F3-40DE-877A-5F54FA8A8304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1F3-40DE-877A-5F54FA8A8304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1F3-40DE-877A-5F54FA8A8304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1F3-40DE-877A-5F54FA8A8304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1F3-40DE-877A-5F54FA8A8304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1F3-40DE-877A-5F54FA8A8304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1F3-40DE-877A-5F54FA8A8304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1F3-40DE-877A-5F54FA8A8304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1F3-40DE-877A-5F54FA8A8304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1F3-40DE-877A-5F54FA8A8304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1F3-40DE-877A-5F54FA8A8304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1F3-40DE-877A-5F54FA8A8304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7'!$P$4:$P$15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1F3-40DE-877A-5F54FA8A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8 -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8'!$D$13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8CEC-4176-A881-9EC56664F9BA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8CEC-4176-A881-9EC56664F9BA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8CEC-4176-A881-9EC56664F9BA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8CEC-4176-A881-9EC56664F9BA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8CEC-4176-A881-9EC56664F9BA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8CEC-4176-A881-9EC56664F9BA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8CEC-4176-A881-9EC56664F9B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8CEC-4176-A881-9EC56664F9B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8CEC-4176-A881-9EC56664F9B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8CEC-4176-A881-9EC56664F9B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8CEC-4176-A881-9EC56664F9B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8CEC-4176-A881-9EC56664F9B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8CEC-4176-A881-9EC56664F9BA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8CEC-4176-A881-9EC56664F9BA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8CEC-4176-A881-9EC56664F9BA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8CEC-4176-A881-9EC56664F9BA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8CEC-4176-A881-9EC56664F9BA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8CEC-4176-A881-9EC56664F9BA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8CEC-4176-A881-9EC56664F9BA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8CEC-4176-A881-9EC56664F9BA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8CEC-4176-A881-9EC56664F9BA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8CEC-4176-A881-9EC56664F9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8'!$E$2:$H$2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8'!$E$14:$H$14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CEC-4176-A881-9EC56664F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8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8'!$M$2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C77-4223-A608-DA5483766E2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C77-4223-A608-DA5483766E29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C77-4223-A608-DA5483766E29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C77-4223-A608-DA5483766E29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C77-4223-A608-DA5483766E29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C77-4223-A608-DA5483766E29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C77-4223-A608-DA5483766E29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C77-4223-A608-DA5483766E29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C77-4223-A608-DA5483766E29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C77-4223-A608-DA5483766E29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C77-4223-A608-DA5483766E29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C77-4223-A608-DA5483766E29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C77-4223-A608-DA5483766E2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8'!$M$3:$M$15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C77-4223-A608-DA5483766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8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8'!$P$2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F8A-420B-9883-B31209F3EF3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8A-420B-9883-B31209F3EF3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F8A-420B-9883-B31209F3EF3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F8A-420B-9883-B31209F3EF3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F8A-420B-9883-B31209F3EF3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F8A-420B-9883-B31209F3EF3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F8A-420B-9883-B31209F3EF3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F8A-420B-9883-B31209F3EF3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F8A-420B-9883-B31209F3EF3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F8A-420B-9883-B31209F3EF3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F8A-420B-9883-B31209F3EF3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F8A-420B-9883-B31209F3EF3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4F8A-420B-9883-B31209F3EF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8'!$P$4:$P$15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8A-420B-9883-B31209F3E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9 -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9'!$D$13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FF1-49A1-97E3-8F131C2AA12E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F1-49A1-97E3-8F131C2AA12E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9FF1-49A1-97E3-8F131C2AA12E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9FF1-49A1-97E3-8F131C2AA12E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9FF1-49A1-97E3-8F131C2AA12E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9FF1-49A1-97E3-8F131C2AA12E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9FF1-49A1-97E3-8F131C2AA12E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9FF1-49A1-97E3-8F131C2AA12E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9FF1-49A1-97E3-8F131C2AA12E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9FF1-49A1-97E3-8F131C2AA12E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9FF1-49A1-97E3-8F131C2AA12E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9FF1-49A1-97E3-8F131C2AA12E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9FF1-49A1-97E3-8F131C2AA12E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9FF1-49A1-97E3-8F131C2AA12E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9FF1-49A1-97E3-8F131C2AA12E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9FF1-49A1-97E3-8F131C2AA12E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9FF1-49A1-97E3-8F131C2AA12E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9FF1-49A1-97E3-8F131C2AA12E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9FF1-49A1-97E3-8F131C2AA12E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9FF1-49A1-97E3-8F131C2AA12E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9FF1-49A1-97E3-8F131C2AA12E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9FF1-49A1-97E3-8F131C2AA1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9'!$E$2:$H$2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9'!$E$14:$H$14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FF1-49A1-97E3-8F131C2AA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9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9'!$M$2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9AC-4F64-A0A9-10280A48C620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9AC-4F64-A0A9-10280A48C620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9AC-4F64-A0A9-10280A48C620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9AC-4F64-A0A9-10280A48C620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9AC-4F64-A0A9-10280A48C620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9AC-4F64-A0A9-10280A48C620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9AC-4F64-A0A9-10280A48C620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9AC-4F64-A0A9-10280A48C620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9AC-4F64-A0A9-10280A48C620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9AC-4F64-A0A9-10280A48C620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9AC-4F64-A0A9-10280A48C620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9AC-4F64-A0A9-10280A48C620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9AC-4F64-A0A9-10280A48C620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9'!$M$3:$M$15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9AC-4F64-A0A9-10280A48C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9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9'!$P$2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302-4989-9E86-40B7111ECDE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302-4989-9E86-40B7111ECDEA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302-4989-9E86-40B7111ECDEA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302-4989-9E86-40B7111ECDEA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302-4989-9E86-40B7111ECDEA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302-4989-9E86-40B7111ECDEA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302-4989-9E86-40B7111ECDEA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302-4989-9E86-40B7111ECDEA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302-4989-9E86-40B7111ECDEA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302-4989-9E86-40B7111ECDEA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302-4989-9E86-40B7111ECDEA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302-4989-9E86-40B7111ECDEA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302-4989-9E86-40B7111ECDEA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9'!$P$4:$P$15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302-4989-9E86-40B7111EC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10 -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0B-4C55-97A2-BC00813C0744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0B-4C55-97A2-BC00813C0744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90B-4C55-97A2-BC00813C0744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F90B-4C55-97A2-BC00813C0744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F90B-4C55-97A2-BC00813C0744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F90B-4C55-97A2-BC00813C0744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F90B-4C55-97A2-BC00813C0744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F90B-4C55-97A2-BC00813C0744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F90B-4C55-97A2-BC00813C0744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F90B-4C55-97A2-BC00813C0744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F90B-4C55-97A2-BC00813C0744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F90B-4C55-97A2-BC00813C0744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F90B-4C55-97A2-BC00813C0744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F90B-4C55-97A2-BC00813C0744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F90B-4C55-97A2-BC00813C0744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F90B-4C55-97A2-BC00813C0744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F90B-4C55-97A2-BC00813C0744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F90B-4C55-97A2-BC00813C0744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F90B-4C55-97A2-BC00813C0744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F90B-4C55-97A2-BC00813C0744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F90B-4C55-97A2-BC00813C0744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F90B-4C55-97A2-BC00813C07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10'!$E$2:$H$2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10'!$E$14:$H$14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90B-4C55-97A2-BC00813C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10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10'!$M$2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D4B-4AEE-816C-B61FDC4DCA65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D4B-4AEE-816C-B61FDC4DCA65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D4B-4AEE-816C-B61FDC4DCA65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D4B-4AEE-816C-B61FDC4DCA65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D4B-4AEE-816C-B61FDC4DCA65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D4B-4AEE-816C-B61FDC4DCA65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D4B-4AEE-816C-B61FDC4DCA65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D4B-4AEE-816C-B61FDC4DCA65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D4B-4AEE-816C-B61FDC4DCA65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D4B-4AEE-816C-B61FDC4DCA65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D4B-4AEE-816C-B61FDC4DCA65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D4B-4AEE-816C-B61FDC4DCA65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D4B-4AEE-816C-B61FDC4DCA65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10'!$M$3:$M$15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D4B-4AEE-816C-B61FDC4DC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10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10'!$P$2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539-4F0B-8540-003A67DC241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539-4F0B-8540-003A67DC241E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539-4F0B-8540-003A67DC241E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539-4F0B-8540-003A67DC241E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539-4F0B-8540-003A67DC241E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539-4F0B-8540-003A67DC241E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539-4F0B-8540-003A67DC241E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539-4F0B-8540-003A67DC241E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539-4F0B-8540-003A67DC241E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539-4F0B-8540-003A67DC241E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539-4F0B-8540-003A67DC241E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539-4F0B-8540-003A67DC241E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539-4F0B-8540-003A67DC241E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10'!$P$4:$P$15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539-4F0B-8540-003A67DC2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11 -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6746-4CAB-B4E7-F5B9A21E2AC3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6746-4CAB-B4E7-F5B9A21E2AC3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6746-4CAB-B4E7-F5B9A21E2AC3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6746-4CAB-B4E7-F5B9A21E2AC3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6746-4CAB-B4E7-F5B9A21E2AC3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6746-4CAB-B4E7-F5B9A21E2AC3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6746-4CAB-B4E7-F5B9A21E2AC3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6746-4CAB-B4E7-F5B9A21E2AC3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6746-4CAB-B4E7-F5B9A21E2AC3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6746-4CAB-B4E7-F5B9A21E2AC3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6746-4CAB-B4E7-F5B9A21E2AC3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6746-4CAB-B4E7-F5B9A21E2AC3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6746-4CAB-B4E7-F5B9A21E2AC3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6746-4CAB-B4E7-F5B9A21E2AC3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6746-4CAB-B4E7-F5B9A21E2AC3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6746-4CAB-B4E7-F5B9A21E2AC3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6746-4CAB-B4E7-F5B9A21E2AC3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6746-4CAB-B4E7-F5B9A21E2AC3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6746-4CAB-B4E7-F5B9A21E2AC3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6746-4CAB-B4E7-F5B9A21E2AC3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6746-4CAB-B4E7-F5B9A21E2AC3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6746-4CAB-B4E7-F5B9A21E2A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11'!$E$2:$H$2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11'!$E$14:$H$14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6746-4CAB-B4E7-F5B9A21E2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11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11'!$M$2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AEF-4168-AB06-9E4A31929D4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EF-4168-AB06-9E4A31929D49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AEF-4168-AB06-9E4A31929D49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AEF-4168-AB06-9E4A31929D49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AEF-4168-AB06-9E4A31929D49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AEF-4168-AB06-9E4A31929D49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AEF-4168-AB06-9E4A31929D49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EF-4168-AB06-9E4A31929D49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AEF-4168-AB06-9E4A31929D49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AEF-4168-AB06-9E4A31929D49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AEF-4168-AB06-9E4A31929D49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AEF-4168-AB06-9E4A31929D49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AEF-4168-AB06-9E4A31929D4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11'!$M$3:$M$15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AEF-4168-AB06-9E4A31929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11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11'!$P$2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055-4763-9DD5-B154107BE476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055-4763-9DD5-B154107BE476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055-4763-9DD5-B154107BE476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055-4763-9DD5-B154107BE476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055-4763-9DD5-B154107BE476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055-4763-9DD5-B154107BE476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055-4763-9DD5-B154107BE476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055-4763-9DD5-B154107BE476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055-4763-9DD5-B154107BE476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055-4763-9DD5-B154107BE476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055-4763-9DD5-B154107BE476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055-4763-9DD5-B154107BE476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055-4763-9DD5-B154107BE476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11'!$P$4:$P$15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55-4763-9DD5-B154107BE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12 - Base nautique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52133214716E-2"/>
          <c:y val="0.13445396426111633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0E-4786-99C0-03FE58E04316}"/>
              </c:ext>
            </c:extLst>
          </c:dPt>
          <c:dPt>
            <c:idx val="1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810E-4786-99C0-03FE58E04316}"/>
              </c:ext>
            </c:extLst>
          </c:dPt>
          <c:dPt>
            <c:idx val="2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810E-4786-99C0-03FE58E04316}"/>
              </c:ext>
            </c:extLst>
          </c:dPt>
          <c:dPt>
            <c:idx val="3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810E-4786-99C0-03FE58E04316}"/>
              </c:ext>
            </c:extLst>
          </c:dPt>
          <c:dPt>
            <c:idx val="4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810E-4786-99C0-03FE58E04316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810E-4786-99C0-03FE58E04316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810E-4786-99C0-03FE58E04316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810E-4786-99C0-03FE58E04316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810E-4786-99C0-03FE58E04316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810E-4786-99C0-03FE58E04316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810E-4786-99C0-03FE58E04316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810E-4786-99C0-03FE58E04316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810E-4786-99C0-03FE58E04316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810E-4786-99C0-03FE58E04316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810E-4786-99C0-03FE58E04316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810E-4786-99C0-03FE58E04316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810E-4786-99C0-03FE58E04316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810E-4786-99C0-03FE58E04316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810E-4786-99C0-03FE58E04316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810E-4786-99C0-03FE58E04316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810E-4786-99C0-03FE58E04316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810E-4786-99C0-03FE58E043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12'!$E$2:$H$2</c:f>
              <c:strCache>
                <c:ptCount val="4"/>
                <c:pt idx="0">
                  <c:v>M. Pierre-Yves 
TIERCE</c:v>
                </c:pt>
                <c:pt idx="1">
                  <c:v>Mme Isabelle 
FARNET RISSO</c:v>
                </c:pt>
                <c:pt idx="2">
                  <c:v>Nuls</c:v>
                </c:pt>
                <c:pt idx="3">
                  <c:v>Blancs</c:v>
                </c:pt>
              </c:strCache>
            </c:strRef>
          </c:cat>
          <c:val>
            <c:numRef>
              <c:f>'Bureau 12'!$E$14:$H$14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10E-4786-99C0-03FE58E04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12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12'!$M$2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9CE-4530-8731-343F0E1C31E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CE-4530-8731-343F0E1C31E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9CE-4530-8731-343F0E1C31E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9CE-4530-8731-343F0E1C31E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9CE-4530-8731-343F0E1C31E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9CE-4530-8731-343F0E1C31E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9CE-4530-8731-343F0E1C31E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9CE-4530-8731-343F0E1C31E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9CE-4530-8731-343F0E1C31E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9CE-4530-8731-343F0E1C31E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9CE-4530-8731-343F0E1C31E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9CE-4530-8731-343F0E1C31E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9CE-4530-8731-343F0E1C31E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12'!$K$3:$K$15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12'!$M$3:$M$15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9CE-4530-8731-343F0E1C3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Affluence horaire du bureau 12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12'!$P$2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D69-4E7B-B6EB-867C64FF04E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69-4E7B-B6EB-867C64FF04E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D69-4E7B-B6EB-867C64FF04E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D69-4E7B-B6EB-867C64FF04E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D69-4E7B-B6EB-867C64FF04E0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D69-4E7B-B6EB-867C64FF04E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D69-4E7B-B6EB-867C64FF04E0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D69-4E7B-B6EB-867C64FF04E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D69-4E7B-B6EB-867C64FF04E0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D69-4E7B-B6EB-867C64FF04E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D69-4E7B-B6EB-867C64FF04E0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D69-4E7B-B6EB-867C64FF04E0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D69-4E7B-B6EB-867C64FF04E0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12'!$O$4:$O$15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12'!$P$4:$P$15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D69-4E7B-B6EB-867C64FF0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363682</xdr:colOff>
      <xdr:row>16</xdr:row>
      <xdr:rowOff>134594</xdr:rowOff>
    </xdr:from>
    <xdr:ext cx="7206629" cy="3554179"/>
    <xdr:graphicFrame macro="">
      <xdr:nvGraphicFramePr>
        <xdr:cNvPr id="2" name="Chart 1" title="Graphiqu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142009</xdr:colOff>
          <xdr:row>2</xdr:row>
          <xdr:rowOff>151534</xdr:rowOff>
        </xdr:from>
        <xdr:to>
          <xdr:col>17</xdr:col>
          <xdr:colOff>493568</xdr:colOff>
          <xdr:row>5</xdr:row>
          <xdr:rowOff>53686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Simuler dépouillement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151534</xdr:colOff>
          <xdr:row>6</xdr:row>
          <xdr:rowOff>25112</xdr:rowOff>
        </xdr:from>
        <xdr:to>
          <xdr:col>17</xdr:col>
          <xdr:colOff>503093</xdr:colOff>
          <xdr:row>8</xdr:row>
          <xdr:rowOff>91787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Réinitialiser dépouillement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623453</xdr:colOff>
          <xdr:row>10</xdr:row>
          <xdr:rowOff>57149</xdr:rowOff>
        </xdr:from>
        <xdr:to>
          <xdr:col>17</xdr:col>
          <xdr:colOff>825210</xdr:colOff>
          <xdr:row>14</xdr:row>
          <xdr:rowOff>43296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Répliquer le nom et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la couleur des candidats dans les onglets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238125</xdr:colOff>
          <xdr:row>31</xdr:row>
          <xdr:rowOff>9525</xdr:rowOff>
        </xdr:from>
        <xdr:to>
          <xdr:col>32</xdr:col>
          <xdr:colOff>28575</xdr:colOff>
          <xdr:row>32</xdr:row>
          <xdr:rowOff>9525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boutons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182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93512</xdr:colOff>
      <xdr:row>15</xdr:row>
      <xdr:rowOff>103455</xdr:rowOff>
    </xdr:from>
    <xdr:ext cx="15435931" cy="604264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4</xdr:row>
          <xdr:rowOff>133350</xdr:rowOff>
        </xdr:from>
        <xdr:to>
          <xdr:col>38</xdr:col>
          <xdr:colOff>66674</xdr:colOff>
          <xdr:row>8</xdr:row>
          <xdr:rowOff>57150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Importer la participation du tour précédent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35</xdr:col>
      <xdr:colOff>284443</xdr:colOff>
      <xdr:row>21</xdr:row>
      <xdr:rowOff>147918</xdr:rowOff>
    </xdr:from>
    <xdr:to>
      <xdr:col>36</xdr:col>
      <xdr:colOff>635560</xdr:colOff>
      <xdr:row>23</xdr:row>
      <xdr:rowOff>88153</xdr:rowOff>
    </xdr:to>
    <xdr:sp macro="ToggleBureauButton" textlink="">
      <xdr:nvSpPr>
        <xdr:cNvPr id="2" name="btn_1erTour_Bureau1">
          <a:extLst>
            <a:ext uri="{FF2B5EF4-FFF2-40B4-BE49-F238E27FC236}">
              <a16:creationId xmlns:a16="http://schemas.microsoft.com/office/drawing/2014/main" id="{586DD7FA-8278-9A67-7E04-A4272BF19D1D}"/>
            </a:ext>
          </a:extLst>
        </xdr:cNvPr>
        <xdr:cNvSpPr/>
      </xdr:nvSpPr>
      <xdr:spPr>
        <a:xfrm>
          <a:off x="19681825" y="430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35</xdr:col>
      <xdr:colOff>284443</xdr:colOff>
      <xdr:row>23</xdr:row>
      <xdr:rowOff>151653</xdr:rowOff>
    </xdr:from>
    <xdr:to>
      <xdr:col>36</xdr:col>
      <xdr:colOff>635560</xdr:colOff>
      <xdr:row>25</xdr:row>
      <xdr:rowOff>91888</xdr:rowOff>
    </xdr:to>
    <xdr:sp macro="ToggleBureauButton" textlink="">
      <xdr:nvSpPr>
        <xdr:cNvPr id="4" name="btn_1erTour_Bureau2">
          <a:extLst>
            <a:ext uri="{FF2B5EF4-FFF2-40B4-BE49-F238E27FC236}">
              <a16:creationId xmlns:a16="http://schemas.microsoft.com/office/drawing/2014/main" id="{7C4AB28B-1062-EECD-C6E1-0A790FE87E05}"/>
            </a:ext>
          </a:extLst>
        </xdr:cNvPr>
        <xdr:cNvSpPr/>
      </xdr:nvSpPr>
      <xdr:spPr>
        <a:xfrm>
          <a:off x="19681825" y="462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35</xdr:col>
      <xdr:colOff>284443</xdr:colOff>
      <xdr:row>25</xdr:row>
      <xdr:rowOff>155388</xdr:rowOff>
    </xdr:from>
    <xdr:to>
      <xdr:col>36</xdr:col>
      <xdr:colOff>635560</xdr:colOff>
      <xdr:row>27</xdr:row>
      <xdr:rowOff>95624</xdr:rowOff>
    </xdr:to>
    <xdr:sp macro="ToggleBureauButton" textlink="">
      <xdr:nvSpPr>
        <xdr:cNvPr id="5" name="btn_1erTour_Bureau3">
          <a:extLst>
            <a:ext uri="{FF2B5EF4-FFF2-40B4-BE49-F238E27FC236}">
              <a16:creationId xmlns:a16="http://schemas.microsoft.com/office/drawing/2014/main" id="{9BF3F7B4-895B-05C8-7A4E-05FB3AAE321E}"/>
            </a:ext>
          </a:extLst>
        </xdr:cNvPr>
        <xdr:cNvSpPr/>
      </xdr:nvSpPr>
      <xdr:spPr>
        <a:xfrm>
          <a:off x="19681825" y="494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35</xdr:col>
      <xdr:colOff>284443</xdr:colOff>
      <xdr:row>27</xdr:row>
      <xdr:rowOff>159124</xdr:rowOff>
    </xdr:from>
    <xdr:to>
      <xdr:col>36</xdr:col>
      <xdr:colOff>635560</xdr:colOff>
      <xdr:row>29</xdr:row>
      <xdr:rowOff>54535</xdr:rowOff>
    </xdr:to>
    <xdr:sp macro="ToggleBureauButton" textlink="">
      <xdr:nvSpPr>
        <xdr:cNvPr id="6" name="btn_1erTour_Bureau4">
          <a:extLst>
            <a:ext uri="{FF2B5EF4-FFF2-40B4-BE49-F238E27FC236}">
              <a16:creationId xmlns:a16="http://schemas.microsoft.com/office/drawing/2014/main" id="{8B1401AC-874A-AB50-D73E-0DC17010CAD8}"/>
            </a:ext>
          </a:extLst>
        </xdr:cNvPr>
        <xdr:cNvSpPr/>
      </xdr:nvSpPr>
      <xdr:spPr>
        <a:xfrm>
          <a:off x="19681825" y="525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35</xdr:col>
      <xdr:colOff>284443</xdr:colOff>
      <xdr:row>29</xdr:row>
      <xdr:rowOff>118035</xdr:rowOff>
    </xdr:from>
    <xdr:to>
      <xdr:col>36</xdr:col>
      <xdr:colOff>635560</xdr:colOff>
      <xdr:row>31</xdr:row>
      <xdr:rowOff>58271</xdr:rowOff>
    </xdr:to>
    <xdr:sp macro="ToggleBureauButton" textlink="">
      <xdr:nvSpPr>
        <xdr:cNvPr id="7" name="btn_1erTour_Bureau5">
          <a:extLst>
            <a:ext uri="{FF2B5EF4-FFF2-40B4-BE49-F238E27FC236}">
              <a16:creationId xmlns:a16="http://schemas.microsoft.com/office/drawing/2014/main" id="{EF206660-3A33-B9DA-F4F4-F8BA78C3218B}"/>
            </a:ext>
          </a:extLst>
        </xdr:cNvPr>
        <xdr:cNvSpPr/>
      </xdr:nvSpPr>
      <xdr:spPr>
        <a:xfrm>
          <a:off x="19681825" y="557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35</xdr:col>
      <xdr:colOff>284443</xdr:colOff>
      <xdr:row>31</xdr:row>
      <xdr:rowOff>121771</xdr:rowOff>
    </xdr:from>
    <xdr:to>
      <xdr:col>36</xdr:col>
      <xdr:colOff>635560</xdr:colOff>
      <xdr:row>32</xdr:row>
      <xdr:rowOff>174065</xdr:rowOff>
    </xdr:to>
    <xdr:sp macro="ToggleBureauButton" textlink="">
      <xdr:nvSpPr>
        <xdr:cNvPr id="8" name="btn_1erTour_Bureau6">
          <a:extLst>
            <a:ext uri="{FF2B5EF4-FFF2-40B4-BE49-F238E27FC236}">
              <a16:creationId xmlns:a16="http://schemas.microsoft.com/office/drawing/2014/main" id="{8C20D334-827C-3636-73B5-80A15874D0FA}"/>
            </a:ext>
          </a:extLst>
        </xdr:cNvPr>
        <xdr:cNvSpPr/>
      </xdr:nvSpPr>
      <xdr:spPr>
        <a:xfrm>
          <a:off x="19681825" y="589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35</xdr:col>
      <xdr:colOff>284443</xdr:colOff>
      <xdr:row>33</xdr:row>
      <xdr:rowOff>35859</xdr:rowOff>
    </xdr:from>
    <xdr:to>
      <xdr:col>36</xdr:col>
      <xdr:colOff>635560</xdr:colOff>
      <xdr:row>34</xdr:row>
      <xdr:rowOff>88153</xdr:rowOff>
    </xdr:to>
    <xdr:sp macro="ToggleBureauButton" textlink="">
      <xdr:nvSpPr>
        <xdr:cNvPr id="9" name="btn_1erTour_Bureau7">
          <a:extLst>
            <a:ext uri="{FF2B5EF4-FFF2-40B4-BE49-F238E27FC236}">
              <a16:creationId xmlns:a16="http://schemas.microsoft.com/office/drawing/2014/main" id="{AE5D1B2C-AD56-018A-C48B-9A508FABF0E0}"/>
            </a:ext>
          </a:extLst>
        </xdr:cNvPr>
        <xdr:cNvSpPr/>
      </xdr:nvSpPr>
      <xdr:spPr>
        <a:xfrm>
          <a:off x="19681825" y="621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35</xdr:col>
      <xdr:colOff>284443</xdr:colOff>
      <xdr:row>34</xdr:row>
      <xdr:rowOff>151653</xdr:rowOff>
    </xdr:from>
    <xdr:to>
      <xdr:col>36</xdr:col>
      <xdr:colOff>635560</xdr:colOff>
      <xdr:row>36</xdr:row>
      <xdr:rowOff>35859</xdr:rowOff>
    </xdr:to>
    <xdr:sp macro="ToggleBureauButton" textlink="">
      <xdr:nvSpPr>
        <xdr:cNvPr id="10" name="btn_1erTour_Bureau8">
          <a:extLst>
            <a:ext uri="{FF2B5EF4-FFF2-40B4-BE49-F238E27FC236}">
              <a16:creationId xmlns:a16="http://schemas.microsoft.com/office/drawing/2014/main" id="{8C63F74C-FFC9-3B36-82EF-ECFC38567BDD}"/>
            </a:ext>
          </a:extLst>
        </xdr:cNvPr>
        <xdr:cNvSpPr/>
      </xdr:nvSpPr>
      <xdr:spPr>
        <a:xfrm>
          <a:off x="19681825" y="652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35</xdr:col>
      <xdr:colOff>284443</xdr:colOff>
      <xdr:row>36</xdr:row>
      <xdr:rowOff>99359</xdr:rowOff>
    </xdr:from>
    <xdr:to>
      <xdr:col>36</xdr:col>
      <xdr:colOff>635560</xdr:colOff>
      <xdr:row>38</xdr:row>
      <xdr:rowOff>28388</xdr:rowOff>
    </xdr:to>
    <xdr:sp macro="ToggleBureauButton" textlink="">
      <xdr:nvSpPr>
        <xdr:cNvPr id="11" name="btn_1erTour_Bureau9">
          <a:extLst>
            <a:ext uri="{FF2B5EF4-FFF2-40B4-BE49-F238E27FC236}">
              <a16:creationId xmlns:a16="http://schemas.microsoft.com/office/drawing/2014/main" id="{D16CD7BB-4A22-9039-2C8B-1369C853F9A3}"/>
            </a:ext>
          </a:extLst>
        </xdr:cNvPr>
        <xdr:cNvSpPr/>
      </xdr:nvSpPr>
      <xdr:spPr>
        <a:xfrm>
          <a:off x="19681825" y="684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35</xdr:col>
      <xdr:colOff>284443</xdr:colOff>
      <xdr:row>38</xdr:row>
      <xdr:rowOff>91888</xdr:rowOff>
    </xdr:from>
    <xdr:to>
      <xdr:col>36</xdr:col>
      <xdr:colOff>635560</xdr:colOff>
      <xdr:row>40</xdr:row>
      <xdr:rowOff>32124</xdr:rowOff>
    </xdr:to>
    <xdr:sp macro="ToggleBureauButton" textlink="">
      <xdr:nvSpPr>
        <xdr:cNvPr id="12" name="btn_1erTour_Bureau10">
          <a:extLst>
            <a:ext uri="{FF2B5EF4-FFF2-40B4-BE49-F238E27FC236}">
              <a16:creationId xmlns:a16="http://schemas.microsoft.com/office/drawing/2014/main" id="{41BB704B-A24B-6062-BB8C-2DAE0F3D4FA0}"/>
            </a:ext>
          </a:extLst>
        </xdr:cNvPr>
        <xdr:cNvSpPr/>
      </xdr:nvSpPr>
      <xdr:spPr>
        <a:xfrm>
          <a:off x="19681825" y="716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35</xdr:col>
      <xdr:colOff>284443</xdr:colOff>
      <xdr:row>40</xdr:row>
      <xdr:rowOff>95624</xdr:rowOff>
    </xdr:from>
    <xdr:to>
      <xdr:col>36</xdr:col>
      <xdr:colOff>635560</xdr:colOff>
      <xdr:row>42</xdr:row>
      <xdr:rowOff>35859</xdr:rowOff>
    </xdr:to>
    <xdr:sp macro="ToggleBureauButton" textlink="">
      <xdr:nvSpPr>
        <xdr:cNvPr id="13" name="btn_1erTour_Bureau11">
          <a:extLst>
            <a:ext uri="{FF2B5EF4-FFF2-40B4-BE49-F238E27FC236}">
              <a16:creationId xmlns:a16="http://schemas.microsoft.com/office/drawing/2014/main" id="{839E981B-ECC4-1545-CC67-018B386F611A}"/>
            </a:ext>
          </a:extLst>
        </xdr:cNvPr>
        <xdr:cNvSpPr/>
      </xdr:nvSpPr>
      <xdr:spPr>
        <a:xfrm>
          <a:off x="19681825" y="748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35</xdr:col>
      <xdr:colOff>284443</xdr:colOff>
      <xdr:row>42</xdr:row>
      <xdr:rowOff>99359</xdr:rowOff>
    </xdr:from>
    <xdr:to>
      <xdr:col>36</xdr:col>
      <xdr:colOff>635560</xdr:colOff>
      <xdr:row>44</xdr:row>
      <xdr:rowOff>39594</xdr:rowOff>
    </xdr:to>
    <xdr:sp macro="ToggleBureauButton" textlink="">
      <xdr:nvSpPr>
        <xdr:cNvPr id="14" name="btn_1erTour_Bureau12">
          <a:extLst>
            <a:ext uri="{FF2B5EF4-FFF2-40B4-BE49-F238E27FC236}">
              <a16:creationId xmlns:a16="http://schemas.microsoft.com/office/drawing/2014/main" id="{803D5813-C79F-FCE1-5D54-0425CE4A3D84}"/>
            </a:ext>
          </a:extLst>
        </xdr:cNvPr>
        <xdr:cNvSpPr/>
      </xdr:nvSpPr>
      <xdr:spPr>
        <a:xfrm>
          <a:off x="19681825" y="779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35</xdr:col>
      <xdr:colOff>284443</xdr:colOff>
      <xdr:row>44</xdr:row>
      <xdr:rowOff>103094</xdr:rowOff>
    </xdr:from>
    <xdr:to>
      <xdr:col>36</xdr:col>
      <xdr:colOff>635560</xdr:colOff>
      <xdr:row>46</xdr:row>
      <xdr:rowOff>43329</xdr:rowOff>
    </xdr:to>
    <xdr:sp macro="Toggle_Total" textlink="">
      <xdr:nvSpPr>
        <xdr:cNvPr id="15" name="btn_1erTour_Total">
          <a:extLst>
            <a:ext uri="{FF2B5EF4-FFF2-40B4-BE49-F238E27FC236}">
              <a16:creationId xmlns:a16="http://schemas.microsoft.com/office/drawing/2014/main" id="{D59493E7-0D43-ECF1-4D9E-D0435FE5477A}"/>
            </a:ext>
          </a:extLst>
        </xdr:cNvPr>
        <xdr:cNvSpPr/>
      </xdr:nvSpPr>
      <xdr:spPr>
        <a:xfrm>
          <a:off x="19681825" y="811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35</xdr:col>
      <xdr:colOff>284443</xdr:colOff>
      <xdr:row>46</xdr:row>
      <xdr:rowOff>106829</xdr:rowOff>
    </xdr:from>
    <xdr:to>
      <xdr:col>36</xdr:col>
      <xdr:colOff>635560</xdr:colOff>
      <xdr:row>48</xdr:row>
      <xdr:rowOff>47065</xdr:rowOff>
    </xdr:to>
    <xdr:sp macro="AfficherToutPremierTour" textlink="">
      <xdr:nvSpPr>
        <xdr:cNvPr id="16" name="btn_AfficherTout">
          <a:extLst>
            <a:ext uri="{FF2B5EF4-FFF2-40B4-BE49-F238E27FC236}">
              <a16:creationId xmlns:a16="http://schemas.microsoft.com/office/drawing/2014/main" id="{3235D67E-EFC9-68BE-F739-BB816338C18C}"/>
            </a:ext>
          </a:extLst>
        </xdr:cNvPr>
        <xdr:cNvSpPr/>
      </xdr:nvSpPr>
      <xdr:spPr>
        <a:xfrm>
          <a:off x="196818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35</xdr:col>
      <xdr:colOff>284443</xdr:colOff>
      <xdr:row>48</xdr:row>
      <xdr:rowOff>110565</xdr:rowOff>
    </xdr:from>
    <xdr:to>
      <xdr:col>36</xdr:col>
      <xdr:colOff>635560</xdr:colOff>
      <xdr:row>50</xdr:row>
      <xdr:rowOff>39594</xdr:rowOff>
    </xdr:to>
    <xdr:sp macro="EffacerToutPremierTour" textlink="">
      <xdr:nvSpPr>
        <xdr:cNvPr id="17" name="btn_EffacerTout">
          <a:extLst>
            <a:ext uri="{FF2B5EF4-FFF2-40B4-BE49-F238E27FC236}">
              <a16:creationId xmlns:a16="http://schemas.microsoft.com/office/drawing/2014/main" id="{B67AE902-4215-6B5C-5BEF-E2E98A0421FF}"/>
            </a:ext>
          </a:extLst>
        </xdr:cNvPr>
        <xdr:cNvSpPr/>
      </xdr:nvSpPr>
      <xdr:spPr>
        <a:xfrm>
          <a:off x="196818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  <xdr:twoCellAnchor>
    <xdr:from>
      <xdr:col>33</xdr:col>
      <xdr:colOff>293407</xdr:colOff>
      <xdr:row>21</xdr:row>
      <xdr:rowOff>147918</xdr:rowOff>
    </xdr:from>
    <xdr:to>
      <xdr:col>34</xdr:col>
      <xdr:colOff>644525</xdr:colOff>
      <xdr:row>23</xdr:row>
      <xdr:rowOff>88153</xdr:rowOff>
    </xdr:to>
    <xdr:sp macro="ToggleBureau2nd" textlink="">
      <xdr:nvSpPr>
        <xdr:cNvPr id="18" name="btn_2ndTour_Bureau1">
          <a:extLst>
            <a:ext uri="{FF2B5EF4-FFF2-40B4-BE49-F238E27FC236}">
              <a16:creationId xmlns:a16="http://schemas.microsoft.com/office/drawing/2014/main" id="{004DCD5A-75ED-E004-F620-CE96C5D21C42}"/>
            </a:ext>
          </a:extLst>
        </xdr:cNvPr>
        <xdr:cNvSpPr/>
      </xdr:nvSpPr>
      <xdr:spPr>
        <a:xfrm>
          <a:off x="17853025" y="430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33</xdr:col>
      <xdr:colOff>293407</xdr:colOff>
      <xdr:row>23</xdr:row>
      <xdr:rowOff>151653</xdr:rowOff>
    </xdr:from>
    <xdr:to>
      <xdr:col>34</xdr:col>
      <xdr:colOff>644525</xdr:colOff>
      <xdr:row>25</xdr:row>
      <xdr:rowOff>91888</xdr:rowOff>
    </xdr:to>
    <xdr:sp macro="ToggleBureau2nd" textlink="">
      <xdr:nvSpPr>
        <xdr:cNvPr id="19" name="btn_2ndTour_Bureau2">
          <a:extLst>
            <a:ext uri="{FF2B5EF4-FFF2-40B4-BE49-F238E27FC236}">
              <a16:creationId xmlns:a16="http://schemas.microsoft.com/office/drawing/2014/main" id="{0441AD39-E3B6-A584-C44C-059BB1B02C37}"/>
            </a:ext>
          </a:extLst>
        </xdr:cNvPr>
        <xdr:cNvSpPr/>
      </xdr:nvSpPr>
      <xdr:spPr>
        <a:xfrm>
          <a:off x="17853025" y="462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33</xdr:col>
      <xdr:colOff>293407</xdr:colOff>
      <xdr:row>25</xdr:row>
      <xdr:rowOff>155388</xdr:rowOff>
    </xdr:from>
    <xdr:to>
      <xdr:col>34</xdr:col>
      <xdr:colOff>644525</xdr:colOff>
      <xdr:row>27</xdr:row>
      <xdr:rowOff>95624</xdr:rowOff>
    </xdr:to>
    <xdr:sp macro="ToggleBureau2nd" textlink="">
      <xdr:nvSpPr>
        <xdr:cNvPr id="20" name="btn_2ndTour_Bureau3">
          <a:extLst>
            <a:ext uri="{FF2B5EF4-FFF2-40B4-BE49-F238E27FC236}">
              <a16:creationId xmlns:a16="http://schemas.microsoft.com/office/drawing/2014/main" id="{269E52F9-1781-1C2C-0216-3528F7F339AF}"/>
            </a:ext>
          </a:extLst>
        </xdr:cNvPr>
        <xdr:cNvSpPr/>
      </xdr:nvSpPr>
      <xdr:spPr>
        <a:xfrm>
          <a:off x="17853025" y="494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33</xdr:col>
      <xdr:colOff>293407</xdr:colOff>
      <xdr:row>27</xdr:row>
      <xdr:rowOff>159124</xdr:rowOff>
    </xdr:from>
    <xdr:to>
      <xdr:col>34</xdr:col>
      <xdr:colOff>644525</xdr:colOff>
      <xdr:row>29</xdr:row>
      <xdr:rowOff>54535</xdr:rowOff>
    </xdr:to>
    <xdr:sp macro="ToggleBureau2nd" textlink="">
      <xdr:nvSpPr>
        <xdr:cNvPr id="21" name="btn_2ndTour_Bureau4">
          <a:extLst>
            <a:ext uri="{FF2B5EF4-FFF2-40B4-BE49-F238E27FC236}">
              <a16:creationId xmlns:a16="http://schemas.microsoft.com/office/drawing/2014/main" id="{C3F4B78B-E565-9F69-3010-306EE20E6CFF}"/>
            </a:ext>
          </a:extLst>
        </xdr:cNvPr>
        <xdr:cNvSpPr/>
      </xdr:nvSpPr>
      <xdr:spPr>
        <a:xfrm>
          <a:off x="17853025" y="525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33</xdr:col>
      <xdr:colOff>293407</xdr:colOff>
      <xdr:row>29</xdr:row>
      <xdr:rowOff>118035</xdr:rowOff>
    </xdr:from>
    <xdr:to>
      <xdr:col>34</xdr:col>
      <xdr:colOff>644525</xdr:colOff>
      <xdr:row>31</xdr:row>
      <xdr:rowOff>58271</xdr:rowOff>
    </xdr:to>
    <xdr:sp macro="ToggleBureau2nd" textlink="">
      <xdr:nvSpPr>
        <xdr:cNvPr id="22" name="btn_2ndTour_Bureau5">
          <a:extLst>
            <a:ext uri="{FF2B5EF4-FFF2-40B4-BE49-F238E27FC236}">
              <a16:creationId xmlns:a16="http://schemas.microsoft.com/office/drawing/2014/main" id="{D755AF23-58CA-1F19-818F-8A77A1FC2E16}"/>
            </a:ext>
          </a:extLst>
        </xdr:cNvPr>
        <xdr:cNvSpPr/>
      </xdr:nvSpPr>
      <xdr:spPr>
        <a:xfrm>
          <a:off x="17853025" y="557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33</xdr:col>
      <xdr:colOff>293407</xdr:colOff>
      <xdr:row>31</xdr:row>
      <xdr:rowOff>121771</xdr:rowOff>
    </xdr:from>
    <xdr:to>
      <xdr:col>34</xdr:col>
      <xdr:colOff>644525</xdr:colOff>
      <xdr:row>32</xdr:row>
      <xdr:rowOff>174065</xdr:rowOff>
    </xdr:to>
    <xdr:sp macro="ToggleBureau2nd" textlink="">
      <xdr:nvSpPr>
        <xdr:cNvPr id="23" name="btn_2ndTour_Bureau6">
          <a:extLst>
            <a:ext uri="{FF2B5EF4-FFF2-40B4-BE49-F238E27FC236}">
              <a16:creationId xmlns:a16="http://schemas.microsoft.com/office/drawing/2014/main" id="{B1B6A443-26A5-AE7E-DBB4-E7DFC7C0DEA7}"/>
            </a:ext>
          </a:extLst>
        </xdr:cNvPr>
        <xdr:cNvSpPr/>
      </xdr:nvSpPr>
      <xdr:spPr>
        <a:xfrm>
          <a:off x="17853025" y="589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33</xdr:col>
      <xdr:colOff>293407</xdr:colOff>
      <xdr:row>33</xdr:row>
      <xdr:rowOff>35859</xdr:rowOff>
    </xdr:from>
    <xdr:to>
      <xdr:col>34</xdr:col>
      <xdr:colOff>644525</xdr:colOff>
      <xdr:row>34</xdr:row>
      <xdr:rowOff>88153</xdr:rowOff>
    </xdr:to>
    <xdr:sp macro="ToggleBureau2nd" textlink="">
      <xdr:nvSpPr>
        <xdr:cNvPr id="24" name="btn_2ndTour_Bureau7">
          <a:extLst>
            <a:ext uri="{FF2B5EF4-FFF2-40B4-BE49-F238E27FC236}">
              <a16:creationId xmlns:a16="http://schemas.microsoft.com/office/drawing/2014/main" id="{DDB98C1D-00D2-AED5-120A-C1F9DCE6260A}"/>
            </a:ext>
          </a:extLst>
        </xdr:cNvPr>
        <xdr:cNvSpPr/>
      </xdr:nvSpPr>
      <xdr:spPr>
        <a:xfrm>
          <a:off x="17853025" y="621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33</xdr:col>
      <xdr:colOff>293407</xdr:colOff>
      <xdr:row>34</xdr:row>
      <xdr:rowOff>151653</xdr:rowOff>
    </xdr:from>
    <xdr:to>
      <xdr:col>34</xdr:col>
      <xdr:colOff>644525</xdr:colOff>
      <xdr:row>36</xdr:row>
      <xdr:rowOff>35859</xdr:rowOff>
    </xdr:to>
    <xdr:sp macro="ToggleBureau2nd" textlink="">
      <xdr:nvSpPr>
        <xdr:cNvPr id="25" name="btn_2ndTour_Bureau8">
          <a:extLst>
            <a:ext uri="{FF2B5EF4-FFF2-40B4-BE49-F238E27FC236}">
              <a16:creationId xmlns:a16="http://schemas.microsoft.com/office/drawing/2014/main" id="{30635637-B478-0D91-F9EA-59F9E09CA34A}"/>
            </a:ext>
          </a:extLst>
        </xdr:cNvPr>
        <xdr:cNvSpPr/>
      </xdr:nvSpPr>
      <xdr:spPr>
        <a:xfrm>
          <a:off x="17853025" y="652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33</xdr:col>
      <xdr:colOff>293407</xdr:colOff>
      <xdr:row>36</xdr:row>
      <xdr:rowOff>99359</xdr:rowOff>
    </xdr:from>
    <xdr:to>
      <xdr:col>34</xdr:col>
      <xdr:colOff>644525</xdr:colOff>
      <xdr:row>38</xdr:row>
      <xdr:rowOff>28388</xdr:rowOff>
    </xdr:to>
    <xdr:sp macro="ToggleBureau2nd" textlink="">
      <xdr:nvSpPr>
        <xdr:cNvPr id="26" name="btn_2ndTour_Bureau9">
          <a:extLst>
            <a:ext uri="{FF2B5EF4-FFF2-40B4-BE49-F238E27FC236}">
              <a16:creationId xmlns:a16="http://schemas.microsoft.com/office/drawing/2014/main" id="{2E02A64B-A32A-350A-4AE0-767F5DD772B3}"/>
            </a:ext>
          </a:extLst>
        </xdr:cNvPr>
        <xdr:cNvSpPr/>
      </xdr:nvSpPr>
      <xdr:spPr>
        <a:xfrm>
          <a:off x="17853025" y="684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33</xdr:col>
      <xdr:colOff>293407</xdr:colOff>
      <xdr:row>38</xdr:row>
      <xdr:rowOff>91888</xdr:rowOff>
    </xdr:from>
    <xdr:to>
      <xdr:col>34</xdr:col>
      <xdr:colOff>644525</xdr:colOff>
      <xdr:row>40</xdr:row>
      <xdr:rowOff>32124</xdr:rowOff>
    </xdr:to>
    <xdr:sp macro="ToggleBureau2nd" textlink="">
      <xdr:nvSpPr>
        <xdr:cNvPr id="27" name="btn_2ndTour_Bureau10">
          <a:extLst>
            <a:ext uri="{FF2B5EF4-FFF2-40B4-BE49-F238E27FC236}">
              <a16:creationId xmlns:a16="http://schemas.microsoft.com/office/drawing/2014/main" id="{F68BE9C4-F161-2EF9-F376-DF430BA0F8E4}"/>
            </a:ext>
          </a:extLst>
        </xdr:cNvPr>
        <xdr:cNvSpPr/>
      </xdr:nvSpPr>
      <xdr:spPr>
        <a:xfrm>
          <a:off x="17853025" y="716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33</xdr:col>
      <xdr:colOff>293407</xdr:colOff>
      <xdr:row>40</xdr:row>
      <xdr:rowOff>95624</xdr:rowOff>
    </xdr:from>
    <xdr:to>
      <xdr:col>34</xdr:col>
      <xdr:colOff>644525</xdr:colOff>
      <xdr:row>42</xdr:row>
      <xdr:rowOff>35859</xdr:rowOff>
    </xdr:to>
    <xdr:sp macro="ToggleBureau2nd" textlink="">
      <xdr:nvSpPr>
        <xdr:cNvPr id="28" name="btn_2ndTour_Bureau11">
          <a:extLst>
            <a:ext uri="{FF2B5EF4-FFF2-40B4-BE49-F238E27FC236}">
              <a16:creationId xmlns:a16="http://schemas.microsoft.com/office/drawing/2014/main" id="{C94AF1AF-B0B4-6E38-6E46-4258A67958F8}"/>
            </a:ext>
          </a:extLst>
        </xdr:cNvPr>
        <xdr:cNvSpPr/>
      </xdr:nvSpPr>
      <xdr:spPr>
        <a:xfrm>
          <a:off x="17853025" y="748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33</xdr:col>
      <xdr:colOff>293407</xdr:colOff>
      <xdr:row>42</xdr:row>
      <xdr:rowOff>99359</xdr:rowOff>
    </xdr:from>
    <xdr:to>
      <xdr:col>34</xdr:col>
      <xdr:colOff>644525</xdr:colOff>
      <xdr:row>44</xdr:row>
      <xdr:rowOff>39594</xdr:rowOff>
    </xdr:to>
    <xdr:sp macro="ToggleBureau2nd" textlink="">
      <xdr:nvSpPr>
        <xdr:cNvPr id="29" name="btn_2ndTour_Bureau12">
          <a:extLst>
            <a:ext uri="{FF2B5EF4-FFF2-40B4-BE49-F238E27FC236}">
              <a16:creationId xmlns:a16="http://schemas.microsoft.com/office/drawing/2014/main" id="{905954F6-158A-3A49-000A-6717F664BE96}"/>
            </a:ext>
          </a:extLst>
        </xdr:cNvPr>
        <xdr:cNvSpPr/>
      </xdr:nvSpPr>
      <xdr:spPr>
        <a:xfrm>
          <a:off x="17853025" y="779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33</xdr:col>
      <xdr:colOff>293407</xdr:colOff>
      <xdr:row>44</xdr:row>
      <xdr:rowOff>103094</xdr:rowOff>
    </xdr:from>
    <xdr:to>
      <xdr:col>34</xdr:col>
      <xdr:colOff>644525</xdr:colOff>
      <xdr:row>46</xdr:row>
      <xdr:rowOff>43329</xdr:rowOff>
    </xdr:to>
    <xdr:sp macro="Toggle_Total2nd" textlink="">
      <xdr:nvSpPr>
        <xdr:cNvPr id="30" name="btn_2ndTour_Total">
          <a:extLst>
            <a:ext uri="{FF2B5EF4-FFF2-40B4-BE49-F238E27FC236}">
              <a16:creationId xmlns:a16="http://schemas.microsoft.com/office/drawing/2014/main" id="{86C9F330-E1CD-E8E7-9B09-075E1FF9ED16}"/>
            </a:ext>
          </a:extLst>
        </xdr:cNvPr>
        <xdr:cNvSpPr/>
      </xdr:nvSpPr>
      <xdr:spPr>
        <a:xfrm>
          <a:off x="17853025" y="811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33</xdr:col>
      <xdr:colOff>293407</xdr:colOff>
      <xdr:row>46</xdr:row>
      <xdr:rowOff>106829</xdr:rowOff>
    </xdr:from>
    <xdr:to>
      <xdr:col>34</xdr:col>
      <xdr:colOff>644525</xdr:colOff>
      <xdr:row>48</xdr:row>
      <xdr:rowOff>47065</xdr:rowOff>
    </xdr:to>
    <xdr:sp macro="AfficherTout2ndTour" textlink="">
      <xdr:nvSpPr>
        <xdr:cNvPr id="31" name="btn_2ndTour_AfficherTout">
          <a:extLst>
            <a:ext uri="{FF2B5EF4-FFF2-40B4-BE49-F238E27FC236}">
              <a16:creationId xmlns:a16="http://schemas.microsoft.com/office/drawing/2014/main" id="{422674FF-8931-7880-64C6-07C29B14751C}"/>
            </a:ext>
          </a:extLst>
        </xdr:cNvPr>
        <xdr:cNvSpPr/>
      </xdr:nvSpPr>
      <xdr:spPr>
        <a:xfrm>
          <a:off x="178530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33</xdr:col>
      <xdr:colOff>293407</xdr:colOff>
      <xdr:row>48</xdr:row>
      <xdr:rowOff>110565</xdr:rowOff>
    </xdr:from>
    <xdr:to>
      <xdr:col>34</xdr:col>
      <xdr:colOff>644525</xdr:colOff>
      <xdr:row>50</xdr:row>
      <xdr:rowOff>39594</xdr:rowOff>
    </xdr:to>
    <xdr:sp macro="EffacerTout2ndTour" textlink="">
      <xdr:nvSpPr>
        <xdr:cNvPr id="32" name="btn_2ndTour_EffacerTout">
          <a:extLst>
            <a:ext uri="{FF2B5EF4-FFF2-40B4-BE49-F238E27FC236}">
              <a16:creationId xmlns:a16="http://schemas.microsoft.com/office/drawing/2014/main" id="{98A19595-09A8-3741-97BD-FC6A6BEDDBCC}"/>
            </a:ext>
          </a:extLst>
        </xdr:cNvPr>
        <xdr:cNvSpPr/>
      </xdr:nvSpPr>
      <xdr:spPr>
        <a:xfrm>
          <a:off x="178530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904875</xdr:colOff>
          <xdr:row>54</xdr:row>
          <xdr:rowOff>9525</xdr:rowOff>
        </xdr:from>
        <xdr:to>
          <xdr:col>35</xdr:col>
          <xdr:colOff>866775</xdr:colOff>
          <xdr:row>56</xdr:row>
          <xdr:rowOff>104774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Simuler participation journée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9525</xdr:colOff>
          <xdr:row>57</xdr:row>
          <xdr:rowOff>38100</xdr:rowOff>
        </xdr:from>
        <xdr:to>
          <xdr:col>35</xdr:col>
          <xdr:colOff>885824</xdr:colOff>
          <xdr:row>59</xdr:row>
          <xdr:rowOff>76199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Réinitialiser participation horaire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84081</xdr:colOff>
      <xdr:row>50</xdr:row>
      <xdr:rowOff>141911</xdr:rowOff>
    </xdr:from>
    <xdr:ext cx="15435931" cy="6021473"/>
    <xdr:graphicFrame macro="">
      <xdr:nvGraphicFramePr>
        <xdr:cNvPr id="33" name="GraphAffluence" title="Graphique">
          <a:extLst>
            <a:ext uri="{FF2B5EF4-FFF2-40B4-BE49-F238E27FC236}">
              <a16:creationId xmlns:a16="http://schemas.microsoft.com/office/drawing/2014/main" id="{74DF2783-1E83-4097-AFA3-C9E5994D9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1773442</xdr:colOff>
      <xdr:row>41</xdr:row>
      <xdr:rowOff>35882</xdr:rowOff>
    </xdr:from>
    <xdr:ext cx="12240232" cy="3616696"/>
    <xdr:sp macro="" textlink="">
      <xdr:nvSpPr>
        <xdr:cNvPr id="32" name="ZoneTexte 31">
          <a:extLst>
            <a:ext uri="{FF2B5EF4-FFF2-40B4-BE49-F238E27FC236}">
              <a16:creationId xmlns:a16="http://schemas.microsoft.com/office/drawing/2014/main" id="{F3E5AC01-23BE-DDCD-0E8F-B40812D3DA19}"/>
            </a:ext>
          </a:extLst>
        </xdr:cNvPr>
        <xdr:cNvSpPr txBox="1"/>
      </xdr:nvSpPr>
      <xdr:spPr>
        <a:xfrm rot="20826026">
          <a:off x="2834799" y="22147489"/>
          <a:ext cx="12240232" cy="36166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23900" i="1" kern="1200">
              <a:solidFill>
                <a:srgbClr val="333333">
                  <a:alpha val="20000"/>
                </a:srgbClr>
              </a:solidFill>
            </a:rPr>
            <a:t>Exemple</a:t>
          </a:r>
          <a:endParaRPr lang="fr-FR" sz="16600" i="1" kern="1200">
            <a:solidFill>
              <a:srgbClr val="333333">
                <a:alpha val="20000"/>
              </a:srgbClr>
            </a:solidFill>
          </a:endParaRPr>
        </a:p>
      </xdr:txBody>
    </xdr:sp>
    <xdr:clientData/>
  </xdr:oneCellAnchor>
  <xdr:twoCellAnchor editAs="oneCell">
    <xdr:from>
      <xdr:col>0</xdr:col>
      <xdr:colOff>100163</xdr:colOff>
      <xdr:row>17</xdr:row>
      <xdr:rowOff>62935</xdr:rowOff>
    </xdr:from>
    <xdr:to>
      <xdr:col>0</xdr:col>
      <xdr:colOff>1014563</xdr:colOff>
      <xdr:row>18</xdr:row>
      <xdr:rowOff>458901</xdr:rowOff>
    </xdr:to>
    <xdr:pic>
      <xdr:nvPicPr>
        <xdr:cNvPr id="6" name="Graphique 2" descr="Informations contour">
          <a:extLst>
            <a:ext uri="{FF2B5EF4-FFF2-40B4-BE49-F238E27FC236}">
              <a16:creationId xmlns:a16="http://schemas.microsoft.com/office/drawing/2014/main" id="{9868C194-4EC3-C3A6-4EDB-8AA00FE6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4127" y="11016685"/>
          <a:ext cx="914400" cy="900792"/>
        </a:xfrm>
        <a:prstGeom prst="rect">
          <a:avLst/>
        </a:prstGeom>
      </xdr:spPr>
    </xdr:pic>
    <xdr:clientData/>
  </xdr:twoCellAnchor>
  <xdr:twoCellAnchor>
    <xdr:from>
      <xdr:col>5</xdr:col>
      <xdr:colOff>1415144</xdr:colOff>
      <xdr:row>40</xdr:row>
      <xdr:rowOff>435433</xdr:rowOff>
    </xdr:from>
    <xdr:to>
      <xdr:col>7</xdr:col>
      <xdr:colOff>244929</xdr:colOff>
      <xdr:row>50</xdr:row>
      <xdr:rowOff>163291</xdr:rowOff>
    </xdr:to>
    <xdr:sp macro="" textlink="">
      <xdr:nvSpPr>
        <xdr:cNvPr id="31" name="Flèche : en arc 30">
          <a:extLst>
            <a:ext uri="{FF2B5EF4-FFF2-40B4-BE49-F238E27FC236}">
              <a16:creationId xmlns:a16="http://schemas.microsoft.com/office/drawing/2014/main" id="{D8B21D7F-184E-4C23-8238-F422A16E0F42}"/>
            </a:ext>
          </a:extLst>
        </xdr:cNvPr>
        <xdr:cNvSpPr/>
      </xdr:nvSpPr>
      <xdr:spPr>
        <a:xfrm rot="5400000">
          <a:off x="16757197" y="23193380"/>
          <a:ext cx="4177394" cy="1959428"/>
        </a:xfrm>
        <a:prstGeom prst="circularArrow">
          <a:avLst>
            <a:gd name="adj1" fmla="val 5748"/>
            <a:gd name="adj2" fmla="val 911249"/>
            <a:gd name="adj3" fmla="val 20622878"/>
            <a:gd name="adj4" fmla="val 10868399"/>
            <a:gd name="adj5" fmla="val 21302"/>
          </a:avLst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2979964</xdr:colOff>
      <xdr:row>42</xdr:row>
      <xdr:rowOff>54429</xdr:rowOff>
    </xdr:from>
    <xdr:to>
      <xdr:col>2</xdr:col>
      <xdr:colOff>0</xdr:colOff>
      <xdr:row>42</xdr:row>
      <xdr:rowOff>530679</xdr:rowOff>
    </xdr:to>
    <xdr:sp macro="" textlink="">
      <xdr:nvSpPr>
        <xdr:cNvPr id="33" name="Rectangle : coins arrondis 32">
          <a:extLst>
            <a:ext uri="{FF2B5EF4-FFF2-40B4-BE49-F238E27FC236}">
              <a16:creationId xmlns:a16="http://schemas.microsoft.com/office/drawing/2014/main" id="{1EEB6DE6-2C14-4DAD-95A4-304823A499A5}"/>
            </a:ext>
          </a:extLst>
        </xdr:cNvPr>
        <xdr:cNvSpPr/>
      </xdr:nvSpPr>
      <xdr:spPr>
        <a:xfrm>
          <a:off x="4041321" y="22751143"/>
          <a:ext cx="693965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2</xdr:col>
      <xdr:colOff>2789466</xdr:colOff>
      <xdr:row>42</xdr:row>
      <xdr:rowOff>54429</xdr:rowOff>
    </xdr:from>
    <xdr:to>
      <xdr:col>2</xdr:col>
      <xdr:colOff>3483431</xdr:colOff>
      <xdr:row>42</xdr:row>
      <xdr:rowOff>530679</xdr:rowOff>
    </xdr:to>
    <xdr:sp macro="" textlink="">
      <xdr:nvSpPr>
        <xdr:cNvPr id="34" name="Rectangle : coins arrondis 33">
          <a:extLst>
            <a:ext uri="{FF2B5EF4-FFF2-40B4-BE49-F238E27FC236}">
              <a16:creationId xmlns:a16="http://schemas.microsoft.com/office/drawing/2014/main" id="{504BDBA0-1A6F-45D6-89EE-DE014E14CF68}"/>
            </a:ext>
          </a:extLst>
        </xdr:cNvPr>
        <xdr:cNvSpPr/>
      </xdr:nvSpPr>
      <xdr:spPr>
        <a:xfrm>
          <a:off x="7524752" y="22751143"/>
          <a:ext cx="693965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3</xdr:col>
      <xdr:colOff>2982685</xdr:colOff>
      <xdr:row>42</xdr:row>
      <xdr:rowOff>57151</xdr:rowOff>
    </xdr:from>
    <xdr:to>
      <xdr:col>4</xdr:col>
      <xdr:colOff>2721</xdr:colOff>
      <xdr:row>42</xdr:row>
      <xdr:rowOff>533401</xdr:rowOff>
    </xdr:to>
    <xdr:sp macro="" textlink="">
      <xdr:nvSpPr>
        <xdr:cNvPr id="35" name="Rectangle : coins arrondis 34">
          <a:extLst>
            <a:ext uri="{FF2B5EF4-FFF2-40B4-BE49-F238E27FC236}">
              <a16:creationId xmlns:a16="http://schemas.microsoft.com/office/drawing/2014/main" id="{9B4B172C-5C36-45E2-AAF1-4B5BEF0C7517}"/>
            </a:ext>
          </a:extLst>
        </xdr:cNvPr>
        <xdr:cNvSpPr/>
      </xdr:nvSpPr>
      <xdr:spPr>
        <a:xfrm>
          <a:off x="11391899" y="22753865"/>
          <a:ext cx="693965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4</xdr:col>
      <xdr:colOff>2887437</xdr:colOff>
      <xdr:row>42</xdr:row>
      <xdr:rowOff>57151</xdr:rowOff>
    </xdr:from>
    <xdr:to>
      <xdr:col>4</xdr:col>
      <xdr:colOff>3581402</xdr:colOff>
      <xdr:row>42</xdr:row>
      <xdr:rowOff>533401</xdr:rowOff>
    </xdr:to>
    <xdr:sp macro="" textlink="">
      <xdr:nvSpPr>
        <xdr:cNvPr id="36" name="Rectangle : coins arrondis 35">
          <a:extLst>
            <a:ext uri="{FF2B5EF4-FFF2-40B4-BE49-F238E27FC236}">
              <a16:creationId xmlns:a16="http://schemas.microsoft.com/office/drawing/2014/main" id="{34DB6653-F9C5-4000-9ECE-92162A36F8CA}"/>
            </a:ext>
          </a:extLst>
        </xdr:cNvPr>
        <xdr:cNvSpPr/>
      </xdr:nvSpPr>
      <xdr:spPr>
        <a:xfrm>
          <a:off x="14970580" y="22753865"/>
          <a:ext cx="693965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</xdr:col>
      <xdr:colOff>1445078</xdr:colOff>
      <xdr:row>41</xdr:row>
      <xdr:rowOff>57151</xdr:rowOff>
    </xdr:from>
    <xdr:to>
      <xdr:col>1</xdr:col>
      <xdr:colOff>2275115</xdr:colOff>
      <xdr:row>41</xdr:row>
      <xdr:rowOff>533401</xdr:rowOff>
    </xdr:to>
    <xdr:sp macro="" textlink="">
      <xdr:nvSpPr>
        <xdr:cNvPr id="37" name="Rectangle : coins arrondis 36">
          <a:extLst>
            <a:ext uri="{FF2B5EF4-FFF2-40B4-BE49-F238E27FC236}">
              <a16:creationId xmlns:a16="http://schemas.microsoft.com/office/drawing/2014/main" id="{D017A9AB-C992-462B-B11A-A87799808D24}"/>
            </a:ext>
          </a:extLst>
        </xdr:cNvPr>
        <xdr:cNvSpPr/>
      </xdr:nvSpPr>
      <xdr:spPr>
        <a:xfrm>
          <a:off x="2506435" y="22168758"/>
          <a:ext cx="830037" cy="476250"/>
        </a:xfrm>
        <a:prstGeom prst="round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2</xdr:col>
      <xdr:colOff>1404257</xdr:colOff>
      <xdr:row>41</xdr:row>
      <xdr:rowOff>57151</xdr:rowOff>
    </xdr:from>
    <xdr:to>
      <xdr:col>2</xdr:col>
      <xdr:colOff>2234294</xdr:colOff>
      <xdr:row>41</xdr:row>
      <xdr:rowOff>533401</xdr:rowOff>
    </xdr:to>
    <xdr:sp macro="" textlink="">
      <xdr:nvSpPr>
        <xdr:cNvPr id="38" name="Rectangle : coins arrondis 37">
          <a:extLst>
            <a:ext uri="{FF2B5EF4-FFF2-40B4-BE49-F238E27FC236}">
              <a16:creationId xmlns:a16="http://schemas.microsoft.com/office/drawing/2014/main" id="{563CD1F8-6EE0-42AA-B660-D93AA35BC987}"/>
            </a:ext>
          </a:extLst>
        </xdr:cNvPr>
        <xdr:cNvSpPr/>
      </xdr:nvSpPr>
      <xdr:spPr>
        <a:xfrm>
          <a:off x="6139543" y="22168758"/>
          <a:ext cx="830037" cy="476250"/>
        </a:xfrm>
        <a:prstGeom prst="round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3</xdr:col>
      <xdr:colOff>1488620</xdr:colOff>
      <xdr:row>41</xdr:row>
      <xdr:rowOff>59873</xdr:rowOff>
    </xdr:from>
    <xdr:to>
      <xdr:col>3</xdr:col>
      <xdr:colOff>2318657</xdr:colOff>
      <xdr:row>41</xdr:row>
      <xdr:rowOff>536123</xdr:rowOff>
    </xdr:to>
    <xdr:sp macro="" textlink="">
      <xdr:nvSpPr>
        <xdr:cNvPr id="39" name="Rectangle : coins arrondis 38">
          <a:extLst>
            <a:ext uri="{FF2B5EF4-FFF2-40B4-BE49-F238E27FC236}">
              <a16:creationId xmlns:a16="http://schemas.microsoft.com/office/drawing/2014/main" id="{8843BF1F-6F60-49BA-B21A-7C648CD4161C}"/>
            </a:ext>
          </a:extLst>
        </xdr:cNvPr>
        <xdr:cNvSpPr/>
      </xdr:nvSpPr>
      <xdr:spPr>
        <a:xfrm>
          <a:off x="9897834" y="22171480"/>
          <a:ext cx="830037" cy="476250"/>
        </a:xfrm>
        <a:prstGeom prst="round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4</xdr:col>
      <xdr:colOff>1420586</xdr:colOff>
      <xdr:row>41</xdr:row>
      <xdr:rowOff>59873</xdr:rowOff>
    </xdr:from>
    <xdr:to>
      <xdr:col>4</xdr:col>
      <xdr:colOff>2250623</xdr:colOff>
      <xdr:row>41</xdr:row>
      <xdr:rowOff>536123</xdr:rowOff>
    </xdr:to>
    <xdr:sp macro="" textlink="">
      <xdr:nvSpPr>
        <xdr:cNvPr id="40" name="Rectangle : coins arrondis 39">
          <a:extLst>
            <a:ext uri="{FF2B5EF4-FFF2-40B4-BE49-F238E27FC236}">
              <a16:creationId xmlns:a16="http://schemas.microsoft.com/office/drawing/2014/main" id="{2C0CD70C-9DCA-4C29-B0EE-05B3CBA819B0}"/>
            </a:ext>
          </a:extLst>
        </xdr:cNvPr>
        <xdr:cNvSpPr/>
      </xdr:nvSpPr>
      <xdr:spPr>
        <a:xfrm>
          <a:off x="14197693" y="22266730"/>
          <a:ext cx="830037" cy="476250"/>
        </a:xfrm>
        <a:prstGeom prst="round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</xdr:col>
      <xdr:colOff>1461406</xdr:colOff>
      <xdr:row>49</xdr:row>
      <xdr:rowOff>59872</xdr:rowOff>
    </xdr:from>
    <xdr:to>
      <xdr:col>1</xdr:col>
      <xdr:colOff>2291443</xdr:colOff>
      <xdr:row>49</xdr:row>
      <xdr:rowOff>536122</xdr:rowOff>
    </xdr:to>
    <xdr:sp macro="" textlink="">
      <xdr:nvSpPr>
        <xdr:cNvPr id="41" name="Rectangle : coins arrondis 40">
          <a:extLst>
            <a:ext uri="{FF2B5EF4-FFF2-40B4-BE49-F238E27FC236}">
              <a16:creationId xmlns:a16="http://schemas.microsoft.com/office/drawing/2014/main" id="{8B71DB3A-A5DC-448C-A6FF-6ABADA825BC6}"/>
            </a:ext>
          </a:extLst>
        </xdr:cNvPr>
        <xdr:cNvSpPr/>
      </xdr:nvSpPr>
      <xdr:spPr>
        <a:xfrm>
          <a:off x="3216727" y="25627693"/>
          <a:ext cx="830037" cy="476250"/>
        </a:xfrm>
        <a:prstGeom prst="round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2</xdr:col>
      <xdr:colOff>1434192</xdr:colOff>
      <xdr:row>49</xdr:row>
      <xdr:rowOff>59872</xdr:rowOff>
    </xdr:from>
    <xdr:to>
      <xdr:col>2</xdr:col>
      <xdr:colOff>2264229</xdr:colOff>
      <xdr:row>49</xdr:row>
      <xdr:rowOff>536122</xdr:rowOff>
    </xdr:to>
    <xdr:sp macro="" textlink="">
      <xdr:nvSpPr>
        <xdr:cNvPr id="42" name="Rectangle : coins arrondis 41">
          <a:extLst>
            <a:ext uri="{FF2B5EF4-FFF2-40B4-BE49-F238E27FC236}">
              <a16:creationId xmlns:a16="http://schemas.microsoft.com/office/drawing/2014/main" id="{7217EC82-9D8B-433D-84A1-6E8058238E37}"/>
            </a:ext>
          </a:extLst>
        </xdr:cNvPr>
        <xdr:cNvSpPr/>
      </xdr:nvSpPr>
      <xdr:spPr>
        <a:xfrm>
          <a:off x="6863442" y="25627693"/>
          <a:ext cx="830037" cy="476250"/>
        </a:xfrm>
        <a:prstGeom prst="round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3</xdr:col>
      <xdr:colOff>1423306</xdr:colOff>
      <xdr:row>49</xdr:row>
      <xdr:rowOff>62594</xdr:rowOff>
    </xdr:from>
    <xdr:to>
      <xdr:col>3</xdr:col>
      <xdr:colOff>2253343</xdr:colOff>
      <xdr:row>49</xdr:row>
      <xdr:rowOff>538844</xdr:rowOff>
    </xdr:to>
    <xdr:sp macro="" textlink="">
      <xdr:nvSpPr>
        <xdr:cNvPr id="43" name="Rectangle : coins arrondis 42">
          <a:extLst>
            <a:ext uri="{FF2B5EF4-FFF2-40B4-BE49-F238E27FC236}">
              <a16:creationId xmlns:a16="http://schemas.microsoft.com/office/drawing/2014/main" id="{0D278C06-6ECC-4EBC-9D9E-801EC672BB37}"/>
            </a:ext>
          </a:extLst>
        </xdr:cNvPr>
        <xdr:cNvSpPr/>
      </xdr:nvSpPr>
      <xdr:spPr>
        <a:xfrm>
          <a:off x="10526485" y="25630415"/>
          <a:ext cx="830037" cy="476250"/>
        </a:xfrm>
        <a:prstGeom prst="round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4</xdr:col>
      <xdr:colOff>1450521</xdr:colOff>
      <xdr:row>49</xdr:row>
      <xdr:rowOff>62594</xdr:rowOff>
    </xdr:from>
    <xdr:to>
      <xdr:col>4</xdr:col>
      <xdr:colOff>2280558</xdr:colOff>
      <xdr:row>49</xdr:row>
      <xdr:rowOff>538844</xdr:rowOff>
    </xdr:to>
    <xdr:sp macro="" textlink="">
      <xdr:nvSpPr>
        <xdr:cNvPr id="44" name="Rectangle : coins arrondis 43">
          <a:extLst>
            <a:ext uri="{FF2B5EF4-FFF2-40B4-BE49-F238E27FC236}">
              <a16:creationId xmlns:a16="http://schemas.microsoft.com/office/drawing/2014/main" id="{0DFEF93F-56DC-4717-A56B-6DE2F3BD338D}"/>
            </a:ext>
          </a:extLst>
        </xdr:cNvPr>
        <xdr:cNvSpPr/>
      </xdr:nvSpPr>
      <xdr:spPr>
        <a:xfrm>
          <a:off x="14227628" y="25630415"/>
          <a:ext cx="830037" cy="476250"/>
        </a:xfrm>
        <a:prstGeom prst="round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</xdr:col>
      <xdr:colOff>1450520</xdr:colOff>
      <xdr:row>50</xdr:row>
      <xdr:rowOff>48986</xdr:rowOff>
    </xdr:from>
    <xdr:to>
      <xdr:col>1</xdr:col>
      <xdr:colOff>2280557</xdr:colOff>
      <xdr:row>50</xdr:row>
      <xdr:rowOff>525236</xdr:rowOff>
    </xdr:to>
    <xdr:sp macro="" textlink="">
      <xdr:nvSpPr>
        <xdr:cNvPr id="45" name="Rectangle : coins arrondis 44">
          <a:extLst>
            <a:ext uri="{FF2B5EF4-FFF2-40B4-BE49-F238E27FC236}">
              <a16:creationId xmlns:a16="http://schemas.microsoft.com/office/drawing/2014/main" id="{7089C070-CEC2-4626-98C7-12D69EDFA15E}"/>
            </a:ext>
          </a:extLst>
        </xdr:cNvPr>
        <xdr:cNvSpPr/>
      </xdr:nvSpPr>
      <xdr:spPr>
        <a:xfrm>
          <a:off x="3205841" y="26201915"/>
          <a:ext cx="830037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2</xdr:col>
      <xdr:colOff>1423306</xdr:colOff>
      <xdr:row>50</xdr:row>
      <xdr:rowOff>48986</xdr:rowOff>
    </xdr:from>
    <xdr:to>
      <xdr:col>2</xdr:col>
      <xdr:colOff>2253343</xdr:colOff>
      <xdr:row>50</xdr:row>
      <xdr:rowOff>525236</xdr:rowOff>
    </xdr:to>
    <xdr:sp macro="" textlink="">
      <xdr:nvSpPr>
        <xdr:cNvPr id="46" name="Rectangle : coins arrondis 45">
          <a:extLst>
            <a:ext uri="{FF2B5EF4-FFF2-40B4-BE49-F238E27FC236}">
              <a16:creationId xmlns:a16="http://schemas.microsoft.com/office/drawing/2014/main" id="{7B56E10C-A9BB-4B8A-9FD5-5E93E712A2BB}"/>
            </a:ext>
          </a:extLst>
        </xdr:cNvPr>
        <xdr:cNvSpPr/>
      </xdr:nvSpPr>
      <xdr:spPr>
        <a:xfrm>
          <a:off x="6852556" y="26201915"/>
          <a:ext cx="830037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3</xdr:col>
      <xdr:colOff>1412420</xdr:colOff>
      <xdr:row>50</xdr:row>
      <xdr:rowOff>51708</xdr:rowOff>
    </xdr:from>
    <xdr:to>
      <xdr:col>3</xdr:col>
      <xdr:colOff>2242457</xdr:colOff>
      <xdr:row>50</xdr:row>
      <xdr:rowOff>527958</xdr:rowOff>
    </xdr:to>
    <xdr:sp macro="" textlink="">
      <xdr:nvSpPr>
        <xdr:cNvPr id="47" name="Rectangle : coins arrondis 46">
          <a:extLst>
            <a:ext uri="{FF2B5EF4-FFF2-40B4-BE49-F238E27FC236}">
              <a16:creationId xmlns:a16="http://schemas.microsoft.com/office/drawing/2014/main" id="{19BB00A3-7D78-4DED-BB7D-D9C754193A74}"/>
            </a:ext>
          </a:extLst>
        </xdr:cNvPr>
        <xdr:cNvSpPr/>
      </xdr:nvSpPr>
      <xdr:spPr>
        <a:xfrm>
          <a:off x="10515599" y="26204637"/>
          <a:ext cx="830037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4</xdr:col>
      <xdr:colOff>1439635</xdr:colOff>
      <xdr:row>50</xdr:row>
      <xdr:rowOff>51708</xdr:rowOff>
    </xdr:from>
    <xdr:to>
      <xdr:col>4</xdr:col>
      <xdr:colOff>2269672</xdr:colOff>
      <xdr:row>50</xdr:row>
      <xdr:rowOff>527958</xdr:rowOff>
    </xdr:to>
    <xdr:sp macro="" textlink="">
      <xdr:nvSpPr>
        <xdr:cNvPr id="48" name="Rectangle : coins arrondis 47">
          <a:extLst>
            <a:ext uri="{FF2B5EF4-FFF2-40B4-BE49-F238E27FC236}">
              <a16:creationId xmlns:a16="http://schemas.microsoft.com/office/drawing/2014/main" id="{103A6D3A-9058-4C5C-8E35-B1CA95C3EE82}"/>
            </a:ext>
          </a:extLst>
        </xdr:cNvPr>
        <xdr:cNvSpPr/>
      </xdr:nvSpPr>
      <xdr:spPr>
        <a:xfrm>
          <a:off x="14216742" y="26204637"/>
          <a:ext cx="830037" cy="476250"/>
        </a:xfrm>
        <a:prstGeom prst="roundRect">
          <a:avLst/>
        </a:prstGeom>
        <a:noFill/>
        <a:ln w="571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480580</xdr:colOff>
      <xdr:row>0</xdr:row>
      <xdr:rowOff>116415</xdr:rowOff>
    </xdr:from>
    <xdr:to>
      <xdr:col>41</xdr:col>
      <xdr:colOff>486055</xdr:colOff>
      <xdr:row>33</xdr:row>
      <xdr:rowOff>101580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59CC07E-7B9F-B902-3E3E-A4649B223492}"/>
            </a:ext>
          </a:extLst>
        </xdr:cNvPr>
        <xdr:cNvSpPr>
          <a:spLocks noChangeAspect="1"/>
        </xdr:cNvSpPr>
      </xdr:nvSpPr>
      <xdr:spPr>
        <a:xfrm>
          <a:off x="24102580" y="116415"/>
          <a:ext cx="22341600" cy="12499200"/>
        </a:xfrm>
        <a:prstGeom prst="rect">
          <a:avLst/>
        </a:prstGeom>
        <a:noFill/>
        <a:ln w="76200">
          <a:prstDash val="sys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oneCellAnchor>
    <xdr:from>
      <xdr:col>1</xdr:col>
      <xdr:colOff>27213</xdr:colOff>
      <xdr:row>21</xdr:row>
      <xdr:rowOff>13607</xdr:rowOff>
    </xdr:from>
    <xdr:ext cx="14001751" cy="402771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C06C0DAA-701A-4012-9D82-F9C1F8FFC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26</xdr:col>
      <xdr:colOff>259306</xdr:colOff>
      <xdr:row>1</xdr:row>
      <xdr:rowOff>284993</xdr:rowOff>
    </xdr:from>
    <xdr:ext cx="12979323" cy="5255382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D74882AA-B210-4925-9253-A7D5D1047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twoCellAnchor editAs="oneCell">
    <xdr:from>
      <xdr:col>13</xdr:col>
      <xdr:colOff>285751</xdr:colOff>
      <xdr:row>2</xdr:row>
      <xdr:rowOff>645584</xdr:rowOff>
    </xdr:from>
    <xdr:to>
      <xdr:col>15</xdr:col>
      <xdr:colOff>127000</xdr:colOff>
      <xdr:row>9</xdr:row>
      <xdr:rowOff>7560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A2374987-1987-F10F-3F26-B20F4C304E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7303751" y="1169459"/>
          <a:ext cx="1571624" cy="1965476"/>
        </a:xfrm>
        <a:prstGeom prst="rect">
          <a:avLst/>
        </a:prstGeom>
      </xdr:spPr>
    </xdr:pic>
    <xdr:clientData/>
  </xdr:twoCellAnchor>
  <xdr:twoCellAnchor editAs="oneCell">
    <xdr:from>
      <xdr:col>20</xdr:col>
      <xdr:colOff>417361</xdr:colOff>
      <xdr:row>20</xdr:row>
      <xdr:rowOff>53370</xdr:rowOff>
    </xdr:from>
    <xdr:to>
      <xdr:col>21</xdr:col>
      <xdr:colOff>1174750</xdr:colOff>
      <xdr:row>25</xdr:row>
      <xdr:rowOff>100932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8E26C7D7-D4B6-4B96-9BC2-B8EED56B3F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24769611" y="7720995"/>
          <a:ext cx="1519389" cy="1873187"/>
        </a:xfrm>
        <a:prstGeom prst="rect">
          <a:avLst/>
        </a:prstGeom>
      </xdr:spPr>
    </xdr:pic>
    <xdr:clientData/>
  </xdr:twoCellAnchor>
  <xdr:oneCellAnchor>
    <xdr:from>
      <xdr:col>26</xdr:col>
      <xdr:colOff>259306</xdr:colOff>
      <xdr:row>16</xdr:row>
      <xdr:rowOff>285750</xdr:rowOff>
    </xdr:from>
    <xdr:ext cx="13021877" cy="5873750"/>
    <xdr:graphicFrame macro="">
      <xdr:nvGraphicFramePr>
        <xdr:cNvPr id="4" name="GraphAffluence" title="Graphique">
          <a:extLst>
            <a:ext uri="{FF2B5EF4-FFF2-40B4-BE49-F238E27FC236}">
              <a16:creationId xmlns:a16="http://schemas.microsoft.com/office/drawing/2014/main" id="{D6DAC9D6-E5D6-4F58-848D-ED88BAE7FA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twoCellAnchor editAs="oneCell">
    <xdr:from>
      <xdr:col>0</xdr:col>
      <xdr:colOff>0</xdr:colOff>
      <xdr:row>0</xdr:row>
      <xdr:rowOff>95634</xdr:rowOff>
    </xdr:from>
    <xdr:to>
      <xdr:col>18</xdr:col>
      <xdr:colOff>1837748</xdr:colOff>
      <xdr:row>33</xdr:row>
      <xdr:rowOff>82335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0A8827E-67E8-4059-8F35-D0FB9E0A0E90}"/>
            </a:ext>
          </a:extLst>
        </xdr:cNvPr>
        <xdr:cNvSpPr>
          <a:spLocks noChangeAspect="1"/>
        </xdr:cNvSpPr>
      </xdr:nvSpPr>
      <xdr:spPr>
        <a:xfrm>
          <a:off x="146626" y="95634"/>
          <a:ext cx="23062623" cy="12500736"/>
        </a:xfrm>
        <a:prstGeom prst="rect">
          <a:avLst/>
        </a:prstGeom>
        <a:noFill/>
        <a:ln w="76200">
          <a:prstDash val="sys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533AC109-205B-47A1-9815-82BEFEB9C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20</xdr:col>
      <xdr:colOff>95250</xdr:colOff>
      <xdr:row>15</xdr:row>
      <xdr:rowOff>134938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A2E899C3-1E08-4F01-908B-4880DDA0E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20</xdr:col>
      <xdr:colOff>62821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B0CDF04-8F68-4AC4-8728-3704DF4041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2B1D7FD-B77D-45D4-82FF-7BFDE6264F97}"/>
            </a:ext>
          </a:extLst>
        </xdr:cNvPr>
        <xdr:cNvGrpSpPr/>
      </xdr:nvGrpSpPr>
      <xdr:grpSpPr>
        <a:xfrm>
          <a:off x="17619653" y="1088572"/>
          <a:ext cx="1885635" cy="1883914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B8CB99EA-FE99-7870-9751-9BE31C20B0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0F148E68-1B1F-187B-828B-828DB95D49C7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CADA098-043C-43E5-ADC7-09AD97B04F6A}"/>
            </a:ext>
          </a:extLst>
        </xdr:cNvPr>
        <xdr:cNvGrpSpPr/>
      </xdr:nvGrpSpPr>
      <xdr:grpSpPr>
        <a:xfrm>
          <a:off x="3420303" y="4076010"/>
          <a:ext cx="10631503" cy="492341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2CB79FDE-1CC1-82D3-2A98-771A37AEC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915443DB-8142-694D-DE66-F509CDDB4418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 b="1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Méthode 1 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: 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12</xdr:col>
      <xdr:colOff>530679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C918A8D-8749-4131-A267-0F89078F0644}"/>
            </a:ext>
          </a:extLst>
        </xdr:cNvPr>
        <xdr:cNvGrpSpPr/>
      </xdr:nvGrpSpPr>
      <xdr:grpSpPr>
        <a:xfrm>
          <a:off x="3395207" y="13176482"/>
          <a:ext cx="9530844" cy="463044"/>
          <a:chOff x="4009571" y="12174517"/>
          <a:chExt cx="9314279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5AE9394B-872D-27F2-0EFF-AF747871AA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B73223F1-7DDD-04F8-6859-432B60B147E8}"/>
              </a:ext>
            </a:extLst>
          </xdr:cNvPr>
          <xdr:cNvSpPr/>
        </xdr:nvSpPr>
        <xdr:spPr>
          <a:xfrm>
            <a:off x="4508500" y="12217881"/>
            <a:ext cx="8815350" cy="377777"/>
          </a:xfrm>
          <a:prstGeom prst="borderCallout1">
            <a:avLst>
              <a:gd name="adj1" fmla="val 100797"/>
              <a:gd name="adj2" fmla="val 92465"/>
              <a:gd name="adj3" fmla="val 347716"/>
              <a:gd name="adj4" fmla="val 9049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81450</xdr:rowOff>
    </xdr:from>
    <xdr:to>
      <xdr:col>19</xdr:col>
      <xdr:colOff>292100</xdr:colOff>
      <xdr:row>47</xdr:row>
      <xdr:rowOff>141553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3ED1C19C-F718-4C6E-B82E-85CB334C3857}"/>
            </a:ext>
          </a:extLst>
        </xdr:cNvPr>
        <xdr:cNvGrpSpPr/>
      </xdr:nvGrpSpPr>
      <xdr:grpSpPr>
        <a:xfrm>
          <a:off x="15020324" y="4123139"/>
          <a:ext cx="3691067" cy="549192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02BF388F-0B24-8BB4-3006-B6EF1AA662C0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65F35815-9509-6498-3223-BCD40857108C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2E35CC07-24F9-2BB5-C484-E5041BB9DEDA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1 -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2 -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4B96359C-FDA8-4BCC-E94C-4ECED16AC9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screen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16</xdr:col>
      <xdr:colOff>244928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D9FA2729-E9D9-4B72-A1D7-C3291F557D8C}"/>
            </a:ext>
          </a:extLst>
        </xdr:cNvPr>
        <xdr:cNvGrpSpPr/>
      </xdr:nvGrpSpPr>
      <xdr:grpSpPr>
        <a:xfrm>
          <a:off x="3380088" y="12705190"/>
          <a:ext cx="12864266" cy="481351"/>
          <a:chOff x="3967983" y="12233869"/>
          <a:chExt cx="12756074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CACCDCF3-7D0E-F02E-9774-4E9458F4B6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867F5340-5351-FCA0-F28B-7A2F97C49A29}"/>
              </a:ext>
            </a:extLst>
          </xdr:cNvPr>
          <xdr:cNvSpPr/>
        </xdr:nvSpPr>
        <xdr:spPr>
          <a:xfrm>
            <a:off x="4476739" y="12269657"/>
            <a:ext cx="12247318" cy="392892"/>
          </a:xfrm>
          <a:prstGeom prst="borderCallout1">
            <a:avLst>
              <a:gd name="adj1" fmla="val -2020"/>
              <a:gd name="adj2" fmla="val 6070"/>
              <a:gd name="adj3" fmla="val -449306"/>
              <a:gd name="adj4" fmla="val -823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 b="1">
                <a:solidFill>
                  <a:schemeClr val="accent1">
                    <a:lumMod val="75000"/>
                  </a:schemeClr>
                </a:solidFill>
              </a:rPr>
              <a:t>Méthode 2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 : 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dépouillement. Ici la table 1 a dépouillé les enveloppes 1, 3 et 4.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16</xdr:col>
      <xdr:colOff>516022</xdr:colOff>
      <xdr:row>49</xdr:row>
      <xdr:rowOff>116307</xdr:rowOff>
    </xdr:from>
    <xdr:to>
      <xdr:col>16</xdr:col>
      <xdr:colOff>843531</xdr:colOff>
      <xdr:row>58</xdr:row>
      <xdr:rowOff>123263</xdr:rowOff>
    </xdr:to>
    <xdr:sp macro="" textlink="">
      <xdr:nvSpPr>
        <xdr:cNvPr id="22" name="Flèche : bas 21">
          <a:extLst>
            <a:ext uri="{FF2B5EF4-FFF2-40B4-BE49-F238E27FC236}">
              <a16:creationId xmlns:a16="http://schemas.microsoft.com/office/drawing/2014/main" id="{2E8FDEE5-CEB2-13EE-0298-5FC87B8665A6}"/>
            </a:ext>
          </a:extLst>
        </xdr:cNvPr>
        <xdr:cNvSpPr/>
      </xdr:nvSpPr>
      <xdr:spPr>
        <a:xfrm>
          <a:off x="16630081" y="10033513"/>
          <a:ext cx="327509" cy="2225721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2</a:t>
          </a:r>
        </a:p>
      </xdr:txBody>
    </xdr:sp>
    <xdr:clientData/>
  </xdr:twoCellAnchor>
  <xdr:twoCellAnchor>
    <xdr:from>
      <xdr:col>16</xdr:col>
      <xdr:colOff>571500</xdr:colOff>
      <xdr:row>67</xdr:row>
      <xdr:rowOff>44822</xdr:rowOff>
    </xdr:from>
    <xdr:to>
      <xdr:col>17</xdr:col>
      <xdr:colOff>2539</xdr:colOff>
      <xdr:row>71</xdr:row>
      <xdr:rowOff>156881</xdr:rowOff>
    </xdr:to>
    <xdr:sp macro="" textlink="">
      <xdr:nvSpPr>
        <xdr:cNvPr id="23" name="Flèche : bas 21">
          <a:extLst>
            <a:ext uri="{FF2B5EF4-FFF2-40B4-BE49-F238E27FC236}">
              <a16:creationId xmlns:a16="http://schemas.microsoft.com/office/drawing/2014/main" id="{6728F0E1-F46C-49A3-A565-FE9BC9DFA56F}"/>
            </a:ext>
          </a:extLst>
        </xdr:cNvPr>
        <xdr:cNvSpPr/>
      </xdr:nvSpPr>
      <xdr:spPr>
        <a:xfrm>
          <a:off x="16685559" y="14153028"/>
          <a:ext cx="327509" cy="1098177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16</xdr:col>
      <xdr:colOff>593911</xdr:colOff>
      <xdr:row>2</xdr:row>
      <xdr:rowOff>123266</xdr:rowOff>
    </xdr:from>
    <xdr:to>
      <xdr:col>17</xdr:col>
      <xdr:colOff>0</xdr:colOff>
      <xdr:row>11</xdr:row>
      <xdr:rowOff>112059</xdr:rowOff>
    </xdr:to>
    <xdr:sp macro="" textlink="">
      <xdr:nvSpPr>
        <xdr:cNvPr id="24" name="Flèche : bas 23">
          <a:extLst>
            <a:ext uri="{FF2B5EF4-FFF2-40B4-BE49-F238E27FC236}">
              <a16:creationId xmlns:a16="http://schemas.microsoft.com/office/drawing/2014/main" id="{13DB56C8-4E48-89E5-D4BF-5633B54A75D2}"/>
            </a:ext>
          </a:extLst>
        </xdr:cNvPr>
        <xdr:cNvSpPr/>
      </xdr:nvSpPr>
      <xdr:spPr>
        <a:xfrm>
          <a:off x="16707970" y="840442"/>
          <a:ext cx="302559" cy="2207558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1</a:t>
          </a:r>
        </a:p>
      </xdr:txBody>
    </xdr:sp>
    <xdr:clientData/>
  </xdr:twoCellAnchor>
  <xdr:twoCellAnchor>
    <xdr:from>
      <xdr:col>16</xdr:col>
      <xdr:colOff>510988</xdr:colOff>
      <xdr:row>77</xdr:row>
      <xdr:rowOff>62753</xdr:rowOff>
    </xdr:from>
    <xdr:to>
      <xdr:col>16</xdr:col>
      <xdr:colOff>838497</xdr:colOff>
      <xdr:row>79</xdr:row>
      <xdr:rowOff>156884</xdr:rowOff>
    </xdr:to>
    <xdr:sp macro="" textlink="">
      <xdr:nvSpPr>
        <xdr:cNvPr id="25" name="Flèche : bas 21">
          <a:extLst>
            <a:ext uri="{FF2B5EF4-FFF2-40B4-BE49-F238E27FC236}">
              <a16:creationId xmlns:a16="http://schemas.microsoft.com/office/drawing/2014/main" id="{8DDEFA61-B48C-46AD-81D2-964143CFB691}"/>
            </a:ext>
          </a:extLst>
        </xdr:cNvPr>
        <xdr:cNvSpPr/>
      </xdr:nvSpPr>
      <xdr:spPr>
        <a:xfrm>
          <a:off x="16625047" y="16882782"/>
          <a:ext cx="327509" cy="587190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82C89EA-48D9-48CA-950A-7B882713D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6EBBF1D8-5190-4250-85B8-2707F34B5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ACEBCE02-10F9-462F-9788-85A57CC21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23</xdr:row>
          <xdr:rowOff>161925</xdr:rowOff>
        </xdr:from>
        <xdr:to>
          <xdr:col>1</xdr:col>
          <xdr:colOff>865716</xdr:colOff>
          <xdr:row>26</xdr:row>
          <xdr:rowOff>123825</xdr:rowOff>
        </xdr:to>
        <xdr:sp macro="" textlink="">
          <xdr:nvSpPr>
            <xdr:cNvPr id="219146" name="Button 10" hidden="1">
              <a:extLst>
                <a:ext uri="{63B3BB69-23CF-44E3-9099-C40C66FF867C}">
                  <a14:compatExt spid="_x0000_s219146"/>
                </a:ext>
                <a:ext uri="{FF2B5EF4-FFF2-40B4-BE49-F238E27FC236}">
                  <a16:creationId xmlns:a16="http://schemas.microsoft.com/office/drawing/2014/main" id="{00000000-0008-0000-0500-00000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bureaux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7365F9F-809C-4EDB-ADF1-6F3020F45F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9989342E-1A13-4E3B-87E3-EFF913503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135CDA89-372C-476A-BEF6-65C9F69A93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C8F4DF3-07FA-4B4A-B1F5-DF8E5FEF76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3B1FE325-D79E-4B6A-9EF3-8F431BD19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E48EE8F6-E27F-4245-8736-0DE00CD4C7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AB7C164C-23A9-44D1-BAFC-AF2FB0658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0D825587-9D6C-45C1-90EC-48B2887B4E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61A02D1E-F2E1-42E3-9FDB-B2A125635D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3747509C-5E7C-441B-8CE8-693BBA3430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EE1FBD32-2034-4835-AB10-DC46D269C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A26ACB5D-B469-4699-B0AA-2B0D091C0B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1A9A1FBB-1567-4E97-BDE6-C8F17110D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17968DEA-B392-4A1F-8A49-2BC267C0F2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D01F0211-3150-4C2E-AEB5-21F4755F0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76A2C4A-9422-4F78-9B32-73DE9D942A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1817EAB1-7EAD-4169-84CB-2790E7451D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ED66063F-4DC0-4D90-81A8-F9F8C21F0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5B8C3A92-EBCA-46FE-B9CA-143022CA6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C0B3AC0C-88FD-401D-9759-3D8605C927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3DC4A978-B084-4D7A-BB40-764EC46B99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4A2EA89C-E654-4FE0-82C5-A3219A799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5B239B8A-0B34-4F5D-B318-A5339A1366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DA556AE5-B0B4-4D83-A011-668B1B5778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D4EB767A-0742-47C1-A877-22D4B3039A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FFEC567E-0585-4934-BACB-CF87311AD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97D27422-7933-4BAF-B0B9-D3E1F8422C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F5FA89B-EA5D-423A-BC6F-870407A886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2B735D2C-A4B1-41A5-9E84-BCE2BE589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1D88ED8A-3BAD-42D7-907F-519D923A1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C2F90CDC-0A14-4B48-9EA0-C32640DEBD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F85206F1-F0EA-439D-A65D-9AF3C46806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B044110F-EF32-406D-A483-11016A844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148133</xdr:colOff>
      <xdr:row>15</xdr:row>
      <xdr:rowOff>144845</xdr:rowOff>
    </xdr:from>
    <xdr:ext cx="6635783" cy="3908572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9DA47A0D-3FBE-40A0-A0B9-388AE8A84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76BDDCA2-4FEA-4FAD-8EC3-C1A8460EB6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BF9B8FD8-4864-4B8C-ACDD-068353F1D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émi Barbero" id="{B9D14DDA-5DA4-4748-A3A4-6D74DB2F48C1}" userId="S::remi.barbero@alumni.enac.fr::af27855e-84ee-4cac-afae-9f96b209abdd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EABFF79C-6F3E-45A7-AFDB-E16C33B25AA4}" done="1">
    <text>A l'ouverture du bureau il n'y a pas encore de vote</text>
  </threadedComment>
  <threadedComment ref="A7" dT="2025-04-14T11:49:35.58" personId="{B9D14DDA-5DA4-4748-A3A4-6D74DB2F48C1}" id="{015AC820-E43D-4952-9147-E1AB8B697D08}" done="1">
    <text>Nombre d'enveloppes et de bulletins sans enveloppe trouvés dans l'urne</text>
  </threadedComment>
  <threadedComment ref="B7" dT="2025-03-13T15:42:36.25" personId="{B9D14DDA-5DA4-4748-A3A4-6D74DB2F48C1}" id="{755B2C32-0CC1-4AB8-9943-9B321C73B956}" done="1">
    <text>Doit être égal à la participation horaire de cloture</text>
  </threadedComment>
  <threadedComment ref="A8" dT="2025-04-14T11:49:47.49" personId="{B9D14DDA-5DA4-4748-A3A4-6D74DB2F48C1}" id="{1E4F50FE-453F-4374-81CD-FED15F974F3D}" done="1">
    <text>Nombre de signatures sur le registre</text>
  </threadedComment>
  <threadedComment ref="B8" dT="2025-03-13T15:44:24.83" personId="{B9D14DDA-5DA4-4748-A3A4-6D74DB2F48C1}" id="{E0FD2FBA-4E1B-4572-A9D0-6315CEDAEDFE}" done="1">
    <text>Doit être normalement égal aux votants</text>
  </threadedComment>
  <threadedComment ref="Q13" dT="2025-04-14T12:15:13.05" personId="{B9D14DDA-5DA4-4748-A3A4-6D74DB2F48C1}" id="{22C51930-100C-4141-9123-FA056F76C484}" done="1">
    <text>Doit être égal au nombre de votants</text>
  </threadedComment>
  <threadedComment ref="J23" dT="2025-04-14T09:07:42.81" personId="{B9D14DDA-5DA4-4748-A3A4-6D74DB2F48C1}" id="{7B16B4CC-E443-48A6-9659-3BBEFC3ECC16}" done="1">
    <text>Nombre de centaines d'enveloppes nécessaires pour ce bureau</text>
  </threadedComment>
  <threadedComment ref="K23" dT="2025-04-24T12:32:34.89" personId="{B9D14DDA-5DA4-4748-A3A4-6D74DB2F48C1}" id="{3E003C7E-19BB-45E7-BEB5-218C116527E2}" done="1">
    <text>Index de la dernière centaine d'enveloppes</text>
  </threadedComment>
  <threadedComment ref="J24" dT="2025-04-24T12:31:05.29" personId="{B9D14DDA-5DA4-4748-A3A4-6D74DB2F48C1}" id="{5F46F273-6C46-4161-A494-247D2B6B31A3}" done="1">
    <text>Modulo 100 de la dernière centaine d'enveloppes</text>
  </threadedComment>
  <threadedComment ref="K24" dT="2025-08-05T07:48:39.46" personId="{B9D14DDA-5DA4-4748-A3A4-6D74DB2F48C1}" id="{0DF602ED-B4B4-48F8-A449-73B218BAB594}" done="1">
    <text>Nombre d’isoloirs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4" tint="-0.499984740745262"/>
    <outlinePr summaryBelow="0" summaryRight="0"/>
    <pageSetUpPr fitToPage="1"/>
  </sheetPr>
  <dimension ref="A1:N42"/>
  <sheetViews>
    <sheetView zoomScale="110" zoomScaleNormal="11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3" sqref="E3:E14"/>
    </sheetView>
    <sheetView workbookViewId="1"/>
  </sheetViews>
  <sheetFormatPr baseColWidth="10" defaultColWidth="12.5703125" defaultRowHeight="15.75" customHeight="1" x14ac:dyDescent="0.2"/>
  <cols>
    <col min="1" max="1" width="7.42578125" customWidth="1"/>
    <col min="2" max="2" width="20.42578125" customWidth="1"/>
    <col min="3" max="3" width="10" customWidth="1"/>
    <col min="4" max="4" width="14.140625" customWidth="1"/>
    <col min="5" max="5" width="11.140625" customWidth="1"/>
    <col min="6" max="6" width="13.140625" customWidth="1"/>
    <col min="7" max="7" width="8.85546875" customWidth="1"/>
    <col min="8" max="8" width="9.42578125" customWidth="1"/>
    <col min="9" max="9" width="10.42578125" customWidth="1"/>
    <col min="10" max="10" width="13" customWidth="1"/>
    <col min="11" max="11" width="14.7109375" customWidth="1"/>
    <col min="12" max="13" width="18.42578125" customWidth="1"/>
  </cols>
  <sheetData>
    <row r="1" spans="1:14" ht="13.5" thickBot="1" x14ac:dyDescent="0.25">
      <c r="A1" s="500"/>
      <c r="B1" s="501"/>
      <c r="C1" s="500"/>
      <c r="D1" s="500"/>
      <c r="E1" s="500"/>
      <c r="F1" s="500"/>
      <c r="G1" s="500"/>
      <c r="H1" s="500"/>
      <c r="I1" s="500"/>
      <c r="J1" s="500"/>
      <c r="K1" s="500"/>
      <c r="L1" s="200">
        <v>1</v>
      </c>
      <c r="M1" s="385">
        <v>2</v>
      </c>
      <c r="N1" s="244" t="s">
        <v>7</v>
      </c>
    </row>
    <row r="2" spans="1:14" ht="32.25" customHeight="1" thickBot="1" x14ac:dyDescent="0.25">
      <c r="A2" s="251" t="s">
        <v>95</v>
      </c>
      <c r="B2" s="219" t="s">
        <v>23</v>
      </c>
      <c r="C2" s="220" t="s">
        <v>0</v>
      </c>
      <c r="D2" s="201" t="s">
        <v>1</v>
      </c>
      <c r="E2" s="202" t="s">
        <v>2</v>
      </c>
      <c r="F2" s="203" t="s">
        <v>17</v>
      </c>
      <c r="G2" s="493" t="s">
        <v>4</v>
      </c>
      <c r="H2" s="494" t="s">
        <v>3</v>
      </c>
      <c r="I2" s="484" t="s">
        <v>5</v>
      </c>
      <c r="J2" s="397" t="s">
        <v>6</v>
      </c>
      <c r="K2" s="398" t="s">
        <v>96</v>
      </c>
      <c r="L2" s="638" t="s">
        <v>137</v>
      </c>
      <c r="M2" s="502" t="s">
        <v>138</v>
      </c>
      <c r="N2" s="376" t="s">
        <v>8</v>
      </c>
    </row>
    <row r="3" spans="1:14" ht="12.75" x14ac:dyDescent="0.2">
      <c r="A3" s="252">
        <v>1</v>
      </c>
      <c r="B3" s="221" t="s">
        <v>103</v>
      </c>
      <c r="C3" s="222">
        <v>553</v>
      </c>
      <c r="D3" s="204" cm="1">
        <f t="array" aca="1" ref="D3" ca="1">INDIRECT("'Bureau " &amp; ROW()-2 &amp; "'!$B$9")</f>
        <v>0</v>
      </c>
      <c r="E3" s="205" cm="1">
        <f t="array" aca="1" ref="E3" ca="1">INDIRECT("'Bureau " &amp; ROW()-2 &amp; "'!$B$8")</f>
        <v>105</v>
      </c>
      <c r="F3" s="206">
        <f t="shared" ref="F3:F14" ca="1" si="0">C3-E3</f>
        <v>448</v>
      </c>
      <c r="G3" s="496">
        <f ca="1">INDEX(INDIRECT("'Bureau "&amp;(ROW()-2)&amp;"'!13:13"),1,MATCH("Nuls",INDIRECT("'Bureau "&amp;(ROW()-2)&amp;"'!2:2"),0))</f>
        <v>3</v>
      </c>
      <c r="H3" s="497">
        <f ca="1">INDEX(INDIRECT("'Bureau "&amp;(ROW()-2)&amp;"'!13:13"),1,MATCH("Blancs",INDIRECT("'Bureau "&amp;(ROW()-2)&amp;"'!2:2"),0))</f>
        <v>2</v>
      </c>
      <c r="I3" s="485">
        <f t="shared" ref="I3:I14" ca="1" si="1">E3-H3-G3</f>
        <v>100</v>
      </c>
      <c r="J3" s="207">
        <f t="shared" ref="J3:J14" ca="1" si="2">E3/C3</f>
        <v>0.189873417721519</v>
      </c>
      <c r="K3" s="208">
        <f t="shared" ref="K3:K14" ca="1" si="3">F3/C3</f>
        <v>0.810126582278481</v>
      </c>
      <c r="L3" s="227" cm="1">
        <f t="array" aca="1" ref="L3" ca="1">INDIRECT("'Bureau " &amp; ROW()-2 &amp; "'!" &amp; ADDRESS(13,COLUMN()-7,4))</f>
        <v>60</v>
      </c>
      <c r="M3" s="392" cm="1">
        <f t="array" aca="1" ref="M3" ca="1">INDIRECT("'Bureau " &amp; ROW()-2 &amp; "'!" &amp; ADDRESS(13,COLUMN()-7,4))</f>
        <v>40</v>
      </c>
      <c r="N3" s="351" cm="1">
        <f t="array" aca="1" ref="N3" ca="1">SUM(IFERROR(L3:M3,0))</f>
        <v>100</v>
      </c>
    </row>
    <row r="4" spans="1:14" ht="12.75" x14ac:dyDescent="0.2">
      <c r="A4" s="253">
        <v>2</v>
      </c>
      <c r="B4" s="223" t="s">
        <v>26</v>
      </c>
      <c r="C4" s="224">
        <v>740</v>
      </c>
      <c r="D4" s="209" cm="1">
        <f t="array" aca="1" ref="D4" ca="1">INDIRECT("'Bureau " &amp; ROW()-2 &amp; "'!$B$9")</f>
        <v>0</v>
      </c>
      <c r="E4" s="210" cm="1">
        <f t="array" aca="1" ref="E4" ca="1">INDIRECT("'Bureau " &amp; ROW()-2 &amp; "'!$B$8")</f>
        <v>0</v>
      </c>
      <c r="F4" s="211">
        <f t="shared" ca="1" si="0"/>
        <v>740</v>
      </c>
      <c r="G4" s="490">
        <f t="shared" ref="G4:G14" ca="1" si="4">INDEX(INDIRECT("'Bureau "&amp;(ROW()-2)&amp;"'!13:13"),1,MATCH("Nuls",INDIRECT("'Bureau "&amp;(ROW()-2)&amp;"'!2:2"),0))</f>
        <v>0</v>
      </c>
      <c r="H4" s="491">
        <f ca="1">INDEX(INDIRECT("'Bureau "&amp;(ROW()-2)&amp;"'!13:13"),1,MATCH("Blancs",INDIRECT("'Bureau "&amp;(ROW()-2)&amp;"'!2:2"),0))</f>
        <v>0</v>
      </c>
      <c r="I4" s="486">
        <f t="shared" ca="1" si="1"/>
        <v>0</v>
      </c>
      <c r="J4" s="212">
        <f t="shared" ca="1" si="2"/>
        <v>0</v>
      </c>
      <c r="K4" s="213">
        <f t="shared" ca="1" si="3"/>
        <v>1</v>
      </c>
      <c r="L4" s="228" cm="1">
        <f t="array" aca="1" ref="L4" ca="1">INDIRECT("'Bureau " &amp; ROW()-2 &amp; "'!" &amp; ADDRESS(13,COLUMN()-7,4))</f>
        <v>0</v>
      </c>
      <c r="M4" s="393" cm="1">
        <f t="array" aca="1" ref="M4" ca="1">INDIRECT("'Bureau " &amp; ROW()-2 &amp; "'!" &amp; ADDRESS(13,COLUMN()-7,4))</f>
        <v>0</v>
      </c>
      <c r="N4" s="377" cm="1">
        <f t="array" aca="1" ref="N4" ca="1">SUM(IFERROR(L4:M4,0))</f>
        <v>0</v>
      </c>
    </row>
    <row r="5" spans="1:14" ht="12.75" x14ac:dyDescent="0.2">
      <c r="A5" s="253">
        <v>3</v>
      </c>
      <c r="B5" s="223" t="s">
        <v>26</v>
      </c>
      <c r="C5" s="224">
        <v>713</v>
      </c>
      <c r="D5" s="209" cm="1">
        <f t="array" aca="1" ref="D5" ca="1">INDIRECT("'Bureau " &amp; ROW()-2 &amp; "'!$B$9")</f>
        <v>0</v>
      </c>
      <c r="E5" s="210" cm="1">
        <f t="array" aca="1" ref="E5" ca="1">INDIRECT("'Bureau " &amp; ROW()-2 &amp; "'!$B$8")</f>
        <v>0</v>
      </c>
      <c r="F5" s="211">
        <f t="shared" ca="1" si="0"/>
        <v>713</v>
      </c>
      <c r="G5" s="490">
        <f t="shared" ca="1" si="4"/>
        <v>0</v>
      </c>
      <c r="H5" s="491">
        <f t="shared" ref="H5:H14" ca="1" si="5">INDEX(INDIRECT("'Bureau "&amp;(ROW()-2)&amp;"'!13:13"),1,MATCH("Blancs",INDIRECT("'Bureau "&amp;(ROW()-2)&amp;"'!2:2"),0))</f>
        <v>0</v>
      </c>
      <c r="I5" s="486">
        <f t="shared" ca="1" si="1"/>
        <v>0</v>
      </c>
      <c r="J5" s="212">
        <f t="shared" ca="1" si="2"/>
        <v>0</v>
      </c>
      <c r="K5" s="213">
        <f t="shared" ca="1" si="3"/>
        <v>1</v>
      </c>
      <c r="L5" s="228" cm="1">
        <f t="array" aca="1" ref="L5" ca="1">INDIRECT("'Bureau " &amp; ROW()-2 &amp; "'!" &amp; ADDRESS(13,COLUMN()-7,4))</f>
        <v>0</v>
      </c>
      <c r="M5" s="393" cm="1">
        <f t="array" aca="1" ref="M5" ca="1">INDIRECT("'Bureau " &amp; ROW()-2 &amp; "'!" &amp; ADDRESS(13,COLUMN()-7,4))</f>
        <v>0</v>
      </c>
      <c r="N5" s="377" cm="1">
        <f t="array" aca="1" ref="N5" ca="1">SUM(IFERROR(L5:M5,0))</f>
        <v>0</v>
      </c>
    </row>
    <row r="6" spans="1:14" ht="12.75" x14ac:dyDescent="0.2">
      <c r="A6" s="253">
        <v>4</v>
      </c>
      <c r="B6" s="223" t="s">
        <v>26</v>
      </c>
      <c r="C6" s="224">
        <v>679</v>
      </c>
      <c r="D6" s="209" cm="1">
        <f t="array" aca="1" ref="D6" ca="1">INDIRECT("'Bureau " &amp; ROW()-2 &amp; "'!$B$9")</f>
        <v>0</v>
      </c>
      <c r="E6" s="210" cm="1">
        <f t="array" aca="1" ref="E6" ca="1">INDIRECT("'Bureau " &amp; ROW()-2 &amp; "'!$B$8")</f>
        <v>0</v>
      </c>
      <c r="F6" s="211">
        <f t="shared" ca="1" si="0"/>
        <v>679</v>
      </c>
      <c r="G6" s="490">
        <f t="shared" ca="1" si="4"/>
        <v>0</v>
      </c>
      <c r="H6" s="491">
        <f t="shared" ca="1" si="5"/>
        <v>0</v>
      </c>
      <c r="I6" s="486">
        <f t="shared" ca="1" si="1"/>
        <v>0</v>
      </c>
      <c r="J6" s="212">
        <f t="shared" ca="1" si="2"/>
        <v>0</v>
      </c>
      <c r="K6" s="213">
        <f t="shared" ca="1" si="3"/>
        <v>1</v>
      </c>
      <c r="L6" s="228" cm="1">
        <f t="array" aca="1" ref="L6" ca="1">INDIRECT("'Bureau " &amp; ROW()-2 &amp; "'!" &amp; ADDRESS(13,COLUMN()-7,4))</f>
        <v>0</v>
      </c>
      <c r="M6" s="393" cm="1">
        <f t="array" aca="1" ref="M6" ca="1">INDIRECT("'Bureau " &amp; ROW()-2 &amp; "'!" &amp; ADDRESS(13,COLUMN()-7,4))</f>
        <v>0</v>
      </c>
      <c r="N6" s="377" cm="1">
        <f t="array" aca="1" ref="N6" ca="1">SUM(IFERROR(L6:M6,0))</f>
        <v>0</v>
      </c>
    </row>
    <row r="7" spans="1:14" ht="12.75" x14ac:dyDescent="0.2">
      <c r="A7" s="253">
        <v>5</v>
      </c>
      <c r="B7" s="223" t="s">
        <v>27</v>
      </c>
      <c r="C7" s="224">
        <v>701</v>
      </c>
      <c r="D7" s="209" cm="1">
        <f t="array" aca="1" ref="D7" ca="1">INDIRECT("'Bureau " &amp; ROW()-2 &amp; "'!$B$9")</f>
        <v>0</v>
      </c>
      <c r="E7" s="210" cm="1">
        <f t="array" aca="1" ref="E7" ca="1">INDIRECT("'Bureau " &amp; ROW()-2 &amp; "'!$B$8")</f>
        <v>0</v>
      </c>
      <c r="F7" s="211">
        <f t="shared" ca="1" si="0"/>
        <v>701</v>
      </c>
      <c r="G7" s="490">
        <f t="shared" ca="1" si="4"/>
        <v>0</v>
      </c>
      <c r="H7" s="491">
        <f t="shared" ca="1" si="5"/>
        <v>0</v>
      </c>
      <c r="I7" s="486">
        <f t="shared" ca="1" si="1"/>
        <v>0</v>
      </c>
      <c r="J7" s="212">
        <f t="shared" ca="1" si="2"/>
        <v>0</v>
      </c>
      <c r="K7" s="213">
        <f t="shared" ca="1" si="3"/>
        <v>1</v>
      </c>
      <c r="L7" s="228" cm="1">
        <f t="array" aca="1" ref="L7" ca="1">INDIRECT("'Bureau " &amp; ROW()-2 &amp; "'!" &amp; ADDRESS(13,COLUMN()-7,4))</f>
        <v>0</v>
      </c>
      <c r="M7" s="393" cm="1">
        <f t="array" aca="1" ref="M7" ca="1">INDIRECT("'Bureau " &amp; ROW()-2 &amp; "'!" &amp; ADDRESS(13,COLUMN()-7,4))</f>
        <v>0</v>
      </c>
      <c r="N7" s="377" cm="1">
        <f t="array" aca="1" ref="N7" ca="1">SUM(IFERROR(L7:M7,0))</f>
        <v>0</v>
      </c>
    </row>
    <row r="8" spans="1:14" ht="12.75" x14ac:dyDescent="0.2">
      <c r="A8" s="253">
        <v>6</v>
      </c>
      <c r="B8" s="223" t="s">
        <v>27</v>
      </c>
      <c r="C8" s="224">
        <v>712</v>
      </c>
      <c r="D8" s="209" cm="1">
        <f t="array" aca="1" ref="D8" ca="1">INDIRECT("'Bureau " &amp; ROW()-2 &amp; "'!$B$9")</f>
        <v>0</v>
      </c>
      <c r="E8" s="210" cm="1">
        <f t="array" aca="1" ref="E8" ca="1">INDIRECT("'Bureau " &amp; ROW()-2 &amp; "'!$B$8")</f>
        <v>0</v>
      </c>
      <c r="F8" s="211">
        <f t="shared" ca="1" si="0"/>
        <v>712</v>
      </c>
      <c r="G8" s="490">
        <f t="shared" ca="1" si="4"/>
        <v>0</v>
      </c>
      <c r="H8" s="491">
        <f t="shared" ca="1" si="5"/>
        <v>0</v>
      </c>
      <c r="I8" s="486">
        <f t="shared" ca="1" si="1"/>
        <v>0</v>
      </c>
      <c r="J8" s="212">
        <f t="shared" ca="1" si="2"/>
        <v>0</v>
      </c>
      <c r="K8" s="213">
        <f t="shared" ca="1" si="3"/>
        <v>1</v>
      </c>
      <c r="L8" s="228" cm="1">
        <f t="array" aca="1" ref="L8" ca="1">INDIRECT("'Bureau " &amp; ROW()-2 &amp; "'!" &amp; ADDRESS(13,COLUMN()-7,4))</f>
        <v>0</v>
      </c>
      <c r="M8" s="393" cm="1">
        <f t="array" aca="1" ref="M8" ca="1">INDIRECT("'Bureau " &amp; ROW()-2 &amp; "'!" &amp; ADDRESS(13,COLUMN()-7,4))</f>
        <v>0</v>
      </c>
      <c r="N8" s="377" cm="1">
        <f t="array" aca="1" ref="N8" ca="1">SUM(IFERROR(L8:M8,0))</f>
        <v>0</v>
      </c>
    </row>
    <row r="9" spans="1:14" ht="12.75" x14ac:dyDescent="0.2">
      <c r="A9" s="253">
        <v>7</v>
      </c>
      <c r="B9" s="223" t="s">
        <v>27</v>
      </c>
      <c r="C9" s="224">
        <v>731</v>
      </c>
      <c r="D9" s="209" cm="1">
        <f t="array" aca="1" ref="D9" ca="1">INDIRECT("'Bureau " &amp; ROW()-2 &amp; "'!$B$9")</f>
        <v>0</v>
      </c>
      <c r="E9" s="210" cm="1">
        <f t="array" aca="1" ref="E9" ca="1">INDIRECT("'Bureau " &amp; ROW()-2 &amp; "'!$B$8")</f>
        <v>0</v>
      </c>
      <c r="F9" s="211">
        <f t="shared" ca="1" si="0"/>
        <v>731</v>
      </c>
      <c r="G9" s="490">
        <f t="shared" ca="1" si="4"/>
        <v>0</v>
      </c>
      <c r="H9" s="491">
        <f t="shared" ca="1" si="5"/>
        <v>0</v>
      </c>
      <c r="I9" s="486">
        <f t="shared" ca="1" si="1"/>
        <v>0</v>
      </c>
      <c r="J9" s="212">
        <f t="shared" ca="1" si="2"/>
        <v>0</v>
      </c>
      <c r="K9" s="213">
        <f t="shared" ca="1" si="3"/>
        <v>1</v>
      </c>
      <c r="L9" s="228" cm="1">
        <f t="array" aca="1" ref="L9" ca="1">INDIRECT("'Bureau " &amp; ROW()-2 &amp; "'!" &amp; ADDRESS(13,COLUMN()-7,4))</f>
        <v>0</v>
      </c>
      <c r="M9" s="393" cm="1">
        <f t="array" aca="1" ref="M9" ca="1">INDIRECT("'Bureau " &amp; ROW()-2 &amp; "'!" &amp; ADDRESS(13,COLUMN()-7,4))</f>
        <v>0</v>
      </c>
      <c r="N9" s="377" cm="1">
        <f t="array" aca="1" ref="N9" ca="1">SUM(IFERROR(L9:M9,0))</f>
        <v>0</v>
      </c>
    </row>
    <row r="10" spans="1:14" ht="12.75" x14ac:dyDescent="0.2">
      <c r="A10" s="253">
        <v>8</v>
      </c>
      <c r="B10" s="223" t="s">
        <v>27</v>
      </c>
      <c r="C10" s="224">
        <v>646</v>
      </c>
      <c r="D10" s="209" cm="1">
        <f t="array" aca="1" ref="D10" ca="1">INDIRECT("'Bureau " &amp; ROW()-2 &amp; "'!$B$9")</f>
        <v>0</v>
      </c>
      <c r="E10" s="210" cm="1">
        <f t="array" aca="1" ref="E10" ca="1">INDIRECT("'Bureau " &amp; ROW()-2 &amp; "'!$B$8")</f>
        <v>0</v>
      </c>
      <c r="F10" s="211">
        <f t="shared" ca="1" si="0"/>
        <v>646</v>
      </c>
      <c r="G10" s="490">
        <f t="shared" ca="1" si="4"/>
        <v>0</v>
      </c>
      <c r="H10" s="491">
        <f t="shared" ca="1" si="5"/>
        <v>0</v>
      </c>
      <c r="I10" s="486">
        <f t="shared" ca="1" si="1"/>
        <v>0</v>
      </c>
      <c r="J10" s="212">
        <f t="shared" ca="1" si="2"/>
        <v>0</v>
      </c>
      <c r="K10" s="213">
        <f t="shared" ca="1" si="3"/>
        <v>1</v>
      </c>
      <c r="L10" s="228" cm="1">
        <f t="array" aca="1" ref="L10" ca="1">INDIRECT("'Bureau " &amp; ROW()-2 &amp; "'!" &amp; ADDRESS(13,COLUMN()-7,4))</f>
        <v>0</v>
      </c>
      <c r="M10" s="393" cm="1">
        <f t="array" aca="1" ref="M10" ca="1">INDIRECT("'Bureau " &amp; ROW()-2 &amp; "'!" &amp; ADDRESS(13,COLUMN()-7,4))</f>
        <v>0</v>
      </c>
      <c r="N10" s="377" cm="1">
        <f t="array" aca="1" ref="N10" ca="1">SUM(IFERROR(L10:M10,0))</f>
        <v>0</v>
      </c>
    </row>
    <row r="11" spans="1:14" ht="12.75" x14ac:dyDescent="0.2">
      <c r="A11" s="253">
        <v>9</v>
      </c>
      <c r="B11" s="223" t="s">
        <v>28</v>
      </c>
      <c r="C11" s="224">
        <v>709</v>
      </c>
      <c r="D11" s="209" cm="1">
        <f t="array" aca="1" ref="D11" ca="1">INDIRECT("'Bureau " &amp; ROW()-2 &amp; "'!$B$9")</f>
        <v>0</v>
      </c>
      <c r="E11" s="210" cm="1">
        <f t="array" aca="1" ref="E11" ca="1">INDIRECT("'Bureau " &amp; ROW()-2 &amp; "'!$B$8")</f>
        <v>0</v>
      </c>
      <c r="F11" s="211">
        <f t="shared" ca="1" si="0"/>
        <v>709</v>
      </c>
      <c r="G11" s="490">
        <f t="shared" ca="1" si="4"/>
        <v>0</v>
      </c>
      <c r="H11" s="491">
        <f t="shared" ca="1" si="5"/>
        <v>0</v>
      </c>
      <c r="I11" s="486">
        <f t="shared" ca="1" si="1"/>
        <v>0</v>
      </c>
      <c r="J11" s="212">
        <f t="shared" ca="1" si="2"/>
        <v>0</v>
      </c>
      <c r="K11" s="213">
        <f t="shared" ca="1" si="3"/>
        <v>1</v>
      </c>
      <c r="L11" s="228" cm="1">
        <f t="array" aca="1" ref="L11" ca="1">INDIRECT("'Bureau " &amp; ROW()-2 &amp; "'!" &amp; ADDRESS(13,COLUMN()-7,4))</f>
        <v>0</v>
      </c>
      <c r="M11" s="393" cm="1">
        <f t="array" aca="1" ref="M11" ca="1">INDIRECT("'Bureau " &amp; ROW()-2 &amp; "'!" &amp; ADDRESS(13,COLUMN()-7,4))</f>
        <v>0</v>
      </c>
      <c r="N11" s="377" cm="1">
        <f t="array" aca="1" ref="N11" ca="1">SUM(IFERROR(L11:M11,0))</f>
        <v>0</v>
      </c>
    </row>
    <row r="12" spans="1:14" ht="12.75" x14ac:dyDescent="0.2">
      <c r="A12" s="253">
        <v>10</v>
      </c>
      <c r="B12" s="223" t="s">
        <v>28</v>
      </c>
      <c r="C12" s="224">
        <v>609</v>
      </c>
      <c r="D12" s="209" cm="1">
        <f t="array" aca="1" ref="D12" ca="1">INDIRECT("'Bureau " &amp; ROW()-2 &amp; "'!$B$9")</f>
        <v>0</v>
      </c>
      <c r="E12" s="210" cm="1">
        <f t="array" aca="1" ref="E12" ca="1">INDIRECT("'Bureau " &amp; ROW()-2 &amp; "'!$B$8")</f>
        <v>0</v>
      </c>
      <c r="F12" s="211">
        <f t="shared" ca="1" si="0"/>
        <v>609</v>
      </c>
      <c r="G12" s="490">
        <f t="shared" ca="1" si="4"/>
        <v>0</v>
      </c>
      <c r="H12" s="491">
        <f t="shared" ca="1" si="5"/>
        <v>0</v>
      </c>
      <c r="I12" s="486">
        <f t="shared" ca="1" si="1"/>
        <v>0</v>
      </c>
      <c r="J12" s="212">
        <f t="shared" ca="1" si="2"/>
        <v>0</v>
      </c>
      <c r="K12" s="213">
        <f t="shared" ca="1" si="3"/>
        <v>1</v>
      </c>
      <c r="L12" s="228" cm="1">
        <f t="array" aca="1" ref="L12" ca="1">INDIRECT("'Bureau " &amp; ROW()-2 &amp; "'!" &amp; ADDRESS(13,COLUMN()-7,4))</f>
        <v>0</v>
      </c>
      <c r="M12" s="393" cm="1">
        <f t="array" aca="1" ref="M12" ca="1">INDIRECT("'Bureau " &amp; ROW()-2 &amp; "'!" &amp; ADDRESS(13,COLUMN()-7,4))</f>
        <v>0</v>
      </c>
      <c r="N12" s="377" cm="1">
        <f t="array" aca="1" ref="N12" ca="1">SUM(IFERROR(L12:M12,0))</f>
        <v>0</v>
      </c>
    </row>
    <row r="13" spans="1:14" ht="12.75" x14ac:dyDescent="0.2">
      <c r="A13" s="253">
        <v>11</v>
      </c>
      <c r="B13" s="223" t="s">
        <v>28</v>
      </c>
      <c r="C13" s="224">
        <v>691</v>
      </c>
      <c r="D13" s="209" cm="1">
        <f t="array" aca="1" ref="D13" ca="1">INDIRECT("'Bureau " &amp; ROW()-2 &amp; "'!$B$9")</f>
        <v>0</v>
      </c>
      <c r="E13" s="210" cm="1">
        <f t="array" aca="1" ref="E13" ca="1">INDIRECT("'Bureau " &amp; ROW()-2 &amp; "'!$B$8")</f>
        <v>0</v>
      </c>
      <c r="F13" s="211">
        <f t="shared" ca="1" si="0"/>
        <v>691</v>
      </c>
      <c r="G13" s="490">
        <f t="shared" ca="1" si="4"/>
        <v>0</v>
      </c>
      <c r="H13" s="491">
        <f t="shared" ca="1" si="5"/>
        <v>0</v>
      </c>
      <c r="I13" s="486">
        <f t="shared" ca="1" si="1"/>
        <v>0</v>
      </c>
      <c r="J13" s="212">
        <f t="shared" ca="1" si="2"/>
        <v>0</v>
      </c>
      <c r="K13" s="213">
        <f t="shared" ca="1" si="3"/>
        <v>1</v>
      </c>
      <c r="L13" s="228" cm="1">
        <f t="array" aca="1" ref="L13" ca="1">INDIRECT("'Bureau " &amp; ROW()-2 &amp; "'!" &amp; ADDRESS(13,COLUMN()-7,4))</f>
        <v>0</v>
      </c>
      <c r="M13" s="393" cm="1">
        <f t="array" aca="1" ref="M13" ca="1">INDIRECT("'Bureau " &amp; ROW()-2 &amp; "'!" &amp; ADDRESS(13,COLUMN()-7,4))</f>
        <v>0</v>
      </c>
      <c r="N13" s="377" cm="1">
        <f t="array" aca="1" ref="N13" ca="1">SUM(IFERROR(L13:M13,0))</f>
        <v>0</v>
      </c>
    </row>
    <row r="14" spans="1:14" ht="13.5" thickBot="1" x14ac:dyDescent="0.25">
      <c r="A14" s="254">
        <v>12</v>
      </c>
      <c r="B14" s="225" t="s">
        <v>29</v>
      </c>
      <c r="C14" s="226">
        <v>680</v>
      </c>
      <c r="D14" s="214" cm="1">
        <f t="array" aca="1" ref="D14" ca="1">INDIRECT("'Bureau " &amp; ROW()-2 &amp; "'!$B$9")</f>
        <v>0</v>
      </c>
      <c r="E14" s="215" cm="1">
        <f t="array" aca="1" ref="E14" ca="1">INDIRECT("'Bureau " &amp; ROW()-2 &amp; "'!$B$8")</f>
        <v>0</v>
      </c>
      <c r="F14" s="216">
        <f t="shared" ca="1" si="0"/>
        <v>680</v>
      </c>
      <c r="G14" s="498">
        <f t="shared" ca="1" si="4"/>
        <v>0</v>
      </c>
      <c r="H14" s="499">
        <f t="shared" ca="1" si="5"/>
        <v>0</v>
      </c>
      <c r="I14" s="487">
        <f t="shared" ca="1" si="1"/>
        <v>0</v>
      </c>
      <c r="J14" s="217">
        <f t="shared" ca="1" si="2"/>
        <v>0</v>
      </c>
      <c r="K14" s="218">
        <f t="shared" ca="1" si="3"/>
        <v>1</v>
      </c>
      <c r="L14" s="229" cm="1">
        <f t="array" aca="1" ref="L14" ca="1">INDIRECT("'Bureau " &amp; ROW()-2 &amp; "'!" &amp; ADDRESS(13,COLUMN()-7,4))</f>
        <v>0</v>
      </c>
      <c r="M14" s="394" cm="1">
        <f t="array" aca="1" ref="M14" ca="1">INDIRECT("'Bureau " &amp; ROW()-2 &amp; "'!" &amp; ADDRESS(13,COLUMN()-7,4))</f>
        <v>0</v>
      </c>
      <c r="N14" s="378" cm="1">
        <f t="array" aca="1" ref="N14" ca="1">SUM(IFERROR(L14:M14,0))</f>
        <v>0</v>
      </c>
    </row>
    <row r="15" spans="1:14" ht="18.75" x14ac:dyDescent="0.3">
      <c r="A15" s="380"/>
      <c r="B15" s="382" t="s">
        <v>9</v>
      </c>
      <c r="C15" s="366" cm="1">
        <f t="array" ref="C15">SUM(IFERROR(C3:C14,0))</f>
        <v>8164</v>
      </c>
      <c r="D15" s="357" cm="1">
        <f t="array" aca="1" ref="D15" ca="1">SUM(IFERROR(D3:D14,0))</f>
        <v>0</v>
      </c>
      <c r="E15" s="358" cm="1">
        <f t="array" aca="1" ref="E15" ca="1">SUM(IFERROR(E3:E14,0))</f>
        <v>105</v>
      </c>
      <c r="F15" s="358" cm="1">
        <f t="array" aca="1" ref="F15" ca="1">SUM(IFERROR(F3:F14,0))</f>
        <v>8059</v>
      </c>
      <c r="G15" s="357" cm="1">
        <f t="array" aca="1" ref="G15" ca="1">SUM(IFERROR(G3:G14,0))</f>
        <v>3</v>
      </c>
      <c r="H15" s="495" cm="1">
        <f t="array" aca="1" ref="H15" ca="1">SUM(IFERROR(H3:H14,0))</f>
        <v>2</v>
      </c>
      <c r="I15" s="488" cm="1">
        <f t="array" aca="1" ref="I15" ca="1">SUM(IFERROR(I3:I14,0))</f>
        <v>100</v>
      </c>
      <c r="J15" s="359">
        <f ca="1">E15</f>
        <v>105</v>
      </c>
      <c r="K15" s="360" cm="1">
        <f t="array" aca="1" ref="K15" ca="1">SUM(IFERROR(F3:F14,0))</f>
        <v>8059</v>
      </c>
      <c r="L15" s="386" cm="1">
        <f t="array" aca="1" ref="L15" ca="1">SUM(IFERROR(L3:L14,0))</f>
        <v>60</v>
      </c>
      <c r="M15" s="395" cm="1">
        <f t="array" aca="1" ref="M15" ca="1">SUM(IFERROR(M3:M14,0))</f>
        <v>40</v>
      </c>
      <c r="N15" s="361" cm="1">
        <f t="array" aca="1" ref="N15" ca="1">SUM(IFERROR(N3:N14,0))</f>
        <v>100</v>
      </c>
    </row>
    <row r="16" spans="1:14" ht="19.5" thickBot="1" x14ac:dyDescent="0.35">
      <c r="A16" s="381"/>
      <c r="B16" s="389" t="s">
        <v>10</v>
      </c>
      <c r="C16" s="367"/>
      <c r="D16" s="362">
        <f t="shared" ref="D16:K16" ca="1" si="6">D15/$C15</f>
        <v>0</v>
      </c>
      <c r="E16" s="363">
        <f t="shared" ca="1" si="6"/>
        <v>1.2861342479176875E-2</v>
      </c>
      <c r="F16" s="363">
        <f t="shared" ca="1" si="6"/>
        <v>0.98713865752082308</v>
      </c>
      <c r="G16" s="362">
        <f ca="1">G15/$C15</f>
        <v>3.6746692797648211E-4</v>
      </c>
      <c r="H16" s="492">
        <f ca="1">H15/$C15</f>
        <v>2.4497795198432141E-4</v>
      </c>
      <c r="I16" s="489">
        <f t="shared" ca="1" si="6"/>
        <v>1.2248897599216071E-2</v>
      </c>
      <c r="J16" s="364">
        <f t="shared" ca="1" si="6"/>
        <v>1.2861342479176875E-2</v>
      </c>
      <c r="K16" s="365">
        <f t="shared" ca="1" si="6"/>
        <v>0.98713865752082308</v>
      </c>
      <c r="L16" s="387">
        <f t="shared" ref="L16:M16" ca="1" si="7">IFERROR(L15/$I15,0)</f>
        <v>0.6</v>
      </c>
      <c r="M16" s="396">
        <f t="shared" ca="1" si="7"/>
        <v>0.4</v>
      </c>
      <c r="N16" s="379">
        <f t="shared" ref="N16" ca="1" si="8">IFERROR(N15/$I15,0)</f>
        <v>1</v>
      </c>
    </row>
    <row r="17" spans="1:14" ht="20.25" customHeight="1" x14ac:dyDescent="0.2">
      <c r="A17" s="245" t="s">
        <v>11</v>
      </c>
      <c r="B17" s="248">
        <v>46103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ht="20.25" customHeight="1" x14ac:dyDescent="0.2">
      <c r="A18" s="246" t="s">
        <v>12</v>
      </c>
      <c r="B18" s="249" t="s">
        <v>154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ht="20.25" customHeight="1" x14ac:dyDescent="0.2">
      <c r="A19" s="741" t="s">
        <v>153</v>
      </c>
      <c r="B19" s="742">
        <v>2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ht="21" customHeight="1" thickBot="1" x14ac:dyDescent="0.25">
      <c r="A20" s="247" t="s">
        <v>13</v>
      </c>
      <c r="B20" s="250" t="s">
        <v>14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t="12.75" x14ac:dyDescent="0.2">
      <c r="A21" s="1"/>
      <c r="B21" s="1"/>
      <c r="C21" s="4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t="12.75" customHeight="1" x14ac:dyDescent="0.2">
      <c r="A22" s="1"/>
      <c r="B22" s="1"/>
      <c r="C22" s="3"/>
      <c r="E22" s="2"/>
      <c r="F22" s="2"/>
      <c r="G22" s="1"/>
      <c r="H22" s="1"/>
      <c r="I22" s="1"/>
      <c r="J22" s="1"/>
      <c r="K22" s="1"/>
      <c r="L22" s="1"/>
      <c r="M22" s="1"/>
      <c r="N22" s="1"/>
    </row>
    <row r="23" spans="1:14" ht="12.75" x14ac:dyDescent="0.2">
      <c r="A23" s="1"/>
      <c r="B23" s="1"/>
      <c r="C23" s="4"/>
      <c r="E23" s="5"/>
      <c r="F23" s="5"/>
      <c r="G23" s="1"/>
      <c r="H23" s="1"/>
      <c r="I23" s="1"/>
      <c r="J23" s="1"/>
      <c r="K23" s="1"/>
      <c r="L23" s="1"/>
      <c r="M23" s="1"/>
      <c r="N23" s="1"/>
    </row>
    <row r="24" spans="1:14" ht="12.75" x14ac:dyDescent="0.2">
      <c r="A24" s="1"/>
      <c r="B24" s="1"/>
      <c r="C24" s="6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ht="12.75" x14ac:dyDescent="0.2">
      <c r="A25" s="23" t="s">
        <v>24</v>
      </c>
      <c r="B25" s="24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ht="12.75" x14ac:dyDescent="0.2">
      <c r="A26" s="23" t="s">
        <v>25</v>
      </c>
      <c r="B26" s="24"/>
      <c r="C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ht="12.75" x14ac:dyDescent="0.2">
      <c r="A27" s="1"/>
      <c r="B27" s="7"/>
      <c r="C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ht="12.75" x14ac:dyDescent="0.2">
      <c r="A28" s="1"/>
      <c r="B28" s="7"/>
      <c r="C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ht="12.75" x14ac:dyDescent="0.2">
      <c r="A29" s="1"/>
      <c r="B29" s="7"/>
      <c r="C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ht="12.75" x14ac:dyDescent="0.2">
      <c r="A30" s="1"/>
      <c r="B30" s="7"/>
      <c r="C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ht="12.75" x14ac:dyDescent="0.2">
      <c r="A31" s="25" t="s">
        <v>18</v>
      </c>
      <c r="B31" s="26"/>
      <c r="C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ht="12.75" x14ac:dyDescent="0.2">
      <c r="A32" s="27" t="s">
        <v>19</v>
      </c>
      <c r="B32" s="26"/>
      <c r="C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ht="12.75" x14ac:dyDescent="0.2">
      <c r="A33" s="25" t="s">
        <v>20</v>
      </c>
      <c r="B33" s="26"/>
      <c r="C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5" spans="1:14" ht="15.75" customHeight="1" x14ac:dyDescent="0.2">
      <c r="F35" s="353" t="s">
        <v>121</v>
      </c>
      <c r="G35" s="591">
        <v>0.5</v>
      </c>
    </row>
    <row r="36" spans="1:14" ht="15.75" customHeight="1" x14ac:dyDescent="0.2">
      <c r="F36" s="354" t="s">
        <v>119</v>
      </c>
      <c r="G36" s="591"/>
    </row>
    <row r="37" spans="1:14" ht="15.75" customHeight="1" x14ac:dyDescent="0.2">
      <c r="F37" s="355" t="s">
        <v>120</v>
      </c>
      <c r="G37" s="591"/>
    </row>
    <row r="38" spans="1:14" ht="15.75" customHeight="1" x14ac:dyDescent="0.2">
      <c r="F38" s="356" t="s">
        <v>122</v>
      </c>
      <c r="G38" s="592" t="s">
        <v>139</v>
      </c>
    </row>
    <row r="40" spans="1:14" ht="15.75" customHeight="1" thickBot="1" x14ac:dyDescent="0.25"/>
    <row r="41" spans="1:14" ht="15.75" customHeight="1" x14ac:dyDescent="0.2">
      <c r="F41" s="383" t="s">
        <v>124</v>
      </c>
      <c r="G41" s="390">
        <f>MATCH("Total exprimé",2:2,0)-12</f>
        <v>2</v>
      </c>
    </row>
    <row r="42" spans="1:14" ht="15.75" customHeight="1" thickBot="1" x14ac:dyDescent="0.25">
      <c r="F42" s="384" t="s">
        <v>123</v>
      </c>
      <c r="G42" s="391">
        <f>MATCH("TOTAL",B:B,0)-3</f>
        <v>12</v>
      </c>
    </row>
  </sheetData>
  <phoneticPr fontId="26" type="noConversion"/>
  <conditionalFormatting sqref="N16 D16:K16">
    <cfRule type="cellIs" dxfId="526" priority="32" operator="notBetween">
      <formula>0</formula>
      <formula>1</formula>
    </cfRule>
  </conditionalFormatting>
  <conditionalFormatting sqref="J3:J14">
    <cfRule type="cellIs" dxfId="525" priority="38" operator="notBetween">
      <formula>0</formula>
      <formula>"100%"</formula>
    </cfRule>
  </conditionalFormatting>
  <conditionalFormatting sqref="N3:N14">
    <cfRule type="cellIs" dxfId="524" priority="18" operator="equal">
      <formula>I3</formula>
    </cfRule>
  </conditionalFormatting>
  <conditionalFormatting sqref="N3:N16 L15:M16">
    <cfRule type="cellIs" dxfId="523" priority="3" operator="equal">
      <formula>0</formula>
    </cfRule>
  </conditionalFormatting>
  <conditionalFormatting sqref="N15">
    <cfRule type="cellIs" dxfId="522" priority="15" operator="lessThan">
      <formula>I15</formula>
    </cfRule>
    <cfRule type="cellIs" dxfId="521" priority="17" operator="equal">
      <formula>$I$15</formula>
    </cfRule>
  </conditionalFormatting>
  <conditionalFormatting sqref="N16">
    <cfRule type="cellIs" dxfId="520" priority="31" operator="equal">
      <formula>1</formula>
    </cfRule>
    <cfRule type="cellIs" dxfId="519" priority="36" operator="lessThan">
      <formula>1</formula>
    </cfRule>
  </conditionalFormatting>
  <conditionalFormatting sqref="L16:M16">
    <cfRule type="cellIs" dxfId="518" priority="9" operator="greaterThan">
      <formula>"100%"</formula>
    </cfRule>
  </conditionalFormatting>
  <conditionalFormatting sqref="C15:F16 D3:F14 G3:N16">
    <cfRule type="cellIs" dxfId="517" priority="4" operator="lessThan">
      <formula>0</formula>
    </cfRule>
  </conditionalFormatting>
  <conditionalFormatting sqref="J16">
    <cfRule type="cellIs" dxfId="516" priority="2" operator="greaterThan">
      <formula>0.25</formula>
    </cfRule>
  </conditionalFormatting>
  <conditionalFormatting sqref="J15">
    <cfRule type="cellIs" dxfId="515" priority="1" operator="greaterThan">
      <formula>0.25*$C$15</formula>
    </cfRule>
  </conditionalFormatting>
  <conditionalFormatting sqref="L16:M16">
    <cfRule type="top10" dxfId="514" priority="607" rank="1"/>
    <cfRule type="cellIs" dxfId="513" priority="608" operator="lessThanOrEqual">
      <formula>$G$35</formula>
    </cfRule>
    <cfRule type="cellIs" dxfId="512" priority="609" operator="greaterThan">
      <formula>$G$37</formula>
    </cfRule>
    <cfRule type="cellIs" dxfId="511" priority="610" operator="greaterThan">
      <formula>$G$36</formula>
    </cfRule>
  </conditionalFormatting>
  <conditionalFormatting sqref="L15:M15">
    <cfRule type="top10" dxfId="510" priority="617" rank="1"/>
    <cfRule type="cellIs" dxfId="509" priority="618" operator="lessThanOrEqual">
      <formula>$I$15*$G$35</formula>
    </cfRule>
    <cfRule type="cellIs" dxfId="508" priority="619" operator="greaterThan">
      <formula>$I$15*$G$37</formula>
    </cfRule>
    <cfRule type="cellIs" dxfId="507" priority="620" operator="greaterThan">
      <formula>$I$15*$G$36</formula>
    </cfRule>
  </conditionalFormatting>
  <pageMargins left="0.25" right="0.25" top="0.75" bottom="0.75" header="0.3" footer="0.3"/>
  <pageSetup paperSize="9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imulationDepouillement">
                <anchor moveWithCells="1">
                  <from>
                    <xdr:col>16</xdr:col>
                    <xdr:colOff>142875</xdr:colOff>
                    <xdr:row>2</xdr:row>
                    <xdr:rowOff>152400</xdr:rowOff>
                  </from>
                  <to>
                    <xdr:col>17</xdr:col>
                    <xdr:colOff>495300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initialiserDepouillement">
                <anchor moveWithCells="1">
                  <from>
                    <xdr:col>16</xdr:col>
                    <xdr:colOff>152400</xdr:colOff>
                    <xdr:row>6</xdr:row>
                    <xdr:rowOff>28575</xdr:rowOff>
                  </from>
                  <to>
                    <xdr:col>17</xdr:col>
                    <xdr:colOff>504825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UniformiserCouleursDepouillement_parPoint">
                <anchor moveWithCells="1" sizeWithCells="1">
                  <from>
                    <xdr:col>15</xdr:col>
                    <xdr:colOff>619125</xdr:colOff>
                    <xdr:row>10</xdr:row>
                    <xdr:rowOff>57150</xdr:rowOff>
                  </from>
                  <to>
                    <xdr:col>17</xdr:col>
                    <xdr:colOff>828675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4" tint="0.39997558519241921"/>
    <outlinePr summaryBelow="0" summaryRight="0"/>
  </sheetPr>
  <dimension ref="A1:AQ65"/>
  <sheetViews>
    <sheetView zoomScale="90" zoomScaleNormal="90" workbookViewId="0">
      <selection activeCell="B18" sqref="A15:B18"/>
    </sheetView>
    <sheetView workbookViewId="1">
      <selection sqref="A1:B1"/>
    </sheetView>
  </sheetViews>
  <sheetFormatPr baseColWidth="10" defaultColWidth="13.7109375" defaultRowHeight="15.75" customHeight="1" x14ac:dyDescent="0.2"/>
  <cols>
    <col min="1" max="1" width="8.140625" bestFit="1" customWidth="1"/>
    <col min="2" max="2" width="23" bestFit="1" customWidth="1"/>
    <col min="3" max="3" width="7.140625" customWidth="1"/>
    <col min="4" max="4" width="8.140625" customWidth="1"/>
    <col min="5" max="5" width="10.5703125" customWidth="1"/>
    <col min="6" max="6" width="8.5703125" customWidth="1"/>
    <col min="7" max="7" width="8.7109375" bestFit="1" customWidth="1"/>
    <col min="8" max="30" width="6.7109375" customWidth="1"/>
    <col min="31" max="31" width="10.140625" customWidth="1"/>
    <col min="43" max="43" width="16.42578125" customWidth="1"/>
  </cols>
  <sheetData>
    <row r="1" spans="1:43" ht="13.5" thickBot="1" x14ac:dyDescent="0.25">
      <c r="A1" s="676" t="s">
        <v>15</v>
      </c>
      <c r="B1" s="677"/>
      <c r="C1" s="678" t="s">
        <v>2</v>
      </c>
      <c r="D1" s="683"/>
      <c r="E1" s="664"/>
      <c r="F1" s="44" t="s">
        <v>0</v>
      </c>
      <c r="G1" s="676" t="s">
        <v>32</v>
      </c>
      <c r="H1" s="677"/>
      <c r="I1" s="676" t="s">
        <v>33</v>
      </c>
      <c r="J1" s="677"/>
      <c r="K1" s="676" t="s">
        <v>34</v>
      </c>
      <c r="L1" s="677"/>
      <c r="M1" s="663" t="s">
        <v>35</v>
      </c>
      <c r="N1" s="664"/>
      <c r="O1" s="676" t="s">
        <v>36</v>
      </c>
      <c r="P1" s="677"/>
      <c r="Q1" s="663" t="s">
        <v>37</v>
      </c>
      <c r="R1" s="683"/>
      <c r="S1" s="684" t="s">
        <v>38</v>
      </c>
      <c r="T1" s="685"/>
      <c r="U1" s="678" t="s">
        <v>39</v>
      </c>
      <c r="V1" s="664"/>
      <c r="W1" s="676" t="s">
        <v>40</v>
      </c>
      <c r="X1" s="677"/>
      <c r="Y1" s="663" t="s">
        <v>41</v>
      </c>
      <c r="Z1" s="664"/>
      <c r="AA1" s="668" t="s">
        <v>42</v>
      </c>
      <c r="AB1" s="669"/>
      <c r="AC1" s="670" t="s">
        <v>43</v>
      </c>
      <c r="AD1" s="671"/>
      <c r="AE1" s="80" t="s">
        <v>15</v>
      </c>
      <c r="AF1" s="81" t="s">
        <v>32</v>
      </c>
      <c r="AG1" s="82" t="s">
        <v>33</v>
      </c>
      <c r="AH1" s="82" t="s">
        <v>34</v>
      </c>
      <c r="AI1" s="82" t="s">
        <v>35</v>
      </c>
      <c r="AJ1" s="82" t="s">
        <v>36</v>
      </c>
      <c r="AK1" s="82" t="s">
        <v>37</v>
      </c>
      <c r="AL1" s="82" t="s">
        <v>38</v>
      </c>
      <c r="AM1" s="82" t="s">
        <v>39</v>
      </c>
      <c r="AN1" s="82" t="s">
        <v>40</v>
      </c>
      <c r="AO1" s="83" t="s">
        <v>41</v>
      </c>
      <c r="AP1" s="73" t="s">
        <v>42</v>
      </c>
      <c r="AQ1" s="72" t="s">
        <v>43</v>
      </c>
    </row>
    <row r="2" spans="1:43" ht="15.75" customHeight="1" x14ac:dyDescent="0.2">
      <c r="A2" s="28">
        <v>1</v>
      </c>
      <c r="B2" s="29" t="str">
        <f>Synthèse!B3</f>
        <v>Ecole Chabaud</v>
      </c>
      <c r="C2" s="317">
        <f ca="1">MAX(G2,I2,K2,M2,O2,Q2,S2,U2,W2,Y2,AA2,AC2)</f>
        <v>105</v>
      </c>
      <c r="D2" s="14">
        <f t="shared" ref="D2:D14" ca="1" si="0">C2/$F2</f>
        <v>0.189873417721519</v>
      </c>
      <c r="E2" s="17">
        <f ca="1">D2</f>
        <v>0.189873417721519</v>
      </c>
      <c r="F2" s="318">
        <f>Synthèse!C3</f>
        <v>553</v>
      </c>
      <c r="G2" s="319">
        <f ca="1">INDIRECT("'Bureau " &amp; ROW()-1 &amp; "'!" &amp; ADDRESS(4,Synthèse!$G$41+10,4))</f>
        <v>0</v>
      </c>
      <c r="H2" s="35">
        <f t="shared" ref="H2:H13" ca="1" si="1">G2/$F2</f>
        <v>0</v>
      </c>
      <c r="I2" s="320">
        <f ca="1">INDIRECT("'Bureau " &amp; ROW()-1 &amp; "'!" &amp; ADDRESS(5,Synthèse!$G$41+10,4))</f>
        <v>0</v>
      </c>
      <c r="J2" s="35">
        <f ca="1">I2/$F2</f>
        <v>0</v>
      </c>
      <c r="K2" s="320">
        <f ca="1">INDIRECT("'Bureau " &amp; ROW()-1 &amp; "'!" &amp; ADDRESS(6,Synthèse!$G$41+10,4))</f>
        <v>0</v>
      </c>
      <c r="L2" s="36">
        <f ca="1">K2/$F2</f>
        <v>0</v>
      </c>
      <c r="M2" s="321">
        <f ca="1">INDIRECT("'Bureau " &amp; ROW()-1 &amp; "'!" &amp; ADDRESS(7,Synthèse!$G$41+10,4))</f>
        <v>0</v>
      </c>
      <c r="N2" s="47">
        <f ca="1">M2/$F2</f>
        <v>0</v>
      </c>
      <c r="O2" s="322">
        <f ca="1">INDIRECT("'Bureau " &amp; ROW()-1 &amp; "'!" &amp; ADDRESS(8,Synthèse!$G$41+10,4))</f>
        <v>0</v>
      </c>
      <c r="P2" s="36">
        <f ca="1">O2/$F2</f>
        <v>0</v>
      </c>
      <c r="Q2" s="321">
        <f ca="1">INDIRECT("'Bureau " &amp; ROW()-1 &amp; "'!" &amp; ADDRESS(9,Synthèse!$G$41+10,4))</f>
        <v>0</v>
      </c>
      <c r="R2" s="47">
        <f ca="1">Q2/$F2</f>
        <v>0</v>
      </c>
      <c r="S2" s="323">
        <f ca="1">INDIRECT("'Bureau " &amp; ROW()-1 &amp; "'!" &amp; ADDRESS(10,Synthèse!$G$41+10,4))</f>
        <v>0</v>
      </c>
      <c r="T2" s="60">
        <f ca="1">S2/$F2</f>
        <v>0</v>
      </c>
      <c r="U2" s="321">
        <f ca="1">INDIRECT("'Bureau " &amp; ROW()-1 &amp; "'!" &amp; ADDRESS(11,Synthèse!$G$41+10,4))</f>
        <v>0</v>
      </c>
      <c r="V2" s="47">
        <f ca="1">U2/$F2</f>
        <v>0</v>
      </c>
      <c r="W2" s="322">
        <f ca="1">INDIRECT("'Bureau " &amp; ROW()-1 &amp; "'!" &amp; ADDRESS(12,Synthèse!$G$41+10,4))</f>
        <v>0</v>
      </c>
      <c r="X2" s="36">
        <f ca="1">W2/$F2</f>
        <v>0</v>
      </c>
      <c r="Y2" s="324">
        <f ca="1">INDIRECT("'Bureau " &amp; ROW()-1 &amp; "'!" &amp; ADDRESS(13,Synthèse!$G$41+10,4))</f>
        <v>105</v>
      </c>
      <c r="Z2" s="61">
        <f ca="1">Y2/$F2</f>
        <v>0.189873417721519</v>
      </c>
      <c r="AA2" s="78">
        <f ca="1">INDIRECT("'Bureau " &amp; ROW()-1 &amp; "'!" &amp; ADDRESS(14,Synthèse!$G$41+10,4))</f>
        <v>0</v>
      </c>
      <c r="AB2" s="41">
        <f ca="1">AA2/$F2</f>
        <v>0</v>
      </c>
      <c r="AC2" s="79">
        <f ca="1">INDIRECT("'Bureau " &amp; ROW()-1 &amp; "'!" &amp; ADDRESS(15,Synthèse!$G$41+10,4))</f>
        <v>0</v>
      </c>
      <c r="AD2" s="67">
        <f ca="1">AC2/$F2</f>
        <v>0</v>
      </c>
      <c r="AE2" s="84">
        <v>1</v>
      </c>
      <c r="AF2" s="85">
        <v>5.9674502712477394E-2</v>
      </c>
      <c r="AG2" s="86">
        <v>0.1410488245931284</v>
      </c>
      <c r="AH2" s="86">
        <v>0.23508137432188064</v>
      </c>
      <c r="AI2" s="86">
        <v>0.33634719710669075</v>
      </c>
      <c r="AJ2" s="86">
        <v>0.37793851717902349</v>
      </c>
      <c r="AK2" s="86">
        <v>0.42495479204339964</v>
      </c>
      <c r="AL2" s="86">
        <v>0.46292947558770342</v>
      </c>
      <c r="AM2" s="86">
        <v>0.50994575045207957</v>
      </c>
      <c r="AN2" s="86">
        <v>0.54792043399638335</v>
      </c>
      <c r="AO2" s="87">
        <v>0.58408679927667273</v>
      </c>
      <c r="AP2" s="74">
        <v>0</v>
      </c>
      <c r="AQ2" s="71">
        <v>0</v>
      </c>
    </row>
    <row r="3" spans="1:43" ht="15.75" customHeight="1" x14ac:dyDescent="0.2">
      <c r="A3" s="28">
        <v>2</v>
      </c>
      <c r="B3" s="29" t="str">
        <f>Synthèse!B4</f>
        <v>Gymnase B</v>
      </c>
      <c r="C3" s="325">
        <f t="shared" ref="C3:C13" ca="1" si="2">MAX(G3,I3,K3,M3,O3,Q3,S3,U3,W3,Y3,AA3,AC3)</f>
        <v>0</v>
      </c>
      <c r="D3" s="15">
        <f t="shared" ca="1" si="0"/>
        <v>0</v>
      </c>
      <c r="E3" s="18">
        <f t="shared" ref="E3:E14" ca="1" si="3">D3</f>
        <v>0</v>
      </c>
      <c r="F3" s="326">
        <f>Synthèse!C4</f>
        <v>740</v>
      </c>
      <c r="G3" s="319">
        <f ca="1">INDIRECT("'Bureau " &amp; ROW()-1 &amp; "'!" &amp; ADDRESS(4,Synthèse!$G$41+10,4))</f>
        <v>0</v>
      </c>
      <c r="H3" s="37">
        <f t="shared" ca="1" si="1"/>
        <v>0</v>
      </c>
      <c r="I3" s="320">
        <f ca="1">INDIRECT("'Bureau " &amp; ROW()-1 &amp; "'!" &amp; ADDRESS(5,Synthèse!$G$41+10,4))</f>
        <v>0</v>
      </c>
      <c r="J3" s="37">
        <f t="shared" ref="J3:J13" ca="1" si="4">I3/$F3</f>
        <v>0</v>
      </c>
      <c r="K3" s="320">
        <f ca="1">INDIRECT("'Bureau " &amp; ROW()-1 &amp; "'!" &amp; ADDRESS(6,Synthèse!$G$41+10,4))</f>
        <v>0</v>
      </c>
      <c r="L3" s="38">
        <f t="shared" ref="L3:L13" ca="1" si="5">K3/$F3</f>
        <v>0</v>
      </c>
      <c r="M3" s="327">
        <f ca="1">INDIRECT("'Bureau " &amp; ROW()-1 &amp; "'!" &amp; ADDRESS(7,Synthèse!$G$41+10,4))</f>
        <v>0</v>
      </c>
      <c r="N3" s="48">
        <f t="shared" ref="N3:N13" ca="1" si="6">M3/$F3</f>
        <v>0</v>
      </c>
      <c r="O3" s="322">
        <f ca="1">INDIRECT("'Bureau " &amp; ROW()-1 &amp; "'!" &amp; ADDRESS(8,Synthèse!$G$41+10,4))</f>
        <v>0</v>
      </c>
      <c r="P3" s="38">
        <f t="shared" ref="P3:P13" ca="1" si="7">O3/$F3</f>
        <v>0</v>
      </c>
      <c r="Q3" s="327">
        <f ca="1">INDIRECT("'Bureau " &amp; ROW()-1 &amp; "'!" &amp; ADDRESS(9,Synthèse!$G$41+10,4))</f>
        <v>0</v>
      </c>
      <c r="R3" s="48">
        <f t="shared" ref="R3:R13" ca="1" si="8">Q3/$F3</f>
        <v>0</v>
      </c>
      <c r="S3" s="323">
        <f ca="1">INDIRECT("'Bureau " &amp; ROW()-1 &amp; "'!" &amp; ADDRESS(10,Synthèse!$G$41+10,4))</f>
        <v>0</v>
      </c>
      <c r="T3" s="15">
        <f t="shared" ref="T3:T13" ca="1" si="9">S3/$F3</f>
        <v>0</v>
      </c>
      <c r="U3" s="327">
        <f ca="1">INDIRECT("'Bureau " &amp; ROW()-1 &amp; "'!" &amp; ADDRESS(11,Synthèse!$G$41+10,4))</f>
        <v>0</v>
      </c>
      <c r="V3" s="48">
        <f t="shared" ref="V3:V13" ca="1" si="10">U3/$F3</f>
        <v>0</v>
      </c>
      <c r="W3" s="322">
        <f ca="1">INDIRECT("'Bureau " &amp; ROW()-1 &amp; "'!" &amp; ADDRESS(12,Synthèse!$G$41+10,4))</f>
        <v>0</v>
      </c>
      <c r="X3" s="38">
        <f t="shared" ref="X3:X13" ca="1" si="11">W3/$F3</f>
        <v>0</v>
      </c>
      <c r="Y3" s="328">
        <f ca="1">INDIRECT("'Bureau " &amp; ROW()-1 &amp; "'!" &amp; ADDRESS(13,Synthèse!$G$41+10,4))</f>
        <v>0</v>
      </c>
      <c r="Z3" s="62">
        <f t="shared" ref="Z3:Z13" ca="1" si="12">Y3/$F3</f>
        <v>0</v>
      </c>
      <c r="AA3" s="78">
        <f ca="1">INDIRECT("'Bureau " &amp; ROW()-1 &amp; "'!" &amp; ADDRESS(14,Synthèse!$G$41+10,4))</f>
        <v>0</v>
      </c>
      <c r="AB3" s="42">
        <f t="shared" ref="AB3:AB13" ca="1" si="13">AA3/$F3</f>
        <v>0</v>
      </c>
      <c r="AC3" s="79">
        <f ca="1">INDIRECT("'Bureau " &amp; ROW()-1 &amp; "'!" &amp; ADDRESS(15,Synthèse!$G$41+10,4))</f>
        <v>0</v>
      </c>
      <c r="AD3" s="68">
        <f t="shared" ref="AD3:AD13" ca="1" si="14">AC3/$F3</f>
        <v>0</v>
      </c>
      <c r="AE3" s="84">
        <v>2</v>
      </c>
      <c r="AF3" s="88">
        <v>6.0810810810810814E-2</v>
      </c>
      <c r="AG3" s="89">
        <v>0.10810810810810811</v>
      </c>
      <c r="AH3" s="89">
        <v>0.1891891891891892</v>
      </c>
      <c r="AI3" s="89">
        <v>0.3108108108108108</v>
      </c>
      <c r="AJ3" s="89">
        <v>0.38918918918918921</v>
      </c>
      <c r="AK3" s="89">
        <v>0.41891891891891891</v>
      </c>
      <c r="AL3" s="89">
        <v>0.48648648648648651</v>
      </c>
      <c r="AM3" s="89">
        <v>0.52702702702702697</v>
      </c>
      <c r="AN3" s="89">
        <v>0.56081081081081086</v>
      </c>
      <c r="AO3" s="90">
        <v>0.59864864864864864</v>
      </c>
      <c r="AP3" s="75">
        <v>0</v>
      </c>
      <c r="AQ3" s="70">
        <v>0</v>
      </c>
    </row>
    <row r="4" spans="1:43" ht="15.75" customHeight="1" x14ac:dyDescent="0.2">
      <c r="A4" s="28">
        <v>3</v>
      </c>
      <c r="B4" s="29" t="str">
        <f>Synthèse!B5</f>
        <v>Gymnase B</v>
      </c>
      <c r="C4" s="325">
        <f t="shared" ca="1" si="2"/>
        <v>0</v>
      </c>
      <c r="D4" s="15">
        <f t="shared" ca="1" si="0"/>
        <v>0</v>
      </c>
      <c r="E4" s="18">
        <f t="shared" ca="1" si="3"/>
        <v>0</v>
      </c>
      <c r="F4" s="326">
        <f>Synthèse!C5</f>
        <v>713</v>
      </c>
      <c r="G4" s="319">
        <f ca="1">INDIRECT("'Bureau " &amp; ROW()-1 &amp; "'!" &amp; ADDRESS(4,Synthèse!$G$41+10,4))</f>
        <v>0</v>
      </c>
      <c r="H4" s="37">
        <f t="shared" ca="1" si="1"/>
        <v>0</v>
      </c>
      <c r="I4" s="320">
        <f ca="1">INDIRECT("'Bureau " &amp; ROW()-1 &amp; "'!" &amp; ADDRESS(5,Synthèse!$G$41+10,4))</f>
        <v>0</v>
      </c>
      <c r="J4" s="37">
        <f t="shared" ca="1" si="4"/>
        <v>0</v>
      </c>
      <c r="K4" s="320">
        <f ca="1">INDIRECT("'Bureau " &amp; ROW()-1 &amp; "'!" &amp; ADDRESS(6,Synthèse!$G$41+10,4))</f>
        <v>0</v>
      </c>
      <c r="L4" s="38">
        <f t="shared" ca="1" si="5"/>
        <v>0</v>
      </c>
      <c r="M4" s="327">
        <f ca="1">INDIRECT("'Bureau " &amp; ROW()-1 &amp; "'!" &amp; ADDRESS(7,Synthèse!$G$41+10,4))</f>
        <v>0</v>
      </c>
      <c r="N4" s="48">
        <f t="shared" ca="1" si="6"/>
        <v>0</v>
      </c>
      <c r="O4" s="322">
        <f ca="1">INDIRECT("'Bureau " &amp; ROW()-1 &amp; "'!" &amp; ADDRESS(8,Synthèse!$G$41+10,4))</f>
        <v>0</v>
      </c>
      <c r="P4" s="38">
        <f t="shared" ca="1" si="7"/>
        <v>0</v>
      </c>
      <c r="Q4" s="327">
        <f ca="1">INDIRECT("'Bureau " &amp; ROW()-1 &amp; "'!" &amp; ADDRESS(9,Synthèse!$G$41+10,4))</f>
        <v>0</v>
      </c>
      <c r="R4" s="48">
        <f t="shared" ca="1" si="8"/>
        <v>0</v>
      </c>
      <c r="S4" s="323">
        <f ca="1">INDIRECT("'Bureau " &amp; ROW()-1 &amp; "'!" &amp; ADDRESS(10,Synthèse!$G$41+10,4))</f>
        <v>0</v>
      </c>
      <c r="T4" s="15">
        <f t="shared" ca="1" si="9"/>
        <v>0</v>
      </c>
      <c r="U4" s="327">
        <f ca="1">INDIRECT("'Bureau " &amp; ROW()-1 &amp; "'!" &amp; ADDRESS(11,Synthèse!$G$41+10,4))</f>
        <v>0</v>
      </c>
      <c r="V4" s="48">
        <f t="shared" ca="1" si="10"/>
        <v>0</v>
      </c>
      <c r="W4" s="322">
        <f ca="1">INDIRECT("'Bureau " &amp; ROW()-1 &amp; "'!" &amp; ADDRESS(12,Synthèse!$G$41+10,4))</f>
        <v>0</v>
      </c>
      <c r="X4" s="38">
        <f t="shared" ca="1" si="11"/>
        <v>0</v>
      </c>
      <c r="Y4" s="328">
        <f ca="1">INDIRECT("'Bureau " &amp; ROW()-1 &amp; "'!" &amp; ADDRESS(13,Synthèse!$G$41+10,4))</f>
        <v>0</v>
      </c>
      <c r="Z4" s="62">
        <f t="shared" ca="1" si="12"/>
        <v>0</v>
      </c>
      <c r="AA4" s="78">
        <f ca="1">INDIRECT("'Bureau " &amp; ROW()-1 &amp; "'!" &amp; ADDRESS(14,Synthèse!$G$41+10,4))</f>
        <v>0</v>
      </c>
      <c r="AB4" s="42">
        <f t="shared" ca="1" si="13"/>
        <v>0</v>
      </c>
      <c r="AC4" s="79">
        <f ca="1">INDIRECT("'Bureau " &amp; ROW()-1 &amp; "'!" &amp; ADDRESS(15,Synthèse!$G$41+10,4))</f>
        <v>0</v>
      </c>
      <c r="AD4" s="68">
        <f t="shared" ca="1" si="14"/>
        <v>0</v>
      </c>
      <c r="AE4" s="84">
        <v>3</v>
      </c>
      <c r="AF4" s="88">
        <v>5.6100981767180924E-2</v>
      </c>
      <c r="AG4" s="89">
        <v>0.15427769985974754</v>
      </c>
      <c r="AH4" s="89">
        <v>0.26647966339410939</v>
      </c>
      <c r="AI4" s="89">
        <v>0.37868162692847124</v>
      </c>
      <c r="AJ4" s="89">
        <v>0.43478260869565216</v>
      </c>
      <c r="AK4" s="89">
        <v>0.50490883590462832</v>
      </c>
      <c r="AL4" s="89">
        <v>0.57503506311360453</v>
      </c>
      <c r="AM4" s="89">
        <v>0.61711079943899017</v>
      </c>
      <c r="AN4" s="89">
        <v>0.65918653576437591</v>
      </c>
      <c r="AO4" s="90">
        <v>0.67882187938288918</v>
      </c>
      <c r="AP4" s="75">
        <v>0</v>
      </c>
      <c r="AQ4" s="70">
        <v>0</v>
      </c>
    </row>
    <row r="5" spans="1:43" ht="15.75" customHeight="1" x14ac:dyDescent="0.2">
      <c r="A5" s="28">
        <v>4</v>
      </c>
      <c r="B5" s="29" t="str">
        <f>Synthèse!B6</f>
        <v>Gymnase B</v>
      </c>
      <c r="C5" s="325">
        <f t="shared" ca="1" si="2"/>
        <v>0</v>
      </c>
      <c r="D5" s="15">
        <f t="shared" ca="1" si="0"/>
        <v>0</v>
      </c>
      <c r="E5" s="18">
        <f t="shared" ca="1" si="3"/>
        <v>0</v>
      </c>
      <c r="F5" s="326">
        <f>Synthèse!C6</f>
        <v>679</v>
      </c>
      <c r="G5" s="319">
        <f ca="1">INDIRECT("'Bureau " &amp; ROW()-1 &amp; "'!" &amp; ADDRESS(4,Synthèse!$G$41+10,4))</f>
        <v>0</v>
      </c>
      <c r="H5" s="37">
        <f t="shared" ca="1" si="1"/>
        <v>0</v>
      </c>
      <c r="I5" s="320">
        <f ca="1">INDIRECT("'Bureau " &amp; ROW()-1 &amp; "'!" &amp; ADDRESS(5,Synthèse!$G$41+10,4))</f>
        <v>0</v>
      </c>
      <c r="J5" s="37">
        <f t="shared" ca="1" si="4"/>
        <v>0</v>
      </c>
      <c r="K5" s="320">
        <f ca="1">INDIRECT("'Bureau " &amp; ROW()-1 &amp; "'!" &amp; ADDRESS(6,Synthèse!$G$41+10,4))</f>
        <v>0</v>
      </c>
      <c r="L5" s="38">
        <f t="shared" ca="1" si="5"/>
        <v>0</v>
      </c>
      <c r="M5" s="327">
        <f ca="1">INDIRECT("'Bureau " &amp; ROW()-1 &amp; "'!" &amp; ADDRESS(7,Synthèse!$G$41+10,4))</f>
        <v>0</v>
      </c>
      <c r="N5" s="48">
        <f t="shared" ca="1" si="6"/>
        <v>0</v>
      </c>
      <c r="O5" s="322">
        <f ca="1">INDIRECT("'Bureau " &amp; ROW()-1 &amp; "'!" &amp; ADDRESS(8,Synthèse!$G$41+10,4))</f>
        <v>0</v>
      </c>
      <c r="P5" s="38">
        <f t="shared" ca="1" si="7"/>
        <v>0</v>
      </c>
      <c r="Q5" s="327">
        <f ca="1">INDIRECT("'Bureau " &amp; ROW()-1 &amp; "'!" &amp; ADDRESS(9,Synthèse!$G$41+10,4))</f>
        <v>0</v>
      </c>
      <c r="R5" s="48">
        <f t="shared" ca="1" si="8"/>
        <v>0</v>
      </c>
      <c r="S5" s="323">
        <f ca="1">INDIRECT("'Bureau " &amp; ROW()-1 &amp; "'!" &amp; ADDRESS(10,Synthèse!$G$41+10,4))</f>
        <v>0</v>
      </c>
      <c r="T5" s="15">
        <f t="shared" ca="1" si="9"/>
        <v>0</v>
      </c>
      <c r="U5" s="327">
        <f ca="1">INDIRECT("'Bureau " &amp; ROW()-1 &amp; "'!" &amp; ADDRESS(11,Synthèse!$G$41+10,4))</f>
        <v>0</v>
      </c>
      <c r="V5" s="48">
        <f t="shared" ca="1" si="10"/>
        <v>0</v>
      </c>
      <c r="W5" s="322">
        <f ca="1">INDIRECT("'Bureau " &amp; ROW()-1 &amp; "'!" &amp; ADDRESS(12,Synthèse!$G$41+10,4))</f>
        <v>0</v>
      </c>
      <c r="X5" s="38">
        <f t="shared" ca="1" si="11"/>
        <v>0</v>
      </c>
      <c r="Y5" s="328">
        <f ca="1">INDIRECT("'Bureau " &amp; ROW()-1 &amp; "'!" &amp; ADDRESS(13,Synthèse!$G$41+10,4))</f>
        <v>0</v>
      </c>
      <c r="Z5" s="62">
        <f t="shared" ca="1" si="12"/>
        <v>0</v>
      </c>
      <c r="AA5" s="78">
        <f ca="1">INDIRECT("'Bureau " &amp; ROW()-1 &amp; "'!" &amp; ADDRESS(14,Synthèse!$G$41+10,4))</f>
        <v>0</v>
      </c>
      <c r="AB5" s="42">
        <f t="shared" ca="1" si="13"/>
        <v>0</v>
      </c>
      <c r="AC5" s="79">
        <f ca="1">INDIRECT("'Bureau " &amp; ROW()-1 &amp; "'!" &amp; ADDRESS(15,Synthèse!$G$41+10,4))</f>
        <v>0</v>
      </c>
      <c r="AD5" s="68">
        <f t="shared" ca="1" si="14"/>
        <v>0</v>
      </c>
      <c r="AE5" s="84">
        <v>4</v>
      </c>
      <c r="AF5" s="88">
        <v>4.8600883652430045E-2</v>
      </c>
      <c r="AG5" s="89">
        <v>0.10014727540500737</v>
      </c>
      <c r="AH5" s="89">
        <v>0.203240058910162</v>
      </c>
      <c r="AI5" s="89">
        <v>0.2768777614138439</v>
      </c>
      <c r="AJ5" s="89">
        <v>0.3328424153166421</v>
      </c>
      <c r="AK5" s="89">
        <v>0.39175257731958762</v>
      </c>
      <c r="AL5" s="89">
        <v>0.45066273932253315</v>
      </c>
      <c r="AM5" s="89">
        <v>0.49484536082474229</v>
      </c>
      <c r="AN5" s="89">
        <v>0.51693667157584688</v>
      </c>
      <c r="AO5" s="90">
        <v>0.53460972017673047</v>
      </c>
      <c r="AP5" s="75">
        <v>0</v>
      </c>
      <c r="AQ5" s="70">
        <v>0</v>
      </c>
    </row>
    <row r="6" spans="1:43" ht="15.75" customHeight="1" x14ac:dyDescent="0.2">
      <c r="A6" s="28">
        <v>5</v>
      </c>
      <c r="B6" s="29" t="str">
        <f>Synthèse!B7</f>
        <v>COSEC</v>
      </c>
      <c r="C6" s="325">
        <f t="shared" ca="1" si="2"/>
        <v>0</v>
      </c>
      <c r="D6" s="15">
        <f t="shared" ca="1" si="0"/>
        <v>0</v>
      </c>
      <c r="E6" s="18">
        <f t="shared" ca="1" si="3"/>
        <v>0</v>
      </c>
      <c r="F6" s="326">
        <f>Synthèse!C7</f>
        <v>701</v>
      </c>
      <c r="G6" s="319">
        <f ca="1">INDIRECT("'Bureau " &amp; ROW()-1 &amp; "'!" &amp; ADDRESS(4,Synthèse!$G$41+10,4))</f>
        <v>0</v>
      </c>
      <c r="H6" s="37">
        <f t="shared" ca="1" si="1"/>
        <v>0</v>
      </c>
      <c r="I6" s="320">
        <f ca="1">INDIRECT("'Bureau " &amp; ROW()-1 &amp; "'!" &amp; ADDRESS(5,Synthèse!$G$41+10,4))</f>
        <v>0</v>
      </c>
      <c r="J6" s="37">
        <f t="shared" ca="1" si="4"/>
        <v>0</v>
      </c>
      <c r="K6" s="320">
        <f ca="1">INDIRECT("'Bureau " &amp; ROW()-1 &amp; "'!" &amp; ADDRESS(6,Synthèse!$G$41+10,4))</f>
        <v>0</v>
      </c>
      <c r="L6" s="38">
        <f t="shared" ca="1" si="5"/>
        <v>0</v>
      </c>
      <c r="M6" s="327">
        <f ca="1">INDIRECT("'Bureau " &amp; ROW()-1 &amp; "'!" &amp; ADDRESS(7,Synthèse!$G$41+10,4))</f>
        <v>0</v>
      </c>
      <c r="N6" s="48">
        <f t="shared" ca="1" si="6"/>
        <v>0</v>
      </c>
      <c r="O6" s="322">
        <f ca="1">INDIRECT("'Bureau " &amp; ROW()-1 &amp; "'!" &amp; ADDRESS(8,Synthèse!$G$41+10,4))</f>
        <v>0</v>
      </c>
      <c r="P6" s="38">
        <f t="shared" ca="1" si="7"/>
        <v>0</v>
      </c>
      <c r="Q6" s="327">
        <f ca="1">INDIRECT("'Bureau " &amp; ROW()-1 &amp; "'!" &amp; ADDRESS(9,Synthèse!$G$41+10,4))</f>
        <v>0</v>
      </c>
      <c r="R6" s="48">
        <f t="shared" ca="1" si="8"/>
        <v>0</v>
      </c>
      <c r="S6" s="323">
        <f ca="1">INDIRECT("'Bureau " &amp; ROW()-1 &amp; "'!" &amp; ADDRESS(10,Synthèse!$G$41+10,4))</f>
        <v>0</v>
      </c>
      <c r="T6" s="15">
        <f t="shared" ca="1" si="9"/>
        <v>0</v>
      </c>
      <c r="U6" s="327">
        <f ca="1">INDIRECT("'Bureau " &amp; ROW()-1 &amp; "'!" &amp; ADDRESS(11,Synthèse!$G$41+10,4))</f>
        <v>0</v>
      </c>
      <c r="V6" s="48">
        <f t="shared" ca="1" si="10"/>
        <v>0</v>
      </c>
      <c r="W6" s="322">
        <f ca="1">INDIRECT("'Bureau " &amp; ROW()-1 &amp; "'!" &amp; ADDRESS(12,Synthèse!$G$41+10,4))</f>
        <v>0</v>
      </c>
      <c r="X6" s="38">
        <f t="shared" ca="1" si="11"/>
        <v>0</v>
      </c>
      <c r="Y6" s="328">
        <f ca="1">INDIRECT("'Bureau " &amp; ROW()-1 &amp; "'!" &amp; ADDRESS(13,Synthèse!$G$41+10,4))</f>
        <v>0</v>
      </c>
      <c r="Z6" s="62">
        <f t="shared" ca="1" si="12"/>
        <v>0</v>
      </c>
      <c r="AA6" s="78">
        <f ca="1">INDIRECT("'Bureau " &amp; ROW()-1 &amp; "'!" &amp; ADDRESS(14,Synthèse!$G$41+10,4))</f>
        <v>0</v>
      </c>
      <c r="AB6" s="42">
        <f t="shared" ca="1" si="13"/>
        <v>0</v>
      </c>
      <c r="AC6" s="79">
        <f ca="1">INDIRECT("'Bureau " &amp; ROW()-1 &amp; "'!" &amp; ADDRESS(15,Synthèse!$G$41+10,4))</f>
        <v>0</v>
      </c>
      <c r="AD6" s="68">
        <f t="shared" ca="1" si="14"/>
        <v>0</v>
      </c>
      <c r="AE6" s="84">
        <v>5</v>
      </c>
      <c r="AF6" s="88">
        <v>5.2781740370898715E-2</v>
      </c>
      <c r="AG6" s="89">
        <v>0.13266761768901569</v>
      </c>
      <c r="AH6" s="89">
        <v>0.22824536376604851</v>
      </c>
      <c r="AI6" s="89">
        <v>0.34236804564907275</v>
      </c>
      <c r="AJ6" s="89">
        <v>0.4136947218259629</v>
      </c>
      <c r="AK6" s="89">
        <v>0.46362339514978601</v>
      </c>
      <c r="AL6" s="89">
        <v>0.53495007132667616</v>
      </c>
      <c r="AM6" s="89">
        <v>0.59914407988587737</v>
      </c>
      <c r="AN6" s="89">
        <v>0.6205420827389444</v>
      </c>
      <c r="AO6" s="90">
        <v>0.64479315263908699</v>
      </c>
      <c r="AP6" s="75">
        <v>0</v>
      </c>
      <c r="AQ6" s="70">
        <v>0</v>
      </c>
    </row>
    <row r="7" spans="1:43" ht="15.75" customHeight="1" x14ac:dyDescent="0.2">
      <c r="A7" s="28">
        <v>6</v>
      </c>
      <c r="B7" s="29" t="str">
        <f>Synthèse!B8</f>
        <v>COSEC</v>
      </c>
      <c r="C7" s="325">
        <f t="shared" ca="1" si="2"/>
        <v>0</v>
      </c>
      <c r="D7" s="15">
        <f t="shared" ca="1" si="0"/>
        <v>0</v>
      </c>
      <c r="E7" s="18">
        <f t="shared" ca="1" si="3"/>
        <v>0</v>
      </c>
      <c r="F7" s="326">
        <f>Synthèse!C8</f>
        <v>712</v>
      </c>
      <c r="G7" s="319">
        <f ca="1">INDIRECT("'Bureau " &amp; ROW()-1 &amp; "'!" &amp; ADDRESS(4,Synthèse!$G$41+10,4))</f>
        <v>0</v>
      </c>
      <c r="H7" s="37">
        <f t="shared" ca="1" si="1"/>
        <v>0</v>
      </c>
      <c r="I7" s="320">
        <f ca="1">INDIRECT("'Bureau " &amp; ROW()-1 &amp; "'!" &amp; ADDRESS(5,Synthèse!$G$41+10,4))</f>
        <v>0</v>
      </c>
      <c r="J7" s="37">
        <f t="shared" ca="1" si="4"/>
        <v>0</v>
      </c>
      <c r="K7" s="320">
        <f ca="1">INDIRECT("'Bureau " &amp; ROW()-1 &amp; "'!" &amp; ADDRESS(6,Synthèse!$G$41+10,4))</f>
        <v>0</v>
      </c>
      <c r="L7" s="38">
        <f t="shared" ca="1" si="5"/>
        <v>0</v>
      </c>
      <c r="M7" s="327">
        <f ca="1">INDIRECT("'Bureau " &amp; ROW()-1 &amp; "'!" &amp; ADDRESS(7,Synthèse!$G$41+10,4))</f>
        <v>0</v>
      </c>
      <c r="N7" s="48">
        <f t="shared" ca="1" si="6"/>
        <v>0</v>
      </c>
      <c r="O7" s="322">
        <f ca="1">INDIRECT("'Bureau " &amp; ROW()-1 &amp; "'!" &amp; ADDRESS(8,Synthèse!$G$41+10,4))</f>
        <v>0</v>
      </c>
      <c r="P7" s="38">
        <f t="shared" ca="1" si="7"/>
        <v>0</v>
      </c>
      <c r="Q7" s="327">
        <f ca="1">INDIRECT("'Bureau " &amp; ROW()-1 &amp; "'!" &amp; ADDRESS(9,Synthèse!$G$41+10,4))</f>
        <v>0</v>
      </c>
      <c r="R7" s="48">
        <f t="shared" ca="1" si="8"/>
        <v>0</v>
      </c>
      <c r="S7" s="323">
        <f ca="1">INDIRECT("'Bureau " &amp; ROW()-1 &amp; "'!" &amp; ADDRESS(10,Synthèse!$G$41+10,4))</f>
        <v>0</v>
      </c>
      <c r="T7" s="15">
        <f t="shared" ca="1" si="9"/>
        <v>0</v>
      </c>
      <c r="U7" s="327">
        <f ca="1">INDIRECT("'Bureau " &amp; ROW()-1 &amp; "'!" &amp; ADDRESS(11,Synthèse!$G$41+10,4))</f>
        <v>0</v>
      </c>
      <c r="V7" s="48">
        <f t="shared" ca="1" si="10"/>
        <v>0</v>
      </c>
      <c r="W7" s="322">
        <f ca="1">INDIRECT("'Bureau " &amp; ROW()-1 &amp; "'!" &amp; ADDRESS(12,Synthèse!$G$41+10,4))</f>
        <v>0</v>
      </c>
      <c r="X7" s="38">
        <f t="shared" ca="1" si="11"/>
        <v>0</v>
      </c>
      <c r="Y7" s="328">
        <f ca="1">INDIRECT("'Bureau " &amp; ROW()-1 &amp; "'!" &amp; ADDRESS(13,Synthèse!$G$41+10,4))</f>
        <v>0</v>
      </c>
      <c r="Z7" s="62">
        <f t="shared" ca="1" si="12"/>
        <v>0</v>
      </c>
      <c r="AA7" s="78">
        <f ca="1">INDIRECT("'Bureau " &amp; ROW()-1 &amp; "'!" &amp; ADDRESS(14,Synthèse!$G$41+10,4))</f>
        <v>0</v>
      </c>
      <c r="AB7" s="42">
        <f t="shared" ca="1" si="13"/>
        <v>0</v>
      </c>
      <c r="AC7" s="79">
        <f ca="1">INDIRECT("'Bureau " &amp; ROW()-1 &amp; "'!" &amp; ADDRESS(15,Synthèse!$G$41+10,4))</f>
        <v>0</v>
      </c>
      <c r="AD7" s="68">
        <f t="shared" ca="1" si="14"/>
        <v>0</v>
      </c>
      <c r="AE7" s="84">
        <v>6</v>
      </c>
      <c r="AF7" s="88">
        <v>4.2253521126760563E-2</v>
      </c>
      <c r="AG7" s="89">
        <v>0.11971830985915492</v>
      </c>
      <c r="AH7" s="89">
        <v>0.19718309859154928</v>
      </c>
      <c r="AI7" s="89">
        <v>0.26760563380281688</v>
      </c>
      <c r="AJ7" s="89">
        <v>0.33380281690140845</v>
      </c>
      <c r="AK7" s="89">
        <v>0.38732394366197181</v>
      </c>
      <c r="AL7" s="89">
        <v>0.42957746478873238</v>
      </c>
      <c r="AM7" s="89">
        <v>0.47323943661971829</v>
      </c>
      <c r="AN7" s="89">
        <v>0.5</v>
      </c>
      <c r="AO7" s="90">
        <v>0.5169014084507042</v>
      </c>
      <c r="AP7" s="75">
        <v>0</v>
      </c>
      <c r="AQ7" s="70">
        <v>0</v>
      </c>
    </row>
    <row r="8" spans="1:43" ht="15.75" customHeight="1" x14ac:dyDescent="0.2">
      <c r="A8" s="28">
        <v>7</v>
      </c>
      <c r="B8" s="29" t="str">
        <f>Synthèse!B9</f>
        <v>COSEC</v>
      </c>
      <c r="C8" s="325">
        <f t="shared" ca="1" si="2"/>
        <v>0</v>
      </c>
      <c r="D8" s="15">
        <f t="shared" ca="1" si="0"/>
        <v>0</v>
      </c>
      <c r="E8" s="18">
        <f t="shared" ca="1" si="3"/>
        <v>0</v>
      </c>
      <c r="F8" s="326">
        <f>Synthèse!C9</f>
        <v>731</v>
      </c>
      <c r="G8" s="319">
        <f ca="1">INDIRECT("'Bureau " &amp; ROW()-1 &amp; "'!" &amp; ADDRESS(4,Synthèse!$G$41+10,4))</f>
        <v>0</v>
      </c>
      <c r="H8" s="37">
        <f t="shared" ca="1" si="1"/>
        <v>0</v>
      </c>
      <c r="I8" s="320">
        <f ca="1">INDIRECT("'Bureau " &amp; ROW()-1 &amp; "'!" &amp; ADDRESS(5,Synthèse!$G$41+10,4))</f>
        <v>0</v>
      </c>
      <c r="J8" s="37">
        <f t="shared" ca="1" si="4"/>
        <v>0</v>
      </c>
      <c r="K8" s="320">
        <f ca="1">INDIRECT("'Bureau " &amp; ROW()-1 &amp; "'!" &amp; ADDRESS(6,Synthèse!$G$41+10,4))</f>
        <v>0</v>
      </c>
      <c r="L8" s="38">
        <f t="shared" ca="1" si="5"/>
        <v>0</v>
      </c>
      <c r="M8" s="327">
        <f ca="1">INDIRECT("'Bureau " &amp; ROW()-1 &amp; "'!" &amp; ADDRESS(7,Synthèse!$G$41+10,4))</f>
        <v>0</v>
      </c>
      <c r="N8" s="48">
        <f t="shared" ca="1" si="6"/>
        <v>0</v>
      </c>
      <c r="O8" s="322">
        <f ca="1">INDIRECT("'Bureau " &amp; ROW()-1 &amp; "'!" &amp; ADDRESS(8,Synthèse!$G$41+10,4))</f>
        <v>0</v>
      </c>
      <c r="P8" s="38">
        <f t="shared" ca="1" si="7"/>
        <v>0</v>
      </c>
      <c r="Q8" s="327">
        <f ca="1">INDIRECT("'Bureau " &amp; ROW()-1 &amp; "'!" &amp; ADDRESS(9,Synthèse!$G$41+10,4))</f>
        <v>0</v>
      </c>
      <c r="R8" s="48">
        <f t="shared" ca="1" si="8"/>
        <v>0</v>
      </c>
      <c r="S8" s="323">
        <f ca="1">INDIRECT("'Bureau " &amp; ROW()-1 &amp; "'!" &amp; ADDRESS(10,Synthèse!$G$41+10,4))</f>
        <v>0</v>
      </c>
      <c r="T8" s="15">
        <f t="shared" ca="1" si="9"/>
        <v>0</v>
      </c>
      <c r="U8" s="327">
        <f ca="1">INDIRECT("'Bureau " &amp; ROW()-1 &amp; "'!" &amp; ADDRESS(11,Synthèse!$G$41+10,4))</f>
        <v>0</v>
      </c>
      <c r="V8" s="48">
        <f t="shared" ca="1" si="10"/>
        <v>0</v>
      </c>
      <c r="W8" s="322">
        <f ca="1">INDIRECT("'Bureau " &amp; ROW()-1 &amp; "'!" &amp; ADDRESS(12,Synthèse!$G$41+10,4))</f>
        <v>0</v>
      </c>
      <c r="X8" s="38">
        <f t="shared" ca="1" si="11"/>
        <v>0</v>
      </c>
      <c r="Y8" s="328">
        <f ca="1">INDIRECT("'Bureau " &amp; ROW()-1 &amp; "'!" &amp; ADDRESS(13,Synthèse!$G$41+10,4))</f>
        <v>0</v>
      </c>
      <c r="Z8" s="62">
        <f t="shared" ca="1" si="12"/>
        <v>0</v>
      </c>
      <c r="AA8" s="78">
        <f ca="1">INDIRECT("'Bureau " &amp; ROW()-1 &amp; "'!" &amp; ADDRESS(14,Synthèse!$G$41+10,4))</f>
        <v>0</v>
      </c>
      <c r="AB8" s="42">
        <f t="shared" ca="1" si="13"/>
        <v>0</v>
      </c>
      <c r="AC8" s="79">
        <f ca="1">INDIRECT("'Bureau " &amp; ROW()-1 &amp; "'!" &amp; ADDRESS(15,Synthèse!$G$41+10,4))</f>
        <v>0</v>
      </c>
      <c r="AD8" s="68">
        <f t="shared" ca="1" si="14"/>
        <v>0</v>
      </c>
      <c r="AE8" s="84">
        <v>7</v>
      </c>
      <c r="AF8" s="88">
        <v>2.7359781121751026E-2</v>
      </c>
      <c r="AG8" s="89">
        <v>0.10259917920656635</v>
      </c>
      <c r="AH8" s="89">
        <v>0.20519835841313269</v>
      </c>
      <c r="AI8" s="89">
        <v>0.33105335157318744</v>
      </c>
      <c r="AJ8" s="89">
        <v>0.38850889192886456</v>
      </c>
      <c r="AK8" s="89">
        <v>0.42407660738714092</v>
      </c>
      <c r="AL8" s="89">
        <v>0.48426812585499318</v>
      </c>
      <c r="AM8" s="89">
        <v>0.54993160054719559</v>
      </c>
      <c r="AN8" s="89">
        <v>0.57455540355677159</v>
      </c>
      <c r="AO8" s="90">
        <v>0.60054719562243497</v>
      </c>
      <c r="AP8" s="75">
        <v>0</v>
      </c>
      <c r="AQ8" s="70">
        <v>0</v>
      </c>
    </row>
    <row r="9" spans="1:43" ht="15.75" customHeight="1" x14ac:dyDescent="0.2">
      <c r="A9" s="28">
        <v>8</v>
      </c>
      <c r="B9" s="29" t="str">
        <f>Synthèse!B10</f>
        <v>COSEC</v>
      </c>
      <c r="C9" s="325">
        <f t="shared" ca="1" si="2"/>
        <v>0</v>
      </c>
      <c r="D9" s="15">
        <f t="shared" ca="1" si="0"/>
        <v>0</v>
      </c>
      <c r="E9" s="18">
        <f t="shared" ca="1" si="3"/>
        <v>0</v>
      </c>
      <c r="F9" s="326">
        <f>Synthèse!C10</f>
        <v>646</v>
      </c>
      <c r="G9" s="319">
        <f ca="1">INDIRECT("'Bureau " &amp; ROW()-1 &amp; "'!" &amp; ADDRESS(4,Synthèse!$G$41+10,4))</f>
        <v>0</v>
      </c>
      <c r="H9" s="37">
        <f t="shared" ca="1" si="1"/>
        <v>0</v>
      </c>
      <c r="I9" s="320">
        <f ca="1">INDIRECT("'Bureau " &amp; ROW()-1 &amp; "'!" &amp; ADDRESS(5,Synthèse!$G$41+10,4))</f>
        <v>0</v>
      </c>
      <c r="J9" s="37">
        <f t="shared" ca="1" si="4"/>
        <v>0</v>
      </c>
      <c r="K9" s="320">
        <f ca="1">INDIRECT("'Bureau " &amp; ROW()-1 &amp; "'!" &amp; ADDRESS(6,Synthèse!$G$41+10,4))</f>
        <v>0</v>
      </c>
      <c r="L9" s="38">
        <f t="shared" ca="1" si="5"/>
        <v>0</v>
      </c>
      <c r="M9" s="327">
        <f ca="1">INDIRECT("'Bureau " &amp; ROW()-1 &amp; "'!" &amp; ADDRESS(7,Synthèse!$G$41+10,4))</f>
        <v>0</v>
      </c>
      <c r="N9" s="48">
        <f t="shared" ca="1" si="6"/>
        <v>0</v>
      </c>
      <c r="O9" s="322">
        <f ca="1">INDIRECT("'Bureau " &amp; ROW()-1 &amp; "'!" &amp; ADDRESS(8,Synthèse!$G$41+10,4))</f>
        <v>0</v>
      </c>
      <c r="P9" s="38">
        <f t="shared" ca="1" si="7"/>
        <v>0</v>
      </c>
      <c r="Q9" s="327">
        <f ca="1">INDIRECT("'Bureau " &amp; ROW()-1 &amp; "'!" &amp; ADDRESS(9,Synthèse!$G$41+10,4))</f>
        <v>0</v>
      </c>
      <c r="R9" s="48">
        <f t="shared" ca="1" si="8"/>
        <v>0</v>
      </c>
      <c r="S9" s="323">
        <f ca="1">INDIRECT("'Bureau " &amp; ROW()-1 &amp; "'!" &amp; ADDRESS(10,Synthèse!$G$41+10,4))</f>
        <v>0</v>
      </c>
      <c r="T9" s="15">
        <f t="shared" ca="1" si="9"/>
        <v>0</v>
      </c>
      <c r="U9" s="327">
        <f ca="1">INDIRECT("'Bureau " &amp; ROW()-1 &amp; "'!" &amp; ADDRESS(11,Synthèse!$G$41+10,4))</f>
        <v>0</v>
      </c>
      <c r="V9" s="48">
        <f t="shared" ca="1" si="10"/>
        <v>0</v>
      </c>
      <c r="W9" s="322">
        <f ca="1">INDIRECT("'Bureau " &amp; ROW()-1 &amp; "'!" &amp; ADDRESS(12,Synthèse!$G$41+10,4))</f>
        <v>0</v>
      </c>
      <c r="X9" s="38">
        <f t="shared" ca="1" si="11"/>
        <v>0</v>
      </c>
      <c r="Y9" s="328">
        <f ca="1">INDIRECT("'Bureau " &amp; ROW()-1 &amp; "'!" &amp; ADDRESS(13,Synthèse!$G$41+10,4))</f>
        <v>0</v>
      </c>
      <c r="Z9" s="62">
        <f t="shared" ca="1" si="12"/>
        <v>0</v>
      </c>
      <c r="AA9" s="78">
        <f ca="1">INDIRECT("'Bureau " &amp; ROW()-1 &amp; "'!" &amp; ADDRESS(14,Synthèse!$G$41+10,4))</f>
        <v>0</v>
      </c>
      <c r="AB9" s="42">
        <f t="shared" ca="1" si="13"/>
        <v>0</v>
      </c>
      <c r="AC9" s="79">
        <f ca="1">INDIRECT("'Bureau " &amp; ROW()-1 &amp; "'!" &amp; ADDRESS(15,Synthèse!$G$41+10,4))</f>
        <v>0</v>
      </c>
      <c r="AD9" s="68">
        <f t="shared" ca="1" si="14"/>
        <v>0</v>
      </c>
      <c r="AE9" s="84">
        <v>8</v>
      </c>
      <c r="AF9" s="88">
        <v>5.5727554179566562E-2</v>
      </c>
      <c r="AG9" s="89">
        <v>0.11145510835913312</v>
      </c>
      <c r="AH9" s="89">
        <v>0.23065015479876161</v>
      </c>
      <c r="AI9" s="89">
        <v>0.32972136222910214</v>
      </c>
      <c r="AJ9" s="89">
        <v>0.4024767801857585</v>
      </c>
      <c r="AK9" s="89">
        <v>0.46439628482972134</v>
      </c>
      <c r="AL9" s="89">
        <v>0.50309597523219818</v>
      </c>
      <c r="AM9" s="89">
        <v>0.54179566563467496</v>
      </c>
      <c r="AN9" s="89">
        <v>0.55882352941176472</v>
      </c>
      <c r="AO9" s="90">
        <v>0.58668730650154799</v>
      </c>
      <c r="AP9" s="75">
        <v>0</v>
      </c>
      <c r="AQ9" s="70">
        <v>0</v>
      </c>
    </row>
    <row r="10" spans="1:43" ht="15.75" customHeight="1" x14ac:dyDescent="0.2">
      <c r="A10" s="28">
        <v>9</v>
      </c>
      <c r="B10" s="29" t="str">
        <f>Synthèse!B11</f>
        <v>CMM</v>
      </c>
      <c r="C10" s="325">
        <f t="shared" ca="1" si="2"/>
        <v>0</v>
      </c>
      <c r="D10" s="15">
        <f t="shared" ca="1" si="0"/>
        <v>0</v>
      </c>
      <c r="E10" s="18">
        <f t="shared" ca="1" si="3"/>
        <v>0</v>
      </c>
      <c r="F10" s="326">
        <f>Synthèse!C11</f>
        <v>709</v>
      </c>
      <c r="G10" s="319">
        <f ca="1">INDIRECT("'Bureau " &amp; ROW()-1 &amp; "'!" &amp; ADDRESS(4,Synthèse!$G$41+10,4))</f>
        <v>0</v>
      </c>
      <c r="H10" s="37">
        <f t="shared" ca="1" si="1"/>
        <v>0</v>
      </c>
      <c r="I10" s="320">
        <f ca="1">INDIRECT("'Bureau " &amp; ROW()-1 &amp; "'!" &amp; ADDRESS(5,Synthèse!$G$41+10,4))</f>
        <v>0</v>
      </c>
      <c r="J10" s="37">
        <f t="shared" ca="1" si="4"/>
        <v>0</v>
      </c>
      <c r="K10" s="320">
        <f ca="1">INDIRECT("'Bureau " &amp; ROW()-1 &amp; "'!" &amp; ADDRESS(6,Synthèse!$G$41+10,4))</f>
        <v>0</v>
      </c>
      <c r="L10" s="38">
        <f t="shared" ca="1" si="5"/>
        <v>0</v>
      </c>
      <c r="M10" s="327">
        <f ca="1">INDIRECT("'Bureau " &amp; ROW()-1 &amp; "'!" &amp; ADDRESS(7,Synthèse!$G$41+10,4))</f>
        <v>0</v>
      </c>
      <c r="N10" s="48">
        <f t="shared" ca="1" si="6"/>
        <v>0</v>
      </c>
      <c r="O10" s="322">
        <f ca="1">INDIRECT("'Bureau " &amp; ROW()-1 &amp; "'!" &amp; ADDRESS(8,Synthèse!$G$41+10,4))</f>
        <v>0</v>
      </c>
      <c r="P10" s="38">
        <f t="shared" ca="1" si="7"/>
        <v>0</v>
      </c>
      <c r="Q10" s="327">
        <f ca="1">INDIRECT("'Bureau " &amp; ROW()-1 &amp; "'!" &amp; ADDRESS(9,Synthèse!$G$41+10,4))</f>
        <v>0</v>
      </c>
      <c r="R10" s="48">
        <f t="shared" ca="1" si="8"/>
        <v>0</v>
      </c>
      <c r="S10" s="323">
        <f ca="1">INDIRECT("'Bureau " &amp; ROW()-1 &amp; "'!" &amp; ADDRESS(10,Synthèse!$G$41+10,4))</f>
        <v>0</v>
      </c>
      <c r="T10" s="15">
        <f t="shared" ca="1" si="9"/>
        <v>0</v>
      </c>
      <c r="U10" s="327">
        <f ca="1">INDIRECT("'Bureau " &amp; ROW()-1 &amp; "'!" &amp; ADDRESS(11,Synthèse!$G$41+10,4))</f>
        <v>0</v>
      </c>
      <c r="V10" s="48">
        <f t="shared" ca="1" si="10"/>
        <v>0</v>
      </c>
      <c r="W10" s="322">
        <f ca="1">INDIRECT("'Bureau " &amp; ROW()-1 &amp; "'!" &amp; ADDRESS(12,Synthèse!$G$41+10,4))</f>
        <v>0</v>
      </c>
      <c r="X10" s="38">
        <f t="shared" ca="1" si="11"/>
        <v>0</v>
      </c>
      <c r="Y10" s="328">
        <f ca="1">INDIRECT("'Bureau " &amp; ROW()-1 &amp; "'!" &amp; ADDRESS(13,Synthèse!$G$41+10,4))</f>
        <v>0</v>
      </c>
      <c r="Z10" s="62">
        <f t="shared" ca="1" si="12"/>
        <v>0</v>
      </c>
      <c r="AA10" s="78">
        <f ca="1">INDIRECT("'Bureau " &amp; ROW()-1 &amp; "'!" &amp; ADDRESS(14,Synthèse!$G$41+10,4))</f>
        <v>0</v>
      </c>
      <c r="AB10" s="42">
        <f t="shared" ca="1" si="13"/>
        <v>0</v>
      </c>
      <c r="AC10" s="79">
        <f ca="1">INDIRECT("'Bureau " &amp; ROW()-1 &amp; "'!" &amp; ADDRESS(15,Synthèse!$G$41+10,4))</f>
        <v>0</v>
      </c>
      <c r="AD10" s="68">
        <f t="shared" ca="1" si="14"/>
        <v>0</v>
      </c>
      <c r="AE10" s="84">
        <v>9</v>
      </c>
      <c r="AF10" s="88">
        <v>3.1029619181946404E-2</v>
      </c>
      <c r="AG10" s="89">
        <v>8.3215796897038077E-2</v>
      </c>
      <c r="AH10" s="89">
        <v>0.14809590973201692</v>
      </c>
      <c r="AI10" s="89">
        <v>0.23272214386459802</v>
      </c>
      <c r="AJ10" s="89">
        <v>0.27080394922425954</v>
      </c>
      <c r="AK10" s="89">
        <v>0.32440056417489421</v>
      </c>
      <c r="AL10" s="89">
        <v>0.38081805359661497</v>
      </c>
      <c r="AM10" s="89">
        <v>0.4132581100141044</v>
      </c>
      <c r="AN10" s="89">
        <v>0.4400564174894217</v>
      </c>
      <c r="AO10" s="90">
        <v>0.4696755994358251</v>
      </c>
      <c r="AP10" s="75">
        <v>0</v>
      </c>
      <c r="AQ10" s="70">
        <v>0</v>
      </c>
    </row>
    <row r="11" spans="1:43" ht="15.75" customHeight="1" x14ac:dyDescent="0.2">
      <c r="A11" s="28">
        <v>10</v>
      </c>
      <c r="B11" s="29" t="str">
        <f>Synthèse!B12</f>
        <v>CMM</v>
      </c>
      <c r="C11" s="325">
        <f t="shared" ca="1" si="2"/>
        <v>0</v>
      </c>
      <c r="D11" s="15">
        <f t="shared" ca="1" si="0"/>
        <v>0</v>
      </c>
      <c r="E11" s="18">
        <f t="shared" ca="1" si="3"/>
        <v>0</v>
      </c>
      <c r="F11" s="326">
        <f>Synthèse!C12</f>
        <v>609</v>
      </c>
      <c r="G11" s="319">
        <f ca="1">INDIRECT("'Bureau " &amp; ROW()-1 &amp; "'!" &amp; ADDRESS(4,Synthèse!$G$41+10,4))</f>
        <v>0</v>
      </c>
      <c r="H11" s="37">
        <f t="shared" ca="1" si="1"/>
        <v>0</v>
      </c>
      <c r="I11" s="320">
        <f ca="1">INDIRECT("'Bureau " &amp; ROW()-1 &amp; "'!" &amp; ADDRESS(5,Synthèse!$G$41+10,4))</f>
        <v>0</v>
      </c>
      <c r="J11" s="37">
        <f t="shared" ca="1" si="4"/>
        <v>0</v>
      </c>
      <c r="K11" s="320">
        <f ca="1">INDIRECT("'Bureau " &amp; ROW()-1 &amp; "'!" &amp; ADDRESS(6,Synthèse!$G$41+10,4))</f>
        <v>0</v>
      </c>
      <c r="L11" s="38">
        <f t="shared" ca="1" si="5"/>
        <v>0</v>
      </c>
      <c r="M11" s="327">
        <f ca="1">INDIRECT("'Bureau " &amp; ROW()-1 &amp; "'!" &amp; ADDRESS(7,Synthèse!$G$41+10,4))</f>
        <v>0</v>
      </c>
      <c r="N11" s="48">
        <f t="shared" ca="1" si="6"/>
        <v>0</v>
      </c>
      <c r="O11" s="322">
        <f ca="1">INDIRECT("'Bureau " &amp; ROW()-1 &amp; "'!" &amp; ADDRESS(8,Synthèse!$G$41+10,4))</f>
        <v>0</v>
      </c>
      <c r="P11" s="38">
        <f t="shared" ca="1" si="7"/>
        <v>0</v>
      </c>
      <c r="Q11" s="327">
        <f ca="1">INDIRECT("'Bureau " &amp; ROW()-1 &amp; "'!" &amp; ADDRESS(9,Synthèse!$G$41+10,4))</f>
        <v>0</v>
      </c>
      <c r="R11" s="48">
        <f t="shared" ca="1" si="8"/>
        <v>0</v>
      </c>
      <c r="S11" s="323">
        <f ca="1">INDIRECT("'Bureau " &amp; ROW()-1 &amp; "'!" &amp; ADDRESS(10,Synthèse!$G$41+10,4))</f>
        <v>0</v>
      </c>
      <c r="T11" s="15">
        <f t="shared" ca="1" si="9"/>
        <v>0</v>
      </c>
      <c r="U11" s="327">
        <f ca="1">INDIRECT("'Bureau " &amp; ROW()-1 &amp; "'!" &amp; ADDRESS(11,Synthèse!$G$41+10,4))</f>
        <v>0</v>
      </c>
      <c r="V11" s="48">
        <f t="shared" ca="1" si="10"/>
        <v>0</v>
      </c>
      <c r="W11" s="322">
        <f ca="1">INDIRECT("'Bureau " &amp; ROW()-1 &amp; "'!" &amp; ADDRESS(12,Synthèse!$G$41+10,4))</f>
        <v>0</v>
      </c>
      <c r="X11" s="38">
        <f t="shared" ca="1" si="11"/>
        <v>0</v>
      </c>
      <c r="Y11" s="328">
        <f ca="1">INDIRECT("'Bureau " &amp; ROW()-1 &amp; "'!" &amp; ADDRESS(13,Synthèse!$G$41+10,4))</f>
        <v>0</v>
      </c>
      <c r="Z11" s="62">
        <f t="shared" ca="1" si="12"/>
        <v>0</v>
      </c>
      <c r="AA11" s="78">
        <f ca="1">INDIRECT("'Bureau " &amp; ROW()-1 &amp; "'!" &amp; ADDRESS(14,Synthèse!$G$41+10,4))</f>
        <v>0</v>
      </c>
      <c r="AB11" s="42">
        <f t="shared" ca="1" si="13"/>
        <v>0</v>
      </c>
      <c r="AC11" s="79">
        <f ca="1">INDIRECT("'Bureau " &amp; ROW()-1 &amp; "'!" &amp; ADDRESS(15,Synthèse!$G$41+10,4))</f>
        <v>0</v>
      </c>
      <c r="AD11" s="68">
        <f t="shared" ca="1" si="14"/>
        <v>0</v>
      </c>
      <c r="AE11" s="84">
        <v>10</v>
      </c>
      <c r="AF11" s="88">
        <v>4.4334975369458129E-2</v>
      </c>
      <c r="AG11" s="89">
        <v>0.11494252873563218</v>
      </c>
      <c r="AH11" s="89">
        <v>0.22988505747126436</v>
      </c>
      <c r="AI11" s="89">
        <v>0.34482758620689657</v>
      </c>
      <c r="AJ11" s="89">
        <v>0.39408866995073893</v>
      </c>
      <c r="AK11" s="89">
        <v>0.44663382594417078</v>
      </c>
      <c r="AL11" s="89">
        <v>0.49261083743842365</v>
      </c>
      <c r="AM11" s="89">
        <v>0.54187192118226601</v>
      </c>
      <c r="AN11" s="89">
        <v>0.56486042692939242</v>
      </c>
      <c r="AO11" s="90">
        <v>0.58620689655172409</v>
      </c>
      <c r="AP11" s="75">
        <v>0</v>
      </c>
      <c r="AQ11" s="70">
        <v>0</v>
      </c>
    </row>
    <row r="12" spans="1:43" ht="15.75" customHeight="1" x14ac:dyDescent="0.2">
      <c r="A12" s="28">
        <v>11</v>
      </c>
      <c r="B12" s="29" t="str">
        <f>Synthèse!B13</f>
        <v>CMM</v>
      </c>
      <c r="C12" s="325">
        <f t="shared" ca="1" si="2"/>
        <v>0</v>
      </c>
      <c r="D12" s="15">
        <f t="shared" ca="1" si="0"/>
        <v>0</v>
      </c>
      <c r="E12" s="18">
        <f t="shared" ca="1" si="3"/>
        <v>0</v>
      </c>
      <c r="F12" s="326">
        <f>Synthèse!C13</f>
        <v>691</v>
      </c>
      <c r="G12" s="319">
        <f ca="1">INDIRECT("'Bureau " &amp; ROW()-1 &amp; "'!" &amp; ADDRESS(4,Synthèse!$G$41+10,4))</f>
        <v>0</v>
      </c>
      <c r="H12" s="37">
        <f t="shared" ca="1" si="1"/>
        <v>0</v>
      </c>
      <c r="I12" s="320">
        <f ca="1">INDIRECT("'Bureau " &amp; ROW()-1 &amp; "'!" &amp; ADDRESS(5,Synthèse!$G$41+10,4))</f>
        <v>0</v>
      </c>
      <c r="J12" s="37">
        <f t="shared" ca="1" si="4"/>
        <v>0</v>
      </c>
      <c r="K12" s="320">
        <f ca="1">INDIRECT("'Bureau " &amp; ROW()-1 &amp; "'!" &amp; ADDRESS(6,Synthèse!$G$41+10,4))</f>
        <v>0</v>
      </c>
      <c r="L12" s="38">
        <f t="shared" ca="1" si="5"/>
        <v>0</v>
      </c>
      <c r="M12" s="327">
        <f ca="1">INDIRECT("'Bureau " &amp; ROW()-1 &amp; "'!" &amp; ADDRESS(7,Synthèse!$G$41+10,4))</f>
        <v>0</v>
      </c>
      <c r="N12" s="48">
        <f t="shared" ca="1" si="6"/>
        <v>0</v>
      </c>
      <c r="O12" s="322">
        <f ca="1">INDIRECT("'Bureau " &amp; ROW()-1 &amp; "'!" &amp; ADDRESS(8,Synthèse!$G$41+10,4))</f>
        <v>0</v>
      </c>
      <c r="P12" s="38">
        <f t="shared" ca="1" si="7"/>
        <v>0</v>
      </c>
      <c r="Q12" s="327">
        <f ca="1">INDIRECT("'Bureau " &amp; ROW()-1 &amp; "'!" &amp; ADDRESS(9,Synthèse!$G$41+10,4))</f>
        <v>0</v>
      </c>
      <c r="R12" s="48">
        <f t="shared" ca="1" si="8"/>
        <v>0</v>
      </c>
      <c r="S12" s="323">
        <f ca="1">INDIRECT("'Bureau " &amp; ROW()-1 &amp; "'!" &amp; ADDRESS(10,Synthèse!$G$41+10,4))</f>
        <v>0</v>
      </c>
      <c r="T12" s="15">
        <f t="shared" ca="1" si="9"/>
        <v>0</v>
      </c>
      <c r="U12" s="327">
        <f ca="1">INDIRECT("'Bureau " &amp; ROW()-1 &amp; "'!" &amp; ADDRESS(11,Synthèse!$G$41+10,4))</f>
        <v>0</v>
      </c>
      <c r="V12" s="48">
        <f t="shared" ca="1" si="10"/>
        <v>0</v>
      </c>
      <c r="W12" s="322">
        <f ca="1">INDIRECT("'Bureau " &amp; ROW()-1 &amp; "'!" &amp; ADDRESS(12,Synthèse!$G$41+10,4))</f>
        <v>0</v>
      </c>
      <c r="X12" s="38">
        <f t="shared" ca="1" si="11"/>
        <v>0</v>
      </c>
      <c r="Y12" s="328">
        <f ca="1">INDIRECT("'Bureau " &amp; ROW()-1 &amp; "'!" &amp; ADDRESS(13,Synthèse!$G$41+10,4))</f>
        <v>0</v>
      </c>
      <c r="Z12" s="62">
        <f t="shared" ca="1" si="12"/>
        <v>0</v>
      </c>
      <c r="AA12" s="78">
        <f ca="1">INDIRECT("'Bureau " &amp; ROW()-1 &amp; "'!" &amp; ADDRESS(14,Synthèse!$G$41+10,4))</f>
        <v>0</v>
      </c>
      <c r="AB12" s="42">
        <f t="shared" ca="1" si="13"/>
        <v>0</v>
      </c>
      <c r="AC12" s="79">
        <f ca="1">INDIRECT("'Bureau " &amp; ROW()-1 &amp; "'!" &amp; ADDRESS(15,Synthèse!$G$41+10,4))</f>
        <v>0</v>
      </c>
      <c r="AD12" s="68">
        <f t="shared" ca="1" si="14"/>
        <v>0</v>
      </c>
      <c r="AE12" s="84">
        <v>11</v>
      </c>
      <c r="AF12" s="88">
        <v>6.8017366136034735E-2</v>
      </c>
      <c r="AG12" s="89">
        <v>0.13892908827785819</v>
      </c>
      <c r="AH12" s="89">
        <v>0.22865412445730826</v>
      </c>
      <c r="AI12" s="89">
        <v>0.31114327062228653</v>
      </c>
      <c r="AJ12" s="89">
        <v>0.38205499276410998</v>
      </c>
      <c r="AK12" s="89">
        <v>0.43270622286541244</v>
      </c>
      <c r="AL12" s="89">
        <v>0.48046309696092621</v>
      </c>
      <c r="AM12" s="89">
        <v>0.55282199710564395</v>
      </c>
      <c r="AN12" s="89">
        <v>0.57597684515195369</v>
      </c>
      <c r="AO12" s="90">
        <v>0.60202604920405212</v>
      </c>
      <c r="AP12" s="75">
        <v>0</v>
      </c>
      <c r="AQ12" s="70">
        <v>0</v>
      </c>
    </row>
    <row r="13" spans="1:43" ht="15.75" customHeight="1" thickBot="1" x14ac:dyDescent="0.25">
      <c r="A13" s="30">
        <v>12</v>
      </c>
      <c r="B13" s="29" t="str">
        <f>Synthèse!B14</f>
        <v>Base nautique</v>
      </c>
      <c r="C13" s="329">
        <f t="shared" ca="1" si="2"/>
        <v>0</v>
      </c>
      <c r="D13" s="16">
        <f t="shared" ca="1" si="0"/>
        <v>0</v>
      </c>
      <c r="E13" s="46">
        <f t="shared" ca="1" si="3"/>
        <v>0</v>
      </c>
      <c r="F13" s="330">
        <f>Synthèse!C14</f>
        <v>680</v>
      </c>
      <c r="G13" s="319">
        <f ca="1">INDIRECT("'Bureau " &amp; ROW()-1 &amp; "'!" &amp; ADDRESS(4,Synthèse!$G$41+10,4))</f>
        <v>0</v>
      </c>
      <c r="H13" s="39">
        <f t="shared" ca="1" si="1"/>
        <v>0</v>
      </c>
      <c r="I13" s="320">
        <f ca="1">INDIRECT("'Bureau " &amp; ROW()-1 &amp; "'!" &amp; ADDRESS(5,Synthèse!$G$41+10,4))</f>
        <v>0</v>
      </c>
      <c r="J13" s="39">
        <f t="shared" ca="1" si="4"/>
        <v>0</v>
      </c>
      <c r="K13" s="320">
        <f ca="1">INDIRECT("'Bureau " &amp; ROW()-1 &amp; "'!" &amp; ADDRESS(6,Synthèse!$G$41+10,4))</f>
        <v>0</v>
      </c>
      <c r="L13" s="40">
        <f t="shared" ca="1" si="5"/>
        <v>0</v>
      </c>
      <c r="M13" s="331">
        <f ca="1">INDIRECT("'Bureau " &amp; ROW()-1 &amp; "'!" &amp; ADDRESS(7,Synthèse!$G$41+10,4))</f>
        <v>0</v>
      </c>
      <c r="N13" s="49">
        <f t="shared" ca="1" si="6"/>
        <v>0</v>
      </c>
      <c r="O13" s="322">
        <f ca="1">INDIRECT("'Bureau " &amp; ROW()-1 &amp; "'!" &amp; ADDRESS(8,Synthèse!$G$41+10,4))</f>
        <v>0</v>
      </c>
      <c r="P13" s="40">
        <f t="shared" ca="1" si="7"/>
        <v>0</v>
      </c>
      <c r="Q13" s="332">
        <f ca="1">INDIRECT("'Bureau " &amp; ROW()-1 &amp; "'!" &amp; ADDRESS(9,Synthèse!$G$41+10,4))</f>
        <v>0</v>
      </c>
      <c r="R13" s="50">
        <f t="shared" ca="1" si="8"/>
        <v>0</v>
      </c>
      <c r="S13" s="323">
        <f ca="1">INDIRECT("'Bureau " &amp; ROW()-1 &amp; "'!" &amp; ADDRESS(10,Synthèse!$G$41+10,4))</f>
        <v>0</v>
      </c>
      <c r="T13" s="16">
        <f t="shared" ca="1" si="9"/>
        <v>0</v>
      </c>
      <c r="U13" s="331">
        <f ca="1">INDIRECT("'Bureau " &amp; ROW()-1 &amp; "'!" &amp; ADDRESS(11,Synthèse!$G$41+10,4))</f>
        <v>0</v>
      </c>
      <c r="V13" s="49">
        <f t="shared" ca="1" si="10"/>
        <v>0</v>
      </c>
      <c r="W13" s="322">
        <f ca="1">INDIRECT("'Bureau " &amp; ROW()-1 &amp; "'!" &amp; ADDRESS(12,Synthèse!$G$41+10,4))</f>
        <v>0</v>
      </c>
      <c r="X13" s="40">
        <f t="shared" ca="1" si="11"/>
        <v>0</v>
      </c>
      <c r="Y13" s="333">
        <f ca="1">INDIRECT("'Bureau " &amp; ROW()-1 &amp; "'!" &amp; ADDRESS(13,Synthèse!$G$41+10,4))</f>
        <v>0</v>
      </c>
      <c r="Z13" s="49">
        <f t="shared" ca="1" si="12"/>
        <v>0</v>
      </c>
      <c r="AA13" s="78">
        <f ca="1">INDIRECT("'Bureau " &amp; ROW()-1 &amp; "'!" &amp; ADDRESS(14,Synthèse!$G$41+10,4))</f>
        <v>0</v>
      </c>
      <c r="AB13" s="43">
        <f t="shared" ca="1" si="13"/>
        <v>0</v>
      </c>
      <c r="AC13" s="79">
        <f ca="1">INDIRECT("'Bureau " &amp; ROW()-1 &amp; "'!" &amp; ADDRESS(15,Synthèse!$G$41+10,4))</f>
        <v>0</v>
      </c>
      <c r="AD13" s="69">
        <f t="shared" ca="1" si="14"/>
        <v>0</v>
      </c>
      <c r="AE13" s="91">
        <v>12</v>
      </c>
      <c r="AF13" s="92">
        <v>3.5294117647058823E-2</v>
      </c>
      <c r="AG13" s="93">
        <v>7.2058823529411759E-2</v>
      </c>
      <c r="AH13" s="93">
        <v>0.14117647058823529</v>
      </c>
      <c r="AI13" s="93">
        <v>0.21029411764705883</v>
      </c>
      <c r="AJ13" s="93">
        <v>0.2676470588235294</v>
      </c>
      <c r="AK13" s="93">
        <v>0.31911764705882351</v>
      </c>
      <c r="AL13" s="93">
        <v>0.36911764705882355</v>
      </c>
      <c r="AM13" s="93">
        <v>0.42205882352941176</v>
      </c>
      <c r="AN13" s="93">
        <v>0.47205882352941175</v>
      </c>
      <c r="AO13" s="94">
        <v>0.47941176470588237</v>
      </c>
      <c r="AP13" s="75">
        <v>0</v>
      </c>
      <c r="AQ13" s="70">
        <v>0</v>
      </c>
    </row>
    <row r="14" spans="1:43" ht="15.75" customHeight="1" thickBot="1" x14ac:dyDescent="0.3">
      <c r="A14" s="681" t="s">
        <v>9</v>
      </c>
      <c r="B14" s="682"/>
      <c r="C14" s="19">
        <f ca="1">SUM(C2:C13)</f>
        <v>105</v>
      </c>
      <c r="D14" s="20">
        <f t="shared" ca="1" si="0"/>
        <v>1.2861342479176875E-2</v>
      </c>
      <c r="E14" s="45">
        <f t="shared" ca="1" si="3"/>
        <v>1.2861342479176875E-2</v>
      </c>
      <c r="F14" s="301">
        <f>SUM(F2:F13)</f>
        <v>8164</v>
      </c>
      <c r="G14" s="51">
        <f ca="1">SUM(G2:G13)</f>
        <v>0</v>
      </c>
      <c r="H14" s="52">
        <f ca="1">G14/$F14</f>
        <v>0</v>
      </c>
      <c r="I14" s="53">
        <f ca="1">SUM(I2:I13)</f>
        <v>0</v>
      </c>
      <c r="J14" s="52">
        <f ca="1">I14/$F14</f>
        <v>0</v>
      </c>
      <c r="K14" s="53">
        <f ca="1">SUM(K2:K13)</f>
        <v>0</v>
      </c>
      <c r="L14" s="54">
        <f ca="1">K14/$F14</f>
        <v>0</v>
      </c>
      <c r="M14" s="55">
        <f ca="1">SUM(M2:M13)</f>
        <v>0</v>
      </c>
      <c r="N14" s="54">
        <f ca="1">M14/$F14</f>
        <v>0</v>
      </c>
      <c r="O14" s="55">
        <f ca="1">SUM(O2:O13)</f>
        <v>0</v>
      </c>
      <c r="P14" s="54">
        <f ca="1">O14/$F14</f>
        <v>0</v>
      </c>
      <c r="Q14" s="55">
        <f ca="1">SUM(Q2:Q13)</f>
        <v>0</v>
      </c>
      <c r="R14" s="54">
        <f ca="1">Q14/$F14</f>
        <v>0</v>
      </c>
      <c r="S14" s="55">
        <f ca="1">SUM(S2:S13)</f>
        <v>0</v>
      </c>
      <c r="T14" s="54">
        <f ca="1">S14/$F14</f>
        <v>0</v>
      </c>
      <c r="U14" s="55">
        <f ca="1">SUM(U2:U13)</f>
        <v>0</v>
      </c>
      <c r="V14" s="54">
        <f ca="1">U14/$F14</f>
        <v>0</v>
      </c>
      <c r="W14" s="55">
        <f ca="1">SUM(W2:W13)</f>
        <v>0</v>
      </c>
      <c r="X14" s="56">
        <f ca="1">W14/$F14</f>
        <v>0</v>
      </c>
      <c r="Y14" s="63">
        <f ca="1">SUM(Y2:Y13)</f>
        <v>105</v>
      </c>
      <c r="Z14" s="57">
        <f ca="1">Y14/$F14</f>
        <v>1.2861342479176875E-2</v>
      </c>
      <c r="AA14" s="8">
        <f ca="1">SUM(AA2:AA13)</f>
        <v>0</v>
      </c>
      <c r="AB14" s="9">
        <f ca="1">AA14/$F14</f>
        <v>0</v>
      </c>
      <c r="AC14" s="10">
        <f ca="1">SUM(AC2:AC13)</f>
        <v>0</v>
      </c>
      <c r="AD14" s="9">
        <f ca="1">AC14/$F14</f>
        <v>0</v>
      </c>
      <c r="AE14" s="95" t="s">
        <v>16</v>
      </c>
      <c r="AF14" s="96">
        <v>4.8272482234746387E-2</v>
      </c>
      <c r="AG14" s="97">
        <v>0.11455525606469003</v>
      </c>
      <c r="AH14" s="97">
        <v>0.20779220779220781</v>
      </c>
      <c r="AI14" s="97">
        <v>0.30531732418524871</v>
      </c>
      <c r="AJ14" s="97">
        <v>0.36535162950257288</v>
      </c>
      <c r="AK14" s="97">
        <v>0.4164420485175202</v>
      </c>
      <c r="AL14" s="97">
        <v>0.47096299926488605</v>
      </c>
      <c r="AM14" s="97">
        <v>0.5204606714040676</v>
      </c>
      <c r="AN14" s="97">
        <v>0.54949767213918155</v>
      </c>
      <c r="AO14" s="98">
        <v>0.57363391325655477</v>
      </c>
      <c r="AP14" s="76">
        <v>0</v>
      </c>
      <c r="AQ14" s="77">
        <v>0</v>
      </c>
    </row>
    <row r="15" spans="1:43" ht="16.5" thickBot="1" x14ac:dyDescent="0.3">
      <c r="A15" s="336" t="str">
        <f>Synthèse!$A$17</f>
        <v>Date</v>
      </c>
      <c r="B15" s="339">
        <f>Synthèse!$B$17</f>
        <v>46103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1"/>
      <c r="AB15" s="11"/>
      <c r="AC15" s="11"/>
      <c r="AD15" s="11"/>
      <c r="AE15" s="665" t="s">
        <v>64</v>
      </c>
      <c r="AF15" s="666"/>
      <c r="AG15" s="666"/>
      <c r="AH15" s="666"/>
      <c r="AI15" s="666"/>
      <c r="AJ15" s="666"/>
      <c r="AK15" s="666"/>
      <c r="AL15" s="666"/>
      <c r="AM15" s="666"/>
      <c r="AN15" s="666"/>
      <c r="AO15" s="666"/>
      <c r="AP15" s="666"/>
      <c r="AQ15" s="667"/>
    </row>
    <row r="16" spans="1:43" ht="15" customHeight="1" x14ac:dyDescent="0.2">
      <c r="A16" s="337" t="str">
        <f>Synthèse!$A$18</f>
        <v>Election</v>
      </c>
      <c r="B16" s="340" t="str">
        <f>Synthèse!$B$18</f>
        <v>Municipales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1"/>
      <c r="AB16" s="11"/>
      <c r="AC16" s="11"/>
      <c r="AD16" s="1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1:43" ht="17.25" customHeight="1" x14ac:dyDescent="0.2">
      <c r="A17" s="745" t="str">
        <f>Synthèse!$A$19</f>
        <v>Tour</v>
      </c>
      <c r="B17" s="746">
        <f>Synthèse!$B$19</f>
        <v>2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1"/>
      <c r="AC17" s="11"/>
      <c r="AD17" s="1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spans="1:43" ht="18.75" customHeight="1" thickBot="1" x14ac:dyDescent="0.25">
      <c r="A18" s="743" t="str">
        <f>Synthèse!$A$20</f>
        <v>Ville</v>
      </c>
      <c r="B18" s="744" t="str">
        <f>Synthèse!$B$20</f>
        <v>Cogolin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1"/>
      <c r="AB18" s="11"/>
      <c r="AC18" s="11"/>
      <c r="AD18" s="1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 ht="12.75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1"/>
      <c r="AB19" s="11"/>
      <c r="AC19" s="11"/>
      <c r="AD19" s="1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 ht="13.5" thickBo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1"/>
      <c r="AB20" s="11"/>
      <c r="AC20" s="11"/>
      <c r="AD20" s="1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1:43" ht="20.25" customHeight="1" thickBo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1"/>
      <c r="AB21" s="11"/>
      <c r="AC21" s="11"/>
      <c r="AD21" s="11"/>
      <c r="AE21" s="1"/>
      <c r="AF21" s="1"/>
      <c r="AG21" s="1"/>
      <c r="AH21" s="674" t="s">
        <v>61</v>
      </c>
      <c r="AI21" s="675"/>
      <c r="AJ21" s="672" t="s">
        <v>62</v>
      </c>
      <c r="AK21" s="673"/>
      <c r="AL21" s="100"/>
      <c r="AO21" s="1"/>
      <c r="AP21" s="1"/>
      <c r="AQ21" s="1"/>
    </row>
    <row r="22" spans="1:43" ht="12.7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1"/>
      <c r="AB22" s="11"/>
      <c r="AC22" s="11"/>
      <c r="AD22" s="11"/>
      <c r="AE22" s="1"/>
      <c r="AF22" s="1"/>
      <c r="AG22" s="1"/>
      <c r="AH22" s="101"/>
      <c r="AI22" s="102"/>
      <c r="AJ22" s="101"/>
      <c r="AK22" s="103"/>
      <c r="AL22" s="1"/>
      <c r="AO22" s="1"/>
      <c r="AP22" s="1"/>
      <c r="AQ22" s="1"/>
    </row>
    <row r="23" spans="1:43" ht="12.75" x14ac:dyDescent="0.2">
      <c r="A23" s="1"/>
      <c r="B23" s="58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1"/>
      <c r="AB23" s="11"/>
      <c r="AC23" s="11"/>
      <c r="AD23" s="11"/>
      <c r="AE23" s="1"/>
      <c r="AF23" s="1"/>
      <c r="AG23" s="1"/>
      <c r="AH23" s="101"/>
      <c r="AI23" s="102"/>
      <c r="AJ23" s="101"/>
      <c r="AK23" s="103"/>
      <c r="AL23" s="1"/>
      <c r="AO23" s="1"/>
      <c r="AP23" s="1"/>
      <c r="AQ23" s="1"/>
    </row>
    <row r="24" spans="1:43" ht="12.75" x14ac:dyDescent="0.2">
      <c r="A24" s="1"/>
      <c r="B24" s="58"/>
      <c r="C24" s="21"/>
      <c r="D24" s="2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1"/>
      <c r="AB24" s="11"/>
      <c r="AC24" s="11"/>
      <c r="AD24" s="11"/>
      <c r="AE24" s="1"/>
      <c r="AF24" s="1"/>
      <c r="AG24" s="1"/>
      <c r="AH24" s="101"/>
      <c r="AI24" s="102"/>
      <c r="AJ24" s="101"/>
      <c r="AK24" s="103"/>
      <c r="AL24" s="1"/>
      <c r="AO24" s="1"/>
      <c r="AP24" s="1"/>
      <c r="AQ24" s="1"/>
    </row>
    <row r="25" spans="1:43" ht="12.75" x14ac:dyDescent="0.2">
      <c r="A25" s="1"/>
      <c r="B25" s="1"/>
      <c r="C25" s="21"/>
      <c r="D25" s="2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1"/>
      <c r="AB25" s="11"/>
      <c r="AC25" s="11"/>
      <c r="AD25" s="11"/>
      <c r="AE25" s="1"/>
      <c r="AF25" s="1"/>
      <c r="AG25" s="1"/>
      <c r="AH25" s="101"/>
      <c r="AI25" s="102"/>
      <c r="AJ25" s="101"/>
      <c r="AK25" s="103"/>
      <c r="AL25" s="1"/>
      <c r="AO25" s="1"/>
      <c r="AP25" s="1"/>
      <c r="AQ25" s="1"/>
    </row>
    <row r="26" spans="1:43" ht="12.75" x14ac:dyDescent="0.2">
      <c r="A26" s="1"/>
      <c r="B26" s="1"/>
      <c r="C26" s="21"/>
      <c r="D26" s="2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1"/>
      <c r="AB26" s="11"/>
      <c r="AC26" s="11"/>
      <c r="AD26" s="11"/>
      <c r="AE26" s="1"/>
      <c r="AF26" s="1"/>
      <c r="AG26" s="1"/>
      <c r="AH26" s="101"/>
      <c r="AI26" s="102"/>
      <c r="AJ26" s="101"/>
      <c r="AK26" s="103"/>
      <c r="AL26" s="1"/>
      <c r="AO26" s="1"/>
      <c r="AP26" s="1"/>
      <c r="AQ26" s="1"/>
    </row>
    <row r="27" spans="1:43" ht="12.75" x14ac:dyDescent="0.2">
      <c r="A27" s="1"/>
      <c r="B27" s="1"/>
      <c r="C27" s="21"/>
      <c r="D27" s="2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1"/>
      <c r="AB27" s="11"/>
      <c r="AC27" s="11"/>
      <c r="AD27" s="11"/>
      <c r="AE27" s="1"/>
      <c r="AF27" s="1"/>
      <c r="AG27" s="1"/>
      <c r="AH27" s="101"/>
      <c r="AI27" s="102"/>
      <c r="AJ27" s="101"/>
      <c r="AK27" s="103"/>
      <c r="AL27" s="1"/>
      <c r="AO27" s="1"/>
      <c r="AP27" s="1"/>
      <c r="AQ27" s="1"/>
    </row>
    <row r="28" spans="1:43" ht="15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1"/>
      <c r="AB28" s="11"/>
      <c r="AC28" s="11"/>
      <c r="AD28" s="11"/>
      <c r="AE28" s="1"/>
      <c r="AF28" s="1"/>
      <c r="AG28" s="1"/>
      <c r="AH28" s="101"/>
      <c r="AI28" s="102"/>
      <c r="AJ28" s="101"/>
      <c r="AK28" s="103"/>
      <c r="AL28" s="1"/>
      <c r="AO28" s="1"/>
      <c r="AP28" s="1"/>
      <c r="AQ28" s="1"/>
    </row>
    <row r="29" spans="1:43" ht="12.75" x14ac:dyDescent="0.2">
      <c r="A29" s="1"/>
      <c r="B29" s="12" t="s">
        <v>18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1"/>
      <c r="AB29" s="11"/>
      <c r="AC29" s="11"/>
      <c r="AD29" s="11"/>
      <c r="AE29" s="1"/>
      <c r="AF29" s="1"/>
      <c r="AG29" s="1"/>
      <c r="AH29" s="101"/>
      <c r="AI29" s="102"/>
      <c r="AJ29" s="101"/>
      <c r="AK29" s="103"/>
      <c r="AL29" s="1"/>
      <c r="AO29" s="1"/>
      <c r="AP29" s="1"/>
      <c r="AQ29" s="1"/>
    </row>
    <row r="30" spans="1:43" ht="12.75" x14ac:dyDescent="0.2">
      <c r="A30" s="1"/>
      <c r="B30" s="13" t="s">
        <v>19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1"/>
      <c r="AB30" s="11"/>
      <c r="AC30" s="11"/>
      <c r="AD30" s="11"/>
      <c r="AE30" s="1"/>
      <c r="AF30" s="1"/>
      <c r="AG30" s="1"/>
      <c r="AH30" s="101"/>
      <c r="AI30" s="102"/>
      <c r="AJ30" s="101"/>
      <c r="AK30" s="103"/>
      <c r="AL30" s="1"/>
      <c r="AO30" s="1"/>
      <c r="AP30" s="1"/>
      <c r="AQ30" s="1"/>
    </row>
    <row r="31" spans="1:43" ht="12.75" x14ac:dyDescent="0.2">
      <c r="A31" s="1"/>
      <c r="B31" s="12" t="s">
        <v>20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1"/>
      <c r="AB31" s="11"/>
      <c r="AC31" s="11"/>
      <c r="AD31" s="11"/>
      <c r="AE31" s="1"/>
      <c r="AF31" s="1"/>
      <c r="AG31" s="1"/>
      <c r="AH31" s="101"/>
      <c r="AI31" s="102"/>
      <c r="AJ31" s="101"/>
      <c r="AK31" s="103"/>
      <c r="AL31" s="1"/>
      <c r="AO31" s="1"/>
      <c r="AP31" s="1"/>
      <c r="AQ31" s="1"/>
    </row>
    <row r="32" spans="1:43" ht="15.75" customHeight="1" x14ac:dyDescent="0.2">
      <c r="AH32" s="104"/>
      <c r="AI32" s="105"/>
      <c r="AJ32" s="104"/>
      <c r="AK32" s="106"/>
    </row>
    <row r="33" spans="6:37" ht="15.75" customHeight="1" x14ac:dyDescent="0.2">
      <c r="AH33" s="104"/>
      <c r="AI33" s="105"/>
      <c r="AJ33" s="104"/>
      <c r="AK33" s="106"/>
    </row>
    <row r="34" spans="6:37" ht="15.75" customHeight="1" x14ac:dyDescent="0.2">
      <c r="AH34" s="104"/>
      <c r="AI34" s="105"/>
      <c r="AJ34" s="104"/>
      <c r="AK34" s="106"/>
    </row>
    <row r="35" spans="6:37" ht="15.75" customHeight="1" thickBot="1" x14ac:dyDescent="0.25">
      <c r="AH35" s="104"/>
      <c r="AI35" s="105"/>
      <c r="AJ35" s="104"/>
      <c r="AK35" s="106"/>
    </row>
    <row r="36" spans="6:37" ht="13.5" thickBot="1" x14ac:dyDescent="0.25">
      <c r="F36" s="144"/>
      <c r="G36" s="679" t="s">
        <v>61</v>
      </c>
      <c r="H36" s="660"/>
      <c r="I36" s="660"/>
      <c r="J36" s="660"/>
      <c r="K36" s="660"/>
      <c r="L36" s="660"/>
      <c r="M36" s="660"/>
      <c r="N36" s="660"/>
      <c r="O36" s="660"/>
      <c r="P36" s="660"/>
      <c r="Q36" s="660"/>
      <c r="R36" s="660"/>
      <c r="S36" s="680"/>
      <c r="T36" s="145"/>
      <c r="U36" s="662" t="s">
        <v>62</v>
      </c>
      <c r="V36" s="660"/>
      <c r="W36" s="660"/>
      <c r="X36" s="660"/>
      <c r="Y36" s="660"/>
      <c r="Z36" s="660"/>
      <c r="AA36" s="660"/>
      <c r="AB36" s="660"/>
      <c r="AC36" s="660"/>
      <c r="AD36" s="660"/>
      <c r="AE36" s="660"/>
      <c r="AF36" s="660"/>
      <c r="AG36" s="661"/>
      <c r="AH36" s="104"/>
      <c r="AI36" s="105"/>
      <c r="AJ36" s="104"/>
      <c r="AK36" s="106"/>
    </row>
    <row r="37" spans="6:37" ht="13.5" thickBot="1" x14ac:dyDescent="0.25">
      <c r="F37" s="146" t="s">
        <v>21</v>
      </c>
      <c r="G37" s="147" t="s">
        <v>82</v>
      </c>
      <c r="H37" s="148" t="s">
        <v>83</v>
      </c>
      <c r="I37" s="149" t="s">
        <v>84</v>
      </c>
      <c r="J37" s="150" t="s">
        <v>85</v>
      </c>
      <c r="K37" s="151" t="s">
        <v>86</v>
      </c>
      <c r="L37" s="152" t="s">
        <v>87</v>
      </c>
      <c r="M37" s="153" t="s">
        <v>88</v>
      </c>
      <c r="N37" s="148" t="s">
        <v>89</v>
      </c>
      <c r="O37" s="149" t="s">
        <v>90</v>
      </c>
      <c r="P37" s="150" t="s">
        <v>91</v>
      </c>
      <c r="Q37" s="151" t="s">
        <v>92</v>
      </c>
      <c r="R37" s="152" t="s">
        <v>93</v>
      </c>
      <c r="S37" s="154" t="s">
        <v>16</v>
      </c>
      <c r="T37" s="155" t="s">
        <v>21</v>
      </c>
      <c r="U37" s="156" t="s">
        <v>82</v>
      </c>
      <c r="V37" s="157" t="s">
        <v>83</v>
      </c>
      <c r="W37" s="158" t="s">
        <v>84</v>
      </c>
      <c r="X37" s="159" t="s">
        <v>85</v>
      </c>
      <c r="Y37" s="160" t="s">
        <v>86</v>
      </c>
      <c r="Z37" s="161" t="s">
        <v>87</v>
      </c>
      <c r="AA37" s="162" t="s">
        <v>88</v>
      </c>
      <c r="AB37" s="157" t="s">
        <v>89</v>
      </c>
      <c r="AC37" s="158" t="s">
        <v>90</v>
      </c>
      <c r="AD37" s="159" t="s">
        <v>91</v>
      </c>
      <c r="AE37" s="160" t="s">
        <v>92</v>
      </c>
      <c r="AF37" s="161" t="s">
        <v>93</v>
      </c>
      <c r="AG37" s="163" t="s">
        <v>16</v>
      </c>
      <c r="AH37" s="104"/>
      <c r="AI37" s="105"/>
      <c r="AJ37" s="104"/>
      <c r="AK37" s="106"/>
    </row>
    <row r="38" spans="6:37" ht="12.75" x14ac:dyDescent="0.2">
      <c r="F38" s="164" t="s">
        <v>31</v>
      </c>
      <c r="G38" s="165">
        <v>0</v>
      </c>
      <c r="H38" s="166">
        <v>0</v>
      </c>
      <c r="I38" s="166">
        <v>0</v>
      </c>
      <c r="J38" s="166">
        <v>0</v>
      </c>
      <c r="K38" s="166">
        <v>0</v>
      </c>
      <c r="L38" s="166">
        <v>0</v>
      </c>
      <c r="M38" s="166">
        <v>0</v>
      </c>
      <c r="N38" s="166">
        <v>0</v>
      </c>
      <c r="O38" s="166">
        <v>0</v>
      </c>
      <c r="P38" s="166">
        <v>0</v>
      </c>
      <c r="Q38" s="166">
        <v>0</v>
      </c>
      <c r="R38" s="166">
        <v>0</v>
      </c>
      <c r="S38" s="167">
        <v>0</v>
      </c>
      <c r="T38" s="168" t="s">
        <v>31</v>
      </c>
      <c r="U38" s="165">
        <v>0</v>
      </c>
      <c r="V38" s="166">
        <v>0</v>
      </c>
      <c r="W38" s="166">
        <v>0</v>
      </c>
      <c r="X38" s="166">
        <v>0</v>
      </c>
      <c r="Y38" s="166">
        <v>0</v>
      </c>
      <c r="Z38" s="166">
        <v>0</v>
      </c>
      <c r="AA38" s="166">
        <v>0</v>
      </c>
      <c r="AB38" s="166">
        <v>0</v>
      </c>
      <c r="AC38" s="166">
        <v>0</v>
      </c>
      <c r="AD38" s="166">
        <v>0</v>
      </c>
      <c r="AE38" s="166">
        <v>0</v>
      </c>
      <c r="AF38" s="166">
        <v>0</v>
      </c>
      <c r="AG38" s="167">
        <v>0</v>
      </c>
      <c r="AH38" s="104"/>
      <c r="AI38" s="105"/>
      <c r="AJ38" s="104"/>
      <c r="AK38" s="106"/>
    </row>
    <row r="39" spans="6:37" ht="12.75" x14ac:dyDescent="0.2">
      <c r="F39" s="169" t="s">
        <v>32</v>
      </c>
      <c r="G39" s="170" t="e" cm="1">
        <f t="array" aca="1" ref="G39" ca="1">IF(
   INDEX($H$2:$Z$14, COLUMN(A1), 2*ROW(A1)-1)&gt;0,
   INDEX($H$2:$Z$14, COLUMN(A1), 2*ROW(A1)-1),
   NA()
)</f>
        <v>#N/A</v>
      </c>
      <c r="H39" s="171" t="e" cm="1">
        <f t="array" aca="1" ref="H39" ca="1">IF(
   INDEX($H$2:$Z$14, COLUMN(B1), 2*ROW(B1)-1)&gt;0,
   INDEX($H$2:$Z$14, COLUMN(B1), 2*ROW(B1)-1),
   NA()
)</f>
        <v>#N/A</v>
      </c>
      <c r="I39" s="171" t="e" cm="1">
        <f t="array" aca="1" ref="I39" ca="1">IF(
   INDEX($H$2:$Z$14, COLUMN(C1), 2*ROW(C1)-1)&gt;0,
   INDEX($H$2:$Z$14, COLUMN(C1), 2*ROW(C1)-1),
   NA()
)</f>
        <v>#N/A</v>
      </c>
      <c r="J39" s="171" t="e" cm="1">
        <f t="array" aca="1" ref="J39" ca="1">IF(
   INDEX($H$2:$Z$14, COLUMN(D1), 2*ROW(D1)-1)&gt;0,
   INDEX($H$2:$Z$14, COLUMN(D1), 2*ROW(D1)-1),
   NA()
)</f>
        <v>#N/A</v>
      </c>
      <c r="K39" s="171" t="e" cm="1">
        <f t="array" aca="1" ref="K39" ca="1">IF(
   INDEX($H$2:$Z$14, COLUMN(E1), 2*ROW(E1)-1)&gt;0,
   INDEX($H$2:$Z$14, COLUMN(E1), 2*ROW(E1)-1),
   NA()
)</f>
        <v>#N/A</v>
      </c>
      <c r="L39" s="171" t="e" cm="1">
        <f t="array" aca="1" ref="L39" ca="1">IF(
   INDEX($H$2:$Z$14, COLUMN(F1), 2*ROW(F1)-1)&gt;0,
   INDEX($H$2:$Z$14, COLUMN(F1), 2*ROW(F1)-1),
   NA()
)</f>
        <v>#N/A</v>
      </c>
      <c r="M39" s="171" t="e" cm="1">
        <f t="array" aca="1" ref="M39" ca="1">IF(
   INDEX($H$2:$Z$14, COLUMN(G1), 2*ROW(G1)-1)&gt;0,
   INDEX($H$2:$Z$14, COLUMN(G1), 2*ROW(G1)-1),
   NA()
)</f>
        <v>#N/A</v>
      </c>
      <c r="N39" s="171" t="e" cm="1">
        <f t="array" aca="1" ref="N39" ca="1">IF(
   INDEX($H$2:$Z$14, COLUMN(H1), 2*ROW(H1)-1)&gt;0,
   INDEX($H$2:$Z$14, COLUMN(H1), 2*ROW(H1)-1),
   NA()
)</f>
        <v>#N/A</v>
      </c>
      <c r="O39" s="171" t="e" cm="1">
        <f t="array" aca="1" ref="O39" ca="1">IF(
   INDEX($H$2:$Z$14, COLUMN(I1), 2*ROW(I1)-1)&gt;0,
   INDEX($H$2:$Z$14, COLUMN(I1), 2*ROW(I1)-1),
   NA()
)</f>
        <v>#N/A</v>
      </c>
      <c r="P39" s="171" t="e" cm="1">
        <f t="array" aca="1" ref="P39" ca="1">IF(
   INDEX($H$2:$Z$14, COLUMN(J1), 2*ROW(J1)-1)&gt;0,
   INDEX($H$2:$Z$14, COLUMN(J1), 2*ROW(J1)-1),
   NA()
)</f>
        <v>#N/A</v>
      </c>
      <c r="Q39" s="171" t="e" cm="1">
        <f t="array" aca="1" ref="Q39" ca="1">IF(
   INDEX($H$2:$Z$14, COLUMN(K1), 2*ROW(K1)-1)&gt;0,
   INDEX($H$2:$Z$14, COLUMN(K1), 2*ROW(K1)-1),
   NA()
)</f>
        <v>#N/A</v>
      </c>
      <c r="R39" s="171" t="e" cm="1">
        <f t="array" aca="1" ref="R39" ca="1">IF(
   INDEX($H$2:$Z$14, COLUMN(L1), 2*ROW(L1)-1)&gt;0,
   INDEX($H$2:$Z$14, COLUMN(L1), 2*ROW(L1)-1),
   NA()
)</f>
        <v>#N/A</v>
      </c>
      <c r="S39" s="172" t="e" cm="1">
        <f t="array" aca="1" ref="S39" ca="1">IF(
   INDEX($H$2:$Z$14, COLUMN(M1), 2*ROW(M1)-1)&gt;0,
   INDEX($H$2:$Z$14, COLUMN(M1), 2*ROW(M1)-1),
   NA()
)</f>
        <v>#N/A</v>
      </c>
      <c r="T39" s="173" t="s">
        <v>32</v>
      </c>
      <c r="U39" s="170">
        <f>AF2</f>
        <v>5.9674502712477394E-2</v>
      </c>
      <c r="V39" s="171">
        <f>AF3</f>
        <v>6.0810810810810814E-2</v>
      </c>
      <c r="W39" s="171">
        <f>AF4</f>
        <v>5.6100981767180924E-2</v>
      </c>
      <c r="X39" s="171">
        <f>AF5</f>
        <v>4.8600883652430045E-2</v>
      </c>
      <c r="Y39" s="171">
        <f>AF6</f>
        <v>5.2781740370898715E-2</v>
      </c>
      <c r="Z39" s="171">
        <f>AF7</f>
        <v>4.2253521126760563E-2</v>
      </c>
      <c r="AA39" s="171">
        <f>AF8</f>
        <v>2.7359781121751026E-2</v>
      </c>
      <c r="AB39" s="171">
        <f>AF9</f>
        <v>5.5727554179566562E-2</v>
      </c>
      <c r="AC39" s="171">
        <f>AF10</f>
        <v>3.1029619181946404E-2</v>
      </c>
      <c r="AD39" s="171">
        <f>AF11</f>
        <v>4.4334975369458129E-2</v>
      </c>
      <c r="AE39" s="171">
        <f>AF12</f>
        <v>6.8017366136034735E-2</v>
      </c>
      <c r="AF39" s="171">
        <f>AF13</f>
        <v>3.5294117647058823E-2</v>
      </c>
      <c r="AG39" s="172">
        <f>AF14</f>
        <v>4.8272482234746387E-2</v>
      </c>
      <c r="AH39" s="104"/>
      <c r="AI39" s="105"/>
      <c r="AJ39" s="104"/>
      <c r="AK39" s="106"/>
    </row>
    <row r="40" spans="6:37" ht="12.75" x14ac:dyDescent="0.2">
      <c r="F40" s="169" t="s">
        <v>33</v>
      </c>
      <c r="G40" s="170" t="e" cm="1">
        <f t="array" aca="1" ref="G40" ca="1">IF(
   INDEX($H$2:$Z$14, COLUMN(A2), 2*ROW(A2)-1)&gt;0,
   INDEX($H$2:$Z$14, COLUMN(A2), 2*ROW(A2)-1),
   NA()
)</f>
        <v>#N/A</v>
      </c>
      <c r="H40" s="171" t="e" cm="1">
        <f t="array" aca="1" ref="H40" ca="1">IF(
   INDEX($H$2:$Z$14, COLUMN(B2), 2*ROW(B2)-1)&gt;0,
   INDEX($H$2:$Z$14, COLUMN(B2), 2*ROW(B2)-1),
   NA()
)</f>
        <v>#N/A</v>
      </c>
      <c r="I40" s="171" t="e" cm="1">
        <f t="array" aca="1" ref="I40" ca="1">IF(
   INDEX($H$2:$Z$14, COLUMN(C2), 2*ROW(C2)-1)&gt;0,
   INDEX($H$2:$Z$14, COLUMN(C2), 2*ROW(C2)-1),
   NA()
)</f>
        <v>#N/A</v>
      </c>
      <c r="J40" s="171" t="e" cm="1">
        <f t="array" aca="1" ref="J40" ca="1">IF(
   INDEX($H$2:$Z$14, COLUMN(D2), 2*ROW(D2)-1)&gt;0,
   INDEX($H$2:$Z$14, COLUMN(D2), 2*ROW(D2)-1),
   NA()
)</f>
        <v>#N/A</v>
      </c>
      <c r="K40" s="171" t="e" cm="1">
        <f t="array" aca="1" ref="K40" ca="1">IF(
   INDEX($H$2:$Z$14, COLUMN(E2), 2*ROW(E2)-1)&gt;0,
   INDEX($H$2:$Z$14, COLUMN(E2), 2*ROW(E2)-1),
   NA()
)</f>
        <v>#N/A</v>
      </c>
      <c r="L40" s="171" t="e" cm="1">
        <f t="array" aca="1" ref="L40" ca="1">IF(
   INDEX($H$2:$Z$14, COLUMN(F2), 2*ROW(F2)-1)&gt;0,
   INDEX($H$2:$Z$14, COLUMN(F2), 2*ROW(F2)-1),
   NA()
)</f>
        <v>#N/A</v>
      </c>
      <c r="M40" s="171" t="e" cm="1">
        <f t="array" aca="1" ref="M40" ca="1">IF(
   INDEX($H$2:$Z$14, COLUMN(G2), 2*ROW(G2)-1)&gt;0,
   INDEX($H$2:$Z$14, COLUMN(G2), 2*ROW(G2)-1),
   NA()
)</f>
        <v>#N/A</v>
      </c>
      <c r="N40" s="171" t="e" cm="1">
        <f t="array" aca="1" ref="N40" ca="1">IF(
   INDEX($H$2:$Z$14, COLUMN(H2), 2*ROW(H2)-1)&gt;0,
   INDEX($H$2:$Z$14, COLUMN(H2), 2*ROW(H2)-1),
   NA()
)</f>
        <v>#N/A</v>
      </c>
      <c r="O40" s="171" t="e" cm="1">
        <f t="array" aca="1" ref="O40" ca="1">IF(
   INDEX($H$2:$Z$14, COLUMN(I2), 2*ROW(I2)-1)&gt;0,
   INDEX($H$2:$Z$14, COLUMN(I2), 2*ROW(I2)-1),
   NA()
)</f>
        <v>#N/A</v>
      </c>
      <c r="P40" s="171" t="e" cm="1">
        <f t="array" aca="1" ref="P40" ca="1">IF(
   INDEX($H$2:$Z$14, COLUMN(J2), 2*ROW(J2)-1)&gt;0,
   INDEX($H$2:$Z$14, COLUMN(J2), 2*ROW(J2)-1),
   NA()
)</f>
        <v>#N/A</v>
      </c>
      <c r="Q40" s="171" t="e" cm="1">
        <f t="array" aca="1" ref="Q40" ca="1">IF(
   INDEX($H$2:$Z$14, COLUMN(K2), 2*ROW(K2)-1)&gt;0,
   INDEX($H$2:$Z$14, COLUMN(K2), 2*ROW(K2)-1),
   NA()
)</f>
        <v>#N/A</v>
      </c>
      <c r="R40" s="171" t="e" cm="1">
        <f t="array" aca="1" ref="R40" ca="1">IF(
   INDEX($H$2:$Z$14, COLUMN(L2), 2*ROW(L2)-1)&gt;0,
   INDEX($H$2:$Z$14, COLUMN(L2), 2*ROW(L2)-1),
   NA()
)</f>
        <v>#N/A</v>
      </c>
      <c r="S40" s="172" t="e" cm="1">
        <f t="array" aca="1" ref="S40" ca="1">IF(
   INDEX($H$2:$Z$14, COLUMN(M2), 2*ROW(M2)-1)&gt;0,
   INDEX($H$2:$Z$14, COLUMN(M2), 2*ROW(M2)-1),
   NA()
)</f>
        <v>#N/A</v>
      </c>
      <c r="T40" s="173" t="s">
        <v>33</v>
      </c>
      <c r="U40" s="170">
        <f>AG2</f>
        <v>0.1410488245931284</v>
      </c>
      <c r="V40" s="171">
        <f>AG3</f>
        <v>0.10810810810810811</v>
      </c>
      <c r="W40" s="171">
        <f>AG4</f>
        <v>0.15427769985974754</v>
      </c>
      <c r="X40" s="171">
        <f>AG5</f>
        <v>0.10014727540500737</v>
      </c>
      <c r="Y40" s="171">
        <f>AG6</f>
        <v>0.13266761768901569</v>
      </c>
      <c r="Z40" s="171">
        <f>AG7</f>
        <v>0.11971830985915492</v>
      </c>
      <c r="AA40" s="171">
        <f>AG8</f>
        <v>0.10259917920656635</v>
      </c>
      <c r="AB40" s="171">
        <f>AG9</f>
        <v>0.11145510835913312</v>
      </c>
      <c r="AC40" s="171">
        <f>AG10</f>
        <v>8.3215796897038077E-2</v>
      </c>
      <c r="AD40" s="171">
        <f>AG11</f>
        <v>0.11494252873563218</v>
      </c>
      <c r="AE40" s="171">
        <f>AG12</f>
        <v>0.13892908827785819</v>
      </c>
      <c r="AF40" s="171">
        <f>AG13</f>
        <v>7.2058823529411759E-2</v>
      </c>
      <c r="AG40" s="172">
        <f>AG14</f>
        <v>0.11455525606469003</v>
      </c>
      <c r="AH40" s="104"/>
      <c r="AI40" s="105"/>
      <c r="AJ40" s="104"/>
      <c r="AK40" s="106"/>
    </row>
    <row r="41" spans="6:37" ht="12.75" x14ac:dyDescent="0.2">
      <c r="F41" s="169" t="s">
        <v>34</v>
      </c>
      <c r="G41" s="170" t="e" cm="1">
        <f t="array" aca="1" ref="G41" ca="1">IF(
   INDEX($H$2:$Z$14, COLUMN(A3), 2*ROW(A3)-1)&gt;0,
   INDEX($H$2:$Z$14, COLUMN(A3), 2*ROW(A3)-1),
   NA()
)</f>
        <v>#N/A</v>
      </c>
      <c r="H41" s="171" t="e" cm="1">
        <f t="array" aca="1" ref="H41" ca="1">IF(
   INDEX($H$2:$Z$14, COLUMN(B3), 2*ROW(B3)-1)&gt;0,
   INDEX($H$2:$Z$14, COLUMN(B3), 2*ROW(B3)-1),
   NA()
)</f>
        <v>#N/A</v>
      </c>
      <c r="I41" s="171" t="e" cm="1">
        <f t="array" aca="1" ref="I41" ca="1">IF(
   INDEX($H$2:$Z$14, COLUMN(C3), 2*ROW(C3)-1)&gt;0,
   INDEX($H$2:$Z$14, COLUMN(C3), 2*ROW(C3)-1),
   NA()
)</f>
        <v>#N/A</v>
      </c>
      <c r="J41" s="171" t="e" cm="1">
        <f t="array" aca="1" ref="J41" ca="1">IF(
   INDEX($H$2:$Z$14, COLUMN(D3), 2*ROW(D3)-1)&gt;0,
   INDEX($H$2:$Z$14, COLUMN(D3), 2*ROW(D3)-1),
   NA()
)</f>
        <v>#N/A</v>
      </c>
      <c r="K41" s="171" t="e" cm="1">
        <f t="array" aca="1" ref="K41" ca="1">IF(
   INDEX($H$2:$Z$14, COLUMN(E3), 2*ROW(E3)-1)&gt;0,
   INDEX($H$2:$Z$14, COLUMN(E3), 2*ROW(E3)-1),
   NA()
)</f>
        <v>#N/A</v>
      </c>
      <c r="L41" s="171" t="e" cm="1">
        <f t="array" aca="1" ref="L41" ca="1">IF(
   INDEX($H$2:$Z$14, COLUMN(F3), 2*ROW(F3)-1)&gt;0,
   INDEX($H$2:$Z$14, COLUMN(F3), 2*ROW(F3)-1),
   NA()
)</f>
        <v>#N/A</v>
      </c>
      <c r="M41" s="171" t="e" cm="1">
        <f t="array" aca="1" ref="M41" ca="1">IF(
   INDEX($H$2:$Z$14, COLUMN(G3), 2*ROW(G3)-1)&gt;0,
   INDEX($H$2:$Z$14, COLUMN(G3), 2*ROW(G3)-1),
   NA()
)</f>
        <v>#N/A</v>
      </c>
      <c r="N41" s="171" t="e" cm="1">
        <f t="array" aca="1" ref="N41" ca="1">IF(
   INDEX($H$2:$Z$14, COLUMN(H3), 2*ROW(H3)-1)&gt;0,
   INDEX($H$2:$Z$14, COLUMN(H3), 2*ROW(H3)-1),
   NA()
)</f>
        <v>#N/A</v>
      </c>
      <c r="O41" s="171" t="e" cm="1">
        <f t="array" aca="1" ref="O41" ca="1">IF(
   INDEX($H$2:$Z$14, COLUMN(I3), 2*ROW(I3)-1)&gt;0,
   INDEX($H$2:$Z$14, COLUMN(I3), 2*ROW(I3)-1),
   NA()
)</f>
        <v>#N/A</v>
      </c>
      <c r="P41" s="171" t="e" cm="1">
        <f t="array" aca="1" ref="P41" ca="1">IF(
   INDEX($H$2:$Z$14, COLUMN(J3), 2*ROW(J3)-1)&gt;0,
   INDEX($H$2:$Z$14, COLUMN(J3), 2*ROW(J3)-1),
   NA()
)</f>
        <v>#N/A</v>
      </c>
      <c r="Q41" s="171" t="e" cm="1">
        <f t="array" aca="1" ref="Q41" ca="1">IF(
   INDEX($H$2:$Z$14, COLUMN(K3), 2*ROW(K3)-1)&gt;0,
   INDEX($H$2:$Z$14, COLUMN(K3), 2*ROW(K3)-1),
   NA()
)</f>
        <v>#N/A</v>
      </c>
      <c r="R41" s="171" t="e" cm="1">
        <f t="array" aca="1" ref="R41" ca="1">IF(
   INDEX($H$2:$Z$14, COLUMN(L3), 2*ROW(L3)-1)&gt;0,
   INDEX($H$2:$Z$14, COLUMN(L3), 2*ROW(L3)-1),
   NA()
)</f>
        <v>#N/A</v>
      </c>
      <c r="S41" s="172" t="e" cm="1">
        <f t="array" aca="1" ref="S41" ca="1">IF(
   INDEX($H$2:$Z$14, COLUMN(M3), 2*ROW(M3)-1)&gt;0,
   INDEX($H$2:$Z$14, COLUMN(M3), 2*ROW(M3)-1),
   NA()
)</f>
        <v>#N/A</v>
      </c>
      <c r="T41" s="173" t="s">
        <v>34</v>
      </c>
      <c r="U41" s="170">
        <f>AH2</f>
        <v>0.23508137432188064</v>
      </c>
      <c r="V41" s="171">
        <f>AH3</f>
        <v>0.1891891891891892</v>
      </c>
      <c r="W41" s="171">
        <f>AH4</f>
        <v>0.26647966339410939</v>
      </c>
      <c r="X41" s="171">
        <f>AH5</f>
        <v>0.203240058910162</v>
      </c>
      <c r="Y41" s="171">
        <f>AH6</f>
        <v>0.22824536376604851</v>
      </c>
      <c r="Z41" s="171">
        <f>AH7</f>
        <v>0.19718309859154928</v>
      </c>
      <c r="AA41" s="171">
        <f>AH8</f>
        <v>0.20519835841313269</v>
      </c>
      <c r="AB41" s="171">
        <f>AH9</f>
        <v>0.23065015479876161</v>
      </c>
      <c r="AC41" s="171">
        <f>AH10</f>
        <v>0.14809590973201692</v>
      </c>
      <c r="AD41" s="171">
        <f>AH11</f>
        <v>0.22988505747126436</v>
      </c>
      <c r="AE41" s="171">
        <f>AH12</f>
        <v>0.22865412445730826</v>
      </c>
      <c r="AF41" s="171">
        <f>AH13</f>
        <v>0.14117647058823529</v>
      </c>
      <c r="AG41" s="172">
        <f>AH14</f>
        <v>0.20779220779220781</v>
      </c>
      <c r="AH41" s="104"/>
      <c r="AI41" s="105"/>
      <c r="AJ41" s="104"/>
      <c r="AK41" s="106"/>
    </row>
    <row r="42" spans="6:37" ht="12.75" x14ac:dyDescent="0.2">
      <c r="F42" s="169" t="s">
        <v>35</v>
      </c>
      <c r="G42" s="170" t="e" cm="1">
        <f t="array" aca="1" ref="G42" ca="1">IF(
   INDEX($H$2:$Z$14, COLUMN(A4), 2*ROW(A4)-1)&gt;0,
   INDEX($H$2:$Z$14, COLUMN(A4), 2*ROW(A4)-1),
   NA()
)</f>
        <v>#N/A</v>
      </c>
      <c r="H42" s="171" t="e" cm="1">
        <f t="array" aca="1" ref="H42" ca="1">IF(
   INDEX($H$2:$Z$14, COLUMN(B4), 2*ROW(B4)-1)&gt;0,
   INDEX($H$2:$Z$14, COLUMN(B4), 2*ROW(B4)-1),
   NA()
)</f>
        <v>#N/A</v>
      </c>
      <c r="I42" s="171" t="e" cm="1">
        <f t="array" aca="1" ref="I42" ca="1">IF(
   INDEX($H$2:$Z$14, COLUMN(C4), 2*ROW(C4)-1)&gt;0,
   INDEX($H$2:$Z$14, COLUMN(C4), 2*ROW(C4)-1),
   NA()
)</f>
        <v>#N/A</v>
      </c>
      <c r="J42" s="171" t="e" cm="1">
        <f t="array" aca="1" ref="J42" ca="1">IF(
   INDEX($H$2:$Z$14, COLUMN(D4), 2*ROW(D4)-1)&gt;0,
   INDEX($H$2:$Z$14, COLUMN(D4), 2*ROW(D4)-1),
   NA()
)</f>
        <v>#N/A</v>
      </c>
      <c r="K42" s="171" t="e" cm="1">
        <f t="array" aca="1" ref="K42" ca="1">IF(
   INDEX($H$2:$Z$14, COLUMN(E4), 2*ROW(E4)-1)&gt;0,
   INDEX($H$2:$Z$14, COLUMN(E4), 2*ROW(E4)-1),
   NA()
)</f>
        <v>#N/A</v>
      </c>
      <c r="L42" s="171" t="e" cm="1">
        <f t="array" aca="1" ref="L42" ca="1">IF(
   INDEX($H$2:$Z$14, COLUMN(F4), 2*ROW(F4)-1)&gt;0,
   INDEX($H$2:$Z$14, COLUMN(F4), 2*ROW(F4)-1),
   NA()
)</f>
        <v>#N/A</v>
      </c>
      <c r="M42" s="171" t="e" cm="1">
        <f t="array" aca="1" ref="M42" ca="1">IF(
   INDEX($H$2:$Z$14, COLUMN(G4), 2*ROW(G4)-1)&gt;0,
   INDEX($H$2:$Z$14, COLUMN(G4), 2*ROW(G4)-1),
   NA()
)</f>
        <v>#N/A</v>
      </c>
      <c r="N42" s="171" t="e" cm="1">
        <f t="array" aca="1" ref="N42" ca="1">IF(
   INDEX($H$2:$Z$14, COLUMN(H4), 2*ROW(H4)-1)&gt;0,
   INDEX($H$2:$Z$14, COLUMN(H4), 2*ROW(H4)-1),
   NA()
)</f>
        <v>#N/A</v>
      </c>
      <c r="O42" s="171" t="e" cm="1">
        <f t="array" aca="1" ref="O42" ca="1">IF(
   INDEX($H$2:$Z$14, COLUMN(I4), 2*ROW(I4)-1)&gt;0,
   INDEX($H$2:$Z$14, COLUMN(I4), 2*ROW(I4)-1),
   NA()
)</f>
        <v>#N/A</v>
      </c>
      <c r="P42" s="171" t="e" cm="1">
        <f t="array" aca="1" ref="P42" ca="1">IF(
   INDEX($H$2:$Z$14, COLUMN(J4), 2*ROW(J4)-1)&gt;0,
   INDEX($H$2:$Z$14, COLUMN(J4), 2*ROW(J4)-1),
   NA()
)</f>
        <v>#N/A</v>
      </c>
      <c r="Q42" s="171" t="e" cm="1">
        <f t="array" aca="1" ref="Q42" ca="1">IF(
   INDEX($H$2:$Z$14, COLUMN(K4), 2*ROW(K4)-1)&gt;0,
   INDEX($H$2:$Z$14, COLUMN(K4), 2*ROW(K4)-1),
   NA()
)</f>
        <v>#N/A</v>
      </c>
      <c r="R42" s="171" t="e" cm="1">
        <f t="array" aca="1" ref="R42" ca="1">IF(
   INDEX($H$2:$Z$14, COLUMN(L4), 2*ROW(L4)-1)&gt;0,
   INDEX($H$2:$Z$14, COLUMN(L4), 2*ROW(L4)-1),
   NA()
)</f>
        <v>#N/A</v>
      </c>
      <c r="S42" s="172" t="e" cm="1">
        <f t="array" aca="1" ref="S42" ca="1">IF(
   INDEX($H$2:$Z$14, COLUMN(M4), 2*ROW(M4)-1)&gt;0,
   INDEX($H$2:$Z$14, COLUMN(M4), 2*ROW(M4)-1),
   NA()
)</f>
        <v>#N/A</v>
      </c>
      <c r="T42" s="173" t="s">
        <v>35</v>
      </c>
      <c r="U42" s="170">
        <f>AI2</f>
        <v>0.33634719710669075</v>
      </c>
      <c r="V42" s="171">
        <f>AI3</f>
        <v>0.3108108108108108</v>
      </c>
      <c r="W42" s="171">
        <f>AI4</f>
        <v>0.37868162692847124</v>
      </c>
      <c r="X42" s="171">
        <f>AI5</f>
        <v>0.2768777614138439</v>
      </c>
      <c r="Y42" s="171">
        <f>AI6</f>
        <v>0.34236804564907275</v>
      </c>
      <c r="Z42" s="171">
        <f>AI7</f>
        <v>0.26760563380281688</v>
      </c>
      <c r="AA42" s="171">
        <f>AI8</f>
        <v>0.33105335157318744</v>
      </c>
      <c r="AB42" s="171">
        <f>AI9</f>
        <v>0.32972136222910214</v>
      </c>
      <c r="AC42" s="171">
        <f>AI10</f>
        <v>0.23272214386459802</v>
      </c>
      <c r="AD42" s="171">
        <f>AI11</f>
        <v>0.34482758620689657</v>
      </c>
      <c r="AE42" s="171">
        <f>AI12</f>
        <v>0.31114327062228653</v>
      </c>
      <c r="AF42" s="171">
        <f>AI13</f>
        <v>0.21029411764705883</v>
      </c>
      <c r="AG42" s="172">
        <f>AI14</f>
        <v>0.30531732418524871</v>
      </c>
      <c r="AH42" s="104"/>
      <c r="AI42" s="105"/>
      <c r="AJ42" s="104"/>
      <c r="AK42" s="106"/>
    </row>
    <row r="43" spans="6:37" ht="12.75" x14ac:dyDescent="0.2">
      <c r="F43" s="169" t="s">
        <v>36</v>
      </c>
      <c r="G43" s="170" t="e" cm="1">
        <f t="array" aca="1" ref="G43" ca="1">IF(
   INDEX($H$2:$Z$14, COLUMN(A5), 2*ROW(A5)-1)&gt;0,
   INDEX($H$2:$Z$14, COLUMN(A5), 2*ROW(A5)-1),
   NA()
)</f>
        <v>#N/A</v>
      </c>
      <c r="H43" s="171" t="e" cm="1">
        <f t="array" aca="1" ref="H43" ca="1">IF(
   INDEX($H$2:$Z$14, COLUMN(B5), 2*ROW(B5)-1)&gt;0,
   INDEX($H$2:$Z$14, COLUMN(B5), 2*ROW(B5)-1),
   NA()
)</f>
        <v>#N/A</v>
      </c>
      <c r="I43" s="171" t="e" cm="1">
        <f t="array" aca="1" ref="I43" ca="1">IF(
   INDEX($H$2:$Z$14, COLUMN(C5), 2*ROW(C5)-1)&gt;0,
   INDEX($H$2:$Z$14, COLUMN(C5), 2*ROW(C5)-1),
   NA()
)</f>
        <v>#N/A</v>
      </c>
      <c r="J43" s="171" t="e" cm="1">
        <f t="array" aca="1" ref="J43" ca="1">IF(
   INDEX($H$2:$Z$14, COLUMN(D5), 2*ROW(D5)-1)&gt;0,
   INDEX($H$2:$Z$14, COLUMN(D5), 2*ROW(D5)-1),
   NA()
)</f>
        <v>#N/A</v>
      </c>
      <c r="K43" s="171" t="e" cm="1">
        <f t="array" aca="1" ref="K43" ca="1">IF(
   INDEX($H$2:$Z$14, COLUMN(E5), 2*ROW(E5)-1)&gt;0,
   INDEX($H$2:$Z$14, COLUMN(E5), 2*ROW(E5)-1),
   NA()
)</f>
        <v>#N/A</v>
      </c>
      <c r="L43" s="171" t="e" cm="1">
        <f t="array" aca="1" ref="L43" ca="1">IF(
   INDEX($H$2:$Z$14, COLUMN(F5), 2*ROW(F5)-1)&gt;0,
   INDEX($H$2:$Z$14, COLUMN(F5), 2*ROW(F5)-1),
   NA()
)</f>
        <v>#N/A</v>
      </c>
      <c r="M43" s="171" t="e" cm="1">
        <f t="array" aca="1" ref="M43" ca="1">IF(
   INDEX($H$2:$Z$14, COLUMN(G5), 2*ROW(G5)-1)&gt;0,
   INDEX($H$2:$Z$14, COLUMN(G5), 2*ROW(G5)-1),
   NA()
)</f>
        <v>#N/A</v>
      </c>
      <c r="N43" s="171" t="e" cm="1">
        <f t="array" aca="1" ref="N43" ca="1">IF(
   INDEX($H$2:$Z$14, COLUMN(H5), 2*ROW(H5)-1)&gt;0,
   INDEX($H$2:$Z$14, COLUMN(H5), 2*ROW(H5)-1),
   NA()
)</f>
        <v>#N/A</v>
      </c>
      <c r="O43" s="171" t="e" cm="1">
        <f t="array" aca="1" ref="O43" ca="1">IF(
   INDEX($H$2:$Z$14, COLUMN(I5), 2*ROW(I5)-1)&gt;0,
   INDEX($H$2:$Z$14, COLUMN(I5), 2*ROW(I5)-1),
   NA()
)</f>
        <v>#N/A</v>
      </c>
      <c r="P43" s="171" t="e" cm="1">
        <f t="array" aca="1" ref="P43" ca="1">IF(
   INDEX($H$2:$Z$14, COLUMN(J5), 2*ROW(J5)-1)&gt;0,
   INDEX($H$2:$Z$14, COLUMN(J5), 2*ROW(J5)-1),
   NA()
)</f>
        <v>#N/A</v>
      </c>
      <c r="Q43" s="171" t="e" cm="1">
        <f t="array" aca="1" ref="Q43" ca="1">IF(
   INDEX($H$2:$Z$14, COLUMN(K5), 2*ROW(K5)-1)&gt;0,
   INDEX($H$2:$Z$14, COLUMN(K5), 2*ROW(K5)-1),
   NA()
)</f>
        <v>#N/A</v>
      </c>
      <c r="R43" s="171" t="e" cm="1">
        <f t="array" aca="1" ref="R43" ca="1">IF(
   INDEX($H$2:$Z$14, COLUMN(L5), 2*ROW(L5)-1)&gt;0,
   INDEX($H$2:$Z$14, COLUMN(L5), 2*ROW(L5)-1),
   NA()
)</f>
        <v>#N/A</v>
      </c>
      <c r="S43" s="172" t="e" cm="1">
        <f t="array" aca="1" ref="S43" ca="1">IF(
   INDEX($H$2:$Z$14, COLUMN(M5), 2*ROW(M5)-1)&gt;0,
   INDEX($H$2:$Z$14, COLUMN(M5), 2*ROW(M5)-1),
   NA()
)</f>
        <v>#N/A</v>
      </c>
      <c r="T43" s="173" t="s">
        <v>36</v>
      </c>
      <c r="U43" s="170">
        <f>AJ2</f>
        <v>0.37793851717902349</v>
      </c>
      <c r="V43" s="171">
        <f>AJ3</f>
        <v>0.38918918918918921</v>
      </c>
      <c r="W43" s="171">
        <f>AJ4</f>
        <v>0.43478260869565216</v>
      </c>
      <c r="X43" s="171">
        <f>AJ5</f>
        <v>0.3328424153166421</v>
      </c>
      <c r="Y43" s="171">
        <f>AJ6</f>
        <v>0.4136947218259629</v>
      </c>
      <c r="Z43" s="171">
        <f>AJ7</f>
        <v>0.33380281690140845</v>
      </c>
      <c r="AA43" s="171">
        <f>AJ8</f>
        <v>0.38850889192886456</v>
      </c>
      <c r="AB43" s="171">
        <f>AJ9</f>
        <v>0.4024767801857585</v>
      </c>
      <c r="AC43" s="171">
        <f>AJ10</f>
        <v>0.27080394922425954</v>
      </c>
      <c r="AD43" s="171">
        <f>AJ11</f>
        <v>0.39408866995073893</v>
      </c>
      <c r="AE43" s="171">
        <f>AJ12</f>
        <v>0.38205499276410998</v>
      </c>
      <c r="AF43" s="171">
        <f>AJ13</f>
        <v>0.2676470588235294</v>
      </c>
      <c r="AG43" s="172">
        <f>AJ14</f>
        <v>0.36535162950257288</v>
      </c>
      <c r="AH43" s="104"/>
      <c r="AI43" s="105"/>
      <c r="AJ43" s="104"/>
      <c r="AK43" s="106"/>
    </row>
    <row r="44" spans="6:37" ht="12.75" x14ac:dyDescent="0.2">
      <c r="F44" s="169" t="s">
        <v>37</v>
      </c>
      <c r="G44" s="170" t="e" cm="1">
        <f t="array" aca="1" ref="G44" ca="1">IF(
   INDEX($H$2:$Z$14, COLUMN(A6), 2*ROW(A6)-1)&gt;0,
   INDEX($H$2:$Z$14, COLUMN(A6), 2*ROW(A6)-1),
   NA()
)</f>
        <v>#N/A</v>
      </c>
      <c r="H44" s="171" t="e" cm="1">
        <f t="array" aca="1" ref="H44" ca="1">IF(
   INDEX($H$2:$Z$14, COLUMN(B6), 2*ROW(B6)-1)&gt;0,
   INDEX($H$2:$Z$14, COLUMN(B6), 2*ROW(B6)-1),
   NA()
)</f>
        <v>#N/A</v>
      </c>
      <c r="I44" s="171" t="e" cm="1">
        <f t="array" aca="1" ref="I44" ca="1">IF(
   INDEX($H$2:$Z$14, COLUMN(C6), 2*ROW(C6)-1)&gt;0,
   INDEX($H$2:$Z$14, COLUMN(C6), 2*ROW(C6)-1),
   NA()
)</f>
        <v>#N/A</v>
      </c>
      <c r="J44" s="171" t="e" cm="1">
        <f t="array" aca="1" ref="J44" ca="1">IF(
   INDEX($H$2:$Z$14, COLUMN(D6), 2*ROW(D6)-1)&gt;0,
   INDEX($H$2:$Z$14, COLUMN(D6), 2*ROW(D6)-1),
   NA()
)</f>
        <v>#N/A</v>
      </c>
      <c r="K44" s="171" t="e" cm="1">
        <f t="array" aca="1" ref="K44" ca="1">IF(
   INDEX($H$2:$Z$14, COLUMN(E6), 2*ROW(E6)-1)&gt;0,
   INDEX($H$2:$Z$14, COLUMN(E6), 2*ROW(E6)-1),
   NA()
)</f>
        <v>#N/A</v>
      </c>
      <c r="L44" s="171" t="e" cm="1">
        <f t="array" aca="1" ref="L44" ca="1">IF(
   INDEX($H$2:$Z$14, COLUMN(F6), 2*ROW(F6)-1)&gt;0,
   INDEX($H$2:$Z$14, COLUMN(F6), 2*ROW(F6)-1),
   NA()
)</f>
        <v>#N/A</v>
      </c>
      <c r="M44" s="171" t="e" cm="1">
        <f t="array" aca="1" ref="M44" ca="1">IF(
   INDEX($H$2:$Z$14, COLUMN(G6), 2*ROW(G6)-1)&gt;0,
   INDEX($H$2:$Z$14, COLUMN(G6), 2*ROW(G6)-1),
   NA()
)</f>
        <v>#N/A</v>
      </c>
      <c r="N44" s="171" t="e" cm="1">
        <f t="array" aca="1" ref="N44" ca="1">IF(
   INDEX($H$2:$Z$14, COLUMN(H6), 2*ROW(H6)-1)&gt;0,
   INDEX($H$2:$Z$14, COLUMN(H6), 2*ROW(H6)-1),
   NA()
)</f>
        <v>#N/A</v>
      </c>
      <c r="O44" s="171" t="e" cm="1">
        <f t="array" aca="1" ref="O44" ca="1">IF(
   INDEX($H$2:$Z$14, COLUMN(I6), 2*ROW(I6)-1)&gt;0,
   INDEX($H$2:$Z$14, COLUMN(I6), 2*ROW(I6)-1),
   NA()
)</f>
        <v>#N/A</v>
      </c>
      <c r="P44" s="171" t="e" cm="1">
        <f t="array" aca="1" ref="P44" ca="1">IF(
   INDEX($H$2:$Z$14, COLUMN(J6), 2*ROW(J6)-1)&gt;0,
   INDEX($H$2:$Z$14, COLUMN(J6), 2*ROW(J6)-1),
   NA()
)</f>
        <v>#N/A</v>
      </c>
      <c r="Q44" s="171" t="e" cm="1">
        <f t="array" aca="1" ref="Q44" ca="1">IF(
   INDEX($H$2:$Z$14, COLUMN(K6), 2*ROW(K6)-1)&gt;0,
   INDEX($H$2:$Z$14, COLUMN(K6), 2*ROW(K6)-1),
   NA()
)</f>
        <v>#N/A</v>
      </c>
      <c r="R44" s="171" t="e" cm="1">
        <f t="array" aca="1" ref="R44" ca="1">IF(
   INDEX($H$2:$Z$14, COLUMN(L6), 2*ROW(L6)-1)&gt;0,
   INDEX($H$2:$Z$14, COLUMN(L6), 2*ROW(L6)-1),
   NA()
)</f>
        <v>#N/A</v>
      </c>
      <c r="S44" s="172" t="e" cm="1">
        <f t="array" aca="1" ref="S44" ca="1">IF(
   INDEX($H$2:$Z$14, COLUMN(M6), 2*ROW(M6)-1)&gt;0,
   INDEX($H$2:$Z$14, COLUMN(M6), 2*ROW(M6)-1),
   NA()
)</f>
        <v>#N/A</v>
      </c>
      <c r="T44" s="173" t="s">
        <v>37</v>
      </c>
      <c r="U44" s="170">
        <f>AK2</f>
        <v>0.42495479204339964</v>
      </c>
      <c r="V44" s="171">
        <f>AK3</f>
        <v>0.41891891891891891</v>
      </c>
      <c r="W44" s="171">
        <f>AK4</f>
        <v>0.50490883590462832</v>
      </c>
      <c r="X44" s="171">
        <f>AK5</f>
        <v>0.39175257731958762</v>
      </c>
      <c r="Y44" s="171">
        <f>AK6</f>
        <v>0.46362339514978601</v>
      </c>
      <c r="Z44" s="171">
        <f>AK7</f>
        <v>0.38732394366197181</v>
      </c>
      <c r="AA44" s="171">
        <f>AK8</f>
        <v>0.42407660738714092</v>
      </c>
      <c r="AB44" s="171">
        <f>AK9</f>
        <v>0.46439628482972134</v>
      </c>
      <c r="AC44" s="171">
        <f>AK10</f>
        <v>0.32440056417489421</v>
      </c>
      <c r="AD44" s="171">
        <f>AK11</f>
        <v>0.44663382594417078</v>
      </c>
      <c r="AE44" s="171">
        <f>AK12</f>
        <v>0.43270622286541244</v>
      </c>
      <c r="AF44" s="171">
        <f>AK13</f>
        <v>0.31911764705882351</v>
      </c>
      <c r="AG44" s="172">
        <f>AK14</f>
        <v>0.4164420485175202</v>
      </c>
      <c r="AH44" s="104"/>
      <c r="AI44" s="105"/>
      <c r="AJ44" s="104"/>
      <c r="AK44" s="106"/>
    </row>
    <row r="45" spans="6:37" ht="12.75" x14ac:dyDescent="0.2">
      <c r="F45" s="169" t="s">
        <v>38</v>
      </c>
      <c r="G45" s="170" t="e" cm="1">
        <f t="array" aca="1" ref="G45" ca="1">IF(
   INDEX($H$2:$Z$14, COLUMN(A7), 2*ROW(A7)-1)&gt;0,
   INDEX($H$2:$Z$14, COLUMN(A7), 2*ROW(A7)-1),
   NA()
)</f>
        <v>#N/A</v>
      </c>
      <c r="H45" s="171" t="e" cm="1">
        <f t="array" aca="1" ref="H45" ca="1">IF(
   INDEX($H$2:$Z$14, COLUMN(B7), 2*ROW(B7)-1)&gt;0,
   INDEX($H$2:$Z$14, COLUMN(B7), 2*ROW(B7)-1),
   NA()
)</f>
        <v>#N/A</v>
      </c>
      <c r="I45" s="171" t="e" cm="1">
        <f t="array" aca="1" ref="I45" ca="1">IF(
   INDEX($H$2:$Z$14, COLUMN(C7), 2*ROW(C7)-1)&gt;0,
   INDEX($H$2:$Z$14, COLUMN(C7), 2*ROW(C7)-1),
   NA()
)</f>
        <v>#N/A</v>
      </c>
      <c r="J45" s="171" t="e" cm="1">
        <f t="array" aca="1" ref="J45" ca="1">IF(
   INDEX($H$2:$Z$14, COLUMN(D7), 2*ROW(D7)-1)&gt;0,
   INDEX($H$2:$Z$14, COLUMN(D7), 2*ROW(D7)-1),
   NA()
)</f>
        <v>#N/A</v>
      </c>
      <c r="K45" s="171" t="e" cm="1">
        <f t="array" aca="1" ref="K45" ca="1">IF(
   INDEX($H$2:$Z$14, COLUMN(E7), 2*ROW(E7)-1)&gt;0,
   INDEX($H$2:$Z$14, COLUMN(E7), 2*ROW(E7)-1),
   NA()
)</f>
        <v>#N/A</v>
      </c>
      <c r="L45" s="171" t="e" cm="1">
        <f t="array" aca="1" ref="L45" ca="1">IF(
   INDEX($H$2:$Z$14, COLUMN(F7), 2*ROW(F7)-1)&gt;0,
   INDEX($H$2:$Z$14, COLUMN(F7), 2*ROW(F7)-1),
   NA()
)</f>
        <v>#N/A</v>
      </c>
      <c r="M45" s="171" t="e" cm="1">
        <f t="array" aca="1" ref="M45" ca="1">IF(
   INDEX($H$2:$Z$14, COLUMN(G7), 2*ROW(G7)-1)&gt;0,
   INDEX($H$2:$Z$14, COLUMN(G7), 2*ROW(G7)-1),
   NA()
)</f>
        <v>#N/A</v>
      </c>
      <c r="N45" s="171" t="e" cm="1">
        <f t="array" aca="1" ref="N45" ca="1">IF(
   INDEX($H$2:$Z$14, COLUMN(H7), 2*ROW(H7)-1)&gt;0,
   INDEX($H$2:$Z$14, COLUMN(H7), 2*ROW(H7)-1),
   NA()
)</f>
        <v>#N/A</v>
      </c>
      <c r="O45" s="171" t="e" cm="1">
        <f t="array" aca="1" ref="O45" ca="1">IF(
   INDEX($H$2:$Z$14, COLUMN(I7), 2*ROW(I7)-1)&gt;0,
   INDEX($H$2:$Z$14, COLUMN(I7), 2*ROW(I7)-1),
   NA()
)</f>
        <v>#N/A</v>
      </c>
      <c r="P45" s="171" t="e" cm="1">
        <f t="array" aca="1" ref="P45" ca="1">IF(
   INDEX($H$2:$Z$14, COLUMN(J7), 2*ROW(J7)-1)&gt;0,
   INDEX($H$2:$Z$14, COLUMN(J7), 2*ROW(J7)-1),
   NA()
)</f>
        <v>#N/A</v>
      </c>
      <c r="Q45" s="171" t="e" cm="1">
        <f t="array" aca="1" ref="Q45" ca="1">IF(
   INDEX($H$2:$Z$14, COLUMN(K7), 2*ROW(K7)-1)&gt;0,
   INDEX($H$2:$Z$14, COLUMN(K7), 2*ROW(K7)-1),
   NA()
)</f>
        <v>#N/A</v>
      </c>
      <c r="R45" s="171" t="e" cm="1">
        <f t="array" aca="1" ref="R45" ca="1">IF(
   INDEX($H$2:$Z$14, COLUMN(L7), 2*ROW(L7)-1)&gt;0,
   INDEX($H$2:$Z$14, COLUMN(L7), 2*ROW(L7)-1),
   NA()
)</f>
        <v>#N/A</v>
      </c>
      <c r="S45" s="172" t="e" cm="1">
        <f t="array" aca="1" ref="S45" ca="1">IF(
   INDEX($H$2:$Z$14, COLUMN(M7), 2*ROW(M7)-1)&gt;0,
   INDEX($H$2:$Z$14, COLUMN(M7), 2*ROW(M7)-1),
   NA()
)</f>
        <v>#N/A</v>
      </c>
      <c r="T45" s="173" t="s">
        <v>38</v>
      </c>
      <c r="U45" s="170">
        <f>AL2</f>
        <v>0.46292947558770342</v>
      </c>
      <c r="V45" s="171">
        <f>AL3</f>
        <v>0.48648648648648651</v>
      </c>
      <c r="W45" s="171">
        <f>AL4</f>
        <v>0.57503506311360453</v>
      </c>
      <c r="X45" s="171">
        <f>AL5</f>
        <v>0.45066273932253315</v>
      </c>
      <c r="Y45" s="171">
        <f>AL6</f>
        <v>0.53495007132667616</v>
      </c>
      <c r="Z45" s="171">
        <f>AL7</f>
        <v>0.42957746478873238</v>
      </c>
      <c r="AA45" s="171">
        <f>AL8</f>
        <v>0.48426812585499318</v>
      </c>
      <c r="AB45" s="171">
        <f>AL9</f>
        <v>0.50309597523219818</v>
      </c>
      <c r="AC45" s="171">
        <f>AL10</f>
        <v>0.38081805359661497</v>
      </c>
      <c r="AD45" s="171">
        <f>AL11</f>
        <v>0.49261083743842365</v>
      </c>
      <c r="AE45" s="171">
        <f>AL12</f>
        <v>0.48046309696092621</v>
      </c>
      <c r="AF45" s="171">
        <f>AL13</f>
        <v>0.36911764705882355</v>
      </c>
      <c r="AG45" s="172">
        <f>AL14</f>
        <v>0.47096299926488605</v>
      </c>
      <c r="AH45" s="104"/>
      <c r="AI45" s="105"/>
      <c r="AJ45" s="104"/>
      <c r="AK45" s="106"/>
    </row>
    <row r="46" spans="6:37" ht="12.75" x14ac:dyDescent="0.2">
      <c r="F46" s="169" t="s">
        <v>39</v>
      </c>
      <c r="G46" s="170" t="e" cm="1">
        <f t="array" aca="1" ref="G46" ca="1">IF(
   INDEX($H$2:$Z$14, COLUMN(A8), 2*ROW(A8)-1)&gt;0,
   INDEX($H$2:$Z$14, COLUMN(A8), 2*ROW(A8)-1),
   NA()
)</f>
        <v>#N/A</v>
      </c>
      <c r="H46" s="171" t="e" cm="1">
        <f t="array" aca="1" ref="H46" ca="1">IF(
   INDEX($H$2:$Z$14, COLUMN(B8), 2*ROW(B8)-1)&gt;0,
   INDEX($H$2:$Z$14, COLUMN(B8), 2*ROW(B8)-1),
   NA()
)</f>
        <v>#N/A</v>
      </c>
      <c r="I46" s="171" t="e" cm="1">
        <f t="array" aca="1" ref="I46" ca="1">IF(
   INDEX($H$2:$Z$14, COLUMN(C8), 2*ROW(C8)-1)&gt;0,
   INDEX($H$2:$Z$14, COLUMN(C8), 2*ROW(C8)-1),
   NA()
)</f>
        <v>#N/A</v>
      </c>
      <c r="J46" s="171" t="e" cm="1">
        <f t="array" aca="1" ref="J46" ca="1">IF(
   INDEX($H$2:$Z$14, COLUMN(D8), 2*ROW(D8)-1)&gt;0,
   INDEX($H$2:$Z$14, COLUMN(D8), 2*ROW(D8)-1),
   NA()
)</f>
        <v>#N/A</v>
      </c>
      <c r="K46" s="171" t="e" cm="1">
        <f t="array" aca="1" ref="K46" ca="1">IF(
   INDEX($H$2:$Z$14, COLUMN(E8), 2*ROW(E8)-1)&gt;0,
   INDEX($H$2:$Z$14, COLUMN(E8), 2*ROW(E8)-1),
   NA()
)</f>
        <v>#N/A</v>
      </c>
      <c r="L46" s="171" t="e" cm="1">
        <f t="array" aca="1" ref="L46" ca="1">IF(
   INDEX($H$2:$Z$14, COLUMN(F8), 2*ROW(F8)-1)&gt;0,
   INDEX($H$2:$Z$14, COLUMN(F8), 2*ROW(F8)-1),
   NA()
)</f>
        <v>#N/A</v>
      </c>
      <c r="M46" s="171" t="e" cm="1">
        <f t="array" aca="1" ref="M46" ca="1">IF(
   INDEX($H$2:$Z$14, COLUMN(G8), 2*ROW(G8)-1)&gt;0,
   INDEX($H$2:$Z$14, COLUMN(G8), 2*ROW(G8)-1),
   NA()
)</f>
        <v>#N/A</v>
      </c>
      <c r="N46" s="171" t="e" cm="1">
        <f t="array" aca="1" ref="N46" ca="1">IF(
   INDEX($H$2:$Z$14, COLUMN(H8), 2*ROW(H8)-1)&gt;0,
   INDEX($H$2:$Z$14, COLUMN(H8), 2*ROW(H8)-1),
   NA()
)</f>
        <v>#N/A</v>
      </c>
      <c r="O46" s="171" t="e" cm="1">
        <f t="array" aca="1" ref="O46" ca="1">IF(
   INDEX($H$2:$Z$14, COLUMN(I8), 2*ROW(I8)-1)&gt;0,
   INDEX($H$2:$Z$14, COLUMN(I8), 2*ROW(I8)-1),
   NA()
)</f>
        <v>#N/A</v>
      </c>
      <c r="P46" s="171" t="e" cm="1">
        <f t="array" aca="1" ref="P46" ca="1">IF(
   INDEX($H$2:$Z$14, COLUMN(J8), 2*ROW(J8)-1)&gt;0,
   INDEX($H$2:$Z$14, COLUMN(J8), 2*ROW(J8)-1),
   NA()
)</f>
        <v>#N/A</v>
      </c>
      <c r="Q46" s="171" t="e" cm="1">
        <f t="array" aca="1" ref="Q46" ca="1">IF(
   INDEX($H$2:$Z$14, COLUMN(K8), 2*ROW(K8)-1)&gt;0,
   INDEX($H$2:$Z$14, COLUMN(K8), 2*ROW(K8)-1),
   NA()
)</f>
        <v>#N/A</v>
      </c>
      <c r="R46" s="171" t="e" cm="1">
        <f t="array" aca="1" ref="R46" ca="1">IF(
   INDEX($H$2:$Z$14, COLUMN(L8), 2*ROW(L8)-1)&gt;0,
   INDEX($H$2:$Z$14, COLUMN(L8), 2*ROW(L8)-1),
   NA()
)</f>
        <v>#N/A</v>
      </c>
      <c r="S46" s="172" t="e" cm="1">
        <f t="array" aca="1" ref="S46" ca="1">IF(
   INDEX($H$2:$Z$14, COLUMN(M8), 2*ROW(M8)-1)&gt;0,
   INDEX($H$2:$Z$14, COLUMN(M8), 2*ROW(M8)-1),
   NA()
)</f>
        <v>#N/A</v>
      </c>
      <c r="T46" s="173" t="s">
        <v>39</v>
      </c>
      <c r="U46" s="170">
        <f>AM2</f>
        <v>0.50994575045207957</v>
      </c>
      <c r="V46" s="171">
        <f>AM3</f>
        <v>0.52702702702702697</v>
      </c>
      <c r="W46" s="171">
        <f>AM4</f>
        <v>0.61711079943899017</v>
      </c>
      <c r="X46" s="171">
        <f>AM5</f>
        <v>0.49484536082474229</v>
      </c>
      <c r="Y46" s="171">
        <f>AM6</f>
        <v>0.59914407988587737</v>
      </c>
      <c r="Z46" s="171">
        <f>AM7</f>
        <v>0.47323943661971829</v>
      </c>
      <c r="AA46" s="171">
        <f>AM8</f>
        <v>0.54993160054719559</v>
      </c>
      <c r="AB46" s="171">
        <f>AM9</f>
        <v>0.54179566563467496</v>
      </c>
      <c r="AC46" s="171">
        <f>AM10</f>
        <v>0.4132581100141044</v>
      </c>
      <c r="AD46" s="171">
        <f>AM11</f>
        <v>0.54187192118226601</v>
      </c>
      <c r="AE46" s="171">
        <f>AM12</f>
        <v>0.55282199710564395</v>
      </c>
      <c r="AF46" s="171">
        <f>AM13</f>
        <v>0.42205882352941176</v>
      </c>
      <c r="AG46" s="172">
        <f>AM14</f>
        <v>0.5204606714040676</v>
      </c>
      <c r="AH46" s="104"/>
      <c r="AI46" s="105"/>
      <c r="AJ46" s="104"/>
      <c r="AK46" s="106"/>
    </row>
    <row r="47" spans="6:37" ht="12.75" x14ac:dyDescent="0.2">
      <c r="F47" s="169" t="s">
        <v>40</v>
      </c>
      <c r="G47" s="170" t="e" cm="1">
        <f t="array" aca="1" ref="G47" ca="1">IF(
   INDEX($H$2:$Z$14, COLUMN(A9), 2*ROW(A9)-1)&gt;0,
   INDEX($H$2:$Z$14, COLUMN(A9), 2*ROW(A9)-1),
   NA()
)</f>
        <v>#N/A</v>
      </c>
      <c r="H47" s="171" t="e" cm="1">
        <f t="array" aca="1" ref="H47" ca="1">IF(
   INDEX($H$2:$Z$14, COLUMN(B9), 2*ROW(B9)-1)&gt;0,
   INDEX($H$2:$Z$14, COLUMN(B9), 2*ROW(B9)-1),
   NA()
)</f>
        <v>#N/A</v>
      </c>
      <c r="I47" s="171" t="e" cm="1">
        <f t="array" aca="1" ref="I47" ca="1">IF(
   INDEX($H$2:$Z$14, COLUMN(C9), 2*ROW(C9)-1)&gt;0,
   INDEX($H$2:$Z$14, COLUMN(C9), 2*ROW(C9)-1),
   NA()
)</f>
        <v>#N/A</v>
      </c>
      <c r="J47" s="171" t="e" cm="1">
        <f t="array" aca="1" ref="J47" ca="1">IF(
   INDEX($H$2:$Z$14, COLUMN(D9), 2*ROW(D9)-1)&gt;0,
   INDEX($H$2:$Z$14, COLUMN(D9), 2*ROW(D9)-1),
   NA()
)</f>
        <v>#N/A</v>
      </c>
      <c r="K47" s="171" t="e" cm="1">
        <f t="array" aca="1" ref="K47" ca="1">IF(
   INDEX($H$2:$Z$14, COLUMN(E9), 2*ROW(E9)-1)&gt;0,
   INDEX($H$2:$Z$14, COLUMN(E9), 2*ROW(E9)-1),
   NA()
)</f>
        <v>#N/A</v>
      </c>
      <c r="L47" s="171" t="e" cm="1">
        <f t="array" aca="1" ref="L47" ca="1">IF(
   INDEX($H$2:$Z$14, COLUMN(F9), 2*ROW(F9)-1)&gt;0,
   INDEX($H$2:$Z$14, COLUMN(F9), 2*ROW(F9)-1),
   NA()
)</f>
        <v>#N/A</v>
      </c>
      <c r="M47" s="171" t="e" cm="1">
        <f t="array" aca="1" ref="M47" ca="1">IF(
   INDEX($H$2:$Z$14, COLUMN(G9), 2*ROW(G9)-1)&gt;0,
   INDEX($H$2:$Z$14, COLUMN(G9), 2*ROW(G9)-1),
   NA()
)</f>
        <v>#N/A</v>
      </c>
      <c r="N47" s="171" t="e" cm="1">
        <f t="array" aca="1" ref="N47" ca="1">IF(
   INDEX($H$2:$Z$14, COLUMN(H9), 2*ROW(H9)-1)&gt;0,
   INDEX($H$2:$Z$14, COLUMN(H9), 2*ROW(H9)-1),
   NA()
)</f>
        <v>#N/A</v>
      </c>
      <c r="O47" s="171" t="e" cm="1">
        <f t="array" aca="1" ref="O47" ca="1">IF(
   INDEX($H$2:$Z$14, COLUMN(I9), 2*ROW(I9)-1)&gt;0,
   INDEX($H$2:$Z$14, COLUMN(I9), 2*ROW(I9)-1),
   NA()
)</f>
        <v>#N/A</v>
      </c>
      <c r="P47" s="171" t="e" cm="1">
        <f t="array" aca="1" ref="P47" ca="1">IF(
   INDEX($H$2:$Z$14, COLUMN(J9), 2*ROW(J9)-1)&gt;0,
   INDEX($H$2:$Z$14, COLUMN(J9), 2*ROW(J9)-1),
   NA()
)</f>
        <v>#N/A</v>
      </c>
      <c r="Q47" s="171" t="e" cm="1">
        <f t="array" aca="1" ref="Q47" ca="1">IF(
   INDEX($H$2:$Z$14, COLUMN(K9), 2*ROW(K9)-1)&gt;0,
   INDEX($H$2:$Z$14, COLUMN(K9), 2*ROW(K9)-1),
   NA()
)</f>
        <v>#N/A</v>
      </c>
      <c r="R47" s="171" t="e" cm="1">
        <f t="array" aca="1" ref="R47" ca="1">IF(
   INDEX($H$2:$Z$14, COLUMN(L9), 2*ROW(L9)-1)&gt;0,
   INDEX($H$2:$Z$14, COLUMN(L9), 2*ROW(L9)-1),
   NA()
)</f>
        <v>#N/A</v>
      </c>
      <c r="S47" s="172" t="e" cm="1">
        <f t="array" aca="1" ref="S47" ca="1">IF(
   INDEX($H$2:$Z$14, COLUMN(M9), 2*ROW(M9)-1)&gt;0,
   INDEX($H$2:$Z$14, COLUMN(M9), 2*ROW(M9)-1),
   NA()
)</f>
        <v>#N/A</v>
      </c>
      <c r="T47" s="173" t="s">
        <v>40</v>
      </c>
      <c r="U47" s="170">
        <f>AN2</f>
        <v>0.54792043399638335</v>
      </c>
      <c r="V47" s="171">
        <f>AN3</f>
        <v>0.56081081081081086</v>
      </c>
      <c r="W47" s="171">
        <f>AN4</f>
        <v>0.65918653576437591</v>
      </c>
      <c r="X47" s="171">
        <f>AN5</f>
        <v>0.51693667157584688</v>
      </c>
      <c r="Y47" s="171">
        <f>AN6</f>
        <v>0.6205420827389444</v>
      </c>
      <c r="Z47" s="171">
        <f>AN7</f>
        <v>0.5</v>
      </c>
      <c r="AA47" s="171">
        <f>AN8</f>
        <v>0.57455540355677159</v>
      </c>
      <c r="AB47" s="171">
        <f>AN9</f>
        <v>0.55882352941176472</v>
      </c>
      <c r="AC47" s="171">
        <f>AN10</f>
        <v>0.4400564174894217</v>
      </c>
      <c r="AD47" s="171">
        <f>AN11</f>
        <v>0.56486042692939242</v>
      </c>
      <c r="AE47" s="171">
        <f>AN12</f>
        <v>0.57597684515195369</v>
      </c>
      <c r="AF47" s="171">
        <f>AN13</f>
        <v>0.47205882352941175</v>
      </c>
      <c r="AG47" s="172">
        <f>AN14</f>
        <v>0.54949767213918155</v>
      </c>
      <c r="AH47" s="107"/>
      <c r="AI47" s="99"/>
      <c r="AJ47" s="107"/>
      <c r="AK47" s="108"/>
    </row>
    <row r="48" spans="6:37" ht="12.75" x14ac:dyDescent="0.2">
      <c r="F48" s="169" t="s">
        <v>41</v>
      </c>
      <c r="G48" s="170" cm="1">
        <f t="array" aca="1" ref="G48" ca="1">IF(
   INDEX($H$2:$Z$14, COLUMN(A10), 2*ROW(A10)-1)&gt;0,
   INDEX($H$2:$Z$14, COLUMN(A10), 2*ROW(A10)-1),
   NA()
)</f>
        <v>0.189873417721519</v>
      </c>
      <c r="H48" s="171" t="e" cm="1">
        <f t="array" aca="1" ref="H48" ca="1">IF(
   INDEX($H$2:$Z$14, COLUMN(B10), 2*ROW(B10)-1)&gt;0,
   INDEX($H$2:$Z$14, COLUMN(B10), 2*ROW(B10)-1),
   NA()
)</f>
        <v>#N/A</v>
      </c>
      <c r="I48" s="171" t="e" cm="1">
        <f t="array" aca="1" ref="I48" ca="1">IF(
   INDEX($H$2:$Z$14, COLUMN(C10), 2*ROW(C10)-1)&gt;0,
   INDEX($H$2:$Z$14, COLUMN(C10), 2*ROW(C10)-1),
   NA()
)</f>
        <v>#N/A</v>
      </c>
      <c r="J48" s="171" t="e" cm="1">
        <f t="array" aca="1" ref="J48" ca="1">IF(
   INDEX($H$2:$Z$14, COLUMN(D10), 2*ROW(D10)-1)&gt;0,
   INDEX($H$2:$Z$14, COLUMN(D10), 2*ROW(D10)-1),
   NA()
)</f>
        <v>#N/A</v>
      </c>
      <c r="K48" s="171" t="e" cm="1">
        <f t="array" aca="1" ref="K48" ca="1">IF(
   INDEX($H$2:$Z$14, COLUMN(E10), 2*ROW(E10)-1)&gt;0,
   INDEX($H$2:$Z$14, COLUMN(E10), 2*ROW(E10)-1),
   NA()
)</f>
        <v>#N/A</v>
      </c>
      <c r="L48" s="171" t="e" cm="1">
        <f t="array" aca="1" ref="L48" ca="1">IF(
   INDEX($H$2:$Z$14, COLUMN(F10), 2*ROW(F10)-1)&gt;0,
   INDEX($H$2:$Z$14, COLUMN(F10), 2*ROW(F10)-1),
   NA()
)</f>
        <v>#N/A</v>
      </c>
      <c r="M48" s="171" t="e" cm="1">
        <f t="array" aca="1" ref="M48" ca="1">IF(
   INDEX($H$2:$Z$14, COLUMN(G10), 2*ROW(G10)-1)&gt;0,
   INDEX($H$2:$Z$14, COLUMN(G10), 2*ROW(G10)-1),
   NA()
)</f>
        <v>#N/A</v>
      </c>
      <c r="N48" s="171" t="e" cm="1">
        <f t="array" aca="1" ref="N48" ca="1">IF(
   INDEX($H$2:$Z$14, COLUMN(H10), 2*ROW(H10)-1)&gt;0,
   INDEX($H$2:$Z$14, COLUMN(H10), 2*ROW(H10)-1),
   NA()
)</f>
        <v>#N/A</v>
      </c>
      <c r="O48" s="171" t="e" cm="1">
        <f t="array" aca="1" ref="O48" ca="1">IF(
   INDEX($H$2:$Z$14, COLUMN(I10), 2*ROW(I10)-1)&gt;0,
   INDEX($H$2:$Z$14, COLUMN(I10), 2*ROW(I10)-1),
   NA()
)</f>
        <v>#N/A</v>
      </c>
      <c r="P48" s="171" t="e" cm="1">
        <f t="array" aca="1" ref="P48" ca="1">IF(
   INDEX($H$2:$Z$14, COLUMN(J10), 2*ROW(J10)-1)&gt;0,
   INDEX($H$2:$Z$14, COLUMN(J10), 2*ROW(J10)-1),
   NA()
)</f>
        <v>#N/A</v>
      </c>
      <c r="Q48" s="171" t="e" cm="1">
        <f t="array" aca="1" ref="Q48" ca="1">IF(
   INDEX($H$2:$Z$14, COLUMN(K10), 2*ROW(K10)-1)&gt;0,
   INDEX($H$2:$Z$14, COLUMN(K10), 2*ROW(K10)-1),
   NA()
)</f>
        <v>#N/A</v>
      </c>
      <c r="R48" s="171" t="e" cm="1">
        <f t="array" aca="1" ref="R48" ca="1">IF(
   INDEX($H$2:$Z$14, COLUMN(L10), 2*ROW(L10)-1)&gt;0,
   INDEX($H$2:$Z$14, COLUMN(L10), 2*ROW(L10)-1),
   NA()
)</f>
        <v>#N/A</v>
      </c>
      <c r="S48" s="172" cm="1">
        <f t="array" aca="1" ref="S48" ca="1">IF(
   INDEX($H$2:$Z$14, COLUMN(M10), 2*ROW(M10)-1)&gt;0,
   INDEX($H$2:$Z$14, COLUMN(M10), 2*ROW(M10)-1),
   NA()
)</f>
        <v>1.2861342479176875E-2</v>
      </c>
      <c r="T48" s="173" t="s">
        <v>41</v>
      </c>
      <c r="U48" s="170">
        <f>AO2</f>
        <v>0.58408679927667273</v>
      </c>
      <c r="V48" s="171">
        <f>AO3</f>
        <v>0.59864864864864864</v>
      </c>
      <c r="W48" s="171">
        <f>AO4</f>
        <v>0.67882187938288918</v>
      </c>
      <c r="X48" s="171">
        <f>AO5</f>
        <v>0.53460972017673047</v>
      </c>
      <c r="Y48" s="171">
        <f>AO6</f>
        <v>0.64479315263908699</v>
      </c>
      <c r="Z48" s="171">
        <f>AO7</f>
        <v>0.5169014084507042</v>
      </c>
      <c r="AA48" s="171">
        <f>AO8</f>
        <v>0.60054719562243497</v>
      </c>
      <c r="AB48" s="171">
        <f>AO9</f>
        <v>0.58668730650154799</v>
      </c>
      <c r="AC48" s="171">
        <f>AO10</f>
        <v>0.4696755994358251</v>
      </c>
      <c r="AD48" s="171">
        <f>AO11</f>
        <v>0.58620689655172409</v>
      </c>
      <c r="AE48" s="171">
        <f>AO12</f>
        <v>0.60202604920405212</v>
      </c>
      <c r="AF48" s="171">
        <f>AO13</f>
        <v>0.47941176470588237</v>
      </c>
      <c r="AG48" s="172">
        <f>AO14</f>
        <v>0.57363391325655477</v>
      </c>
      <c r="AH48" s="107"/>
      <c r="AI48" s="99"/>
      <c r="AJ48" s="107"/>
      <c r="AK48" s="108"/>
    </row>
    <row r="49" spans="6:37" ht="12.75" x14ac:dyDescent="0.2">
      <c r="F49" s="174" t="s">
        <v>42</v>
      </c>
      <c r="G49" s="175" t="e" cm="1">
        <f t="array" ref="G49">IF(
   INDEX($H$2:$Z$14, COLUMN(A11), 2*ROW(A11)-1)&gt;0,
   INDEX($H$2:$Z$14, COLUMN(A11), 2*ROW(A11)-1),
   NA()
)</f>
        <v>#REF!</v>
      </c>
      <c r="H49" s="176" t="e" cm="1">
        <f t="array" ref="H49">IF(
   INDEX($H$2:$Z$14, COLUMN(B11), 2*ROW(B11)-1)&gt;0,
   INDEX($H$2:$Z$14, COLUMN(B11), 2*ROW(B11)-1),
   NA()
)</f>
        <v>#REF!</v>
      </c>
      <c r="I49" s="176" t="e" cm="1">
        <f t="array" ref="I49">IF(
   INDEX($H$2:$Z$14, COLUMN(C11), 2*ROW(C11)-1)&gt;0,
   INDEX($H$2:$Z$14, COLUMN(C11), 2*ROW(C11)-1),
   NA()
)</f>
        <v>#REF!</v>
      </c>
      <c r="J49" s="176" t="e" cm="1">
        <f t="array" ref="J49">IF(
   INDEX($H$2:$Z$14, COLUMN(D11), 2*ROW(D11)-1)&gt;0,
   INDEX($H$2:$Z$14, COLUMN(D11), 2*ROW(D11)-1),
   NA()
)</f>
        <v>#REF!</v>
      </c>
      <c r="K49" s="176" t="e" cm="1">
        <f t="array" ref="K49">IF(
   INDEX($H$2:$Z$14, COLUMN(E11), 2*ROW(E11)-1)&gt;0,
   INDEX($H$2:$Z$14, COLUMN(E11), 2*ROW(E11)-1),
   NA()
)</f>
        <v>#REF!</v>
      </c>
      <c r="L49" s="176" t="e" cm="1">
        <f t="array" ref="L49">IF(
   INDEX($H$2:$Z$14, COLUMN(F11), 2*ROW(F11)-1)&gt;0,
   INDEX($H$2:$Z$14, COLUMN(F11), 2*ROW(F11)-1),
   NA()
)</f>
        <v>#REF!</v>
      </c>
      <c r="M49" s="176" t="e" cm="1">
        <f t="array" ref="M49">IF(
   INDEX($H$2:$Z$14, COLUMN(G11), 2*ROW(G11)-1)&gt;0,
   INDEX($H$2:$Z$14, COLUMN(G11), 2*ROW(G11)-1),
   NA()
)</f>
        <v>#REF!</v>
      </c>
      <c r="N49" s="176" t="e" cm="1">
        <f t="array" ref="N49">IF(
   INDEX($H$2:$Z$14, COLUMN(H11), 2*ROW(H11)-1)&gt;0,
   INDEX($H$2:$Z$14, COLUMN(H11), 2*ROW(H11)-1),
   NA()
)</f>
        <v>#REF!</v>
      </c>
      <c r="O49" s="176" t="e" cm="1">
        <f t="array" ref="O49">IF(
   INDEX($H$2:$Z$14, COLUMN(I11), 2*ROW(I11)-1)&gt;0,
   INDEX($H$2:$Z$14, COLUMN(I11), 2*ROW(I11)-1),
   NA()
)</f>
        <v>#REF!</v>
      </c>
      <c r="P49" s="176" t="e" cm="1">
        <f t="array" ref="P49">IF(
   INDEX($H$2:$Z$14, COLUMN(J11), 2*ROW(J11)-1)&gt;0,
   INDEX($H$2:$Z$14, COLUMN(J11), 2*ROW(J11)-1),
   NA()
)</f>
        <v>#REF!</v>
      </c>
      <c r="Q49" s="176" t="e" cm="1">
        <f t="array" ref="Q49">IF(
   INDEX($H$2:$Z$14, COLUMN(K11), 2*ROW(K11)-1)&gt;0,
   INDEX($H$2:$Z$14, COLUMN(K11), 2*ROW(K11)-1),
   NA()
)</f>
        <v>#REF!</v>
      </c>
      <c r="R49" s="176" t="e" cm="1">
        <f t="array" ref="R49">IF(
   INDEX($H$2:$Z$14, COLUMN(L11), 2*ROW(L11)-1)&gt;0,
   INDEX($H$2:$Z$14, COLUMN(L11), 2*ROW(L11)-1),
   NA()
)</f>
        <v>#REF!</v>
      </c>
      <c r="S49" s="352" t="e" cm="1">
        <f t="array" ref="S49">IF(
   INDEX($H$2:$Z$14, COLUMN(M11), 2*ROW(M11)-1)&gt;0,
   INDEX($H$2:$Z$14, COLUMN(M11), 2*ROW(M11)-1),
   NA()
)</f>
        <v>#REF!</v>
      </c>
      <c r="T49" s="178" t="s">
        <v>42</v>
      </c>
      <c r="U49" s="175">
        <f>AP2</f>
        <v>0</v>
      </c>
      <c r="V49" s="176">
        <f>AP3</f>
        <v>0</v>
      </c>
      <c r="W49" s="176">
        <f>AP4</f>
        <v>0</v>
      </c>
      <c r="X49" s="176">
        <f>AP5</f>
        <v>0</v>
      </c>
      <c r="Y49" s="176">
        <f>AP6</f>
        <v>0</v>
      </c>
      <c r="Z49" s="176">
        <f>AP7</f>
        <v>0</v>
      </c>
      <c r="AA49" s="176">
        <f>AP8</f>
        <v>0</v>
      </c>
      <c r="AB49" s="176">
        <f>AP9</f>
        <v>0</v>
      </c>
      <c r="AC49" s="176">
        <f>AP10</f>
        <v>0</v>
      </c>
      <c r="AD49" s="176">
        <f>AP11</f>
        <v>0</v>
      </c>
      <c r="AE49" s="176">
        <f>AP12</f>
        <v>0</v>
      </c>
      <c r="AF49" s="176">
        <f>AP13</f>
        <v>0</v>
      </c>
      <c r="AG49" s="177">
        <f>AP14</f>
        <v>0</v>
      </c>
      <c r="AH49" s="107"/>
      <c r="AI49" s="99"/>
      <c r="AJ49" s="107"/>
      <c r="AK49" s="108"/>
    </row>
    <row r="50" spans="6:37" ht="13.5" thickBot="1" x14ac:dyDescent="0.25">
      <c r="F50" s="179" t="s">
        <v>43</v>
      </c>
      <c r="G50" s="180" t="e" cm="1">
        <f t="array" ref="G50">IF(
   INDEX($H$2:$Z$14, COLUMN(A12), 2*ROW(A12)-1)&gt;0,
   INDEX($H$2:$Z$14, COLUMN(A12), 2*ROW(A12)-1),
   NA()
)</f>
        <v>#REF!</v>
      </c>
      <c r="H50" s="181" t="e" cm="1">
        <f t="array" ref="H50">IF(
   INDEX($H$2:$Z$14, COLUMN(B12), 2*ROW(B12)-1)&gt;0,
   INDEX($H$2:$Z$14, COLUMN(B12), 2*ROW(B12)-1),
   NA()
)</f>
        <v>#REF!</v>
      </c>
      <c r="I50" s="181" t="e" cm="1">
        <f t="array" ref="I50">IF(
   INDEX($H$2:$Z$14, COLUMN(C12), 2*ROW(C12)-1)&gt;0,
   INDEX($H$2:$Z$14, COLUMN(C12), 2*ROW(C12)-1),
   NA()
)</f>
        <v>#REF!</v>
      </c>
      <c r="J50" s="181" t="e" cm="1">
        <f t="array" ref="J50">IF(
   INDEX($H$2:$Z$14, COLUMN(D12), 2*ROW(D12)-1)&gt;0,
   INDEX($H$2:$Z$14, COLUMN(D12), 2*ROW(D12)-1),
   NA()
)</f>
        <v>#REF!</v>
      </c>
      <c r="K50" s="181" t="e" cm="1">
        <f t="array" ref="K50">IF(
   INDEX($H$2:$Z$14, COLUMN(E12), 2*ROW(E12)-1)&gt;0,
   INDEX($H$2:$Z$14, COLUMN(E12), 2*ROW(E12)-1),
   NA()
)</f>
        <v>#REF!</v>
      </c>
      <c r="L50" s="181" t="e" cm="1">
        <f t="array" ref="L50">IF(
   INDEX($H$2:$Z$14, COLUMN(F12), 2*ROW(F12)-1)&gt;0,
   INDEX($H$2:$Z$14, COLUMN(F12), 2*ROW(F12)-1),
   NA()
)</f>
        <v>#REF!</v>
      </c>
      <c r="M50" s="181" t="e" cm="1">
        <f t="array" ref="M50">IF(
   INDEX($H$2:$Z$14, COLUMN(G12), 2*ROW(G12)-1)&gt;0,
   INDEX($H$2:$Z$14, COLUMN(G12), 2*ROW(G12)-1),
   NA()
)</f>
        <v>#REF!</v>
      </c>
      <c r="N50" s="181" t="e" cm="1">
        <f t="array" ref="N50">IF(
   INDEX($H$2:$Z$14, COLUMN(H12), 2*ROW(H12)-1)&gt;0,
   INDEX($H$2:$Z$14, COLUMN(H12), 2*ROW(H12)-1),
   NA()
)</f>
        <v>#REF!</v>
      </c>
      <c r="O50" s="181" t="e" cm="1">
        <f t="array" ref="O50">IF(
   INDEX($H$2:$Z$14, COLUMN(I12), 2*ROW(I12)-1)&gt;0,
   INDEX($H$2:$Z$14, COLUMN(I12), 2*ROW(I12)-1),
   NA()
)</f>
        <v>#REF!</v>
      </c>
      <c r="P50" s="181" t="e" cm="1">
        <f t="array" ref="P50">IF(
   INDEX($H$2:$Z$14, COLUMN(J12), 2*ROW(J12)-1)&gt;0,
   INDEX($H$2:$Z$14, COLUMN(J12), 2*ROW(J12)-1),
   NA()
)</f>
        <v>#REF!</v>
      </c>
      <c r="Q50" s="181" t="e" cm="1">
        <f t="array" ref="Q50">IF(
   INDEX($H$2:$Z$14, COLUMN(K12), 2*ROW(K12)-1)&gt;0,
   INDEX($H$2:$Z$14, COLUMN(K12), 2*ROW(K12)-1),
   NA()
)</f>
        <v>#REF!</v>
      </c>
      <c r="R50" s="181" t="e" cm="1">
        <f t="array" ref="R50">IF(
   INDEX($H$2:$Z$14, COLUMN(L12), 2*ROW(L12)-1)&gt;0,
   INDEX($H$2:$Z$14, COLUMN(L12), 2*ROW(L12)-1),
   NA()
)</f>
        <v>#REF!</v>
      </c>
      <c r="S50" s="352" t="e" cm="1">
        <f t="array" ref="S50">IF(
   INDEX($H$2:$Z$14, COLUMN(M12), 2*ROW(M12)-1)&gt;0,
   INDEX($H$2:$Z$14, COLUMN(M12), 2*ROW(M12)-1),
   NA()
)</f>
        <v>#REF!</v>
      </c>
      <c r="T50" s="183" t="s">
        <v>43</v>
      </c>
      <c r="U50" s="180">
        <f>AQ2</f>
        <v>0</v>
      </c>
      <c r="V50" s="181">
        <f>AQ3</f>
        <v>0</v>
      </c>
      <c r="W50" s="181">
        <f>AQ4</f>
        <v>0</v>
      </c>
      <c r="X50" s="181">
        <f>AQ5</f>
        <v>0</v>
      </c>
      <c r="Y50" s="181">
        <f>AQ6</f>
        <v>0</v>
      </c>
      <c r="Z50" s="181">
        <f>AQ7</f>
        <v>0</v>
      </c>
      <c r="AA50" s="181">
        <f>AQ8</f>
        <v>0</v>
      </c>
      <c r="AB50" s="181">
        <f>AQ9</f>
        <v>0</v>
      </c>
      <c r="AC50" s="181">
        <f>AQ10</f>
        <v>0</v>
      </c>
      <c r="AD50" s="181">
        <f>AQ11</f>
        <v>0</v>
      </c>
      <c r="AE50" s="181">
        <f>AQ12</f>
        <v>0</v>
      </c>
      <c r="AF50" s="181">
        <f>AQ13</f>
        <v>0</v>
      </c>
      <c r="AG50" s="182">
        <f>AQ14</f>
        <v>0</v>
      </c>
      <c r="AH50" s="109"/>
      <c r="AI50" s="110"/>
      <c r="AJ50" s="109"/>
      <c r="AK50" s="111"/>
    </row>
    <row r="51" spans="6:37" ht="15.75" customHeight="1" thickBot="1" x14ac:dyDescent="0.25"/>
    <row r="52" spans="6:37" ht="15.75" customHeight="1" thickBot="1" x14ac:dyDescent="0.25">
      <c r="F52" s="144"/>
      <c r="G52" s="679" t="s">
        <v>61</v>
      </c>
      <c r="H52" s="660"/>
      <c r="I52" s="660"/>
      <c r="J52" s="660"/>
      <c r="K52" s="660"/>
      <c r="L52" s="660"/>
      <c r="M52" s="660"/>
      <c r="N52" s="660"/>
      <c r="O52" s="660"/>
      <c r="P52" s="660"/>
      <c r="Q52" s="660"/>
      <c r="R52" s="660"/>
      <c r="S52" s="661"/>
      <c r="U52" s="659" t="s">
        <v>62</v>
      </c>
      <c r="V52" s="660"/>
      <c r="W52" s="660"/>
      <c r="X52" s="660"/>
      <c r="Y52" s="660"/>
      <c r="Z52" s="660"/>
      <c r="AA52" s="660"/>
      <c r="AB52" s="660"/>
      <c r="AC52" s="660"/>
      <c r="AD52" s="660"/>
      <c r="AE52" s="660"/>
      <c r="AF52" s="660"/>
      <c r="AG52" s="661"/>
    </row>
    <row r="53" spans="6:37" ht="15.75" customHeight="1" thickBot="1" x14ac:dyDescent="0.25">
      <c r="F53" s="407" t="s">
        <v>21</v>
      </c>
      <c r="G53" s="422" t="s">
        <v>82</v>
      </c>
      <c r="H53" s="423" t="s">
        <v>83</v>
      </c>
      <c r="I53" s="424" t="s">
        <v>84</v>
      </c>
      <c r="J53" s="425" t="s">
        <v>85</v>
      </c>
      <c r="K53" s="426" t="s">
        <v>86</v>
      </c>
      <c r="L53" s="427" t="s">
        <v>87</v>
      </c>
      <c r="M53" s="428" t="s">
        <v>88</v>
      </c>
      <c r="N53" s="423" t="s">
        <v>89</v>
      </c>
      <c r="O53" s="424" t="s">
        <v>90</v>
      </c>
      <c r="P53" s="425" t="s">
        <v>91</v>
      </c>
      <c r="Q53" s="426" t="s">
        <v>92</v>
      </c>
      <c r="R53" s="427" t="s">
        <v>93</v>
      </c>
      <c r="S53" s="429" t="s">
        <v>16</v>
      </c>
      <c r="T53" s="407" t="s">
        <v>21</v>
      </c>
      <c r="U53" s="422" t="s">
        <v>82</v>
      </c>
      <c r="V53" s="423" t="s">
        <v>83</v>
      </c>
      <c r="W53" s="424" t="s">
        <v>84</v>
      </c>
      <c r="X53" s="425" t="s">
        <v>85</v>
      </c>
      <c r="Y53" s="426" t="s">
        <v>86</v>
      </c>
      <c r="Z53" s="427" t="s">
        <v>87</v>
      </c>
      <c r="AA53" s="428" t="s">
        <v>88</v>
      </c>
      <c r="AB53" s="423" t="s">
        <v>89</v>
      </c>
      <c r="AC53" s="424" t="s">
        <v>90</v>
      </c>
      <c r="AD53" s="425" t="s">
        <v>91</v>
      </c>
      <c r="AE53" s="426" t="s">
        <v>92</v>
      </c>
      <c r="AF53" s="427" t="s">
        <v>93</v>
      </c>
      <c r="AG53" s="429" t="s">
        <v>16</v>
      </c>
    </row>
    <row r="54" spans="6:37" ht="15.75" customHeight="1" x14ac:dyDescent="0.2">
      <c r="F54" s="413" t="s">
        <v>44</v>
      </c>
      <c r="G54" s="417" t="e">
        <f ca="1">INDIRECT("'Bureau 1'!" &amp; ADDRESS(ROW()-50,Synthèse!$G$41+14,4))</f>
        <v>#N/A</v>
      </c>
      <c r="H54" s="418" t="e">
        <f ca="1">INDIRECT("'Bureau 2'!" &amp; ADDRESS(ROW()-50,Synthèse!$G$41+14,4))</f>
        <v>#N/A</v>
      </c>
      <c r="I54" s="419" t="e">
        <f ca="1">INDIRECT("'Bureau 3'!" &amp; ADDRESS(ROW()-50,Synthèse!$G$41+14,4))</f>
        <v>#N/A</v>
      </c>
      <c r="J54" s="419" t="e">
        <f ca="1">INDIRECT("'Bureau 4'!" &amp; ADDRESS(ROW()-50,Synthèse!$G$41+14,4))</f>
        <v>#N/A</v>
      </c>
      <c r="K54" s="419" t="e">
        <f ca="1">INDIRECT("'Bureau 5'!" &amp; ADDRESS(ROW()-50,Synthèse!$G$41+14,4))</f>
        <v>#N/A</v>
      </c>
      <c r="L54" s="419" t="e">
        <f ca="1">INDIRECT("'Bureau 6'!" &amp; ADDRESS(ROW()-50,Synthèse!$G$41+14,4))</f>
        <v>#N/A</v>
      </c>
      <c r="M54" s="419" t="e">
        <f ca="1">INDIRECT("'Bureau 7'!" &amp; ADDRESS(ROW()-50,Synthèse!$G$41+14,4))</f>
        <v>#N/A</v>
      </c>
      <c r="N54" s="419" t="e">
        <f ca="1">INDIRECT("'Bureau 8'!" &amp; ADDRESS(ROW()-50,Synthèse!$G$41+14,4))</f>
        <v>#N/A</v>
      </c>
      <c r="O54" s="419" t="e">
        <f ca="1">INDIRECT("'Bureau 9'!" &amp; ADDRESS(ROW()-50,Synthèse!$G$41+14,4))</f>
        <v>#N/A</v>
      </c>
      <c r="P54" s="419" t="e">
        <f ca="1">INDIRECT("'Bureau 10'!" &amp; ADDRESS(ROW()-50,Synthèse!$G$41+14,4))</f>
        <v>#N/A</v>
      </c>
      <c r="Q54" s="419" t="e">
        <f ca="1">INDIRECT("'Bureau 11'!" &amp; ADDRESS(ROW()-50,Synthèse!$G$41+14,4))</f>
        <v>#N/A</v>
      </c>
      <c r="R54" s="419" t="e">
        <f ca="1">INDIRECT("'Bureau 12'!" &amp; ADDRESS(ROW()-50,Synthèse!$G$41+14,4))</f>
        <v>#N/A</v>
      </c>
      <c r="S54" s="420">
        <f ca="1">SUMIF(G54:R54, "&lt;&gt;#N/A")</f>
        <v>0</v>
      </c>
      <c r="T54" s="413" t="s">
        <v>44</v>
      </c>
      <c r="U54" s="417">
        <v>33</v>
      </c>
      <c r="V54" s="418">
        <v>45</v>
      </c>
      <c r="W54" s="419">
        <v>40</v>
      </c>
      <c r="X54" s="419">
        <v>33</v>
      </c>
      <c r="Y54" s="419">
        <v>37</v>
      </c>
      <c r="Z54" s="419">
        <v>30</v>
      </c>
      <c r="AA54" s="419">
        <v>20</v>
      </c>
      <c r="AB54" s="419">
        <v>36</v>
      </c>
      <c r="AC54" s="419">
        <v>22</v>
      </c>
      <c r="AD54" s="419">
        <v>27</v>
      </c>
      <c r="AE54" s="419">
        <v>47</v>
      </c>
      <c r="AF54" s="419">
        <v>24</v>
      </c>
      <c r="AG54" s="420">
        <v>394</v>
      </c>
    </row>
    <row r="55" spans="6:37" ht="15.75" customHeight="1" x14ac:dyDescent="0.2">
      <c r="F55" s="414" t="s">
        <v>45</v>
      </c>
      <c r="G55" s="408" t="e">
        <f ca="1">INDIRECT("'Bureau 1'!" &amp; ADDRESS(ROW()-50,Synthèse!$G$41+14,4))</f>
        <v>#N/A</v>
      </c>
      <c r="H55" s="416" t="e">
        <f ca="1">INDIRECT("'Bureau 2'!" &amp; ADDRESS(ROW()-50,Synthèse!$G$41+14,4))</f>
        <v>#N/A</v>
      </c>
      <c r="I55" s="335" t="e">
        <f ca="1">INDIRECT("'Bureau 3'!" &amp; ADDRESS(ROW()-50,Synthèse!$G$41+14,4))</f>
        <v>#N/A</v>
      </c>
      <c r="J55" s="335" t="e">
        <f ca="1">INDIRECT("'Bureau 4'!" &amp; ADDRESS(ROW()-50,Synthèse!$G$41+14,4))</f>
        <v>#N/A</v>
      </c>
      <c r="K55" s="335" t="e">
        <f ca="1">INDIRECT("'Bureau 5'!" &amp; ADDRESS(ROW()-50,Synthèse!$G$41+14,4))</f>
        <v>#N/A</v>
      </c>
      <c r="L55" s="335" t="e">
        <f ca="1">INDIRECT("'Bureau 6'!" &amp; ADDRESS(ROW()-50,Synthèse!$G$41+14,4))</f>
        <v>#N/A</v>
      </c>
      <c r="M55" s="335" t="e">
        <f ca="1">INDIRECT("'Bureau 7'!" &amp; ADDRESS(ROW()-50,Synthèse!$G$41+14,4))</f>
        <v>#N/A</v>
      </c>
      <c r="N55" s="335" t="e">
        <f ca="1">INDIRECT("'Bureau 8'!" &amp; ADDRESS(ROW()-50,Synthèse!$G$41+14,4))</f>
        <v>#N/A</v>
      </c>
      <c r="O55" s="335" t="e">
        <f ca="1">INDIRECT("'Bureau 9'!" &amp; ADDRESS(ROW()-50,Synthèse!$G$41+14,4))</f>
        <v>#N/A</v>
      </c>
      <c r="P55" s="335" t="e">
        <f ca="1">INDIRECT("'Bureau 10'!" &amp; ADDRESS(ROW()-50,Synthèse!$G$41+14,4))</f>
        <v>#N/A</v>
      </c>
      <c r="Q55" s="335" t="e">
        <f ca="1">INDIRECT("'Bureau 11'!" &amp; ADDRESS(ROW()-50,Synthèse!$G$41+14,4))</f>
        <v>#N/A</v>
      </c>
      <c r="R55" s="335" t="e">
        <f ca="1">INDIRECT("'Bureau 12'!" &amp; ADDRESS(ROW()-50,Synthèse!$G$41+14,4))</f>
        <v>#N/A</v>
      </c>
      <c r="S55" s="409">
        <f t="shared" ref="S55:S65" ca="1" si="15">SUMIF(G55:R55, "&lt;&gt;#N/A")</f>
        <v>0</v>
      </c>
      <c r="T55" s="414" t="s">
        <v>45</v>
      </c>
      <c r="U55" s="408">
        <v>45</v>
      </c>
      <c r="V55" s="416">
        <v>35</v>
      </c>
      <c r="W55" s="335">
        <v>70</v>
      </c>
      <c r="X55" s="335">
        <v>35</v>
      </c>
      <c r="Y55" s="335">
        <v>56</v>
      </c>
      <c r="Z55" s="335">
        <v>59</v>
      </c>
      <c r="AA55" s="335">
        <v>55</v>
      </c>
      <c r="AB55" s="335">
        <v>36</v>
      </c>
      <c r="AC55" s="335">
        <v>37</v>
      </c>
      <c r="AD55" s="335">
        <v>43</v>
      </c>
      <c r="AE55" s="335">
        <v>49</v>
      </c>
      <c r="AF55" s="335">
        <v>25</v>
      </c>
      <c r="AG55" s="409">
        <v>545</v>
      </c>
    </row>
    <row r="56" spans="6:37" ht="15.75" customHeight="1" x14ac:dyDescent="0.2">
      <c r="F56" s="414" t="s">
        <v>46</v>
      </c>
      <c r="G56" s="408" t="e">
        <f ca="1">INDIRECT("'Bureau 1'!" &amp; ADDRESS(ROW()-50,Synthèse!$G$41+14,4))</f>
        <v>#N/A</v>
      </c>
      <c r="H56" s="416" t="e">
        <f ca="1">INDIRECT("'Bureau 2'!" &amp; ADDRESS(ROW()-50,Synthèse!$G$41+14,4))</f>
        <v>#N/A</v>
      </c>
      <c r="I56" s="335" t="e">
        <f ca="1">INDIRECT("'Bureau 3'!" &amp; ADDRESS(ROW()-50,Synthèse!$G$41+14,4))</f>
        <v>#N/A</v>
      </c>
      <c r="J56" s="335" t="e">
        <f ca="1">INDIRECT("'Bureau 4'!" &amp; ADDRESS(ROW()-50,Synthèse!$G$41+14,4))</f>
        <v>#N/A</v>
      </c>
      <c r="K56" s="335" t="e">
        <f ca="1">INDIRECT("'Bureau 5'!" &amp; ADDRESS(ROW()-50,Synthèse!$G$41+14,4))</f>
        <v>#N/A</v>
      </c>
      <c r="L56" s="335" t="e">
        <f ca="1">INDIRECT("'Bureau 6'!" &amp; ADDRESS(ROW()-50,Synthèse!$G$41+14,4))</f>
        <v>#N/A</v>
      </c>
      <c r="M56" s="335" t="e">
        <f ca="1">INDIRECT("'Bureau 7'!" &amp; ADDRESS(ROW()-50,Synthèse!$G$41+14,4))</f>
        <v>#N/A</v>
      </c>
      <c r="N56" s="335" t="e">
        <f ca="1">INDIRECT("'Bureau 8'!" &amp; ADDRESS(ROW()-50,Synthèse!$G$41+14,4))</f>
        <v>#N/A</v>
      </c>
      <c r="O56" s="335" t="e">
        <f ca="1">INDIRECT("'Bureau 9'!" &amp; ADDRESS(ROW()-50,Synthèse!$G$41+14,4))</f>
        <v>#N/A</v>
      </c>
      <c r="P56" s="335" t="e">
        <f ca="1">INDIRECT("'Bureau 10'!" &amp; ADDRESS(ROW()-50,Synthèse!$G$41+14,4))</f>
        <v>#N/A</v>
      </c>
      <c r="Q56" s="335" t="e">
        <f ca="1">INDIRECT("'Bureau 11'!" &amp; ADDRESS(ROW()-50,Synthèse!$G$41+14,4))</f>
        <v>#N/A</v>
      </c>
      <c r="R56" s="335" t="e">
        <f ca="1">INDIRECT("'Bureau 12'!" &amp; ADDRESS(ROW()-50,Synthèse!$G$41+14,4))</f>
        <v>#N/A</v>
      </c>
      <c r="S56" s="409">
        <f t="shared" ca="1" si="15"/>
        <v>0</v>
      </c>
      <c r="T56" s="414" t="s">
        <v>46</v>
      </c>
      <c r="U56" s="408">
        <v>52</v>
      </c>
      <c r="V56" s="416">
        <v>60</v>
      </c>
      <c r="W56" s="335">
        <v>80</v>
      </c>
      <c r="X56" s="335">
        <v>70</v>
      </c>
      <c r="Y56" s="335">
        <v>67</v>
      </c>
      <c r="Z56" s="335">
        <v>51</v>
      </c>
      <c r="AA56" s="335">
        <v>75</v>
      </c>
      <c r="AB56" s="335">
        <v>77</v>
      </c>
      <c r="AC56" s="335">
        <v>46</v>
      </c>
      <c r="AD56" s="335">
        <v>70</v>
      </c>
      <c r="AE56" s="335">
        <v>62</v>
      </c>
      <c r="AF56" s="335">
        <v>47</v>
      </c>
      <c r="AG56" s="409">
        <v>757</v>
      </c>
    </row>
    <row r="57" spans="6:37" ht="15.75" customHeight="1" x14ac:dyDescent="0.2">
      <c r="F57" s="414" t="s">
        <v>53</v>
      </c>
      <c r="G57" s="408" t="e">
        <f ca="1">INDIRECT("'Bureau 1'!" &amp; ADDRESS(ROW()-50,Synthèse!$G$41+14,4))</f>
        <v>#N/A</v>
      </c>
      <c r="H57" s="416" t="e">
        <f ca="1">INDIRECT("'Bureau 2'!" &amp; ADDRESS(ROW()-50,Synthèse!$G$41+14,4))</f>
        <v>#N/A</v>
      </c>
      <c r="I57" s="335" t="e">
        <f ca="1">INDIRECT("'Bureau 3'!" &amp; ADDRESS(ROW()-50,Synthèse!$G$41+14,4))</f>
        <v>#N/A</v>
      </c>
      <c r="J57" s="335" t="e">
        <f ca="1">INDIRECT("'Bureau 4'!" &amp; ADDRESS(ROW()-50,Synthèse!$G$41+14,4))</f>
        <v>#N/A</v>
      </c>
      <c r="K57" s="335" t="e">
        <f ca="1">INDIRECT("'Bureau 5'!" &amp; ADDRESS(ROW()-50,Synthèse!$G$41+14,4))</f>
        <v>#N/A</v>
      </c>
      <c r="L57" s="335" t="e">
        <f ca="1">INDIRECT("'Bureau 6'!" &amp; ADDRESS(ROW()-50,Synthèse!$G$41+14,4))</f>
        <v>#N/A</v>
      </c>
      <c r="M57" s="335" t="e">
        <f ca="1">INDIRECT("'Bureau 7'!" &amp; ADDRESS(ROW()-50,Synthèse!$G$41+14,4))</f>
        <v>#N/A</v>
      </c>
      <c r="N57" s="335" t="e">
        <f ca="1">INDIRECT("'Bureau 8'!" &amp; ADDRESS(ROW()-50,Synthèse!$G$41+14,4))</f>
        <v>#N/A</v>
      </c>
      <c r="O57" s="335" t="e">
        <f ca="1">INDIRECT("'Bureau 9'!" &amp; ADDRESS(ROW()-50,Synthèse!$G$41+14,4))</f>
        <v>#N/A</v>
      </c>
      <c r="P57" s="335" t="e">
        <f ca="1">INDIRECT("'Bureau 10'!" &amp; ADDRESS(ROW()-50,Synthèse!$G$41+14,4))</f>
        <v>#N/A</v>
      </c>
      <c r="Q57" s="335" t="e">
        <f ca="1">INDIRECT("'Bureau 11'!" &amp; ADDRESS(ROW()-50,Synthèse!$G$41+14,4))</f>
        <v>#N/A</v>
      </c>
      <c r="R57" s="335" t="e">
        <f ca="1">INDIRECT("'Bureau 12'!" &amp; ADDRESS(ROW()-50,Synthèse!$G$41+14,4))</f>
        <v>#N/A</v>
      </c>
      <c r="S57" s="409">
        <f t="shared" ca="1" si="15"/>
        <v>0</v>
      </c>
      <c r="T57" s="414" t="s">
        <v>53</v>
      </c>
      <c r="U57" s="408">
        <v>56</v>
      </c>
      <c r="V57" s="416">
        <v>90</v>
      </c>
      <c r="W57" s="335">
        <v>80</v>
      </c>
      <c r="X57" s="335">
        <v>50</v>
      </c>
      <c r="Y57" s="335">
        <v>80</v>
      </c>
      <c r="Z57" s="335">
        <v>50</v>
      </c>
      <c r="AA57" s="335">
        <v>92</v>
      </c>
      <c r="AB57" s="335">
        <v>64</v>
      </c>
      <c r="AC57" s="335">
        <v>60</v>
      </c>
      <c r="AD57" s="335">
        <v>70</v>
      </c>
      <c r="AE57" s="335">
        <v>57</v>
      </c>
      <c r="AF57" s="335">
        <v>47</v>
      </c>
      <c r="AG57" s="409">
        <v>796</v>
      </c>
    </row>
    <row r="58" spans="6:37" ht="15.75" customHeight="1" x14ac:dyDescent="0.2">
      <c r="F58" s="414" t="s">
        <v>47</v>
      </c>
      <c r="G58" s="408" t="e">
        <f ca="1">INDIRECT("'Bureau 1'!" &amp; ADDRESS(ROW()-50,Synthèse!$G$41+14,4))</f>
        <v>#N/A</v>
      </c>
      <c r="H58" s="416" t="e">
        <f ca="1">INDIRECT("'Bureau 2'!" &amp; ADDRESS(ROW()-50,Synthèse!$G$41+14,4))</f>
        <v>#N/A</v>
      </c>
      <c r="I58" s="335" t="e">
        <f ca="1">INDIRECT("'Bureau 3'!" &amp; ADDRESS(ROW()-50,Synthèse!$G$41+14,4))</f>
        <v>#N/A</v>
      </c>
      <c r="J58" s="335" t="e">
        <f ca="1">INDIRECT("'Bureau 4'!" &amp; ADDRESS(ROW()-50,Synthèse!$G$41+14,4))</f>
        <v>#N/A</v>
      </c>
      <c r="K58" s="335" t="e">
        <f ca="1">INDIRECT("'Bureau 5'!" &amp; ADDRESS(ROW()-50,Synthèse!$G$41+14,4))</f>
        <v>#N/A</v>
      </c>
      <c r="L58" s="335" t="e">
        <f ca="1">INDIRECT("'Bureau 6'!" &amp; ADDRESS(ROW()-50,Synthèse!$G$41+14,4))</f>
        <v>#N/A</v>
      </c>
      <c r="M58" s="335" t="e">
        <f ca="1">INDIRECT("'Bureau 7'!" &amp; ADDRESS(ROW()-50,Synthèse!$G$41+14,4))</f>
        <v>#N/A</v>
      </c>
      <c r="N58" s="335" t="e">
        <f ca="1">INDIRECT("'Bureau 8'!" &amp; ADDRESS(ROW()-50,Synthèse!$G$41+14,4))</f>
        <v>#N/A</v>
      </c>
      <c r="O58" s="335" t="e">
        <f ca="1">INDIRECT("'Bureau 9'!" &amp; ADDRESS(ROW()-50,Synthèse!$G$41+14,4))</f>
        <v>#N/A</v>
      </c>
      <c r="P58" s="335" t="e">
        <f ca="1">INDIRECT("'Bureau 10'!" &amp; ADDRESS(ROW()-50,Synthèse!$G$41+14,4))</f>
        <v>#N/A</v>
      </c>
      <c r="Q58" s="335" t="e">
        <f ca="1">INDIRECT("'Bureau 11'!" &amp; ADDRESS(ROW()-50,Synthèse!$G$41+14,4))</f>
        <v>#N/A</v>
      </c>
      <c r="R58" s="335" t="e">
        <f ca="1">INDIRECT("'Bureau 12'!" &amp; ADDRESS(ROW()-50,Synthèse!$G$41+14,4))</f>
        <v>#N/A</v>
      </c>
      <c r="S58" s="409">
        <f t="shared" ca="1" si="15"/>
        <v>0</v>
      </c>
      <c r="T58" s="414" t="s">
        <v>47</v>
      </c>
      <c r="U58" s="408">
        <v>23</v>
      </c>
      <c r="V58" s="416">
        <v>38</v>
      </c>
      <c r="W58" s="335">
        <v>40</v>
      </c>
      <c r="X58" s="335">
        <v>38</v>
      </c>
      <c r="Y58" s="335">
        <v>50</v>
      </c>
      <c r="Z58" s="335">
        <v>47</v>
      </c>
      <c r="AA58" s="335">
        <v>42</v>
      </c>
      <c r="AB58" s="335">
        <v>47</v>
      </c>
      <c r="AC58" s="335">
        <v>27</v>
      </c>
      <c r="AD58" s="335">
        <v>30</v>
      </c>
      <c r="AE58" s="335">
        <v>49</v>
      </c>
      <c r="AF58" s="335">
        <v>39</v>
      </c>
      <c r="AG58" s="409">
        <v>470</v>
      </c>
    </row>
    <row r="59" spans="6:37" ht="15.75" customHeight="1" x14ac:dyDescent="0.2">
      <c r="F59" s="414" t="s">
        <v>48</v>
      </c>
      <c r="G59" s="408" t="e">
        <f ca="1">INDIRECT("'Bureau 1'!" &amp; ADDRESS(ROW()-50,Synthèse!$G$41+14,4))</f>
        <v>#N/A</v>
      </c>
      <c r="H59" s="416" t="e">
        <f ca="1">INDIRECT("'Bureau 2'!" &amp; ADDRESS(ROW()-50,Synthèse!$G$41+14,4))</f>
        <v>#N/A</v>
      </c>
      <c r="I59" s="335" t="e">
        <f ca="1">INDIRECT("'Bureau 3'!" &amp; ADDRESS(ROW()-50,Synthèse!$G$41+14,4))</f>
        <v>#N/A</v>
      </c>
      <c r="J59" s="335" t="e">
        <f ca="1">INDIRECT("'Bureau 4'!" &amp; ADDRESS(ROW()-50,Synthèse!$G$41+14,4))</f>
        <v>#N/A</v>
      </c>
      <c r="K59" s="335" t="e">
        <f ca="1">INDIRECT("'Bureau 5'!" &amp; ADDRESS(ROW()-50,Synthèse!$G$41+14,4))</f>
        <v>#N/A</v>
      </c>
      <c r="L59" s="335" t="e">
        <f ca="1">INDIRECT("'Bureau 6'!" &amp; ADDRESS(ROW()-50,Synthèse!$G$41+14,4))</f>
        <v>#N/A</v>
      </c>
      <c r="M59" s="335" t="e">
        <f ca="1">INDIRECT("'Bureau 7'!" &amp; ADDRESS(ROW()-50,Synthèse!$G$41+14,4))</f>
        <v>#N/A</v>
      </c>
      <c r="N59" s="335" t="e">
        <f ca="1">INDIRECT("'Bureau 8'!" &amp; ADDRESS(ROW()-50,Synthèse!$G$41+14,4))</f>
        <v>#N/A</v>
      </c>
      <c r="O59" s="335" t="e">
        <f ca="1">INDIRECT("'Bureau 9'!" &amp; ADDRESS(ROW()-50,Synthèse!$G$41+14,4))</f>
        <v>#N/A</v>
      </c>
      <c r="P59" s="335" t="e">
        <f ca="1">INDIRECT("'Bureau 10'!" &amp; ADDRESS(ROW()-50,Synthèse!$G$41+14,4))</f>
        <v>#N/A</v>
      </c>
      <c r="Q59" s="335" t="e">
        <f ca="1">INDIRECT("'Bureau 11'!" &amp; ADDRESS(ROW()-50,Synthèse!$G$41+14,4))</f>
        <v>#N/A</v>
      </c>
      <c r="R59" s="335" t="e">
        <f ca="1">INDIRECT("'Bureau 12'!" &amp; ADDRESS(ROW()-50,Synthèse!$G$41+14,4))</f>
        <v>#N/A</v>
      </c>
      <c r="S59" s="409">
        <f t="shared" ca="1" si="15"/>
        <v>0</v>
      </c>
      <c r="T59" s="414" t="s">
        <v>48</v>
      </c>
      <c r="U59" s="408">
        <v>26</v>
      </c>
      <c r="V59" s="416">
        <v>42</v>
      </c>
      <c r="W59" s="335">
        <v>50</v>
      </c>
      <c r="X59" s="335">
        <v>40</v>
      </c>
      <c r="Y59" s="335">
        <v>35</v>
      </c>
      <c r="Z59" s="335">
        <v>38</v>
      </c>
      <c r="AA59" s="335">
        <v>26</v>
      </c>
      <c r="AB59" s="335">
        <v>40</v>
      </c>
      <c r="AC59" s="335">
        <v>38</v>
      </c>
      <c r="AD59" s="335">
        <v>32</v>
      </c>
      <c r="AE59" s="335">
        <v>35</v>
      </c>
      <c r="AF59" s="335">
        <v>35</v>
      </c>
      <c r="AG59" s="409">
        <v>437</v>
      </c>
    </row>
    <row r="60" spans="6:37" ht="15.75" customHeight="1" x14ac:dyDescent="0.2">
      <c r="F60" s="414" t="s">
        <v>49</v>
      </c>
      <c r="G60" s="408" t="e">
        <f ca="1">INDIRECT("'Bureau 1'!" &amp; ADDRESS(ROW()-50,Synthèse!$G$41+14,4))</f>
        <v>#N/A</v>
      </c>
      <c r="H60" s="416" t="e">
        <f ca="1">INDIRECT("'Bureau 2'!" &amp; ADDRESS(ROW()-50,Synthèse!$G$41+14,4))</f>
        <v>#N/A</v>
      </c>
      <c r="I60" s="335" t="e">
        <f ca="1">INDIRECT("'Bureau 3'!" &amp; ADDRESS(ROW()-50,Synthèse!$G$41+14,4))</f>
        <v>#N/A</v>
      </c>
      <c r="J60" s="335" t="e">
        <f ca="1">INDIRECT("'Bureau 4'!" &amp; ADDRESS(ROW()-50,Synthèse!$G$41+14,4))</f>
        <v>#N/A</v>
      </c>
      <c r="K60" s="335" t="e">
        <f ca="1">INDIRECT("'Bureau 5'!" &amp; ADDRESS(ROW()-50,Synthèse!$G$41+14,4))</f>
        <v>#N/A</v>
      </c>
      <c r="L60" s="335" t="e">
        <f ca="1">INDIRECT("'Bureau 6'!" &amp; ADDRESS(ROW()-50,Synthèse!$G$41+14,4))</f>
        <v>#N/A</v>
      </c>
      <c r="M60" s="335" t="e">
        <f ca="1">INDIRECT("'Bureau 7'!" &amp; ADDRESS(ROW()-50,Synthèse!$G$41+14,4))</f>
        <v>#N/A</v>
      </c>
      <c r="N60" s="335" t="e">
        <f ca="1">INDIRECT("'Bureau 8'!" &amp; ADDRESS(ROW()-50,Synthèse!$G$41+14,4))</f>
        <v>#N/A</v>
      </c>
      <c r="O60" s="335" t="e">
        <f ca="1">INDIRECT("'Bureau 9'!" &amp; ADDRESS(ROW()-50,Synthèse!$G$41+14,4))</f>
        <v>#N/A</v>
      </c>
      <c r="P60" s="335" t="e">
        <f ca="1">INDIRECT("'Bureau 10'!" &amp; ADDRESS(ROW()-50,Synthèse!$G$41+14,4))</f>
        <v>#N/A</v>
      </c>
      <c r="Q60" s="335" t="e">
        <f ca="1">INDIRECT("'Bureau 11'!" &amp; ADDRESS(ROW()-50,Synthèse!$G$41+14,4))</f>
        <v>#N/A</v>
      </c>
      <c r="R60" s="335" t="e">
        <f ca="1">INDIRECT("'Bureau 12'!" &amp; ADDRESS(ROW()-50,Synthèse!$G$41+14,4))</f>
        <v>#N/A</v>
      </c>
      <c r="S60" s="409">
        <f t="shared" ca="1" si="15"/>
        <v>0</v>
      </c>
      <c r="T60" s="414" t="s">
        <v>49</v>
      </c>
      <c r="U60" s="408">
        <v>21</v>
      </c>
      <c r="V60" s="416">
        <v>50</v>
      </c>
      <c r="W60" s="335">
        <v>50</v>
      </c>
      <c r="X60" s="335">
        <v>40</v>
      </c>
      <c r="Y60" s="335">
        <v>50</v>
      </c>
      <c r="Z60" s="335">
        <v>30</v>
      </c>
      <c r="AA60" s="335">
        <v>44</v>
      </c>
      <c r="AB60" s="335">
        <v>25</v>
      </c>
      <c r="AC60" s="335">
        <v>40</v>
      </c>
      <c r="AD60" s="335">
        <v>28</v>
      </c>
      <c r="AE60" s="335">
        <v>33</v>
      </c>
      <c r="AF60" s="335">
        <v>34</v>
      </c>
      <c r="AG60" s="409">
        <v>445</v>
      </c>
    </row>
    <row r="61" spans="6:37" ht="15.75" customHeight="1" x14ac:dyDescent="0.2">
      <c r="F61" s="414" t="s">
        <v>50</v>
      </c>
      <c r="G61" s="408" t="e">
        <f ca="1">INDIRECT("'Bureau 1'!" &amp; ADDRESS(ROW()-50,Synthèse!$G$41+14,4))</f>
        <v>#N/A</v>
      </c>
      <c r="H61" s="416" t="e">
        <f ca="1">INDIRECT("'Bureau 2'!" &amp; ADDRESS(ROW()-50,Synthèse!$G$41+14,4))</f>
        <v>#N/A</v>
      </c>
      <c r="I61" s="335" t="e">
        <f ca="1">INDIRECT("'Bureau 3'!" &amp; ADDRESS(ROW()-50,Synthèse!$G$41+14,4))</f>
        <v>#N/A</v>
      </c>
      <c r="J61" s="335" t="e">
        <f ca="1">INDIRECT("'Bureau 4'!" &amp; ADDRESS(ROW()-50,Synthèse!$G$41+14,4))</f>
        <v>#N/A</v>
      </c>
      <c r="K61" s="335" t="e">
        <f ca="1">INDIRECT("'Bureau 5'!" &amp; ADDRESS(ROW()-50,Synthèse!$G$41+14,4))</f>
        <v>#N/A</v>
      </c>
      <c r="L61" s="335" t="e">
        <f ca="1">INDIRECT("'Bureau 6'!" &amp; ADDRESS(ROW()-50,Synthèse!$G$41+14,4))</f>
        <v>#N/A</v>
      </c>
      <c r="M61" s="335" t="e">
        <f ca="1">INDIRECT("'Bureau 7'!" &amp; ADDRESS(ROW()-50,Synthèse!$G$41+14,4))</f>
        <v>#N/A</v>
      </c>
      <c r="N61" s="335" t="e">
        <f ca="1">INDIRECT("'Bureau 8'!" &amp; ADDRESS(ROW()-50,Synthèse!$G$41+14,4))</f>
        <v>#N/A</v>
      </c>
      <c r="O61" s="335" t="e">
        <f ca="1">INDIRECT("'Bureau 9'!" &amp; ADDRESS(ROW()-50,Synthèse!$G$41+14,4))</f>
        <v>#N/A</v>
      </c>
      <c r="P61" s="335" t="e">
        <f ca="1">INDIRECT("'Bureau 10'!" &amp; ADDRESS(ROW()-50,Synthèse!$G$41+14,4))</f>
        <v>#N/A</v>
      </c>
      <c r="Q61" s="335" t="e">
        <f ca="1">INDIRECT("'Bureau 11'!" &amp; ADDRESS(ROW()-50,Synthèse!$G$41+14,4))</f>
        <v>#N/A</v>
      </c>
      <c r="R61" s="335" t="e">
        <f ca="1">INDIRECT("'Bureau 12'!" &amp; ADDRESS(ROW()-50,Synthèse!$G$41+14,4))</f>
        <v>#N/A</v>
      </c>
      <c r="S61" s="409">
        <f t="shared" ca="1" si="15"/>
        <v>0</v>
      </c>
      <c r="T61" s="414" t="s">
        <v>50</v>
      </c>
      <c r="U61" s="408">
        <v>26</v>
      </c>
      <c r="V61" s="416">
        <v>30</v>
      </c>
      <c r="W61" s="335">
        <v>30</v>
      </c>
      <c r="X61" s="335">
        <v>30</v>
      </c>
      <c r="Y61" s="335">
        <v>45</v>
      </c>
      <c r="Z61" s="335">
        <v>31</v>
      </c>
      <c r="AA61" s="335">
        <v>48</v>
      </c>
      <c r="AB61" s="335">
        <v>25</v>
      </c>
      <c r="AC61" s="335">
        <v>23</v>
      </c>
      <c r="AD61" s="335">
        <v>30</v>
      </c>
      <c r="AE61" s="335">
        <v>50</v>
      </c>
      <c r="AF61" s="335">
        <v>36</v>
      </c>
      <c r="AG61" s="409">
        <v>404</v>
      </c>
    </row>
    <row r="62" spans="6:37" ht="15.75" customHeight="1" x14ac:dyDescent="0.2">
      <c r="F62" s="414" t="s">
        <v>51</v>
      </c>
      <c r="G62" s="408" t="e">
        <f ca="1">INDIRECT("'Bureau 1'!" &amp; ADDRESS(ROW()-50,Synthèse!$G$41+14,4))</f>
        <v>#N/A</v>
      </c>
      <c r="H62" s="416" t="e">
        <f ca="1">INDIRECT("'Bureau 2'!" &amp; ADDRESS(ROW()-50,Synthèse!$G$41+14,4))</f>
        <v>#N/A</v>
      </c>
      <c r="I62" s="335" t="e">
        <f ca="1">INDIRECT("'Bureau 3'!" &amp; ADDRESS(ROW()-50,Synthèse!$G$41+14,4))</f>
        <v>#N/A</v>
      </c>
      <c r="J62" s="335" t="e">
        <f ca="1">INDIRECT("'Bureau 4'!" &amp; ADDRESS(ROW()-50,Synthèse!$G$41+14,4))</f>
        <v>#N/A</v>
      </c>
      <c r="K62" s="335" t="e">
        <f ca="1">INDIRECT("'Bureau 5'!" &amp; ADDRESS(ROW()-50,Synthèse!$G$41+14,4))</f>
        <v>#N/A</v>
      </c>
      <c r="L62" s="335" t="e">
        <f ca="1">INDIRECT("'Bureau 6'!" &amp; ADDRESS(ROW()-50,Synthèse!$G$41+14,4))</f>
        <v>#N/A</v>
      </c>
      <c r="M62" s="335" t="e">
        <f ca="1">INDIRECT("'Bureau 7'!" &amp; ADDRESS(ROW()-50,Synthèse!$G$41+14,4))</f>
        <v>#N/A</v>
      </c>
      <c r="N62" s="335" t="e">
        <f ca="1">INDIRECT("'Bureau 8'!" &amp; ADDRESS(ROW()-50,Synthèse!$G$41+14,4))</f>
        <v>#N/A</v>
      </c>
      <c r="O62" s="335" t="e">
        <f ca="1">INDIRECT("'Bureau 9'!" &amp; ADDRESS(ROW()-50,Synthèse!$G$41+14,4))</f>
        <v>#N/A</v>
      </c>
      <c r="P62" s="335" t="e">
        <f ca="1">INDIRECT("'Bureau 10'!" &amp; ADDRESS(ROW()-50,Synthèse!$G$41+14,4))</f>
        <v>#N/A</v>
      </c>
      <c r="Q62" s="335" t="e">
        <f ca="1">INDIRECT("'Bureau 11'!" &amp; ADDRESS(ROW()-50,Synthèse!$G$41+14,4))</f>
        <v>#N/A</v>
      </c>
      <c r="R62" s="335" t="e">
        <f ca="1">INDIRECT("'Bureau 12'!" &amp; ADDRESS(ROW()-50,Synthèse!$G$41+14,4))</f>
        <v>#N/A</v>
      </c>
      <c r="S62" s="409">
        <f t="shared" ca="1" si="15"/>
        <v>0</v>
      </c>
      <c r="T62" s="414" t="s">
        <v>51</v>
      </c>
      <c r="U62" s="408">
        <v>21</v>
      </c>
      <c r="V62" s="416">
        <v>25</v>
      </c>
      <c r="W62" s="335">
        <v>30</v>
      </c>
      <c r="X62" s="335">
        <v>15</v>
      </c>
      <c r="Y62" s="335">
        <v>15</v>
      </c>
      <c r="Z62" s="335">
        <v>19</v>
      </c>
      <c r="AA62" s="335">
        <v>18</v>
      </c>
      <c r="AB62" s="335">
        <v>11</v>
      </c>
      <c r="AC62" s="335">
        <v>19</v>
      </c>
      <c r="AD62" s="335">
        <v>14</v>
      </c>
      <c r="AE62" s="335">
        <v>16</v>
      </c>
      <c r="AF62" s="335">
        <v>34</v>
      </c>
      <c r="AG62" s="409">
        <v>237</v>
      </c>
    </row>
    <row r="63" spans="6:37" ht="15.75" customHeight="1" thickBot="1" x14ac:dyDescent="0.25">
      <c r="F63" s="415" t="s">
        <v>52</v>
      </c>
      <c r="G63" s="410">
        <f ca="1">INDIRECT("'Bureau 1'!" &amp; ADDRESS(ROW()-50,Synthèse!$G$41+14,4))</f>
        <v>105</v>
      </c>
      <c r="H63" s="421" t="e">
        <f ca="1">INDIRECT("'Bureau 2'!" &amp; ADDRESS(ROW()-50,Synthèse!$G$41+14,4))</f>
        <v>#N/A</v>
      </c>
      <c r="I63" s="411" t="e">
        <f ca="1">INDIRECT("'Bureau 3'!" &amp; ADDRESS(ROW()-50,Synthèse!$G$41+14,4))</f>
        <v>#N/A</v>
      </c>
      <c r="J63" s="411" t="e">
        <f ca="1">INDIRECT("'Bureau 4'!" &amp; ADDRESS(ROW()-50,Synthèse!$G$41+14,4))</f>
        <v>#N/A</v>
      </c>
      <c r="K63" s="411" t="e">
        <f ca="1">INDIRECT("'Bureau 5'!" &amp; ADDRESS(ROW()-50,Synthèse!$G$41+14,4))</f>
        <v>#N/A</v>
      </c>
      <c r="L63" s="411" t="e">
        <f ca="1">INDIRECT("'Bureau 6'!" &amp; ADDRESS(ROW()-50,Synthèse!$G$41+14,4))</f>
        <v>#N/A</v>
      </c>
      <c r="M63" s="411" t="e">
        <f ca="1">INDIRECT("'Bureau 7'!" &amp; ADDRESS(ROW()-50,Synthèse!$G$41+14,4))</f>
        <v>#N/A</v>
      </c>
      <c r="N63" s="411" t="e">
        <f ca="1">INDIRECT("'Bureau 8'!" &amp; ADDRESS(ROW()-50,Synthèse!$G$41+14,4))</f>
        <v>#N/A</v>
      </c>
      <c r="O63" s="411" t="e">
        <f ca="1">INDIRECT("'Bureau 9'!" &amp; ADDRESS(ROW()-50,Synthèse!$G$41+14,4))</f>
        <v>#N/A</v>
      </c>
      <c r="P63" s="411" t="e">
        <f ca="1">INDIRECT("'Bureau 10'!" &amp; ADDRESS(ROW()-50,Synthèse!$G$41+14,4))</f>
        <v>#N/A</v>
      </c>
      <c r="Q63" s="411" t="e">
        <f ca="1">INDIRECT("'Bureau 11'!" &amp; ADDRESS(ROW()-50,Synthèse!$G$41+14,4))</f>
        <v>#N/A</v>
      </c>
      <c r="R63" s="411" t="e">
        <f ca="1">INDIRECT("'Bureau 12'!" &amp; ADDRESS(ROW()-50,Synthèse!$G$41+14,4))</f>
        <v>#N/A</v>
      </c>
      <c r="S63" s="412">
        <f t="shared" ca="1" si="15"/>
        <v>105</v>
      </c>
      <c r="T63" s="415" t="s">
        <v>52</v>
      </c>
      <c r="U63" s="410">
        <v>20</v>
      </c>
      <c r="V63" s="421">
        <v>28</v>
      </c>
      <c r="W63" s="411">
        <v>15</v>
      </c>
      <c r="X63" s="411">
        <v>12</v>
      </c>
      <c r="Y63" s="411">
        <v>17</v>
      </c>
      <c r="Z63" s="411">
        <v>12</v>
      </c>
      <c r="AA63" s="411">
        <v>19</v>
      </c>
      <c r="AB63" s="411">
        <v>18</v>
      </c>
      <c r="AC63" s="411">
        <v>21</v>
      </c>
      <c r="AD63" s="411">
        <v>13</v>
      </c>
      <c r="AE63" s="411">
        <v>18</v>
      </c>
      <c r="AF63" s="411">
        <v>5</v>
      </c>
      <c r="AG63" s="412">
        <v>198</v>
      </c>
    </row>
    <row r="64" spans="6:37" ht="15.75" customHeight="1" x14ac:dyDescent="0.2">
      <c r="F64" s="430" t="s">
        <v>54</v>
      </c>
      <c r="G64" s="435" t="e">
        <f ca="1">INDIRECT("'Bureau 1'!" &amp; ADDRESS(ROW()-50,Synthèse!$G$41+14,4))</f>
        <v>#N/A</v>
      </c>
      <c r="H64" s="436" t="e">
        <f ca="1">INDIRECT("'Bureau 2'!" &amp; ADDRESS(ROW()-50,Synthèse!$G$41+14,4))</f>
        <v>#N/A</v>
      </c>
      <c r="I64" s="436" t="e">
        <f ca="1">INDIRECT("'Bureau 3'!" &amp; ADDRESS(ROW()-50,Synthèse!$G$41+14,4))</f>
        <v>#N/A</v>
      </c>
      <c r="J64" s="436" t="e">
        <f ca="1">INDIRECT("'Bureau 4'!" &amp; ADDRESS(ROW()-50,Synthèse!$G$41+14,4))</f>
        <v>#N/A</v>
      </c>
      <c r="K64" s="436" t="e">
        <f ca="1">INDIRECT("'Bureau 5'!" &amp; ADDRESS(ROW()-50,Synthèse!$G$41+14,4))</f>
        <v>#N/A</v>
      </c>
      <c r="L64" s="436" t="e">
        <f ca="1">INDIRECT("'Bureau 6'!" &amp; ADDRESS(ROW()-50,Synthèse!$G$41+14,4))</f>
        <v>#N/A</v>
      </c>
      <c r="M64" s="436" t="e">
        <f ca="1">INDIRECT("'Bureau 7'!" &amp; ADDRESS(ROW()-50,Synthèse!$G$41+14,4))</f>
        <v>#N/A</v>
      </c>
      <c r="N64" s="436" t="e">
        <f ca="1">INDIRECT("'Bureau 8'!" &amp; ADDRESS(ROW()-50,Synthèse!$G$41+14,4))</f>
        <v>#N/A</v>
      </c>
      <c r="O64" s="436" t="e">
        <f ca="1">INDIRECT("'Bureau 9'!" &amp; ADDRESS(ROW()-50,Synthèse!$G$41+14,4))</f>
        <v>#N/A</v>
      </c>
      <c r="P64" s="436" t="e">
        <f ca="1">INDIRECT("'Bureau 10'!" &amp; ADDRESS(ROW()-50,Synthèse!$G$41+14,4))</f>
        <v>#N/A</v>
      </c>
      <c r="Q64" s="436" t="e">
        <f ca="1">INDIRECT("'Bureau 11'!" &amp; ADDRESS(ROW()-50,Synthèse!$G$41+14,4))</f>
        <v>#N/A</v>
      </c>
      <c r="R64" s="436" t="e">
        <f ca="1">INDIRECT("'Bureau 12'!" &amp; ADDRESS(ROW()-50,Synthèse!$G$41+14,4))</f>
        <v>#N/A</v>
      </c>
      <c r="S64" s="437">
        <f t="shared" ca="1" si="15"/>
        <v>0</v>
      </c>
      <c r="T64" s="430" t="s">
        <v>54</v>
      </c>
      <c r="U64" s="435" t="e">
        <v>#N/A</v>
      </c>
      <c r="V64" s="436" t="e">
        <v>#N/A</v>
      </c>
      <c r="W64" s="436" t="e">
        <v>#N/A</v>
      </c>
      <c r="X64" s="436" t="e">
        <v>#N/A</v>
      </c>
      <c r="Y64" s="436" t="e">
        <v>#N/A</v>
      </c>
      <c r="Z64" s="436" t="e">
        <v>#N/A</v>
      </c>
      <c r="AA64" s="436" t="e">
        <v>#N/A</v>
      </c>
      <c r="AB64" s="436" t="e">
        <v>#N/A</v>
      </c>
      <c r="AC64" s="436" t="e">
        <v>#N/A</v>
      </c>
      <c r="AD64" s="436" t="e">
        <v>#N/A</v>
      </c>
      <c r="AE64" s="436" t="e">
        <v>#N/A</v>
      </c>
      <c r="AF64" s="436" t="e">
        <v>#N/A</v>
      </c>
      <c r="AG64" s="437" t="e">
        <v>#N/A</v>
      </c>
    </row>
    <row r="65" spans="6:33" ht="15.75" customHeight="1" thickBot="1" x14ac:dyDescent="0.25">
      <c r="F65" s="431" t="s">
        <v>55</v>
      </c>
      <c r="G65" s="432" t="e">
        <f ca="1">INDIRECT("'Bureau 1'!" &amp; ADDRESS(ROW()-50,Synthèse!$G$41+14,4))</f>
        <v>#N/A</v>
      </c>
      <c r="H65" s="433" t="e">
        <f ca="1">INDIRECT("'Bureau 2'!" &amp; ADDRESS(ROW()-50,Synthèse!$G$41+14,4))</f>
        <v>#N/A</v>
      </c>
      <c r="I65" s="433" t="e">
        <f ca="1">INDIRECT("'Bureau 3'!" &amp; ADDRESS(ROW()-50,Synthèse!$G$41+14,4))</f>
        <v>#N/A</v>
      </c>
      <c r="J65" s="433" t="e">
        <f ca="1">INDIRECT("'Bureau 4'!" &amp; ADDRESS(ROW()-50,Synthèse!$G$41+14,4))</f>
        <v>#N/A</v>
      </c>
      <c r="K65" s="433" t="e">
        <f ca="1">INDIRECT("'Bureau 5'!" &amp; ADDRESS(ROW()-50,Synthèse!$G$41+14,4))</f>
        <v>#N/A</v>
      </c>
      <c r="L65" s="433" t="e">
        <f ca="1">INDIRECT("'Bureau 6'!" &amp; ADDRESS(ROW()-50,Synthèse!$G$41+14,4))</f>
        <v>#N/A</v>
      </c>
      <c r="M65" s="433" t="e">
        <f ca="1">INDIRECT("'Bureau 7'!" &amp; ADDRESS(ROW()-50,Synthèse!$G$41+14,4))</f>
        <v>#N/A</v>
      </c>
      <c r="N65" s="433" t="e">
        <f ca="1">INDIRECT("'Bureau 8'!" &amp; ADDRESS(ROW()-50,Synthèse!$G$41+14,4))</f>
        <v>#N/A</v>
      </c>
      <c r="O65" s="433" t="e">
        <f ca="1">INDIRECT("'Bureau 9'!" &amp; ADDRESS(ROW()-50,Synthèse!$G$41+14,4))</f>
        <v>#N/A</v>
      </c>
      <c r="P65" s="433" t="e">
        <f ca="1">INDIRECT("'Bureau 10'!" &amp; ADDRESS(ROW()-50,Synthèse!$G$41+14,4))</f>
        <v>#N/A</v>
      </c>
      <c r="Q65" s="433" t="e">
        <f ca="1">INDIRECT("'Bureau 11'!" &amp; ADDRESS(ROW()-50,Synthèse!$G$41+14,4))</f>
        <v>#N/A</v>
      </c>
      <c r="R65" s="433" t="e">
        <f ca="1">INDIRECT("'Bureau 12'!" &amp; ADDRESS(ROW()-50,Synthèse!$G$41+14,4))</f>
        <v>#N/A</v>
      </c>
      <c r="S65" s="434">
        <f t="shared" ca="1" si="15"/>
        <v>0</v>
      </c>
      <c r="T65" s="431" t="s">
        <v>55</v>
      </c>
      <c r="U65" s="432" t="e">
        <v>#N/A</v>
      </c>
      <c r="V65" s="433" t="e">
        <v>#N/A</v>
      </c>
      <c r="W65" s="433" t="e">
        <v>#N/A</v>
      </c>
      <c r="X65" s="433" t="e">
        <v>#N/A</v>
      </c>
      <c r="Y65" s="433" t="e">
        <v>#N/A</v>
      </c>
      <c r="Z65" s="433" t="e">
        <v>#N/A</v>
      </c>
      <c r="AA65" s="433" t="e">
        <v>#N/A</v>
      </c>
      <c r="AB65" s="433" t="e">
        <v>#N/A</v>
      </c>
      <c r="AC65" s="433" t="e">
        <v>#N/A</v>
      </c>
      <c r="AD65" s="433" t="e">
        <v>#N/A</v>
      </c>
      <c r="AE65" s="433" t="e">
        <v>#N/A</v>
      </c>
      <c r="AF65" s="433" t="e">
        <v>#N/A</v>
      </c>
      <c r="AG65" s="434" t="e">
        <v>#N/A</v>
      </c>
    </row>
  </sheetData>
  <mergeCells count="22">
    <mergeCell ref="M1:N1"/>
    <mergeCell ref="O1:P1"/>
    <mergeCell ref="G36:S36"/>
    <mergeCell ref="G52:S52"/>
    <mergeCell ref="A14:B14"/>
    <mergeCell ref="Q1:R1"/>
    <mergeCell ref="S1:T1"/>
    <mergeCell ref="A1:B1"/>
    <mergeCell ref="C1:E1"/>
    <mergeCell ref="G1:H1"/>
    <mergeCell ref="I1:J1"/>
    <mergeCell ref="K1:L1"/>
    <mergeCell ref="U52:AG52"/>
    <mergeCell ref="U36:AG36"/>
    <mergeCell ref="Y1:Z1"/>
    <mergeCell ref="AE15:AQ15"/>
    <mergeCell ref="AA1:AB1"/>
    <mergeCell ref="AC1:AD1"/>
    <mergeCell ref="AJ21:AK21"/>
    <mergeCell ref="AH21:AI21"/>
    <mergeCell ref="W1:X1"/>
    <mergeCell ref="U1:V1"/>
  </mergeCells>
  <phoneticPr fontId="26" type="noConversion"/>
  <conditionalFormatting sqref="D2:D14 H2:H14 J2:J14 L2:L14 N2:N14 P2:P14 R2:R14 T2:T14 V2:V14 X2:X14 Z2:Z14 AB2:AB14 AD2:AD14">
    <cfRule type="cellIs" dxfId="506" priority="1" operator="greaterThan">
      <formula>1</formula>
    </cfRule>
  </conditionalFormatting>
  <conditionalFormatting sqref="E2:E13">
    <cfRule type="dataBar" priority="2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{84D3F3E1-8834-421C-A089-43980EF9F072}</x14:id>
        </ext>
      </extLst>
    </cfRule>
  </conditionalFormatting>
  <conditionalFormatting sqref="E14">
    <cfRule type="dataBar" priority="3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{A0DA79B3-DFA2-4623-83EE-7EAEB6D5939E}</x14:id>
        </ext>
      </extLst>
    </cfRule>
  </conditionalFormatting>
  <conditionalFormatting sqref="I2:AD14">
    <cfRule type="expression" dxfId="505" priority="4">
      <formula>AND(MOD(COLUMN(), 2)=1, I2&lt;G2, NOT(ISBLANK(I2)), NOT(I2=0))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4" r:id="rId4" name="Button 182">
              <controlPr defaultSize="0" print="0" autoFill="0" autoPict="0" macro="[0]!GenererBoutonsFormesInteractives">
                <anchor moveWithCells="1">
                  <from>
                    <xdr:col>30</xdr:col>
                    <xdr:colOff>238125</xdr:colOff>
                    <xdr:row>31</xdr:row>
                    <xdr:rowOff>9525</xdr:rowOff>
                  </from>
                  <to>
                    <xdr:col>32</xdr:col>
                    <xdr:colOff>28575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locked="0" defaultSize="0" print="0" autoFill="0" autoPict="0" macro="[0]!ImporterParticipationHorairePremierTour">
                <anchor moveWithCells="1">
                  <from>
                    <xdr:col>34</xdr:col>
                    <xdr:colOff>466725</xdr:colOff>
                    <xdr:row>4</xdr:row>
                    <xdr:rowOff>133350</xdr:rowOff>
                  </from>
                  <to>
                    <xdr:col>38</xdr:col>
                    <xdr:colOff>66675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6" name="Button 183">
              <controlPr defaultSize="0" print="0" autoFill="0" autoPict="0" macro="[0]!SimulationJourneeParticipation">
                <anchor moveWithCells="1">
                  <from>
                    <xdr:col>33</xdr:col>
                    <xdr:colOff>904875</xdr:colOff>
                    <xdr:row>54</xdr:row>
                    <xdr:rowOff>9525</xdr:rowOff>
                  </from>
                  <to>
                    <xdr:col>35</xdr:col>
                    <xdr:colOff>866775</xdr:colOff>
                    <xdr:row>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7" name="Button 184">
              <controlPr defaultSize="0" print="0" autoFill="0" autoPict="0" macro="[0]!ReinitialiserParticipation">
                <anchor moveWithCells="1">
                  <from>
                    <xdr:col>34</xdr:col>
                    <xdr:colOff>9525</xdr:colOff>
                    <xdr:row>57</xdr:row>
                    <xdr:rowOff>38100</xdr:rowOff>
                  </from>
                  <to>
                    <xdr:col>35</xdr:col>
                    <xdr:colOff>885825</xdr:colOff>
                    <xdr:row>59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3F3E1-8834-421C-A089-43980EF9F072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id="{A0DA79B3-DFA2-4623-83EE-7EAEB6D5939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6498A-C5AD-456C-B4A9-C287401D3099}">
  <sheetPr>
    <tabColor theme="9" tint="0.79998168889431442"/>
  </sheetPr>
  <dimension ref="A1:AJ40"/>
  <sheetViews>
    <sheetView tabSelected="1" workbookViewId="0">
      <selection activeCell="U44" sqref="U44"/>
    </sheetView>
    <sheetView workbookViewId="1">
      <selection activeCell="M4" sqref="M4"/>
    </sheetView>
  </sheetViews>
  <sheetFormatPr baseColWidth="10" defaultRowHeight="12.75" x14ac:dyDescent="0.2"/>
  <cols>
    <col min="1" max="1" width="17.85546875" customWidth="1"/>
    <col min="2" max="2" width="20.28515625" customWidth="1"/>
    <col min="3" max="3" width="4.85546875" customWidth="1"/>
    <col min="4" max="4" width="8.28515625" bestFit="1" customWidth="1"/>
    <col min="5" max="5" width="24" customWidth="1"/>
    <col min="7" max="7" width="9.42578125" customWidth="1"/>
    <col min="8" max="9" width="11.5703125" customWidth="1"/>
    <col min="10" max="11" width="15.7109375" customWidth="1"/>
    <col min="13" max="13" width="19.5703125" customWidth="1"/>
    <col min="14" max="14" width="20.28515625" customWidth="1"/>
    <col min="15" max="15" width="19.5703125" customWidth="1"/>
    <col min="17" max="18" width="17.5703125" customWidth="1"/>
    <col min="19" max="19" width="14.140625" customWidth="1"/>
    <col min="20" max="23" width="7.85546875" customWidth="1"/>
    <col min="24" max="24" width="10.140625" bestFit="1" customWidth="1"/>
    <col min="25" max="25" width="7.85546875" customWidth="1"/>
    <col min="26" max="26" width="11.28515625" customWidth="1"/>
    <col min="27" max="27" width="10.140625" bestFit="1" customWidth="1"/>
    <col min="28" max="28" width="11.85546875" customWidth="1"/>
    <col min="29" max="34" width="7.85546875" customWidth="1"/>
    <col min="36" max="36" width="9" bestFit="1" customWidth="1"/>
    <col min="37" max="38" width="10.140625" bestFit="1" customWidth="1"/>
    <col min="39" max="39" width="9" bestFit="1" customWidth="1"/>
    <col min="40" max="41" width="10.140625" bestFit="1" customWidth="1"/>
  </cols>
  <sheetData>
    <row r="1" spans="1:36" ht="41.25" customHeight="1" thickBot="1" x14ac:dyDescent="0.25">
      <c r="A1" s="901" t="str">
        <f>Synthèse!$A$17</f>
        <v>Date</v>
      </c>
      <c r="B1" s="753">
        <f>Synthèse!$B$17</f>
        <v>46103</v>
      </c>
      <c r="E1" s="802" t="s">
        <v>156</v>
      </c>
      <c r="F1" s="803" t="s">
        <v>157</v>
      </c>
      <c r="G1" s="804" t="s">
        <v>10</v>
      </c>
      <c r="H1" s="802" t="s">
        <v>168</v>
      </c>
      <c r="I1" s="805" t="s">
        <v>169</v>
      </c>
      <c r="J1" s="806" t="s">
        <v>175</v>
      </c>
      <c r="K1" s="805" t="s">
        <v>173</v>
      </c>
      <c r="L1" s="806" t="s">
        <v>174</v>
      </c>
      <c r="M1" s="807" t="s">
        <v>180</v>
      </c>
      <c r="N1" s="805" t="s">
        <v>163</v>
      </c>
      <c r="O1" s="806" t="s">
        <v>164</v>
      </c>
    </row>
    <row r="2" spans="1:36" ht="30" customHeight="1" thickBot="1" x14ac:dyDescent="0.25">
      <c r="A2" s="902" t="str">
        <f>Synthèse!$A$18</f>
        <v>Election</v>
      </c>
      <c r="B2" s="754" t="str">
        <f>Synthèse!$B$18</f>
        <v>Municipales</v>
      </c>
      <c r="E2" s="798" t="str">
        <f>Synthèse!L2</f>
        <v>M. Pierre-Yves 
TIERCE</v>
      </c>
      <c r="F2" s="831">
        <f ca="1">Synthèse!L15</f>
        <v>60</v>
      </c>
      <c r="G2" s="832">
        <f ca="1">Synthèse!L16</f>
        <v>0.6</v>
      </c>
      <c r="H2" s="833" t="b">
        <f ca="1">IF(G2&gt;=5%,TRUE,FALSE)</f>
        <v>1</v>
      </c>
      <c r="I2" s="858">
        <f ca="1">IF($F$7=0,0,
   IF($F14=$F$7,
      IF($E$9,
         IF($M2=_xlfn.MAXIFS($M$2:$M$3,$F$2:$F$3,$F$7),$F$19,0),
         $F$19
      ),
   0)
)</f>
        <v>17</v>
      </c>
      <c r="J2" s="819">
        <f ca="1">IF($F$7=0,0,
   IF($F14=$F$7,
      IF($E$9,
         IF($M2=_xlfn.MAXIFS($M$2:$M$3,$F$2:$F$3,$F$7),$F$20,0),
         $F$20
      ),
   0)
)</f>
        <v>5</v>
      </c>
      <c r="K2" s="858">
        <f ca="1">COUNTIF(G14:V14,"&gt;="&amp;LARGE($G$14:$V$15,$G$19))</f>
        <v>10</v>
      </c>
      <c r="L2" s="819">
        <f ca="1">COUNTIF(G14:V14,"&gt;="&amp;LARGE($G$14:$V$15,$G$20))</f>
        <v>3</v>
      </c>
      <c r="M2" s="859">
        <f ca="1">AVERAGE(AA6:AA38)</f>
        <v>40.271731690622858</v>
      </c>
      <c r="N2" s="883">
        <f ca="1">I2+K2</f>
        <v>27</v>
      </c>
      <c r="O2" s="884">
        <f ca="1">J2+L2</f>
        <v>8</v>
      </c>
      <c r="AD2" s="843"/>
      <c r="AE2" s="843"/>
      <c r="AJ2" s="768"/>
    </row>
    <row r="3" spans="1:36" ht="38.25" customHeight="1" thickBot="1" x14ac:dyDescent="0.25">
      <c r="A3" s="903" t="str">
        <f>Synthèse!$A$19</f>
        <v>Tour</v>
      </c>
      <c r="B3" s="755">
        <f>Synthèse!$B$19</f>
        <v>2</v>
      </c>
      <c r="E3" s="800" t="str">
        <f>Synthèse!M2</f>
        <v>Mme Isabelle 
FARNET RISSO</v>
      </c>
      <c r="F3" s="834">
        <f ca="1">Synthèse!M15</f>
        <v>40</v>
      </c>
      <c r="G3" s="835">
        <f ca="1">Synthèse!M16</f>
        <v>0.4</v>
      </c>
      <c r="H3" s="836" t="b">
        <f ca="1">IF(G3&gt;=5%,TRUE,FALSE)</f>
        <v>1</v>
      </c>
      <c r="I3" s="837">
        <f ca="1">IF($F$7=0,0,
   IF($F15=$F$7,
      IF($E$9,
         IF($M3=_xlfn.MAXIFS($M$2:$M$3,$F$2:$F$3,$F$7),$F$19,0),
         $F$19
      ),
   0)
)</f>
        <v>0</v>
      </c>
      <c r="J3" s="823">
        <f ca="1">IF($F$7=0,0,
   IF($F15=$F$7,
      IF($E$9,
         IF($M3=_xlfn.MAXIFS($M$2:$M$3,$F$2:$F$3,$F$7),$F$20,0),
         $F$20
      ),
   0)
)</f>
        <v>0</v>
      </c>
      <c r="K3" s="837">
        <f ca="1">COUNTIF(G15:V15,"&gt;="&amp;LARGE($G$14:$V$15,$G$19))</f>
        <v>6</v>
      </c>
      <c r="L3" s="823">
        <f ca="1">COUNTIF(G15:V15,"&gt;="&amp;LARGE($G$14:$V$15,$G$20))</f>
        <v>2</v>
      </c>
      <c r="M3" s="838">
        <f ca="1">AVERAGE(AC6:AC38)</f>
        <v>48.123887748117724</v>
      </c>
      <c r="N3" s="885">
        <f ca="1">I3+K3</f>
        <v>6</v>
      </c>
      <c r="O3" s="886">
        <f ca="1">J3+L3</f>
        <v>2</v>
      </c>
      <c r="X3" s="843"/>
      <c r="Y3" s="844"/>
      <c r="Z3" s="846" t="str">
        <f>Synthèse!L2</f>
        <v>M. Pierre-Yves 
TIERCE</v>
      </c>
      <c r="AA3" s="842"/>
      <c r="AB3" s="840" t="str">
        <f>Synthèse!M2</f>
        <v>Mme Isabelle 
FARNET RISSO</v>
      </c>
      <c r="AC3" s="849"/>
      <c r="AD3" s="845"/>
      <c r="AE3" s="843"/>
    </row>
    <row r="4" spans="1:36" ht="16.5" thickBot="1" x14ac:dyDescent="0.25">
      <c r="A4" s="904" t="str">
        <f>Synthèse!$A$20</f>
        <v>Ville</v>
      </c>
      <c r="B4" s="756" t="str">
        <f>Synthèse!$B$20</f>
        <v>Cogolin</v>
      </c>
      <c r="I4" s="862">
        <f t="shared" ref="I4:K4" ca="1" si="0">SUM(I2:I3)</f>
        <v>17</v>
      </c>
      <c r="J4" s="861">
        <f t="shared" ca="1" si="0"/>
        <v>5</v>
      </c>
      <c r="K4" s="860">
        <f t="shared" ca="1" si="0"/>
        <v>16</v>
      </c>
      <c r="L4" s="863">
        <f ca="1">SUM(L2:L3)</f>
        <v>5</v>
      </c>
      <c r="M4" s="857" t="s">
        <v>16</v>
      </c>
      <c r="N4" s="860">
        <f ca="1">SUM(N2:N3)</f>
        <v>33</v>
      </c>
      <c r="O4" s="861">
        <f ca="1">SUM(O2:O3)</f>
        <v>10</v>
      </c>
      <c r="X4" s="843"/>
      <c r="Y4" s="844"/>
      <c r="Z4" s="847"/>
      <c r="AA4" s="848"/>
      <c r="AB4" s="841"/>
      <c r="AC4" s="850"/>
      <c r="AD4" s="845"/>
      <c r="AE4" s="843"/>
    </row>
    <row r="5" spans="1:36" ht="39" thickBot="1" x14ac:dyDescent="0.25">
      <c r="N5" s="189"/>
      <c r="O5" s="189"/>
      <c r="Y5" s="851" t="s">
        <v>171</v>
      </c>
      <c r="Z5" s="805" t="s">
        <v>170</v>
      </c>
      <c r="AA5" s="811" t="s">
        <v>172</v>
      </c>
      <c r="AB5" s="805" t="s">
        <v>170</v>
      </c>
      <c r="AC5" s="811" t="s">
        <v>172</v>
      </c>
      <c r="AD5" s="843"/>
      <c r="AE5" s="843"/>
    </row>
    <row r="6" spans="1:36" ht="25.5" customHeight="1" thickBot="1" x14ac:dyDescent="0.25">
      <c r="A6" s="905" t="s">
        <v>159</v>
      </c>
      <c r="B6" s="906"/>
      <c r="Y6" s="854">
        <v>1</v>
      </c>
      <c r="Z6" s="852">
        <v>25569</v>
      </c>
      <c r="AA6" s="822">
        <f ca="1">IF(ISBLANK(Z6),"",(TODAY()-Z6)/365.25)</f>
        <v>56.208076659822041</v>
      </c>
      <c r="AB6" s="815">
        <v>20455</v>
      </c>
      <c r="AC6" s="822">
        <f ca="1">IF(ISBLANK(AB6),"",(TODAY()-AB6)/365.25)</f>
        <v>70.209445585215605</v>
      </c>
    </row>
    <row r="7" spans="1:36" ht="31.5" customHeight="1" x14ac:dyDescent="0.2">
      <c r="A7" s="907" t="s">
        <v>177</v>
      </c>
      <c r="B7" s="908" t="s">
        <v>178</v>
      </c>
      <c r="D7" s="812" t="s">
        <v>162</v>
      </c>
      <c r="E7" s="875" t="str" cm="1">
        <f t="array" aca="1" ref="E7" ca="1">_xlfn.LET(
_xlpm.leaders,_xlfn._xlws.FILTER(E2:E3,F2:F3=F7),
_xlpm.nb,COUNTIF(F2:F3,F7),
IF(_xlpm.nb=1,
_xlfn.TEXTJOIN("",TRUE,_xlpm.leaders),
_xlfn.TEXTJOIN(" et ",TRUE,_xlpm.leaders)&amp;" à égalité"
))</f>
        <v>M. Pierre-Yves 
TIERCE</v>
      </c>
      <c r="F7" s="877">
        <f ca="1">MAX(F2:F3)</f>
        <v>60</v>
      </c>
      <c r="G7" s="879">
        <f ca="1">MAX(G2:G3)</f>
        <v>0.6</v>
      </c>
      <c r="Y7" s="855">
        <v>2</v>
      </c>
      <c r="Z7" s="853">
        <v>32509</v>
      </c>
      <c r="AA7" s="839">
        <f t="shared" ref="AA7:AA40" ca="1" si="1">IF(ISBLANK(Z7),"",(TODAY()-Z7)/365.25)</f>
        <v>37.207392197125259</v>
      </c>
      <c r="AB7" s="816">
        <v>21916</v>
      </c>
      <c r="AC7" s="839">
        <f t="shared" ref="AC7:AC40" ca="1" si="2">IF(ISBLANK(AB7),"",(TODAY()-AB7)/365.25)</f>
        <v>66.209445585215605</v>
      </c>
    </row>
    <row r="8" spans="1:36" ht="34.5" customHeight="1" thickBot="1" x14ac:dyDescent="0.25">
      <c r="A8" s="881">
        <v>33</v>
      </c>
      <c r="B8" s="882">
        <v>9</v>
      </c>
      <c r="D8" s="872"/>
      <c r="E8" s="876"/>
      <c r="F8" s="878"/>
      <c r="G8" s="880"/>
      <c r="Y8" s="855">
        <v>3</v>
      </c>
      <c r="Z8" s="817">
        <v>34641</v>
      </c>
      <c r="AA8" s="839">
        <f t="shared" ca="1" si="1"/>
        <v>31.370294318959616</v>
      </c>
      <c r="AB8" s="816">
        <v>35726</v>
      </c>
      <c r="AC8" s="839">
        <f t="shared" ca="1" si="2"/>
        <v>28.399726214921287</v>
      </c>
    </row>
    <row r="9" spans="1:36" ht="23.25" customHeight="1" thickBot="1" x14ac:dyDescent="0.25">
      <c r="D9" s="873" t="s">
        <v>165</v>
      </c>
      <c r="E9" s="874" t="b">
        <f ca="1">IF(COUNTIF(F2:F3,F7)&gt;1,TRUE,FALSE)</f>
        <v>0</v>
      </c>
      <c r="Y9" s="855">
        <v>4</v>
      </c>
      <c r="Z9" s="853">
        <v>32840</v>
      </c>
      <c r="AA9" s="839">
        <f t="shared" ca="1" si="1"/>
        <v>36.301163586584529</v>
      </c>
      <c r="AB9" s="816">
        <v>35990</v>
      </c>
      <c r="AC9" s="839">
        <f t="shared" ca="1" si="2"/>
        <v>27.676933607118411</v>
      </c>
    </row>
    <row r="10" spans="1:36" ht="23.25" customHeight="1" x14ac:dyDescent="0.2">
      <c r="N10" s="769"/>
      <c r="O10" s="769"/>
      <c r="Y10" s="855">
        <v>5</v>
      </c>
      <c r="Z10" s="853"/>
      <c r="AA10" s="839" t="str">
        <f t="shared" ca="1" si="1"/>
        <v/>
      </c>
      <c r="AB10" s="786"/>
      <c r="AC10" s="839" t="str">
        <f t="shared" ca="1" si="2"/>
        <v/>
      </c>
    </row>
    <row r="11" spans="1:36" ht="24" customHeight="1" thickBot="1" x14ac:dyDescent="0.25">
      <c r="N11" s="767"/>
      <c r="O11" s="189"/>
      <c r="Y11" s="855">
        <v>6</v>
      </c>
      <c r="Z11" s="853"/>
      <c r="AA11" s="839" t="str">
        <f t="shared" ca="1" si="1"/>
        <v/>
      </c>
      <c r="AB11" s="786"/>
      <c r="AC11" s="839" t="str">
        <f t="shared" ca="1" si="2"/>
        <v/>
      </c>
    </row>
    <row r="12" spans="1:36" ht="22.5" customHeight="1" thickBot="1" x14ac:dyDescent="0.25">
      <c r="G12" s="887" t="s">
        <v>182</v>
      </c>
      <c r="H12" s="888"/>
      <c r="I12" s="888"/>
      <c r="J12" s="888"/>
      <c r="K12" s="888"/>
      <c r="L12" s="888"/>
      <c r="M12" s="888"/>
      <c r="N12" s="888"/>
      <c r="O12" s="888"/>
      <c r="P12" s="888"/>
      <c r="Q12" s="888"/>
      <c r="R12" s="888"/>
      <c r="S12" s="888"/>
      <c r="T12" s="888"/>
      <c r="U12" s="888"/>
      <c r="V12" s="889"/>
      <c r="Y12" s="855">
        <v>7</v>
      </c>
      <c r="Z12" s="853"/>
      <c r="AA12" s="839" t="str">
        <f t="shared" ca="1" si="1"/>
        <v/>
      </c>
      <c r="AB12" s="786"/>
      <c r="AC12" s="839" t="str">
        <f t="shared" ca="1" si="2"/>
        <v/>
      </c>
    </row>
    <row r="13" spans="1:36" ht="42" customHeight="1" thickBot="1" x14ac:dyDescent="0.25">
      <c r="E13" s="808" t="str">
        <f>E1</f>
        <v>Listes</v>
      </c>
      <c r="F13" s="806" t="s">
        <v>179</v>
      </c>
      <c r="G13" s="809">
        <v>1</v>
      </c>
      <c r="H13" s="810">
        <v>2</v>
      </c>
      <c r="I13" s="810">
        <v>3</v>
      </c>
      <c r="J13" s="810">
        <v>4</v>
      </c>
      <c r="K13" s="810">
        <v>5</v>
      </c>
      <c r="L13" s="810">
        <v>6</v>
      </c>
      <c r="M13" s="810">
        <v>7</v>
      </c>
      <c r="N13" s="810">
        <v>8</v>
      </c>
      <c r="O13" s="810">
        <v>9</v>
      </c>
      <c r="P13" s="810">
        <v>10</v>
      </c>
      <c r="Q13" s="810">
        <v>11</v>
      </c>
      <c r="R13" s="810">
        <v>12</v>
      </c>
      <c r="S13" s="810">
        <v>13</v>
      </c>
      <c r="T13" s="810">
        <v>14</v>
      </c>
      <c r="U13" s="810">
        <v>15</v>
      </c>
      <c r="V13" s="811">
        <v>16</v>
      </c>
      <c r="Y13" s="855">
        <v>8</v>
      </c>
      <c r="Z13" s="853"/>
      <c r="AA13" s="839" t="str">
        <f t="shared" ca="1" si="1"/>
        <v/>
      </c>
      <c r="AB13" s="786"/>
      <c r="AC13" s="839" t="str">
        <f t="shared" ca="1" si="2"/>
        <v/>
      </c>
    </row>
    <row r="14" spans="1:36" ht="38.25" x14ac:dyDescent="0.2">
      <c r="E14" s="799" t="str">
        <f>E2</f>
        <v>M. Pierre-Yves 
TIERCE</v>
      </c>
      <c r="F14" s="819">
        <f ca="1">IF(H2,F2,0)</f>
        <v>60</v>
      </c>
      <c r="G14" s="820">
        <f ca="1">$F14/G$13</f>
        <v>60</v>
      </c>
      <c r="H14" s="821">
        <f ca="1">$F14/H$13</f>
        <v>30</v>
      </c>
      <c r="I14" s="821">
        <f ca="1">$F14/I$13</f>
        <v>20</v>
      </c>
      <c r="J14" s="821">
        <f ca="1">$F14/J$13</f>
        <v>15</v>
      </c>
      <c r="K14" s="821">
        <f ca="1">$F14/K$13</f>
        <v>12</v>
      </c>
      <c r="L14" s="821">
        <f ca="1">$F14/L$13</f>
        <v>10</v>
      </c>
      <c r="M14" s="821">
        <f ca="1">$F14/M$13</f>
        <v>8.5714285714285712</v>
      </c>
      <c r="N14" s="821">
        <f ca="1">$F14/N$13</f>
        <v>7.5</v>
      </c>
      <c r="O14" s="821">
        <f ca="1">$F14/O$13</f>
        <v>6.666666666666667</v>
      </c>
      <c r="P14" s="821">
        <f ca="1">$F14/P$13</f>
        <v>6</v>
      </c>
      <c r="Q14" s="821">
        <f ca="1">$F14/Q$13</f>
        <v>5.4545454545454541</v>
      </c>
      <c r="R14" s="821">
        <f ca="1">$F14/R$13</f>
        <v>5</v>
      </c>
      <c r="S14" s="821">
        <f ca="1">$F14/S$13</f>
        <v>4.615384615384615</v>
      </c>
      <c r="T14" s="821">
        <f ca="1">$F14/T$13</f>
        <v>4.2857142857142856</v>
      </c>
      <c r="U14" s="821">
        <f ca="1">$F14/U$13</f>
        <v>4</v>
      </c>
      <c r="V14" s="822">
        <f ca="1">$F14/V$13</f>
        <v>3.75</v>
      </c>
      <c r="Y14" s="855">
        <v>9</v>
      </c>
      <c r="Z14" s="853"/>
      <c r="AA14" s="839" t="str">
        <f t="shared" ca="1" si="1"/>
        <v/>
      </c>
      <c r="AB14" s="786"/>
      <c r="AC14" s="839" t="str">
        <f t="shared" ca="1" si="2"/>
        <v/>
      </c>
    </row>
    <row r="15" spans="1:36" ht="51.75" thickBot="1" x14ac:dyDescent="0.25">
      <c r="E15" s="801" t="str">
        <f>E3</f>
        <v>Mme Isabelle 
FARNET RISSO</v>
      </c>
      <c r="F15" s="823">
        <f ca="1">IF(H3,F3,0)</f>
        <v>40</v>
      </c>
      <c r="G15" s="824">
        <f ca="1">$F15/G$13</f>
        <v>40</v>
      </c>
      <c r="H15" s="825">
        <f ca="1">$F15/H$13</f>
        <v>20</v>
      </c>
      <c r="I15" s="825">
        <f ca="1">$F15/I$13</f>
        <v>13.333333333333334</v>
      </c>
      <c r="J15" s="825">
        <f ca="1">$F15/J$13</f>
        <v>10</v>
      </c>
      <c r="K15" s="825">
        <f ca="1">$F15/K$13</f>
        <v>8</v>
      </c>
      <c r="L15" s="825">
        <f ca="1">$F15/L$13</f>
        <v>6.666666666666667</v>
      </c>
      <c r="M15" s="825">
        <f ca="1">$F15/M$13</f>
        <v>5.7142857142857144</v>
      </c>
      <c r="N15" s="825">
        <f ca="1">$F15/N$13</f>
        <v>5</v>
      </c>
      <c r="O15" s="825">
        <f ca="1">$F15/O$13</f>
        <v>4.4444444444444446</v>
      </c>
      <c r="P15" s="825">
        <f ca="1">$F15/P$13</f>
        <v>4</v>
      </c>
      <c r="Q15" s="825">
        <f ca="1">$F15/Q$13</f>
        <v>3.6363636363636362</v>
      </c>
      <c r="R15" s="825">
        <f ca="1">$F15/R$13</f>
        <v>3.3333333333333335</v>
      </c>
      <c r="S15" s="825">
        <f ca="1">$F15/S$13</f>
        <v>3.0769230769230771</v>
      </c>
      <c r="T15" s="825">
        <f ca="1">$F15/T$13</f>
        <v>2.8571428571428572</v>
      </c>
      <c r="U15" s="825">
        <f ca="1">$F15/U$13</f>
        <v>2.6666666666666665</v>
      </c>
      <c r="V15" s="826">
        <f ca="1">$F15/V$13</f>
        <v>2.5</v>
      </c>
      <c r="Y15" s="855">
        <v>10</v>
      </c>
      <c r="Z15" s="853"/>
      <c r="AA15" s="839" t="str">
        <f t="shared" ca="1" si="1"/>
        <v/>
      </c>
      <c r="AB15" s="786"/>
      <c r="AC15" s="839" t="str">
        <f t="shared" ca="1" si="2"/>
        <v/>
      </c>
    </row>
    <row r="16" spans="1:36" x14ac:dyDescent="0.2">
      <c r="E16" s="785" t="s">
        <v>16</v>
      </c>
      <c r="F16" s="785">
        <f ca="1">SUM(F14:F15)</f>
        <v>100</v>
      </c>
      <c r="Y16" s="855">
        <v>11</v>
      </c>
      <c r="Z16" s="853"/>
      <c r="AA16" s="839" t="str">
        <f t="shared" ca="1" si="1"/>
        <v/>
      </c>
      <c r="AB16" s="786"/>
      <c r="AC16" s="839" t="str">
        <f t="shared" ca="1" si="2"/>
        <v/>
      </c>
    </row>
    <row r="17" spans="4:29" ht="13.5" thickBot="1" x14ac:dyDescent="0.25">
      <c r="E17" s="783"/>
      <c r="F17" s="784"/>
      <c r="Y17" s="855">
        <v>12</v>
      </c>
      <c r="Z17" s="853"/>
      <c r="AA17" s="839" t="str">
        <f t="shared" ca="1" si="1"/>
        <v/>
      </c>
      <c r="AB17" s="786"/>
      <c r="AC17" s="839" t="str">
        <f t="shared" ca="1" si="2"/>
        <v/>
      </c>
    </row>
    <row r="18" spans="4:29" ht="33.75" customHeight="1" thickBot="1" x14ac:dyDescent="0.25">
      <c r="E18" s="189"/>
      <c r="F18" s="805" t="s">
        <v>158</v>
      </c>
      <c r="G18" s="806" t="s">
        <v>167</v>
      </c>
      <c r="Y18" s="855">
        <v>13</v>
      </c>
      <c r="Z18" s="853"/>
      <c r="AA18" s="839" t="str">
        <f t="shared" ca="1" si="1"/>
        <v/>
      </c>
      <c r="AB18" s="786"/>
      <c r="AC18" s="839" t="str">
        <f t="shared" ca="1" si="2"/>
        <v/>
      </c>
    </row>
    <row r="19" spans="4:29" ht="18.75" customHeight="1" x14ac:dyDescent="0.2">
      <c r="D19" s="909" t="s">
        <v>166</v>
      </c>
      <c r="E19" s="813" t="s">
        <v>160</v>
      </c>
      <c r="F19" s="827">
        <f>ROUNDUP($A$8/2,0)</f>
        <v>17</v>
      </c>
      <c r="G19" s="828">
        <f ca="1">IF($F$16&gt;0,ROUNDDOWN($A$8/2,0),0)</f>
        <v>16</v>
      </c>
      <c r="Y19" s="855">
        <v>14</v>
      </c>
      <c r="Z19" s="853"/>
      <c r="AA19" s="839" t="str">
        <f t="shared" ca="1" si="1"/>
        <v/>
      </c>
      <c r="AB19" s="786"/>
      <c r="AC19" s="839" t="str">
        <f t="shared" ca="1" si="2"/>
        <v/>
      </c>
    </row>
    <row r="20" spans="4:29" ht="19.5" customHeight="1" thickBot="1" x14ac:dyDescent="0.25">
      <c r="D20" s="910"/>
      <c r="E20" s="814" t="s">
        <v>161</v>
      </c>
      <c r="F20" s="829">
        <f>ROUNDUP($B$8/2,0)</f>
        <v>5</v>
      </c>
      <c r="G20" s="830">
        <f ca="1">IF($F$16&gt;0,ROUNDDOWN($B$8/2,0),0)</f>
        <v>4</v>
      </c>
      <c r="Y20" s="855">
        <v>15</v>
      </c>
      <c r="Z20" s="853"/>
      <c r="AA20" s="839" t="str">
        <f t="shared" ca="1" si="1"/>
        <v/>
      </c>
      <c r="AB20" s="786"/>
      <c r="AC20" s="839" t="str">
        <f t="shared" ca="1" si="2"/>
        <v/>
      </c>
    </row>
    <row r="21" spans="4:29" x14ac:dyDescent="0.2">
      <c r="Y21" s="855">
        <v>16</v>
      </c>
      <c r="Z21" s="853"/>
      <c r="AA21" s="839" t="str">
        <f t="shared" ca="1" si="1"/>
        <v/>
      </c>
      <c r="AB21" s="786"/>
      <c r="AC21" s="839" t="str">
        <f t="shared" ca="1" si="2"/>
        <v/>
      </c>
    </row>
    <row r="22" spans="4:29" ht="32.25" customHeight="1" x14ac:dyDescent="0.2">
      <c r="Y22" s="855">
        <v>17</v>
      </c>
      <c r="Z22" s="853"/>
      <c r="AA22" s="839" t="str">
        <f t="shared" ca="1" si="1"/>
        <v/>
      </c>
      <c r="AB22" s="786"/>
      <c r="AC22" s="839" t="str">
        <f t="shared" ca="1" si="2"/>
        <v/>
      </c>
    </row>
    <row r="23" spans="4:29" x14ac:dyDescent="0.2">
      <c r="Y23" s="855">
        <v>18</v>
      </c>
      <c r="Z23" s="853"/>
      <c r="AA23" s="839" t="str">
        <f t="shared" ca="1" si="1"/>
        <v/>
      </c>
      <c r="AB23" s="786"/>
      <c r="AC23" s="839" t="str">
        <f t="shared" ca="1" si="2"/>
        <v/>
      </c>
    </row>
    <row r="24" spans="4:29" x14ac:dyDescent="0.2">
      <c r="Y24" s="855">
        <v>19</v>
      </c>
      <c r="Z24" s="853"/>
      <c r="AA24" s="839" t="str">
        <f t="shared" ca="1" si="1"/>
        <v/>
      </c>
      <c r="AB24" s="786"/>
      <c r="AC24" s="839" t="str">
        <f t="shared" ca="1" si="2"/>
        <v/>
      </c>
    </row>
    <row r="25" spans="4:29" x14ac:dyDescent="0.2">
      <c r="Y25" s="855">
        <v>20</v>
      </c>
      <c r="Z25" s="853"/>
      <c r="AA25" s="839" t="str">
        <f t="shared" ca="1" si="1"/>
        <v/>
      </c>
      <c r="AB25" s="786"/>
      <c r="AC25" s="839" t="str">
        <f t="shared" ca="1" si="2"/>
        <v/>
      </c>
    </row>
    <row r="26" spans="4:29" x14ac:dyDescent="0.2">
      <c r="Y26" s="855">
        <v>21</v>
      </c>
      <c r="Z26" s="853"/>
      <c r="AA26" s="839" t="str">
        <f t="shared" ca="1" si="1"/>
        <v/>
      </c>
      <c r="AB26" s="786"/>
      <c r="AC26" s="839" t="str">
        <f t="shared" ca="1" si="2"/>
        <v/>
      </c>
    </row>
    <row r="27" spans="4:29" x14ac:dyDescent="0.2">
      <c r="Y27" s="855">
        <v>22</v>
      </c>
      <c r="Z27" s="853"/>
      <c r="AA27" s="839" t="str">
        <f t="shared" ca="1" si="1"/>
        <v/>
      </c>
      <c r="AB27" s="786"/>
      <c r="AC27" s="839" t="str">
        <f t="shared" ca="1" si="2"/>
        <v/>
      </c>
    </row>
    <row r="28" spans="4:29" x14ac:dyDescent="0.2">
      <c r="Y28" s="855">
        <v>23</v>
      </c>
      <c r="Z28" s="853"/>
      <c r="AA28" s="839" t="str">
        <f t="shared" ca="1" si="1"/>
        <v/>
      </c>
      <c r="AB28" s="786"/>
      <c r="AC28" s="839" t="str">
        <f t="shared" ca="1" si="2"/>
        <v/>
      </c>
    </row>
    <row r="29" spans="4:29" x14ac:dyDescent="0.2">
      <c r="Y29" s="855">
        <v>24</v>
      </c>
      <c r="Z29" s="853"/>
      <c r="AA29" s="839" t="str">
        <f t="shared" ca="1" si="1"/>
        <v/>
      </c>
      <c r="AB29" s="786"/>
      <c r="AC29" s="839" t="str">
        <f t="shared" ca="1" si="2"/>
        <v/>
      </c>
    </row>
    <row r="30" spans="4:29" x14ac:dyDescent="0.2">
      <c r="Y30" s="855">
        <v>25</v>
      </c>
      <c r="Z30" s="853"/>
      <c r="AA30" s="839" t="str">
        <f t="shared" ca="1" si="1"/>
        <v/>
      </c>
      <c r="AB30" s="786"/>
      <c r="AC30" s="839" t="str">
        <f t="shared" ca="1" si="2"/>
        <v/>
      </c>
    </row>
    <row r="31" spans="4:29" x14ac:dyDescent="0.2">
      <c r="Y31" s="855">
        <v>26</v>
      </c>
      <c r="Z31" s="853"/>
      <c r="AA31" s="839" t="str">
        <f t="shared" ca="1" si="1"/>
        <v/>
      </c>
      <c r="AB31" s="786"/>
      <c r="AC31" s="839" t="str">
        <f t="shared" ca="1" si="2"/>
        <v/>
      </c>
    </row>
    <row r="32" spans="4:29" x14ac:dyDescent="0.2">
      <c r="Y32" s="855">
        <v>27</v>
      </c>
      <c r="Z32" s="853"/>
      <c r="AA32" s="839" t="str">
        <f t="shared" ca="1" si="1"/>
        <v/>
      </c>
      <c r="AB32" s="786"/>
      <c r="AC32" s="839" t="str">
        <f t="shared" ca="1" si="2"/>
        <v/>
      </c>
    </row>
    <row r="33" spans="25:29" x14ac:dyDescent="0.2">
      <c r="Y33" s="855">
        <v>28</v>
      </c>
      <c r="Z33" s="853"/>
      <c r="AA33" s="839" t="str">
        <f t="shared" ca="1" si="1"/>
        <v/>
      </c>
      <c r="AB33" s="786"/>
      <c r="AC33" s="839" t="str">
        <f t="shared" ca="1" si="2"/>
        <v/>
      </c>
    </row>
    <row r="34" spans="25:29" x14ac:dyDescent="0.2">
      <c r="Y34" s="855">
        <v>29</v>
      </c>
      <c r="Z34" s="853"/>
      <c r="AA34" s="839" t="str">
        <f t="shared" ca="1" si="1"/>
        <v/>
      </c>
      <c r="AB34" s="786"/>
      <c r="AC34" s="839" t="str">
        <f t="shared" ca="1" si="2"/>
        <v/>
      </c>
    </row>
    <row r="35" spans="25:29" x14ac:dyDescent="0.2">
      <c r="Y35" s="855">
        <v>30</v>
      </c>
      <c r="Z35" s="853"/>
      <c r="AA35" s="839" t="str">
        <f t="shared" ca="1" si="1"/>
        <v/>
      </c>
      <c r="AB35" s="786"/>
      <c r="AC35" s="839" t="str">
        <f t="shared" ca="1" si="2"/>
        <v/>
      </c>
    </row>
    <row r="36" spans="25:29" x14ac:dyDescent="0.2">
      <c r="Y36" s="855">
        <v>31</v>
      </c>
      <c r="Z36" s="853"/>
      <c r="AA36" s="839" t="str">
        <f t="shared" ca="1" si="1"/>
        <v/>
      </c>
      <c r="AB36" s="786"/>
      <c r="AC36" s="839" t="str">
        <f t="shared" ca="1" si="2"/>
        <v/>
      </c>
    </row>
    <row r="37" spans="25:29" x14ac:dyDescent="0.2">
      <c r="Y37" s="855">
        <v>32</v>
      </c>
      <c r="Z37" s="853"/>
      <c r="AA37" s="911" t="str">
        <f t="shared" ca="1" si="1"/>
        <v/>
      </c>
      <c r="AB37" s="786"/>
      <c r="AC37" s="911" t="str">
        <f t="shared" ca="1" si="2"/>
        <v/>
      </c>
    </row>
    <row r="38" spans="25:29" x14ac:dyDescent="0.2">
      <c r="Y38" s="915">
        <v>33</v>
      </c>
      <c r="Z38" s="916"/>
      <c r="AA38" s="917" t="str">
        <f t="shared" ca="1" si="1"/>
        <v/>
      </c>
      <c r="AB38" s="918"/>
      <c r="AC38" s="839" t="str">
        <f t="shared" ca="1" si="2"/>
        <v/>
      </c>
    </row>
    <row r="39" spans="25:29" x14ac:dyDescent="0.2">
      <c r="Y39" s="855">
        <v>34</v>
      </c>
      <c r="Z39" s="816"/>
      <c r="AA39" s="912" t="str">
        <f t="shared" ca="1" si="1"/>
        <v/>
      </c>
      <c r="AB39" s="914"/>
      <c r="AC39" s="911" t="str">
        <f t="shared" ca="1" si="2"/>
        <v/>
      </c>
    </row>
    <row r="40" spans="25:29" ht="13.5" thickBot="1" x14ac:dyDescent="0.25">
      <c r="Y40" s="856">
        <v>35</v>
      </c>
      <c r="Z40" s="818"/>
      <c r="AA40" s="913" t="str">
        <f t="shared" ca="1" si="1"/>
        <v/>
      </c>
      <c r="AB40" s="787"/>
      <c r="AC40" s="826" t="str">
        <f t="shared" ca="1" si="2"/>
        <v/>
      </c>
    </row>
  </sheetData>
  <mergeCells count="9">
    <mergeCell ref="F7:F8"/>
    <mergeCell ref="G7:G8"/>
    <mergeCell ref="AB3:AC4"/>
    <mergeCell ref="Z3:AA4"/>
    <mergeCell ref="D7:D8"/>
    <mergeCell ref="D19:D20"/>
    <mergeCell ref="G12:V12"/>
    <mergeCell ref="E7:E8"/>
    <mergeCell ref="A6:B6"/>
  </mergeCells>
  <conditionalFormatting sqref="G2:G3">
    <cfRule type="cellIs" dxfId="504" priority="11" operator="lessThan">
      <formula>0.05</formula>
    </cfRule>
    <cfRule type="cellIs" dxfId="503" priority="12" operator="notBetween">
      <formula>0</formula>
      <formula>1</formula>
    </cfRule>
  </conditionalFormatting>
  <conditionalFormatting sqref="H2:H3">
    <cfRule type="cellIs" dxfId="502" priority="10" operator="equal">
      <formula>FALSE</formula>
    </cfRule>
  </conditionalFormatting>
  <conditionalFormatting sqref="E9">
    <cfRule type="expression" dxfId="501" priority="5">
      <formula>$E$9</formula>
    </cfRule>
  </conditionalFormatting>
  <conditionalFormatting sqref="M2:M3">
    <cfRule type="colorScale" priority="709">
      <colorScale>
        <cfvo type="min"/>
        <cfvo type="max"/>
        <color theme="6" tint="0.59999389629810485"/>
        <color theme="8" tint="0.59999389629810485"/>
      </colorScale>
    </cfRule>
  </conditionalFormatting>
  <conditionalFormatting sqref="I4">
    <cfRule type="cellIs" dxfId="500" priority="4" operator="equal">
      <formula>$F$19</formula>
    </cfRule>
  </conditionalFormatting>
  <conditionalFormatting sqref="J4">
    <cfRule type="cellIs" dxfId="499" priority="3" operator="equal">
      <formula>$F$20</formula>
    </cfRule>
  </conditionalFormatting>
  <conditionalFormatting sqref="K4">
    <cfRule type="cellIs" dxfId="498" priority="2" operator="equal">
      <formula>$G$19</formula>
    </cfRule>
  </conditionalFormatting>
  <conditionalFormatting sqref="L4">
    <cfRule type="cellIs" dxfId="497" priority="1" operator="equal">
      <formula>$G$20</formula>
    </cfRule>
  </conditionalFormatting>
  <conditionalFormatting sqref="N4:O4">
    <cfRule type="cellIs" dxfId="496" priority="710" operator="equal">
      <formula>A$8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CF433-48E5-4BF9-BDC4-A966BB467084}">
  <sheetPr codeName="Feuil4">
    <tabColor theme="7" tint="0.79998168889431442"/>
    <pageSetUpPr fitToPage="1"/>
  </sheetPr>
  <dimension ref="A1:N80"/>
  <sheetViews>
    <sheetView zoomScale="60" zoomScaleNormal="60" zoomScaleSheetLayoutView="41" zoomScalePageLayoutView="30" workbookViewId="0">
      <selection activeCell="B49" sqref="B49"/>
    </sheetView>
    <sheetView workbookViewId="1"/>
  </sheetViews>
  <sheetFormatPr baseColWidth="10" defaultColWidth="11.42578125" defaultRowHeight="12.75" x14ac:dyDescent="0.2"/>
  <cols>
    <col min="1" max="1" width="16" style="368" customWidth="1"/>
    <col min="2" max="5" width="55" style="368" customWidth="1"/>
    <col min="6" max="6" width="35.42578125" style="368" customWidth="1"/>
    <col min="7" max="7" width="11.42578125" style="368" customWidth="1"/>
    <col min="8" max="8" width="99.140625" style="368" customWidth="1"/>
    <col min="9" max="9" width="10.42578125" style="368" customWidth="1"/>
    <col min="10" max="10" width="15.42578125" style="368" customWidth="1"/>
    <col min="11" max="11" width="16.140625" style="368" customWidth="1"/>
    <col min="12" max="12" width="12" style="368" customWidth="1"/>
    <col min="13" max="13" width="30.140625" style="368" customWidth="1"/>
    <col min="14" max="14" width="13.28515625" style="368" customWidth="1"/>
    <col min="15" max="15" width="14.42578125" style="368" customWidth="1"/>
    <col min="16" max="16384" width="11.42578125" style="368"/>
  </cols>
  <sheetData>
    <row r="1" spans="1:6" ht="59.25" x14ac:dyDescent="0.2">
      <c r="B1" s="686" t="s">
        <v>133</v>
      </c>
      <c r="C1" s="686"/>
      <c r="D1" s="686"/>
      <c r="E1" s="686"/>
    </row>
    <row r="2" spans="1:6" ht="24" customHeight="1" x14ac:dyDescent="0.2"/>
    <row r="3" spans="1:6" ht="45" x14ac:dyDescent="0.2">
      <c r="B3" s="528" t="s">
        <v>131</v>
      </c>
      <c r="C3" s="406"/>
      <c r="D3" s="687" t="s">
        <v>132</v>
      </c>
      <c r="E3" s="687"/>
    </row>
    <row r="4" spans="1:6" ht="30.75" customHeight="1" thickBot="1" x14ac:dyDescent="0.25"/>
    <row r="5" spans="1:6" ht="45" customHeight="1" thickBot="1" x14ac:dyDescent="0.25">
      <c r="A5" s="405"/>
      <c r="B5" s="688" t="s">
        <v>130</v>
      </c>
      <c r="C5" s="689"/>
      <c r="D5" s="689"/>
      <c r="E5" s="690"/>
      <c r="F5" s="520" t="s">
        <v>7</v>
      </c>
    </row>
    <row r="6" spans="1:6" ht="68.25" customHeight="1" thickBot="1" x14ac:dyDescent="0.25">
      <c r="A6" s="519" t="s">
        <v>79</v>
      </c>
      <c r="B6" s="642" t="str">
        <f>Synthèse!L2</f>
        <v>M. Pierre-Yves 
TIERCE</v>
      </c>
      <c r="C6" s="517" t="str">
        <f>Synthèse!M2</f>
        <v>Mme Isabelle 
FARNET RISSO</v>
      </c>
      <c r="D6" s="503" t="s">
        <v>3</v>
      </c>
      <c r="E6" s="504" t="s">
        <v>4</v>
      </c>
      <c r="F6" s="521" t="s">
        <v>101</v>
      </c>
    </row>
    <row r="7" spans="1:6" ht="65.099999999999994" customHeight="1" thickBot="1" x14ac:dyDescent="0.25">
      <c r="A7" s="401"/>
      <c r="B7" s="375"/>
      <c r="C7" s="375"/>
      <c r="D7" s="374"/>
      <c r="E7" s="373"/>
      <c r="F7" s="608" t="s">
        <v>125</v>
      </c>
    </row>
    <row r="8" spans="1:6" ht="65.099999999999994" customHeight="1" x14ac:dyDescent="0.2">
      <c r="A8" s="697"/>
      <c r="B8" s="507" t="s">
        <v>141</v>
      </c>
      <c r="C8" s="508" t="s">
        <v>141</v>
      </c>
      <c r="D8" s="509" t="s">
        <v>141</v>
      </c>
      <c r="E8" s="510" t="s">
        <v>141</v>
      </c>
      <c r="F8" s="609" t="s">
        <v>125</v>
      </c>
    </row>
    <row r="9" spans="1:6" ht="65.099999999999994" customHeight="1" thickBot="1" x14ac:dyDescent="0.25">
      <c r="A9" s="697"/>
      <c r="B9" s="511"/>
      <c r="C9" s="512"/>
      <c r="D9" s="511"/>
      <c r="E9" s="513"/>
      <c r="F9" s="612" t="s">
        <v>126</v>
      </c>
    </row>
    <row r="10" spans="1:6" ht="65.099999999999994" customHeight="1" x14ac:dyDescent="0.2">
      <c r="A10" s="698"/>
      <c r="B10" s="507" t="s">
        <v>141</v>
      </c>
      <c r="C10" s="508" t="s">
        <v>141</v>
      </c>
      <c r="D10" s="509" t="s">
        <v>141</v>
      </c>
      <c r="E10" s="510" t="s">
        <v>141</v>
      </c>
      <c r="F10" s="617" t="s">
        <v>125</v>
      </c>
    </row>
    <row r="11" spans="1:6" ht="65.099999999999994" customHeight="1" thickBot="1" x14ac:dyDescent="0.25">
      <c r="A11" s="699"/>
      <c r="B11" s="514"/>
      <c r="C11" s="515"/>
      <c r="D11" s="514"/>
      <c r="E11" s="516"/>
      <c r="F11" s="612" t="s">
        <v>127</v>
      </c>
    </row>
    <row r="12" spans="1:6" ht="65.099999999999994" customHeight="1" x14ac:dyDescent="0.2">
      <c r="A12" s="697" t="s">
        <v>78</v>
      </c>
      <c r="B12" s="507" t="s">
        <v>141</v>
      </c>
      <c r="C12" s="508" t="s">
        <v>141</v>
      </c>
      <c r="D12" s="509" t="s">
        <v>141</v>
      </c>
      <c r="E12" s="510" t="s">
        <v>141</v>
      </c>
      <c r="F12" s="617" t="s">
        <v>125</v>
      </c>
    </row>
    <row r="13" spans="1:6" ht="65.099999999999994" customHeight="1" thickBot="1" x14ac:dyDescent="0.25">
      <c r="A13" s="697"/>
      <c r="B13" s="511"/>
      <c r="C13" s="512"/>
      <c r="D13" s="511"/>
      <c r="E13" s="513"/>
      <c r="F13" s="610" t="s">
        <v>128</v>
      </c>
    </row>
    <row r="14" spans="1:6" ht="65.099999999999994" customHeight="1" x14ac:dyDescent="0.2">
      <c r="A14" s="698" t="s">
        <v>78</v>
      </c>
      <c r="B14" s="507" t="s">
        <v>141</v>
      </c>
      <c r="C14" s="508" t="s">
        <v>141</v>
      </c>
      <c r="D14" s="509" t="s">
        <v>141</v>
      </c>
      <c r="E14" s="510" t="s">
        <v>141</v>
      </c>
      <c r="F14" s="609" t="s">
        <v>125</v>
      </c>
    </row>
    <row r="15" spans="1:6" ht="65.099999999999994" customHeight="1" thickBot="1" x14ac:dyDescent="0.25">
      <c r="A15" s="699"/>
      <c r="B15" s="514"/>
      <c r="C15" s="515"/>
      <c r="D15" s="514"/>
      <c r="E15" s="516"/>
      <c r="F15" s="612" t="s">
        <v>129</v>
      </c>
    </row>
    <row r="16" spans="1:6" ht="20.100000000000001" customHeight="1" x14ac:dyDescent="0.2"/>
    <row r="17" spans="1:6" ht="39.950000000000003" customHeight="1" x14ac:dyDescent="0.2">
      <c r="B17" s="700" t="s">
        <v>134</v>
      </c>
      <c r="C17" s="702" t="s">
        <v>142</v>
      </c>
      <c r="D17" s="703"/>
      <c r="E17" s="703"/>
      <c r="F17" s="704"/>
    </row>
    <row r="18" spans="1:6" ht="39.950000000000003" customHeight="1" x14ac:dyDescent="0.2">
      <c r="B18" s="701"/>
      <c r="C18" s="705" t="s">
        <v>145</v>
      </c>
      <c r="D18" s="706"/>
      <c r="E18" s="706"/>
      <c r="F18" s="707"/>
    </row>
    <row r="19" spans="1:6" ht="39.950000000000003" customHeight="1" x14ac:dyDescent="0.2">
      <c r="B19" s="691" t="s">
        <v>135</v>
      </c>
      <c r="C19" s="708" t="s">
        <v>144</v>
      </c>
      <c r="D19" s="709"/>
      <c r="E19" s="709"/>
      <c r="F19" s="710"/>
    </row>
    <row r="20" spans="1:6" ht="39.950000000000003" customHeight="1" x14ac:dyDescent="0.2">
      <c r="B20" s="691"/>
      <c r="C20" s="692" t="s">
        <v>143</v>
      </c>
      <c r="D20" s="693"/>
      <c r="E20" s="693"/>
      <c r="F20" s="694"/>
    </row>
    <row r="21" spans="1:6" ht="18" customHeight="1" x14ac:dyDescent="0.2"/>
    <row r="22" spans="1:6" ht="26.25" customHeight="1" thickBot="1" x14ac:dyDescent="0.25"/>
    <row r="23" spans="1:6" ht="36.75" customHeight="1" thickBot="1" x14ac:dyDescent="0.25">
      <c r="A23" s="405"/>
      <c r="B23" s="688" t="s">
        <v>136</v>
      </c>
      <c r="C23" s="689"/>
      <c r="D23" s="689"/>
      <c r="E23" s="690"/>
      <c r="F23" s="522" t="s">
        <v>7</v>
      </c>
    </row>
    <row r="24" spans="1:6" ht="59.45" customHeight="1" thickBot="1" x14ac:dyDescent="0.25">
      <c r="A24" s="518" t="s">
        <v>79</v>
      </c>
      <c r="B24" s="642" t="str">
        <f>Synthèse!L2</f>
        <v>M. Pierre-Yves 
TIERCE</v>
      </c>
      <c r="C24" s="517" t="str">
        <f>Synthèse!M2</f>
        <v>Mme Isabelle 
FARNET RISSO</v>
      </c>
      <c r="D24" s="505" t="s">
        <v>3</v>
      </c>
      <c r="E24" s="506" t="s">
        <v>4</v>
      </c>
      <c r="F24" s="523" t="s">
        <v>101</v>
      </c>
    </row>
    <row r="25" spans="1:6" ht="60.6" customHeight="1" x14ac:dyDescent="0.2">
      <c r="A25" s="403"/>
      <c r="B25" s="388"/>
      <c r="C25" s="372"/>
      <c r="D25" s="371"/>
      <c r="E25" s="598"/>
      <c r="F25" s="614" t="s">
        <v>125</v>
      </c>
    </row>
    <row r="26" spans="1:6" ht="60.6" customHeight="1" x14ac:dyDescent="0.2">
      <c r="A26" s="404"/>
      <c r="B26" s="402"/>
      <c r="C26" s="399"/>
      <c r="D26" s="400"/>
      <c r="E26" s="599"/>
      <c r="F26" s="615" t="s">
        <v>125</v>
      </c>
    </row>
    <row r="27" spans="1:6" ht="60.6" customHeight="1" x14ac:dyDescent="0.2">
      <c r="A27" s="404" t="s">
        <v>78</v>
      </c>
      <c r="B27" s="402"/>
      <c r="C27" s="399"/>
      <c r="D27" s="400"/>
      <c r="E27" s="599"/>
      <c r="F27" s="615" t="s">
        <v>125</v>
      </c>
    </row>
    <row r="28" spans="1:6" ht="60.6" customHeight="1" x14ac:dyDescent="0.2">
      <c r="A28" s="404" t="s">
        <v>78</v>
      </c>
      <c r="B28" s="402"/>
      <c r="C28" s="399"/>
      <c r="D28" s="400"/>
      <c r="E28" s="599"/>
      <c r="F28" s="611" t="s">
        <v>125</v>
      </c>
    </row>
    <row r="29" spans="1:6" ht="56.45" customHeight="1" thickBot="1" x14ac:dyDescent="0.25">
      <c r="A29" s="524" t="s">
        <v>78</v>
      </c>
      <c r="B29" s="525"/>
      <c r="C29" s="526"/>
      <c r="D29" s="527"/>
      <c r="E29" s="600"/>
      <c r="F29" s="613" t="s">
        <v>125</v>
      </c>
    </row>
    <row r="32" spans="1:6" ht="28.5" customHeight="1" thickBot="1" x14ac:dyDescent="0.25"/>
    <row r="33" spans="1:14" ht="28.5" customHeight="1" x14ac:dyDescent="0.2">
      <c r="A33" s="604" t="s">
        <v>11</v>
      </c>
      <c r="B33" s="601">
        <f>Synthèse!$B$17</f>
        <v>46103</v>
      </c>
    </row>
    <row r="34" spans="1:14" ht="28.5" customHeight="1" x14ac:dyDescent="0.2">
      <c r="A34" s="605" t="s">
        <v>12</v>
      </c>
      <c r="B34" s="602" t="str">
        <f>Synthèse!$B$18</f>
        <v>Municipales</v>
      </c>
    </row>
    <row r="35" spans="1:14" ht="36.75" customHeight="1" thickBot="1" x14ac:dyDescent="0.25">
      <c r="A35" s="606" t="s">
        <v>13</v>
      </c>
      <c r="B35" s="603" t="str">
        <f>Synthèse!$B$20</f>
        <v>Cogolin</v>
      </c>
    </row>
    <row r="37" spans="1:14" ht="13.5" thickBot="1" x14ac:dyDescent="0.25">
      <c r="A37" s="607"/>
      <c r="B37" s="607"/>
      <c r="C37" s="607"/>
      <c r="D37" s="607"/>
      <c r="E37" s="607"/>
      <c r="F37" s="607"/>
      <c r="G37" s="607"/>
      <c r="H37" s="618"/>
      <c r="I37" s="618"/>
      <c r="J37" s="618"/>
      <c r="K37" s="618"/>
      <c r="L37" s="618"/>
      <c r="M37" s="618"/>
      <c r="N37" s="618"/>
    </row>
    <row r="39" spans="1:14" ht="13.5" thickBot="1" x14ac:dyDescent="0.25"/>
    <row r="40" spans="1:14" ht="36.75" customHeight="1" thickBot="1" x14ac:dyDescent="0.25">
      <c r="A40" s="405"/>
      <c r="B40" s="688" t="s">
        <v>94</v>
      </c>
      <c r="C40" s="689"/>
      <c r="D40" s="689"/>
      <c r="E40" s="690"/>
      <c r="F40" s="520" t="s">
        <v>7</v>
      </c>
    </row>
    <row r="41" spans="1:14" ht="42.75" thickBot="1" x14ac:dyDescent="0.25">
      <c r="A41" s="519" t="s">
        <v>79</v>
      </c>
      <c r="B41" s="642" t="s">
        <v>67</v>
      </c>
      <c r="C41" s="517" t="s">
        <v>97</v>
      </c>
      <c r="D41" s="503" t="s">
        <v>3</v>
      </c>
      <c r="E41" s="504" t="s">
        <v>4</v>
      </c>
      <c r="F41" s="521" t="s">
        <v>101</v>
      </c>
    </row>
    <row r="42" spans="1:14" ht="46.5" customHeight="1" thickBot="1" x14ac:dyDescent="0.25">
      <c r="A42" s="619">
        <v>1</v>
      </c>
      <c r="B42" s="620">
        <v>55</v>
      </c>
      <c r="C42" s="620">
        <v>40</v>
      </c>
      <c r="D42" s="621">
        <v>4</v>
      </c>
      <c r="E42" s="622">
        <v>1</v>
      </c>
      <c r="F42" s="608" t="s">
        <v>151</v>
      </c>
    </row>
    <row r="43" spans="1:14" ht="46.5" customHeight="1" x14ac:dyDescent="0.2">
      <c r="A43" s="695">
        <v>3</v>
      </c>
      <c r="B43" s="623" t="s">
        <v>146</v>
      </c>
      <c r="C43" s="624" t="s">
        <v>149</v>
      </c>
      <c r="D43" s="625" t="s">
        <v>147</v>
      </c>
      <c r="E43" s="626" t="s">
        <v>150</v>
      </c>
      <c r="F43" s="614" t="s">
        <v>151</v>
      </c>
    </row>
    <row r="44" spans="1:14" ht="46.5" customHeight="1" thickBot="1" x14ac:dyDescent="0.25">
      <c r="A44" s="696"/>
      <c r="B44" s="627">
        <v>105</v>
      </c>
      <c r="C44" s="628">
        <v>84</v>
      </c>
      <c r="D44" s="627">
        <v>9</v>
      </c>
      <c r="E44" s="629">
        <v>2</v>
      </c>
      <c r="F44" s="612" t="s">
        <v>152</v>
      </c>
    </row>
    <row r="47" spans="1:14" ht="15" customHeight="1" thickBot="1" x14ac:dyDescent="0.25"/>
    <row r="48" spans="1:14" ht="42.75" customHeight="1" thickBot="1" x14ac:dyDescent="0.25">
      <c r="A48" s="405"/>
      <c r="B48" s="688" t="s">
        <v>148</v>
      </c>
      <c r="C48" s="689"/>
      <c r="D48" s="689"/>
      <c r="E48" s="690"/>
      <c r="F48" s="522" t="s">
        <v>7</v>
      </c>
    </row>
    <row r="49" spans="1:6" ht="42.75" customHeight="1" thickBot="1" x14ac:dyDescent="0.25">
      <c r="A49" s="518" t="s">
        <v>79</v>
      </c>
      <c r="B49" s="642" t="s">
        <v>67</v>
      </c>
      <c r="C49" s="517" t="s">
        <v>97</v>
      </c>
      <c r="D49" s="505" t="s">
        <v>3</v>
      </c>
      <c r="E49" s="506" t="s">
        <v>4</v>
      </c>
      <c r="F49" s="523" t="s">
        <v>101</v>
      </c>
    </row>
    <row r="50" spans="1:6" ht="45.75" customHeight="1" x14ac:dyDescent="0.2">
      <c r="A50" s="630">
        <v>1</v>
      </c>
      <c r="B50" s="631">
        <v>55</v>
      </c>
      <c r="C50" s="624">
        <v>40</v>
      </c>
      <c r="D50" s="625">
        <v>4</v>
      </c>
      <c r="E50" s="632">
        <v>1</v>
      </c>
      <c r="F50" s="614" t="s">
        <v>151</v>
      </c>
    </row>
    <row r="51" spans="1:6" ht="45.75" customHeight="1" thickBot="1" x14ac:dyDescent="0.25">
      <c r="A51" s="633">
        <v>3</v>
      </c>
      <c r="B51" s="634">
        <v>50</v>
      </c>
      <c r="C51" s="635">
        <v>44</v>
      </c>
      <c r="D51" s="636">
        <v>5</v>
      </c>
      <c r="E51" s="637">
        <v>1</v>
      </c>
      <c r="F51" s="616" t="s">
        <v>151</v>
      </c>
    </row>
    <row r="52" spans="1:6" ht="15" customHeight="1" x14ac:dyDescent="0.2">
      <c r="B52" s="370"/>
      <c r="C52" s="370"/>
    </row>
    <row r="53" spans="1:6" ht="15" customHeight="1" x14ac:dyDescent="0.2">
      <c r="B53" s="370"/>
      <c r="C53" s="370"/>
    </row>
    <row r="54" spans="1:6" ht="15" customHeight="1" x14ac:dyDescent="0.2">
      <c r="B54" s="370"/>
      <c r="C54" s="370"/>
    </row>
    <row r="55" spans="1:6" ht="15" customHeight="1" x14ac:dyDescent="0.2">
      <c r="B55" s="370"/>
      <c r="C55" s="370"/>
    </row>
    <row r="56" spans="1:6" ht="15" customHeight="1" x14ac:dyDescent="0.2">
      <c r="B56" s="370"/>
      <c r="C56" s="370"/>
    </row>
    <row r="57" spans="1:6" ht="15" customHeight="1" x14ac:dyDescent="0.2">
      <c r="B57" s="370"/>
      <c r="C57" s="370"/>
    </row>
    <row r="58" spans="1:6" ht="15" customHeight="1" x14ac:dyDescent="0.2"/>
    <row r="59" spans="1:6" ht="15" customHeight="1" x14ac:dyDescent="0.2"/>
    <row r="60" spans="1:6" ht="15" customHeight="1" x14ac:dyDescent="0.2"/>
    <row r="61" spans="1:6" ht="15" customHeight="1" x14ac:dyDescent="0.2"/>
    <row r="62" spans="1:6" ht="15" customHeight="1" x14ac:dyDescent="0.2"/>
    <row r="63" spans="1:6" ht="15" customHeight="1" x14ac:dyDescent="0.2"/>
    <row r="64" spans="1:6" ht="15" customHeight="1" x14ac:dyDescent="0.2"/>
    <row r="65" spans="4:9" ht="15" customHeight="1" x14ac:dyDescent="0.2"/>
    <row r="66" spans="4:9" ht="15" customHeight="1" x14ac:dyDescent="0.2"/>
    <row r="67" spans="4:9" ht="15" customHeight="1" x14ac:dyDescent="0.2"/>
    <row r="68" spans="4:9" ht="15" customHeight="1" x14ac:dyDescent="0.2"/>
    <row r="69" spans="4:9" ht="15" customHeight="1" x14ac:dyDescent="0.2"/>
    <row r="70" spans="4:9" ht="15" customHeight="1" x14ac:dyDescent="0.2"/>
    <row r="71" spans="4:9" ht="15" customHeight="1" x14ac:dyDescent="0.2"/>
    <row r="72" spans="4:9" ht="15" customHeight="1" x14ac:dyDescent="0.2"/>
    <row r="73" spans="4:9" ht="15" customHeight="1" x14ac:dyDescent="0.2"/>
    <row r="74" spans="4:9" ht="15" customHeight="1" x14ac:dyDescent="0.2"/>
    <row r="75" spans="4:9" ht="15" customHeight="1" x14ac:dyDescent="0.2"/>
    <row r="76" spans="4:9" ht="15" customHeight="1" x14ac:dyDescent="0.2"/>
    <row r="77" spans="4:9" ht="15" customHeight="1" x14ac:dyDescent="0.2"/>
    <row r="78" spans="4:9" ht="15" customHeight="1" x14ac:dyDescent="0.2"/>
    <row r="79" spans="4:9" ht="15" customHeight="1" x14ac:dyDescent="0.2"/>
    <row r="80" spans="4:9" ht="15" customHeight="1" x14ac:dyDescent="0.2">
      <c r="D80" s="370"/>
      <c r="E80" s="370"/>
      <c r="F80" s="370"/>
      <c r="G80" s="370"/>
      <c r="H80" s="369"/>
      <c r="I80" s="618"/>
    </row>
  </sheetData>
  <sheetProtection algorithmName="SHA-512" hashValue="y19J/Zh0xDaM89MZrXSkrh0Rxl2dWg4RjiYSwjhSalCv8Cihu9QnElAbIXuD7BHkVMsXl8ccUyJ/wEROr+Q7Qg==" saltValue="8JrJlqdtOgXp8wNIUZSdBA==" spinCount="100000" sheet="1" objects="1" scenarios="1"/>
  <mergeCells count="17">
    <mergeCell ref="B40:E40"/>
    <mergeCell ref="A43:A44"/>
    <mergeCell ref="B48:E48"/>
    <mergeCell ref="A8:A9"/>
    <mergeCell ref="A10:A11"/>
    <mergeCell ref="A12:A13"/>
    <mergeCell ref="A14:A15"/>
    <mergeCell ref="B17:B18"/>
    <mergeCell ref="C17:F17"/>
    <mergeCell ref="C18:F18"/>
    <mergeCell ref="C19:F19"/>
    <mergeCell ref="B1:E1"/>
    <mergeCell ref="D3:E3"/>
    <mergeCell ref="B23:E23"/>
    <mergeCell ref="B5:E5"/>
    <mergeCell ref="B19:B20"/>
    <mergeCell ref="C20:F20"/>
  </mergeCells>
  <phoneticPr fontId="26" type="noConversion"/>
  <conditionalFormatting sqref="K7:K18">
    <cfRule type="expression" dxfId="495" priority="4">
      <formula>AND($K7&lt;$K6, NOT(ISBLANK($K7)))</formula>
    </cfRule>
    <cfRule type="cellIs" dxfId="494" priority="5" operator="greaterThan">
      <formula>#REF!</formula>
    </cfRule>
  </conditionalFormatting>
  <conditionalFormatting sqref="L7:L19">
    <cfRule type="cellIs" dxfId="493" priority="2" operator="greaterThan">
      <formula>1</formula>
    </cfRule>
  </conditionalFormatting>
  <conditionalFormatting sqref="K19">
    <cfRule type="expression" dxfId="492" priority="674">
      <formula>AND($K19&lt;$K17, NOT(ISBLANK($K19)))</formula>
    </cfRule>
    <cfRule type="cellIs" dxfId="491" priority="675" operator="greaterThan">
      <formula>#REF!</formula>
    </cfRule>
  </conditionalFormatting>
  <dataValidations disablePrompts="1" count="1">
    <dataValidation type="list" allowBlank="1" showInputMessage="1" showErrorMessage="1" sqref="B52:C57" xr:uid="{EFFF5907-3868-4AF4-BAC2-19BC74A1B961}">
      <formula1>#REF!</formula1>
    </dataValidation>
  </dataValidations>
  <pageMargins left="0.25" right="0.25" top="0.75" bottom="0.75" header="0.3" footer="0.3"/>
  <pageSetup paperSize="9" scale="35" fitToHeight="0" orientation="portrait" verticalDpi="598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2F87B-92E3-4351-B77E-891CFFB443E4}">
  <sheetPr codeName="Feuil2">
    <tabColor theme="6" tint="0.79998168889431442"/>
  </sheetPr>
  <dimension ref="A1:AD63"/>
  <sheetViews>
    <sheetView zoomScale="60" zoomScaleNormal="60" workbookViewId="0">
      <selection activeCell="I19" sqref="I19"/>
      <extLst>
        <ext xmlns:xlsdti="http://schemas.microsoft.com/office/spreadsheetml/2023/showDataTypeIcons" uri="{77bfe23e-c014-4d31-8a63-9c772dbf06b6}">
          <xlsdti:showDataTypeIcons visible="0"/>
        </ext>
      </extLst>
    </sheetView>
    <sheetView tabSelected="1" workbookViewId="1"/>
  </sheetViews>
  <sheetFormatPr baseColWidth="10" defaultColWidth="11.42578125" defaultRowHeight="15.75" x14ac:dyDescent="0.3"/>
  <cols>
    <col min="1" max="1" width="7.5703125" style="529" customWidth="1"/>
    <col min="2" max="2" width="6.28515625" style="529" customWidth="1"/>
    <col min="3" max="3" width="26.5703125" style="529" customWidth="1"/>
    <col min="4" max="4" width="21" style="529" customWidth="1"/>
    <col min="5" max="5" width="20.28515625" style="529" customWidth="1"/>
    <col min="6" max="7" width="31.140625" style="529" customWidth="1"/>
    <col min="8" max="8" width="21.28515625" style="529" bestFit="1" customWidth="1"/>
    <col min="9" max="9" width="16.7109375" style="529" bestFit="1" customWidth="1"/>
    <col min="10" max="10" width="35.28515625" style="529" customWidth="1"/>
    <col min="11" max="11" width="4.7109375" style="529" customWidth="1"/>
    <col min="12" max="12" width="12.28515625" style="529" customWidth="1"/>
    <col min="13" max="13" width="21" style="529" customWidth="1"/>
    <col min="14" max="14" width="12.85546875" style="529" customWidth="1"/>
    <col min="15" max="15" width="13.140625" style="529" customWidth="1"/>
    <col min="16" max="16" width="11.42578125" style="529"/>
    <col min="17" max="17" width="12.140625" style="529" customWidth="1"/>
    <col min="18" max="18" width="13.5703125" style="529" customWidth="1"/>
    <col min="19" max="19" width="28.140625" style="529" customWidth="1"/>
    <col min="20" max="20" width="15.140625" style="529" customWidth="1"/>
    <col min="21" max="21" width="11.42578125" style="529"/>
    <col min="22" max="22" width="24.7109375" style="529" customWidth="1"/>
    <col min="23" max="23" width="17" style="529" customWidth="1"/>
    <col min="24" max="24" width="16.7109375" style="529" customWidth="1"/>
    <col min="25" max="25" width="20.42578125" style="529" customWidth="1"/>
    <col min="26" max="26" width="37.5703125" style="529" customWidth="1"/>
    <col min="27" max="27" width="4" style="529" customWidth="1"/>
    <col min="28" max="28" width="4.85546875" style="529" customWidth="1"/>
    <col min="29" max="29" width="14.28515625" style="529" customWidth="1"/>
    <col min="30" max="30" width="34.28515625" style="529" customWidth="1"/>
    <col min="31" max="31" width="20.28515625" style="529" customWidth="1"/>
    <col min="32" max="32" width="11.42578125" style="529" customWidth="1"/>
    <col min="33" max="16384" width="11.42578125" style="529"/>
  </cols>
  <sheetData>
    <row r="1" spans="1:26" x14ac:dyDescent="0.3">
      <c r="A1" s="530"/>
    </row>
    <row r="2" spans="1:26" ht="25.5" thickBot="1" x14ac:dyDescent="0.5">
      <c r="A2" s="531"/>
      <c r="E2" s="655"/>
      <c r="F2" s="656"/>
      <c r="G2" s="656"/>
      <c r="H2" s="657"/>
      <c r="I2" s="532"/>
      <c r="J2" s="532"/>
    </row>
    <row r="3" spans="1:26" ht="56.1" customHeight="1" thickBot="1" x14ac:dyDescent="0.55000000000000004">
      <c r="A3" s="531"/>
      <c r="B3" s="716" t="s">
        <v>15</v>
      </c>
      <c r="C3" s="717"/>
      <c r="D3" s="533" t="s">
        <v>0</v>
      </c>
      <c r="E3" s="534" t="s">
        <v>2</v>
      </c>
      <c r="F3" s="639" t="str">
        <f>Synthèse!L$2</f>
        <v>M. Pierre-Yves 
TIERCE</v>
      </c>
      <c r="G3" s="594" t="str">
        <f>Synthèse!M$2</f>
        <v>Mme Isabelle 
FARNET RISSO</v>
      </c>
      <c r="H3" s="658" t="s">
        <v>4</v>
      </c>
      <c r="I3" s="644" t="s">
        <v>3</v>
      </c>
      <c r="J3" s="645" t="s">
        <v>104</v>
      </c>
      <c r="U3" s="711" t="s">
        <v>15</v>
      </c>
      <c r="V3" s="712"/>
      <c r="W3" s="535" t="s">
        <v>0</v>
      </c>
      <c r="X3" s="713" t="s">
        <v>2</v>
      </c>
      <c r="Y3" s="714"/>
      <c r="Z3" s="715"/>
    </row>
    <row r="4" spans="1:26" ht="24.75" x14ac:dyDescent="0.45">
      <c r="B4" s="536">
        <v>1</v>
      </c>
      <c r="C4" s="537" t="str" cm="1">
        <f t="array" aca="1" ref="C4" ca="1">INDIRECT("'Synthèse'!$B" &amp; ROW()-1)</f>
        <v>Ecole Chabaud</v>
      </c>
      <c r="D4" s="538">
        <f>Synthèse!C3</f>
        <v>553</v>
      </c>
      <c r="E4" s="539">
        <f ca="1">Synthèse!E3</f>
        <v>105</v>
      </c>
      <c r="F4" s="540">
        <f ca="1">Synthèse!L3</f>
        <v>60</v>
      </c>
      <c r="G4" s="541">
        <f ca="1">Synthèse!M3</f>
        <v>40</v>
      </c>
      <c r="H4" s="542">
        <f ca="1">Synthèse!G3</f>
        <v>3</v>
      </c>
      <c r="I4" s="543">
        <f ca="1">Synthèse!H3</f>
        <v>2</v>
      </c>
      <c r="J4" s="544" cm="1">
        <f t="array" aca="1" ref="J4" ca="1">SUM(IFERROR(F4:I4,0))</f>
        <v>105</v>
      </c>
      <c r="U4" s="545">
        <v>1</v>
      </c>
      <c r="V4" s="546" t="str">
        <f>Synthèse!$B3</f>
        <v>Ecole Chabaud</v>
      </c>
      <c r="W4" s="547">
        <f>Synthèse!$C3</f>
        <v>553</v>
      </c>
      <c r="X4" s="548">
        <f ca="1">Synthèse!$E3</f>
        <v>105</v>
      </c>
      <c r="Y4" s="549">
        <f t="shared" ref="Y4:Z16" ca="1" si="0">$X4/$W4</f>
        <v>0.189873417721519</v>
      </c>
      <c r="Z4" s="550">
        <f t="shared" ca="1" si="0"/>
        <v>0.189873417721519</v>
      </c>
    </row>
    <row r="5" spans="1:26" ht="24.75" x14ac:dyDescent="0.45">
      <c r="B5" s="551">
        <v>2</v>
      </c>
      <c r="C5" s="552" t="str" cm="1">
        <f t="array" aca="1" ref="C5" ca="1">INDIRECT("'Synthèse'!$B" &amp; ROW()-1)</f>
        <v>Gymnase B</v>
      </c>
      <c r="D5" s="553">
        <f>Synthèse!C4</f>
        <v>740</v>
      </c>
      <c r="E5" s="554">
        <f ca="1">Synthèse!E4</f>
        <v>0</v>
      </c>
      <c r="F5" s="555">
        <f ca="1">Synthèse!L4</f>
        <v>0</v>
      </c>
      <c r="G5" s="556">
        <f ca="1">Synthèse!M4</f>
        <v>0</v>
      </c>
      <c r="H5" s="557">
        <f ca="1">Synthèse!G4</f>
        <v>0</v>
      </c>
      <c r="I5" s="558">
        <f ca="1">Synthèse!H4</f>
        <v>0</v>
      </c>
      <c r="J5" s="558" cm="1">
        <f t="array" aca="1" ref="J5" ca="1">SUM(IFERROR(F5:I5,0))</f>
        <v>0</v>
      </c>
      <c r="U5" s="545">
        <v>2</v>
      </c>
      <c r="V5" s="546" t="str">
        <f>Synthèse!$B4</f>
        <v>Gymnase B</v>
      </c>
      <c r="W5" s="559">
        <f>Synthèse!$C4</f>
        <v>740</v>
      </c>
      <c r="X5" s="560">
        <f ca="1">Synthèse!$E4</f>
        <v>0</v>
      </c>
      <c r="Y5" s="561">
        <f t="shared" ca="1" si="0"/>
        <v>0</v>
      </c>
      <c r="Z5" s="550">
        <f t="shared" ca="1" si="0"/>
        <v>0</v>
      </c>
    </row>
    <row r="6" spans="1:26" ht="24.75" x14ac:dyDescent="0.45">
      <c r="B6" s="551">
        <v>3</v>
      </c>
      <c r="C6" s="552" t="str" cm="1">
        <f t="array" aca="1" ref="C6" ca="1">INDIRECT("'Synthèse'!$B" &amp; ROW()-1)</f>
        <v>Gymnase B</v>
      </c>
      <c r="D6" s="553">
        <f>Synthèse!C5</f>
        <v>713</v>
      </c>
      <c r="E6" s="554">
        <f ca="1">Synthèse!E5</f>
        <v>0</v>
      </c>
      <c r="F6" s="555">
        <f ca="1">Synthèse!L5</f>
        <v>0</v>
      </c>
      <c r="G6" s="556">
        <f ca="1">Synthèse!M5</f>
        <v>0</v>
      </c>
      <c r="H6" s="557">
        <f ca="1">Synthèse!G5</f>
        <v>0</v>
      </c>
      <c r="I6" s="558">
        <f ca="1">Synthèse!H5</f>
        <v>0</v>
      </c>
      <c r="J6" s="558" cm="1">
        <f t="array" aca="1" ref="J6" ca="1">SUM(IFERROR(F6:I6,0))</f>
        <v>0</v>
      </c>
      <c r="U6" s="545">
        <v>3</v>
      </c>
      <c r="V6" s="546" t="str">
        <f>Synthèse!$B5</f>
        <v>Gymnase B</v>
      </c>
      <c r="W6" s="559">
        <f>Synthèse!$C5</f>
        <v>713</v>
      </c>
      <c r="X6" s="560">
        <f ca="1">Synthèse!$E5</f>
        <v>0</v>
      </c>
      <c r="Y6" s="561">
        <f t="shared" ca="1" si="0"/>
        <v>0</v>
      </c>
      <c r="Z6" s="550">
        <f t="shared" ca="1" si="0"/>
        <v>0</v>
      </c>
    </row>
    <row r="7" spans="1:26" ht="24.75" x14ac:dyDescent="0.45">
      <c r="B7" s="551">
        <v>4</v>
      </c>
      <c r="C7" s="552" t="str" cm="1">
        <f t="array" aca="1" ref="C7" ca="1">INDIRECT("'Synthèse'!$B" &amp; ROW()-1)</f>
        <v>Gymnase B</v>
      </c>
      <c r="D7" s="553">
        <f>Synthèse!C6</f>
        <v>679</v>
      </c>
      <c r="E7" s="554">
        <f ca="1">Synthèse!E6</f>
        <v>0</v>
      </c>
      <c r="F7" s="555">
        <f ca="1">Synthèse!L6</f>
        <v>0</v>
      </c>
      <c r="G7" s="556">
        <f ca="1">Synthèse!M6</f>
        <v>0</v>
      </c>
      <c r="H7" s="557">
        <f ca="1">Synthèse!G6</f>
        <v>0</v>
      </c>
      <c r="I7" s="558">
        <f ca="1">Synthèse!H6</f>
        <v>0</v>
      </c>
      <c r="J7" s="558" cm="1">
        <f t="array" aca="1" ref="J7" ca="1">SUM(IFERROR(F7:I7,0))</f>
        <v>0</v>
      </c>
      <c r="U7" s="545">
        <v>4</v>
      </c>
      <c r="V7" s="546" t="str">
        <f>Synthèse!$B6</f>
        <v>Gymnase B</v>
      </c>
      <c r="W7" s="559">
        <f>Synthèse!$C6</f>
        <v>679</v>
      </c>
      <c r="X7" s="560">
        <f ca="1">Synthèse!$E6</f>
        <v>0</v>
      </c>
      <c r="Y7" s="561">
        <f t="shared" ca="1" si="0"/>
        <v>0</v>
      </c>
      <c r="Z7" s="550">
        <f t="shared" ca="1" si="0"/>
        <v>0</v>
      </c>
    </row>
    <row r="8" spans="1:26" ht="24.75" x14ac:dyDescent="0.45">
      <c r="B8" s="551">
        <v>5</v>
      </c>
      <c r="C8" s="552" t="str" cm="1">
        <f t="array" aca="1" ref="C8" ca="1">INDIRECT("'Synthèse'!$B" &amp; ROW()-1)</f>
        <v>COSEC</v>
      </c>
      <c r="D8" s="553">
        <f>Synthèse!C7</f>
        <v>701</v>
      </c>
      <c r="E8" s="554">
        <f ca="1">Synthèse!E7</f>
        <v>0</v>
      </c>
      <c r="F8" s="555">
        <f ca="1">Synthèse!L7</f>
        <v>0</v>
      </c>
      <c r="G8" s="556">
        <f ca="1">Synthèse!M7</f>
        <v>0</v>
      </c>
      <c r="H8" s="557">
        <f ca="1">Synthèse!G7</f>
        <v>0</v>
      </c>
      <c r="I8" s="558">
        <f ca="1">Synthèse!H7</f>
        <v>0</v>
      </c>
      <c r="J8" s="558" cm="1">
        <f t="array" aca="1" ref="J8" ca="1">SUM(IFERROR(F8:I8,0))</f>
        <v>0</v>
      </c>
      <c r="U8" s="545">
        <v>5</v>
      </c>
      <c r="V8" s="546" t="str">
        <f>Synthèse!$B7</f>
        <v>COSEC</v>
      </c>
      <c r="W8" s="559">
        <f>Synthèse!$C7</f>
        <v>701</v>
      </c>
      <c r="X8" s="560">
        <f ca="1">Synthèse!$E7</f>
        <v>0</v>
      </c>
      <c r="Y8" s="561">
        <f t="shared" ca="1" si="0"/>
        <v>0</v>
      </c>
      <c r="Z8" s="550">
        <f t="shared" ca="1" si="0"/>
        <v>0</v>
      </c>
    </row>
    <row r="9" spans="1:26" ht="24.75" x14ac:dyDescent="0.45">
      <c r="B9" s="551">
        <v>6</v>
      </c>
      <c r="C9" s="552" t="str" cm="1">
        <f t="array" aca="1" ref="C9" ca="1">INDIRECT("'Synthèse'!$B" &amp; ROW()-1)</f>
        <v>COSEC</v>
      </c>
      <c r="D9" s="553">
        <f>Synthèse!C8</f>
        <v>712</v>
      </c>
      <c r="E9" s="554">
        <f ca="1">Synthèse!E8</f>
        <v>0</v>
      </c>
      <c r="F9" s="555">
        <f ca="1">Synthèse!L8</f>
        <v>0</v>
      </c>
      <c r="G9" s="556">
        <f ca="1">Synthèse!M8</f>
        <v>0</v>
      </c>
      <c r="H9" s="557">
        <f ca="1">Synthèse!G8</f>
        <v>0</v>
      </c>
      <c r="I9" s="558">
        <f ca="1">Synthèse!H8</f>
        <v>0</v>
      </c>
      <c r="J9" s="558" cm="1">
        <f t="array" aca="1" ref="J9" ca="1">SUM(IFERROR(F9:I9,0))</f>
        <v>0</v>
      </c>
      <c r="U9" s="545">
        <v>6</v>
      </c>
      <c r="V9" s="546" t="str">
        <f>Synthèse!$B8</f>
        <v>COSEC</v>
      </c>
      <c r="W9" s="559">
        <f>Synthèse!$C8</f>
        <v>712</v>
      </c>
      <c r="X9" s="560">
        <f ca="1">Synthèse!$E8</f>
        <v>0</v>
      </c>
      <c r="Y9" s="561">
        <f t="shared" ca="1" si="0"/>
        <v>0</v>
      </c>
      <c r="Z9" s="550">
        <f t="shared" ca="1" si="0"/>
        <v>0</v>
      </c>
    </row>
    <row r="10" spans="1:26" ht="24.75" x14ac:dyDescent="0.45">
      <c r="B10" s="551">
        <v>7</v>
      </c>
      <c r="C10" s="552" t="str" cm="1">
        <f t="array" aca="1" ref="C10" ca="1">INDIRECT("'Synthèse'!$B" &amp; ROW()-1)</f>
        <v>COSEC</v>
      </c>
      <c r="D10" s="553">
        <f>Synthèse!C9</f>
        <v>731</v>
      </c>
      <c r="E10" s="554">
        <f ca="1">Synthèse!E9</f>
        <v>0</v>
      </c>
      <c r="F10" s="555">
        <f ca="1">Synthèse!L9</f>
        <v>0</v>
      </c>
      <c r="G10" s="556">
        <f ca="1">Synthèse!M9</f>
        <v>0</v>
      </c>
      <c r="H10" s="557">
        <f ca="1">Synthèse!G9</f>
        <v>0</v>
      </c>
      <c r="I10" s="558">
        <f ca="1">Synthèse!H9</f>
        <v>0</v>
      </c>
      <c r="J10" s="558" cm="1">
        <f t="array" aca="1" ref="J10" ca="1">SUM(IFERROR(F10:I10,0))</f>
        <v>0</v>
      </c>
      <c r="U10" s="545">
        <v>7</v>
      </c>
      <c r="V10" s="546" t="str">
        <f>Synthèse!$B9</f>
        <v>COSEC</v>
      </c>
      <c r="W10" s="559">
        <f>Synthèse!$C9</f>
        <v>731</v>
      </c>
      <c r="X10" s="560">
        <f ca="1">Synthèse!$E9</f>
        <v>0</v>
      </c>
      <c r="Y10" s="561">
        <f t="shared" ca="1" si="0"/>
        <v>0</v>
      </c>
      <c r="Z10" s="550">
        <f t="shared" ca="1" si="0"/>
        <v>0</v>
      </c>
    </row>
    <row r="11" spans="1:26" ht="25.5" thickBot="1" x14ac:dyDescent="0.5">
      <c r="B11" s="551">
        <v>8</v>
      </c>
      <c r="C11" s="552" t="str" cm="1">
        <f t="array" aca="1" ref="C11" ca="1">INDIRECT("'Synthèse'!$B" &amp; ROW()-1)</f>
        <v>COSEC</v>
      </c>
      <c r="D11" s="553">
        <f>Synthèse!C10</f>
        <v>646</v>
      </c>
      <c r="E11" s="554">
        <f ca="1">Synthèse!E10</f>
        <v>0</v>
      </c>
      <c r="F11" s="555">
        <f ca="1">Synthèse!L10</f>
        <v>0</v>
      </c>
      <c r="G11" s="556">
        <f ca="1">Synthèse!M10</f>
        <v>0</v>
      </c>
      <c r="H11" s="557">
        <f ca="1">Synthèse!G10</f>
        <v>0</v>
      </c>
      <c r="I11" s="558">
        <f ca="1">Synthèse!H10</f>
        <v>0</v>
      </c>
      <c r="J11" s="558" cm="1">
        <f t="array" aca="1" ref="J11" ca="1">SUM(IFERROR(F11:I11,0))</f>
        <v>0</v>
      </c>
      <c r="U11" s="545">
        <v>8</v>
      </c>
      <c r="V11" s="546" t="str">
        <f>Synthèse!$B10</f>
        <v>COSEC</v>
      </c>
      <c r="W11" s="559">
        <f>Synthèse!$C10</f>
        <v>646</v>
      </c>
      <c r="X11" s="560">
        <f ca="1">Synthèse!$E10</f>
        <v>0</v>
      </c>
      <c r="Y11" s="561">
        <f t="shared" ca="1" si="0"/>
        <v>0</v>
      </c>
      <c r="Z11" s="550">
        <f t="shared" ca="1" si="0"/>
        <v>0</v>
      </c>
    </row>
    <row r="12" spans="1:26" ht="24.75" customHeight="1" x14ac:dyDescent="0.45">
      <c r="B12" s="551">
        <v>9</v>
      </c>
      <c r="C12" s="552" t="str" cm="1">
        <f t="array" aca="1" ref="C12" ca="1">INDIRECT("'Synthèse'!$B" &amp; ROW()-1)</f>
        <v>CMM</v>
      </c>
      <c r="D12" s="553">
        <f>Synthèse!C11</f>
        <v>709</v>
      </c>
      <c r="E12" s="554">
        <f ca="1">Synthèse!E11</f>
        <v>0</v>
      </c>
      <c r="F12" s="555">
        <f ca="1">Synthèse!L11</f>
        <v>0</v>
      </c>
      <c r="G12" s="556">
        <f ca="1">Synthèse!M11</f>
        <v>0</v>
      </c>
      <c r="H12" s="557">
        <f ca="1">Synthèse!G11</f>
        <v>0</v>
      </c>
      <c r="I12" s="558">
        <f ca="1">Synthèse!H11</f>
        <v>0</v>
      </c>
      <c r="J12" s="558" cm="1">
        <f t="array" aca="1" ref="J12" ca="1">SUM(IFERROR(F12:I12,0))</f>
        <v>0</v>
      </c>
      <c r="L12" s="773" t="s">
        <v>140</v>
      </c>
      <c r="M12" s="774"/>
      <c r="N12" s="774"/>
      <c r="O12" s="774"/>
      <c r="P12" s="774"/>
      <c r="Q12" s="774"/>
      <c r="R12" s="775"/>
      <c r="U12" s="545">
        <v>9</v>
      </c>
      <c r="V12" s="546" t="str">
        <f>Synthèse!$B11</f>
        <v>CMM</v>
      </c>
      <c r="W12" s="559">
        <f>Synthèse!$C11</f>
        <v>709</v>
      </c>
      <c r="X12" s="560">
        <f ca="1">Synthèse!$E11</f>
        <v>0</v>
      </c>
      <c r="Y12" s="561">
        <f t="shared" ca="1" si="0"/>
        <v>0</v>
      </c>
      <c r="Z12" s="550">
        <f t="shared" ca="1" si="0"/>
        <v>0</v>
      </c>
    </row>
    <row r="13" spans="1:26" ht="24.75" customHeight="1" x14ac:dyDescent="0.45">
      <c r="B13" s="551">
        <v>10</v>
      </c>
      <c r="C13" s="552" t="str" cm="1">
        <f t="array" aca="1" ref="C13" ca="1">INDIRECT("'Synthèse'!$B" &amp; ROW()-1)</f>
        <v>CMM</v>
      </c>
      <c r="D13" s="553">
        <f>Synthèse!C12</f>
        <v>609</v>
      </c>
      <c r="E13" s="554">
        <f ca="1">Synthèse!E12</f>
        <v>0</v>
      </c>
      <c r="F13" s="555">
        <f ca="1">Synthèse!L12</f>
        <v>0</v>
      </c>
      <c r="G13" s="556">
        <f ca="1">Synthèse!M12</f>
        <v>0</v>
      </c>
      <c r="H13" s="557">
        <f ca="1">Synthèse!G12</f>
        <v>0</v>
      </c>
      <c r="I13" s="558">
        <f ca="1">Synthèse!H12</f>
        <v>0</v>
      </c>
      <c r="J13" s="558" cm="1">
        <f t="array" aca="1" ref="J13" ca="1">SUM(IFERROR(F13:I13,0))</f>
        <v>0</v>
      </c>
      <c r="L13" s="776"/>
      <c r="M13" s="771"/>
      <c r="N13" s="771"/>
      <c r="O13" s="771"/>
      <c r="P13" s="771"/>
      <c r="Q13" s="771"/>
      <c r="R13" s="777"/>
      <c r="U13" s="545">
        <v>10</v>
      </c>
      <c r="V13" s="546" t="str">
        <f>Synthèse!$B12</f>
        <v>CMM</v>
      </c>
      <c r="W13" s="559">
        <f>Synthèse!$C12</f>
        <v>609</v>
      </c>
      <c r="X13" s="560">
        <f ca="1">Synthèse!$E12</f>
        <v>0</v>
      </c>
      <c r="Y13" s="561">
        <f t="shared" ca="1" si="0"/>
        <v>0</v>
      </c>
      <c r="Z13" s="550">
        <f t="shared" ca="1" si="0"/>
        <v>0</v>
      </c>
    </row>
    <row r="14" spans="1:26" ht="24.75" customHeight="1" x14ac:dyDescent="0.45">
      <c r="B14" s="551">
        <v>11</v>
      </c>
      <c r="C14" s="552" t="str" cm="1">
        <f t="array" aca="1" ref="C14" ca="1">INDIRECT("'Synthèse'!$B" &amp; ROW()-1)</f>
        <v>CMM</v>
      </c>
      <c r="D14" s="553">
        <f>Synthèse!C13</f>
        <v>691</v>
      </c>
      <c r="E14" s="554">
        <f ca="1">Synthèse!E13</f>
        <v>0</v>
      </c>
      <c r="F14" s="555">
        <f ca="1">Synthèse!L13</f>
        <v>0</v>
      </c>
      <c r="G14" s="556">
        <f ca="1">Synthèse!M13</f>
        <v>0</v>
      </c>
      <c r="H14" s="557">
        <f ca="1">Synthèse!G13</f>
        <v>0</v>
      </c>
      <c r="I14" s="558">
        <f ca="1">Synthèse!H13</f>
        <v>0</v>
      </c>
      <c r="J14" s="558" cm="1">
        <f t="array" aca="1" ref="J14" ca="1">SUM(IFERROR(F14:I14,0))</f>
        <v>0</v>
      </c>
      <c r="L14" s="778" t="str" cm="1">
        <f t="array" aca="1" ref="L14" ca="1">_xlfn.LET(
_xlpm.leaders,_xlfn._xlws.FILTER(F3:G3,F16:G16=MAX(F16:G16)),
_xlpm.nb,COUNTIF(F16:G16,MAX(F16:G16)),
IF(_xlpm.nb=1,
_xlfn.TEXTJOIN("",TRUE,_xlpm.leaders),
_xlfn.TEXTJOIN(" et ",TRUE,_xlpm.leaders) &amp; " à égalité"
)
)</f>
        <v>M. Pierre-Yves 
TIERCE</v>
      </c>
      <c r="M14" s="772"/>
      <c r="N14" s="772"/>
      <c r="O14" s="772"/>
      <c r="P14" s="772"/>
      <c r="Q14" s="772"/>
      <c r="R14" s="779"/>
      <c r="U14" s="545">
        <v>11</v>
      </c>
      <c r="V14" s="546" t="str">
        <f>Synthèse!$B13</f>
        <v>CMM</v>
      </c>
      <c r="W14" s="559">
        <f>Synthèse!$C13</f>
        <v>691</v>
      </c>
      <c r="X14" s="560">
        <f ca="1">Synthèse!$E13</f>
        <v>0</v>
      </c>
      <c r="Y14" s="561">
        <f t="shared" ca="1" si="0"/>
        <v>0</v>
      </c>
      <c r="Z14" s="550">
        <f t="shared" ca="1" si="0"/>
        <v>0</v>
      </c>
    </row>
    <row r="15" spans="1:26" ht="28.5" customHeight="1" thickBot="1" x14ac:dyDescent="0.5">
      <c r="B15" s="562">
        <v>12</v>
      </c>
      <c r="C15" s="563" t="str" cm="1">
        <f t="array" aca="1" ref="C15" ca="1">INDIRECT("'Synthèse'!$B" &amp; ROW()-1)</f>
        <v>Base nautique</v>
      </c>
      <c r="D15" s="564">
        <f>Synthèse!C14</f>
        <v>680</v>
      </c>
      <c r="E15" s="565">
        <f ca="1">Synthèse!E14</f>
        <v>0</v>
      </c>
      <c r="F15" s="555">
        <f ca="1">Synthèse!L14</f>
        <v>0</v>
      </c>
      <c r="G15" s="556">
        <f ca="1">Synthèse!M14</f>
        <v>0</v>
      </c>
      <c r="H15" s="566">
        <f ca="1">Synthèse!G14</f>
        <v>0</v>
      </c>
      <c r="I15" s="567">
        <f ca="1">Synthèse!H14</f>
        <v>0</v>
      </c>
      <c r="J15" s="567" cm="1">
        <f t="array" aca="1" ref="J15" ca="1">SUM(IFERROR(F15:I15,0))</f>
        <v>0</v>
      </c>
      <c r="L15" s="778"/>
      <c r="M15" s="772"/>
      <c r="N15" s="772"/>
      <c r="O15" s="772"/>
      <c r="P15" s="772"/>
      <c r="Q15" s="772"/>
      <c r="R15" s="779"/>
      <c r="U15" s="646">
        <v>12</v>
      </c>
      <c r="V15" s="649" t="str">
        <f>Synthèse!$B14</f>
        <v>Base nautique</v>
      </c>
      <c r="W15" s="568">
        <f>Synthèse!$C14</f>
        <v>680</v>
      </c>
      <c r="X15" s="569">
        <f ca="1">Synthèse!$E14</f>
        <v>0</v>
      </c>
      <c r="Y15" s="570">
        <f t="shared" ca="1" si="0"/>
        <v>0</v>
      </c>
      <c r="Z15" s="571">
        <f t="shared" ca="1" si="0"/>
        <v>0</v>
      </c>
    </row>
    <row r="16" spans="1:26" ht="52.5" customHeight="1" thickBot="1" x14ac:dyDescent="0.35">
      <c r="B16" s="718" t="s">
        <v>16</v>
      </c>
      <c r="C16" s="719"/>
      <c r="D16" s="572">
        <f>Synthèse!C15</f>
        <v>8164</v>
      </c>
      <c r="E16" s="573">
        <f ca="1">Synthèse!E15</f>
        <v>105</v>
      </c>
      <c r="F16" s="574">
        <f ca="1">Synthèse!L15</f>
        <v>60</v>
      </c>
      <c r="G16" s="575">
        <f ca="1">Synthèse!M15</f>
        <v>40</v>
      </c>
      <c r="H16" s="650">
        <f ca="1">Synthèse!G15</f>
        <v>3</v>
      </c>
      <c r="I16" s="651">
        <f ca="1">Synthèse!H15</f>
        <v>2</v>
      </c>
      <c r="J16" s="643" cm="1">
        <f t="array" aca="1" ref="J16" ca="1">SUM(IFERROR(F16:I16,0))</f>
        <v>105</v>
      </c>
      <c r="L16" s="778"/>
      <c r="M16" s="772"/>
      <c r="N16" s="772"/>
      <c r="O16" s="772"/>
      <c r="P16" s="772"/>
      <c r="Q16" s="772"/>
      <c r="R16" s="779"/>
      <c r="S16" s="647"/>
      <c r="T16" s="647"/>
      <c r="U16" s="720" t="s">
        <v>16</v>
      </c>
      <c r="V16" s="721"/>
      <c r="W16" s="576">
        <f>Synthèse!$C15</f>
        <v>8164</v>
      </c>
      <c r="X16" s="577">
        <f ca="1">Synthèse!$E15</f>
        <v>105</v>
      </c>
      <c r="Y16" s="578">
        <f t="shared" ca="1" si="0"/>
        <v>1.2861342479176875E-2</v>
      </c>
      <c r="Z16" s="579">
        <f t="shared" ca="1" si="0"/>
        <v>1.2861342479176875E-2</v>
      </c>
    </row>
    <row r="17" spans="2:30" ht="52.5" customHeight="1" thickBot="1" x14ac:dyDescent="0.35">
      <c r="B17" s="722" t="s">
        <v>10</v>
      </c>
      <c r="C17" s="723"/>
      <c r="D17" s="597" t="s">
        <v>6</v>
      </c>
      <c r="E17" s="580">
        <f ca="1">E16/D16</f>
        <v>1.2861342479176875E-2</v>
      </c>
      <c r="F17" s="581">
        <f ca="1">Synthèse!L16</f>
        <v>0.6</v>
      </c>
      <c r="G17" s="582">
        <f ca="1">Synthèse!M16</f>
        <v>0.4</v>
      </c>
      <c r="H17" s="652">
        <f ca="1">Synthèse!G16</f>
        <v>3.6746692797648211E-4</v>
      </c>
      <c r="I17" s="653">
        <f ca="1">Synthèse!H16</f>
        <v>2.4497795198432141E-4</v>
      </c>
      <c r="J17" s="864">
        <f ca="1">IFERROR(J16/E16,0)</f>
        <v>1</v>
      </c>
      <c r="L17" s="780" t="str">
        <f ca="1">"Avec " &amp; MAX(F16:G16) &amp; " voix" &amp; " (" &amp; TEXT(MAX(F17:G17),"0,00%") &amp; ")"</f>
        <v>Avec 60 voix (60,00%)</v>
      </c>
      <c r="M17" s="781"/>
      <c r="N17" s="781"/>
      <c r="O17" s="781"/>
      <c r="P17" s="781"/>
      <c r="Q17" s="781"/>
      <c r="R17" s="782"/>
      <c r="S17" s="648"/>
      <c r="T17" s="648"/>
      <c r="U17" s="648"/>
      <c r="V17" s="584"/>
      <c r="W17" s="585"/>
      <c r="X17" s="585"/>
      <c r="Y17" s="586"/>
      <c r="Z17" s="587"/>
      <c r="AA17" s="583"/>
      <c r="AB17" s="583"/>
      <c r="AC17" s="588"/>
      <c r="AD17" s="589"/>
    </row>
    <row r="18" spans="2:30" ht="16.5" thickBot="1" x14ac:dyDescent="0.35"/>
    <row r="19" spans="2:30" ht="39" customHeight="1" x14ac:dyDescent="0.3">
      <c r="B19" s="788" t="s">
        <v>176</v>
      </c>
      <c r="C19" s="789"/>
      <c r="D19" s="789" t="s">
        <v>183</v>
      </c>
      <c r="E19" s="796"/>
      <c r="F19" s="792">
        <f ca="1">Sièges!N2</f>
        <v>27</v>
      </c>
      <c r="G19" s="793">
        <f ca="1">Sièges!N3</f>
        <v>6</v>
      </c>
      <c r="H19" s="899" t="str">
        <f>"/ " &amp; Sièges!A8</f>
        <v>/ 33</v>
      </c>
      <c r="J19" s="770"/>
    </row>
    <row r="20" spans="2:30" ht="44.25" customHeight="1" thickBot="1" x14ac:dyDescent="0.35">
      <c r="B20" s="790"/>
      <c r="C20" s="791"/>
      <c r="D20" s="791" t="s">
        <v>184</v>
      </c>
      <c r="E20" s="797"/>
      <c r="F20" s="794">
        <f ca="1">Sièges!O2</f>
        <v>8</v>
      </c>
      <c r="G20" s="795">
        <f ca="1">Sièges!O3</f>
        <v>2</v>
      </c>
      <c r="H20" s="900" t="str">
        <f>"/ " &amp; Sièges!B8</f>
        <v>/ 9</v>
      </c>
      <c r="J20" s="770"/>
      <c r="O20" s="654"/>
      <c r="P20" s="654"/>
      <c r="Q20" s="654"/>
      <c r="R20" s="654"/>
      <c r="S20" s="654"/>
    </row>
    <row r="21" spans="2:30" ht="24" customHeight="1" thickBot="1" x14ac:dyDescent="0.35"/>
    <row r="22" spans="2:30" ht="30" customHeight="1" x14ac:dyDescent="0.3">
      <c r="M22" s="895" t="str">
        <f>Synthèse!$A$17</f>
        <v>Date</v>
      </c>
      <c r="N22" s="890">
        <f>Synthèse!$B$17</f>
        <v>46103</v>
      </c>
      <c r="O22" s="891"/>
      <c r="P22" s="891"/>
      <c r="Q22" s="892"/>
      <c r="W22" s="865" t="str">
        <f>Synthèse!$A$17</f>
        <v>Date</v>
      </c>
      <c r="X22" s="749">
        <f>Synthèse!$B$17</f>
        <v>46103</v>
      </c>
      <c r="Y22" s="750"/>
    </row>
    <row r="23" spans="2:30" ht="30" customHeight="1" x14ac:dyDescent="0.3">
      <c r="M23" s="896" t="str">
        <f>Synthèse!$A$18</f>
        <v>Election</v>
      </c>
      <c r="N23" s="760" t="str">
        <f>Synthèse!$B$18</f>
        <v>Municipales</v>
      </c>
      <c r="O23" s="893"/>
      <c r="P23" s="893"/>
      <c r="Q23" s="761"/>
      <c r="W23" s="866" t="str">
        <f>Synthèse!$A$18</f>
        <v>Election</v>
      </c>
      <c r="X23" s="751" t="str">
        <f>Synthèse!$B$18</f>
        <v>Municipales</v>
      </c>
      <c r="Y23" s="752"/>
    </row>
    <row r="24" spans="2:30" ht="30" customHeight="1" x14ac:dyDescent="0.3">
      <c r="M24" s="897" t="str">
        <f>Synthèse!$A$19</f>
        <v>Tour</v>
      </c>
      <c r="N24" s="760">
        <f>Synthèse!$B$19</f>
        <v>2</v>
      </c>
      <c r="O24" s="893"/>
      <c r="P24" s="893"/>
      <c r="Q24" s="761"/>
      <c r="W24" s="867" t="str">
        <f>Synthèse!$A$19</f>
        <v>Tour</v>
      </c>
      <c r="X24" s="760">
        <f>Synthèse!$B$19</f>
        <v>2</v>
      </c>
      <c r="Y24" s="761"/>
    </row>
    <row r="25" spans="2:30" ht="30" customHeight="1" thickBot="1" x14ac:dyDescent="0.35">
      <c r="M25" s="898" t="str">
        <f>Synthèse!$A$20</f>
        <v>Ville</v>
      </c>
      <c r="N25" s="762" t="str">
        <f>Synthèse!$B$20</f>
        <v>Cogolin</v>
      </c>
      <c r="O25" s="894"/>
      <c r="P25" s="894"/>
      <c r="Q25" s="763"/>
      <c r="W25" s="868" t="str">
        <f>Synthèse!$A$20</f>
        <v>Ville</v>
      </c>
      <c r="X25" s="762" t="str">
        <f>Synthèse!$B$20</f>
        <v>Cogolin</v>
      </c>
      <c r="Y25" s="763"/>
    </row>
    <row r="27" spans="2:30" ht="15.75" customHeight="1" x14ac:dyDescent="0.3">
      <c r="L27" s="869" t="s">
        <v>114</v>
      </c>
      <c r="M27" s="869"/>
      <c r="N27" s="869"/>
      <c r="O27" s="869"/>
      <c r="P27" s="869"/>
      <c r="Q27" s="869"/>
      <c r="R27" s="869"/>
      <c r="W27" s="724" t="s">
        <v>181</v>
      </c>
      <c r="X27" s="724"/>
      <c r="Y27" s="724"/>
    </row>
    <row r="28" spans="2:30" ht="27.75" customHeight="1" x14ac:dyDescent="0.3">
      <c r="L28" s="869"/>
      <c r="M28" s="869"/>
      <c r="N28" s="869"/>
      <c r="O28" s="869"/>
      <c r="P28" s="869"/>
      <c r="Q28" s="869"/>
      <c r="R28" s="869"/>
      <c r="W28" s="724"/>
      <c r="X28" s="724"/>
      <c r="Y28" s="724"/>
    </row>
    <row r="29" spans="2:30" ht="109.5" x14ac:dyDescent="0.3">
      <c r="L29" s="870">
        <f ca="1">NOW()</f>
        <v>46099.799361458332</v>
      </c>
      <c r="M29" s="870"/>
      <c r="N29" s="870"/>
      <c r="O29" s="870"/>
      <c r="P29" s="870"/>
      <c r="Q29" s="870"/>
      <c r="R29" s="870"/>
      <c r="W29" s="725">
        <f ca="1">NOW()</f>
        <v>46099.799361458332</v>
      </c>
      <c r="X29" s="725"/>
      <c r="Y29" s="725"/>
    </row>
    <row r="30" spans="2:30" ht="15.75" customHeight="1" x14ac:dyDescent="0.3">
      <c r="W30" s="759"/>
      <c r="X30" s="759"/>
      <c r="Y30" s="759"/>
    </row>
    <row r="31" spans="2:30" ht="16.5" customHeight="1" x14ac:dyDescent="0.3">
      <c r="W31" s="871"/>
      <c r="X31" s="871"/>
      <c r="Y31" s="871"/>
    </row>
    <row r="37" spans="4:4" x14ac:dyDescent="0.3">
      <c r="D37" s="593"/>
    </row>
    <row r="44" spans="4:4" ht="36.6" customHeight="1" x14ac:dyDescent="0.3"/>
    <row r="53" spans="1:6" ht="24.75" x14ac:dyDescent="0.45">
      <c r="A53" s="590"/>
      <c r="B53" s="590"/>
      <c r="C53" s="590"/>
      <c r="D53" s="590"/>
      <c r="E53" s="590"/>
      <c r="F53" s="590"/>
    </row>
    <row r="54" spans="1:6" ht="24.75" x14ac:dyDescent="0.45">
      <c r="A54" s="590"/>
      <c r="B54" s="590"/>
      <c r="C54" s="590"/>
      <c r="D54" s="590"/>
      <c r="E54" s="590"/>
      <c r="F54" s="590"/>
    </row>
    <row r="55" spans="1:6" ht="24.75" x14ac:dyDescent="0.45">
      <c r="A55" s="590"/>
      <c r="B55" s="590"/>
      <c r="C55" s="590" t="s">
        <v>111</v>
      </c>
      <c r="D55" s="590"/>
      <c r="E55" s="590"/>
      <c r="F55" s="590"/>
    </row>
    <row r="56" spans="1:6" ht="24.75" x14ac:dyDescent="0.45">
      <c r="A56" s="590"/>
      <c r="B56" s="590"/>
      <c r="C56" s="590" t="s">
        <v>105</v>
      </c>
      <c r="D56" s="590"/>
      <c r="E56" s="590" t="s">
        <v>106</v>
      </c>
      <c r="F56" s="590"/>
    </row>
    <row r="57" spans="1:6" ht="24.75" x14ac:dyDescent="0.45">
      <c r="A57" s="590"/>
      <c r="B57" s="590"/>
      <c r="C57" s="590" t="s">
        <v>107</v>
      </c>
      <c r="D57" s="590"/>
      <c r="E57" s="590"/>
      <c r="F57" s="590"/>
    </row>
    <row r="58" spans="1:6" ht="24.75" x14ac:dyDescent="0.45">
      <c r="A58" s="590"/>
      <c r="B58" s="590"/>
      <c r="C58" s="590" t="s">
        <v>108</v>
      </c>
      <c r="D58" s="590"/>
      <c r="E58" s="590"/>
      <c r="F58" s="590"/>
    </row>
    <row r="59" spans="1:6" ht="24.75" x14ac:dyDescent="0.45">
      <c r="A59" s="590"/>
      <c r="B59" s="590"/>
      <c r="C59" s="590" t="s">
        <v>109</v>
      </c>
      <c r="D59" s="590"/>
      <c r="E59" s="590"/>
      <c r="F59" s="590"/>
    </row>
    <row r="60" spans="1:6" ht="24.75" x14ac:dyDescent="0.45">
      <c r="A60" s="590"/>
      <c r="B60" s="590"/>
      <c r="C60" s="590" t="s">
        <v>110</v>
      </c>
      <c r="D60" s="590"/>
      <c r="E60" s="590"/>
      <c r="F60" s="590"/>
    </row>
    <row r="61" spans="1:6" ht="24.75" x14ac:dyDescent="0.45">
      <c r="A61" s="590"/>
      <c r="B61" s="590"/>
      <c r="C61" s="590" t="s">
        <v>112</v>
      </c>
      <c r="D61" s="590"/>
      <c r="E61" s="590"/>
      <c r="F61" s="590"/>
    </row>
    <row r="62" spans="1:6" ht="24.75" x14ac:dyDescent="0.45">
      <c r="A62" s="590"/>
      <c r="B62" s="590"/>
      <c r="C62" s="590" t="s">
        <v>113</v>
      </c>
      <c r="D62" s="590"/>
      <c r="E62" s="590"/>
      <c r="F62" s="590"/>
    </row>
    <row r="63" spans="1:6" ht="24.75" x14ac:dyDescent="0.45">
      <c r="A63" s="590"/>
      <c r="B63" s="590"/>
      <c r="C63" s="590"/>
      <c r="D63" s="590"/>
      <c r="E63" s="590"/>
      <c r="F63" s="590"/>
    </row>
  </sheetData>
  <mergeCells count="24">
    <mergeCell ref="L17:R17"/>
    <mergeCell ref="N22:Q22"/>
    <mergeCell ref="N23:Q23"/>
    <mergeCell ref="N24:Q24"/>
    <mergeCell ref="N25:Q25"/>
    <mergeCell ref="B19:C20"/>
    <mergeCell ref="X25:Y25"/>
    <mergeCell ref="D19:E19"/>
    <mergeCell ref="D20:E20"/>
    <mergeCell ref="W27:Y28"/>
    <mergeCell ref="W29:Y29"/>
    <mergeCell ref="L27:R28"/>
    <mergeCell ref="L29:R29"/>
    <mergeCell ref="B17:C17"/>
    <mergeCell ref="X22:Y22"/>
    <mergeCell ref="X23:Y23"/>
    <mergeCell ref="X24:Y24"/>
    <mergeCell ref="U3:V3"/>
    <mergeCell ref="X3:Z3"/>
    <mergeCell ref="B3:C3"/>
    <mergeCell ref="B16:C16"/>
    <mergeCell ref="U16:V16"/>
    <mergeCell ref="L12:R13"/>
    <mergeCell ref="L14:R16"/>
  </mergeCells>
  <conditionalFormatting sqref="F4:J17">
    <cfRule type="cellIs" dxfId="19" priority="21" operator="lessThan">
      <formula>0</formula>
    </cfRule>
  </conditionalFormatting>
  <conditionalFormatting sqref="Z4:Z15">
    <cfRule type="dataBar" priority="17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{59EB3AB6-2D14-453F-AA52-A2563E1D2441}</x14:id>
        </ext>
      </extLst>
    </cfRule>
  </conditionalFormatting>
  <conditionalFormatting sqref="Z16:Z17">
    <cfRule type="dataBar" priority="18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{FF1F790B-82C7-4213-8230-EE830E6EB4BF}</x14:id>
        </ext>
      </extLst>
    </cfRule>
  </conditionalFormatting>
  <conditionalFormatting sqref="E17:J17">
    <cfRule type="cellIs" dxfId="18" priority="8" operator="equal">
      <formula>1</formula>
    </cfRule>
    <cfRule type="cellIs" dxfId="17" priority="12" operator="greaterThan">
      <formula>1</formula>
    </cfRule>
  </conditionalFormatting>
  <conditionalFormatting sqref="J4:J16">
    <cfRule type="cellIs" dxfId="16" priority="7" operator="equal">
      <formula>$E4</formula>
    </cfRule>
    <cfRule type="cellIs" dxfId="15" priority="11" operator="greaterThan">
      <formula>$E4</formula>
    </cfRule>
  </conditionalFormatting>
  <conditionalFormatting sqref="J17">
    <cfRule type="dataBar" priority="5">
      <dataBar>
        <cfvo type="num" val="0"/>
        <cfvo type="num" val="1"/>
        <color rgb="FFC4D7EE"/>
      </dataBar>
      <extLst>
        <ext xmlns:x14="http://schemas.microsoft.com/office/spreadsheetml/2009/9/main" uri="{B025F937-C7B1-47D3-B67F-A62EFF666E3E}">
          <x14:id>{AB3B3196-224A-48FB-B2F0-B9FB819CDEE9}</x14:id>
        </ext>
      </extLst>
    </cfRule>
  </conditionalFormatting>
  <conditionalFormatting sqref="E4:J16">
    <cfRule type="cellIs" dxfId="14" priority="6" operator="equal">
      <formula>0</formula>
    </cfRule>
  </conditionalFormatting>
  <conditionalFormatting sqref="Y4:Y16">
    <cfRule type="cellIs" dxfId="11" priority="2" operator="greaterThan">
      <formula>1</formula>
    </cfRule>
  </conditionalFormatting>
  <conditionalFormatting sqref="X4:X16">
    <cfRule type="cellIs" dxfId="10" priority="1" operator="greaterThan">
      <formula>$W4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EB3AB6-2D14-453F-AA52-A2563E1D2441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Z4:Z15</xm:sqref>
        </x14:conditionalFormatting>
        <x14:conditionalFormatting xmlns:xm="http://schemas.microsoft.com/office/excel/2006/main">
          <x14:cfRule type="dataBar" id="{FF1F790B-82C7-4213-8230-EE830E6EB4BF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Z16:Z17</xm:sqref>
        </x14:conditionalFormatting>
        <x14:conditionalFormatting xmlns:xm="http://schemas.microsoft.com/office/excel/2006/main">
          <x14:cfRule type="dataBar" id="{AB3B3196-224A-48FB-B2F0-B9FB819CDE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J17</xm:sqref>
        </x14:conditionalFormatting>
        <x14:conditionalFormatting xmlns:xm="http://schemas.microsoft.com/office/excel/2006/main">
          <x14:cfRule type="expression" priority="715" id="{356FAF7C-971A-4128-B82E-353FA0EDFA9F}">
            <xm:f>Sièges!$N$4&lt;&gt;Sièges!$A$8</xm:f>
            <x14:dxf>
              <fill>
                <patternFill>
                  <bgColor theme="5" tint="0.79998168889431442"/>
                </patternFill>
              </fill>
            </x14:dxf>
          </x14:cfRule>
          <xm:sqref>D19:G19</xm:sqref>
        </x14:conditionalFormatting>
        <x14:conditionalFormatting xmlns:xm="http://schemas.microsoft.com/office/excel/2006/main">
          <x14:cfRule type="expression" priority="716" id="{6B7593B4-4637-4548-BDB7-1DB5752DCB6F}">
            <xm:f>Sièges!$O$4&lt;&gt;Sièges!$B$8</xm:f>
            <x14:dxf>
              <fill>
                <patternFill>
                  <bgColor theme="5" tint="0.79998168889431442"/>
                </patternFill>
              </fill>
            </x14:dxf>
          </x14:cfRule>
          <xm:sqref>D20:G20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47D81-9559-4051-82F9-2D259A70BFBA}">
  <sheetPr codeName="Feuil43">
    <tabColor rgb="FFE1C1D1"/>
  </sheetPr>
  <dimension ref="A1:AB84"/>
  <sheetViews>
    <sheetView topLeftCell="B10" zoomScale="74" workbookViewId="0">
      <selection activeCell="Q16" sqref="Q16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36" t="s">
        <v>11</v>
      </c>
      <c r="B1" s="341">
        <f>Synthèse!$B$17</f>
        <v>46103</v>
      </c>
      <c r="D1" s="230"/>
      <c r="E1" s="729" t="s">
        <v>65</v>
      </c>
      <c r="F1" s="730"/>
      <c r="G1" s="730"/>
      <c r="H1" s="730"/>
      <c r="I1" s="730"/>
      <c r="J1" s="730"/>
      <c r="K1" s="730"/>
      <c r="L1" s="730"/>
      <c r="M1" s="730"/>
      <c r="N1" s="730"/>
      <c r="O1" s="730"/>
      <c r="P1" s="731"/>
      <c r="Q1" s="304" t="s">
        <v>7</v>
      </c>
      <c r="T1" s="345"/>
    </row>
    <row r="2" spans="1:28" ht="39.75" customHeight="1" thickBot="1" x14ac:dyDescent="0.25">
      <c r="A2" s="337" t="s">
        <v>12</v>
      </c>
      <c r="B2" s="342" t="str">
        <f>Synthèse!$B$18</f>
        <v>Municipales</v>
      </c>
      <c r="D2" s="267" t="s">
        <v>80</v>
      </c>
      <c r="E2" s="309" t="s">
        <v>67</v>
      </c>
      <c r="F2" s="313" t="s">
        <v>97</v>
      </c>
      <c r="G2" s="308" t="s">
        <v>68</v>
      </c>
      <c r="H2" s="311" t="s">
        <v>69</v>
      </c>
      <c r="I2" s="312" t="s">
        <v>70</v>
      </c>
      <c r="J2" s="310" t="s">
        <v>71</v>
      </c>
      <c r="K2" s="314" t="s">
        <v>72</v>
      </c>
      <c r="L2" s="305" t="s">
        <v>73</v>
      </c>
      <c r="M2" s="308" t="s">
        <v>74</v>
      </c>
      <c r="N2" s="315" t="s">
        <v>75</v>
      </c>
      <c r="O2" s="268" t="s">
        <v>3</v>
      </c>
      <c r="P2" s="269" t="s">
        <v>4</v>
      </c>
      <c r="Q2" s="302" t="s">
        <v>102</v>
      </c>
      <c r="T2" s="345"/>
      <c r="V2" s="279" t="s">
        <v>21</v>
      </c>
      <c r="W2" s="280" t="s">
        <v>56</v>
      </c>
      <c r="X2" s="281" t="s">
        <v>30</v>
      </c>
      <c r="Z2" s="282" t="s">
        <v>58</v>
      </c>
      <c r="AA2" s="282" t="s">
        <v>57</v>
      </c>
    </row>
    <row r="3" spans="1:28" ht="20.100000000000001" customHeight="1" thickBot="1" x14ac:dyDescent="0.25">
      <c r="A3" s="338" t="s">
        <v>13</v>
      </c>
      <c r="B3" s="343" t="str">
        <f>Synthèse!$B$20</f>
        <v>Cogolin</v>
      </c>
      <c r="D3" s="264" cm="1">
        <f t="array" ref="D3">IF(ROW(1:1)&lt;=$K$23, (ROW(1:1)), "")</f>
        <v>1</v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1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3</v>
      </c>
      <c r="G3" s="112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23</v>
      </c>
      <c r="H3" s="112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46</v>
      </c>
      <c r="I3" s="112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</v>
      </c>
      <c r="J3" s="112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K3" s="112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9</v>
      </c>
      <c r="L3" s="112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6</v>
      </c>
      <c r="M3" s="112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26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O3" s="127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28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231">
        <f t="shared" ref="Q3:Q13" si="0">SUM(E3:P3)</f>
        <v>100</v>
      </c>
      <c r="T3" s="345"/>
      <c r="V3" s="255" t="s">
        <v>31</v>
      </c>
      <c r="W3" s="256">
        <v>0</v>
      </c>
      <c r="X3" s="257">
        <f>W3/$B$6</f>
        <v>0</v>
      </c>
      <c r="Z3" s="243"/>
      <c r="AA3" s="243"/>
    </row>
    <row r="4" spans="1:28" ht="20.100000000000001" customHeight="1" x14ac:dyDescent="0.2">
      <c r="A4" s="64" t="s">
        <v>22</v>
      </c>
      <c r="B4" s="348">
        <v>0</v>
      </c>
      <c r="D4" s="265" cm="1">
        <f t="array" ref="D4">IF(ROW(2:2)&lt;=$K$23, (ROW(2:2)), "")</f>
        <v>2</v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G4" s="113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17</v>
      </c>
      <c r="H4" s="113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59</v>
      </c>
      <c r="I4" s="113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3</v>
      </c>
      <c r="J4" s="113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</v>
      </c>
      <c r="K4" s="113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9</v>
      </c>
      <c r="L4" s="113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M4" s="113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N4" s="113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14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P4" s="115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Q4" s="231">
        <f t="shared" si="0"/>
        <v>100</v>
      </c>
      <c r="T4" s="345"/>
      <c r="V4" s="258" t="s">
        <v>32</v>
      </c>
      <c r="W4" s="259">
        <v>60</v>
      </c>
      <c r="X4" s="260">
        <f t="shared" ref="X4:X12" si="1">IF(OR(W4=0, W4=""), NA(), W4/$B$6)</f>
        <v>0.11857707509881422</v>
      </c>
      <c r="Z4" s="238" t="s">
        <v>44</v>
      </c>
      <c r="AA4" s="283">
        <f t="shared" ref="AA4:AA13" si="2">IF(W4&lt;&gt;0,W4-W3,NA())</f>
        <v>60</v>
      </c>
    </row>
    <row r="5" spans="1:28" ht="20.100000000000001" customHeight="1" x14ac:dyDescent="0.2">
      <c r="A5" s="65" t="s">
        <v>23</v>
      </c>
      <c r="B5" s="349" t="s">
        <v>94</v>
      </c>
      <c r="D5" s="265" cm="1">
        <f t="array" ref="D5">IF(ROW(3:3)&lt;=$K$23, (ROW(3:3)), "")</f>
        <v>3</v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</v>
      </c>
      <c r="G5" s="113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40</v>
      </c>
      <c r="H5" s="113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30</v>
      </c>
      <c r="I5" s="113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1</v>
      </c>
      <c r="J5" s="113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8</v>
      </c>
      <c r="K5" s="113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6</v>
      </c>
      <c r="L5" s="113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13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N5" s="113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O5" s="129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2</v>
      </c>
      <c r="P5" s="130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231">
        <f t="shared" si="0"/>
        <v>100</v>
      </c>
      <c r="T5" s="346"/>
      <c r="U5" s="185"/>
      <c r="V5" s="258" t="s">
        <v>33</v>
      </c>
      <c r="W5" s="259">
        <v>118</v>
      </c>
      <c r="X5" s="260">
        <f t="shared" si="1"/>
        <v>0.233201581027668</v>
      </c>
      <c r="Z5" s="239" t="s">
        <v>45</v>
      </c>
      <c r="AA5" s="284">
        <f t="shared" si="2"/>
        <v>58</v>
      </c>
    </row>
    <row r="6" spans="1:28" ht="20.100000000000001" customHeight="1" x14ac:dyDescent="0.2">
      <c r="A6" s="65" t="s">
        <v>0</v>
      </c>
      <c r="B6" s="143">
        <v>506</v>
      </c>
      <c r="D6" s="265" cm="1">
        <f t="array" ref="D6">IF(ROW(4:4)&lt;=$K$23, (ROW(4:4)), "")</f>
        <v>4</v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G6" s="113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36</v>
      </c>
      <c r="H6" s="113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19</v>
      </c>
      <c r="I6" s="113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J6" s="113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8</v>
      </c>
      <c r="K6" s="113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12</v>
      </c>
      <c r="L6" s="113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4</v>
      </c>
      <c r="M6" s="113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7</v>
      </c>
      <c r="N6" s="113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O6" s="129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P6" s="130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Q6" s="231">
        <f t="shared" si="0"/>
        <v>100</v>
      </c>
      <c r="T6" s="346"/>
      <c r="U6" s="185"/>
      <c r="V6" s="258" t="s">
        <v>34</v>
      </c>
      <c r="W6" s="259">
        <v>179</v>
      </c>
      <c r="X6" s="260">
        <f t="shared" si="1"/>
        <v>0.35375494071146246</v>
      </c>
      <c r="Z6" s="239" t="s">
        <v>46</v>
      </c>
      <c r="AA6" s="284">
        <f t="shared" si="2"/>
        <v>61</v>
      </c>
    </row>
    <row r="7" spans="1:28" ht="20.100000000000001" customHeight="1" x14ac:dyDescent="0.2">
      <c r="A7" s="65" t="s">
        <v>2</v>
      </c>
      <c r="B7" s="122">
        <f>MAX(W4:W15)</f>
        <v>440</v>
      </c>
      <c r="D7" s="265" cm="1">
        <f t="array" ref="D7">IF(ROW(5:5)&lt;=$K$23, (ROW(5:5)), "")</f>
        <v>5</v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G7" s="113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19</v>
      </c>
      <c r="H7" s="113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12</v>
      </c>
      <c r="I7" s="113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J7" s="113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K7" s="113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L7" s="113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3</v>
      </c>
      <c r="M7" s="113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13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14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2</v>
      </c>
      <c r="P7" s="115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231">
        <f t="shared" si="0"/>
        <v>40</v>
      </c>
      <c r="T7" s="346"/>
      <c r="U7" s="185"/>
      <c r="V7" s="258" t="s">
        <v>35</v>
      </c>
      <c r="W7" s="259">
        <v>235</v>
      </c>
      <c r="X7" s="260">
        <f t="shared" si="1"/>
        <v>0.46442687747035571</v>
      </c>
      <c r="Z7" s="239" t="s">
        <v>53</v>
      </c>
      <c r="AA7" s="284">
        <f t="shared" si="2"/>
        <v>56</v>
      </c>
    </row>
    <row r="8" spans="1:28" ht="20.100000000000001" customHeight="1" x14ac:dyDescent="0.2">
      <c r="A8" s="65" t="s">
        <v>1</v>
      </c>
      <c r="B8" s="123">
        <f>B7</f>
        <v>440</v>
      </c>
      <c r="D8" s="265" t="str" cm="1">
        <f t="array" ref="D8">IF(ROW(6:6)&lt;=$K$23,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3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3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3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3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3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3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3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13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14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15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231">
        <f t="shared" si="0"/>
        <v>0</v>
      </c>
      <c r="T8" s="346"/>
      <c r="U8" s="185"/>
      <c r="V8" s="258" t="s">
        <v>36</v>
      </c>
      <c r="W8" s="259">
        <v>283</v>
      </c>
      <c r="X8" s="260">
        <f t="shared" si="1"/>
        <v>0.55928853754940711</v>
      </c>
      <c r="Z8" s="239" t="s">
        <v>47</v>
      </c>
      <c r="AA8" s="284">
        <f t="shared" si="2"/>
        <v>48</v>
      </c>
    </row>
    <row r="9" spans="1:28" ht="20.100000000000001" customHeight="1" thickBot="1" x14ac:dyDescent="0.25">
      <c r="A9" s="66" t="s">
        <v>17</v>
      </c>
      <c r="B9" s="124">
        <f>B6-B7</f>
        <v>66</v>
      </c>
      <c r="D9" s="265" t="str" cm="1">
        <f t="array" ref="D9">IF(ROW(7:7)&lt;=$K$23,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3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3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3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3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3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3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13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1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17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231">
        <f t="shared" si="0"/>
        <v>0</v>
      </c>
      <c r="T9" s="346"/>
      <c r="U9" s="185"/>
      <c r="V9" s="258" t="s">
        <v>37</v>
      </c>
      <c r="W9" s="259">
        <v>319</v>
      </c>
      <c r="X9" s="260">
        <f t="shared" si="1"/>
        <v>0.63043478260869568</v>
      </c>
      <c r="Z9" s="239" t="s">
        <v>48</v>
      </c>
      <c r="AA9" s="284">
        <f t="shared" si="2"/>
        <v>36</v>
      </c>
    </row>
    <row r="10" spans="1:28" ht="20.100000000000001" customHeight="1" x14ac:dyDescent="0.2">
      <c r="A10" s="732" t="s">
        <v>59</v>
      </c>
      <c r="B10" s="732"/>
      <c r="D10" s="265" t="str" cm="1">
        <f t="array" ref="D10">IF(ROW(8:8)&lt;=$K$23,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3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3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3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3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3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3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13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1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17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231">
        <f t="shared" si="0"/>
        <v>0</v>
      </c>
      <c r="T10" s="346"/>
      <c r="U10" s="185"/>
      <c r="V10" s="258" t="s">
        <v>38</v>
      </c>
      <c r="W10" s="259">
        <v>350</v>
      </c>
      <c r="X10" s="260">
        <f t="shared" si="1"/>
        <v>0.69169960474308301</v>
      </c>
      <c r="Z10" s="239" t="s">
        <v>49</v>
      </c>
      <c r="AA10" s="284">
        <f t="shared" si="2"/>
        <v>31</v>
      </c>
    </row>
    <row r="11" spans="1:28" ht="20.100000000000001" customHeight="1" x14ac:dyDescent="0.2">
      <c r="A11" s="733"/>
      <c r="B11" s="733"/>
      <c r="D11" s="265" t="str" cm="1">
        <f t="array" ref="D11">IF(ROW(9:9)&lt;=$K$23,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3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3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3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3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3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3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13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1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17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231">
        <f t="shared" si="0"/>
        <v>0</v>
      </c>
      <c r="T11" s="346"/>
      <c r="U11" s="185"/>
      <c r="V11" s="258" t="s">
        <v>39</v>
      </c>
      <c r="W11" s="259">
        <v>380</v>
      </c>
      <c r="X11" s="260">
        <f t="shared" si="1"/>
        <v>0.75098814229249011</v>
      </c>
      <c r="Z11" s="239" t="s">
        <v>50</v>
      </c>
      <c r="AA11" s="284">
        <f t="shared" si="2"/>
        <v>30</v>
      </c>
    </row>
    <row r="12" spans="1:28" ht="20.100000000000001" customHeight="1" thickBot="1" x14ac:dyDescent="0.25">
      <c r="A12" s="734" t="s">
        <v>60</v>
      </c>
      <c r="B12" s="734"/>
      <c r="D12" s="266" t="str" cm="1">
        <f t="array" ref="D12">IF(ROW(10:10)&lt;=$K$23,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3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3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3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3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3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13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1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13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31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32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231">
        <f t="shared" si="0"/>
        <v>0</v>
      </c>
      <c r="T12" s="346"/>
      <c r="U12" s="185"/>
      <c r="V12" s="258" t="s">
        <v>40</v>
      </c>
      <c r="W12" s="259">
        <v>399</v>
      </c>
      <c r="X12" s="260">
        <f t="shared" si="1"/>
        <v>0.78853754940711462</v>
      </c>
      <c r="Z12" s="239" t="s">
        <v>51</v>
      </c>
      <c r="AA12" s="284">
        <f t="shared" si="2"/>
        <v>19</v>
      </c>
    </row>
    <row r="13" spans="1:28" ht="20.100000000000001" customHeight="1" thickBot="1" x14ac:dyDescent="0.3">
      <c r="A13" s="734"/>
      <c r="B13" s="734"/>
      <c r="D13" s="34" t="s">
        <v>9</v>
      </c>
      <c r="E13" s="118">
        <f t="shared" ref="E13:P13" si="3">SUM(E3:E12)</f>
        <v>3</v>
      </c>
      <c r="F13" s="119">
        <f t="shared" si="3"/>
        <v>11</v>
      </c>
      <c r="G13" s="119">
        <f t="shared" si="3"/>
        <v>135</v>
      </c>
      <c r="H13" s="119">
        <f t="shared" si="3"/>
        <v>166</v>
      </c>
      <c r="I13" s="119">
        <f t="shared" si="3"/>
        <v>9</v>
      </c>
      <c r="J13" s="119">
        <f t="shared" si="3"/>
        <v>27</v>
      </c>
      <c r="K13" s="119">
        <f t="shared" si="3"/>
        <v>37</v>
      </c>
      <c r="L13" s="119">
        <f t="shared" si="3"/>
        <v>15</v>
      </c>
      <c r="M13" s="119">
        <f t="shared" si="3"/>
        <v>13</v>
      </c>
      <c r="N13" s="119">
        <f t="shared" si="3"/>
        <v>13</v>
      </c>
      <c r="O13" s="120">
        <f t="shared" si="3"/>
        <v>8</v>
      </c>
      <c r="P13" s="121">
        <f t="shared" si="3"/>
        <v>3</v>
      </c>
      <c r="Q13" s="232">
        <f t="shared" si="0"/>
        <v>440</v>
      </c>
      <c r="T13" s="346"/>
      <c r="U13" s="185"/>
      <c r="V13" s="258" t="s">
        <v>41</v>
      </c>
      <c r="W13" s="259">
        <v>440</v>
      </c>
      <c r="X13" s="260">
        <f>IF(OR(W13=0, W13=""), NA(), W13/$B$6)</f>
        <v>0.86956521739130432</v>
      </c>
      <c r="Z13" s="240" t="s">
        <v>52</v>
      </c>
      <c r="AA13" s="285">
        <f t="shared" si="2"/>
        <v>41</v>
      </c>
    </row>
    <row r="14" spans="1:28" ht="20.100000000000001" customHeight="1" thickBot="1" x14ac:dyDescent="0.3">
      <c r="A14" s="734"/>
      <c r="B14" s="734"/>
      <c r="D14" s="59" t="s">
        <v>10</v>
      </c>
      <c r="E14" s="31">
        <f t="shared" ref="E14:Q14" si="4">IFERROR(E13/$B$7,0)</f>
        <v>6.8181818181818179E-3</v>
      </c>
      <c r="F14" s="32">
        <f t="shared" si="4"/>
        <v>2.5000000000000001E-2</v>
      </c>
      <c r="G14" s="32">
        <f t="shared" si="4"/>
        <v>0.30681818181818182</v>
      </c>
      <c r="H14" s="32">
        <f t="shared" si="4"/>
        <v>0.37727272727272726</v>
      </c>
      <c r="I14" s="32">
        <f t="shared" si="4"/>
        <v>2.0454545454545454E-2</v>
      </c>
      <c r="J14" s="32">
        <f t="shared" si="4"/>
        <v>6.1363636363636363E-2</v>
      </c>
      <c r="K14" s="32">
        <f t="shared" si="4"/>
        <v>8.4090909090909091E-2</v>
      </c>
      <c r="L14" s="32">
        <f t="shared" si="4"/>
        <v>3.4090909090909088E-2</v>
      </c>
      <c r="M14" s="32">
        <f t="shared" si="4"/>
        <v>2.9545454545454545E-2</v>
      </c>
      <c r="N14" s="32">
        <f t="shared" si="4"/>
        <v>2.9545454545454545E-2</v>
      </c>
      <c r="O14" s="31">
        <f t="shared" si="4"/>
        <v>1.8181818181818181E-2</v>
      </c>
      <c r="P14" s="33">
        <f t="shared" si="4"/>
        <v>6.8181818181818179E-3</v>
      </c>
      <c r="Q14" s="242">
        <f t="shared" si="4"/>
        <v>1</v>
      </c>
      <c r="T14" s="345"/>
      <c r="V14" s="289" t="s">
        <v>42</v>
      </c>
      <c r="W14" s="261"/>
      <c r="X14" s="262" t="e">
        <f>IF(OR(W14=0, W14=""), NA(), W14/$B$6)</f>
        <v>#N/A</v>
      </c>
      <c r="Y14" s="287"/>
      <c r="Z14" s="291" t="s">
        <v>54</v>
      </c>
      <c r="AA14" s="286" t="e">
        <f>IF(W14&lt;&gt;0,W14-W13,NA())</f>
        <v>#N/A</v>
      </c>
      <c r="AB14" s="287"/>
    </row>
    <row r="15" spans="1:28" ht="18" customHeight="1" thickBot="1" x14ac:dyDescent="0.25">
      <c r="A15" s="735" t="s">
        <v>66</v>
      </c>
      <c r="B15" s="735"/>
      <c r="C15" s="1"/>
      <c r="D15" s="1"/>
      <c r="Q15" s="241"/>
      <c r="T15" s="345"/>
      <c r="V15" s="237" t="s">
        <v>43</v>
      </c>
      <c r="W15" s="263"/>
      <c r="X15" s="288" t="e">
        <f>IF(OR(W15=0, W15=""), NA(), W15/$B$6)</f>
        <v>#N/A</v>
      </c>
      <c r="Z15" s="292" t="s">
        <v>55</v>
      </c>
      <c r="AA15" s="290" t="e">
        <f>IF(W15&lt;&gt;0,W15-W14,NA())</f>
        <v>#N/A</v>
      </c>
      <c r="AB15" s="287"/>
    </row>
    <row r="16" spans="1:28" ht="12.75" customHeight="1" x14ac:dyDescent="0.2">
      <c r="A16" s="735"/>
      <c r="B16" s="735"/>
      <c r="T16" s="345"/>
      <c r="V16" s="241"/>
      <c r="W16" s="241"/>
      <c r="X16" s="241"/>
      <c r="AA16" s="241"/>
    </row>
    <row r="17" spans="1:20" ht="18" customHeight="1" x14ac:dyDescent="0.25">
      <c r="A17" s="735"/>
      <c r="B17" s="735"/>
      <c r="E17" s="184"/>
      <c r="T17" s="345"/>
    </row>
    <row r="18" spans="1:20" ht="26.25" customHeight="1" x14ac:dyDescent="0.2">
      <c r="A18" s="735"/>
      <c r="B18" s="735"/>
      <c r="T18" s="345"/>
    </row>
    <row r="19" spans="1:20" x14ac:dyDescent="0.2">
      <c r="T19" s="345"/>
    </row>
    <row r="20" spans="1:20" x14ac:dyDescent="0.2">
      <c r="T20" s="345"/>
    </row>
    <row r="21" spans="1:20" x14ac:dyDescent="0.2">
      <c r="T21" s="345"/>
    </row>
    <row r="22" spans="1:20" x14ac:dyDescent="0.2">
      <c r="T22" s="345"/>
    </row>
    <row r="23" spans="1:20" x14ac:dyDescent="0.2">
      <c r="H23" s="133" t="s">
        <v>63</v>
      </c>
      <c r="J23" s="198">
        <f>CEILING($B$6, 100)/100</f>
        <v>6</v>
      </c>
      <c r="K23" s="198">
        <f>CEILING($B$7,100)/100</f>
        <v>5</v>
      </c>
      <c r="T23" s="345"/>
    </row>
    <row r="24" spans="1:20" x14ac:dyDescent="0.2">
      <c r="H24" s="134">
        <f>IF((ROW()-23)&lt;=$K$24,(ROW()-23),"Choisir")</f>
        <v>1</v>
      </c>
      <c r="J24" s="198">
        <f>MOD($B$7,100)</f>
        <v>40</v>
      </c>
      <c r="K24" s="199">
        <f>CEILING($B$6/300,1)</f>
        <v>2</v>
      </c>
      <c r="T24" s="345"/>
    </row>
    <row r="25" spans="1:20" x14ac:dyDescent="0.2">
      <c r="H25" s="134">
        <f>IF((ROW()-23)&lt;=$K$24,(ROW()-23),"Choisir")</f>
        <v>2</v>
      </c>
      <c r="T25" s="345"/>
    </row>
    <row r="26" spans="1:20" x14ac:dyDescent="0.2">
      <c r="H26" s="134" t="str">
        <f>IF((ROW()-23)&lt;=$K$24,(ROW()-23),"Choisir")</f>
        <v>Choisir</v>
      </c>
      <c r="T26" s="345"/>
    </row>
    <row r="27" spans="1:20" x14ac:dyDescent="0.2">
      <c r="H27" s="134" t="str">
        <f>IF((ROW()-23)&lt;=$K$24,(ROW()-23),"Choisir")</f>
        <v>Choisir</v>
      </c>
      <c r="T27" s="345"/>
    </row>
    <row r="28" spans="1:20" x14ac:dyDescent="0.2">
      <c r="T28" s="345"/>
    </row>
    <row r="29" spans="1:20" x14ac:dyDescent="0.2">
      <c r="T29" s="345"/>
    </row>
    <row r="30" spans="1:20" x14ac:dyDescent="0.2">
      <c r="T30" s="345"/>
    </row>
    <row r="31" spans="1:20" x14ac:dyDescent="0.2">
      <c r="T31" s="345"/>
    </row>
    <row r="32" spans="1:20" x14ac:dyDescent="0.2">
      <c r="T32" s="345"/>
    </row>
    <row r="33" spans="1:20" x14ac:dyDescent="0.2">
      <c r="T33" s="345"/>
    </row>
    <row r="34" spans="1:20" x14ac:dyDescent="0.2">
      <c r="T34" s="345"/>
    </row>
    <row r="35" spans="1:20" x14ac:dyDescent="0.2">
      <c r="T35" s="345"/>
    </row>
    <row r="36" spans="1:20" x14ac:dyDescent="0.2">
      <c r="T36" s="345"/>
    </row>
    <row r="37" spans="1:20" x14ac:dyDescent="0.2">
      <c r="T37" s="345"/>
    </row>
    <row r="38" spans="1:20" x14ac:dyDescent="0.2">
      <c r="T38" s="345"/>
    </row>
    <row r="39" spans="1:20" x14ac:dyDescent="0.2">
      <c r="T39" s="345"/>
    </row>
    <row r="40" spans="1:20" x14ac:dyDescent="0.2">
      <c r="T40" s="345"/>
    </row>
    <row r="41" spans="1:20" x14ac:dyDescent="0.2">
      <c r="T41" s="345"/>
    </row>
    <row r="42" spans="1:20" x14ac:dyDescent="0.2">
      <c r="T42" s="345"/>
    </row>
    <row r="43" spans="1:20" x14ac:dyDescent="0.2">
      <c r="T43" s="345"/>
    </row>
    <row r="44" spans="1:20" x14ac:dyDescent="0.2">
      <c r="T44" s="345"/>
    </row>
    <row r="45" spans="1:20" x14ac:dyDescent="0.2">
      <c r="T45" s="345"/>
    </row>
    <row r="46" spans="1:20" ht="13.5" thickBot="1" x14ac:dyDescent="0.25">
      <c r="A46" s="344"/>
      <c r="B46" s="344"/>
      <c r="C46" s="344"/>
      <c r="D46" s="344"/>
      <c r="E46" s="350"/>
      <c r="F46" s="344"/>
      <c r="G46" s="344"/>
      <c r="H46" s="344"/>
      <c r="I46" s="344"/>
      <c r="J46" s="344"/>
      <c r="K46" s="344"/>
      <c r="L46" s="344"/>
      <c r="M46" s="344"/>
      <c r="N46" s="344"/>
      <c r="O46" s="344"/>
      <c r="P46" s="344"/>
      <c r="Q46" s="344"/>
      <c r="R46" s="344"/>
      <c r="S46" s="344"/>
      <c r="T46" s="347"/>
    </row>
    <row r="47" spans="1:20" ht="14.25" thickTop="1" thickBot="1" x14ac:dyDescent="0.25">
      <c r="E47" s="125"/>
      <c r="T47" s="345"/>
    </row>
    <row r="48" spans="1:20" ht="20.100000000000001" customHeight="1" thickBot="1" x14ac:dyDescent="0.25">
      <c r="D48" s="188" t="s">
        <v>76</v>
      </c>
      <c r="E48" s="726" t="s">
        <v>100</v>
      </c>
      <c r="F48" s="727"/>
      <c r="G48" s="727"/>
      <c r="H48" s="727"/>
      <c r="I48" s="727"/>
      <c r="J48" s="727"/>
      <c r="K48" s="727"/>
      <c r="L48" s="727"/>
      <c r="M48" s="727"/>
      <c r="N48" s="727"/>
      <c r="O48" s="727"/>
      <c r="P48" s="728"/>
      <c r="Q48" s="293" t="s">
        <v>7</v>
      </c>
      <c r="T48" s="345"/>
    </row>
    <row r="49" spans="3:20" ht="36.75" thickBot="1" x14ac:dyDescent="0.25">
      <c r="C49" s="186"/>
      <c r="D49" s="271" t="s">
        <v>79</v>
      </c>
      <c r="E49" s="309" t="s">
        <v>67</v>
      </c>
      <c r="F49" s="313" t="s">
        <v>97</v>
      </c>
      <c r="G49" s="308" t="s">
        <v>68</v>
      </c>
      <c r="H49" s="311" t="s">
        <v>69</v>
      </c>
      <c r="I49" s="312" t="s">
        <v>70</v>
      </c>
      <c r="J49" s="310" t="s">
        <v>71</v>
      </c>
      <c r="K49" s="314" t="s">
        <v>72</v>
      </c>
      <c r="L49" s="305" t="s">
        <v>73</v>
      </c>
      <c r="M49" s="308" t="s">
        <v>74</v>
      </c>
      <c r="N49" s="315" t="s">
        <v>75</v>
      </c>
      <c r="O49" s="273" t="s">
        <v>3</v>
      </c>
      <c r="P49" s="272" t="s">
        <v>4</v>
      </c>
      <c r="Q49" s="295" t="s">
        <v>101</v>
      </c>
      <c r="T49" s="345"/>
    </row>
    <row r="50" spans="3:20" ht="19.5" customHeight="1" x14ac:dyDescent="0.2">
      <c r="C50" s="187"/>
      <c r="D50" s="270">
        <v>1</v>
      </c>
      <c r="E50" s="233">
        <v>1</v>
      </c>
      <c r="F50" s="234">
        <v>3</v>
      </c>
      <c r="G50" s="234">
        <v>23</v>
      </c>
      <c r="H50" s="234">
        <v>46</v>
      </c>
      <c r="I50" s="234">
        <v>2</v>
      </c>
      <c r="J50" s="234">
        <v>5</v>
      </c>
      <c r="K50" s="234">
        <v>9</v>
      </c>
      <c r="L50" s="234">
        <v>6</v>
      </c>
      <c r="M50" s="234"/>
      <c r="N50" s="235">
        <v>5</v>
      </c>
      <c r="O50" s="236"/>
      <c r="P50" s="235"/>
      <c r="Q50" s="294">
        <f t="shared" ref="Q50:Q59" si="5">SUM(E50:P50)</f>
        <v>100</v>
      </c>
      <c r="T50" s="345"/>
    </row>
    <row r="51" spans="3:20" ht="20.100000000000001" customHeight="1" x14ac:dyDescent="0.2">
      <c r="C51" s="187"/>
      <c r="D51" s="270">
        <v>3</v>
      </c>
      <c r="E51" s="233">
        <v>1</v>
      </c>
      <c r="F51" s="234">
        <v>6</v>
      </c>
      <c r="G51" s="234">
        <v>63</v>
      </c>
      <c r="H51" s="234">
        <v>76</v>
      </c>
      <c r="I51" s="234">
        <v>3</v>
      </c>
      <c r="J51" s="234">
        <v>13</v>
      </c>
      <c r="K51" s="234">
        <v>15</v>
      </c>
      <c r="L51" s="234">
        <v>6</v>
      </c>
      <c r="M51" s="234">
        <v>5</v>
      </c>
      <c r="N51" s="235">
        <v>10</v>
      </c>
      <c r="O51" s="236">
        <v>2</v>
      </c>
      <c r="P51" s="235"/>
      <c r="Q51" s="294">
        <f t="shared" si="5"/>
        <v>200</v>
      </c>
      <c r="T51" s="345"/>
    </row>
    <row r="52" spans="3:20" ht="20.100000000000001" customHeight="1" x14ac:dyDescent="0.2">
      <c r="C52" s="187"/>
      <c r="D52" s="270">
        <v>4</v>
      </c>
      <c r="E52" s="233">
        <v>3</v>
      </c>
      <c r="F52" s="234">
        <v>8</v>
      </c>
      <c r="G52" s="234">
        <v>99</v>
      </c>
      <c r="H52" s="234">
        <v>95</v>
      </c>
      <c r="I52" s="234">
        <v>5</v>
      </c>
      <c r="J52" s="234">
        <v>21</v>
      </c>
      <c r="K52" s="234">
        <v>27</v>
      </c>
      <c r="L52" s="234">
        <v>10</v>
      </c>
      <c r="M52" s="234">
        <v>12</v>
      </c>
      <c r="N52" s="235">
        <v>13</v>
      </c>
      <c r="O52" s="236">
        <v>5</v>
      </c>
      <c r="P52" s="235">
        <v>2</v>
      </c>
      <c r="Q52" s="294">
        <f t="shared" si="5"/>
        <v>300</v>
      </c>
      <c r="T52" s="345"/>
    </row>
    <row r="53" spans="3:20" ht="20.100000000000001" customHeight="1" x14ac:dyDescent="0.2">
      <c r="C53" s="187"/>
      <c r="D53" s="270" t="s">
        <v>78</v>
      </c>
      <c r="E53" s="233"/>
      <c r="F53" s="234"/>
      <c r="G53" s="234"/>
      <c r="H53" s="234"/>
      <c r="I53" s="234"/>
      <c r="J53" s="234"/>
      <c r="K53" s="234"/>
      <c r="L53" s="234"/>
      <c r="M53" s="234"/>
      <c r="N53" s="235"/>
      <c r="O53" s="236"/>
      <c r="P53" s="235"/>
      <c r="Q53" s="294">
        <f t="shared" si="5"/>
        <v>0</v>
      </c>
      <c r="T53" s="345"/>
    </row>
    <row r="54" spans="3:20" ht="20.100000000000001" customHeight="1" x14ac:dyDescent="0.2">
      <c r="C54" s="187"/>
      <c r="D54" s="270" t="s">
        <v>78</v>
      </c>
      <c r="E54" s="233"/>
      <c r="F54" s="234"/>
      <c r="G54" s="234"/>
      <c r="H54" s="234"/>
      <c r="I54" s="234"/>
      <c r="J54" s="234"/>
      <c r="K54" s="234"/>
      <c r="L54" s="234"/>
      <c r="M54" s="234"/>
      <c r="N54" s="235"/>
      <c r="O54" s="236"/>
      <c r="P54" s="235"/>
      <c r="Q54" s="294">
        <f t="shared" si="5"/>
        <v>0</v>
      </c>
      <c r="T54" s="345"/>
    </row>
    <row r="55" spans="3:20" ht="20.100000000000001" customHeight="1" x14ac:dyDescent="0.2">
      <c r="C55" s="187"/>
      <c r="D55" s="270" t="s">
        <v>78</v>
      </c>
      <c r="E55" s="233"/>
      <c r="F55" s="234"/>
      <c r="G55" s="234"/>
      <c r="H55" s="234"/>
      <c r="I55" s="234"/>
      <c r="J55" s="234"/>
      <c r="K55" s="234"/>
      <c r="L55" s="234"/>
      <c r="M55" s="234"/>
      <c r="N55" s="235"/>
      <c r="O55" s="236"/>
      <c r="P55" s="235"/>
      <c r="Q55" s="294">
        <f t="shared" si="5"/>
        <v>0</v>
      </c>
      <c r="T55" s="345"/>
    </row>
    <row r="56" spans="3:20" ht="20.100000000000001" customHeight="1" x14ac:dyDescent="0.2">
      <c r="C56" s="187"/>
      <c r="D56" s="270" t="s">
        <v>78</v>
      </c>
      <c r="E56" s="233"/>
      <c r="F56" s="234"/>
      <c r="G56" s="234"/>
      <c r="H56" s="234"/>
      <c r="I56" s="234"/>
      <c r="J56" s="234"/>
      <c r="K56" s="234"/>
      <c r="L56" s="234"/>
      <c r="M56" s="234"/>
      <c r="N56" s="235"/>
      <c r="O56" s="236"/>
      <c r="P56" s="235"/>
      <c r="Q56" s="294">
        <f t="shared" si="5"/>
        <v>0</v>
      </c>
      <c r="T56" s="345"/>
    </row>
    <row r="57" spans="3:20" ht="20.100000000000001" customHeight="1" x14ac:dyDescent="0.2">
      <c r="C57" s="187"/>
      <c r="D57" s="270" t="s">
        <v>78</v>
      </c>
      <c r="E57" s="233"/>
      <c r="F57" s="234"/>
      <c r="G57" s="234"/>
      <c r="H57" s="234"/>
      <c r="I57" s="234"/>
      <c r="J57" s="234"/>
      <c r="K57" s="234"/>
      <c r="L57" s="234"/>
      <c r="M57" s="234"/>
      <c r="N57" s="235"/>
      <c r="O57" s="236"/>
      <c r="P57" s="235"/>
      <c r="Q57" s="294">
        <f t="shared" si="5"/>
        <v>0</v>
      </c>
      <c r="T57" s="345"/>
    </row>
    <row r="58" spans="3:20" ht="20.100000000000001" customHeight="1" x14ac:dyDescent="0.2">
      <c r="C58" s="187"/>
      <c r="D58" s="270" t="s">
        <v>78</v>
      </c>
      <c r="E58" s="233"/>
      <c r="F58" s="234"/>
      <c r="G58" s="234"/>
      <c r="H58" s="234"/>
      <c r="I58" s="234"/>
      <c r="J58" s="234"/>
      <c r="K58" s="234"/>
      <c r="L58" s="234"/>
      <c r="M58" s="234"/>
      <c r="N58" s="235"/>
      <c r="O58" s="236"/>
      <c r="P58" s="235"/>
      <c r="Q58" s="294">
        <f t="shared" si="5"/>
        <v>0</v>
      </c>
      <c r="T58" s="345"/>
    </row>
    <row r="59" spans="3:20" ht="20.100000000000001" customHeight="1" thickBot="1" x14ac:dyDescent="0.25">
      <c r="C59" s="187"/>
      <c r="D59" s="274" t="s">
        <v>78</v>
      </c>
      <c r="E59" s="275"/>
      <c r="F59" s="276"/>
      <c r="G59" s="276"/>
      <c r="H59" s="276"/>
      <c r="I59" s="276"/>
      <c r="J59" s="276"/>
      <c r="K59" s="276"/>
      <c r="L59" s="276"/>
      <c r="M59" s="276"/>
      <c r="N59" s="277"/>
      <c r="O59" s="278"/>
      <c r="P59" s="277"/>
      <c r="Q59" s="294">
        <f t="shared" si="5"/>
        <v>0</v>
      </c>
      <c r="T59" s="345"/>
    </row>
    <row r="60" spans="3:20" x14ac:dyDescent="0.2">
      <c r="Q60" s="241"/>
      <c r="T60" s="345"/>
    </row>
    <row r="61" spans="3:20" x14ac:dyDescent="0.2">
      <c r="T61" s="345"/>
    </row>
    <row r="62" spans="3:20" x14ac:dyDescent="0.2">
      <c r="T62" s="345"/>
    </row>
    <row r="63" spans="3:20" ht="18" x14ac:dyDescent="0.25">
      <c r="E63" s="184"/>
      <c r="T63" s="345"/>
    </row>
    <row r="64" spans="3:20" x14ac:dyDescent="0.2">
      <c r="T64" s="345"/>
    </row>
    <row r="65" spans="4:20" ht="13.5" thickBot="1" x14ac:dyDescent="0.25">
      <c r="T65" s="345"/>
    </row>
    <row r="66" spans="4:20" ht="16.5" customHeight="1" thickBot="1" x14ac:dyDescent="0.25">
      <c r="D66" s="188" t="s">
        <v>77</v>
      </c>
      <c r="E66" s="726" t="s">
        <v>99</v>
      </c>
      <c r="F66" s="727"/>
      <c r="G66" s="727"/>
      <c r="H66" s="727"/>
      <c r="I66" s="727"/>
      <c r="J66" s="727"/>
      <c r="K66" s="727"/>
      <c r="L66" s="727"/>
      <c r="M66" s="727"/>
      <c r="N66" s="727"/>
      <c r="O66" s="727"/>
      <c r="P66" s="728"/>
      <c r="Q66" s="293" t="s">
        <v>7</v>
      </c>
      <c r="T66" s="345"/>
    </row>
    <row r="67" spans="4:20" ht="36.75" thickBot="1" x14ac:dyDescent="0.25">
      <c r="D67" s="271" t="s">
        <v>79</v>
      </c>
      <c r="E67" s="309" t="s">
        <v>67</v>
      </c>
      <c r="F67" s="313" t="s">
        <v>97</v>
      </c>
      <c r="G67" s="308" t="s">
        <v>68</v>
      </c>
      <c r="H67" s="311" t="s">
        <v>69</v>
      </c>
      <c r="I67" s="312" t="s">
        <v>70</v>
      </c>
      <c r="J67" s="310" t="s">
        <v>71</v>
      </c>
      <c r="K67" s="314" t="s">
        <v>72</v>
      </c>
      <c r="L67" s="305" t="s">
        <v>73</v>
      </c>
      <c r="M67" s="308" t="s">
        <v>74</v>
      </c>
      <c r="N67" s="315" t="s">
        <v>75</v>
      </c>
      <c r="O67" s="273" t="s">
        <v>3</v>
      </c>
      <c r="P67" s="272" t="s">
        <v>4</v>
      </c>
      <c r="Q67" s="300" t="s">
        <v>101</v>
      </c>
      <c r="T67" s="345"/>
    </row>
    <row r="68" spans="4:20" ht="20.100000000000001" customHeight="1" x14ac:dyDescent="0.2">
      <c r="D68" s="197">
        <v>2</v>
      </c>
      <c r="E68" s="190"/>
      <c r="F68" s="191">
        <v>2</v>
      </c>
      <c r="G68" s="191">
        <v>17</v>
      </c>
      <c r="H68" s="191">
        <v>59</v>
      </c>
      <c r="I68" s="191">
        <v>3</v>
      </c>
      <c r="J68" s="191">
        <v>5</v>
      </c>
      <c r="K68" s="191">
        <v>9</v>
      </c>
      <c r="L68" s="191">
        <v>2</v>
      </c>
      <c r="M68" s="191">
        <v>1</v>
      </c>
      <c r="N68" s="192"/>
      <c r="O68" s="193">
        <v>1</v>
      </c>
      <c r="P68" s="192">
        <v>1</v>
      </c>
      <c r="Q68" s="297">
        <f>SUM(E68:P68)</f>
        <v>100</v>
      </c>
      <c r="T68" s="345"/>
    </row>
    <row r="69" spans="4:20" ht="20.100000000000001" customHeight="1" x14ac:dyDescent="0.2">
      <c r="D69" s="195">
        <v>5</v>
      </c>
      <c r="E69" s="135"/>
      <c r="F69" s="136">
        <v>3</v>
      </c>
      <c r="G69" s="136">
        <v>36</v>
      </c>
      <c r="H69" s="136">
        <v>71</v>
      </c>
      <c r="I69" s="136">
        <v>4</v>
      </c>
      <c r="J69" s="136">
        <v>6</v>
      </c>
      <c r="K69" s="136">
        <v>10</v>
      </c>
      <c r="L69" s="136">
        <v>5</v>
      </c>
      <c r="M69" s="136">
        <v>1</v>
      </c>
      <c r="N69" s="137"/>
      <c r="O69" s="138">
        <v>3</v>
      </c>
      <c r="P69" s="137">
        <v>1</v>
      </c>
      <c r="Q69" s="231">
        <f>SUM(E69:P69)</f>
        <v>140</v>
      </c>
      <c r="T69" s="345"/>
    </row>
    <row r="70" spans="4:20" ht="20.100000000000001" customHeight="1" x14ac:dyDescent="0.2">
      <c r="D70" s="195" t="s">
        <v>78</v>
      </c>
      <c r="E70" s="135"/>
      <c r="F70" s="136"/>
      <c r="G70" s="136"/>
      <c r="H70" s="136"/>
      <c r="I70" s="136"/>
      <c r="J70" s="136"/>
      <c r="K70" s="136"/>
      <c r="L70" s="136"/>
      <c r="M70" s="136"/>
      <c r="N70" s="137"/>
      <c r="O70" s="138"/>
      <c r="P70" s="137"/>
      <c r="Q70" s="231">
        <f>SUM(E70:P70)</f>
        <v>0</v>
      </c>
      <c r="T70" s="345"/>
    </row>
    <row r="71" spans="4:20" ht="20.100000000000001" customHeight="1" x14ac:dyDescent="0.2">
      <c r="D71" s="195" t="s">
        <v>78</v>
      </c>
      <c r="E71" s="135"/>
      <c r="F71" s="136"/>
      <c r="G71" s="136"/>
      <c r="H71" s="136"/>
      <c r="I71" s="136"/>
      <c r="J71" s="136"/>
      <c r="K71" s="136"/>
      <c r="L71" s="136"/>
      <c r="M71" s="136"/>
      <c r="N71" s="137"/>
      <c r="O71" s="138"/>
      <c r="P71" s="137"/>
      <c r="Q71" s="231">
        <f>SUM(E71:P71)</f>
        <v>0</v>
      </c>
      <c r="T71" s="345"/>
    </row>
    <row r="72" spans="4:20" ht="20.100000000000001" customHeight="1" thickBot="1" x14ac:dyDescent="0.25">
      <c r="D72" s="196" t="s">
        <v>78</v>
      </c>
      <c r="E72" s="139"/>
      <c r="F72" s="140"/>
      <c r="G72" s="140"/>
      <c r="H72" s="140"/>
      <c r="I72" s="140"/>
      <c r="J72" s="140"/>
      <c r="K72" s="140"/>
      <c r="L72" s="140"/>
      <c r="M72" s="140"/>
      <c r="N72" s="141"/>
      <c r="O72" s="142"/>
      <c r="P72" s="141"/>
      <c r="Q72" s="298">
        <f>SUM(E72:P72)</f>
        <v>0</v>
      </c>
      <c r="T72" s="345"/>
    </row>
    <row r="73" spans="4:20" ht="20.100000000000001" customHeight="1" x14ac:dyDescent="0.2">
      <c r="D73" s="189"/>
      <c r="E73" s="187"/>
      <c r="F73" s="187"/>
      <c r="G73" s="187"/>
      <c r="H73" s="187"/>
      <c r="I73" s="187"/>
      <c r="J73" s="187"/>
      <c r="K73" s="187"/>
      <c r="L73" s="187"/>
      <c r="M73" s="187"/>
      <c r="N73" s="187"/>
      <c r="O73" s="187"/>
      <c r="P73" s="187"/>
      <c r="T73" s="345"/>
    </row>
    <row r="74" spans="4:20" ht="20.100000000000001" customHeight="1" x14ac:dyDescent="0.2">
      <c r="D74" s="189"/>
      <c r="E74" s="187"/>
      <c r="F74" s="187"/>
      <c r="G74" s="187"/>
      <c r="H74" s="187"/>
      <c r="I74" s="187"/>
      <c r="J74" s="187"/>
      <c r="K74" s="187"/>
      <c r="L74" s="187"/>
      <c r="M74" s="187"/>
      <c r="N74" s="187"/>
      <c r="O74" s="187"/>
      <c r="P74" s="187"/>
      <c r="T74" s="345"/>
    </row>
    <row r="75" spans="4:20" ht="20.100000000000001" customHeight="1" thickBot="1" x14ac:dyDescent="0.25">
      <c r="D75" s="189"/>
      <c r="E75" s="187"/>
      <c r="F75" s="187"/>
      <c r="G75" s="187"/>
      <c r="H75" s="187"/>
      <c r="I75" s="187"/>
      <c r="J75" s="187"/>
      <c r="K75" s="187"/>
      <c r="L75" s="187"/>
      <c r="M75" s="187"/>
      <c r="N75" s="187"/>
      <c r="O75" s="187"/>
      <c r="P75" s="187"/>
      <c r="T75" s="345"/>
    </row>
    <row r="76" spans="4:20" ht="20.100000000000001" customHeight="1" thickBot="1" x14ac:dyDescent="0.25">
      <c r="D76" s="188" t="s">
        <v>81</v>
      </c>
      <c r="E76" s="726" t="s">
        <v>98</v>
      </c>
      <c r="F76" s="727"/>
      <c r="G76" s="727"/>
      <c r="H76" s="727"/>
      <c r="I76" s="727"/>
      <c r="J76" s="727"/>
      <c r="K76" s="727"/>
      <c r="L76" s="727"/>
      <c r="M76" s="727"/>
      <c r="N76" s="727"/>
      <c r="O76" s="727"/>
      <c r="P76" s="728"/>
      <c r="Q76" s="299" t="s">
        <v>7</v>
      </c>
      <c r="T76" s="345"/>
    </row>
    <row r="77" spans="4:20" ht="36.75" thickBot="1" x14ac:dyDescent="0.25">
      <c r="D77" s="271" t="s">
        <v>79</v>
      </c>
      <c r="E77" s="309" t="s">
        <v>67</v>
      </c>
      <c r="F77" s="313" t="s">
        <v>97</v>
      </c>
      <c r="G77" s="308" t="s">
        <v>68</v>
      </c>
      <c r="H77" s="311" t="s">
        <v>69</v>
      </c>
      <c r="I77" s="312" t="s">
        <v>70</v>
      </c>
      <c r="J77" s="310" t="s">
        <v>71</v>
      </c>
      <c r="K77" s="314" t="s">
        <v>72</v>
      </c>
      <c r="L77" s="305" t="s">
        <v>73</v>
      </c>
      <c r="M77" s="308" t="s">
        <v>74</v>
      </c>
      <c r="N77" s="315" t="s">
        <v>75</v>
      </c>
      <c r="O77" s="273" t="s">
        <v>3</v>
      </c>
      <c r="P77" s="272" t="s">
        <v>4</v>
      </c>
      <c r="Q77" s="296" t="s">
        <v>101</v>
      </c>
      <c r="T77" s="345"/>
    </row>
    <row r="78" spans="4:20" ht="20.100000000000001" customHeight="1" x14ac:dyDescent="0.2">
      <c r="D78" s="197" t="s">
        <v>78</v>
      </c>
      <c r="E78" s="190"/>
      <c r="F78" s="191"/>
      <c r="G78" s="191"/>
      <c r="H78" s="191"/>
      <c r="I78" s="191"/>
      <c r="J78" s="191"/>
      <c r="K78" s="191"/>
      <c r="L78" s="191"/>
      <c r="M78" s="191"/>
      <c r="N78" s="192"/>
      <c r="O78" s="193"/>
      <c r="P78" s="192"/>
      <c r="Q78" s="297">
        <f>SUM(E78:P78)</f>
        <v>0</v>
      </c>
      <c r="T78" s="345"/>
    </row>
    <row r="79" spans="4:20" ht="20.100000000000001" customHeight="1" x14ac:dyDescent="0.2">
      <c r="D79" s="195" t="s">
        <v>78</v>
      </c>
      <c r="E79" s="135"/>
      <c r="F79" s="136"/>
      <c r="G79" s="136"/>
      <c r="H79" s="136"/>
      <c r="I79" s="136"/>
      <c r="J79" s="136"/>
      <c r="K79" s="136"/>
      <c r="L79" s="136"/>
      <c r="M79" s="136"/>
      <c r="N79" s="137"/>
      <c r="O79" s="138"/>
      <c r="P79" s="137"/>
      <c r="Q79" s="231">
        <f>SUM(E79:P79)</f>
        <v>0</v>
      </c>
      <c r="T79" s="345"/>
    </row>
    <row r="80" spans="4:20" ht="20.100000000000001" customHeight="1" thickBot="1" x14ac:dyDescent="0.25">
      <c r="D80" s="196" t="s">
        <v>78</v>
      </c>
      <c r="E80" s="139"/>
      <c r="F80" s="140"/>
      <c r="G80" s="140"/>
      <c r="H80" s="140"/>
      <c r="I80" s="140"/>
      <c r="J80" s="140"/>
      <c r="K80" s="140"/>
      <c r="L80" s="140"/>
      <c r="M80" s="140"/>
      <c r="N80" s="141"/>
      <c r="O80" s="142"/>
      <c r="P80" s="141"/>
      <c r="Q80" s="298">
        <f>SUM(E80:P80)</f>
        <v>0</v>
      </c>
      <c r="T80" s="345"/>
    </row>
    <row r="81" spans="4:20" ht="20.100000000000001" customHeight="1" x14ac:dyDescent="0.2">
      <c r="D81" s="189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94"/>
      <c r="T81" s="345"/>
    </row>
    <row r="82" spans="4:20" ht="20.100000000000001" customHeight="1" x14ac:dyDescent="0.2">
      <c r="D82" s="189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94"/>
      <c r="T82" s="345"/>
    </row>
    <row r="83" spans="4:20" x14ac:dyDescent="0.2">
      <c r="T83" s="345"/>
    </row>
    <row r="84" spans="4:20" x14ac:dyDescent="0.2">
      <c r="T84" s="345"/>
    </row>
  </sheetData>
  <sheetProtection algorithmName="SHA-512" hashValue="4ey2G1iKa0V+a2m0jL65uRx8xTpMS/cPHlhK2bSIonG5/i6HBnty36NhbT5CiJ70DUKTYvmX1eiCI9ZzIfn+Bw==" saltValue="ez83h/SiYj4G5JcoyOUhsA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phoneticPr fontId="26" type="noConversion"/>
  <conditionalFormatting sqref="E3:Q12">
    <cfRule type="cellIs" dxfId="490" priority="16" operator="notBetween">
      <formula>0</formula>
      <formula>100</formula>
    </cfRule>
  </conditionalFormatting>
  <conditionalFormatting sqref="E3:Q14">
    <cfRule type="cellIs" dxfId="489" priority="19" operator="lessThan">
      <formula>0</formula>
    </cfRule>
  </conditionalFormatting>
  <conditionalFormatting sqref="E14:Q14">
    <cfRule type="cellIs" dxfId="488" priority="22" operator="greaterThan">
      <formula>1</formula>
    </cfRule>
  </conditionalFormatting>
  <conditionalFormatting sqref="Q3:Q13">
    <cfRule type="cellIs" dxfId="487" priority="20" operator="equal">
      <formula>0</formula>
    </cfRule>
  </conditionalFormatting>
  <conditionalFormatting sqref="Q13">
    <cfRule type="cellIs" dxfId="486" priority="24" operator="equal">
      <formula>$B$7</formula>
    </cfRule>
  </conditionalFormatting>
  <conditionalFormatting sqref="Q14">
    <cfRule type="cellIs" dxfId="485" priority="21" operator="equal">
      <formula>1</formula>
    </cfRule>
    <cfRule type="cellIs" dxfId="484" priority="23" operator="lessThan">
      <formula>1</formula>
    </cfRule>
  </conditionalFormatting>
  <conditionalFormatting sqref="W4:W15">
    <cfRule type="expression" dxfId="483" priority="25">
      <formula>AND($W4&lt;$W3, NOT(ISBLANK($W4)))</formula>
    </cfRule>
    <cfRule type="cellIs" dxfId="482" priority="26" operator="greaterThan">
      <formula>$B$6</formula>
    </cfRule>
  </conditionalFormatting>
  <conditionalFormatting sqref="X4:X15">
    <cfRule type="cellIs" dxfId="481" priority="18" operator="greaterThan">
      <formula>1</formula>
    </cfRule>
  </conditionalFormatting>
  <conditionalFormatting sqref="D68:D72 D50:D59 D78:D80">
    <cfRule type="colorScale" priority="14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480" priority="27">
      <formula>($D3&lt;=$K$23)</formula>
    </cfRule>
  </conditionalFormatting>
  <conditionalFormatting sqref="Q3:Q12">
    <cfRule type="expression" dxfId="479" priority="28">
      <formula>AND($D3=$K$23, Q3=$J$24)</formula>
    </cfRule>
    <cfRule type="expression" dxfId="478" priority="29">
      <formula>AND($D3=$K$23, MOD(Q3,100)&gt;$J$24)</formula>
    </cfRule>
    <cfRule type="cellIs" dxfId="477" priority="30" operator="equal">
      <formula>100</formula>
    </cfRule>
  </conditionalFormatting>
  <conditionalFormatting sqref="D3:P12">
    <cfRule type="expression" dxfId="476" priority="34">
      <formula>($D3&gt;$K$23)</formula>
    </cfRule>
  </conditionalFormatting>
  <conditionalFormatting sqref="E50:P59 E68:P72 E78:P80">
    <cfRule type="cellIs" dxfId="475" priority="31" operator="notBetween">
      <formula>0</formula>
      <formula>$B$7</formula>
    </cfRule>
    <cfRule type="expression" dxfId="474" priority="32">
      <formula>($D50&lt;=$K$23)</formula>
    </cfRule>
    <cfRule type="expression" dxfId="473" priority="33">
      <formula>($D50&gt;$K$23)</formula>
    </cfRule>
  </conditionalFormatting>
  <conditionalFormatting sqref="B8">
    <cfRule type="cellIs" dxfId="472" priority="12" operator="notEqual">
      <formula>$B$7</formula>
    </cfRule>
  </conditionalFormatting>
  <conditionalFormatting sqref="E50:P59">
    <cfRule type="expression" dxfId="471" priority="10">
      <formula>AND(E51&lt;MAX(E$50:E51), NOT(ISBLANK(E51)), NOT(E51=0))</formula>
    </cfRule>
  </conditionalFormatting>
  <conditionalFormatting sqref="E68:P72">
    <cfRule type="expression" dxfId="470" priority="11">
      <formula>AND(E69&lt;MAX(E$68:E69), NOT(ISBLANK(E69)), NOT(E69=0))</formula>
    </cfRule>
  </conditionalFormatting>
  <conditionalFormatting sqref="E78:P80">
    <cfRule type="expression" dxfId="469" priority="15">
      <formula>AND(E79&lt;MAX(E$78:E79), NOT(ISBLANK(E79)), NOT(E79=0))</formula>
    </cfRule>
  </conditionalFormatting>
  <conditionalFormatting sqref="Q50">
    <cfRule type="cellIs" dxfId="468" priority="1" operator="lessThan">
      <formula>0</formula>
    </cfRule>
    <cfRule type="cellIs" dxfId="467" priority="2" operator="equal">
      <formula>0</formula>
    </cfRule>
    <cfRule type="expression" dxfId="466" priority="3">
      <formula>OR(MOD($Q50,100)=0,AND($D50=$K$23,MOD($Q50,100)=$J$24))</formula>
    </cfRule>
  </conditionalFormatting>
  <conditionalFormatting sqref="Q52:Q59 Q68:Q72 Q78:Q80">
    <cfRule type="cellIs" dxfId="465" priority="4" operator="lessThan">
      <formula>0</formula>
    </cfRule>
    <cfRule type="cellIs" dxfId="464" priority="5" operator="equal">
      <formula>0</formula>
    </cfRule>
    <cfRule type="expression" dxfId="463" priority="6">
      <formula>OR(MOD($Q52,100)=0,AND($D52=$K$23,MOD($Q52,100)=$J$24))</formula>
    </cfRule>
  </conditionalFormatting>
  <conditionalFormatting sqref="Q51">
    <cfRule type="cellIs" dxfId="462" priority="7" operator="lessThan">
      <formula>0</formula>
    </cfRule>
    <cfRule type="cellIs" dxfId="461" priority="8" operator="equal">
      <formula>0</formula>
    </cfRule>
    <cfRule type="expression" dxfId="460" priority="9">
      <formula>OR(MOD($Q51,100)=0,AND($D50=$K$23,MOD($Q51,100)=$J$24))</formula>
    </cfRule>
  </conditionalFormatting>
  <dataValidations count="2">
    <dataValidation type="list" allowBlank="1" showInputMessage="1" showErrorMessage="1" sqref="D68:D72 D78:D82 D50:D59" xr:uid="{ADD5D60F-BE3B-4C74-9C35-A8C64EC2A50E}">
      <formula1>$D$3:$D$12</formula1>
    </dataValidation>
    <dataValidation type="list" allowBlank="1" showInputMessage="1" showErrorMessage="1" sqref="C50:C59" xr:uid="{CEE0577B-1D99-4B19-8565-0E6EF302CFDB}">
      <formula1>$H$24:$H$26</formula1>
    </dataValidation>
  </dataValidations>
  <pageMargins left="0.7" right="0.7" top="0.75" bottom="0.75" header="0.3" footer="0.3"/>
  <pageSetup paperSize="9" orientation="portrait" r:id="rId1"/>
  <cellWatches>
    <cellWatch r="I52"/>
  </cellWatche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F0F0-5A98-4FC1-90C0-5B68BE15F38E}">
  <sheetPr codeName="Feuil17">
    <tabColor rgb="FFB4A7D6"/>
  </sheetPr>
  <dimension ref="A1:Q82"/>
  <sheetViews>
    <sheetView zoomScale="90" zoomScaleNormal="90" workbookViewId="0">
      <selection activeCell="L4" sqref="L4"/>
    </sheetView>
    <sheetView workbookViewId="1"/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40" t="str">
        <f>Synthèse!$A$17</f>
        <v>Date</v>
      </c>
      <c r="B1" s="753">
        <f>Synthèse!$B$17</f>
        <v>46103</v>
      </c>
      <c r="D1" s="230"/>
      <c r="E1" s="729" t="s">
        <v>118</v>
      </c>
      <c r="F1" s="730"/>
      <c r="G1" s="739"/>
      <c r="H1" s="740"/>
      <c r="I1" s="303" t="s">
        <v>7</v>
      </c>
      <c r="J1" s="345"/>
    </row>
    <row r="2" spans="1:17" ht="45" customHeight="1" thickBot="1" x14ac:dyDescent="0.25">
      <c r="A2" s="441" t="str">
        <f>Synthèse!$A$18</f>
        <v>Election</v>
      </c>
      <c r="B2" s="754" t="str">
        <f>Synthèse!$B$18</f>
        <v>Municipales</v>
      </c>
      <c r="D2" s="445" t="s">
        <v>80</v>
      </c>
      <c r="E2" s="640" t="str">
        <f>Synthèse!L2</f>
        <v>M. Pierre-Yves 
TIERCE</v>
      </c>
      <c r="F2" s="595" t="str">
        <f>Synthèse!M2</f>
        <v>Mme Isabelle 
FARNET RISSO</v>
      </c>
      <c r="G2" s="764" t="s">
        <v>4</v>
      </c>
      <c r="H2" s="765" t="s">
        <v>3</v>
      </c>
      <c r="I2" s="766" t="s">
        <v>102</v>
      </c>
      <c r="J2" s="345"/>
      <c r="K2" s="481" t="s">
        <v>21</v>
      </c>
      <c r="L2" s="482" t="s">
        <v>56</v>
      </c>
      <c r="M2" s="483" t="s">
        <v>30</v>
      </c>
      <c r="N2" s="460"/>
      <c r="O2" s="736" t="s">
        <v>58</v>
      </c>
      <c r="P2" s="736" t="s">
        <v>57</v>
      </c>
    </row>
    <row r="3" spans="1:17" ht="20.100000000000001" customHeight="1" thickBot="1" x14ac:dyDescent="0.25">
      <c r="A3" s="747" t="str">
        <f>Synthèse!$A$19</f>
        <v>Tour</v>
      </c>
      <c r="B3" s="755">
        <f>Synthèse!$B$19</f>
        <v>2</v>
      </c>
      <c r="D3" s="264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1">
        <f t="shared" ref="I3:I13" si="0">SUM(E3:H3)</f>
        <v>0</v>
      </c>
      <c r="J3" s="345"/>
      <c r="K3" s="457" t="s">
        <v>31</v>
      </c>
      <c r="L3" s="458">
        <v>0</v>
      </c>
      <c r="M3" s="459">
        <f>L3/$B$7</f>
        <v>0</v>
      </c>
      <c r="N3" s="460"/>
      <c r="O3" s="737"/>
      <c r="P3" s="737"/>
    </row>
    <row r="4" spans="1:17" ht="20.100000000000001" customHeight="1" thickBot="1" x14ac:dyDescent="0.25">
      <c r="A4" s="748" t="str">
        <f>Synthèse!$A$20</f>
        <v>Ville</v>
      </c>
      <c r="B4" s="756" t="str">
        <f>Synthèse!$B$20</f>
        <v>Cogolin</v>
      </c>
      <c r="D4" s="265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31">
        <f t="shared" si="0"/>
        <v>0</v>
      </c>
      <c r="J4" s="345"/>
      <c r="K4" s="461" t="s">
        <v>32</v>
      </c>
      <c r="L4" s="462"/>
      <c r="M4" s="463" t="e">
        <f>IF(OR(L4=0, L4=""), NA(), L4/$B$7)</f>
        <v>#N/A</v>
      </c>
      <c r="N4" s="460"/>
      <c r="O4" s="464" t="s">
        <v>44</v>
      </c>
      <c r="P4" s="465" t="e">
        <f t="shared" ref="P4:P13" si="1">IF(L4&lt;&gt;0,L4-L3,NA())</f>
        <v>#N/A</v>
      </c>
    </row>
    <row r="5" spans="1:17" ht="20.100000000000001" customHeight="1" x14ac:dyDescent="0.25">
      <c r="A5" s="442" t="s">
        <v>22</v>
      </c>
      <c r="B5" s="348">
        <v>0</v>
      </c>
      <c r="D5" s="265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8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31">
        <f t="shared" si="0"/>
        <v>0</v>
      </c>
      <c r="J5" s="346"/>
      <c r="K5" s="461" t="s">
        <v>33</v>
      </c>
      <c r="L5" s="462"/>
      <c r="M5" s="463" t="e">
        <f>IF(OR(L5=0, L5=""), NA(), L5/$B$7)</f>
        <v>#N/A</v>
      </c>
      <c r="N5" s="460"/>
      <c r="O5" s="466" t="s">
        <v>45</v>
      </c>
      <c r="P5" s="467" t="e">
        <f t="shared" si="1"/>
        <v>#N/A</v>
      </c>
    </row>
    <row r="6" spans="1:17" ht="20.100000000000001" customHeight="1" x14ac:dyDescent="0.25">
      <c r="A6" s="443" t="s">
        <v>23</v>
      </c>
      <c r="B6" s="349" t="str" cm="1">
        <f t="array" ref="B6">INDEX(Synthèse!B:B,B5+2)</f>
        <v>Nom</v>
      </c>
      <c r="D6" s="265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8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31">
        <f t="shared" si="0"/>
        <v>0</v>
      </c>
      <c r="J6" s="346"/>
      <c r="K6" s="461" t="s">
        <v>34</v>
      </c>
      <c r="L6" s="462"/>
      <c r="M6" s="463" t="e">
        <f>IF(OR(L6=0, L6=""), NA(), L6/$B$7)</f>
        <v>#N/A</v>
      </c>
      <c r="N6" s="460"/>
      <c r="O6" s="466" t="s">
        <v>46</v>
      </c>
      <c r="P6" s="467" t="e">
        <f t="shared" si="1"/>
        <v>#N/A</v>
      </c>
    </row>
    <row r="7" spans="1:17" ht="20.100000000000001" customHeight="1" x14ac:dyDescent="0.25">
      <c r="A7" s="443" t="s">
        <v>0</v>
      </c>
      <c r="B7" s="143">
        <v>200</v>
      </c>
      <c r="D7" s="265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31">
        <f t="shared" si="0"/>
        <v>0</v>
      </c>
      <c r="J7" s="346"/>
      <c r="K7" s="461" t="s">
        <v>35</v>
      </c>
      <c r="L7" s="462"/>
      <c r="M7" s="463" t="e">
        <f>IF(OR(L7=0, L7=""), NA(), L7/$B$7)</f>
        <v>#N/A</v>
      </c>
      <c r="N7" s="460"/>
      <c r="O7" s="466" t="s">
        <v>53</v>
      </c>
      <c r="P7" s="467" t="e">
        <f t="shared" si="1"/>
        <v>#N/A</v>
      </c>
    </row>
    <row r="8" spans="1:17" ht="20.100000000000001" customHeight="1" x14ac:dyDescent="0.25">
      <c r="A8" s="443" t="s">
        <v>2</v>
      </c>
      <c r="B8" s="122">
        <f>MAX(L4:L15)</f>
        <v>0</v>
      </c>
      <c r="D8" s="265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31">
        <f t="shared" si="0"/>
        <v>0</v>
      </c>
      <c r="J8" s="346"/>
      <c r="K8" s="461" t="s">
        <v>36</v>
      </c>
      <c r="L8" s="462"/>
      <c r="M8" s="463" t="e">
        <f>IF(OR(L8=0, L8=""), NA(), L8/$B$7)</f>
        <v>#N/A</v>
      </c>
      <c r="N8" s="460"/>
      <c r="O8" s="466" t="s">
        <v>47</v>
      </c>
      <c r="P8" s="467" t="e">
        <f t="shared" si="1"/>
        <v>#N/A</v>
      </c>
    </row>
    <row r="9" spans="1:17" ht="20.100000000000001" customHeight="1" x14ac:dyDescent="0.25">
      <c r="A9" s="443" t="s">
        <v>1</v>
      </c>
      <c r="B9" s="123"/>
      <c r="D9" s="265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31">
        <f t="shared" si="0"/>
        <v>0</v>
      </c>
      <c r="J9" s="346"/>
      <c r="K9" s="461" t="s">
        <v>37</v>
      </c>
      <c r="L9" s="462"/>
      <c r="M9" s="463" t="e">
        <f>IF(OR(L9=0, L9=""), NA(), L9/$B$7)</f>
        <v>#N/A</v>
      </c>
      <c r="N9" s="460"/>
      <c r="O9" s="466" t="s">
        <v>48</v>
      </c>
      <c r="P9" s="467" t="e">
        <f t="shared" si="1"/>
        <v>#N/A</v>
      </c>
    </row>
    <row r="10" spans="1:17" ht="20.100000000000001" customHeight="1" thickBot="1" x14ac:dyDescent="0.3">
      <c r="A10" s="444" t="s">
        <v>17</v>
      </c>
      <c r="B10" s="124">
        <f>B7-B8</f>
        <v>200</v>
      </c>
      <c r="D10" s="265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31">
        <f t="shared" si="0"/>
        <v>0</v>
      </c>
      <c r="J10" s="346"/>
      <c r="K10" s="461" t="s">
        <v>38</v>
      </c>
      <c r="L10" s="462"/>
      <c r="M10" s="463" t="e">
        <f>IF(OR(L10=0, L10=""), NA(), L10/$B$7)</f>
        <v>#N/A</v>
      </c>
      <c r="N10" s="460"/>
      <c r="O10" s="466" t="s">
        <v>49</v>
      </c>
      <c r="P10" s="467" t="e">
        <f t="shared" si="1"/>
        <v>#N/A</v>
      </c>
    </row>
    <row r="11" spans="1:17" ht="20.100000000000001" customHeight="1" x14ac:dyDescent="0.2">
      <c r="A11" s="757" t="s">
        <v>155</v>
      </c>
      <c r="B11" s="757"/>
      <c r="D11" s="265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31">
        <f t="shared" si="0"/>
        <v>0</v>
      </c>
      <c r="J11" s="346"/>
      <c r="K11" s="461" t="s">
        <v>39</v>
      </c>
      <c r="L11" s="462"/>
      <c r="M11" s="463" t="e">
        <f>IF(OR(L11=0, L11=""), NA(), L11/$B$7)</f>
        <v>#N/A</v>
      </c>
      <c r="N11" s="460"/>
      <c r="O11" s="466" t="s">
        <v>50</v>
      </c>
      <c r="P11" s="467" t="e">
        <f t="shared" si="1"/>
        <v>#N/A</v>
      </c>
    </row>
    <row r="12" spans="1:17" ht="20.100000000000001" customHeight="1" thickBot="1" x14ac:dyDescent="0.25">
      <c r="A12" s="758"/>
      <c r="B12" s="758"/>
      <c r="D12" s="266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31">
        <f t="shared" si="0"/>
        <v>0</v>
      </c>
      <c r="J12" s="346"/>
      <c r="K12" s="461" t="s">
        <v>40</v>
      </c>
      <c r="L12" s="462"/>
      <c r="M12" s="463" t="e">
        <f>IF(OR(L12=0, L12=""), NA(), L12/$B$7)</f>
        <v>#N/A</v>
      </c>
      <c r="N12" s="460"/>
      <c r="O12" s="466" t="s">
        <v>51</v>
      </c>
      <c r="P12" s="467" t="e">
        <f t="shared" si="1"/>
        <v>#N/A</v>
      </c>
    </row>
    <row r="13" spans="1:17" ht="24.95" customHeight="1" thickBot="1" x14ac:dyDescent="0.4">
      <c r="A13" s="734" t="s">
        <v>60</v>
      </c>
      <c r="B13" s="734"/>
      <c r="D13" s="446" t="s">
        <v>9</v>
      </c>
      <c r="E13" s="450">
        <f>SUM(E3:E12)</f>
        <v>0</v>
      </c>
      <c r="F13" s="451">
        <f t="shared" ref="F13" si="2">SUM(F3:F12)</f>
        <v>0</v>
      </c>
      <c r="G13" s="452">
        <f>SUM(G3:G12)</f>
        <v>0</v>
      </c>
      <c r="H13" s="453">
        <f>SUM(H3:H12)</f>
        <v>0</v>
      </c>
      <c r="I13" s="447">
        <f t="shared" si="0"/>
        <v>0</v>
      </c>
      <c r="J13" s="346"/>
      <c r="K13" s="461" t="s">
        <v>41</v>
      </c>
      <c r="L13" s="462"/>
      <c r="M13" s="463" t="e">
        <f>IF(OR(L13=0, L13=""), NA(), L13/$B$7)</f>
        <v>#N/A</v>
      </c>
      <c r="N13" s="460"/>
      <c r="O13" s="468" t="s">
        <v>52</v>
      </c>
      <c r="P13" s="469" t="e">
        <f t="shared" si="1"/>
        <v>#N/A</v>
      </c>
    </row>
    <row r="14" spans="1:17" ht="26.45" customHeight="1" thickBot="1" x14ac:dyDescent="0.4">
      <c r="A14" s="734"/>
      <c r="B14" s="734"/>
      <c r="D14" s="448" t="s">
        <v>10</v>
      </c>
      <c r="E14" s="454">
        <f>IFERROR(E13/$B$8,0)</f>
        <v>0</v>
      </c>
      <c r="F14" s="455">
        <f>IFERROR(F13/$B$8,0)</f>
        <v>0</v>
      </c>
      <c r="G14" s="454">
        <f>IFERROR(G13/$B$8,0)</f>
        <v>0</v>
      </c>
      <c r="H14" s="456">
        <f>IFERROR(H13/$B$8,0)</f>
        <v>0</v>
      </c>
      <c r="I14" s="449">
        <f>IFERROR(I13/$B$8,0)</f>
        <v>0</v>
      </c>
      <c r="J14" s="345"/>
      <c r="K14" s="470" t="s">
        <v>42</v>
      </c>
      <c r="L14" s="471"/>
      <c r="M14" s="472" t="e">
        <f>IF(OR(L14=0, L14=""), NA(), L14/$B$7)</f>
        <v>#N/A</v>
      </c>
      <c r="N14" s="473"/>
      <c r="O14" s="474" t="s">
        <v>54</v>
      </c>
      <c r="P14" s="475" t="e">
        <f>IF(L14&lt;&gt;0,L14-L13,NA())</f>
        <v>#N/A</v>
      </c>
      <c r="Q14" s="287"/>
    </row>
    <row r="15" spans="1:17" ht="18" customHeight="1" thickBot="1" x14ac:dyDescent="0.25">
      <c r="A15" s="734"/>
      <c r="B15" s="734"/>
      <c r="C15" s="1"/>
      <c r="D15" s="1"/>
      <c r="I15" s="241"/>
      <c r="J15" s="345"/>
      <c r="K15" s="476" t="s">
        <v>43</v>
      </c>
      <c r="L15" s="477"/>
      <c r="M15" s="478" t="e">
        <f>IF(OR(L15=0, L15=""), NA(), L15/$B$7)</f>
        <v>#N/A</v>
      </c>
      <c r="N15" s="460"/>
      <c r="O15" s="479" t="s">
        <v>55</v>
      </c>
      <c r="P15" s="480" t="e">
        <f>IF(L15&lt;&gt;0,L15-L14,NA())</f>
        <v>#N/A</v>
      </c>
      <c r="Q15" s="287"/>
    </row>
    <row r="16" spans="1:17" ht="12.75" customHeight="1" x14ac:dyDescent="0.2">
      <c r="A16" s="738" t="s">
        <v>66</v>
      </c>
      <c r="B16" s="738"/>
      <c r="J16" s="345"/>
      <c r="K16" s="241"/>
      <c r="L16" s="241"/>
      <c r="M16" s="241"/>
      <c r="P16" s="241"/>
    </row>
    <row r="17" spans="1:10" ht="18" customHeight="1" x14ac:dyDescent="0.25">
      <c r="A17" s="738"/>
      <c r="B17" s="738"/>
      <c r="E17" s="184"/>
      <c r="F17" s="184"/>
      <c r="J17" s="345"/>
    </row>
    <row r="18" spans="1:10" ht="26.25" customHeight="1" x14ac:dyDescent="0.2">
      <c r="A18" s="738"/>
      <c r="B18" s="738"/>
      <c r="D18" s="334" t="s">
        <v>63</v>
      </c>
      <c r="J18" s="345"/>
    </row>
    <row r="19" spans="1:10" ht="18.75" customHeight="1" x14ac:dyDescent="0.2">
      <c r="A19" s="738"/>
      <c r="B19" s="738"/>
      <c r="D19" s="335">
        <f>IF((ROW()-23)&lt;=$E$25,(ROW()-23),"Choisir")</f>
        <v>-4</v>
      </c>
      <c r="J19" s="345"/>
    </row>
    <row r="20" spans="1:10" x14ac:dyDescent="0.2">
      <c r="D20" s="335">
        <f>IF((ROW()-23)&lt;=$E$25,(ROW()-23),"Choisir")</f>
        <v>-3</v>
      </c>
      <c r="J20" s="345"/>
    </row>
    <row r="21" spans="1:10" x14ac:dyDescent="0.2">
      <c r="D21" s="335">
        <f>IF((ROW()-23)&lt;=$E$25,(ROW()-23),"Choisir")</f>
        <v>-2</v>
      </c>
      <c r="J21" s="345"/>
    </row>
    <row r="22" spans="1:10" x14ac:dyDescent="0.2">
      <c r="D22" s="335">
        <f>IF((ROW()-23)&lt;=$E$25,(ROW()-23),"Choisir")</f>
        <v>-1</v>
      </c>
      <c r="J22" s="345"/>
    </row>
    <row r="23" spans="1:10" x14ac:dyDescent="0.2">
      <c r="J23" s="345"/>
    </row>
    <row r="24" spans="1:10" x14ac:dyDescent="0.2">
      <c r="D24" s="198">
        <f>CEILING($B$7, 100)/100</f>
        <v>2</v>
      </c>
      <c r="E24" s="316">
        <f>CEILING($B$8,100)/100</f>
        <v>0</v>
      </c>
      <c r="F24" s="316"/>
      <c r="J24" s="345"/>
    </row>
    <row r="25" spans="1:10" x14ac:dyDescent="0.2">
      <c r="D25" s="198">
        <f>MOD($B$8,100)</f>
        <v>0</v>
      </c>
      <c r="E25" s="199">
        <f>CEILING($B$7/300,1)</f>
        <v>1</v>
      </c>
      <c r="F25" s="199"/>
      <c r="J25" s="345"/>
    </row>
    <row r="26" spans="1:10" x14ac:dyDescent="0.2">
      <c r="J26" s="345"/>
    </row>
    <row r="27" spans="1:10" x14ac:dyDescent="0.2">
      <c r="J27" s="345"/>
    </row>
    <row r="28" spans="1:10" x14ac:dyDescent="0.2">
      <c r="J28" s="345"/>
    </row>
    <row r="29" spans="1:10" x14ac:dyDescent="0.2">
      <c r="J29" s="345"/>
    </row>
    <row r="30" spans="1:10" x14ac:dyDescent="0.2">
      <c r="J30" s="345"/>
    </row>
    <row r="31" spans="1:10" x14ac:dyDescent="0.2">
      <c r="J31" s="345"/>
    </row>
    <row r="32" spans="1:10" x14ac:dyDescent="0.2">
      <c r="J32" s="345"/>
    </row>
    <row r="33" spans="1:10" x14ac:dyDescent="0.2">
      <c r="J33" s="345"/>
    </row>
    <row r="34" spans="1:10" x14ac:dyDescent="0.2">
      <c r="J34" s="345"/>
    </row>
    <row r="35" spans="1:10" x14ac:dyDescent="0.2">
      <c r="J35" s="345"/>
    </row>
    <row r="36" spans="1:10" x14ac:dyDescent="0.2">
      <c r="J36" s="345"/>
    </row>
    <row r="37" spans="1:10" x14ac:dyDescent="0.2">
      <c r="J37" s="345"/>
    </row>
    <row r="38" spans="1:10" x14ac:dyDescent="0.2">
      <c r="J38" s="345"/>
    </row>
    <row r="39" spans="1:10" x14ac:dyDescent="0.2">
      <c r="J39" s="345"/>
    </row>
    <row r="40" spans="1:10" x14ac:dyDescent="0.2">
      <c r="J40" s="345"/>
    </row>
    <row r="41" spans="1:10" x14ac:dyDescent="0.2">
      <c r="J41" s="345"/>
    </row>
    <row r="42" spans="1:10" x14ac:dyDescent="0.2">
      <c r="J42" s="345"/>
    </row>
    <row r="43" spans="1:10" ht="13.5" thickBot="1" x14ac:dyDescent="0.25">
      <c r="A43" s="344"/>
      <c r="B43" s="344"/>
      <c r="C43" s="344"/>
      <c r="D43" s="344"/>
      <c r="E43" s="344"/>
      <c r="F43" s="344"/>
      <c r="G43" s="344"/>
      <c r="H43" s="344"/>
      <c r="I43" s="344"/>
      <c r="J43" s="347"/>
    </row>
    <row r="44" spans="1:10" ht="13.5" thickTop="1" x14ac:dyDescent="0.2">
      <c r="J44" s="345"/>
    </row>
    <row r="45" spans="1:10" x14ac:dyDescent="0.2">
      <c r="J45" s="345"/>
    </row>
    <row r="46" spans="1:10" x14ac:dyDescent="0.2">
      <c r="E46" s="125"/>
      <c r="F46" s="125"/>
      <c r="J46" s="345"/>
    </row>
    <row r="47" spans="1:10" ht="13.5" thickBot="1" x14ac:dyDescent="0.25">
      <c r="E47" s="125"/>
      <c r="F47" s="125"/>
      <c r="J47" s="345"/>
    </row>
    <row r="48" spans="1:10" ht="20.100000000000001" customHeight="1" thickBot="1" x14ac:dyDescent="0.25">
      <c r="D48" s="188" t="s">
        <v>76</v>
      </c>
      <c r="E48" s="726" t="s">
        <v>115</v>
      </c>
      <c r="F48" s="727"/>
      <c r="G48" s="727"/>
      <c r="H48" s="728"/>
      <c r="I48" s="293" t="s">
        <v>7</v>
      </c>
      <c r="J48" s="345"/>
    </row>
    <row r="49" spans="3:10" ht="47.25" customHeight="1" thickBot="1" x14ac:dyDescent="0.25">
      <c r="C49" s="186"/>
      <c r="D49" s="271" t="s">
        <v>79</v>
      </c>
      <c r="E49" s="641" t="str">
        <f>E2</f>
        <v>M. Pierre-Yves 
TIERCE</v>
      </c>
      <c r="F49" s="596" t="str">
        <f t="shared" ref="F49" si="3">F2</f>
        <v>Mme Isabelle 
FARNET RISSO</v>
      </c>
      <c r="G49" s="306" t="s">
        <v>3</v>
      </c>
      <c r="H49" s="307" t="s">
        <v>4</v>
      </c>
      <c r="I49" s="295" t="s">
        <v>101</v>
      </c>
      <c r="J49" s="345"/>
    </row>
    <row r="50" spans="3:10" ht="19.5" customHeight="1" x14ac:dyDescent="0.2">
      <c r="C50" s="187"/>
      <c r="D50" s="270" t="s">
        <v>78</v>
      </c>
      <c r="E50" s="233"/>
      <c r="F50" s="233"/>
      <c r="G50" s="236"/>
      <c r="H50" s="235"/>
      <c r="I50" s="294">
        <f t="shared" ref="I50:I59" si="4">SUM(E50:H50)</f>
        <v>0</v>
      </c>
      <c r="J50" s="345"/>
    </row>
    <row r="51" spans="3:10" ht="20.100000000000001" customHeight="1" x14ac:dyDescent="0.2">
      <c r="C51" s="187"/>
      <c r="D51" s="270" t="s">
        <v>78</v>
      </c>
      <c r="E51" s="233"/>
      <c r="F51" s="233"/>
      <c r="G51" s="236"/>
      <c r="H51" s="235"/>
      <c r="I51" s="294">
        <f t="shared" si="4"/>
        <v>0</v>
      </c>
      <c r="J51" s="345"/>
    </row>
    <row r="52" spans="3:10" ht="20.100000000000001" customHeight="1" x14ac:dyDescent="0.2">
      <c r="C52" s="187"/>
      <c r="D52" s="270" t="s">
        <v>78</v>
      </c>
      <c r="E52" s="233"/>
      <c r="F52" s="233"/>
      <c r="G52" s="236"/>
      <c r="H52" s="235"/>
      <c r="I52" s="294">
        <f t="shared" si="4"/>
        <v>0</v>
      </c>
      <c r="J52" s="345"/>
    </row>
    <row r="53" spans="3:10" ht="20.100000000000001" customHeight="1" x14ac:dyDescent="0.2">
      <c r="C53" s="187"/>
      <c r="D53" s="270" t="s">
        <v>78</v>
      </c>
      <c r="E53" s="233"/>
      <c r="F53" s="233"/>
      <c r="G53" s="236"/>
      <c r="H53" s="235"/>
      <c r="I53" s="294">
        <f t="shared" si="4"/>
        <v>0</v>
      </c>
      <c r="J53" s="345"/>
    </row>
    <row r="54" spans="3:10" ht="20.100000000000001" customHeight="1" x14ac:dyDescent="0.2">
      <c r="C54" s="187"/>
      <c r="D54" s="270" t="s">
        <v>78</v>
      </c>
      <c r="E54" s="233"/>
      <c r="F54" s="233"/>
      <c r="G54" s="236"/>
      <c r="H54" s="235"/>
      <c r="I54" s="294">
        <f t="shared" si="4"/>
        <v>0</v>
      </c>
      <c r="J54" s="345"/>
    </row>
    <row r="55" spans="3:10" ht="20.100000000000001" customHeight="1" x14ac:dyDescent="0.2">
      <c r="C55" s="187"/>
      <c r="D55" s="270" t="s">
        <v>78</v>
      </c>
      <c r="E55" s="233"/>
      <c r="F55" s="233"/>
      <c r="G55" s="236"/>
      <c r="H55" s="235"/>
      <c r="I55" s="294">
        <f t="shared" si="4"/>
        <v>0</v>
      </c>
      <c r="J55" s="345"/>
    </row>
    <row r="56" spans="3:10" ht="20.100000000000001" customHeight="1" x14ac:dyDescent="0.2">
      <c r="C56" s="187"/>
      <c r="D56" s="270" t="s">
        <v>78</v>
      </c>
      <c r="E56" s="233"/>
      <c r="F56" s="233"/>
      <c r="G56" s="236"/>
      <c r="H56" s="235"/>
      <c r="I56" s="294">
        <f t="shared" si="4"/>
        <v>0</v>
      </c>
      <c r="J56" s="345"/>
    </row>
    <row r="57" spans="3:10" ht="20.100000000000001" customHeight="1" x14ac:dyDescent="0.2">
      <c r="C57" s="187"/>
      <c r="D57" s="270" t="s">
        <v>78</v>
      </c>
      <c r="E57" s="233"/>
      <c r="F57" s="233"/>
      <c r="G57" s="236"/>
      <c r="H57" s="235"/>
      <c r="I57" s="294">
        <f t="shared" si="4"/>
        <v>0</v>
      </c>
      <c r="J57" s="345"/>
    </row>
    <row r="58" spans="3:10" ht="20.100000000000001" customHeight="1" x14ac:dyDescent="0.2">
      <c r="C58" s="187"/>
      <c r="D58" s="270" t="s">
        <v>78</v>
      </c>
      <c r="E58" s="233"/>
      <c r="F58" s="233"/>
      <c r="G58" s="236"/>
      <c r="H58" s="235"/>
      <c r="I58" s="294">
        <f t="shared" si="4"/>
        <v>0</v>
      </c>
      <c r="J58" s="345"/>
    </row>
    <row r="59" spans="3:10" ht="20.100000000000001" customHeight="1" thickBot="1" x14ac:dyDescent="0.25">
      <c r="C59" s="187"/>
      <c r="D59" s="274" t="s">
        <v>78</v>
      </c>
      <c r="E59" s="275"/>
      <c r="F59" s="275"/>
      <c r="G59" s="278"/>
      <c r="H59" s="277"/>
      <c r="I59" s="294">
        <f t="shared" si="4"/>
        <v>0</v>
      </c>
      <c r="J59" s="345"/>
    </row>
    <row r="60" spans="3:10" x14ac:dyDescent="0.2">
      <c r="I60" s="241"/>
      <c r="J60" s="345"/>
    </row>
    <row r="61" spans="3:10" x14ac:dyDescent="0.2">
      <c r="J61" s="345"/>
    </row>
    <row r="62" spans="3:10" x14ac:dyDescent="0.2">
      <c r="J62" s="345"/>
    </row>
    <row r="63" spans="3:10" ht="18" x14ac:dyDescent="0.25">
      <c r="E63" s="184"/>
      <c r="F63" s="184"/>
      <c r="J63" s="345"/>
    </row>
    <row r="64" spans="3:10" x14ac:dyDescent="0.2">
      <c r="J64" s="345"/>
    </row>
    <row r="65" spans="4:10" ht="13.5" thickBot="1" x14ac:dyDescent="0.25">
      <c r="J65" s="345"/>
    </row>
    <row r="66" spans="4:10" ht="16.5" customHeight="1" thickBot="1" x14ac:dyDescent="0.25">
      <c r="D66" s="188" t="s">
        <v>77</v>
      </c>
      <c r="E66" s="726" t="s">
        <v>116</v>
      </c>
      <c r="F66" s="727"/>
      <c r="G66" s="727"/>
      <c r="H66" s="728"/>
      <c r="I66" s="293" t="s">
        <v>7</v>
      </c>
      <c r="J66" s="345"/>
    </row>
    <row r="67" spans="4:10" ht="42" customHeight="1" thickBot="1" x14ac:dyDescent="0.25">
      <c r="D67" s="271" t="s">
        <v>79</v>
      </c>
      <c r="E67" s="641" t="str">
        <f>E2</f>
        <v>M. Pierre-Yves 
TIERCE</v>
      </c>
      <c r="F67" s="596" t="str">
        <f t="shared" ref="F67" si="5">F2</f>
        <v>Mme Isabelle 
FARNET RISSO</v>
      </c>
      <c r="G67" s="306" t="s">
        <v>3</v>
      </c>
      <c r="H67" s="307" t="s">
        <v>4</v>
      </c>
      <c r="I67" s="300" t="s">
        <v>101</v>
      </c>
      <c r="J67" s="345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7">
        <f>SUM(E68:H68)</f>
        <v>0</v>
      </c>
      <c r="J68" s="345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31">
        <f>SUM(E69:H69)</f>
        <v>0</v>
      </c>
      <c r="J69" s="345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31">
        <f>SUM(E70:H70)</f>
        <v>0</v>
      </c>
      <c r="J70" s="345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31">
        <f>SUM(E71:H71)</f>
        <v>0</v>
      </c>
      <c r="J71" s="345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8">
        <f>SUM(E72:H72)</f>
        <v>0</v>
      </c>
      <c r="J72" s="345"/>
    </row>
    <row r="73" spans="4:10" ht="20.100000000000001" customHeight="1" x14ac:dyDescent="0.2">
      <c r="D73" s="189"/>
      <c r="E73" s="187"/>
      <c r="F73" s="187"/>
      <c r="G73" s="187"/>
      <c r="H73" s="187"/>
      <c r="J73" s="345"/>
    </row>
    <row r="74" spans="4:10" ht="20.100000000000001" customHeight="1" x14ac:dyDescent="0.2">
      <c r="D74" s="189"/>
      <c r="E74" s="187"/>
      <c r="F74" s="187"/>
      <c r="G74" s="187"/>
      <c r="H74" s="187"/>
      <c r="J74" s="345"/>
    </row>
    <row r="75" spans="4:10" ht="20.100000000000001" customHeight="1" thickBot="1" x14ac:dyDescent="0.25">
      <c r="D75" s="189"/>
      <c r="E75" s="187"/>
      <c r="F75" s="187"/>
      <c r="G75" s="187"/>
      <c r="H75" s="187"/>
      <c r="J75" s="345"/>
    </row>
    <row r="76" spans="4:10" ht="20.100000000000001" customHeight="1" thickBot="1" x14ac:dyDescent="0.25">
      <c r="D76" s="188" t="s">
        <v>81</v>
      </c>
      <c r="E76" s="726" t="s">
        <v>117</v>
      </c>
      <c r="F76" s="727"/>
      <c r="G76" s="727"/>
      <c r="H76" s="728"/>
      <c r="I76" s="299" t="s">
        <v>7</v>
      </c>
      <c r="J76" s="345"/>
    </row>
    <row r="77" spans="4:10" ht="39.75" customHeight="1" thickBot="1" x14ac:dyDescent="0.25">
      <c r="D77" s="271" t="s">
        <v>79</v>
      </c>
      <c r="E77" s="641" t="str">
        <f>E2</f>
        <v>M. Pierre-Yves 
TIERCE</v>
      </c>
      <c r="F77" s="596" t="str">
        <f t="shared" ref="F77" si="6">F2</f>
        <v>Mme Isabelle 
FARNET RISSO</v>
      </c>
      <c r="G77" s="306" t="s">
        <v>3</v>
      </c>
      <c r="H77" s="307" t="s">
        <v>4</v>
      </c>
      <c r="I77" s="296" t="s">
        <v>101</v>
      </c>
      <c r="J77" s="345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7">
        <f>SUM(E78:H78)</f>
        <v>0</v>
      </c>
      <c r="J78" s="345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31">
        <f>SUM(E79:H79)</f>
        <v>0</v>
      </c>
      <c r="J79" s="345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8">
        <f>SUM(E80:H80)</f>
        <v>0</v>
      </c>
      <c r="J80" s="345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45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45"/>
    </row>
  </sheetData>
  <mergeCells count="9">
    <mergeCell ref="E76:H76"/>
    <mergeCell ref="A11:B12"/>
    <mergeCell ref="A13:B15"/>
    <mergeCell ref="A16:B19"/>
    <mergeCell ref="O2:O3"/>
    <mergeCell ref="P2:P3"/>
    <mergeCell ref="E66:H66"/>
    <mergeCell ref="E1:H1"/>
    <mergeCell ref="E48:H48"/>
  </mergeCells>
  <phoneticPr fontId="53" type="noConversion"/>
  <conditionalFormatting sqref="B9">
    <cfRule type="cellIs" dxfId="459" priority="1" operator="equal">
      <formula>0</formula>
    </cfRule>
    <cfRule type="cellIs" dxfId="458" priority="45" operator="notEqual">
      <formula>$B$8</formula>
    </cfRule>
  </conditionalFormatting>
  <conditionalFormatting sqref="E3:I12">
    <cfRule type="cellIs" dxfId="457" priority="44" operator="notBetween">
      <formula>0</formula>
      <formula>100</formula>
    </cfRule>
  </conditionalFormatting>
  <conditionalFormatting sqref="E3:I14">
    <cfRule type="cellIs" dxfId="456" priority="47" operator="lessThan">
      <formula>0</formula>
    </cfRule>
  </conditionalFormatting>
  <conditionalFormatting sqref="E14:I14">
    <cfRule type="cellIs" dxfId="455" priority="54" operator="greaterThan">
      <formula>1</formula>
    </cfRule>
  </conditionalFormatting>
  <conditionalFormatting sqref="I3:I13">
    <cfRule type="cellIs" dxfId="454" priority="52" operator="equal">
      <formula>0</formula>
    </cfRule>
  </conditionalFormatting>
  <conditionalFormatting sqref="I14">
    <cfRule type="cellIs" dxfId="453" priority="53" operator="equal">
      <formula>1</formula>
    </cfRule>
    <cfRule type="cellIs" dxfId="452" priority="55" operator="lessThan">
      <formula>1</formula>
    </cfRule>
  </conditionalFormatting>
  <conditionalFormatting sqref="M4:M15">
    <cfRule type="cellIs" dxfId="451" priority="46" operator="greaterThan">
      <formula>1</formula>
    </cfRule>
  </conditionalFormatting>
  <conditionalFormatting sqref="D68:D72 D50:D59 D78:D80">
    <cfRule type="colorScale" priority="33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450" priority="4">
      <formula>AND(E50&lt;MAX(E$50:E50), NOT(ISBLANK(E50)), NOT(E50=0))</formula>
    </cfRule>
  </conditionalFormatting>
  <conditionalFormatting sqref="E68:H72">
    <cfRule type="expression" dxfId="449" priority="3">
      <formula>AND(E68&lt;MAX(E$68:E68), NOT(ISBLANK(E68)), NOT(E68=0))</formula>
    </cfRule>
  </conditionalFormatting>
  <conditionalFormatting sqref="E78:H80">
    <cfRule type="expression" dxfId="448" priority="148">
      <formula>AND(E78&lt;MAX(E$78:E78), NOT(ISBLANK(E78)), NOT(E78=0))</formula>
    </cfRule>
  </conditionalFormatting>
  <conditionalFormatting sqref="I3:I12">
    <cfRule type="expression" dxfId="447" priority="266">
      <formula>AND($D3=$E$24, I3=$D$25)</formula>
    </cfRule>
    <cfRule type="expression" dxfId="446" priority="267">
      <formula>AND($D3=$E$24, MOD(I3,100)&gt;$D$25)</formula>
    </cfRule>
    <cfRule type="cellIs" dxfId="445" priority="268" operator="equal">
      <formula>100</formula>
    </cfRule>
  </conditionalFormatting>
  <conditionalFormatting sqref="H3:H12 E3:F12">
    <cfRule type="expression" dxfId="444" priority="269">
      <formula>($D3&lt;=$E$24)</formula>
    </cfRule>
  </conditionalFormatting>
  <conditionalFormatting sqref="H3:H12 D3:F12">
    <cfRule type="expression" dxfId="443" priority="270">
      <formula>($D3&gt;$E$24)</formula>
    </cfRule>
  </conditionalFormatting>
  <conditionalFormatting sqref="G3:G12">
    <cfRule type="expression" dxfId="442" priority="400">
      <formula>($D3&lt;=$E$24)</formula>
    </cfRule>
  </conditionalFormatting>
  <conditionalFormatting sqref="G3:G12">
    <cfRule type="expression" dxfId="441" priority="402">
      <formula>($D3&gt;$E$24)</formula>
    </cfRule>
  </conditionalFormatting>
  <conditionalFormatting sqref="I50 I68:I72 I78:I80 I52:I59">
    <cfRule type="cellIs" dxfId="440" priority="655" operator="lessThan">
      <formula>0</formula>
    </cfRule>
    <cfRule type="cellIs" dxfId="439" priority="656" operator="equal">
      <formula>0</formula>
    </cfRule>
    <cfRule type="expression" dxfId="438" priority="657">
      <formula>OR(MOD($I50,100)=0,AND($D50=$E$24,MOD($I50,100)=$D$25))</formula>
    </cfRule>
  </conditionalFormatting>
  <conditionalFormatting sqref="I13">
    <cfRule type="cellIs" dxfId="437" priority="676" operator="equal">
      <formula>$B$8</formula>
    </cfRule>
  </conditionalFormatting>
  <conditionalFormatting sqref="E50:H59 E68:H72 E78:H80">
    <cfRule type="cellIs" dxfId="436" priority="677" operator="notBetween">
      <formula>0</formula>
      <formula>$B$8</formula>
    </cfRule>
    <cfRule type="expression" dxfId="435" priority="678">
      <formula>($D50&lt;=$E$24)</formula>
    </cfRule>
    <cfRule type="expression" dxfId="434" priority="679">
      <formula>($D50&gt;$E$24)</formula>
    </cfRule>
  </conditionalFormatting>
  <conditionalFormatting sqref="I51">
    <cfRule type="cellIs" dxfId="433" priority="686" operator="notBetween">
      <formula>0</formula>
      <formula>$B$8</formula>
    </cfRule>
    <cfRule type="cellIs" dxfId="432" priority="687" operator="equal">
      <formula>0</formula>
    </cfRule>
    <cfRule type="expression" dxfId="431" priority="688">
      <formula>OR(MOD($I51,100)=0,AND($D51=$E$24,MOD($I51,100)=$D$25))</formula>
    </cfRule>
  </conditionalFormatting>
  <conditionalFormatting sqref="L4:L15">
    <cfRule type="expression" dxfId="430" priority="689">
      <formula>AND($L4&lt;$L3, NOT(ISBLANK($L4)))</formula>
    </cfRule>
    <cfRule type="cellIs" dxfId="429" priority="690" operator="greaterThan">
      <formula>$B$7</formula>
    </cfRule>
  </conditionalFormatting>
  <dataValidations count="2">
    <dataValidation type="list" allowBlank="1" showInputMessage="1" showErrorMessage="1" sqref="D68:D72 D78:D82 D50:D59" xr:uid="{16BE8E6D-019E-4446-BDFE-0DD1503C603A}">
      <formula1>$D$3:$D$12</formula1>
    </dataValidation>
    <dataValidation type="list" allowBlank="1" showInputMessage="1" showErrorMessage="1" sqref="C50:C59" xr:uid="{26E6ADDE-67A2-40F5-90D2-78EBD3B4767D}">
      <formula1>$D$19:$D$21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46" r:id="rId4" name="Button 10">
              <controlPr defaultSize="0" print="0" autoFill="0" autoPict="0" macro="[0]!ReinitialiserEtGenererBureaux">
                <anchor moveWithCells="1">
                  <from>
                    <xdr:col>0</xdr:col>
                    <xdr:colOff>466725</xdr:colOff>
                    <xdr:row>23</xdr:row>
                    <xdr:rowOff>161925</xdr:rowOff>
                  </from>
                  <to>
                    <xdr:col>1</xdr:col>
                    <xdr:colOff>866775</xdr:colOff>
                    <xdr:row>26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68B9E-E27B-4D3B-902B-78B62495275B}">
  <sheetPr codeName="Feuil42">
    <tabColor rgb="FFB4A7D6"/>
  </sheetPr>
  <dimension ref="A1:Q82"/>
  <sheetViews>
    <sheetView zoomScale="90" zoomScaleNormal="90" workbookViewId="0">
      <selection activeCell="L14" sqref="L14"/>
    </sheetView>
    <sheetView workbookViewId="1">
      <selection activeCell="F14" sqref="F14"/>
    </sheetView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40" t="str">
        <f>Synthèse!$A$17</f>
        <v>Date</v>
      </c>
      <c r="B1" s="753">
        <f>Synthèse!$B$17</f>
        <v>46103</v>
      </c>
      <c r="D1" s="230"/>
      <c r="E1" s="729" t="s">
        <v>118</v>
      </c>
      <c r="F1" s="730"/>
      <c r="G1" s="739"/>
      <c r="H1" s="740"/>
      <c r="I1" s="303" t="s">
        <v>7</v>
      </c>
      <c r="J1" s="345"/>
    </row>
    <row r="2" spans="1:17" ht="45" customHeight="1" thickBot="1" x14ac:dyDescent="0.25">
      <c r="A2" s="441" t="str">
        <f>Synthèse!$A$18</f>
        <v>Election</v>
      </c>
      <c r="B2" s="754" t="str">
        <f>Synthèse!$B$18</f>
        <v>Municipales</v>
      </c>
      <c r="D2" s="445" t="s">
        <v>80</v>
      </c>
      <c r="E2" s="640" t="str">
        <f>Synthèse!L2</f>
        <v>M. Pierre-Yves 
TIERCE</v>
      </c>
      <c r="F2" s="595" t="str">
        <f>Synthèse!M2</f>
        <v>Mme Isabelle 
FARNET RISSO</v>
      </c>
      <c r="G2" s="764" t="s">
        <v>4</v>
      </c>
      <c r="H2" s="765" t="s">
        <v>3</v>
      </c>
      <c r="I2" s="766" t="s">
        <v>102</v>
      </c>
      <c r="J2" s="345"/>
      <c r="K2" s="481" t="s">
        <v>21</v>
      </c>
      <c r="L2" s="482" t="s">
        <v>56</v>
      </c>
      <c r="M2" s="483" t="s">
        <v>30</v>
      </c>
      <c r="N2" s="460"/>
      <c r="O2" s="736" t="s">
        <v>58</v>
      </c>
      <c r="P2" s="736" t="s">
        <v>57</v>
      </c>
    </row>
    <row r="3" spans="1:17" ht="20.100000000000001" customHeight="1" thickBot="1" x14ac:dyDescent="0.25">
      <c r="A3" s="747" t="str">
        <f>Synthèse!$A$19</f>
        <v>Tour</v>
      </c>
      <c r="B3" s="755">
        <f>Synthèse!$B$19</f>
        <v>2</v>
      </c>
      <c r="D3" s="264" cm="1">
        <f t="array" ref="D3">IF(ROW(1:1)&lt;=$E$24, (ROW(1:1)), "")</f>
        <v>1</v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1">
        <f t="shared" ref="I3:I13" si="0">SUM(E3:H3)</f>
        <v>0</v>
      </c>
      <c r="J3" s="345"/>
      <c r="K3" s="457" t="s">
        <v>31</v>
      </c>
      <c r="L3" s="458">
        <v>0</v>
      </c>
      <c r="M3" s="459">
        <f>L3/$B$7</f>
        <v>0</v>
      </c>
      <c r="N3" s="460"/>
      <c r="O3" s="737"/>
      <c r="P3" s="737"/>
    </row>
    <row r="4" spans="1:17" ht="20.100000000000001" customHeight="1" thickBot="1" x14ac:dyDescent="0.25">
      <c r="A4" s="748" t="str">
        <f>Synthèse!$A$20</f>
        <v>Ville</v>
      </c>
      <c r="B4" s="756">
        <v>1</v>
      </c>
      <c r="D4" s="265" cm="1">
        <f t="array" ref="D4">IF(ROW(2:2)&lt;=$E$24, (ROW(2:2)), "")</f>
        <v>2</v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31">
        <f t="shared" si="0"/>
        <v>0</v>
      </c>
      <c r="J4" s="345"/>
      <c r="K4" s="461" t="s">
        <v>32</v>
      </c>
      <c r="L4" s="462"/>
      <c r="M4" s="463" t="e">
        <f>IF(OR(L4=0, L4=""), NA(), L4/$B$7)</f>
        <v>#N/A</v>
      </c>
      <c r="N4" s="460"/>
      <c r="O4" s="464" t="s">
        <v>44</v>
      </c>
      <c r="P4" s="465" t="e">
        <f t="shared" ref="P4:P13" si="1">IF(L4&lt;&gt;0,L4-L3,NA())</f>
        <v>#N/A</v>
      </c>
    </row>
    <row r="5" spans="1:17" ht="20.100000000000001" customHeight="1" x14ac:dyDescent="0.25">
      <c r="A5" s="442" t="s">
        <v>22</v>
      </c>
      <c r="B5" s="348" t="str">
        <f>INDEX(Synthèse!B:B,B4+2)</f>
        <v>Ecole Chabaud</v>
      </c>
      <c r="D5" s="265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8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31">
        <f t="shared" si="0"/>
        <v>0</v>
      </c>
      <c r="J5" s="346"/>
      <c r="K5" s="461" t="s">
        <v>33</v>
      </c>
      <c r="L5" s="462"/>
      <c r="M5" s="463" t="e">
        <f>IF(OR(L5=0, L5=""), NA(), L5/$B$7)</f>
        <v>#N/A</v>
      </c>
      <c r="N5" s="460"/>
      <c r="O5" s="466" t="s">
        <v>45</v>
      </c>
      <c r="P5" s="467" t="e">
        <f t="shared" si="1"/>
        <v>#N/A</v>
      </c>
    </row>
    <row r="6" spans="1:17" ht="20.100000000000001" customHeight="1" x14ac:dyDescent="0.25">
      <c r="A6" s="443" t="s">
        <v>23</v>
      </c>
      <c r="B6" s="349">
        <f>INDEX(Synthèse!C:C,B4+2)</f>
        <v>553</v>
      </c>
      <c r="D6" s="265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8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31">
        <f t="shared" si="0"/>
        <v>0</v>
      </c>
      <c r="J6" s="346"/>
      <c r="K6" s="461" t="s">
        <v>34</v>
      </c>
      <c r="L6" s="462"/>
      <c r="M6" s="463" t="e">
        <f>IF(OR(L6=0, L6=""), NA(), L6/$B$7)</f>
        <v>#N/A</v>
      </c>
      <c r="N6" s="460"/>
      <c r="O6" s="466" t="s">
        <v>46</v>
      </c>
      <c r="P6" s="467" t="e">
        <f t="shared" si="1"/>
        <v>#N/A</v>
      </c>
    </row>
    <row r="7" spans="1:17" ht="20.100000000000001" customHeight="1" x14ac:dyDescent="0.25">
      <c r="A7" s="443" t="s">
        <v>0</v>
      </c>
      <c r="B7" s="143">
        <v>200</v>
      </c>
      <c r="D7" s="265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31">
        <f t="shared" si="0"/>
        <v>0</v>
      </c>
      <c r="J7" s="346"/>
      <c r="K7" s="461" t="s">
        <v>35</v>
      </c>
      <c r="L7" s="462"/>
      <c r="M7" s="463" t="e">
        <f>IF(OR(L7=0, L7=""), NA(), L7/$B$7)</f>
        <v>#N/A</v>
      </c>
      <c r="N7" s="460"/>
      <c r="O7" s="466" t="s">
        <v>53</v>
      </c>
      <c r="P7" s="467" t="e">
        <f t="shared" si="1"/>
        <v>#N/A</v>
      </c>
    </row>
    <row r="8" spans="1:17" ht="20.100000000000001" customHeight="1" x14ac:dyDescent="0.25">
      <c r="A8" s="443" t="s">
        <v>2</v>
      </c>
      <c r="B8" s="122">
        <f>MAX(L4:L15)</f>
        <v>105</v>
      </c>
      <c r="D8" s="265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31">
        <f t="shared" si="0"/>
        <v>0</v>
      </c>
      <c r="J8" s="346"/>
      <c r="K8" s="461" t="s">
        <v>36</v>
      </c>
      <c r="L8" s="462"/>
      <c r="M8" s="463" t="e">
        <f>IF(OR(L8=0, L8=""), NA(), L8/$B$7)</f>
        <v>#N/A</v>
      </c>
      <c r="N8" s="460"/>
      <c r="O8" s="466" t="s">
        <v>47</v>
      </c>
      <c r="P8" s="467" t="e">
        <f t="shared" si="1"/>
        <v>#N/A</v>
      </c>
    </row>
    <row r="9" spans="1:17" ht="20.100000000000001" customHeight="1" x14ac:dyDescent="0.25">
      <c r="A9" s="443" t="s">
        <v>1</v>
      </c>
      <c r="B9" s="123"/>
      <c r="D9" s="265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31">
        <f t="shared" si="0"/>
        <v>0</v>
      </c>
      <c r="J9" s="346"/>
      <c r="K9" s="461" t="s">
        <v>37</v>
      </c>
      <c r="L9" s="462"/>
      <c r="M9" s="463" t="e">
        <f>IF(OR(L9=0, L9=""), NA(), L9/$B$7)</f>
        <v>#N/A</v>
      </c>
      <c r="N9" s="460"/>
      <c r="O9" s="466" t="s">
        <v>48</v>
      </c>
      <c r="P9" s="467" t="e">
        <f t="shared" si="1"/>
        <v>#N/A</v>
      </c>
    </row>
    <row r="10" spans="1:17" ht="20.100000000000001" customHeight="1" thickBot="1" x14ac:dyDescent="0.3">
      <c r="A10" s="444" t="s">
        <v>17</v>
      </c>
      <c r="B10" s="124">
        <f>B7-B8</f>
        <v>95</v>
      </c>
      <c r="D10" s="265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31">
        <f t="shared" si="0"/>
        <v>0</v>
      </c>
      <c r="J10" s="346"/>
      <c r="K10" s="461" t="s">
        <v>38</v>
      </c>
      <c r="L10" s="462"/>
      <c r="M10" s="463" t="e">
        <f>IF(OR(L10=0, L10=""), NA(), L10/$B$7)</f>
        <v>#N/A</v>
      </c>
      <c r="N10" s="460"/>
      <c r="O10" s="466" t="s">
        <v>49</v>
      </c>
      <c r="P10" s="467" t="e">
        <f t="shared" si="1"/>
        <v>#N/A</v>
      </c>
    </row>
    <row r="11" spans="1:17" ht="20.100000000000001" customHeight="1" x14ac:dyDescent="0.2">
      <c r="A11" s="757" t="s">
        <v>155</v>
      </c>
      <c r="B11" s="757"/>
      <c r="D11" s="265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31">
        <f t="shared" si="0"/>
        <v>0</v>
      </c>
      <c r="J11" s="346"/>
      <c r="K11" s="461" t="s">
        <v>39</v>
      </c>
      <c r="L11" s="462"/>
      <c r="M11" s="463" t="e">
        <f>IF(OR(L11=0, L11=""), NA(), L11/$B$7)</f>
        <v>#N/A</v>
      </c>
      <c r="N11" s="460"/>
      <c r="O11" s="466" t="s">
        <v>50</v>
      </c>
      <c r="P11" s="467" t="e">
        <f t="shared" si="1"/>
        <v>#N/A</v>
      </c>
    </row>
    <row r="12" spans="1:17" ht="20.100000000000001" customHeight="1" thickBot="1" x14ac:dyDescent="0.25">
      <c r="A12" s="758"/>
      <c r="B12" s="758"/>
      <c r="D12" s="266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31">
        <f t="shared" si="0"/>
        <v>0</v>
      </c>
      <c r="J12" s="346"/>
      <c r="K12" s="461" t="s">
        <v>40</v>
      </c>
      <c r="L12" s="462"/>
      <c r="M12" s="463" t="e">
        <f>IF(OR(L12=0, L12=""), NA(), L12/$B$7)</f>
        <v>#N/A</v>
      </c>
      <c r="N12" s="460"/>
      <c r="O12" s="466" t="s">
        <v>51</v>
      </c>
      <c r="P12" s="467" t="e">
        <f t="shared" si="1"/>
        <v>#N/A</v>
      </c>
    </row>
    <row r="13" spans="1:17" ht="24.95" customHeight="1" thickBot="1" x14ac:dyDescent="0.4">
      <c r="A13" s="734" t="s">
        <v>60</v>
      </c>
      <c r="B13" s="734"/>
      <c r="D13" s="446" t="s">
        <v>9</v>
      </c>
      <c r="E13" s="450">
        <v>60</v>
      </c>
      <c r="F13" s="451">
        <v>40</v>
      </c>
      <c r="G13" s="452">
        <v>3</v>
      </c>
      <c r="H13" s="453">
        <v>2</v>
      </c>
      <c r="I13" s="447">
        <f t="shared" si="0"/>
        <v>105</v>
      </c>
      <c r="J13" s="346"/>
      <c r="K13" s="461" t="s">
        <v>41</v>
      </c>
      <c r="L13" s="462">
        <v>105</v>
      </c>
      <c r="M13" s="463">
        <f>IF(OR(L13=0, L13=""), NA(), L13/$B$7)</f>
        <v>0.52500000000000002</v>
      </c>
      <c r="N13" s="460"/>
      <c r="O13" s="468" t="s">
        <v>52</v>
      </c>
      <c r="P13" s="469">
        <f t="shared" si="1"/>
        <v>105</v>
      </c>
    </row>
    <row r="14" spans="1:17" ht="26.45" customHeight="1" thickBot="1" x14ac:dyDescent="0.4">
      <c r="A14" s="734"/>
      <c r="B14" s="734"/>
      <c r="D14" s="448" t="s">
        <v>10</v>
      </c>
      <c r="E14" s="454">
        <f>IFERROR(E13/$B$8,0)</f>
        <v>0.5714285714285714</v>
      </c>
      <c r="F14" s="455">
        <f>IFERROR(F13/$B$8,0)</f>
        <v>0.38095238095238093</v>
      </c>
      <c r="G14" s="454">
        <f>IFERROR(G13/$B$8,0)</f>
        <v>2.8571428571428571E-2</v>
      </c>
      <c r="H14" s="456">
        <f>IFERROR(H13/$B$8,0)</f>
        <v>1.9047619047619049E-2</v>
      </c>
      <c r="I14" s="449">
        <f>IFERROR(I13/$B$8,0)</f>
        <v>1</v>
      </c>
      <c r="J14" s="345"/>
      <c r="K14" s="470" t="s">
        <v>42</v>
      </c>
      <c r="L14" s="471"/>
      <c r="M14" s="472" t="e">
        <f>IF(OR(L14=0, L14=""), NA(), L14/$B$7)</f>
        <v>#N/A</v>
      </c>
      <c r="N14" s="473"/>
      <c r="O14" s="474" t="s">
        <v>54</v>
      </c>
      <c r="P14" s="475" t="e">
        <f>IF(L14&lt;&gt;0,L14-L13,NA())</f>
        <v>#N/A</v>
      </c>
      <c r="Q14" s="287"/>
    </row>
    <row r="15" spans="1:17" ht="18" customHeight="1" thickBot="1" x14ac:dyDescent="0.25">
      <c r="A15" s="734"/>
      <c r="B15" s="734"/>
      <c r="C15" s="1"/>
      <c r="D15" s="1"/>
      <c r="I15" s="241"/>
      <c r="J15" s="345"/>
      <c r="K15" s="476" t="s">
        <v>43</v>
      </c>
      <c r="L15" s="477"/>
      <c r="M15" s="478" t="e">
        <f>IF(OR(L15=0, L15=""), NA(), L15/$B$7)</f>
        <v>#N/A</v>
      </c>
      <c r="N15" s="460"/>
      <c r="O15" s="479" t="s">
        <v>55</v>
      </c>
      <c r="P15" s="480" t="e">
        <f>IF(L15&lt;&gt;0,L15-L14,NA())</f>
        <v>#N/A</v>
      </c>
      <c r="Q15" s="287"/>
    </row>
    <row r="16" spans="1:17" ht="12.75" customHeight="1" x14ac:dyDescent="0.2">
      <c r="A16" s="738" t="s">
        <v>66</v>
      </c>
      <c r="B16" s="738"/>
      <c r="J16" s="345"/>
      <c r="K16" s="241"/>
      <c r="L16" s="241"/>
      <c r="M16" s="241"/>
      <c r="P16" s="241"/>
    </row>
    <row r="17" spans="1:10" ht="18" customHeight="1" x14ac:dyDescent="0.25">
      <c r="A17" s="738"/>
      <c r="B17" s="738"/>
      <c r="E17" s="184"/>
      <c r="F17" s="184"/>
      <c r="J17" s="345"/>
    </row>
    <row r="18" spans="1:10" ht="26.25" customHeight="1" x14ac:dyDescent="0.2">
      <c r="A18" s="738"/>
      <c r="B18" s="738"/>
      <c r="D18" s="334" t="s">
        <v>63</v>
      </c>
      <c r="J18" s="345"/>
    </row>
    <row r="19" spans="1:10" ht="18.75" customHeight="1" x14ac:dyDescent="0.2">
      <c r="A19" s="738"/>
      <c r="B19" s="738"/>
      <c r="D19" s="335">
        <f>IF((ROW()-23)&lt;=$E$25,(ROW()-23),"Choisir")</f>
        <v>-4</v>
      </c>
      <c r="J19" s="345"/>
    </row>
    <row r="20" spans="1:10" x14ac:dyDescent="0.2">
      <c r="D20" s="335">
        <f>IF((ROW()-23)&lt;=$E$25,(ROW()-23),"Choisir")</f>
        <v>-3</v>
      </c>
      <c r="J20" s="345"/>
    </row>
    <row r="21" spans="1:10" x14ac:dyDescent="0.2">
      <c r="D21" s="335">
        <f>IF((ROW()-23)&lt;=$E$25,(ROW()-23),"Choisir")</f>
        <v>-2</v>
      </c>
      <c r="J21" s="345"/>
    </row>
    <row r="22" spans="1:10" x14ac:dyDescent="0.2">
      <c r="D22" s="335">
        <f>IF((ROW()-23)&lt;=$E$25,(ROW()-23),"Choisir")</f>
        <v>-1</v>
      </c>
      <c r="J22" s="345"/>
    </row>
    <row r="23" spans="1:10" x14ac:dyDescent="0.2">
      <c r="J23" s="345"/>
    </row>
    <row r="24" spans="1:10" x14ac:dyDescent="0.2">
      <c r="D24" s="198">
        <f>CEILING($B$7, 100)/100</f>
        <v>2</v>
      </c>
      <c r="E24" s="316">
        <f>CEILING($B$8,100)/100</f>
        <v>2</v>
      </c>
      <c r="F24" s="316"/>
      <c r="J24" s="345"/>
    </row>
    <row r="25" spans="1:10" x14ac:dyDescent="0.2">
      <c r="D25" s="198">
        <f>MOD($B$8,100)</f>
        <v>5</v>
      </c>
      <c r="E25" s="199">
        <f>CEILING($B$7/300,1)</f>
        <v>1</v>
      </c>
      <c r="F25" s="199"/>
      <c r="J25" s="345"/>
    </row>
    <row r="26" spans="1:10" x14ac:dyDescent="0.2">
      <c r="J26" s="345"/>
    </row>
    <row r="27" spans="1:10" x14ac:dyDescent="0.2">
      <c r="J27" s="345"/>
    </row>
    <row r="28" spans="1:10" x14ac:dyDescent="0.2">
      <c r="J28" s="345"/>
    </row>
    <row r="29" spans="1:10" x14ac:dyDescent="0.2">
      <c r="J29" s="345"/>
    </row>
    <row r="30" spans="1:10" x14ac:dyDescent="0.2">
      <c r="J30" s="345"/>
    </row>
    <row r="31" spans="1:10" x14ac:dyDescent="0.2">
      <c r="J31" s="345"/>
    </row>
    <row r="32" spans="1:10" x14ac:dyDescent="0.2">
      <c r="J32" s="345"/>
    </row>
    <row r="33" spans="1:10" x14ac:dyDescent="0.2">
      <c r="J33" s="345"/>
    </row>
    <row r="34" spans="1:10" x14ac:dyDescent="0.2">
      <c r="J34" s="345"/>
    </row>
    <row r="35" spans="1:10" x14ac:dyDescent="0.2">
      <c r="J35" s="345"/>
    </row>
    <row r="36" spans="1:10" x14ac:dyDescent="0.2">
      <c r="J36" s="345"/>
    </row>
    <row r="37" spans="1:10" x14ac:dyDescent="0.2">
      <c r="J37" s="345"/>
    </row>
    <row r="38" spans="1:10" x14ac:dyDescent="0.2">
      <c r="J38" s="345"/>
    </row>
    <row r="39" spans="1:10" x14ac:dyDescent="0.2">
      <c r="J39" s="345"/>
    </row>
    <row r="40" spans="1:10" x14ac:dyDescent="0.2">
      <c r="J40" s="345"/>
    </row>
    <row r="41" spans="1:10" x14ac:dyDescent="0.2">
      <c r="J41" s="345"/>
    </row>
    <row r="42" spans="1:10" x14ac:dyDescent="0.2">
      <c r="J42" s="345"/>
    </row>
    <row r="43" spans="1:10" ht="13.5" thickBot="1" x14ac:dyDescent="0.25">
      <c r="A43" s="344"/>
      <c r="B43" s="344"/>
      <c r="C43" s="344"/>
      <c r="D43" s="344"/>
      <c r="E43" s="344"/>
      <c r="F43" s="344"/>
      <c r="G43" s="344"/>
      <c r="H43" s="344"/>
      <c r="I43" s="344"/>
      <c r="J43" s="347"/>
    </row>
    <row r="44" spans="1:10" ht="13.5" thickTop="1" x14ac:dyDescent="0.2">
      <c r="J44" s="345"/>
    </row>
    <row r="45" spans="1:10" x14ac:dyDescent="0.2">
      <c r="J45" s="345"/>
    </row>
    <row r="46" spans="1:10" x14ac:dyDescent="0.2">
      <c r="E46" s="125"/>
      <c r="F46" s="125"/>
      <c r="J46" s="345"/>
    </row>
    <row r="47" spans="1:10" ht="13.5" thickBot="1" x14ac:dyDescent="0.25">
      <c r="E47" s="125"/>
      <c r="F47" s="125"/>
      <c r="J47" s="345"/>
    </row>
    <row r="48" spans="1:10" ht="20.100000000000001" customHeight="1" thickBot="1" x14ac:dyDescent="0.25">
      <c r="D48" s="188" t="s">
        <v>76</v>
      </c>
      <c r="E48" s="726" t="s">
        <v>115</v>
      </c>
      <c r="F48" s="727"/>
      <c r="G48" s="727"/>
      <c r="H48" s="728"/>
      <c r="I48" s="293" t="s">
        <v>7</v>
      </c>
      <c r="J48" s="345"/>
    </row>
    <row r="49" spans="3:10" ht="47.25" customHeight="1" thickBot="1" x14ac:dyDescent="0.25">
      <c r="C49" s="186"/>
      <c r="D49" s="271" t="s">
        <v>79</v>
      </c>
      <c r="E49" s="641" t="str">
        <f>E2</f>
        <v>M. Pierre-Yves 
TIERCE</v>
      </c>
      <c r="F49" s="596" t="str">
        <f t="shared" ref="F49" si="2">F2</f>
        <v>Mme Isabelle 
FARNET RISSO</v>
      </c>
      <c r="G49" s="306" t="s">
        <v>3</v>
      </c>
      <c r="H49" s="307" t="s">
        <v>4</v>
      </c>
      <c r="I49" s="295" t="s">
        <v>101</v>
      </c>
      <c r="J49" s="345"/>
    </row>
    <row r="50" spans="3:10" ht="19.5" customHeight="1" x14ac:dyDescent="0.2">
      <c r="C50" s="187"/>
      <c r="D50" s="270" t="s">
        <v>78</v>
      </c>
      <c r="E50" s="233"/>
      <c r="F50" s="233"/>
      <c r="G50" s="236"/>
      <c r="H50" s="235"/>
      <c r="I50" s="294">
        <f t="shared" ref="I50:I59" si="3">SUM(E50:H50)</f>
        <v>0</v>
      </c>
      <c r="J50" s="345"/>
    </row>
    <row r="51" spans="3:10" ht="20.100000000000001" customHeight="1" x14ac:dyDescent="0.2">
      <c r="C51" s="187"/>
      <c r="D51" s="270" t="s">
        <v>78</v>
      </c>
      <c r="E51" s="233"/>
      <c r="F51" s="233"/>
      <c r="G51" s="236"/>
      <c r="H51" s="235"/>
      <c r="I51" s="294">
        <f t="shared" si="3"/>
        <v>0</v>
      </c>
      <c r="J51" s="345"/>
    </row>
    <row r="52" spans="3:10" ht="20.100000000000001" customHeight="1" x14ac:dyDescent="0.2">
      <c r="C52" s="187"/>
      <c r="D52" s="270" t="s">
        <v>78</v>
      </c>
      <c r="E52" s="233"/>
      <c r="F52" s="233"/>
      <c r="G52" s="236"/>
      <c r="H52" s="235"/>
      <c r="I52" s="294">
        <f t="shared" si="3"/>
        <v>0</v>
      </c>
      <c r="J52" s="345"/>
    </row>
    <row r="53" spans="3:10" ht="20.100000000000001" customHeight="1" x14ac:dyDescent="0.2">
      <c r="C53" s="187"/>
      <c r="D53" s="270" t="s">
        <v>78</v>
      </c>
      <c r="E53" s="233"/>
      <c r="F53" s="233"/>
      <c r="G53" s="236"/>
      <c r="H53" s="235"/>
      <c r="I53" s="294">
        <f t="shared" si="3"/>
        <v>0</v>
      </c>
      <c r="J53" s="345"/>
    </row>
    <row r="54" spans="3:10" ht="20.100000000000001" customHeight="1" x14ac:dyDescent="0.2">
      <c r="C54" s="187"/>
      <c r="D54" s="270" t="s">
        <v>78</v>
      </c>
      <c r="E54" s="233"/>
      <c r="F54" s="233"/>
      <c r="G54" s="236"/>
      <c r="H54" s="235"/>
      <c r="I54" s="294">
        <f t="shared" si="3"/>
        <v>0</v>
      </c>
      <c r="J54" s="345"/>
    </row>
    <row r="55" spans="3:10" ht="20.100000000000001" customHeight="1" x14ac:dyDescent="0.2">
      <c r="C55" s="187"/>
      <c r="D55" s="270" t="s">
        <v>78</v>
      </c>
      <c r="E55" s="233"/>
      <c r="F55" s="233"/>
      <c r="G55" s="236"/>
      <c r="H55" s="235"/>
      <c r="I55" s="294">
        <f t="shared" si="3"/>
        <v>0</v>
      </c>
      <c r="J55" s="345"/>
    </row>
    <row r="56" spans="3:10" ht="20.100000000000001" customHeight="1" x14ac:dyDescent="0.2">
      <c r="C56" s="187"/>
      <c r="D56" s="270" t="s">
        <v>78</v>
      </c>
      <c r="E56" s="233"/>
      <c r="F56" s="233"/>
      <c r="G56" s="236"/>
      <c r="H56" s="235"/>
      <c r="I56" s="294">
        <f t="shared" si="3"/>
        <v>0</v>
      </c>
      <c r="J56" s="345"/>
    </row>
    <row r="57" spans="3:10" ht="20.100000000000001" customHeight="1" x14ac:dyDescent="0.2">
      <c r="C57" s="187"/>
      <c r="D57" s="270" t="s">
        <v>78</v>
      </c>
      <c r="E57" s="233"/>
      <c r="F57" s="233"/>
      <c r="G57" s="236"/>
      <c r="H57" s="235"/>
      <c r="I57" s="294">
        <f t="shared" si="3"/>
        <v>0</v>
      </c>
      <c r="J57" s="345"/>
    </row>
    <row r="58" spans="3:10" ht="20.100000000000001" customHeight="1" x14ac:dyDescent="0.2">
      <c r="C58" s="187"/>
      <c r="D58" s="270" t="s">
        <v>78</v>
      </c>
      <c r="E58" s="233"/>
      <c r="F58" s="233"/>
      <c r="G58" s="236"/>
      <c r="H58" s="235"/>
      <c r="I58" s="294">
        <f t="shared" si="3"/>
        <v>0</v>
      </c>
      <c r="J58" s="345"/>
    </row>
    <row r="59" spans="3:10" ht="20.100000000000001" customHeight="1" thickBot="1" x14ac:dyDescent="0.25">
      <c r="C59" s="187"/>
      <c r="D59" s="274" t="s">
        <v>78</v>
      </c>
      <c r="E59" s="275"/>
      <c r="F59" s="275"/>
      <c r="G59" s="278"/>
      <c r="H59" s="277"/>
      <c r="I59" s="294">
        <f t="shared" si="3"/>
        <v>0</v>
      </c>
      <c r="J59" s="345"/>
    </row>
    <row r="60" spans="3:10" x14ac:dyDescent="0.2">
      <c r="I60" s="241"/>
      <c r="J60" s="345"/>
    </row>
    <row r="61" spans="3:10" x14ac:dyDescent="0.2">
      <c r="J61" s="345"/>
    </row>
    <row r="62" spans="3:10" x14ac:dyDescent="0.2">
      <c r="J62" s="345"/>
    </row>
    <row r="63" spans="3:10" ht="18" x14ac:dyDescent="0.25">
      <c r="E63" s="184"/>
      <c r="F63" s="184"/>
      <c r="J63" s="345"/>
    </row>
    <row r="64" spans="3:10" x14ac:dyDescent="0.2">
      <c r="J64" s="345"/>
    </row>
    <row r="65" spans="4:10" ht="13.5" thickBot="1" x14ac:dyDescent="0.25">
      <c r="J65" s="345"/>
    </row>
    <row r="66" spans="4:10" ht="16.5" customHeight="1" thickBot="1" x14ac:dyDescent="0.25">
      <c r="D66" s="188" t="s">
        <v>77</v>
      </c>
      <c r="E66" s="726" t="s">
        <v>116</v>
      </c>
      <c r="F66" s="727"/>
      <c r="G66" s="727"/>
      <c r="H66" s="728"/>
      <c r="I66" s="293" t="s">
        <v>7</v>
      </c>
      <c r="J66" s="345"/>
    </row>
    <row r="67" spans="4:10" ht="42" customHeight="1" thickBot="1" x14ac:dyDescent="0.25">
      <c r="D67" s="271" t="s">
        <v>79</v>
      </c>
      <c r="E67" s="641" t="str">
        <f>E2</f>
        <v>M. Pierre-Yves 
TIERCE</v>
      </c>
      <c r="F67" s="596" t="str">
        <f t="shared" ref="F67" si="4">F2</f>
        <v>Mme Isabelle 
FARNET RISSO</v>
      </c>
      <c r="G67" s="306" t="s">
        <v>3</v>
      </c>
      <c r="H67" s="307" t="s">
        <v>4</v>
      </c>
      <c r="I67" s="300" t="s">
        <v>101</v>
      </c>
      <c r="J67" s="345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7">
        <f>SUM(E68:H68)</f>
        <v>0</v>
      </c>
      <c r="J68" s="345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31">
        <f>SUM(E69:H69)</f>
        <v>0</v>
      </c>
      <c r="J69" s="345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31">
        <f>SUM(E70:H70)</f>
        <v>0</v>
      </c>
      <c r="J70" s="345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31">
        <f>SUM(E71:H71)</f>
        <v>0</v>
      </c>
      <c r="J71" s="345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8">
        <f>SUM(E72:H72)</f>
        <v>0</v>
      </c>
      <c r="J72" s="345"/>
    </row>
    <row r="73" spans="4:10" ht="20.100000000000001" customHeight="1" x14ac:dyDescent="0.2">
      <c r="D73" s="189"/>
      <c r="E73" s="187"/>
      <c r="F73" s="187"/>
      <c r="G73" s="187"/>
      <c r="H73" s="187"/>
      <c r="J73" s="345"/>
    </row>
    <row r="74" spans="4:10" ht="20.100000000000001" customHeight="1" x14ac:dyDescent="0.2">
      <c r="D74" s="189"/>
      <c r="E74" s="187"/>
      <c r="F74" s="187"/>
      <c r="G74" s="187"/>
      <c r="H74" s="187"/>
      <c r="J74" s="345"/>
    </row>
    <row r="75" spans="4:10" ht="20.100000000000001" customHeight="1" thickBot="1" x14ac:dyDescent="0.25">
      <c r="D75" s="189"/>
      <c r="E75" s="187"/>
      <c r="F75" s="187"/>
      <c r="G75" s="187"/>
      <c r="H75" s="187"/>
      <c r="J75" s="345"/>
    </row>
    <row r="76" spans="4:10" ht="20.100000000000001" customHeight="1" thickBot="1" x14ac:dyDescent="0.25">
      <c r="D76" s="188" t="s">
        <v>81</v>
      </c>
      <c r="E76" s="726" t="s">
        <v>117</v>
      </c>
      <c r="F76" s="727"/>
      <c r="G76" s="727"/>
      <c r="H76" s="728"/>
      <c r="I76" s="299" t="s">
        <v>7</v>
      </c>
      <c r="J76" s="345"/>
    </row>
    <row r="77" spans="4:10" ht="39.75" customHeight="1" thickBot="1" x14ac:dyDescent="0.25">
      <c r="D77" s="271" t="s">
        <v>79</v>
      </c>
      <c r="E77" s="641" t="str">
        <f>E2</f>
        <v>M. Pierre-Yves 
TIERCE</v>
      </c>
      <c r="F77" s="596" t="str">
        <f t="shared" ref="F77" si="5">F2</f>
        <v>Mme Isabelle 
FARNET RISSO</v>
      </c>
      <c r="G77" s="306" t="s">
        <v>3</v>
      </c>
      <c r="H77" s="307" t="s">
        <v>4</v>
      </c>
      <c r="I77" s="296" t="s">
        <v>101</v>
      </c>
      <c r="J77" s="345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7">
        <f>SUM(E78:H78)</f>
        <v>0</v>
      </c>
      <c r="J78" s="345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31">
        <f>SUM(E79:H79)</f>
        <v>0</v>
      </c>
      <c r="J79" s="345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8">
        <f>SUM(E80:H80)</f>
        <v>0</v>
      </c>
      <c r="J80" s="345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45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45"/>
    </row>
  </sheetData>
  <sheetProtection algorithmName="SHA-512" hashValue="lGXSwZexznoUa1JIs9pOJJTx9gj+OlqI9sChToAdtjT21nAGBsrHU/U9PrOgpIBiBrbrMaWK6n/TGnyzhedLsg==" saltValue="MXOZpNLFPaeITAYpmEnrWA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428" priority="1" operator="equal">
      <formula>0</formula>
    </cfRule>
    <cfRule type="cellIs" dxfId="427" priority="6" operator="notEqual">
      <formula>$B$8</formula>
    </cfRule>
  </conditionalFormatting>
  <conditionalFormatting sqref="E3:I12">
    <cfRule type="cellIs" dxfId="426" priority="5" operator="notBetween">
      <formula>0</formula>
      <formula>100</formula>
    </cfRule>
  </conditionalFormatting>
  <conditionalFormatting sqref="E3:I14">
    <cfRule type="cellIs" dxfId="425" priority="8" operator="lessThan">
      <formula>0</formula>
    </cfRule>
  </conditionalFormatting>
  <conditionalFormatting sqref="E14:I14">
    <cfRule type="cellIs" dxfId="424" priority="11" operator="greaterThan">
      <formula>1</formula>
    </cfRule>
  </conditionalFormatting>
  <conditionalFormatting sqref="I3:I13">
    <cfRule type="cellIs" dxfId="423" priority="9" operator="equal">
      <formula>0</formula>
    </cfRule>
  </conditionalFormatting>
  <conditionalFormatting sqref="I14">
    <cfRule type="cellIs" dxfId="422" priority="10" operator="equal">
      <formula>1</formula>
    </cfRule>
    <cfRule type="cellIs" dxfId="421" priority="12" operator="lessThan">
      <formula>1</formula>
    </cfRule>
  </conditionalFormatting>
  <conditionalFormatting sqref="M4:M15">
    <cfRule type="cellIs" dxfId="420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419" priority="3">
      <formula>AND(E50&lt;MAX(E$50:E50), NOT(ISBLANK(E50)), NOT(E50=0))</formula>
    </cfRule>
  </conditionalFormatting>
  <conditionalFormatting sqref="E68:H72">
    <cfRule type="expression" dxfId="418" priority="2">
      <formula>AND(E68&lt;MAX(E$68:E68), NOT(ISBLANK(E68)), NOT(E68=0))</formula>
    </cfRule>
  </conditionalFormatting>
  <conditionalFormatting sqref="E78:H80">
    <cfRule type="expression" dxfId="417" priority="13">
      <formula>AND(E78&lt;MAX(E$78:E78), NOT(ISBLANK(E78)), NOT(E78=0))</formula>
    </cfRule>
  </conditionalFormatting>
  <conditionalFormatting sqref="I3:I12">
    <cfRule type="expression" dxfId="416" priority="14">
      <formula>AND($D3=$E$24, I3=$D$25)</formula>
    </cfRule>
    <cfRule type="expression" dxfId="415" priority="15">
      <formula>AND($D3=$E$24, MOD(I3,100)&gt;$D$25)</formula>
    </cfRule>
    <cfRule type="cellIs" dxfId="414" priority="16" operator="equal">
      <formula>100</formula>
    </cfRule>
  </conditionalFormatting>
  <conditionalFormatting sqref="H3:H12 E3:F12">
    <cfRule type="expression" dxfId="413" priority="17">
      <formula>($D3&lt;=$E$24)</formula>
    </cfRule>
  </conditionalFormatting>
  <conditionalFormatting sqref="H3:H12 D3:F12">
    <cfRule type="expression" dxfId="412" priority="18">
      <formula>($D3&gt;$E$24)</formula>
    </cfRule>
  </conditionalFormatting>
  <conditionalFormatting sqref="G3:G12">
    <cfRule type="expression" dxfId="411" priority="19">
      <formula>($D3&lt;=$E$24)</formula>
    </cfRule>
  </conditionalFormatting>
  <conditionalFormatting sqref="G3:G12">
    <cfRule type="expression" dxfId="410" priority="20">
      <formula>($D3&gt;$E$24)</formula>
    </cfRule>
  </conditionalFormatting>
  <conditionalFormatting sqref="I50 I68:I72 I78:I80 I52:I59">
    <cfRule type="cellIs" dxfId="409" priority="21" operator="lessThan">
      <formula>0</formula>
    </cfRule>
    <cfRule type="cellIs" dxfId="408" priority="22" operator="equal">
      <formula>0</formula>
    </cfRule>
    <cfRule type="expression" dxfId="407" priority="23">
      <formula>OR(MOD($I50,100)=0,AND($D50=$E$24,MOD($I50,100)=$D$25))</formula>
    </cfRule>
  </conditionalFormatting>
  <conditionalFormatting sqref="I13">
    <cfRule type="cellIs" dxfId="406" priority="24" operator="equal">
      <formula>$B$8</formula>
    </cfRule>
  </conditionalFormatting>
  <conditionalFormatting sqref="E50:H59 E68:H72 E78:H80">
    <cfRule type="cellIs" dxfId="405" priority="25" operator="notBetween">
      <formula>0</formula>
      <formula>$B$8</formula>
    </cfRule>
    <cfRule type="expression" dxfId="404" priority="26">
      <formula>($D50&lt;=$E$24)</formula>
    </cfRule>
    <cfRule type="expression" dxfId="403" priority="27">
      <formula>($D50&gt;$E$24)</formula>
    </cfRule>
  </conditionalFormatting>
  <conditionalFormatting sqref="I51">
    <cfRule type="cellIs" dxfId="402" priority="28" operator="notBetween">
      <formula>0</formula>
      <formula>$B$8</formula>
    </cfRule>
    <cfRule type="cellIs" dxfId="401" priority="29" operator="equal">
      <formula>0</formula>
    </cfRule>
    <cfRule type="expression" dxfId="400" priority="30">
      <formula>OR(MOD($I51,100)=0,AND($D51=$E$24,MOD($I51,100)=$D$25))</formula>
    </cfRule>
  </conditionalFormatting>
  <conditionalFormatting sqref="L4:L15">
    <cfRule type="expression" dxfId="399" priority="31">
      <formula>AND($L4&lt;$L3, NOT(ISBLANK($L4)))</formula>
    </cfRule>
    <cfRule type="cellIs" dxfId="398" priority="32" operator="greaterThan">
      <formula>$B$7</formula>
    </cfRule>
  </conditionalFormatting>
  <dataValidations count="2">
    <dataValidation type="list" allowBlank="1" showInputMessage="1" showErrorMessage="1" sqref="C50:C59" xr:uid="{702FBFCA-0ABF-4535-866C-CCA61604A805}">
      <formula1>$D$19:$D$21</formula1>
    </dataValidation>
    <dataValidation type="list" allowBlank="1" showInputMessage="1" showErrorMessage="1" sqref="D68:D72 D78:D82 D50:D59" xr:uid="{9FBEBBA7-A87C-4712-BE12-792B7AA2BD1B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DF97F-D6CB-489C-BE4D-2E6F9BDB1BE6}">
  <sheetPr codeName="Feuil44">
    <tabColor rgb="FFB4A7D6"/>
  </sheetPr>
  <dimension ref="A1:Q82"/>
  <sheetViews>
    <sheetView zoomScale="90" zoomScaleNormal="90" workbookViewId="0">
      <selection activeCell="L4" sqref="L4"/>
    </sheetView>
    <sheetView workbookViewId="1"/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40" t="str">
        <f>Synthèse!$A$17</f>
        <v>Date</v>
      </c>
      <c r="B1" s="753">
        <f>Synthèse!$B$17</f>
        <v>46103</v>
      </c>
      <c r="D1" s="230"/>
      <c r="E1" s="729" t="s">
        <v>118</v>
      </c>
      <c r="F1" s="730"/>
      <c r="G1" s="739"/>
      <c r="H1" s="740"/>
      <c r="I1" s="303" t="s">
        <v>7</v>
      </c>
      <c r="J1" s="345"/>
    </row>
    <row r="2" spans="1:17" ht="45" customHeight="1" thickBot="1" x14ac:dyDescent="0.25">
      <c r="A2" s="441" t="str">
        <f>Synthèse!$A$18</f>
        <v>Election</v>
      </c>
      <c r="B2" s="754" t="str">
        <f>Synthèse!$B$18</f>
        <v>Municipales</v>
      </c>
      <c r="D2" s="445" t="s">
        <v>80</v>
      </c>
      <c r="E2" s="640" t="str">
        <f>Synthèse!L2</f>
        <v>M. Pierre-Yves 
TIERCE</v>
      </c>
      <c r="F2" s="595" t="str">
        <f>Synthèse!M2</f>
        <v>Mme Isabelle 
FARNET RISSO</v>
      </c>
      <c r="G2" s="764" t="s">
        <v>4</v>
      </c>
      <c r="H2" s="765" t="s">
        <v>3</v>
      </c>
      <c r="I2" s="766" t="s">
        <v>102</v>
      </c>
      <c r="J2" s="345"/>
      <c r="K2" s="481" t="s">
        <v>21</v>
      </c>
      <c r="L2" s="482" t="s">
        <v>56</v>
      </c>
      <c r="M2" s="483" t="s">
        <v>30</v>
      </c>
      <c r="N2" s="460"/>
      <c r="O2" s="736" t="s">
        <v>58</v>
      </c>
      <c r="P2" s="736" t="s">
        <v>57</v>
      </c>
    </row>
    <row r="3" spans="1:17" ht="20.100000000000001" customHeight="1" thickBot="1" x14ac:dyDescent="0.25">
      <c r="A3" s="747" t="str">
        <f>Synthèse!$A$19</f>
        <v>Tour</v>
      </c>
      <c r="B3" s="755">
        <f>Synthèse!$B$19</f>
        <v>2</v>
      </c>
      <c r="D3" s="264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1">
        <f t="shared" ref="I3:I13" si="0">SUM(E3:H3)</f>
        <v>0</v>
      </c>
      <c r="J3" s="345"/>
      <c r="K3" s="457" t="s">
        <v>31</v>
      </c>
      <c r="L3" s="458">
        <v>0</v>
      </c>
      <c r="M3" s="459">
        <f>L3/$B$7</f>
        <v>0</v>
      </c>
      <c r="N3" s="460"/>
      <c r="O3" s="737"/>
      <c r="P3" s="737"/>
    </row>
    <row r="4" spans="1:17" ht="20.100000000000001" customHeight="1" thickBot="1" x14ac:dyDescent="0.25">
      <c r="A4" s="748" t="str">
        <f>Synthèse!$A$20</f>
        <v>Ville</v>
      </c>
      <c r="B4" s="756">
        <v>2</v>
      </c>
      <c r="D4" s="265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31">
        <f t="shared" si="0"/>
        <v>0</v>
      </c>
      <c r="J4" s="345"/>
      <c r="K4" s="461" t="s">
        <v>32</v>
      </c>
      <c r="L4" s="462"/>
      <c r="M4" s="463" t="e">
        <f>IF(OR(L4=0, L4=""), NA(), L4/$B$7)</f>
        <v>#N/A</v>
      </c>
      <c r="N4" s="460"/>
      <c r="O4" s="464" t="s">
        <v>44</v>
      </c>
      <c r="P4" s="465" t="e">
        <f t="shared" ref="P4:P13" si="1">IF(L4&lt;&gt;0,L4-L3,NA())</f>
        <v>#N/A</v>
      </c>
    </row>
    <row r="5" spans="1:17" ht="20.100000000000001" customHeight="1" x14ac:dyDescent="0.25">
      <c r="A5" s="442" t="s">
        <v>22</v>
      </c>
      <c r="B5" s="348" t="str">
        <f>INDEX(Synthèse!B:B,B4+2)</f>
        <v>Gymnase B</v>
      </c>
      <c r="D5" s="265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8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31">
        <f t="shared" si="0"/>
        <v>0</v>
      </c>
      <c r="J5" s="346"/>
      <c r="K5" s="461" t="s">
        <v>33</v>
      </c>
      <c r="L5" s="462"/>
      <c r="M5" s="463" t="e">
        <f>IF(OR(L5=0, L5=""), NA(), L5/$B$7)</f>
        <v>#N/A</v>
      </c>
      <c r="N5" s="460"/>
      <c r="O5" s="466" t="s">
        <v>45</v>
      </c>
      <c r="P5" s="467" t="e">
        <f t="shared" si="1"/>
        <v>#N/A</v>
      </c>
    </row>
    <row r="6" spans="1:17" ht="20.100000000000001" customHeight="1" x14ac:dyDescent="0.25">
      <c r="A6" s="443" t="s">
        <v>23</v>
      </c>
      <c r="B6" s="349">
        <f>INDEX(Synthèse!C:C,B4+2)</f>
        <v>740</v>
      </c>
      <c r="D6" s="265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8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31">
        <f t="shared" si="0"/>
        <v>0</v>
      </c>
      <c r="J6" s="346"/>
      <c r="K6" s="461" t="s">
        <v>34</v>
      </c>
      <c r="L6" s="462"/>
      <c r="M6" s="463" t="e">
        <f>IF(OR(L6=0, L6=""), NA(), L6/$B$7)</f>
        <v>#N/A</v>
      </c>
      <c r="N6" s="460"/>
      <c r="O6" s="466" t="s">
        <v>46</v>
      </c>
      <c r="P6" s="467" t="e">
        <f t="shared" si="1"/>
        <v>#N/A</v>
      </c>
    </row>
    <row r="7" spans="1:17" ht="20.100000000000001" customHeight="1" x14ac:dyDescent="0.25">
      <c r="A7" s="443" t="s">
        <v>0</v>
      </c>
      <c r="B7" s="143">
        <v>200</v>
      </c>
      <c r="D7" s="265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31">
        <f t="shared" si="0"/>
        <v>0</v>
      </c>
      <c r="J7" s="346"/>
      <c r="K7" s="461" t="s">
        <v>35</v>
      </c>
      <c r="L7" s="462"/>
      <c r="M7" s="463" t="e">
        <f>IF(OR(L7=0, L7=""), NA(), L7/$B$7)</f>
        <v>#N/A</v>
      </c>
      <c r="N7" s="460"/>
      <c r="O7" s="466" t="s">
        <v>53</v>
      </c>
      <c r="P7" s="467" t="e">
        <f t="shared" si="1"/>
        <v>#N/A</v>
      </c>
    </row>
    <row r="8" spans="1:17" ht="20.100000000000001" customHeight="1" x14ac:dyDescent="0.25">
      <c r="A8" s="443" t="s">
        <v>2</v>
      </c>
      <c r="B8" s="122">
        <f>MAX(L4:L15)</f>
        <v>0</v>
      </c>
      <c r="D8" s="265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31">
        <f t="shared" si="0"/>
        <v>0</v>
      </c>
      <c r="J8" s="346"/>
      <c r="K8" s="461" t="s">
        <v>36</v>
      </c>
      <c r="L8" s="462"/>
      <c r="M8" s="463" t="e">
        <f>IF(OR(L8=0, L8=""), NA(), L8/$B$7)</f>
        <v>#N/A</v>
      </c>
      <c r="N8" s="460"/>
      <c r="O8" s="466" t="s">
        <v>47</v>
      </c>
      <c r="P8" s="467" t="e">
        <f t="shared" si="1"/>
        <v>#N/A</v>
      </c>
    </row>
    <row r="9" spans="1:17" ht="20.100000000000001" customHeight="1" x14ac:dyDescent="0.25">
      <c r="A9" s="443" t="s">
        <v>1</v>
      </c>
      <c r="B9" s="123"/>
      <c r="D9" s="265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31">
        <f t="shared" si="0"/>
        <v>0</v>
      </c>
      <c r="J9" s="346"/>
      <c r="K9" s="461" t="s">
        <v>37</v>
      </c>
      <c r="L9" s="462"/>
      <c r="M9" s="463" t="e">
        <f>IF(OR(L9=0, L9=""), NA(), L9/$B$7)</f>
        <v>#N/A</v>
      </c>
      <c r="N9" s="460"/>
      <c r="O9" s="466" t="s">
        <v>48</v>
      </c>
      <c r="P9" s="467" t="e">
        <f t="shared" si="1"/>
        <v>#N/A</v>
      </c>
    </row>
    <row r="10" spans="1:17" ht="20.100000000000001" customHeight="1" thickBot="1" x14ac:dyDescent="0.3">
      <c r="A10" s="444" t="s">
        <v>17</v>
      </c>
      <c r="B10" s="124">
        <f>B7-B8</f>
        <v>200</v>
      </c>
      <c r="D10" s="265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31">
        <f t="shared" si="0"/>
        <v>0</v>
      </c>
      <c r="J10" s="346"/>
      <c r="K10" s="461" t="s">
        <v>38</v>
      </c>
      <c r="L10" s="462"/>
      <c r="M10" s="463" t="e">
        <f>IF(OR(L10=0, L10=""), NA(), L10/$B$7)</f>
        <v>#N/A</v>
      </c>
      <c r="N10" s="460"/>
      <c r="O10" s="466" t="s">
        <v>49</v>
      </c>
      <c r="P10" s="467" t="e">
        <f t="shared" si="1"/>
        <v>#N/A</v>
      </c>
    </row>
    <row r="11" spans="1:17" ht="20.100000000000001" customHeight="1" x14ac:dyDescent="0.2">
      <c r="A11" s="757" t="s">
        <v>155</v>
      </c>
      <c r="B11" s="757"/>
      <c r="D11" s="265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31">
        <f t="shared" si="0"/>
        <v>0</v>
      </c>
      <c r="J11" s="346"/>
      <c r="K11" s="461" t="s">
        <v>39</v>
      </c>
      <c r="L11" s="462"/>
      <c r="M11" s="463" t="e">
        <f>IF(OR(L11=0, L11=""), NA(), L11/$B$7)</f>
        <v>#N/A</v>
      </c>
      <c r="N11" s="460"/>
      <c r="O11" s="466" t="s">
        <v>50</v>
      </c>
      <c r="P11" s="467" t="e">
        <f t="shared" si="1"/>
        <v>#N/A</v>
      </c>
    </row>
    <row r="12" spans="1:17" ht="20.100000000000001" customHeight="1" thickBot="1" x14ac:dyDescent="0.25">
      <c r="A12" s="758"/>
      <c r="B12" s="758"/>
      <c r="D12" s="266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31">
        <f t="shared" si="0"/>
        <v>0</v>
      </c>
      <c r="J12" s="346"/>
      <c r="K12" s="461" t="s">
        <v>40</v>
      </c>
      <c r="L12" s="462"/>
      <c r="M12" s="463" t="e">
        <f>IF(OR(L12=0, L12=""), NA(), L12/$B$7)</f>
        <v>#N/A</v>
      </c>
      <c r="N12" s="460"/>
      <c r="O12" s="466" t="s">
        <v>51</v>
      </c>
      <c r="P12" s="467" t="e">
        <f t="shared" si="1"/>
        <v>#N/A</v>
      </c>
    </row>
    <row r="13" spans="1:17" ht="24.95" customHeight="1" thickBot="1" x14ac:dyDescent="0.4">
      <c r="A13" s="734" t="s">
        <v>60</v>
      </c>
      <c r="B13" s="734"/>
      <c r="D13" s="446" t="s">
        <v>9</v>
      </c>
      <c r="E13" s="450">
        <f>SUM(E3:E12)</f>
        <v>0</v>
      </c>
      <c r="F13" s="451">
        <f t="shared" ref="F13" si="2">SUM(F3:F12)</f>
        <v>0</v>
      </c>
      <c r="G13" s="452">
        <f>SUM(G3:G12)</f>
        <v>0</v>
      </c>
      <c r="H13" s="453">
        <f>SUM(H3:H12)</f>
        <v>0</v>
      </c>
      <c r="I13" s="447">
        <f t="shared" si="0"/>
        <v>0</v>
      </c>
      <c r="J13" s="346"/>
      <c r="K13" s="461" t="s">
        <v>41</v>
      </c>
      <c r="L13" s="462"/>
      <c r="M13" s="463" t="e">
        <f>IF(OR(L13=0, L13=""), NA(), L13/$B$7)</f>
        <v>#N/A</v>
      </c>
      <c r="N13" s="460"/>
      <c r="O13" s="468" t="s">
        <v>52</v>
      </c>
      <c r="P13" s="469" t="e">
        <f t="shared" si="1"/>
        <v>#N/A</v>
      </c>
    </row>
    <row r="14" spans="1:17" ht="26.45" customHeight="1" thickBot="1" x14ac:dyDescent="0.4">
      <c r="A14" s="734"/>
      <c r="B14" s="734"/>
      <c r="D14" s="448" t="s">
        <v>10</v>
      </c>
      <c r="E14" s="454">
        <f>IFERROR(E13/$B$8,0)</f>
        <v>0</v>
      </c>
      <c r="F14" s="455">
        <f>IFERROR(F13/$B$8,0)</f>
        <v>0</v>
      </c>
      <c r="G14" s="454">
        <f>IFERROR(G13/$B$8,0)</f>
        <v>0</v>
      </c>
      <c r="H14" s="456">
        <f>IFERROR(H13/$B$8,0)</f>
        <v>0</v>
      </c>
      <c r="I14" s="449">
        <f>IFERROR(I13/$B$8,0)</f>
        <v>0</v>
      </c>
      <c r="J14" s="345"/>
      <c r="K14" s="470" t="s">
        <v>42</v>
      </c>
      <c r="L14" s="471"/>
      <c r="M14" s="472" t="e">
        <f>IF(OR(L14=0, L14=""), NA(), L14/$B$7)</f>
        <v>#N/A</v>
      </c>
      <c r="N14" s="473"/>
      <c r="O14" s="474" t="s">
        <v>54</v>
      </c>
      <c r="P14" s="475" t="e">
        <f>IF(L14&lt;&gt;0,L14-L13,NA())</f>
        <v>#N/A</v>
      </c>
      <c r="Q14" s="287"/>
    </row>
    <row r="15" spans="1:17" ht="18" customHeight="1" thickBot="1" x14ac:dyDescent="0.25">
      <c r="A15" s="734"/>
      <c r="B15" s="734"/>
      <c r="C15" s="1"/>
      <c r="D15" s="1"/>
      <c r="I15" s="241"/>
      <c r="J15" s="345"/>
      <c r="K15" s="476" t="s">
        <v>43</v>
      </c>
      <c r="L15" s="477"/>
      <c r="M15" s="478" t="e">
        <f>IF(OR(L15=0, L15=""), NA(), L15/$B$7)</f>
        <v>#N/A</v>
      </c>
      <c r="N15" s="460"/>
      <c r="O15" s="479" t="s">
        <v>55</v>
      </c>
      <c r="P15" s="480" t="e">
        <f>IF(L15&lt;&gt;0,L15-L14,NA())</f>
        <v>#N/A</v>
      </c>
      <c r="Q15" s="287"/>
    </row>
    <row r="16" spans="1:17" ht="12.75" customHeight="1" x14ac:dyDescent="0.2">
      <c r="A16" s="738" t="s">
        <v>66</v>
      </c>
      <c r="B16" s="738"/>
      <c r="J16" s="345"/>
      <c r="K16" s="241"/>
      <c r="L16" s="241"/>
      <c r="M16" s="241"/>
      <c r="P16" s="241"/>
    </row>
    <row r="17" spans="1:10" ht="18" customHeight="1" x14ac:dyDescent="0.25">
      <c r="A17" s="738"/>
      <c r="B17" s="738"/>
      <c r="E17" s="184"/>
      <c r="F17" s="184"/>
      <c r="J17" s="345"/>
    </row>
    <row r="18" spans="1:10" ht="26.25" customHeight="1" x14ac:dyDescent="0.2">
      <c r="A18" s="738"/>
      <c r="B18" s="738"/>
      <c r="D18" s="334" t="s">
        <v>63</v>
      </c>
      <c r="J18" s="345"/>
    </row>
    <row r="19" spans="1:10" ht="18.75" customHeight="1" x14ac:dyDescent="0.2">
      <c r="A19" s="738"/>
      <c r="B19" s="738"/>
      <c r="D19" s="335">
        <f>IF((ROW()-23)&lt;=$E$25,(ROW()-23),"Choisir")</f>
        <v>-4</v>
      </c>
      <c r="J19" s="345"/>
    </row>
    <row r="20" spans="1:10" x14ac:dyDescent="0.2">
      <c r="D20" s="335">
        <f>IF((ROW()-23)&lt;=$E$25,(ROW()-23),"Choisir")</f>
        <v>-3</v>
      </c>
      <c r="J20" s="345"/>
    </row>
    <row r="21" spans="1:10" x14ac:dyDescent="0.2">
      <c r="D21" s="335">
        <f>IF((ROW()-23)&lt;=$E$25,(ROW()-23),"Choisir")</f>
        <v>-2</v>
      </c>
      <c r="J21" s="345"/>
    </row>
    <row r="22" spans="1:10" x14ac:dyDescent="0.2">
      <c r="D22" s="335">
        <f>IF((ROW()-23)&lt;=$E$25,(ROW()-23),"Choisir")</f>
        <v>-1</v>
      </c>
      <c r="J22" s="345"/>
    </row>
    <row r="23" spans="1:10" x14ac:dyDescent="0.2">
      <c r="J23" s="345"/>
    </row>
    <row r="24" spans="1:10" x14ac:dyDescent="0.2">
      <c r="D24" s="198">
        <f>CEILING($B$7, 100)/100</f>
        <v>2</v>
      </c>
      <c r="E24" s="316">
        <f>CEILING($B$8,100)/100</f>
        <v>0</v>
      </c>
      <c r="F24" s="316"/>
      <c r="J24" s="345"/>
    </row>
    <row r="25" spans="1:10" x14ac:dyDescent="0.2">
      <c r="D25" s="198">
        <f>MOD($B$8,100)</f>
        <v>0</v>
      </c>
      <c r="E25" s="199">
        <f>CEILING($B$7/300,1)</f>
        <v>1</v>
      </c>
      <c r="F25" s="199"/>
      <c r="J25" s="345"/>
    </row>
    <row r="26" spans="1:10" x14ac:dyDescent="0.2">
      <c r="J26" s="345"/>
    </row>
    <row r="27" spans="1:10" x14ac:dyDescent="0.2">
      <c r="J27" s="345"/>
    </row>
    <row r="28" spans="1:10" x14ac:dyDescent="0.2">
      <c r="J28" s="345"/>
    </row>
    <row r="29" spans="1:10" x14ac:dyDescent="0.2">
      <c r="J29" s="345"/>
    </row>
    <row r="30" spans="1:10" x14ac:dyDescent="0.2">
      <c r="J30" s="345"/>
    </row>
    <row r="31" spans="1:10" x14ac:dyDescent="0.2">
      <c r="J31" s="345"/>
    </row>
    <row r="32" spans="1:10" x14ac:dyDescent="0.2">
      <c r="J32" s="345"/>
    </row>
    <row r="33" spans="1:10" x14ac:dyDescent="0.2">
      <c r="J33" s="345"/>
    </row>
    <row r="34" spans="1:10" x14ac:dyDescent="0.2">
      <c r="J34" s="345"/>
    </row>
    <row r="35" spans="1:10" x14ac:dyDescent="0.2">
      <c r="J35" s="345"/>
    </row>
    <row r="36" spans="1:10" x14ac:dyDescent="0.2">
      <c r="J36" s="345"/>
    </row>
    <row r="37" spans="1:10" x14ac:dyDescent="0.2">
      <c r="J37" s="345"/>
    </row>
    <row r="38" spans="1:10" x14ac:dyDescent="0.2">
      <c r="J38" s="345"/>
    </row>
    <row r="39" spans="1:10" x14ac:dyDescent="0.2">
      <c r="J39" s="345"/>
    </row>
    <row r="40" spans="1:10" x14ac:dyDescent="0.2">
      <c r="J40" s="345"/>
    </row>
    <row r="41" spans="1:10" x14ac:dyDescent="0.2">
      <c r="J41" s="345"/>
    </row>
    <row r="42" spans="1:10" x14ac:dyDescent="0.2">
      <c r="J42" s="345"/>
    </row>
    <row r="43" spans="1:10" ht="13.5" thickBot="1" x14ac:dyDescent="0.25">
      <c r="A43" s="344"/>
      <c r="B43" s="344"/>
      <c r="C43" s="344"/>
      <c r="D43" s="344"/>
      <c r="E43" s="344"/>
      <c r="F43" s="344"/>
      <c r="G43" s="344"/>
      <c r="H43" s="344"/>
      <c r="I43" s="344"/>
      <c r="J43" s="347"/>
    </row>
    <row r="44" spans="1:10" ht="13.5" thickTop="1" x14ac:dyDescent="0.2">
      <c r="J44" s="345"/>
    </row>
    <row r="45" spans="1:10" x14ac:dyDescent="0.2">
      <c r="J45" s="345"/>
    </row>
    <row r="46" spans="1:10" x14ac:dyDescent="0.2">
      <c r="E46" s="125"/>
      <c r="F46" s="125"/>
      <c r="J46" s="345"/>
    </row>
    <row r="47" spans="1:10" ht="13.5" thickBot="1" x14ac:dyDescent="0.25">
      <c r="E47" s="125"/>
      <c r="F47" s="125"/>
      <c r="J47" s="345"/>
    </row>
    <row r="48" spans="1:10" ht="20.100000000000001" customHeight="1" thickBot="1" x14ac:dyDescent="0.25">
      <c r="D48" s="188" t="s">
        <v>76</v>
      </c>
      <c r="E48" s="726" t="s">
        <v>115</v>
      </c>
      <c r="F48" s="727"/>
      <c r="G48" s="727"/>
      <c r="H48" s="728"/>
      <c r="I48" s="293" t="s">
        <v>7</v>
      </c>
      <c r="J48" s="345"/>
    </row>
    <row r="49" spans="3:10" ht="47.25" customHeight="1" thickBot="1" x14ac:dyDescent="0.25">
      <c r="C49" s="186"/>
      <c r="D49" s="271" t="s">
        <v>79</v>
      </c>
      <c r="E49" s="641" t="str">
        <f>E2</f>
        <v>M. Pierre-Yves 
TIERCE</v>
      </c>
      <c r="F49" s="596" t="str">
        <f t="shared" ref="F49" si="3">F2</f>
        <v>Mme Isabelle 
FARNET RISSO</v>
      </c>
      <c r="G49" s="306" t="s">
        <v>3</v>
      </c>
      <c r="H49" s="307" t="s">
        <v>4</v>
      </c>
      <c r="I49" s="295" t="s">
        <v>101</v>
      </c>
      <c r="J49" s="345"/>
    </row>
    <row r="50" spans="3:10" ht="19.5" customHeight="1" x14ac:dyDescent="0.2">
      <c r="C50" s="187"/>
      <c r="D50" s="270" t="s">
        <v>78</v>
      </c>
      <c r="E50" s="233"/>
      <c r="F50" s="233"/>
      <c r="G50" s="236"/>
      <c r="H50" s="235"/>
      <c r="I50" s="294">
        <f t="shared" ref="I50:I59" si="4">SUM(E50:H50)</f>
        <v>0</v>
      </c>
      <c r="J50" s="345"/>
    </row>
    <row r="51" spans="3:10" ht="20.100000000000001" customHeight="1" x14ac:dyDescent="0.2">
      <c r="C51" s="187"/>
      <c r="D51" s="270" t="s">
        <v>78</v>
      </c>
      <c r="E51" s="233"/>
      <c r="F51" s="233"/>
      <c r="G51" s="236"/>
      <c r="H51" s="235"/>
      <c r="I51" s="294">
        <f t="shared" si="4"/>
        <v>0</v>
      </c>
      <c r="J51" s="345"/>
    </row>
    <row r="52" spans="3:10" ht="20.100000000000001" customHeight="1" x14ac:dyDescent="0.2">
      <c r="C52" s="187"/>
      <c r="D52" s="270" t="s">
        <v>78</v>
      </c>
      <c r="E52" s="233"/>
      <c r="F52" s="233"/>
      <c r="G52" s="236"/>
      <c r="H52" s="235"/>
      <c r="I52" s="294">
        <f t="shared" si="4"/>
        <v>0</v>
      </c>
      <c r="J52" s="345"/>
    </row>
    <row r="53" spans="3:10" ht="20.100000000000001" customHeight="1" x14ac:dyDescent="0.2">
      <c r="C53" s="187"/>
      <c r="D53" s="270" t="s">
        <v>78</v>
      </c>
      <c r="E53" s="233"/>
      <c r="F53" s="233"/>
      <c r="G53" s="236"/>
      <c r="H53" s="235"/>
      <c r="I53" s="294">
        <f t="shared" si="4"/>
        <v>0</v>
      </c>
      <c r="J53" s="345"/>
    </row>
    <row r="54" spans="3:10" ht="20.100000000000001" customHeight="1" x14ac:dyDescent="0.2">
      <c r="C54" s="187"/>
      <c r="D54" s="270" t="s">
        <v>78</v>
      </c>
      <c r="E54" s="233"/>
      <c r="F54" s="233"/>
      <c r="G54" s="236"/>
      <c r="H54" s="235"/>
      <c r="I54" s="294">
        <f t="shared" si="4"/>
        <v>0</v>
      </c>
      <c r="J54" s="345"/>
    </row>
    <row r="55" spans="3:10" ht="20.100000000000001" customHeight="1" x14ac:dyDescent="0.2">
      <c r="C55" s="187"/>
      <c r="D55" s="270" t="s">
        <v>78</v>
      </c>
      <c r="E55" s="233"/>
      <c r="F55" s="233"/>
      <c r="G55" s="236"/>
      <c r="H55" s="235"/>
      <c r="I55" s="294">
        <f t="shared" si="4"/>
        <v>0</v>
      </c>
      <c r="J55" s="345"/>
    </row>
    <row r="56" spans="3:10" ht="20.100000000000001" customHeight="1" x14ac:dyDescent="0.2">
      <c r="C56" s="187"/>
      <c r="D56" s="270" t="s">
        <v>78</v>
      </c>
      <c r="E56" s="233"/>
      <c r="F56" s="233"/>
      <c r="G56" s="236"/>
      <c r="H56" s="235"/>
      <c r="I56" s="294">
        <f t="shared" si="4"/>
        <v>0</v>
      </c>
      <c r="J56" s="345"/>
    </row>
    <row r="57" spans="3:10" ht="20.100000000000001" customHeight="1" x14ac:dyDescent="0.2">
      <c r="C57" s="187"/>
      <c r="D57" s="270" t="s">
        <v>78</v>
      </c>
      <c r="E57" s="233"/>
      <c r="F57" s="233"/>
      <c r="G57" s="236"/>
      <c r="H57" s="235"/>
      <c r="I57" s="294">
        <f t="shared" si="4"/>
        <v>0</v>
      </c>
      <c r="J57" s="345"/>
    </row>
    <row r="58" spans="3:10" ht="20.100000000000001" customHeight="1" x14ac:dyDescent="0.2">
      <c r="C58" s="187"/>
      <c r="D58" s="270" t="s">
        <v>78</v>
      </c>
      <c r="E58" s="233"/>
      <c r="F58" s="233"/>
      <c r="G58" s="236"/>
      <c r="H58" s="235"/>
      <c r="I58" s="294">
        <f t="shared" si="4"/>
        <v>0</v>
      </c>
      <c r="J58" s="345"/>
    </row>
    <row r="59" spans="3:10" ht="20.100000000000001" customHeight="1" thickBot="1" x14ac:dyDescent="0.25">
      <c r="C59" s="187"/>
      <c r="D59" s="274" t="s">
        <v>78</v>
      </c>
      <c r="E59" s="275"/>
      <c r="F59" s="275"/>
      <c r="G59" s="278"/>
      <c r="H59" s="277"/>
      <c r="I59" s="294">
        <f t="shared" si="4"/>
        <v>0</v>
      </c>
      <c r="J59" s="345"/>
    </row>
    <row r="60" spans="3:10" x14ac:dyDescent="0.2">
      <c r="I60" s="241"/>
      <c r="J60" s="345"/>
    </row>
    <row r="61" spans="3:10" x14ac:dyDescent="0.2">
      <c r="J61" s="345"/>
    </row>
    <row r="62" spans="3:10" x14ac:dyDescent="0.2">
      <c r="J62" s="345"/>
    </row>
    <row r="63" spans="3:10" ht="18" x14ac:dyDescent="0.25">
      <c r="E63" s="184"/>
      <c r="F63" s="184"/>
      <c r="J63" s="345"/>
    </row>
    <row r="64" spans="3:10" x14ac:dyDescent="0.2">
      <c r="J64" s="345"/>
    </row>
    <row r="65" spans="4:10" ht="13.5" thickBot="1" x14ac:dyDescent="0.25">
      <c r="J65" s="345"/>
    </row>
    <row r="66" spans="4:10" ht="16.5" customHeight="1" thickBot="1" x14ac:dyDescent="0.25">
      <c r="D66" s="188" t="s">
        <v>77</v>
      </c>
      <c r="E66" s="726" t="s">
        <v>116</v>
      </c>
      <c r="F66" s="727"/>
      <c r="G66" s="727"/>
      <c r="H66" s="728"/>
      <c r="I66" s="293" t="s">
        <v>7</v>
      </c>
      <c r="J66" s="345"/>
    </row>
    <row r="67" spans="4:10" ht="42" customHeight="1" thickBot="1" x14ac:dyDescent="0.25">
      <c r="D67" s="271" t="s">
        <v>79</v>
      </c>
      <c r="E67" s="641" t="str">
        <f>E2</f>
        <v>M. Pierre-Yves 
TIERCE</v>
      </c>
      <c r="F67" s="596" t="str">
        <f t="shared" ref="F67" si="5">F2</f>
        <v>Mme Isabelle 
FARNET RISSO</v>
      </c>
      <c r="G67" s="306" t="s">
        <v>3</v>
      </c>
      <c r="H67" s="307" t="s">
        <v>4</v>
      </c>
      <c r="I67" s="300" t="s">
        <v>101</v>
      </c>
      <c r="J67" s="345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7">
        <f>SUM(E68:H68)</f>
        <v>0</v>
      </c>
      <c r="J68" s="345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31">
        <f>SUM(E69:H69)</f>
        <v>0</v>
      </c>
      <c r="J69" s="345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31">
        <f>SUM(E70:H70)</f>
        <v>0</v>
      </c>
      <c r="J70" s="345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31">
        <f>SUM(E71:H71)</f>
        <v>0</v>
      </c>
      <c r="J71" s="345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8">
        <f>SUM(E72:H72)</f>
        <v>0</v>
      </c>
      <c r="J72" s="345"/>
    </row>
    <row r="73" spans="4:10" ht="20.100000000000001" customHeight="1" x14ac:dyDescent="0.2">
      <c r="D73" s="189"/>
      <c r="E73" s="187"/>
      <c r="F73" s="187"/>
      <c r="G73" s="187"/>
      <c r="H73" s="187"/>
      <c r="J73" s="345"/>
    </row>
    <row r="74" spans="4:10" ht="20.100000000000001" customHeight="1" x14ac:dyDescent="0.2">
      <c r="D74" s="189"/>
      <c r="E74" s="187"/>
      <c r="F74" s="187"/>
      <c r="G74" s="187"/>
      <c r="H74" s="187"/>
      <c r="J74" s="345"/>
    </row>
    <row r="75" spans="4:10" ht="20.100000000000001" customHeight="1" thickBot="1" x14ac:dyDescent="0.25">
      <c r="D75" s="189"/>
      <c r="E75" s="187"/>
      <c r="F75" s="187"/>
      <c r="G75" s="187"/>
      <c r="H75" s="187"/>
      <c r="J75" s="345"/>
    </row>
    <row r="76" spans="4:10" ht="20.100000000000001" customHeight="1" thickBot="1" x14ac:dyDescent="0.25">
      <c r="D76" s="188" t="s">
        <v>81</v>
      </c>
      <c r="E76" s="726" t="s">
        <v>117</v>
      </c>
      <c r="F76" s="727"/>
      <c r="G76" s="727"/>
      <c r="H76" s="728"/>
      <c r="I76" s="299" t="s">
        <v>7</v>
      </c>
      <c r="J76" s="345"/>
    </row>
    <row r="77" spans="4:10" ht="39.75" customHeight="1" thickBot="1" x14ac:dyDescent="0.25">
      <c r="D77" s="271" t="s">
        <v>79</v>
      </c>
      <c r="E77" s="641" t="str">
        <f>E2</f>
        <v>M. Pierre-Yves 
TIERCE</v>
      </c>
      <c r="F77" s="596" t="str">
        <f t="shared" ref="F77" si="6">F2</f>
        <v>Mme Isabelle 
FARNET RISSO</v>
      </c>
      <c r="G77" s="306" t="s">
        <v>3</v>
      </c>
      <c r="H77" s="307" t="s">
        <v>4</v>
      </c>
      <c r="I77" s="296" t="s">
        <v>101</v>
      </c>
      <c r="J77" s="345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7">
        <f>SUM(E78:H78)</f>
        <v>0</v>
      </c>
      <c r="J78" s="345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31">
        <f>SUM(E79:H79)</f>
        <v>0</v>
      </c>
      <c r="J79" s="345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8">
        <f>SUM(E80:H80)</f>
        <v>0</v>
      </c>
      <c r="J80" s="345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45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45"/>
    </row>
  </sheetData>
  <sheetProtection algorithmName="SHA-512" hashValue="HdRkh65YBkObLjEv6iOdbhC0dcKcCnFrQSnvGK7Q+aiM1LrFDor832zFOzDiMtxC6kaFU8hTzODCvy8HRvNoYw==" saltValue="5JIuuzJU/sxVapvQkOC69w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397" priority="1" operator="equal">
      <formula>0</formula>
    </cfRule>
    <cfRule type="cellIs" dxfId="396" priority="6" operator="notEqual">
      <formula>$B$8</formula>
    </cfRule>
  </conditionalFormatting>
  <conditionalFormatting sqref="E3:I12">
    <cfRule type="cellIs" dxfId="395" priority="5" operator="notBetween">
      <formula>0</formula>
      <formula>100</formula>
    </cfRule>
  </conditionalFormatting>
  <conditionalFormatting sqref="E3:I14">
    <cfRule type="cellIs" dxfId="394" priority="8" operator="lessThan">
      <formula>0</formula>
    </cfRule>
  </conditionalFormatting>
  <conditionalFormatting sqref="E14:I14">
    <cfRule type="cellIs" dxfId="393" priority="11" operator="greaterThan">
      <formula>1</formula>
    </cfRule>
  </conditionalFormatting>
  <conditionalFormatting sqref="I3:I13">
    <cfRule type="cellIs" dxfId="392" priority="9" operator="equal">
      <formula>0</formula>
    </cfRule>
  </conditionalFormatting>
  <conditionalFormatting sqref="I14">
    <cfRule type="cellIs" dxfId="391" priority="10" operator="equal">
      <formula>1</formula>
    </cfRule>
    <cfRule type="cellIs" dxfId="390" priority="12" operator="lessThan">
      <formula>1</formula>
    </cfRule>
  </conditionalFormatting>
  <conditionalFormatting sqref="M4:M15">
    <cfRule type="cellIs" dxfId="389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388" priority="3">
      <formula>AND(E50&lt;MAX(E$50:E50), NOT(ISBLANK(E50)), NOT(E50=0))</formula>
    </cfRule>
  </conditionalFormatting>
  <conditionalFormatting sqref="E68:H72">
    <cfRule type="expression" dxfId="387" priority="2">
      <formula>AND(E68&lt;MAX(E$68:E68), NOT(ISBLANK(E68)), NOT(E68=0))</formula>
    </cfRule>
  </conditionalFormatting>
  <conditionalFormatting sqref="E78:H80">
    <cfRule type="expression" dxfId="386" priority="13">
      <formula>AND(E78&lt;MAX(E$78:E78), NOT(ISBLANK(E78)), NOT(E78=0))</formula>
    </cfRule>
  </conditionalFormatting>
  <conditionalFormatting sqref="I3:I12">
    <cfRule type="expression" dxfId="385" priority="14">
      <formula>AND($D3=$E$24, I3=$D$25)</formula>
    </cfRule>
    <cfRule type="expression" dxfId="384" priority="15">
      <formula>AND($D3=$E$24, MOD(I3,100)&gt;$D$25)</formula>
    </cfRule>
    <cfRule type="cellIs" dxfId="383" priority="16" operator="equal">
      <formula>100</formula>
    </cfRule>
  </conditionalFormatting>
  <conditionalFormatting sqref="H3:H12 E3:F12">
    <cfRule type="expression" dxfId="382" priority="17">
      <formula>($D3&lt;=$E$24)</formula>
    </cfRule>
  </conditionalFormatting>
  <conditionalFormatting sqref="H3:H12 D3:F12">
    <cfRule type="expression" dxfId="381" priority="18">
      <formula>($D3&gt;$E$24)</formula>
    </cfRule>
  </conditionalFormatting>
  <conditionalFormatting sqref="G3:G12">
    <cfRule type="expression" dxfId="380" priority="19">
      <formula>($D3&lt;=$E$24)</formula>
    </cfRule>
  </conditionalFormatting>
  <conditionalFormatting sqref="G3:G12">
    <cfRule type="expression" dxfId="379" priority="20">
      <formula>($D3&gt;$E$24)</formula>
    </cfRule>
  </conditionalFormatting>
  <conditionalFormatting sqref="I50 I68:I72 I78:I80 I52:I59">
    <cfRule type="cellIs" dxfId="378" priority="21" operator="lessThan">
      <formula>0</formula>
    </cfRule>
    <cfRule type="cellIs" dxfId="377" priority="22" operator="equal">
      <formula>0</formula>
    </cfRule>
    <cfRule type="expression" dxfId="376" priority="23">
      <formula>OR(MOD($I50,100)=0,AND($D50=$E$24,MOD($I50,100)=$D$25))</formula>
    </cfRule>
  </conditionalFormatting>
  <conditionalFormatting sqref="I13">
    <cfRule type="cellIs" dxfId="375" priority="24" operator="equal">
      <formula>$B$8</formula>
    </cfRule>
  </conditionalFormatting>
  <conditionalFormatting sqref="E50:H59 E68:H72 E78:H80">
    <cfRule type="cellIs" dxfId="374" priority="25" operator="notBetween">
      <formula>0</formula>
      <formula>$B$8</formula>
    </cfRule>
    <cfRule type="expression" dxfId="373" priority="26">
      <formula>($D50&lt;=$E$24)</formula>
    </cfRule>
    <cfRule type="expression" dxfId="372" priority="27">
      <formula>($D50&gt;$E$24)</formula>
    </cfRule>
  </conditionalFormatting>
  <conditionalFormatting sqref="I51">
    <cfRule type="cellIs" dxfId="371" priority="28" operator="notBetween">
      <formula>0</formula>
      <formula>$B$8</formula>
    </cfRule>
    <cfRule type="cellIs" dxfId="370" priority="29" operator="equal">
      <formula>0</formula>
    </cfRule>
    <cfRule type="expression" dxfId="369" priority="30">
      <formula>OR(MOD($I51,100)=0,AND($D51=$E$24,MOD($I51,100)=$D$25))</formula>
    </cfRule>
  </conditionalFormatting>
  <conditionalFormatting sqref="L4:L15">
    <cfRule type="expression" dxfId="368" priority="31">
      <formula>AND($L4&lt;$L3, NOT(ISBLANK($L4)))</formula>
    </cfRule>
    <cfRule type="cellIs" dxfId="367" priority="32" operator="greaterThan">
      <formula>$B$7</formula>
    </cfRule>
  </conditionalFormatting>
  <dataValidations count="2">
    <dataValidation type="list" allowBlank="1" showInputMessage="1" showErrorMessage="1" sqref="C50:C59" xr:uid="{5EE96BB0-9775-4326-B00B-807A90F5208B}">
      <formula1>$D$19:$D$21</formula1>
    </dataValidation>
    <dataValidation type="list" allowBlank="1" showInputMessage="1" showErrorMessage="1" sqref="D68:D72 D78:D82 D50:D59" xr:uid="{DB1FEC4D-C105-4ABD-B119-CBC50BAB6822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BA0FB-C14A-401C-8323-3DA414D62242}">
  <sheetPr codeName="Feuil45">
    <tabColor rgb="FFB4A7D6"/>
  </sheetPr>
  <dimension ref="A1:Q82"/>
  <sheetViews>
    <sheetView zoomScale="90" zoomScaleNormal="90" workbookViewId="0">
      <selection activeCell="L4" sqref="L4"/>
    </sheetView>
    <sheetView workbookViewId="1"/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40" t="str">
        <f>Synthèse!$A$17</f>
        <v>Date</v>
      </c>
      <c r="B1" s="753">
        <f>Synthèse!$B$17</f>
        <v>46103</v>
      </c>
      <c r="D1" s="230"/>
      <c r="E1" s="729" t="s">
        <v>118</v>
      </c>
      <c r="F1" s="730"/>
      <c r="G1" s="739"/>
      <c r="H1" s="740"/>
      <c r="I1" s="303" t="s">
        <v>7</v>
      </c>
      <c r="J1" s="345"/>
    </row>
    <row r="2" spans="1:17" ht="45" customHeight="1" thickBot="1" x14ac:dyDescent="0.25">
      <c r="A2" s="441" t="str">
        <f>Synthèse!$A$18</f>
        <v>Election</v>
      </c>
      <c r="B2" s="754" t="str">
        <f>Synthèse!$B$18</f>
        <v>Municipales</v>
      </c>
      <c r="D2" s="445" t="s">
        <v>80</v>
      </c>
      <c r="E2" s="640" t="str">
        <f>Synthèse!L2</f>
        <v>M. Pierre-Yves 
TIERCE</v>
      </c>
      <c r="F2" s="595" t="str">
        <f>Synthèse!M2</f>
        <v>Mme Isabelle 
FARNET RISSO</v>
      </c>
      <c r="G2" s="764" t="s">
        <v>4</v>
      </c>
      <c r="H2" s="765" t="s">
        <v>3</v>
      </c>
      <c r="I2" s="766" t="s">
        <v>102</v>
      </c>
      <c r="J2" s="345"/>
      <c r="K2" s="481" t="s">
        <v>21</v>
      </c>
      <c r="L2" s="482" t="s">
        <v>56</v>
      </c>
      <c r="M2" s="483" t="s">
        <v>30</v>
      </c>
      <c r="N2" s="460"/>
      <c r="O2" s="736" t="s">
        <v>58</v>
      </c>
      <c r="P2" s="736" t="s">
        <v>57</v>
      </c>
    </row>
    <row r="3" spans="1:17" ht="20.100000000000001" customHeight="1" thickBot="1" x14ac:dyDescent="0.25">
      <c r="A3" s="747" t="str">
        <f>Synthèse!$A$19</f>
        <v>Tour</v>
      </c>
      <c r="B3" s="755">
        <f>Synthèse!$B$19</f>
        <v>2</v>
      </c>
      <c r="D3" s="264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1">
        <f t="shared" ref="I3:I13" si="0">SUM(E3:H3)</f>
        <v>0</v>
      </c>
      <c r="J3" s="345"/>
      <c r="K3" s="457" t="s">
        <v>31</v>
      </c>
      <c r="L3" s="458">
        <v>0</v>
      </c>
      <c r="M3" s="459">
        <f>L3/$B$7</f>
        <v>0</v>
      </c>
      <c r="N3" s="460"/>
      <c r="O3" s="737"/>
      <c r="P3" s="737"/>
    </row>
    <row r="4" spans="1:17" ht="20.100000000000001" customHeight="1" thickBot="1" x14ac:dyDescent="0.25">
      <c r="A4" s="748" t="str">
        <f>Synthèse!$A$20</f>
        <v>Ville</v>
      </c>
      <c r="B4" s="756">
        <v>3</v>
      </c>
      <c r="D4" s="265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31">
        <f t="shared" si="0"/>
        <v>0</v>
      </c>
      <c r="J4" s="345"/>
      <c r="K4" s="461" t="s">
        <v>32</v>
      </c>
      <c r="L4" s="462"/>
      <c r="M4" s="463" t="e">
        <f>IF(OR(L4=0, L4=""), NA(), L4/$B$7)</f>
        <v>#N/A</v>
      </c>
      <c r="N4" s="460"/>
      <c r="O4" s="464" t="s">
        <v>44</v>
      </c>
      <c r="P4" s="465" t="e">
        <f t="shared" ref="P4:P13" si="1">IF(L4&lt;&gt;0,L4-L3,NA())</f>
        <v>#N/A</v>
      </c>
    </row>
    <row r="5" spans="1:17" ht="20.100000000000001" customHeight="1" x14ac:dyDescent="0.25">
      <c r="A5" s="442" t="s">
        <v>22</v>
      </c>
      <c r="B5" s="348" t="str">
        <f>INDEX(Synthèse!B:B,B4+2)</f>
        <v>Gymnase B</v>
      </c>
      <c r="D5" s="265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8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31">
        <f t="shared" si="0"/>
        <v>0</v>
      </c>
      <c r="J5" s="346"/>
      <c r="K5" s="461" t="s">
        <v>33</v>
      </c>
      <c r="L5" s="462"/>
      <c r="M5" s="463" t="e">
        <f>IF(OR(L5=0, L5=""), NA(), L5/$B$7)</f>
        <v>#N/A</v>
      </c>
      <c r="N5" s="460"/>
      <c r="O5" s="466" t="s">
        <v>45</v>
      </c>
      <c r="P5" s="467" t="e">
        <f t="shared" si="1"/>
        <v>#N/A</v>
      </c>
    </row>
    <row r="6" spans="1:17" ht="20.100000000000001" customHeight="1" x14ac:dyDescent="0.25">
      <c r="A6" s="443" t="s">
        <v>23</v>
      </c>
      <c r="B6" s="349">
        <f>INDEX(Synthèse!C:C,B4+2)</f>
        <v>713</v>
      </c>
      <c r="D6" s="265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8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31">
        <f t="shared" si="0"/>
        <v>0</v>
      </c>
      <c r="J6" s="346"/>
      <c r="K6" s="461" t="s">
        <v>34</v>
      </c>
      <c r="L6" s="462"/>
      <c r="M6" s="463" t="e">
        <f>IF(OR(L6=0, L6=""), NA(), L6/$B$7)</f>
        <v>#N/A</v>
      </c>
      <c r="N6" s="460"/>
      <c r="O6" s="466" t="s">
        <v>46</v>
      </c>
      <c r="P6" s="467" t="e">
        <f t="shared" si="1"/>
        <v>#N/A</v>
      </c>
    </row>
    <row r="7" spans="1:17" ht="20.100000000000001" customHeight="1" x14ac:dyDescent="0.25">
      <c r="A7" s="443" t="s">
        <v>0</v>
      </c>
      <c r="B7" s="143">
        <v>200</v>
      </c>
      <c r="D7" s="265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31">
        <f t="shared" si="0"/>
        <v>0</v>
      </c>
      <c r="J7" s="346"/>
      <c r="K7" s="461" t="s">
        <v>35</v>
      </c>
      <c r="L7" s="462"/>
      <c r="M7" s="463" t="e">
        <f>IF(OR(L7=0, L7=""), NA(), L7/$B$7)</f>
        <v>#N/A</v>
      </c>
      <c r="N7" s="460"/>
      <c r="O7" s="466" t="s">
        <v>53</v>
      </c>
      <c r="P7" s="467" t="e">
        <f t="shared" si="1"/>
        <v>#N/A</v>
      </c>
    </row>
    <row r="8" spans="1:17" ht="20.100000000000001" customHeight="1" x14ac:dyDescent="0.25">
      <c r="A8" s="443" t="s">
        <v>2</v>
      </c>
      <c r="B8" s="122">
        <f>MAX(L4:L15)</f>
        <v>0</v>
      </c>
      <c r="D8" s="265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31">
        <f t="shared" si="0"/>
        <v>0</v>
      </c>
      <c r="J8" s="346"/>
      <c r="K8" s="461" t="s">
        <v>36</v>
      </c>
      <c r="L8" s="462"/>
      <c r="M8" s="463" t="e">
        <f>IF(OR(L8=0, L8=""), NA(), L8/$B$7)</f>
        <v>#N/A</v>
      </c>
      <c r="N8" s="460"/>
      <c r="O8" s="466" t="s">
        <v>47</v>
      </c>
      <c r="P8" s="467" t="e">
        <f t="shared" si="1"/>
        <v>#N/A</v>
      </c>
    </row>
    <row r="9" spans="1:17" ht="20.100000000000001" customHeight="1" x14ac:dyDescent="0.25">
      <c r="A9" s="443" t="s">
        <v>1</v>
      </c>
      <c r="B9" s="123"/>
      <c r="D9" s="265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31">
        <f t="shared" si="0"/>
        <v>0</v>
      </c>
      <c r="J9" s="346"/>
      <c r="K9" s="461" t="s">
        <v>37</v>
      </c>
      <c r="L9" s="462"/>
      <c r="M9" s="463" t="e">
        <f>IF(OR(L9=0, L9=""), NA(), L9/$B$7)</f>
        <v>#N/A</v>
      </c>
      <c r="N9" s="460"/>
      <c r="O9" s="466" t="s">
        <v>48</v>
      </c>
      <c r="P9" s="467" t="e">
        <f t="shared" si="1"/>
        <v>#N/A</v>
      </c>
    </row>
    <row r="10" spans="1:17" ht="20.100000000000001" customHeight="1" thickBot="1" x14ac:dyDescent="0.3">
      <c r="A10" s="444" t="s">
        <v>17</v>
      </c>
      <c r="B10" s="124">
        <f>B7-B8</f>
        <v>200</v>
      </c>
      <c r="D10" s="265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31">
        <f t="shared" si="0"/>
        <v>0</v>
      </c>
      <c r="J10" s="346"/>
      <c r="K10" s="461" t="s">
        <v>38</v>
      </c>
      <c r="L10" s="462"/>
      <c r="M10" s="463" t="e">
        <f>IF(OR(L10=0, L10=""), NA(), L10/$B$7)</f>
        <v>#N/A</v>
      </c>
      <c r="N10" s="460"/>
      <c r="O10" s="466" t="s">
        <v>49</v>
      </c>
      <c r="P10" s="467" t="e">
        <f t="shared" si="1"/>
        <v>#N/A</v>
      </c>
    </row>
    <row r="11" spans="1:17" ht="20.100000000000001" customHeight="1" x14ac:dyDescent="0.2">
      <c r="A11" s="757" t="s">
        <v>155</v>
      </c>
      <c r="B11" s="757"/>
      <c r="D11" s="265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31">
        <f t="shared" si="0"/>
        <v>0</v>
      </c>
      <c r="J11" s="346"/>
      <c r="K11" s="461" t="s">
        <v>39</v>
      </c>
      <c r="L11" s="462"/>
      <c r="M11" s="463" t="e">
        <f>IF(OR(L11=0, L11=""), NA(), L11/$B$7)</f>
        <v>#N/A</v>
      </c>
      <c r="N11" s="460"/>
      <c r="O11" s="466" t="s">
        <v>50</v>
      </c>
      <c r="P11" s="467" t="e">
        <f t="shared" si="1"/>
        <v>#N/A</v>
      </c>
    </row>
    <row r="12" spans="1:17" ht="20.100000000000001" customHeight="1" thickBot="1" x14ac:dyDescent="0.25">
      <c r="A12" s="758"/>
      <c r="B12" s="758"/>
      <c r="D12" s="266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31">
        <f t="shared" si="0"/>
        <v>0</v>
      </c>
      <c r="J12" s="346"/>
      <c r="K12" s="461" t="s">
        <v>40</v>
      </c>
      <c r="L12" s="462"/>
      <c r="M12" s="463" t="e">
        <f>IF(OR(L12=0, L12=""), NA(), L12/$B$7)</f>
        <v>#N/A</v>
      </c>
      <c r="N12" s="460"/>
      <c r="O12" s="466" t="s">
        <v>51</v>
      </c>
      <c r="P12" s="467" t="e">
        <f t="shared" si="1"/>
        <v>#N/A</v>
      </c>
    </row>
    <row r="13" spans="1:17" ht="24.95" customHeight="1" thickBot="1" x14ac:dyDescent="0.4">
      <c r="A13" s="734" t="s">
        <v>60</v>
      </c>
      <c r="B13" s="734"/>
      <c r="D13" s="446" t="s">
        <v>9</v>
      </c>
      <c r="E13" s="450">
        <f>SUM(E3:E12)</f>
        <v>0</v>
      </c>
      <c r="F13" s="451">
        <f t="shared" ref="F13" si="2">SUM(F3:F12)</f>
        <v>0</v>
      </c>
      <c r="G13" s="452">
        <f>SUM(G3:G12)</f>
        <v>0</v>
      </c>
      <c r="H13" s="453">
        <f>SUM(H3:H12)</f>
        <v>0</v>
      </c>
      <c r="I13" s="447">
        <f t="shared" si="0"/>
        <v>0</v>
      </c>
      <c r="J13" s="346"/>
      <c r="K13" s="461" t="s">
        <v>41</v>
      </c>
      <c r="L13" s="462"/>
      <c r="M13" s="463" t="e">
        <f>IF(OR(L13=0, L13=""), NA(), L13/$B$7)</f>
        <v>#N/A</v>
      </c>
      <c r="N13" s="460"/>
      <c r="O13" s="468" t="s">
        <v>52</v>
      </c>
      <c r="P13" s="469" t="e">
        <f t="shared" si="1"/>
        <v>#N/A</v>
      </c>
    </row>
    <row r="14" spans="1:17" ht="26.45" customHeight="1" thickBot="1" x14ac:dyDescent="0.4">
      <c r="A14" s="734"/>
      <c r="B14" s="734"/>
      <c r="D14" s="448" t="s">
        <v>10</v>
      </c>
      <c r="E14" s="454">
        <f>IFERROR(E13/$B$8,0)</f>
        <v>0</v>
      </c>
      <c r="F14" s="455">
        <f>IFERROR(F13/$B$8,0)</f>
        <v>0</v>
      </c>
      <c r="G14" s="454">
        <f>IFERROR(G13/$B$8,0)</f>
        <v>0</v>
      </c>
      <c r="H14" s="456">
        <f>IFERROR(H13/$B$8,0)</f>
        <v>0</v>
      </c>
      <c r="I14" s="449">
        <f>IFERROR(I13/$B$8,0)</f>
        <v>0</v>
      </c>
      <c r="J14" s="345"/>
      <c r="K14" s="470" t="s">
        <v>42</v>
      </c>
      <c r="L14" s="471"/>
      <c r="M14" s="472" t="e">
        <f>IF(OR(L14=0, L14=""), NA(), L14/$B$7)</f>
        <v>#N/A</v>
      </c>
      <c r="N14" s="473"/>
      <c r="O14" s="474" t="s">
        <v>54</v>
      </c>
      <c r="P14" s="475" t="e">
        <f>IF(L14&lt;&gt;0,L14-L13,NA())</f>
        <v>#N/A</v>
      </c>
      <c r="Q14" s="287"/>
    </row>
    <row r="15" spans="1:17" ht="18" customHeight="1" thickBot="1" x14ac:dyDescent="0.25">
      <c r="A15" s="734"/>
      <c r="B15" s="734"/>
      <c r="C15" s="1"/>
      <c r="D15" s="1"/>
      <c r="I15" s="241"/>
      <c r="J15" s="345"/>
      <c r="K15" s="476" t="s">
        <v>43</v>
      </c>
      <c r="L15" s="477"/>
      <c r="M15" s="478" t="e">
        <f>IF(OR(L15=0, L15=""), NA(), L15/$B$7)</f>
        <v>#N/A</v>
      </c>
      <c r="N15" s="460"/>
      <c r="O15" s="479" t="s">
        <v>55</v>
      </c>
      <c r="P15" s="480" t="e">
        <f>IF(L15&lt;&gt;0,L15-L14,NA())</f>
        <v>#N/A</v>
      </c>
      <c r="Q15" s="287"/>
    </row>
    <row r="16" spans="1:17" ht="12.75" customHeight="1" x14ac:dyDescent="0.2">
      <c r="A16" s="738" t="s">
        <v>66</v>
      </c>
      <c r="B16" s="738"/>
      <c r="J16" s="345"/>
      <c r="K16" s="241"/>
      <c r="L16" s="241"/>
      <c r="M16" s="241"/>
      <c r="P16" s="241"/>
    </row>
    <row r="17" spans="1:10" ht="18" customHeight="1" x14ac:dyDescent="0.25">
      <c r="A17" s="738"/>
      <c r="B17" s="738"/>
      <c r="E17" s="184"/>
      <c r="F17" s="184"/>
      <c r="J17" s="345"/>
    </row>
    <row r="18" spans="1:10" ht="26.25" customHeight="1" x14ac:dyDescent="0.2">
      <c r="A18" s="738"/>
      <c r="B18" s="738"/>
      <c r="D18" s="334" t="s">
        <v>63</v>
      </c>
      <c r="J18" s="345"/>
    </row>
    <row r="19" spans="1:10" ht="18.75" customHeight="1" x14ac:dyDescent="0.2">
      <c r="A19" s="738"/>
      <c r="B19" s="738"/>
      <c r="D19" s="335">
        <f>IF((ROW()-23)&lt;=$E$25,(ROW()-23),"Choisir")</f>
        <v>-4</v>
      </c>
      <c r="J19" s="345"/>
    </row>
    <row r="20" spans="1:10" x14ac:dyDescent="0.2">
      <c r="D20" s="335">
        <f>IF((ROW()-23)&lt;=$E$25,(ROW()-23),"Choisir")</f>
        <v>-3</v>
      </c>
      <c r="J20" s="345"/>
    </row>
    <row r="21" spans="1:10" x14ac:dyDescent="0.2">
      <c r="D21" s="335">
        <f>IF((ROW()-23)&lt;=$E$25,(ROW()-23),"Choisir")</f>
        <v>-2</v>
      </c>
      <c r="J21" s="345"/>
    </row>
    <row r="22" spans="1:10" x14ac:dyDescent="0.2">
      <c r="D22" s="335">
        <f>IF((ROW()-23)&lt;=$E$25,(ROW()-23),"Choisir")</f>
        <v>-1</v>
      </c>
      <c r="J22" s="345"/>
    </row>
    <row r="23" spans="1:10" x14ac:dyDescent="0.2">
      <c r="J23" s="345"/>
    </row>
    <row r="24" spans="1:10" x14ac:dyDescent="0.2">
      <c r="D24" s="198">
        <f>CEILING($B$7, 100)/100</f>
        <v>2</v>
      </c>
      <c r="E24" s="316">
        <f>CEILING($B$8,100)/100</f>
        <v>0</v>
      </c>
      <c r="F24" s="316"/>
      <c r="J24" s="345"/>
    </row>
    <row r="25" spans="1:10" x14ac:dyDescent="0.2">
      <c r="D25" s="198">
        <f>MOD($B$8,100)</f>
        <v>0</v>
      </c>
      <c r="E25" s="199">
        <f>CEILING($B$7/300,1)</f>
        <v>1</v>
      </c>
      <c r="F25" s="199"/>
      <c r="J25" s="345"/>
    </row>
    <row r="26" spans="1:10" x14ac:dyDescent="0.2">
      <c r="J26" s="345"/>
    </row>
    <row r="27" spans="1:10" x14ac:dyDescent="0.2">
      <c r="J27" s="345"/>
    </row>
    <row r="28" spans="1:10" x14ac:dyDescent="0.2">
      <c r="J28" s="345"/>
    </row>
    <row r="29" spans="1:10" x14ac:dyDescent="0.2">
      <c r="J29" s="345"/>
    </row>
    <row r="30" spans="1:10" x14ac:dyDescent="0.2">
      <c r="J30" s="345"/>
    </row>
    <row r="31" spans="1:10" x14ac:dyDescent="0.2">
      <c r="J31" s="345"/>
    </row>
    <row r="32" spans="1:10" x14ac:dyDescent="0.2">
      <c r="J32" s="345"/>
    </row>
    <row r="33" spans="1:10" x14ac:dyDescent="0.2">
      <c r="J33" s="345"/>
    </row>
    <row r="34" spans="1:10" x14ac:dyDescent="0.2">
      <c r="J34" s="345"/>
    </row>
    <row r="35" spans="1:10" x14ac:dyDescent="0.2">
      <c r="J35" s="345"/>
    </row>
    <row r="36" spans="1:10" x14ac:dyDescent="0.2">
      <c r="J36" s="345"/>
    </row>
    <row r="37" spans="1:10" x14ac:dyDescent="0.2">
      <c r="J37" s="345"/>
    </row>
    <row r="38" spans="1:10" x14ac:dyDescent="0.2">
      <c r="J38" s="345"/>
    </row>
    <row r="39" spans="1:10" x14ac:dyDescent="0.2">
      <c r="J39" s="345"/>
    </row>
    <row r="40" spans="1:10" x14ac:dyDescent="0.2">
      <c r="J40" s="345"/>
    </row>
    <row r="41" spans="1:10" x14ac:dyDescent="0.2">
      <c r="J41" s="345"/>
    </row>
    <row r="42" spans="1:10" x14ac:dyDescent="0.2">
      <c r="J42" s="345"/>
    </row>
    <row r="43" spans="1:10" ht="13.5" thickBot="1" x14ac:dyDescent="0.25">
      <c r="A43" s="344"/>
      <c r="B43" s="344"/>
      <c r="C43" s="344"/>
      <c r="D43" s="344"/>
      <c r="E43" s="344"/>
      <c r="F43" s="344"/>
      <c r="G43" s="344"/>
      <c r="H43" s="344"/>
      <c r="I43" s="344"/>
      <c r="J43" s="347"/>
    </row>
    <row r="44" spans="1:10" ht="13.5" thickTop="1" x14ac:dyDescent="0.2">
      <c r="J44" s="345"/>
    </row>
    <row r="45" spans="1:10" x14ac:dyDescent="0.2">
      <c r="J45" s="345"/>
    </row>
    <row r="46" spans="1:10" x14ac:dyDescent="0.2">
      <c r="E46" s="125"/>
      <c r="F46" s="125"/>
      <c r="J46" s="345"/>
    </row>
    <row r="47" spans="1:10" ht="13.5" thickBot="1" x14ac:dyDescent="0.25">
      <c r="E47" s="125"/>
      <c r="F47" s="125"/>
      <c r="J47" s="345"/>
    </row>
    <row r="48" spans="1:10" ht="20.100000000000001" customHeight="1" thickBot="1" x14ac:dyDescent="0.25">
      <c r="D48" s="188" t="s">
        <v>76</v>
      </c>
      <c r="E48" s="726" t="s">
        <v>115</v>
      </c>
      <c r="F48" s="727"/>
      <c r="G48" s="727"/>
      <c r="H48" s="728"/>
      <c r="I48" s="293" t="s">
        <v>7</v>
      </c>
      <c r="J48" s="345"/>
    </row>
    <row r="49" spans="3:10" ht="47.25" customHeight="1" thickBot="1" x14ac:dyDescent="0.25">
      <c r="C49" s="186"/>
      <c r="D49" s="271" t="s">
        <v>79</v>
      </c>
      <c r="E49" s="641" t="str">
        <f>E2</f>
        <v>M. Pierre-Yves 
TIERCE</v>
      </c>
      <c r="F49" s="596" t="str">
        <f t="shared" ref="F49" si="3">F2</f>
        <v>Mme Isabelle 
FARNET RISSO</v>
      </c>
      <c r="G49" s="306" t="s">
        <v>3</v>
      </c>
      <c r="H49" s="307" t="s">
        <v>4</v>
      </c>
      <c r="I49" s="295" t="s">
        <v>101</v>
      </c>
      <c r="J49" s="345"/>
    </row>
    <row r="50" spans="3:10" ht="19.5" customHeight="1" x14ac:dyDescent="0.2">
      <c r="C50" s="187"/>
      <c r="D50" s="270" t="s">
        <v>78</v>
      </c>
      <c r="E50" s="233"/>
      <c r="F50" s="233"/>
      <c r="G50" s="236"/>
      <c r="H50" s="235"/>
      <c r="I50" s="294">
        <f t="shared" ref="I50:I59" si="4">SUM(E50:H50)</f>
        <v>0</v>
      </c>
      <c r="J50" s="345"/>
    </row>
    <row r="51" spans="3:10" ht="20.100000000000001" customHeight="1" x14ac:dyDescent="0.2">
      <c r="C51" s="187"/>
      <c r="D51" s="270" t="s">
        <v>78</v>
      </c>
      <c r="E51" s="233"/>
      <c r="F51" s="233"/>
      <c r="G51" s="236"/>
      <c r="H51" s="235"/>
      <c r="I51" s="294">
        <f t="shared" si="4"/>
        <v>0</v>
      </c>
      <c r="J51" s="345"/>
    </row>
    <row r="52" spans="3:10" ht="20.100000000000001" customHeight="1" x14ac:dyDescent="0.2">
      <c r="C52" s="187"/>
      <c r="D52" s="270" t="s">
        <v>78</v>
      </c>
      <c r="E52" s="233"/>
      <c r="F52" s="233"/>
      <c r="G52" s="236"/>
      <c r="H52" s="235"/>
      <c r="I52" s="294">
        <f t="shared" si="4"/>
        <v>0</v>
      </c>
      <c r="J52" s="345"/>
    </row>
    <row r="53" spans="3:10" ht="20.100000000000001" customHeight="1" x14ac:dyDescent="0.2">
      <c r="C53" s="187"/>
      <c r="D53" s="270" t="s">
        <v>78</v>
      </c>
      <c r="E53" s="233"/>
      <c r="F53" s="233"/>
      <c r="G53" s="236"/>
      <c r="H53" s="235"/>
      <c r="I53" s="294">
        <f t="shared" si="4"/>
        <v>0</v>
      </c>
      <c r="J53" s="345"/>
    </row>
    <row r="54" spans="3:10" ht="20.100000000000001" customHeight="1" x14ac:dyDescent="0.2">
      <c r="C54" s="187"/>
      <c r="D54" s="270" t="s">
        <v>78</v>
      </c>
      <c r="E54" s="233"/>
      <c r="F54" s="233"/>
      <c r="G54" s="236"/>
      <c r="H54" s="235"/>
      <c r="I54" s="294">
        <f t="shared" si="4"/>
        <v>0</v>
      </c>
      <c r="J54" s="345"/>
    </row>
    <row r="55" spans="3:10" ht="20.100000000000001" customHeight="1" x14ac:dyDescent="0.2">
      <c r="C55" s="187"/>
      <c r="D55" s="270" t="s">
        <v>78</v>
      </c>
      <c r="E55" s="233"/>
      <c r="F55" s="233"/>
      <c r="G55" s="236"/>
      <c r="H55" s="235"/>
      <c r="I55" s="294">
        <f t="shared" si="4"/>
        <v>0</v>
      </c>
      <c r="J55" s="345"/>
    </row>
    <row r="56" spans="3:10" ht="20.100000000000001" customHeight="1" x14ac:dyDescent="0.2">
      <c r="C56" s="187"/>
      <c r="D56" s="270" t="s">
        <v>78</v>
      </c>
      <c r="E56" s="233"/>
      <c r="F56" s="233"/>
      <c r="G56" s="236"/>
      <c r="H56" s="235"/>
      <c r="I56" s="294">
        <f t="shared" si="4"/>
        <v>0</v>
      </c>
      <c r="J56" s="345"/>
    </row>
    <row r="57" spans="3:10" ht="20.100000000000001" customHeight="1" x14ac:dyDescent="0.2">
      <c r="C57" s="187"/>
      <c r="D57" s="270" t="s">
        <v>78</v>
      </c>
      <c r="E57" s="233"/>
      <c r="F57" s="233"/>
      <c r="G57" s="236"/>
      <c r="H57" s="235"/>
      <c r="I57" s="294">
        <f t="shared" si="4"/>
        <v>0</v>
      </c>
      <c r="J57" s="345"/>
    </row>
    <row r="58" spans="3:10" ht="20.100000000000001" customHeight="1" x14ac:dyDescent="0.2">
      <c r="C58" s="187"/>
      <c r="D58" s="270" t="s">
        <v>78</v>
      </c>
      <c r="E58" s="233"/>
      <c r="F58" s="233"/>
      <c r="G58" s="236"/>
      <c r="H58" s="235"/>
      <c r="I58" s="294">
        <f t="shared" si="4"/>
        <v>0</v>
      </c>
      <c r="J58" s="345"/>
    </row>
    <row r="59" spans="3:10" ht="20.100000000000001" customHeight="1" thickBot="1" x14ac:dyDescent="0.25">
      <c r="C59" s="187"/>
      <c r="D59" s="274" t="s">
        <v>78</v>
      </c>
      <c r="E59" s="275"/>
      <c r="F59" s="275"/>
      <c r="G59" s="278"/>
      <c r="H59" s="277"/>
      <c r="I59" s="294">
        <f t="shared" si="4"/>
        <v>0</v>
      </c>
      <c r="J59" s="345"/>
    </row>
    <row r="60" spans="3:10" x14ac:dyDescent="0.2">
      <c r="I60" s="241"/>
      <c r="J60" s="345"/>
    </row>
    <row r="61" spans="3:10" x14ac:dyDescent="0.2">
      <c r="J61" s="345"/>
    </row>
    <row r="62" spans="3:10" x14ac:dyDescent="0.2">
      <c r="J62" s="345"/>
    </row>
    <row r="63" spans="3:10" ht="18" x14ac:dyDescent="0.25">
      <c r="E63" s="184"/>
      <c r="F63" s="184"/>
      <c r="J63" s="345"/>
    </row>
    <row r="64" spans="3:10" x14ac:dyDescent="0.2">
      <c r="J64" s="345"/>
    </row>
    <row r="65" spans="4:10" ht="13.5" thickBot="1" x14ac:dyDescent="0.25">
      <c r="J65" s="345"/>
    </row>
    <row r="66" spans="4:10" ht="16.5" customHeight="1" thickBot="1" x14ac:dyDescent="0.25">
      <c r="D66" s="188" t="s">
        <v>77</v>
      </c>
      <c r="E66" s="726" t="s">
        <v>116</v>
      </c>
      <c r="F66" s="727"/>
      <c r="G66" s="727"/>
      <c r="H66" s="728"/>
      <c r="I66" s="293" t="s">
        <v>7</v>
      </c>
      <c r="J66" s="345"/>
    </row>
    <row r="67" spans="4:10" ht="42" customHeight="1" thickBot="1" x14ac:dyDescent="0.25">
      <c r="D67" s="271" t="s">
        <v>79</v>
      </c>
      <c r="E67" s="641" t="str">
        <f>E2</f>
        <v>M. Pierre-Yves 
TIERCE</v>
      </c>
      <c r="F67" s="596" t="str">
        <f t="shared" ref="F67" si="5">F2</f>
        <v>Mme Isabelle 
FARNET RISSO</v>
      </c>
      <c r="G67" s="306" t="s">
        <v>3</v>
      </c>
      <c r="H67" s="307" t="s">
        <v>4</v>
      </c>
      <c r="I67" s="300" t="s">
        <v>101</v>
      </c>
      <c r="J67" s="345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7">
        <f>SUM(E68:H68)</f>
        <v>0</v>
      </c>
      <c r="J68" s="345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31">
        <f>SUM(E69:H69)</f>
        <v>0</v>
      </c>
      <c r="J69" s="345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31">
        <f>SUM(E70:H70)</f>
        <v>0</v>
      </c>
      <c r="J70" s="345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31">
        <f>SUM(E71:H71)</f>
        <v>0</v>
      </c>
      <c r="J71" s="345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8">
        <f>SUM(E72:H72)</f>
        <v>0</v>
      </c>
      <c r="J72" s="345"/>
    </row>
    <row r="73" spans="4:10" ht="20.100000000000001" customHeight="1" x14ac:dyDescent="0.2">
      <c r="D73" s="189"/>
      <c r="E73" s="187"/>
      <c r="F73" s="187"/>
      <c r="G73" s="187"/>
      <c r="H73" s="187"/>
      <c r="J73" s="345"/>
    </row>
    <row r="74" spans="4:10" ht="20.100000000000001" customHeight="1" x14ac:dyDescent="0.2">
      <c r="D74" s="189"/>
      <c r="E74" s="187"/>
      <c r="F74" s="187"/>
      <c r="G74" s="187"/>
      <c r="H74" s="187"/>
      <c r="J74" s="345"/>
    </row>
    <row r="75" spans="4:10" ht="20.100000000000001" customHeight="1" thickBot="1" x14ac:dyDescent="0.25">
      <c r="D75" s="189"/>
      <c r="E75" s="187"/>
      <c r="F75" s="187"/>
      <c r="G75" s="187"/>
      <c r="H75" s="187"/>
      <c r="J75" s="345"/>
    </row>
    <row r="76" spans="4:10" ht="20.100000000000001" customHeight="1" thickBot="1" x14ac:dyDescent="0.25">
      <c r="D76" s="188" t="s">
        <v>81</v>
      </c>
      <c r="E76" s="726" t="s">
        <v>117</v>
      </c>
      <c r="F76" s="727"/>
      <c r="G76" s="727"/>
      <c r="H76" s="728"/>
      <c r="I76" s="299" t="s">
        <v>7</v>
      </c>
      <c r="J76" s="345"/>
    </row>
    <row r="77" spans="4:10" ht="39.75" customHeight="1" thickBot="1" x14ac:dyDescent="0.25">
      <c r="D77" s="271" t="s">
        <v>79</v>
      </c>
      <c r="E77" s="641" t="str">
        <f>E2</f>
        <v>M. Pierre-Yves 
TIERCE</v>
      </c>
      <c r="F77" s="596" t="str">
        <f t="shared" ref="F77" si="6">F2</f>
        <v>Mme Isabelle 
FARNET RISSO</v>
      </c>
      <c r="G77" s="306" t="s">
        <v>3</v>
      </c>
      <c r="H77" s="307" t="s">
        <v>4</v>
      </c>
      <c r="I77" s="296" t="s">
        <v>101</v>
      </c>
      <c r="J77" s="345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7">
        <f>SUM(E78:H78)</f>
        <v>0</v>
      </c>
      <c r="J78" s="345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31">
        <f>SUM(E79:H79)</f>
        <v>0</v>
      </c>
      <c r="J79" s="345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8">
        <f>SUM(E80:H80)</f>
        <v>0</v>
      </c>
      <c r="J80" s="345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45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45"/>
    </row>
  </sheetData>
  <sheetProtection algorithmName="SHA-512" hashValue="IzEjEcw6lfSI8uNZmJWKkODHjV5/00zjYB30+EjKTWWm/2C2Ula1GT6CRjMAaT2MBbPwBf5rnDYhcuNixjJP6Q==" saltValue="OPtZpcf+g/iPqB5SUAT2Yg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366" priority="1" operator="equal">
      <formula>0</formula>
    </cfRule>
    <cfRule type="cellIs" dxfId="365" priority="6" operator="notEqual">
      <formula>$B$8</formula>
    </cfRule>
  </conditionalFormatting>
  <conditionalFormatting sqref="E3:I12">
    <cfRule type="cellIs" dxfId="364" priority="5" operator="notBetween">
      <formula>0</formula>
      <formula>100</formula>
    </cfRule>
  </conditionalFormatting>
  <conditionalFormatting sqref="E3:I14">
    <cfRule type="cellIs" dxfId="363" priority="8" operator="lessThan">
      <formula>0</formula>
    </cfRule>
  </conditionalFormatting>
  <conditionalFormatting sqref="E14:I14">
    <cfRule type="cellIs" dxfId="362" priority="11" operator="greaterThan">
      <formula>1</formula>
    </cfRule>
  </conditionalFormatting>
  <conditionalFormatting sqref="I3:I13">
    <cfRule type="cellIs" dxfId="361" priority="9" operator="equal">
      <formula>0</formula>
    </cfRule>
  </conditionalFormatting>
  <conditionalFormatting sqref="I14">
    <cfRule type="cellIs" dxfId="360" priority="10" operator="equal">
      <formula>1</formula>
    </cfRule>
    <cfRule type="cellIs" dxfId="359" priority="12" operator="lessThan">
      <formula>1</formula>
    </cfRule>
  </conditionalFormatting>
  <conditionalFormatting sqref="M4:M15">
    <cfRule type="cellIs" dxfId="358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357" priority="3">
      <formula>AND(E50&lt;MAX(E$50:E50), NOT(ISBLANK(E50)), NOT(E50=0))</formula>
    </cfRule>
  </conditionalFormatting>
  <conditionalFormatting sqref="E68:H72">
    <cfRule type="expression" dxfId="356" priority="2">
      <formula>AND(E68&lt;MAX(E$68:E68), NOT(ISBLANK(E68)), NOT(E68=0))</formula>
    </cfRule>
  </conditionalFormatting>
  <conditionalFormatting sqref="E78:H80">
    <cfRule type="expression" dxfId="355" priority="13">
      <formula>AND(E78&lt;MAX(E$78:E78), NOT(ISBLANK(E78)), NOT(E78=0))</formula>
    </cfRule>
  </conditionalFormatting>
  <conditionalFormatting sqref="I3:I12">
    <cfRule type="expression" dxfId="354" priority="14">
      <formula>AND($D3=$E$24, I3=$D$25)</formula>
    </cfRule>
    <cfRule type="expression" dxfId="353" priority="15">
      <formula>AND($D3=$E$24, MOD(I3,100)&gt;$D$25)</formula>
    </cfRule>
    <cfRule type="cellIs" dxfId="352" priority="16" operator="equal">
      <formula>100</formula>
    </cfRule>
  </conditionalFormatting>
  <conditionalFormatting sqref="H3:H12 E3:F12">
    <cfRule type="expression" dxfId="351" priority="17">
      <formula>($D3&lt;=$E$24)</formula>
    </cfRule>
  </conditionalFormatting>
  <conditionalFormatting sqref="H3:H12 D3:F12">
    <cfRule type="expression" dxfId="350" priority="18">
      <formula>($D3&gt;$E$24)</formula>
    </cfRule>
  </conditionalFormatting>
  <conditionalFormatting sqref="G3:G12">
    <cfRule type="expression" dxfId="349" priority="19">
      <formula>($D3&lt;=$E$24)</formula>
    </cfRule>
  </conditionalFormatting>
  <conditionalFormatting sqref="G3:G12">
    <cfRule type="expression" dxfId="348" priority="20">
      <formula>($D3&gt;$E$24)</formula>
    </cfRule>
  </conditionalFormatting>
  <conditionalFormatting sqref="I50 I68:I72 I78:I80 I52:I59">
    <cfRule type="cellIs" dxfId="347" priority="21" operator="lessThan">
      <formula>0</formula>
    </cfRule>
    <cfRule type="cellIs" dxfId="346" priority="22" operator="equal">
      <formula>0</formula>
    </cfRule>
    <cfRule type="expression" dxfId="345" priority="23">
      <formula>OR(MOD($I50,100)=0,AND($D50=$E$24,MOD($I50,100)=$D$25))</formula>
    </cfRule>
  </conditionalFormatting>
  <conditionalFormatting sqref="I13">
    <cfRule type="cellIs" dxfId="344" priority="24" operator="equal">
      <formula>$B$8</formula>
    </cfRule>
  </conditionalFormatting>
  <conditionalFormatting sqref="E50:H59 E68:H72 E78:H80">
    <cfRule type="cellIs" dxfId="343" priority="25" operator="notBetween">
      <formula>0</formula>
      <formula>$B$8</formula>
    </cfRule>
    <cfRule type="expression" dxfId="342" priority="26">
      <formula>($D50&lt;=$E$24)</formula>
    </cfRule>
    <cfRule type="expression" dxfId="341" priority="27">
      <formula>($D50&gt;$E$24)</formula>
    </cfRule>
  </conditionalFormatting>
  <conditionalFormatting sqref="I51">
    <cfRule type="cellIs" dxfId="340" priority="28" operator="notBetween">
      <formula>0</formula>
      <formula>$B$8</formula>
    </cfRule>
    <cfRule type="cellIs" dxfId="339" priority="29" operator="equal">
      <formula>0</formula>
    </cfRule>
    <cfRule type="expression" dxfId="338" priority="30">
      <formula>OR(MOD($I51,100)=0,AND($D51=$E$24,MOD($I51,100)=$D$25))</formula>
    </cfRule>
  </conditionalFormatting>
  <conditionalFormatting sqref="L4:L15">
    <cfRule type="expression" dxfId="337" priority="31">
      <formula>AND($L4&lt;$L3, NOT(ISBLANK($L4)))</formula>
    </cfRule>
    <cfRule type="cellIs" dxfId="336" priority="32" operator="greaterThan">
      <formula>$B$7</formula>
    </cfRule>
  </conditionalFormatting>
  <dataValidations count="2">
    <dataValidation type="list" allowBlank="1" showInputMessage="1" showErrorMessage="1" sqref="C50:C59" xr:uid="{82B653DC-E951-46AD-883D-C5A590711813}">
      <formula1>$D$19:$D$21</formula1>
    </dataValidation>
    <dataValidation type="list" allowBlank="1" showInputMessage="1" showErrorMessage="1" sqref="D68:D72 D78:D82 D50:D59" xr:uid="{21746A59-017B-44FD-A024-0103A8D570AE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75E63-20CF-445D-98B7-E235A053108D}">
  <sheetPr codeName="Feuil46">
    <tabColor rgb="FFB4A7D6"/>
  </sheetPr>
  <dimension ref="A1:Q82"/>
  <sheetViews>
    <sheetView zoomScale="90" zoomScaleNormal="90" workbookViewId="0">
      <selection activeCell="L13" sqref="L13"/>
    </sheetView>
    <sheetView workbookViewId="1"/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40" t="str">
        <f>Synthèse!$A$17</f>
        <v>Date</v>
      </c>
      <c r="B1" s="753">
        <f>Synthèse!$B$17</f>
        <v>46103</v>
      </c>
      <c r="D1" s="230"/>
      <c r="E1" s="729" t="s">
        <v>118</v>
      </c>
      <c r="F1" s="730"/>
      <c r="G1" s="739"/>
      <c r="H1" s="740"/>
      <c r="I1" s="303" t="s">
        <v>7</v>
      </c>
      <c r="J1" s="345"/>
    </row>
    <row r="2" spans="1:17" ht="45" customHeight="1" thickBot="1" x14ac:dyDescent="0.25">
      <c r="A2" s="441" t="str">
        <f>Synthèse!$A$18</f>
        <v>Election</v>
      </c>
      <c r="B2" s="754" t="str">
        <f>Synthèse!$B$18</f>
        <v>Municipales</v>
      </c>
      <c r="D2" s="445" t="s">
        <v>80</v>
      </c>
      <c r="E2" s="640" t="str">
        <f>Synthèse!L2</f>
        <v>M. Pierre-Yves 
TIERCE</v>
      </c>
      <c r="F2" s="595" t="str">
        <f>Synthèse!M2</f>
        <v>Mme Isabelle 
FARNET RISSO</v>
      </c>
      <c r="G2" s="764" t="s">
        <v>4</v>
      </c>
      <c r="H2" s="765" t="s">
        <v>3</v>
      </c>
      <c r="I2" s="766" t="s">
        <v>102</v>
      </c>
      <c r="J2" s="345"/>
      <c r="K2" s="481" t="s">
        <v>21</v>
      </c>
      <c r="L2" s="482" t="s">
        <v>56</v>
      </c>
      <c r="M2" s="483" t="s">
        <v>30</v>
      </c>
      <c r="N2" s="460"/>
      <c r="O2" s="736" t="s">
        <v>58</v>
      </c>
      <c r="P2" s="736" t="s">
        <v>57</v>
      </c>
    </row>
    <row r="3" spans="1:17" ht="20.100000000000001" customHeight="1" thickBot="1" x14ac:dyDescent="0.25">
      <c r="A3" s="747" t="str">
        <f>Synthèse!$A$19</f>
        <v>Tour</v>
      </c>
      <c r="B3" s="755">
        <f>Synthèse!$B$19</f>
        <v>2</v>
      </c>
      <c r="D3" s="264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1">
        <f t="shared" ref="I3:I13" si="0">SUM(E3:H3)</f>
        <v>0</v>
      </c>
      <c r="J3" s="345"/>
      <c r="K3" s="457" t="s">
        <v>31</v>
      </c>
      <c r="L3" s="458">
        <v>0</v>
      </c>
      <c r="M3" s="459">
        <f>L3/$B$7</f>
        <v>0</v>
      </c>
      <c r="N3" s="460"/>
      <c r="O3" s="737"/>
      <c r="P3" s="737"/>
    </row>
    <row r="4" spans="1:17" ht="20.100000000000001" customHeight="1" thickBot="1" x14ac:dyDescent="0.25">
      <c r="A4" s="748" t="str">
        <f>Synthèse!$A$20</f>
        <v>Ville</v>
      </c>
      <c r="B4" s="756">
        <v>4</v>
      </c>
      <c r="D4" s="265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31">
        <f t="shared" si="0"/>
        <v>0</v>
      </c>
      <c r="J4" s="345"/>
      <c r="K4" s="461" t="s">
        <v>32</v>
      </c>
      <c r="L4" s="462"/>
      <c r="M4" s="463" t="e">
        <f>IF(OR(L4=0, L4=""), NA(), L4/$B$7)</f>
        <v>#N/A</v>
      </c>
      <c r="N4" s="460"/>
      <c r="O4" s="464" t="s">
        <v>44</v>
      </c>
      <c r="P4" s="465" t="e">
        <f t="shared" ref="P4:P13" si="1">IF(L4&lt;&gt;0,L4-L3,NA())</f>
        <v>#N/A</v>
      </c>
    </row>
    <row r="5" spans="1:17" ht="20.100000000000001" customHeight="1" x14ac:dyDescent="0.25">
      <c r="A5" s="442" t="s">
        <v>22</v>
      </c>
      <c r="B5" s="348" t="str">
        <f>INDEX(Synthèse!B:B,B4+2)</f>
        <v>Gymnase B</v>
      </c>
      <c r="D5" s="265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8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31">
        <f t="shared" si="0"/>
        <v>0</v>
      </c>
      <c r="J5" s="346"/>
      <c r="K5" s="461" t="s">
        <v>33</v>
      </c>
      <c r="L5" s="462"/>
      <c r="M5" s="463" t="e">
        <f>IF(OR(L5=0, L5=""), NA(), L5/$B$7)</f>
        <v>#N/A</v>
      </c>
      <c r="N5" s="460"/>
      <c r="O5" s="466" t="s">
        <v>45</v>
      </c>
      <c r="P5" s="467" t="e">
        <f t="shared" si="1"/>
        <v>#N/A</v>
      </c>
    </row>
    <row r="6" spans="1:17" ht="20.100000000000001" customHeight="1" x14ac:dyDescent="0.25">
      <c r="A6" s="443" t="s">
        <v>23</v>
      </c>
      <c r="B6" s="349">
        <f>INDEX(Synthèse!C:C,B4+2)</f>
        <v>679</v>
      </c>
      <c r="D6" s="265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8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31">
        <f t="shared" si="0"/>
        <v>0</v>
      </c>
      <c r="J6" s="346"/>
      <c r="K6" s="461" t="s">
        <v>34</v>
      </c>
      <c r="L6" s="462"/>
      <c r="M6" s="463" t="e">
        <f>IF(OR(L6=0, L6=""), NA(), L6/$B$7)</f>
        <v>#N/A</v>
      </c>
      <c r="N6" s="460"/>
      <c r="O6" s="466" t="s">
        <v>46</v>
      </c>
      <c r="P6" s="467" t="e">
        <f t="shared" si="1"/>
        <v>#N/A</v>
      </c>
    </row>
    <row r="7" spans="1:17" ht="20.100000000000001" customHeight="1" x14ac:dyDescent="0.25">
      <c r="A7" s="443" t="s">
        <v>0</v>
      </c>
      <c r="B7" s="143">
        <v>200</v>
      </c>
      <c r="D7" s="265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31">
        <f t="shared" si="0"/>
        <v>0</v>
      </c>
      <c r="J7" s="346"/>
      <c r="K7" s="461" t="s">
        <v>35</v>
      </c>
      <c r="L7" s="462"/>
      <c r="M7" s="463" t="e">
        <f>IF(OR(L7=0, L7=""), NA(), L7/$B$7)</f>
        <v>#N/A</v>
      </c>
      <c r="N7" s="460"/>
      <c r="O7" s="466" t="s">
        <v>53</v>
      </c>
      <c r="P7" s="467" t="e">
        <f t="shared" si="1"/>
        <v>#N/A</v>
      </c>
    </row>
    <row r="8" spans="1:17" ht="20.100000000000001" customHeight="1" x14ac:dyDescent="0.25">
      <c r="A8" s="443" t="s">
        <v>2</v>
      </c>
      <c r="B8" s="122">
        <f>MAX(L4:L15)</f>
        <v>0</v>
      </c>
      <c r="D8" s="265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31">
        <f t="shared" si="0"/>
        <v>0</v>
      </c>
      <c r="J8" s="346"/>
      <c r="K8" s="461" t="s">
        <v>36</v>
      </c>
      <c r="L8" s="462"/>
      <c r="M8" s="463" t="e">
        <f>IF(OR(L8=0, L8=""), NA(), L8/$B$7)</f>
        <v>#N/A</v>
      </c>
      <c r="N8" s="460"/>
      <c r="O8" s="466" t="s">
        <v>47</v>
      </c>
      <c r="P8" s="467" t="e">
        <f t="shared" si="1"/>
        <v>#N/A</v>
      </c>
    </row>
    <row r="9" spans="1:17" ht="20.100000000000001" customHeight="1" x14ac:dyDescent="0.25">
      <c r="A9" s="443" t="s">
        <v>1</v>
      </c>
      <c r="B9" s="123"/>
      <c r="D9" s="265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31">
        <f t="shared" si="0"/>
        <v>0</v>
      </c>
      <c r="J9" s="346"/>
      <c r="K9" s="461" t="s">
        <v>37</v>
      </c>
      <c r="L9" s="462"/>
      <c r="M9" s="463" t="e">
        <f>IF(OR(L9=0, L9=""), NA(), L9/$B$7)</f>
        <v>#N/A</v>
      </c>
      <c r="N9" s="460"/>
      <c r="O9" s="466" t="s">
        <v>48</v>
      </c>
      <c r="P9" s="467" t="e">
        <f t="shared" si="1"/>
        <v>#N/A</v>
      </c>
    </row>
    <row r="10" spans="1:17" ht="20.100000000000001" customHeight="1" thickBot="1" x14ac:dyDescent="0.3">
      <c r="A10" s="444" t="s">
        <v>17</v>
      </c>
      <c r="B10" s="124">
        <f>B7-B8</f>
        <v>200</v>
      </c>
      <c r="D10" s="265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31">
        <f t="shared" si="0"/>
        <v>0</v>
      </c>
      <c r="J10" s="346"/>
      <c r="K10" s="461" t="s">
        <v>38</v>
      </c>
      <c r="L10" s="462"/>
      <c r="M10" s="463" t="e">
        <f>IF(OR(L10=0, L10=""), NA(), L10/$B$7)</f>
        <v>#N/A</v>
      </c>
      <c r="N10" s="460"/>
      <c r="O10" s="466" t="s">
        <v>49</v>
      </c>
      <c r="P10" s="467" t="e">
        <f t="shared" si="1"/>
        <v>#N/A</v>
      </c>
    </row>
    <row r="11" spans="1:17" ht="20.100000000000001" customHeight="1" x14ac:dyDescent="0.2">
      <c r="A11" s="757" t="s">
        <v>155</v>
      </c>
      <c r="B11" s="757"/>
      <c r="D11" s="265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31">
        <f t="shared" si="0"/>
        <v>0</v>
      </c>
      <c r="J11" s="346"/>
      <c r="K11" s="461" t="s">
        <v>39</v>
      </c>
      <c r="L11" s="462"/>
      <c r="M11" s="463" t="e">
        <f>IF(OR(L11=0, L11=""), NA(), L11/$B$7)</f>
        <v>#N/A</v>
      </c>
      <c r="N11" s="460"/>
      <c r="O11" s="466" t="s">
        <v>50</v>
      </c>
      <c r="P11" s="467" t="e">
        <f t="shared" si="1"/>
        <v>#N/A</v>
      </c>
    </row>
    <row r="12" spans="1:17" ht="20.100000000000001" customHeight="1" thickBot="1" x14ac:dyDescent="0.25">
      <c r="A12" s="758"/>
      <c r="B12" s="758"/>
      <c r="D12" s="266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31">
        <f t="shared" si="0"/>
        <v>0</v>
      </c>
      <c r="J12" s="346"/>
      <c r="K12" s="461" t="s">
        <v>40</v>
      </c>
      <c r="L12" s="462"/>
      <c r="M12" s="463" t="e">
        <f>IF(OR(L12=0, L12=""), NA(), L12/$B$7)</f>
        <v>#N/A</v>
      </c>
      <c r="N12" s="460"/>
      <c r="O12" s="466" t="s">
        <v>51</v>
      </c>
      <c r="P12" s="467" t="e">
        <f t="shared" si="1"/>
        <v>#N/A</v>
      </c>
    </row>
    <row r="13" spans="1:17" ht="24.95" customHeight="1" thickBot="1" x14ac:dyDescent="0.4">
      <c r="A13" s="734" t="s">
        <v>60</v>
      </c>
      <c r="B13" s="734"/>
      <c r="D13" s="446" t="s">
        <v>9</v>
      </c>
      <c r="E13" s="450">
        <f>SUM(E3:E12)</f>
        <v>0</v>
      </c>
      <c r="F13" s="451">
        <f t="shared" ref="F13" si="2">SUM(F3:F12)</f>
        <v>0</v>
      </c>
      <c r="G13" s="452">
        <f>SUM(G3:G12)</f>
        <v>0</v>
      </c>
      <c r="H13" s="453">
        <f>SUM(H3:H12)</f>
        <v>0</v>
      </c>
      <c r="I13" s="447">
        <f t="shared" si="0"/>
        <v>0</v>
      </c>
      <c r="J13" s="346"/>
      <c r="K13" s="461" t="s">
        <v>41</v>
      </c>
      <c r="L13" s="462"/>
      <c r="M13" s="463" t="e">
        <f>IF(OR(L13=0, L13=""), NA(), L13/$B$7)</f>
        <v>#N/A</v>
      </c>
      <c r="N13" s="460"/>
      <c r="O13" s="468" t="s">
        <v>52</v>
      </c>
      <c r="P13" s="469" t="e">
        <f t="shared" si="1"/>
        <v>#N/A</v>
      </c>
    </row>
    <row r="14" spans="1:17" ht="26.45" customHeight="1" thickBot="1" x14ac:dyDescent="0.4">
      <c r="A14" s="734"/>
      <c r="B14" s="734"/>
      <c r="D14" s="448" t="s">
        <v>10</v>
      </c>
      <c r="E14" s="454">
        <f>IFERROR(E13/$B$8,0)</f>
        <v>0</v>
      </c>
      <c r="F14" s="455">
        <f>IFERROR(F13/$B$8,0)</f>
        <v>0</v>
      </c>
      <c r="G14" s="454">
        <f>IFERROR(G13/$B$8,0)</f>
        <v>0</v>
      </c>
      <c r="H14" s="456">
        <f>IFERROR(H13/$B$8,0)</f>
        <v>0</v>
      </c>
      <c r="I14" s="449">
        <f>IFERROR(I13/$B$8,0)</f>
        <v>0</v>
      </c>
      <c r="J14" s="345"/>
      <c r="K14" s="470" t="s">
        <v>42</v>
      </c>
      <c r="L14" s="471"/>
      <c r="M14" s="472" t="e">
        <f>IF(OR(L14=0, L14=""), NA(), L14/$B$7)</f>
        <v>#N/A</v>
      </c>
      <c r="N14" s="473"/>
      <c r="O14" s="474" t="s">
        <v>54</v>
      </c>
      <c r="P14" s="475" t="e">
        <f>IF(L14&lt;&gt;0,L14-L13,NA())</f>
        <v>#N/A</v>
      </c>
      <c r="Q14" s="287"/>
    </row>
    <row r="15" spans="1:17" ht="18" customHeight="1" thickBot="1" x14ac:dyDescent="0.25">
      <c r="A15" s="734"/>
      <c r="B15" s="734"/>
      <c r="C15" s="1"/>
      <c r="D15" s="1"/>
      <c r="I15" s="241"/>
      <c r="J15" s="345"/>
      <c r="K15" s="476" t="s">
        <v>43</v>
      </c>
      <c r="L15" s="477"/>
      <c r="M15" s="478" t="e">
        <f>IF(OR(L15=0, L15=""), NA(), L15/$B$7)</f>
        <v>#N/A</v>
      </c>
      <c r="N15" s="460"/>
      <c r="O15" s="479" t="s">
        <v>55</v>
      </c>
      <c r="P15" s="480" t="e">
        <f>IF(L15&lt;&gt;0,L15-L14,NA())</f>
        <v>#N/A</v>
      </c>
      <c r="Q15" s="287"/>
    </row>
    <row r="16" spans="1:17" ht="12.75" customHeight="1" x14ac:dyDescent="0.2">
      <c r="A16" s="738" t="s">
        <v>66</v>
      </c>
      <c r="B16" s="738"/>
      <c r="J16" s="345"/>
      <c r="K16" s="241"/>
      <c r="L16" s="241"/>
      <c r="M16" s="241"/>
      <c r="P16" s="241"/>
    </row>
    <row r="17" spans="1:10" ht="18" customHeight="1" x14ac:dyDescent="0.25">
      <c r="A17" s="738"/>
      <c r="B17" s="738"/>
      <c r="E17" s="184"/>
      <c r="F17" s="184"/>
      <c r="J17" s="345"/>
    </row>
    <row r="18" spans="1:10" ht="26.25" customHeight="1" x14ac:dyDescent="0.2">
      <c r="A18" s="738"/>
      <c r="B18" s="738"/>
      <c r="D18" s="334" t="s">
        <v>63</v>
      </c>
      <c r="J18" s="345"/>
    </row>
    <row r="19" spans="1:10" ht="18.75" customHeight="1" x14ac:dyDescent="0.2">
      <c r="A19" s="738"/>
      <c r="B19" s="738"/>
      <c r="D19" s="335">
        <f>IF((ROW()-23)&lt;=$E$25,(ROW()-23),"Choisir")</f>
        <v>-4</v>
      </c>
      <c r="J19" s="345"/>
    </row>
    <row r="20" spans="1:10" x14ac:dyDescent="0.2">
      <c r="D20" s="335">
        <f>IF((ROW()-23)&lt;=$E$25,(ROW()-23),"Choisir")</f>
        <v>-3</v>
      </c>
      <c r="J20" s="345"/>
    </row>
    <row r="21" spans="1:10" x14ac:dyDescent="0.2">
      <c r="D21" s="335">
        <f>IF((ROW()-23)&lt;=$E$25,(ROW()-23),"Choisir")</f>
        <v>-2</v>
      </c>
      <c r="J21" s="345"/>
    </row>
    <row r="22" spans="1:10" x14ac:dyDescent="0.2">
      <c r="D22" s="335">
        <f>IF((ROW()-23)&lt;=$E$25,(ROW()-23),"Choisir")</f>
        <v>-1</v>
      </c>
      <c r="J22" s="345"/>
    </row>
    <row r="23" spans="1:10" x14ac:dyDescent="0.2">
      <c r="J23" s="345"/>
    </row>
    <row r="24" spans="1:10" x14ac:dyDescent="0.2">
      <c r="D24" s="198">
        <f>CEILING($B$7, 100)/100</f>
        <v>2</v>
      </c>
      <c r="E24" s="316">
        <f>CEILING($B$8,100)/100</f>
        <v>0</v>
      </c>
      <c r="F24" s="316"/>
      <c r="J24" s="345"/>
    </row>
    <row r="25" spans="1:10" x14ac:dyDescent="0.2">
      <c r="D25" s="198">
        <f>MOD($B$8,100)</f>
        <v>0</v>
      </c>
      <c r="E25" s="199">
        <f>CEILING($B$7/300,1)</f>
        <v>1</v>
      </c>
      <c r="F25" s="199"/>
      <c r="J25" s="345"/>
    </row>
    <row r="26" spans="1:10" x14ac:dyDescent="0.2">
      <c r="J26" s="345"/>
    </row>
    <row r="27" spans="1:10" x14ac:dyDescent="0.2">
      <c r="J27" s="345"/>
    </row>
    <row r="28" spans="1:10" x14ac:dyDescent="0.2">
      <c r="J28" s="345"/>
    </row>
    <row r="29" spans="1:10" x14ac:dyDescent="0.2">
      <c r="J29" s="345"/>
    </row>
    <row r="30" spans="1:10" x14ac:dyDescent="0.2">
      <c r="J30" s="345"/>
    </row>
    <row r="31" spans="1:10" x14ac:dyDescent="0.2">
      <c r="J31" s="345"/>
    </row>
    <row r="32" spans="1:10" x14ac:dyDescent="0.2">
      <c r="J32" s="345"/>
    </row>
    <row r="33" spans="1:10" x14ac:dyDescent="0.2">
      <c r="J33" s="345"/>
    </row>
    <row r="34" spans="1:10" x14ac:dyDescent="0.2">
      <c r="J34" s="345"/>
    </row>
    <row r="35" spans="1:10" x14ac:dyDescent="0.2">
      <c r="J35" s="345"/>
    </row>
    <row r="36" spans="1:10" x14ac:dyDescent="0.2">
      <c r="J36" s="345"/>
    </row>
    <row r="37" spans="1:10" x14ac:dyDescent="0.2">
      <c r="J37" s="345"/>
    </row>
    <row r="38" spans="1:10" x14ac:dyDescent="0.2">
      <c r="J38" s="345"/>
    </row>
    <row r="39" spans="1:10" x14ac:dyDescent="0.2">
      <c r="J39" s="345"/>
    </row>
    <row r="40" spans="1:10" x14ac:dyDescent="0.2">
      <c r="J40" s="345"/>
    </row>
    <row r="41" spans="1:10" x14ac:dyDescent="0.2">
      <c r="J41" s="345"/>
    </row>
    <row r="42" spans="1:10" x14ac:dyDescent="0.2">
      <c r="J42" s="345"/>
    </row>
    <row r="43" spans="1:10" ht="13.5" thickBot="1" x14ac:dyDescent="0.25">
      <c r="A43" s="344"/>
      <c r="B43" s="344"/>
      <c r="C43" s="344"/>
      <c r="D43" s="344"/>
      <c r="E43" s="344"/>
      <c r="F43" s="344"/>
      <c r="G43" s="344"/>
      <c r="H43" s="344"/>
      <c r="I43" s="344"/>
      <c r="J43" s="347"/>
    </row>
    <row r="44" spans="1:10" ht="13.5" thickTop="1" x14ac:dyDescent="0.2">
      <c r="J44" s="345"/>
    </row>
    <row r="45" spans="1:10" x14ac:dyDescent="0.2">
      <c r="J45" s="345"/>
    </row>
    <row r="46" spans="1:10" x14ac:dyDescent="0.2">
      <c r="E46" s="125"/>
      <c r="F46" s="125"/>
      <c r="J46" s="345"/>
    </row>
    <row r="47" spans="1:10" ht="13.5" thickBot="1" x14ac:dyDescent="0.25">
      <c r="E47" s="125"/>
      <c r="F47" s="125"/>
      <c r="J47" s="345"/>
    </row>
    <row r="48" spans="1:10" ht="20.100000000000001" customHeight="1" thickBot="1" x14ac:dyDescent="0.25">
      <c r="D48" s="188" t="s">
        <v>76</v>
      </c>
      <c r="E48" s="726" t="s">
        <v>115</v>
      </c>
      <c r="F48" s="727"/>
      <c r="G48" s="727"/>
      <c r="H48" s="728"/>
      <c r="I48" s="293" t="s">
        <v>7</v>
      </c>
      <c r="J48" s="345"/>
    </row>
    <row r="49" spans="3:10" ht="47.25" customHeight="1" thickBot="1" x14ac:dyDescent="0.25">
      <c r="C49" s="186"/>
      <c r="D49" s="271" t="s">
        <v>79</v>
      </c>
      <c r="E49" s="641" t="str">
        <f>E2</f>
        <v>M. Pierre-Yves 
TIERCE</v>
      </c>
      <c r="F49" s="596" t="str">
        <f t="shared" ref="F49" si="3">F2</f>
        <v>Mme Isabelle 
FARNET RISSO</v>
      </c>
      <c r="G49" s="306" t="s">
        <v>3</v>
      </c>
      <c r="H49" s="307" t="s">
        <v>4</v>
      </c>
      <c r="I49" s="295" t="s">
        <v>101</v>
      </c>
      <c r="J49" s="345"/>
    </row>
    <row r="50" spans="3:10" ht="19.5" customHeight="1" x14ac:dyDescent="0.2">
      <c r="C50" s="187"/>
      <c r="D50" s="270" t="s">
        <v>78</v>
      </c>
      <c r="E50" s="233"/>
      <c r="F50" s="233"/>
      <c r="G50" s="236"/>
      <c r="H50" s="235"/>
      <c r="I50" s="294">
        <f t="shared" ref="I50:I59" si="4">SUM(E50:H50)</f>
        <v>0</v>
      </c>
      <c r="J50" s="345"/>
    </row>
    <row r="51" spans="3:10" ht="20.100000000000001" customHeight="1" x14ac:dyDescent="0.2">
      <c r="C51" s="187"/>
      <c r="D51" s="270" t="s">
        <v>78</v>
      </c>
      <c r="E51" s="233"/>
      <c r="F51" s="233"/>
      <c r="G51" s="236"/>
      <c r="H51" s="235"/>
      <c r="I51" s="294">
        <f t="shared" si="4"/>
        <v>0</v>
      </c>
      <c r="J51" s="345"/>
    </row>
    <row r="52" spans="3:10" ht="20.100000000000001" customHeight="1" x14ac:dyDescent="0.2">
      <c r="C52" s="187"/>
      <c r="D52" s="270" t="s">
        <v>78</v>
      </c>
      <c r="E52" s="233"/>
      <c r="F52" s="233"/>
      <c r="G52" s="236"/>
      <c r="H52" s="235"/>
      <c r="I52" s="294">
        <f t="shared" si="4"/>
        <v>0</v>
      </c>
      <c r="J52" s="345"/>
    </row>
    <row r="53" spans="3:10" ht="20.100000000000001" customHeight="1" x14ac:dyDescent="0.2">
      <c r="C53" s="187"/>
      <c r="D53" s="270" t="s">
        <v>78</v>
      </c>
      <c r="E53" s="233"/>
      <c r="F53" s="233"/>
      <c r="G53" s="236"/>
      <c r="H53" s="235"/>
      <c r="I53" s="294">
        <f t="shared" si="4"/>
        <v>0</v>
      </c>
      <c r="J53" s="345"/>
    </row>
    <row r="54" spans="3:10" ht="20.100000000000001" customHeight="1" x14ac:dyDescent="0.2">
      <c r="C54" s="187"/>
      <c r="D54" s="270" t="s">
        <v>78</v>
      </c>
      <c r="E54" s="233"/>
      <c r="F54" s="233"/>
      <c r="G54" s="236"/>
      <c r="H54" s="235"/>
      <c r="I54" s="294">
        <f t="shared" si="4"/>
        <v>0</v>
      </c>
      <c r="J54" s="345"/>
    </row>
    <row r="55" spans="3:10" ht="20.100000000000001" customHeight="1" x14ac:dyDescent="0.2">
      <c r="C55" s="187"/>
      <c r="D55" s="270" t="s">
        <v>78</v>
      </c>
      <c r="E55" s="233"/>
      <c r="F55" s="233"/>
      <c r="G55" s="236"/>
      <c r="H55" s="235"/>
      <c r="I55" s="294">
        <f t="shared" si="4"/>
        <v>0</v>
      </c>
      <c r="J55" s="345"/>
    </row>
    <row r="56" spans="3:10" ht="20.100000000000001" customHeight="1" x14ac:dyDescent="0.2">
      <c r="C56" s="187"/>
      <c r="D56" s="270" t="s">
        <v>78</v>
      </c>
      <c r="E56" s="233"/>
      <c r="F56" s="233"/>
      <c r="G56" s="236"/>
      <c r="H56" s="235"/>
      <c r="I56" s="294">
        <f t="shared" si="4"/>
        <v>0</v>
      </c>
      <c r="J56" s="345"/>
    </row>
    <row r="57" spans="3:10" ht="20.100000000000001" customHeight="1" x14ac:dyDescent="0.2">
      <c r="C57" s="187"/>
      <c r="D57" s="270" t="s">
        <v>78</v>
      </c>
      <c r="E57" s="233"/>
      <c r="F57" s="233"/>
      <c r="G57" s="236"/>
      <c r="H57" s="235"/>
      <c r="I57" s="294">
        <f t="shared" si="4"/>
        <v>0</v>
      </c>
      <c r="J57" s="345"/>
    </row>
    <row r="58" spans="3:10" ht="20.100000000000001" customHeight="1" x14ac:dyDescent="0.2">
      <c r="C58" s="187"/>
      <c r="D58" s="270" t="s">
        <v>78</v>
      </c>
      <c r="E58" s="233"/>
      <c r="F58" s="233"/>
      <c r="G58" s="236"/>
      <c r="H58" s="235"/>
      <c r="I58" s="294">
        <f t="shared" si="4"/>
        <v>0</v>
      </c>
      <c r="J58" s="345"/>
    </row>
    <row r="59" spans="3:10" ht="20.100000000000001" customHeight="1" thickBot="1" x14ac:dyDescent="0.25">
      <c r="C59" s="187"/>
      <c r="D59" s="274" t="s">
        <v>78</v>
      </c>
      <c r="E59" s="275"/>
      <c r="F59" s="275"/>
      <c r="G59" s="278"/>
      <c r="H59" s="277"/>
      <c r="I59" s="294">
        <f t="shared" si="4"/>
        <v>0</v>
      </c>
      <c r="J59" s="345"/>
    </row>
    <row r="60" spans="3:10" x14ac:dyDescent="0.2">
      <c r="I60" s="241"/>
      <c r="J60" s="345"/>
    </row>
    <row r="61" spans="3:10" x14ac:dyDescent="0.2">
      <c r="J61" s="345"/>
    </row>
    <row r="62" spans="3:10" x14ac:dyDescent="0.2">
      <c r="J62" s="345"/>
    </row>
    <row r="63" spans="3:10" ht="18" x14ac:dyDescent="0.25">
      <c r="E63" s="184"/>
      <c r="F63" s="184"/>
      <c r="J63" s="345"/>
    </row>
    <row r="64" spans="3:10" x14ac:dyDescent="0.2">
      <c r="J64" s="345"/>
    </row>
    <row r="65" spans="4:10" ht="13.5" thickBot="1" x14ac:dyDescent="0.25">
      <c r="J65" s="345"/>
    </row>
    <row r="66" spans="4:10" ht="16.5" customHeight="1" thickBot="1" x14ac:dyDescent="0.25">
      <c r="D66" s="188" t="s">
        <v>77</v>
      </c>
      <c r="E66" s="726" t="s">
        <v>116</v>
      </c>
      <c r="F66" s="727"/>
      <c r="G66" s="727"/>
      <c r="H66" s="728"/>
      <c r="I66" s="293" t="s">
        <v>7</v>
      </c>
      <c r="J66" s="345"/>
    </row>
    <row r="67" spans="4:10" ht="42" customHeight="1" thickBot="1" x14ac:dyDescent="0.25">
      <c r="D67" s="271" t="s">
        <v>79</v>
      </c>
      <c r="E67" s="641" t="str">
        <f>E2</f>
        <v>M. Pierre-Yves 
TIERCE</v>
      </c>
      <c r="F67" s="596" t="str">
        <f t="shared" ref="F67" si="5">F2</f>
        <v>Mme Isabelle 
FARNET RISSO</v>
      </c>
      <c r="G67" s="306" t="s">
        <v>3</v>
      </c>
      <c r="H67" s="307" t="s">
        <v>4</v>
      </c>
      <c r="I67" s="300" t="s">
        <v>101</v>
      </c>
      <c r="J67" s="345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7">
        <f>SUM(E68:H68)</f>
        <v>0</v>
      </c>
      <c r="J68" s="345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31">
        <f>SUM(E69:H69)</f>
        <v>0</v>
      </c>
      <c r="J69" s="345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31">
        <f>SUM(E70:H70)</f>
        <v>0</v>
      </c>
      <c r="J70" s="345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31">
        <f>SUM(E71:H71)</f>
        <v>0</v>
      </c>
      <c r="J71" s="345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8">
        <f>SUM(E72:H72)</f>
        <v>0</v>
      </c>
      <c r="J72" s="345"/>
    </row>
    <row r="73" spans="4:10" ht="20.100000000000001" customHeight="1" x14ac:dyDescent="0.2">
      <c r="D73" s="189"/>
      <c r="E73" s="187"/>
      <c r="F73" s="187"/>
      <c r="G73" s="187"/>
      <c r="H73" s="187"/>
      <c r="J73" s="345"/>
    </row>
    <row r="74" spans="4:10" ht="20.100000000000001" customHeight="1" x14ac:dyDescent="0.2">
      <c r="D74" s="189"/>
      <c r="E74" s="187"/>
      <c r="F74" s="187"/>
      <c r="G74" s="187"/>
      <c r="H74" s="187"/>
      <c r="J74" s="345"/>
    </row>
    <row r="75" spans="4:10" ht="20.100000000000001" customHeight="1" thickBot="1" x14ac:dyDescent="0.25">
      <c r="D75" s="189"/>
      <c r="E75" s="187"/>
      <c r="F75" s="187"/>
      <c r="G75" s="187"/>
      <c r="H75" s="187"/>
      <c r="J75" s="345"/>
    </row>
    <row r="76" spans="4:10" ht="20.100000000000001" customHeight="1" thickBot="1" x14ac:dyDescent="0.25">
      <c r="D76" s="188" t="s">
        <v>81</v>
      </c>
      <c r="E76" s="726" t="s">
        <v>117</v>
      </c>
      <c r="F76" s="727"/>
      <c r="G76" s="727"/>
      <c r="H76" s="728"/>
      <c r="I76" s="299" t="s">
        <v>7</v>
      </c>
      <c r="J76" s="345"/>
    </row>
    <row r="77" spans="4:10" ht="39.75" customHeight="1" thickBot="1" x14ac:dyDescent="0.25">
      <c r="D77" s="271" t="s">
        <v>79</v>
      </c>
      <c r="E77" s="641" t="str">
        <f>E2</f>
        <v>M. Pierre-Yves 
TIERCE</v>
      </c>
      <c r="F77" s="596" t="str">
        <f t="shared" ref="F77" si="6">F2</f>
        <v>Mme Isabelle 
FARNET RISSO</v>
      </c>
      <c r="G77" s="306" t="s">
        <v>3</v>
      </c>
      <c r="H77" s="307" t="s">
        <v>4</v>
      </c>
      <c r="I77" s="296" t="s">
        <v>101</v>
      </c>
      <c r="J77" s="345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7">
        <f>SUM(E78:H78)</f>
        <v>0</v>
      </c>
      <c r="J78" s="345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31">
        <f>SUM(E79:H79)</f>
        <v>0</v>
      </c>
      <c r="J79" s="345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8">
        <f>SUM(E80:H80)</f>
        <v>0</v>
      </c>
      <c r="J80" s="345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45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45"/>
    </row>
  </sheetData>
  <sheetProtection algorithmName="SHA-512" hashValue="moujewsv/7bxbXSY+PTAMyW6IN0qdBNBv2Zv9R9nVYGrUWuHO7FoRGug/XGudmIuQEyfwiMuby2KuErouOHo7w==" saltValue="94l5fddeDYgcsNj2yOViBw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335" priority="1" operator="equal">
      <formula>0</formula>
    </cfRule>
    <cfRule type="cellIs" dxfId="334" priority="6" operator="notEqual">
      <formula>$B$8</formula>
    </cfRule>
  </conditionalFormatting>
  <conditionalFormatting sqref="E3:I12">
    <cfRule type="cellIs" dxfId="333" priority="5" operator="notBetween">
      <formula>0</formula>
      <formula>100</formula>
    </cfRule>
  </conditionalFormatting>
  <conditionalFormatting sqref="E3:I14">
    <cfRule type="cellIs" dxfId="332" priority="8" operator="lessThan">
      <formula>0</formula>
    </cfRule>
  </conditionalFormatting>
  <conditionalFormatting sqref="E14:I14">
    <cfRule type="cellIs" dxfId="331" priority="11" operator="greaterThan">
      <formula>1</formula>
    </cfRule>
  </conditionalFormatting>
  <conditionalFormatting sqref="I3:I13">
    <cfRule type="cellIs" dxfId="330" priority="9" operator="equal">
      <formula>0</formula>
    </cfRule>
  </conditionalFormatting>
  <conditionalFormatting sqref="I14">
    <cfRule type="cellIs" dxfId="329" priority="10" operator="equal">
      <formula>1</formula>
    </cfRule>
    <cfRule type="cellIs" dxfId="328" priority="12" operator="lessThan">
      <formula>1</formula>
    </cfRule>
  </conditionalFormatting>
  <conditionalFormatting sqref="M4:M15">
    <cfRule type="cellIs" dxfId="327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326" priority="3">
      <formula>AND(E50&lt;MAX(E$50:E50), NOT(ISBLANK(E50)), NOT(E50=0))</formula>
    </cfRule>
  </conditionalFormatting>
  <conditionalFormatting sqref="E68:H72">
    <cfRule type="expression" dxfId="325" priority="2">
      <formula>AND(E68&lt;MAX(E$68:E68), NOT(ISBLANK(E68)), NOT(E68=0))</formula>
    </cfRule>
  </conditionalFormatting>
  <conditionalFormatting sqref="E78:H80">
    <cfRule type="expression" dxfId="324" priority="13">
      <formula>AND(E78&lt;MAX(E$78:E78), NOT(ISBLANK(E78)), NOT(E78=0))</formula>
    </cfRule>
  </conditionalFormatting>
  <conditionalFormatting sqref="I3:I12">
    <cfRule type="expression" dxfId="323" priority="14">
      <formula>AND($D3=$E$24, I3=$D$25)</formula>
    </cfRule>
    <cfRule type="expression" dxfId="322" priority="15">
      <formula>AND($D3=$E$24, MOD(I3,100)&gt;$D$25)</formula>
    </cfRule>
    <cfRule type="cellIs" dxfId="321" priority="16" operator="equal">
      <formula>100</formula>
    </cfRule>
  </conditionalFormatting>
  <conditionalFormatting sqref="H3:H12 E3:F12">
    <cfRule type="expression" dxfId="320" priority="17">
      <formula>($D3&lt;=$E$24)</formula>
    </cfRule>
  </conditionalFormatting>
  <conditionalFormatting sqref="H3:H12 D3:F12">
    <cfRule type="expression" dxfId="319" priority="18">
      <formula>($D3&gt;$E$24)</formula>
    </cfRule>
  </conditionalFormatting>
  <conditionalFormatting sqref="G3:G12">
    <cfRule type="expression" dxfId="318" priority="19">
      <formula>($D3&lt;=$E$24)</formula>
    </cfRule>
  </conditionalFormatting>
  <conditionalFormatting sqref="G3:G12">
    <cfRule type="expression" dxfId="317" priority="20">
      <formula>($D3&gt;$E$24)</formula>
    </cfRule>
  </conditionalFormatting>
  <conditionalFormatting sqref="I50 I68:I72 I78:I80 I52:I59">
    <cfRule type="cellIs" dxfId="316" priority="21" operator="lessThan">
      <formula>0</formula>
    </cfRule>
    <cfRule type="cellIs" dxfId="315" priority="22" operator="equal">
      <formula>0</formula>
    </cfRule>
    <cfRule type="expression" dxfId="314" priority="23">
      <formula>OR(MOD($I50,100)=0,AND($D50=$E$24,MOD($I50,100)=$D$25))</formula>
    </cfRule>
  </conditionalFormatting>
  <conditionalFormatting sqref="I13">
    <cfRule type="cellIs" dxfId="313" priority="24" operator="equal">
      <formula>$B$8</formula>
    </cfRule>
  </conditionalFormatting>
  <conditionalFormatting sqref="E50:H59 E68:H72 E78:H80">
    <cfRule type="cellIs" dxfId="312" priority="25" operator="notBetween">
      <formula>0</formula>
      <formula>$B$8</formula>
    </cfRule>
    <cfRule type="expression" dxfId="311" priority="26">
      <formula>($D50&lt;=$E$24)</formula>
    </cfRule>
    <cfRule type="expression" dxfId="310" priority="27">
      <formula>($D50&gt;$E$24)</formula>
    </cfRule>
  </conditionalFormatting>
  <conditionalFormatting sqref="I51">
    <cfRule type="cellIs" dxfId="309" priority="28" operator="notBetween">
      <formula>0</formula>
      <formula>$B$8</formula>
    </cfRule>
    <cfRule type="cellIs" dxfId="308" priority="29" operator="equal">
      <formula>0</formula>
    </cfRule>
    <cfRule type="expression" dxfId="307" priority="30">
      <formula>OR(MOD($I51,100)=0,AND($D51=$E$24,MOD($I51,100)=$D$25))</formula>
    </cfRule>
  </conditionalFormatting>
  <conditionalFormatting sqref="L4:L15">
    <cfRule type="expression" dxfId="306" priority="31">
      <formula>AND($L4&lt;$L3, NOT(ISBLANK($L4)))</formula>
    </cfRule>
    <cfRule type="cellIs" dxfId="305" priority="32" operator="greaterThan">
      <formula>$B$7</formula>
    </cfRule>
  </conditionalFormatting>
  <dataValidations count="2">
    <dataValidation type="list" allowBlank="1" showInputMessage="1" showErrorMessage="1" sqref="C50:C59" xr:uid="{D28640D6-3AF8-44D5-8496-38F5575B89DB}">
      <formula1>$D$19:$D$21</formula1>
    </dataValidation>
    <dataValidation type="list" allowBlank="1" showInputMessage="1" showErrorMessage="1" sqref="D68:D72 D78:D82 D50:D59" xr:uid="{A638BC73-91A9-4D88-83AD-F62A55F4A02C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67375-904C-4C76-BC23-0F5C14FD9141}">
  <sheetPr codeName="Feuil47">
    <tabColor rgb="FFB4A7D6"/>
  </sheetPr>
  <dimension ref="A1:Q82"/>
  <sheetViews>
    <sheetView zoomScale="90" zoomScaleNormal="90" workbookViewId="0">
      <selection activeCell="L4" sqref="L4"/>
    </sheetView>
    <sheetView workbookViewId="1"/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40" t="str">
        <f>Synthèse!$A$17</f>
        <v>Date</v>
      </c>
      <c r="B1" s="753">
        <f>Synthèse!$B$17</f>
        <v>46103</v>
      </c>
      <c r="D1" s="230"/>
      <c r="E1" s="729" t="s">
        <v>118</v>
      </c>
      <c r="F1" s="730"/>
      <c r="G1" s="739"/>
      <c r="H1" s="740"/>
      <c r="I1" s="303" t="s">
        <v>7</v>
      </c>
      <c r="J1" s="345"/>
    </row>
    <row r="2" spans="1:17" ht="45" customHeight="1" thickBot="1" x14ac:dyDescent="0.25">
      <c r="A2" s="441" t="str">
        <f>Synthèse!$A$18</f>
        <v>Election</v>
      </c>
      <c r="B2" s="754" t="str">
        <f>Synthèse!$B$18</f>
        <v>Municipales</v>
      </c>
      <c r="D2" s="445" t="s">
        <v>80</v>
      </c>
      <c r="E2" s="640" t="str">
        <f>Synthèse!L2</f>
        <v>M. Pierre-Yves 
TIERCE</v>
      </c>
      <c r="F2" s="595" t="str">
        <f>Synthèse!M2</f>
        <v>Mme Isabelle 
FARNET RISSO</v>
      </c>
      <c r="G2" s="764" t="s">
        <v>4</v>
      </c>
      <c r="H2" s="765" t="s">
        <v>3</v>
      </c>
      <c r="I2" s="766" t="s">
        <v>102</v>
      </c>
      <c r="J2" s="345"/>
      <c r="K2" s="481" t="s">
        <v>21</v>
      </c>
      <c r="L2" s="482" t="s">
        <v>56</v>
      </c>
      <c r="M2" s="483" t="s">
        <v>30</v>
      </c>
      <c r="N2" s="460"/>
      <c r="O2" s="736" t="s">
        <v>58</v>
      </c>
      <c r="P2" s="736" t="s">
        <v>57</v>
      </c>
    </row>
    <row r="3" spans="1:17" ht="20.100000000000001" customHeight="1" thickBot="1" x14ac:dyDescent="0.25">
      <c r="A3" s="747" t="str">
        <f>Synthèse!$A$19</f>
        <v>Tour</v>
      </c>
      <c r="B3" s="755">
        <f>Synthèse!$B$19</f>
        <v>2</v>
      </c>
      <c r="D3" s="264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1">
        <f t="shared" ref="I3:I13" si="0">SUM(E3:H3)</f>
        <v>0</v>
      </c>
      <c r="J3" s="345"/>
      <c r="K3" s="457" t="s">
        <v>31</v>
      </c>
      <c r="L3" s="458">
        <v>0</v>
      </c>
      <c r="M3" s="459">
        <f>L3/$B$7</f>
        <v>0</v>
      </c>
      <c r="N3" s="460"/>
      <c r="O3" s="737"/>
      <c r="P3" s="737"/>
    </row>
    <row r="4" spans="1:17" ht="20.100000000000001" customHeight="1" thickBot="1" x14ac:dyDescent="0.25">
      <c r="A4" s="748" t="str">
        <f>Synthèse!$A$20</f>
        <v>Ville</v>
      </c>
      <c r="B4" s="756">
        <v>5</v>
      </c>
      <c r="D4" s="265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31">
        <f t="shared" si="0"/>
        <v>0</v>
      </c>
      <c r="J4" s="345"/>
      <c r="K4" s="461" t="s">
        <v>32</v>
      </c>
      <c r="L4" s="462"/>
      <c r="M4" s="463" t="e">
        <f>IF(OR(L4=0, L4=""), NA(), L4/$B$7)</f>
        <v>#N/A</v>
      </c>
      <c r="N4" s="460"/>
      <c r="O4" s="464" t="s">
        <v>44</v>
      </c>
      <c r="P4" s="465" t="e">
        <f t="shared" ref="P4:P13" si="1">IF(L4&lt;&gt;0,L4-L3,NA())</f>
        <v>#N/A</v>
      </c>
    </row>
    <row r="5" spans="1:17" ht="20.100000000000001" customHeight="1" x14ac:dyDescent="0.25">
      <c r="A5" s="442" t="s">
        <v>22</v>
      </c>
      <c r="B5" s="348" t="str">
        <f>INDEX(Synthèse!B:B,B4+2)</f>
        <v>COSEC</v>
      </c>
      <c r="D5" s="265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8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31">
        <f t="shared" si="0"/>
        <v>0</v>
      </c>
      <c r="J5" s="346"/>
      <c r="K5" s="461" t="s">
        <v>33</v>
      </c>
      <c r="L5" s="462"/>
      <c r="M5" s="463" t="e">
        <f>IF(OR(L5=0, L5=""), NA(), L5/$B$7)</f>
        <v>#N/A</v>
      </c>
      <c r="N5" s="460"/>
      <c r="O5" s="466" t="s">
        <v>45</v>
      </c>
      <c r="P5" s="467" t="e">
        <f t="shared" si="1"/>
        <v>#N/A</v>
      </c>
    </row>
    <row r="6" spans="1:17" ht="20.100000000000001" customHeight="1" x14ac:dyDescent="0.25">
      <c r="A6" s="443" t="s">
        <v>23</v>
      </c>
      <c r="B6" s="349">
        <f>INDEX(Synthèse!C:C,B4+2)</f>
        <v>701</v>
      </c>
      <c r="D6" s="265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8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31">
        <f t="shared" si="0"/>
        <v>0</v>
      </c>
      <c r="J6" s="346"/>
      <c r="K6" s="461" t="s">
        <v>34</v>
      </c>
      <c r="L6" s="462"/>
      <c r="M6" s="463" t="e">
        <f>IF(OR(L6=0, L6=""), NA(), L6/$B$7)</f>
        <v>#N/A</v>
      </c>
      <c r="N6" s="460"/>
      <c r="O6" s="466" t="s">
        <v>46</v>
      </c>
      <c r="P6" s="467" t="e">
        <f t="shared" si="1"/>
        <v>#N/A</v>
      </c>
    </row>
    <row r="7" spans="1:17" ht="20.100000000000001" customHeight="1" x14ac:dyDescent="0.25">
      <c r="A7" s="443" t="s">
        <v>0</v>
      </c>
      <c r="B7" s="143">
        <v>200</v>
      </c>
      <c r="D7" s="265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31">
        <f t="shared" si="0"/>
        <v>0</v>
      </c>
      <c r="J7" s="346"/>
      <c r="K7" s="461" t="s">
        <v>35</v>
      </c>
      <c r="L7" s="462"/>
      <c r="M7" s="463" t="e">
        <f>IF(OR(L7=0, L7=""), NA(), L7/$B$7)</f>
        <v>#N/A</v>
      </c>
      <c r="N7" s="460"/>
      <c r="O7" s="466" t="s">
        <v>53</v>
      </c>
      <c r="P7" s="467" t="e">
        <f t="shared" si="1"/>
        <v>#N/A</v>
      </c>
    </row>
    <row r="8" spans="1:17" ht="20.100000000000001" customHeight="1" x14ac:dyDescent="0.25">
      <c r="A8" s="443" t="s">
        <v>2</v>
      </c>
      <c r="B8" s="122">
        <f>MAX(L4:L15)</f>
        <v>0</v>
      </c>
      <c r="D8" s="265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31">
        <f t="shared" si="0"/>
        <v>0</v>
      </c>
      <c r="J8" s="346"/>
      <c r="K8" s="461" t="s">
        <v>36</v>
      </c>
      <c r="L8" s="462"/>
      <c r="M8" s="463" t="e">
        <f>IF(OR(L8=0, L8=""), NA(), L8/$B$7)</f>
        <v>#N/A</v>
      </c>
      <c r="N8" s="460"/>
      <c r="O8" s="466" t="s">
        <v>47</v>
      </c>
      <c r="P8" s="467" t="e">
        <f t="shared" si="1"/>
        <v>#N/A</v>
      </c>
    </row>
    <row r="9" spans="1:17" ht="20.100000000000001" customHeight="1" x14ac:dyDescent="0.25">
      <c r="A9" s="443" t="s">
        <v>1</v>
      </c>
      <c r="B9" s="123"/>
      <c r="D9" s="265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31">
        <f t="shared" si="0"/>
        <v>0</v>
      </c>
      <c r="J9" s="346"/>
      <c r="K9" s="461" t="s">
        <v>37</v>
      </c>
      <c r="L9" s="462"/>
      <c r="M9" s="463" t="e">
        <f>IF(OR(L9=0, L9=""), NA(), L9/$B$7)</f>
        <v>#N/A</v>
      </c>
      <c r="N9" s="460"/>
      <c r="O9" s="466" t="s">
        <v>48</v>
      </c>
      <c r="P9" s="467" t="e">
        <f t="shared" si="1"/>
        <v>#N/A</v>
      </c>
    </row>
    <row r="10" spans="1:17" ht="20.100000000000001" customHeight="1" thickBot="1" x14ac:dyDescent="0.3">
      <c r="A10" s="444" t="s">
        <v>17</v>
      </c>
      <c r="B10" s="124">
        <f>B7-B8</f>
        <v>200</v>
      </c>
      <c r="D10" s="265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31">
        <f t="shared" si="0"/>
        <v>0</v>
      </c>
      <c r="J10" s="346"/>
      <c r="K10" s="461" t="s">
        <v>38</v>
      </c>
      <c r="L10" s="462"/>
      <c r="M10" s="463" t="e">
        <f>IF(OR(L10=0, L10=""), NA(), L10/$B$7)</f>
        <v>#N/A</v>
      </c>
      <c r="N10" s="460"/>
      <c r="O10" s="466" t="s">
        <v>49</v>
      </c>
      <c r="P10" s="467" t="e">
        <f t="shared" si="1"/>
        <v>#N/A</v>
      </c>
    </row>
    <row r="11" spans="1:17" ht="20.100000000000001" customHeight="1" x14ac:dyDescent="0.2">
      <c r="A11" s="757" t="s">
        <v>155</v>
      </c>
      <c r="B11" s="757"/>
      <c r="D11" s="265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31">
        <f t="shared" si="0"/>
        <v>0</v>
      </c>
      <c r="J11" s="346"/>
      <c r="K11" s="461" t="s">
        <v>39</v>
      </c>
      <c r="L11" s="462"/>
      <c r="M11" s="463" t="e">
        <f>IF(OR(L11=0, L11=""), NA(), L11/$B$7)</f>
        <v>#N/A</v>
      </c>
      <c r="N11" s="460"/>
      <c r="O11" s="466" t="s">
        <v>50</v>
      </c>
      <c r="P11" s="467" t="e">
        <f t="shared" si="1"/>
        <v>#N/A</v>
      </c>
    </row>
    <row r="12" spans="1:17" ht="20.100000000000001" customHeight="1" thickBot="1" x14ac:dyDescent="0.25">
      <c r="A12" s="758"/>
      <c r="B12" s="758"/>
      <c r="D12" s="266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31">
        <f t="shared" si="0"/>
        <v>0</v>
      </c>
      <c r="J12" s="346"/>
      <c r="K12" s="461" t="s">
        <v>40</v>
      </c>
      <c r="L12" s="462"/>
      <c r="M12" s="463" t="e">
        <f>IF(OR(L12=0, L12=""), NA(), L12/$B$7)</f>
        <v>#N/A</v>
      </c>
      <c r="N12" s="460"/>
      <c r="O12" s="466" t="s">
        <v>51</v>
      </c>
      <c r="P12" s="467" t="e">
        <f t="shared" si="1"/>
        <v>#N/A</v>
      </c>
    </row>
    <row r="13" spans="1:17" ht="24.95" customHeight="1" thickBot="1" x14ac:dyDescent="0.4">
      <c r="A13" s="734" t="s">
        <v>60</v>
      </c>
      <c r="B13" s="734"/>
      <c r="D13" s="446" t="s">
        <v>9</v>
      </c>
      <c r="E13" s="450">
        <f>SUM(E3:E12)</f>
        <v>0</v>
      </c>
      <c r="F13" s="451">
        <f t="shared" ref="F13" si="2">SUM(F3:F12)</f>
        <v>0</v>
      </c>
      <c r="G13" s="452">
        <f>SUM(G3:G12)</f>
        <v>0</v>
      </c>
      <c r="H13" s="453">
        <f>SUM(H3:H12)</f>
        <v>0</v>
      </c>
      <c r="I13" s="447">
        <f t="shared" si="0"/>
        <v>0</v>
      </c>
      <c r="J13" s="346"/>
      <c r="K13" s="461" t="s">
        <v>41</v>
      </c>
      <c r="L13" s="462"/>
      <c r="M13" s="463" t="e">
        <f>IF(OR(L13=0, L13=""), NA(), L13/$B$7)</f>
        <v>#N/A</v>
      </c>
      <c r="N13" s="460"/>
      <c r="O13" s="468" t="s">
        <v>52</v>
      </c>
      <c r="P13" s="469" t="e">
        <f t="shared" si="1"/>
        <v>#N/A</v>
      </c>
    </row>
    <row r="14" spans="1:17" ht="26.45" customHeight="1" thickBot="1" x14ac:dyDescent="0.4">
      <c r="A14" s="734"/>
      <c r="B14" s="734"/>
      <c r="D14" s="448" t="s">
        <v>10</v>
      </c>
      <c r="E14" s="454">
        <f>IFERROR(E13/$B$8,0)</f>
        <v>0</v>
      </c>
      <c r="F14" s="455">
        <f>IFERROR(F13/$B$8,0)</f>
        <v>0</v>
      </c>
      <c r="G14" s="454">
        <f>IFERROR(G13/$B$8,0)</f>
        <v>0</v>
      </c>
      <c r="H14" s="456">
        <f>IFERROR(H13/$B$8,0)</f>
        <v>0</v>
      </c>
      <c r="I14" s="449">
        <f>IFERROR(I13/$B$8,0)</f>
        <v>0</v>
      </c>
      <c r="J14" s="345"/>
      <c r="K14" s="470" t="s">
        <v>42</v>
      </c>
      <c r="L14" s="471"/>
      <c r="M14" s="472" t="e">
        <f>IF(OR(L14=0, L14=""), NA(), L14/$B$7)</f>
        <v>#N/A</v>
      </c>
      <c r="N14" s="473"/>
      <c r="O14" s="474" t="s">
        <v>54</v>
      </c>
      <c r="P14" s="475" t="e">
        <f>IF(L14&lt;&gt;0,L14-L13,NA())</f>
        <v>#N/A</v>
      </c>
      <c r="Q14" s="287"/>
    </row>
    <row r="15" spans="1:17" ht="18" customHeight="1" thickBot="1" x14ac:dyDescent="0.25">
      <c r="A15" s="734"/>
      <c r="B15" s="734"/>
      <c r="C15" s="1"/>
      <c r="D15" s="1"/>
      <c r="I15" s="241"/>
      <c r="J15" s="345"/>
      <c r="K15" s="476" t="s">
        <v>43</v>
      </c>
      <c r="L15" s="477"/>
      <c r="M15" s="478" t="e">
        <f>IF(OR(L15=0, L15=""), NA(), L15/$B$7)</f>
        <v>#N/A</v>
      </c>
      <c r="N15" s="460"/>
      <c r="O15" s="479" t="s">
        <v>55</v>
      </c>
      <c r="P15" s="480" t="e">
        <f>IF(L15&lt;&gt;0,L15-L14,NA())</f>
        <v>#N/A</v>
      </c>
      <c r="Q15" s="287"/>
    </row>
    <row r="16" spans="1:17" ht="12.75" customHeight="1" x14ac:dyDescent="0.2">
      <c r="A16" s="738" t="s">
        <v>66</v>
      </c>
      <c r="B16" s="738"/>
      <c r="J16" s="345"/>
      <c r="K16" s="241"/>
      <c r="L16" s="241"/>
      <c r="M16" s="241"/>
      <c r="P16" s="241"/>
    </row>
    <row r="17" spans="1:10" ht="18" customHeight="1" x14ac:dyDescent="0.25">
      <c r="A17" s="738"/>
      <c r="B17" s="738"/>
      <c r="E17" s="184"/>
      <c r="F17" s="184"/>
      <c r="J17" s="345"/>
    </row>
    <row r="18" spans="1:10" ht="26.25" customHeight="1" x14ac:dyDescent="0.2">
      <c r="A18" s="738"/>
      <c r="B18" s="738"/>
      <c r="D18" s="334" t="s">
        <v>63</v>
      </c>
      <c r="J18" s="345"/>
    </row>
    <row r="19" spans="1:10" ht="18.75" customHeight="1" x14ac:dyDescent="0.2">
      <c r="A19" s="738"/>
      <c r="B19" s="738"/>
      <c r="D19" s="335">
        <f>IF((ROW()-23)&lt;=$E$25,(ROW()-23),"Choisir")</f>
        <v>-4</v>
      </c>
      <c r="J19" s="345"/>
    </row>
    <row r="20" spans="1:10" x14ac:dyDescent="0.2">
      <c r="D20" s="335">
        <f>IF((ROW()-23)&lt;=$E$25,(ROW()-23),"Choisir")</f>
        <v>-3</v>
      </c>
      <c r="J20" s="345"/>
    </row>
    <row r="21" spans="1:10" x14ac:dyDescent="0.2">
      <c r="D21" s="335">
        <f>IF((ROW()-23)&lt;=$E$25,(ROW()-23),"Choisir")</f>
        <v>-2</v>
      </c>
      <c r="J21" s="345"/>
    </row>
    <row r="22" spans="1:10" x14ac:dyDescent="0.2">
      <c r="D22" s="335">
        <f>IF((ROW()-23)&lt;=$E$25,(ROW()-23),"Choisir")</f>
        <v>-1</v>
      </c>
      <c r="J22" s="345"/>
    </row>
    <row r="23" spans="1:10" x14ac:dyDescent="0.2">
      <c r="J23" s="345"/>
    </row>
    <row r="24" spans="1:10" x14ac:dyDescent="0.2">
      <c r="D24" s="198">
        <f>CEILING($B$7, 100)/100</f>
        <v>2</v>
      </c>
      <c r="E24" s="316">
        <f>CEILING($B$8,100)/100</f>
        <v>0</v>
      </c>
      <c r="F24" s="316"/>
      <c r="J24" s="345"/>
    </row>
    <row r="25" spans="1:10" x14ac:dyDescent="0.2">
      <c r="D25" s="198">
        <f>MOD($B$8,100)</f>
        <v>0</v>
      </c>
      <c r="E25" s="199">
        <f>CEILING($B$7/300,1)</f>
        <v>1</v>
      </c>
      <c r="F25" s="199"/>
      <c r="J25" s="345"/>
    </row>
    <row r="26" spans="1:10" x14ac:dyDescent="0.2">
      <c r="J26" s="345"/>
    </row>
    <row r="27" spans="1:10" x14ac:dyDescent="0.2">
      <c r="J27" s="345"/>
    </row>
    <row r="28" spans="1:10" x14ac:dyDescent="0.2">
      <c r="J28" s="345"/>
    </row>
    <row r="29" spans="1:10" x14ac:dyDescent="0.2">
      <c r="J29" s="345"/>
    </row>
    <row r="30" spans="1:10" x14ac:dyDescent="0.2">
      <c r="J30" s="345"/>
    </row>
    <row r="31" spans="1:10" x14ac:dyDescent="0.2">
      <c r="J31" s="345"/>
    </row>
    <row r="32" spans="1:10" x14ac:dyDescent="0.2">
      <c r="J32" s="345"/>
    </row>
    <row r="33" spans="1:10" x14ac:dyDescent="0.2">
      <c r="J33" s="345"/>
    </row>
    <row r="34" spans="1:10" x14ac:dyDescent="0.2">
      <c r="J34" s="345"/>
    </row>
    <row r="35" spans="1:10" x14ac:dyDescent="0.2">
      <c r="J35" s="345"/>
    </row>
    <row r="36" spans="1:10" x14ac:dyDescent="0.2">
      <c r="J36" s="345"/>
    </row>
    <row r="37" spans="1:10" x14ac:dyDescent="0.2">
      <c r="J37" s="345"/>
    </row>
    <row r="38" spans="1:10" x14ac:dyDescent="0.2">
      <c r="J38" s="345"/>
    </row>
    <row r="39" spans="1:10" x14ac:dyDescent="0.2">
      <c r="J39" s="345"/>
    </row>
    <row r="40" spans="1:10" x14ac:dyDescent="0.2">
      <c r="J40" s="345"/>
    </row>
    <row r="41" spans="1:10" x14ac:dyDescent="0.2">
      <c r="J41" s="345"/>
    </row>
    <row r="42" spans="1:10" x14ac:dyDescent="0.2">
      <c r="J42" s="345"/>
    </row>
    <row r="43" spans="1:10" ht="13.5" thickBot="1" x14ac:dyDescent="0.25">
      <c r="A43" s="344"/>
      <c r="B43" s="344"/>
      <c r="C43" s="344"/>
      <c r="D43" s="344"/>
      <c r="E43" s="344"/>
      <c r="F43" s="344"/>
      <c r="G43" s="344"/>
      <c r="H43" s="344"/>
      <c r="I43" s="344"/>
      <c r="J43" s="347"/>
    </row>
    <row r="44" spans="1:10" ht="13.5" thickTop="1" x14ac:dyDescent="0.2">
      <c r="J44" s="345"/>
    </row>
    <row r="45" spans="1:10" x14ac:dyDescent="0.2">
      <c r="J45" s="345"/>
    </row>
    <row r="46" spans="1:10" x14ac:dyDescent="0.2">
      <c r="E46" s="125"/>
      <c r="F46" s="125"/>
      <c r="J46" s="345"/>
    </row>
    <row r="47" spans="1:10" ht="13.5" thickBot="1" x14ac:dyDescent="0.25">
      <c r="E47" s="125"/>
      <c r="F47" s="125"/>
      <c r="J47" s="345"/>
    </row>
    <row r="48" spans="1:10" ht="20.100000000000001" customHeight="1" thickBot="1" x14ac:dyDescent="0.25">
      <c r="D48" s="188" t="s">
        <v>76</v>
      </c>
      <c r="E48" s="726" t="s">
        <v>115</v>
      </c>
      <c r="F48" s="727"/>
      <c r="G48" s="727"/>
      <c r="H48" s="728"/>
      <c r="I48" s="293" t="s">
        <v>7</v>
      </c>
      <c r="J48" s="345"/>
    </row>
    <row r="49" spans="3:10" ht="47.25" customHeight="1" thickBot="1" x14ac:dyDescent="0.25">
      <c r="C49" s="186"/>
      <c r="D49" s="271" t="s">
        <v>79</v>
      </c>
      <c r="E49" s="641" t="str">
        <f>E2</f>
        <v>M. Pierre-Yves 
TIERCE</v>
      </c>
      <c r="F49" s="596" t="str">
        <f t="shared" ref="F49" si="3">F2</f>
        <v>Mme Isabelle 
FARNET RISSO</v>
      </c>
      <c r="G49" s="306" t="s">
        <v>3</v>
      </c>
      <c r="H49" s="307" t="s">
        <v>4</v>
      </c>
      <c r="I49" s="295" t="s">
        <v>101</v>
      </c>
      <c r="J49" s="345"/>
    </row>
    <row r="50" spans="3:10" ht="19.5" customHeight="1" x14ac:dyDescent="0.2">
      <c r="C50" s="187"/>
      <c r="D50" s="270" t="s">
        <v>78</v>
      </c>
      <c r="E50" s="233"/>
      <c r="F50" s="233"/>
      <c r="G50" s="236"/>
      <c r="H50" s="235"/>
      <c r="I50" s="294">
        <f t="shared" ref="I50:I59" si="4">SUM(E50:H50)</f>
        <v>0</v>
      </c>
      <c r="J50" s="345"/>
    </row>
    <row r="51" spans="3:10" ht="20.100000000000001" customHeight="1" x14ac:dyDescent="0.2">
      <c r="C51" s="187"/>
      <c r="D51" s="270" t="s">
        <v>78</v>
      </c>
      <c r="E51" s="233"/>
      <c r="F51" s="233"/>
      <c r="G51" s="236"/>
      <c r="H51" s="235"/>
      <c r="I51" s="294">
        <f t="shared" si="4"/>
        <v>0</v>
      </c>
      <c r="J51" s="345"/>
    </row>
    <row r="52" spans="3:10" ht="20.100000000000001" customHeight="1" x14ac:dyDescent="0.2">
      <c r="C52" s="187"/>
      <c r="D52" s="270" t="s">
        <v>78</v>
      </c>
      <c r="E52" s="233"/>
      <c r="F52" s="233"/>
      <c r="G52" s="236"/>
      <c r="H52" s="235"/>
      <c r="I52" s="294">
        <f t="shared" si="4"/>
        <v>0</v>
      </c>
      <c r="J52" s="345"/>
    </row>
    <row r="53" spans="3:10" ht="20.100000000000001" customHeight="1" x14ac:dyDescent="0.2">
      <c r="C53" s="187"/>
      <c r="D53" s="270" t="s">
        <v>78</v>
      </c>
      <c r="E53" s="233"/>
      <c r="F53" s="233"/>
      <c r="G53" s="236"/>
      <c r="H53" s="235"/>
      <c r="I53" s="294">
        <f t="shared" si="4"/>
        <v>0</v>
      </c>
      <c r="J53" s="345"/>
    </row>
    <row r="54" spans="3:10" ht="20.100000000000001" customHeight="1" x14ac:dyDescent="0.2">
      <c r="C54" s="187"/>
      <c r="D54" s="270" t="s">
        <v>78</v>
      </c>
      <c r="E54" s="233"/>
      <c r="F54" s="233"/>
      <c r="G54" s="236"/>
      <c r="H54" s="235"/>
      <c r="I54" s="294">
        <f t="shared" si="4"/>
        <v>0</v>
      </c>
      <c r="J54" s="345"/>
    </row>
    <row r="55" spans="3:10" ht="20.100000000000001" customHeight="1" x14ac:dyDescent="0.2">
      <c r="C55" s="187"/>
      <c r="D55" s="270" t="s">
        <v>78</v>
      </c>
      <c r="E55" s="233"/>
      <c r="F55" s="233"/>
      <c r="G55" s="236"/>
      <c r="H55" s="235"/>
      <c r="I55" s="294">
        <f t="shared" si="4"/>
        <v>0</v>
      </c>
      <c r="J55" s="345"/>
    </row>
    <row r="56" spans="3:10" ht="20.100000000000001" customHeight="1" x14ac:dyDescent="0.2">
      <c r="C56" s="187"/>
      <c r="D56" s="270" t="s">
        <v>78</v>
      </c>
      <c r="E56" s="233"/>
      <c r="F56" s="233"/>
      <c r="G56" s="236"/>
      <c r="H56" s="235"/>
      <c r="I56" s="294">
        <f t="shared" si="4"/>
        <v>0</v>
      </c>
      <c r="J56" s="345"/>
    </row>
    <row r="57" spans="3:10" ht="20.100000000000001" customHeight="1" x14ac:dyDescent="0.2">
      <c r="C57" s="187"/>
      <c r="D57" s="270" t="s">
        <v>78</v>
      </c>
      <c r="E57" s="233"/>
      <c r="F57" s="233"/>
      <c r="G57" s="236"/>
      <c r="H57" s="235"/>
      <c r="I57" s="294">
        <f t="shared" si="4"/>
        <v>0</v>
      </c>
      <c r="J57" s="345"/>
    </row>
    <row r="58" spans="3:10" ht="20.100000000000001" customHeight="1" x14ac:dyDescent="0.2">
      <c r="C58" s="187"/>
      <c r="D58" s="270" t="s">
        <v>78</v>
      </c>
      <c r="E58" s="233"/>
      <c r="F58" s="233"/>
      <c r="G58" s="236"/>
      <c r="H58" s="235"/>
      <c r="I58" s="294">
        <f t="shared" si="4"/>
        <v>0</v>
      </c>
      <c r="J58" s="345"/>
    </row>
    <row r="59" spans="3:10" ht="20.100000000000001" customHeight="1" thickBot="1" x14ac:dyDescent="0.25">
      <c r="C59" s="187"/>
      <c r="D59" s="274" t="s">
        <v>78</v>
      </c>
      <c r="E59" s="275"/>
      <c r="F59" s="275"/>
      <c r="G59" s="278"/>
      <c r="H59" s="277"/>
      <c r="I59" s="294">
        <f t="shared" si="4"/>
        <v>0</v>
      </c>
      <c r="J59" s="345"/>
    </row>
    <row r="60" spans="3:10" x14ac:dyDescent="0.2">
      <c r="I60" s="241"/>
      <c r="J60" s="345"/>
    </row>
    <row r="61" spans="3:10" x14ac:dyDescent="0.2">
      <c r="J61" s="345"/>
    </row>
    <row r="62" spans="3:10" x14ac:dyDescent="0.2">
      <c r="J62" s="345"/>
    </row>
    <row r="63" spans="3:10" ht="18" x14ac:dyDescent="0.25">
      <c r="E63" s="184"/>
      <c r="F63" s="184"/>
      <c r="J63" s="345"/>
    </row>
    <row r="64" spans="3:10" x14ac:dyDescent="0.2">
      <c r="J64" s="345"/>
    </row>
    <row r="65" spans="4:10" ht="13.5" thickBot="1" x14ac:dyDescent="0.25">
      <c r="J65" s="345"/>
    </row>
    <row r="66" spans="4:10" ht="16.5" customHeight="1" thickBot="1" x14ac:dyDescent="0.25">
      <c r="D66" s="188" t="s">
        <v>77</v>
      </c>
      <c r="E66" s="726" t="s">
        <v>116</v>
      </c>
      <c r="F66" s="727"/>
      <c r="G66" s="727"/>
      <c r="H66" s="728"/>
      <c r="I66" s="293" t="s">
        <v>7</v>
      </c>
      <c r="J66" s="345"/>
    </row>
    <row r="67" spans="4:10" ht="42" customHeight="1" thickBot="1" x14ac:dyDescent="0.25">
      <c r="D67" s="271" t="s">
        <v>79</v>
      </c>
      <c r="E67" s="641" t="str">
        <f>E2</f>
        <v>M. Pierre-Yves 
TIERCE</v>
      </c>
      <c r="F67" s="596" t="str">
        <f t="shared" ref="F67" si="5">F2</f>
        <v>Mme Isabelle 
FARNET RISSO</v>
      </c>
      <c r="G67" s="306" t="s">
        <v>3</v>
      </c>
      <c r="H67" s="307" t="s">
        <v>4</v>
      </c>
      <c r="I67" s="300" t="s">
        <v>101</v>
      </c>
      <c r="J67" s="345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7">
        <f>SUM(E68:H68)</f>
        <v>0</v>
      </c>
      <c r="J68" s="345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31">
        <f>SUM(E69:H69)</f>
        <v>0</v>
      </c>
      <c r="J69" s="345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31">
        <f>SUM(E70:H70)</f>
        <v>0</v>
      </c>
      <c r="J70" s="345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31">
        <f>SUM(E71:H71)</f>
        <v>0</v>
      </c>
      <c r="J71" s="345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8">
        <f>SUM(E72:H72)</f>
        <v>0</v>
      </c>
      <c r="J72" s="345"/>
    </row>
    <row r="73" spans="4:10" ht="20.100000000000001" customHeight="1" x14ac:dyDescent="0.2">
      <c r="D73" s="189"/>
      <c r="E73" s="187"/>
      <c r="F73" s="187"/>
      <c r="G73" s="187"/>
      <c r="H73" s="187"/>
      <c r="J73" s="345"/>
    </row>
    <row r="74" spans="4:10" ht="20.100000000000001" customHeight="1" x14ac:dyDescent="0.2">
      <c r="D74" s="189"/>
      <c r="E74" s="187"/>
      <c r="F74" s="187"/>
      <c r="G74" s="187"/>
      <c r="H74" s="187"/>
      <c r="J74" s="345"/>
    </row>
    <row r="75" spans="4:10" ht="20.100000000000001" customHeight="1" thickBot="1" x14ac:dyDescent="0.25">
      <c r="D75" s="189"/>
      <c r="E75" s="187"/>
      <c r="F75" s="187"/>
      <c r="G75" s="187"/>
      <c r="H75" s="187"/>
      <c r="J75" s="345"/>
    </row>
    <row r="76" spans="4:10" ht="20.100000000000001" customHeight="1" thickBot="1" x14ac:dyDescent="0.25">
      <c r="D76" s="188" t="s">
        <v>81</v>
      </c>
      <c r="E76" s="726" t="s">
        <v>117</v>
      </c>
      <c r="F76" s="727"/>
      <c r="G76" s="727"/>
      <c r="H76" s="728"/>
      <c r="I76" s="299" t="s">
        <v>7</v>
      </c>
      <c r="J76" s="345"/>
    </row>
    <row r="77" spans="4:10" ht="39.75" customHeight="1" thickBot="1" x14ac:dyDescent="0.25">
      <c r="D77" s="271" t="s">
        <v>79</v>
      </c>
      <c r="E77" s="641" t="str">
        <f>E2</f>
        <v>M. Pierre-Yves 
TIERCE</v>
      </c>
      <c r="F77" s="596" t="str">
        <f t="shared" ref="F77" si="6">F2</f>
        <v>Mme Isabelle 
FARNET RISSO</v>
      </c>
      <c r="G77" s="306" t="s">
        <v>3</v>
      </c>
      <c r="H77" s="307" t="s">
        <v>4</v>
      </c>
      <c r="I77" s="296" t="s">
        <v>101</v>
      </c>
      <c r="J77" s="345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7">
        <f>SUM(E78:H78)</f>
        <v>0</v>
      </c>
      <c r="J78" s="345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31">
        <f>SUM(E79:H79)</f>
        <v>0</v>
      </c>
      <c r="J79" s="345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8">
        <f>SUM(E80:H80)</f>
        <v>0</v>
      </c>
      <c r="J80" s="345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45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45"/>
    </row>
  </sheetData>
  <sheetProtection algorithmName="SHA-512" hashValue="FjeAXSoOHpQqTIfCng2gcQjhlngxiLGs5sRiuQc8zyEVfXnp6aur9NawQlMs3X8WxoGyf2YDTJVyeEAozUHiUg==" saltValue="IwL6+55NY46u2W4v81ZNOg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304" priority="1" operator="equal">
      <formula>0</formula>
    </cfRule>
    <cfRule type="cellIs" dxfId="303" priority="6" operator="notEqual">
      <formula>$B$8</formula>
    </cfRule>
  </conditionalFormatting>
  <conditionalFormatting sqref="E3:I12">
    <cfRule type="cellIs" dxfId="302" priority="5" operator="notBetween">
      <formula>0</formula>
      <formula>100</formula>
    </cfRule>
  </conditionalFormatting>
  <conditionalFormatting sqref="E3:I14">
    <cfRule type="cellIs" dxfId="301" priority="8" operator="lessThan">
      <formula>0</formula>
    </cfRule>
  </conditionalFormatting>
  <conditionalFormatting sqref="E14:I14">
    <cfRule type="cellIs" dxfId="300" priority="11" operator="greaterThan">
      <formula>1</formula>
    </cfRule>
  </conditionalFormatting>
  <conditionalFormatting sqref="I3:I13">
    <cfRule type="cellIs" dxfId="299" priority="9" operator="equal">
      <formula>0</formula>
    </cfRule>
  </conditionalFormatting>
  <conditionalFormatting sqref="I14">
    <cfRule type="cellIs" dxfId="298" priority="10" operator="equal">
      <formula>1</formula>
    </cfRule>
    <cfRule type="cellIs" dxfId="297" priority="12" operator="lessThan">
      <formula>1</formula>
    </cfRule>
  </conditionalFormatting>
  <conditionalFormatting sqref="M4:M15">
    <cfRule type="cellIs" dxfId="296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295" priority="3">
      <formula>AND(E50&lt;MAX(E$50:E50), NOT(ISBLANK(E50)), NOT(E50=0))</formula>
    </cfRule>
  </conditionalFormatting>
  <conditionalFormatting sqref="E68:H72">
    <cfRule type="expression" dxfId="294" priority="2">
      <formula>AND(E68&lt;MAX(E$68:E68), NOT(ISBLANK(E68)), NOT(E68=0))</formula>
    </cfRule>
  </conditionalFormatting>
  <conditionalFormatting sqref="E78:H80">
    <cfRule type="expression" dxfId="293" priority="13">
      <formula>AND(E78&lt;MAX(E$78:E78), NOT(ISBLANK(E78)), NOT(E78=0))</formula>
    </cfRule>
  </conditionalFormatting>
  <conditionalFormatting sqref="I3:I12">
    <cfRule type="expression" dxfId="292" priority="14">
      <formula>AND($D3=$E$24, I3=$D$25)</formula>
    </cfRule>
    <cfRule type="expression" dxfId="291" priority="15">
      <formula>AND($D3=$E$24, MOD(I3,100)&gt;$D$25)</formula>
    </cfRule>
    <cfRule type="cellIs" dxfId="290" priority="16" operator="equal">
      <formula>100</formula>
    </cfRule>
  </conditionalFormatting>
  <conditionalFormatting sqref="H3:H12 E3:F12">
    <cfRule type="expression" dxfId="289" priority="17">
      <formula>($D3&lt;=$E$24)</formula>
    </cfRule>
  </conditionalFormatting>
  <conditionalFormatting sqref="H3:H12 D3:F12">
    <cfRule type="expression" dxfId="288" priority="18">
      <formula>($D3&gt;$E$24)</formula>
    </cfRule>
  </conditionalFormatting>
  <conditionalFormatting sqref="G3:G12">
    <cfRule type="expression" dxfId="287" priority="19">
      <formula>($D3&lt;=$E$24)</formula>
    </cfRule>
  </conditionalFormatting>
  <conditionalFormatting sqref="G3:G12">
    <cfRule type="expression" dxfId="286" priority="20">
      <formula>($D3&gt;$E$24)</formula>
    </cfRule>
  </conditionalFormatting>
  <conditionalFormatting sqref="I50 I68:I72 I78:I80 I52:I59">
    <cfRule type="cellIs" dxfId="285" priority="21" operator="lessThan">
      <formula>0</formula>
    </cfRule>
    <cfRule type="cellIs" dxfId="284" priority="22" operator="equal">
      <formula>0</formula>
    </cfRule>
    <cfRule type="expression" dxfId="283" priority="23">
      <formula>OR(MOD($I50,100)=0,AND($D50=$E$24,MOD($I50,100)=$D$25))</formula>
    </cfRule>
  </conditionalFormatting>
  <conditionalFormatting sqref="I13">
    <cfRule type="cellIs" dxfId="282" priority="24" operator="equal">
      <formula>$B$8</formula>
    </cfRule>
  </conditionalFormatting>
  <conditionalFormatting sqref="E50:H59 E68:H72 E78:H80">
    <cfRule type="cellIs" dxfId="281" priority="25" operator="notBetween">
      <formula>0</formula>
      <formula>$B$8</formula>
    </cfRule>
    <cfRule type="expression" dxfId="280" priority="26">
      <formula>($D50&lt;=$E$24)</formula>
    </cfRule>
    <cfRule type="expression" dxfId="279" priority="27">
      <formula>($D50&gt;$E$24)</formula>
    </cfRule>
  </conditionalFormatting>
  <conditionalFormatting sqref="I51">
    <cfRule type="cellIs" dxfId="278" priority="28" operator="notBetween">
      <formula>0</formula>
      <formula>$B$8</formula>
    </cfRule>
    <cfRule type="cellIs" dxfId="277" priority="29" operator="equal">
      <formula>0</formula>
    </cfRule>
    <cfRule type="expression" dxfId="276" priority="30">
      <formula>OR(MOD($I51,100)=0,AND($D51=$E$24,MOD($I51,100)=$D$25))</formula>
    </cfRule>
  </conditionalFormatting>
  <conditionalFormatting sqref="L4:L15">
    <cfRule type="expression" dxfId="275" priority="31">
      <formula>AND($L4&lt;$L3, NOT(ISBLANK($L4)))</formula>
    </cfRule>
    <cfRule type="cellIs" dxfId="274" priority="32" operator="greaterThan">
      <formula>$B$7</formula>
    </cfRule>
  </conditionalFormatting>
  <dataValidations count="2">
    <dataValidation type="list" allowBlank="1" showInputMessage="1" showErrorMessage="1" sqref="C50:C59" xr:uid="{6077B76F-C38F-4790-9EB7-E8A63F7097EA}">
      <formula1>$D$19:$D$21</formula1>
    </dataValidation>
    <dataValidation type="list" allowBlank="1" showInputMessage="1" showErrorMessage="1" sqref="D68:D72 D78:D82 D50:D59" xr:uid="{8D38BF5C-C5CD-4DA8-9356-5322996B4A3A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6A2C4-61CA-42BA-9B38-EF818D08F7CC}">
  <sheetPr codeName="Feuil48">
    <tabColor rgb="FFB4A7D6"/>
  </sheetPr>
  <dimension ref="A1:Q82"/>
  <sheetViews>
    <sheetView zoomScale="90" zoomScaleNormal="90" workbookViewId="0">
      <selection activeCell="L4" sqref="L4"/>
    </sheetView>
    <sheetView workbookViewId="1"/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40" t="str">
        <f>Synthèse!$A$17</f>
        <v>Date</v>
      </c>
      <c r="B1" s="753">
        <f>Synthèse!$B$17</f>
        <v>46103</v>
      </c>
      <c r="D1" s="230"/>
      <c r="E1" s="729" t="s">
        <v>118</v>
      </c>
      <c r="F1" s="730"/>
      <c r="G1" s="739"/>
      <c r="H1" s="740"/>
      <c r="I1" s="303" t="s">
        <v>7</v>
      </c>
      <c r="J1" s="345"/>
    </row>
    <row r="2" spans="1:17" ht="45" customHeight="1" thickBot="1" x14ac:dyDescent="0.25">
      <c r="A2" s="441" t="str">
        <f>Synthèse!$A$18</f>
        <v>Election</v>
      </c>
      <c r="B2" s="754" t="str">
        <f>Synthèse!$B$18</f>
        <v>Municipales</v>
      </c>
      <c r="D2" s="445" t="s">
        <v>80</v>
      </c>
      <c r="E2" s="640" t="str">
        <f>Synthèse!L2</f>
        <v>M. Pierre-Yves 
TIERCE</v>
      </c>
      <c r="F2" s="595" t="str">
        <f>Synthèse!M2</f>
        <v>Mme Isabelle 
FARNET RISSO</v>
      </c>
      <c r="G2" s="764" t="s">
        <v>4</v>
      </c>
      <c r="H2" s="765" t="s">
        <v>3</v>
      </c>
      <c r="I2" s="766" t="s">
        <v>102</v>
      </c>
      <c r="J2" s="345"/>
      <c r="K2" s="481" t="s">
        <v>21</v>
      </c>
      <c r="L2" s="482" t="s">
        <v>56</v>
      </c>
      <c r="M2" s="483" t="s">
        <v>30</v>
      </c>
      <c r="N2" s="460"/>
      <c r="O2" s="736" t="s">
        <v>58</v>
      </c>
      <c r="P2" s="736" t="s">
        <v>57</v>
      </c>
    </row>
    <row r="3" spans="1:17" ht="20.100000000000001" customHeight="1" thickBot="1" x14ac:dyDescent="0.25">
      <c r="A3" s="747" t="str">
        <f>Synthèse!$A$19</f>
        <v>Tour</v>
      </c>
      <c r="B3" s="755">
        <f>Synthèse!$B$19</f>
        <v>2</v>
      </c>
      <c r="D3" s="264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1">
        <f t="shared" ref="I3:I13" si="0">SUM(E3:H3)</f>
        <v>0</v>
      </c>
      <c r="J3" s="345"/>
      <c r="K3" s="457" t="s">
        <v>31</v>
      </c>
      <c r="L3" s="458">
        <v>0</v>
      </c>
      <c r="M3" s="459">
        <f>L3/$B$7</f>
        <v>0</v>
      </c>
      <c r="N3" s="460"/>
      <c r="O3" s="737"/>
      <c r="P3" s="737"/>
    </row>
    <row r="4" spans="1:17" ht="20.100000000000001" customHeight="1" thickBot="1" x14ac:dyDescent="0.25">
      <c r="A4" s="748" t="str">
        <f>Synthèse!$A$20</f>
        <v>Ville</v>
      </c>
      <c r="B4" s="756">
        <v>6</v>
      </c>
      <c r="D4" s="265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31">
        <f t="shared" si="0"/>
        <v>0</v>
      </c>
      <c r="J4" s="345"/>
      <c r="K4" s="461" t="s">
        <v>32</v>
      </c>
      <c r="L4" s="462"/>
      <c r="M4" s="463" t="e">
        <f>IF(OR(L4=0, L4=""), NA(), L4/$B$7)</f>
        <v>#N/A</v>
      </c>
      <c r="N4" s="460"/>
      <c r="O4" s="464" t="s">
        <v>44</v>
      </c>
      <c r="P4" s="465" t="e">
        <f t="shared" ref="P4:P13" si="1">IF(L4&lt;&gt;0,L4-L3,NA())</f>
        <v>#N/A</v>
      </c>
    </row>
    <row r="5" spans="1:17" ht="20.100000000000001" customHeight="1" x14ac:dyDescent="0.25">
      <c r="A5" s="442" t="s">
        <v>22</v>
      </c>
      <c r="B5" s="348" t="str">
        <f>INDEX(Synthèse!B:B,B4+2)</f>
        <v>COSEC</v>
      </c>
      <c r="D5" s="265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8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31">
        <f t="shared" si="0"/>
        <v>0</v>
      </c>
      <c r="J5" s="346"/>
      <c r="K5" s="461" t="s">
        <v>33</v>
      </c>
      <c r="L5" s="462"/>
      <c r="M5" s="463" t="e">
        <f>IF(OR(L5=0, L5=""), NA(), L5/$B$7)</f>
        <v>#N/A</v>
      </c>
      <c r="N5" s="460"/>
      <c r="O5" s="466" t="s">
        <v>45</v>
      </c>
      <c r="P5" s="467" t="e">
        <f t="shared" si="1"/>
        <v>#N/A</v>
      </c>
    </row>
    <row r="6" spans="1:17" ht="20.100000000000001" customHeight="1" x14ac:dyDescent="0.25">
      <c r="A6" s="443" t="s">
        <v>23</v>
      </c>
      <c r="B6" s="349">
        <f>INDEX(Synthèse!C:C,B4+2)</f>
        <v>712</v>
      </c>
      <c r="D6" s="265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8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31">
        <f t="shared" si="0"/>
        <v>0</v>
      </c>
      <c r="J6" s="346"/>
      <c r="K6" s="461" t="s">
        <v>34</v>
      </c>
      <c r="L6" s="462"/>
      <c r="M6" s="463" t="e">
        <f>IF(OR(L6=0, L6=""), NA(), L6/$B$7)</f>
        <v>#N/A</v>
      </c>
      <c r="N6" s="460"/>
      <c r="O6" s="466" t="s">
        <v>46</v>
      </c>
      <c r="P6" s="467" t="e">
        <f t="shared" si="1"/>
        <v>#N/A</v>
      </c>
    </row>
    <row r="7" spans="1:17" ht="20.100000000000001" customHeight="1" x14ac:dyDescent="0.25">
      <c r="A7" s="443" t="s">
        <v>0</v>
      </c>
      <c r="B7" s="143">
        <v>200</v>
      </c>
      <c r="D7" s="265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31">
        <f t="shared" si="0"/>
        <v>0</v>
      </c>
      <c r="J7" s="346"/>
      <c r="K7" s="461" t="s">
        <v>35</v>
      </c>
      <c r="L7" s="462"/>
      <c r="M7" s="463" t="e">
        <f>IF(OR(L7=0, L7=""), NA(), L7/$B$7)</f>
        <v>#N/A</v>
      </c>
      <c r="N7" s="460"/>
      <c r="O7" s="466" t="s">
        <v>53</v>
      </c>
      <c r="P7" s="467" t="e">
        <f t="shared" si="1"/>
        <v>#N/A</v>
      </c>
    </row>
    <row r="8" spans="1:17" ht="20.100000000000001" customHeight="1" x14ac:dyDescent="0.25">
      <c r="A8" s="443" t="s">
        <v>2</v>
      </c>
      <c r="B8" s="122">
        <f>MAX(L4:L15)</f>
        <v>0</v>
      </c>
      <c r="D8" s="265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31">
        <f t="shared" si="0"/>
        <v>0</v>
      </c>
      <c r="J8" s="346"/>
      <c r="K8" s="461" t="s">
        <v>36</v>
      </c>
      <c r="L8" s="462"/>
      <c r="M8" s="463" t="e">
        <f>IF(OR(L8=0, L8=""), NA(), L8/$B$7)</f>
        <v>#N/A</v>
      </c>
      <c r="N8" s="460"/>
      <c r="O8" s="466" t="s">
        <v>47</v>
      </c>
      <c r="P8" s="467" t="e">
        <f t="shared" si="1"/>
        <v>#N/A</v>
      </c>
    </row>
    <row r="9" spans="1:17" ht="20.100000000000001" customHeight="1" x14ac:dyDescent="0.25">
      <c r="A9" s="443" t="s">
        <v>1</v>
      </c>
      <c r="B9" s="123"/>
      <c r="D9" s="265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31">
        <f t="shared" si="0"/>
        <v>0</v>
      </c>
      <c r="J9" s="346"/>
      <c r="K9" s="461" t="s">
        <v>37</v>
      </c>
      <c r="L9" s="462"/>
      <c r="M9" s="463" t="e">
        <f>IF(OR(L9=0, L9=""), NA(), L9/$B$7)</f>
        <v>#N/A</v>
      </c>
      <c r="N9" s="460"/>
      <c r="O9" s="466" t="s">
        <v>48</v>
      </c>
      <c r="P9" s="467" t="e">
        <f t="shared" si="1"/>
        <v>#N/A</v>
      </c>
    </row>
    <row r="10" spans="1:17" ht="20.100000000000001" customHeight="1" thickBot="1" x14ac:dyDescent="0.3">
      <c r="A10" s="444" t="s">
        <v>17</v>
      </c>
      <c r="B10" s="124">
        <f>B7-B8</f>
        <v>200</v>
      </c>
      <c r="D10" s="265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31">
        <f t="shared" si="0"/>
        <v>0</v>
      </c>
      <c r="J10" s="346"/>
      <c r="K10" s="461" t="s">
        <v>38</v>
      </c>
      <c r="L10" s="462"/>
      <c r="M10" s="463" t="e">
        <f>IF(OR(L10=0, L10=""), NA(), L10/$B$7)</f>
        <v>#N/A</v>
      </c>
      <c r="N10" s="460"/>
      <c r="O10" s="466" t="s">
        <v>49</v>
      </c>
      <c r="P10" s="467" t="e">
        <f t="shared" si="1"/>
        <v>#N/A</v>
      </c>
    </row>
    <row r="11" spans="1:17" ht="20.100000000000001" customHeight="1" x14ac:dyDescent="0.2">
      <c r="A11" s="757" t="s">
        <v>155</v>
      </c>
      <c r="B11" s="757"/>
      <c r="D11" s="265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31">
        <f t="shared" si="0"/>
        <v>0</v>
      </c>
      <c r="J11" s="346"/>
      <c r="K11" s="461" t="s">
        <v>39</v>
      </c>
      <c r="L11" s="462"/>
      <c r="M11" s="463" t="e">
        <f>IF(OR(L11=0, L11=""), NA(), L11/$B$7)</f>
        <v>#N/A</v>
      </c>
      <c r="N11" s="460"/>
      <c r="O11" s="466" t="s">
        <v>50</v>
      </c>
      <c r="P11" s="467" t="e">
        <f t="shared" si="1"/>
        <v>#N/A</v>
      </c>
    </row>
    <row r="12" spans="1:17" ht="20.100000000000001" customHeight="1" thickBot="1" x14ac:dyDescent="0.25">
      <c r="A12" s="758"/>
      <c r="B12" s="758"/>
      <c r="D12" s="266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31">
        <f t="shared" si="0"/>
        <v>0</v>
      </c>
      <c r="J12" s="346"/>
      <c r="K12" s="461" t="s">
        <v>40</v>
      </c>
      <c r="L12" s="462"/>
      <c r="M12" s="463" t="e">
        <f>IF(OR(L12=0, L12=""), NA(), L12/$B$7)</f>
        <v>#N/A</v>
      </c>
      <c r="N12" s="460"/>
      <c r="O12" s="466" t="s">
        <v>51</v>
      </c>
      <c r="P12" s="467" t="e">
        <f t="shared" si="1"/>
        <v>#N/A</v>
      </c>
    </row>
    <row r="13" spans="1:17" ht="24.95" customHeight="1" thickBot="1" x14ac:dyDescent="0.4">
      <c r="A13" s="734" t="s">
        <v>60</v>
      </c>
      <c r="B13" s="734"/>
      <c r="D13" s="446" t="s">
        <v>9</v>
      </c>
      <c r="E13" s="450">
        <f>SUM(E3:E12)</f>
        <v>0</v>
      </c>
      <c r="F13" s="451">
        <f t="shared" ref="F13" si="2">SUM(F3:F12)</f>
        <v>0</v>
      </c>
      <c r="G13" s="452">
        <f>SUM(G3:G12)</f>
        <v>0</v>
      </c>
      <c r="H13" s="453">
        <f>SUM(H3:H12)</f>
        <v>0</v>
      </c>
      <c r="I13" s="447">
        <f t="shared" si="0"/>
        <v>0</v>
      </c>
      <c r="J13" s="346"/>
      <c r="K13" s="461" t="s">
        <v>41</v>
      </c>
      <c r="L13" s="462"/>
      <c r="M13" s="463" t="e">
        <f>IF(OR(L13=0, L13=""), NA(), L13/$B$7)</f>
        <v>#N/A</v>
      </c>
      <c r="N13" s="460"/>
      <c r="O13" s="468" t="s">
        <v>52</v>
      </c>
      <c r="P13" s="469" t="e">
        <f t="shared" si="1"/>
        <v>#N/A</v>
      </c>
    </row>
    <row r="14" spans="1:17" ht="26.45" customHeight="1" thickBot="1" x14ac:dyDescent="0.4">
      <c r="A14" s="734"/>
      <c r="B14" s="734"/>
      <c r="D14" s="448" t="s">
        <v>10</v>
      </c>
      <c r="E14" s="454">
        <f>IFERROR(E13/$B$8,0)</f>
        <v>0</v>
      </c>
      <c r="F14" s="455">
        <f>IFERROR(F13/$B$8,0)</f>
        <v>0</v>
      </c>
      <c r="G14" s="454">
        <f>IFERROR(G13/$B$8,0)</f>
        <v>0</v>
      </c>
      <c r="H14" s="456">
        <f>IFERROR(H13/$B$8,0)</f>
        <v>0</v>
      </c>
      <c r="I14" s="449">
        <f>IFERROR(I13/$B$8,0)</f>
        <v>0</v>
      </c>
      <c r="J14" s="345"/>
      <c r="K14" s="470" t="s">
        <v>42</v>
      </c>
      <c r="L14" s="471"/>
      <c r="M14" s="472" t="e">
        <f>IF(OR(L14=0, L14=""), NA(), L14/$B$7)</f>
        <v>#N/A</v>
      </c>
      <c r="N14" s="473"/>
      <c r="O14" s="474" t="s">
        <v>54</v>
      </c>
      <c r="P14" s="475" t="e">
        <f>IF(L14&lt;&gt;0,L14-L13,NA())</f>
        <v>#N/A</v>
      </c>
      <c r="Q14" s="287"/>
    </row>
    <row r="15" spans="1:17" ht="18" customHeight="1" thickBot="1" x14ac:dyDescent="0.25">
      <c r="A15" s="734"/>
      <c r="B15" s="734"/>
      <c r="C15" s="1"/>
      <c r="D15" s="1"/>
      <c r="I15" s="241"/>
      <c r="J15" s="345"/>
      <c r="K15" s="476" t="s">
        <v>43</v>
      </c>
      <c r="L15" s="477"/>
      <c r="M15" s="478" t="e">
        <f>IF(OR(L15=0, L15=""), NA(), L15/$B$7)</f>
        <v>#N/A</v>
      </c>
      <c r="N15" s="460"/>
      <c r="O15" s="479" t="s">
        <v>55</v>
      </c>
      <c r="P15" s="480" t="e">
        <f>IF(L15&lt;&gt;0,L15-L14,NA())</f>
        <v>#N/A</v>
      </c>
      <c r="Q15" s="287"/>
    </row>
    <row r="16" spans="1:17" ht="12.75" customHeight="1" x14ac:dyDescent="0.2">
      <c r="A16" s="738" t="s">
        <v>66</v>
      </c>
      <c r="B16" s="738"/>
      <c r="J16" s="345"/>
      <c r="K16" s="241"/>
      <c r="L16" s="241"/>
      <c r="M16" s="241"/>
      <c r="P16" s="241"/>
    </row>
    <row r="17" spans="1:10" ht="18" customHeight="1" x14ac:dyDescent="0.25">
      <c r="A17" s="738"/>
      <c r="B17" s="738"/>
      <c r="E17" s="184"/>
      <c r="F17" s="184"/>
      <c r="J17" s="345"/>
    </row>
    <row r="18" spans="1:10" ht="26.25" customHeight="1" x14ac:dyDescent="0.2">
      <c r="A18" s="738"/>
      <c r="B18" s="738"/>
      <c r="D18" s="334" t="s">
        <v>63</v>
      </c>
      <c r="J18" s="345"/>
    </row>
    <row r="19" spans="1:10" ht="18.75" customHeight="1" x14ac:dyDescent="0.2">
      <c r="A19" s="738"/>
      <c r="B19" s="738"/>
      <c r="D19" s="335">
        <f>IF((ROW()-23)&lt;=$E$25,(ROW()-23),"Choisir")</f>
        <v>-4</v>
      </c>
      <c r="J19" s="345"/>
    </row>
    <row r="20" spans="1:10" x14ac:dyDescent="0.2">
      <c r="D20" s="335">
        <f>IF((ROW()-23)&lt;=$E$25,(ROW()-23),"Choisir")</f>
        <v>-3</v>
      </c>
      <c r="J20" s="345"/>
    </row>
    <row r="21" spans="1:10" x14ac:dyDescent="0.2">
      <c r="D21" s="335">
        <f>IF((ROW()-23)&lt;=$E$25,(ROW()-23),"Choisir")</f>
        <v>-2</v>
      </c>
      <c r="J21" s="345"/>
    </row>
    <row r="22" spans="1:10" x14ac:dyDescent="0.2">
      <c r="D22" s="335">
        <f>IF((ROW()-23)&lt;=$E$25,(ROW()-23),"Choisir")</f>
        <v>-1</v>
      </c>
      <c r="J22" s="345"/>
    </row>
    <row r="23" spans="1:10" x14ac:dyDescent="0.2">
      <c r="J23" s="345"/>
    </row>
    <row r="24" spans="1:10" x14ac:dyDescent="0.2">
      <c r="D24" s="198">
        <f>CEILING($B$7, 100)/100</f>
        <v>2</v>
      </c>
      <c r="E24" s="316">
        <f>CEILING($B$8,100)/100</f>
        <v>0</v>
      </c>
      <c r="F24" s="316"/>
      <c r="J24" s="345"/>
    </row>
    <row r="25" spans="1:10" x14ac:dyDescent="0.2">
      <c r="D25" s="198">
        <f>MOD($B$8,100)</f>
        <v>0</v>
      </c>
      <c r="E25" s="199">
        <f>CEILING($B$7/300,1)</f>
        <v>1</v>
      </c>
      <c r="F25" s="199"/>
      <c r="J25" s="345"/>
    </row>
    <row r="26" spans="1:10" x14ac:dyDescent="0.2">
      <c r="J26" s="345"/>
    </row>
    <row r="27" spans="1:10" x14ac:dyDescent="0.2">
      <c r="J27" s="345"/>
    </row>
    <row r="28" spans="1:10" x14ac:dyDescent="0.2">
      <c r="J28" s="345"/>
    </row>
    <row r="29" spans="1:10" x14ac:dyDescent="0.2">
      <c r="J29" s="345"/>
    </row>
    <row r="30" spans="1:10" x14ac:dyDescent="0.2">
      <c r="J30" s="345"/>
    </row>
    <row r="31" spans="1:10" x14ac:dyDescent="0.2">
      <c r="J31" s="345"/>
    </row>
    <row r="32" spans="1:10" x14ac:dyDescent="0.2">
      <c r="J32" s="345"/>
    </row>
    <row r="33" spans="1:10" x14ac:dyDescent="0.2">
      <c r="J33" s="345"/>
    </row>
    <row r="34" spans="1:10" x14ac:dyDescent="0.2">
      <c r="J34" s="345"/>
    </row>
    <row r="35" spans="1:10" x14ac:dyDescent="0.2">
      <c r="J35" s="345"/>
    </row>
    <row r="36" spans="1:10" x14ac:dyDescent="0.2">
      <c r="J36" s="345"/>
    </row>
    <row r="37" spans="1:10" x14ac:dyDescent="0.2">
      <c r="J37" s="345"/>
    </row>
    <row r="38" spans="1:10" x14ac:dyDescent="0.2">
      <c r="J38" s="345"/>
    </row>
    <row r="39" spans="1:10" x14ac:dyDescent="0.2">
      <c r="J39" s="345"/>
    </row>
    <row r="40" spans="1:10" x14ac:dyDescent="0.2">
      <c r="J40" s="345"/>
    </row>
    <row r="41" spans="1:10" x14ac:dyDescent="0.2">
      <c r="J41" s="345"/>
    </row>
    <row r="42" spans="1:10" x14ac:dyDescent="0.2">
      <c r="J42" s="345"/>
    </row>
    <row r="43" spans="1:10" ht="13.5" thickBot="1" x14ac:dyDescent="0.25">
      <c r="A43" s="344"/>
      <c r="B43" s="344"/>
      <c r="C43" s="344"/>
      <c r="D43" s="344"/>
      <c r="E43" s="344"/>
      <c r="F43" s="344"/>
      <c r="G43" s="344"/>
      <c r="H43" s="344"/>
      <c r="I43" s="344"/>
      <c r="J43" s="347"/>
    </row>
    <row r="44" spans="1:10" ht="13.5" thickTop="1" x14ac:dyDescent="0.2">
      <c r="J44" s="345"/>
    </row>
    <row r="45" spans="1:10" x14ac:dyDescent="0.2">
      <c r="J45" s="345"/>
    </row>
    <row r="46" spans="1:10" x14ac:dyDescent="0.2">
      <c r="E46" s="125"/>
      <c r="F46" s="125"/>
      <c r="J46" s="345"/>
    </row>
    <row r="47" spans="1:10" ht="13.5" thickBot="1" x14ac:dyDescent="0.25">
      <c r="E47" s="125"/>
      <c r="F47" s="125"/>
      <c r="J47" s="345"/>
    </row>
    <row r="48" spans="1:10" ht="20.100000000000001" customHeight="1" thickBot="1" x14ac:dyDescent="0.25">
      <c r="D48" s="188" t="s">
        <v>76</v>
      </c>
      <c r="E48" s="726" t="s">
        <v>115</v>
      </c>
      <c r="F48" s="727"/>
      <c r="G48" s="727"/>
      <c r="H48" s="728"/>
      <c r="I48" s="293" t="s">
        <v>7</v>
      </c>
      <c r="J48" s="345"/>
    </row>
    <row r="49" spans="3:10" ht="47.25" customHeight="1" thickBot="1" x14ac:dyDescent="0.25">
      <c r="C49" s="186"/>
      <c r="D49" s="271" t="s">
        <v>79</v>
      </c>
      <c r="E49" s="641" t="str">
        <f>E2</f>
        <v>M. Pierre-Yves 
TIERCE</v>
      </c>
      <c r="F49" s="596" t="str">
        <f t="shared" ref="F49" si="3">F2</f>
        <v>Mme Isabelle 
FARNET RISSO</v>
      </c>
      <c r="G49" s="306" t="s">
        <v>3</v>
      </c>
      <c r="H49" s="307" t="s">
        <v>4</v>
      </c>
      <c r="I49" s="295" t="s">
        <v>101</v>
      </c>
      <c r="J49" s="345"/>
    </row>
    <row r="50" spans="3:10" ht="19.5" customHeight="1" x14ac:dyDescent="0.2">
      <c r="C50" s="187"/>
      <c r="D50" s="270" t="s">
        <v>78</v>
      </c>
      <c r="E50" s="233"/>
      <c r="F50" s="233"/>
      <c r="G50" s="236"/>
      <c r="H50" s="235"/>
      <c r="I50" s="294">
        <f t="shared" ref="I50:I59" si="4">SUM(E50:H50)</f>
        <v>0</v>
      </c>
      <c r="J50" s="345"/>
    </row>
    <row r="51" spans="3:10" ht="20.100000000000001" customHeight="1" x14ac:dyDescent="0.2">
      <c r="C51" s="187"/>
      <c r="D51" s="270" t="s">
        <v>78</v>
      </c>
      <c r="E51" s="233"/>
      <c r="F51" s="233"/>
      <c r="G51" s="236"/>
      <c r="H51" s="235"/>
      <c r="I51" s="294">
        <f t="shared" si="4"/>
        <v>0</v>
      </c>
      <c r="J51" s="345"/>
    </row>
    <row r="52" spans="3:10" ht="20.100000000000001" customHeight="1" x14ac:dyDescent="0.2">
      <c r="C52" s="187"/>
      <c r="D52" s="270" t="s">
        <v>78</v>
      </c>
      <c r="E52" s="233"/>
      <c r="F52" s="233"/>
      <c r="G52" s="236"/>
      <c r="H52" s="235"/>
      <c r="I52" s="294">
        <f t="shared" si="4"/>
        <v>0</v>
      </c>
      <c r="J52" s="345"/>
    </row>
    <row r="53" spans="3:10" ht="20.100000000000001" customHeight="1" x14ac:dyDescent="0.2">
      <c r="C53" s="187"/>
      <c r="D53" s="270" t="s">
        <v>78</v>
      </c>
      <c r="E53" s="233"/>
      <c r="F53" s="233"/>
      <c r="G53" s="236"/>
      <c r="H53" s="235"/>
      <c r="I53" s="294">
        <f t="shared" si="4"/>
        <v>0</v>
      </c>
      <c r="J53" s="345"/>
    </row>
    <row r="54" spans="3:10" ht="20.100000000000001" customHeight="1" x14ac:dyDescent="0.2">
      <c r="C54" s="187"/>
      <c r="D54" s="270" t="s">
        <v>78</v>
      </c>
      <c r="E54" s="233"/>
      <c r="F54" s="233"/>
      <c r="G54" s="236"/>
      <c r="H54" s="235"/>
      <c r="I54" s="294">
        <f t="shared" si="4"/>
        <v>0</v>
      </c>
      <c r="J54" s="345"/>
    </row>
    <row r="55" spans="3:10" ht="20.100000000000001" customHeight="1" x14ac:dyDescent="0.2">
      <c r="C55" s="187"/>
      <c r="D55" s="270" t="s">
        <v>78</v>
      </c>
      <c r="E55" s="233"/>
      <c r="F55" s="233"/>
      <c r="G55" s="236"/>
      <c r="H55" s="235"/>
      <c r="I55" s="294">
        <f t="shared" si="4"/>
        <v>0</v>
      </c>
      <c r="J55" s="345"/>
    </row>
    <row r="56" spans="3:10" ht="20.100000000000001" customHeight="1" x14ac:dyDescent="0.2">
      <c r="C56" s="187"/>
      <c r="D56" s="270" t="s">
        <v>78</v>
      </c>
      <c r="E56" s="233"/>
      <c r="F56" s="233"/>
      <c r="G56" s="236"/>
      <c r="H56" s="235"/>
      <c r="I56" s="294">
        <f t="shared" si="4"/>
        <v>0</v>
      </c>
      <c r="J56" s="345"/>
    </row>
    <row r="57" spans="3:10" ht="20.100000000000001" customHeight="1" x14ac:dyDescent="0.2">
      <c r="C57" s="187"/>
      <c r="D57" s="270" t="s">
        <v>78</v>
      </c>
      <c r="E57" s="233"/>
      <c r="F57" s="233"/>
      <c r="G57" s="236"/>
      <c r="H57" s="235"/>
      <c r="I57" s="294">
        <f t="shared" si="4"/>
        <v>0</v>
      </c>
      <c r="J57" s="345"/>
    </row>
    <row r="58" spans="3:10" ht="20.100000000000001" customHeight="1" x14ac:dyDescent="0.2">
      <c r="C58" s="187"/>
      <c r="D58" s="270" t="s">
        <v>78</v>
      </c>
      <c r="E58" s="233"/>
      <c r="F58" s="233"/>
      <c r="G58" s="236"/>
      <c r="H58" s="235"/>
      <c r="I58" s="294">
        <f t="shared" si="4"/>
        <v>0</v>
      </c>
      <c r="J58" s="345"/>
    </row>
    <row r="59" spans="3:10" ht="20.100000000000001" customHeight="1" thickBot="1" x14ac:dyDescent="0.25">
      <c r="C59" s="187"/>
      <c r="D59" s="274" t="s">
        <v>78</v>
      </c>
      <c r="E59" s="275"/>
      <c r="F59" s="275"/>
      <c r="G59" s="278"/>
      <c r="H59" s="277"/>
      <c r="I59" s="294">
        <f t="shared" si="4"/>
        <v>0</v>
      </c>
      <c r="J59" s="345"/>
    </row>
    <row r="60" spans="3:10" x14ac:dyDescent="0.2">
      <c r="I60" s="241"/>
      <c r="J60" s="345"/>
    </row>
    <row r="61" spans="3:10" x14ac:dyDescent="0.2">
      <c r="J61" s="345"/>
    </row>
    <row r="62" spans="3:10" x14ac:dyDescent="0.2">
      <c r="J62" s="345"/>
    </row>
    <row r="63" spans="3:10" ht="18" x14ac:dyDescent="0.25">
      <c r="E63" s="184"/>
      <c r="F63" s="184"/>
      <c r="J63" s="345"/>
    </row>
    <row r="64" spans="3:10" x14ac:dyDescent="0.2">
      <c r="J64" s="345"/>
    </row>
    <row r="65" spans="4:10" ht="13.5" thickBot="1" x14ac:dyDescent="0.25">
      <c r="J65" s="345"/>
    </row>
    <row r="66" spans="4:10" ht="16.5" customHeight="1" thickBot="1" x14ac:dyDescent="0.25">
      <c r="D66" s="188" t="s">
        <v>77</v>
      </c>
      <c r="E66" s="726" t="s">
        <v>116</v>
      </c>
      <c r="F66" s="727"/>
      <c r="G66" s="727"/>
      <c r="H66" s="728"/>
      <c r="I66" s="293" t="s">
        <v>7</v>
      </c>
      <c r="J66" s="345"/>
    </row>
    <row r="67" spans="4:10" ht="42" customHeight="1" thickBot="1" x14ac:dyDescent="0.25">
      <c r="D67" s="271" t="s">
        <v>79</v>
      </c>
      <c r="E67" s="641" t="str">
        <f>E2</f>
        <v>M. Pierre-Yves 
TIERCE</v>
      </c>
      <c r="F67" s="596" t="str">
        <f t="shared" ref="F67" si="5">F2</f>
        <v>Mme Isabelle 
FARNET RISSO</v>
      </c>
      <c r="G67" s="306" t="s">
        <v>3</v>
      </c>
      <c r="H67" s="307" t="s">
        <v>4</v>
      </c>
      <c r="I67" s="300" t="s">
        <v>101</v>
      </c>
      <c r="J67" s="345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7">
        <f>SUM(E68:H68)</f>
        <v>0</v>
      </c>
      <c r="J68" s="345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31">
        <f>SUM(E69:H69)</f>
        <v>0</v>
      </c>
      <c r="J69" s="345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31">
        <f>SUM(E70:H70)</f>
        <v>0</v>
      </c>
      <c r="J70" s="345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31">
        <f>SUM(E71:H71)</f>
        <v>0</v>
      </c>
      <c r="J71" s="345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8">
        <f>SUM(E72:H72)</f>
        <v>0</v>
      </c>
      <c r="J72" s="345"/>
    </row>
    <row r="73" spans="4:10" ht="20.100000000000001" customHeight="1" x14ac:dyDescent="0.2">
      <c r="D73" s="189"/>
      <c r="E73" s="187"/>
      <c r="F73" s="187"/>
      <c r="G73" s="187"/>
      <c r="H73" s="187"/>
      <c r="J73" s="345"/>
    </row>
    <row r="74" spans="4:10" ht="20.100000000000001" customHeight="1" x14ac:dyDescent="0.2">
      <c r="D74" s="189"/>
      <c r="E74" s="187"/>
      <c r="F74" s="187"/>
      <c r="G74" s="187"/>
      <c r="H74" s="187"/>
      <c r="J74" s="345"/>
    </row>
    <row r="75" spans="4:10" ht="20.100000000000001" customHeight="1" thickBot="1" x14ac:dyDescent="0.25">
      <c r="D75" s="189"/>
      <c r="E75" s="187"/>
      <c r="F75" s="187"/>
      <c r="G75" s="187"/>
      <c r="H75" s="187"/>
      <c r="J75" s="345"/>
    </row>
    <row r="76" spans="4:10" ht="20.100000000000001" customHeight="1" thickBot="1" x14ac:dyDescent="0.25">
      <c r="D76" s="188" t="s">
        <v>81</v>
      </c>
      <c r="E76" s="726" t="s">
        <v>117</v>
      </c>
      <c r="F76" s="727"/>
      <c r="G76" s="727"/>
      <c r="H76" s="728"/>
      <c r="I76" s="299" t="s">
        <v>7</v>
      </c>
      <c r="J76" s="345"/>
    </row>
    <row r="77" spans="4:10" ht="39.75" customHeight="1" thickBot="1" x14ac:dyDescent="0.25">
      <c r="D77" s="271" t="s">
        <v>79</v>
      </c>
      <c r="E77" s="641" t="str">
        <f>E2</f>
        <v>M. Pierre-Yves 
TIERCE</v>
      </c>
      <c r="F77" s="596" t="str">
        <f t="shared" ref="F77" si="6">F2</f>
        <v>Mme Isabelle 
FARNET RISSO</v>
      </c>
      <c r="G77" s="306" t="s">
        <v>3</v>
      </c>
      <c r="H77" s="307" t="s">
        <v>4</v>
      </c>
      <c r="I77" s="296" t="s">
        <v>101</v>
      </c>
      <c r="J77" s="345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7">
        <f>SUM(E78:H78)</f>
        <v>0</v>
      </c>
      <c r="J78" s="345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31">
        <f>SUM(E79:H79)</f>
        <v>0</v>
      </c>
      <c r="J79" s="345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8">
        <f>SUM(E80:H80)</f>
        <v>0</v>
      </c>
      <c r="J80" s="345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45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45"/>
    </row>
  </sheetData>
  <sheetProtection algorithmName="SHA-512" hashValue="bMoUOxANVbEzvRLpBA8MfiyW1pcOH7eBnBPonZTHmH6SK5tgPKxHs8LcfrjzcE8r46HeLB5m5Nwy8VY3ltnlcg==" saltValue="hXDOreE0w4iXwVNJZChqlQ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273" priority="1" operator="equal">
      <formula>0</formula>
    </cfRule>
    <cfRule type="cellIs" dxfId="272" priority="6" operator="notEqual">
      <formula>$B$8</formula>
    </cfRule>
  </conditionalFormatting>
  <conditionalFormatting sqref="E3:I12">
    <cfRule type="cellIs" dxfId="271" priority="5" operator="notBetween">
      <formula>0</formula>
      <formula>100</formula>
    </cfRule>
  </conditionalFormatting>
  <conditionalFormatting sqref="E3:I14">
    <cfRule type="cellIs" dxfId="270" priority="8" operator="lessThan">
      <formula>0</formula>
    </cfRule>
  </conditionalFormatting>
  <conditionalFormatting sqref="E14:I14">
    <cfRule type="cellIs" dxfId="269" priority="11" operator="greaterThan">
      <formula>1</formula>
    </cfRule>
  </conditionalFormatting>
  <conditionalFormatting sqref="I3:I13">
    <cfRule type="cellIs" dxfId="268" priority="9" operator="equal">
      <formula>0</formula>
    </cfRule>
  </conditionalFormatting>
  <conditionalFormatting sqref="I14">
    <cfRule type="cellIs" dxfId="267" priority="10" operator="equal">
      <formula>1</formula>
    </cfRule>
    <cfRule type="cellIs" dxfId="266" priority="12" operator="lessThan">
      <formula>1</formula>
    </cfRule>
  </conditionalFormatting>
  <conditionalFormatting sqref="M4:M15">
    <cfRule type="cellIs" dxfId="265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264" priority="3">
      <formula>AND(E50&lt;MAX(E$50:E50), NOT(ISBLANK(E50)), NOT(E50=0))</formula>
    </cfRule>
  </conditionalFormatting>
  <conditionalFormatting sqref="E68:H72">
    <cfRule type="expression" dxfId="263" priority="2">
      <formula>AND(E68&lt;MAX(E$68:E68), NOT(ISBLANK(E68)), NOT(E68=0))</formula>
    </cfRule>
  </conditionalFormatting>
  <conditionalFormatting sqref="E78:H80">
    <cfRule type="expression" dxfId="262" priority="13">
      <formula>AND(E78&lt;MAX(E$78:E78), NOT(ISBLANK(E78)), NOT(E78=0))</formula>
    </cfRule>
  </conditionalFormatting>
  <conditionalFormatting sqref="I3:I12">
    <cfRule type="expression" dxfId="261" priority="14">
      <formula>AND($D3=$E$24, I3=$D$25)</formula>
    </cfRule>
    <cfRule type="expression" dxfId="260" priority="15">
      <formula>AND($D3=$E$24, MOD(I3,100)&gt;$D$25)</formula>
    </cfRule>
    <cfRule type="cellIs" dxfId="259" priority="16" operator="equal">
      <formula>100</formula>
    </cfRule>
  </conditionalFormatting>
  <conditionalFormatting sqref="H3:H12 E3:F12">
    <cfRule type="expression" dxfId="258" priority="17">
      <formula>($D3&lt;=$E$24)</formula>
    </cfRule>
  </conditionalFormatting>
  <conditionalFormatting sqref="H3:H12 D3:F12">
    <cfRule type="expression" dxfId="257" priority="18">
      <formula>($D3&gt;$E$24)</formula>
    </cfRule>
  </conditionalFormatting>
  <conditionalFormatting sqref="G3:G12">
    <cfRule type="expression" dxfId="256" priority="19">
      <formula>($D3&lt;=$E$24)</formula>
    </cfRule>
  </conditionalFormatting>
  <conditionalFormatting sqref="G3:G12">
    <cfRule type="expression" dxfId="255" priority="20">
      <formula>($D3&gt;$E$24)</formula>
    </cfRule>
  </conditionalFormatting>
  <conditionalFormatting sqref="I50 I68:I72 I78:I80 I52:I59">
    <cfRule type="cellIs" dxfId="254" priority="21" operator="lessThan">
      <formula>0</formula>
    </cfRule>
    <cfRule type="cellIs" dxfId="253" priority="22" operator="equal">
      <formula>0</formula>
    </cfRule>
    <cfRule type="expression" dxfId="252" priority="23">
      <formula>OR(MOD($I50,100)=0,AND($D50=$E$24,MOD($I50,100)=$D$25))</formula>
    </cfRule>
  </conditionalFormatting>
  <conditionalFormatting sqref="I13">
    <cfRule type="cellIs" dxfId="251" priority="24" operator="equal">
      <formula>$B$8</formula>
    </cfRule>
  </conditionalFormatting>
  <conditionalFormatting sqref="E50:H59 E68:H72 E78:H80">
    <cfRule type="cellIs" dxfId="250" priority="25" operator="notBetween">
      <formula>0</formula>
      <formula>$B$8</formula>
    </cfRule>
    <cfRule type="expression" dxfId="249" priority="26">
      <formula>($D50&lt;=$E$24)</formula>
    </cfRule>
    <cfRule type="expression" dxfId="248" priority="27">
      <formula>($D50&gt;$E$24)</formula>
    </cfRule>
  </conditionalFormatting>
  <conditionalFormatting sqref="I51">
    <cfRule type="cellIs" dxfId="247" priority="28" operator="notBetween">
      <formula>0</formula>
      <formula>$B$8</formula>
    </cfRule>
    <cfRule type="cellIs" dxfId="246" priority="29" operator="equal">
      <formula>0</formula>
    </cfRule>
    <cfRule type="expression" dxfId="245" priority="30">
      <formula>OR(MOD($I51,100)=0,AND($D51=$E$24,MOD($I51,100)=$D$25))</formula>
    </cfRule>
  </conditionalFormatting>
  <conditionalFormatting sqref="L4:L15">
    <cfRule type="expression" dxfId="244" priority="31">
      <formula>AND($L4&lt;$L3, NOT(ISBLANK($L4)))</formula>
    </cfRule>
    <cfRule type="cellIs" dxfId="243" priority="32" operator="greaterThan">
      <formula>$B$7</formula>
    </cfRule>
  </conditionalFormatting>
  <dataValidations count="2">
    <dataValidation type="list" allowBlank="1" showInputMessage="1" showErrorMessage="1" sqref="C50:C59" xr:uid="{6A4C3FCF-B752-4823-B86D-3C98D8740A8E}">
      <formula1>$D$19:$D$21</formula1>
    </dataValidation>
    <dataValidation type="list" allowBlank="1" showInputMessage="1" showErrorMessage="1" sqref="D68:D72 D78:D82 D50:D59" xr:uid="{B46CE92C-E6BD-4162-ADE5-D712D7F89A39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AB18-0598-49E5-B638-05104A6D5B94}">
  <sheetPr codeName="Feuil49">
    <tabColor rgb="FFB4A7D6"/>
  </sheetPr>
  <dimension ref="A1:Q82"/>
  <sheetViews>
    <sheetView zoomScale="90" zoomScaleNormal="90" workbookViewId="0">
      <selection activeCell="L4" sqref="L4"/>
    </sheetView>
    <sheetView workbookViewId="1"/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40" t="str">
        <f>Synthèse!$A$17</f>
        <v>Date</v>
      </c>
      <c r="B1" s="753">
        <f>Synthèse!$B$17</f>
        <v>46103</v>
      </c>
      <c r="D1" s="230"/>
      <c r="E1" s="729" t="s">
        <v>118</v>
      </c>
      <c r="F1" s="730"/>
      <c r="G1" s="739"/>
      <c r="H1" s="740"/>
      <c r="I1" s="303" t="s">
        <v>7</v>
      </c>
      <c r="J1" s="345"/>
    </row>
    <row r="2" spans="1:17" ht="45" customHeight="1" thickBot="1" x14ac:dyDescent="0.25">
      <c r="A2" s="441" t="str">
        <f>Synthèse!$A$18</f>
        <v>Election</v>
      </c>
      <c r="B2" s="754" t="str">
        <f>Synthèse!$B$18</f>
        <v>Municipales</v>
      </c>
      <c r="D2" s="445" t="s">
        <v>80</v>
      </c>
      <c r="E2" s="640" t="str">
        <f>Synthèse!L2</f>
        <v>M. Pierre-Yves 
TIERCE</v>
      </c>
      <c r="F2" s="595" t="str">
        <f>Synthèse!M2</f>
        <v>Mme Isabelle 
FARNET RISSO</v>
      </c>
      <c r="G2" s="764" t="s">
        <v>4</v>
      </c>
      <c r="H2" s="765" t="s">
        <v>3</v>
      </c>
      <c r="I2" s="766" t="s">
        <v>102</v>
      </c>
      <c r="J2" s="345"/>
      <c r="K2" s="481" t="s">
        <v>21</v>
      </c>
      <c r="L2" s="482" t="s">
        <v>56</v>
      </c>
      <c r="M2" s="483" t="s">
        <v>30</v>
      </c>
      <c r="N2" s="460"/>
      <c r="O2" s="736" t="s">
        <v>58</v>
      </c>
      <c r="P2" s="736" t="s">
        <v>57</v>
      </c>
    </row>
    <row r="3" spans="1:17" ht="20.100000000000001" customHeight="1" thickBot="1" x14ac:dyDescent="0.25">
      <c r="A3" s="747" t="str">
        <f>Synthèse!$A$19</f>
        <v>Tour</v>
      </c>
      <c r="B3" s="755">
        <f>Synthèse!$B$19</f>
        <v>2</v>
      </c>
      <c r="D3" s="264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1">
        <f t="shared" ref="I3:I13" si="0">SUM(E3:H3)</f>
        <v>0</v>
      </c>
      <c r="J3" s="345"/>
      <c r="K3" s="457" t="s">
        <v>31</v>
      </c>
      <c r="L3" s="458">
        <v>0</v>
      </c>
      <c r="M3" s="459">
        <f>L3/$B$7</f>
        <v>0</v>
      </c>
      <c r="N3" s="460"/>
      <c r="O3" s="737"/>
      <c r="P3" s="737"/>
    </row>
    <row r="4" spans="1:17" ht="20.100000000000001" customHeight="1" thickBot="1" x14ac:dyDescent="0.25">
      <c r="A4" s="748" t="str">
        <f>Synthèse!$A$20</f>
        <v>Ville</v>
      </c>
      <c r="B4" s="756">
        <v>7</v>
      </c>
      <c r="D4" s="265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31">
        <f t="shared" si="0"/>
        <v>0</v>
      </c>
      <c r="J4" s="345"/>
      <c r="K4" s="461" t="s">
        <v>32</v>
      </c>
      <c r="L4" s="462"/>
      <c r="M4" s="463" t="e">
        <f>IF(OR(L4=0, L4=""), NA(), L4/$B$7)</f>
        <v>#N/A</v>
      </c>
      <c r="N4" s="460"/>
      <c r="O4" s="464" t="s">
        <v>44</v>
      </c>
      <c r="P4" s="465" t="e">
        <f t="shared" ref="P4:P13" si="1">IF(L4&lt;&gt;0,L4-L3,NA())</f>
        <v>#N/A</v>
      </c>
    </row>
    <row r="5" spans="1:17" ht="20.100000000000001" customHeight="1" x14ac:dyDescent="0.25">
      <c r="A5" s="442" t="s">
        <v>22</v>
      </c>
      <c r="B5" s="348" t="str">
        <f>INDEX(Synthèse!B:B,B4+2)</f>
        <v>COSEC</v>
      </c>
      <c r="D5" s="265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8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31">
        <f t="shared" si="0"/>
        <v>0</v>
      </c>
      <c r="J5" s="346"/>
      <c r="K5" s="461" t="s">
        <v>33</v>
      </c>
      <c r="L5" s="462"/>
      <c r="M5" s="463" t="e">
        <f>IF(OR(L5=0, L5=""), NA(), L5/$B$7)</f>
        <v>#N/A</v>
      </c>
      <c r="N5" s="460"/>
      <c r="O5" s="466" t="s">
        <v>45</v>
      </c>
      <c r="P5" s="467" t="e">
        <f t="shared" si="1"/>
        <v>#N/A</v>
      </c>
    </row>
    <row r="6" spans="1:17" ht="20.100000000000001" customHeight="1" x14ac:dyDescent="0.25">
      <c r="A6" s="443" t="s">
        <v>23</v>
      </c>
      <c r="B6" s="349">
        <f>INDEX(Synthèse!C:C,B4+2)</f>
        <v>731</v>
      </c>
      <c r="D6" s="265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8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31">
        <f t="shared" si="0"/>
        <v>0</v>
      </c>
      <c r="J6" s="346"/>
      <c r="K6" s="461" t="s">
        <v>34</v>
      </c>
      <c r="L6" s="462"/>
      <c r="M6" s="463" t="e">
        <f>IF(OR(L6=0, L6=""), NA(), L6/$B$7)</f>
        <v>#N/A</v>
      </c>
      <c r="N6" s="460"/>
      <c r="O6" s="466" t="s">
        <v>46</v>
      </c>
      <c r="P6" s="467" t="e">
        <f t="shared" si="1"/>
        <v>#N/A</v>
      </c>
    </row>
    <row r="7" spans="1:17" ht="20.100000000000001" customHeight="1" x14ac:dyDescent="0.25">
      <c r="A7" s="443" t="s">
        <v>0</v>
      </c>
      <c r="B7" s="143">
        <v>200</v>
      </c>
      <c r="D7" s="265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31">
        <f t="shared" si="0"/>
        <v>0</v>
      </c>
      <c r="J7" s="346"/>
      <c r="K7" s="461" t="s">
        <v>35</v>
      </c>
      <c r="L7" s="462"/>
      <c r="M7" s="463" t="e">
        <f>IF(OR(L7=0, L7=""), NA(), L7/$B$7)</f>
        <v>#N/A</v>
      </c>
      <c r="N7" s="460"/>
      <c r="O7" s="466" t="s">
        <v>53</v>
      </c>
      <c r="P7" s="467" t="e">
        <f t="shared" si="1"/>
        <v>#N/A</v>
      </c>
    </row>
    <row r="8" spans="1:17" ht="20.100000000000001" customHeight="1" x14ac:dyDescent="0.25">
      <c r="A8" s="443" t="s">
        <v>2</v>
      </c>
      <c r="B8" s="122">
        <f>MAX(L4:L15)</f>
        <v>0</v>
      </c>
      <c r="D8" s="265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31">
        <f t="shared" si="0"/>
        <v>0</v>
      </c>
      <c r="J8" s="346"/>
      <c r="K8" s="461" t="s">
        <v>36</v>
      </c>
      <c r="L8" s="462"/>
      <c r="M8" s="463" t="e">
        <f>IF(OR(L8=0, L8=""), NA(), L8/$B$7)</f>
        <v>#N/A</v>
      </c>
      <c r="N8" s="460"/>
      <c r="O8" s="466" t="s">
        <v>47</v>
      </c>
      <c r="P8" s="467" t="e">
        <f t="shared" si="1"/>
        <v>#N/A</v>
      </c>
    </row>
    <row r="9" spans="1:17" ht="20.100000000000001" customHeight="1" x14ac:dyDescent="0.25">
      <c r="A9" s="443" t="s">
        <v>1</v>
      </c>
      <c r="B9" s="123"/>
      <c r="D9" s="265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31">
        <f t="shared" si="0"/>
        <v>0</v>
      </c>
      <c r="J9" s="346"/>
      <c r="K9" s="461" t="s">
        <v>37</v>
      </c>
      <c r="L9" s="462"/>
      <c r="M9" s="463" t="e">
        <f>IF(OR(L9=0, L9=""), NA(), L9/$B$7)</f>
        <v>#N/A</v>
      </c>
      <c r="N9" s="460"/>
      <c r="O9" s="466" t="s">
        <v>48</v>
      </c>
      <c r="P9" s="467" t="e">
        <f t="shared" si="1"/>
        <v>#N/A</v>
      </c>
    </row>
    <row r="10" spans="1:17" ht="20.100000000000001" customHeight="1" thickBot="1" x14ac:dyDescent="0.3">
      <c r="A10" s="444" t="s">
        <v>17</v>
      </c>
      <c r="B10" s="124">
        <f>B7-B8</f>
        <v>200</v>
      </c>
      <c r="D10" s="265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31">
        <f t="shared" si="0"/>
        <v>0</v>
      </c>
      <c r="J10" s="346"/>
      <c r="K10" s="461" t="s">
        <v>38</v>
      </c>
      <c r="L10" s="462"/>
      <c r="M10" s="463" t="e">
        <f>IF(OR(L10=0, L10=""), NA(), L10/$B$7)</f>
        <v>#N/A</v>
      </c>
      <c r="N10" s="460"/>
      <c r="O10" s="466" t="s">
        <v>49</v>
      </c>
      <c r="P10" s="467" t="e">
        <f t="shared" si="1"/>
        <v>#N/A</v>
      </c>
    </row>
    <row r="11" spans="1:17" ht="20.100000000000001" customHeight="1" x14ac:dyDescent="0.2">
      <c r="A11" s="757" t="s">
        <v>155</v>
      </c>
      <c r="B11" s="757"/>
      <c r="D11" s="265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31">
        <f t="shared" si="0"/>
        <v>0</v>
      </c>
      <c r="J11" s="346"/>
      <c r="K11" s="461" t="s">
        <v>39</v>
      </c>
      <c r="L11" s="462"/>
      <c r="M11" s="463" t="e">
        <f>IF(OR(L11=0, L11=""), NA(), L11/$B$7)</f>
        <v>#N/A</v>
      </c>
      <c r="N11" s="460"/>
      <c r="O11" s="466" t="s">
        <v>50</v>
      </c>
      <c r="P11" s="467" t="e">
        <f t="shared" si="1"/>
        <v>#N/A</v>
      </c>
    </row>
    <row r="12" spans="1:17" ht="20.100000000000001" customHeight="1" thickBot="1" x14ac:dyDescent="0.25">
      <c r="A12" s="758"/>
      <c r="B12" s="758"/>
      <c r="D12" s="266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31">
        <f t="shared" si="0"/>
        <v>0</v>
      </c>
      <c r="J12" s="346"/>
      <c r="K12" s="461" t="s">
        <v>40</v>
      </c>
      <c r="L12" s="462"/>
      <c r="M12" s="463" t="e">
        <f>IF(OR(L12=0, L12=""), NA(), L12/$B$7)</f>
        <v>#N/A</v>
      </c>
      <c r="N12" s="460"/>
      <c r="O12" s="466" t="s">
        <v>51</v>
      </c>
      <c r="P12" s="467" t="e">
        <f t="shared" si="1"/>
        <v>#N/A</v>
      </c>
    </row>
    <row r="13" spans="1:17" ht="24.95" customHeight="1" thickBot="1" x14ac:dyDescent="0.4">
      <c r="A13" s="734" t="s">
        <v>60</v>
      </c>
      <c r="B13" s="734"/>
      <c r="D13" s="446" t="s">
        <v>9</v>
      </c>
      <c r="E13" s="450">
        <f>SUM(E3:E12)</f>
        <v>0</v>
      </c>
      <c r="F13" s="451">
        <f t="shared" ref="F13" si="2">SUM(F3:F12)</f>
        <v>0</v>
      </c>
      <c r="G13" s="452">
        <f>SUM(G3:G12)</f>
        <v>0</v>
      </c>
      <c r="H13" s="453">
        <f>SUM(H3:H12)</f>
        <v>0</v>
      </c>
      <c r="I13" s="447">
        <f t="shared" si="0"/>
        <v>0</v>
      </c>
      <c r="J13" s="346"/>
      <c r="K13" s="461" t="s">
        <v>41</v>
      </c>
      <c r="L13" s="462"/>
      <c r="M13" s="463" t="e">
        <f>IF(OR(L13=0, L13=""), NA(), L13/$B$7)</f>
        <v>#N/A</v>
      </c>
      <c r="N13" s="460"/>
      <c r="O13" s="468" t="s">
        <v>52</v>
      </c>
      <c r="P13" s="469" t="e">
        <f t="shared" si="1"/>
        <v>#N/A</v>
      </c>
    </row>
    <row r="14" spans="1:17" ht="26.45" customHeight="1" thickBot="1" x14ac:dyDescent="0.4">
      <c r="A14" s="734"/>
      <c r="B14" s="734"/>
      <c r="D14" s="448" t="s">
        <v>10</v>
      </c>
      <c r="E14" s="454">
        <f>IFERROR(E13/$B$8,0)</f>
        <v>0</v>
      </c>
      <c r="F14" s="455">
        <f>IFERROR(F13/$B$8,0)</f>
        <v>0</v>
      </c>
      <c r="G14" s="454">
        <f>IFERROR(G13/$B$8,0)</f>
        <v>0</v>
      </c>
      <c r="H14" s="456">
        <f>IFERROR(H13/$B$8,0)</f>
        <v>0</v>
      </c>
      <c r="I14" s="449">
        <f>IFERROR(I13/$B$8,0)</f>
        <v>0</v>
      </c>
      <c r="J14" s="345"/>
      <c r="K14" s="470" t="s">
        <v>42</v>
      </c>
      <c r="L14" s="471"/>
      <c r="M14" s="472" t="e">
        <f>IF(OR(L14=0, L14=""), NA(), L14/$B$7)</f>
        <v>#N/A</v>
      </c>
      <c r="N14" s="473"/>
      <c r="O14" s="474" t="s">
        <v>54</v>
      </c>
      <c r="P14" s="475" t="e">
        <f>IF(L14&lt;&gt;0,L14-L13,NA())</f>
        <v>#N/A</v>
      </c>
      <c r="Q14" s="287"/>
    </row>
    <row r="15" spans="1:17" ht="18" customHeight="1" thickBot="1" x14ac:dyDescent="0.25">
      <c r="A15" s="734"/>
      <c r="B15" s="734"/>
      <c r="C15" s="1"/>
      <c r="D15" s="1"/>
      <c r="I15" s="241"/>
      <c r="J15" s="345"/>
      <c r="K15" s="476" t="s">
        <v>43</v>
      </c>
      <c r="L15" s="477"/>
      <c r="M15" s="478" t="e">
        <f>IF(OR(L15=0, L15=""), NA(), L15/$B$7)</f>
        <v>#N/A</v>
      </c>
      <c r="N15" s="460"/>
      <c r="O15" s="479" t="s">
        <v>55</v>
      </c>
      <c r="P15" s="480" t="e">
        <f>IF(L15&lt;&gt;0,L15-L14,NA())</f>
        <v>#N/A</v>
      </c>
      <c r="Q15" s="287"/>
    </row>
    <row r="16" spans="1:17" ht="12.75" customHeight="1" x14ac:dyDescent="0.2">
      <c r="A16" s="738" t="s">
        <v>66</v>
      </c>
      <c r="B16" s="738"/>
      <c r="J16" s="345"/>
      <c r="K16" s="241"/>
      <c r="L16" s="241"/>
      <c r="M16" s="241"/>
      <c r="P16" s="241"/>
    </row>
    <row r="17" spans="1:10" ht="18" customHeight="1" x14ac:dyDescent="0.25">
      <c r="A17" s="738"/>
      <c r="B17" s="738"/>
      <c r="E17" s="184"/>
      <c r="F17" s="184"/>
      <c r="J17" s="345"/>
    </row>
    <row r="18" spans="1:10" ht="26.25" customHeight="1" x14ac:dyDescent="0.2">
      <c r="A18" s="738"/>
      <c r="B18" s="738"/>
      <c r="D18" s="334" t="s">
        <v>63</v>
      </c>
      <c r="J18" s="345"/>
    </row>
    <row r="19" spans="1:10" ht="18.75" customHeight="1" x14ac:dyDescent="0.2">
      <c r="A19" s="738"/>
      <c r="B19" s="738"/>
      <c r="D19" s="335">
        <f>IF((ROW()-23)&lt;=$E$25,(ROW()-23),"Choisir")</f>
        <v>-4</v>
      </c>
      <c r="J19" s="345"/>
    </row>
    <row r="20" spans="1:10" x14ac:dyDescent="0.2">
      <c r="D20" s="335">
        <f>IF((ROW()-23)&lt;=$E$25,(ROW()-23),"Choisir")</f>
        <v>-3</v>
      </c>
      <c r="J20" s="345"/>
    </row>
    <row r="21" spans="1:10" x14ac:dyDescent="0.2">
      <c r="D21" s="335">
        <f>IF((ROW()-23)&lt;=$E$25,(ROW()-23),"Choisir")</f>
        <v>-2</v>
      </c>
      <c r="J21" s="345"/>
    </row>
    <row r="22" spans="1:10" x14ac:dyDescent="0.2">
      <c r="D22" s="335">
        <f>IF((ROW()-23)&lt;=$E$25,(ROW()-23),"Choisir")</f>
        <v>-1</v>
      </c>
      <c r="J22" s="345"/>
    </row>
    <row r="23" spans="1:10" x14ac:dyDescent="0.2">
      <c r="J23" s="345"/>
    </row>
    <row r="24" spans="1:10" x14ac:dyDescent="0.2">
      <c r="D24" s="198">
        <f>CEILING($B$7, 100)/100</f>
        <v>2</v>
      </c>
      <c r="E24" s="316">
        <f>CEILING($B$8,100)/100</f>
        <v>0</v>
      </c>
      <c r="F24" s="316"/>
      <c r="J24" s="345"/>
    </row>
    <row r="25" spans="1:10" x14ac:dyDescent="0.2">
      <c r="D25" s="198">
        <f>MOD($B$8,100)</f>
        <v>0</v>
      </c>
      <c r="E25" s="199">
        <f>CEILING($B$7/300,1)</f>
        <v>1</v>
      </c>
      <c r="F25" s="199"/>
      <c r="J25" s="345"/>
    </row>
    <row r="26" spans="1:10" x14ac:dyDescent="0.2">
      <c r="J26" s="345"/>
    </row>
    <row r="27" spans="1:10" x14ac:dyDescent="0.2">
      <c r="J27" s="345"/>
    </row>
    <row r="28" spans="1:10" x14ac:dyDescent="0.2">
      <c r="J28" s="345"/>
    </row>
    <row r="29" spans="1:10" x14ac:dyDescent="0.2">
      <c r="J29" s="345"/>
    </row>
    <row r="30" spans="1:10" x14ac:dyDescent="0.2">
      <c r="J30" s="345"/>
    </row>
    <row r="31" spans="1:10" x14ac:dyDescent="0.2">
      <c r="J31" s="345"/>
    </row>
    <row r="32" spans="1:10" x14ac:dyDescent="0.2">
      <c r="J32" s="345"/>
    </row>
    <row r="33" spans="1:10" x14ac:dyDescent="0.2">
      <c r="J33" s="345"/>
    </row>
    <row r="34" spans="1:10" x14ac:dyDescent="0.2">
      <c r="J34" s="345"/>
    </row>
    <row r="35" spans="1:10" x14ac:dyDescent="0.2">
      <c r="J35" s="345"/>
    </row>
    <row r="36" spans="1:10" x14ac:dyDescent="0.2">
      <c r="J36" s="345"/>
    </row>
    <row r="37" spans="1:10" x14ac:dyDescent="0.2">
      <c r="J37" s="345"/>
    </row>
    <row r="38" spans="1:10" x14ac:dyDescent="0.2">
      <c r="J38" s="345"/>
    </row>
    <row r="39" spans="1:10" x14ac:dyDescent="0.2">
      <c r="J39" s="345"/>
    </row>
    <row r="40" spans="1:10" x14ac:dyDescent="0.2">
      <c r="J40" s="345"/>
    </row>
    <row r="41" spans="1:10" x14ac:dyDescent="0.2">
      <c r="J41" s="345"/>
    </row>
    <row r="42" spans="1:10" x14ac:dyDescent="0.2">
      <c r="J42" s="345"/>
    </row>
    <row r="43" spans="1:10" ht="13.5" thickBot="1" x14ac:dyDescent="0.25">
      <c r="A43" s="344"/>
      <c r="B43" s="344"/>
      <c r="C43" s="344"/>
      <c r="D43" s="344"/>
      <c r="E43" s="344"/>
      <c r="F43" s="344"/>
      <c r="G43" s="344"/>
      <c r="H43" s="344"/>
      <c r="I43" s="344"/>
      <c r="J43" s="347"/>
    </row>
    <row r="44" spans="1:10" ht="13.5" thickTop="1" x14ac:dyDescent="0.2">
      <c r="J44" s="345"/>
    </row>
    <row r="45" spans="1:10" x14ac:dyDescent="0.2">
      <c r="J45" s="345"/>
    </row>
    <row r="46" spans="1:10" x14ac:dyDescent="0.2">
      <c r="E46" s="125"/>
      <c r="F46" s="125"/>
      <c r="J46" s="345"/>
    </row>
    <row r="47" spans="1:10" ht="13.5" thickBot="1" x14ac:dyDescent="0.25">
      <c r="E47" s="125"/>
      <c r="F47" s="125"/>
      <c r="J47" s="345"/>
    </row>
    <row r="48" spans="1:10" ht="20.100000000000001" customHeight="1" thickBot="1" x14ac:dyDescent="0.25">
      <c r="D48" s="188" t="s">
        <v>76</v>
      </c>
      <c r="E48" s="726" t="s">
        <v>115</v>
      </c>
      <c r="F48" s="727"/>
      <c r="G48" s="727"/>
      <c r="H48" s="728"/>
      <c r="I48" s="293" t="s">
        <v>7</v>
      </c>
      <c r="J48" s="345"/>
    </row>
    <row r="49" spans="3:10" ht="47.25" customHeight="1" thickBot="1" x14ac:dyDescent="0.25">
      <c r="C49" s="186"/>
      <c r="D49" s="271" t="s">
        <v>79</v>
      </c>
      <c r="E49" s="641" t="str">
        <f>E2</f>
        <v>M. Pierre-Yves 
TIERCE</v>
      </c>
      <c r="F49" s="596" t="str">
        <f t="shared" ref="F49" si="3">F2</f>
        <v>Mme Isabelle 
FARNET RISSO</v>
      </c>
      <c r="G49" s="306" t="s">
        <v>3</v>
      </c>
      <c r="H49" s="307" t="s">
        <v>4</v>
      </c>
      <c r="I49" s="295" t="s">
        <v>101</v>
      </c>
      <c r="J49" s="345"/>
    </row>
    <row r="50" spans="3:10" ht="19.5" customHeight="1" x14ac:dyDescent="0.2">
      <c r="C50" s="187"/>
      <c r="D50" s="270" t="s">
        <v>78</v>
      </c>
      <c r="E50" s="233"/>
      <c r="F50" s="233"/>
      <c r="G50" s="236"/>
      <c r="H50" s="235"/>
      <c r="I50" s="294">
        <f t="shared" ref="I50:I59" si="4">SUM(E50:H50)</f>
        <v>0</v>
      </c>
      <c r="J50" s="345"/>
    </row>
    <row r="51" spans="3:10" ht="20.100000000000001" customHeight="1" x14ac:dyDescent="0.2">
      <c r="C51" s="187"/>
      <c r="D51" s="270" t="s">
        <v>78</v>
      </c>
      <c r="E51" s="233"/>
      <c r="F51" s="233"/>
      <c r="G51" s="236"/>
      <c r="H51" s="235"/>
      <c r="I51" s="294">
        <f t="shared" si="4"/>
        <v>0</v>
      </c>
      <c r="J51" s="345"/>
    </row>
    <row r="52" spans="3:10" ht="20.100000000000001" customHeight="1" x14ac:dyDescent="0.2">
      <c r="C52" s="187"/>
      <c r="D52" s="270" t="s">
        <v>78</v>
      </c>
      <c r="E52" s="233"/>
      <c r="F52" s="233"/>
      <c r="G52" s="236"/>
      <c r="H52" s="235"/>
      <c r="I52" s="294">
        <f t="shared" si="4"/>
        <v>0</v>
      </c>
      <c r="J52" s="345"/>
    </row>
    <row r="53" spans="3:10" ht="20.100000000000001" customHeight="1" x14ac:dyDescent="0.2">
      <c r="C53" s="187"/>
      <c r="D53" s="270" t="s">
        <v>78</v>
      </c>
      <c r="E53" s="233"/>
      <c r="F53" s="233"/>
      <c r="G53" s="236"/>
      <c r="H53" s="235"/>
      <c r="I53" s="294">
        <f t="shared" si="4"/>
        <v>0</v>
      </c>
      <c r="J53" s="345"/>
    </row>
    <row r="54" spans="3:10" ht="20.100000000000001" customHeight="1" x14ac:dyDescent="0.2">
      <c r="C54" s="187"/>
      <c r="D54" s="270" t="s">
        <v>78</v>
      </c>
      <c r="E54" s="233"/>
      <c r="F54" s="233"/>
      <c r="G54" s="236"/>
      <c r="H54" s="235"/>
      <c r="I54" s="294">
        <f t="shared" si="4"/>
        <v>0</v>
      </c>
      <c r="J54" s="345"/>
    </row>
    <row r="55" spans="3:10" ht="20.100000000000001" customHeight="1" x14ac:dyDescent="0.2">
      <c r="C55" s="187"/>
      <c r="D55" s="270" t="s">
        <v>78</v>
      </c>
      <c r="E55" s="233"/>
      <c r="F55" s="233"/>
      <c r="G55" s="236"/>
      <c r="H55" s="235"/>
      <c r="I55" s="294">
        <f t="shared" si="4"/>
        <v>0</v>
      </c>
      <c r="J55" s="345"/>
    </row>
    <row r="56" spans="3:10" ht="20.100000000000001" customHeight="1" x14ac:dyDescent="0.2">
      <c r="C56" s="187"/>
      <c r="D56" s="270" t="s">
        <v>78</v>
      </c>
      <c r="E56" s="233"/>
      <c r="F56" s="233"/>
      <c r="G56" s="236"/>
      <c r="H56" s="235"/>
      <c r="I56" s="294">
        <f t="shared" si="4"/>
        <v>0</v>
      </c>
      <c r="J56" s="345"/>
    </row>
    <row r="57" spans="3:10" ht="20.100000000000001" customHeight="1" x14ac:dyDescent="0.2">
      <c r="C57" s="187"/>
      <c r="D57" s="270" t="s">
        <v>78</v>
      </c>
      <c r="E57" s="233"/>
      <c r="F57" s="233"/>
      <c r="G57" s="236"/>
      <c r="H57" s="235"/>
      <c r="I57" s="294">
        <f t="shared" si="4"/>
        <v>0</v>
      </c>
      <c r="J57" s="345"/>
    </row>
    <row r="58" spans="3:10" ht="20.100000000000001" customHeight="1" x14ac:dyDescent="0.2">
      <c r="C58" s="187"/>
      <c r="D58" s="270" t="s">
        <v>78</v>
      </c>
      <c r="E58" s="233"/>
      <c r="F58" s="233"/>
      <c r="G58" s="236"/>
      <c r="H58" s="235"/>
      <c r="I58" s="294">
        <f t="shared" si="4"/>
        <v>0</v>
      </c>
      <c r="J58" s="345"/>
    </row>
    <row r="59" spans="3:10" ht="20.100000000000001" customHeight="1" thickBot="1" x14ac:dyDescent="0.25">
      <c r="C59" s="187"/>
      <c r="D59" s="274" t="s">
        <v>78</v>
      </c>
      <c r="E59" s="275"/>
      <c r="F59" s="275"/>
      <c r="G59" s="278"/>
      <c r="H59" s="277"/>
      <c r="I59" s="294">
        <f t="shared" si="4"/>
        <v>0</v>
      </c>
      <c r="J59" s="345"/>
    </row>
    <row r="60" spans="3:10" x14ac:dyDescent="0.2">
      <c r="I60" s="241"/>
      <c r="J60" s="345"/>
    </row>
    <row r="61" spans="3:10" x14ac:dyDescent="0.2">
      <c r="J61" s="345"/>
    </row>
    <row r="62" spans="3:10" x14ac:dyDescent="0.2">
      <c r="J62" s="345"/>
    </row>
    <row r="63" spans="3:10" ht="18" x14ac:dyDescent="0.25">
      <c r="E63" s="184"/>
      <c r="F63" s="184"/>
      <c r="J63" s="345"/>
    </row>
    <row r="64" spans="3:10" x14ac:dyDescent="0.2">
      <c r="J64" s="345"/>
    </row>
    <row r="65" spans="4:10" ht="13.5" thickBot="1" x14ac:dyDescent="0.25">
      <c r="J65" s="345"/>
    </row>
    <row r="66" spans="4:10" ht="16.5" customHeight="1" thickBot="1" x14ac:dyDescent="0.25">
      <c r="D66" s="188" t="s">
        <v>77</v>
      </c>
      <c r="E66" s="726" t="s">
        <v>116</v>
      </c>
      <c r="F66" s="727"/>
      <c r="G66" s="727"/>
      <c r="H66" s="728"/>
      <c r="I66" s="293" t="s">
        <v>7</v>
      </c>
      <c r="J66" s="345"/>
    </row>
    <row r="67" spans="4:10" ht="42" customHeight="1" thickBot="1" x14ac:dyDescent="0.25">
      <c r="D67" s="271" t="s">
        <v>79</v>
      </c>
      <c r="E67" s="641" t="str">
        <f>E2</f>
        <v>M. Pierre-Yves 
TIERCE</v>
      </c>
      <c r="F67" s="596" t="str">
        <f t="shared" ref="F67" si="5">F2</f>
        <v>Mme Isabelle 
FARNET RISSO</v>
      </c>
      <c r="G67" s="306" t="s">
        <v>3</v>
      </c>
      <c r="H67" s="307" t="s">
        <v>4</v>
      </c>
      <c r="I67" s="300" t="s">
        <v>101</v>
      </c>
      <c r="J67" s="345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7">
        <f>SUM(E68:H68)</f>
        <v>0</v>
      </c>
      <c r="J68" s="345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31">
        <f>SUM(E69:H69)</f>
        <v>0</v>
      </c>
      <c r="J69" s="345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31">
        <f>SUM(E70:H70)</f>
        <v>0</v>
      </c>
      <c r="J70" s="345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31">
        <f>SUM(E71:H71)</f>
        <v>0</v>
      </c>
      <c r="J71" s="345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8">
        <f>SUM(E72:H72)</f>
        <v>0</v>
      </c>
      <c r="J72" s="345"/>
    </row>
    <row r="73" spans="4:10" ht="20.100000000000001" customHeight="1" x14ac:dyDescent="0.2">
      <c r="D73" s="189"/>
      <c r="E73" s="187"/>
      <c r="F73" s="187"/>
      <c r="G73" s="187"/>
      <c r="H73" s="187"/>
      <c r="J73" s="345"/>
    </row>
    <row r="74" spans="4:10" ht="20.100000000000001" customHeight="1" x14ac:dyDescent="0.2">
      <c r="D74" s="189"/>
      <c r="E74" s="187"/>
      <c r="F74" s="187"/>
      <c r="G74" s="187"/>
      <c r="H74" s="187"/>
      <c r="J74" s="345"/>
    </row>
    <row r="75" spans="4:10" ht="20.100000000000001" customHeight="1" thickBot="1" x14ac:dyDescent="0.25">
      <c r="D75" s="189"/>
      <c r="E75" s="187"/>
      <c r="F75" s="187"/>
      <c r="G75" s="187"/>
      <c r="H75" s="187"/>
      <c r="J75" s="345"/>
    </row>
    <row r="76" spans="4:10" ht="20.100000000000001" customHeight="1" thickBot="1" x14ac:dyDescent="0.25">
      <c r="D76" s="188" t="s">
        <v>81</v>
      </c>
      <c r="E76" s="726" t="s">
        <v>117</v>
      </c>
      <c r="F76" s="727"/>
      <c r="G76" s="727"/>
      <c r="H76" s="728"/>
      <c r="I76" s="299" t="s">
        <v>7</v>
      </c>
      <c r="J76" s="345"/>
    </row>
    <row r="77" spans="4:10" ht="39.75" customHeight="1" thickBot="1" x14ac:dyDescent="0.25">
      <c r="D77" s="271" t="s">
        <v>79</v>
      </c>
      <c r="E77" s="641" t="str">
        <f>E2</f>
        <v>M. Pierre-Yves 
TIERCE</v>
      </c>
      <c r="F77" s="596" t="str">
        <f t="shared" ref="F77" si="6">F2</f>
        <v>Mme Isabelle 
FARNET RISSO</v>
      </c>
      <c r="G77" s="306" t="s">
        <v>3</v>
      </c>
      <c r="H77" s="307" t="s">
        <v>4</v>
      </c>
      <c r="I77" s="296" t="s">
        <v>101</v>
      </c>
      <c r="J77" s="345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7">
        <f>SUM(E78:H78)</f>
        <v>0</v>
      </c>
      <c r="J78" s="345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31">
        <f>SUM(E79:H79)</f>
        <v>0</v>
      </c>
      <c r="J79" s="345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8">
        <f>SUM(E80:H80)</f>
        <v>0</v>
      </c>
      <c r="J80" s="345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45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45"/>
    </row>
  </sheetData>
  <sheetProtection algorithmName="SHA-512" hashValue="AidEp3HEfI/LpGnqLIO5QgqTdN8XCNY+FS+xRiCi43N0KvbQFQmZPP5qpHK1IcGBbQUY6bpP7tEPZAvO22JMNA==" saltValue="Xm081u/aWO7ndVdxQMPY2Q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242" priority="1" operator="equal">
      <formula>0</formula>
    </cfRule>
    <cfRule type="cellIs" dxfId="241" priority="6" operator="notEqual">
      <formula>$B$8</formula>
    </cfRule>
  </conditionalFormatting>
  <conditionalFormatting sqref="E3:I12">
    <cfRule type="cellIs" dxfId="240" priority="5" operator="notBetween">
      <formula>0</formula>
      <formula>100</formula>
    </cfRule>
  </conditionalFormatting>
  <conditionalFormatting sqref="E3:I14">
    <cfRule type="cellIs" dxfId="239" priority="8" operator="lessThan">
      <formula>0</formula>
    </cfRule>
  </conditionalFormatting>
  <conditionalFormatting sqref="E14:I14">
    <cfRule type="cellIs" dxfId="238" priority="11" operator="greaterThan">
      <formula>1</formula>
    </cfRule>
  </conditionalFormatting>
  <conditionalFormatting sqref="I3:I13">
    <cfRule type="cellIs" dxfId="237" priority="9" operator="equal">
      <formula>0</formula>
    </cfRule>
  </conditionalFormatting>
  <conditionalFormatting sqref="I14">
    <cfRule type="cellIs" dxfId="236" priority="10" operator="equal">
      <formula>1</formula>
    </cfRule>
    <cfRule type="cellIs" dxfId="235" priority="12" operator="lessThan">
      <formula>1</formula>
    </cfRule>
  </conditionalFormatting>
  <conditionalFormatting sqref="M4:M15">
    <cfRule type="cellIs" dxfId="234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233" priority="3">
      <formula>AND(E50&lt;MAX(E$50:E50), NOT(ISBLANK(E50)), NOT(E50=0))</formula>
    </cfRule>
  </conditionalFormatting>
  <conditionalFormatting sqref="E68:H72">
    <cfRule type="expression" dxfId="232" priority="2">
      <formula>AND(E68&lt;MAX(E$68:E68), NOT(ISBLANK(E68)), NOT(E68=0))</formula>
    </cfRule>
  </conditionalFormatting>
  <conditionalFormatting sqref="E78:H80">
    <cfRule type="expression" dxfId="231" priority="13">
      <formula>AND(E78&lt;MAX(E$78:E78), NOT(ISBLANK(E78)), NOT(E78=0))</formula>
    </cfRule>
  </conditionalFormatting>
  <conditionalFormatting sqref="I3:I12">
    <cfRule type="expression" dxfId="230" priority="14">
      <formula>AND($D3=$E$24, I3=$D$25)</formula>
    </cfRule>
    <cfRule type="expression" dxfId="229" priority="15">
      <formula>AND($D3=$E$24, MOD(I3,100)&gt;$D$25)</formula>
    </cfRule>
    <cfRule type="cellIs" dxfId="228" priority="16" operator="equal">
      <formula>100</formula>
    </cfRule>
  </conditionalFormatting>
  <conditionalFormatting sqref="H3:H12 E3:F12">
    <cfRule type="expression" dxfId="227" priority="17">
      <formula>($D3&lt;=$E$24)</formula>
    </cfRule>
  </conditionalFormatting>
  <conditionalFormatting sqref="H3:H12 D3:F12">
    <cfRule type="expression" dxfId="226" priority="18">
      <formula>($D3&gt;$E$24)</formula>
    </cfRule>
  </conditionalFormatting>
  <conditionalFormatting sqref="G3:G12">
    <cfRule type="expression" dxfId="225" priority="19">
      <formula>($D3&lt;=$E$24)</formula>
    </cfRule>
  </conditionalFormatting>
  <conditionalFormatting sqref="G3:G12">
    <cfRule type="expression" dxfId="224" priority="20">
      <formula>($D3&gt;$E$24)</formula>
    </cfRule>
  </conditionalFormatting>
  <conditionalFormatting sqref="I50 I68:I72 I78:I80 I52:I59">
    <cfRule type="cellIs" dxfId="223" priority="21" operator="lessThan">
      <formula>0</formula>
    </cfRule>
    <cfRule type="cellIs" dxfId="222" priority="22" operator="equal">
      <formula>0</formula>
    </cfRule>
    <cfRule type="expression" dxfId="221" priority="23">
      <formula>OR(MOD($I50,100)=0,AND($D50=$E$24,MOD($I50,100)=$D$25))</formula>
    </cfRule>
  </conditionalFormatting>
  <conditionalFormatting sqref="I13">
    <cfRule type="cellIs" dxfId="220" priority="24" operator="equal">
      <formula>$B$8</formula>
    </cfRule>
  </conditionalFormatting>
  <conditionalFormatting sqref="E50:H59 E68:H72 E78:H80">
    <cfRule type="cellIs" dxfId="219" priority="25" operator="notBetween">
      <formula>0</formula>
      <formula>$B$8</formula>
    </cfRule>
    <cfRule type="expression" dxfId="218" priority="26">
      <formula>($D50&lt;=$E$24)</formula>
    </cfRule>
    <cfRule type="expression" dxfId="217" priority="27">
      <formula>($D50&gt;$E$24)</formula>
    </cfRule>
  </conditionalFormatting>
  <conditionalFormatting sqref="I51">
    <cfRule type="cellIs" dxfId="216" priority="28" operator="notBetween">
      <formula>0</formula>
      <formula>$B$8</formula>
    </cfRule>
    <cfRule type="cellIs" dxfId="215" priority="29" operator="equal">
      <formula>0</formula>
    </cfRule>
    <cfRule type="expression" dxfId="214" priority="30">
      <formula>OR(MOD($I51,100)=0,AND($D51=$E$24,MOD($I51,100)=$D$25))</formula>
    </cfRule>
  </conditionalFormatting>
  <conditionalFormatting sqref="L4:L15">
    <cfRule type="expression" dxfId="213" priority="31">
      <formula>AND($L4&lt;$L3, NOT(ISBLANK($L4)))</formula>
    </cfRule>
    <cfRule type="cellIs" dxfId="212" priority="32" operator="greaterThan">
      <formula>$B$7</formula>
    </cfRule>
  </conditionalFormatting>
  <dataValidations count="2">
    <dataValidation type="list" allowBlank="1" showInputMessage="1" showErrorMessage="1" sqref="C50:C59" xr:uid="{55E56EB3-3022-49E7-8D7E-D3333F76FF43}">
      <formula1>$D$19:$D$21</formula1>
    </dataValidation>
    <dataValidation type="list" allowBlank="1" showInputMessage="1" showErrorMessage="1" sqref="D68:D72 D78:D82 D50:D59" xr:uid="{99476B05-455E-4AC6-B5DE-0E3486EDEF37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9CA42-3F67-4470-A88E-679693560A2F}">
  <sheetPr codeName="Feuil50">
    <tabColor rgb="FFB4A7D6"/>
  </sheetPr>
  <dimension ref="A1:Q82"/>
  <sheetViews>
    <sheetView zoomScale="90" zoomScaleNormal="90" workbookViewId="0">
      <selection activeCell="L4" sqref="L4"/>
    </sheetView>
    <sheetView workbookViewId="1"/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40" t="str">
        <f>Synthèse!$A$17</f>
        <v>Date</v>
      </c>
      <c r="B1" s="753">
        <f>Synthèse!$B$17</f>
        <v>46103</v>
      </c>
      <c r="D1" s="230"/>
      <c r="E1" s="729" t="s">
        <v>118</v>
      </c>
      <c r="F1" s="730"/>
      <c r="G1" s="739"/>
      <c r="H1" s="740"/>
      <c r="I1" s="303" t="s">
        <v>7</v>
      </c>
      <c r="J1" s="345"/>
    </row>
    <row r="2" spans="1:17" ht="45" customHeight="1" thickBot="1" x14ac:dyDescent="0.25">
      <c r="A2" s="441" t="str">
        <f>Synthèse!$A$18</f>
        <v>Election</v>
      </c>
      <c r="B2" s="754" t="str">
        <f>Synthèse!$B$18</f>
        <v>Municipales</v>
      </c>
      <c r="D2" s="445" t="s">
        <v>80</v>
      </c>
      <c r="E2" s="640" t="str">
        <f>Synthèse!L2</f>
        <v>M. Pierre-Yves 
TIERCE</v>
      </c>
      <c r="F2" s="595" t="str">
        <f>Synthèse!M2</f>
        <v>Mme Isabelle 
FARNET RISSO</v>
      </c>
      <c r="G2" s="764" t="s">
        <v>4</v>
      </c>
      <c r="H2" s="765" t="s">
        <v>3</v>
      </c>
      <c r="I2" s="766" t="s">
        <v>102</v>
      </c>
      <c r="J2" s="345"/>
      <c r="K2" s="481" t="s">
        <v>21</v>
      </c>
      <c r="L2" s="482" t="s">
        <v>56</v>
      </c>
      <c r="M2" s="483" t="s">
        <v>30</v>
      </c>
      <c r="N2" s="460"/>
      <c r="O2" s="736" t="s">
        <v>58</v>
      </c>
      <c r="P2" s="736" t="s">
        <v>57</v>
      </c>
    </row>
    <row r="3" spans="1:17" ht="20.100000000000001" customHeight="1" thickBot="1" x14ac:dyDescent="0.25">
      <c r="A3" s="747" t="str">
        <f>Synthèse!$A$19</f>
        <v>Tour</v>
      </c>
      <c r="B3" s="755">
        <f>Synthèse!$B$19</f>
        <v>2</v>
      </c>
      <c r="D3" s="264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1">
        <f t="shared" ref="I3:I13" si="0">SUM(E3:H3)</f>
        <v>0</v>
      </c>
      <c r="J3" s="345"/>
      <c r="K3" s="457" t="s">
        <v>31</v>
      </c>
      <c r="L3" s="458">
        <v>0</v>
      </c>
      <c r="M3" s="459">
        <f>L3/$B$7</f>
        <v>0</v>
      </c>
      <c r="N3" s="460"/>
      <c r="O3" s="737"/>
      <c r="P3" s="737"/>
    </row>
    <row r="4" spans="1:17" ht="20.100000000000001" customHeight="1" thickBot="1" x14ac:dyDescent="0.25">
      <c r="A4" s="748" t="str">
        <f>Synthèse!$A$20</f>
        <v>Ville</v>
      </c>
      <c r="B4" s="756">
        <v>8</v>
      </c>
      <c r="D4" s="265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31">
        <f t="shared" si="0"/>
        <v>0</v>
      </c>
      <c r="J4" s="345"/>
      <c r="K4" s="461" t="s">
        <v>32</v>
      </c>
      <c r="L4" s="462"/>
      <c r="M4" s="463" t="e">
        <f>IF(OR(L4=0, L4=""), NA(), L4/$B$7)</f>
        <v>#N/A</v>
      </c>
      <c r="N4" s="460"/>
      <c r="O4" s="464" t="s">
        <v>44</v>
      </c>
      <c r="P4" s="465" t="e">
        <f t="shared" ref="P4:P13" si="1">IF(L4&lt;&gt;0,L4-L3,NA())</f>
        <v>#N/A</v>
      </c>
    </row>
    <row r="5" spans="1:17" ht="20.100000000000001" customHeight="1" x14ac:dyDescent="0.25">
      <c r="A5" s="442" t="s">
        <v>22</v>
      </c>
      <c r="B5" s="348" t="str">
        <f>INDEX(Synthèse!B:B,B4+2)</f>
        <v>COSEC</v>
      </c>
      <c r="D5" s="265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8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31">
        <f t="shared" si="0"/>
        <v>0</v>
      </c>
      <c r="J5" s="346"/>
      <c r="K5" s="461" t="s">
        <v>33</v>
      </c>
      <c r="L5" s="462"/>
      <c r="M5" s="463" t="e">
        <f>IF(OR(L5=0, L5=""), NA(), L5/$B$7)</f>
        <v>#N/A</v>
      </c>
      <c r="N5" s="460"/>
      <c r="O5" s="466" t="s">
        <v>45</v>
      </c>
      <c r="P5" s="467" t="e">
        <f t="shared" si="1"/>
        <v>#N/A</v>
      </c>
    </row>
    <row r="6" spans="1:17" ht="20.100000000000001" customHeight="1" x14ac:dyDescent="0.25">
      <c r="A6" s="443" t="s">
        <v>23</v>
      </c>
      <c r="B6" s="349">
        <f>INDEX(Synthèse!C:C,B4+2)</f>
        <v>646</v>
      </c>
      <c r="D6" s="265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8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31">
        <f t="shared" si="0"/>
        <v>0</v>
      </c>
      <c r="J6" s="346"/>
      <c r="K6" s="461" t="s">
        <v>34</v>
      </c>
      <c r="L6" s="462"/>
      <c r="M6" s="463" t="e">
        <f>IF(OR(L6=0, L6=""), NA(), L6/$B$7)</f>
        <v>#N/A</v>
      </c>
      <c r="N6" s="460"/>
      <c r="O6" s="466" t="s">
        <v>46</v>
      </c>
      <c r="P6" s="467" t="e">
        <f t="shared" si="1"/>
        <v>#N/A</v>
      </c>
    </row>
    <row r="7" spans="1:17" ht="20.100000000000001" customHeight="1" x14ac:dyDescent="0.25">
      <c r="A7" s="443" t="s">
        <v>0</v>
      </c>
      <c r="B7" s="143">
        <v>200</v>
      </c>
      <c r="D7" s="265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31">
        <f t="shared" si="0"/>
        <v>0</v>
      </c>
      <c r="J7" s="346"/>
      <c r="K7" s="461" t="s">
        <v>35</v>
      </c>
      <c r="L7" s="462"/>
      <c r="M7" s="463" t="e">
        <f>IF(OR(L7=0, L7=""), NA(), L7/$B$7)</f>
        <v>#N/A</v>
      </c>
      <c r="N7" s="460"/>
      <c r="O7" s="466" t="s">
        <v>53</v>
      </c>
      <c r="P7" s="467" t="e">
        <f t="shared" si="1"/>
        <v>#N/A</v>
      </c>
    </row>
    <row r="8" spans="1:17" ht="20.100000000000001" customHeight="1" x14ac:dyDescent="0.25">
      <c r="A8" s="443" t="s">
        <v>2</v>
      </c>
      <c r="B8" s="122">
        <f>MAX(L4:L15)</f>
        <v>0</v>
      </c>
      <c r="D8" s="265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31">
        <f t="shared" si="0"/>
        <v>0</v>
      </c>
      <c r="J8" s="346"/>
      <c r="K8" s="461" t="s">
        <v>36</v>
      </c>
      <c r="L8" s="462"/>
      <c r="M8" s="463" t="e">
        <f>IF(OR(L8=0, L8=""), NA(), L8/$B$7)</f>
        <v>#N/A</v>
      </c>
      <c r="N8" s="460"/>
      <c r="O8" s="466" t="s">
        <v>47</v>
      </c>
      <c r="P8" s="467" t="e">
        <f t="shared" si="1"/>
        <v>#N/A</v>
      </c>
    </row>
    <row r="9" spans="1:17" ht="20.100000000000001" customHeight="1" x14ac:dyDescent="0.25">
      <c r="A9" s="443" t="s">
        <v>1</v>
      </c>
      <c r="B9" s="123"/>
      <c r="D9" s="265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31">
        <f t="shared" si="0"/>
        <v>0</v>
      </c>
      <c r="J9" s="346"/>
      <c r="K9" s="461" t="s">
        <v>37</v>
      </c>
      <c r="L9" s="462"/>
      <c r="M9" s="463" t="e">
        <f>IF(OR(L9=0, L9=""), NA(), L9/$B$7)</f>
        <v>#N/A</v>
      </c>
      <c r="N9" s="460"/>
      <c r="O9" s="466" t="s">
        <v>48</v>
      </c>
      <c r="P9" s="467" t="e">
        <f t="shared" si="1"/>
        <v>#N/A</v>
      </c>
    </row>
    <row r="10" spans="1:17" ht="20.100000000000001" customHeight="1" thickBot="1" x14ac:dyDescent="0.3">
      <c r="A10" s="444" t="s">
        <v>17</v>
      </c>
      <c r="B10" s="124">
        <f>B7-B8</f>
        <v>200</v>
      </c>
      <c r="D10" s="265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31">
        <f t="shared" si="0"/>
        <v>0</v>
      </c>
      <c r="J10" s="346"/>
      <c r="K10" s="461" t="s">
        <v>38</v>
      </c>
      <c r="L10" s="462"/>
      <c r="M10" s="463" t="e">
        <f>IF(OR(L10=0, L10=""), NA(), L10/$B$7)</f>
        <v>#N/A</v>
      </c>
      <c r="N10" s="460"/>
      <c r="O10" s="466" t="s">
        <v>49</v>
      </c>
      <c r="P10" s="467" t="e">
        <f t="shared" si="1"/>
        <v>#N/A</v>
      </c>
    </row>
    <row r="11" spans="1:17" ht="20.100000000000001" customHeight="1" x14ac:dyDescent="0.2">
      <c r="A11" s="757" t="s">
        <v>155</v>
      </c>
      <c r="B11" s="757"/>
      <c r="D11" s="265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31">
        <f t="shared" si="0"/>
        <v>0</v>
      </c>
      <c r="J11" s="346"/>
      <c r="K11" s="461" t="s">
        <v>39</v>
      </c>
      <c r="L11" s="462"/>
      <c r="M11" s="463" t="e">
        <f>IF(OR(L11=0, L11=""), NA(), L11/$B$7)</f>
        <v>#N/A</v>
      </c>
      <c r="N11" s="460"/>
      <c r="O11" s="466" t="s">
        <v>50</v>
      </c>
      <c r="P11" s="467" t="e">
        <f t="shared" si="1"/>
        <v>#N/A</v>
      </c>
    </row>
    <row r="12" spans="1:17" ht="20.100000000000001" customHeight="1" thickBot="1" x14ac:dyDescent="0.25">
      <c r="A12" s="758"/>
      <c r="B12" s="758"/>
      <c r="D12" s="266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31">
        <f t="shared" si="0"/>
        <v>0</v>
      </c>
      <c r="J12" s="346"/>
      <c r="K12" s="461" t="s">
        <v>40</v>
      </c>
      <c r="L12" s="462"/>
      <c r="M12" s="463" t="e">
        <f>IF(OR(L12=0, L12=""), NA(), L12/$B$7)</f>
        <v>#N/A</v>
      </c>
      <c r="N12" s="460"/>
      <c r="O12" s="466" t="s">
        <v>51</v>
      </c>
      <c r="P12" s="467" t="e">
        <f t="shared" si="1"/>
        <v>#N/A</v>
      </c>
    </row>
    <row r="13" spans="1:17" ht="24.95" customHeight="1" thickBot="1" x14ac:dyDescent="0.4">
      <c r="A13" s="734" t="s">
        <v>60</v>
      </c>
      <c r="B13" s="734"/>
      <c r="D13" s="446" t="s">
        <v>9</v>
      </c>
      <c r="E13" s="450">
        <f>SUM(E3:E12)</f>
        <v>0</v>
      </c>
      <c r="F13" s="451">
        <f t="shared" ref="F13" si="2">SUM(F3:F12)</f>
        <v>0</v>
      </c>
      <c r="G13" s="452">
        <f>SUM(G3:G12)</f>
        <v>0</v>
      </c>
      <c r="H13" s="453">
        <f>SUM(H3:H12)</f>
        <v>0</v>
      </c>
      <c r="I13" s="447">
        <f t="shared" si="0"/>
        <v>0</v>
      </c>
      <c r="J13" s="346"/>
      <c r="K13" s="461" t="s">
        <v>41</v>
      </c>
      <c r="L13" s="462"/>
      <c r="M13" s="463" t="e">
        <f>IF(OR(L13=0, L13=""), NA(), L13/$B$7)</f>
        <v>#N/A</v>
      </c>
      <c r="N13" s="460"/>
      <c r="O13" s="468" t="s">
        <v>52</v>
      </c>
      <c r="P13" s="469" t="e">
        <f t="shared" si="1"/>
        <v>#N/A</v>
      </c>
    </row>
    <row r="14" spans="1:17" ht="26.45" customHeight="1" thickBot="1" x14ac:dyDescent="0.4">
      <c r="A14" s="734"/>
      <c r="B14" s="734"/>
      <c r="D14" s="448" t="s">
        <v>10</v>
      </c>
      <c r="E14" s="454">
        <f>IFERROR(E13/$B$8,0)</f>
        <v>0</v>
      </c>
      <c r="F14" s="455">
        <f>IFERROR(F13/$B$8,0)</f>
        <v>0</v>
      </c>
      <c r="G14" s="454">
        <f>IFERROR(G13/$B$8,0)</f>
        <v>0</v>
      </c>
      <c r="H14" s="456">
        <f>IFERROR(H13/$B$8,0)</f>
        <v>0</v>
      </c>
      <c r="I14" s="449">
        <f>IFERROR(I13/$B$8,0)</f>
        <v>0</v>
      </c>
      <c r="J14" s="345"/>
      <c r="K14" s="470" t="s">
        <v>42</v>
      </c>
      <c r="L14" s="471"/>
      <c r="M14" s="472" t="e">
        <f>IF(OR(L14=0, L14=""), NA(), L14/$B$7)</f>
        <v>#N/A</v>
      </c>
      <c r="N14" s="473"/>
      <c r="O14" s="474" t="s">
        <v>54</v>
      </c>
      <c r="P14" s="475" t="e">
        <f>IF(L14&lt;&gt;0,L14-L13,NA())</f>
        <v>#N/A</v>
      </c>
      <c r="Q14" s="287"/>
    </row>
    <row r="15" spans="1:17" ht="18" customHeight="1" thickBot="1" x14ac:dyDescent="0.25">
      <c r="A15" s="734"/>
      <c r="B15" s="734"/>
      <c r="C15" s="1"/>
      <c r="D15" s="1"/>
      <c r="I15" s="241"/>
      <c r="J15" s="345"/>
      <c r="K15" s="476" t="s">
        <v>43</v>
      </c>
      <c r="L15" s="477"/>
      <c r="M15" s="478" t="e">
        <f>IF(OR(L15=0, L15=""), NA(), L15/$B$7)</f>
        <v>#N/A</v>
      </c>
      <c r="N15" s="460"/>
      <c r="O15" s="479" t="s">
        <v>55</v>
      </c>
      <c r="P15" s="480" t="e">
        <f>IF(L15&lt;&gt;0,L15-L14,NA())</f>
        <v>#N/A</v>
      </c>
      <c r="Q15" s="287"/>
    </row>
    <row r="16" spans="1:17" ht="12.75" customHeight="1" x14ac:dyDescent="0.2">
      <c r="A16" s="738" t="s">
        <v>66</v>
      </c>
      <c r="B16" s="738"/>
      <c r="J16" s="345"/>
      <c r="K16" s="241"/>
      <c r="L16" s="241"/>
      <c r="M16" s="241"/>
      <c r="P16" s="241"/>
    </row>
    <row r="17" spans="1:10" ht="18" customHeight="1" x14ac:dyDescent="0.25">
      <c r="A17" s="738"/>
      <c r="B17" s="738"/>
      <c r="E17" s="184"/>
      <c r="F17" s="184"/>
      <c r="J17" s="345"/>
    </row>
    <row r="18" spans="1:10" ht="26.25" customHeight="1" x14ac:dyDescent="0.2">
      <c r="A18" s="738"/>
      <c r="B18" s="738"/>
      <c r="D18" s="334" t="s">
        <v>63</v>
      </c>
      <c r="J18" s="345"/>
    </row>
    <row r="19" spans="1:10" ht="18.75" customHeight="1" x14ac:dyDescent="0.2">
      <c r="A19" s="738"/>
      <c r="B19" s="738"/>
      <c r="D19" s="335">
        <f>IF((ROW()-23)&lt;=$E$25,(ROW()-23),"Choisir")</f>
        <v>-4</v>
      </c>
      <c r="J19" s="345"/>
    </row>
    <row r="20" spans="1:10" x14ac:dyDescent="0.2">
      <c r="D20" s="335">
        <f>IF((ROW()-23)&lt;=$E$25,(ROW()-23),"Choisir")</f>
        <v>-3</v>
      </c>
      <c r="J20" s="345"/>
    </row>
    <row r="21" spans="1:10" x14ac:dyDescent="0.2">
      <c r="D21" s="335">
        <f>IF((ROW()-23)&lt;=$E$25,(ROW()-23),"Choisir")</f>
        <v>-2</v>
      </c>
      <c r="J21" s="345"/>
    </row>
    <row r="22" spans="1:10" x14ac:dyDescent="0.2">
      <c r="D22" s="335">
        <f>IF((ROW()-23)&lt;=$E$25,(ROW()-23),"Choisir")</f>
        <v>-1</v>
      </c>
      <c r="J22" s="345"/>
    </row>
    <row r="23" spans="1:10" x14ac:dyDescent="0.2">
      <c r="J23" s="345"/>
    </row>
    <row r="24" spans="1:10" x14ac:dyDescent="0.2">
      <c r="D24" s="198">
        <f>CEILING($B$7, 100)/100</f>
        <v>2</v>
      </c>
      <c r="E24" s="316">
        <f>CEILING($B$8,100)/100</f>
        <v>0</v>
      </c>
      <c r="F24" s="316"/>
      <c r="J24" s="345"/>
    </row>
    <row r="25" spans="1:10" x14ac:dyDescent="0.2">
      <c r="D25" s="198">
        <f>MOD($B$8,100)</f>
        <v>0</v>
      </c>
      <c r="E25" s="199">
        <f>CEILING($B$7/300,1)</f>
        <v>1</v>
      </c>
      <c r="F25" s="199"/>
      <c r="J25" s="345"/>
    </row>
    <row r="26" spans="1:10" x14ac:dyDescent="0.2">
      <c r="J26" s="345"/>
    </row>
    <row r="27" spans="1:10" x14ac:dyDescent="0.2">
      <c r="J27" s="345"/>
    </row>
    <row r="28" spans="1:10" x14ac:dyDescent="0.2">
      <c r="J28" s="345"/>
    </row>
    <row r="29" spans="1:10" x14ac:dyDescent="0.2">
      <c r="J29" s="345"/>
    </row>
    <row r="30" spans="1:10" x14ac:dyDescent="0.2">
      <c r="J30" s="345"/>
    </row>
    <row r="31" spans="1:10" x14ac:dyDescent="0.2">
      <c r="J31" s="345"/>
    </row>
    <row r="32" spans="1:10" x14ac:dyDescent="0.2">
      <c r="J32" s="345"/>
    </row>
    <row r="33" spans="1:10" x14ac:dyDescent="0.2">
      <c r="J33" s="345"/>
    </row>
    <row r="34" spans="1:10" x14ac:dyDescent="0.2">
      <c r="J34" s="345"/>
    </row>
    <row r="35" spans="1:10" x14ac:dyDescent="0.2">
      <c r="J35" s="345"/>
    </row>
    <row r="36" spans="1:10" x14ac:dyDescent="0.2">
      <c r="J36" s="345"/>
    </row>
    <row r="37" spans="1:10" x14ac:dyDescent="0.2">
      <c r="J37" s="345"/>
    </row>
    <row r="38" spans="1:10" x14ac:dyDescent="0.2">
      <c r="J38" s="345"/>
    </row>
    <row r="39" spans="1:10" x14ac:dyDescent="0.2">
      <c r="J39" s="345"/>
    </row>
    <row r="40" spans="1:10" x14ac:dyDescent="0.2">
      <c r="J40" s="345"/>
    </row>
    <row r="41" spans="1:10" x14ac:dyDescent="0.2">
      <c r="J41" s="345"/>
    </row>
    <row r="42" spans="1:10" x14ac:dyDescent="0.2">
      <c r="J42" s="345"/>
    </row>
    <row r="43" spans="1:10" ht="13.5" thickBot="1" x14ac:dyDescent="0.25">
      <c r="A43" s="344"/>
      <c r="B43" s="344"/>
      <c r="C43" s="344"/>
      <c r="D43" s="344"/>
      <c r="E43" s="344"/>
      <c r="F43" s="344"/>
      <c r="G43" s="344"/>
      <c r="H43" s="344"/>
      <c r="I43" s="344"/>
      <c r="J43" s="347"/>
    </row>
    <row r="44" spans="1:10" ht="13.5" thickTop="1" x14ac:dyDescent="0.2">
      <c r="J44" s="345"/>
    </row>
    <row r="45" spans="1:10" x14ac:dyDescent="0.2">
      <c r="J45" s="345"/>
    </row>
    <row r="46" spans="1:10" x14ac:dyDescent="0.2">
      <c r="E46" s="125"/>
      <c r="F46" s="125"/>
      <c r="J46" s="345"/>
    </row>
    <row r="47" spans="1:10" ht="13.5" thickBot="1" x14ac:dyDescent="0.25">
      <c r="E47" s="125"/>
      <c r="F47" s="125"/>
      <c r="J47" s="345"/>
    </row>
    <row r="48" spans="1:10" ht="20.100000000000001" customHeight="1" thickBot="1" x14ac:dyDescent="0.25">
      <c r="D48" s="188" t="s">
        <v>76</v>
      </c>
      <c r="E48" s="726" t="s">
        <v>115</v>
      </c>
      <c r="F48" s="727"/>
      <c r="G48" s="727"/>
      <c r="H48" s="728"/>
      <c r="I48" s="293" t="s">
        <v>7</v>
      </c>
      <c r="J48" s="345"/>
    </row>
    <row r="49" spans="3:10" ht="47.25" customHeight="1" thickBot="1" x14ac:dyDescent="0.25">
      <c r="C49" s="186"/>
      <c r="D49" s="271" t="s">
        <v>79</v>
      </c>
      <c r="E49" s="641" t="str">
        <f>E2</f>
        <v>M. Pierre-Yves 
TIERCE</v>
      </c>
      <c r="F49" s="596" t="str">
        <f t="shared" ref="F49" si="3">F2</f>
        <v>Mme Isabelle 
FARNET RISSO</v>
      </c>
      <c r="G49" s="306" t="s">
        <v>3</v>
      </c>
      <c r="H49" s="307" t="s">
        <v>4</v>
      </c>
      <c r="I49" s="295" t="s">
        <v>101</v>
      </c>
      <c r="J49" s="345"/>
    </row>
    <row r="50" spans="3:10" ht="19.5" customHeight="1" x14ac:dyDescent="0.2">
      <c r="C50" s="187"/>
      <c r="D50" s="270" t="s">
        <v>78</v>
      </c>
      <c r="E50" s="233"/>
      <c r="F50" s="233"/>
      <c r="G50" s="236"/>
      <c r="H50" s="235"/>
      <c r="I50" s="294">
        <f t="shared" ref="I50:I59" si="4">SUM(E50:H50)</f>
        <v>0</v>
      </c>
      <c r="J50" s="345"/>
    </row>
    <row r="51" spans="3:10" ht="20.100000000000001" customHeight="1" x14ac:dyDescent="0.2">
      <c r="C51" s="187"/>
      <c r="D51" s="270" t="s">
        <v>78</v>
      </c>
      <c r="E51" s="233"/>
      <c r="F51" s="233"/>
      <c r="G51" s="236"/>
      <c r="H51" s="235"/>
      <c r="I51" s="294">
        <f t="shared" si="4"/>
        <v>0</v>
      </c>
      <c r="J51" s="345"/>
    </row>
    <row r="52" spans="3:10" ht="20.100000000000001" customHeight="1" x14ac:dyDescent="0.2">
      <c r="C52" s="187"/>
      <c r="D52" s="270" t="s">
        <v>78</v>
      </c>
      <c r="E52" s="233"/>
      <c r="F52" s="233"/>
      <c r="G52" s="236"/>
      <c r="H52" s="235"/>
      <c r="I52" s="294">
        <f t="shared" si="4"/>
        <v>0</v>
      </c>
      <c r="J52" s="345"/>
    </row>
    <row r="53" spans="3:10" ht="20.100000000000001" customHeight="1" x14ac:dyDescent="0.2">
      <c r="C53" s="187"/>
      <c r="D53" s="270" t="s">
        <v>78</v>
      </c>
      <c r="E53" s="233"/>
      <c r="F53" s="233"/>
      <c r="G53" s="236"/>
      <c r="H53" s="235"/>
      <c r="I53" s="294">
        <f t="shared" si="4"/>
        <v>0</v>
      </c>
      <c r="J53" s="345"/>
    </row>
    <row r="54" spans="3:10" ht="20.100000000000001" customHeight="1" x14ac:dyDescent="0.2">
      <c r="C54" s="187"/>
      <c r="D54" s="270" t="s">
        <v>78</v>
      </c>
      <c r="E54" s="233"/>
      <c r="F54" s="233"/>
      <c r="G54" s="236"/>
      <c r="H54" s="235"/>
      <c r="I54" s="294">
        <f t="shared" si="4"/>
        <v>0</v>
      </c>
      <c r="J54" s="345"/>
    </row>
    <row r="55" spans="3:10" ht="20.100000000000001" customHeight="1" x14ac:dyDescent="0.2">
      <c r="C55" s="187"/>
      <c r="D55" s="270" t="s">
        <v>78</v>
      </c>
      <c r="E55" s="233"/>
      <c r="F55" s="233"/>
      <c r="G55" s="236"/>
      <c r="H55" s="235"/>
      <c r="I55" s="294">
        <f t="shared" si="4"/>
        <v>0</v>
      </c>
      <c r="J55" s="345"/>
    </row>
    <row r="56" spans="3:10" ht="20.100000000000001" customHeight="1" x14ac:dyDescent="0.2">
      <c r="C56" s="187"/>
      <c r="D56" s="270" t="s">
        <v>78</v>
      </c>
      <c r="E56" s="233"/>
      <c r="F56" s="233"/>
      <c r="G56" s="236"/>
      <c r="H56" s="235"/>
      <c r="I56" s="294">
        <f t="shared" si="4"/>
        <v>0</v>
      </c>
      <c r="J56" s="345"/>
    </row>
    <row r="57" spans="3:10" ht="20.100000000000001" customHeight="1" x14ac:dyDescent="0.2">
      <c r="C57" s="187"/>
      <c r="D57" s="270" t="s">
        <v>78</v>
      </c>
      <c r="E57" s="233"/>
      <c r="F57" s="233"/>
      <c r="G57" s="236"/>
      <c r="H57" s="235"/>
      <c r="I57" s="294">
        <f t="shared" si="4"/>
        <v>0</v>
      </c>
      <c r="J57" s="345"/>
    </row>
    <row r="58" spans="3:10" ht="20.100000000000001" customHeight="1" x14ac:dyDescent="0.2">
      <c r="C58" s="187"/>
      <c r="D58" s="270" t="s">
        <v>78</v>
      </c>
      <c r="E58" s="233"/>
      <c r="F58" s="233"/>
      <c r="G58" s="236"/>
      <c r="H58" s="235"/>
      <c r="I58" s="294">
        <f t="shared" si="4"/>
        <v>0</v>
      </c>
      <c r="J58" s="345"/>
    </row>
    <row r="59" spans="3:10" ht="20.100000000000001" customHeight="1" thickBot="1" x14ac:dyDescent="0.25">
      <c r="C59" s="187"/>
      <c r="D59" s="274" t="s">
        <v>78</v>
      </c>
      <c r="E59" s="275"/>
      <c r="F59" s="275"/>
      <c r="G59" s="278"/>
      <c r="H59" s="277"/>
      <c r="I59" s="294">
        <f t="shared" si="4"/>
        <v>0</v>
      </c>
      <c r="J59" s="345"/>
    </row>
    <row r="60" spans="3:10" x14ac:dyDescent="0.2">
      <c r="I60" s="241"/>
      <c r="J60" s="345"/>
    </row>
    <row r="61" spans="3:10" x14ac:dyDescent="0.2">
      <c r="J61" s="345"/>
    </row>
    <row r="62" spans="3:10" x14ac:dyDescent="0.2">
      <c r="J62" s="345"/>
    </row>
    <row r="63" spans="3:10" ht="18" x14ac:dyDescent="0.25">
      <c r="E63" s="184"/>
      <c r="F63" s="184"/>
      <c r="J63" s="345"/>
    </row>
    <row r="64" spans="3:10" x14ac:dyDescent="0.2">
      <c r="J64" s="345"/>
    </row>
    <row r="65" spans="4:10" ht="13.5" thickBot="1" x14ac:dyDescent="0.25">
      <c r="J65" s="345"/>
    </row>
    <row r="66" spans="4:10" ht="16.5" customHeight="1" thickBot="1" x14ac:dyDescent="0.25">
      <c r="D66" s="188" t="s">
        <v>77</v>
      </c>
      <c r="E66" s="726" t="s">
        <v>116</v>
      </c>
      <c r="F66" s="727"/>
      <c r="G66" s="727"/>
      <c r="H66" s="728"/>
      <c r="I66" s="293" t="s">
        <v>7</v>
      </c>
      <c r="J66" s="345"/>
    </row>
    <row r="67" spans="4:10" ht="42" customHeight="1" thickBot="1" x14ac:dyDescent="0.25">
      <c r="D67" s="271" t="s">
        <v>79</v>
      </c>
      <c r="E67" s="641" t="str">
        <f>E2</f>
        <v>M. Pierre-Yves 
TIERCE</v>
      </c>
      <c r="F67" s="596" t="str">
        <f t="shared" ref="F67" si="5">F2</f>
        <v>Mme Isabelle 
FARNET RISSO</v>
      </c>
      <c r="G67" s="306" t="s">
        <v>3</v>
      </c>
      <c r="H67" s="307" t="s">
        <v>4</v>
      </c>
      <c r="I67" s="300" t="s">
        <v>101</v>
      </c>
      <c r="J67" s="345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7">
        <f>SUM(E68:H68)</f>
        <v>0</v>
      </c>
      <c r="J68" s="345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31">
        <f>SUM(E69:H69)</f>
        <v>0</v>
      </c>
      <c r="J69" s="345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31">
        <f>SUM(E70:H70)</f>
        <v>0</v>
      </c>
      <c r="J70" s="345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31">
        <f>SUM(E71:H71)</f>
        <v>0</v>
      </c>
      <c r="J71" s="345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8">
        <f>SUM(E72:H72)</f>
        <v>0</v>
      </c>
      <c r="J72" s="345"/>
    </row>
    <row r="73" spans="4:10" ht="20.100000000000001" customHeight="1" x14ac:dyDescent="0.2">
      <c r="D73" s="189"/>
      <c r="E73" s="187"/>
      <c r="F73" s="187"/>
      <c r="G73" s="187"/>
      <c r="H73" s="187"/>
      <c r="J73" s="345"/>
    </row>
    <row r="74" spans="4:10" ht="20.100000000000001" customHeight="1" x14ac:dyDescent="0.2">
      <c r="D74" s="189"/>
      <c r="E74" s="187"/>
      <c r="F74" s="187"/>
      <c r="G74" s="187"/>
      <c r="H74" s="187"/>
      <c r="J74" s="345"/>
    </row>
    <row r="75" spans="4:10" ht="20.100000000000001" customHeight="1" thickBot="1" x14ac:dyDescent="0.25">
      <c r="D75" s="189"/>
      <c r="E75" s="187"/>
      <c r="F75" s="187"/>
      <c r="G75" s="187"/>
      <c r="H75" s="187"/>
      <c r="J75" s="345"/>
    </row>
    <row r="76" spans="4:10" ht="20.100000000000001" customHeight="1" thickBot="1" x14ac:dyDescent="0.25">
      <c r="D76" s="188" t="s">
        <v>81</v>
      </c>
      <c r="E76" s="726" t="s">
        <v>117</v>
      </c>
      <c r="F76" s="727"/>
      <c r="G76" s="727"/>
      <c r="H76" s="728"/>
      <c r="I76" s="299" t="s">
        <v>7</v>
      </c>
      <c r="J76" s="345"/>
    </row>
    <row r="77" spans="4:10" ht="39.75" customHeight="1" thickBot="1" x14ac:dyDescent="0.25">
      <c r="D77" s="271" t="s">
        <v>79</v>
      </c>
      <c r="E77" s="641" t="str">
        <f>E2</f>
        <v>M. Pierre-Yves 
TIERCE</v>
      </c>
      <c r="F77" s="596" t="str">
        <f t="shared" ref="F77" si="6">F2</f>
        <v>Mme Isabelle 
FARNET RISSO</v>
      </c>
      <c r="G77" s="306" t="s">
        <v>3</v>
      </c>
      <c r="H77" s="307" t="s">
        <v>4</v>
      </c>
      <c r="I77" s="296" t="s">
        <v>101</v>
      </c>
      <c r="J77" s="345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7">
        <f>SUM(E78:H78)</f>
        <v>0</v>
      </c>
      <c r="J78" s="345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31">
        <f>SUM(E79:H79)</f>
        <v>0</v>
      </c>
      <c r="J79" s="345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8">
        <f>SUM(E80:H80)</f>
        <v>0</v>
      </c>
      <c r="J80" s="345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45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45"/>
    </row>
  </sheetData>
  <sheetProtection algorithmName="SHA-512" hashValue="BRqT4bBXVIehn7L2CEfQfAkquZDii8vdkuNJPS9vbIwyNumNBVXZFUGhv7uRLN7bn8K49gXYLarKZPBzWfsjeQ==" saltValue="Dgr2aVDiWwjvNbMLw91duA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211" priority="1" operator="equal">
      <formula>0</formula>
    </cfRule>
    <cfRule type="cellIs" dxfId="210" priority="6" operator="notEqual">
      <formula>$B$8</formula>
    </cfRule>
  </conditionalFormatting>
  <conditionalFormatting sqref="E3:I12">
    <cfRule type="cellIs" dxfId="209" priority="5" operator="notBetween">
      <formula>0</formula>
      <formula>100</formula>
    </cfRule>
  </conditionalFormatting>
  <conditionalFormatting sqref="E3:I14">
    <cfRule type="cellIs" dxfId="208" priority="8" operator="lessThan">
      <formula>0</formula>
    </cfRule>
  </conditionalFormatting>
  <conditionalFormatting sqref="E14:I14">
    <cfRule type="cellIs" dxfId="207" priority="11" operator="greaterThan">
      <formula>1</formula>
    </cfRule>
  </conditionalFormatting>
  <conditionalFormatting sqref="I3:I13">
    <cfRule type="cellIs" dxfId="206" priority="9" operator="equal">
      <formula>0</formula>
    </cfRule>
  </conditionalFormatting>
  <conditionalFormatting sqref="I14">
    <cfRule type="cellIs" dxfId="205" priority="10" operator="equal">
      <formula>1</formula>
    </cfRule>
    <cfRule type="cellIs" dxfId="204" priority="12" operator="lessThan">
      <formula>1</formula>
    </cfRule>
  </conditionalFormatting>
  <conditionalFormatting sqref="M4:M15">
    <cfRule type="cellIs" dxfId="203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202" priority="3">
      <formula>AND(E50&lt;MAX(E$50:E50), NOT(ISBLANK(E50)), NOT(E50=0))</formula>
    </cfRule>
  </conditionalFormatting>
  <conditionalFormatting sqref="E68:H72">
    <cfRule type="expression" dxfId="201" priority="2">
      <formula>AND(E68&lt;MAX(E$68:E68), NOT(ISBLANK(E68)), NOT(E68=0))</formula>
    </cfRule>
  </conditionalFormatting>
  <conditionalFormatting sqref="E78:H80">
    <cfRule type="expression" dxfId="200" priority="13">
      <formula>AND(E78&lt;MAX(E$78:E78), NOT(ISBLANK(E78)), NOT(E78=0))</formula>
    </cfRule>
  </conditionalFormatting>
  <conditionalFormatting sqref="I3:I12">
    <cfRule type="expression" dxfId="199" priority="14">
      <formula>AND($D3=$E$24, I3=$D$25)</formula>
    </cfRule>
    <cfRule type="expression" dxfId="198" priority="15">
      <formula>AND($D3=$E$24, MOD(I3,100)&gt;$D$25)</formula>
    </cfRule>
    <cfRule type="cellIs" dxfId="197" priority="16" operator="equal">
      <formula>100</formula>
    </cfRule>
  </conditionalFormatting>
  <conditionalFormatting sqref="H3:H12 E3:F12">
    <cfRule type="expression" dxfId="196" priority="17">
      <formula>($D3&lt;=$E$24)</formula>
    </cfRule>
  </conditionalFormatting>
  <conditionalFormatting sqref="H3:H12 D3:F12">
    <cfRule type="expression" dxfId="195" priority="18">
      <formula>($D3&gt;$E$24)</formula>
    </cfRule>
  </conditionalFormatting>
  <conditionalFormatting sqref="G3:G12">
    <cfRule type="expression" dxfId="194" priority="19">
      <formula>($D3&lt;=$E$24)</formula>
    </cfRule>
  </conditionalFormatting>
  <conditionalFormatting sqref="G3:G12">
    <cfRule type="expression" dxfId="193" priority="20">
      <formula>($D3&gt;$E$24)</formula>
    </cfRule>
  </conditionalFormatting>
  <conditionalFormatting sqref="I50 I68:I72 I78:I80 I52:I59">
    <cfRule type="cellIs" dxfId="192" priority="21" operator="lessThan">
      <formula>0</formula>
    </cfRule>
    <cfRule type="cellIs" dxfId="191" priority="22" operator="equal">
      <formula>0</formula>
    </cfRule>
    <cfRule type="expression" dxfId="190" priority="23">
      <formula>OR(MOD($I50,100)=0,AND($D50=$E$24,MOD($I50,100)=$D$25))</formula>
    </cfRule>
  </conditionalFormatting>
  <conditionalFormatting sqref="I13">
    <cfRule type="cellIs" dxfId="189" priority="24" operator="equal">
      <formula>$B$8</formula>
    </cfRule>
  </conditionalFormatting>
  <conditionalFormatting sqref="E50:H59 E68:H72 E78:H80">
    <cfRule type="cellIs" dxfId="188" priority="25" operator="notBetween">
      <formula>0</formula>
      <formula>$B$8</formula>
    </cfRule>
    <cfRule type="expression" dxfId="187" priority="26">
      <formula>($D50&lt;=$E$24)</formula>
    </cfRule>
    <cfRule type="expression" dxfId="186" priority="27">
      <formula>($D50&gt;$E$24)</formula>
    </cfRule>
  </conditionalFormatting>
  <conditionalFormatting sqref="I51">
    <cfRule type="cellIs" dxfId="185" priority="28" operator="notBetween">
      <formula>0</formula>
      <formula>$B$8</formula>
    </cfRule>
    <cfRule type="cellIs" dxfId="184" priority="29" operator="equal">
      <formula>0</formula>
    </cfRule>
    <cfRule type="expression" dxfId="183" priority="30">
      <formula>OR(MOD($I51,100)=0,AND($D51=$E$24,MOD($I51,100)=$D$25))</formula>
    </cfRule>
  </conditionalFormatting>
  <conditionalFormatting sqref="L4:L15">
    <cfRule type="expression" dxfId="182" priority="31">
      <formula>AND($L4&lt;$L3, NOT(ISBLANK($L4)))</formula>
    </cfRule>
    <cfRule type="cellIs" dxfId="181" priority="32" operator="greaterThan">
      <formula>$B$7</formula>
    </cfRule>
  </conditionalFormatting>
  <dataValidations count="2">
    <dataValidation type="list" allowBlank="1" showInputMessage="1" showErrorMessage="1" sqref="C50:C59" xr:uid="{11E4F8A2-CC95-4F11-BC22-2A371F5829E7}">
      <formula1>$D$19:$D$21</formula1>
    </dataValidation>
    <dataValidation type="list" allowBlank="1" showInputMessage="1" showErrorMessage="1" sqref="D68:D72 D78:D82 D50:D59" xr:uid="{48AF7CF9-BCAE-4E5B-9BBB-C7F57D8B4CFF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F67DE-28BE-4D84-911D-DC621B36D725}">
  <sheetPr codeName="Feuil51">
    <tabColor rgb="FFB4A7D6"/>
  </sheetPr>
  <dimension ref="A1:Q82"/>
  <sheetViews>
    <sheetView zoomScale="90" zoomScaleNormal="90" workbookViewId="0">
      <selection activeCell="L4" sqref="L4"/>
    </sheetView>
    <sheetView workbookViewId="1"/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40" t="str">
        <f>Synthèse!$A$17</f>
        <v>Date</v>
      </c>
      <c r="B1" s="753">
        <f>Synthèse!$B$17</f>
        <v>46103</v>
      </c>
      <c r="D1" s="230"/>
      <c r="E1" s="729" t="s">
        <v>118</v>
      </c>
      <c r="F1" s="730"/>
      <c r="G1" s="739"/>
      <c r="H1" s="740"/>
      <c r="I1" s="303" t="s">
        <v>7</v>
      </c>
      <c r="J1" s="345"/>
    </row>
    <row r="2" spans="1:17" ht="45" customHeight="1" thickBot="1" x14ac:dyDescent="0.25">
      <c r="A2" s="441" t="str">
        <f>Synthèse!$A$18</f>
        <v>Election</v>
      </c>
      <c r="B2" s="754" t="str">
        <f>Synthèse!$B$18</f>
        <v>Municipales</v>
      </c>
      <c r="D2" s="445" t="s">
        <v>80</v>
      </c>
      <c r="E2" s="640" t="str">
        <f>Synthèse!L2</f>
        <v>M. Pierre-Yves 
TIERCE</v>
      </c>
      <c r="F2" s="595" t="str">
        <f>Synthèse!M2</f>
        <v>Mme Isabelle 
FARNET RISSO</v>
      </c>
      <c r="G2" s="764" t="s">
        <v>4</v>
      </c>
      <c r="H2" s="765" t="s">
        <v>3</v>
      </c>
      <c r="I2" s="766" t="s">
        <v>102</v>
      </c>
      <c r="J2" s="345"/>
      <c r="K2" s="481" t="s">
        <v>21</v>
      </c>
      <c r="L2" s="482" t="s">
        <v>56</v>
      </c>
      <c r="M2" s="483" t="s">
        <v>30</v>
      </c>
      <c r="N2" s="460"/>
      <c r="O2" s="736" t="s">
        <v>58</v>
      </c>
      <c r="P2" s="736" t="s">
        <v>57</v>
      </c>
    </row>
    <row r="3" spans="1:17" ht="20.100000000000001" customHeight="1" thickBot="1" x14ac:dyDescent="0.25">
      <c r="A3" s="747" t="str">
        <f>Synthèse!$A$19</f>
        <v>Tour</v>
      </c>
      <c r="B3" s="755">
        <f>Synthèse!$B$19</f>
        <v>2</v>
      </c>
      <c r="D3" s="264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1">
        <f t="shared" ref="I3:I13" si="0">SUM(E3:H3)</f>
        <v>0</v>
      </c>
      <c r="J3" s="345"/>
      <c r="K3" s="457" t="s">
        <v>31</v>
      </c>
      <c r="L3" s="458">
        <v>0</v>
      </c>
      <c r="M3" s="459">
        <f>L3/$B$7</f>
        <v>0</v>
      </c>
      <c r="N3" s="460"/>
      <c r="O3" s="737"/>
      <c r="P3" s="737"/>
    </row>
    <row r="4" spans="1:17" ht="20.100000000000001" customHeight="1" thickBot="1" x14ac:dyDescent="0.25">
      <c r="A4" s="748" t="str">
        <f>Synthèse!$A$20</f>
        <v>Ville</v>
      </c>
      <c r="B4" s="756">
        <v>9</v>
      </c>
      <c r="D4" s="265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31">
        <f t="shared" si="0"/>
        <v>0</v>
      </c>
      <c r="J4" s="345"/>
      <c r="K4" s="461" t="s">
        <v>32</v>
      </c>
      <c r="L4" s="462"/>
      <c r="M4" s="463" t="e">
        <f>IF(OR(L4=0, L4=""), NA(), L4/$B$7)</f>
        <v>#N/A</v>
      </c>
      <c r="N4" s="460"/>
      <c r="O4" s="464" t="s">
        <v>44</v>
      </c>
      <c r="P4" s="465" t="e">
        <f t="shared" ref="P4:P13" si="1">IF(L4&lt;&gt;0,L4-L3,NA())</f>
        <v>#N/A</v>
      </c>
    </row>
    <row r="5" spans="1:17" ht="20.100000000000001" customHeight="1" x14ac:dyDescent="0.25">
      <c r="A5" s="442" t="s">
        <v>22</v>
      </c>
      <c r="B5" s="348" t="str">
        <f>INDEX(Synthèse!B:B,B4+2)</f>
        <v>CMM</v>
      </c>
      <c r="D5" s="265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8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31">
        <f t="shared" si="0"/>
        <v>0</v>
      </c>
      <c r="J5" s="346"/>
      <c r="K5" s="461" t="s">
        <v>33</v>
      </c>
      <c r="L5" s="462"/>
      <c r="M5" s="463" t="e">
        <f>IF(OR(L5=0, L5=""), NA(), L5/$B$7)</f>
        <v>#N/A</v>
      </c>
      <c r="N5" s="460"/>
      <c r="O5" s="466" t="s">
        <v>45</v>
      </c>
      <c r="P5" s="467" t="e">
        <f t="shared" si="1"/>
        <v>#N/A</v>
      </c>
    </row>
    <row r="6" spans="1:17" ht="20.100000000000001" customHeight="1" x14ac:dyDescent="0.25">
      <c r="A6" s="443" t="s">
        <v>23</v>
      </c>
      <c r="B6" s="349">
        <f>INDEX(Synthèse!C:C,B4+2)</f>
        <v>709</v>
      </c>
      <c r="D6" s="265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8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31">
        <f t="shared" si="0"/>
        <v>0</v>
      </c>
      <c r="J6" s="346"/>
      <c r="K6" s="461" t="s">
        <v>34</v>
      </c>
      <c r="L6" s="462"/>
      <c r="M6" s="463" t="e">
        <f>IF(OR(L6=0, L6=""), NA(), L6/$B$7)</f>
        <v>#N/A</v>
      </c>
      <c r="N6" s="460"/>
      <c r="O6" s="466" t="s">
        <v>46</v>
      </c>
      <c r="P6" s="467" t="e">
        <f t="shared" si="1"/>
        <v>#N/A</v>
      </c>
    </row>
    <row r="7" spans="1:17" ht="20.100000000000001" customHeight="1" x14ac:dyDescent="0.25">
      <c r="A7" s="443" t="s">
        <v>0</v>
      </c>
      <c r="B7" s="143">
        <v>200</v>
      </c>
      <c r="D7" s="265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31">
        <f t="shared" si="0"/>
        <v>0</v>
      </c>
      <c r="J7" s="346"/>
      <c r="K7" s="461" t="s">
        <v>35</v>
      </c>
      <c r="L7" s="462"/>
      <c r="M7" s="463" t="e">
        <f>IF(OR(L7=0, L7=""), NA(), L7/$B$7)</f>
        <v>#N/A</v>
      </c>
      <c r="N7" s="460"/>
      <c r="O7" s="466" t="s">
        <v>53</v>
      </c>
      <c r="P7" s="467" t="e">
        <f t="shared" si="1"/>
        <v>#N/A</v>
      </c>
    </row>
    <row r="8" spans="1:17" ht="20.100000000000001" customHeight="1" x14ac:dyDescent="0.25">
      <c r="A8" s="443" t="s">
        <v>2</v>
      </c>
      <c r="B8" s="122">
        <f>MAX(L4:L15)</f>
        <v>0</v>
      </c>
      <c r="D8" s="265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31">
        <f t="shared" si="0"/>
        <v>0</v>
      </c>
      <c r="J8" s="346"/>
      <c r="K8" s="461" t="s">
        <v>36</v>
      </c>
      <c r="L8" s="462"/>
      <c r="M8" s="463" t="e">
        <f>IF(OR(L8=0, L8=""), NA(), L8/$B$7)</f>
        <v>#N/A</v>
      </c>
      <c r="N8" s="460"/>
      <c r="O8" s="466" t="s">
        <v>47</v>
      </c>
      <c r="P8" s="467" t="e">
        <f t="shared" si="1"/>
        <v>#N/A</v>
      </c>
    </row>
    <row r="9" spans="1:17" ht="20.100000000000001" customHeight="1" x14ac:dyDescent="0.25">
      <c r="A9" s="443" t="s">
        <v>1</v>
      </c>
      <c r="B9" s="123"/>
      <c r="D9" s="265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31">
        <f t="shared" si="0"/>
        <v>0</v>
      </c>
      <c r="J9" s="346"/>
      <c r="K9" s="461" t="s">
        <v>37</v>
      </c>
      <c r="L9" s="462"/>
      <c r="M9" s="463" t="e">
        <f>IF(OR(L9=0, L9=""), NA(), L9/$B$7)</f>
        <v>#N/A</v>
      </c>
      <c r="N9" s="460"/>
      <c r="O9" s="466" t="s">
        <v>48</v>
      </c>
      <c r="P9" s="467" t="e">
        <f t="shared" si="1"/>
        <v>#N/A</v>
      </c>
    </row>
    <row r="10" spans="1:17" ht="20.100000000000001" customHeight="1" thickBot="1" x14ac:dyDescent="0.3">
      <c r="A10" s="444" t="s">
        <v>17</v>
      </c>
      <c r="B10" s="124">
        <f>B7-B8</f>
        <v>200</v>
      </c>
      <c r="D10" s="265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31">
        <f t="shared" si="0"/>
        <v>0</v>
      </c>
      <c r="J10" s="346"/>
      <c r="K10" s="461" t="s">
        <v>38</v>
      </c>
      <c r="L10" s="462"/>
      <c r="M10" s="463" t="e">
        <f>IF(OR(L10=0, L10=""), NA(), L10/$B$7)</f>
        <v>#N/A</v>
      </c>
      <c r="N10" s="460"/>
      <c r="O10" s="466" t="s">
        <v>49</v>
      </c>
      <c r="P10" s="467" t="e">
        <f t="shared" si="1"/>
        <v>#N/A</v>
      </c>
    </row>
    <row r="11" spans="1:17" ht="20.100000000000001" customHeight="1" x14ac:dyDescent="0.2">
      <c r="A11" s="757" t="s">
        <v>155</v>
      </c>
      <c r="B11" s="757"/>
      <c r="D11" s="265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31">
        <f t="shared" si="0"/>
        <v>0</v>
      </c>
      <c r="J11" s="346"/>
      <c r="K11" s="461" t="s">
        <v>39</v>
      </c>
      <c r="L11" s="462"/>
      <c r="M11" s="463" t="e">
        <f>IF(OR(L11=0, L11=""), NA(), L11/$B$7)</f>
        <v>#N/A</v>
      </c>
      <c r="N11" s="460"/>
      <c r="O11" s="466" t="s">
        <v>50</v>
      </c>
      <c r="P11" s="467" t="e">
        <f t="shared" si="1"/>
        <v>#N/A</v>
      </c>
    </row>
    <row r="12" spans="1:17" ht="20.100000000000001" customHeight="1" thickBot="1" x14ac:dyDescent="0.25">
      <c r="A12" s="758"/>
      <c r="B12" s="758"/>
      <c r="D12" s="266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31">
        <f t="shared" si="0"/>
        <v>0</v>
      </c>
      <c r="J12" s="346"/>
      <c r="K12" s="461" t="s">
        <v>40</v>
      </c>
      <c r="L12" s="462"/>
      <c r="M12" s="463" t="e">
        <f>IF(OR(L12=0, L12=""), NA(), L12/$B$7)</f>
        <v>#N/A</v>
      </c>
      <c r="N12" s="460"/>
      <c r="O12" s="466" t="s">
        <v>51</v>
      </c>
      <c r="P12" s="467" t="e">
        <f t="shared" si="1"/>
        <v>#N/A</v>
      </c>
    </row>
    <row r="13" spans="1:17" ht="24.95" customHeight="1" thickBot="1" x14ac:dyDescent="0.4">
      <c r="A13" s="734" t="s">
        <v>60</v>
      </c>
      <c r="B13" s="734"/>
      <c r="D13" s="446" t="s">
        <v>9</v>
      </c>
      <c r="E13" s="450">
        <f>SUM(E3:E12)</f>
        <v>0</v>
      </c>
      <c r="F13" s="451">
        <f t="shared" ref="F13" si="2">SUM(F3:F12)</f>
        <v>0</v>
      </c>
      <c r="G13" s="452">
        <f>SUM(G3:G12)</f>
        <v>0</v>
      </c>
      <c r="H13" s="453">
        <f>SUM(H3:H12)</f>
        <v>0</v>
      </c>
      <c r="I13" s="447">
        <f t="shared" si="0"/>
        <v>0</v>
      </c>
      <c r="J13" s="346"/>
      <c r="K13" s="461" t="s">
        <v>41</v>
      </c>
      <c r="L13" s="462"/>
      <c r="M13" s="463" t="e">
        <f>IF(OR(L13=0, L13=""), NA(), L13/$B$7)</f>
        <v>#N/A</v>
      </c>
      <c r="N13" s="460"/>
      <c r="O13" s="468" t="s">
        <v>52</v>
      </c>
      <c r="P13" s="469" t="e">
        <f t="shared" si="1"/>
        <v>#N/A</v>
      </c>
    </row>
    <row r="14" spans="1:17" ht="26.45" customHeight="1" thickBot="1" x14ac:dyDescent="0.4">
      <c r="A14" s="734"/>
      <c r="B14" s="734"/>
      <c r="D14" s="448" t="s">
        <v>10</v>
      </c>
      <c r="E14" s="454">
        <f>IFERROR(E13/$B$8,0)</f>
        <v>0</v>
      </c>
      <c r="F14" s="455">
        <f>IFERROR(F13/$B$8,0)</f>
        <v>0</v>
      </c>
      <c r="G14" s="454">
        <f>IFERROR(G13/$B$8,0)</f>
        <v>0</v>
      </c>
      <c r="H14" s="456">
        <f>IFERROR(H13/$B$8,0)</f>
        <v>0</v>
      </c>
      <c r="I14" s="449">
        <f>IFERROR(I13/$B$8,0)</f>
        <v>0</v>
      </c>
      <c r="J14" s="345"/>
      <c r="K14" s="470" t="s">
        <v>42</v>
      </c>
      <c r="L14" s="471"/>
      <c r="M14" s="472" t="e">
        <f>IF(OR(L14=0, L14=""), NA(), L14/$B$7)</f>
        <v>#N/A</v>
      </c>
      <c r="N14" s="473"/>
      <c r="O14" s="474" t="s">
        <v>54</v>
      </c>
      <c r="P14" s="475" t="e">
        <f>IF(L14&lt;&gt;0,L14-L13,NA())</f>
        <v>#N/A</v>
      </c>
      <c r="Q14" s="287"/>
    </row>
    <row r="15" spans="1:17" ht="18" customHeight="1" thickBot="1" x14ac:dyDescent="0.25">
      <c r="A15" s="734"/>
      <c r="B15" s="734"/>
      <c r="C15" s="1"/>
      <c r="D15" s="1"/>
      <c r="I15" s="241"/>
      <c r="J15" s="345"/>
      <c r="K15" s="476" t="s">
        <v>43</v>
      </c>
      <c r="L15" s="477"/>
      <c r="M15" s="478" t="e">
        <f>IF(OR(L15=0, L15=""), NA(), L15/$B$7)</f>
        <v>#N/A</v>
      </c>
      <c r="N15" s="460"/>
      <c r="O15" s="479" t="s">
        <v>55</v>
      </c>
      <c r="P15" s="480" t="e">
        <f>IF(L15&lt;&gt;0,L15-L14,NA())</f>
        <v>#N/A</v>
      </c>
      <c r="Q15" s="287"/>
    </row>
    <row r="16" spans="1:17" ht="12.75" customHeight="1" x14ac:dyDescent="0.2">
      <c r="A16" s="738" t="s">
        <v>66</v>
      </c>
      <c r="B16" s="738"/>
      <c r="J16" s="345"/>
      <c r="K16" s="241"/>
      <c r="L16" s="241"/>
      <c r="M16" s="241"/>
      <c r="P16" s="241"/>
    </row>
    <row r="17" spans="1:10" ht="18" customHeight="1" x14ac:dyDescent="0.25">
      <c r="A17" s="738"/>
      <c r="B17" s="738"/>
      <c r="E17" s="184"/>
      <c r="F17" s="184"/>
      <c r="J17" s="345"/>
    </row>
    <row r="18" spans="1:10" ht="26.25" customHeight="1" x14ac:dyDescent="0.2">
      <c r="A18" s="738"/>
      <c r="B18" s="738"/>
      <c r="D18" s="334" t="s">
        <v>63</v>
      </c>
      <c r="J18" s="345"/>
    </row>
    <row r="19" spans="1:10" ht="18.75" customHeight="1" x14ac:dyDescent="0.2">
      <c r="A19" s="738"/>
      <c r="B19" s="738"/>
      <c r="D19" s="335">
        <f>IF((ROW()-23)&lt;=$E$25,(ROW()-23),"Choisir")</f>
        <v>-4</v>
      </c>
      <c r="J19" s="345"/>
    </row>
    <row r="20" spans="1:10" x14ac:dyDescent="0.2">
      <c r="D20" s="335">
        <f>IF((ROW()-23)&lt;=$E$25,(ROW()-23),"Choisir")</f>
        <v>-3</v>
      </c>
      <c r="J20" s="345"/>
    </row>
    <row r="21" spans="1:10" x14ac:dyDescent="0.2">
      <c r="D21" s="335">
        <f>IF((ROW()-23)&lt;=$E$25,(ROW()-23),"Choisir")</f>
        <v>-2</v>
      </c>
      <c r="J21" s="345"/>
    </row>
    <row r="22" spans="1:10" x14ac:dyDescent="0.2">
      <c r="D22" s="335">
        <f>IF((ROW()-23)&lt;=$E$25,(ROW()-23),"Choisir")</f>
        <v>-1</v>
      </c>
      <c r="J22" s="345"/>
    </row>
    <row r="23" spans="1:10" x14ac:dyDescent="0.2">
      <c r="J23" s="345"/>
    </row>
    <row r="24" spans="1:10" x14ac:dyDescent="0.2">
      <c r="D24" s="198">
        <f>CEILING($B$7, 100)/100</f>
        <v>2</v>
      </c>
      <c r="E24" s="316">
        <f>CEILING($B$8,100)/100</f>
        <v>0</v>
      </c>
      <c r="F24" s="316"/>
      <c r="J24" s="345"/>
    </row>
    <row r="25" spans="1:10" x14ac:dyDescent="0.2">
      <c r="D25" s="198">
        <f>MOD($B$8,100)</f>
        <v>0</v>
      </c>
      <c r="E25" s="199">
        <f>CEILING($B$7/300,1)</f>
        <v>1</v>
      </c>
      <c r="F25" s="199"/>
      <c r="J25" s="345"/>
    </row>
    <row r="26" spans="1:10" x14ac:dyDescent="0.2">
      <c r="J26" s="345"/>
    </row>
    <row r="27" spans="1:10" x14ac:dyDescent="0.2">
      <c r="J27" s="345"/>
    </row>
    <row r="28" spans="1:10" x14ac:dyDescent="0.2">
      <c r="J28" s="345"/>
    </row>
    <row r="29" spans="1:10" x14ac:dyDescent="0.2">
      <c r="J29" s="345"/>
    </row>
    <row r="30" spans="1:10" x14ac:dyDescent="0.2">
      <c r="J30" s="345"/>
    </row>
    <row r="31" spans="1:10" x14ac:dyDescent="0.2">
      <c r="J31" s="345"/>
    </row>
    <row r="32" spans="1:10" x14ac:dyDescent="0.2">
      <c r="J32" s="345"/>
    </row>
    <row r="33" spans="1:10" x14ac:dyDescent="0.2">
      <c r="J33" s="345"/>
    </row>
    <row r="34" spans="1:10" x14ac:dyDescent="0.2">
      <c r="J34" s="345"/>
    </row>
    <row r="35" spans="1:10" x14ac:dyDescent="0.2">
      <c r="J35" s="345"/>
    </row>
    <row r="36" spans="1:10" x14ac:dyDescent="0.2">
      <c r="J36" s="345"/>
    </row>
    <row r="37" spans="1:10" x14ac:dyDescent="0.2">
      <c r="J37" s="345"/>
    </row>
    <row r="38" spans="1:10" x14ac:dyDescent="0.2">
      <c r="J38" s="345"/>
    </row>
    <row r="39" spans="1:10" x14ac:dyDescent="0.2">
      <c r="J39" s="345"/>
    </row>
    <row r="40" spans="1:10" x14ac:dyDescent="0.2">
      <c r="J40" s="345"/>
    </row>
    <row r="41" spans="1:10" x14ac:dyDescent="0.2">
      <c r="J41" s="345"/>
    </row>
    <row r="42" spans="1:10" x14ac:dyDescent="0.2">
      <c r="J42" s="345"/>
    </row>
    <row r="43" spans="1:10" ht="13.5" thickBot="1" x14ac:dyDescent="0.25">
      <c r="A43" s="344"/>
      <c r="B43" s="344"/>
      <c r="C43" s="344"/>
      <c r="D43" s="344"/>
      <c r="E43" s="344"/>
      <c r="F43" s="344"/>
      <c r="G43" s="344"/>
      <c r="H43" s="344"/>
      <c r="I43" s="344"/>
      <c r="J43" s="347"/>
    </row>
    <row r="44" spans="1:10" ht="13.5" thickTop="1" x14ac:dyDescent="0.2">
      <c r="J44" s="345"/>
    </row>
    <row r="45" spans="1:10" x14ac:dyDescent="0.2">
      <c r="J45" s="345"/>
    </row>
    <row r="46" spans="1:10" x14ac:dyDescent="0.2">
      <c r="E46" s="125"/>
      <c r="F46" s="125"/>
      <c r="J46" s="345"/>
    </row>
    <row r="47" spans="1:10" ht="13.5" thickBot="1" x14ac:dyDescent="0.25">
      <c r="E47" s="125"/>
      <c r="F47" s="125"/>
      <c r="J47" s="345"/>
    </row>
    <row r="48" spans="1:10" ht="20.100000000000001" customHeight="1" thickBot="1" x14ac:dyDescent="0.25">
      <c r="D48" s="188" t="s">
        <v>76</v>
      </c>
      <c r="E48" s="726" t="s">
        <v>115</v>
      </c>
      <c r="F48" s="727"/>
      <c r="G48" s="727"/>
      <c r="H48" s="728"/>
      <c r="I48" s="293" t="s">
        <v>7</v>
      </c>
      <c r="J48" s="345"/>
    </row>
    <row r="49" spans="3:10" ht="47.25" customHeight="1" thickBot="1" x14ac:dyDescent="0.25">
      <c r="C49" s="186"/>
      <c r="D49" s="271" t="s">
        <v>79</v>
      </c>
      <c r="E49" s="641" t="str">
        <f>E2</f>
        <v>M. Pierre-Yves 
TIERCE</v>
      </c>
      <c r="F49" s="596" t="str">
        <f t="shared" ref="F49" si="3">F2</f>
        <v>Mme Isabelle 
FARNET RISSO</v>
      </c>
      <c r="G49" s="306" t="s">
        <v>3</v>
      </c>
      <c r="H49" s="307" t="s">
        <v>4</v>
      </c>
      <c r="I49" s="295" t="s">
        <v>101</v>
      </c>
      <c r="J49" s="345"/>
    </row>
    <row r="50" spans="3:10" ht="19.5" customHeight="1" x14ac:dyDescent="0.2">
      <c r="C50" s="187"/>
      <c r="D50" s="270" t="s">
        <v>78</v>
      </c>
      <c r="E50" s="233"/>
      <c r="F50" s="233"/>
      <c r="G50" s="236"/>
      <c r="H50" s="235"/>
      <c r="I50" s="294">
        <f t="shared" ref="I50:I59" si="4">SUM(E50:H50)</f>
        <v>0</v>
      </c>
      <c r="J50" s="345"/>
    </row>
    <row r="51" spans="3:10" ht="20.100000000000001" customHeight="1" x14ac:dyDescent="0.2">
      <c r="C51" s="187"/>
      <c r="D51" s="270" t="s">
        <v>78</v>
      </c>
      <c r="E51" s="233"/>
      <c r="F51" s="233"/>
      <c r="G51" s="236"/>
      <c r="H51" s="235"/>
      <c r="I51" s="294">
        <f t="shared" si="4"/>
        <v>0</v>
      </c>
      <c r="J51" s="345"/>
    </row>
    <row r="52" spans="3:10" ht="20.100000000000001" customHeight="1" x14ac:dyDescent="0.2">
      <c r="C52" s="187"/>
      <c r="D52" s="270" t="s">
        <v>78</v>
      </c>
      <c r="E52" s="233"/>
      <c r="F52" s="233"/>
      <c r="G52" s="236"/>
      <c r="H52" s="235"/>
      <c r="I52" s="294">
        <f t="shared" si="4"/>
        <v>0</v>
      </c>
      <c r="J52" s="345"/>
    </row>
    <row r="53" spans="3:10" ht="20.100000000000001" customHeight="1" x14ac:dyDescent="0.2">
      <c r="C53" s="187"/>
      <c r="D53" s="270" t="s">
        <v>78</v>
      </c>
      <c r="E53" s="233"/>
      <c r="F53" s="233"/>
      <c r="G53" s="236"/>
      <c r="H53" s="235"/>
      <c r="I53" s="294">
        <f t="shared" si="4"/>
        <v>0</v>
      </c>
      <c r="J53" s="345"/>
    </row>
    <row r="54" spans="3:10" ht="20.100000000000001" customHeight="1" x14ac:dyDescent="0.2">
      <c r="C54" s="187"/>
      <c r="D54" s="270" t="s">
        <v>78</v>
      </c>
      <c r="E54" s="233"/>
      <c r="F54" s="233"/>
      <c r="G54" s="236"/>
      <c r="H54" s="235"/>
      <c r="I54" s="294">
        <f t="shared" si="4"/>
        <v>0</v>
      </c>
      <c r="J54" s="345"/>
    </row>
    <row r="55" spans="3:10" ht="20.100000000000001" customHeight="1" x14ac:dyDescent="0.2">
      <c r="C55" s="187"/>
      <c r="D55" s="270" t="s">
        <v>78</v>
      </c>
      <c r="E55" s="233"/>
      <c r="F55" s="233"/>
      <c r="G55" s="236"/>
      <c r="H55" s="235"/>
      <c r="I55" s="294">
        <f t="shared" si="4"/>
        <v>0</v>
      </c>
      <c r="J55" s="345"/>
    </row>
    <row r="56" spans="3:10" ht="20.100000000000001" customHeight="1" x14ac:dyDescent="0.2">
      <c r="C56" s="187"/>
      <c r="D56" s="270" t="s">
        <v>78</v>
      </c>
      <c r="E56" s="233"/>
      <c r="F56" s="233"/>
      <c r="G56" s="236"/>
      <c r="H56" s="235"/>
      <c r="I56" s="294">
        <f t="shared" si="4"/>
        <v>0</v>
      </c>
      <c r="J56" s="345"/>
    </row>
    <row r="57" spans="3:10" ht="20.100000000000001" customHeight="1" x14ac:dyDescent="0.2">
      <c r="C57" s="187"/>
      <c r="D57" s="270" t="s">
        <v>78</v>
      </c>
      <c r="E57" s="233"/>
      <c r="F57" s="233"/>
      <c r="G57" s="236"/>
      <c r="H57" s="235"/>
      <c r="I57" s="294">
        <f t="shared" si="4"/>
        <v>0</v>
      </c>
      <c r="J57" s="345"/>
    </row>
    <row r="58" spans="3:10" ht="20.100000000000001" customHeight="1" x14ac:dyDescent="0.2">
      <c r="C58" s="187"/>
      <c r="D58" s="270" t="s">
        <v>78</v>
      </c>
      <c r="E58" s="233"/>
      <c r="F58" s="233"/>
      <c r="G58" s="236"/>
      <c r="H58" s="235"/>
      <c r="I58" s="294">
        <f t="shared" si="4"/>
        <v>0</v>
      </c>
      <c r="J58" s="345"/>
    </row>
    <row r="59" spans="3:10" ht="20.100000000000001" customHeight="1" thickBot="1" x14ac:dyDescent="0.25">
      <c r="C59" s="187"/>
      <c r="D59" s="274" t="s">
        <v>78</v>
      </c>
      <c r="E59" s="275"/>
      <c r="F59" s="275"/>
      <c r="G59" s="278"/>
      <c r="H59" s="277"/>
      <c r="I59" s="294">
        <f t="shared" si="4"/>
        <v>0</v>
      </c>
      <c r="J59" s="345"/>
    </row>
    <row r="60" spans="3:10" x14ac:dyDescent="0.2">
      <c r="I60" s="241"/>
      <c r="J60" s="345"/>
    </row>
    <row r="61" spans="3:10" x14ac:dyDescent="0.2">
      <c r="J61" s="345"/>
    </row>
    <row r="62" spans="3:10" x14ac:dyDescent="0.2">
      <c r="J62" s="345"/>
    </row>
    <row r="63" spans="3:10" ht="18" x14ac:dyDescent="0.25">
      <c r="E63" s="184"/>
      <c r="F63" s="184"/>
      <c r="J63" s="345"/>
    </row>
    <row r="64" spans="3:10" x14ac:dyDescent="0.2">
      <c r="J64" s="345"/>
    </row>
    <row r="65" spans="4:10" ht="13.5" thickBot="1" x14ac:dyDescent="0.25">
      <c r="J65" s="345"/>
    </row>
    <row r="66" spans="4:10" ht="16.5" customHeight="1" thickBot="1" x14ac:dyDescent="0.25">
      <c r="D66" s="188" t="s">
        <v>77</v>
      </c>
      <c r="E66" s="726" t="s">
        <v>116</v>
      </c>
      <c r="F66" s="727"/>
      <c r="G66" s="727"/>
      <c r="H66" s="728"/>
      <c r="I66" s="293" t="s">
        <v>7</v>
      </c>
      <c r="J66" s="345"/>
    </row>
    <row r="67" spans="4:10" ht="42" customHeight="1" thickBot="1" x14ac:dyDescent="0.25">
      <c r="D67" s="271" t="s">
        <v>79</v>
      </c>
      <c r="E67" s="641" t="str">
        <f>E2</f>
        <v>M. Pierre-Yves 
TIERCE</v>
      </c>
      <c r="F67" s="596" t="str">
        <f t="shared" ref="F67" si="5">F2</f>
        <v>Mme Isabelle 
FARNET RISSO</v>
      </c>
      <c r="G67" s="306" t="s">
        <v>3</v>
      </c>
      <c r="H67" s="307" t="s">
        <v>4</v>
      </c>
      <c r="I67" s="300" t="s">
        <v>101</v>
      </c>
      <c r="J67" s="345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7">
        <f>SUM(E68:H68)</f>
        <v>0</v>
      </c>
      <c r="J68" s="345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31">
        <f>SUM(E69:H69)</f>
        <v>0</v>
      </c>
      <c r="J69" s="345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31">
        <f>SUM(E70:H70)</f>
        <v>0</v>
      </c>
      <c r="J70" s="345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31">
        <f>SUM(E71:H71)</f>
        <v>0</v>
      </c>
      <c r="J71" s="345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8">
        <f>SUM(E72:H72)</f>
        <v>0</v>
      </c>
      <c r="J72" s="345"/>
    </row>
    <row r="73" spans="4:10" ht="20.100000000000001" customHeight="1" x14ac:dyDescent="0.2">
      <c r="D73" s="189"/>
      <c r="E73" s="187"/>
      <c r="F73" s="187"/>
      <c r="G73" s="187"/>
      <c r="H73" s="187"/>
      <c r="J73" s="345"/>
    </row>
    <row r="74" spans="4:10" ht="20.100000000000001" customHeight="1" x14ac:dyDescent="0.2">
      <c r="D74" s="189"/>
      <c r="E74" s="187"/>
      <c r="F74" s="187"/>
      <c r="G74" s="187"/>
      <c r="H74" s="187"/>
      <c r="J74" s="345"/>
    </row>
    <row r="75" spans="4:10" ht="20.100000000000001" customHeight="1" thickBot="1" x14ac:dyDescent="0.25">
      <c r="D75" s="189"/>
      <c r="E75" s="187"/>
      <c r="F75" s="187"/>
      <c r="G75" s="187"/>
      <c r="H75" s="187"/>
      <c r="J75" s="345"/>
    </row>
    <row r="76" spans="4:10" ht="20.100000000000001" customHeight="1" thickBot="1" x14ac:dyDescent="0.25">
      <c r="D76" s="188" t="s">
        <v>81</v>
      </c>
      <c r="E76" s="726" t="s">
        <v>117</v>
      </c>
      <c r="F76" s="727"/>
      <c r="G76" s="727"/>
      <c r="H76" s="728"/>
      <c r="I76" s="299" t="s">
        <v>7</v>
      </c>
      <c r="J76" s="345"/>
    </row>
    <row r="77" spans="4:10" ht="39.75" customHeight="1" thickBot="1" x14ac:dyDescent="0.25">
      <c r="D77" s="271" t="s">
        <v>79</v>
      </c>
      <c r="E77" s="641" t="str">
        <f>E2</f>
        <v>M. Pierre-Yves 
TIERCE</v>
      </c>
      <c r="F77" s="596" t="str">
        <f t="shared" ref="F77" si="6">F2</f>
        <v>Mme Isabelle 
FARNET RISSO</v>
      </c>
      <c r="G77" s="306" t="s">
        <v>3</v>
      </c>
      <c r="H77" s="307" t="s">
        <v>4</v>
      </c>
      <c r="I77" s="296" t="s">
        <v>101</v>
      </c>
      <c r="J77" s="345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7">
        <f>SUM(E78:H78)</f>
        <v>0</v>
      </c>
      <c r="J78" s="345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31">
        <f>SUM(E79:H79)</f>
        <v>0</v>
      </c>
      <c r="J79" s="345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8">
        <f>SUM(E80:H80)</f>
        <v>0</v>
      </c>
      <c r="J80" s="345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45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45"/>
    </row>
  </sheetData>
  <sheetProtection algorithmName="SHA-512" hashValue="0JlpmQSCO4icF/+dpIMc7SQVQ1YtwjFsdQtzsYNSVCb9EhnUH4yDe9MRxlkohD/x0cX0v2gFOkrb6+HSBYMceg==" saltValue="tJJH0MXn+G5xa644tlGfFA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180" priority="1" operator="equal">
      <formula>0</formula>
    </cfRule>
    <cfRule type="cellIs" dxfId="179" priority="6" operator="notEqual">
      <formula>$B$8</formula>
    </cfRule>
  </conditionalFormatting>
  <conditionalFormatting sqref="E3:I12">
    <cfRule type="cellIs" dxfId="178" priority="5" operator="notBetween">
      <formula>0</formula>
      <formula>100</formula>
    </cfRule>
  </conditionalFormatting>
  <conditionalFormatting sqref="E3:I14">
    <cfRule type="cellIs" dxfId="177" priority="8" operator="lessThan">
      <formula>0</formula>
    </cfRule>
  </conditionalFormatting>
  <conditionalFormatting sqref="E14:I14">
    <cfRule type="cellIs" dxfId="176" priority="11" operator="greaterThan">
      <formula>1</formula>
    </cfRule>
  </conditionalFormatting>
  <conditionalFormatting sqref="I3:I13">
    <cfRule type="cellIs" dxfId="175" priority="9" operator="equal">
      <formula>0</formula>
    </cfRule>
  </conditionalFormatting>
  <conditionalFormatting sqref="I14">
    <cfRule type="cellIs" dxfId="174" priority="10" operator="equal">
      <formula>1</formula>
    </cfRule>
    <cfRule type="cellIs" dxfId="173" priority="12" operator="lessThan">
      <formula>1</formula>
    </cfRule>
  </conditionalFormatting>
  <conditionalFormatting sqref="M4:M15">
    <cfRule type="cellIs" dxfId="172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171" priority="3">
      <formula>AND(E50&lt;MAX(E$50:E50), NOT(ISBLANK(E50)), NOT(E50=0))</formula>
    </cfRule>
  </conditionalFormatting>
  <conditionalFormatting sqref="E68:H72">
    <cfRule type="expression" dxfId="170" priority="2">
      <formula>AND(E68&lt;MAX(E$68:E68), NOT(ISBLANK(E68)), NOT(E68=0))</formula>
    </cfRule>
  </conditionalFormatting>
  <conditionalFormatting sqref="E78:H80">
    <cfRule type="expression" dxfId="169" priority="13">
      <formula>AND(E78&lt;MAX(E$78:E78), NOT(ISBLANK(E78)), NOT(E78=0))</formula>
    </cfRule>
  </conditionalFormatting>
  <conditionalFormatting sqref="I3:I12">
    <cfRule type="expression" dxfId="168" priority="14">
      <formula>AND($D3=$E$24, I3=$D$25)</formula>
    </cfRule>
    <cfRule type="expression" dxfId="167" priority="15">
      <formula>AND($D3=$E$24, MOD(I3,100)&gt;$D$25)</formula>
    </cfRule>
    <cfRule type="cellIs" dxfId="166" priority="16" operator="equal">
      <formula>100</formula>
    </cfRule>
  </conditionalFormatting>
  <conditionalFormatting sqref="H3:H12 E3:F12">
    <cfRule type="expression" dxfId="165" priority="17">
      <formula>($D3&lt;=$E$24)</formula>
    </cfRule>
  </conditionalFormatting>
  <conditionalFormatting sqref="H3:H12 D3:F12">
    <cfRule type="expression" dxfId="164" priority="18">
      <formula>($D3&gt;$E$24)</formula>
    </cfRule>
  </conditionalFormatting>
  <conditionalFormatting sqref="G3:G12">
    <cfRule type="expression" dxfId="163" priority="19">
      <formula>($D3&lt;=$E$24)</formula>
    </cfRule>
  </conditionalFormatting>
  <conditionalFormatting sqref="G3:G12">
    <cfRule type="expression" dxfId="162" priority="20">
      <formula>($D3&gt;$E$24)</formula>
    </cfRule>
  </conditionalFormatting>
  <conditionalFormatting sqref="I50 I68:I72 I78:I80 I52:I59">
    <cfRule type="cellIs" dxfId="161" priority="21" operator="lessThan">
      <formula>0</formula>
    </cfRule>
    <cfRule type="cellIs" dxfId="160" priority="22" operator="equal">
      <formula>0</formula>
    </cfRule>
    <cfRule type="expression" dxfId="159" priority="23">
      <formula>OR(MOD($I50,100)=0,AND($D50=$E$24,MOD($I50,100)=$D$25))</formula>
    </cfRule>
  </conditionalFormatting>
  <conditionalFormatting sqref="I13">
    <cfRule type="cellIs" dxfId="158" priority="24" operator="equal">
      <formula>$B$8</formula>
    </cfRule>
  </conditionalFormatting>
  <conditionalFormatting sqref="E50:H59 E68:H72 E78:H80">
    <cfRule type="cellIs" dxfId="157" priority="25" operator="notBetween">
      <formula>0</formula>
      <formula>$B$8</formula>
    </cfRule>
    <cfRule type="expression" dxfId="156" priority="26">
      <formula>($D50&lt;=$E$24)</formula>
    </cfRule>
    <cfRule type="expression" dxfId="155" priority="27">
      <formula>($D50&gt;$E$24)</formula>
    </cfRule>
  </conditionalFormatting>
  <conditionalFormatting sqref="I51">
    <cfRule type="cellIs" dxfId="154" priority="28" operator="notBetween">
      <formula>0</formula>
      <formula>$B$8</formula>
    </cfRule>
    <cfRule type="cellIs" dxfId="153" priority="29" operator="equal">
      <formula>0</formula>
    </cfRule>
    <cfRule type="expression" dxfId="152" priority="30">
      <formula>OR(MOD($I51,100)=0,AND($D51=$E$24,MOD($I51,100)=$D$25))</formula>
    </cfRule>
  </conditionalFormatting>
  <conditionalFormatting sqref="L4:L15">
    <cfRule type="expression" dxfId="151" priority="31">
      <formula>AND($L4&lt;$L3, NOT(ISBLANK($L4)))</formula>
    </cfRule>
    <cfRule type="cellIs" dxfId="150" priority="32" operator="greaterThan">
      <formula>$B$7</formula>
    </cfRule>
  </conditionalFormatting>
  <dataValidations count="2">
    <dataValidation type="list" allowBlank="1" showInputMessage="1" showErrorMessage="1" sqref="C50:C59" xr:uid="{31012869-6487-48D2-AE2B-1A82A7273B38}">
      <formula1>$D$19:$D$21</formula1>
    </dataValidation>
    <dataValidation type="list" allowBlank="1" showInputMessage="1" showErrorMessage="1" sqref="D68:D72 D78:D82 D50:D59" xr:uid="{01C43DB4-60B9-4959-A212-7307D1FA7E54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FC134-70B5-4433-9D52-C3EE59247C31}">
  <sheetPr codeName="Feuil52">
    <tabColor rgb="FFB4A7D6"/>
  </sheetPr>
  <dimension ref="A1:Q82"/>
  <sheetViews>
    <sheetView zoomScale="90" zoomScaleNormal="90" workbookViewId="0">
      <selection activeCell="L4" sqref="L4"/>
    </sheetView>
    <sheetView workbookViewId="1"/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40" t="str">
        <f>Synthèse!$A$17</f>
        <v>Date</v>
      </c>
      <c r="B1" s="753">
        <f>Synthèse!$B$17</f>
        <v>46103</v>
      </c>
      <c r="D1" s="230"/>
      <c r="E1" s="729" t="s">
        <v>118</v>
      </c>
      <c r="F1" s="730"/>
      <c r="G1" s="739"/>
      <c r="H1" s="740"/>
      <c r="I1" s="303" t="s">
        <v>7</v>
      </c>
      <c r="J1" s="345"/>
    </row>
    <row r="2" spans="1:17" ht="45" customHeight="1" thickBot="1" x14ac:dyDescent="0.25">
      <c r="A2" s="441" t="str">
        <f>Synthèse!$A$18</f>
        <v>Election</v>
      </c>
      <c r="B2" s="754" t="str">
        <f>Synthèse!$B$18</f>
        <v>Municipales</v>
      </c>
      <c r="D2" s="445" t="s">
        <v>80</v>
      </c>
      <c r="E2" s="640" t="str">
        <f>Synthèse!L2</f>
        <v>M. Pierre-Yves 
TIERCE</v>
      </c>
      <c r="F2" s="595" t="str">
        <f>Synthèse!M2</f>
        <v>Mme Isabelle 
FARNET RISSO</v>
      </c>
      <c r="G2" s="764" t="s">
        <v>4</v>
      </c>
      <c r="H2" s="765" t="s">
        <v>3</v>
      </c>
      <c r="I2" s="766" t="s">
        <v>102</v>
      </c>
      <c r="J2" s="345"/>
      <c r="K2" s="481" t="s">
        <v>21</v>
      </c>
      <c r="L2" s="482" t="s">
        <v>56</v>
      </c>
      <c r="M2" s="483" t="s">
        <v>30</v>
      </c>
      <c r="N2" s="460"/>
      <c r="O2" s="736" t="s">
        <v>58</v>
      </c>
      <c r="P2" s="736" t="s">
        <v>57</v>
      </c>
    </row>
    <row r="3" spans="1:17" ht="20.100000000000001" customHeight="1" thickBot="1" x14ac:dyDescent="0.25">
      <c r="A3" s="747" t="str">
        <f>Synthèse!$A$19</f>
        <v>Tour</v>
      </c>
      <c r="B3" s="755">
        <f>Synthèse!$B$19</f>
        <v>2</v>
      </c>
      <c r="D3" s="264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1">
        <f t="shared" ref="I3:I13" si="0">SUM(E3:H3)</f>
        <v>0</v>
      </c>
      <c r="J3" s="345"/>
      <c r="K3" s="457" t="s">
        <v>31</v>
      </c>
      <c r="L3" s="458">
        <v>0</v>
      </c>
      <c r="M3" s="459">
        <f>L3/$B$7</f>
        <v>0</v>
      </c>
      <c r="N3" s="460"/>
      <c r="O3" s="737"/>
      <c r="P3" s="737"/>
    </row>
    <row r="4" spans="1:17" ht="20.100000000000001" customHeight="1" thickBot="1" x14ac:dyDescent="0.25">
      <c r="A4" s="748" t="str">
        <f>Synthèse!$A$20</f>
        <v>Ville</v>
      </c>
      <c r="B4" s="756">
        <v>10</v>
      </c>
      <c r="D4" s="265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31">
        <f t="shared" si="0"/>
        <v>0</v>
      </c>
      <c r="J4" s="345"/>
      <c r="K4" s="461" t="s">
        <v>32</v>
      </c>
      <c r="L4" s="462"/>
      <c r="M4" s="463" t="e">
        <f>IF(OR(L4=0, L4=""), NA(), L4/$B$7)</f>
        <v>#N/A</v>
      </c>
      <c r="N4" s="460"/>
      <c r="O4" s="464" t="s">
        <v>44</v>
      </c>
      <c r="P4" s="465" t="e">
        <f t="shared" ref="P4:P13" si="1">IF(L4&lt;&gt;0,L4-L3,NA())</f>
        <v>#N/A</v>
      </c>
    </row>
    <row r="5" spans="1:17" ht="20.100000000000001" customHeight="1" x14ac:dyDescent="0.25">
      <c r="A5" s="442" t="s">
        <v>22</v>
      </c>
      <c r="B5" s="348" t="str">
        <f>INDEX(Synthèse!B:B,B4+2)</f>
        <v>CMM</v>
      </c>
      <c r="D5" s="265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8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31">
        <f t="shared" si="0"/>
        <v>0</v>
      </c>
      <c r="J5" s="346"/>
      <c r="K5" s="461" t="s">
        <v>33</v>
      </c>
      <c r="L5" s="462"/>
      <c r="M5" s="463" t="e">
        <f>IF(OR(L5=0, L5=""), NA(), L5/$B$7)</f>
        <v>#N/A</v>
      </c>
      <c r="N5" s="460"/>
      <c r="O5" s="466" t="s">
        <v>45</v>
      </c>
      <c r="P5" s="467" t="e">
        <f t="shared" si="1"/>
        <v>#N/A</v>
      </c>
    </row>
    <row r="6" spans="1:17" ht="20.100000000000001" customHeight="1" x14ac:dyDescent="0.25">
      <c r="A6" s="443" t="s">
        <v>23</v>
      </c>
      <c r="B6" s="349">
        <f>INDEX(Synthèse!C:C,B4+2)</f>
        <v>609</v>
      </c>
      <c r="D6" s="265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8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31">
        <f t="shared" si="0"/>
        <v>0</v>
      </c>
      <c r="J6" s="346"/>
      <c r="K6" s="461" t="s">
        <v>34</v>
      </c>
      <c r="L6" s="462"/>
      <c r="M6" s="463" t="e">
        <f>IF(OR(L6=0, L6=""), NA(), L6/$B$7)</f>
        <v>#N/A</v>
      </c>
      <c r="N6" s="460"/>
      <c r="O6" s="466" t="s">
        <v>46</v>
      </c>
      <c r="P6" s="467" t="e">
        <f t="shared" si="1"/>
        <v>#N/A</v>
      </c>
    </row>
    <row r="7" spans="1:17" ht="20.100000000000001" customHeight="1" x14ac:dyDescent="0.25">
      <c r="A7" s="443" t="s">
        <v>0</v>
      </c>
      <c r="B7" s="143">
        <v>200</v>
      </c>
      <c r="D7" s="265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31">
        <f t="shared" si="0"/>
        <v>0</v>
      </c>
      <c r="J7" s="346"/>
      <c r="K7" s="461" t="s">
        <v>35</v>
      </c>
      <c r="L7" s="462"/>
      <c r="M7" s="463" t="e">
        <f>IF(OR(L7=0, L7=""), NA(), L7/$B$7)</f>
        <v>#N/A</v>
      </c>
      <c r="N7" s="460"/>
      <c r="O7" s="466" t="s">
        <v>53</v>
      </c>
      <c r="P7" s="467" t="e">
        <f t="shared" si="1"/>
        <v>#N/A</v>
      </c>
    </row>
    <row r="8" spans="1:17" ht="20.100000000000001" customHeight="1" x14ac:dyDescent="0.25">
      <c r="A8" s="443" t="s">
        <v>2</v>
      </c>
      <c r="B8" s="122">
        <f>MAX(L4:L15)</f>
        <v>0</v>
      </c>
      <c r="D8" s="265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31">
        <f t="shared" si="0"/>
        <v>0</v>
      </c>
      <c r="J8" s="346"/>
      <c r="K8" s="461" t="s">
        <v>36</v>
      </c>
      <c r="L8" s="462"/>
      <c r="M8" s="463" t="e">
        <f>IF(OR(L8=0, L8=""), NA(), L8/$B$7)</f>
        <v>#N/A</v>
      </c>
      <c r="N8" s="460"/>
      <c r="O8" s="466" t="s">
        <v>47</v>
      </c>
      <c r="P8" s="467" t="e">
        <f t="shared" si="1"/>
        <v>#N/A</v>
      </c>
    </row>
    <row r="9" spans="1:17" ht="20.100000000000001" customHeight="1" x14ac:dyDescent="0.25">
      <c r="A9" s="443" t="s">
        <v>1</v>
      </c>
      <c r="B9" s="123"/>
      <c r="D9" s="265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31">
        <f t="shared" si="0"/>
        <v>0</v>
      </c>
      <c r="J9" s="346"/>
      <c r="K9" s="461" t="s">
        <v>37</v>
      </c>
      <c r="L9" s="462"/>
      <c r="M9" s="463" t="e">
        <f>IF(OR(L9=0, L9=""), NA(), L9/$B$7)</f>
        <v>#N/A</v>
      </c>
      <c r="N9" s="460"/>
      <c r="O9" s="466" t="s">
        <v>48</v>
      </c>
      <c r="P9" s="467" t="e">
        <f t="shared" si="1"/>
        <v>#N/A</v>
      </c>
    </row>
    <row r="10" spans="1:17" ht="20.100000000000001" customHeight="1" thickBot="1" x14ac:dyDescent="0.3">
      <c r="A10" s="444" t="s">
        <v>17</v>
      </c>
      <c r="B10" s="124">
        <f>B7-B8</f>
        <v>200</v>
      </c>
      <c r="D10" s="265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31">
        <f t="shared" si="0"/>
        <v>0</v>
      </c>
      <c r="J10" s="346"/>
      <c r="K10" s="461" t="s">
        <v>38</v>
      </c>
      <c r="L10" s="462"/>
      <c r="M10" s="463" t="e">
        <f>IF(OR(L10=0, L10=""), NA(), L10/$B$7)</f>
        <v>#N/A</v>
      </c>
      <c r="N10" s="460"/>
      <c r="O10" s="466" t="s">
        <v>49</v>
      </c>
      <c r="P10" s="467" t="e">
        <f t="shared" si="1"/>
        <v>#N/A</v>
      </c>
    </row>
    <row r="11" spans="1:17" ht="20.100000000000001" customHeight="1" x14ac:dyDescent="0.2">
      <c r="A11" s="757" t="s">
        <v>155</v>
      </c>
      <c r="B11" s="757"/>
      <c r="D11" s="265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31">
        <f t="shared" si="0"/>
        <v>0</v>
      </c>
      <c r="J11" s="346"/>
      <c r="K11" s="461" t="s">
        <v>39</v>
      </c>
      <c r="L11" s="462"/>
      <c r="M11" s="463" t="e">
        <f>IF(OR(L11=0, L11=""), NA(), L11/$B$7)</f>
        <v>#N/A</v>
      </c>
      <c r="N11" s="460"/>
      <c r="O11" s="466" t="s">
        <v>50</v>
      </c>
      <c r="P11" s="467" t="e">
        <f t="shared" si="1"/>
        <v>#N/A</v>
      </c>
    </row>
    <row r="12" spans="1:17" ht="20.100000000000001" customHeight="1" thickBot="1" x14ac:dyDescent="0.25">
      <c r="A12" s="758"/>
      <c r="B12" s="758"/>
      <c r="D12" s="266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31">
        <f t="shared" si="0"/>
        <v>0</v>
      </c>
      <c r="J12" s="346"/>
      <c r="K12" s="461" t="s">
        <v>40</v>
      </c>
      <c r="L12" s="462"/>
      <c r="M12" s="463" t="e">
        <f>IF(OR(L12=0, L12=""), NA(), L12/$B$7)</f>
        <v>#N/A</v>
      </c>
      <c r="N12" s="460"/>
      <c r="O12" s="466" t="s">
        <v>51</v>
      </c>
      <c r="P12" s="467" t="e">
        <f t="shared" si="1"/>
        <v>#N/A</v>
      </c>
    </row>
    <row r="13" spans="1:17" ht="24.95" customHeight="1" thickBot="1" x14ac:dyDescent="0.4">
      <c r="A13" s="734" t="s">
        <v>60</v>
      </c>
      <c r="B13" s="734"/>
      <c r="D13" s="446" t="s">
        <v>9</v>
      </c>
      <c r="E13" s="450">
        <f>SUM(E3:E12)</f>
        <v>0</v>
      </c>
      <c r="F13" s="451">
        <f t="shared" ref="F13" si="2">SUM(F3:F12)</f>
        <v>0</v>
      </c>
      <c r="G13" s="452">
        <f>SUM(G3:G12)</f>
        <v>0</v>
      </c>
      <c r="H13" s="453">
        <f>SUM(H3:H12)</f>
        <v>0</v>
      </c>
      <c r="I13" s="447">
        <f t="shared" si="0"/>
        <v>0</v>
      </c>
      <c r="J13" s="346"/>
      <c r="K13" s="461" t="s">
        <v>41</v>
      </c>
      <c r="L13" s="462"/>
      <c r="M13" s="463" t="e">
        <f>IF(OR(L13=0, L13=""), NA(), L13/$B$7)</f>
        <v>#N/A</v>
      </c>
      <c r="N13" s="460"/>
      <c r="O13" s="468" t="s">
        <v>52</v>
      </c>
      <c r="P13" s="469" t="e">
        <f t="shared" si="1"/>
        <v>#N/A</v>
      </c>
    </row>
    <row r="14" spans="1:17" ht="26.45" customHeight="1" thickBot="1" x14ac:dyDescent="0.4">
      <c r="A14" s="734"/>
      <c r="B14" s="734"/>
      <c r="D14" s="448" t="s">
        <v>10</v>
      </c>
      <c r="E14" s="454">
        <f>IFERROR(E13/$B$8,0)</f>
        <v>0</v>
      </c>
      <c r="F14" s="455">
        <f>IFERROR(F13/$B$8,0)</f>
        <v>0</v>
      </c>
      <c r="G14" s="454">
        <f>IFERROR(G13/$B$8,0)</f>
        <v>0</v>
      </c>
      <c r="H14" s="456">
        <f>IFERROR(H13/$B$8,0)</f>
        <v>0</v>
      </c>
      <c r="I14" s="449">
        <f>IFERROR(I13/$B$8,0)</f>
        <v>0</v>
      </c>
      <c r="J14" s="345"/>
      <c r="K14" s="470" t="s">
        <v>42</v>
      </c>
      <c r="L14" s="471"/>
      <c r="M14" s="472" t="e">
        <f>IF(OR(L14=0, L14=""), NA(), L14/$B$7)</f>
        <v>#N/A</v>
      </c>
      <c r="N14" s="473"/>
      <c r="O14" s="474" t="s">
        <v>54</v>
      </c>
      <c r="P14" s="475" t="e">
        <f>IF(L14&lt;&gt;0,L14-L13,NA())</f>
        <v>#N/A</v>
      </c>
      <c r="Q14" s="287"/>
    </row>
    <row r="15" spans="1:17" ht="18" customHeight="1" thickBot="1" x14ac:dyDescent="0.25">
      <c r="A15" s="734"/>
      <c r="B15" s="734"/>
      <c r="C15" s="1"/>
      <c r="D15" s="1"/>
      <c r="I15" s="241"/>
      <c r="J15" s="345"/>
      <c r="K15" s="476" t="s">
        <v>43</v>
      </c>
      <c r="L15" s="477"/>
      <c r="M15" s="478" t="e">
        <f>IF(OR(L15=0, L15=""), NA(), L15/$B$7)</f>
        <v>#N/A</v>
      </c>
      <c r="N15" s="460"/>
      <c r="O15" s="479" t="s">
        <v>55</v>
      </c>
      <c r="P15" s="480" t="e">
        <f>IF(L15&lt;&gt;0,L15-L14,NA())</f>
        <v>#N/A</v>
      </c>
      <c r="Q15" s="287"/>
    </row>
    <row r="16" spans="1:17" ht="12.75" customHeight="1" x14ac:dyDescent="0.2">
      <c r="A16" s="738" t="s">
        <v>66</v>
      </c>
      <c r="B16" s="738"/>
      <c r="J16" s="345"/>
      <c r="K16" s="241"/>
      <c r="L16" s="241"/>
      <c r="M16" s="241"/>
      <c r="P16" s="241"/>
    </row>
    <row r="17" spans="1:10" ht="18" customHeight="1" x14ac:dyDescent="0.25">
      <c r="A17" s="738"/>
      <c r="B17" s="738"/>
      <c r="E17" s="184"/>
      <c r="F17" s="184"/>
      <c r="J17" s="345"/>
    </row>
    <row r="18" spans="1:10" ht="26.25" customHeight="1" x14ac:dyDescent="0.2">
      <c r="A18" s="738"/>
      <c r="B18" s="738"/>
      <c r="D18" s="334" t="s">
        <v>63</v>
      </c>
      <c r="J18" s="345"/>
    </row>
    <row r="19" spans="1:10" ht="18.75" customHeight="1" x14ac:dyDescent="0.2">
      <c r="A19" s="738"/>
      <c r="B19" s="738"/>
      <c r="D19" s="335">
        <f>IF((ROW()-23)&lt;=$E$25,(ROW()-23),"Choisir")</f>
        <v>-4</v>
      </c>
      <c r="J19" s="345"/>
    </row>
    <row r="20" spans="1:10" x14ac:dyDescent="0.2">
      <c r="D20" s="335">
        <f>IF((ROW()-23)&lt;=$E$25,(ROW()-23),"Choisir")</f>
        <v>-3</v>
      </c>
      <c r="J20" s="345"/>
    </row>
    <row r="21" spans="1:10" x14ac:dyDescent="0.2">
      <c r="D21" s="335">
        <f>IF((ROW()-23)&lt;=$E$25,(ROW()-23),"Choisir")</f>
        <v>-2</v>
      </c>
      <c r="J21" s="345"/>
    </row>
    <row r="22" spans="1:10" x14ac:dyDescent="0.2">
      <c r="D22" s="335">
        <f>IF((ROW()-23)&lt;=$E$25,(ROW()-23),"Choisir")</f>
        <v>-1</v>
      </c>
      <c r="J22" s="345"/>
    </row>
    <row r="23" spans="1:10" x14ac:dyDescent="0.2">
      <c r="J23" s="345"/>
    </row>
    <row r="24" spans="1:10" x14ac:dyDescent="0.2">
      <c r="D24" s="198">
        <f>CEILING($B$7, 100)/100</f>
        <v>2</v>
      </c>
      <c r="E24" s="316">
        <f>CEILING($B$8,100)/100</f>
        <v>0</v>
      </c>
      <c r="F24" s="316"/>
      <c r="J24" s="345"/>
    </row>
    <row r="25" spans="1:10" x14ac:dyDescent="0.2">
      <c r="D25" s="198">
        <f>MOD($B$8,100)</f>
        <v>0</v>
      </c>
      <c r="E25" s="199">
        <f>CEILING($B$7/300,1)</f>
        <v>1</v>
      </c>
      <c r="F25" s="199"/>
      <c r="J25" s="345"/>
    </row>
    <row r="26" spans="1:10" x14ac:dyDescent="0.2">
      <c r="J26" s="345"/>
    </row>
    <row r="27" spans="1:10" x14ac:dyDescent="0.2">
      <c r="J27" s="345"/>
    </row>
    <row r="28" spans="1:10" x14ac:dyDescent="0.2">
      <c r="J28" s="345"/>
    </row>
    <row r="29" spans="1:10" x14ac:dyDescent="0.2">
      <c r="J29" s="345"/>
    </row>
    <row r="30" spans="1:10" x14ac:dyDescent="0.2">
      <c r="J30" s="345"/>
    </row>
    <row r="31" spans="1:10" x14ac:dyDescent="0.2">
      <c r="J31" s="345"/>
    </row>
    <row r="32" spans="1:10" x14ac:dyDescent="0.2">
      <c r="J32" s="345"/>
    </row>
    <row r="33" spans="1:10" x14ac:dyDescent="0.2">
      <c r="J33" s="345"/>
    </row>
    <row r="34" spans="1:10" x14ac:dyDescent="0.2">
      <c r="J34" s="345"/>
    </row>
    <row r="35" spans="1:10" x14ac:dyDescent="0.2">
      <c r="J35" s="345"/>
    </row>
    <row r="36" spans="1:10" x14ac:dyDescent="0.2">
      <c r="J36" s="345"/>
    </row>
    <row r="37" spans="1:10" x14ac:dyDescent="0.2">
      <c r="J37" s="345"/>
    </row>
    <row r="38" spans="1:10" x14ac:dyDescent="0.2">
      <c r="J38" s="345"/>
    </row>
    <row r="39" spans="1:10" x14ac:dyDescent="0.2">
      <c r="J39" s="345"/>
    </row>
    <row r="40" spans="1:10" x14ac:dyDescent="0.2">
      <c r="J40" s="345"/>
    </row>
    <row r="41" spans="1:10" x14ac:dyDescent="0.2">
      <c r="J41" s="345"/>
    </row>
    <row r="42" spans="1:10" x14ac:dyDescent="0.2">
      <c r="J42" s="345"/>
    </row>
    <row r="43" spans="1:10" ht="13.5" thickBot="1" x14ac:dyDescent="0.25">
      <c r="A43" s="344"/>
      <c r="B43" s="344"/>
      <c r="C43" s="344"/>
      <c r="D43" s="344"/>
      <c r="E43" s="344"/>
      <c r="F43" s="344"/>
      <c r="G43" s="344"/>
      <c r="H43" s="344"/>
      <c r="I43" s="344"/>
      <c r="J43" s="347"/>
    </row>
    <row r="44" spans="1:10" ht="13.5" thickTop="1" x14ac:dyDescent="0.2">
      <c r="J44" s="345"/>
    </row>
    <row r="45" spans="1:10" x14ac:dyDescent="0.2">
      <c r="J45" s="345"/>
    </row>
    <row r="46" spans="1:10" x14ac:dyDescent="0.2">
      <c r="E46" s="125"/>
      <c r="F46" s="125"/>
      <c r="J46" s="345"/>
    </row>
    <row r="47" spans="1:10" ht="13.5" thickBot="1" x14ac:dyDescent="0.25">
      <c r="E47" s="125"/>
      <c r="F47" s="125"/>
      <c r="J47" s="345"/>
    </row>
    <row r="48" spans="1:10" ht="20.100000000000001" customHeight="1" thickBot="1" x14ac:dyDescent="0.25">
      <c r="D48" s="188" t="s">
        <v>76</v>
      </c>
      <c r="E48" s="726" t="s">
        <v>115</v>
      </c>
      <c r="F48" s="727"/>
      <c r="G48" s="727"/>
      <c r="H48" s="728"/>
      <c r="I48" s="293" t="s">
        <v>7</v>
      </c>
      <c r="J48" s="345"/>
    </row>
    <row r="49" spans="3:10" ht="47.25" customHeight="1" thickBot="1" x14ac:dyDescent="0.25">
      <c r="C49" s="186"/>
      <c r="D49" s="271" t="s">
        <v>79</v>
      </c>
      <c r="E49" s="641" t="str">
        <f>E2</f>
        <v>M. Pierre-Yves 
TIERCE</v>
      </c>
      <c r="F49" s="596" t="str">
        <f t="shared" ref="F49" si="3">F2</f>
        <v>Mme Isabelle 
FARNET RISSO</v>
      </c>
      <c r="G49" s="306" t="s">
        <v>3</v>
      </c>
      <c r="H49" s="307" t="s">
        <v>4</v>
      </c>
      <c r="I49" s="295" t="s">
        <v>101</v>
      </c>
      <c r="J49" s="345"/>
    </row>
    <row r="50" spans="3:10" ht="19.5" customHeight="1" x14ac:dyDescent="0.2">
      <c r="C50" s="187"/>
      <c r="D50" s="270" t="s">
        <v>78</v>
      </c>
      <c r="E50" s="233"/>
      <c r="F50" s="233"/>
      <c r="G50" s="236"/>
      <c r="H50" s="235"/>
      <c r="I50" s="294">
        <f t="shared" ref="I50:I59" si="4">SUM(E50:H50)</f>
        <v>0</v>
      </c>
      <c r="J50" s="345"/>
    </row>
    <row r="51" spans="3:10" ht="20.100000000000001" customHeight="1" x14ac:dyDescent="0.2">
      <c r="C51" s="187"/>
      <c r="D51" s="270" t="s">
        <v>78</v>
      </c>
      <c r="E51" s="233"/>
      <c r="F51" s="233"/>
      <c r="G51" s="236"/>
      <c r="H51" s="235"/>
      <c r="I51" s="294">
        <f t="shared" si="4"/>
        <v>0</v>
      </c>
      <c r="J51" s="345"/>
    </row>
    <row r="52" spans="3:10" ht="20.100000000000001" customHeight="1" x14ac:dyDescent="0.2">
      <c r="C52" s="187"/>
      <c r="D52" s="270" t="s">
        <v>78</v>
      </c>
      <c r="E52" s="233"/>
      <c r="F52" s="233"/>
      <c r="G52" s="236"/>
      <c r="H52" s="235"/>
      <c r="I52" s="294">
        <f t="shared" si="4"/>
        <v>0</v>
      </c>
      <c r="J52" s="345"/>
    </row>
    <row r="53" spans="3:10" ht="20.100000000000001" customHeight="1" x14ac:dyDescent="0.2">
      <c r="C53" s="187"/>
      <c r="D53" s="270" t="s">
        <v>78</v>
      </c>
      <c r="E53" s="233"/>
      <c r="F53" s="233"/>
      <c r="G53" s="236"/>
      <c r="H53" s="235"/>
      <c r="I53" s="294">
        <f t="shared" si="4"/>
        <v>0</v>
      </c>
      <c r="J53" s="345"/>
    </row>
    <row r="54" spans="3:10" ht="20.100000000000001" customHeight="1" x14ac:dyDescent="0.2">
      <c r="C54" s="187"/>
      <c r="D54" s="270" t="s">
        <v>78</v>
      </c>
      <c r="E54" s="233"/>
      <c r="F54" s="233"/>
      <c r="G54" s="236"/>
      <c r="H54" s="235"/>
      <c r="I54" s="294">
        <f t="shared" si="4"/>
        <v>0</v>
      </c>
      <c r="J54" s="345"/>
    </row>
    <row r="55" spans="3:10" ht="20.100000000000001" customHeight="1" x14ac:dyDescent="0.2">
      <c r="C55" s="187"/>
      <c r="D55" s="270" t="s">
        <v>78</v>
      </c>
      <c r="E55" s="233"/>
      <c r="F55" s="233"/>
      <c r="G55" s="236"/>
      <c r="H55" s="235"/>
      <c r="I55" s="294">
        <f t="shared" si="4"/>
        <v>0</v>
      </c>
      <c r="J55" s="345"/>
    </row>
    <row r="56" spans="3:10" ht="20.100000000000001" customHeight="1" x14ac:dyDescent="0.2">
      <c r="C56" s="187"/>
      <c r="D56" s="270" t="s">
        <v>78</v>
      </c>
      <c r="E56" s="233"/>
      <c r="F56" s="233"/>
      <c r="G56" s="236"/>
      <c r="H56" s="235"/>
      <c r="I56" s="294">
        <f t="shared" si="4"/>
        <v>0</v>
      </c>
      <c r="J56" s="345"/>
    </row>
    <row r="57" spans="3:10" ht="20.100000000000001" customHeight="1" x14ac:dyDescent="0.2">
      <c r="C57" s="187"/>
      <c r="D57" s="270" t="s">
        <v>78</v>
      </c>
      <c r="E57" s="233"/>
      <c r="F57" s="233"/>
      <c r="G57" s="236"/>
      <c r="H57" s="235"/>
      <c r="I57" s="294">
        <f t="shared" si="4"/>
        <v>0</v>
      </c>
      <c r="J57" s="345"/>
    </row>
    <row r="58" spans="3:10" ht="20.100000000000001" customHeight="1" x14ac:dyDescent="0.2">
      <c r="C58" s="187"/>
      <c r="D58" s="270" t="s">
        <v>78</v>
      </c>
      <c r="E58" s="233"/>
      <c r="F58" s="233"/>
      <c r="G58" s="236"/>
      <c r="H58" s="235"/>
      <c r="I58" s="294">
        <f t="shared" si="4"/>
        <v>0</v>
      </c>
      <c r="J58" s="345"/>
    </row>
    <row r="59" spans="3:10" ht="20.100000000000001" customHeight="1" thickBot="1" x14ac:dyDescent="0.25">
      <c r="C59" s="187"/>
      <c r="D59" s="274" t="s">
        <v>78</v>
      </c>
      <c r="E59" s="275"/>
      <c r="F59" s="275"/>
      <c r="G59" s="278"/>
      <c r="H59" s="277"/>
      <c r="I59" s="294">
        <f t="shared" si="4"/>
        <v>0</v>
      </c>
      <c r="J59" s="345"/>
    </row>
    <row r="60" spans="3:10" x14ac:dyDescent="0.2">
      <c r="I60" s="241"/>
      <c r="J60" s="345"/>
    </row>
    <row r="61" spans="3:10" x14ac:dyDescent="0.2">
      <c r="J61" s="345"/>
    </row>
    <row r="62" spans="3:10" x14ac:dyDescent="0.2">
      <c r="J62" s="345"/>
    </row>
    <row r="63" spans="3:10" ht="18" x14ac:dyDescent="0.25">
      <c r="E63" s="184"/>
      <c r="F63" s="184"/>
      <c r="J63" s="345"/>
    </row>
    <row r="64" spans="3:10" x14ac:dyDescent="0.2">
      <c r="J64" s="345"/>
    </row>
    <row r="65" spans="4:10" ht="13.5" thickBot="1" x14ac:dyDescent="0.25">
      <c r="J65" s="345"/>
    </row>
    <row r="66" spans="4:10" ht="16.5" customHeight="1" thickBot="1" x14ac:dyDescent="0.25">
      <c r="D66" s="188" t="s">
        <v>77</v>
      </c>
      <c r="E66" s="726" t="s">
        <v>116</v>
      </c>
      <c r="F66" s="727"/>
      <c r="G66" s="727"/>
      <c r="H66" s="728"/>
      <c r="I66" s="293" t="s">
        <v>7</v>
      </c>
      <c r="J66" s="345"/>
    </row>
    <row r="67" spans="4:10" ht="42" customHeight="1" thickBot="1" x14ac:dyDescent="0.25">
      <c r="D67" s="271" t="s">
        <v>79</v>
      </c>
      <c r="E67" s="641" t="str">
        <f>E2</f>
        <v>M. Pierre-Yves 
TIERCE</v>
      </c>
      <c r="F67" s="596" t="str">
        <f t="shared" ref="F67" si="5">F2</f>
        <v>Mme Isabelle 
FARNET RISSO</v>
      </c>
      <c r="G67" s="306" t="s">
        <v>3</v>
      </c>
      <c r="H67" s="307" t="s">
        <v>4</v>
      </c>
      <c r="I67" s="300" t="s">
        <v>101</v>
      </c>
      <c r="J67" s="345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7">
        <f>SUM(E68:H68)</f>
        <v>0</v>
      </c>
      <c r="J68" s="345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31">
        <f>SUM(E69:H69)</f>
        <v>0</v>
      </c>
      <c r="J69" s="345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31">
        <f>SUM(E70:H70)</f>
        <v>0</v>
      </c>
      <c r="J70" s="345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31">
        <f>SUM(E71:H71)</f>
        <v>0</v>
      </c>
      <c r="J71" s="345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8">
        <f>SUM(E72:H72)</f>
        <v>0</v>
      </c>
      <c r="J72" s="345"/>
    </row>
    <row r="73" spans="4:10" ht="20.100000000000001" customHeight="1" x14ac:dyDescent="0.2">
      <c r="D73" s="189"/>
      <c r="E73" s="187"/>
      <c r="F73" s="187"/>
      <c r="G73" s="187"/>
      <c r="H73" s="187"/>
      <c r="J73" s="345"/>
    </row>
    <row r="74" spans="4:10" ht="20.100000000000001" customHeight="1" x14ac:dyDescent="0.2">
      <c r="D74" s="189"/>
      <c r="E74" s="187"/>
      <c r="F74" s="187"/>
      <c r="G74" s="187"/>
      <c r="H74" s="187"/>
      <c r="J74" s="345"/>
    </row>
    <row r="75" spans="4:10" ht="20.100000000000001" customHeight="1" thickBot="1" x14ac:dyDescent="0.25">
      <c r="D75" s="189"/>
      <c r="E75" s="187"/>
      <c r="F75" s="187"/>
      <c r="G75" s="187"/>
      <c r="H75" s="187"/>
      <c r="J75" s="345"/>
    </row>
    <row r="76" spans="4:10" ht="20.100000000000001" customHeight="1" thickBot="1" x14ac:dyDescent="0.25">
      <c r="D76" s="188" t="s">
        <v>81</v>
      </c>
      <c r="E76" s="726" t="s">
        <v>117</v>
      </c>
      <c r="F76" s="727"/>
      <c r="G76" s="727"/>
      <c r="H76" s="728"/>
      <c r="I76" s="299" t="s">
        <v>7</v>
      </c>
      <c r="J76" s="345"/>
    </row>
    <row r="77" spans="4:10" ht="39.75" customHeight="1" thickBot="1" x14ac:dyDescent="0.25">
      <c r="D77" s="271" t="s">
        <v>79</v>
      </c>
      <c r="E77" s="641" t="str">
        <f>E2</f>
        <v>M. Pierre-Yves 
TIERCE</v>
      </c>
      <c r="F77" s="596" t="str">
        <f t="shared" ref="F77" si="6">F2</f>
        <v>Mme Isabelle 
FARNET RISSO</v>
      </c>
      <c r="G77" s="306" t="s">
        <v>3</v>
      </c>
      <c r="H77" s="307" t="s">
        <v>4</v>
      </c>
      <c r="I77" s="296" t="s">
        <v>101</v>
      </c>
      <c r="J77" s="345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7">
        <f>SUM(E78:H78)</f>
        <v>0</v>
      </c>
      <c r="J78" s="345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31">
        <f>SUM(E79:H79)</f>
        <v>0</v>
      </c>
      <c r="J79" s="345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8">
        <f>SUM(E80:H80)</f>
        <v>0</v>
      </c>
      <c r="J80" s="345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45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45"/>
    </row>
  </sheetData>
  <sheetProtection algorithmName="SHA-512" hashValue="G3M9HJxTY0lSvp4C530NmSrAYDyJugdgWR08rfosaxHLy0aIHH7CeicwUy76hnm7uffQ/ZjFWnma7nd+Ezhy0Q==" saltValue="2XZJkZpwOOppO61wmErjww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149" priority="1" operator="equal">
      <formula>0</formula>
    </cfRule>
    <cfRule type="cellIs" dxfId="148" priority="6" operator="notEqual">
      <formula>$B$8</formula>
    </cfRule>
  </conditionalFormatting>
  <conditionalFormatting sqref="E3:I12">
    <cfRule type="cellIs" dxfId="147" priority="5" operator="notBetween">
      <formula>0</formula>
      <formula>100</formula>
    </cfRule>
  </conditionalFormatting>
  <conditionalFormatting sqref="E3:I14">
    <cfRule type="cellIs" dxfId="146" priority="8" operator="lessThan">
      <formula>0</formula>
    </cfRule>
  </conditionalFormatting>
  <conditionalFormatting sqref="E14:I14">
    <cfRule type="cellIs" dxfId="145" priority="11" operator="greaterThan">
      <formula>1</formula>
    </cfRule>
  </conditionalFormatting>
  <conditionalFormatting sqref="I3:I13">
    <cfRule type="cellIs" dxfId="144" priority="9" operator="equal">
      <formula>0</formula>
    </cfRule>
  </conditionalFormatting>
  <conditionalFormatting sqref="I14">
    <cfRule type="cellIs" dxfId="143" priority="10" operator="equal">
      <formula>1</formula>
    </cfRule>
    <cfRule type="cellIs" dxfId="142" priority="12" operator="lessThan">
      <formula>1</formula>
    </cfRule>
  </conditionalFormatting>
  <conditionalFormatting sqref="M4:M15">
    <cfRule type="cellIs" dxfId="141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140" priority="3">
      <formula>AND(E50&lt;MAX(E$50:E50), NOT(ISBLANK(E50)), NOT(E50=0))</formula>
    </cfRule>
  </conditionalFormatting>
  <conditionalFormatting sqref="E68:H72">
    <cfRule type="expression" dxfId="139" priority="2">
      <formula>AND(E68&lt;MAX(E$68:E68), NOT(ISBLANK(E68)), NOT(E68=0))</formula>
    </cfRule>
  </conditionalFormatting>
  <conditionalFormatting sqref="E78:H80">
    <cfRule type="expression" dxfId="138" priority="13">
      <formula>AND(E78&lt;MAX(E$78:E78), NOT(ISBLANK(E78)), NOT(E78=0))</formula>
    </cfRule>
  </conditionalFormatting>
  <conditionalFormatting sqref="I3:I12">
    <cfRule type="expression" dxfId="137" priority="14">
      <formula>AND($D3=$E$24, I3=$D$25)</formula>
    </cfRule>
    <cfRule type="expression" dxfId="136" priority="15">
      <formula>AND($D3=$E$24, MOD(I3,100)&gt;$D$25)</formula>
    </cfRule>
    <cfRule type="cellIs" dxfId="135" priority="16" operator="equal">
      <formula>100</formula>
    </cfRule>
  </conditionalFormatting>
  <conditionalFormatting sqref="H3:H12 E3:F12">
    <cfRule type="expression" dxfId="134" priority="17">
      <formula>($D3&lt;=$E$24)</formula>
    </cfRule>
  </conditionalFormatting>
  <conditionalFormatting sqref="H3:H12 D3:F12">
    <cfRule type="expression" dxfId="133" priority="18">
      <formula>($D3&gt;$E$24)</formula>
    </cfRule>
  </conditionalFormatting>
  <conditionalFormatting sqref="G3:G12">
    <cfRule type="expression" dxfId="132" priority="19">
      <formula>($D3&lt;=$E$24)</formula>
    </cfRule>
  </conditionalFormatting>
  <conditionalFormatting sqref="G3:G12">
    <cfRule type="expression" dxfId="131" priority="20">
      <formula>($D3&gt;$E$24)</formula>
    </cfRule>
  </conditionalFormatting>
  <conditionalFormatting sqref="I50 I68:I72 I78:I80 I52:I59">
    <cfRule type="cellIs" dxfId="130" priority="21" operator="lessThan">
      <formula>0</formula>
    </cfRule>
    <cfRule type="cellIs" dxfId="129" priority="22" operator="equal">
      <formula>0</formula>
    </cfRule>
    <cfRule type="expression" dxfId="128" priority="23">
      <formula>OR(MOD($I50,100)=0,AND($D50=$E$24,MOD($I50,100)=$D$25))</formula>
    </cfRule>
  </conditionalFormatting>
  <conditionalFormatting sqref="I13">
    <cfRule type="cellIs" dxfId="127" priority="24" operator="equal">
      <formula>$B$8</formula>
    </cfRule>
  </conditionalFormatting>
  <conditionalFormatting sqref="E50:H59 E68:H72 E78:H80">
    <cfRule type="cellIs" dxfId="126" priority="25" operator="notBetween">
      <formula>0</formula>
      <formula>$B$8</formula>
    </cfRule>
    <cfRule type="expression" dxfId="125" priority="26">
      <formula>($D50&lt;=$E$24)</formula>
    </cfRule>
    <cfRule type="expression" dxfId="124" priority="27">
      <formula>($D50&gt;$E$24)</formula>
    </cfRule>
  </conditionalFormatting>
  <conditionalFormatting sqref="I51">
    <cfRule type="cellIs" dxfId="123" priority="28" operator="notBetween">
      <formula>0</formula>
      <formula>$B$8</formula>
    </cfRule>
    <cfRule type="cellIs" dxfId="122" priority="29" operator="equal">
      <formula>0</formula>
    </cfRule>
    <cfRule type="expression" dxfId="121" priority="30">
      <formula>OR(MOD($I51,100)=0,AND($D51=$E$24,MOD($I51,100)=$D$25))</formula>
    </cfRule>
  </conditionalFormatting>
  <conditionalFormatting sqref="L4:L15">
    <cfRule type="expression" dxfId="120" priority="31">
      <formula>AND($L4&lt;$L3, NOT(ISBLANK($L4)))</formula>
    </cfRule>
    <cfRule type="cellIs" dxfId="119" priority="32" operator="greaterThan">
      <formula>$B$7</formula>
    </cfRule>
  </conditionalFormatting>
  <dataValidations count="2">
    <dataValidation type="list" allowBlank="1" showInputMessage="1" showErrorMessage="1" sqref="C50:C59" xr:uid="{5A37B073-0E94-4E27-A7D5-9B5B582FC88D}">
      <formula1>$D$19:$D$21</formula1>
    </dataValidation>
    <dataValidation type="list" allowBlank="1" showInputMessage="1" showErrorMessage="1" sqref="D68:D72 D78:D82 D50:D59" xr:uid="{1A6608C1-B8BD-4A65-B9DE-314A752B0829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2138B-5C8F-44BD-9068-FDACE78043A6}">
  <sheetPr codeName="Feuil53">
    <tabColor rgb="FFB4A7D6"/>
  </sheetPr>
  <dimension ref="A1:Q82"/>
  <sheetViews>
    <sheetView zoomScale="90" zoomScaleNormal="90" workbookViewId="0">
      <selection activeCell="L4" sqref="L4"/>
    </sheetView>
    <sheetView workbookViewId="1"/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40" t="str">
        <f>Synthèse!$A$17</f>
        <v>Date</v>
      </c>
      <c r="B1" s="753">
        <f>Synthèse!$B$17</f>
        <v>46103</v>
      </c>
      <c r="D1" s="230"/>
      <c r="E1" s="729" t="s">
        <v>118</v>
      </c>
      <c r="F1" s="730"/>
      <c r="G1" s="739"/>
      <c r="H1" s="740"/>
      <c r="I1" s="303" t="s">
        <v>7</v>
      </c>
      <c r="J1" s="345"/>
    </row>
    <row r="2" spans="1:17" ht="45" customHeight="1" thickBot="1" x14ac:dyDescent="0.25">
      <c r="A2" s="441" t="str">
        <f>Synthèse!$A$18</f>
        <v>Election</v>
      </c>
      <c r="B2" s="754" t="str">
        <f>Synthèse!$B$18</f>
        <v>Municipales</v>
      </c>
      <c r="D2" s="445" t="s">
        <v>80</v>
      </c>
      <c r="E2" s="640" t="str">
        <f>Synthèse!L2</f>
        <v>M. Pierre-Yves 
TIERCE</v>
      </c>
      <c r="F2" s="595" t="str">
        <f>Synthèse!M2</f>
        <v>Mme Isabelle 
FARNET RISSO</v>
      </c>
      <c r="G2" s="764" t="s">
        <v>4</v>
      </c>
      <c r="H2" s="765" t="s">
        <v>3</v>
      </c>
      <c r="I2" s="766" t="s">
        <v>102</v>
      </c>
      <c r="J2" s="345"/>
      <c r="K2" s="481" t="s">
        <v>21</v>
      </c>
      <c r="L2" s="482" t="s">
        <v>56</v>
      </c>
      <c r="M2" s="483" t="s">
        <v>30</v>
      </c>
      <c r="N2" s="460"/>
      <c r="O2" s="736" t="s">
        <v>58</v>
      </c>
      <c r="P2" s="736" t="s">
        <v>57</v>
      </c>
    </row>
    <row r="3" spans="1:17" ht="20.100000000000001" customHeight="1" thickBot="1" x14ac:dyDescent="0.25">
      <c r="A3" s="747" t="str">
        <f>Synthèse!$A$19</f>
        <v>Tour</v>
      </c>
      <c r="B3" s="755">
        <f>Synthèse!$B$19</f>
        <v>2</v>
      </c>
      <c r="D3" s="264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1">
        <f t="shared" ref="I3:I13" si="0">SUM(E3:H3)</f>
        <v>0</v>
      </c>
      <c r="J3" s="345"/>
      <c r="K3" s="457" t="s">
        <v>31</v>
      </c>
      <c r="L3" s="458">
        <v>0</v>
      </c>
      <c r="M3" s="459">
        <f>L3/$B$7</f>
        <v>0</v>
      </c>
      <c r="N3" s="460"/>
      <c r="O3" s="737"/>
      <c r="P3" s="737"/>
    </row>
    <row r="4" spans="1:17" ht="20.100000000000001" customHeight="1" thickBot="1" x14ac:dyDescent="0.25">
      <c r="A4" s="748" t="str">
        <f>Synthèse!$A$20</f>
        <v>Ville</v>
      </c>
      <c r="B4" s="756">
        <v>11</v>
      </c>
      <c r="D4" s="265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31">
        <f t="shared" si="0"/>
        <v>0</v>
      </c>
      <c r="J4" s="345"/>
      <c r="K4" s="461" t="s">
        <v>32</v>
      </c>
      <c r="L4" s="462"/>
      <c r="M4" s="463" t="e">
        <f>IF(OR(L4=0, L4=""), NA(), L4/$B$7)</f>
        <v>#N/A</v>
      </c>
      <c r="N4" s="460"/>
      <c r="O4" s="464" t="s">
        <v>44</v>
      </c>
      <c r="P4" s="465" t="e">
        <f t="shared" ref="P4:P13" si="1">IF(L4&lt;&gt;0,L4-L3,NA())</f>
        <v>#N/A</v>
      </c>
    </row>
    <row r="5" spans="1:17" ht="20.100000000000001" customHeight="1" x14ac:dyDescent="0.25">
      <c r="A5" s="442" t="s">
        <v>22</v>
      </c>
      <c r="B5" s="348" t="str">
        <f>INDEX(Synthèse!B:B,B4+2)</f>
        <v>CMM</v>
      </c>
      <c r="D5" s="265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8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31">
        <f t="shared" si="0"/>
        <v>0</v>
      </c>
      <c r="J5" s="346"/>
      <c r="K5" s="461" t="s">
        <v>33</v>
      </c>
      <c r="L5" s="462"/>
      <c r="M5" s="463" t="e">
        <f>IF(OR(L5=0, L5=""), NA(), L5/$B$7)</f>
        <v>#N/A</v>
      </c>
      <c r="N5" s="460"/>
      <c r="O5" s="466" t="s">
        <v>45</v>
      </c>
      <c r="P5" s="467" t="e">
        <f t="shared" si="1"/>
        <v>#N/A</v>
      </c>
    </row>
    <row r="6" spans="1:17" ht="20.100000000000001" customHeight="1" x14ac:dyDescent="0.25">
      <c r="A6" s="443" t="s">
        <v>23</v>
      </c>
      <c r="B6" s="349">
        <f>INDEX(Synthèse!C:C,B4+2)</f>
        <v>691</v>
      </c>
      <c r="D6" s="265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8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31">
        <f t="shared" si="0"/>
        <v>0</v>
      </c>
      <c r="J6" s="346"/>
      <c r="K6" s="461" t="s">
        <v>34</v>
      </c>
      <c r="L6" s="462"/>
      <c r="M6" s="463" t="e">
        <f>IF(OR(L6=0, L6=""), NA(), L6/$B$7)</f>
        <v>#N/A</v>
      </c>
      <c r="N6" s="460"/>
      <c r="O6" s="466" t="s">
        <v>46</v>
      </c>
      <c r="P6" s="467" t="e">
        <f t="shared" si="1"/>
        <v>#N/A</v>
      </c>
    </row>
    <row r="7" spans="1:17" ht="20.100000000000001" customHeight="1" x14ac:dyDescent="0.25">
      <c r="A7" s="443" t="s">
        <v>0</v>
      </c>
      <c r="B7" s="143">
        <v>200</v>
      </c>
      <c r="D7" s="265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31">
        <f t="shared" si="0"/>
        <v>0</v>
      </c>
      <c r="J7" s="346"/>
      <c r="K7" s="461" t="s">
        <v>35</v>
      </c>
      <c r="L7" s="462"/>
      <c r="M7" s="463" t="e">
        <f>IF(OR(L7=0, L7=""), NA(), L7/$B$7)</f>
        <v>#N/A</v>
      </c>
      <c r="N7" s="460"/>
      <c r="O7" s="466" t="s">
        <v>53</v>
      </c>
      <c r="P7" s="467" t="e">
        <f t="shared" si="1"/>
        <v>#N/A</v>
      </c>
    </row>
    <row r="8" spans="1:17" ht="20.100000000000001" customHeight="1" x14ac:dyDescent="0.25">
      <c r="A8" s="443" t="s">
        <v>2</v>
      </c>
      <c r="B8" s="122">
        <f>MAX(L4:L15)</f>
        <v>0</v>
      </c>
      <c r="D8" s="265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31">
        <f t="shared" si="0"/>
        <v>0</v>
      </c>
      <c r="J8" s="346"/>
      <c r="K8" s="461" t="s">
        <v>36</v>
      </c>
      <c r="L8" s="462"/>
      <c r="M8" s="463" t="e">
        <f>IF(OR(L8=0, L8=""), NA(), L8/$B$7)</f>
        <v>#N/A</v>
      </c>
      <c r="N8" s="460"/>
      <c r="O8" s="466" t="s">
        <v>47</v>
      </c>
      <c r="P8" s="467" t="e">
        <f t="shared" si="1"/>
        <v>#N/A</v>
      </c>
    </row>
    <row r="9" spans="1:17" ht="20.100000000000001" customHeight="1" x14ac:dyDescent="0.25">
      <c r="A9" s="443" t="s">
        <v>1</v>
      </c>
      <c r="B9" s="123"/>
      <c r="D9" s="265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31">
        <f t="shared" si="0"/>
        <v>0</v>
      </c>
      <c r="J9" s="346"/>
      <c r="K9" s="461" t="s">
        <v>37</v>
      </c>
      <c r="L9" s="462"/>
      <c r="M9" s="463" t="e">
        <f>IF(OR(L9=0, L9=""), NA(), L9/$B$7)</f>
        <v>#N/A</v>
      </c>
      <c r="N9" s="460"/>
      <c r="O9" s="466" t="s">
        <v>48</v>
      </c>
      <c r="P9" s="467" t="e">
        <f t="shared" si="1"/>
        <v>#N/A</v>
      </c>
    </row>
    <row r="10" spans="1:17" ht="20.100000000000001" customHeight="1" thickBot="1" x14ac:dyDescent="0.3">
      <c r="A10" s="444" t="s">
        <v>17</v>
      </c>
      <c r="B10" s="124">
        <f>B7-B8</f>
        <v>200</v>
      </c>
      <c r="D10" s="265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31">
        <f t="shared" si="0"/>
        <v>0</v>
      </c>
      <c r="J10" s="346"/>
      <c r="K10" s="461" t="s">
        <v>38</v>
      </c>
      <c r="L10" s="462"/>
      <c r="M10" s="463" t="e">
        <f>IF(OR(L10=0, L10=""), NA(), L10/$B$7)</f>
        <v>#N/A</v>
      </c>
      <c r="N10" s="460"/>
      <c r="O10" s="466" t="s">
        <v>49</v>
      </c>
      <c r="P10" s="467" t="e">
        <f t="shared" si="1"/>
        <v>#N/A</v>
      </c>
    </row>
    <row r="11" spans="1:17" ht="20.100000000000001" customHeight="1" x14ac:dyDescent="0.2">
      <c r="A11" s="757" t="s">
        <v>155</v>
      </c>
      <c r="B11" s="757"/>
      <c r="D11" s="265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31">
        <f t="shared" si="0"/>
        <v>0</v>
      </c>
      <c r="J11" s="346"/>
      <c r="K11" s="461" t="s">
        <v>39</v>
      </c>
      <c r="L11" s="462"/>
      <c r="M11" s="463" t="e">
        <f>IF(OR(L11=0, L11=""), NA(), L11/$B$7)</f>
        <v>#N/A</v>
      </c>
      <c r="N11" s="460"/>
      <c r="O11" s="466" t="s">
        <v>50</v>
      </c>
      <c r="P11" s="467" t="e">
        <f t="shared" si="1"/>
        <v>#N/A</v>
      </c>
    </row>
    <row r="12" spans="1:17" ht="20.100000000000001" customHeight="1" thickBot="1" x14ac:dyDescent="0.25">
      <c r="A12" s="758"/>
      <c r="B12" s="758"/>
      <c r="D12" s="266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31">
        <f t="shared" si="0"/>
        <v>0</v>
      </c>
      <c r="J12" s="346"/>
      <c r="K12" s="461" t="s">
        <v>40</v>
      </c>
      <c r="L12" s="462"/>
      <c r="M12" s="463" t="e">
        <f>IF(OR(L12=0, L12=""), NA(), L12/$B$7)</f>
        <v>#N/A</v>
      </c>
      <c r="N12" s="460"/>
      <c r="O12" s="466" t="s">
        <v>51</v>
      </c>
      <c r="P12" s="467" t="e">
        <f t="shared" si="1"/>
        <v>#N/A</v>
      </c>
    </row>
    <row r="13" spans="1:17" ht="24.95" customHeight="1" thickBot="1" x14ac:dyDescent="0.4">
      <c r="A13" s="734" t="s">
        <v>60</v>
      </c>
      <c r="B13" s="734"/>
      <c r="D13" s="446" t="s">
        <v>9</v>
      </c>
      <c r="E13" s="450">
        <f>SUM(E3:E12)</f>
        <v>0</v>
      </c>
      <c r="F13" s="451">
        <f t="shared" ref="F13" si="2">SUM(F3:F12)</f>
        <v>0</v>
      </c>
      <c r="G13" s="452">
        <f>SUM(G3:G12)</f>
        <v>0</v>
      </c>
      <c r="H13" s="453">
        <f>SUM(H3:H12)</f>
        <v>0</v>
      </c>
      <c r="I13" s="447">
        <f t="shared" si="0"/>
        <v>0</v>
      </c>
      <c r="J13" s="346"/>
      <c r="K13" s="461" t="s">
        <v>41</v>
      </c>
      <c r="L13" s="462"/>
      <c r="M13" s="463" t="e">
        <f>IF(OR(L13=0, L13=""), NA(), L13/$B$7)</f>
        <v>#N/A</v>
      </c>
      <c r="N13" s="460"/>
      <c r="O13" s="468" t="s">
        <v>52</v>
      </c>
      <c r="P13" s="469" t="e">
        <f t="shared" si="1"/>
        <v>#N/A</v>
      </c>
    </row>
    <row r="14" spans="1:17" ht="26.45" customHeight="1" thickBot="1" x14ac:dyDescent="0.4">
      <c r="A14" s="734"/>
      <c r="B14" s="734"/>
      <c r="D14" s="448" t="s">
        <v>10</v>
      </c>
      <c r="E14" s="454">
        <f>IFERROR(E13/$B$8,0)</f>
        <v>0</v>
      </c>
      <c r="F14" s="455">
        <f>IFERROR(F13/$B$8,0)</f>
        <v>0</v>
      </c>
      <c r="G14" s="454">
        <f>IFERROR(G13/$B$8,0)</f>
        <v>0</v>
      </c>
      <c r="H14" s="456">
        <f>IFERROR(H13/$B$8,0)</f>
        <v>0</v>
      </c>
      <c r="I14" s="449">
        <f>IFERROR(I13/$B$8,0)</f>
        <v>0</v>
      </c>
      <c r="J14" s="345"/>
      <c r="K14" s="470" t="s">
        <v>42</v>
      </c>
      <c r="L14" s="471"/>
      <c r="M14" s="472" t="e">
        <f>IF(OR(L14=0, L14=""), NA(), L14/$B$7)</f>
        <v>#N/A</v>
      </c>
      <c r="N14" s="473"/>
      <c r="O14" s="474" t="s">
        <v>54</v>
      </c>
      <c r="P14" s="475" t="e">
        <f>IF(L14&lt;&gt;0,L14-L13,NA())</f>
        <v>#N/A</v>
      </c>
      <c r="Q14" s="287"/>
    </row>
    <row r="15" spans="1:17" ht="18" customHeight="1" thickBot="1" x14ac:dyDescent="0.25">
      <c r="A15" s="734"/>
      <c r="B15" s="734"/>
      <c r="C15" s="1"/>
      <c r="D15" s="1"/>
      <c r="I15" s="241"/>
      <c r="J15" s="345"/>
      <c r="K15" s="476" t="s">
        <v>43</v>
      </c>
      <c r="L15" s="477"/>
      <c r="M15" s="478" t="e">
        <f>IF(OR(L15=0, L15=""), NA(), L15/$B$7)</f>
        <v>#N/A</v>
      </c>
      <c r="N15" s="460"/>
      <c r="O15" s="479" t="s">
        <v>55</v>
      </c>
      <c r="P15" s="480" t="e">
        <f>IF(L15&lt;&gt;0,L15-L14,NA())</f>
        <v>#N/A</v>
      </c>
      <c r="Q15" s="287"/>
    </row>
    <row r="16" spans="1:17" ht="12.75" customHeight="1" x14ac:dyDescent="0.2">
      <c r="A16" s="738" t="s">
        <v>66</v>
      </c>
      <c r="B16" s="738"/>
      <c r="J16" s="345"/>
      <c r="K16" s="241"/>
      <c r="L16" s="241"/>
      <c r="M16" s="241"/>
      <c r="P16" s="241"/>
    </row>
    <row r="17" spans="1:10" ht="18" customHeight="1" x14ac:dyDescent="0.25">
      <c r="A17" s="738"/>
      <c r="B17" s="738"/>
      <c r="E17" s="184"/>
      <c r="F17" s="184"/>
      <c r="J17" s="345"/>
    </row>
    <row r="18" spans="1:10" ht="26.25" customHeight="1" x14ac:dyDescent="0.2">
      <c r="A18" s="738"/>
      <c r="B18" s="738"/>
      <c r="D18" s="334" t="s">
        <v>63</v>
      </c>
      <c r="J18" s="345"/>
    </row>
    <row r="19" spans="1:10" ht="18.75" customHeight="1" x14ac:dyDescent="0.2">
      <c r="A19" s="738"/>
      <c r="B19" s="738"/>
      <c r="D19" s="335">
        <f>IF((ROW()-23)&lt;=$E$25,(ROW()-23),"Choisir")</f>
        <v>-4</v>
      </c>
      <c r="J19" s="345"/>
    </row>
    <row r="20" spans="1:10" x14ac:dyDescent="0.2">
      <c r="D20" s="335">
        <f>IF((ROW()-23)&lt;=$E$25,(ROW()-23),"Choisir")</f>
        <v>-3</v>
      </c>
      <c r="J20" s="345"/>
    </row>
    <row r="21" spans="1:10" x14ac:dyDescent="0.2">
      <c r="D21" s="335">
        <f>IF((ROW()-23)&lt;=$E$25,(ROW()-23),"Choisir")</f>
        <v>-2</v>
      </c>
      <c r="J21" s="345"/>
    </row>
    <row r="22" spans="1:10" x14ac:dyDescent="0.2">
      <c r="D22" s="335">
        <f>IF((ROW()-23)&lt;=$E$25,(ROW()-23),"Choisir")</f>
        <v>-1</v>
      </c>
      <c r="J22" s="345"/>
    </row>
    <row r="23" spans="1:10" x14ac:dyDescent="0.2">
      <c r="J23" s="345"/>
    </row>
    <row r="24" spans="1:10" x14ac:dyDescent="0.2">
      <c r="D24" s="198">
        <f>CEILING($B$7, 100)/100</f>
        <v>2</v>
      </c>
      <c r="E24" s="316">
        <f>CEILING($B$8,100)/100</f>
        <v>0</v>
      </c>
      <c r="F24" s="316"/>
      <c r="J24" s="345"/>
    </row>
    <row r="25" spans="1:10" x14ac:dyDescent="0.2">
      <c r="D25" s="198">
        <f>MOD($B$8,100)</f>
        <v>0</v>
      </c>
      <c r="E25" s="199">
        <f>CEILING($B$7/300,1)</f>
        <v>1</v>
      </c>
      <c r="F25" s="199"/>
      <c r="J25" s="345"/>
    </row>
    <row r="26" spans="1:10" x14ac:dyDescent="0.2">
      <c r="J26" s="345"/>
    </row>
    <row r="27" spans="1:10" x14ac:dyDescent="0.2">
      <c r="J27" s="345"/>
    </row>
    <row r="28" spans="1:10" x14ac:dyDescent="0.2">
      <c r="J28" s="345"/>
    </row>
    <row r="29" spans="1:10" x14ac:dyDescent="0.2">
      <c r="J29" s="345"/>
    </row>
    <row r="30" spans="1:10" x14ac:dyDescent="0.2">
      <c r="J30" s="345"/>
    </row>
    <row r="31" spans="1:10" x14ac:dyDescent="0.2">
      <c r="J31" s="345"/>
    </row>
    <row r="32" spans="1:10" x14ac:dyDescent="0.2">
      <c r="J32" s="345"/>
    </row>
    <row r="33" spans="1:10" x14ac:dyDescent="0.2">
      <c r="J33" s="345"/>
    </row>
    <row r="34" spans="1:10" x14ac:dyDescent="0.2">
      <c r="J34" s="345"/>
    </row>
    <row r="35" spans="1:10" x14ac:dyDescent="0.2">
      <c r="J35" s="345"/>
    </row>
    <row r="36" spans="1:10" x14ac:dyDescent="0.2">
      <c r="J36" s="345"/>
    </row>
    <row r="37" spans="1:10" x14ac:dyDescent="0.2">
      <c r="J37" s="345"/>
    </row>
    <row r="38" spans="1:10" x14ac:dyDescent="0.2">
      <c r="J38" s="345"/>
    </row>
    <row r="39" spans="1:10" x14ac:dyDescent="0.2">
      <c r="J39" s="345"/>
    </row>
    <row r="40" spans="1:10" x14ac:dyDescent="0.2">
      <c r="J40" s="345"/>
    </row>
    <row r="41" spans="1:10" x14ac:dyDescent="0.2">
      <c r="J41" s="345"/>
    </row>
    <row r="42" spans="1:10" x14ac:dyDescent="0.2">
      <c r="J42" s="345"/>
    </row>
    <row r="43" spans="1:10" ht="13.5" thickBot="1" x14ac:dyDescent="0.25">
      <c r="A43" s="344"/>
      <c r="B43" s="344"/>
      <c r="C43" s="344"/>
      <c r="D43" s="344"/>
      <c r="E43" s="344"/>
      <c r="F43" s="344"/>
      <c r="G43" s="344"/>
      <c r="H43" s="344"/>
      <c r="I43" s="344"/>
      <c r="J43" s="347"/>
    </row>
    <row r="44" spans="1:10" ht="13.5" thickTop="1" x14ac:dyDescent="0.2">
      <c r="J44" s="345"/>
    </row>
    <row r="45" spans="1:10" x14ac:dyDescent="0.2">
      <c r="J45" s="345"/>
    </row>
    <row r="46" spans="1:10" x14ac:dyDescent="0.2">
      <c r="E46" s="125"/>
      <c r="F46" s="125"/>
      <c r="J46" s="345"/>
    </row>
    <row r="47" spans="1:10" ht="13.5" thickBot="1" x14ac:dyDescent="0.25">
      <c r="E47" s="125"/>
      <c r="F47" s="125"/>
      <c r="J47" s="345"/>
    </row>
    <row r="48" spans="1:10" ht="20.100000000000001" customHeight="1" thickBot="1" x14ac:dyDescent="0.25">
      <c r="D48" s="188" t="s">
        <v>76</v>
      </c>
      <c r="E48" s="726" t="s">
        <v>115</v>
      </c>
      <c r="F48" s="727"/>
      <c r="G48" s="727"/>
      <c r="H48" s="728"/>
      <c r="I48" s="293" t="s">
        <v>7</v>
      </c>
      <c r="J48" s="345"/>
    </row>
    <row r="49" spans="3:10" ht="47.25" customHeight="1" thickBot="1" x14ac:dyDescent="0.25">
      <c r="C49" s="186"/>
      <c r="D49" s="271" t="s">
        <v>79</v>
      </c>
      <c r="E49" s="641" t="str">
        <f>E2</f>
        <v>M. Pierre-Yves 
TIERCE</v>
      </c>
      <c r="F49" s="596" t="str">
        <f t="shared" ref="F49" si="3">F2</f>
        <v>Mme Isabelle 
FARNET RISSO</v>
      </c>
      <c r="G49" s="306" t="s">
        <v>3</v>
      </c>
      <c r="H49" s="307" t="s">
        <v>4</v>
      </c>
      <c r="I49" s="295" t="s">
        <v>101</v>
      </c>
      <c r="J49" s="345"/>
    </row>
    <row r="50" spans="3:10" ht="19.5" customHeight="1" x14ac:dyDescent="0.2">
      <c r="C50" s="187"/>
      <c r="D50" s="270" t="s">
        <v>78</v>
      </c>
      <c r="E50" s="233"/>
      <c r="F50" s="233"/>
      <c r="G50" s="236"/>
      <c r="H50" s="235"/>
      <c r="I50" s="294">
        <f t="shared" ref="I50:I59" si="4">SUM(E50:H50)</f>
        <v>0</v>
      </c>
      <c r="J50" s="345"/>
    </row>
    <row r="51" spans="3:10" ht="20.100000000000001" customHeight="1" x14ac:dyDescent="0.2">
      <c r="C51" s="187"/>
      <c r="D51" s="270" t="s">
        <v>78</v>
      </c>
      <c r="E51" s="233"/>
      <c r="F51" s="233"/>
      <c r="G51" s="236"/>
      <c r="H51" s="235"/>
      <c r="I51" s="294">
        <f t="shared" si="4"/>
        <v>0</v>
      </c>
      <c r="J51" s="345"/>
    </row>
    <row r="52" spans="3:10" ht="20.100000000000001" customHeight="1" x14ac:dyDescent="0.2">
      <c r="C52" s="187"/>
      <c r="D52" s="270" t="s">
        <v>78</v>
      </c>
      <c r="E52" s="233"/>
      <c r="F52" s="233"/>
      <c r="G52" s="236"/>
      <c r="H52" s="235"/>
      <c r="I52" s="294">
        <f t="shared" si="4"/>
        <v>0</v>
      </c>
      <c r="J52" s="345"/>
    </row>
    <row r="53" spans="3:10" ht="20.100000000000001" customHeight="1" x14ac:dyDescent="0.2">
      <c r="C53" s="187"/>
      <c r="D53" s="270" t="s">
        <v>78</v>
      </c>
      <c r="E53" s="233"/>
      <c r="F53" s="233"/>
      <c r="G53" s="236"/>
      <c r="H53" s="235"/>
      <c r="I53" s="294">
        <f t="shared" si="4"/>
        <v>0</v>
      </c>
      <c r="J53" s="345"/>
    </row>
    <row r="54" spans="3:10" ht="20.100000000000001" customHeight="1" x14ac:dyDescent="0.2">
      <c r="C54" s="187"/>
      <c r="D54" s="270" t="s">
        <v>78</v>
      </c>
      <c r="E54" s="233"/>
      <c r="F54" s="233"/>
      <c r="G54" s="236"/>
      <c r="H54" s="235"/>
      <c r="I54" s="294">
        <f t="shared" si="4"/>
        <v>0</v>
      </c>
      <c r="J54" s="345"/>
    </row>
    <row r="55" spans="3:10" ht="20.100000000000001" customHeight="1" x14ac:dyDescent="0.2">
      <c r="C55" s="187"/>
      <c r="D55" s="270" t="s">
        <v>78</v>
      </c>
      <c r="E55" s="233"/>
      <c r="F55" s="233"/>
      <c r="G55" s="236"/>
      <c r="H55" s="235"/>
      <c r="I55" s="294">
        <f t="shared" si="4"/>
        <v>0</v>
      </c>
      <c r="J55" s="345"/>
    </row>
    <row r="56" spans="3:10" ht="20.100000000000001" customHeight="1" x14ac:dyDescent="0.2">
      <c r="C56" s="187"/>
      <c r="D56" s="270" t="s">
        <v>78</v>
      </c>
      <c r="E56" s="233"/>
      <c r="F56" s="233"/>
      <c r="G56" s="236"/>
      <c r="H56" s="235"/>
      <c r="I56" s="294">
        <f t="shared" si="4"/>
        <v>0</v>
      </c>
      <c r="J56" s="345"/>
    </row>
    <row r="57" spans="3:10" ht="20.100000000000001" customHeight="1" x14ac:dyDescent="0.2">
      <c r="C57" s="187"/>
      <c r="D57" s="270" t="s">
        <v>78</v>
      </c>
      <c r="E57" s="233"/>
      <c r="F57" s="233"/>
      <c r="G57" s="236"/>
      <c r="H57" s="235"/>
      <c r="I57" s="294">
        <f t="shared" si="4"/>
        <v>0</v>
      </c>
      <c r="J57" s="345"/>
    </row>
    <row r="58" spans="3:10" ht="20.100000000000001" customHeight="1" x14ac:dyDescent="0.2">
      <c r="C58" s="187"/>
      <c r="D58" s="270" t="s">
        <v>78</v>
      </c>
      <c r="E58" s="233"/>
      <c r="F58" s="233"/>
      <c r="G58" s="236"/>
      <c r="H58" s="235"/>
      <c r="I58" s="294">
        <f t="shared" si="4"/>
        <v>0</v>
      </c>
      <c r="J58" s="345"/>
    </row>
    <row r="59" spans="3:10" ht="20.100000000000001" customHeight="1" thickBot="1" x14ac:dyDescent="0.25">
      <c r="C59" s="187"/>
      <c r="D59" s="274" t="s">
        <v>78</v>
      </c>
      <c r="E59" s="275"/>
      <c r="F59" s="275"/>
      <c r="G59" s="278"/>
      <c r="H59" s="277"/>
      <c r="I59" s="294">
        <f t="shared" si="4"/>
        <v>0</v>
      </c>
      <c r="J59" s="345"/>
    </row>
    <row r="60" spans="3:10" x14ac:dyDescent="0.2">
      <c r="I60" s="241"/>
      <c r="J60" s="345"/>
    </row>
    <row r="61" spans="3:10" x14ac:dyDescent="0.2">
      <c r="J61" s="345"/>
    </row>
    <row r="62" spans="3:10" x14ac:dyDescent="0.2">
      <c r="J62" s="345"/>
    </row>
    <row r="63" spans="3:10" ht="18" x14ac:dyDescent="0.25">
      <c r="E63" s="184"/>
      <c r="F63" s="184"/>
      <c r="J63" s="345"/>
    </row>
    <row r="64" spans="3:10" x14ac:dyDescent="0.2">
      <c r="J64" s="345"/>
    </row>
    <row r="65" spans="4:10" ht="13.5" thickBot="1" x14ac:dyDescent="0.25">
      <c r="J65" s="345"/>
    </row>
    <row r="66" spans="4:10" ht="16.5" customHeight="1" thickBot="1" x14ac:dyDescent="0.25">
      <c r="D66" s="188" t="s">
        <v>77</v>
      </c>
      <c r="E66" s="726" t="s">
        <v>116</v>
      </c>
      <c r="F66" s="727"/>
      <c r="G66" s="727"/>
      <c r="H66" s="728"/>
      <c r="I66" s="293" t="s">
        <v>7</v>
      </c>
      <c r="J66" s="345"/>
    </row>
    <row r="67" spans="4:10" ht="42" customHeight="1" thickBot="1" x14ac:dyDescent="0.25">
      <c r="D67" s="271" t="s">
        <v>79</v>
      </c>
      <c r="E67" s="641" t="str">
        <f>E2</f>
        <v>M. Pierre-Yves 
TIERCE</v>
      </c>
      <c r="F67" s="596" t="str">
        <f t="shared" ref="F67" si="5">F2</f>
        <v>Mme Isabelle 
FARNET RISSO</v>
      </c>
      <c r="G67" s="306" t="s">
        <v>3</v>
      </c>
      <c r="H67" s="307" t="s">
        <v>4</v>
      </c>
      <c r="I67" s="300" t="s">
        <v>101</v>
      </c>
      <c r="J67" s="345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7">
        <f>SUM(E68:H68)</f>
        <v>0</v>
      </c>
      <c r="J68" s="345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31">
        <f>SUM(E69:H69)</f>
        <v>0</v>
      </c>
      <c r="J69" s="345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31">
        <f>SUM(E70:H70)</f>
        <v>0</v>
      </c>
      <c r="J70" s="345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31">
        <f>SUM(E71:H71)</f>
        <v>0</v>
      </c>
      <c r="J71" s="345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8">
        <f>SUM(E72:H72)</f>
        <v>0</v>
      </c>
      <c r="J72" s="345"/>
    </row>
    <row r="73" spans="4:10" ht="20.100000000000001" customHeight="1" x14ac:dyDescent="0.2">
      <c r="D73" s="189"/>
      <c r="E73" s="187"/>
      <c r="F73" s="187"/>
      <c r="G73" s="187"/>
      <c r="H73" s="187"/>
      <c r="J73" s="345"/>
    </row>
    <row r="74" spans="4:10" ht="20.100000000000001" customHeight="1" x14ac:dyDescent="0.2">
      <c r="D74" s="189"/>
      <c r="E74" s="187"/>
      <c r="F74" s="187"/>
      <c r="G74" s="187"/>
      <c r="H74" s="187"/>
      <c r="J74" s="345"/>
    </row>
    <row r="75" spans="4:10" ht="20.100000000000001" customHeight="1" thickBot="1" x14ac:dyDescent="0.25">
      <c r="D75" s="189"/>
      <c r="E75" s="187"/>
      <c r="F75" s="187"/>
      <c r="G75" s="187"/>
      <c r="H75" s="187"/>
      <c r="J75" s="345"/>
    </row>
    <row r="76" spans="4:10" ht="20.100000000000001" customHeight="1" thickBot="1" x14ac:dyDescent="0.25">
      <c r="D76" s="188" t="s">
        <v>81</v>
      </c>
      <c r="E76" s="726" t="s">
        <v>117</v>
      </c>
      <c r="F76" s="727"/>
      <c r="G76" s="727"/>
      <c r="H76" s="728"/>
      <c r="I76" s="299" t="s">
        <v>7</v>
      </c>
      <c r="J76" s="345"/>
    </row>
    <row r="77" spans="4:10" ht="39.75" customHeight="1" thickBot="1" x14ac:dyDescent="0.25">
      <c r="D77" s="271" t="s">
        <v>79</v>
      </c>
      <c r="E77" s="641" t="str">
        <f>E2</f>
        <v>M. Pierre-Yves 
TIERCE</v>
      </c>
      <c r="F77" s="596" t="str">
        <f t="shared" ref="F77" si="6">F2</f>
        <v>Mme Isabelle 
FARNET RISSO</v>
      </c>
      <c r="G77" s="306" t="s">
        <v>3</v>
      </c>
      <c r="H77" s="307" t="s">
        <v>4</v>
      </c>
      <c r="I77" s="296" t="s">
        <v>101</v>
      </c>
      <c r="J77" s="345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7">
        <f>SUM(E78:H78)</f>
        <v>0</v>
      </c>
      <c r="J78" s="345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31">
        <f>SUM(E79:H79)</f>
        <v>0</v>
      </c>
      <c r="J79" s="345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8">
        <f>SUM(E80:H80)</f>
        <v>0</v>
      </c>
      <c r="J80" s="345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45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45"/>
    </row>
  </sheetData>
  <sheetProtection algorithmName="SHA-512" hashValue="EmA3s/xndMUvcechbKNoY4Z/rFe+vMvUnC0AaS/7nNSusXVDwMmelvL+o2rsuKSd1Ik08o7RegU0FjNLyokShg==" saltValue="2qBZDTsFnBQHow2aeZ4/Og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118" priority="1" operator="equal">
      <formula>0</formula>
    </cfRule>
    <cfRule type="cellIs" dxfId="117" priority="6" operator="notEqual">
      <formula>$B$8</formula>
    </cfRule>
  </conditionalFormatting>
  <conditionalFormatting sqref="E3:I12">
    <cfRule type="cellIs" dxfId="116" priority="5" operator="notBetween">
      <formula>0</formula>
      <formula>100</formula>
    </cfRule>
  </conditionalFormatting>
  <conditionalFormatting sqref="E3:I14">
    <cfRule type="cellIs" dxfId="115" priority="8" operator="lessThan">
      <formula>0</formula>
    </cfRule>
  </conditionalFormatting>
  <conditionalFormatting sqref="E14:I14">
    <cfRule type="cellIs" dxfId="114" priority="11" operator="greaterThan">
      <formula>1</formula>
    </cfRule>
  </conditionalFormatting>
  <conditionalFormatting sqref="I3:I13">
    <cfRule type="cellIs" dxfId="113" priority="9" operator="equal">
      <formula>0</formula>
    </cfRule>
  </conditionalFormatting>
  <conditionalFormatting sqref="I14">
    <cfRule type="cellIs" dxfId="112" priority="10" operator="equal">
      <formula>1</formula>
    </cfRule>
    <cfRule type="cellIs" dxfId="111" priority="12" operator="lessThan">
      <formula>1</formula>
    </cfRule>
  </conditionalFormatting>
  <conditionalFormatting sqref="M4:M15">
    <cfRule type="cellIs" dxfId="110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109" priority="3">
      <formula>AND(E50&lt;MAX(E$50:E50), NOT(ISBLANK(E50)), NOT(E50=0))</formula>
    </cfRule>
  </conditionalFormatting>
  <conditionalFormatting sqref="E68:H72">
    <cfRule type="expression" dxfId="108" priority="2">
      <formula>AND(E68&lt;MAX(E$68:E68), NOT(ISBLANK(E68)), NOT(E68=0))</formula>
    </cfRule>
  </conditionalFormatting>
  <conditionalFormatting sqref="E78:H80">
    <cfRule type="expression" dxfId="107" priority="13">
      <formula>AND(E78&lt;MAX(E$78:E78), NOT(ISBLANK(E78)), NOT(E78=0))</formula>
    </cfRule>
  </conditionalFormatting>
  <conditionalFormatting sqref="I3:I12">
    <cfRule type="expression" dxfId="106" priority="14">
      <formula>AND($D3=$E$24, I3=$D$25)</formula>
    </cfRule>
    <cfRule type="expression" dxfId="105" priority="15">
      <formula>AND($D3=$E$24, MOD(I3,100)&gt;$D$25)</formula>
    </cfRule>
    <cfRule type="cellIs" dxfId="104" priority="16" operator="equal">
      <formula>100</formula>
    </cfRule>
  </conditionalFormatting>
  <conditionalFormatting sqref="H3:H12 E3:F12">
    <cfRule type="expression" dxfId="103" priority="17">
      <formula>($D3&lt;=$E$24)</formula>
    </cfRule>
  </conditionalFormatting>
  <conditionalFormatting sqref="H3:H12 D3:F12">
    <cfRule type="expression" dxfId="102" priority="18">
      <formula>($D3&gt;$E$24)</formula>
    </cfRule>
  </conditionalFormatting>
  <conditionalFormatting sqref="G3:G12">
    <cfRule type="expression" dxfId="101" priority="19">
      <formula>($D3&lt;=$E$24)</formula>
    </cfRule>
  </conditionalFormatting>
  <conditionalFormatting sqref="G3:G12">
    <cfRule type="expression" dxfId="100" priority="20">
      <formula>($D3&gt;$E$24)</formula>
    </cfRule>
  </conditionalFormatting>
  <conditionalFormatting sqref="I50 I68:I72 I78:I80 I52:I59">
    <cfRule type="cellIs" dxfId="99" priority="21" operator="lessThan">
      <formula>0</formula>
    </cfRule>
    <cfRule type="cellIs" dxfId="98" priority="22" operator="equal">
      <formula>0</formula>
    </cfRule>
    <cfRule type="expression" dxfId="97" priority="23">
      <formula>OR(MOD($I50,100)=0,AND($D50=$E$24,MOD($I50,100)=$D$25))</formula>
    </cfRule>
  </conditionalFormatting>
  <conditionalFormatting sqref="I13">
    <cfRule type="cellIs" dxfId="96" priority="24" operator="equal">
      <formula>$B$8</formula>
    </cfRule>
  </conditionalFormatting>
  <conditionalFormatting sqref="E50:H59 E68:H72 E78:H80">
    <cfRule type="cellIs" dxfId="95" priority="25" operator="notBetween">
      <formula>0</formula>
      <formula>$B$8</formula>
    </cfRule>
    <cfRule type="expression" dxfId="94" priority="26">
      <formula>($D50&lt;=$E$24)</formula>
    </cfRule>
    <cfRule type="expression" dxfId="93" priority="27">
      <formula>($D50&gt;$E$24)</formula>
    </cfRule>
  </conditionalFormatting>
  <conditionalFormatting sqref="I51">
    <cfRule type="cellIs" dxfId="92" priority="28" operator="notBetween">
      <formula>0</formula>
      <formula>$B$8</formula>
    </cfRule>
    <cfRule type="cellIs" dxfId="91" priority="29" operator="equal">
      <formula>0</formula>
    </cfRule>
    <cfRule type="expression" dxfId="90" priority="30">
      <formula>OR(MOD($I51,100)=0,AND($D51=$E$24,MOD($I51,100)=$D$25))</formula>
    </cfRule>
  </conditionalFormatting>
  <conditionalFormatting sqref="L4:L15">
    <cfRule type="expression" dxfId="89" priority="31">
      <formula>AND($L4&lt;$L3, NOT(ISBLANK($L4)))</formula>
    </cfRule>
    <cfRule type="cellIs" dxfId="88" priority="32" operator="greaterThan">
      <formula>$B$7</formula>
    </cfRule>
  </conditionalFormatting>
  <dataValidations count="2">
    <dataValidation type="list" allowBlank="1" showInputMessage="1" showErrorMessage="1" sqref="C50:C59" xr:uid="{D654D8B8-D21A-4548-A08B-9D23EE60138C}">
      <formula1>$D$19:$D$21</formula1>
    </dataValidation>
    <dataValidation type="list" allowBlank="1" showInputMessage="1" showErrorMessage="1" sqref="D68:D72 D78:D82 D50:D59" xr:uid="{91450C35-6C30-4616-9495-0CAA86C0E1AA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DA730-61BF-4196-A1F3-798F07CF9DE2}">
  <sheetPr codeName="Feuil54">
    <tabColor rgb="FFB4A7D6"/>
  </sheetPr>
  <dimension ref="A1:Q82"/>
  <sheetViews>
    <sheetView zoomScale="90" zoomScaleNormal="90" workbookViewId="0">
      <selection activeCell="L4" sqref="L4"/>
    </sheetView>
    <sheetView workbookViewId="1"/>
  </sheetViews>
  <sheetFormatPr baseColWidth="10" defaultColWidth="11.42578125" defaultRowHeight="12.75" x14ac:dyDescent="0.2"/>
  <cols>
    <col min="1" max="1" width="14.5703125" customWidth="1"/>
    <col min="2" max="2" width="29.5703125" customWidth="1"/>
    <col min="3" max="3" width="3.140625" customWidth="1"/>
    <col min="4" max="4" width="13.7109375" customWidth="1"/>
    <col min="5" max="6" width="24" customWidth="1"/>
    <col min="9" max="9" width="12.85546875" customWidth="1"/>
    <col min="10" max="10" width="10.42578125" customWidth="1"/>
    <col min="11" max="11" width="15.42578125" customWidth="1"/>
    <col min="12" max="12" width="16.140625" customWidth="1"/>
    <col min="13" max="13" width="12" customWidth="1"/>
    <col min="15" max="15" width="14.85546875" customWidth="1"/>
    <col min="16" max="16" width="15.85546875" customWidth="1"/>
  </cols>
  <sheetData>
    <row r="1" spans="1:17" ht="16.5" customHeight="1" thickBot="1" x14ac:dyDescent="0.25">
      <c r="A1" s="440" t="str">
        <f>Synthèse!$A$17</f>
        <v>Date</v>
      </c>
      <c r="B1" s="753">
        <f>Synthèse!$B$17</f>
        <v>46103</v>
      </c>
      <c r="D1" s="230"/>
      <c r="E1" s="729" t="s">
        <v>118</v>
      </c>
      <c r="F1" s="730"/>
      <c r="G1" s="739"/>
      <c r="H1" s="740"/>
      <c r="I1" s="303" t="s">
        <v>7</v>
      </c>
      <c r="J1" s="345"/>
    </row>
    <row r="2" spans="1:17" ht="45" customHeight="1" thickBot="1" x14ac:dyDescent="0.25">
      <c r="A2" s="441" t="str">
        <f>Synthèse!$A$18</f>
        <v>Election</v>
      </c>
      <c r="B2" s="754" t="str">
        <f>Synthèse!$B$18</f>
        <v>Municipales</v>
      </c>
      <c r="D2" s="445" t="s">
        <v>80</v>
      </c>
      <c r="E2" s="640" t="str">
        <f>Synthèse!L2</f>
        <v>M. Pierre-Yves 
TIERCE</v>
      </c>
      <c r="F2" s="595" t="str">
        <f>Synthèse!M2</f>
        <v>Mme Isabelle 
FARNET RISSO</v>
      </c>
      <c r="G2" s="764" t="s">
        <v>4</v>
      </c>
      <c r="H2" s="765" t="s">
        <v>3</v>
      </c>
      <c r="I2" s="766" t="s">
        <v>102</v>
      </c>
      <c r="J2" s="345"/>
      <c r="K2" s="481" t="s">
        <v>21</v>
      </c>
      <c r="L2" s="482" t="s">
        <v>56</v>
      </c>
      <c r="M2" s="483" t="s">
        <v>30</v>
      </c>
      <c r="N2" s="460"/>
      <c r="O2" s="736" t="s">
        <v>58</v>
      </c>
      <c r="P2" s="736" t="s">
        <v>57</v>
      </c>
    </row>
    <row r="3" spans="1:17" ht="20.100000000000001" customHeight="1" thickBot="1" x14ac:dyDescent="0.25">
      <c r="A3" s="747" t="str">
        <f>Synthèse!$A$19</f>
        <v>Tour</v>
      </c>
      <c r="B3" s="755">
        <f>Synthèse!$B$19</f>
        <v>2</v>
      </c>
      <c r="D3" s="264" t="str" cm="1">
        <f t="array" ref="D3">IF(ROW(1:1)&lt;=$E$24, (ROW(1:1)), "")</f>
        <v/>
      </c>
      <c r="E3" s="112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2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7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4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1">
        <f t="shared" ref="I3:I13" si="0">SUM(E3:H3)</f>
        <v>0</v>
      </c>
      <c r="J3" s="345"/>
      <c r="K3" s="457" t="s">
        <v>31</v>
      </c>
      <c r="L3" s="458">
        <v>0</v>
      </c>
      <c r="M3" s="459">
        <f>L3/$B$7</f>
        <v>0</v>
      </c>
      <c r="N3" s="460"/>
      <c r="O3" s="737"/>
      <c r="P3" s="737"/>
    </row>
    <row r="4" spans="1:17" ht="20.100000000000001" customHeight="1" thickBot="1" x14ac:dyDescent="0.25">
      <c r="A4" s="748" t="str">
        <f>Synthèse!$A$20</f>
        <v>Ville</v>
      </c>
      <c r="B4" s="756">
        <v>12</v>
      </c>
      <c r="D4" s="265" t="str" cm="1">
        <f t="array" ref="D4">IF(ROW(2:2)&lt;=$E$24, (ROW(2:2)), "")</f>
        <v/>
      </c>
      <c r="E4" s="113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3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5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31">
        <f t="shared" si="0"/>
        <v>0</v>
      </c>
      <c r="J4" s="345"/>
      <c r="K4" s="461" t="s">
        <v>32</v>
      </c>
      <c r="L4" s="462"/>
      <c r="M4" s="463" t="e">
        <f>IF(OR(L4=0, L4=""), NA(), L4/$B$7)</f>
        <v>#N/A</v>
      </c>
      <c r="N4" s="460"/>
      <c r="O4" s="464" t="s">
        <v>44</v>
      </c>
      <c r="P4" s="465" t="e">
        <f t="shared" ref="P4:P13" si="1">IF(L4&lt;&gt;0,L4-L3,NA())</f>
        <v>#N/A</v>
      </c>
    </row>
    <row r="5" spans="1:17" ht="20.100000000000001" customHeight="1" x14ac:dyDescent="0.25">
      <c r="A5" s="442" t="s">
        <v>22</v>
      </c>
      <c r="B5" s="348" t="str">
        <f>INDEX(Synthèse!B:B,B4+2)</f>
        <v>Base nautique</v>
      </c>
      <c r="D5" s="265" t="str" cm="1">
        <f t="array" ref="D5">IF(ROW(3:3)&lt;=$E$24, (ROW(3:3)), "")</f>
        <v/>
      </c>
      <c r="E5" s="113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3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438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31">
        <f t="shared" si="0"/>
        <v>0</v>
      </c>
      <c r="J5" s="346"/>
      <c r="K5" s="461" t="s">
        <v>33</v>
      </c>
      <c r="L5" s="462"/>
      <c r="M5" s="463" t="e">
        <f>IF(OR(L5=0, L5=""), NA(), L5/$B$7)</f>
        <v>#N/A</v>
      </c>
      <c r="N5" s="460"/>
      <c r="O5" s="466" t="s">
        <v>45</v>
      </c>
      <c r="P5" s="467" t="e">
        <f t="shared" si="1"/>
        <v>#N/A</v>
      </c>
    </row>
    <row r="6" spans="1:17" ht="20.100000000000001" customHeight="1" x14ac:dyDescent="0.25">
      <c r="A6" s="443" t="s">
        <v>23</v>
      </c>
      <c r="B6" s="349">
        <f>INDEX(Synthèse!C:C,B4+2)</f>
        <v>680</v>
      </c>
      <c r="D6" s="265" t="str" cm="1">
        <f t="array" ref="D6">IF(ROW(4:4)&lt;=$E$24, (ROW(4:4)), "")</f>
        <v/>
      </c>
      <c r="E6" s="113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3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438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31">
        <f t="shared" si="0"/>
        <v>0</v>
      </c>
      <c r="J6" s="346"/>
      <c r="K6" s="461" t="s">
        <v>34</v>
      </c>
      <c r="L6" s="462"/>
      <c r="M6" s="463" t="e">
        <f>IF(OR(L6=0, L6=""), NA(), L6/$B$7)</f>
        <v>#N/A</v>
      </c>
      <c r="N6" s="460"/>
      <c r="O6" s="466" t="s">
        <v>46</v>
      </c>
      <c r="P6" s="467" t="e">
        <f t="shared" si="1"/>
        <v>#N/A</v>
      </c>
    </row>
    <row r="7" spans="1:17" ht="20.100000000000001" customHeight="1" x14ac:dyDescent="0.25">
      <c r="A7" s="443" t="s">
        <v>0</v>
      </c>
      <c r="B7" s="143">
        <v>200</v>
      </c>
      <c r="D7" s="265" t="str" cm="1">
        <f t="array" ref="D7">IF(ROW(5:5)&lt;=$E$24, (ROW(5:5)), "")</f>
        <v/>
      </c>
      <c r="E7" s="113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3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5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31">
        <f t="shared" si="0"/>
        <v>0</v>
      </c>
      <c r="J7" s="346"/>
      <c r="K7" s="461" t="s">
        <v>35</v>
      </c>
      <c r="L7" s="462"/>
      <c r="M7" s="463" t="e">
        <f>IF(OR(L7=0, L7=""), NA(), L7/$B$7)</f>
        <v>#N/A</v>
      </c>
      <c r="N7" s="460"/>
      <c r="O7" s="466" t="s">
        <v>53</v>
      </c>
      <c r="P7" s="467" t="e">
        <f t="shared" si="1"/>
        <v>#N/A</v>
      </c>
    </row>
    <row r="8" spans="1:17" ht="20.100000000000001" customHeight="1" x14ac:dyDescent="0.25">
      <c r="A8" s="443" t="s">
        <v>2</v>
      </c>
      <c r="B8" s="122">
        <f>MAX(L4:L15)</f>
        <v>0</v>
      </c>
      <c r="D8" s="265" t="str" cm="1">
        <f t="array" ref="D8">IF(ROW(6:6)&lt;=$E$24, (ROW(6:6)), "")</f>
        <v/>
      </c>
      <c r="E8" s="113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3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5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31">
        <f t="shared" si="0"/>
        <v>0</v>
      </c>
      <c r="J8" s="346"/>
      <c r="K8" s="461" t="s">
        <v>36</v>
      </c>
      <c r="L8" s="462"/>
      <c r="M8" s="463" t="e">
        <f>IF(OR(L8=0, L8=""), NA(), L8/$B$7)</f>
        <v>#N/A</v>
      </c>
      <c r="N8" s="460"/>
      <c r="O8" s="466" t="s">
        <v>47</v>
      </c>
      <c r="P8" s="467" t="e">
        <f t="shared" si="1"/>
        <v>#N/A</v>
      </c>
    </row>
    <row r="9" spans="1:17" ht="20.100000000000001" customHeight="1" x14ac:dyDescent="0.25">
      <c r="A9" s="443" t="s">
        <v>1</v>
      </c>
      <c r="B9" s="123"/>
      <c r="D9" s="265" t="str" cm="1">
        <f t="array" ref="D9">IF(ROW(7:7)&lt;=$E$24, (ROW(7:7)), "")</f>
        <v/>
      </c>
      <c r="E9" s="113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3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5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31">
        <f t="shared" si="0"/>
        <v>0</v>
      </c>
      <c r="J9" s="346"/>
      <c r="K9" s="461" t="s">
        <v>37</v>
      </c>
      <c r="L9" s="462"/>
      <c r="M9" s="463" t="e">
        <f>IF(OR(L9=0, L9=""), NA(), L9/$B$7)</f>
        <v>#N/A</v>
      </c>
      <c r="N9" s="460"/>
      <c r="O9" s="466" t="s">
        <v>48</v>
      </c>
      <c r="P9" s="467" t="e">
        <f t="shared" si="1"/>
        <v>#N/A</v>
      </c>
    </row>
    <row r="10" spans="1:17" ht="20.100000000000001" customHeight="1" thickBot="1" x14ac:dyDescent="0.3">
      <c r="A10" s="444" t="s">
        <v>17</v>
      </c>
      <c r="B10" s="124">
        <f>B7-B8</f>
        <v>200</v>
      </c>
      <c r="D10" s="265" t="str" cm="1">
        <f t="array" ref="D10">IF(ROW(8:8)&lt;=$E$24, (ROW(8:8)), "")</f>
        <v/>
      </c>
      <c r="E10" s="113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3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5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31">
        <f t="shared" si="0"/>
        <v>0</v>
      </c>
      <c r="J10" s="346"/>
      <c r="K10" s="461" t="s">
        <v>38</v>
      </c>
      <c r="L10" s="462"/>
      <c r="M10" s="463" t="e">
        <f>IF(OR(L10=0, L10=""), NA(), L10/$B$7)</f>
        <v>#N/A</v>
      </c>
      <c r="N10" s="460"/>
      <c r="O10" s="466" t="s">
        <v>49</v>
      </c>
      <c r="P10" s="467" t="e">
        <f t="shared" si="1"/>
        <v>#N/A</v>
      </c>
    </row>
    <row r="11" spans="1:17" ht="20.100000000000001" customHeight="1" x14ac:dyDescent="0.2">
      <c r="A11" s="757" t="s">
        <v>155</v>
      </c>
      <c r="B11" s="757"/>
      <c r="D11" s="265" t="str" cm="1">
        <f t="array" ref="D11">IF(ROW(9:9)&lt;=$E$24, (ROW(9:9)), "")</f>
        <v/>
      </c>
      <c r="E11" s="113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3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5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31">
        <f t="shared" si="0"/>
        <v>0</v>
      </c>
      <c r="J11" s="346"/>
      <c r="K11" s="461" t="s">
        <v>39</v>
      </c>
      <c r="L11" s="462"/>
      <c r="M11" s="463" t="e">
        <f>IF(OR(L11=0, L11=""), NA(), L11/$B$7)</f>
        <v>#N/A</v>
      </c>
      <c r="N11" s="460"/>
      <c r="O11" s="466" t="s">
        <v>50</v>
      </c>
      <c r="P11" s="467" t="e">
        <f t="shared" si="1"/>
        <v>#N/A</v>
      </c>
    </row>
    <row r="12" spans="1:17" ht="20.100000000000001" customHeight="1" thickBot="1" x14ac:dyDescent="0.25">
      <c r="A12" s="758"/>
      <c r="B12" s="758"/>
      <c r="D12" s="266" t="str" cm="1">
        <f t="array" ref="D12">IF(ROW(10:10)&lt;=$E$24, (ROW(10:10)), "")</f>
        <v/>
      </c>
      <c r="E12" s="113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3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31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32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31">
        <f t="shared" si="0"/>
        <v>0</v>
      </c>
      <c r="J12" s="346"/>
      <c r="K12" s="461" t="s">
        <v>40</v>
      </c>
      <c r="L12" s="462"/>
      <c r="M12" s="463" t="e">
        <f>IF(OR(L12=0, L12=""), NA(), L12/$B$7)</f>
        <v>#N/A</v>
      </c>
      <c r="N12" s="460"/>
      <c r="O12" s="466" t="s">
        <v>51</v>
      </c>
      <c r="P12" s="467" t="e">
        <f t="shared" si="1"/>
        <v>#N/A</v>
      </c>
    </row>
    <row r="13" spans="1:17" ht="24.95" customHeight="1" thickBot="1" x14ac:dyDescent="0.4">
      <c r="A13" s="734" t="s">
        <v>60</v>
      </c>
      <c r="B13" s="734"/>
      <c r="D13" s="446" t="s">
        <v>9</v>
      </c>
      <c r="E13" s="450">
        <f>SUM(E3:E12)</f>
        <v>0</v>
      </c>
      <c r="F13" s="451">
        <f t="shared" ref="F13" si="2">SUM(F3:F12)</f>
        <v>0</v>
      </c>
      <c r="G13" s="452">
        <f>SUM(G3:G12)</f>
        <v>0</v>
      </c>
      <c r="H13" s="453">
        <f>SUM(H3:H12)</f>
        <v>0</v>
      </c>
      <c r="I13" s="447">
        <f t="shared" si="0"/>
        <v>0</v>
      </c>
      <c r="J13" s="346"/>
      <c r="K13" s="461" t="s">
        <v>41</v>
      </c>
      <c r="L13" s="462"/>
      <c r="M13" s="463" t="e">
        <f>IF(OR(L13=0, L13=""), NA(), L13/$B$7)</f>
        <v>#N/A</v>
      </c>
      <c r="N13" s="460"/>
      <c r="O13" s="468" t="s">
        <v>52</v>
      </c>
      <c r="P13" s="469" t="e">
        <f t="shared" si="1"/>
        <v>#N/A</v>
      </c>
    </row>
    <row r="14" spans="1:17" ht="26.45" customHeight="1" thickBot="1" x14ac:dyDescent="0.4">
      <c r="A14" s="734"/>
      <c r="B14" s="734"/>
      <c r="D14" s="448" t="s">
        <v>10</v>
      </c>
      <c r="E14" s="454">
        <f>IFERROR(E13/$B$8,0)</f>
        <v>0</v>
      </c>
      <c r="F14" s="455">
        <f>IFERROR(F13/$B$8,0)</f>
        <v>0</v>
      </c>
      <c r="G14" s="454">
        <f>IFERROR(G13/$B$8,0)</f>
        <v>0</v>
      </c>
      <c r="H14" s="456">
        <f>IFERROR(H13/$B$8,0)</f>
        <v>0</v>
      </c>
      <c r="I14" s="449">
        <f>IFERROR(I13/$B$8,0)</f>
        <v>0</v>
      </c>
      <c r="J14" s="345"/>
      <c r="K14" s="470" t="s">
        <v>42</v>
      </c>
      <c r="L14" s="471"/>
      <c r="M14" s="472" t="e">
        <f>IF(OR(L14=0, L14=""), NA(), L14/$B$7)</f>
        <v>#N/A</v>
      </c>
      <c r="N14" s="473"/>
      <c r="O14" s="474" t="s">
        <v>54</v>
      </c>
      <c r="P14" s="475" t="e">
        <f>IF(L14&lt;&gt;0,L14-L13,NA())</f>
        <v>#N/A</v>
      </c>
      <c r="Q14" s="287"/>
    </row>
    <row r="15" spans="1:17" ht="18" customHeight="1" thickBot="1" x14ac:dyDescent="0.25">
      <c r="A15" s="734"/>
      <c r="B15" s="734"/>
      <c r="C15" s="1"/>
      <c r="D15" s="1"/>
      <c r="I15" s="241"/>
      <c r="J15" s="345"/>
      <c r="K15" s="476" t="s">
        <v>43</v>
      </c>
      <c r="L15" s="477"/>
      <c r="M15" s="478" t="e">
        <f>IF(OR(L15=0, L15=""), NA(), L15/$B$7)</f>
        <v>#N/A</v>
      </c>
      <c r="N15" s="460"/>
      <c r="O15" s="479" t="s">
        <v>55</v>
      </c>
      <c r="P15" s="480" t="e">
        <f>IF(L15&lt;&gt;0,L15-L14,NA())</f>
        <v>#N/A</v>
      </c>
      <c r="Q15" s="287"/>
    </row>
    <row r="16" spans="1:17" ht="12.75" customHeight="1" x14ac:dyDescent="0.2">
      <c r="A16" s="738" t="s">
        <v>66</v>
      </c>
      <c r="B16" s="738"/>
      <c r="J16" s="345"/>
      <c r="K16" s="241"/>
      <c r="L16" s="241"/>
      <c r="M16" s="241"/>
      <c r="P16" s="241"/>
    </row>
    <row r="17" spans="1:10" ht="18" customHeight="1" x14ac:dyDescent="0.25">
      <c r="A17" s="738"/>
      <c r="B17" s="738"/>
      <c r="E17" s="184"/>
      <c r="F17" s="184"/>
      <c r="J17" s="345"/>
    </row>
    <row r="18" spans="1:10" ht="26.25" customHeight="1" x14ac:dyDescent="0.2">
      <c r="A18" s="738"/>
      <c r="B18" s="738"/>
      <c r="D18" s="334" t="s">
        <v>63</v>
      </c>
      <c r="J18" s="345"/>
    </row>
    <row r="19" spans="1:10" ht="18.75" customHeight="1" x14ac:dyDescent="0.2">
      <c r="A19" s="738"/>
      <c r="B19" s="738"/>
      <c r="D19" s="335">
        <f>IF((ROW()-23)&lt;=$E$25,(ROW()-23),"Choisir")</f>
        <v>-4</v>
      </c>
      <c r="J19" s="345"/>
    </row>
    <row r="20" spans="1:10" x14ac:dyDescent="0.2">
      <c r="D20" s="335">
        <f>IF((ROW()-23)&lt;=$E$25,(ROW()-23),"Choisir")</f>
        <v>-3</v>
      </c>
      <c r="J20" s="345"/>
    </row>
    <row r="21" spans="1:10" x14ac:dyDescent="0.2">
      <c r="D21" s="335">
        <f>IF((ROW()-23)&lt;=$E$25,(ROW()-23),"Choisir")</f>
        <v>-2</v>
      </c>
      <c r="J21" s="345"/>
    </row>
    <row r="22" spans="1:10" x14ac:dyDescent="0.2">
      <c r="D22" s="335">
        <f>IF((ROW()-23)&lt;=$E$25,(ROW()-23),"Choisir")</f>
        <v>-1</v>
      </c>
      <c r="J22" s="345"/>
    </row>
    <row r="23" spans="1:10" x14ac:dyDescent="0.2">
      <c r="J23" s="345"/>
    </row>
    <row r="24" spans="1:10" x14ac:dyDescent="0.2">
      <c r="D24" s="198">
        <f>CEILING($B$7, 100)/100</f>
        <v>2</v>
      </c>
      <c r="E24" s="316">
        <f>CEILING($B$8,100)/100</f>
        <v>0</v>
      </c>
      <c r="F24" s="316"/>
      <c r="J24" s="345"/>
    </row>
    <row r="25" spans="1:10" x14ac:dyDescent="0.2">
      <c r="D25" s="198">
        <f>MOD($B$8,100)</f>
        <v>0</v>
      </c>
      <c r="E25" s="199">
        <f>CEILING($B$7/300,1)</f>
        <v>1</v>
      </c>
      <c r="F25" s="199"/>
      <c r="J25" s="345"/>
    </row>
    <row r="26" spans="1:10" x14ac:dyDescent="0.2">
      <c r="J26" s="345"/>
    </row>
    <row r="27" spans="1:10" x14ac:dyDescent="0.2">
      <c r="J27" s="345"/>
    </row>
    <row r="28" spans="1:10" x14ac:dyDescent="0.2">
      <c r="J28" s="345"/>
    </row>
    <row r="29" spans="1:10" x14ac:dyDescent="0.2">
      <c r="J29" s="345"/>
    </row>
    <row r="30" spans="1:10" x14ac:dyDescent="0.2">
      <c r="J30" s="345"/>
    </row>
    <row r="31" spans="1:10" x14ac:dyDescent="0.2">
      <c r="J31" s="345"/>
    </row>
    <row r="32" spans="1:10" x14ac:dyDescent="0.2">
      <c r="J32" s="345"/>
    </row>
    <row r="33" spans="1:10" x14ac:dyDescent="0.2">
      <c r="J33" s="345"/>
    </row>
    <row r="34" spans="1:10" x14ac:dyDescent="0.2">
      <c r="J34" s="345"/>
    </row>
    <row r="35" spans="1:10" x14ac:dyDescent="0.2">
      <c r="J35" s="345"/>
    </row>
    <row r="36" spans="1:10" x14ac:dyDescent="0.2">
      <c r="J36" s="345"/>
    </row>
    <row r="37" spans="1:10" x14ac:dyDescent="0.2">
      <c r="J37" s="345"/>
    </row>
    <row r="38" spans="1:10" x14ac:dyDescent="0.2">
      <c r="J38" s="345"/>
    </row>
    <row r="39" spans="1:10" x14ac:dyDescent="0.2">
      <c r="J39" s="345"/>
    </row>
    <row r="40" spans="1:10" x14ac:dyDescent="0.2">
      <c r="J40" s="345"/>
    </row>
    <row r="41" spans="1:10" x14ac:dyDescent="0.2">
      <c r="J41" s="345"/>
    </row>
    <row r="42" spans="1:10" x14ac:dyDescent="0.2">
      <c r="J42" s="345"/>
    </row>
    <row r="43" spans="1:10" ht="13.5" thickBot="1" x14ac:dyDescent="0.25">
      <c r="A43" s="344"/>
      <c r="B43" s="344"/>
      <c r="C43" s="344"/>
      <c r="D43" s="344"/>
      <c r="E43" s="344"/>
      <c r="F43" s="344"/>
      <c r="G43" s="344"/>
      <c r="H43" s="344"/>
      <c r="I43" s="344"/>
      <c r="J43" s="347"/>
    </row>
    <row r="44" spans="1:10" ht="13.5" thickTop="1" x14ac:dyDescent="0.2">
      <c r="J44" s="345"/>
    </row>
    <row r="45" spans="1:10" x14ac:dyDescent="0.2">
      <c r="J45" s="345"/>
    </row>
    <row r="46" spans="1:10" x14ac:dyDescent="0.2">
      <c r="E46" s="125"/>
      <c r="F46" s="125"/>
      <c r="J46" s="345"/>
    </row>
    <row r="47" spans="1:10" ht="13.5" thickBot="1" x14ac:dyDescent="0.25">
      <c r="E47" s="125"/>
      <c r="F47" s="125"/>
      <c r="J47" s="345"/>
    </row>
    <row r="48" spans="1:10" ht="20.100000000000001" customHeight="1" thickBot="1" x14ac:dyDescent="0.25">
      <c r="D48" s="188" t="s">
        <v>76</v>
      </c>
      <c r="E48" s="726" t="s">
        <v>115</v>
      </c>
      <c r="F48" s="727"/>
      <c r="G48" s="727"/>
      <c r="H48" s="728"/>
      <c r="I48" s="293" t="s">
        <v>7</v>
      </c>
      <c r="J48" s="345"/>
    </row>
    <row r="49" spans="3:10" ht="47.25" customHeight="1" thickBot="1" x14ac:dyDescent="0.25">
      <c r="C49" s="186"/>
      <c r="D49" s="271" t="s">
        <v>79</v>
      </c>
      <c r="E49" s="641" t="str">
        <f>E2</f>
        <v>M. Pierre-Yves 
TIERCE</v>
      </c>
      <c r="F49" s="596" t="str">
        <f t="shared" ref="F49" si="3">F2</f>
        <v>Mme Isabelle 
FARNET RISSO</v>
      </c>
      <c r="G49" s="306" t="s">
        <v>3</v>
      </c>
      <c r="H49" s="307" t="s">
        <v>4</v>
      </c>
      <c r="I49" s="295" t="s">
        <v>101</v>
      </c>
      <c r="J49" s="345"/>
    </row>
    <row r="50" spans="3:10" ht="19.5" customHeight="1" x14ac:dyDescent="0.2">
      <c r="C50" s="187"/>
      <c r="D50" s="270" t="s">
        <v>78</v>
      </c>
      <c r="E50" s="233"/>
      <c r="F50" s="233"/>
      <c r="G50" s="236"/>
      <c r="H50" s="235"/>
      <c r="I50" s="294">
        <f t="shared" ref="I50:I59" si="4">SUM(E50:H50)</f>
        <v>0</v>
      </c>
      <c r="J50" s="345"/>
    </row>
    <row r="51" spans="3:10" ht="20.100000000000001" customHeight="1" x14ac:dyDescent="0.2">
      <c r="C51" s="187"/>
      <c r="D51" s="270" t="s">
        <v>78</v>
      </c>
      <c r="E51" s="233"/>
      <c r="F51" s="233"/>
      <c r="G51" s="236"/>
      <c r="H51" s="235"/>
      <c r="I51" s="294">
        <f t="shared" si="4"/>
        <v>0</v>
      </c>
      <c r="J51" s="345"/>
    </row>
    <row r="52" spans="3:10" ht="20.100000000000001" customHeight="1" x14ac:dyDescent="0.2">
      <c r="C52" s="187"/>
      <c r="D52" s="270" t="s">
        <v>78</v>
      </c>
      <c r="E52" s="233"/>
      <c r="F52" s="233"/>
      <c r="G52" s="236"/>
      <c r="H52" s="235"/>
      <c r="I52" s="294">
        <f t="shared" si="4"/>
        <v>0</v>
      </c>
      <c r="J52" s="345"/>
    </row>
    <row r="53" spans="3:10" ht="20.100000000000001" customHeight="1" x14ac:dyDescent="0.2">
      <c r="C53" s="187"/>
      <c r="D53" s="270" t="s">
        <v>78</v>
      </c>
      <c r="E53" s="233"/>
      <c r="F53" s="233"/>
      <c r="G53" s="236"/>
      <c r="H53" s="235"/>
      <c r="I53" s="294">
        <f t="shared" si="4"/>
        <v>0</v>
      </c>
      <c r="J53" s="345"/>
    </row>
    <row r="54" spans="3:10" ht="20.100000000000001" customHeight="1" x14ac:dyDescent="0.2">
      <c r="C54" s="187"/>
      <c r="D54" s="270" t="s">
        <v>78</v>
      </c>
      <c r="E54" s="233"/>
      <c r="F54" s="233"/>
      <c r="G54" s="236"/>
      <c r="H54" s="235"/>
      <c r="I54" s="294">
        <f t="shared" si="4"/>
        <v>0</v>
      </c>
      <c r="J54" s="345"/>
    </row>
    <row r="55" spans="3:10" ht="20.100000000000001" customHeight="1" x14ac:dyDescent="0.2">
      <c r="C55" s="187"/>
      <c r="D55" s="270" t="s">
        <v>78</v>
      </c>
      <c r="E55" s="233"/>
      <c r="F55" s="233"/>
      <c r="G55" s="236"/>
      <c r="H55" s="235"/>
      <c r="I55" s="294">
        <f t="shared" si="4"/>
        <v>0</v>
      </c>
      <c r="J55" s="345"/>
    </row>
    <row r="56" spans="3:10" ht="20.100000000000001" customHeight="1" x14ac:dyDescent="0.2">
      <c r="C56" s="187"/>
      <c r="D56" s="270" t="s">
        <v>78</v>
      </c>
      <c r="E56" s="233"/>
      <c r="F56" s="233"/>
      <c r="G56" s="236"/>
      <c r="H56" s="235"/>
      <c r="I56" s="294">
        <f t="shared" si="4"/>
        <v>0</v>
      </c>
      <c r="J56" s="345"/>
    </row>
    <row r="57" spans="3:10" ht="20.100000000000001" customHeight="1" x14ac:dyDescent="0.2">
      <c r="C57" s="187"/>
      <c r="D57" s="270" t="s">
        <v>78</v>
      </c>
      <c r="E57" s="233"/>
      <c r="F57" s="233"/>
      <c r="G57" s="236"/>
      <c r="H57" s="235"/>
      <c r="I57" s="294">
        <f t="shared" si="4"/>
        <v>0</v>
      </c>
      <c r="J57" s="345"/>
    </row>
    <row r="58" spans="3:10" ht="20.100000000000001" customHeight="1" x14ac:dyDescent="0.2">
      <c r="C58" s="187"/>
      <c r="D58" s="270" t="s">
        <v>78</v>
      </c>
      <c r="E58" s="233"/>
      <c r="F58" s="233"/>
      <c r="G58" s="236"/>
      <c r="H58" s="235"/>
      <c r="I58" s="294">
        <f t="shared" si="4"/>
        <v>0</v>
      </c>
      <c r="J58" s="345"/>
    </row>
    <row r="59" spans="3:10" ht="20.100000000000001" customHeight="1" thickBot="1" x14ac:dyDescent="0.25">
      <c r="C59" s="187"/>
      <c r="D59" s="274" t="s">
        <v>78</v>
      </c>
      <c r="E59" s="275"/>
      <c r="F59" s="275"/>
      <c r="G59" s="278"/>
      <c r="H59" s="277"/>
      <c r="I59" s="294">
        <f t="shared" si="4"/>
        <v>0</v>
      </c>
      <c r="J59" s="345"/>
    </row>
    <row r="60" spans="3:10" x14ac:dyDescent="0.2">
      <c r="I60" s="241"/>
      <c r="J60" s="345"/>
    </row>
    <row r="61" spans="3:10" x14ac:dyDescent="0.2">
      <c r="J61" s="345"/>
    </row>
    <row r="62" spans="3:10" x14ac:dyDescent="0.2">
      <c r="J62" s="345"/>
    </row>
    <row r="63" spans="3:10" ht="18" x14ac:dyDescent="0.25">
      <c r="E63" s="184"/>
      <c r="F63" s="184"/>
      <c r="J63" s="345"/>
    </row>
    <row r="64" spans="3:10" x14ac:dyDescent="0.2">
      <c r="J64" s="345"/>
    </row>
    <row r="65" spans="4:10" ht="13.5" thickBot="1" x14ac:dyDescent="0.25">
      <c r="J65" s="345"/>
    </row>
    <row r="66" spans="4:10" ht="16.5" customHeight="1" thickBot="1" x14ac:dyDescent="0.25">
      <c r="D66" s="188" t="s">
        <v>77</v>
      </c>
      <c r="E66" s="726" t="s">
        <v>116</v>
      </c>
      <c r="F66" s="727"/>
      <c r="G66" s="727"/>
      <c r="H66" s="728"/>
      <c r="I66" s="293" t="s">
        <v>7</v>
      </c>
      <c r="J66" s="345"/>
    </row>
    <row r="67" spans="4:10" ht="42" customHeight="1" thickBot="1" x14ac:dyDescent="0.25">
      <c r="D67" s="271" t="s">
        <v>79</v>
      </c>
      <c r="E67" s="641" t="str">
        <f>E2</f>
        <v>M. Pierre-Yves 
TIERCE</v>
      </c>
      <c r="F67" s="596" t="str">
        <f t="shared" ref="F67" si="5">F2</f>
        <v>Mme Isabelle 
FARNET RISSO</v>
      </c>
      <c r="G67" s="306" t="s">
        <v>3</v>
      </c>
      <c r="H67" s="307" t="s">
        <v>4</v>
      </c>
      <c r="I67" s="300" t="s">
        <v>101</v>
      </c>
      <c r="J67" s="345"/>
    </row>
    <row r="68" spans="4:10" ht="20.100000000000001" customHeight="1" x14ac:dyDescent="0.2">
      <c r="D68" s="197" t="s">
        <v>78</v>
      </c>
      <c r="E68" s="190"/>
      <c r="F68" s="190"/>
      <c r="G68" s="193"/>
      <c r="H68" s="192"/>
      <c r="I68" s="297">
        <f>SUM(E68:H68)</f>
        <v>0</v>
      </c>
      <c r="J68" s="345"/>
    </row>
    <row r="69" spans="4:10" ht="20.100000000000001" customHeight="1" x14ac:dyDescent="0.2">
      <c r="D69" s="195" t="s">
        <v>78</v>
      </c>
      <c r="E69" s="135"/>
      <c r="F69" s="135"/>
      <c r="G69" s="138"/>
      <c r="H69" s="137"/>
      <c r="I69" s="231">
        <f>SUM(E69:H69)</f>
        <v>0</v>
      </c>
      <c r="J69" s="345"/>
    </row>
    <row r="70" spans="4:10" ht="20.100000000000001" customHeight="1" x14ac:dyDescent="0.2">
      <c r="D70" s="195" t="s">
        <v>78</v>
      </c>
      <c r="E70" s="135"/>
      <c r="F70" s="135"/>
      <c r="G70" s="138"/>
      <c r="H70" s="137"/>
      <c r="I70" s="231">
        <f>SUM(E70:H70)</f>
        <v>0</v>
      </c>
      <c r="J70" s="345"/>
    </row>
    <row r="71" spans="4:10" ht="20.100000000000001" customHeight="1" x14ac:dyDescent="0.2">
      <c r="D71" s="195" t="s">
        <v>78</v>
      </c>
      <c r="E71" s="135"/>
      <c r="F71" s="135"/>
      <c r="G71" s="138"/>
      <c r="H71" s="137"/>
      <c r="I71" s="231">
        <f>SUM(E71:H71)</f>
        <v>0</v>
      </c>
      <c r="J71" s="345"/>
    </row>
    <row r="72" spans="4:10" ht="20.100000000000001" customHeight="1" thickBot="1" x14ac:dyDescent="0.25">
      <c r="D72" s="196" t="s">
        <v>78</v>
      </c>
      <c r="E72" s="139"/>
      <c r="F72" s="139"/>
      <c r="G72" s="142"/>
      <c r="H72" s="141"/>
      <c r="I72" s="298">
        <f>SUM(E72:H72)</f>
        <v>0</v>
      </c>
      <c r="J72" s="345"/>
    </row>
    <row r="73" spans="4:10" ht="20.100000000000001" customHeight="1" x14ac:dyDescent="0.2">
      <c r="D73" s="189"/>
      <c r="E73" s="187"/>
      <c r="F73" s="187"/>
      <c r="G73" s="187"/>
      <c r="H73" s="187"/>
      <c r="J73" s="345"/>
    </row>
    <row r="74" spans="4:10" ht="20.100000000000001" customHeight="1" x14ac:dyDescent="0.2">
      <c r="D74" s="189"/>
      <c r="E74" s="187"/>
      <c r="F74" s="187"/>
      <c r="G74" s="187"/>
      <c r="H74" s="187"/>
      <c r="J74" s="345"/>
    </row>
    <row r="75" spans="4:10" ht="20.100000000000001" customHeight="1" thickBot="1" x14ac:dyDescent="0.25">
      <c r="D75" s="189"/>
      <c r="E75" s="187"/>
      <c r="F75" s="187"/>
      <c r="G75" s="187"/>
      <c r="H75" s="187"/>
      <c r="J75" s="345"/>
    </row>
    <row r="76" spans="4:10" ht="20.100000000000001" customHeight="1" thickBot="1" x14ac:dyDescent="0.25">
      <c r="D76" s="188" t="s">
        <v>81</v>
      </c>
      <c r="E76" s="726" t="s">
        <v>117</v>
      </c>
      <c r="F76" s="727"/>
      <c r="G76" s="727"/>
      <c r="H76" s="728"/>
      <c r="I76" s="299" t="s">
        <v>7</v>
      </c>
      <c r="J76" s="345"/>
    </row>
    <row r="77" spans="4:10" ht="39.75" customHeight="1" thickBot="1" x14ac:dyDescent="0.25">
      <c r="D77" s="271" t="s">
        <v>79</v>
      </c>
      <c r="E77" s="641" t="str">
        <f>E2</f>
        <v>M. Pierre-Yves 
TIERCE</v>
      </c>
      <c r="F77" s="596" t="str">
        <f t="shared" ref="F77" si="6">F2</f>
        <v>Mme Isabelle 
FARNET RISSO</v>
      </c>
      <c r="G77" s="306" t="s">
        <v>3</v>
      </c>
      <c r="H77" s="307" t="s">
        <v>4</v>
      </c>
      <c r="I77" s="296" t="s">
        <v>101</v>
      </c>
      <c r="J77" s="345"/>
    </row>
    <row r="78" spans="4:10" ht="20.100000000000001" customHeight="1" x14ac:dyDescent="0.2">
      <c r="D78" s="197" t="s">
        <v>78</v>
      </c>
      <c r="E78" s="190"/>
      <c r="F78" s="190"/>
      <c r="G78" s="193"/>
      <c r="H78" s="192"/>
      <c r="I78" s="297">
        <f>SUM(E78:H78)</f>
        <v>0</v>
      </c>
      <c r="J78" s="345"/>
    </row>
    <row r="79" spans="4:10" ht="20.100000000000001" customHeight="1" x14ac:dyDescent="0.2">
      <c r="D79" s="195" t="s">
        <v>78</v>
      </c>
      <c r="E79" s="135"/>
      <c r="F79" s="135"/>
      <c r="G79" s="138"/>
      <c r="H79" s="137"/>
      <c r="I79" s="231">
        <f>SUM(E79:H79)</f>
        <v>0</v>
      </c>
      <c r="J79" s="345"/>
    </row>
    <row r="80" spans="4:10" ht="20.100000000000001" customHeight="1" thickBot="1" x14ac:dyDescent="0.25">
      <c r="D80" s="196" t="s">
        <v>78</v>
      </c>
      <c r="E80" s="139"/>
      <c r="F80" s="139"/>
      <c r="G80" s="142"/>
      <c r="H80" s="141"/>
      <c r="I80" s="298">
        <f>SUM(E80:H80)</f>
        <v>0</v>
      </c>
      <c r="J80" s="345"/>
    </row>
    <row r="81" spans="4:10" ht="20.100000000000001" customHeight="1" x14ac:dyDescent="0.2">
      <c r="D81" s="189"/>
      <c r="E81" s="187"/>
      <c r="F81" s="187"/>
      <c r="G81" s="187"/>
      <c r="H81" s="187"/>
      <c r="I81" s="194"/>
      <c r="J81" s="345"/>
    </row>
    <row r="82" spans="4:10" ht="20.100000000000001" customHeight="1" x14ac:dyDescent="0.2">
      <c r="D82" s="189"/>
      <c r="E82" s="187"/>
      <c r="F82" s="187"/>
      <c r="G82" s="187"/>
      <c r="H82" s="187"/>
      <c r="I82" s="194"/>
      <c r="J82" s="345"/>
    </row>
  </sheetData>
  <sheetProtection algorithmName="SHA-512" hashValue="8/vTX41OLCJQCaoWBRHRXaz1EecoBdRiJF8Ef3g8KEpw6sZsMaZUkfjluEduHmMrkQSmkpHlvYEyBjXYpXGZ2w==" saltValue="m5fl+stHTStJWR0h6PUbSQ==" spinCount="100000" sheet="1" objects="1" scenarios="1"/>
  <mergeCells count="9">
    <mergeCell ref="E48:H48"/>
    <mergeCell ref="E66:H66"/>
    <mergeCell ref="E76:H76"/>
    <mergeCell ref="E1:H1"/>
    <mergeCell ref="O2:O3"/>
    <mergeCell ref="P2:P3"/>
    <mergeCell ref="A11:B12"/>
    <mergeCell ref="A13:B15"/>
    <mergeCell ref="A16:B19"/>
  </mergeCells>
  <conditionalFormatting sqref="B9">
    <cfRule type="cellIs" dxfId="87" priority="1" operator="equal">
      <formula>0</formula>
    </cfRule>
    <cfRule type="cellIs" dxfId="86" priority="6" operator="notEqual">
      <formula>$B$8</formula>
    </cfRule>
  </conditionalFormatting>
  <conditionalFormatting sqref="E3:I12">
    <cfRule type="cellIs" dxfId="85" priority="5" operator="notBetween">
      <formula>0</formula>
      <formula>100</formula>
    </cfRule>
  </conditionalFormatting>
  <conditionalFormatting sqref="E3:I14">
    <cfRule type="cellIs" dxfId="84" priority="8" operator="lessThan">
      <formula>0</formula>
    </cfRule>
  </conditionalFormatting>
  <conditionalFormatting sqref="E14:I14">
    <cfRule type="cellIs" dxfId="83" priority="11" operator="greaterThan">
      <formula>1</formula>
    </cfRule>
  </conditionalFormatting>
  <conditionalFormatting sqref="I3:I13">
    <cfRule type="cellIs" dxfId="82" priority="9" operator="equal">
      <formula>0</formula>
    </cfRule>
  </conditionalFormatting>
  <conditionalFormatting sqref="I14">
    <cfRule type="cellIs" dxfId="81" priority="10" operator="equal">
      <formula>1</formula>
    </cfRule>
    <cfRule type="cellIs" dxfId="80" priority="12" operator="lessThan">
      <formula>1</formula>
    </cfRule>
  </conditionalFormatting>
  <conditionalFormatting sqref="M4:M15">
    <cfRule type="cellIs" dxfId="79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H59">
    <cfRule type="expression" dxfId="78" priority="3">
      <formula>AND(E50&lt;MAX(E$50:E50), NOT(ISBLANK(E50)), NOT(E50=0))</formula>
    </cfRule>
  </conditionalFormatting>
  <conditionalFormatting sqref="E68:H72">
    <cfRule type="expression" dxfId="77" priority="2">
      <formula>AND(E68&lt;MAX(E$68:E68), NOT(ISBLANK(E68)), NOT(E68=0))</formula>
    </cfRule>
  </conditionalFormatting>
  <conditionalFormatting sqref="E78:H80">
    <cfRule type="expression" dxfId="76" priority="13">
      <formula>AND(E78&lt;MAX(E$78:E78), NOT(ISBLANK(E78)), NOT(E78=0))</formula>
    </cfRule>
  </conditionalFormatting>
  <conditionalFormatting sqref="I3:I12">
    <cfRule type="expression" dxfId="75" priority="14">
      <formula>AND($D3=$E$24, I3=$D$25)</formula>
    </cfRule>
    <cfRule type="expression" dxfId="74" priority="15">
      <formula>AND($D3=$E$24, MOD(I3,100)&gt;$D$25)</formula>
    </cfRule>
    <cfRule type="cellIs" dxfId="73" priority="16" operator="equal">
      <formula>100</formula>
    </cfRule>
  </conditionalFormatting>
  <conditionalFormatting sqref="H3:H12 E3:F12">
    <cfRule type="expression" dxfId="72" priority="17">
      <formula>($D3&lt;=$E$24)</formula>
    </cfRule>
  </conditionalFormatting>
  <conditionalFormatting sqref="H3:H12 D3:F12">
    <cfRule type="expression" dxfId="71" priority="18">
      <formula>($D3&gt;$E$24)</formula>
    </cfRule>
  </conditionalFormatting>
  <conditionalFormatting sqref="G3:G12">
    <cfRule type="expression" dxfId="70" priority="19">
      <formula>($D3&lt;=$E$24)</formula>
    </cfRule>
  </conditionalFormatting>
  <conditionalFormatting sqref="G3:G12">
    <cfRule type="expression" dxfId="69" priority="20">
      <formula>($D3&gt;$E$24)</formula>
    </cfRule>
  </conditionalFormatting>
  <conditionalFormatting sqref="I50 I68:I72 I78:I80 I52:I59">
    <cfRule type="cellIs" dxfId="68" priority="21" operator="lessThan">
      <formula>0</formula>
    </cfRule>
    <cfRule type="cellIs" dxfId="67" priority="22" operator="equal">
      <formula>0</formula>
    </cfRule>
    <cfRule type="expression" dxfId="66" priority="23">
      <formula>OR(MOD($I50,100)=0,AND($D50=$E$24,MOD($I50,100)=$D$25))</formula>
    </cfRule>
  </conditionalFormatting>
  <conditionalFormatting sqref="I13">
    <cfRule type="cellIs" dxfId="65" priority="24" operator="equal">
      <formula>$B$8</formula>
    </cfRule>
  </conditionalFormatting>
  <conditionalFormatting sqref="E50:H59 E68:H72 E78:H80">
    <cfRule type="cellIs" dxfId="64" priority="25" operator="notBetween">
      <formula>0</formula>
      <formula>$B$8</formula>
    </cfRule>
    <cfRule type="expression" dxfId="63" priority="26">
      <formula>($D50&lt;=$E$24)</formula>
    </cfRule>
    <cfRule type="expression" dxfId="62" priority="27">
      <formula>($D50&gt;$E$24)</formula>
    </cfRule>
  </conditionalFormatting>
  <conditionalFormatting sqref="I51">
    <cfRule type="cellIs" dxfId="61" priority="28" operator="notBetween">
      <formula>0</formula>
      <formula>$B$8</formula>
    </cfRule>
    <cfRule type="cellIs" dxfId="60" priority="29" operator="equal">
      <formula>0</formula>
    </cfRule>
    <cfRule type="expression" dxfId="59" priority="30">
      <formula>OR(MOD($I51,100)=0,AND($D51=$E$24,MOD($I51,100)=$D$25))</formula>
    </cfRule>
  </conditionalFormatting>
  <conditionalFormatting sqref="L4:L15">
    <cfRule type="expression" dxfId="58" priority="31">
      <formula>AND($L4&lt;$L3, NOT(ISBLANK($L4)))</formula>
    </cfRule>
    <cfRule type="cellIs" dxfId="57" priority="32" operator="greaterThan">
      <formula>$B$7</formula>
    </cfRule>
  </conditionalFormatting>
  <dataValidations count="2">
    <dataValidation type="list" allowBlank="1" showInputMessage="1" showErrorMessage="1" sqref="C50:C59" xr:uid="{89947592-066C-4906-AEC0-08B18E84AE67}">
      <formula1>$D$19:$D$21</formula1>
    </dataValidation>
    <dataValidation type="list" allowBlank="1" showInputMessage="1" showErrorMessage="1" sqref="D68:D72 D78:D82 D50:D59" xr:uid="{6BD67209-C3C3-4FA9-896B-D6801A18570B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06643-F7E9-4CF7-B131-5D2E84B119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46</vt:i4>
      </vt:variant>
    </vt:vector>
  </HeadingPairs>
  <TitlesOfParts>
    <vt:vector size="65" baseType="lpstr">
      <vt:lpstr>Synthèse</vt:lpstr>
      <vt:lpstr>Participation horaire</vt:lpstr>
      <vt:lpstr>Sièges</vt:lpstr>
      <vt:lpstr>Feuille décompte</vt:lpstr>
      <vt:lpstr>Projection</vt:lpstr>
      <vt:lpstr>Exemple</vt:lpstr>
      <vt:lpstr>Bureau 0</vt:lpstr>
      <vt:lpstr>Bureau 1</vt:lpstr>
      <vt:lpstr>Bureau 2</vt:lpstr>
      <vt:lpstr>Bureau 3</vt:lpstr>
      <vt:lpstr>Bureau 4</vt:lpstr>
      <vt:lpstr>Bureau 5</vt:lpstr>
      <vt:lpstr>Bureau 6</vt:lpstr>
      <vt:lpstr>Bureau 7</vt:lpstr>
      <vt:lpstr>Bureau 8</vt:lpstr>
      <vt:lpstr>Bureau 9</vt:lpstr>
      <vt:lpstr>Bureau 10</vt:lpstr>
      <vt:lpstr>Bureau 11</vt:lpstr>
      <vt:lpstr>Bureau 12</vt:lpstr>
      <vt:lpstr>CalculSieges</vt:lpstr>
      <vt:lpstr>'Bureau 1'!Table1</vt:lpstr>
      <vt:lpstr>'Bureau 10'!Table1</vt:lpstr>
      <vt:lpstr>'Bureau 11'!Table1</vt:lpstr>
      <vt:lpstr>'Bureau 12'!Table1</vt:lpstr>
      <vt:lpstr>'Bureau 2'!Table1</vt:lpstr>
      <vt:lpstr>'Bureau 3'!Table1</vt:lpstr>
      <vt:lpstr>'Bureau 4'!Table1</vt:lpstr>
      <vt:lpstr>'Bureau 5'!Table1</vt:lpstr>
      <vt:lpstr>'Bureau 6'!Table1</vt:lpstr>
      <vt:lpstr>'Bureau 7'!Table1</vt:lpstr>
      <vt:lpstr>'Bureau 8'!Table1</vt:lpstr>
      <vt:lpstr>'Bureau 9'!Table1</vt:lpstr>
      <vt:lpstr>Exemple!Table1</vt:lpstr>
      <vt:lpstr>'Feuille décompte'!Table1</vt:lpstr>
      <vt:lpstr>Table1</vt:lpstr>
      <vt:lpstr>Table1bis</vt:lpstr>
      <vt:lpstr>'Bureau 1'!Table2</vt:lpstr>
      <vt:lpstr>'Bureau 10'!Table2</vt:lpstr>
      <vt:lpstr>'Bureau 11'!Table2</vt:lpstr>
      <vt:lpstr>'Bureau 12'!Table2</vt:lpstr>
      <vt:lpstr>'Bureau 2'!Table2</vt:lpstr>
      <vt:lpstr>'Bureau 3'!Table2</vt:lpstr>
      <vt:lpstr>'Bureau 4'!Table2</vt:lpstr>
      <vt:lpstr>'Bureau 5'!Table2</vt:lpstr>
      <vt:lpstr>'Bureau 6'!Table2</vt:lpstr>
      <vt:lpstr>'Bureau 7'!Table2</vt:lpstr>
      <vt:lpstr>'Bureau 8'!Table2</vt:lpstr>
      <vt:lpstr>'Bureau 9'!Table2</vt:lpstr>
      <vt:lpstr>Exemple!Table2</vt:lpstr>
      <vt:lpstr>Table2</vt:lpstr>
      <vt:lpstr>'Bureau 1'!Table3</vt:lpstr>
      <vt:lpstr>'Bureau 10'!Table3</vt:lpstr>
      <vt:lpstr>'Bureau 11'!Table3</vt:lpstr>
      <vt:lpstr>'Bureau 12'!Table3</vt:lpstr>
      <vt:lpstr>'Bureau 2'!Table3</vt:lpstr>
      <vt:lpstr>'Bureau 3'!Table3</vt:lpstr>
      <vt:lpstr>'Bureau 4'!Table3</vt:lpstr>
      <vt:lpstr>'Bureau 5'!Table3</vt:lpstr>
      <vt:lpstr>'Bureau 6'!Table3</vt:lpstr>
      <vt:lpstr>'Bureau 7'!Table3</vt:lpstr>
      <vt:lpstr>'Bureau 8'!Table3</vt:lpstr>
      <vt:lpstr>'Bureau 9'!Table3</vt:lpstr>
      <vt:lpstr>Exemple!Table3</vt:lpstr>
      <vt:lpstr>Table3</vt:lpstr>
      <vt:lpstr>TableauAges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Barbero</dc:creator>
  <cp:lastModifiedBy>Rémi Barbero</cp:lastModifiedBy>
  <cp:lastPrinted>2026-03-17T09:01:57Z</cp:lastPrinted>
  <dcterms:created xsi:type="dcterms:W3CDTF">2025-03-13T09:37:21Z</dcterms:created>
  <dcterms:modified xsi:type="dcterms:W3CDTF">2026-03-18T18:11:47Z</dcterms:modified>
</cp:coreProperties>
</file>