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threadedComments/threadedComment10.xml" ContentType="application/vnd.ms-excel.threadedcomments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threadedComments/threadedComment11.xml" ContentType="application/vnd.ms-excel.threadedcomments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threadedComments/threadedComment12.xml" ContentType="application/vnd.ms-excel.threadedcomments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threadedComments/threadedComment13.xml" ContentType="application/vnd.ms-excel.threadedcomment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threadedComments/threadedComment14.xml" ContentType="application/vnd.ms-excel.threadedcomments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threadedComments/threadedComment15.xml" ContentType="application/vnd.ms-excel.threadedcomments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threadedComments/threadedComment16.xml" ContentType="application/vnd.ms-excel.threadedcomments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lumnienacfr-my.sharepoint.com/personal/remi_barbero_alumni_enac_fr/Documents/Echange/Elections/"/>
    </mc:Choice>
  </mc:AlternateContent>
  <xr:revisionPtr revIDLastSave="14750" documentId="8_{DC33D829-A0FA-4DB0-B932-0E9EE973A3AA}" xr6:coauthVersionLast="47" xr6:coauthVersionMax="47" xr10:uidLastSave="{62C7DB18-D962-4AF1-96BF-C91B687A142E}"/>
  <bookViews>
    <workbookView xWindow="30600" yWindow="-120" windowWidth="30960" windowHeight="16800" tabRatio="851" activeTab="15" xr2:uid="{00000000-000D-0000-FFFF-FFFF00000000}"/>
  </bookViews>
  <sheets>
    <sheet name="Synthèse" sheetId="1" r:id="rId1"/>
    <sheet name="Participation horaire" sheetId="3" r:id="rId2"/>
    <sheet name="Exemple" sheetId="578" r:id="rId3"/>
    <sheet name="Bureau 0" sheetId="207" r:id="rId4"/>
    <sheet name="Bureau 1" sheetId="651" r:id="rId5"/>
    <sheet name="Bureau 2" sheetId="652" r:id="rId6"/>
    <sheet name="Bureau 3" sheetId="653" r:id="rId7"/>
    <sheet name="Bureau 4" sheetId="654" r:id="rId8"/>
    <sheet name="Bureau 5" sheetId="655" r:id="rId9"/>
    <sheet name="Bureau 6" sheetId="656" r:id="rId10"/>
    <sheet name="Bureau 7" sheetId="657" r:id="rId11"/>
    <sheet name="Bureau 8" sheetId="658" r:id="rId12"/>
    <sheet name="Bureau 9" sheetId="659" r:id="rId13"/>
    <sheet name="Bureau 10" sheetId="660" r:id="rId14"/>
    <sheet name="Bureau 11" sheetId="661" r:id="rId15"/>
    <sheet name="Bureau 12" sheetId="662" r:id="rId16"/>
  </sheets>
  <functionGroups builtInGroupCount="19"/>
  <definedNames>
    <definedName name="_xleta.NA" hidden="1" xlm="1">#NAME?</definedName>
    <definedName name="_xleta.SUM" hidden="1" xlm="1">#NAME?</definedName>
    <definedName name="Table1" localSheetId="4">'Bureau 1'!$D$49:$Z$59</definedName>
    <definedName name="Table1" localSheetId="13">'Bureau 10'!$D$49:$Z$59</definedName>
    <definedName name="Table1" localSheetId="14">'Bureau 11'!$D$49:$Z$59</definedName>
    <definedName name="Table1" localSheetId="15">'Bureau 12'!$D$49:$Z$59</definedName>
    <definedName name="Table1" localSheetId="5">'Bureau 2'!$D$49:$Z$59</definedName>
    <definedName name="Table1" localSheetId="6">'Bureau 3'!$D$49:$Z$59</definedName>
    <definedName name="Table1" localSheetId="7">'Bureau 4'!$D$49:$Z$59</definedName>
    <definedName name="Table1" localSheetId="8">'Bureau 5'!$D$49:$Z$59</definedName>
    <definedName name="Table1" localSheetId="9">'Bureau 6'!$D$49:$Z$59</definedName>
    <definedName name="Table1" localSheetId="10">'Bureau 7'!$D$49:$Z$59</definedName>
    <definedName name="Table1" localSheetId="11">'Bureau 8'!$D$49:$Z$59</definedName>
    <definedName name="Table1" localSheetId="12">'Bureau 9'!$D$49:$Z$59</definedName>
    <definedName name="Table1" localSheetId="2">Exemple!$D$49:$P$59</definedName>
    <definedName name="Table1">'Bureau 0'!$D$49:$Z$59</definedName>
    <definedName name="Table2" localSheetId="4">'Bureau 1'!$D$67:$Z$72</definedName>
    <definedName name="Table2" localSheetId="13">'Bureau 10'!$D$67:$Z$72</definedName>
    <definedName name="Table2" localSheetId="14">'Bureau 11'!$D$67:$Z$72</definedName>
    <definedName name="Table2" localSheetId="15">'Bureau 12'!$D$67:$Z$72</definedName>
    <definedName name="Table2" localSheetId="5">'Bureau 2'!$D$67:$Z$72</definedName>
    <definedName name="Table2" localSheetId="6">'Bureau 3'!$D$67:$Z$72</definedName>
    <definedName name="Table2" localSheetId="7">'Bureau 4'!$D$67:$Z$72</definedName>
    <definedName name="Table2" localSheetId="8">'Bureau 5'!$D$67:$Z$72</definedName>
    <definedName name="Table2" localSheetId="9">'Bureau 6'!$D$67:$Z$72</definedName>
    <definedName name="Table2" localSheetId="10">'Bureau 7'!$D$67:$Z$72</definedName>
    <definedName name="Table2" localSheetId="11">'Bureau 8'!$D$67:$Z$72</definedName>
    <definedName name="Table2" localSheetId="12">'Bureau 9'!$D$67:$Z$72</definedName>
    <definedName name="Table2" localSheetId="2">Exemple!$D$67:$P$72</definedName>
    <definedName name="Table2">'Bureau 0'!$D$67:$Z$72</definedName>
    <definedName name="Table3" localSheetId="4">'Bureau 1'!$D$78:$Z$80</definedName>
    <definedName name="Table3" localSheetId="13">'Bureau 10'!$D$78:$Z$80</definedName>
    <definedName name="Table3" localSheetId="14">'Bureau 11'!$D$78:$Z$80</definedName>
    <definedName name="Table3" localSheetId="15">'Bureau 12'!$D$78:$Z$80</definedName>
    <definedName name="Table3" localSheetId="5">'Bureau 2'!$D$78:$Z$80</definedName>
    <definedName name="Table3" localSheetId="6">'Bureau 3'!$D$78:$Z$80</definedName>
    <definedName name="Table3" localSheetId="7">'Bureau 4'!$D$78:$Z$80</definedName>
    <definedName name="Table3" localSheetId="8">'Bureau 5'!$D$78:$Z$80</definedName>
    <definedName name="Table3" localSheetId="9">'Bureau 6'!$D$78:$Z$80</definedName>
    <definedName name="Table3" localSheetId="10">'Bureau 7'!$D$78:$Z$80</definedName>
    <definedName name="Table3" localSheetId="11">'Bureau 8'!$D$78:$Z$80</definedName>
    <definedName name="Table3" localSheetId="12">'Bureau 9'!$D$78:$Z$80</definedName>
    <definedName name="Table3" localSheetId="2">Exemple!$D$78:$P$80</definedName>
    <definedName name="Table3">'Bureau 0'!$D$78:$Z$80</definedName>
  </definedNames>
  <calcPr calcId="191029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80" i="662" l="1"/>
  <c r="AA79" i="662"/>
  <c r="AA78" i="662"/>
  <c r="AA72" i="662"/>
  <c r="AA71" i="662"/>
  <c r="AA70" i="662"/>
  <c r="AA69" i="662"/>
  <c r="AA68" i="662"/>
  <c r="AA59" i="662"/>
  <c r="AA58" i="662"/>
  <c r="AA57" i="662"/>
  <c r="AA56" i="662"/>
  <c r="AA55" i="662"/>
  <c r="AA54" i="662"/>
  <c r="AA53" i="662"/>
  <c r="AA52" i="662"/>
  <c r="AA51" i="662"/>
  <c r="AA50" i="662"/>
  <c r="AK15" i="662"/>
  <c r="AH15" i="662"/>
  <c r="AK14" i="662"/>
  <c r="AH14" i="662"/>
  <c r="AK13" i="662"/>
  <c r="AH13" i="662"/>
  <c r="AK12" i="662"/>
  <c r="AH12" i="662"/>
  <c r="AK11" i="662"/>
  <c r="AH11" i="662"/>
  <c r="AK10" i="662"/>
  <c r="AH10" i="662"/>
  <c r="AK9" i="662"/>
  <c r="AH9" i="662"/>
  <c r="AK8" i="662"/>
  <c r="AH8" i="662"/>
  <c r="B8" i="662"/>
  <c r="AK7" i="662"/>
  <c r="AH7" i="662"/>
  <c r="B7" i="662"/>
  <c r="K23" i="662" s="1"/>
  <c r="AK6" i="662"/>
  <c r="AH6" i="662"/>
  <c r="AK5" i="662"/>
  <c r="AH5" i="662"/>
  <c r="AK4" i="662"/>
  <c r="AH4" i="662"/>
  <c r="B3" i="662"/>
  <c r="X2" i="662"/>
  <c r="W2" i="662"/>
  <c r="V2" i="662"/>
  <c r="U2" i="662"/>
  <c r="T2" i="662"/>
  <c r="S2" i="662"/>
  <c r="R2" i="662"/>
  <c r="Q2" i="662"/>
  <c r="P2" i="662"/>
  <c r="O2" i="662"/>
  <c r="N2" i="662"/>
  <c r="M2" i="662"/>
  <c r="L2" i="662"/>
  <c r="K2" i="662"/>
  <c r="J2" i="662"/>
  <c r="I2" i="662"/>
  <c r="H2" i="662"/>
  <c r="G2" i="662"/>
  <c r="F2" i="662"/>
  <c r="E2" i="662"/>
  <c r="B2" i="662"/>
  <c r="B1" i="662"/>
  <c r="AA80" i="661"/>
  <c r="AA79" i="661"/>
  <c r="AA78" i="661"/>
  <c r="AA72" i="661"/>
  <c r="AA71" i="661"/>
  <c r="AA70" i="661"/>
  <c r="AA69" i="661"/>
  <c r="AA68" i="661"/>
  <c r="AA59" i="661"/>
  <c r="AA58" i="661"/>
  <c r="AA57" i="661"/>
  <c r="AA56" i="661"/>
  <c r="AA55" i="661"/>
  <c r="AA54" i="661"/>
  <c r="AA53" i="661"/>
  <c r="AA52" i="661"/>
  <c r="AA51" i="661"/>
  <c r="AA50" i="661"/>
  <c r="AK15" i="661"/>
  <c r="AH15" i="661"/>
  <c r="AK14" i="661"/>
  <c r="AH14" i="661"/>
  <c r="AK13" i="661"/>
  <c r="AH13" i="661"/>
  <c r="AK12" i="661"/>
  <c r="AH12" i="661"/>
  <c r="AK11" i="661"/>
  <c r="AH11" i="661"/>
  <c r="AK10" i="661"/>
  <c r="AH10" i="661"/>
  <c r="AK9" i="661"/>
  <c r="AH9" i="661"/>
  <c r="AK8" i="661"/>
  <c r="AH8" i="661"/>
  <c r="B8" i="661"/>
  <c r="AK7" i="661"/>
  <c r="AH7" i="661"/>
  <c r="B7" i="661"/>
  <c r="K23" i="661" s="1"/>
  <c r="AK6" i="661"/>
  <c r="AH6" i="661"/>
  <c r="AK5" i="661"/>
  <c r="AH5" i="661"/>
  <c r="AK4" i="661"/>
  <c r="AH4" i="661"/>
  <c r="B3" i="661"/>
  <c r="X2" i="661"/>
  <c r="W2" i="661"/>
  <c r="V2" i="661"/>
  <c r="U2" i="661"/>
  <c r="T2" i="661"/>
  <c r="S2" i="661"/>
  <c r="R2" i="661"/>
  <c r="Q2" i="661"/>
  <c r="P2" i="661"/>
  <c r="O2" i="661"/>
  <c r="N2" i="661"/>
  <c r="M2" i="661"/>
  <c r="L2" i="661"/>
  <c r="K2" i="661"/>
  <c r="J2" i="661"/>
  <c r="I2" i="661"/>
  <c r="H2" i="661"/>
  <c r="G2" i="661"/>
  <c r="F2" i="661"/>
  <c r="E2" i="661"/>
  <c r="B2" i="661"/>
  <c r="B1" i="661"/>
  <c r="AA80" i="660"/>
  <c r="AA79" i="660"/>
  <c r="AA78" i="660"/>
  <c r="AA72" i="660"/>
  <c r="AA71" i="660"/>
  <c r="AA70" i="660"/>
  <c r="AA69" i="660"/>
  <c r="AA68" i="660"/>
  <c r="AA59" i="660"/>
  <c r="AA58" i="660"/>
  <c r="AA57" i="660"/>
  <c r="AA56" i="660"/>
  <c r="AA55" i="660"/>
  <c r="AA54" i="660"/>
  <c r="AA53" i="660"/>
  <c r="AA52" i="660"/>
  <c r="AA51" i="660"/>
  <c r="AA50" i="660"/>
  <c r="AK15" i="660"/>
  <c r="AH15" i="660"/>
  <c r="AK14" i="660"/>
  <c r="AH14" i="660"/>
  <c r="AK13" i="660"/>
  <c r="AH13" i="660"/>
  <c r="AK12" i="660"/>
  <c r="AH12" i="660"/>
  <c r="AK11" i="660"/>
  <c r="AH11" i="660"/>
  <c r="AK10" i="660"/>
  <c r="AH10" i="660"/>
  <c r="AK9" i="660"/>
  <c r="AH9" i="660"/>
  <c r="AK8" i="660"/>
  <c r="AH8" i="660"/>
  <c r="AK7" i="660"/>
  <c r="AH7" i="660"/>
  <c r="B7" i="660"/>
  <c r="K23" i="660" s="1"/>
  <c r="AK6" i="660"/>
  <c r="AH6" i="660"/>
  <c r="AK5" i="660"/>
  <c r="AH5" i="660"/>
  <c r="AK4" i="660"/>
  <c r="AH4" i="660"/>
  <c r="B3" i="660"/>
  <c r="X2" i="660"/>
  <c r="W2" i="660"/>
  <c r="V2" i="660"/>
  <c r="U2" i="660"/>
  <c r="T2" i="660"/>
  <c r="S2" i="660"/>
  <c r="R2" i="660"/>
  <c r="Q2" i="660"/>
  <c r="P2" i="660"/>
  <c r="O2" i="660"/>
  <c r="N2" i="660"/>
  <c r="M2" i="660"/>
  <c r="L2" i="660"/>
  <c r="K2" i="660"/>
  <c r="J2" i="660"/>
  <c r="I2" i="660"/>
  <c r="H2" i="660"/>
  <c r="G2" i="660"/>
  <c r="F2" i="660"/>
  <c r="E2" i="660"/>
  <c r="B2" i="660"/>
  <c r="B1" i="660"/>
  <c r="AA80" i="659"/>
  <c r="AA79" i="659"/>
  <c r="AA78" i="659"/>
  <c r="AA72" i="659"/>
  <c r="AA71" i="659"/>
  <c r="AA70" i="659"/>
  <c r="AA69" i="659"/>
  <c r="AA68" i="659"/>
  <c r="AA59" i="659"/>
  <c r="AA58" i="659"/>
  <c r="AA57" i="659"/>
  <c r="AA56" i="659"/>
  <c r="AA55" i="659"/>
  <c r="AA54" i="659"/>
  <c r="AA53" i="659"/>
  <c r="AA52" i="659"/>
  <c r="AA51" i="659"/>
  <c r="AA50" i="659"/>
  <c r="AK15" i="659"/>
  <c r="AH15" i="659"/>
  <c r="AK14" i="659"/>
  <c r="AH14" i="659"/>
  <c r="AK13" i="659"/>
  <c r="AH13" i="659"/>
  <c r="AK12" i="659"/>
  <c r="AH12" i="659"/>
  <c r="AK11" i="659"/>
  <c r="AH11" i="659"/>
  <c r="AK10" i="659"/>
  <c r="AH10" i="659"/>
  <c r="AK9" i="659"/>
  <c r="AH9" i="659"/>
  <c r="AK8" i="659"/>
  <c r="AH8" i="659"/>
  <c r="AK7" i="659"/>
  <c r="AH7" i="659"/>
  <c r="B7" i="659"/>
  <c r="K23" i="659" s="1"/>
  <c r="AK6" i="659"/>
  <c r="AH6" i="659"/>
  <c r="AK5" i="659"/>
  <c r="AH5" i="659"/>
  <c r="AK4" i="659"/>
  <c r="AH4" i="659"/>
  <c r="B3" i="659"/>
  <c r="X2" i="659"/>
  <c r="W2" i="659"/>
  <c r="V2" i="659"/>
  <c r="U2" i="659"/>
  <c r="T2" i="659"/>
  <c r="S2" i="659"/>
  <c r="R2" i="659"/>
  <c r="Q2" i="659"/>
  <c r="P2" i="659"/>
  <c r="O2" i="659"/>
  <c r="N2" i="659"/>
  <c r="M2" i="659"/>
  <c r="L2" i="659"/>
  <c r="K2" i="659"/>
  <c r="J2" i="659"/>
  <c r="I2" i="659"/>
  <c r="H2" i="659"/>
  <c r="G2" i="659"/>
  <c r="F2" i="659"/>
  <c r="E2" i="659"/>
  <c r="B2" i="659"/>
  <c r="B1" i="659"/>
  <c r="AA80" i="658"/>
  <c r="AA79" i="658"/>
  <c r="AA78" i="658"/>
  <c r="AA72" i="658"/>
  <c r="AA71" i="658"/>
  <c r="AA70" i="658"/>
  <c r="AA69" i="658"/>
  <c r="AA68" i="658"/>
  <c r="AA59" i="658"/>
  <c r="AA58" i="658"/>
  <c r="AA57" i="658"/>
  <c r="AA56" i="658"/>
  <c r="AA55" i="658"/>
  <c r="AA54" i="658"/>
  <c r="AA53" i="658"/>
  <c r="AA52" i="658"/>
  <c r="AA51" i="658"/>
  <c r="AA50" i="658"/>
  <c r="AK15" i="658"/>
  <c r="AH15" i="658"/>
  <c r="AK14" i="658"/>
  <c r="AH14" i="658"/>
  <c r="AK13" i="658"/>
  <c r="AH13" i="658"/>
  <c r="AK12" i="658"/>
  <c r="AH12" i="658"/>
  <c r="AK11" i="658"/>
  <c r="AH11" i="658"/>
  <c r="AK10" i="658"/>
  <c r="AH10" i="658"/>
  <c r="AK9" i="658"/>
  <c r="AH9" i="658"/>
  <c r="AK8" i="658"/>
  <c r="AH8" i="658"/>
  <c r="AK7" i="658"/>
  <c r="AH7" i="658"/>
  <c r="B7" i="658"/>
  <c r="K23" i="658" s="1"/>
  <c r="AK6" i="658"/>
  <c r="AH6" i="658"/>
  <c r="AK5" i="658"/>
  <c r="AH5" i="658"/>
  <c r="AK4" i="658"/>
  <c r="AH4" i="658"/>
  <c r="B3" i="658"/>
  <c r="X2" i="658"/>
  <c r="W2" i="658"/>
  <c r="V2" i="658"/>
  <c r="U2" i="658"/>
  <c r="T2" i="658"/>
  <c r="S2" i="658"/>
  <c r="R2" i="658"/>
  <c r="Q2" i="658"/>
  <c r="P2" i="658"/>
  <c r="O2" i="658"/>
  <c r="N2" i="658"/>
  <c r="M2" i="658"/>
  <c r="L2" i="658"/>
  <c r="K2" i="658"/>
  <c r="J2" i="658"/>
  <c r="I2" i="658"/>
  <c r="H2" i="658"/>
  <c r="G2" i="658"/>
  <c r="F2" i="658"/>
  <c r="E2" i="658"/>
  <c r="B2" i="658"/>
  <c r="B1" i="658"/>
  <c r="AA80" i="657"/>
  <c r="AA79" i="657"/>
  <c r="AA78" i="657"/>
  <c r="AA72" i="657"/>
  <c r="AA71" i="657"/>
  <c r="AA70" i="657"/>
  <c r="AA69" i="657"/>
  <c r="AA68" i="657"/>
  <c r="AA59" i="657"/>
  <c r="AA58" i="657"/>
  <c r="AA57" i="657"/>
  <c r="AA56" i="657"/>
  <c r="AA55" i="657"/>
  <c r="AA54" i="657"/>
  <c r="AA53" i="657"/>
  <c r="AA52" i="657"/>
  <c r="AA51" i="657"/>
  <c r="AA50" i="657"/>
  <c r="AK15" i="657"/>
  <c r="AH15" i="657"/>
  <c r="AK14" i="657"/>
  <c r="AH14" i="657"/>
  <c r="AK13" i="657"/>
  <c r="AH13" i="657"/>
  <c r="AK12" i="657"/>
  <c r="AH12" i="657"/>
  <c r="AK11" i="657"/>
  <c r="AH11" i="657"/>
  <c r="AK10" i="657"/>
  <c r="AH10" i="657"/>
  <c r="AK9" i="657"/>
  <c r="AH9" i="657"/>
  <c r="AK8" i="657"/>
  <c r="AH8" i="657"/>
  <c r="B8" i="657"/>
  <c r="AK7" i="657"/>
  <c r="AH7" i="657"/>
  <c r="B7" i="657"/>
  <c r="K23" i="657" s="1"/>
  <c r="AK6" i="657"/>
  <c r="AH6" i="657"/>
  <c r="AK5" i="657"/>
  <c r="AH5" i="657"/>
  <c r="AK4" i="657"/>
  <c r="AH4" i="657"/>
  <c r="B3" i="657"/>
  <c r="X2" i="657"/>
  <c r="W2" i="657"/>
  <c r="V2" i="657"/>
  <c r="U2" i="657"/>
  <c r="T2" i="657"/>
  <c r="S2" i="657"/>
  <c r="R2" i="657"/>
  <c r="Q2" i="657"/>
  <c r="P2" i="657"/>
  <c r="O2" i="657"/>
  <c r="N2" i="657"/>
  <c r="M2" i="657"/>
  <c r="L2" i="657"/>
  <c r="K2" i="657"/>
  <c r="J2" i="657"/>
  <c r="I2" i="657"/>
  <c r="H2" i="657"/>
  <c r="G2" i="657"/>
  <c r="F2" i="657"/>
  <c r="E2" i="657"/>
  <c r="B2" i="657"/>
  <c r="B1" i="657"/>
  <c r="AA80" i="656"/>
  <c r="AA79" i="656"/>
  <c r="AA78" i="656"/>
  <c r="AA72" i="656"/>
  <c r="AA71" i="656"/>
  <c r="AA70" i="656"/>
  <c r="AA69" i="656"/>
  <c r="AA68" i="656"/>
  <c r="AA59" i="656"/>
  <c r="AA58" i="656"/>
  <c r="AA57" i="656"/>
  <c r="AA56" i="656"/>
  <c r="AA55" i="656"/>
  <c r="AA54" i="656"/>
  <c r="AA53" i="656"/>
  <c r="AA52" i="656"/>
  <c r="AA51" i="656"/>
  <c r="AA50" i="656"/>
  <c r="AK15" i="656"/>
  <c r="AH15" i="656"/>
  <c r="AK14" i="656"/>
  <c r="AH14" i="656"/>
  <c r="AK13" i="656"/>
  <c r="AH13" i="656"/>
  <c r="AK12" i="656"/>
  <c r="AH12" i="656"/>
  <c r="AK11" i="656"/>
  <c r="AH11" i="656"/>
  <c r="AK10" i="656"/>
  <c r="AH10" i="656"/>
  <c r="AK9" i="656"/>
  <c r="AH9" i="656"/>
  <c r="AK8" i="656"/>
  <c r="AH8" i="656"/>
  <c r="B8" i="656"/>
  <c r="AK7" i="656"/>
  <c r="AH7" i="656"/>
  <c r="B7" i="656"/>
  <c r="K23" i="656" s="1"/>
  <c r="AK6" i="656"/>
  <c r="AH6" i="656"/>
  <c r="AK5" i="656"/>
  <c r="AH5" i="656"/>
  <c r="AK4" i="656"/>
  <c r="AH4" i="656"/>
  <c r="B3" i="656"/>
  <c r="X2" i="656"/>
  <c r="W2" i="656"/>
  <c r="V2" i="656"/>
  <c r="U2" i="656"/>
  <c r="T2" i="656"/>
  <c r="S2" i="656"/>
  <c r="R2" i="656"/>
  <c r="Q2" i="656"/>
  <c r="P2" i="656"/>
  <c r="O2" i="656"/>
  <c r="N2" i="656"/>
  <c r="M2" i="656"/>
  <c r="L2" i="656"/>
  <c r="K2" i="656"/>
  <c r="J2" i="656"/>
  <c r="I2" i="656"/>
  <c r="H2" i="656"/>
  <c r="G2" i="656"/>
  <c r="F2" i="656"/>
  <c r="E2" i="656"/>
  <c r="B2" i="656"/>
  <c r="B1" i="656"/>
  <c r="AA80" i="655"/>
  <c r="AA79" i="655"/>
  <c r="AA78" i="655"/>
  <c r="AA72" i="655"/>
  <c r="AA71" i="655"/>
  <c r="AA70" i="655"/>
  <c r="AA69" i="655"/>
  <c r="AA68" i="655"/>
  <c r="AA59" i="655"/>
  <c r="AA58" i="655"/>
  <c r="AA57" i="655"/>
  <c r="AA56" i="655"/>
  <c r="AA55" i="655"/>
  <c r="AA54" i="655"/>
  <c r="AA53" i="655"/>
  <c r="AA52" i="655"/>
  <c r="AA51" i="655"/>
  <c r="AA50" i="655"/>
  <c r="AK15" i="655"/>
  <c r="AH15" i="655"/>
  <c r="AK14" i="655"/>
  <c r="AH14" i="655"/>
  <c r="AK13" i="655"/>
  <c r="AH13" i="655"/>
  <c r="AK12" i="655"/>
  <c r="AH12" i="655"/>
  <c r="AK11" i="655"/>
  <c r="AH11" i="655"/>
  <c r="AK10" i="655"/>
  <c r="AH10" i="655"/>
  <c r="AK9" i="655"/>
  <c r="AH9" i="655"/>
  <c r="AK8" i="655"/>
  <c r="AH8" i="655"/>
  <c r="AK7" i="655"/>
  <c r="AH7" i="655"/>
  <c r="B7" i="655"/>
  <c r="K23" i="655" s="1"/>
  <c r="AK6" i="655"/>
  <c r="AH6" i="655"/>
  <c r="AK5" i="655"/>
  <c r="AH5" i="655"/>
  <c r="AK4" i="655"/>
  <c r="AH4" i="655"/>
  <c r="B3" i="655"/>
  <c r="X2" i="655"/>
  <c r="W2" i="655"/>
  <c r="V2" i="655"/>
  <c r="U2" i="655"/>
  <c r="T2" i="655"/>
  <c r="S2" i="655"/>
  <c r="R2" i="655"/>
  <c r="Q2" i="655"/>
  <c r="P2" i="655"/>
  <c r="O2" i="655"/>
  <c r="N2" i="655"/>
  <c r="M2" i="655"/>
  <c r="L2" i="655"/>
  <c r="K2" i="655"/>
  <c r="J2" i="655"/>
  <c r="I2" i="655"/>
  <c r="H2" i="655"/>
  <c r="G2" i="655"/>
  <c r="F2" i="655"/>
  <c r="E2" i="655"/>
  <c r="B2" i="655"/>
  <c r="B1" i="655"/>
  <c r="AA80" i="654"/>
  <c r="AA79" i="654"/>
  <c r="AA78" i="654"/>
  <c r="AA72" i="654"/>
  <c r="AA71" i="654"/>
  <c r="AA70" i="654"/>
  <c r="AA69" i="654"/>
  <c r="AA68" i="654"/>
  <c r="AA59" i="654"/>
  <c r="AA58" i="654"/>
  <c r="AA57" i="654"/>
  <c r="AA56" i="654"/>
  <c r="AA55" i="654"/>
  <c r="AA54" i="654"/>
  <c r="AA53" i="654"/>
  <c r="AA52" i="654"/>
  <c r="AA51" i="654"/>
  <c r="AA50" i="654"/>
  <c r="AK15" i="654"/>
  <c r="AH15" i="654"/>
  <c r="AK14" i="654"/>
  <c r="AH14" i="654"/>
  <c r="AK13" i="654"/>
  <c r="AH13" i="654"/>
  <c r="AK12" i="654"/>
  <c r="AH12" i="654"/>
  <c r="AK11" i="654"/>
  <c r="AH11" i="654"/>
  <c r="AK10" i="654"/>
  <c r="AH10" i="654"/>
  <c r="AK9" i="654"/>
  <c r="AH9" i="654"/>
  <c r="AK8" i="654"/>
  <c r="AH8" i="654"/>
  <c r="AK7" i="654"/>
  <c r="AH7" i="654"/>
  <c r="B7" i="654"/>
  <c r="K23" i="654" s="1"/>
  <c r="AK6" i="654"/>
  <c r="AH6" i="654"/>
  <c r="AK5" i="654"/>
  <c r="AH5" i="654"/>
  <c r="AK4" i="654"/>
  <c r="AH4" i="654"/>
  <c r="B3" i="654"/>
  <c r="X2" i="654"/>
  <c r="W2" i="654"/>
  <c r="V2" i="654"/>
  <c r="U2" i="654"/>
  <c r="T2" i="654"/>
  <c r="S2" i="654"/>
  <c r="R2" i="654"/>
  <c r="Q2" i="654"/>
  <c r="P2" i="654"/>
  <c r="O2" i="654"/>
  <c r="N2" i="654"/>
  <c r="M2" i="654"/>
  <c r="L2" i="654"/>
  <c r="K2" i="654"/>
  <c r="J2" i="654"/>
  <c r="I2" i="654"/>
  <c r="H2" i="654"/>
  <c r="G2" i="654"/>
  <c r="F2" i="654"/>
  <c r="E2" i="654"/>
  <c r="B2" i="654"/>
  <c r="B1" i="654"/>
  <c r="AA80" i="653"/>
  <c r="AA79" i="653"/>
  <c r="AA78" i="653"/>
  <c r="AA72" i="653"/>
  <c r="AA71" i="653"/>
  <c r="AA70" i="653"/>
  <c r="AA69" i="653"/>
  <c r="AA68" i="653"/>
  <c r="AA59" i="653"/>
  <c r="AA58" i="653"/>
  <c r="AA57" i="653"/>
  <c r="AA56" i="653"/>
  <c r="AA55" i="653"/>
  <c r="AA54" i="653"/>
  <c r="AA53" i="653"/>
  <c r="AA52" i="653"/>
  <c r="AA51" i="653"/>
  <c r="AA50" i="653"/>
  <c r="AK15" i="653"/>
  <c r="AH15" i="653"/>
  <c r="AK14" i="653"/>
  <c r="AH14" i="653"/>
  <c r="AK13" i="653"/>
  <c r="AH13" i="653"/>
  <c r="AK12" i="653"/>
  <c r="AH12" i="653"/>
  <c r="AK11" i="653"/>
  <c r="AH11" i="653"/>
  <c r="AK10" i="653"/>
  <c r="AH10" i="653"/>
  <c r="AK9" i="653"/>
  <c r="AH9" i="653"/>
  <c r="AK8" i="653"/>
  <c r="AH8" i="653"/>
  <c r="B8" i="653"/>
  <c r="AK7" i="653"/>
  <c r="AH7" i="653"/>
  <c r="B7" i="653"/>
  <c r="K23" i="653" s="1"/>
  <c r="AK6" i="653"/>
  <c r="AH6" i="653"/>
  <c r="AK5" i="653"/>
  <c r="AH5" i="653"/>
  <c r="AK4" i="653"/>
  <c r="AH4" i="653"/>
  <c r="B3" i="653"/>
  <c r="X2" i="653"/>
  <c r="W2" i="653"/>
  <c r="V2" i="653"/>
  <c r="U2" i="653"/>
  <c r="T2" i="653"/>
  <c r="S2" i="653"/>
  <c r="R2" i="653"/>
  <c r="Q2" i="653"/>
  <c r="P2" i="653"/>
  <c r="O2" i="653"/>
  <c r="N2" i="653"/>
  <c r="M2" i="653"/>
  <c r="L2" i="653"/>
  <c r="K2" i="653"/>
  <c r="J2" i="653"/>
  <c r="I2" i="653"/>
  <c r="H2" i="653"/>
  <c r="G2" i="653"/>
  <c r="F2" i="653"/>
  <c r="E2" i="653"/>
  <c r="B2" i="653"/>
  <c r="B1" i="653"/>
  <c r="AA80" i="652"/>
  <c r="AA79" i="652"/>
  <c r="AA78" i="652"/>
  <c r="AA72" i="652"/>
  <c r="AA71" i="652"/>
  <c r="AA70" i="652"/>
  <c r="AA69" i="652"/>
  <c r="AA68" i="652"/>
  <c r="AA59" i="652"/>
  <c r="AA58" i="652"/>
  <c r="AA57" i="652"/>
  <c r="AA56" i="652"/>
  <c r="AA55" i="652"/>
  <c r="AA54" i="652"/>
  <c r="AA53" i="652"/>
  <c r="AA52" i="652"/>
  <c r="AA51" i="652"/>
  <c r="AA50" i="652"/>
  <c r="AK15" i="652"/>
  <c r="AH15" i="652"/>
  <c r="AK14" i="652"/>
  <c r="AH14" i="652"/>
  <c r="AK13" i="652"/>
  <c r="AH13" i="652"/>
  <c r="AK12" i="652"/>
  <c r="AH12" i="652"/>
  <c r="AK11" i="652"/>
  <c r="AH11" i="652"/>
  <c r="AK10" i="652"/>
  <c r="AH10" i="652"/>
  <c r="AK9" i="652"/>
  <c r="AH9" i="652"/>
  <c r="AK8" i="652"/>
  <c r="AH8" i="652"/>
  <c r="B8" i="652"/>
  <c r="AK7" i="652"/>
  <c r="AH7" i="652"/>
  <c r="B7" i="652"/>
  <c r="K23" i="652" s="1"/>
  <c r="AK6" i="652"/>
  <c r="AH6" i="652"/>
  <c r="AK5" i="652"/>
  <c r="AH5" i="652"/>
  <c r="AK4" i="652"/>
  <c r="AH4" i="652"/>
  <c r="B3" i="652"/>
  <c r="X2" i="652"/>
  <c r="W2" i="652"/>
  <c r="V2" i="652"/>
  <c r="U2" i="652"/>
  <c r="T2" i="652"/>
  <c r="S2" i="652"/>
  <c r="R2" i="652"/>
  <c r="Q2" i="652"/>
  <c r="P2" i="652"/>
  <c r="O2" i="652"/>
  <c r="N2" i="652"/>
  <c r="M2" i="652"/>
  <c r="L2" i="652"/>
  <c r="K2" i="652"/>
  <c r="J2" i="652"/>
  <c r="I2" i="652"/>
  <c r="H2" i="652"/>
  <c r="G2" i="652"/>
  <c r="F2" i="652"/>
  <c r="E2" i="652"/>
  <c r="B2" i="652"/>
  <c r="B1" i="652"/>
  <c r="AA80" i="651"/>
  <c r="AA79" i="651"/>
  <c r="AA78" i="651"/>
  <c r="AA72" i="651"/>
  <c r="AA71" i="651"/>
  <c r="AA70" i="651"/>
  <c r="AA69" i="651"/>
  <c r="AA68" i="651"/>
  <c r="AA59" i="651"/>
  <c r="AA58" i="651"/>
  <c r="AA57" i="651"/>
  <c r="AA56" i="651"/>
  <c r="AA55" i="651"/>
  <c r="AA54" i="651"/>
  <c r="AA53" i="651"/>
  <c r="AA52" i="651"/>
  <c r="AA51" i="651"/>
  <c r="AA50" i="651"/>
  <c r="AK15" i="651"/>
  <c r="AH15" i="651"/>
  <c r="AK14" i="651"/>
  <c r="AH14" i="651"/>
  <c r="AK13" i="651"/>
  <c r="AH13" i="651"/>
  <c r="AK12" i="651"/>
  <c r="AH12" i="651"/>
  <c r="AK11" i="651"/>
  <c r="AH11" i="651"/>
  <c r="AK10" i="651"/>
  <c r="AH10" i="651"/>
  <c r="AK9" i="651"/>
  <c r="AH9" i="651"/>
  <c r="AK8" i="651"/>
  <c r="AH8" i="651"/>
  <c r="AK7" i="651"/>
  <c r="AH7" i="651"/>
  <c r="B7" i="651"/>
  <c r="K23" i="651" s="1"/>
  <c r="AK6" i="651"/>
  <c r="AH6" i="651"/>
  <c r="AK5" i="651"/>
  <c r="AH5" i="651"/>
  <c r="AK4" i="651"/>
  <c r="AH4" i="651"/>
  <c r="B3" i="651"/>
  <c r="X2" i="651"/>
  <c r="W2" i="651"/>
  <c r="V2" i="651"/>
  <c r="U2" i="651"/>
  <c r="T2" i="651"/>
  <c r="S2" i="651"/>
  <c r="R2" i="651"/>
  <c r="Q2" i="651"/>
  <c r="P2" i="651"/>
  <c r="O2" i="651"/>
  <c r="N2" i="651"/>
  <c r="M2" i="651"/>
  <c r="L2" i="651"/>
  <c r="K2" i="651"/>
  <c r="J2" i="651"/>
  <c r="I2" i="651"/>
  <c r="H2" i="651"/>
  <c r="G2" i="651"/>
  <c r="F2" i="651"/>
  <c r="E2" i="651"/>
  <c r="B2" i="651"/>
  <c r="B1" i="651"/>
  <c r="D5" i="662" l="1" a="1"/>
  <c r="D5" i="662" s="1"/>
  <c r="D8" i="662" a="1"/>
  <c r="D8" i="662" s="1"/>
  <c r="D7" i="662" a="1"/>
  <c r="D7" i="662" s="1"/>
  <c r="D4" i="662" a="1"/>
  <c r="D4" i="662" s="1"/>
  <c r="D3" i="662" a="1"/>
  <c r="D3" i="662" s="1"/>
  <c r="D11" i="662" a="1"/>
  <c r="D11" i="662" s="1"/>
  <c r="D6" i="662" a="1"/>
  <c r="D6" i="662" s="1"/>
  <c r="D12" i="662" a="1"/>
  <c r="D12" i="662" s="1"/>
  <c r="D10" i="662" a="1"/>
  <c r="D10" i="662" s="1"/>
  <c r="D9" i="662" a="1"/>
  <c r="D9" i="662" s="1"/>
  <c r="J24" i="662"/>
  <c r="D5" i="661" a="1"/>
  <c r="D5" i="661" s="1"/>
  <c r="D8" i="661" a="1"/>
  <c r="D8" i="661" s="1"/>
  <c r="D7" i="661" a="1"/>
  <c r="D7" i="661" s="1"/>
  <c r="D4" i="661" a="1"/>
  <c r="D4" i="661" s="1"/>
  <c r="D3" i="661" a="1"/>
  <c r="D3" i="661" s="1"/>
  <c r="D11" i="661" a="1"/>
  <c r="D11" i="661" s="1"/>
  <c r="D6" i="661" a="1"/>
  <c r="D6" i="661" s="1"/>
  <c r="D12" i="661" a="1"/>
  <c r="D12" i="661" s="1"/>
  <c r="D10" i="661" a="1"/>
  <c r="D10" i="661" s="1"/>
  <c r="D9" i="661" a="1"/>
  <c r="D9" i="661" s="1"/>
  <c r="J24" i="661"/>
  <c r="D5" i="660" a="1"/>
  <c r="D5" i="660" s="1"/>
  <c r="D8" i="660" a="1"/>
  <c r="D8" i="660" s="1"/>
  <c r="D7" i="660" a="1"/>
  <c r="D7" i="660" s="1"/>
  <c r="D4" i="660" a="1"/>
  <c r="D4" i="660" s="1"/>
  <c r="D3" i="660" a="1"/>
  <c r="D3" i="660" s="1"/>
  <c r="D9" i="660" a="1"/>
  <c r="D9" i="660" s="1"/>
  <c r="D11" i="660" a="1"/>
  <c r="D11" i="660" s="1"/>
  <c r="D6" i="660" a="1"/>
  <c r="D6" i="660" s="1"/>
  <c r="D12" i="660" a="1"/>
  <c r="D12" i="660" s="1"/>
  <c r="D10" i="660" a="1"/>
  <c r="D10" i="660" s="1"/>
  <c r="J24" i="660"/>
  <c r="B8" i="660"/>
  <c r="D5" i="659" a="1"/>
  <c r="D5" i="659" s="1"/>
  <c r="D8" i="659" a="1"/>
  <c r="D8" i="659" s="1"/>
  <c r="D7" i="659" a="1"/>
  <c r="D7" i="659" s="1"/>
  <c r="D4" i="659" a="1"/>
  <c r="D4" i="659" s="1"/>
  <c r="D3" i="659" a="1"/>
  <c r="D3" i="659" s="1"/>
  <c r="D11" i="659" a="1"/>
  <c r="D11" i="659" s="1"/>
  <c r="D6" i="659" a="1"/>
  <c r="D6" i="659" s="1"/>
  <c r="D12" i="659" a="1"/>
  <c r="D12" i="659" s="1"/>
  <c r="D10" i="659" a="1"/>
  <c r="D10" i="659" s="1"/>
  <c r="D9" i="659" a="1"/>
  <c r="D9" i="659" s="1"/>
  <c r="J24" i="659"/>
  <c r="B8" i="659"/>
  <c r="D5" i="658" a="1"/>
  <c r="D5" i="658" s="1"/>
  <c r="D8" i="658" a="1"/>
  <c r="D8" i="658" s="1"/>
  <c r="D7" i="658" a="1"/>
  <c r="D7" i="658" s="1"/>
  <c r="D4" i="658" a="1"/>
  <c r="D4" i="658" s="1"/>
  <c r="D3" i="658" a="1"/>
  <c r="D3" i="658" s="1"/>
  <c r="D11" i="658" a="1"/>
  <c r="D11" i="658" s="1"/>
  <c r="D6" i="658" a="1"/>
  <c r="D6" i="658" s="1"/>
  <c r="D12" i="658" a="1"/>
  <c r="D12" i="658" s="1"/>
  <c r="D10" i="658" a="1"/>
  <c r="D10" i="658" s="1"/>
  <c r="D9" i="658" a="1"/>
  <c r="D9" i="658" s="1"/>
  <c r="J24" i="658"/>
  <c r="B8" i="658"/>
  <c r="D5" i="657" a="1"/>
  <c r="D5" i="657" s="1"/>
  <c r="D8" i="657" a="1"/>
  <c r="D8" i="657" s="1"/>
  <c r="D7" i="657" a="1"/>
  <c r="D7" i="657" s="1"/>
  <c r="D4" i="657" a="1"/>
  <c r="D4" i="657" s="1"/>
  <c r="D3" i="657" a="1"/>
  <c r="D3" i="657" s="1"/>
  <c r="D11" i="657" a="1"/>
  <c r="D11" i="657" s="1"/>
  <c r="D6" i="657" a="1"/>
  <c r="D6" i="657" s="1"/>
  <c r="D12" i="657" a="1"/>
  <c r="D12" i="657" s="1"/>
  <c r="D10" i="657" a="1"/>
  <c r="D10" i="657" s="1"/>
  <c r="D9" i="657" a="1"/>
  <c r="D9" i="657" s="1"/>
  <c r="J24" i="657"/>
  <c r="D5" i="656" a="1"/>
  <c r="D5" i="656" s="1"/>
  <c r="D8" i="656" a="1"/>
  <c r="D8" i="656" s="1"/>
  <c r="D7" i="656" a="1"/>
  <c r="D7" i="656" s="1"/>
  <c r="D4" i="656" a="1"/>
  <c r="D4" i="656" s="1"/>
  <c r="D3" i="656" a="1"/>
  <c r="D3" i="656" s="1"/>
  <c r="D11" i="656" a="1"/>
  <c r="D11" i="656" s="1"/>
  <c r="D6" i="656" a="1"/>
  <c r="D6" i="656" s="1"/>
  <c r="D12" i="656" a="1"/>
  <c r="D12" i="656" s="1"/>
  <c r="D10" i="656" a="1"/>
  <c r="D10" i="656" s="1"/>
  <c r="D9" i="656" a="1"/>
  <c r="D9" i="656" s="1"/>
  <c r="J24" i="656"/>
  <c r="D5" i="655" a="1"/>
  <c r="D5" i="655" s="1"/>
  <c r="D9" i="655" a="1"/>
  <c r="D9" i="655" s="1"/>
  <c r="D8" i="655" a="1"/>
  <c r="D8" i="655" s="1"/>
  <c r="D7" i="655" a="1"/>
  <c r="D7" i="655" s="1"/>
  <c r="D4" i="655" a="1"/>
  <c r="D4" i="655" s="1"/>
  <c r="D3" i="655" a="1"/>
  <c r="D3" i="655" s="1"/>
  <c r="D11" i="655" a="1"/>
  <c r="D11" i="655" s="1"/>
  <c r="D6" i="655" a="1"/>
  <c r="D6" i="655" s="1"/>
  <c r="D12" i="655" a="1"/>
  <c r="D12" i="655" s="1"/>
  <c r="D10" i="655" a="1"/>
  <c r="D10" i="655" s="1"/>
  <c r="J24" i="655"/>
  <c r="B8" i="655"/>
  <c r="D5" i="654" a="1"/>
  <c r="D5" i="654" s="1"/>
  <c r="D8" i="654" a="1"/>
  <c r="D8" i="654" s="1"/>
  <c r="D7" i="654" a="1"/>
  <c r="D7" i="654" s="1"/>
  <c r="D4" i="654" a="1"/>
  <c r="D4" i="654" s="1"/>
  <c r="D3" i="654" a="1"/>
  <c r="D3" i="654" s="1"/>
  <c r="D11" i="654" a="1"/>
  <c r="D11" i="654" s="1"/>
  <c r="D6" i="654" a="1"/>
  <c r="D6" i="654" s="1"/>
  <c r="D12" i="654" a="1"/>
  <c r="D12" i="654" s="1"/>
  <c r="D10" i="654" a="1"/>
  <c r="D10" i="654" s="1"/>
  <c r="D9" i="654" a="1"/>
  <c r="D9" i="654" s="1"/>
  <c r="J24" i="654"/>
  <c r="B8" i="654"/>
  <c r="D5" i="653" a="1"/>
  <c r="D5" i="653" s="1"/>
  <c r="D8" i="653" a="1"/>
  <c r="D8" i="653" s="1"/>
  <c r="D7" i="653" a="1"/>
  <c r="D7" i="653" s="1"/>
  <c r="D4" i="653" a="1"/>
  <c r="D4" i="653" s="1"/>
  <c r="D3" i="653" a="1"/>
  <c r="D3" i="653" s="1"/>
  <c r="D11" i="653" a="1"/>
  <c r="D11" i="653" s="1"/>
  <c r="D6" i="653" a="1"/>
  <c r="D6" i="653" s="1"/>
  <c r="D12" i="653" a="1"/>
  <c r="D12" i="653" s="1"/>
  <c r="D10" i="653" a="1"/>
  <c r="D10" i="653" s="1"/>
  <c r="D9" i="653" a="1"/>
  <c r="D9" i="653" s="1"/>
  <c r="J24" i="653"/>
  <c r="D5" i="652" a="1"/>
  <c r="D5" i="652" s="1"/>
  <c r="D8" i="652" a="1"/>
  <c r="D8" i="652" s="1"/>
  <c r="D7" i="652" a="1"/>
  <c r="D7" i="652" s="1"/>
  <c r="D4" i="652" a="1"/>
  <c r="D4" i="652" s="1"/>
  <c r="D3" i="652" a="1"/>
  <c r="D3" i="652" s="1"/>
  <c r="D11" i="652" a="1"/>
  <c r="D11" i="652" s="1"/>
  <c r="D6" i="652" a="1"/>
  <c r="D6" i="652" s="1"/>
  <c r="D12" i="652" a="1"/>
  <c r="D12" i="652" s="1"/>
  <c r="D10" i="652" a="1"/>
  <c r="D10" i="652" s="1"/>
  <c r="D9" i="652" a="1"/>
  <c r="D9" i="652" s="1"/>
  <c r="J24" i="652"/>
  <c r="D5" i="651" a="1"/>
  <c r="D5" i="651" s="1"/>
  <c r="D8" i="651" a="1"/>
  <c r="D8" i="651" s="1"/>
  <c r="D7" i="651" a="1"/>
  <c r="D7" i="651" s="1"/>
  <c r="D4" i="651" a="1"/>
  <c r="D4" i="651" s="1"/>
  <c r="D3" i="651" a="1"/>
  <c r="D3" i="651" s="1"/>
  <c r="D11" i="651" a="1"/>
  <c r="D11" i="651" s="1"/>
  <c r="D6" i="651" a="1"/>
  <c r="D6" i="651" s="1"/>
  <c r="D12" i="651" a="1"/>
  <c r="D12" i="651" s="1"/>
  <c r="D10" i="651" a="1"/>
  <c r="D10" i="651" s="1"/>
  <c r="D9" i="651" a="1"/>
  <c r="D9" i="651" s="1"/>
  <c r="J24" i="651"/>
  <c r="B8" i="651"/>
  <c r="N2" i="578"/>
  <c r="M2" i="578"/>
  <c r="L2" i="578"/>
  <c r="K2" i="578"/>
  <c r="J2" i="578"/>
  <c r="I2" i="578"/>
  <c r="H2" i="578"/>
  <c r="G2" i="578"/>
  <c r="F2" i="578"/>
  <c r="E2" i="578"/>
  <c r="M2" i="207"/>
  <c r="N2" i="207"/>
  <c r="O2" i="207"/>
  <c r="P2" i="207"/>
  <c r="Q2" i="207"/>
  <c r="R2" i="207"/>
  <c r="S2" i="207"/>
  <c r="T2" i="207"/>
  <c r="U2" i="207"/>
  <c r="V2" i="207"/>
  <c r="W2" i="207"/>
  <c r="X2" i="207"/>
  <c r="V11" i="662" l="1" a="1"/>
  <c r="V11" i="662" s="1"/>
  <c r="R11" i="662" a="1"/>
  <c r="R11" i="662" s="1"/>
  <c r="N11" i="662" a="1"/>
  <c r="N11" i="662" s="1"/>
  <c r="J11" i="662" a="1"/>
  <c r="J11" i="662" s="1"/>
  <c r="F11" i="662" a="1"/>
  <c r="F11" i="662" s="1"/>
  <c r="Z11" i="662" a="1"/>
  <c r="Z11" i="662" s="1"/>
  <c r="U11" i="662" a="1"/>
  <c r="U11" i="662" s="1"/>
  <c r="Q11" i="662" a="1"/>
  <c r="Q11" i="662" s="1"/>
  <c r="M11" i="662" a="1"/>
  <c r="M11" i="662" s="1"/>
  <c r="I11" i="662" a="1"/>
  <c r="I11" i="662" s="1"/>
  <c r="E11" i="662" a="1"/>
  <c r="E11" i="662" s="1"/>
  <c r="Y11" i="662" a="1"/>
  <c r="Y11" i="662" s="1"/>
  <c r="T11" i="662" a="1"/>
  <c r="T11" i="662" s="1"/>
  <c r="P11" i="662" a="1"/>
  <c r="P11" i="662" s="1"/>
  <c r="L11" i="662" a="1"/>
  <c r="L11" i="662" s="1"/>
  <c r="H11" i="662" a="1"/>
  <c r="H11" i="662" s="1"/>
  <c r="W11" i="662" a="1"/>
  <c r="W11" i="662" s="1"/>
  <c r="S11" i="662" a="1"/>
  <c r="S11" i="662" s="1"/>
  <c r="O11" i="662" a="1"/>
  <c r="O11" i="662" s="1"/>
  <c r="K11" i="662" a="1"/>
  <c r="K11" i="662" s="1"/>
  <c r="G11" i="662" a="1"/>
  <c r="G11" i="662" s="1"/>
  <c r="Y3" i="662" a="1"/>
  <c r="Y3" i="662" s="1"/>
  <c r="U3" i="662" a="1"/>
  <c r="U3" i="662" s="1"/>
  <c r="Q3" i="662" a="1"/>
  <c r="Q3" i="662" s="1"/>
  <c r="M3" i="662" a="1"/>
  <c r="M3" i="662" s="1"/>
  <c r="I3" i="662" a="1"/>
  <c r="I3" i="662" s="1"/>
  <c r="E3" i="662" a="1"/>
  <c r="E3" i="662" s="1"/>
  <c r="X3" i="662" a="1"/>
  <c r="X3" i="662" s="1"/>
  <c r="T3" i="662" a="1"/>
  <c r="T3" i="662" s="1"/>
  <c r="P3" i="662" a="1"/>
  <c r="P3" i="662" s="1"/>
  <c r="L3" i="662" a="1"/>
  <c r="L3" i="662" s="1"/>
  <c r="H3" i="662" a="1"/>
  <c r="H3" i="662" s="1"/>
  <c r="W3" i="662" a="1"/>
  <c r="W3" i="662" s="1"/>
  <c r="S3" i="662" a="1"/>
  <c r="S3" i="662" s="1"/>
  <c r="O3" i="662" a="1"/>
  <c r="O3" i="662" s="1"/>
  <c r="K3" i="662" a="1"/>
  <c r="K3" i="662" s="1"/>
  <c r="G3" i="662" a="1"/>
  <c r="G3" i="662" s="1"/>
  <c r="Z3" i="662" a="1"/>
  <c r="Z3" i="662" s="1"/>
  <c r="V3" i="662" a="1"/>
  <c r="V3" i="662" s="1"/>
  <c r="R3" i="662" a="1"/>
  <c r="R3" i="662" s="1"/>
  <c r="N3" i="662" a="1"/>
  <c r="N3" i="662" s="1"/>
  <c r="J3" i="662" a="1"/>
  <c r="J3" i="662" s="1"/>
  <c r="F3" i="662" a="1"/>
  <c r="F3" i="662" s="1"/>
  <c r="Y4" i="662" a="1"/>
  <c r="Y4" i="662" s="1"/>
  <c r="U4" i="662" a="1"/>
  <c r="U4" i="662" s="1"/>
  <c r="Q4" i="662" a="1"/>
  <c r="Q4" i="662" s="1"/>
  <c r="M4" i="662" a="1"/>
  <c r="M4" i="662" s="1"/>
  <c r="I4" i="662" a="1"/>
  <c r="I4" i="662" s="1"/>
  <c r="E4" i="662" a="1"/>
  <c r="E4" i="662" s="1"/>
  <c r="X4" i="662" a="1"/>
  <c r="X4" i="662" s="1"/>
  <c r="T4" i="662" a="1"/>
  <c r="T4" i="662" s="1"/>
  <c r="P4" i="662" a="1"/>
  <c r="P4" i="662" s="1"/>
  <c r="L4" i="662" a="1"/>
  <c r="L4" i="662" s="1"/>
  <c r="H4" i="662" a="1"/>
  <c r="H4" i="662" s="1"/>
  <c r="W4" i="662" a="1"/>
  <c r="W4" i="662" s="1"/>
  <c r="S4" i="662" a="1"/>
  <c r="S4" i="662" s="1"/>
  <c r="O4" i="662" a="1"/>
  <c r="O4" i="662" s="1"/>
  <c r="K4" i="662" a="1"/>
  <c r="K4" i="662" s="1"/>
  <c r="G4" i="662" a="1"/>
  <c r="G4" i="662" s="1"/>
  <c r="Z4" i="662" a="1"/>
  <c r="Z4" i="662" s="1"/>
  <c r="V4" i="662" a="1"/>
  <c r="V4" i="662" s="1"/>
  <c r="R4" i="662" a="1"/>
  <c r="R4" i="662" s="1"/>
  <c r="N4" i="662" a="1"/>
  <c r="N4" i="662" s="1"/>
  <c r="J4" i="662" a="1"/>
  <c r="J4" i="662" s="1"/>
  <c r="F4" i="662" a="1"/>
  <c r="F4" i="662" s="1"/>
  <c r="Y7" i="662" a="1"/>
  <c r="Y7" i="662" s="1"/>
  <c r="U7" i="662" a="1"/>
  <c r="U7" i="662" s="1"/>
  <c r="Q7" i="662" a="1"/>
  <c r="Q7" i="662" s="1"/>
  <c r="M7" i="662" a="1"/>
  <c r="M7" i="662" s="1"/>
  <c r="I7" i="662" a="1"/>
  <c r="I7" i="662" s="1"/>
  <c r="E7" i="662" a="1"/>
  <c r="E7" i="662" s="1"/>
  <c r="X7" i="662" a="1"/>
  <c r="X7" i="662" s="1"/>
  <c r="T7" i="662" a="1"/>
  <c r="T7" i="662" s="1"/>
  <c r="P7" i="662" a="1"/>
  <c r="P7" i="662" s="1"/>
  <c r="L7" i="662" a="1"/>
  <c r="L7" i="662" s="1"/>
  <c r="H7" i="662" a="1"/>
  <c r="H7" i="662" s="1"/>
  <c r="W7" i="662" a="1"/>
  <c r="W7" i="662" s="1"/>
  <c r="S7" i="662" a="1"/>
  <c r="S7" i="662" s="1"/>
  <c r="O7" i="662" a="1"/>
  <c r="O7" i="662" s="1"/>
  <c r="K7" i="662" a="1"/>
  <c r="K7" i="662" s="1"/>
  <c r="G7" i="662" a="1"/>
  <c r="G7" i="662" s="1"/>
  <c r="Z7" i="662" a="1"/>
  <c r="Z7" i="662" s="1"/>
  <c r="V7" i="662" a="1"/>
  <c r="V7" i="662" s="1"/>
  <c r="R7" i="662" a="1"/>
  <c r="R7" i="662" s="1"/>
  <c r="N7" i="662" a="1"/>
  <c r="N7" i="662" s="1"/>
  <c r="J7" i="662" a="1"/>
  <c r="J7" i="662" s="1"/>
  <c r="F7" i="662" a="1"/>
  <c r="F7" i="662" s="1"/>
  <c r="W9" i="662" a="1"/>
  <c r="W9" i="662" s="1"/>
  <c r="S9" i="662" a="1"/>
  <c r="S9" i="662" s="1"/>
  <c r="O9" i="662" a="1"/>
  <c r="O9" i="662" s="1"/>
  <c r="K9" i="662" a="1"/>
  <c r="K9" i="662" s="1"/>
  <c r="G9" i="662" a="1"/>
  <c r="G9" i="662" s="1"/>
  <c r="Z9" i="662" a="1"/>
  <c r="Z9" i="662" s="1"/>
  <c r="V9" i="662" a="1"/>
  <c r="V9" i="662" s="1"/>
  <c r="R9" i="662" a="1"/>
  <c r="R9" i="662" s="1"/>
  <c r="N9" i="662" a="1"/>
  <c r="N9" i="662" s="1"/>
  <c r="J9" i="662" a="1"/>
  <c r="J9" i="662" s="1"/>
  <c r="F9" i="662" a="1"/>
  <c r="F9" i="662" s="1"/>
  <c r="Y9" i="662" a="1"/>
  <c r="Y9" i="662" s="1"/>
  <c r="U9" i="662" a="1"/>
  <c r="U9" i="662" s="1"/>
  <c r="Q9" i="662" a="1"/>
  <c r="Q9" i="662" s="1"/>
  <c r="M9" i="662" a="1"/>
  <c r="M9" i="662" s="1"/>
  <c r="I9" i="662" a="1"/>
  <c r="I9" i="662" s="1"/>
  <c r="E9" i="662" a="1"/>
  <c r="E9" i="662" s="1"/>
  <c r="X9" i="662" a="1"/>
  <c r="X9" i="662" s="1"/>
  <c r="T9" i="662" a="1"/>
  <c r="T9" i="662" s="1"/>
  <c r="P9" i="662" a="1"/>
  <c r="P9" i="662" s="1"/>
  <c r="L9" i="662" a="1"/>
  <c r="L9" i="662" s="1"/>
  <c r="H9" i="662" a="1"/>
  <c r="H9" i="662" s="1"/>
  <c r="X8" i="662" a="1"/>
  <c r="X8" i="662" s="1"/>
  <c r="T8" i="662" a="1"/>
  <c r="T8" i="662" s="1"/>
  <c r="P8" i="662" a="1"/>
  <c r="P8" i="662" s="1"/>
  <c r="L8" i="662" a="1"/>
  <c r="L8" i="662" s="1"/>
  <c r="H8" i="662" a="1"/>
  <c r="H8" i="662" s="1"/>
  <c r="W8" i="662" a="1"/>
  <c r="W8" i="662" s="1"/>
  <c r="S8" i="662" a="1"/>
  <c r="S8" i="662" s="1"/>
  <c r="O8" i="662" a="1"/>
  <c r="O8" i="662" s="1"/>
  <c r="K8" i="662" a="1"/>
  <c r="K8" i="662" s="1"/>
  <c r="G8" i="662" a="1"/>
  <c r="G8" i="662" s="1"/>
  <c r="Z8" i="662" a="1"/>
  <c r="Z8" i="662" s="1"/>
  <c r="V8" i="662" a="1"/>
  <c r="V8" i="662" s="1"/>
  <c r="R8" i="662" a="1"/>
  <c r="R8" i="662" s="1"/>
  <c r="N8" i="662" a="1"/>
  <c r="N8" i="662" s="1"/>
  <c r="J8" i="662" a="1"/>
  <c r="J8" i="662" s="1"/>
  <c r="F8" i="662" a="1"/>
  <c r="F8" i="662" s="1"/>
  <c r="Y8" i="662" a="1"/>
  <c r="Y8" i="662" s="1"/>
  <c r="U8" i="662" a="1"/>
  <c r="U8" i="662" s="1"/>
  <c r="Q8" i="662" a="1"/>
  <c r="Q8" i="662" s="1"/>
  <c r="M8" i="662" a="1"/>
  <c r="M8" i="662" s="1"/>
  <c r="I8" i="662" a="1"/>
  <c r="I8" i="662" s="1"/>
  <c r="E8" i="662" a="1"/>
  <c r="E8" i="662" s="1"/>
  <c r="W10" i="662" a="1"/>
  <c r="W10" i="662" s="1"/>
  <c r="S10" i="662" a="1"/>
  <c r="S10" i="662" s="1"/>
  <c r="O10" i="662" a="1"/>
  <c r="O10" i="662" s="1"/>
  <c r="K10" i="662" a="1"/>
  <c r="K10" i="662" s="1"/>
  <c r="G10" i="662" a="1"/>
  <c r="G10" i="662" s="1"/>
  <c r="Z10" i="662" a="1"/>
  <c r="Z10" i="662" s="1"/>
  <c r="V10" i="662" a="1"/>
  <c r="V10" i="662" s="1"/>
  <c r="R10" i="662" a="1"/>
  <c r="R10" i="662" s="1"/>
  <c r="N10" i="662" a="1"/>
  <c r="N10" i="662" s="1"/>
  <c r="J10" i="662" a="1"/>
  <c r="J10" i="662" s="1"/>
  <c r="F10" i="662" a="1"/>
  <c r="F10" i="662" s="1"/>
  <c r="Y10" i="662" a="1"/>
  <c r="Y10" i="662" s="1"/>
  <c r="U10" i="662" a="1"/>
  <c r="U10" i="662" s="1"/>
  <c r="Q10" i="662" a="1"/>
  <c r="Q10" i="662" s="1"/>
  <c r="M10" i="662" a="1"/>
  <c r="M10" i="662" s="1"/>
  <c r="I10" i="662" a="1"/>
  <c r="I10" i="662" s="1"/>
  <c r="E10" i="662" a="1"/>
  <c r="E10" i="662" s="1"/>
  <c r="X10" i="662" a="1"/>
  <c r="X10" i="662" s="1"/>
  <c r="T10" i="662" a="1"/>
  <c r="T10" i="662" s="1"/>
  <c r="P10" i="662" a="1"/>
  <c r="P10" i="662" s="1"/>
  <c r="L10" i="662" a="1"/>
  <c r="L10" i="662" s="1"/>
  <c r="H10" i="662" a="1"/>
  <c r="H10" i="662" s="1"/>
  <c r="X5" i="662" a="1"/>
  <c r="X5" i="662" s="1"/>
  <c r="T5" i="662" a="1"/>
  <c r="T5" i="662" s="1"/>
  <c r="P5" i="662" a="1"/>
  <c r="P5" i="662" s="1"/>
  <c r="L5" i="662" a="1"/>
  <c r="L5" i="662" s="1"/>
  <c r="H5" i="662" a="1"/>
  <c r="H5" i="662" s="1"/>
  <c r="W5" i="662" a="1"/>
  <c r="W5" i="662" s="1"/>
  <c r="S5" i="662" a="1"/>
  <c r="S5" i="662" s="1"/>
  <c r="O5" i="662" a="1"/>
  <c r="O5" i="662" s="1"/>
  <c r="K5" i="662" a="1"/>
  <c r="K5" i="662" s="1"/>
  <c r="G5" i="662" a="1"/>
  <c r="G5" i="662" s="1"/>
  <c r="Z5" i="662" a="1"/>
  <c r="Z5" i="662" s="1"/>
  <c r="V5" i="662" a="1"/>
  <c r="V5" i="662" s="1"/>
  <c r="R5" i="662" a="1"/>
  <c r="R5" i="662" s="1"/>
  <c r="N5" i="662" a="1"/>
  <c r="N5" i="662" s="1"/>
  <c r="J5" i="662" a="1"/>
  <c r="J5" i="662" s="1"/>
  <c r="F5" i="662" a="1"/>
  <c r="F5" i="662" s="1"/>
  <c r="Y5" i="662" a="1"/>
  <c r="Y5" i="662" s="1"/>
  <c r="U5" i="662" a="1"/>
  <c r="U5" i="662" s="1"/>
  <c r="Q5" i="662" a="1"/>
  <c r="Q5" i="662" s="1"/>
  <c r="M5" i="662" a="1"/>
  <c r="M5" i="662" s="1"/>
  <c r="I5" i="662" a="1"/>
  <c r="I5" i="662" s="1"/>
  <c r="E5" i="662" a="1"/>
  <c r="E5" i="662" s="1"/>
  <c r="W12" i="662" a="1"/>
  <c r="W12" i="662" s="1"/>
  <c r="S12" i="662" a="1"/>
  <c r="S12" i="662" s="1"/>
  <c r="O12" i="662" a="1"/>
  <c r="O12" i="662" s="1"/>
  <c r="K12" i="662" a="1"/>
  <c r="K12" i="662" s="1"/>
  <c r="G12" i="662" a="1"/>
  <c r="G12" i="662" s="1"/>
  <c r="Z12" i="662" a="1"/>
  <c r="Z12" i="662" s="1"/>
  <c r="V12" i="662" a="1"/>
  <c r="V12" i="662" s="1"/>
  <c r="R12" i="662" a="1"/>
  <c r="R12" i="662" s="1"/>
  <c r="N12" i="662" a="1"/>
  <c r="N12" i="662" s="1"/>
  <c r="J12" i="662" a="1"/>
  <c r="J12" i="662" s="1"/>
  <c r="F12" i="662" a="1"/>
  <c r="F12" i="662" s="1"/>
  <c r="Y12" i="662" a="1"/>
  <c r="Y12" i="662" s="1"/>
  <c r="U12" i="662" a="1"/>
  <c r="U12" i="662" s="1"/>
  <c r="Q12" i="662" a="1"/>
  <c r="Q12" i="662" s="1"/>
  <c r="M12" i="662" a="1"/>
  <c r="M12" i="662" s="1"/>
  <c r="I12" i="662" a="1"/>
  <c r="I12" i="662" s="1"/>
  <c r="E12" i="662" a="1"/>
  <c r="E12" i="662" s="1"/>
  <c r="X12" i="662" a="1"/>
  <c r="X12" i="662" s="1"/>
  <c r="T12" i="662" a="1"/>
  <c r="T12" i="662" s="1"/>
  <c r="P12" i="662" a="1"/>
  <c r="P12" i="662" s="1"/>
  <c r="L12" i="662" a="1"/>
  <c r="L12" i="662" s="1"/>
  <c r="H12" i="662" a="1"/>
  <c r="H12" i="662" s="1"/>
  <c r="Z6" i="662" a="1"/>
  <c r="Z6" i="662" s="1"/>
  <c r="V6" i="662" a="1"/>
  <c r="V6" i="662" s="1"/>
  <c r="R6" i="662" a="1"/>
  <c r="R6" i="662" s="1"/>
  <c r="N6" i="662" a="1"/>
  <c r="N6" i="662" s="1"/>
  <c r="J6" i="662" a="1"/>
  <c r="J6" i="662" s="1"/>
  <c r="F6" i="662" a="1"/>
  <c r="F6" i="662" s="1"/>
  <c r="Y6" i="662" a="1"/>
  <c r="Y6" i="662" s="1"/>
  <c r="U6" i="662" a="1"/>
  <c r="U6" i="662" s="1"/>
  <c r="Q6" i="662" a="1"/>
  <c r="Q6" i="662" s="1"/>
  <c r="M6" i="662" a="1"/>
  <c r="M6" i="662" s="1"/>
  <c r="I6" i="662" a="1"/>
  <c r="I6" i="662" s="1"/>
  <c r="E6" i="662" a="1"/>
  <c r="E6" i="662" s="1"/>
  <c r="X6" i="662" a="1"/>
  <c r="X6" i="662" s="1"/>
  <c r="T6" i="662" a="1"/>
  <c r="T6" i="662" s="1"/>
  <c r="P6" i="662" a="1"/>
  <c r="P6" i="662" s="1"/>
  <c r="L6" i="662" a="1"/>
  <c r="L6" i="662" s="1"/>
  <c r="H6" i="662" a="1"/>
  <c r="H6" i="662" s="1"/>
  <c r="W6" i="662" a="1"/>
  <c r="W6" i="662" s="1"/>
  <c r="S6" i="662" a="1"/>
  <c r="S6" i="662" s="1"/>
  <c r="O6" i="662" a="1"/>
  <c r="O6" i="662" s="1"/>
  <c r="K6" i="662" a="1"/>
  <c r="K6" i="662" s="1"/>
  <c r="G6" i="662" a="1"/>
  <c r="G6" i="662" s="1"/>
  <c r="B9" i="662"/>
  <c r="J23" i="662"/>
  <c r="AH3" i="662"/>
  <c r="K24" i="662"/>
  <c r="V11" i="661" a="1"/>
  <c r="V11" i="661" s="1"/>
  <c r="R11" i="661" a="1"/>
  <c r="R11" i="661" s="1"/>
  <c r="N11" i="661" a="1"/>
  <c r="N11" i="661" s="1"/>
  <c r="J11" i="661" a="1"/>
  <c r="J11" i="661" s="1"/>
  <c r="F11" i="661" a="1"/>
  <c r="F11" i="661" s="1"/>
  <c r="Z11" i="661" a="1"/>
  <c r="Z11" i="661" s="1"/>
  <c r="U11" i="661" a="1"/>
  <c r="U11" i="661" s="1"/>
  <c r="Q11" i="661" a="1"/>
  <c r="Q11" i="661" s="1"/>
  <c r="M11" i="661" a="1"/>
  <c r="M11" i="661" s="1"/>
  <c r="I11" i="661" a="1"/>
  <c r="I11" i="661" s="1"/>
  <c r="E11" i="661" a="1"/>
  <c r="E11" i="661" s="1"/>
  <c r="Y11" i="661" a="1"/>
  <c r="Y11" i="661" s="1"/>
  <c r="T11" i="661" a="1"/>
  <c r="T11" i="661" s="1"/>
  <c r="P11" i="661" a="1"/>
  <c r="P11" i="661" s="1"/>
  <c r="L11" i="661" a="1"/>
  <c r="L11" i="661" s="1"/>
  <c r="H11" i="661" a="1"/>
  <c r="H11" i="661" s="1"/>
  <c r="W11" i="661" a="1"/>
  <c r="W11" i="661" s="1"/>
  <c r="S11" i="661" a="1"/>
  <c r="S11" i="661" s="1"/>
  <c r="O11" i="661" a="1"/>
  <c r="O11" i="661" s="1"/>
  <c r="K11" i="661" a="1"/>
  <c r="K11" i="661" s="1"/>
  <c r="G11" i="661" a="1"/>
  <c r="G11" i="661" s="1"/>
  <c r="Y3" i="661" a="1"/>
  <c r="Y3" i="661" s="1"/>
  <c r="U3" i="661" a="1"/>
  <c r="U3" i="661" s="1"/>
  <c r="Q3" i="661" a="1"/>
  <c r="Q3" i="661" s="1"/>
  <c r="M3" i="661" a="1"/>
  <c r="M3" i="661" s="1"/>
  <c r="I3" i="661" a="1"/>
  <c r="I3" i="661" s="1"/>
  <c r="E3" i="661" a="1"/>
  <c r="E3" i="661" s="1"/>
  <c r="X3" i="661" a="1"/>
  <c r="X3" i="661" s="1"/>
  <c r="T3" i="661" a="1"/>
  <c r="T3" i="661" s="1"/>
  <c r="P3" i="661" a="1"/>
  <c r="P3" i="661" s="1"/>
  <c r="L3" i="661" a="1"/>
  <c r="L3" i="661" s="1"/>
  <c r="H3" i="661" a="1"/>
  <c r="H3" i="661" s="1"/>
  <c r="W3" i="661" a="1"/>
  <c r="W3" i="661" s="1"/>
  <c r="S3" i="661" a="1"/>
  <c r="S3" i="661" s="1"/>
  <c r="O3" i="661" a="1"/>
  <c r="O3" i="661" s="1"/>
  <c r="K3" i="661" a="1"/>
  <c r="K3" i="661" s="1"/>
  <c r="G3" i="661" a="1"/>
  <c r="G3" i="661" s="1"/>
  <c r="Z3" i="661" a="1"/>
  <c r="Z3" i="661" s="1"/>
  <c r="V3" i="661" a="1"/>
  <c r="V3" i="661" s="1"/>
  <c r="R3" i="661" a="1"/>
  <c r="R3" i="661" s="1"/>
  <c r="N3" i="661" a="1"/>
  <c r="N3" i="661" s="1"/>
  <c r="J3" i="661" a="1"/>
  <c r="J3" i="661" s="1"/>
  <c r="F3" i="661" a="1"/>
  <c r="F3" i="661" s="1"/>
  <c r="Y4" i="661" a="1"/>
  <c r="Y4" i="661" s="1"/>
  <c r="U4" i="661" a="1"/>
  <c r="U4" i="661" s="1"/>
  <c r="Q4" i="661" a="1"/>
  <c r="Q4" i="661" s="1"/>
  <c r="M4" i="661" a="1"/>
  <c r="M4" i="661" s="1"/>
  <c r="I4" i="661" a="1"/>
  <c r="I4" i="661" s="1"/>
  <c r="E4" i="661" a="1"/>
  <c r="E4" i="661" s="1"/>
  <c r="X4" i="661" a="1"/>
  <c r="X4" i="661" s="1"/>
  <c r="T4" i="661" a="1"/>
  <c r="T4" i="661" s="1"/>
  <c r="P4" i="661" a="1"/>
  <c r="P4" i="661" s="1"/>
  <c r="L4" i="661" a="1"/>
  <c r="L4" i="661" s="1"/>
  <c r="H4" i="661" a="1"/>
  <c r="H4" i="661" s="1"/>
  <c r="W4" i="661" a="1"/>
  <c r="W4" i="661" s="1"/>
  <c r="S4" i="661" a="1"/>
  <c r="S4" i="661" s="1"/>
  <c r="O4" i="661" a="1"/>
  <c r="O4" i="661" s="1"/>
  <c r="K4" i="661" a="1"/>
  <c r="K4" i="661" s="1"/>
  <c r="G4" i="661" a="1"/>
  <c r="G4" i="661" s="1"/>
  <c r="Z4" i="661" a="1"/>
  <c r="Z4" i="661" s="1"/>
  <c r="V4" i="661" a="1"/>
  <c r="V4" i="661" s="1"/>
  <c r="R4" i="661" a="1"/>
  <c r="R4" i="661" s="1"/>
  <c r="N4" i="661" a="1"/>
  <c r="N4" i="661" s="1"/>
  <c r="J4" i="661" a="1"/>
  <c r="J4" i="661" s="1"/>
  <c r="F4" i="661" a="1"/>
  <c r="F4" i="661" s="1"/>
  <c r="Y7" i="661" a="1"/>
  <c r="Y7" i="661" s="1"/>
  <c r="U7" i="661" a="1"/>
  <c r="U7" i="661" s="1"/>
  <c r="Q7" i="661" a="1"/>
  <c r="Q7" i="661" s="1"/>
  <c r="M7" i="661" a="1"/>
  <c r="M7" i="661" s="1"/>
  <c r="I7" i="661" a="1"/>
  <c r="I7" i="661" s="1"/>
  <c r="E7" i="661" a="1"/>
  <c r="E7" i="661" s="1"/>
  <c r="X7" i="661" a="1"/>
  <c r="X7" i="661" s="1"/>
  <c r="T7" i="661" a="1"/>
  <c r="T7" i="661" s="1"/>
  <c r="P7" i="661" a="1"/>
  <c r="P7" i="661" s="1"/>
  <c r="L7" i="661" a="1"/>
  <c r="L7" i="661" s="1"/>
  <c r="H7" i="661" a="1"/>
  <c r="H7" i="661" s="1"/>
  <c r="W7" i="661" a="1"/>
  <c r="W7" i="661" s="1"/>
  <c r="S7" i="661" a="1"/>
  <c r="S7" i="661" s="1"/>
  <c r="O7" i="661" a="1"/>
  <c r="O7" i="661" s="1"/>
  <c r="K7" i="661" a="1"/>
  <c r="K7" i="661" s="1"/>
  <c r="G7" i="661" a="1"/>
  <c r="G7" i="661" s="1"/>
  <c r="Z7" i="661" a="1"/>
  <c r="Z7" i="661" s="1"/>
  <c r="V7" i="661" a="1"/>
  <c r="V7" i="661" s="1"/>
  <c r="R7" i="661" a="1"/>
  <c r="R7" i="661" s="1"/>
  <c r="N7" i="661" a="1"/>
  <c r="N7" i="661" s="1"/>
  <c r="J7" i="661" a="1"/>
  <c r="J7" i="661" s="1"/>
  <c r="F7" i="661" a="1"/>
  <c r="F7" i="661" s="1"/>
  <c r="W9" i="661" a="1"/>
  <c r="W9" i="661" s="1"/>
  <c r="S9" i="661" a="1"/>
  <c r="S9" i="661" s="1"/>
  <c r="O9" i="661" a="1"/>
  <c r="O9" i="661" s="1"/>
  <c r="K9" i="661" a="1"/>
  <c r="K9" i="661" s="1"/>
  <c r="G9" i="661" a="1"/>
  <c r="G9" i="661" s="1"/>
  <c r="Z9" i="661" a="1"/>
  <c r="Z9" i="661" s="1"/>
  <c r="V9" i="661" a="1"/>
  <c r="V9" i="661" s="1"/>
  <c r="R9" i="661" a="1"/>
  <c r="R9" i="661" s="1"/>
  <c r="N9" i="661" a="1"/>
  <c r="N9" i="661" s="1"/>
  <c r="J9" i="661" a="1"/>
  <c r="J9" i="661" s="1"/>
  <c r="F9" i="661" a="1"/>
  <c r="F9" i="661" s="1"/>
  <c r="Y9" i="661" a="1"/>
  <c r="Y9" i="661" s="1"/>
  <c r="U9" i="661" a="1"/>
  <c r="U9" i="661" s="1"/>
  <c r="Q9" i="661" a="1"/>
  <c r="Q9" i="661" s="1"/>
  <c r="M9" i="661" a="1"/>
  <c r="M9" i="661" s="1"/>
  <c r="I9" i="661" a="1"/>
  <c r="I9" i="661" s="1"/>
  <c r="E9" i="661" a="1"/>
  <c r="E9" i="661" s="1"/>
  <c r="X9" i="661" a="1"/>
  <c r="X9" i="661" s="1"/>
  <c r="T9" i="661" a="1"/>
  <c r="T9" i="661" s="1"/>
  <c r="P9" i="661" a="1"/>
  <c r="P9" i="661" s="1"/>
  <c r="L9" i="661" a="1"/>
  <c r="L9" i="661" s="1"/>
  <c r="H9" i="661" a="1"/>
  <c r="H9" i="661" s="1"/>
  <c r="X8" i="661" a="1"/>
  <c r="X8" i="661" s="1"/>
  <c r="T8" i="661" a="1"/>
  <c r="T8" i="661" s="1"/>
  <c r="P8" i="661" a="1"/>
  <c r="P8" i="661" s="1"/>
  <c r="L8" i="661" a="1"/>
  <c r="L8" i="661" s="1"/>
  <c r="H8" i="661" a="1"/>
  <c r="H8" i="661" s="1"/>
  <c r="W8" i="661" a="1"/>
  <c r="W8" i="661" s="1"/>
  <c r="S8" i="661" a="1"/>
  <c r="S8" i="661" s="1"/>
  <c r="O8" i="661" a="1"/>
  <c r="O8" i="661" s="1"/>
  <c r="K8" i="661" a="1"/>
  <c r="K8" i="661" s="1"/>
  <c r="G8" i="661" a="1"/>
  <c r="G8" i="661" s="1"/>
  <c r="Z8" i="661" a="1"/>
  <c r="Z8" i="661" s="1"/>
  <c r="V8" i="661" a="1"/>
  <c r="V8" i="661" s="1"/>
  <c r="R8" i="661" a="1"/>
  <c r="R8" i="661" s="1"/>
  <c r="N8" i="661" a="1"/>
  <c r="N8" i="661" s="1"/>
  <c r="J8" i="661" a="1"/>
  <c r="J8" i="661" s="1"/>
  <c r="F8" i="661" a="1"/>
  <c r="F8" i="661" s="1"/>
  <c r="Y8" i="661" a="1"/>
  <c r="Y8" i="661" s="1"/>
  <c r="U8" i="661" a="1"/>
  <c r="U8" i="661" s="1"/>
  <c r="Q8" i="661" a="1"/>
  <c r="Q8" i="661" s="1"/>
  <c r="M8" i="661" a="1"/>
  <c r="M8" i="661" s="1"/>
  <c r="I8" i="661" a="1"/>
  <c r="I8" i="661" s="1"/>
  <c r="E8" i="661" a="1"/>
  <c r="E8" i="661" s="1"/>
  <c r="W10" i="661" a="1"/>
  <c r="W10" i="661" s="1"/>
  <c r="S10" i="661" a="1"/>
  <c r="S10" i="661" s="1"/>
  <c r="O10" i="661" a="1"/>
  <c r="O10" i="661" s="1"/>
  <c r="K10" i="661" a="1"/>
  <c r="K10" i="661" s="1"/>
  <c r="G10" i="661" a="1"/>
  <c r="G10" i="661" s="1"/>
  <c r="Z10" i="661" a="1"/>
  <c r="Z10" i="661" s="1"/>
  <c r="V10" i="661" a="1"/>
  <c r="V10" i="661" s="1"/>
  <c r="R10" i="661" a="1"/>
  <c r="R10" i="661" s="1"/>
  <c r="N10" i="661" a="1"/>
  <c r="N10" i="661" s="1"/>
  <c r="J10" i="661" a="1"/>
  <c r="J10" i="661" s="1"/>
  <c r="F10" i="661" a="1"/>
  <c r="F10" i="661" s="1"/>
  <c r="Y10" i="661" a="1"/>
  <c r="Y10" i="661" s="1"/>
  <c r="U10" i="661" a="1"/>
  <c r="U10" i="661" s="1"/>
  <c r="Q10" i="661" a="1"/>
  <c r="Q10" i="661" s="1"/>
  <c r="M10" i="661" a="1"/>
  <c r="M10" i="661" s="1"/>
  <c r="I10" i="661" a="1"/>
  <c r="I10" i="661" s="1"/>
  <c r="E10" i="661" a="1"/>
  <c r="E10" i="661" s="1"/>
  <c r="X10" i="661" a="1"/>
  <c r="X10" i="661" s="1"/>
  <c r="T10" i="661" a="1"/>
  <c r="T10" i="661" s="1"/>
  <c r="P10" i="661" a="1"/>
  <c r="P10" i="661" s="1"/>
  <c r="L10" i="661" a="1"/>
  <c r="L10" i="661" s="1"/>
  <c r="H10" i="661" a="1"/>
  <c r="H10" i="661" s="1"/>
  <c r="X5" i="661" a="1"/>
  <c r="X5" i="661" s="1"/>
  <c r="T5" i="661" a="1"/>
  <c r="T5" i="661" s="1"/>
  <c r="P5" i="661" a="1"/>
  <c r="P5" i="661" s="1"/>
  <c r="L5" i="661" a="1"/>
  <c r="L5" i="661" s="1"/>
  <c r="H5" i="661" a="1"/>
  <c r="H5" i="661" s="1"/>
  <c r="W5" i="661" a="1"/>
  <c r="W5" i="661" s="1"/>
  <c r="S5" i="661" a="1"/>
  <c r="S5" i="661" s="1"/>
  <c r="O5" i="661" a="1"/>
  <c r="O5" i="661" s="1"/>
  <c r="K5" i="661" a="1"/>
  <c r="K5" i="661" s="1"/>
  <c r="G5" i="661" a="1"/>
  <c r="G5" i="661" s="1"/>
  <c r="Z5" i="661" a="1"/>
  <c r="Z5" i="661" s="1"/>
  <c r="V5" i="661" a="1"/>
  <c r="V5" i="661" s="1"/>
  <c r="R5" i="661" a="1"/>
  <c r="R5" i="661" s="1"/>
  <c r="N5" i="661" a="1"/>
  <c r="N5" i="661" s="1"/>
  <c r="J5" i="661" a="1"/>
  <c r="J5" i="661" s="1"/>
  <c r="F5" i="661" a="1"/>
  <c r="F5" i="661" s="1"/>
  <c r="Y5" i="661" a="1"/>
  <c r="Y5" i="661" s="1"/>
  <c r="U5" i="661" a="1"/>
  <c r="U5" i="661" s="1"/>
  <c r="Q5" i="661" a="1"/>
  <c r="Q5" i="661" s="1"/>
  <c r="M5" i="661" a="1"/>
  <c r="M5" i="661" s="1"/>
  <c r="I5" i="661" a="1"/>
  <c r="I5" i="661" s="1"/>
  <c r="E5" i="661" a="1"/>
  <c r="E5" i="661" s="1"/>
  <c r="W12" i="661" a="1"/>
  <c r="W12" i="661" s="1"/>
  <c r="S12" i="661" a="1"/>
  <c r="S12" i="661" s="1"/>
  <c r="O12" i="661" a="1"/>
  <c r="O12" i="661" s="1"/>
  <c r="K12" i="661" a="1"/>
  <c r="K12" i="661" s="1"/>
  <c r="G12" i="661" a="1"/>
  <c r="G12" i="661" s="1"/>
  <c r="Z12" i="661" a="1"/>
  <c r="Z12" i="661" s="1"/>
  <c r="V12" i="661" a="1"/>
  <c r="V12" i="661" s="1"/>
  <c r="R12" i="661" a="1"/>
  <c r="R12" i="661" s="1"/>
  <c r="N12" i="661" a="1"/>
  <c r="N12" i="661" s="1"/>
  <c r="J12" i="661" a="1"/>
  <c r="J12" i="661" s="1"/>
  <c r="F12" i="661" a="1"/>
  <c r="F12" i="661" s="1"/>
  <c r="Y12" i="661" a="1"/>
  <c r="Y12" i="661" s="1"/>
  <c r="U12" i="661" a="1"/>
  <c r="U12" i="661" s="1"/>
  <c r="Q12" i="661" a="1"/>
  <c r="Q12" i="661" s="1"/>
  <c r="M12" i="661" a="1"/>
  <c r="M12" i="661" s="1"/>
  <c r="I12" i="661" a="1"/>
  <c r="I12" i="661" s="1"/>
  <c r="E12" i="661" a="1"/>
  <c r="E12" i="661" s="1"/>
  <c r="X12" i="661" a="1"/>
  <c r="X12" i="661" s="1"/>
  <c r="T12" i="661" a="1"/>
  <c r="T12" i="661" s="1"/>
  <c r="P12" i="661" a="1"/>
  <c r="P12" i="661" s="1"/>
  <c r="L12" i="661" a="1"/>
  <c r="L12" i="661" s="1"/>
  <c r="H12" i="661" a="1"/>
  <c r="H12" i="661" s="1"/>
  <c r="Z6" i="661" a="1"/>
  <c r="Z6" i="661" s="1"/>
  <c r="V6" i="661" a="1"/>
  <c r="V6" i="661" s="1"/>
  <c r="R6" i="661" a="1"/>
  <c r="R6" i="661" s="1"/>
  <c r="N6" i="661" a="1"/>
  <c r="N6" i="661" s="1"/>
  <c r="J6" i="661" a="1"/>
  <c r="J6" i="661" s="1"/>
  <c r="F6" i="661" a="1"/>
  <c r="F6" i="661" s="1"/>
  <c r="Y6" i="661" a="1"/>
  <c r="Y6" i="661" s="1"/>
  <c r="U6" i="661" a="1"/>
  <c r="U6" i="661" s="1"/>
  <c r="Q6" i="661" a="1"/>
  <c r="Q6" i="661" s="1"/>
  <c r="M6" i="661" a="1"/>
  <c r="M6" i="661" s="1"/>
  <c r="I6" i="661" a="1"/>
  <c r="I6" i="661" s="1"/>
  <c r="E6" i="661" a="1"/>
  <c r="E6" i="661" s="1"/>
  <c r="X6" i="661" a="1"/>
  <c r="X6" i="661" s="1"/>
  <c r="T6" i="661" a="1"/>
  <c r="T6" i="661" s="1"/>
  <c r="P6" i="661" a="1"/>
  <c r="P6" i="661" s="1"/>
  <c r="L6" i="661" a="1"/>
  <c r="L6" i="661" s="1"/>
  <c r="H6" i="661" a="1"/>
  <c r="H6" i="661" s="1"/>
  <c r="W6" i="661" a="1"/>
  <c r="W6" i="661" s="1"/>
  <c r="S6" i="661" a="1"/>
  <c r="S6" i="661" s="1"/>
  <c r="O6" i="661" a="1"/>
  <c r="O6" i="661" s="1"/>
  <c r="K6" i="661" a="1"/>
  <c r="K6" i="661" s="1"/>
  <c r="G6" i="661" a="1"/>
  <c r="G6" i="661" s="1"/>
  <c r="B9" i="661"/>
  <c r="J23" i="661"/>
  <c r="AH3" i="661"/>
  <c r="K24" i="661"/>
  <c r="W9" i="660" a="1"/>
  <c r="W9" i="660" s="1"/>
  <c r="S9" i="660" a="1"/>
  <c r="S9" i="660" s="1"/>
  <c r="O9" i="660" a="1"/>
  <c r="O9" i="660" s="1"/>
  <c r="K9" i="660" a="1"/>
  <c r="K9" i="660" s="1"/>
  <c r="G9" i="660" a="1"/>
  <c r="G9" i="660" s="1"/>
  <c r="L9" i="660" a="1"/>
  <c r="L9" i="660" s="1"/>
  <c r="Z9" i="660" a="1"/>
  <c r="Z9" i="660" s="1"/>
  <c r="V9" i="660" a="1"/>
  <c r="V9" i="660" s="1"/>
  <c r="R9" i="660" a="1"/>
  <c r="R9" i="660" s="1"/>
  <c r="N9" i="660" a="1"/>
  <c r="N9" i="660" s="1"/>
  <c r="J9" i="660" a="1"/>
  <c r="J9" i="660" s="1"/>
  <c r="F9" i="660" a="1"/>
  <c r="F9" i="660" s="1"/>
  <c r="X9" i="660" a="1"/>
  <c r="X9" i="660" s="1"/>
  <c r="T9" i="660" a="1"/>
  <c r="T9" i="660" s="1"/>
  <c r="Y9" i="660" a="1"/>
  <c r="Y9" i="660" s="1"/>
  <c r="U9" i="660" a="1"/>
  <c r="U9" i="660" s="1"/>
  <c r="Q9" i="660" a="1"/>
  <c r="Q9" i="660" s="1"/>
  <c r="M9" i="660" a="1"/>
  <c r="M9" i="660" s="1"/>
  <c r="I9" i="660" a="1"/>
  <c r="I9" i="660" s="1"/>
  <c r="E9" i="660" a="1"/>
  <c r="E9" i="660" s="1"/>
  <c r="H9" i="660" a="1"/>
  <c r="H9" i="660" s="1"/>
  <c r="P9" i="660" a="1"/>
  <c r="P9" i="660" s="1"/>
  <c r="Y3" i="660" a="1"/>
  <c r="Y3" i="660" s="1"/>
  <c r="U3" i="660" a="1"/>
  <c r="U3" i="660" s="1"/>
  <c r="Q3" i="660" a="1"/>
  <c r="Q3" i="660" s="1"/>
  <c r="M3" i="660" a="1"/>
  <c r="M3" i="660" s="1"/>
  <c r="I3" i="660" a="1"/>
  <c r="I3" i="660" s="1"/>
  <c r="E3" i="660" a="1"/>
  <c r="E3" i="660" s="1"/>
  <c r="N3" i="660" a="1"/>
  <c r="N3" i="660" s="1"/>
  <c r="Z3" i="660" a="1"/>
  <c r="Z3" i="660" s="1"/>
  <c r="J3" i="660" a="1"/>
  <c r="J3" i="660" s="1"/>
  <c r="X3" i="660" a="1"/>
  <c r="X3" i="660" s="1"/>
  <c r="T3" i="660" a="1"/>
  <c r="T3" i="660" s="1"/>
  <c r="P3" i="660" a="1"/>
  <c r="P3" i="660" s="1"/>
  <c r="L3" i="660" a="1"/>
  <c r="L3" i="660" s="1"/>
  <c r="H3" i="660" a="1"/>
  <c r="H3" i="660" s="1"/>
  <c r="V3" i="660" a="1"/>
  <c r="V3" i="660" s="1"/>
  <c r="R3" i="660" a="1"/>
  <c r="R3" i="660" s="1"/>
  <c r="W3" i="660" a="1"/>
  <c r="W3" i="660" s="1"/>
  <c r="S3" i="660" a="1"/>
  <c r="S3" i="660" s="1"/>
  <c r="O3" i="660" a="1"/>
  <c r="O3" i="660" s="1"/>
  <c r="K3" i="660" a="1"/>
  <c r="K3" i="660" s="1"/>
  <c r="G3" i="660" a="1"/>
  <c r="G3" i="660" s="1"/>
  <c r="F3" i="660" a="1"/>
  <c r="F3" i="660" s="1"/>
  <c r="F4" i="660" a="1"/>
  <c r="F4" i="660" s="1"/>
  <c r="Y4" i="660" a="1"/>
  <c r="Y4" i="660" s="1"/>
  <c r="U4" i="660" a="1"/>
  <c r="U4" i="660" s="1"/>
  <c r="Q4" i="660" a="1"/>
  <c r="Q4" i="660" s="1"/>
  <c r="M4" i="660" a="1"/>
  <c r="M4" i="660" s="1"/>
  <c r="I4" i="660" a="1"/>
  <c r="I4" i="660" s="1"/>
  <c r="E4" i="660" a="1"/>
  <c r="E4" i="660" s="1"/>
  <c r="J4" i="660" a="1"/>
  <c r="J4" i="660" s="1"/>
  <c r="V4" i="660" a="1"/>
  <c r="V4" i="660" s="1"/>
  <c r="X4" i="660" a="1"/>
  <c r="X4" i="660" s="1"/>
  <c r="T4" i="660" a="1"/>
  <c r="T4" i="660" s="1"/>
  <c r="P4" i="660" a="1"/>
  <c r="P4" i="660" s="1"/>
  <c r="L4" i="660" a="1"/>
  <c r="L4" i="660" s="1"/>
  <c r="H4" i="660" a="1"/>
  <c r="H4" i="660" s="1"/>
  <c r="Z4" i="660" a="1"/>
  <c r="Z4" i="660" s="1"/>
  <c r="R4" i="660" a="1"/>
  <c r="R4" i="660" s="1"/>
  <c r="W4" i="660" a="1"/>
  <c r="W4" i="660" s="1"/>
  <c r="S4" i="660" a="1"/>
  <c r="S4" i="660" s="1"/>
  <c r="O4" i="660" a="1"/>
  <c r="O4" i="660" s="1"/>
  <c r="K4" i="660" a="1"/>
  <c r="K4" i="660" s="1"/>
  <c r="G4" i="660" a="1"/>
  <c r="G4" i="660" s="1"/>
  <c r="N4" i="660" a="1"/>
  <c r="N4" i="660" s="1"/>
  <c r="F7" i="660" a="1"/>
  <c r="F7" i="660" s="1"/>
  <c r="Y7" i="660" a="1"/>
  <c r="Y7" i="660" s="1"/>
  <c r="U7" i="660" a="1"/>
  <c r="U7" i="660" s="1"/>
  <c r="Q7" i="660" a="1"/>
  <c r="Q7" i="660" s="1"/>
  <c r="M7" i="660" a="1"/>
  <c r="M7" i="660" s="1"/>
  <c r="I7" i="660" a="1"/>
  <c r="I7" i="660" s="1"/>
  <c r="E7" i="660" a="1"/>
  <c r="E7" i="660" s="1"/>
  <c r="Z7" i="660" a="1"/>
  <c r="Z7" i="660" s="1"/>
  <c r="V7" i="660" a="1"/>
  <c r="V7" i="660" s="1"/>
  <c r="X7" i="660" a="1"/>
  <c r="X7" i="660" s="1"/>
  <c r="T7" i="660" a="1"/>
  <c r="T7" i="660" s="1"/>
  <c r="P7" i="660" a="1"/>
  <c r="P7" i="660" s="1"/>
  <c r="L7" i="660" a="1"/>
  <c r="L7" i="660" s="1"/>
  <c r="H7" i="660" a="1"/>
  <c r="H7" i="660" s="1"/>
  <c r="R7" i="660" a="1"/>
  <c r="R7" i="660" s="1"/>
  <c r="W7" i="660" a="1"/>
  <c r="W7" i="660" s="1"/>
  <c r="S7" i="660" a="1"/>
  <c r="S7" i="660" s="1"/>
  <c r="O7" i="660" a="1"/>
  <c r="O7" i="660" s="1"/>
  <c r="K7" i="660" a="1"/>
  <c r="K7" i="660" s="1"/>
  <c r="G7" i="660" a="1"/>
  <c r="G7" i="660" s="1"/>
  <c r="J7" i="660" a="1"/>
  <c r="J7" i="660" s="1"/>
  <c r="N7" i="660" a="1"/>
  <c r="N7" i="660" s="1"/>
  <c r="W10" i="660" a="1"/>
  <c r="W10" i="660" s="1"/>
  <c r="S10" i="660" a="1"/>
  <c r="S10" i="660" s="1"/>
  <c r="O10" i="660" a="1"/>
  <c r="O10" i="660" s="1"/>
  <c r="K10" i="660" a="1"/>
  <c r="K10" i="660" s="1"/>
  <c r="G10" i="660" a="1"/>
  <c r="G10" i="660" s="1"/>
  <c r="Z10" i="660" a="1"/>
  <c r="Z10" i="660" s="1"/>
  <c r="V10" i="660" a="1"/>
  <c r="V10" i="660" s="1"/>
  <c r="R10" i="660" a="1"/>
  <c r="R10" i="660" s="1"/>
  <c r="N10" i="660" a="1"/>
  <c r="N10" i="660" s="1"/>
  <c r="J10" i="660" a="1"/>
  <c r="J10" i="660" s="1"/>
  <c r="F10" i="660" a="1"/>
  <c r="F10" i="660" s="1"/>
  <c r="Y10" i="660" a="1"/>
  <c r="Y10" i="660" s="1"/>
  <c r="U10" i="660" a="1"/>
  <c r="U10" i="660" s="1"/>
  <c r="Q10" i="660" a="1"/>
  <c r="Q10" i="660" s="1"/>
  <c r="M10" i="660" a="1"/>
  <c r="M10" i="660" s="1"/>
  <c r="I10" i="660" a="1"/>
  <c r="I10" i="660" s="1"/>
  <c r="E10" i="660" a="1"/>
  <c r="E10" i="660" s="1"/>
  <c r="X10" i="660" a="1"/>
  <c r="X10" i="660" s="1"/>
  <c r="T10" i="660" a="1"/>
  <c r="T10" i="660" s="1"/>
  <c r="P10" i="660" a="1"/>
  <c r="P10" i="660" s="1"/>
  <c r="L10" i="660" a="1"/>
  <c r="L10" i="660" s="1"/>
  <c r="H10" i="660" a="1"/>
  <c r="H10" i="660" s="1"/>
  <c r="X8" i="660" a="1"/>
  <c r="X8" i="660" s="1"/>
  <c r="T8" i="660" a="1"/>
  <c r="T8" i="660" s="1"/>
  <c r="P8" i="660" a="1"/>
  <c r="P8" i="660" s="1"/>
  <c r="L8" i="660" a="1"/>
  <c r="L8" i="660" s="1"/>
  <c r="H8" i="660" a="1"/>
  <c r="H8" i="660" s="1"/>
  <c r="U8" i="660" a="1"/>
  <c r="U8" i="660" s="1"/>
  <c r="Q8" i="660" a="1"/>
  <c r="Q8" i="660" s="1"/>
  <c r="W8" i="660" a="1"/>
  <c r="W8" i="660" s="1"/>
  <c r="S8" i="660" a="1"/>
  <c r="S8" i="660" s="1"/>
  <c r="O8" i="660" a="1"/>
  <c r="O8" i="660" s="1"/>
  <c r="K8" i="660" a="1"/>
  <c r="K8" i="660" s="1"/>
  <c r="G8" i="660" a="1"/>
  <c r="G8" i="660" s="1"/>
  <c r="Y8" i="660" a="1"/>
  <c r="Y8" i="660" s="1"/>
  <c r="E8" i="660" a="1"/>
  <c r="E8" i="660" s="1"/>
  <c r="Z8" i="660" a="1"/>
  <c r="Z8" i="660" s="1"/>
  <c r="V8" i="660" a="1"/>
  <c r="V8" i="660" s="1"/>
  <c r="R8" i="660" a="1"/>
  <c r="R8" i="660" s="1"/>
  <c r="N8" i="660" a="1"/>
  <c r="N8" i="660" s="1"/>
  <c r="J8" i="660" a="1"/>
  <c r="J8" i="660" s="1"/>
  <c r="F8" i="660" a="1"/>
  <c r="F8" i="660" s="1"/>
  <c r="I8" i="660" a="1"/>
  <c r="I8" i="660" s="1"/>
  <c r="M8" i="660" a="1"/>
  <c r="M8" i="660" s="1"/>
  <c r="W12" i="660" a="1"/>
  <c r="W12" i="660" s="1"/>
  <c r="S12" i="660" a="1"/>
  <c r="S12" i="660" s="1"/>
  <c r="O12" i="660" a="1"/>
  <c r="O12" i="660" s="1"/>
  <c r="K12" i="660" a="1"/>
  <c r="K12" i="660" s="1"/>
  <c r="G12" i="660" a="1"/>
  <c r="G12" i="660" s="1"/>
  <c r="Z12" i="660" a="1"/>
  <c r="Z12" i="660" s="1"/>
  <c r="V12" i="660" a="1"/>
  <c r="V12" i="660" s="1"/>
  <c r="R12" i="660" a="1"/>
  <c r="R12" i="660" s="1"/>
  <c r="N12" i="660" a="1"/>
  <c r="N12" i="660" s="1"/>
  <c r="J12" i="660" a="1"/>
  <c r="J12" i="660" s="1"/>
  <c r="F12" i="660" a="1"/>
  <c r="F12" i="660" s="1"/>
  <c r="Y12" i="660" a="1"/>
  <c r="Y12" i="660" s="1"/>
  <c r="U12" i="660" a="1"/>
  <c r="U12" i="660" s="1"/>
  <c r="Q12" i="660" a="1"/>
  <c r="Q12" i="660" s="1"/>
  <c r="M12" i="660" a="1"/>
  <c r="M12" i="660" s="1"/>
  <c r="I12" i="660" a="1"/>
  <c r="I12" i="660" s="1"/>
  <c r="E12" i="660" a="1"/>
  <c r="E12" i="660" s="1"/>
  <c r="X12" i="660" a="1"/>
  <c r="X12" i="660" s="1"/>
  <c r="T12" i="660" a="1"/>
  <c r="T12" i="660" s="1"/>
  <c r="P12" i="660" a="1"/>
  <c r="P12" i="660" s="1"/>
  <c r="L12" i="660" a="1"/>
  <c r="L12" i="660" s="1"/>
  <c r="H12" i="660" a="1"/>
  <c r="H12" i="660" s="1"/>
  <c r="X5" i="660" a="1"/>
  <c r="X5" i="660" s="1"/>
  <c r="T5" i="660" a="1"/>
  <c r="T5" i="660" s="1"/>
  <c r="P5" i="660" a="1"/>
  <c r="P5" i="660" s="1"/>
  <c r="L5" i="660" a="1"/>
  <c r="L5" i="660" s="1"/>
  <c r="H5" i="660" a="1"/>
  <c r="H5" i="660" s="1"/>
  <c r="W5" i="660" a="1"/>
  <c r="W5" i="660" s="1"/>
  <c r="S5" i="660" a="1"/>
  <c r="S5" i="660" s="1"/>
  <c r="O5" i="660" a="1"/>
  <c r="O5" i="660" s="1"/>
  <c r="K5" i="660" a="1"/>
  <c r="K5" i="660" s="1"/>
  <c r="G5" i="660" a="1"/>
  <c r="G5" i="660" s="1"/>
  <c r="Z5" i="660" a="1"/>
  <c r="Z5" i="660" s="1"/>
  <c r="V5" i="660" a="1"/>
  <c r="V5" i="660" s="1"/>
  <c r="R5" i="660" a="1"/>
  <c r="R5" i="660" s="1"/>
  <c r="N5" i="660" a="1"/>
  <c r="N5" i="660" s="1"/>
  <c r="J5" i="660" a="1"/>
  <c r="J5" i="660" s="1"/>
  <c r="F5" i="660" a="1"/>
  <c r="F5" i="660" s="1"/>
  <c r="Y5" i="660" a="1"/>
  <c r="Y5" i="660" s="1"/>
  <c r="U5" i="660" a="1"/>
  <c r="U5" i="660" s="1"/>
  <c r="Q5" i="660" a="1"/>
  <c r="Q5" i="660" s="1"/>
  <c r="M5" i="660" a="1"/>
  <c r="M5" i="660" s="1"/>
  <c r="I5" i="660" a="1"/>
  <c r="I5" i="660" s="1"/>
  <c r="E5" i="660" a="1"/>
  <c r="E5" i="660" s="1"/>
  <c r="Z6" i="660" a="1"/>
  <c r="Z6" i="660" s="1"/>
  <c r="V6" i="660" a="1"/>
  <c r="V6" i="660" s="1"/>
  <c r="R6" i="660" a="1"/>
  <c r="R6" i="660" s="1"/>
  <c r="N6" i="660" a="1"/>
  <c r="N6" i="660" s="1"/>
  <c r="J6" i="660" a="1"/>
  <c r="J6" i="660" s="1"/>
  <c r="F6" i="660" a="1"/>
  <c r="F6" i="660" s="1"/>
  <c r="W6" i="660" a="1"/>
  <c r="W6" i="660" s="1"/>
  <c r="G6" i="660" a="1"/>
  <c r="G6" i="660" s="1"/>
  <c r="Y6" i="660" a="1"/>
  <c r="Y6" i="660" s="1"/>
  <c r="U6" i="660" a="1"/>
  <c r="U6" i="660" s="1"/>
  <c r="Q6" i="660" a="1"/>
  <c r="Q6" i="660" s="1"/>
  <c r="M6" i="660" a="1"/>
  <c r="M6" i="660" s="1"/>
  <c r="I6" i="660" a="1"/>
  <c r="I6" i="660" s="1"/>
  <c r="E6" i="660" a="1"/>
  <c r="E6" i="660" s="1"/>
  <c r="S6" i="660" a="1"/>
  <c r="S6" i="660" s="1"/>
  <c r="O6" i="660" a="1"/>
  <c r="O6" i="660" s="1"/>
  <c r="X6" i="660" a="1"/>
  <c r="X6" i="660" s="1"/>
  <c r="T6" i="660" a="1"/>
  <c r="T6" i="660" s="1"/>
  <c r="P6" i="660" a="1"/>
  <c r="P6" i="660" s="1"/>
  <c r="L6" i="660" a="1"/>
  <c r="L6" i="660" s="1"/>
  <c r="H6" i="660" a="1"/>
  <c r="H6" i="660" s="1"/>
  <c r="K6" i="660" a="1"/>
  <c r="K6" i="660" s="1"/>
  <c r="V11" i="660" a="1"/>
  <c r="V11" i="660" s="1"/>
  <c r="R11" i="660" a="1"/>
  <c r="R11" i="660" s="1"/>
  <c r="N11" i="660" a="1"/>
  <c r="N11" i="660" s="1"/>
  <c r="J11" i="660" a="1"/>
  <c r="J11" i="660" s="1"/>
  <c r="F11" i="660" a="1"/>
  <c r="F11" i="660" s="1"/>
  <c r="W11" i="660" a="1"/>
  <c r="W11" i="660" s="1"/>
  <c r="Z11" i="660" a="1"/>
  <c r="Z11" i="660" s="1"/>
  <c r="U11" i="660" a="1"/>
  <c r="U11" i="660" s="1"/>
  <c r="Q11" i="660" a="1"/>
  <c r="Q11" i="660" s="1"/>
  <c r="M11" i="660" a="1"/>
  <c r="M11" i="660" s="1"/>
  <c r="I11" i="660" a="1"/>
  <c r="I11" i="660" s="1"/>
  <c r="E11" i="660" a="1"/>
  <c r="E11" i="660" s="1"/>
  <c r="O11" i="660" a="1"/>
  <c r="O11" i="660" s="1"/>
  <c r="K11" i="660" a="1"/>
  <c r="K11" i="660" s="1"/>
  <c r="S11" i="660" a="1"/>
  <c r="S11" i="660" s="1"/>
  <c r="Y11" i="660" a="1"/>
  <c r="Y11" i="660" s="1"/>
  <c r="T11" i="660" a="1"/>
  <c r="T11" i="660" s="1"/>
  <c r="P11" i="660" a="1"/>
  <c r="P11" i="660" s="1"/>
  <c r="L11" i="660" a="1"/>
  <c r="L11" i="660" s="1"/>
  <c r="H11" i="660" a="1"/>
  <c r="H11" i="660" s="1"/>
  <c r="G11" i="660" a="1"/>
  <c r="G11" i="660" s="1"/>
  <c r="B9" i="660"/>
  <c r="J23" i="660"/>
  <c r="AH3" i="660"/>
  <c r="K24" i="660"/>
  <c r="V11" i="659" a="1"/>
  <c r="V11" i="659" s="1"/>
  <c r="R11" i="659" a="1"/>
  <c r="R11" i="659" s="1"/>
  <c r="N11" i="659" a="1"/>
  <c r="N11" i="659" s="1"/>
  <c r="J11" i="659" a="1"/>
  <c r="J11" i="659" s="1"/>
  <c r="F11" i="659" a="1"/>
  <c r="F11" i="659" s="1"/>
  <c r="Z11" i="659" a="1"/>
  <c r="Z11" i="659" s="1"/>
  <c r="U11" i="659" a="1"/>
  <c r="U11" i="659" s="1"/>
  <c r="Q11" i="659" a="1"/>
  <c r="Q11" i="659" s="1"/>
  <c r="M11" i="659" a="1"/>
  <c r="M11" i="659" s="1"/>
  <c r="I11" i="659" a="1"/>
  <c r="I11" i="659" s="1"/>
  <c r="E11" i="659" a="1"/>
  <c r="E11" i="659" s="1"/>
  <c r="Y11" i="659" a="1"/>
  <c r="Y11" i="659" s="1"/>
  <c r="T11" i="659" a="1"/>
  <c r="T11" i="659" s="1"/>
  <c r="P11" i="659" a="1"/>
  <c r="P11" i="659" s="1"/>
  <c r="L11" i="659" a="1"/>
  <c r="L11" i="659" s="1"/>
  <c r="H11" i="659" a="1"/>
  <c r="H11" i="659" s="1"/>
  <c r="W11" i="659" a="1"/>
  <c r="W11" i="659" s="1"/>
  <c r="S11" i="659" a="1"/>
  <c r="S11" i="659" s="1"/>
  <c r="O11" i="659" a="1"/>
  <c r="O11" i="659" s="1"/>
  <c r="K11" i="659" a="1"/>
  <c r="K11" i="659" s="1"/>
  <c r="G11" i="659" a="1"/>
  <c r="G11" i="659" s="1"/>
  <c r="Y3" i="659" a="1"/>
  <c r="Y3" i="659" s="1"/>
  <c r="U3" i="659" a="1"/>
  <c r="U3" i="659" s="1"/>
  <c r="Q3" i="659" a="1"/>
  <c r="Q3" i="659" s="1"/>
  <c r="M3" i="659" a="1"/>
  <c r="M3" i="659" s="1"/>
  <c r="I3" i="659" a="1"/>
  <c r="I3" i="659" s="1"/>
  <c r="E3" i="659" a="1"/>
  <c r="E3" i="659" s="1"/>
  <c r="X3" i="659" a="1"/>
  <c r="X3" i="659" s="1"/>
  <c r="T3" i="659" a="1"/>
  <c r="T3" i="659" s="1"/>
  <c r="P3" i="659" a="1"/>
  <c r="P3" i="659" s="1"/>
  <c r="L3" i="659" a="1"/>
  <c r="L3" i="659" s="1"/>
  <c r="H3" i="659" a="1"/>
  <c r="H3" i="659" s="1"/>
  <c r="W3" i="659" a="1"/>
  <c r="W3" i="659" s="1"/>
  <c r="S3" i="659" a="1"/>
  <c r="S3" i="659" s="1"/>
  <c r="O3" i="659" a="1"/>
  <c r="O3" i="659" s="1"/>
  <c r="K3" i="659" a="1"/>
  <c r="K3" i="659" s="1"/>
  <c r="G3" i="659" a="1"/>
  <c r="G3" i="659" s="1"/>
  <c r="Z3" i="659" a="1"/>
  <c r="Z3" i="659" s="1"/>
  <c r="V3" i="659" a="1"/>
  <c r="V3" i="659" s="1"/>
  <c r="R3" i="659" a="1"/>
  <c r="R3" i="659" s="1"/>
  <c r="N3" i="659" a="1"/>
  <c r="N3" i="659" s="1"/>
  <c r="J3" i="659" a="1"/>
  <c r="J3" i="659" s="1"/>
  <c r="F3" i="659" a="1"/>
  <c r="F3" i="659" s="1"/>
  <c r="Y4" i="659" a="1"/>
  <c r="Y4" i="659" s="1"/>
  <c r="U4" i="659" a="1"/>
  <c r="U4" i="659" s="1"/>
  <c r="Q4" i="659" a="1"/>
  <c r="Q4" i="659" s="1"/>
  <c r="M4" i="659" a="1"/>
  <c r="M4" i="659" s="1"/>
  <c r="I4" i="659" a="1"/>
  <c r="I4" i="659" s="1"/>
  <c r="E4" i="659" a="1"/>
  <c r="E4" i="659" s="1"/>
  <c r="X4" i="659" a="1"/>
  <c r="X4" i="659" s="1"/>
  <c r="T4" i="659" a="1"/>
  <c r="T4" i="659" s="1"/>
  <c r="P4" i="659" a="1"/>
  <c r="P4" i="659" s="1"/>
  <c r="L4" i="659" a="1"/>
  <c r="L4" i="659" s="1"/>
  <c r="H4" i="659" a="1"/>
  <c r="H4" i="659" s="1"/>
  <c r="W4" i="659" a="1"/>
  <c r="W4" i="659" s="1"/>
  <c r="S4" i="659" a="1"/>
  <c r="S4" i="659" s="1"/>
  <c r="O4" i="659" a="1"/>
  <c r="O4" i="659" s="1"/>
  <c r="K4" i="659" a="1"/>
  <c r="K4" i="659" s="1"/>
  <c r="G4" i="659" a="1"/>
  <c r="G4" i="659" s="1"/>
  <c r="Z4" i="659" a="1"/>
  <c r="Z4" i="659" s="1"/>
  <c r="V4" i="659" a="1"/>
  <c r="V4" i="659" s="1"/>
  <c r="R4" i="659" a="1"/>
  <c r="R4" i="659" s="1"/>
  <c r="N4" i="659" a="1"/>
  <c r="N4" i="659" s="1"/>
  <c r="J4" i="659" a="1"/>
  <c r="J4" i="659" s="1"/>
  <c r="F4" i="659" a="1"/>
  <c r="F4" i="659" s="1"/>
  <c r="Y7" i="659" a="1"/>
  <c r="Y7" i="659" s="1"/>
  <c r="U7" i="659" a="1"/>
  <c r="U7" i="659" s="1"/>
  <c r="Q7" i="659" a="1"/>
  <c r="Q7" i="659" s="1"/>
  <c r="M7" i="659" a="1"/>
  <c r="M7" i="659" s="1"/>
  <c r="I7" i="659" a="1"/>
  <c r="I7" i="659" s="1"/>
  <c r="E7" i="659" a="1"/>
  <c r="E7" i="659" s="1"/>
  <c r="X7" i="659" a="1"/>
  <c r="X7" i="659" s="1"/>
  <c r="T7" i="659" a="1"/>
  <c r="T7" i="659" s="1"/>
  <c r="P7" i="659" a="1"/>
  <c r="P7" i="659" s="1"/>
  <c r="L7" i="659" a="1"/>
  <c r="L7" i="659" s="1"/>
  <c r="H7" i="659" a="1"/>
  <c r="H7" i="659" s="1"/>
  <c r="W7" i="659" a="1"/>
  <c r="W7" i="659" s="1"/>
  <c r="S7" i="659" a="1"/>
  <c r="S7" i="659" s="1"/>
  <c r="O7" i="659" a="1"/>
  <c r="O7" i="659" s="1"/>
  <c r="K7" i="659" a="1"/>
  <c r="K7" i="659" s="1"/>
  <c r="G7" i="659" a="1"/>
  <c r="G7" i="659" s="1"/>
  <c r="Z7" i="659" a="1"/>
  <c r="Z7" i="659" s="1"/>
  <c r="V7" i="659" a="1"/>
  <c r="V7" i="659" s="1"/>
  <c r="R7" i="659" a="1"/>
  <c r="R7" i="659" s="1"/>
  <c r="N7" i="659" a="1"/>
  <c r="N7" i="659" s="1"/>
  <c r="J7" i="659" a="1"/>
  <c r="J7" i="659" s="1"/>
  <c r="F7" i="659" a="1"/>
  <c r="F7" i="659" s="1"/>
  <c r="W9" i="659" a="1"/>
  <c r="W9" i="659" s="1"/>
  <c r="S9" i="659" a="1"/>
  <c r="S9" i="659" s="1"/>
  <c r="O9" i="659" a="1"/>
  <c r="O9" i="659" s="1"/>
  <c r="K9" i="659" a="1"/>
  <c r="K9" i="659" s="1"/>
  <c r="G9" i="659" a="1"/>
  <c r="G9" i="659" s="1"/>
  <c r="Z9" i="659" a="1"/>
  <c r="Z9" i="659" s="1"/>
  <c r="V9" i="659" a="1"/>
  <c r="V9" i="659" s="1"/>
  <c r="R9" i="659" a="1"/>
  <c r="R9" i="659" s="1"/>
  <c r="N9" i="659" a="1"/>
  <c r="N9" i="659" s="1"/>
  <c r="J9" i="659" a="1"/>
  <c r="J9" i="659" s="1"/>
  <c r="F9" i="659" a="1"/>
  <c r="F9" i="659" s="1"/>
  <c r="Y9" i="659" a="1"/>
  <c r="Y9" i="659" s="1"/>
  <c r="U9" i="659" a="1"/>
  <c r="U9" i="659" s="1"/>
  <c r="Q9" i="659" a="1"/>
  <c r="Q9" i="659" s="1"/>
  <c r="M9" i="659" a="1"/>
  <c r="M9" i="659" s="1"/>
  <c r="I9" i="659" a="1"/>
  <c r="I9" i="659" s="1"/>
  <c r="E9" i="659" a="1"/>
  <c r="E9" i="659" s="1"/>
  <c r="X9" i="659" a="1"/>
  <c r="X9" i="659" s="1"/>
  <c r="T9" i="659" a="1"/>
  <c r="T9" i="659" s="1"/>
  <c r="P9" i="659" a="1"/>
  <c r="P9" i="659" s="1"/>
  <c r="L9" i="659" a="1"/>
  <c r="L9" i="659" s="1"/>
  <c r="H9" i="659" a="1"/>
  <c r="H9" i="659" s="1"/>
  <c r="X8" i="659" a="1"/>
  <c r="X8" i="659" s="1"/>
  <c r="T8" i="659" a="1"/>
  <c r="T8" i="659" s="1"/>
  <c r="P8" i="659" a="1"/>
  <c r="P8" i="659" s="1"/>
  <c r="L8" i="659" a="1"/>
  <c r="L8" i="659" s="1"/>
  <c r="H8" i="659" a="1"/>
  <c r="H8" i="659" s="1"/>
  <c r="W8" i="659" a="1"/>
  <c r="W8" i="659" s="1"/>
  <c r="S8" i="659" a="1"/>
  <c r="S8" i="659" s="1"/>
  <c r="O8" i="659" a="1"/>
  <c r="O8" i="659" s="1"/>
  <c r="K8" i="659" a="1"/>
  <c r="K8" i="659" s="1"/>
  <c r="G8" i="659" a="1"/>
  <c r="G8" i="659" s="1"/>
  <c r="Z8" i="659" a="1"/>
  <c r="Z8" i="659" s="1"/>
  <c r="V8" i="659" a="1"/>
  <c r="V8" i="659" s="1"/>
  <c r="R8" i="659" a="1"/>
  <c r="R8" i="659" s="1"/>
  <c r="N8" i="659" a="1"/>
  <c r="N8" i="659" s="1"/>
  <c r="J8" i="659" a="1"/>
  <c r="J8" i="659" s="1"/>
  <c r="F8" i="659" a="1"/>
  <c r="F8" i="659" s="1"/>
  <c r="Y8" i="659" a="1"/>
  <c r="Y8" i="659" s="1"/>
  <c r="U8" i="659" a="1"/>
  <c r="U8" i="659" s="1"/>
  <c r="Q8" i="659" a="1"/>
  <c r="Q8" i="659" s="1"/>
  <c r="M8" i="659" a="1"/>
  <c r="M8" i="659" s="1"/>
  <c r="I8" i="659" a="1"/>
  <c r="I8" i="659" s="1"/>
  <c r="E8" i="659" a="1"/>
  <c r="E8" i="659" s="1"/>
  <c r="W10" i="659" a="1"/>
  <c r="W10" i="659" s="1"/>
  <c r="S10" i="659" a="1"/>
  <c r="S10" i="659" s="1"/>
  <c r="O10" i="659" a="1"/>
  <c r="O10" i="659" s="1"/>
  <c r="K10" i="659" a="1"/>
  <c r="K10" i="659" s="1"/>
  <c r="G10" i="659" a="1"/>
  <c r="G10" i="659" s="1"/>
  <c r="Z10" i="659" a="1"/>
  <c r="Z10" i="659" s="1"/>
  <c r="V10" i="659" a="1"/>
  <c r="V10" i="659" s="1"/>
  <c r="R10" i="659" a="1"/>
  <c r="R10" i="659" s="1"/>
  <c r="N10" i="659" a="1"/>
  <c r="N10" i="659" s="1"/>
  <c r="J10" i="659" a="1"/>
  <c r="J10" i="659" s="1"/>
  <c r="F10" i="659" a="1"/>
  <c r="F10" i="659" s="1"/>
  <c r="Y10" i="659" a="1"/>
  <c r="Y10" i="659" s="1"/>
  <c r="U10" i="659" a="1"/>
  <c r="U10" i="659" s="1"/>
  <c r="Q10" i="659" a="1"/>
  <c r="Q10" i="659" s="1"/>
  <c r="M10" i="659" a="1"/>
  <c r="M10" i="659" s="1"/>
  <c r="I10" i="659" a="1"/>
  <c r="I10" i="659" s="1"/>
  <c r="E10" i="659" a="1"/>
  <c r="E10" i="659" s="1"/>
  <c r="X10" i="659" a="1"/>
  <c r="X10" i="659" s="1"/>
  <c r="T10" i="659" a="1"/>
  <c r="T10" i="659" s="1"/>
  <c r="P10" i="659" a="1"/>
  <c r="P10" i="659" s="1"/>
  <c r="L10" i="659" a="1"/>
  <c r="L10" i="659" s="1"/>
  <c r="H10" i="659" a="1"/>
  <c r="H10" i="659" s="1"/>
  <c r="X5" i="659" a="1"/>
  <c r="X5" i="659" s="1"/>
  <c r="T5" i="659" a="1"/>
  <c r="T5" i="659" s="1"/>
  <c r="P5" i="659" a="1"/>
  <c r="P5" i="659" s="1"/>
  <c r="L5" i="659" a="1"/>
  <c r="L5" i="659" s="1"/>
  <c r="H5" i="659" a="1"/>
  <c r="H5" i="659" s="1"/>
  <c r="W5" i="659" a="1"/>
  <c r="W5" i="659" s="1"/>
  <c r="S5" i="659" a="1"/>
  <c r="S5" i="659" s="1"/>
  <c r="O5" i="659" a="1"/>
  <c r="O5" i="659" s="1"/>
  <c r="K5" i="659" a="1"/>
  <c r="K5" i="659" s="1"/>
  <c r="G5" i="659" a="1"/>
  <c r="G5" i="659" s="1"/>
  <c r="Z5" i="659" a="1"/>
  <c r="Z5" i="659" s="1"/>
  <c r="V5" i="659" a="1"/>
  <c r="V5" i="659" s="1"/>
  <c r="R5" i="659" a="1"/>
  <c r="R5" i="659" s="1"/>
  <c r="N5" i="659" a="1"/>
  <c r="N5" i="659" s="1"/>
  <c r="J5" i="659" a="1"/>
  <c r="J5" i="659" s="1"/>
  <c r="F5" i="659" a="1"/>
  <c r="F5" i="659" s="1"/>
  <c r="Y5" i="659" a="1"/>
  <c r="Y5" i="659" s="1"/>
  <c r="U5" i="659" a="1"/>
  <c r="U5" i="659" s="1"/>
  <c r="Q5" i="659" a="1"/>
  <c r="Q5" i="659" s="1"/>
  <c r="M5" i="659" a="1"/>
  <c r="M5" i="659" s="1"/>
  <c r="I5" i="659" a="1"/>
  <c r="I5" i="659" s="1"/>
  <c r="E5" i="659" a="1"/>
  <c r="E5" i="659" s="1"/>
  <c r="W12" i="659" a="1"/>
  <c r="W12" i="659" s="1"/>
  <c r="S12" i="659" a="1"/>
  <c r="S12" i="659" s="1"/>
  <c r="O12" i="659" a="1"/>
  <c r="O12" i="659" s="1"/>
  <c r="K12" i="659" a="1"/>
  <c r="K12" i="659" s="1"/>
  <c r="G12" i="659" a="1"/>
  <c r="G12" i="659" s="1"/>
  <c r="Z12" i="659" a="1"/>
  <c r="Z12" i="659" s="1"/>
  <c r="V12" i="659" a="1"/>
  <c r="V12" i="659" s="1"/>
  <c r="R12" i="659" a="1"/>
  <c r="R12" i="659" s="1"/>
  <c r="N12" i="659" a="1"/>
  <c r="N12" i="659" s="1"/>
  <c r="J12" i="659" a="1"/>
  <c r="J12" i="659" s="1"/>
  <c r="F12" i="659" a="1"/>
  <c r="F12" i="659" s="1"/>
  <c r="Y12" i="659" a="1"/>
  <c r="Y12" i="659" s="1"/>
  <c r="U12" i="659" a="1"/>
  <c r="U12" i="659" s="1"/>
  <c r="Q12" i="659" a="1"/>
  <c r="Q12" i="659" s="1"/>
  <c r="M12" i="659" a="1"/>
  <c r="M12" i="659" s="1"/>
  <c r="I12" i="659" a="1"/>
  <c r="I12" i="659" s="1"/>
  <c r="E12" i="659" a="1"/>
  <c r="E12" i="659" s="1"/>
  <c r="X12" i="659" a="1"/>
  <c r="X12" i="659" s="1"/>
  <c r="T12" i="659" a="1"/>
  <c r="T12" i="659" s="1"/>
  <c r="P12" i="659" a="1"/>
  <c r="P12" i="659" s="1"/>
  <c r="L12" i="659" a="1"/>
  <c r="L12" i="659" s="1"/>
  <c r="H12" i="659" a="1"/>
  <c r="H12" i="659" s="1"/>
  <c r="Z6" i="659" a="1"/>
  <c r="Z6" i="659" s="1"/>
  <c r="V6" i="659" a="1"/>
  <c r="V6" i="659" s="1"/>
  <c r="R6" i="659" a="1"/>
  <c r="R6" i="659" s="1"/>
  <c r="N6" i="659" a="1"/>
  <c r="N6" i="659" s="1"/>
  <c r="J6" i="659" a="1"/>
  <c r="J6" i="659" s="1"/>
  <c r="F6" i="659" a="1"/>
  <c r="F6" i="659" s="1"/>
  <c r="Y6" i="659" a="1"/>
  <c r="Y6" i="659" s="1"/>
  <c r="U6" i="659" a="1"/>
  <c r="U6" i="659" s="1"/>
  <c r="Q6" i="659" a="1"/>
  <c r="Q6" i="659" s="1"/>
  <c r="M6" i="659" a="1"/>
  <c r="M6" i="659" s="1"/>
  <c r="I6" i="659" a="1"/>
  <c r="I6" i="659" s="1"/>
  <c r="E6" i="659" a="1"/>
  <c r="E6" i="659" s="1"/>
  <c r="X6" i="659" a="1"/>
  <c r="X6" i="659" s="1"/>
  <c r="T6" i="659" a="1"/>
  <c r="T6" i="659" s="1"/>
  <c r="P6" i="659" a="1"/>
  <c r="P6" i="659" s="1"/>
  <c r="L6" i="659" a="1"/>
  <c r="L6" i="659" s="1"/>
  <c r="H6" i="659" a="1"/>
  <c r="H6" i="659" s="1"/>
  <c r="W6" i="659" a="1"/>
  <c r="W6" i="659" s="1"/>
  <c r="S6" i="659" a="1"/>
  <c r="S6" i="659" s="1"/>
  <c r="O6" i="659" a="1"/>
  <c r="O6" i="659" s="1"/>
  <c r="K6" i="659" a="1"/>
  <c r="K6" i="659" s="1"/>
  <c r="G6" i="659" a="1"/>
  <c r="G6" i="659" s="1"/>
  <c r="B9" i="659"/>
  <c r="J23" i="659"/>
  <c r="AH3" i="659"/>
  <c r="K24" i="659"/>
  <c r="W9" i="658" a="1"/>
  <c r="W9" i="658" s="1"/>
  <c r="S9" i="658" a="1"/>
  <c r="S9" i="658" s="1"/>
  <c r="O9" i="658" a="1"/>
  <c r="O9" i="658" s="1"/>
  <c r="K9" i="658" a="1"/>
  <c r="K9" i="658" s="1"/>
  <c r="G9" i="658" a="1"/>
  <c r="G9" i="658" s="1"/>
  <c r="Z9" i="658" a="1"/>
  <c r="Z9" i="658" s="1"/>
  <c r="V9" i="658" a="1"/>
  <c r="V9" i="658" s="1"/>
  <c r="R9" i="658" a="1"/>
  <c r="R9" i="658" s="1"/>
  <c r="N9" i="658" a="1"/>
  <c r="N9" i="658" s="1"/>
  <c r="J9" i="658" a="1"/>
  <c r="J9" i="658" s="1"/>
  <c r="F9" i="658" a="1"/>
  <c r="F9" i="658" s="1"/>
  <c r="Y9" i="658" a="1"/>
  <c r="Y9" i="658" s="1"/>
  <c r="U9" i="658" a="1"/>
  <c r="U9" i="658" s="1"/>
  <c r="Q9" i="658" a="1"/>
  <c r="Q9" i="658" s="1"/>
  <c r="M9" i="658" a="1"/>
  <c r="M9" i="658" s="1"/>
  <c r="I9" i="658" a="1"/>
  <c r="I9" i="658" s="1"/>
  <c r="E9" i="658" a="1"/>
  <c r="E9" i="658" s="1"/>
  <c r="X9" i="658" a="1"/>
  <c r="X9" i="658" s="1"/>
  <c r="T9" i="658" a="1"/>
  <c r="T9" i="658" s="1"/>
  <c r="P9" i="658" a="1"/>
  <c r="P9" i="658" s="1"/>
  <c r="L9" i="658" a="1"/>
  <c r="L9" i="658" s="1"/>
  <c r="H9" i="658" a="1"/>
  <c r="H9" i="658" s="1"/>
  <c r="Z6" i="658" a="1"/>
  <c r="Z6" i="658" s="1"/>
  <c r="V6" i="658" a="1"/>
  <c r="V6" i="658" s="1"/>
  <c r="R6" i="658" a="1"/>
  <c r="R6" i="658" s="1"/>
  <c r="N6" i="658" a="1"/>
  <c r="N6" i="658" s="1"/>
  <c r="J6" i="658" a="1"/>
  <c r="J6" i="658" s="1"/>
  <c r="F6" i="658" a="1"/>
  <c r="F6" i="658" s="1"/>
  <c r="Y6" i="658" a="1"/>
  <c r="Y6" i="658" s="1"/>
  <c r="U6" i="658" a="1"/>
  <c r="U6" i="658" s="1"/>
  <c r="Q6" i="658" a="1"/>
  <c r="Q6" i="658" s="1"/>
  <c r="M6" i="658" a="1"/>
  <c r="M6" i="658" s="1"/>
  <c r="I6" i="658" a="1"/>
  <c r="I6" i="658" s="1"/>
  <c r="E6" i="658" a="1"/>
  <c r="E6" i="658" s="1"/>
  <c r="X6" i="658" a="1"/>
  <c r="X6" i="658" s="1"/>
  <c r="T6" i="658" a="1"/>
  <c r="T6" i="658" s="1"/>
  <c r="P6" i="658" a="1"/>
  <c r="P6" i="658" s="1"/>
  <c r="L6" i="658" a="1"/>
  <c r="L6" i="658" s="1"/>
  <c r="H6" i="658" a="1"/>
  <c r="H6" i="658" s="1"/>
  <c r="W6" i="658" a="1"/>
  <c r="W6" i="658" s="1"/>
  <c r="S6" i="658" a="1"/>
  <c r="S6" i="658" s="1"/>
  <c r="O6" i="658" a="1"/>
  <c r="O6" i="658" s="1"/>
  <c r="K6" i="658" a="1"/>
  <c r="K6" i="658" s="1"/>
  <c r="G6" i="658" a="1"/>
  <c r="G6" i="658" s="1"/>
  <c r="V11" i="658" a="1"/>
  <c r="V11" i="658" s="1"/>
  <c r="R11" i="658" a="1"/>
  <c r="R11" i="658" s="1"/>
  <c r="N11" i="658" a="1"/>
  <c r="N11" i="658" s="1"/>
  <c r="J11" i="658" a="1"/>
  <c r="J11" i="658" s="1"/>
  <c r="F11" i="658" a="1"/>
  <c r="F11" i="658" s="1"/>
  <c r="Z11" i="658" a="1"/>
  <c r="Z11" i="658" s="1"/>
  <c r="U11" i="658" a="1"/>
  <c r="U11" i="658" s="1"/>
  <c r="Q11" i="658" a="1"/>
  <c r="Q11" i="658" s="1"/>
  <c r="M11" i="658" a="1"/>
  <c r="M11" i="658" s="1"/>
  <c r="I11" i="658" a="1"/>
  <c r="I11" i="658" s="1"/>
  <c r="E11" i="658" a="1"/>
  <c r="E11" i="658" s="1"/>
  <c r="Y11" i="658" a="1"/>
  <c r="Y11" i="658" s="1"/>
  <c r="T11" i="658" a="1"/>
  <c r="T11" i="658" s="1"/>
  <c r="P11" i="658" a="1"/>
  <c r="P11" i="658" s="1"/>
  <c r="L11" i="658" a="1"/>
  <c r="L11" i="658" s="1"/>
  <c r="H11" i="658" a="1"/>
  <c r="H11" i="658" s="1"/>
  <c r="W11" i="658" a="1"/>
  <c r="W11" i="658" s="1"/>
  <c r="S11" i="658" a="1"/>
  <c r="S11" i="658" s="1"/>
  <c r="O11" i="658" a="1"/>
  <c r="O11" i="658" s="1"/>
  <c r="K11" i="658" a="1"/>
  <c r="K11" i="658" s="1"/>
  <c r="G11" i="658" a="1"/>
  <c r="G11" i="658" s="1"/>
  <c r="W10" i="658" a="1"/>
  <c r="W10" i="658" s="1"/>
  <c r="S10" i="658" a="1"/>
  <c r="S10" i="658" s="1"/>
  <c r="O10" i="658" a="1"/>
  <c r="O10" i="658" s="1"/>
  <c r="K10" i="658" a="1"/>
  <c r="K10" i="658" s="1"/>
  <c r="G10" i="658" a="1"/>
  <c r="G10" i="658" s="1"/>
  <c r="Z10" i="658" a="1"/>
  <c r="Z10" i="658" s="1"/>
  <c r="V10" i="658" a="1"/>
  <c r="V10" i="658" s="1"/>
  <c r="R10" i="658" a="1"/>
  <c r="R10" i="658" s="1"/>
  <c r="N10" i="658" a="1"/>
  <c r="N10" i="658" s="1"/>
  <c r="J10" i="658" a="1"/>
  <c r="J10" i="658" s="1"/>
  <c r="F10" i="658" a="1"/>
  <c r="F10" i="658" s="1"/>
  <c r="Y10" i="658" a="1"/>
  <c r="Y10" i="658" s="1"/>
  <c r="U10" i="658" a="1"/>
  <c r="U10" i="658" s="1"/>
  <c r="Q10" i="658" a="1"/>
  <c r="Q10" i="658" s="1"/>
  <c r="M10" i="658" a="1"/>
  <c r="M10" i="658" s="1"/>
  <c r="I10" i="658" a="1"/>
  <c r="I10" i="658" s="1"/>
  <c r="E10" i="658" a="1"/>
  <c r="E10" i="658" s="1"/>
  <c r="X10" i="658" a="1"/>
  <c r="X10" i="658" s="1"/>
  <c r="T10" i="658" a="1"/>
  <c r="T10" i="658" s="1"/>
  <c r="P10" i="658" a="1"/>
  <c r="P10" i="658" s="1"/>
  <c r="L10" i="658" a="1"/>
  <c r="L10" i="658" s="1"/>
  <c r="H10" i="658" a="1"/>
  <c r="H10" i="658" s="1"/>
  <c r="W12" i="658" a="1"/>
  <c r="W12" i="658" s="1"/>
  <c r="S12" i="658" a="1"/>
  <c r="S12" i="658" s="1"/>
  <c r="O12" i="658" a="1"/>
  <c r="O12" i="658" s="1"/>
  <c r="K12" i="658" a="1"/>
  <c r="K12" i="658" s="1"/>
  <c r="G12" i="658" a="1"/>
  <c r="G12" i="658" s="1"/>
  <c r="Z12" i="658" a="1"/>
  <c r="Z12" i="658" s="1"/>
  <c r="V12" i="658" a="1"/>
  <c r="V12" i="658" s="1"/>
  <c r="R12" i="658" a="1"/>
  <c r="R12" i="658" s="1"/>
  <c r="N12" i="658" a="1"/>
  <c r="N12" i="658" s="1"/>
  <c r="J12" i="658" a="1"/>
  <c r="J12" i="658" s="1"/>
  <c r="F12" i="658" a="1"/>
  <c r="F12" i="658" s="1"/>
  <c r="Y12" i="658" a="1"/>
  <c r="Y12" i="658" s="1"/>
  <c r="U12" i="658" a="1"/>
  <c r="U12" i="658" s="1"/>
  <c r="Q12" i="658" a="1"/>
  <c r="Q12" i="658" s="1"/>
  <c r="M12" i="658" a="1"/>
  <c r="M12" i="658" s="1"/>
  <c r="I12" i="658" a="1"/>
  <c r="I12" i="658" s="1"/>
  <c r="E12" i="658" a="1"/>
  <c r="E12" i="658" s="1"/>
  <c r="X12" i="658" a="1"/>
  <c r="X12" i="658" s="1"/>
  <c r="T12" i="658" a="1"/>
  <c r="T12" i="658" s="1"/>
  <c r="P12" i="658" a="1"/>
  <c r="P12" i="658" s="1"/>
  <c r="L12" i="658" a="1"/>
  <c r="L12" i="658" s="1"/>
  <c r="H12" i="658" a="1"/>
  <c r="H12" i="658" s="1"/>
  <c r="B9" i="658"/>
  <c r="J23" i="658"/>
  <c r="AH3" i="658"/>
  <c r="K24" i="658"/>
  <c r="Y3" i="658" a="1"/>
  <c r="Y3" i="658" s="1"/>
  <c r="U3" i="658" a="1"/>
  <c r="U3" i="658" s="1"/>
  <c r="Q3" i="658" a="1"/>
  <c r="Q3" i="658" s="1"/>
  <c r="M3" i="658" a="1"/>
  <c r="M3" i="658" s="1"/>
  <c r="I3" i="658" a="1"/>
  <c r="I3" i="658" s="1"/>
  <c r="E3" i="658" a="1"/>
  <c r="E3" i="658" s="1"/>
  <c r="X3" i="658" a="1"/>
  <c r="X3" i="658" s="1"/>
  <c r="T3" i="658" a="1"/>
  <c r="T3" i="658" s="1"/>
  <c r="P3" i="658" a="1"/>
  <c r="P3" i="658" s="1"/>
  <c r="L3" i="658" a="1"/>
  <c r="L3" i="658" s="1"/>
  <c r="H3" i="658" a="1"/>
  <c r="H3" i="658" s="1"/>
  <c r="W3" i="658" a="1"/>
  <c r="W3" i="658" s="1"/>
  <c r="S3" i="658" a="1"/>
  <c r="S3" i="658" s="1"/>
  <c r="O3" i="658" a="1"/>
  <c r="O3" i="658" s="1"/>
  <c r="K3" i="658" a="1"/>
  <c r="K3" i="658" s="1"/>
  <c r="G3" i="658" a="1"/>
  <c r="G3" i="658" s="1"/>
  <c r="Z3" i="658" a="1"/>
  <c r="Z3" i="658" s="1"/>
  <c r="V3" i="658" a="1"/>
  <c r="V3" i="658" s="1"/>
  <c r="R3" i="658" a="1"/>
  <c r="R3" i="658" s="1"/>
  <c r="N3" i="658" a="1"/>
  <c r="N3" i="658" s="1"/>
  <c r="J3" i="658" a="1"/>
  <c r="J3" i="658" s="1"/>
  <c r="F3" i="658" a="1"/>
  <c r="F3" i="658" s="1"/>
  <c r="Y4" i="658" a="1"/>
  <c r="Y4" i="658" s="1"/>
  <c r="U4" i="658" a="1"/>
  <c r="U4" i="658" s="1"/>
  <c r="Q4" i="658" a="1"/>
  <c r="Q4" i="658" s="1"/>
  <c r="M4" i="658" a="1"/>
  <c r="M4" i="658" s="1"/>
  <c r="I4" i="658" a="1"/>
  <c r="I4" i="658" s="1"/>
  <c r="E4" i="658" a="1"/>
  <c r="E4" i="658" s="1"/>
  <c r="X4" i="658" a="1"/>
  <c r="X4" i="658" s="1"/>
  <c r="T4" i="658" a="1"/>
  <c r="T4" i="658" s="1"/>
  <c r="P4" i="658" a="1"/>
  <c r="P4" i="658" s="1"/>
  <c r="L4" i="658" a="1"/>
  <c r="L4" i="658" s="1"/>
  <c r="H4" i="658" a="1"/>
  <c r="H4" i="658" s="1"/>
  <c r="W4" i="658" a="1"/>
  <c r="W4" i="658" s="1"/>
  <c r="S4" i="658" a="1"/>
  <c r="S4" i="658" s="1"/>
  <c r="O4" i="658" a="1"/>
  <c r="O4" i="658" s="1"/>
  <c r="K4" i="658" a="1"/>
  <c r="K4" i="658" s="1"/>
  <c r="G4" i="658" a="1"/>
  <c r="G4" i="658" s="1"/>
  <c r="Z4" i="658" a="1"/>
  <c r="Z4" i="658" s="1"/>
  <c r="V4" i="658" a="1"/>
  <c r="V4" i="658" s="1"/>
  <c r="R4" i="658" a="1"/>
  <c r="R4" i="658" s="1"/>
  <c r="N4" i="658" a="1"/>
  <c r="N4" i="658" s="1"/>
  <c r="J4" i="658" a="1"/>
  <c r="J4" i="658" s="1"/>
  <c r="F4" i="658" a="1"/>
  <c r="F4" i="658" s="1"/>
  <c r="Y7" i="658" a="1"/>
  <c r="Y7" i="658" s="1"/>
  <c r="U7" i="658" a="1"/>
  <c r="U7" i="658" s="1"/>
  <c r="Q7" i="658" a="1"/>
  <c r="Q7" i="658" s="1"/>
  <c r="M7" i="658" a="1"/>
  <c r="M7" i="658" s="1"/>
  <c r="I7" i="658" a="1"/>
  <c r="I7" i="658" s="1"/>
  <c r="E7" i="658" a="1"/>
  <c r="E7" i="658" s="1"/>
  <c r="X7" i="658" a="1"/>
  <c r="X7" i="658" s="1"/>
  <c r="T7" i="658" a="1"/>
  <c r="T7" i="658" s="1"/>
  <c r="P7" i="658" a="1"/>
  <c r="P7" i="658" s="1"/>
  <c r="L7" i="658" a="1"/>
  <c r="L7" i="658" s="1"/>
  <c r="H7" i="658" a="1"/>
  <c r="H7" i="658" s="1"/>
  <c r="W7" i="658" a="1"/>
  <c r="W7" i="658" s="1"/>
  <c r="S7" i="658" a="1"/>
  <c r="S7" i="658" s="1"/>
  <c r="O7" i="658" a="1"/>
  <c r="O7" i="658" s="1"/>
  <c r="K7" i="658" a="1"/>
  <c r="K7" i="658" s="1"/>
  <c r="G7" i="658" a="1"/>
  <c r="G7" i="658" s="1"/>
  <c r="Z7" i="658" a="1"/>
  <c r="Z7" i="658" s="1"/>
  <c r="V7" i="658" a="1"/>
  <c r="V7" i="658" s="1"/>
  <c r="R7" i="658" a="1"/>
  <c r="R7" i="658" s="1"/>
  <c r="N7" i="658" a="1"/>
  <c r="N7" i="658" s="1"/>
  <c r="J7" i="658" a="1"/>
  <c r="J7" i="658" s="1"/>
  <c r="F7" i="658" a="1"/>
  <c r="F7" i="658" s="1"/>
  <c r="X8" i="658" a="1"/>
  <c r="X8" i="658" s="1"/>
  <c r="T8" i="658" a="1"/>
  <c r="T8" i="658" s="1"/>
  <c r="P8" i="658" a="1"/>
  <c r="P8" i="658" s="1"/>
  <c r="L8" i="658" a="1"/>
  <c r="L8" i="658" s="1"/>
  <c r="H8" i="658" a="1"/>
  <c r="H8" i="658" s="1"/>
  <c r="W8" i="658" a="1"/>
  <c r="W8" i="658" s="1"/>
  <c r="S8" i="658" a="1"/>
  <c r="S8" i="658" s="1"/>
  <c r="O8" i="658" a="1"/>
  <c r="O8" i="658" s="1"/>
  <c r="K8" i="658" a="1"/>
  <c r="K8" i="658" s="1"/>
  <c r="G8" i="658" a="1"/>
  <c r="G8" i="658" s="1"/>
  <c r="Z8" i="658" a="1"/>
  <c r="Z8" i="658" s="1"/>
  <c r="V8" i="658" a="1"/>
  <c r="V8" i="658" s="1"/>
  <c r="R8" i="658" a="1"/>
  <c r="R8" i="658" s="1"/>
  <c r="N8" i="658" a="1"/>
  <c r="N8" i="658" s="1"/>
  <c r="J8" i="658" a="1"/>
  <c r="J8" i="658" s="1"/>
  <c r="F8" i="658" a="1"/>
  <c r="F8" i="658" s="1"/>
  <c r="Y8" i="658" a="1"/>
  <c r="Y8" i="658" s="1"/>
  <c r="U8" i="658" a="1"/>
  <c r="U8" i="658" s="1"/>
  <c r="Q8" i="658" a="1"/>
  <c r="Q8" i="658" s="1"/>
  <c r="M8" i="658" a="1"/>
  <c r="M8" i="658" s="1"/>
  <c r="I8" i="658" a="1"/>
  <c r="I8" i="658" s="1"/>
  <c r="E8" i="658" a="1"/>
  <c r="E8" i="658" s="1"/>
  <c r="X5" i="658" a="1"/>
  <c r="X5" i="658" s="1"/>
  <c r="T5" i="658" a="1"/>
  <c r="T5" i="658" s="1"/>
  <c r="P5" i="658" a="1"/>
  <c r="P5" i="658" s="1"/>
  <c r="L5" i="658" a="1"/>
  <c r="L5" i="658" s="1"/>
  <c r="H5" i="658" a="1"/>
  <c r="H5" i="658" s="1"/>
  <c r="W5" i="658" a="1"/>
  <c r="W5" i="658" s="1"/>
  <c r="S5" i="658" a="1"/>
  <c r="S5" i="658" s="1"/>
  <c r="O5" i="658" a="1"/>
  <c r="O5" i="658" s="1"/>
  <c r="K5" i="658" a="1"/>
  <c r="K5" i="658" s="1"/>
  <c r="G5" i="658" a="1"/>
  <c r="G5" i="658" s="1"/>
  <c r="Z5" i="658" a="1"/>
  <c r="Z5" i="658" s="1"/>
  <c r="V5" i="658" a="1"/>
  <c r="V5" i="658" s="1"/>
  <c r="R5" i="658" a="1"/>
  <c r="R5" i="658" s="1"/>
  <c r="N5" i="658" a="1"/>
  <c r="N5" i="658" s="1"/>
  <c r="J5" i="658" a="1"/>
  <c r="J5" i="658" s="1"/>
  <c r="F5" i="658" a="1"/>
  <c r="F5" i="658" s="1"/>
  <c r="Y5" i="658" a="1"/>
  <c r="Y5" i="658" s="1"/>
  <c r="U5" i="658" a="1"/>
  <c r="U5" i="658" s="1"/>
  <c r="Q5" i="658" a="1"/>
  <c r="Q5" i="658" s="1"/>
  <c r="M5" i="658" a="1"/>
  <c r="M5" i="658" s="1"/>
  <c r="I5" i="658" a="1"/>
  <c r="I5" i="658" s="1"/>
  <c r="E5" i="658" a="1"/>
  <c r="E5" i="658" s="1"/>
  <c r="W10" i="657" a="1"/>
  <c r="W10" i="657" s="1"/>
  <c r="S10" i="657" a="1"/>
  <c r="S10" i="657" s="1"/>
  <c r="O10" i="657" a="1"/>
  <c r="O10" i="657" s="1"/>
  <c r="K10" i="657" a="1"/>
  <c r="K10" i="657" s="1"/>
  <c r="G10" i="657" a="1"/>
  <c r="G10" i="657" s="1"/>
  <c r="Z10" i="657" a="1"/>
  <c r="Z10" i="657" s="1"/>
  <c r="V10" i="657" a="1"/>
  <c r="V10" i="657" s="1"/>
  <c r="R10" i="657" a="1"/>
  <c r="R10" i="657" s="1"/>
  <c r="N10" i="657" a="1"/>
  <c r="N10" i="657" s="1"/>
  <c r="J10" i="657" a="1"/>
  <c r="J10" i="657" s="1"/>
  <c r="F10" i="657" a="1"/>
  <c r="F10" i="657" s="1"/>
  <c r="Y10" i="657" a="1"/>
  <c r="Y10" i="657" s="1"/>
  <c r="U10" i="657" a="1"/>
  <c r="U10" i="657" s="1"/>
  <c r="Q10" i="657" a="1"/>
  <c r="Q10" i="657" s="1"/>
  <c r="M10" i="657" a="1"/>
  <c r="M10" i="657" s="1"/>
  <c r="I10" i="657" a="1"/>
  <c r="I10" i="657" s="1"/>
  <c r="E10" i="657" a="1"/>
  <c r="E10" i="657" s="1"/>
  <c r="X10" i="657" a="1"/>
  <c r="X10" i="657" s="1"/>
  <c r="T10" i="657" a="1"/>
  <c r="T10" i="657" s="1"/>
  <c r="P10" i="657" a="1"/>
  <c r="P10" i="657" s="1"/>
  <c r="L10" i="657" a="1"/>
  <c r="L10" i="657" s="1"/>
  <c r="H10" i="657" a="1"/>
  <c r="H10" i="657" s="1"/>
  <c r="W12" i="657" a="1"/>
  <c r="W12" i="657" s="1"/>
  <c r="S12" i="657" a="1"/>
  <c r="S12" i="657" s="1"/>
  <c r="O12" i="657" a="1"/>
  <c r="O12" i="657" s="1"/>
  <c r="K12" i="657" a="1"/>
  <c r="K12" i="657" s="1"/>
  <c r="G12" i="657" a="1"/>
  <c r="G12" i="657" s="1"/>
  <c r="Z12" i="657" a="1"/>
  <c r="Z12" i="657" s="1"/>
  <c r="V12" i="657" a="1"/>
  <c r="V12" i="657" s="1"/>
  <c r="R12" i="657" a="1"/>
  <c r="R12" i="657" s="1"/>
  <c r="N12" i="657" a="1"/>
  <c r="N12" i="657" s="1"/>
  <c r="J12" i="657" a="1"/>
  <c r="J12" i="657" s="1"/>
  <c r="F12" i="657" a="1"/>
  <c r="F12" i="657" s="1"/>
  <c r="Y12" i="657" a="1"/>
  <c r="Y12" i="657" s="1"/>
  <c r="U12" i="657" a="1"/>
  <c r="U12" i="657" s="1"/>
  <c r="Q12" i="657" a="1"/>
  <c r="Q12" i="657" s="1"/>
  <c r="M12" i="657" a="1"/>
  <c r="M12" i="657" s="1"/>
  <c r="I12" i="657" a="1"/>
  <c r="I12" i="657" s="1"/>
  <c r="E12" i="657" a="1"/>
  <c r="E12" i="657" s="1"/>
  <c r="X12" i="657" a="1"/>
  <c r="X12" i="657" s="1"/>
  <c r="T12" i="657" a="1"/>
  <c r="T12" i="657" s="1"/>
  <c r="P12" i="657" a="1"/>
  <c r="P12" i="657" s="1"/>
  <c r="L12" i="657" a="1"/>
  <c r="L12" i="657" s="1"/>
  <c r="H12" i="657" a="1"/>
  <c r="H12" i="657" s="1"/>
  <c r="Z6" i="657" a="1"/>
  <c r="Z6" i="657" s="1"/>
  <c r="V6" i="657" a="1"/>
  <c r="V6" i="657" s="1"/>
  <c r="R6" i="657" a="1"/>
  <c r="R6" i="657" s="1"/>
  <c r="N6" i="657" a="1"/>
  <c r="N6" i="657" s="1"/>
  <c r="J6" i="657" a="1"/>
  <c r="J6" i="657" s="1"/>
  <c r="F6" i="657" a="1"/>
  <c r="F6" i="657" s="1"/>
  <c r="Y6" i="657" a="1"/>
  <c r="Y6" i="657" s="1"/>
  <c r="U6" i="657" a="1"/>
  <c r="U6" i="657" s="1"/>
  <c r="Q6" i="657" a="1"/>
  <c r="Q6" i="657" s="1"/>
  <c r="M6" i="657" a="1"/>
  <c r="M6" i="657" s="1"/>
  <c r="I6" i="657" a="1"/>
  <c r="I6" i="657" s="1"/>
  <c r="E6" i="657" a="1"/>
  <c r="E6" i="657" s="1"/>
  <c r="X6" i="657" a="1"/>
  <c r="X6" i="657" s="1"/>
  <c r="T6" i="657" a="1"/>
  <c r="T6" i="657" s="1"/>
  <c r="P6" i="657" a="1"/>
  <c r="P6" i="657" s="1"/>
  <c r="L6" i="657" a="1"/>
  <c r="L6" i="657" s="1"/>
  <c r="H6" i="657" a="1"/>
  <c r="H6" i="657" s="1"/>
  <c r="W6" i="657" a="1"/>
  <c r="W6" i="657" s="1"/>
  <c r="S6" i="657" a="1"/>
  <c r="S6" i="657" s="1"/>
  <c r="O6" i="657" a="1"/>
  <c r="O6" i="657" s="1"/>
  <c r="K6" i="657" a="1"/>
  <c r="K6" i="657" s="1"/>
  <c r="G6" i="657" a="1"/>
  <c r="G6" i="657" s="1"/>
  <c r="B9" i="657"/>
  <c r="J23" i="657"/>
  <c r="AH3" i="657"/>
  <c r="K24" i="657"/>
  <c r="V11" i="657" a="1"/>
  <c r="V11" i="657" s="1"/>
  <c r="R11" i="657" a="1"/>
  <c r="R11" i="657" s="1"/>
  <c r="N11" i="657" a="1"/>
  <c r="N11" i="657" s="1"/>
  <c r="J11" i="657" a="1"/>
  <c r="J11" i="657" s="1"/>
  <c r="F11" i="657" a="1"/>
  <c r="F11" i="657" s="1"/>
  <c r="Z11" i="657" a="1"/>
  <c r="Z11" i="657" s="1"/>
  <c r="U11" i="657" a="1"/>
  <c r="U11" i="657" s="1"/>
  <c r="Q11" i="657" a="1"/>
  <c r="Q11" i="657" s="1"/>
  <c r="M11" i="657" a="1"/>
  <c r="M11" i="657" s="1"/>
  <c r="I11" i="657" a="1"/>
  <c r="I11" i="657" s="1"/>
  <c r="E11" i="657" a="1"/>
  <c r="E11" i="657" s="1"/>
  <c r="Y11" i="657" a="1"/>
  <c r="Y11" i="657" s="1"/>
  <c r="T11" i="657" a="1"/>
  <c r="T11" i="657" s="1"/>
  <c r="P11" i="657" a="1"/>
  <c r="P11" i="657" s="1"/>
  <c r="L11" i="657" a="1"/>
  <c r="L11" i="657" s="1"/>
  <c r="H11" i="657" a="1"/>
  <c r="H11" i="657" s="1"/>
  <c r="W11" i="657" a="1"/>
  <c r="W11" i="657" s="1"/>
  <c r="S11" i="657" a="1"/>
  <c r="S11" i="657" s="1"/>
  <c r="O11" i="657" a="1"/>
  <c r="O11" i="657" s="1"/>
  <c r="K11" i="657" a="1"/>
  <c r="K11" i="657" s="1"/>
  <c r="G11" i="657" a="1"/>
  <c r="G11" i="657" s="1"/>
  <c r="Y3" i="657" a="1"/>
  <c r="Y3" i="657" s="1"/>
  <c r="U3" i="657" a="1"/>
  <c r="U3" i="657" s="1"/>
  <c r="Q3" i="657" a="1"/>
  <c r="Q3" i="657" s="1"/>
  <c r="M3" i="657" a="1"/>
  <c r="M3" i="657" s="1"/>
  <c r="I3" i="657" a="1"/>
  <c r="I3" i="657" s="1"/>
  <c r="E3" i="657" a="1"/>
  <c r="E3" i="657" s="1"/>
  <c r="X3" i="657" a="1"/>
  <c r="X3" i="657" s="1"/>
  <c r="T3" i="657" a="1"/>
  <c r="T3" i="657" s="1"/>
  <c r="P3" i="657" a="1"/>
  <c r="P3" i="657" s="1"/>
  <c r="L3" i="657" a="1"/>
  <c r="L3" i="657" s="1"/>
  <c r="H3" i="657" a="1"/>
  <c r="H3" i="657" s="1"/>
  <c r="W3" i="657" a="1"/>
  <c r="W3" i="657" s="1"/>
  <c r="S3" i="657" a="1"/>
  <c r="S3" i="657" s="1"/>
  <c r="O3" i="657" a="1"/>
  <c r="O3" i="657" s="1"/>
  <c r="K3" i="657" a="1"/>
  <c r="K3" i="657" s="1"/>
  <c r="G3" i="657" a="1"/>
  <c r="G3" i="657" s="1"/>
  <c r="Z3" i="657" a="1"/>
  <c r="Z3" i="657" s="1"/>
  <c r="V3" i="657" a="1"/>
  <c r="V3" i="657" s="1"/>
  <c r="R3" i="657" a="1"/>
  <c r="R3" i="657" s="1"/>
  <c r="N3" i="657" a="1"/>
  <c r="N3" i="657" s="1"/>
  <c r="J3" i="657" a="1"/>
  <c r="J3" i="657" s="1"/>
  <c r="F3" i="657" a="1"/>
  <c r="F3" i="657" s="1"/>
  <c r="Y4" i="657" a="1"/>
  <c r="Y4" i="657" s="1"/>
  <c r="U4" i="657" a="1"/>
  <c r="U4" i="657" s="1"/>
  <c r="Q4" i="657" a="1"/>
  <c r="Q4" i="657" s="1"/>
  <c r="M4" i="657" a="1"/>
  <c r="M4" i="657" s="1"/>
  <c r="I4" i="657" a="1"/>
  <c r="I4" i="657" s="1"/>
  <c r="E4" i="657" a="1"/>
  <c r="E4" i="657" s="1"/>
  <c r="X4" i="657" a="1"/>
  <c r="X4" i="657" s="1"/>
  <c r="T4" i="657" a="1"/>
  <c r="T4" i="657" s="1"/>
  <c r="P4" i="657" a="1"/>
  <c r="P4" i="657" s="1"/>
  <c r="L4" i="657" a="1"/>
  <c r="L4" i="657" s="1"/>
  <c r="H4" i="657" a="1"/>
  <c r="H4" i="657" s="1"/>
  <c r="W4" i="657" a="1"/>
  <c r="W4" i="657" s="1"/>
  <c r="S4" i="657" a="1"/>
  <c r="S4" i="657" s="1"/>
  <c r="O4" i="657" a="1"/>
  <c r="O4" i="657" s="1"/>
  <c r="K4" i="657" a="1"/>
  <c r="K4" i="657" s="1"/>
  <c r="G4" i="657" a="1"/>
  <c r="G4" i="657" s="1"/>
  <c r="Z4" i="657" a="1"/>
  <c r="Z4" i="657" s="1"/>
  <c r="V4" i="657" a="1"/>
  <c r="V4" i="657" s="1"/>
  <c r="R4" i="657" a="1"/>
  <c r="R4" i="657" s="1"/>
  <c r="N4" i="657" a="1"/>
  <c r="N4" i="657" s="1"/>
  <c r="J4" i="657" a="1"/>
  <c r="J4" i="657" s="1"/>
  <c r="F4" i="657" a="1"/>
  <c r="F4" i="657" s="1"/>
  <c r="Y7" i="657" a="1"/>
  <c r="Y7" i="657" s="1"/>
  <c r="U7" i="657" a="1"/>
  <c r="U7" i="657" s="1"/>
  <c r="Q7" i="657" a="1"/>
  <c r="Q7" i="657" s="1"/>
  <c r="M7" i="657" a="1"/>
  <c r="M7" i="657" s="1"/>
  <c r="I7" i="657" a="1"/>
  <c r="I7" i="657" s="1"/>
  <c r="E7" i="657" a="1"/>
  <c r="E7" i="657" s="1"/>
  <c r="X7" i="657" a="1"/>
  <c r="X7" i="657" s="1"/>
  <c r="T7" i="657" a="1"/>
  <c r="T7" i="657" s="1"/>
  <c r="P7" i="657" a="1"/>
  <c r="P7" i="657" s="1"/>
  <c r="L7" i="657" a="1"/>
  <c r="L7" i="657" s="1"/>
  <c r="H7" i="657" a="1"/>
  <c r="H7" i="657" s="1"/>
  <c r="W7" i="657" a="1"/>
  <c r="W7" i="657" s="1"/>
  <c r="S7" i="657" a="1"/>
  <c r="S7" i="657" s="1"/>
  <c r="O7" i="657" a="1"/>
  <c r="O7" i="657" s="1"/>
  <c r="K7" i="657" a="1"/>
  <c r="K7" i="657" s="1"/>
  <c r="G7" i="657" a="1"/>
  <c r="G7" i="657" s="1"/>
  <c r="Z7" i="657" a="1"/>
  <c r="Z7" i="657" s="1"/>
  <c r="V7" i="657" a="1"/>
  <c r="V7" i="657" s="1"/>
  <c r="R7" i="657" a="1"/>
  <c r="R7" i="657" s="1"/>
  <c r="N7" i="657" a="1"/>
  <c r="N7" i="657" s="1"/>
  <c r="J7" i="657" a="1"/>
  <c r="J7" i="657" s="1"/>
  <c r="F7" i="657" a="1"/>
  <c r="F7" i="657" s="1"/>
  <c r="W9" i="657" a="1"/>
  <c r="W9" i="657" s="1"/>
  <c r="S9" i="657" a="1"/>
  <c r="S9" i="657" s="1"/>
  <c r="O9" i="657" a="1"/>
  <c r="O9" i="657" s="1"/>
  <c r="K9" i="657" a="1"/>
  <c r="K9" i="657" s="1"/>
  <c r="G9" i="657" a="1"/>
  <c r="G9" i="657" s="1"/>
  <c r="Z9" i="657" a="1"/>
  <c r="Z9" i="657" s="1"/>
  <c r="V9" i="657" a="1"/>
  <c r="V9" i="657" s="1"/>
  <c r="R9" i="657" a="1"/>
  <c r="R9" i="657" s="1"/>
  <c r="N9" i="657" a="1"/>
  <c r="N9" i="657" s="1"/>
  <c r="J9" i="657" a="1"/>
  <c r="J9" i="657" s="1"/>
  <c r="F9" i="657" a="1"/>
  <c r="F9" i="657" s="1"/>
  <c r="Y9" i="657" a="1"/>
  <c r="Y9" i="657" s="1"/>
  <c r="U9" i="657" a="1"/>
  <c r="U9" i="657" s="1"/>
  <c r="Q9" i="657" a="1"/>
  <c r="Q9" i="657" s="1"/>
  <c r="M9" i="657" a="1"/>
  <c r="M9" i="657" s="1"/>
  <c r="I9" i="657" a="1"/>
  <c r="I9" i="657" s="1"/>
  <c r="E9" i="657" a="1"/>
  <c r="E9" i="657" s="1"/>
  <c r="X9" i="657" a="1"/>
  <c r="X9" i="657" s="1"/>
  <c r="T9" i="657" a="1"/>
  <c r="T9" i="657" s="1"/>
  <c r="P9" i="657" a="1"/>
  <c r="P9" i="657" s="1"/>
  <c r="L9" i="657" a="1"/>
  <c r="L9" i="657" s="1"/>
  <c r="H9" i="657" a="1"/>
  <c r="H9" i="657" s="1"/>
  <c r="X8" i="657" a="1"/>
  <c r="X8" i="657" s="1"/>
  <c r="T8" i="657" a="1"/>
  <c r="T8" i="657" s="1"/>
  <c r="P8" i="657" a="1"/>
  <c r="P8" i="657" s="1"/>
  <c r="L8" i="657" a="1"/>
  <c r="L8" i="657" s="1"/>
  <c r="H8" i="657" a="1"/>
  <c r="H8" i="657" s="1"/>
  <c r="W8" i="657" a="1"/>
  <c r="W8" i="657" s="1"/>
  <c r="S8" i="657" a="1"/>
  <c r="S8" i="657" s="1"/>
  <c r="O8" i="657" a="1"/>
  <c r="O8" i="657" s="1"/>
  <c r="K8" i="657" a="1"/>
  <c r="K8" i="657" s="1"/>
  <c r="G8" i="657" a="1"/>
  <c r="G8" i="657" s="1"/>
  <c r="Z8" i="657" a="1"/>
  <c r="Z8" i="657" s="1"/>
  <c r="V8" i="657" a="1"/>
  <c r="V8" i="657" s="1"/>
  <c r="R8" i="657" a="1"/>
  <c r="R8" i="657" s="1"/>
  <c r="N8" i="657" a="1"/>
  <c r="N8" i="657" s="1"/>
  <c r="J8" i="657" a="1"/>
  <c r="J8" i="657" s="1"/>
  <c r="F8" i="657" a="1"/>
  <c r="F8" i="657" s="1"/>
  <c r="Y8" i="657" a="1"/>
  <c r="Y8" i="657" s="1"/>
  <c r="U8" i="657" a="1"/>
  <c r="U8" i="657" s="1"/>
  <c r="Q8" i="657" a="1"/>
  <c r="Q8" i="657" s="1"/>
  <c r="M8" i="657" a="1"/>
  <c r="M8" i="657" s="1"/>
  <c r="I8" i="657" a="1"/>
  <c r="I8" i="657" s="1"/>
  <c r="E8" i="657" a="1"/>
  <c r="E8" i="657" s="1"/>
  <c r="X5" i="657" a="1"/>
  <c r="X5" i="657" s="1"/>
  <c r="T5" i="657" a="1"/>
  <c r="T5" i="657" s="1"/>
  <c r="P5" i="657" a="1"/>
  <c r="P5" i="657" s="1"/>
  <c r="L5" i="657" a="1"/>
  <c r="L5" i="657" s="1"/>
  <c r="H5" i="657" a="1"/>
  <c r="H5" i="657" s="1"/>
  <c r="W5" i="657" a="1"/>
  <c r="W5" i="657" s="1"/>
  <c r="S5" i="657" a="1"/>
  <c r="S5" i="657" s="1"/>
  <c r="O5" i="657" a="1"/>
  <c r="O5" i="657" s="1"/>
  <c r="K5" i="657" a="1"/>
  <c r="K5" i="657" s="1"/>
  <c r="G5" i="657" a="1"/>
  <c r="G5" i="657" s="1"/>
  <c r="Z5" i="657" a="1"/>
  <c r="Z5" i="657" s="1"/>
  <c r="V5" i="657" a="1"/>
  <c r="V5" i="657" s="1"/>
  <c r="R5" i="657" a="1"/>
  <c r="R5" i="657" s="1"/>
  <c r="N5" i="657" a="1"/>
  <c r="N5" i="657" s="1"/>
  <c r="J5" i="657" a="1"/>
  <c r="J5" i="657" s="1"/>
  <c r="F5" i="657" a="1"/>
  <c r="F5" i="657" s="1"/>
  <c r="Y5" i="657" a="1"/>
  <c r="Y5" i="657" s="1"/>
  <c r="U5" i="657" a="1"/>
  <c r="U5" i="657" s="1"/>
  <c r="Q5" i="657" a="1"/>
  <c r="Q5" i="657" s="1"/>
  <c r="M5" i="657" a="1"/>
  <c r="M5" i="657" s="1"/>
  <c r="I5" i="657" a="1"/>
  <c r="I5" i="657" s="1"/>
  <c r="E5" i="657" a="1"/>
  <c r="E5" i="657" s="1"/>
  <c r="W10" i="656" a="1"/>
  <c r="W10" i="656" s="1"/>
  <c r="S10" i="656" a="1"/>
  <c r="S10" i="656" s="1"/>
  <c r="O10" i="656" a="1"/>
  <c r="O10" i="656" s="1"/>
  <c r="K10" i="656" a="1"/>
  <c r="K10" i="656" s="1"/>
  <c r="G10" i="656" a="1"/>
  <c r="G10" i="656" s="1"/>
  <c r="Z10" i="656" a="1"/>
  <c r="Z10" i="656" s="1"/>
  <c r="V10" i="656" a="1"/>
  <c r="V10" i="656" s="1"/>
  <c r="R10" i="656" a="1"/>
  <c r="R10" i="656" s="1"/>
  <c r="N10" i="656" a="1"/>
  <c r="N10" i="656" s="1"/>
  <c r="J10" i="656" a="1"/>
  <c r="J10" i="656" s="1"/>
  <c r="F10" i="656" a="1"/>
  <c r="F10" i="656" s="1"/>
  <c r="Y10" i="656" a="1"/>
  <c r="Y10" i="656" s="1"/>
  <c r="U10" i="656" a="1"/>
  <c r="U10" i="656" s="1"/>
  <c r="Q10" i="656" a="1"/>
  <c r="Q10" i="656" s="1"/>
  <c r="M10" i="656" a="1"/>
  <c r="M10" i="656" s="1"/>
  <c r="I10" i="656" a="1"/>
  <c r="I10" i="656" s="1"/>
  <c r="E10" i="656" a="1"/>
  <c r="E10" i="656" s="1"/>
  <c r="X10" i="656" a="1"/>
  <c r="X10" i="656" s="1"/>
  <c r="T10" i="656" a="1"/>
  <c r="T10" i="656" s="1"/>
  <c r="P10" i="656" a="1"/>
  <c r="P10" i="656" s="1"/>
  <c r="L10" i="656" a="1"/>
  <c r="L10" i="656" s="1"/>
  <c r="H10" i="656" a="1"/>
  <c r="H10" i="656" s="1"/>
  <c r="W12" i="656" a="1"/>
  <c r="W12" i="656" s="1"/>
  <c r="S12" i="656" a="1"/>
  <c r="S12" i="656" s="1"/>
  <c r="O12" i="656" a="1"/>
  <c r="O12" i="656" s="1"/>
  <c r="K12" i="656" a="1"/>
  <c r="K12" i="656" s="1"/>
  <c r="G12" i="656" a="1"/>
  <c r="G12" i="656" s="1"/>
  <c r="Z12" i="656" a="1"/>
  <c r="Z12" i="656" s="1"/>
  <c r="V12" i="656" a="1"/>
  <c r="V12" i="656" s="1"/>
  <c r="R12" i="656" a="1"/>
  <c r="R12" i="656" s="1"/>
  <c r="N12" i="656" a="1"/>
  <c r="N12" i="656" s="1"/>
  <c r="J12" i="656" a="1"/>
  <c r="J12" i="656" s="1"/>
  <c r="F12" i="656" a="1"/>
  <c r="F12" i="656" s="1"/>
  <c r="Y12" i="656" a="1"/>
  <c r="Y12" i="656" s="1"/>
  <c r="U12" i="656" a="1"/>
  <c r="U12" i="656" s="1"/>
  <c r="Q12" i="656" a="1"/>
  <c r="Q12" i="656" s="1"/>
  <c r="M12" i="656" a="1"/>
  <c r="M12" i="656" s="1"/>
  <c r="I12" i="656" a="1"/>
  <c r="I12" i="656" s="1"/>
  <c r="E12" i="656" a="1"/>
  <c r="E12" i="656" s="1"/>
  <c r="X12" i="656" a="1"/>
  <c r="X12" i="656" s="1"/>
  <c r="T12" i="656" a="1"/>
  <c r="T12" i="656" s="1"/>
  <c r="P12" i="656" a="1"/>
  <c r="P12" i="656" s="1"/>
  <c r="L12" i="656" a="1"/>
  <c r="L12" i="656" s="1"/>
  <c r="H12" i="656" a="1"/>
  <c r="H12" i="656" s="1"/>
  <c r="Z6" i="656" a="1"/>
  <c r="Z6" i="656" s="1"/>
  <c r="V6" i="656" a="1"/>
  <c r="V6" i="656" s="1"/>
  <c r="R6" i="656" a="1"/>
  <c r="R6" i="656" s="1"/>
  <c r="N6" i="656" a="1"/>
  <c r="N6" i="656" s="1"/>
  <c r="J6" i="656" a="1"/>
  <c r="J6" i="656" s="1"/>
  <c r="F6" i="656" a="1"/>
  <c r="F6" i="656" s="1"/>
  <c r="Y6" i="656" a="1"/>
  <c r="Y6" i="656" s="1"/>
  <c r="U6" i="656" a="1"/>
  <c r="U6" i="656" s="1"/>
  <c r="Q6" i="656" a="1"/>
  <c r="Q6" i="656" s="1"/>
  <c r="M6" i="656" a="1"/>
  <c r="M6" i="656" s="1"/>
  <c r="I6" i="656" a="1"/>
  <c r="I6" i="656" s="1"/>
  <c r="E6" i="656" a="1"/>
  <c r="E6" i="656" s="1"/>
  <c r="X6" i="656" a="1"/>
  <c r="X6" i="656" s="1"/>
  <c r="T6" i="656" a="1"/>
  <c r="T6" i="656" s="1"/>
  <c r="P6" i="656" a="1"/>
  <c r="P6" i="656" s="1"/>
  <c r="L6" i="656" a="1"/>
  <c r="L6" i="656" s="1"/>
  <c r="H6" i="656" a="1"/>
  <c r="H6" i="656" s="1"/>
  <c r="W6" i="656" a="1"/>
  <c r="W6" i="656" s="1"/>
  <c r="S6" i="656" a="1"/>
  <c r="S6" i="656" s="1"/>
  <c r="O6" i="656" a="1"/>
  <c r="O6" i="656" s="1"/>
  <c r="K6" i="656" a="1"/>
  <c r="K6" i="656" s="1"/>
  <c r="G6" i="656" a="1"/>
  <c r="G6" i="656" s="1"/>
  <c r="B9" i="656"/>
  <c r="J23" i="656"/>
  <c r="AH3" i="656"/>
  <c r="K24" i="656"/>
  <c r="V11" i="656" a="1"/>
  <c r="V11" i="656" s="1"/>
  <c r="R11" i="656" a="1"/>
  <c r="R11" i="656" s="1"/>
  <c r="N11" i="656" a="1"/>
  <c r="N11" i="656" s="1"/>
  <c r="J11" i="656" a="1"/>
  <c r="J11" i="656" s="1"/>
  <c r="F11" i="656" a="1"/>
  <c r="F11" i="656" s="1"/>
  <c r="Z11" i="656" a="1"/>
  <c r="Z11" i="656" s="1"/>
  <c r="U11" i="656" a="1"/>
  <c r="U11" i="656" s="1"/>
  <c r="Q11" i="656" a="1"/>
  <c r="Q11" i="656" s="1"/>
  <c r="M11" i="656" a="1"/>
  <c r="M11" i="656" s="1"/>
  <c r="I11" i="656" a="1"/>
  <c r="I11" i="656" s="1"/>
  <c r="E11" i="656" a="1"/>
  <c r="E11" i="656" s="1"/>
  <c r="Y11" i="656" a="1"/>
  <c r="Y11" i="656" s="1"/>
  <c r="T11" i="656" a="1"/>
  <c r="T11" i="656" s="1"/>
  <c r="P11" i="656" a="1"/>
  <c r="P11" i="656" s="1"/>
  <c r="L11" i="656" a="1"/>
  <c r="L11" i="656" s="1"/>
  <c r="H11" i="656" a="1"/>
  <c r="H11" i="656" s="1"/>
  <c r="W11" i="656" a="1"/>
  <c r="W11" i="656" s="1"/>
  <c r="S11" i="656" a="1"/>
  <c r="S11" i="656" s="1"/>
  <c r="O11" i="656" a="1"/>
  <c r="O11" i="656" s="1"/>
  <c r="K11" i="656" a="1"/>
  <c r="K11" i="656" s="1"/>
  <c r="G11" i="656" a="1"/>
  <c r="G11" i="656" s="1"/>
  <c r="Y3" i="656" a="1"/>
  <c r="Y3" i="656" s="1"/>
  <c r="U3" i="656" a="1"/>
  <c r="U3" i="656" s="1"/>
  <c r="Q3" i="656" a="1"/>
  <c r="Q3" i="656" s="1"/>
  <c r="M3" i="656" a="1"/>
  <c r="M3" i="656" s="1"/>
  <c r="I3" i="656" a="1"/>
  <c r="I3" i="656" s="1"/>
  <c r="E3" i="656" a="1"/>
  <c r="E3" i="656" s="1"/>
  <c r="X3" i="656" a="1"/>
  <c r="X3" i="656" s="1"/>
  <c r="T3" i="656" a="1"/>
  <c r="T3" i="656" s="1"/>
  <c r="P3" i="656" a="1"/>
  <c r="P3" i="656" s="1"/>
  <c r="L3" i="656" a="1"/>
  <c r="L3" i="656" s="1"/>
  <c r="H3" i="656" a="1"/>
  <c r="H3" i="656" s="1"/>
  <c r="W3" i="656" a="1"/>
  <c r="W3" i="656" s="1"/>
  <c r="S3" i="656" a="1"/>
  <c r="S3" i="656" s="1"/>
  <c r="O3" i="656" a="1"/>
  <c r="O3" i="656" s="1"/>
  <c r="K3" i="656" a="1"/>
  <c r="K3" i="656" s="1"/>
  <c r="G3" i="656" a="1"/>
  <c r="G3" i="656" s="1"/>
  <c r="Z3" i="656" a="1"/>
  <c r="Z3" i="656" s="1"/>
  <c r="V3" i="656" a="1"/>
  <c r="V3" i="656" s="1"/>
  <c r="R3" i="656" a="1"/>
  <c r="R3" i="656" s="1"/>
  <c r="N3" i="656" a="1"/>
  <c r="N3" i="656" s="1"/>
  <c r="J3" i="656" a="1"/>
  <c r="J3" i="656" s="1"/>
  <c r="F3" i="656" a="1"/>
  <c r="F3" i="656" s="1"/>
  <c r="Y4" i="656" a="1"/>
  <c r="Y4" i="656" s="1"/>
  <c r="U4" i="656" a="1"/>
  <c r="U4" i="656" s="1"/>
  <c r="Q4" i="656" a="1"/>
  <c r="Q4" i="656" s="1"/>
  <c r="M4" i="656" a="1"/>
  <c r="M4" i="656" s="1"/>
  <c r="I4" i="656" a="1"/>
  <c r="I4" i="656" s="1"/>
  <c r="E4" i="656" a="1"/>
  <c r="E4" i="656" s="1"/>
  <c r="X4" i="656" a="1"/>
  <c r="X4" i="656" s="1"/>
  <c r="T4" i="656" a="1"/>
  <c r="T4" i="656" s="1"/>
  <c r="P4" i="656" a="1"/>
  <c r="P4" i="656" s="1"/>
  <c r="L4" i="656" a="1"/>
  <c r="L4" i="656" s="1"/>
  <c r="H4" i="656" a="1"/>
  <c r="H4" i="656" s="1"/>
  <c r="W4" i="656" a="1"/>
  <c r="W4" i="656" s="1"/>
  <c r="S4" i="656" a="1"/>
  <c r="S4" i="656" s="1"/>
  <c r="O4" i="656" a="1"/>
  <c r="O4" i="656" s="1"/>
  <c r="K4" i="656" a="1"/>
  <c r="K4" i="656" s="1"/>
  <c r="G4" i="656" a="1"/>
  <c r="G4" i="656" s="1"/>
  <c r="Z4" i="656" a="1"/>
  <c r="Z4" i="656" s="1"/>
  <c r="V4" i="656" a="1"/>
  <c r="V4" i="656" s="1"/>
  <c r="R4" i="656" a="1"/>
  <c r="R4" i="656" s="1"/>
  <c r="N4" i="656" a="1"/>
  <c r="N4" i="656" s="1"/>
  <c r="J4" i="656" a="1"/>
  <c r="J4" i="656" s="1"/>
  <c r="F4" i="656" a="1"/>
  <c r="F4" i="656" s="1"/>
  <c r="Y7" i="656" a="1"/>
  <c r="Y7" i="656" s="1"/>
  <c r="U7" i="656" a="1"/>
  <c r="U7" i="656" s="1"/>
  <c r="Q7" i="656" a="1"/>
  <c r="Q7" i="656" s="1"/>
  <c r="M7" i="656" a="1"/>
  <c r="M7" i="656" s="1"/>
  <c r="I7" i="656" a="1"/>
  <c r="I7" i="656" s="1"/>
  <c r="E7" i="656" a="1"/>
  <c r="E7" i="656" s="1"/>
  <c r="X7" i="656" a="1"/>
  <c r="X7" i="656" s="1"/>
  <c r="T7" i="656" a="1"/>
  <c r="T7" i="656" s="1"/>
  <c r="P7" i="656" a="1"/>
  <c r="P7" i="656" s="1"/>
  <c r="L7" i="656" a="1"/>
  <c r="L7" i="656" s="1"/>
  <c r="H7" i="656" a="1"/>
  <c r="H7" i="656" s="1"/>
  <c r="W7" i="656" a="1"/>
  <c r="W7" i="656" s="1"/>
  <c r="S7" i="656" a="1"/>
  <c r="S7" i="656" s="1"/>
  <c r="O7" i="656" a="1"/>
  <c r="O7" i="656" s="1"/>
  <c r="K7" i="656" a="1"/>
  <c r="K7" i="656" s="1"/>
  <c r="G7" i="656" a="1"/>
  <c r="G7" i="656" s="1"/>
  <c r="Z7" i="656" a="1"/>
  <c r="Z7" i="656" s="1"/>
  <c r="V7" i="656" a="1"/>
  <c r="V7" i="656" s="1"/>
  <c r="R7" i="656" a="1"/>
  <c r="R7" i="656" s="1"/>
  <c r="N7" i="656" a="1"/>
  <c r="N7" i="656" s="1"/>
  <c r="J7" i="656" a="1"/>
  <c r="J7" i="656" s="1"/>
  <c r="F7" i="656" a="1"/>
  <c r="F7" i="656" s="1"/>
  <c r="W9" i="656" a="1"/>
  <c r="W9" i="656" s="1"/>
  <c r="S9" i="656" a="1"/>
  <c r="S9" i="656" s="1"/>
  <c r="O9" i="656" a="1"/>
  <c r="O9" i="656" s="1"/>
  <c r="K9" i="656" a="1"/>
  <c r="K9" i="656" s="1"/>
  <c r="G9" i="656" a="1"/>
  <c r="G9" i="656" s="1"/>
  <c r="Z9" i="656" a="1"/>
  <c r="Z9" i="656" s="1"/>
  <c r="V9" i="656" a="1"/>
  <c r="V9" i="656" s="1"/>
  <c r="R9" i="656" a="1"/>
  <c r="R9" i="656" s="1"/>
  <c r="N9" i="656" a="1"/>
  <c r="N9" i="656" s="1"/>
  <c r="J9" i="656" a="1"/>
  <c r="J9" i="656" s="1"/>
  <c r="F9" i="656" a="1"/>
  <c r="F9" i="656" s="1"/>
  <c r="Y9" i="656" a="1"/>
  <c r="Y9" i="656" s="1"/>
  <c r="U9" i="656" a="1"/>
  <c r="U9" i="656" s="1"/>
  <c r="Q9" i="656" a="1"/>
  <c r="Q9" i="656" s="1"/>
  <c r="M9" i="656" a="1"/>
  <c r="M9" i="656" s="1"/>
  <c r="I9" i="656" a="1"/>
  <c r="I9" i="656" s="1"/>
  <c r="E9" i="656" a="1"/>
  <c r="E9" i="656" s="1"/>
  <c r="X9" i="656" a="1"/>
  <c r="X9" i="656" s="1"/>
  <c r="T9" i="656" a="1"/>
  <c r="T9" i="656" s="1"/>
  <c r="P9" i="656" a="1"/>
  <c r="P9" i="656" s="1"/>
  <c r="L9" i="656" a="1"/>
  <c r="L9" i="656" s="1"/>
  <c r="H9" i="656" a="1"/>
  <c r="H9" i="656" s="1"/>
  <c r="X8" i="656" a="1"/>
  <c r="X8" i="656" s="1"/>
  <c r="T8" i="656" a="1"/>
  <c r="T8" i="656" s="1"/>
  <c r="P8" i="656" a="1"/>
  <c r="P8" i="656" s="1"/>
  <c r="L8" i="656" a="1"/>
  <c r="L8" i="656" s="1"/>
  <c r="H8" i="656" a="1"/>
  <c r="H8" i="656" s="1"/>
  <c r="W8" i="656" a="1"/>
  <c r="W8" i="656" s="1"/>
  <c r="S8" i="656" a="1"/>
  <c r="S8" i="656" s="1"/>
  <c r="O8" i="656" a="1"/>
  <c r="O8" i="656" s="1"/>
  <c r="K8" i="656" a="1"/>
  <c r="K8" i="656" s="1"/>
  <c r="G8" i="656" a="1"/>
  <c r="G8" i="656" s="1"/>
  <c r="Z8" i="656" a="1"/>
  <c r="Z8" i="656" s="1"/>
  <c r="V8" i="656" a="1"/>
  <c r="V8" i="656" s="1"/>
  <c r="R8" i="656" a="1"/>
  <c r="R8" i="656" s="1"/>
  <c r="N8" i="656" a="1"/>
  <c r="N8" i="656" s="1"/>
  <c r="J8" i="656" a="1"/>
  <c r="J8" i="656" s="1"/>
  <c r="F8" i="656" a="1"/>
  <c r="F8" i="656" s="1"/>
  <c r="Y8" i="656" a="1"/>
  <c r="Y8" i="656" s="1"/>
  <c r="U8" i="656" a="1"/>
  <c r="U8" i="656" s="1"/>
  <c r="Q8" i="656" a="1"/>
  <c r="Q8" i="656" s="1"/>
  <c r="M8" i="656" a="1"/>
  <c r="M8" i="656" s="1"/>
  <c r="I8" i="656" a="1"/>
  <c r="I8" i="656" s="1"/>
  <c r="E8" i="656" a="1"/>
  <c r="E8" i="656" s="1"/>
  <c r="X5" i="656" a="1"/>
  <c r="X5" i="656" s="1"/>
  <c r="T5" i="656" a="1"/>
  <c r="T5" i="656" s="1"/>
  <c r="P5" i="656" a="1"/>
  <c r="P5" i="656" s="1"/>
  <c r="L5" i="656" a="1"/>
  <c r="L5" i="656" s="1"/>
  <c r="H5" i="656" a="1"/>
  <c r="H5" i="656" s="1"/>
  <c r="W5" i="656" a="1"/>
  <c r="W5" i="656" s="1"/>
  <c r="S5" i="656" a="1"/>
  <c r="S5" i="656" s="1"/>
  <c r="O5" i="656" a="1"/>
  <c r="O5" i="656" s="1"/>
  <c r="K5" i="656" a="1"/>
  <c r="K5" i="656" s="1"/>
  <c r="G5" i="656" a="1"/>
  <c r="G5" i="656" s="1"/>
  <c r="Z5" i="656" a="1"/>
  <c r="Z5" i="656" s="1"/>
  <c r="V5" i="656" a="1"/>
  <c r="V5" i="656" s="1"/>
  <c r="R5" i="656" a="1"/>
  <c r="R5" i="656" s="1"/>
  <c r="N5" i="656" a="1"/>
  <c r="N5" i="656" s="1"/>
  <c r="J5" i="656" a="1"/>
  <c r="J5" i="656" s="1"/>
  <c r="F5" i="656" a="1"/>
  <c r="F5" i="656" s="1"/>
  <c r="Y5" i="656" a="1"/>
  <c r="Y5" i="656" s="1"/>
  <c r="U5" i="656" a="1"/>
  <c r="U5" i="656" s="1"/>
  <c r="Q5" i="656" a="1"/>
  <c r="Q5" i="656" s="1"/>
  <c r="M5" i="656" a="1"/>
  <c r="M5" i="656" s="1"/>
  <c r="I5" i="656" a="1"/>
  <c r="I5" i="656" s="1"/>
  <c r="E5" i="656" a="1"/>
  <c r="E5" i="656" s="1"/>
  <c r="Z6" i="655" a="1"/>
  <c r="Z6" i="655" s="1"/>
  <c r="V6" i="655" a="1"/>
  <c r="V6" i="655" s="1"/>
  <c r="R6" i="655" a="1"/>
  <c r="R6" i="655" s="1"/>
  <c r="N6" i="655" a="1"/>
  <c r="N6" i="655" s="1"/>
  <c r="J6" i="655" a="1"/>
  <c r="J6" i="655" s="1"/>
  <c r="F6" i="655" a="1"/>
  <c r="F6" i="655" s="1"/>
  <c r="G6" i="655" a="1"/>
  <c r="G6" i="655" s="1"/>
  <c r="Y6" i="655" a="1"/>
  <c r="Y6" i="655" s="1"/>
  <c r="U6" i="655" a="1"/>
  <c r="U6" i="655" s="1"/>
  <c r="Q6" i="655" a="1"/>
  <c r="Q6" i="655" s="1"/>
  <c r="M6" i="655" a="1"/>
  <c r="M6" i="655" s="1"/>
  <c r="I6" i="655" a="1"/>
  <c r="I6" i="655" s="1"/>
  <c r="E6" i="655" a="1"/>
  <c r="E6" i="655" s="1"/>
  <c r="W6" i="655" a="1"/>
  <c r="W6" i="655" s="1"/>
  <c r="K6" i="655" a="1"/>
  <c r="K6" i="655" s="1"/>
  <c r="X6" i="655" a="1"/>
  <c r="X6" i="655" s="1"/>
  <c r="T6" i="655" a="1"/>
  <c r="T6" i="655" s="1"/>
  <c r="P6" i="655" a="1"/>
  <c r="P6" i="655" s="1"/>
  <c r="L6" i="655" a="1"/>
  <c r="L6" i="655" s="1"/>
  <c r="H6" i="655" a="1"/>
  <c r="H6" i="655" s="1"/>
  <c r="O6" i="655" a="1"/>
  <c r="O6" i="655" s="1"/>
  <c r="S6" i="655" a="1"/>
  <c r="S6" i="655" s="1"/>
  <c r="B9" i="655"/>
  <c r="J23" i="655"/>
  <c r="AH3" i="655"/>
  <c r="K24" i="655"/>
  <c r="Y3" i="655" a="1"/>
  <c r="Y3" i="655" s="1"/>
  <c r="U3" i="655" a="1"/>
  <c r="U3" i="655" s="1"/>
  <c r="Q3" i="655" a="1"/>
  <c r="Q3" i="655" s="1"/>
  <c r="M3" i="655" a="1"/>
  <c r="M3" i="655" s="1"/>
  <c r="I3" i="655" a="1"/>
  <c r="I3" i="655" s="1"/>
  <c r="E3" i="655" a="1"/>
  <c r="E3" i="655" s="1"/>
  <c r="N3" i="655" a="1"/>
  <c r="N3" i="655" s="1"/>
  <c r="R3" i="655" a="1"/>
  <c r="R3" i="655" s="1"/>
  <c r="X3" i="655" a="1"/>
  <c r="X3" i="655" s="1"/>
  <c r="T3" i="655" a="1"/>
  <c r="T3" i="655" s="1"/>
  <c r="P3" i="655" a="1"/>
  <c r="P3" i="655" s="1"/>
  <c r="L3" i="655" a="1"/>
  <c r="L3" i="655" s="1"/>
  <c r="H3" i="655" a="1"/>
  <c r="H3" i="655" s="1"/>
  <c r="Z3" i="655" a="1"/>
  <c r="Z3" i="655" s="1"/>
  <c r="W3" i="655" a="1"/>
  <c r="W3" i="655" s="1"/>
  <c r="S3" i="655" a="1"/>
  <c r="S3" i="655" s="1"/>
  <c r="O3" i="655" a="1"/>
  <c r="O3" i="655" s="1"/>
  <c r="K3" i="655" a="1"/>
  <c r="K3" i="655" s="1"/>
  <c r="G3" i="655" a="1"/>
  <c r="G3" i="655" s="1"/>
  <c r="J3" i="655" a="1"/>
  <c r="J3" i="655" s="1"/>
  <c r="V3" i="655" a="1"/>
  <c r="V3" i="655" s="1"/>
  <c r="F3" i="655" a="1"/>
  <c r="F3" i="655" s="1"/>
  <c r="Y4" i="655" a="1"/>
  <c r="Y4" i="655" s="1"/>
  <c r="U4" i="655" a="1"/>
  <c r="U4" i="655" s="1"/>
  <c r="Q4" i="655" a="1"/>
  <c r="Q4" i="655" s="1"/>
  <c r="M4" i="655" a="1"/>
  <c r="M4" i="655" s="1"/>
  <c r="I4" i="655" a="1"/>
  <c r="I4" i="655" s="1"/>
  <c r="E4" i="655" a="1"/>
  <c r="E4" i="655" s="1"/>
  <c r="V4" i="655" a="1"/>
  <c r="V4" i="655" s="1"/>
  <c r="N4" i="655" a="1"/>
  <c r="N4" i="655" s="1"/>
  <c r="X4" i="655" a="1"/>
  <c r="X4" i="655" s="1"/>
  <c r="T4" i="655" a="1"/>
  <c r="T4" i="655" s="1"/>
  <c r="P4" i="655" a="1"/>
  <c r="P4" i="655" s="1"/>
  <c r="L4" i="655" a="1"/>
  <c r="L4" i="655" s="1"/>
  <c r="H4" i="655" a="1"/>
  <c r="H4" i="655" s="1"/>
  <c r="Z4" i="655" a="1"/>
  <c r="Z4" i="655" s="1"/>
  <c r="J4" i="655" a="1"/>
  <c r="J4" i="655" s="1"/>
  <c r="W4" i="655" a="1"/>
  <c r="W4" i="655" s="1"/>
  <c r="S4" i="655" a="1"/>
  <c r="S4" i="655" s="1"/>
  <c r="O4" i="655" a="1"/>
  <c r="O4" i="655" s="1"/>
  <c r="K4" i="655" a="1"/>
  <c r="K4" i="655" s="1"/>
  <c r="G4" i="655" a="1"/>
  <c r="G4" i="655" s="1"/>
  <c r="F4" i="655" a="1"/>
  <c r="F4" i="655" s="1"/>
  <c r="R4" i="655" a="1"/>
  <c r="R4" i="655" s="1"/>
  <c r="J7" i="655" a="1"/>
  <c r="J7" i="655" s="1"/>
  <c r="Y7" i="655" a="1"/>
  <c r="Y7" i="655" s="1"/>
  <c r="U7" i="655" a="1"/>
  <c r="U7" i="655" s="1"/>
  <c r="Q7" i="655" a="1"/>
  <c r="Q7" i="655" s="1"/>
  <c r="M7" i="655" a="1"/>
  <c r="M7" i="655" s="1"/>
  <c r="I7" i="655" a="1"/>
  <c r="I7" i="655" s="1"/>
  <c r="E7" i="655" a="1"/>
  <c r="E7" i="655" s="1"/>
  <c r="V7" i="655" a="1"/>
  <c r="V7" i="655" s="1"/>
  <c r="F7" i="655" a="1"/>
  <c r="F7" i="655" s="1"/>
  <c r="X7" i="655" a="1"/>
  <c r="X7" i="655" s="1"/>
  <c r="T7" i="655" a="1"/>
  <c r="T7" i="655" s="1"/>
  <c r="P7" i="655" a="1"/>
  <c r="P7" i="655" s="1"/>
  <c r="L7" i="655" a="1"/>
  <c r="L7" i="655" s="1"/>
  <c r="H7" i="655" a="1"/>
  <c r="H7" i="655" s="1"/>
  <c r="Z7" i="655" a="1"/>
  <c r="Z7" i="655" s="1"/>
  <c r="W7" i="655" a="1"/>
  <c r="W7" i="655" s="1"/>
  <c r="S7" i="655" a="1"/>
  <c r="S7" i="655" s="1"/>
  <c r="O7" i="655" a="1"/>
  <c r="O7" i="655" s="1"/>
  <c r="K7" i="655" a="1"/>
  <c r="K7" i="655" s="1"/>
  <c r="G7" i="655" a="1"/>
  <c r="G7" i="655" s="1"/>
  <c r="N7" i="655" a="1"/>
  <c r="N7" i="655" s="1"/>
  <c r="R7" i="655" a="1"/>
  <c r="R7" i="655" s="1"/>
  <c r="X8" i="655" a="1"/>
  <c r="X8" i="655" s="1"/>
  <c r="T8" i="655" a="1"/>
  <c r="T8" i="655" s="1"/>
  <c r="P8" i="655" a="1"/>
  <c r="P8" i="655" s="1"/>
  <c r="L8" i="655" a="1"/>
  <c r="L8" i="655" s="1"/>
  <c r="H8" i="655" a="1"/>
  <c r="H8" i="655" s="1"/>
  <c r="M8" i="655" a="1"/>
  <c r="M8" i="655" s="1"/>
  <c r="I8" i="655" a="1"/>
  <c r="I8" i="655" s="1"/>
  <c r="W8" i="655" a="1"/>
  <c r="W8" i="655" s="1"/>
  <c r="S8" i="655" a="1"/>
  <c r="S8" i="655" s="1"/>
  <c r="O8" i="655" a="1"/>
  <c r="O8" i="655" s="1"/>
  <c r="K8" i="655" a="1"/>
  <c r="K8" i="655" s="1"/>
  <c r="G8" i="655" a="1"/>
  <c r="G8" i="655" s="1"/>
  <c r="U8" i="655" a="1"/>
  <c r="U8" i="655" s="1"/>
  <c r="Z8" i="655" a="1"/>
  <c r="Z8" i="655" s="1"/>
  <c r="V8" i="655" a="1"/>
  <c r="V8" i="655" s="1"/>
  <c r="R8" i="655" a="1"/>
  <c r="R8" i="655" s="1"/>
  <c r="N8" i="655" a="1"/>
  <c r="N8" i="655" s="1"/>
  <c r="J8" i="655" a="1"/>
  <c r="J8" i="655" s="1"/>
  <c r="F8" i="655" a="1"/>
  <c r="F8" i="655" s="1"/>
  <c r="Y8" i="655" a="1"/>
  <c r="Y8" i="655" s="1"/>
  <c r="E8" i="655" a="1"/>
  <c r="E8" i="655" s="1"/>
  <c r="Q8" i="655" a="1"/>
  <c r="Q8" i="655" s="1"/>
  <c r="W10" i="655" a="1"/>
  <c r="W10" i="655" s="1"/>
  <c r="S10" i="655" a="1"/>
  <c r="S10" i="655" s="1"/>
  <c r="O10" i="655" a="1"/>
  <c r="O10" i="655" s="1"/>
  <c r="K10" i="655" a="1"/>
  <c r="K10" i="655" s="1"/>
  <c r="G10" i="655" a="1"/>
  <c r="G10" i="655" s="1"/>
  <c r="Z10" i="655" a="1"/>
  <c r="Z10" i="655" s="1"/>
  <c r="V10" i="655" a="1"/>
  <c r="V10" i="655" s="1"/>
  <c r="R10" i="655" a="1"/>
  <c r="R10" i="655" s="1"/>
  <c r="N10" i="655" a="1"/>
  <c r="N10" i="655" s="1"/>
  <c r="J10" i="655" a="1"/>
  <c r="J10" i="655" s="1"/>
  <c r="F10" i="655" a="1"/>
  <c r="F10" i="655" s="1"/>
  <c r="Y10" i="655" a="1"/>
  <c r="Y10" i="655" s="1"/>
  <c r="U10" i="655" a="1"/>
  <c r="U10" i="655" s="1"/>
  <c r="Q10" i="655" a="1"/>
  <c r="Q10" i="655" s="1"/>
  <c r="M10" i="655" a="1"/>
  <c r="M10" i="655" s="1"/>
  <c r="I10" i="655" a="1"/>
  <c r="I10" i="655" s="1"/>
  <c r="E10" i="655" a="1"/>
  <c r="E10" i="655" s="1"/>
  <c r="X10" i="655" a="1"/>
  <c r="X10" i="655" s="1"/>
  <c r="T10" i="655" a="1"/>
  <c r="T10" i="655" s="1"/>
  <c r="P10" i="655" a="1"/>
  <c r="P10" i="655" s="1"/>
  <c r="L10" i="655" a="1"/>
  <c r="L10" i="655" s="1"/>
  <c r="H10" i="655" a="1"/>
  <c r="H10" i="655" s="1"/>
  <c r="W9" i="655" a="1"/>
  <c r="W9" i="655" s="1"/>
  <c r="S9" i="655" a="1"/>
  <c r="S9" i="655" s="1"/>
  <c r="O9" i="655" a="1"/>
  <c r="O9" i="655" s="1"/>
  <c r="K9" i="655" a="1"/>
  <c r="K9" i="655" s="1"/>
  <c r="G9" i="655" a="1"/>
  <c r="G9" i="655" s="1"/>
  <c r="H9" i="655" a="1"/>
  <c r="H9" i="655" s="1"/>
  <c r="P9" i="655" a="1"/>
  <c r="P9" i="655" s="1"/>
  <c r="Z9" i="655" a="1"/>
  <c r="Z9" i="655" s="1"/>
  <c r="V9" i="655" a="1"/>
  <c r="V9" i="655" s="1"/>
  <c r="R9" i="655" a="1"/>
  <c r="R9" i="655" s="1"/>
  <c r="N9" i="655" a="1"/>
  <c r="N9" i="655" s="1"/>
  <c r="J9" i="655" a="1"/>
  <c r="J9" i="655" s="1"/>
  <c r="F9" i="655" a="1"/>
  <c r="F9" i="655" s="1"/>
  <c r="L9" i="655" a="1"/>
  <c r="L9" i="655" s="1"/>
  <c r="Y9" i="655" a="1"/>
  <c r="Y9" i="655" s="1"/>
  <c r="U9" i="655" a="1"/>
  <c r="U9" i="655" s="1"/>
  <c r="Q9" i="655" a="1"/>
  <c r="Q9" i="655" s="1"/>
  <c r="M9" i="655" a="1"/>
  <c r="M9" i="655" s="1"/>
  <c r="I9" i="655" a="1"/>
  <c r="I9" i="655" s="1"/>
  <c r="E9" i="655" a="1"/>
  <c r="E9" i="655" s="1"/>
  <c r="T9" i="655" a="1"/>
  <c r="T9" i="655" s="1"/>
  <c r="X9" i="655" a="1"/>
  <c r="X9" i="655" s="1"/>
  <c r="W12" i="655" a="1"/>
  <c r="W12" i="655" s="1"/>
  <c r="S12" i="655" a="1"/>
  <c r="S12" i="655" s="1"/>
  <c r="O12" i="655" a="1"/>
  <c r="O12" i="655" s="1"/>
  <c r="K12" i="655" a="1"/>
  <c r="K12" i="655" s="1"/>
  <c r="G12" i="655" a="1"/>
  <c r="G12" i="655" s="1"/>
  <c r="Z12" i="655" a="1"/>
  <c r="Z12" i="655" s="1"/>
  <c r="V12" i="655" a="1"/>
  <c r="V12" i="655" s="1"/>
  <c r="R12" i="655" a="1"/>
  <c r="R12" i="655" s="1"/>
  <c r="N12" i="655" a="1"/>
  <c r="N12" i="655" s="1"/>
  <c r="J12" i="655" a="1"/>
  <c r="J12" i="655" s="1"/>
  <c r="F12" i="655" a="1"/>
  <c r="F12" i="655" s="1"/>
  <c r="Y12" i="655" a="1"/>
  <c r="Y12" i="655" s="1"/>
  <c r="U12" i="655" a="1"/>
  <c r="U12" i="655" s="1"/>
  <c r="Q12" i="655" a="1"/>
  <c r="Q12" i="655" s="1"/>
  <c r="M12" i="655" a="1"/>
  <c r="M12" i="655" s="1"/>
  <c r="I12" i="655" a="1"/>
  <c r="I12" i="655" s="1"/>
  <c r="E12" i="655" a="1"/>
  <c r="E12" i="655" s="1"/>
  <c r="X12" i="655" a="1"/>
  <c r="X12" i="655" s="1"/>
  <c r="T12" i="655" a="1"/>
  <c r="T12" i="655" s="1"/>
  <c r="P12" i="655" a="1"/>
  <c r="P12" i="655" s="1"/>
  <c r="L12" i="655" a="1"/>
  <c r="L12" i="655" s="1"/>
  <c r="H12" i="655" a="1"/>
  <c r="H12" i="655" s="1"/>
  <c r="X5" i="655" a="1"/>
  <c r="X5" i="655" s="1"/>
  <c r="T5" i="655" a="1"/>
  <c r="T5" i="655" s="1"/>
  <c r="P5" i="655" a="1"/>
  <c r="P5" i="655" s="1"/>
  <c r="L5" i="655" a="1"/>
  <c r="L5" i="655" s="1"/>
  <c r="H5" i="655" a="1"/>
  <c r="H5" i="655" s="1"/>
  <c r="W5" i="655" a="1"/>
  <c r="W5" i="655" s="1"/>
  <c r="S5" i="655" a="1"/>
  <c r="S5" i="655" s="1"/>
  <c r="O5" i="655" a="1"/>
  <c r="O5" i="655" s="1"/>
  <c r="K5" i="655" a="1"/>
  <c r="K5" i="655" s="1"/>
  <c r="G5" i="655" a="1"/>
  <c r="G5" i="655" s="1"/>
  <c r="Z5" i="655" a="1"/>
  <c r="Z5" i="655" s="1"/>
  <c r="V5" i="655" a="1"/>
  <c r="V5" i="655" s="1"/>
  <c r="R5" i="655" a="1"/>
  <c r="R5" i="655" s="1"/>
  <c r="N5" i="655" a="1"/>
  <c r="N5" i="655" s="1"/>
  <c r="J5" i="655" a="1"/>
  <c r="J5" i="655" s="1"/>
  <c r="F5" i="655" a="1"/>
  <c r="F5" i="655" s="1"/>
  <c r="Y5" i="655" a="1"/>
  <c r="Y5" i="655" s="1"/>
  <c r="U5" i="655" a="1"/>
  <c r="U5" i="655" s="1"/>
  <c r="Q5" i="655" a="1"/>
  <c r="Q5" i="655" s="1"/>
  <c r="M5" i="655" a="1"/>
  <c r="M5" i="655" s="1"/>
  <c r="I5" i="655" a="1"/>
  <c r="I5" i="655" s="1"/>
  <c r="E5" i="655" a="1"/>
  <c r="E5" i="655" s="1"/>
  <c r="S11" i="655" a="1"/>
  <c r="S11" i="655" s="1"/>
  <c r="V11" i="655" a="1"/>
  <c r="V11" i="655" s="1"/>
  <c r="R11" i="655" a="1"/>
  <c r="R11" i="655" s="1"/>
  <c r="N11" i="655" a="1"/>
  <c r="N11" i="655" s="1"/>
  <c r="J11" i="655" a="1"/>
  <c r="J11" i="655" s="1"/>
  <c r="F11" i="655" a="1"/>
  <c r="F11" i="655" s="1"/>
  <c r="G11" i="655" a="1"/>
  <c r="G11" i="655" s="1"/>
  <c r="Z11" i="655" a="1"/>
  <c r="Z11" i="655" s="1"/>
  <c r="U11" i="655" a="1"/>
  <c r="U11" i="655" s="1"/>
  <c r="Q11" i="655" a="1"/>
  <c r="Q11" i="655" s="1"/>
  <c r="M11" i="655" a="1"/>
  <c r="M11" i="655" s="1"/>
  <c r="I11" i="655" a="1"/>
  <c r="I11" i="655" s="1"/>
  <c r="E11" i="655" a="1"/>
  <c r="E11" i="655" s="1"/>
  <c r="K11" i="655" a="1"/>
  <c r="K11" i="655" s="1"/>
  <c r="Y11" i="655" a="1"/>
  <c r="Y11" i="655" s="1"/>
  <c r="T11" i="655" a="1"/>
  <c r="T11" i="655" s="1"/>
  <c r="P11" i="655" a="1"/>
  <c r="P11" i="655" s="1"/>
  <c r="L11" i="655" a="1"/>
  <c r="L11" i="655" s="1"/>
  <c r="H11" i="655" a="1"/>
  <c r="H11" i="655" s="1"/>
  <c r="W11" i="655" a="1"/>
  <c r="W11" i="655" s="1"/>
  <c r="O11" i="655" a="1"/>
  <c r="O11" i="655" s="1"/>
  <c r="W10" i="654" a="1"/>
  <c r="W10" i="654" s="1"/>
  <c r="S10" i="654" a="1"/>
  <c r="S10" i="654" s="1"/>
  <c r="O10" i="654" a="1"/>
  <c r="O10" i="654" s="1"/>
  <c r="K10" i="654" a="1"/>
  <c r="K10" i="654" s="1"/>
  <c r="G10" i="654" a="1"/>
  <c r="G10" i="654" s="1"/>
  <c r="Z10" i="654" a="1"/>
  <c r="Z10" i="654" s="1"/>
  <c r="V10" i="654" a="1"/>
  <c r="V10" i="654" s="1"/>
  <c r="R10" i="654" a="1"/>
  <c r="R10" i="654" s="1"/>
  <c r="N10" i="654" a="1"/>
  <c r="N10" i="654" s="1"/>
  <c r="J10" i="654" a="1"/>
  <c r="J10" i="654" s="1"/>
  <c r="F10" i="654" a="1"/>
  <c r="F10" i="654" s="1"/>
  <c r="Y10" i="654" a="1"/>
  <c r="Y10" i="654" s="1"/>
  <c r="U10" i="654" a="1"/>
  <c r="U10" i="654" s="1"/>
  <c r="Q10" i="654" a="1"/>
  <c r="Q10" i="654" s="1"/>
  <c r="M10" i="654" a="1"/>
  <c r="M10" i="654" s="1"/>
  <c r="I10" i="654" a="1"/>
  <c r="I10" i="654" s="1"/>
  <c r="E10" i="654" a="1"/>
  <c r="E10" i="654" s="1"/>
  <c r="X10" i="654" a="1"/>
  <c r="X10" i="654" s="1"/>
  <c r="T10" i="654" a="1"/>
  <c r="T10" i="654" s="1"/>
  <c r="P10" i="654" a="1"/>
  <c r="P10" i="654" s="1"/>
  <c r="L10" i="654" a="1"/>
  <c r="L10" i="654" s="1"/>
  <c r="H10" i="654" a="1"/>
  <c r="H10" i="654" s="1"/>
  <c r="X5" i="654" a="1"/>
  <c r="X5" i="654" s="1"/>
  <c r="T5" i="654" a="1"/>
  <c r="T5" i="654" s="1"/>
  <c r="P5" i="654" a="1"/>
  <c r="P5" i="654" s="1"/>
  <c r="L5" i="654" a="1"/>
  <c r="L5" i="654" s="1"/>
  <c r="H5" i="654" a="1"/>
  <c r="H5" i="654" s="1"/>
  <c r="W5" i="654" a="1"/>
  <c r="W5" i="654" s="1"/>
  <c r="S5" i="654" a="1"/>
  <c r="S5" i="654" s="1"/>
  <c r="O5" i="654" a="1"/>
  <c r="O5" i="654" s="1"/>
  <c r="K5" i="654" a="1"/>
  <c r="K5" i="654" s="1"/>
  <c r="G5" i="654" a="1"/>
  <c r="G5" i="654" s="1"/>
  <c r="Z5" i="654" a="1"/>
  <c r="Z5" i="654" s="1"/>
  <c r="V5" i="654" a="1"/>
  <c r="V5" i="654" s="1"/>
  <c r="R5" i="654" a="1"/>
  <c r="R5" i="654" s="1"/>
  <c r="N5" i="654" a="1"/>
  <c r="N5" i="654" s="1"/>
  <c r="J5" i="654" a="1"/>
  <c r="J5" i="654" s="1"/>
  <c r="F5" i="654" a="1"/>
  <c r="F5" i="654" s="1"/>
  <c r="Y5" i="654" a="1"/>
  <c r="Y5" i="654" s="1"/>
  <c r="U5" i="654" a="1"/>
  <c r="U5" i="654" s="1"/>
  <c r="Q5" i="654" a="1"/>
  <c r="Q5" i="654" s="1"/>
  <c r="M5" i="654" a="1"/>
  <c r="M5" i="654" s="1"/>
  <c r="I5" i="654" a="1"/>
  <c r="I5" i="654" s="1"/>
  <c r="E5" i="654" a="1"/>
  <c r="E5" i="654" s="1"/>
  <c r="W12" i="654" a="1"/>
  <c r="W12" i="654" s="1"/>
  <c r="S12" i="654" a="1"/>
  <c r="S12" i="654" s="1"/>
  <c r="O12" i="654" a="1"/>
  <c r="O12" i="654" s="1"/>
  <c r="K12" i="654" a="1"/>
  <c r="K12" i="654" s="1"/>
  <c r="G12" i="654" a="1"/>
  <c r="G12" i="654" s="1"/>
  <c r="Z12" i="654" a="1"/>
  <c r="Z12" i="654" s="1"/>
  <c r="V12" i="654" a="1"/>
  <c r="V12" i="654" s="1"/>
  <c r="R12" i="654" a="1"/>
  <c r="R12" i="654" s="1"/>
  <c r="N12" i="654" a="1"/>
  <c r="N12" i="654" s="1"/>
  <c r="J12" i="654" a="1"/>
  <c r="J12" i="654" s="1"/>
  <c r="F12" i="654" a="1"/>
  <c r="F12" i="654" s="1"/>
  <c r="Y12" i="654" a="1"/>
  <c r="Y12" i="654" s="1"/>
  <c r="U12" i="654" a="1"/>
  <c r="U12" i="654" s="1"/>
  <c r="Q12" i="654" a="1"/>
  <c r="Q12" i="654" s="1"/>
  <c r="M12" i="654" a="1"/>
  <c r="M12" i="654" s="1"/>
  <c r="I12" i="654" a="1"/>
  <c r="I12" i="654" s="1"/>
  <c r="E12" i="654" a="1"/>
  <c r="E12" i="654" s="1"/>
  <c r="X12" i="654" a="1"/>
  <c r="X12" i="654" s="1"/>
  <c r="T12" i="654" a="1"/>
  <c r="T12" i="654" s="1"/>
  <c r="P12" i="654" a="1"/>
  <c r="P12" i="654" s="1"/>
  <c r="L12" i="654" a="1"/>
  <c r="L12" i="654" s="1"/>
  <c r="H12" i="654" a="1"/>
  <c r="H12" i="654" s="1"/>
  <c r="Z6" i="654" a="1"/>
  <c r="Z6" i="654" s="1"/>
  <c r="V6" i="654" a="1"/>
  <c r="V6" i="654" s="1"/>
  <c r="R6" i="654" a="1"/>
  <c r="R6" i="654" s="1"/>
  <c r="N6" i="654" a="1"/>
  <c r="N6" i="654" s="1"/>
  <c r="J6" i="654" a="1"/>
  <c r="J6" i="654" s="1"/>
  <c r="F6" i="654" a="1"/>
  <c r="F6" i="654" s="1"/>
  <c r="Y6" i="654" a="1"/>
  <c r="Y6" i="654" s="1"/>
  <c r="U6" i="654" a="1"/>
  <c r="U6" i="654" s="1"/>
  <c r="Q6" i="654" a="1"/>
  <c r="Q6" i="654" s="1"/>
  <c r="M6" i="654" a="1"/>
  <c r="M6" i="654" s="1"/>
  <c r="I6" i="654" a="1"/>
  <c r="I6" i="654" s="1"/>
  <c r="E6" i="654" a="1"/>
  <c r="E6" i="654" s="1"/>
  <c r="X6" i="654" a="1"/>
  <c r="X6" i="654" s="1"/>
  <c r="T6" i="654" a="1"/>
  <c r="T6" i="654" s="1"/>
  <c r="P6" i="654" a="1"/>
  <c r="P6" i="654" s="1"/>
  <c r="L6" i="654" a="1"/>
  <c r="L6" i="654" s="1"/>
  <c r="H6" i="654" a="1"/>
  <c r="H6" i="654" s="1"/>
  <c r="W6" i="654" a="1"/>
  <c r="W6" i="654" s="1"/>
  <c r="S6" i="654" a="1"/>
  <c r="S6" i="654" s="1"/>
  <c r="O6" i="654" a="1"/>
  <c r="O6" i="654" s="1"/>
  <c r="K6" i="654" a="1"/>
  <c r="K6" i="654" s="1"/>
  <c r="G6" i="654" a="1"/>
  <c r="G6" i="654" s="1"/>
  <c r="B9" i="654"/>
  <c r="J23" i="654"/>
  <c r="AH3" i="654"/>
  <c r="K24" i="654"/>
  <c r="V11" i="654" a="1"/>
  <c r="V11" i="654" s="1"/>
  <c r="R11" i="654" a="1"/>
  <c r="R11" i="654" s="1"/>
  <c r="N11" i="654" a="1"/>
  <c r="N11" i="654" s="1"/>
  <c r="J11" i="654" a="1"/>
  <c r="J11" i="654" s="1"/>
  <c r="F11" i="654" a="1"/>
  <c r="F11" i="654" s="1"/>
  <c r="Z11" i="654" a="1"/>
  <c r="Z11" i="654" s="1"/>
  <c r="U11" i="654" a="1"/>
  <c r="U11" i="654" s="1"/>
  <c r="Q11" i="654" a="1"/>
  <c r="Q11" i="654" s="1"/>
  <c r="M11" i="654" a="1"/>
  <c r="M11" i="654" s="1"/>
  <c r="I11" i="654" a="1"/>
  <c r="I11" i="654" s="1"/>
  <c r="E11" i="654" a="1"/>
  <c r="E11" i="654" s="1"/>
  <c r="Y11" i="654" a="1"/>
  <c r="Y11" i="654" s="1"/>
  <c r="T11" i="654" a="1"/>
  <c r="T11" i="654" s="1"/>
  <c r="P11" i="654" a="1"/>
  <c r="P11" i="654" s="1"/>
  <c r="L11" i="654" a="1"/>
  <c r="L11" i="654" s="1"/>
  <c r="H11" i="654" a="1"/>
  <c r="H11" i="654" s="1"/>
  <c r="W11" i="654" a="1"/>
  <c r="W11" i="654" s="1"/>
  <c r="S11" i="654" a="1"/>
  <c r="S11" i="654" s="1"/>
  <c r="O11" i="654" a="1"/>
  <c r="O11" i="654" s="1"/>
  <c r="K11" i="654" a="1"/>
  <c r="K11" i="654" s="1"/>
  <c r="G11" i="654" a="1"/>
  <c r="G11" i="654" s="1"/>
  <c r="Y3" i="654" a="1"/>
  <c r="Y3" i="654" s="1"/>
  <c r="U3" i="654" a="1"/>
  <c r="U3" i="654" s="1"/>
  <c r="Q3" i="654" a="1"/>
  <c r="Q3" i="654" s="1"/>
  <c r="M3" i="654" a="1"/>
  <c r="M3" i="654" s="1"/>
  <c r="I3" i="654" a="1"/>
  <c r="I3" i="654" s="1"/>
  <c r="E3" i="654" a="1"/>
  <c r="E3" i="654" s="1"/>
  <c r="X3" i="654" a="1"/>
  <c r="X3" i="654" s="1"/>
  <c r="T3" i="654" a="1"/>
  <c r="T3" i="654" s="1"/>
  <c r="P3" i="654" a="1"/>
  <c r="P3" i="654" s="1"/>
  <c r="L3" i="654" a="1"/>
  <c r="L3" i="654" s="1"/>
  <c r="H3" i="654" a="1"/>
  <c r="H3" i="654" s="1"/>
  <c r="W3" i="654" a="1"/>
  <c r="W3" i="654" s="1"/>
  <c r="S3" i="654" a="1"/>
  <c r="S3" i="654" s="1"/>
  <c r="O3" i="654" a="1"/>
  <c r="O3" i="654" s="1"/>
  <c r="K3" i="654" a="1"/>
  <c r="K3" i="654" s="1"/>
  <c r="G3" i="654" a="1"/>
  <c r="G3" i="654" s="1"/>
  <c r="Z3" i="654" a="1"/>
  <c r="Z3" i="654" s="1"/>
  <c r="V3" i="654" a="1"/>
  <c r="V3" i="654" s="1"/>
  <c r="R3" i="654" a="1"/>
  <c r="R3" i="654" s="1"/>
  <c r="N3" i="654" a="1"/>
  <c r="N3" i="654" s="1"/>
  <c r="J3" i="654" a="1"/>
  <c r="J3" i="654" s="1"/>
  <c r="F3" i="654" a="1"/>
  <c r="F3" i="654" s="1"/>
  <c r="Y4" i="654" a="1"/>
  <c r="Y4" i="654" s="1"/>
  <c r="U4" i="654" a="1"/>
  <c r="U4" i="654" s="1"/>
  <c r="Q4" i="654" a="1"/>
  <c r="Q4" i="654" s="1"/>
  <c r="M4" i="654" a="1"/>
  <c r="M4" i="654" s="1"/>
  <c r="I4" i="654" a="1"/>
  <c r="I4" i="654" s="1"/>
  <c r="E4" i="654" a="1"/>
  <c r="E4" i="654" s="1"/>
  <c r="X4" i="654" a="1"/>
  <c r="X4" i="654" s="1"/>
  <c r="T4" i="654" a="1"/>
  <c r="T4" i="654" s="1"/>
  <c r="P4" i="654" a="1"/>
  <c r="P4" i="654" s="1"/>
  <c r="L4" i="654" a="1"/>
  <c r="L4" i="654" s="1"/>
  <c r="H4" i="654" a="1"/>
  <c r="H4" i="654" s="1"/>
  <c r="W4" i="654" a="1"/>
  <c r="W4" i="654" s="1"/>
  <c r="S4" i="654" a="1"/>
  <c r="S4" i="654" s="1"/>
  <c r="O4" i="654" a="1"/>
  <c r="O4" i="654" s="1"/>
  <c r="K4" i="654" a="1"/>
  <c r="K4" i="654" s="1"/>
  <c r="G4" i="654" a="1"/>
  <c r="G4" i="654" s="1"/>
  <c r="Z4" i="654" a="1"/>
  <c r="Z4" i="654" s="1"/>
  <c r="V4" i="654" a="1"/>
  <c r="V4" i="654" s="1"/>
  <c r="R4" i="654" a="1"/>
  <c r="R4" i="654" s="1"/>
  <c r="N4" i="654" a="1"/>
  <c r="N4" i="654" s="1"/>
  <c r="J4" i="654" a="1"/>
  <c r="J4" i="654" s="1"/>
  <c r="F4" i="654" a="1"/>
  <c r="F4" i="654" s="1"/>
  <c r="Y7" i="654" a="1"/>
  <c r="Y7" i="654" s="1"/>
  <c r="U7" i="654" a="1"/>
  <c r="U7" i="654" s="1"/>
  <c r="Q7" i="654" a="1"/>
  <c r="Q7" i="654" s="1"/>
  <c r="M7" i="654" a="1"/>
  <c r="M7" i="654" s="1"/>
  <c r="I7" i="654" a="1"/>
  <c r="I7" i="654" s="1"/>
  <c r="E7" i="654" a="1"/>
  <c r="E7" i="654" s="1"/>
  <c r="X7" i="654" a="1"/>
  <c r="X7" i="654" s="1"/>
  <c r="T7" i="654" a="1"/>
  <c r="T7" i="654" s="1"/>
  <c r="P7" i="654" a="1"/>
  <c r="P7" i="654" s="1"/>
  <c r="L7" i="654" a="1"/>
  <c r="L7" i="654" s="1"/>
  <c r="H7" i="654" a="1"/>
  <c r="H7" i="654" s="1"/>
  <c r="W7" i="654" a="1"/>
  <c r="W7" i="654" s="1"/>
  <c r="S7" i="654" a="1"/>
  <c r="S7" i="654" s="1"/>
  <c r="O7" i="654" a="1"/>
  <c r="O7" i="654" s="1"/>
  <c r="K7" i="654" a="1"/>
  <c r="K7" i="654" s="1"/>
  <c r="G7" i="654" a="1"/>
  <c r="G7" i="654" s="1"/>
  <c r="Z7" i="654" a="1"/>
  <c r="Z7" i="654" s="1"/>
  <c r="V7" i="654" a="1"/>
  <c r="V7" i="654" s="1"/>
  <c r="R7" i="654" a="1"/>
  <c r="R7" i="654" s="1"/>
  <c r="N7" i="654" a="1"/>
  <c r="N7" i="654" s="1"/>
  <c r="J7" i="654" a="1"/>
  <c r="J7" i="654" s="1"/>
  <c r="F7" i="654" a="1"/>
  <c r="F7" i="654" s="1"/>
  <c r="W9" i="654" a="1"/>
  <c r="W9" i="654" s="1"/>
  <c r="S9" i="654" a="1"/>
  <c r="S9" i="654" s="1"/>
  <c r="O9" i="654" a="1"/>
  <c r="O9" i="654" s="1"/>
  <c r="K9" i="654" a="1"/>
  <c r="K9" i="654" s="1"/>
  <c r="G9" i="654" a="1"/>
  <c r="G9" i="654" s="1"/>
  <c r="Z9" i="654" a="1"/>
  <c r="Z9" i="654" s="1"/>
  <c r="V9" i="654" a="1"/>
  <c r="V9" i="654" s="1"/>
  <c r="R9" i="654" a="1"/>
  <c r="R9" i="654" s="1"/>
  <c r="N9" i="654" a="1"/>
  <c r="N9" i="654" s="1"/>
  <c r="J9" i="654" a="1"/>
  <c r="J9" i="654" s="1"/>
  <c r="F9" i="654" a="1"/>
  <c r="F9" i="654" s="1"/>
  <c r="Y9" i="654" a="1"/>
  <c r="Y9" i="654" s="1"/>
  <c r="U9" i="654" a="1"/>
  <c r="U9" i="654" s="1"/>
  <c r="Q9" i="654" a="1"/>
  <c r="Q9" i="654" s="1"/>
  <c r="M9" i="654" a="1"/>
  <c r="M9" i="654" s="1"/>
  <c r="I9" i="654" a="1"/>
  <c r="I9" i="654" s="1"/>
  <c r="E9" i="654" a="1"/>
  <c r="E9" i="654" s="1"/>
  <c r="X9" i="654" a="1"/>
  <c r="X9" i="654" s="1"/>
  <c r="T9" i="654" a="1"/>
  <c r="T9" i="654" s="1"/>
  <c r="P9" i="654" a="1"/>
  <c r="P9" i="654" s="1"/>
  <c r="L9" i="654" a="1"/>
  <c r="L9" i="654" s="1"/>
  <c r="H9" i="654" a="1"/>
  <c r="H9" i="654" s="1"/>
  <c r="X8" i="654" a="1"/>
  <c r="X8" i="654" s="1"/>
  <c r="T8" i="654" a="1"/>
  <c r="T8" i="654" s="1"/>
  <c r="P8" i="654" a="1"/>
  <c r="P8" i="654" s="1"/>
  <c r="L8" i="654" a="1"/>
  <c r="L8" i="654" s="1"/>
  <c r="H8" i="654" a="1"/>
  <c r="H8" i="654" s="1"/>
  <c r="W8" i="654" a="1"/>
  <c r="W8" i="654" s="1"/>
  <c r="S8" i="654" a="1"/>
  <c r="S8" i="654" s="1"/>
  <c r="O8" i="654" a="1"/>
  <c r="O8" i="654" s="1"/>
  <c r="K8" i="654" a="1"/>
  <c r="K8" i="654" s="1"/>
  <c r="G8" i="654" a="1"/>
  <c r="G8" i="654" s="1"/>
  <c r="Z8" i="654" a="1"/>
  <c r="Z8" i="654" s="1"/>
  <c r="V8" i="654" a="1"/>
  <c r="V8" i="654" s="1"/>
  <c r="R8" i="654" a="1"/>
  <c r="R8" i="654" s="1"/>
  <c r="N8" i="654" a="1"/>
  <c r="N8" i="654" s="1"/>
  <c r="J8" i="654" a="1"/>
  <c r="J8" i="654" s="1"/>
  <c r="F8" i="654" a="1"/>
  <c r="F8" i="654" s="1"/>
  <c r="Y8" i="654" a="1"/>
  <c r="Y8" i="654" s="1"/>
  <c r="U8" i="654" a="1"/>
  <c r="U8" i="654" s="1"/>
  <c r="Q8" i="654" a="1"/>
  <c r="Q8" i="654" s="1"/>
  <c r="M8" i="654" a="1"/>
  <c r="M8" i="654" s="1"/>
  <c r="I8" i="654" a="1"/>
  <c r="I8" i="654" s="1"/>
  <c r="E8" i="654" a="1"/>
  <c r="E8" i="654" s="1"/>
  <c r="X8" i="653" a="1"/>
  <c r="X8" i="653" s="1"/>
  <c r="T8" i="653" a="1"/>
  <c r="T8" i="653" s="1"/>
  <c r="P8" i="653" a="1"/>
  <c r="P8" i="653" s="1"/>
  <c r="L8" i="653" a="1"/>
  <c r="L8" i="653" s="1"/>
  <c r="H8" i="653" a="1"/>
  <c r="H8" i="653" s="1"/>
  <c r="W8" i="653" a="1"/>
  <c r="W8" i="653" s="1"/>
  <c r="S8" i="653" a="1"/>
  <c r="S8" i="653" s="1"/>
  <c r="O8" i="653" a="1"/>
  <c r="O8" i="653" s="1"/>
  <c r="K8" i="653" a="1"/>
  <c r="K8" i="653" s="1"/>
  <c r="G8" i="653" a="1"/>
  <c r="G8" i="653" s="1"/>
  <c r="Z8" i="653" a="1"/>
  <c r="Z8" i="653" s="1"/>
  <c r="V8" i="653" a="1"/>
  <c r="V8" i="653" s="1"/>
  <c r="R8" i="653" a="1"/>
  <c r="R8" i="653" s="1"/>
  <c r="N8" i="653" a="1"/>
  <c r="N8" i="653" s="1"/>
  <c r="J8" i="653" a="1"/>
  <c r="J8" i="653" s="1"/>
  <c r="F8" i="653" a="1"/>
  <c r="F8" i="653" s="1"/>
  <c r="Y8" i="653" a="1"/>
  <c r="Y8" i="653" s="1"/>
  <c r="U8" i="653" a="1"/>
  <c r="U8" i="653" s="1"/>
  <c r="Q8" i="653" a="1"/>
  <c r="Q8" i="653" s="1"/>
  <c r="M8" i="653" a="1"/>
  <c r="M8" i="653" s="1"/>
  <c r="I8" i="653" a="1"/>
  <c r="I8" i="653" s="1"/>
  <c r="E8" i="653" a="1"/>
  <c r="E8" i="653" s="1"/>
  <c r="W10" i="653" a="1"/>
  <c r="W10" i="653" s="1"/>
  <c r="S10" i="653" a="1"/>
  <c r="S10" i="653" s="1"/>
  <c r="O10" i="653" a="1"/>
  <c r="O10" i="653" s="1"/>
  <c r="K10" i="653" a="1"/>
  <c r="K10" i="653" s="1"/>
  <c r="G10" i="653" a="1"/>
  <c r="G10" i="653" s="1"/>
  <c r="Z10" i="653" a="1"/>
  <c r="Z10" i="653" s="1"/>
  <c r="V10" i="653" a="1"/>
  <c r="V10" i="653" s="1"/>
  <c r="R10" i="653" a="1"/>
  <c r="R10" i="653" s="1"/>
  <c r="N10" i="653" a="1"/>
  <c r="N10" i="653" s="1"/>
  <c r="J10" i="653" a="1"/>
  <c r="J10" i="653" s="1"/>
  <c r="F10" i="653" a="1"/>
  <c r="F10" i="653" s="1"/>
  <c r="Y10" i="653" a="1"/>
  <c r="Y10" i="653" s="1"/>
  <c r="U10" i="653" a="1"/>
  <c r="U10" i="653" s="1"/>
  <c r="Q10" i="653" a="1"/>
  <c r="Q10" i="653" s="1"/>
  <c r="M10" i="653" a="1"/>
  <c r="M10" i="653" s="1"/>
  <c r="I10" i="653" a="1"/>
  <c r="I10" i="653" s="1"/>
  <c r="E10" i="653" a="1"/>
  <c r="E10" i="653" s="1"/>
  <c r="X10" i="653" a="1"/>
  <c r="X10" i="653" s="1"/>
  <c r="T10" i="653" a="1"/>
  <c r="T10" i="653" s="1"/>
  <c r="P10" i="653" a="1"/>
  <c r="P10" i="653" s="1"/>
  <c r="L10" i="653" a="1"/>
  <c r="L10" i="653" s="1"/>
  <c r="H10" i="653" a="1"/>
  <c r="H10" i="653" s="1"/>
  <c r="W12" i="653" a="1"/>
  <c r="W12" i="653" s="1"/>
  <c r="S12" i="653" a="1"/>
  <c r="S12" i="653" s="1"/>
  <c r="O12" i="653" a="1"/>
  <c r="O12" i="653" s="1"/>
  <c r="K12" i="653" a="1"/>
  <c r="K12" i="653" s="1"/>
  <c r="G12" i="653" a="1"/>
  <c r="G12" i="653" s="1"/>
  <c r="Z12" i="653" a="1"/>
  <c r="Z12" i="653" s="1"/>
  <c r="V12" i="653" a="1"/>
  <c r="V12" i="653" s="1"/>
  <c r="R12" i="653" a="1"/>
  <c r="R12" i="653" s="1"/>
  <c r="N12" i="653" a="1"/>
  <c r="N12" i="653" s="1"/>
  <c r="J12" i="653" a="1"/>
  <c r="J12" i="653" s="1"/>
  <c r="F12" i="653" a="1"/>
  <c r="F12" i="653" s="1"/>
  <c r="Y12" i="653" a="1"/>
  <c r="Y12" i="653" s="1"/>
  <c r="U12" i="653" a="1"/>
  <c r="U12" i="653" s="1"/>
  <c r="Q12" i="653" a="1"/>
  <c r="Q12" i="653" s="1"/>
  <c r="M12" i="653" a="1"/>
  <c r="M12" i="653" s="1"/>
  <c r="I12" i="653" a="1"/>
  <c r="I12" i="653" s="1"/>
  <c r="E12" i="653" a="1"/>
  <c r="E12" i="653" s="1"/>
  <c r="X12" i="653" a="1"/>
  <c r="X12" i="653" s="1"/>
  <c r="T12" i="653" a="1"/>
  <c r="T12" i="653" s="1"/>
  <c r="P12" i="653" a="1"/>
  <c r="P12" i="653" s="1"/>
  <c r="L12" i="653" a="1"/>
  <c r="L12" i="653" s="1"/>
  <c r="H12" i="653" a="1"/>
  <c r="H12" i="653" s="1"/>
  <c r="Z6" i="653" a="1"/>
  <c r="Z6" i="653" s="1"/>
  <c r="V6" i="653" a="1"/>
  <c r="V6" i="653" s="1"/>
  <c r="R6" i="653" a="1"/>
  <c r="R6" i="653" s="1"/>
  <c r="N6" i="653" a="1"/>
  <c r="N6" i="653" s="1"/>
  <c r="J6" i="653" a="1"/>
  <c r="J6" i="653" s="1"/>
  <c r="F6" i="653" a="1"/>
  <c r="F6" i="653" s="1"/>
  <c r="Y6" i="653" a="1"/>
  <c r="Y6" i="653" s="1"/>
  <c r="U6" i="653" a="1"/>
  <c r="U6" i="653" s="1"/>
  <c r="Q6" i="653" a="1"/>
  <c r="Q6" i="653" s="1"/>
  <c r="M6" i="653" a="1"/>
  <c r="M6" i="653" s="1"/>
  <c r="I6" i="653" a="1"/>
  <c r="I6" i="653" s="1"/>
  <c r="E6" i="653" a="1"/>
  <c r="E6" i="653" s="1"/>
  <c r="X6" i="653" a="1"/>
  <c r="X6" i="653" s="1"/>
  <c r="T6" i="653" a="1"/>
  <c r="T6" i="653" s="1"/>
  <c r="P6" i="653" a="1"/>
  <c r="P6" i="653" s="1"/>
  <c r="L6" i="653" a="1"/>
  <c r="L6" i="653" s="1"/>
  <c r="H6" i="653" a="1"/>
  <c r="H6" i="653" s="1"/>
  <c r="W6" i="653" a="1"/>
  <c r="W6" i="653" s="1"/>
  <c r="S6" i="653" a="1"/>
  <c r="S6" i="653" s="1"/>
  <c r="O6" i="653" a="1"/>
  <c r="O6" i="653" s="1"/>
  <c r="K6" i="653" a="1"/>
  <c r="K6" i="653" s="1"/>
  <c r="G6" i="653" a="1"/>
  <c r="G6" i="653" s="1"/>
  <c r="B9" i="653"/>
  <c r="J23" i="653"/>
  <c r="AH3" i="653"/>
  <c r="K24" i="653"/>
  <c r="V11" i="653" a="1"/>
  <c r="V11" i="653" s="1"/>
  <c r="R11" i="653" a="1"/>
  <c r="R11" i="653" s="1"/>
  <c r="N11" i="653" a="1"/>
  <c r="N11" i="653" s="1"/>
  <c r="J11" i="653" a="1"/>
  <c r="J11" i="653" s="1"/>
  <c r="F11" i="653" a="1"/>
  <c r="F11" i="653" s="1"/>
  <c r="Z11" i="653" a="1"/>
  <c r="Z11" i="653" s="1"/>
  <c r="U11" i="653" a="1"/>
  <c r="U11" i="653" s="1"/>
  <c r="Q11" i="653" a="1"/>
  <c r="Q11" i="653" s="1"/>
  <c r="M11" i="653" a="1"/>
  <c r="M11" i="653" s="1"/>
  <c r="I11" i="653" a="1"/>
  <c r="I11" i="653" s="1"/>
  <c r="E11" i="653" a="1"/>
  <c r="E11" i="653" s="1"/>
  <c r="Y11" i="653" a="1"/>
  <c r="Y11" i="653" s="1"/>
  <c r="T11" i="653" a="1"/>
  <c r="T11" i="653" s="1"/>
  <c r="P11" i="653" a="1"/>
  <c r="P11" i="653" s="1"/>
  <c r="L11" i="653" a="1"/>
  <c r="L11" i="653" s="1"/>
  <c r="H11" i="653" a="1"/>
  <c r="H11" i="653" s="1"/>
  <c r="W11" i="653" a="1"/>
  <c r="W11" i="653" s="1"/>
  <c r="S11" i="653" a="1"/>
  <c r="S11" i="653" s="1"/>
  <c r="O11" i="653" a="1"/>
  <c r="O11" i="653" s="1"/>
  <c r="K11" i="653" a="1"/>
  <c r="K11" i="653" s="1"/>
  <c r="G11" i="653" a="1"/>
  <c r="G11" i="653" s="1"/>
  <c r="Y4" i="653" a="1"/>
  <c r="Y4" i="653" s="1"/>
  <c r="U4" i="653" a="1"/>
  <c r="U4" i="653" s="1"/>
  <c r="Q4" i="653" a="1"/>
  <c r="Q4" i="653" s="1"/>
  <c r="M4" i="653" a="1"/>
  <c r="M4" i="653" s="1"/>
  <c r="I4" i="653" a="1"/>
  <c r="I4" i="653" s="1"/>
  <c r="E4" i="653" a="1"/>
  <c r="E4" i="653" s="1"/>
  <c r="X4" i="653" a="1"/>
  <c r="X4" i="653" s="1"/>
  <c r="T4" i="653" a="1"/>
  <c r="T4" i="653" s="1"/>
  <c r="P4" i="653" a="1"/>
  <c r="P4" i="653" s="1"/>
  <c r="L4" i="653" a="1"/>
  <c r="L4" i="653" s="1"/>
  <c r="H4" i="653" a="1"/>
  <c r="H4" i="653" s="1"/>
  <c r="W4" i="653" a="1"/>
  <c r="W4" i="653" s="1"/>
  <c r="S4" i="653" a="1"/>
  <c r="S4" i="653" s="1"/>
  <c r="O4" i="653" a="1"/>
  <c r="O4" i="653" s="1"/>
  <c r="K4" i="653" a="1"/>
  <c r="K4" i="653" s="1"/>
  <c r="G4" i="653" a="1"/>
  <c r="G4" i="653" s="1"/>
  <c r="Z4" i="653" a="1"/>
  <c r="Z4" i="653" s="1"/>
  <c r="V4" i="653" a="1"/>
  <c r="V4" i="653" s="1"/>
  <c r="R4" i="653" a="1"/>
  <c r="R4" i="653" s="1"/>
  <c r="N4" i="653" a="1"/>
  <c r="N4" i="653" s="1"/>
  <c r="J4" i="653" a="1"/>
  <c r="J4" i="653" s="1"/>
  <c r="F4" i="653" a="1"/>
  <c r="F4" i="653" s="1"/>
  <c r="Y7" i="653" a="1"/>
  <c r="Y7" i="653" s="1"/>
  <c r="U7" i="653" a="1"/>
  <c r="U7" i="653" s="1"/>
  <c r="Q7" i="653" a="1"/>
  <c r="Q7" i="653" s="1"/>
  <c r="M7" i="653" a="1"/>
  <c r="M7" i="653" s="1"/>
  <c r="I7" i="653" a="1"/>
  <c r="I7" i="653" s="1"/>
  <c r="E7" i="653" a="1"/>
  <c r="E7" i="653" s="1"/>
  <c r="X7" i="653" a="1"/>
  <c r="X7" i="653" s="1"/>
  <c r="T7" i="653" a="1"/>
  <c r="T7" i="653" s="1"/>
  <c r="P7" i="653" a="1"/>
  <c r="P7" i="653" s="1"/>
  <c r="L7" i="653" a="1"/>
  <c r="L7" i="653" s="1"/>
  <c r="H7" i="653" a="1"/>
  <c r="H7" i="653" s="1"/>
  <c r="W7" i="653" a="1"/>
  <c r="W7" i="653" s="1"/>
  <c r="S7" i="653" a="1"/>
  <c r="S7" i="653" s="1"/>
  <c r="O7" i="653" a="1"/>
  <c r="O7" i="653" s="1"/>
  <c r="K7" i="653" a="1"/>
  <c r="K7" i="653" s="1"/>
  <c r="G7" i="653" a="1"/>
  <c r="G7" i="653" s="1"/>
  <c r="Z7" i="653" a="1"/>
  <c r="Z7" i="653" s="1"/>
  <c r="V7" i="653" a="1"/>
  <c r="V7" i="653" s="1"/>
  <c r="R7" i="653" a="1"/>
  <c r="R7" i="653" s="1"/>
  <c r="N7" i="653" a="1"/>
  <c r="N7" i="653" s="1"/>
  <c r="J7" i="653" a="1"/>
  <c r="J7" i="653" s="1"/>
  <c r="F7" i="653" a="1"/>
  <c r="F7" i="653" s="1"/>
  <c r="W9" i="653" a="1"/>
  <c r="W9" i="653" s="1"/>
  <c r="S9" i="653" a="1"/>
  <c r="S9" i="653" s="1"/>
  <c r="O9" i="653" a="1"/>
  <c r="O9" i="653" s="1"/>
  <c r="K9" i="653" a="1"/>
  <c r="K9" i="653" s="1"/>
  <c r="G9" i="653" a="1"/>
  <c r="G9" i="653" s="1"/>
  <c r="Z9" i="653" a="1"/>
  <c r="Z9" i="653" s="1"/>
  <c r="V9" i="653" a="1"/>
  <c r="V9" i="653" s="1"/>
  <c r="R9" i="653" a="1"/>
  <c r="R9" i="653" s="1"/>
  <c r="N9" i="653" a="1"/>
  <c r="N9" i="653" s="1"/>
  <c r="J9" i="653" a="1"/>
  <c r="J9" i="653" s="1"/>
  <c r="F9" i="653" a="1"/>
  <c r="F9" i="653" s="1"/>
  <c r="Y9" i="653" a="1"/>
  <c r="Y9" i="653" s="1"/>
  <c r="U9" i="653" a="1"/>
  <c r="U9" i="653" s="1"/>
  <c r="Q9" i="653" a="1"/>
  <c r="Q9" i="653" s="1"/>
  <c r="M9" i="653" a="1"/>
  <c r="M9" i="653" s="1"/>
  <c r="I9" i="653" a="1"/>
  <c r="I9" i="653" s="1"/>
  <c r="E9" i="653" a="1"/>
  <c r="E9" i="653" s="1"/>
  <c r="X9" i="653" a="1"/>
  <c r="X9" i="653" s="1"/>
  <c r="T9" i="653" a="1"/>
  <c r="T9" i="653" s="1"/>
  <c r="P9" i="653" a="1"/>
  <c r="P9" i="653" s="1"/>
  <c r="L9" i="653" a="1"/>
  <c r="L9" i="653" s="1"/>
  <c r="H9" i="653" a="1"/>
  <c r="H9" i="653" s="1"/>
  <c r="X5" i="653" a="1"/>
  <c r="X5" i="653" s="1"/>
  <c r="T5" i="653" a="1"/>
  <c r="T5" i="653" s="1"/>
  <c r="P5" i="653" a="1"/>
  <c r="P5" i="653" s="1"/>
  <c r="L5" i="653" a="1"/>
  <c r="L5" i="653" s="1"/>
  <c r="H5" i="653" a="1"/>
  <c r="H5" i="653" s="1"/>
  <c r="W5" i="653" a="1"/>
  <c r="W5" i="653" s="1"/>
  <c r="S5" i="653" a="1"/>
  <c r="S5" i="653" s="1"/>
  <c r="O5" i="653" a="1"/>
  <c r="O5" i="653" s="1"/>
  <c r="K5" i="653" a="1"/>
  <c r="K5" i="653" s="1"/>
  <c r="G5" i="653" a="1"/>
  <c r="G5" i="653" s="1"/>
  <c r="Z5" i="653" a="1"/>
  <c r="Z5" i="653" s="1"/>
  <c r="V5" i="653" a="1"/>
  <c r="V5" i="653" s="1"/>
  <c r="R5" i="653" a="1"/>
  <c r="R5" i="653" s="1"/>
  <c r="N5" i="653" a="1"/>
  <c r="N5" i="653" s="1"/>
  <c r="J5" i="653" a="1"/>
  <c r="J5" i="653" s="1"/>
  <c r="F5" i="653" a="1"/>
  <c r="F5" i="653" s="1"/>
  <c r="Y5" i="653" a="1"/>
  <c r="Y5" i="653" s="1"/>
  <c r="U5" i="653" a="1"/>
  <c r="U5" i="653" s="1"/>
  <c r="Q5" i="653" a="1"/>
  <c r="Q5" i="653" s="1"/>
  <c r="M5" i="653" a="1"/>
  <c r="M5" i="653" s="1"/>
  <c r="I5" i="653" a="1"/>
  <c r="I5" i="653" s="1"/>
  <c r="E5" i="653" a="1"/>
  <c r="E5" i="653" s="1"/>
  <c r="E3" i="653" a="1"/>
  <c r="E3" i="653" s="1"/>
  <c r="Y3" i="653" a="1"/>
  <c r="Y3" i="653" s="1"/>
  <c r="U3" i="653" a="1"/>
  <c r="U3" i="653" s="1"/>
  <c r="Q3" i="653" a="1"/>
  <c r="Q3" i="653" s="1"/>
  <c r="M3" i="653" a="1"/>
  <c r="M3" i="653" s="1"/>
  <c r="I3" i="653" a="1"/>
  <c r="I3" i="653" s="1"/>
  <c r="X3" i="653" a="1"/>
  <c r="X3" i="653" s="1"/>
  <c r="T3" i="653" a="1"/>
  <c r="T3" i="653" s="1"/>
  <c r="P3" i="653" a="1"/>
  <c r="P3" i="653" s="1"/>
  <c r="L3" i="653" a="1"/>
  <c r="L3" i="653" s="1"/>
  <c r="H3" i="653" a="1"/>
  <c r="H3" i="653" s="1"/>
  <c r="G3" i="653" a="1"/>
  <c r="G3" i="653" s="1"/>
  <c r="W3" i="653" a="1"/>
  <c r="W3" i="653" s="1"/>
  <c r="S3" i="653" a="1"/>
  <c r="S3" i="653" s="1"/>
  <c r="O3" i="653" a="1"/>
  <c r="O3" i="653" s="1"/>
  <c r="K3" i="653" a="1"/>
  <c r="K3" i="653" s="1"/>
  <c r="Z3" i="653" a="1"/>
  <c r="Z3" i="653" s="1"/>
  <c r="V3" i="653" a="1"/>
  <c r="V3" i="653" s="1"/>
  <c r="R3" i="653" a="1"/>
  <c r="R3" i="653" s="1"/>
  <c r="N3" i="653" a="1"/>
  <c r="N3" i="653" s="1"/>
  <c r="J3" i="653" a="1"/>
  <c r="J3" i="653" s="1"/>
  <c r="F3" i="653" a="1"/>
  <c r="F3" i="653" s="1"/>
  <c r="W9" i="652" a="1"/>
  <c r="W9" i="652" s="1"/>
  <c r="S9" i="652" a="1"/>
  <c r="S9" i="652" s="1"/>
  <c r="O9" i="652" a="1"/>
  <c r="O9" i="652" s="1"/>
  <c r="K9" i="652" a="1"/>
  <c r="K9" i="652" s="1"/>
  <c r="G9" i="652" a="1"/>
  <c r="G9" i="652" s="1"/>
  <c r="Z9" i="652" a="1"/>
  <c r="Z9" i="652" s="1"/>
  <c r="V9" i="652" a="1"/>
  <c r="V9" i="652" s="1"/>
  <c r="R9" i="652" a="1"/>
  <c r="R9" i="652" s="1"/>
  <c r="N9" i="652" a="1"/>
  <c r="N9" i="652" s="1"/>
  <c r="J9" i="652" a="1"/>
  <c r="J9" i="652" s="1"/>
  <c r="F9" i="652" a="1"/>
  <c r="F9" i="652" s="1"/>
  <c r="Y9" i="652" a="1"/>
  <c r="Y9" i="652" s="1"/>
  <c r="U9" i="652" a="1"/>
  <c r="U9" i="652" s="1"/>
  <c r="Q9" i="652" a="1"/>
  <c r="Q9" i="652" s="1"/>
  <c r="M9" i="652" a="1"/>
  <c r="M9" i="652" s="1"/>
  <c r="I9" i="652" a="1"/>
  <c r="I9" i="652" s="1"/>
  <c r="E9" i="652" a="1"/>
  <c r="E9" i="652" s="1"/>
  <c r="X9" i="652" a="1"/>
  <c r="X9" i="652" s="1"/>
  <c r="T9" i="652" a="1"/>
  <c r="T9" i="652" s="1"/>
  <c r="P9" i="652" a="1"/>
  <c r="P9" i="652" s="1"/>
  <c r="L9" i="652" a="1"/>
  <c r="L9" i="652" s="1"/>
  <c r="H9" i="652" a="1"/>
  <c r="H9" i="652" s="1"/>
  <c r="X8" i="652" a="1"/>
  <c r="X8" i="652" s="1"/>
  <c r="T8" i="652" a="1"/>
  <c r="T8" i="652" s="1"/>
  <c r="P8" i="652" a="1"/>
  <c r="P8" i="652" s="1"/>
  <c r="L8" i="652" a="1"/>
  <c r="L8" i="652" s="1"/>
  <c r="H8" i="652" a="1"/>
  <c r="H8" i="652" s="1"/>
  <c r="W8" i="652" a="1"/>
  <c r="W8" i="652" s="1"/>
  <c r="S8" i="652" a="1"/>
  <c r="S8" i="652" s="1"/>
  <c r="O8" i="652" a="1"/>
  <c r="O8" i="652" s="1"/>
  <c r="K8" i="652" a="1"/>
  <c r="K8" i="652" s="1"/>
  <c r="G8" i="652" a="1"/>
  <c r="G8" i="652" s="1"/>
  <c r="Z8" i="652" a="1"/>
  <c r="Z8" i="652" s="1"/>
  <c r="V8" i="652" a="1"/>
  <c r="V8" i="652" s="1"/>
  <c r="R8" i="652" a="1"/>
  <c r="R8" i="652" s="1"/>
  <c r="N8" i="652" a="1"/>
  <c r="N8" i="652" s="1"/>
  <c r="J8" i="652" a="1"/>
  <c r="J8" i="652" s="1"/>
  <c r="F8" i="652" a="1"/>
  <c r="F8" i="652" s="1"/>
  <c r="Y8" i="652" a="1"/>
  <c r="Y8" i="652" s="1"/>
  <c r="U8" i="652" a="1"/>
  <c r="U8" i="652" s="1"/>
  <c r="Q8" i="652" a="1"/>
  <c r="Q8" i="652" s="1"/>
  <c r="M8" i="652" a="1"/>
  <c r="M8" i="652" s="1"/>
  <c r="I8" i="652" a="1"/>
  <c r="I8" i="652" s="1"/>
  <c r="E8" i="652" a="1"/>
  <c r="E8" i="652" s="1"/>
  <c r="W10" i="652" a="1"/>
  <c r="W10" i="652" s="1"/>
  <c r="S10" i="652" a="1"/>
  <c r="S10" i="652" s="1"/>
  <c r="O10" i="652" a="1"/>
  <c r="O10" i="652" s="1"/>
  <c r="K10" i="652" a="1"/>
  <c r="K10" i="652" s="1"/>
  <c r="G10" i="652" a="1"/>
  <c r="G10" i="652" s="1"/>
  <c r="Z10" i="652" a="1"/>
  <c r="Z10" i="652" s="1"/>
  <c r="V10" i="652" a="1"/>
  <c r="V10" i="652" s="1"/>
  <c r="R10" i="652" a="1"/>
  <c r="R10" i="652" s="1"/>
  <c r="N10" i="652" a="1"/>
  <c r="N10" i="652" s="1"/>
  <c r="J10" i="652" a="1"/>
  <c r="J10" i="652" s="1"/>
  <c r="F10" i="652" a="1"/>
  <c r="F10" i="652" s="1"/>
  <c r="Y10" i="652" a="1"/>
  <c r="Y10" i="652" s="1"/>
  <c r="U10" i="652" a="1"/>
  <c r="U10" i="652" s="1"/>
  <c r="Q10" i="652" a="1"/>
  <c r="Q10" i="652" s="1"/>
  <c r="M10" i="652" a="1"/>
  <c r="M10" i="652" s="1"/>
  <c r="I10" i="652" a="1"/>
  <c r="I10" i="652" s="1"/>
  <c r="E10" i="652" a="1"/>
  <c r="E10" i="652" s="1"/>
  <c r="X10" i="652" a="1"/>
  <c r="X10" i="652" s="1"/>
  <c r="T10" i="652" a="1"/>
  <c r="T10" i="652" s="1"/>
  <c r="P10" i="652" a="1"/>
  <c r="P10" i="652" s="1"/>
  <c r="L10" i="652" a="1"/>
  <c r="L10" i="652" s="1"/>
  <c r="H10" i="652" a="1"/>
  <c r="H10" i="652" s="1"/>
  <c r="X5" i="652" a="1"/>
  <c r="X5" i="652" s="1"/>
  <c r="T5" i="652" a="1"/>
  <c r="T5" i="652" s="1"/>
  <c r="P5" i="652" a="1"/>
  <c r="P5" i="652" s="1"/>
  <c r="L5" i="652" a="1"/>
  <c r="L5" i="652" s="1"/>
  <c r="H5" i="652" a="1"/>
  <c r="H5" i="652" s="1"/>
  <c r="W5" i="652" a="1"/>
  <c r="W5" i="652" s="1"/>
  <c r="S5" i="652" a="1"/>
  <c r="S5" i="652" s="1"/>
  <c r="O5" i="652" a="1"/>
  <c r="O5" i="652" s="1"/>
  <c r="K5" i="652" a="1"/>
  <c r="K5" i="652" s="1"/>
  <c r="G5" i="652" a="1"/>
  <c r="G5" i="652" s="1"/>
  <c r="Z5" i="652" a="1"/>
  <c r="Z5" i="652" s="1"/>
  <c r="V5" i="652" a="1"/>
  <c r="V5" i="652" s="1"/>
  <c r="R5" i="652" a="1"/>
  <c r="R5" i="652" s="1"/>
  <c r="N5" i="652" a="1"/>
  <c r="N5" i="652" s="1"/>
  <c r="J5" i="652" a="1"/>
  <c r="J5" i="652" s="1"/>
  <c r="F5" i="652" a="1"/>
  <c r="F5" i="652" s="1"/>
  <c r="Y5" i="652" a="1"/>
  <c r="Y5" i="652" s="1"/>
  <c r="U5" i="652" a="1"/>
  <c r="U5" i="652" s="1"/>
  <c r="Q5" i="652" a="1"/>
  <c r="Q5" i="652" s="1"/>
  <c r="M5" i="652" a="1"/>
  <c r="M5" i="652" s="1"/>
  <c r="I5" i="652" a="1"/>
  <c r="I5" i="652" s="1"/>
  <c r="E5" i="652" a="1"/>
  <c r="E5" i="652" s="1"/>
  <c r="W12" i="652" a="1"/>
  <c r="W12" i="652" s="1"/>
  <c r="S12" i="652" a="1"/>
  <c r="S12" i="652" s="1"/>
  <c r="O12" i="652" a="1"/>
  <c r="O12" i="652" s="1"/>
  <c r="K12" i="652" a="1"/>
  <c r="K12" i="652" s="1"/>
  <c r="G12" i="652" a="1"/>
  <c r="G12" i="652" s="1"/>
  <c r="Z12" i="652" a="1"/>
  <c r="Z12" i="652" s="1"/>
  <c r="V12" i="652" a="1"/>
  <c r="V12" i="652" s="1"/>
  <c r="R12" i="652" a="1"/>
  <c r="R12" i="652" s="1"/>
  <c r="N12" i="652" a="1"/>
  <c r="N12" i="652" s="1"/>
  <c r="J12" i="652" a="1"/>
  <c r="J12" i="652" s="1"/>
  <c r="F12" i="652" a="1"/>
  <c r="F12" i="652" s="1"/>
  <c r="Y12" i="652" a="1"/>
  <c r="Y12" i="652" s="1"/>
  <c r="U12" i="652" a="1"/>
  <c r="U12" i="652" s="1"/>
  <c r="Q12" i="652" a="1"/>
  <c r="Q12" i="652" s="1"/>
  <c r="M12" i="652" a="1"/>
  <c r="M12" i="652" s="1"/>
  <c r="I12" i="652" a="1"/>
  <c r="I12" i="652" s="1"/>
  <c r="E12" i="652" a="1"/>
  <c r="E12" i="652" s="1"/>
  <c r="X12" i="652" a="1"/>
  <c r="X12" i="652" s="1"/>
  <c r="T12" i="652" a="1"/>
  <c r="T12" i="652" s="1"/>
  <c r="P12" i="652" a="1"/>
  <c r="P12" i="652" s="1"/>
  <c r="L12" i="652" a="1"/>
  <c r="L12" i="652" s="1"/>
  <c r="H12" i="652" a="1"/>
  <c r="H12" i="652" s="1"/>
  <c r="Z6" i="652" a="1"/>
  <c r="Z6" i="652" s="1"/>
  <c r="V6" i="652" a="1"/>
  <c r="V6" i="652" s="1"/>
  <c r="R6" i="652" a="1"/>
  <c r="R6" i="652" s="1"/>
  <c r="N6" i="652" a="1"/>
  <c r="N6" i="652" s="1"/>
  <c r="J6" i="652" a="1"/>
  <c r="J6" i="652" s="1"/>
  <c r="F6" i="652" a="1"/>
  <c r="F6" i="652" s="1"/>
  <c r="Y6" i="652" a="1"/>
  <c r="Y6" i="652" s="1"/>
  <c r="U6" i="652" a="1"/>
  <c r="U6" i="652" s="1"/>
  <c r="Q6" i="652" a="1"/>
  <c r="Q6" i="652" s="1"/>
  <c r="M6" i="652" a="1"/>
  <c r="M6" i="652" s="1"/>
  <c r="I6" i="652" a="1"/>
  <c r="I6" i="652" s="1"/>
  <c r="E6" i="652" a="1"/>
  <c r="E6" i="652" s="1"/>
  <c r="X6" i="652" a="1"/>
  <c r="X6" i="652" s="1"/>
  <c r="T6" i="652" a="1"/>
  <c r="T6" i="652" s="1"/>
  <c r="P6" i="652" a="1"/>
  <c r="P6" i="652" s="1"/>
  <c r="L6" i="652" a="1"/>
  <c r="L6" i="652" s="1"/>
  <c r="H6" i="652" a="1"/>
  <c r="H6" i="652" s="1"/>
  <c r="W6" i="652" a="1"/>
  <c r="W6" i="652" s="1"/>
  <c r="S6" i="652" a="1"/>
  <c r="S6" i="652" s="1"/>
  <c r="O6" i="652" a="1"/>
  <c r="O6" i="652" s="1"/>
  <c r="K6" i="652" a="1"/>
  <c r="K6" i="652" s="1"/>
  <c r="G6" i="652" a="1"/>
  <c r="G6" i="652" s="1"/>
  <c r="B9" i="652"/>
  <c r="J23" i="652"/>
  <c r="AH3" i="652"/>
  <c r="K24" i="652"/>
  <c r="V11" i="652" a="1"/>
  <c r="V11" i="652" s="1"/>
  <c r="R11" i="652" a="1"/>
  <c r="R11" i="652" s="1"/>
  <c r="N11" i="652" a="1"/>
  <c r="N11" i="652" s="1"/>
  <c r="J11" i="652" a="1"/>
  <c r="J11" i="652" s="1"/>
  <c r="F11" i="652" a="1"/>
  <c r="F11" i="652" s="1"/>
  <c r="Z11" i="652" a="1"/>
  <c r="Z11" i="652" s="1"/>
  <c r="U11" i="652" a="1"/>
  <c r="U11" i="652" s="1"/>
  <c r="Q11" i="652" a="1"/>
  <c r="Q11" i="652" s="1"/>
  <c r="M11" i="652" a="1"/>
  <c r="M11" i="652" s="1"/>
  <c r="I11" i="652" a="1"/>
  <c r="I11" i="652" s="1"/>
  <c r="E11" i="652" a="1"/>
  <c r="E11" i="652" s="1"/>
  <c r="Y11" i="652" a="1"/>
  <c r="Y11" i="652" s="1"/>
  <c r="T11" i="652" a="1"/>
  <c r="T11" i="652" s="1"/>
  <c r="P11" i="652" a="1"/>
  <c r="P11" i="652" s="1"/>
  <c r="L11" i="652" a="1"/>
  <c r="L11" i="652" s="1"/>
  <c r="H11" i="652" a="1"/>
  <c r="H11" i="652" s="1"/>
  <c r="W11" i="652" a="1"/>
  <c r="W11" i="652" s="1"/>
  <c r="S11" i="652" a="1"/>
  <c r="S11" i="652" s="1"/>
  <c r="O11" i="652" a="1"/>
  <c r="O11" i="652" s="1"/>
  <c r="K11" i="652" a="1"/>
  <c r="K11" i="652" s="1"/>
  <c r="G11" i="652" a="1"/>
  <c r="G11" i="652" s="1"/>
  <c r="U3" i="652" a="1"/>
  <c r="U3" i="652" s="1"/>
  <c r="Q3" i="652" a="1"/>
  <c r="Q3" i="652" s="1"/>
  <c r="I3" i="652" a="1"/>
  <c r="I3" i="652" s="1"/>
  <c r="O3" i="652" a="1"/>
  <c r="O3" i="652" s="1"/>
  <c r="X3" i="652" a="1"/>
  <c r="X3" i="652" s="1"/>
  <c r="T3" i="652" a="1"/>
  <c r="T3" i="652" s="1"/>
  <c r="P3" i="652" a="1"/>
  <c r="P3" i="652" s="1"/>
  <c r="L3" i="652" a="1"/>
  <c r="L3" i="652" s="1"/>
  <c r="H3" i="652" a="1"/>
  <c r="H3" i="652" s="1"/>
  <c r="S3" i="652" a="1"/>
  <c r="S3" i="652" s="1"/>
  <c r="W3" i="652" a="1"/>
  <c r="W3" i="652" s="1"/>
  <c r="K3" i="652" a="1"/>
  <c r="K3" i="652" s="1"/>
  <c r="G3" i="652" a="1"/>
  <c r="G3" i="652" s="1"/>
  <c r="M3" i="652" a="1"/>
  <c r="M3" i="652" s="1"/>
  <c r="E3" i="652" a="1"/>
  <c r="E3" i="652" s="1"/>
  <c r="Z3" i="652" a="1"/>
  <c r="Z3" i="652" s="1"/>
  <c r="V3" i="652" a="1"/>
  <c r="V3" i="652" s="1"/>
  <c r="R3" i="652" a="1"/>
  <c r="R3" i="652" s="1"/>
  <c r="N3" i="652" a="1"/>
  <c r="N3" i="652" s="1"/>
  <c r="J3" i="652" a="1"/>
  <c r="J3" i="652" s="1"/>
  <c r="F3" i="652" a="1"/>
  <c r="F3" i="652" s="1"/>
  <c r="Y3" i="652" a="1"/>
  <c r="Y3" i="652" s="1"/>
  <c r="Y4" i="652" a="1"/>
  <c r="Y4" i="652" s="1"/>
  <c r="U4" i="652" a="1"/>
  <c r="U4" i="652" s="1"/>
  <c r="Q4" i="652" a="1"/>
  <c r="Q4" i="652" s="1"/>
  <c r="M4" i="652" a="1"/>
  <c r="M4" i="652" s="1"/>
  <c r="I4" i="652" a="1"/>
  <c r="I4" i="652" s="1"/>
  <c r="E4" i="652" a="1"/>
  <c r="E4" i="652" s="1"/>
  <c r="X4" i="652" a="1"/>
  <c r="X4" i="652" s="1"/>
  <c r="T4" i="652" a="1"/>
  <c r="T4" i="652" s="1"/>
  <c r="P4" i="652" a="1"/>
  <c r="P4" i="652" s="1"/>
  <c r="L4" i="652" a="1"/>
  <c r="L4" i="652" s="1"/>
  <c r="H4" i="652" a="1"/>
  <c r="H4" i="652" s="1"/>
  <c r="W4" i="652" a="1"/>
  <c r="W4" i="652" s="1"/>
  <c r="S4" i="652" a="1"/>
  <c r="S4" i="652" s="1"/>
  <c r="O4" i="652" a="1"/>
  <c r="O4" i="652" s="1"/>
  <c r="K4" i="652" a="1"/>
  <c r="K4" i="652" s="1"/>
  <c r="G4" i="652" a="1"/>
  <c r="G4" i="652" s="1"/>
  <c r="Z4" i="652" a="1"/>
  <c r="Z4" i="652" s="1"/>
  <c r="V4" i="652" a="1"/>
  <c r="V4" i="652" s="1"/>
  <c r="R4" i="652" a="1"/>
  <c r="R4" i="652" s="1"/>
  <c r="N4" i="652" a="1"/>
  <c r="N4" i="652" s="1"/>
  <c r="J4" i="652" a="1"/>
  <c r="J4" i="652" s="1"/>
  <c r="F4" i="652" a="1"/>
  <c r="F4" i="652" s="1"/>
  <c r="Y7" i="652" a="1"/>
  <c r="Y7" i="652" s="1"/>
  <c r="U7" i="652" a="1"/>
  <c r="U7" i="652" s="1"/>
  <c r="Q7" i="652" a="1"/>
  <c r="Q7" i="652" s="1"/>
  <c r="M7" i="652" a="1"/>
  <c r="M7" i="652" s="1"/>
  <c r="I7" i="652" a="1"/>
  <c r="I7" i="652" s="1"/>
  <c r="E7" i="652" a="1"/>
  <c r="E7" i="652" s="1"/>
  <c r="X7" i="652" a="1"/>
  <c r="X7" i="652" s="1"/>
  <c r="T7" i="652" a="1"/>
  <c r="T7" i="652" s="1"/>
  <c r="P7" i="652" a="1"/>
  <c r="P7" i="652" s="1"/>
  <c r="L7" i="652" a="1"/>
  <c r="L7" i="652" s="1"/>
  <c r="H7" i="652" a="1"/>
  <c r="H7" i="652" s="1"/>
  <c r="W7" i="652" a="1"/>
  <c r="W7" i="652" s="1"/>
  <c r="S7" i="652" a="1"/>
  <c r="S7" i="652" s="1"/>
  <c r="O7" i="652" a="1"/>
  <c r="O7" i="652" s="1"/>
  <c r="K7" i="652" a="1"/>
  <c r="K7" i="652" s="1"/>
  <c r="G7" i="652" a="1"/>
  <c r="G7" i="652" s="1"/>
  <c r="Z7" i="652" a="1"/>
  <c r="Z7" i="652" s="1"/>
  <c r="V7" i="652" a="1"/>
  <c r="V7" i="652" s="1"/>
  <c r="R7" i="652" a="1"/>
  <c r="R7" i="652" s="1"/>
  <c r="N7" i="652" a="1"/>
  <c r="N7" i="652" s="1"/>
  <c r="J7" i="652" a="1"/>
  <c r="J7" i="652" s="1"/>
  <c r="F7" i="652" a="1"/>
  <c r="F7" i="652" s="1"/>
  <c r="Y3" i="651" a="1"/>
  <c r="Y3" i="651" s="1"/>
  <c r="U3" i="651" a="1"/>
  <c r="U3" i="651" s="1"/>
  <c r="Q3" i="651" a="1"/>
  <c r="Q3" i="651" s="1"/>
  <c r="M3" i="651" a="1"/>
  <c r="M3" i="651" s="1"/>
  <c r="I3" i="651" a="1"/>
  <c r="I3" i="651" s="1"/>
  <c r="E3" i="651" a="1"/>
  <c r="E3" i="651" s="1"/>
  <c r="X3" i="651" a="1"/>
  <c r="X3" i="651" s="1"/>
  <c r="T3" i="651" a="1"/>
  <c r="T3" i="651" s="1"/>
  <c r="P3" i="651" a="1"/>
  <c r="P3" i="651" s="1"/>
  <c r="L3" i="651" a="1"/>
  <c r="L3" i="651" s="1"/>
  <c r="H3" i="651" a="1"/>
  <c r="H3" i="651" s="1"/>
  <c r="W3" i="651" a="1"/>
  <c r="W3" i="651" s="1"/>
  <c r="S3" i="651" a="1"/>
  <c r="S3" i="651" s="1"/>
  <c r="O3" i="651" a="1"/>
  <c r="O3" i="651" s="1"/>
  <c r="K3" i="651" a="1"/>
  <c r="K3" i="651" s="1"/>
  <c r="G3" i="651" a="1"/>
  <c r="G3" i="651" s="1"/>
  <c r="Z3" i="651" a="1"/>
  <c r="Z3" i="651" s="1"/>
  <c r="V3" i="651" a="1"/>
  <c r="V3" i="651" s="1"/>
  <c r="R3" i="651" a="1"/>
  <c r="R3" i="651" s="1"/>
  <c r="N3" i="651" a="1"/>
  <c r="N3" i="651" s="1"/>
  <c r="J3" i="651" a="1"/>
  <c r="J3" i="651" s="1"/>
  <c r="F3" i="651" a="1"/>
  <c r="F3" i="651" s="1"/>
  <c r="W10" i="651" a="1"/>
  <c r="W10" i="651" s="1"/>
  <c r="S10" i="651" a="1"/>
  <c r="S10" i="651" s="1"/>
  <c r="O10" i="651" a="1"/>
  <c r="O10" i="651" s="1"/>
  <c r="K10" i="651" a="1"/>
  <c r="K10" i="651" s="1"/>
  <c r="G10" i="651" a="1"/>
  <c r="G10" i="651" s="1"/>
  <c r="Z10" i="651" a="1"/>
  <c r="Z10" i="651" s="1"/>
  <c r="V10" i="651" a="1"/>
  <c r="V10" i="651" s="1"/>
  <c r="R10" i="651" a="1"/>
  <c r="R10" i="651" s="1"/>
  <c r="N10" i="651" a="1"/>
  <c r="N10" i="651" s="1"/>
  <c r="J10" i="651" a="1"/>
  <c r="J10" i="651" s="1"/>
  <c r="F10" i="651" a="1"/>
  <c r="F10" i="651" s="1"/>
  <c r="Y10" i="651" a="1"/>
  <c r="Y10" i="651" s="1"/>
  <c r="U10" i="651" a="1"/>
  <c r="U10" i="651" s="1"/>
  <c r="Q10" i="651" a="1"/>
  <c r="Q10" i="651" s="1"/>
  <c r="M10" i="651" a="1"/>
  <c r="M10" i="651" s="1"/>
  <c r="I10" i="651" a="1"/>
  <c r="I10" i="651" s="1"/>
  <c r="E10" i="651" a="1"/>
  <c r="E10" i="651" s="1"/>
  <c r="X10" i="651" a="1"/>
  <c r="X10" i="651" s="1"/>
  <c r="T10" i="651" a="1"/>
  <c r="T10" i="651" s="1"/>
  <c r="P10" i="651" a="1"/>
  <c r="P10" i="651" s="1"/>
  <c r="L10" i="651" a="1"/>
  <c r="L10" i="651" s="1"/>
  <c r="H10" i="651" a="1"/>
  <c r="H10" i="651" s="1"/>
  <c r="X5" i="651" a="1"/>
  <c r="X5" i="651" s="1"/>
  <c r="T5" i="651" a="1"/>
  <c r="T5" i="651" s="1"/>
  <c r="P5" i="651" a="1"/>
  <c r="P5" i="651" s="1"/>
  <c r="L5" i="651" a="1"/>
  <c r="L5" i="651" s="1"/>
  <c r="H5" i="651" a="1"/>
  <c r="H5" i="651" s="1"/>
  <c r="W5" i="651" a="1"/>
  <c r="W5" i="651" s="1"/>
  <c r="S5" i="651" a="1"/>
  <c r="S5" i="651" s="1"/>
  <c r="O5" i="651" a="1"/>
  <c r="O5" i="651" s="1"/>
  <c r="K5" i="651" a="1"/>
  <c r="K5" i="651" s="1"/>
  <c r="G5" i="651" a="1"/>
  <c r="G5" i="651" s="1"/>
  <c r="Z5" i="651" a="1"/>
  <c r="Z5" i="651" s="1"/>
  <c r="V5" i="651" a="1"/>
  <c r="V5" i="651" s="1"/>
  <c r="R5" i="651" a="1"/>
  <c r="R5" i="651" s="1"/>
  <c r="N5" i="651" a="1"/>
  <c r="N5" i="651" s="1"/>
  <c r="J5" i="651" a="1"/>
  <c r="J5" i="651" s="1"/>
  <c r="F5" i="651" a="1"/>
  <c r="F5" i="651" s="1"/>
  <c r="Y5" i="651" a="1"/>
  <c r="Y5" i="651" s="1"/>
  <c r="U5" i="651" a="1"/>
  <c r="U5" i="651" s="1"/>
  <c r="Q5" i="651" a="1"/>
  <c r="Q5" i="651" s="1"/>
  <c r="M5" i="651" a="1"/>
  <c r="M5" i="651" s="1"/>
  <c r="I5" i="651" a="1"/>
  <c r="I5" i="651" s="1"/>
  <c r="E5" i="651" a="1"/>
  <c r="E5" i="651" s="1"/>
  <c r="W12" i="651" a="1"/>
  <c r="W12" i="651" s="1"/>
  <c r="S12" i="651" a="1"/>
  <c r="S12" i="651" s="1"/>
  <c r="O12" i="651" a="1"/>
  <c r="O12" i="651" s="1"/>
  <c r="K12" i="651" a="1"/>
  <c r="K12" i="651" s="1"/>
  <c r="G12" i="651" a="1"/>
  <c r="G12" i="651" s="1"/>
  <c r="Z12" i="651" a="1"/>
  <c r="Z12" i="651" s="1"/>
  <c r="V12" i="651" a="1"/>
  <c r="V12" i="651" s="1"/>
  <c r="R12" i="651" a="1"/>
  <c r="R12" i="651" s="1"/>
  <c r="N12" i="651" a="1"/>
  <c r="N12" i="651" s="1"/>
  <c r="J12" i="651" a="1"/>
  <c r="J12" i="651" s="1"/>
  <c r="F12" i="651" a="1"/>
  <c r="F12" i="651" s="1"/>
  <c r="Y12" i="651" a="1"/>
  <c r="Y12" i="651" s="1"/>
  <c r="U12" i="651" a="1"/>
  <c r="U12" i="651" s="1"/>
  <c r="Q12" i="651" a="1"/>
  <c r="Q12" i="651" s="1"/>
  <c r="M12" i="651" a="1"/>
  <c r="M12" i="651" s="1"/>
  <c r="I12" i="651" a="1"/>
  <c r="I12" i="651" s="1"/>
  <c r="E12" i="651" a="1"/>
  <c r="E12" i="651" s="1"/>
  <c r="X12" i="651" a="1"/>
  <c r="X12" i="651" s="1"/>
  <c r="T12" i="651" a="1"/>
  <c r="T12" i="651" s="1"/>
  <c r="P12" i="651" a="1"/>
  <c r="P12" i="651" s="1"/>
  <c r="L12" i="651" a="1"/>
  <c r="L12" i="651" s="1"/>
  <c r="H12" i="651" a="1"/>
  <c r="H12" i="651" s="1"/>
  <c r="Z6" i="651" a="1"/>
  <c r="Z6" i="651" s="1"/>
  <c r="V6" i="651" a="1"/>
  <c r="V6" i="651" s="1"/>
  <c r="R6" i="651" a="1"/>
  <c r="R6" i="651" s="1"/>
  <c r="N6" i="651" a="1"/>
  <c r="N6" i="651" s="1"/>
  <c r="J6" i="651" a="1"/>
  <c r="J6" i="651" s="1"/>
  <c r="F6" i="651" a="1"/>
  <c r="F6" i="651" s="1"/>
  <c r="Y6" i="651" a="1"/>
  <c r="Y6" i="651" s="1"/>
  <c r="U6" i="651" a="1"/>
  <c r="U6" i="651" s="1"/>
  <c r="Q6" i="651" a="1"/>
  <c r="Q6" i="651" s="1"/>
  <c r="M6" i="651" a="1"/>
  <c r="M6" i="651" s="1"/>
  <c r="I6" i="651" a="1"/>
  <c r="I6" i="651" s="1"/>
  <c r="E6" i="651" a="1"/>
  <c r="E6" i="651" s="1"/>
  <c r="X6" i="651" a="1"/>
  <c r="X6" i="651" s="1"/>
  <c r="T6" i="651" a="1"/>
  <c r="T6" i="651" s="1"/>
  <c r="P6" i="651" a="1"/>
  <c r="P6" i="651" s="1"/>
  <c r="L6" i="651" a="1"/>
  <c r="L6" i="651" s="1"/>
  <c r="H6" i="651" a="1"/>
  <c r="H6" i="651" s="1"/>
  <c r="W6" i="651" a="1"/>
  <c r="W6" i="651" s="1"/>
  <c r="S6" i="651" a="1"/>
  <c r="S6" i="651" s="1"/>
  <c r="O6" i="651" a="1"/>
  <c r="O6" i="651" s="1"/>
  <c r="K6" i="651" a="1"/>
  <c r="K6" i="651" s="1"/>
  <c r="G6" i="651" a="1"/>
  <c r="G6" i="651" s="1"/>
  <c r="B9" i="651"/>
  <c r="J23" i="651"/>
  <c r="AH3" i="651"/>
  <c r="K24" i="651"/>
  <c r="V11" i="651" a="1"/>
  <c r="V11" i="651" s="1"/>
  <c r="R11" i="651" a="1"/>
  <c r="R11" i="651" s="1"/>
  <c r="N11" i="651" a="1"/>
  <c r="N11" i="651" s="1"/>
  <c r="J11" i="651" a="1"/>
  <c r="J11" i="651" s="1"/>
  <c r="F11" i="651" a="1"/>
  <c r="F11" i="651" s="1"/>
  <c r="Z11" i="651" a="1"/>
  <c r="Z11" i="651" s="1"/>
  <c r="U11" i="651" a="1"/>
  <c r="U11" i="651" s="1"/>
  <c r="Q11" i="651" a="1"/>
  <c r="Q11" i="651" s="1"/>
  <c r="M11" i="651" a="1"/>
  <c r="M11" i="651" s="1"/>
  <c r="I11" i="651" a="1"/>
  <c r="I11" i="651" s="1"/>
  <c r="E11" i="651" a="1"/>
  <c r="E11" i="651" s="1"/>
  <c r="Y11" i="651" a="1"/>
  <c r="Y11" i="651" s="1"/>
  <c r="T11" i="651" a="1"/>
  <c r="T11" i="651" s="1"/>
  <c r="P11" i="651" a="1"/>
  <c r="P11" i="651" s="1"/>
  <c r="L11" i="651" a="1"/>
  <c r="L11" i="651" s="1"/>
  <c r="H11" i="651" a="1"/>
  <c r="H11" i="651" s="1"/>
  <c r="W11" i="651" a="1"/>
  <c r="W11" i="651" s="1"/>
  <c r="S11" i="651" a="1"/>
  <c r="S11" i="651" s="1"/>
  <c r="O11" i="651" a="1"/>
  <c r="O11" i="651" s="1"/>
  <c r="K11" i="651" a="1"/>
  <c r="K11" i="651" s="1"/>
  <c r="G11" i="651" a="1"/>
  <c r="G11" i="651" s="1"/>
  <c r="Y4" i="651" a="1"/>
  <c r="Y4" i="651" s="1"/>
  <c r="U4" i="651" a="1"/>
  <c r="U4" i="651" s="1"/>
  <c r="Q4" i="651" a="1"/>
  <c r="Q4" i="651" s="1"/>
  <c r="M4" i="651" a="1"/>
  <c r="M4" i="651" s="1"/>
  <c r="I4" i="651" a="1"/>
  <c r="I4" i="651" s="1"/>
  <c r="E4" i="651" a="1"/>
  <c r="E4" i="651" s="1"/>
  <c r="X4" i="651" a="1"/>
  <c r="X4" i="651" s="1"/>
  <c r="T4" i="651" a="1"/>
  <c r="T4" i="651" s="1"/>
  <c r="P4" i="651" a="1"/>
  <c r="P4" i="651" s="1"/>
  <c r="L4" i="651" a="1"/>
  <c r="L4" i="651" s="1"/>
  <c r="H4" i="651" a="1"/>
  <c r="H4" i="651" s="1"/>
  <c r="W4" i="651" a="1"/>
  <c r="W4" i="651" s="1"/>
  <c r="S4" i="651" a="1"/>
  <c r="S4" i="651" s="1"/>
  <c r="O4" i="651" a="1"/>
  <c r="O4" i="651" s="1"/>
  <c r="K4" i="651" a="1"/>
  <c r="K4" i="651" s="1"/>
  <c r="G4" i="651" a="1"/>
  <c r="G4" i="651" s="1"/>
  <c r="Z4" i="651" a="1"/>
  <c r="Z4" i="651" s="1"/>
  <c r="V4" i="651" a="1"/>
  <c r="V4" i="651" s="1"/>
  <c r="R4" i="651" a="1"/>
  <c r="R4" i="651" s="1"/>
  <c r="N4" i="651" a="1"/>
  <c r="N4" i="651" s="1"/>
  <c r="J4" i="651" a="1"/>
  <c r="J4" i="651" s="1"/>
  <c r="F4" i="651" a="1"/>
  <c r="F4" i="651" s="1"/>
  <c r="Y7" i="651" a="1"/>
  <c r="Y7" i="651" s="1"/>
  <c r="U7" i="651" a="1"/>
  <c r="U7" i="651" s="1"/>
  <c r="Q7" i="651" a="1"/>
  <c r="Q7" i="651" s="1"/>
  <c r="M7" i="651" a="1"/>
  <c r="M7" i="651" s="1"/>
  <c r="I7" i="651" a="1"/>
  <c r="I7" i="651" s="1"/>
  <c r="E7" i="651" a="1"/>
  <c r="E7" i="651" s="1"/>
  <c r="X7" i="651" a="1"/>
  <c r="X7" i="651" s="1"/>
  <c r="T7" i="651" a="1"/>
  <c r="T7" i="651" s="1"/>
  <c r="P7" i="651" a="1"/>
  <c r="P7" i="651" s="1"/>
  <c r="L7" i="651" a="1"/>
  <c r="L7" i="651" s="1"/>
  <c r="H7" i="651" a="1"/>
  <c r="H7" i="651" s="1"/>
  <c r="W7" i="651" a="1"/>
  <c r="W7" i="651" s="1"/>
  <c r="S7" i="651" a="1"/>
  <c r="S7" i="651" s="1"/>
  <c r="O7" i="651" a="1"/>
  <c r="O7" i="651" s="1"/>
  <c r="K7" i="651" a="1"/>
  <c r="K7" i="651" s="1"/>
  <c r="G7" i="651" a="1"/>
  <c r="G7" i="651" s="1"/>
  <c r="Z7" i="651" a="1"/>
  <c r="Z7" i="651" s="1"/>
  <c r="V7" i="651" a="1"/>
  <c r="V7" i="651" s="1"/>
  <c r="R7" i="651" a="1"/>
  <c r="R7" i="651" s="1"/>
  <c r="N7" i="651" a="1"/>
  <c r="N7" i="651" s="1"/>
  <c r="J7" i="651" a="1"/>
  <c r="J7" i="651" s="1"/>
  <c r="F7" i="651" a="1"/>
  <c r="F7" i="651" s="1"/>
  <c r="W9" i="651" a="1"/>
  <c r="W9" i="651" s="1"/>
  <c r="S9" i="651" a="1"/>
  <c r="S9" i="651" s="1"/>
  <c r="O9" i="651" a="1"/>
  <c r="O9" i="651" s="1"/>
  <c r="K9" i="651" a="1"/>
  <c r="K9" i="651" s="1"/>
  <c r="G9" i="651" a="1"/>
  <c r="G9" i="651" s="1"/>
  <c r="Z9" i="651" a="1"/>
  <c r="Z9" i="651" s="1"/>
  <c r="V9" i="651" a="1"/>
  <c r="V9" i="651" s="1"/>
  <c r="R9" i="651" a="1"/>
  <c r="R9" i="651" s="1"/>
  <c r="N9" i="651" a="1"/>
  <c r="N9" i="651" s="1"/>
  <c r="J9" i="651" a="1"/>
  <c r="J9" i="651" s="1"/>
  <c r="F9" i="651" a="1"/>
  <c r="F9" i="651" s="1"/>
  <c r="Y9" i="651" a="1"/>
  <c r="Y9" i="651" s="1"/>
  <c r="U9" i="651" a="1"/>
  <c r="U9" i="651" s="1"/>
  <c r="Q9" i="651" a="1"/>
  <c r="Q9" i="651" s="1"/>
  <c r="M9" i="651" a="1"/>
  <c r="M9" i="651" s="1"/>
  <c r="I9" i="651" a="1"/>
  <c r="I9" i="651" s="1"/>
  <c r="E9" i="651" a="1"/>
  <c r="E9" i="651" s="1"/>
  <c r="X9" i="651" a="1"/>
  <c r="X9" i="651" s="1"/>
  <c r="T9" i="651" a="1"/>
  <c r="T9" i="651" s="1"/>
  <c r="P9" i="651" a="1"/>
  <c r="P9" i="651" s="1"/>
  <c r="L9" i="651" a="1"/>
  <c r="L9" i="651" s="1"/>
  <c r="H9" i="651" a="1"/>
  <c r="H9" i="651" s="1"/>
  <c r="X8" i="651" a="1"/>
  <c r="X8" i="651" s="1"/>
  <c r="T8" i="651" a="1"/>
  <c r="T8" i="651" s="1"/>
  <c r="P8" i="651" a="1"/>
  <c r="P8" i="651" s="1"/>
  <c r="L8" i="651" a="1"/>
  <c r="L8" i="651" s="1"/>
  <c r="H8" i="651" a="1"/>
  <c r="H8" i="651" s="1"/>
  <c r="W8" i="651" a="1"/>
  <c r="W8" i="651" s="1"/>
  <c r="S8" i="651" a="1"/>
  <c r="S8" i="651" s="1"/>
  <c r="O8" i="651" a="1"/>
  <c r="O8" i="651" s="1"/>
  <c r="K8" i="651" a="1"/>
  <c r="K8" i="651" s="1"/>
  <c r="G8" i="651" a="1"/>
  <c r="G8" i="651" s="1"/>
  <c r="Z8" i="651" a="1"/>
  <c r="Z8" i="651" s="1"/>
  <c r="V8" i="651" a="1"/>
  <c r="V8" i="651" s="1"/>
  <c r="R8" i="651" a="1"/>
  <c r="R8" i="651" s="1"/>
  <c r="N8" i="651" a="1"/>
  <c r="N8" i="651" s="1"/>
  <c r="J8" i="651" a="1"/>
  <c r="J8" i="651" s="1"/>
  <c r="F8" i="651" a="1"/>
  <c r="F8" i="651" s="1"/>
  <c r="Y8" i="651" a="1"/>
  <c r="Y8" i="651" s="1"/>
  <c r="U8" i="651" a="1"/>
  <c r="U8" i="651" s="1"/>
  <c r="Q8" i="651" a="1"/>
  <c r="Q8" i="651" s="1"/>
  <c r="M8" i="651" a="1"/>
  <c r="M8" i="651" s="1"/>
  <c r="I8" i="651" a="1"/>
  <c r="I8" i="651" s="1"/>
  <c r="E8" i="651" a="1"/>
  <c r="E8" i="651" s="1"/>
  <c r="Q80" i="578"/>
  <c r="Q79" i="578"/>
  <c r="Q78" i="578"/>
  <c r="Q72" i="578"/>
  <c r="Q71" i="578"/>
  <c r="Q70" i="578"/>
  <c r="Q69" i="578"/>
  <c r="Q68" i="578"/>
  <c r="Q59" i="578"/>
  <c r="Q58" i="578"/>
  <c r="Q57" i="578"/>
  <c r="Q56" i="578"/>
  <c r="Q55" i="578"/>
  <c r="Q54" i="578"/>
  <c r="Q53" i="578"/>
  <c r="Q52" i="578"/>
  <c r="Q51" i="578"/>
  <c r="Q50" i="578"/>
  <c r="F2" i="207"/>
  <c r="G2" i="207"/>
  <c r="H2" i="207"/>
  <c r="I2" i="207"/>
  <c r="J2" i="207"/>
  <c r="K2" i="207"/>
  <c r="L2" i="207"/>
  <c r="E2" i="207"/>
  <c r="AA12" i="662" l="1"/>
  <c r="AA9" i="662"/>
  <c r="R13" i="662"/>
  <c r="R14" i="662" s="1"/>
  <c r="H13" i="662"/>
  <c r="H14" i="662" s="1"/>
  <c r="Q13" i="662"/>
  <c r="Q14" i="662" s="1"/>
  <c r="H27" i="662"/>
  <c r="H26" i="662"/>
  <c r="H25" i="662"/>
  <c r="H24" i="662"/>
  <c r="AA5" i="662"/>
  <c r="AA7" i="662"/>
  <c r="V13" i="662"/>
  <c r="V14" i="662" s="1"/>
  <c r="L13" i="662"/>
  <c r="L14" i="662" s="1"/>
  <c r="U13" i="662"/>
  <c r="U14" i="662" s="1"/>
  <c r="Z13" i="662"/>
  <c r="Z14" i="662" s="1"/>
  <c r="P13" i="662"/>
  <c r="P14" i="662" s="1"/>
  <c r="Y13" i="662"/>
  <c r="Y14" i="662" s="1"/>
  <c r="G13" i="662"/>
  <c r="G14" i="662" s="1"/>
  <c r="T13" i="662"/>
  <c r="T14" i="662" s="1"/>
  <c r="AA10" i="662"/>
  <c r="K13" i="662"/>
  <c r="K14" i="662" s="1"/>
  <c r="X13" i="662"/>
  <c r="X14" i="662" s="1"/>
  <c r="AA8" i="662"/>
  <c r="F13" i="662"/>
  <c r="F14" i="662" s="1"/>
  <c r="O13" i="662"/>
  <c r="O14" i="662" s="1"/>
  <c r="E13" i="662"/>
  <c r="E14" i="662" s="1"/>
  <c r="AA3" i="662"/>
  <c r="AA11" i="662"/>
  <c r="J13" i="662"/>
  <c r="J14" i="662" s="1"/>
  <c r="S13" i="662"/>
  <c r="S14" i="662" s="1"/>
  <c r="I13" i="662"/>
  <c r="I14" i="662" s="1"/>
  <c r="AA6" i="662"/>
  <c r="AA4" i="662"/>
  <c r="N13" i="662"/>
  <c r="N14" i="662" s="1"/>
  <c r="W13" i="662"/>
  <c r="W14" i="662" s="1"/>
  <c r="M13" i="662"/>
  <c r="M14" i="662" s="1"/>
  <c r="AA5" i="661"/>
  <c r="AA8" i="661"/>
  <c r="AA12" i="661"/>
  <c r="AA9" i="661"/>
  <c r="R13" i="661"/>
  <c r="R14" i="661" s="1"/>
  <c r="H13" i="661"/>
  <c r="H14" i="661" s="1"/>
  <c r="Q13" i="661"/>
  <c r="Q14" i="661" s="1"/>
  <c r="H27" i="661"/>
  <c r="H26" i="661"/>
  <c r="H25" i="661"/>
  <c r="H24" i="661"/>
  <c r="AA7" i="661"/>
  <c r="V13" i="661"/>
  <c r="V14" i="661" s="1"/>
  <c r="L13" i="661"/>
  <c r="L14" i="661" s="1"/>
  <c r="U13" i="661"/>
  <c r="U14" i="661" s="1"/>
  <c r="Z13" i="661"/>
  <c r="Z14" i="661" s="1"/>
  <c r="P13" i="661"/>
  <c r="P14" i="661" s="1"/>
  <c r="Y13" i="661"/>
  <c r="Y14" i="661" s="1"/>
  <c r="G13" i="661"/>
  <c r="G14" i="661" s="1"/>
  <c r="T13" i="661"/>
  <c r="T14" i="661" s="1"/>
  <c r="AA10" i="661"/>
  <c r="K13" i="661"/>
  <c r="K14" i="661" s="1"/>
  <c r="X13" i="661"/>
  <c r="X14" i="661" s="1"/>
  <c r="F13" i="661"/>
  <c r="F14" i="661" s="1"/>
  <c r="O13" i="661"/>
  <c r="O14" i="661" s="1"/>
  <c r="E13" i="661"/>
  <c r="E14" i="661" s="1"/>
  <c r="AA3" i="661"/>
  <c r="AA11" i="661"/>
  <c r="J13" i="661"/>
  <c r="J14" i="661" s="1"/>
  <c r="S13" i="661"/>
  <c r="S14" i="661" s="1"/>
  <c r="I13" i="661"/>
  <c r="I14" i="661" s="1"/>
  <c r="AA6" i="661"/>
  <c r="AA4" i="661"/>
  <c r="N13" i="661"/>
  <c r="N14" i="661" s="1"/>
  <c r="W13" i="661"/>
  <c r="W14" i="661" s="1"/>
  <c r="M13" i="661"/>
  <c r="M14" i="661" s="1"/>
  <c r="AA5" i="660"/>
  <c r="S13" i="660"/>
  <c r="S14" i="660" s="1"/>
  <c r="X13" i="660"/>
  <c r="X14" i="660" s="1"/>
  <c r="U13" i="660"/>
  <c r="U14" i="660" s="1"/>
  <c r="H27" i="660"/>
  <c r="H26" i="660"/>
  <c r="H24" i="660"/>
  <c r="H25" i="660"/>
  <c r="W13" i="660"/>
  <c r="W14" i="660" s="1"/>
  <c r="J13" i="660"/>
  <c r="J14" i="660" s="1"/>
  <c r="Y13" i="660"/>
  <c r="Y14" i="660" s="1"/>
  <c r="AA6" i="660"/>
  <c r="R13" i="660"/>
  <c r="R14" i="660" s="1"/>
  <c r="Z13" i="660"/>
  <c r="Z14" i="660" s="1"/>
  <c r="AA12" i="660"/>
  <c r="V13" i="660"/>
  <c r="V14" i="660" s="1"/>
  <c r="N13" i="660"/>
  <c r="N14" i="660" s="1"/>
  <c r="AA8" i="660"/>
  <c r="F13" i="660"/>
  <c r="F14" i="660" s="1"/>
  <c r="H13" i="660"/>
  <c r="H14" i="660" s="1"/>
  <c r="E13" i="660"/>
  <c r="E14" i="660" s="1"/>
  <c r="AA3" i="660"/>
  <c r="AA9" i="660"/>
  <c r="AA4" i="660"/>
  <c r="G13" i="660"/>
  <c r="G14" i="660" s="1"/>
  <c r="L13" i="660"/>
  <c r="L14" i="660" s="1"/>
  <c r="I13" i="660"/>
  <c r="I14" i="660" s="1"/>
  <c r="AA11" i="660"/>
  <c r="K13" i="660"/>
  <c r="K14" i="660" s="1"/>
  <c r="P13" i="660"/>
  <c r="P14" i="660" s="1"/>
  <c r="M13" i="660"/>
  <c r="M14" i="660" s="1"/>
  <c r="AA10" i="660"/>
  <c r="AA7" i="660"/>
  <c r="O13" i="660"/>
  <c r="O14" i="660" s="1"/>
  <c r="T13" i="660"/>
  <c r="T14" i="660" s="1"/>
  <c r="Q13" i="660"/>
  <c r="Q14" i="660" s="1"/>
  <c r="AA12" i="659"/>
  <c r="AA9" i="659"/>
  <c r="R13" i="659"/>
  <c r="R14" i="659" s="1"/>
  <c r="H13" i="659"/>
  <c r="H14" i="659" s="1"/>
  <c r="Q13" i="659"/>
  <c r="Q14" i="659" s="1"/>
  <c r="H27" i="659"/>
  <c r="H26" i="659"/>
  <c r="H25" i="659"/>
  <c r="H24" i="659"/>
  <c r="AA5" i="659"/>
  <c r="AA7" i="659"/>
  <c r="V13" i="659"/>
  <c r="V14" i="659" s="1"/>
  <c r="L13" i="659"/>
  <c r="L14" i="659" s="1"/>
  <c r="U13" i="659"/>
  <c r="U14" i="659" s="1"/>
  <c r="Z13" i="659"/>
  <c r="Z14" i="659" s="1"/>
  <c r="P13" i="659"/>
  <c r="P14" i="659" s="1"/>
  <c r="Y13" i="659"/>
  <c r="Y14" i="659" s="1"/>
  <c r="G13" i="659"/>
  <c r="G14" i="659" s="1"/>
  <c r="T13" i="659"/>
  <c r="T14" i="659" s="1"/>
  <c r="AA10" i="659"/>
  <c r="K13" i="659"/>
  <c r="K14" i="659" s="1"/>
  <c r="X13" i="659"/>
  <c r="X14" i="659" s="1"/>
  <c r="AA8" i="659"/>
  <c r="F13" i="659"/>
  <c r="F14" i="659" s="1"/>
  <c r="O13" i="659"/>
  <c r="O14" i="659" s="1"/>
  <c r="E13" i="659"/>
  <c r="E14" i="659" s="1"/>
  <c r="AA3" i="659"/>
  <c r="AA11" i="659"/>
  <c r="J13" i="659"/>
  <c r="J14" i="659" s="1"/>
  <c r="S13" i="659"/>
  <c r="S14" i="659" s="1"/>
  <c r="I13" i="659"/>
  <c r="I14" i="659" s="1"/>
  <c r="AA6" i="659"/>
  <c r="AA4" i="659"/>
  <c r="N13" i="659"/>
  <c r="N14" i="659" s="1"/>
  <c r="W13" i="659"/>
  <c r="W14" i="659" s="1"/>
  <c r="M13" i="659"/>
  <c r="M14" i="659" s="1"/>
  <c r="AA5" i="658"/>
  <c r="K13" i="658"/>
  <c r="K14" i="658" s="1"/>
  <c r="X13" i="658"/>
  <c r="X14" i="658" s="1"/>
  <c r="AA12" i="658"/>
  <c r="F13" i="658"/>
  <c r="F14" i="658" s="1"/>
  <c r="O13" i="658"/>
  <c r="O14" i="658" s="1"/>
  <c r="E13" i="658"/>
  <c r="E14" i="658" s="1"/>
  <c r="AA3" i="658"/>
  <c r="AA11" i="658"/>
  <c r="J13" i="658"/>
  <c r="J14" i="658" s="1"/>
  <c r="S13" i="658"/>
  <c r="S14" i="658" s="1"/>
  <c r="I13" i="658"/>
  <c r="I14" i="658" s="1"/>
  <c r="AA4" i="658"/>
  <c r="N13" i="658"/>
  <c r="N14" i="658" s="1"/>
  <c r="W13" i="658"/>
  <c r="W14" i="658" s="1"/>
  <c r="M13" i="658"/>
  <c r="M14" i="658" s="1"/>
  <c r="R13" i="658"/>
  <c r="R14" i="658" s="1"/>
  <c r="H13" i="658"/>
  <c r="H14" i="658" s="1"/>
  <c r="Q13" i="658"/>
  <c r="Q14" i="658" s="1"/>
  <c r="AA7" i="658"/>
  <c r="V13" i="658"/>
  <c r="V14" i="658" s="1"/>
  <c r="L13" i="658"/>
  <c r="L14" i="658" s="1"/>
  <c r="U13" i="658"/>
  <c r="U14" i="658" s="1"/>
  <c r="Z13" i="658"/>
  <c r="Z14" i="658" s="1"/>
  <c r="P13" i="658"/>
  <c r="P14" i="658" s="1"/>
  <c r="Y13" i="658"/>
  <c r="Y14" i="658" s="1"/>
  <c r="AA10" i="658"/>
  <c r="AA6" i="658"/>
  <c r="AA8" i="658"/>
  <c r="G13" i="658"/>
  <c r="G14" i="658" s="1"/>
  <c r="T13" i="658"/>
  <c r="T14" i="658" s="1"/>
  <c r="H27" i="658"/>
  <c r="H26" i="658"/>
  <c r="H25" i="658"/>
  <c r="H24" i="658"/>
  <c r="AA9" i="658"/>
  <c r="AA9" i="657"/>
  <c r="J13" i="657"/>
  <c r="J14" i="657" s="1"/>
  <c r="S13" i="657"/>
  <c r="S14" i="657" s="1"/>
  <c r="I13" i="657"/>
  <c r="I14" i="657" s="1"/>
  <c r="AA6" i="657"/>
  <c r="AA5" i="657"/>
  <c r="AA4" i="657"/>
  <c r="N13" i="657"/>
  <c r="N14" i="657" s="1"/>
  <c r="W13" i="657"/>
  <c r="W14" i="657" s="1"/>
  <c r="M13" i="657"/>
  <c r="M14" i="657" s="1"/>
  <c r="AA12" i="657"/>
  <c r="R13" i="657"/>
  <c r="R14" i="657" s="1"/>
  <c r="H13" i="657"/>
  <c r="H14" i="657" s="1"/>
  <c r="Q13" i="657"/>
  <c r="Q14" i="657" s="1"/>
  <c r="H27" i="657"/>
  <c r="H26" i="657"/>
  <c r="H25" i="657"/>
  <c r="H24" i="657"/>
  <c r="AA7" i="657"/>
  <c r="V13" i="657"/>
  <c r="V14" i="657" s="1"/>
  <c r="L13" i="657"/>
  <c r="L14" i="657" s="1"/>
  <c r="U13" i="657"/>
  <c r="U14" i="657" s="1"/>
  <c r="Z13" i="657"/>
  <c r="Z14" i="657" s="1"/>
  <c r="P13" i="657"/>
  <c r="P14" i="657" s="1"/>
  <c r="Y13" i="657"/>
  <c r="Y14" i="657" s="1"/>
  <c r="G13" i="657"/>
  <c r="G14" i="657" s="1"/>
  <c r="T13" i="657"/>
  <c r="T14" i="657" s="1"/>
  <c r="K13" i="657"/>
  <c r="K14" i="657" s="1"/>
  <c r="X13" i="657"/>
  <c r="X14" i="657" s="1"/>
  <c r="AA8" i="657"/>
  <c r="F13" i="657"/>
  <c r="F14" i="657" s="1"/>
  <c r="O13" i="657"/>
  <c r="O14" i="657" s="1"/>
  <c r="E13" i="657"/>
  <c r="E14" i="657" s="1"/>
  <c r="AA3" i="657"/>
  <c r="AA11" i="657"/>
  <c r="AA10" i="657"/>
  <c r="AA9" i="656"/>
  <c r="J13" i="656"/>
  <c r="J14" i="656" s="1"/>
  <c r="S13" i="656"/>
  <c r="S14" i="656" s="1"/>
  <c r="I13" i="656"/>
  <c r="I14" i="656" s="1"/>
  <c r="AA6" i="656"/>
  <c r="AA5" i="656"/>
  <c r="AA4" i="656"/>
  <c r="N13" i="656"/>
  <c r="N14" i="656" s="1"/>
  <c r="W13" i="656"/>
  <c r="W14" i="656" s="1"/>
  <c r="M13" i="656"/>
  <c r="M14" i="656" s="1"/>
  <c r="AA12" i="656"/>
  <c r="R13" i="656"/>
  <c r="R14" i="656" s="1"/>
  <c r="H13" i="656"/>
  <c r="H14" i="656" s="1"/>
  <c r="Q13" i="656"/>
  <c r="Q14" i="656" s="1"/>
  <c r="H27" i="656"/>
  <c r="H26" i="656"/>
  <c r="H25" i="656"/>
  <c r="H24" i="656"/>
  <c r="AA7" i="656"/>
  <c r="V13" i="656"/>
  <c r="V14" i="656" s="1"/>
  <c r="L13" i="656"/>
  <c r="L14" i="656" s="1"/>
  <c r="U13" i="656"/>
  <c r="U14" i="656" s="1"/>
  <c r="Z13" i="656"/>
  <c r="Z14" i="656" s="1"/>
  <c r="P13" i="656"/>
  <c r="P14" i="656" s="1"/>
  <c r="Y13" i="656"/>
  <c r="Y14" i="656" s="1"/>
  <c r="G13" i="656"/>
  <c r="G14" i="656" s="1"/>
  <c r="T13" i="656"/>
  <c r="T14" i="656" s="1"/>
  <c r="K13" i="656"/>
  <c r="K14" i="656" s="1"/>
  <c r="X13" i="656"/>
  <c r="X14" i="656" s="1"/>
  <c r="AA8" i="656"/>
  <c r="F13" i="656"/>
  <c r="F14" i="656" s="1"/>
  <c r="O13" i="656"/>
  <c r="O14" i="656" s="1"/>
  <c r="E13" i="656"/>
  <c r="E14" i="656" s="1"/>
  <c r="AA3" i="656"/>
  <c r="AA11" i="656"/>
  <c r="AA10" i="656"/>
  <c r="AA12" i="655"/>
  <c r="AA11" i="655"/>
  <c r="V13" i="655"/>
  <c r="V14" i="655" s="1"/>
  <c r="H13" i="655"/>
  <c r="H14" i="655" s="1"/>
  <c r="I13" i="655"/>
  <c r="I14" i="655" s="1"/>
  <c r="F13" i="655"/>
  <c r="F14" i="655" s="1"/>
  <c r="Z13" i="655"/>
  <c r="Z14" i="655" s="1"/>
  <c r="E13" i="655"/>
  <c r="E14" i="655" s="1"/>
  <c r="AA3" i="655"/>
  <c r="AA4" i="655"/>
  <c r="J13" i="655"/>
  <c r="J14" i="655" s="1"/>
  <c r="L13" i="655"/>
  <c r="L14" i="655" s="1"/>
  <c r="M13" i="655"/>
  <c r="M14" i="655" s="1"/>
  <c r="AA7" i="655"/>
  <c r="G13" i="655"/>
  <c r="G14" i="655" s="1"/>
  <c r="P13" i="655"/>
  <c r="P14" i="655" s="1"/>
  <c r="Q13" i="655"/>
  <c r="Q14" i="655" s="1"/>
  <c r="AA6" i="655"/>
  <c r="AA9" i="655"/>
  <c r="K13" i="655"/>
  <c r="K14" i="655" s="1"/>
  <c r="T13" i="655"/>
  <c r="T14" i="655" s="1"/>
  <c r="U13" i="655"/>
  <c r="U14" i="655" s="1"/>
  <c r="AA10" i="655"/>
  <c r="O13" i="655"/>
  <c r="O14" i="655" s="1"/>
  <c r="X13" i="655"/>
  <c r="X14" i="655" s="1"/>
  <c r="Y13" i="655"/>
  <c r="Y14" i="655" s="1"/>
  <c r="AA5" i="655"/>
  <c r="S13" i="655"/>
  <c r="S14" i="655" s="1"/>
  <c r="R13" i="655"/>
  <c r="R14" i="655" s="1"/>
  <c r="H27" i="655"/>
  <c r="H26" i="655"/>
  <c r="H25" i="655"/>
  <c r="H24" i="655"/>
  <c r="AA8" i="655"/>
  <c r="W13" i="655"/>
  <c r="W14" i="655" s="1"/>
  <c r="N13" i="655"/>
  <c r="N14" i="655" s="1"/>
  <c r="AA10" i="654"/>
  <c r="K13" i="654"/>
  <c r="K14" i="654" s="1"/>
  <c r="X13" i="654"/>
  <c r="X14" i="654" s="1"/>
  <c r="AA8" i="654"/>
  <c r="F13" i="654"/>
  <c r="F14" i="654" s="1"/>
  <c r="O13" i="654"/>
  <c r="O14" i="654" s="1"/>
  <c r="E13" i="654"/>
  <c r="E14" i="654" s="1"/>
  <c r="AA3" i="654"/>
  <c r="AA11" i="654"/>
  <c r="J13" i="654"/>
  <c r="J14" i="654" s="1"/>
  <c r="S13" i="654"/>
  <c r="S14" i="654" s="1"/>
  <c r="I13" i="654"/>
  <c r="I14" i="654" s="1"/>
  <c r="AA6" i="654"/>
  <c r="AA4" i="654"/>
  <c r="N13" i="654"/>
  <c r="N14" i="654" s="1"/>
  <c r="W13" i="654"/>
  <c r="W14" i="654" s="1"/>
  <c r="M13" i="654"/>
  <c r="M14" i="654" s="1"/>
  <c r="AA12" i="654"/>
  <c r="AA9" i="654"/>
  <c r="R13" i="654"/>
  <c r="R14" i="654" s="1"/>
  <c r="H13" i="654"/>
  <c r="H14" i="654" s="1"/>
  <c r="Q13" i="654"/>
  <c r="Q14" i="654" s="1"/>
  <c r="H27" i="654"/>
  <c r="H26" i="654"/>
  <c r="H25" i="654"/>
  <c r="H24" i="654"/>
  <c r="AA5" i="654"/>
  <c r="AA7" i="654"/>
  <c r="V13" i="654"/>
  <c r="V14" i="654" s="1"/>
  <c r="L13" i="654"/>
  <c r="L14" i="654" s="1"/>
  <c r="U13" i="654"/>
  <c r="U14" i="654" s="1"/>
  <c r="Z13" i="654"/>
  <c r="Z14" i="654" s="1"/>
  <c r="P13" i="654"/>
  <c r="P14" i="654" s="1"/>
  <c r="Y13" i="654"/>
  <c r="Y14" i="654" s="1"/>
  <c r="G13" i="654"/>
  <c r="G14" i="654" s="1"/>
  <c r="T13" i="654"/>
  <c r="T14" i="654" s="1"/>
  <c r="M13" i="653"/>
  <c r="M14" i="653" s="1"/>
  <c r="Q13" i="653"/>
  <c r="Q14" i="653" s="1"/>
  <c r="H13" i="653"/>
  <c r="H14" i="653" s="1"/>
  <c r="V13" i="653"/>
  <c r="V14" i="653" s="1"/>
  <c r="Z13" i="653"/>
  <c r="Z14" i="653" s="1"/>
  <c r="K13" i="653"/>
  <c r="K14" i="653" s="1"/>
  <c r="J13" i="653"/>
  <c r="J14" i="653" s="1"/>
  <c r="AA8" i="653"/>
  <c r="N13" i="653"/>
  <c r="N14" i="653" s="1"/>
  <c r="G13" i="653"/>
  <c r="G14" i="653" s="1"/>
  <c r="AA12" i="653"/>
  <c r="R13" i="653"/>
  <c r="R14" i="653" s="1"/>
  <c r="W13" i="653"/>
  <c r="W14" i="653" s="1"/>
  <c r="L13" i="653"/>
  <c r="L14" i="653" s="1"/>
  <c r="Y13" i="653"/>
  <c r="Y14" i="653" s="1"/>
  <c r="P13" i="653"/>
  <c r="P14" i="653" s="1"/>
  <c r="T13" i="653"/>
  <c r="T14" i="653" s="1"/>
  <c r="O13" i="653"/>
  <c r="O14" i="653" s="1"/>
  <c r="X13" i="653"/>
  <c r="X14" i="653" s="1"/>
  <c r="F13" i="653"/>
  <c r="F14" i="653" s="1"/>
  <c r="S13" i="653"/>
  <c r="S14" i="653" s="1"/>
  <c r="I13" i="653"/>
  <c r="I14" i="653" s="1"/>
  <c r="AA4" i="653"/>
  <c r="AA11" i="653"/>
  <c r="AA10" i="653"/>
  <c r="AA9" i="653"/>
  <c r="AA6" i="653"/>
  <c r="AA7" i="653"/>
  <c r="U13" i="653"/>
  <c r="U14" i="653" s="1"/>
  <c r="H27" i="653"/>
  <c r="H26" i="653"/>
  <c r="H25" i="653"/>
  <c r="H24" i="653"/>
  <c r="E13" i="653"/>
  <c r="E14" i="653" s="1"/>
  <c r="AA3" i="653"/>
  <c r="AA5" i="653"/>
  <c r="AA12" i="652"/>
  <c r="AA9" i="652"/>
  <c r="N13" i="652"/>
  <c r="N14" i="652" s="1"/>
  <c r="W13" i="652"/>
  <c r="W14" i="652" s="1"/>
  <c r="I13" i="652"/>
  <c r="I14" i="652" s="1"/>
  <c r="H27" i="652"/>
  <c r="H26" i="652"/>
  <c r="H25" i="652"/>
  <c r="H24" i="652"/>
  <c r="AA5" i="652"/>
  <c r="AA7" i="652"/>
  <c r="R13" i="652"/>
  <c r="R14" i="652" s="1"/>
  <c r="S13" i="652"/>
  <c r="S14" i="652" s="1"/>
  <c r="Q13" i="652"/>
  <c r="Q14" i="652" s="1"/>
  <c r="V13" i="652"/>
  <c r="V14" i="652" s="1"/>
  <c r="H13" i="652"/>
  <c r="H14" i="652" s="1"/>
  <c r="U13" i="652"/>
  <c r="U14" i="652" s="1"/>
  <c r="Z13" i="652"/>
  <c r="Z14" i="652" s="1"/>
  <c r="L13" i="652"/>
  <c r="L14" i="652" s="1"/>
  <c r="AA10" i="652"/>
  <c r="E13" i="652"/>
  <c r="E14" i="652" s="1"/>
  <c r="AA3" i="652"/>
  <c r="P13" i="652"/>
  <c r="P14" i="652" s="1"/>
  <c r="AA8" i="652"/>
  <c r="Y13" i="652"/>
  <c r="Y14" i="652" s="1"/>
  <c r="M13" i="652"/>
  <c r="M14" i="652" s="1"/>
  <c r="T13" i="652"/>
  <c r="T14" i="652" s="1"/>
  <c r="AA11" i="652"/>
  <c r="F13" i="652"/>
  <c r="F14" i="652" s="1"/>
  <c r="G13" i="652"/>
  <c r="G14" i="652" s="1"/>
  <c r="X13" i="652"/>
  <c r="X14" i="652" s="1"/>
  <c r="AA6" i="652"/>
  <c r="AA4" i="652"/>
  <c r="J13" i="652"/>
  <c r="J14" i="652" s="1"/>
  <c r="K13" i="652"/>
  <c r="K14" i="652" s="1"/>
  <c r="O13" i="652"/>
  <c r="O14" i="652" s="1"/>
  <c r="AA12" i="651"/>
  <c r="AA8" i="651"/>
  <c r="H27" i="651"/>
  <c r="H26" i="651"/>
  <c r="H25" i="651"/>
  <c r="H24" i="651"/>
  <c r="Z13" i="651"/>
  <c r="Z14" i="651" s="1"/>
  <c r="Y13" i="651"/>
  <c r="Y14" i="651" s="1"/>
  <c r="G13" i="651"/>
  <c r="G14" i="651" s="1"/>
  <c r="T13" i="651"/>
  <c r="T14" i="651" s="1"/>
  <c r="AA10" i="651"/>
  <c r="K13" i="651"/>
  <c r="K14" i="651" s="1"/>
  <c r="X13" i="651"/>
  <c r="X14" i="651" s="1"/>
  <c r="F13" i="651"/>
  <c r="F14" i="651" s="1"/>
  <c r="O13" i="651"/>
  <c r="O14" i="651" s="1"/>
  <c r="E13" i="651"/>
  <c r="E14" i="651" s="1"/>
  <c r="AA3" i="651"/>
  <c r="AA4" i="651"/>
  <c r="S13" i="651"/>
  <c r="S14" i="651" s="1"/>
  <c r="AA11" i="651"/>
  <c r="J13" i="651"/>
  <c r="J14" i="651" s="1"/>
  <c r="I13" i="651"/>
  <c r="I14" i="651" s="1"/>
  <c r="AA9" i="651"/>
  <c r="AA6" i="651"/>
  <c r="N13" i="651"/>
  <c r="N14" i="651" s="1"/>
  <c r="W13" i="651"/>
  <c r="W14" i="651" s="1"/>
  <c r="M13" i="651"/>
  <c r="M14" i="651" s="1"/>
  <c r="AA7" i="651"/>
  <c r="R13" i="651"/>
  <c r="R14" i="651" s="1"/>
  <c r="H13" i="651"/>
  <c r="H14" i="651" s="1"/>
  <c r="Q13" i="651"/>
  <c r="Q14" i="651" s="1"/>
  <c r="AA5" i="651"/>
  <c r="V13" i="651"/>
  <c r="V14" i="651" s="1"/>
  <c r="L13" i="651"/>
  <c r="L14" i="651" s="1"/>
  <c r="U13" i="651"/>
  <c r="U14" i="651" s="1"/>
  <c r="P13" i="651"/>
  <c r="P14" i="651" s="1"/>
  <c r="X13" i="578"/>
  <c r="B7" i="578"/>
  <c r="K24" i="578"/>
  <c r="H24" i="578"/>
  <c r="J23" i="578"/>
  <c r="AA15" i="578"/>
  <c r="X15" i="578"/>
  <c r="AA14" i="578"/>
  <c r="X14" i="578"/>
  <c r="AA13" i="578"/>
  <c r="AA12" i="578"/>
  <c r="X12" i="578"/>
  <c r="AA11" i="578"/>
  <c r="X11" i="578"/>
  <c r="AA10" i="578"/>
  <c r="X10" i="578"/>
  <c r="AA9" i="578"/>
  <c r="X9" i="578"/>
  <c r="AA8" i="578"/>
  <c r="X8" i="578"/>
  <c r="AA7" i="578"/>
  <c r="X7" i="578"/>
  <c r="AA6" i="578"/>
  <c r="X6" i="578"/>
  <c r="AA5" i="578"/>
  <c r="X5" i="578"/>
  <c r="AA4" i="578"/>
  <c r="X4" i="578"/>
  <c r="X3" i="578"/>
  <c r="B3" i="578"/>
  <c r="B2" i="578"/>
  <c r="B1" i="578"/>
  <c r="C15" i="1" a="1"/>
  <c r="C15" i="1" s="1"/>
  <c r="B5" i="207" a="1"/>
  <c r="AA13" i="662" l="1"/>
  <c r="AA14" i="662" s="1"/>
  <c r="AA13" i="661"/>
  <c r="AA14" i="661" s="1"/>
  <c r="AA13" i="660"/>
  <c r="AA14" i="660" s="1"/>
  <c r="AA13" i="659"/>
  <c r="AA14" i="659" s="1"/>
  <c r="AA13" i="658"/>
  <c r="AA14" i="658" s="1"/>
  <c r="AA13" i="657"/>
  <c r="AA14" i="657" s="1"/>
  <c r="AA13" i="656"/>
  <c r="AA14" i="656" s="1"/>
  <c r="AA13" i="655"/>
  <c r="AA14" i="655" s="1"/>
  <c r="AA13" i="654"/>
  <c r="AA14" i="654" s="1"/>
  <c r="AA13" i="653"/>
  <c r="AA14" i="653" s="1"/>
  <c r="AA13" i="652"/>
  <c r="AA14" i="652" s="1"/>
  <c r="AA13" i="651"/>
  <c r="AA14" i="651" s="1"/>
  <c r="H27" i="578"/>
  <c r="H26" i="578"/>
  <c r="H25" i="578"/>
  <c r="B8" i="578"/>
  <c r="J24" i="578"/>
  <c r="K23" i="578"/>
  <c r="B9" i="578"/>
  <c r="B5" i="207"/>
  <c r="H13" i="1"/>
  <c r="G13" i="1"/>
  <c r="H12" i="1"/>
  <c r="G12" i="1"/>
  <c r="H11" i="1"/>
  <c r="G11" i="1"/>
  <c r="G10" i="1"/>
  <c r="H10" i="1"/>
  <c r="G9" i="1"/>
  <c r="H9" i="1"/>
  <c r="H8" i="1"/>
  <c r="G8" i="1"/>
  <c r="G7" i="1"/>
  <c r="H7" i="1"/>
  <c r="H6" i="1"/>
  <c r="G6" i="1"/>
  <c r="G5" i="1"/>
  <c r="H5" i="1"/>
  <c r="H4" i="1"/>
  <c r="G4" i="1"/>
  <c r="H3" i="1"/>
  <c r="G3" i="1"/>
  <c r="G14" i="1"/>
  <c r="H14" i="1"/>
  <c r="AB14" i="1"/>
  <c r="Z14" i="1"/>
  <c r="U14" i="1"/>
  <c r="V14" i="1"/>
  <c r="AD14" i="1"/>
  <c r="AA14" i="1"/>
  <c r="Y14" i="1"/>
  <c r="AC14" i="1"/>
  <c r="X14" i="1"/>
  <c r="W14" i="1"/>
  <c r="AE14" i="1"/>
  <c r="Z12" i="1"/>
  <c r="AE11" i="1"/>
  <c r="Y11" i="1"/>
  <c r="AA10" i="1"/>
  <c r="U10" i="1"/>
  <c r="Y9" i="1"/>
  <c r="W5" i="1"/>
  <c r="Y4" i="1"/>
  <c r="AE10" i="1"/>
  <c r="X10" i="1"/>
  <c r="Z5" i="1"/>
  <c r="X4" i="1"/>
  <c r="V4" i="1"/>
  <c r="AE5" i="1"/>
  <c r="V13" i="1"/>
  <c r="AE13" i="1"/>
  <c r="AD13" i="1"/>
  <c r="V12" i="1"/>
  <c r="X11" i="1"/>
  <c r="AD11" i="1"/>
  <c r="W11" i="1"/>
  <c r="AC10" i="1"/>
  <c r="W9" i="1"/>
  <c r="U9" i="1"/>
  <c r="AC4" i="1"/>
  <c r="AE4" i="1"/>
  <c r="AE9" i="1"/>
  <c r="AD4" i="1"/>
  <c r="U13" i="1"/>
  <c r="AB13" i="1"/>
  <c r="U12" i="1"/>
  <c r="Y12" i="1"/>
  <c r="AB12" i="1"/>
  <c r="V11" i="1"/>
  <c r="Z10" i="1"/>
  <c r="AB9" i="1"/>
  <c r="X5" i="1"/>
  <c r="U4" i="1"/>
  <c r="AC11" i="1"/>
  <c r="AD9" i="1"/>
  <c r="AA4" i="1"/>
  <c r="V5" i="1"/>
  <c r="AC13" i="1"/>
  <c r="AD5" i="1"/>
  <c r="AA13" i="1"/>
  <c r="X12" i="1"/>
  <c r="AE12" i="1"/>
  <c r="AD12" i="1"/>
  <c r="AA11" i="1"/>
  <c r="W10" i="1"/>
  <c r="Y10" i="1"/>
  <c r="X9" i="1"/>
  <c r="AB4" i="1"/>
  <c r="Z13" i="1"/>
  <c r="W12" i="1"/>
  <c r="U11" i="1"/>
  <c r="AB10" i="1"/>
  <c r="V10" i="1"/>
  <c r="AA9" i="1"/>
  <c r="AC9" i="1"/>
  <c r="Y5" i="1"/>
  <c r="AA5" i="1"/>
  <c r="W4" i="1"/>
  <c r="W13" i="1"/>
  <c r="Y13" i="1"/>
  <c r="AA12" i="1"/>
  <c r="AB11" i="1"/>
  <c r="AC5" i="1"/>
  <c r="AC12" i="1"/>
  <c r="Z11" i="1"/>
  <c r="Z9" i="1"/>
  <c r="V9" i="1"/>
  <c r="AB5" i="1"/>
  <c r="U5" i="1"/>
  <c r="Z4" i="1"/>
  <c r="X13" i="1"/>
  <c r="AD10" i="1"/>
  <c r="U3" i="1"/>
  <c r="Y3" i="1"/>
  <c r="AA3" i="1"/>
  <c r="X3" i="1"/>
  <c r="V3" i="1"/>
  <c r="AB3" i="1"/>
  <c r="AD3" i="1"/>
  <c r="AC3" i="1"/>
  <c r="AE3" i="1"/>
  <c r="Z3" i="1"/>
  <c r="W3" i="1"/>
  <c r="D7" i="578" l="1" a="1"/>
  <c r="D7" i="578" s="1"/>
  <c r="D5" i="578" a="1"/>
  <c r="D5" i="578" s="1"/>
  <c r="D8" i="578" a="1"/>
  <c r="D8" i="578" s="1"/>
  <c r="D3" i="578" a="1"/>
  <c r="D3" i="578" s="1"/>
  <c r="D11" i="578" a="1"/>
  <c r="D11" i="578" s="1"/>
  <c r="D6" i="578" a="1"/>
  <c r="D6" i="578" s="1"/>
  <c r="D9" i="578" a="1"/>
  <c r="D9" i="578" s="1"/>
  <c r="D4" i="578" a="1"/>
  <c r="D4" i="578" s="1"/>
  <c r="D10" i="578" a="1"/>
  <c r="D10" i="578" s="1"/>
  <c r="D12" i="578" a="1"/>
  <c r="D12" i="578" s="1"/>
  <c r="AA6" i="1"/>
  <c r="W6" i="1"/>
  <c r="Y6" i="1"/>
  <c r="Z6" i="1"/>
  <c r="AB6" i="1"/>
  <c r="U6" i="1"/>
  <c r="AE6" i="1"/>
  <c r="AC6" i="1"/>
  <c r="V6" i="1"/>
  <c r="AD6" i="1"/>
  <c r="X6" i="1"/>
  <c r="AC8" i="1"/>
  <c r="AE7" i="1"/>
  <c r="AC7" i="1"/>
  <c r="AA8" i="1"/>
  <c r="AE8" i="1"/>
  <c r="V7" i="1"/>
  <c r="AD7" i="1"/>
  <c r="W7" i="1"/>
  <c r="W8" i="1"/>
  <c r="AA7" i="1"/>
  <c r="AD8" i="1"/>
  <c r="V8" i="1"/>
  <c r="Y8" i="1"/>
  <c r="X8" i="1"/>
  <c r="X7" i="1"/>
  <c r="Y7" i="1"/>
  <c r="Z8" i="1"/>
  <c r="Z7" i="1"/>
  <c r="AB8" i="1"/>
  <c r="U8" i="1"/>
  <c r="AB7" i="1"/>
  <c r="U7" i="1"/>
  <c r="W15" i="1" l="1" a="1"/>
  <c r="W15" i="1" s="1"/>
  <c r="X15" i="1" a="1"/>
  <c r="X15" i="1" s="1"/>
  <c r="Z15" i="1" a="1"/>
  <c r="Z15" i="1" s="1"/>
  <c r="AB15" i="1" a="1"/>
  <c r="AB15" i="1" s="1"/>
  <c r="AD15" i="1" a="1"/>
  <c r="AD15" i="1" s="1"/>
  <c r="Y15" i="1" a="1"/>
  <c r="Y15" i="1" s="1"/>
  <c r="V15" i="1" a="1"/>
  <c r="V15" i="1" s="1"/>
  <c r="U15" i="1" a="1"/>
  <c r="U15" i="1" s="1"/>
  <c r="AA15" i="1" a="1"/>
  <c r="AA15" i="1" s="1"/>
  <c r="AC15" i="1" a="1"/>
  <c r="AC15" i="1" s="1"/>
  <c r="P8" i="578" a="1"/>
  <c r="P8" i="578" s="1"/>
  <c r="L8" i="578" a="1"/>
  <c r="L8" i="578" s="1"/>
  <c r="H8" i="578" a="1"/>
  <c r="H8" i="578" s="1"/>
  <c r="O8" i="578" a="1"/>
  <c r="O8" i="578" s="1"/>
  <c r="K8" i="578" a="1"/>
  <c r="K8" i="578" s="1"/>
  <c r="G8" i="578" a="1"/>
  <c r="G8" i="578" s="1"/>
  <c r="J8" i="578" a="1"/>
  <c r="J8" i="578" s="1"/>
  <c r="I8" i="578" a="1"/>
  <c r="I8" i="578" s="1"/>
  <c r="F8" i="578" a="1"/>
  <c r="F8" i="578" s="1"/>
  <c r="N8" i="578" a="1"/>
  <c r="N8" i="578" s="1"/>
  <c r="M8" i="578" a="1"/>
  <c r="M8" i="578" s="1"/>
  <c r="E8" i="578" a="1"/>
  <c r="E8" i="578" s="1"/>
  <c r="N12" i="578" a="1"/>
  <c r="N12" i="578" s="1"/>
  <c r="J12" i="578" a="1"/>
  <c r="J12" i="578" s="1"/>
  <c r="F12" i="578" a="1"/>
  <c r="F12" i="578" s="1"/>
  <c r="M12" i="578" a="1"/>
  <c r="M12" i="578" s="1"/>
  <c r="I12" i="578" a="1"/>
  <c r="I12" i="578" s="1"/>
  <c r="E12" i="578" a="1"/>
  <c r="E12" i="578" s="1"/>
  <c r="H12" i="578" a="1"/>
  <c r="H12" i="578" s="1"/>
  <c r="G12" i="578" a="1"/>
  <c r="G12" i="578" s="1"/>
  <c r="P12" i="578" a="1"/>
  <c r="P12" i="578" s="1"/>
  <c r="O12" i="578" a="1"/>
  <c r="O12" i="578" s="1"/>
  <c r="L12" i="578" a="1"/>
  <c r="L12" i="578" s="1"/>
  <c r="K12" i="578" a="1"/>
  <c r="K12" i="578" s="1"/>
  <c r="M5" i="578" a="1"/>
  <c r="M5" i="578" s="1"/>
  <c r="I5" i="578" a="1"/>
  <c r="I5" i="578" s="1"/>
  <c r="E5" i="578" a="1"/>
  <c r="E5" i="578" s="1"/>
  <c r="P5" i="578" a="1"/>
  <c r="P5" i="578" s="1"/>
  <c r="L5" i="578" a="1"/>
  <c r="L5" i="578" s="1"/>
  <c r="H5" i="578" a="1"/>
  <c r="H5" i="578" s="1"/>
  <c r="O5" i="578" a="1"/>
  <c r="O5" i="578" s="1"/>
  <c r="K5" i="578" a="1"/>
  <c r="K5" i="578" s="1"/>
  <c r="G5" i="578" a="1"/>
  <c r="G5" i="578" s="1"/>
  <c r="N5" i="578" a="1"/>
  <c r="N5" i="578" s="1"/>
  <c r="J5" i="578" a="1"/>
  <c r="J5" i="578" s="1"/>
  <c r="F5" i="578" a="1"/>
  <c r="F5" i="578" s="1"/>
  <c r="P7" i="578" a="1"/>
  <c r="P7" i="578" s="1"/>
  <c r="L7" i="578" a="1"/>
  <c r="L7" i="578" s="1"/>
  <c r="H7" i="578" a="1"/>
  <c r="H7" i="578" s="1"/>
  <c r="O7" i="578" a="1"/>
  <c r="O7" i="578" s="1"/>
  <c r="K7" i="578" a="1"/>
  <c r="K7" i="578" s="1"/>
  <c r="G7" i="578" a="1"/>
  <c r="G7" i="578" s="1"/>
  <c r="N7" i="578" a="1"/>
  <c r="N7" i="578" s="1"/>
  <c r="J7" i="578" a="1"/>
  <c r="J7" i="578" s="1"/>
  <c r="F7" i="578" a="1"/>
  <c r="F7" i="578" s="1"/>
  <c r="E7" i="578" a="1"/>
  <c r="E7" i="578" s="1"/>
  <c r="M7" i="578" a="1"/>
  <c r="M7" i="578" s="1"/>
  <c r="I7" i="578" a="1"/>
  <c r="I7" i="578" s="1"/>
  <c r="O10" i="578" a="1"/>
  <c r="O10" i="578" s="1"/>
  <c r="K10" i="578" a="1"/>
  <c r="K10" i="578" s="1"/>
  <c r="G10" i="578" a="1"/>
  <c r="G10" i="578" s="1"/>
  <c r="N10" i="578" a="1"/>
  <c r="N10" i="578" s="1"/>
  <c r="J10" i="578" a="1"/>
  <c r="J10" i="578" s="1"/>
  <c r="F10" i="578" a="1"/>
  <c r="F10" i="578" s="1"/>
  <c r="I10" i="578" a="1"/>
  <c r="I10" i="578" s="1"/>
  <c r="H10" i="578" a="1"/>
  <c r="H10" i="578" s="1"/>
  <c r="P10" i="578" a="1"/>
  <c r="P10" i="578" s="1"/>
  <c r="E10" i="578" a="1"/>
  <c r="E10" i="578" s="1"/>
  <c r="M10" i="578" a="1"/>
  <c r="M10" i="578" s="1"/>
  <c r="L10" i="578" a="1"/>
  <c r="L10" i="578" s="1"/>
  <c r="N4" i="578" a="1"/>
  <c r="N4" i="578" s="1"/>
  <c r="J4" i="578" a="1"/>
  <c r="J4" i="578" s="1"/>
  <c r="F4" i="578" a="1"/>
  <c r="F4" i="578" s="1"/>
  <c r="M4" i="578" a="1"/>
  <c r="M4" i="578" s="1"/>
  <c r="I4" i="578" a="1"/>
  <c r="I4" i="578" s="1"/>
  <c r="E4" i="578" a="1"/>
  <c r="E4" i="578" s="1"/>
  <c r="K4" i="578" a="1"/>
  <c r="K4" i="578" s="1"/>
  <c r="H4" i="578" a="1"/>
  <c r="H4" i="578" s="1"/>
  <c r="G4" i="578" a="1"/>
  <c r="G4" i="578" s="1"/>
  <c r="O4" i="578" a="1"/>
  <c r="O4" i="578" s="1"/>
  <c r="P4" i="578" a="1"/>
  <c r="P4" i="578" s="1"/>
  <c r="L4" i="578" a="1"/>
  <c r="L4" i="578" s="1"/>
  <c r="O9" i="578" a="1"/>
  <c r="O9" i="578" s="1"/>
  <c r="K9" i="578" a="1"/>
  <c r="K9" i="578" s="1"/>
  <c r="G9" i="578" a="1"/>
  <c r="G9" i="578" s="1"/>
  <c r="N9" i="578" a="1"/>
  <c r="N9" i="578" s="1"/>
  <c r="J9" i="578" a="1"/>
  <c r="J9" i="578" s="1"/>
  <c r="F9" i="578" a="1"/>
  <c r="F9" i="578" s="1"/>
  <c r="M9" i="578" a="1"/>
  <c r="M9" i="578" s="1"/>
  <c r="I9" i="578" a="1"/>
  <c r="I9" i="578" s="1"/>
  <c r="E9" i="578" a="1"/>
  <c r="E9" i="578" s="1"/>
  <c r="L9" i="578" a="1"/>
  <c r="L9" i="578" s="1"/>
  <c r="H9" i="578" a="1"/>
  <c r="H9" i="578" s="1"/>
  <c r="P9" i="578" a="1"/>
  <c r="P9" i="578" s="1"/>
  <c r="M6" i="578" a="1"/>
  <c r="M6" i="578" s="1"/>
  <c r="I6" i="578" a="1"/>
  <c r="I6" i="578" s="1"/>
  <c r="E6" i="578" a="1"/>
  <c r="E6" i="578" s="1"/>
  <c r="P6" i="578" a="1"/>
  <c r="P6" i="578" s="1"/>
  <c r="L6" i="578" a="1"/>
  <c r="L6" i="578" s="1"/>
  <c r="H6" i="578" a="1"/>
  <c r="H6" i="578" s="1"/>
  <c r="K6" i="578" a="1"/>
  <c r="K6" i="578" s="1"/>
  <c r="J6" i="578" a="1"/>
  <c r="J6" i="578" s="1"/>
  <c r="G6" i="578" a="1"/>
  <c r="G6" i="578" s="1"/>
  <c r="O6" i="578" a="1"/>
  <c r="O6" i="578" s="1"/>
  <c r="N6" i="578" a="1"/>
  <c r="N6" i="578" s="1"/>
  <c r="F6" i="578" a="1"/>
  <c r="F6" i="578" s="1"/>
  <c r="N11" i="578" a="1"/>
  <c r="N11" i="578" s="1"/>
  <c r="J11" i="578" a="1"/>
  <c r="J11" i="578" s="1"/>
  <c r="F11" i="578" a="1"/>
  <c r="F11" i="578" s="1"/>
  <c r="M11" i="578" a="1"/>
  <c r="M11" i="578" s="1"/>
  <c r="I11" i="578" a="1"/>
  <c r="I11" i="578" s="1"/>
  <c r="E11" i="578" a="1"/>
  <c r="E11" i="578" s="1"/>
  <c r="P11" i="578" a="1"/>
  <c r="P11" i="578" s="1"/>
  <c r="L11" i="578" a="1"/>
  <c r="L11" i="578" s="1"/>
  <c r="H11" i="578" a="1"/>
  <c r="H11" i="578" s="1"/>
  <c r="K11" i="578" a="1"/>
  <c r="K11" i="578" s="1"/>
  <c r="G11" i="578" a="1"/>
  <c r="G11" i="578" s="1"/>
  <c r="O11" i="578" a="1"/>
  <c r="O11" i="578" s="1"/>
  <c r="P3" i="578" a="1"/>
  <c r="P3" i="578" s="1"/>
  <c r="L3" i="578" a="1"/>
  <c r="L3" i="578" s="1"/>
  <c r="H3" i="578" a="1"/>
  <c r="H3" i="578" s="1"/>
  <c r="O3" i="578" a="1"/>
  <c r="O3" i="578" s="1"/>
  <c r="K3" i="578" a="1"/>
  <c r="K3" i="578" s="1"/>
  <c r="G3" i="578" a="1"/>
  <c r="G3" i="578" s="1"/>
  <c r="E3" i="578" a="1"/>
  <c r="E3" i="578" s="1"/>
  <c r="N3" i="578" a="1"/>
  <c r="N3" i="578" s="1"/>
  <c r="M3" i="578" a="1"/>
  <c r="M3" i="578" s="1"/>
  <c r="I3" i="578" a="1"/>
  <c r="I3" i="578" s="1"/>
  <c r="J3" i="578" a="1"/>
  <c r="J3" i="578" s="1"/>
  <c r="F3" i="578" a="1"/>
  <c r="F3" i="578" s="1"/>
  <c r="J13" i="578" l="1"/>
  <c r="J14" i="578" s="1"/>
  <c r="H13" i="578"/>
  <c r="H14" i="578" s="1"/>
  <c r="I13" i="578"/>
  <c r="I14" i="578" s="1"/>
  <c r="G13" i="578"/>
  <c r="G14" i="578" s="1"/>
  <c r="K13" i="578"/>
  <c r="K14" i="578" s="1"/>
  <c r="N13" i="578"/>
  <c r="N14" i="578" s="1"/>
  <c r="L13" i="578"/>
  <c r="L14" i="578" s="1"/>
  <c r="M13" i="578"/>
  <c r="M14" i="578" s="1"/>
  <c r="Q10" i="578"/>
  <c r="F13" i="578"/>
  <c r="F14" i="578" s="1"/>
  <c r="O13" i="578"/>
  <c r="O14" i="578" s="1"/>
  <c r="Q4" i="578"/>
  <c r="Q5" i="578"/>
  <c r="Q8" i="578"/>
  <c r="E13" i="578"/>
  <c r="E14" i="578" s="1"/>
  <c r="Q3" i="578"/>
  <c r="Q12" i="578"/>
  <c r="Q11" i="578"/>
  <c r="Q6" i="578"/>
  <c r="Q7" i="578"/>
  <c r="P13" i="578"/>
  <c r="P14" i="578" s="1"/>
  <c r="Q9" i="578"/>
  <c r="Q13" i="578" l="1"/>
  <c r="Q14" i="578" s="1"/>
  <c r="AA80" i="207"/>
  <c r="AA79" i="207"/>
  <c r="AA78" i="207"/>
  <c r="AA72" i="207"/>
  <c r="AA71" i="207"/>
  <c r="AA70" i="207"/>
  <c r="AA69" i="207"/>
  <c r="AA68" i="207"/>
  <c r="AA59" i="207"/>
  <c r="AA58" i="207"/>
  <c r="AA57" i="207"/>
  <c r="AA56" i="207"/>
  <c r="AA55" i="207"/>
  <c r="AA54" i="207"/>
  <c r="AA53" i="207"/>
  <c r="AA52" i="207"/>
  <c r="AA51" i="207"/>
  <c r="AA50" i="207"/>
  <c r="AK4" i="207" l="1"/>
  <c r="AK5" i="207"/>
  <c r="AK6" i="207"/>
  <c r="AK7" i="207"/>
  <c r="AK8" i="207"/>
  <c r="AK9" i="207"/>
  <c r="AK10" i="207"/>
  <c r="AK11" i="207"/>
  <c r="AK12" i="207"/>
  <c r="AK13" i="207"/>
  <c r="AH6" i="207"/>
  <c r="AH7" i="207"/>
  <c r="AH8" i="207"/>
  <c r="AH9" i="207"/>
  <c r="AH11" i="207"/>
  <c r="AK15" i="207"/>
  <c r="AK14" i="207"/>
  <c r="AH15" i="207"/>
  <c r="AH14" i="207"/>
  <c r="AA3" i="3" a="1"/>
  <c r="O2" i="3" a="1"/>
  <c r="T6" i="1"/>
  <c r="P8" i="1"/>
  <c r="D5" i="1" a="1"/>
  <c r="E6" i="1" a="1"/>
  <c r="P6" i="1"/>
  <c r="Q10" i="3" a="1"/>
  <c r="S9" i="1"/>
  <c r="R12" i="1"/>
  <c r="I8" i="3" a="1"/>
  <c r="R4" i="1"/>
  <c r="M9" i="3" a="1"/>
  <c r="L4" i="1"/>
  <c r="G10" i="3" a="1"/>
  <c r="AC10" i="3" a="1"/>
  <c r="Y3" i="3" a="1"/>
  <c r="R11" i="1"/>
  <c r="AA9" i="3" a="1"/>
  <c r="AA2" i="3" a="1"/>
  <c r="Q8" i="1"/>
  <c r="AA10" i="3" a="1"/>
  <c r="K7" i="3" a="1"/>
  <c r="K13" i="3" a="1"/>
  <c r="S12" i="1"/>
  <c r="M11" i="1"/>
  <c r="L14" i="1"/>
  <c r="O13" i="1"/>
  <c r="L12" i="1"/>
  <c r="W11" i="3" a="1"/>
  <c r="W8" i="3" a="1"/>
  <c r="M7" i="1"/>
  <c r="K12" i="3" a="1"/>
  <c r="Q5" i="3" a="1"/>
  <c r="T10" i="1"/>
  <c r="S7" i="3" a="1"/>
  <c r="M7" i="3" a="1"/>
  <c r="T13" i="1"/>
  <c r="W2" i="3" a="1"/>
  <c r="W4" i="3" a="1"/>
  <c r="U6" i="3" a="1"/>
  <c r="G8" i="3" a="1"/>
  <c r="O7" i="3" a="1"/>
  <c r="K9" i="3" a="1"/>
  <c r="AC9" i="3" a="1"/>
  <c r="W13" i="3" a="1"/>
  <c r="M10" i="3" a="1"/>
  <c r="O8" i="1"/>
  <c r="U10" i="3" a="1"/>
  <c r="Q13" i="1"/>
  <c r="I3" i="3" a="1"/>
  <c r="D11" i="1" a="1"/>
  <c r="Q10" i="1"/>
  <c r="I9" i="3" a="1"/>
  <c r="Y11" i="3" a="1"/>
  <c r="Y4" i="3" a="1"/>
  <c r="Q4" i="3" a="1"/>
  <c r="AC13" i="3" a="1"/>
  <c r="S8" i="1"/>
  <c r="B8" i="3" a="1"/>
  <c r="D14" i="1" a="1"/>
  <c r="T5" i="1"/>
  <c r="AA12" i="3" a="1"/>
  <c r="W3" i="3" a="1"/>
  <c r="G7" i="3" a="1"/>
  <c r="B10" i="3" a="1"/>
  <c r="Q12" i="1"/>
  <c r="Q14" i="1"/>
  <c r="I5" i="3" a="1"/>
  <c r="O3" i="3" a="1"/>
  <c r="I11" i="3" a="1"/>
  <c r="M5" i="3" a="1"/>
  <c r="B5" i="3" a="1"/>
  <c r="R14" i="1"/>
  <c r="Q4" i="1"/>
  <c r="B4" i="3" a="1"/>
  <c r="B12" i="3" a="1"/>
  <c r="K10" i="3" a="1"/>
  <c r="N12" i="1"/>
  <c r="O9" i="1"/>
  <c r="AC12" i="3" a="1"/>
  <c r="E10" i="1" a="1"/>
  <c r="D7" i="1" a="1"/>
  <c r="S2" i="3" a="1"/>
  <c r="L11" i="1"/>
  <c r="E13" i="1" a="1"/>
  <c r="O12" i="3" a="1"/>
  <c r="AA11" i="3" a="1"/>
  <c r="M14" i="1"/>
  <c r="M13" i="3" a="1"/>
  <c r="K5" i="3" a="1"/>
  <c r="O6" i="3" a="1"/>
  <c r="M6" i="1"/>
  <c r="D3" i="1" a="1"/>
  <c r="D13" i="1" a="1"/>
  <c r="Q6" i="3" a="1"/>
  <c r="Y6" i="3" a="1"/>
  <c r="N5" i="1"/>
  <c r="W10" i="3" a="1"/>
  <c r="S7" i="1"/>
  <c r="Y9" i="3" a="1"/>
  <c r="D4" i="1" a="1"/>
  <c r="U2" i="3" a="1"/>
  <c r="Q5" i="1"/>
  <c r="Q12" i="3" a="1"/>
  <c r="O5" i="3" a="1"/>
  <c r="G2" i="3" a="1"/>
  <c r="N14" i="1"/>
  <c r="L13" i="1"/>
  <c r="N7" i="1"/>
  <c r="S6" i="3" a="1"/>
  <c r="Q6" i="1"/>
  <c r="AA7" i="3" a="1"/>
  <c r="K3" i="3" a="1"/>
  <c r="S4" i="1"/>
  <c r="Q9" i="1"/>
  <c r="T11" i="1"/>
  <c r="G4" i="3" a="1"/>
  <c r="T14" i="1"/>
  <c r="M4" i="3" a="1"/>
  <c r="K11" i="3" a="1"/>
  <c r="I7" i="3" a="1"/>
  <c r="O13" i="3" a="1"/>
  <c r="I10" i="3" a="1"/>
  <c r="P4" i="1"/>
  <c r="N10" i="1"/>
  <c r="Q3" i="3" a="1"/>
  <c r="M11" i="3" a="1"/>
  <c r="B11" i="3" a="1"/>
  <c r="O7" i="1"/>
  <c r="U4" i="3" a="1"/>
  <c r="D10" i="1" a="1"/>
  <c r="M13" i="1"/>
  <c r="N9" i="1"/>
  <c r="O14" i="1"/>
  <c r="S8" i="3" a="1"/>
  <c r="AC11" i="3" a="1"/>
  <c r="E8" i="1" a="1"/>
  <c r="AC6" i="3" a="1"/>
  <c r="S11" i="3" a="1"/>
  <c r="B7" i="3" a="1"/>
  <c r="M3" i="3" a="1"/>
  <c r="T8" i="1"/>
  <c r="I12" i="3" a="1"/>
  <c r="E14" i="1" a="1"/>
  <c r="O4" i="1"/>
  <c r="T9" i="1"/>
  <c r="E12" i="1" a="1"/>
  <c r="E4" i="1" a="1"/>
  <c r="U7" i="3" a="1"/>
  <c r="R7" i="1"/>
  <c r="I13" i="3" a="1"/>
  <c r="Q7" i="3" a="1"/>
  <c r="P12" i="1"/>
  <c r="Q2" i="3" a="1"/>
  <c r="AC3" i="3" a="1"/>
  <c r="R6" i="1"/>
  <c r="D8" i="1" a="1"/>
  <c r="AA6" i="3" a="1"/>
  <c r="R9" i="1"/>
  <c r="S6" i="1"/>
  <c r="O12" i="1"/>
  <c r="W7" i="3" a="1"/>
  <c r="P7" i="1"/>
  <c r="AC4" i="3" a="1"/>
  <c r="B9" i="3" a="1"/>
  <c r="U8" i="3" a="1"/>
  <c r="S4" i="3" a="1"/>
  <c r="Q13" i="3" a="1"/>
  <c r="AC7" i="3" a="1"/>
  <c r="Y2" i="3" a="1"/>
  <c r="Y8" i="3" a="1"/>
  <c r="Y7" i="3" a="1"/>
  <c r="M9" i="1"/>
  <c r="G13" i="3" a="1"/>
  <c r="K4" i="3" a="1"/>
  <c r="K2" i="3" a="1"/>
  <c r="P5" i="1"/>
  <c r="R5" i="1"/>
  <c r="N11" i="1"/>
  <c r="AA5" i="3" a="1"/>
  <c r="G9" i="3" a="1"/>
  <c r="O11" i="3" a="1"/>
  <c r="L8" i="1"/>
  <c r="M6" i="3" a="1"/>
  <c r="S9" i="3" a="1"/>
  <c r="U9" i="3" a="1"/>
  <c r="I4" i="3" a="1"/>
  <c r="Y10" i="3" a="1"/>
  <c r="S13" i="3" a="1"/>
  <c r="Y12" i="3" a="1"/>
  <c r="L9" i="1"/>
  <c r="S12" i="3" a="1"/>
  <c r="G12" i="3" a="1"/>
  <c r="Q7" i="1"/>
  <c r="AA13" i="3" a="1"/>
  <c r="S5" i="1"/>
  <c r="Y5" i="3" a="1"/>
  <c r="G5" i="3" a="1"/>
  <c r="T4" i="1"/>
  <c r="P11" i="1"/>
  <c r="G6" i="3" a="1"/>
  <c r="O4" i="3" a="1"/>
  <c r="G11" i="3" a="1"/>
  <c r="O11" i="1"/>
  <c r="U12" i="3" a="1"/>
  <c r="U5" i="3" a="1"/>
  <c r="B6" i="207" a="1"/>
  <c r="M10" i="1"/>
  <c r="L7" i="1"/>
  <c r="P14" i="1"/>
  <c r="AA4" i="3" a="1"/>
  <c r="O8" i="3" a="1"/>
  <c r="T12" i="1"/>
  <c r="B3" i="3" a="1"/>
  <c r="Q11" i="1"/>
  <c r="O5" i="1"/>
  <c r="R10" i="1"/>
  <c r="B13" i="3" a="1"/>
  <c r="U11" i="3" a="1"/>
  <c r="K8" i="3" a="1"/>
  <c r="L10" i="1"/>
  <c r="I6" i="3" a="1"/>
  <c r="R13" i="1"/>
  <c r="O10" i="1"/>
  <c r="M12" i="1"/>
  <c r="P13" i="1"/>
  <c r="P9" i="1"/>
  <c r="B6" i="3" a="1"/>
  <c r="W12" i="3" a="1"/>
  <c r="D9" i="1" a="1"/>
  <c r="S10" i="1"/>
  <c r="M12" i="3" a="1"/>
  <c r="E9" i="1" a="1"/>
  <c r="U13" i="3" a="1"/>
  <c r="M8" i="3" a="1"/>
  <c r="AA8" i="3" a="1"/>
  <c r="N4" i="1"/>
  <c r="I2" i="3" a="1"/>
  <c r="T7" i="1"/>
  <c r="W6" i="3" a="1"/>
  <c r="S10" i="3" a="1"/>
  <c r="D12" i="1" a="1"/>
  <c r="S5" i="3" a="1"/>
  <c r="Y13" i="3" a="1"/>
  <c r="E11" i="1" a="1"/>
  <c r="Q11" i="3" a="1"/>
  <c r="B2" i="3" a="1"/>
  <c r="AC8" i="3" a="1"/>
  <c r="E5" i="1" a="1"/>
  <c r="N6" i="1"/>
  <c r="R8" i="1"/>
  <c r="S14" i="1"/>
  <c r="N13" i="1"/>
  <c r="M5" i="1"/>
  <c r="K6" i="3" a="1"/>
  <c r="S3" i="3" a="1"/>
  <c r="G3" i="3" a="1"/>
  <c r="S13" i="1"/>
  <c r="L6" i="1"/>
  <c r="N8" i="1"/>
  <c r="U3" i="3" a="1"/>
  <c r="P10" i="1"/>
  <c r="O9" i="3" a="1"/>
  <c r="W9" i="3" a="1"/>
  <c r="L5" i="1"/>
  <c r="S11" i="1"/>
  <c r="O10" i="3" a="1"/>
  <c r="E3" i="1" a="1"/>
  <c r="D6" i="1" a="1"/>
  <c r="M2" i="3" a="1"/>
  <c r="Q9" i="3" a="1"/>
  <c r="AC2" i="3" a="1"/>
  <c r="O6" i="1"/>
  <c r="AC5" i="3" a="1"/>
  <c r="M4" i="1"/>
  <c r="W5" i="3" a="1"/>
  <c r="E7" i="1" a="1"/>
  <c r="Q8" i="3" a="1"/>
  <c r="M8" i="1"/>
  <c r="AF12" i="1" l="1" a="1"/>
  <c r="AF12" i="1" s="1"/>
  <c r="B9" i="3"/>
  <c r="B4" i="3"/>
  <c r="B11" i="3"/>
  <c r="B3" i="3"/>
  <c r="B13" i="3"/>
  <c r="B8" i="3"/>
  <c r="B2" i="3"/>
  <c r="B12" i="3"/>
  <c r="B5" i="3"/>
  <c r="B10" i="3"/>
  <c r="B6" i="3"/>
  <c r="B7" i="3"/>
  <c r="D3" i="1"/>
  <c r="G12" i="3"/>
  <c r="D5" i="1"/>
  <c r="M4" i="3"/>
  <c r="E11" i="1"/>
  <c r="K4" i="3"/>
  <c r="U2" i="3"/>
  <c r="Y6" i="3"/>
  <c r="I2" i="3"/>
  <c r="E9" i="1"/>
  <c r="AA6" i="3"/>
  <c r="D4" i="1"/>
  <c r="Q8" i="3"/>
  <c r="K2" i="3"/>
  <c r="D6" i="1"/>
  <c r="I9" i="3"/>
  <c r="S8" i="3"/>
  <c r="M5" i="3"/>
  <c r="M13" i="3"/>
  <c r="AA7" i="3"/>
  <c r="E14" i="1"/>
  <c r="G8" i="3"/>
  <c r="I13" i="3"/>
  <c r="D9" i="1"/>
  <c r="Y13" i="3"/>
  <c r="W4" i="3"/>
  <c r="AC9" i="3"/>
  <c r="AC13" i="3"/>
  <c r="U3" i="3"/>
  <c r="D13" i="1"/>
  <c r="M6" i="3"/>
  <c r="D10" i="1"/>
  <c r="AC3" i="3"/>
  <c r="W2" i="3"/>
  <c r="Q10" i="3"/>
  <c r="AC8" i="3"/>
  <c r="K8" i="3"/>
  <c r="W8" i="3"/>
  <c r="E6" i="1"/>
  <c r="K12" i="3"/>
  <c r="O7" i="3"/>
  <c r="U5" i="3"/>
  <c r="U6" i="3"/>
  <c r="S5" i="3"/>
  <c r="AC6" i="3"/>
  <c r="G10" i="3"/>
  <c r="K3" i="3"/>
  <c r="Q9" i="3"/>
  <c r="W10" i="3"/>
  <c r="AA11" i="3"/>
  <c r="Y2" i="3"/>
  <c r="Y4" i="3"/>
  <c r="Y12" i="3"/>
  <c r="O3" i="3"/>
  <c r="AA10" i="3"/>
  <c r="E13" i="1"/>
  <c r="S3" i="3"/>
  <c r="S13" i="3"/>
  <c r="E4" i="1"/>
  <c r="E12" i="1"/>
  <c r="W12" i="3"/>
  <c r="K6" i="3"/>
  <c r="I10" i="3"/>
  <c r="Q4" i="3"/>
  <c r="G3" i="3"/>
  <c r="S12" i="3"/>
  <c r="E10" i="1"/>
  <c r="AC7" i="3"/>
  <c r="B6" i="207"/>
  <c r="E3" i="1"/>
  <c r="Q3" i="3"/>
  <c r="O10" i="3"/>
  <c r="G9" i="3"/>
  <c r="K9" i="3"/>
  <c r="Y5" i="3"/>
  <c r="U8" i="3"/>
  <c r="O12" i="3"/>
  <c r="G7" i="3"/>
  <c r="U13" i="3"/>
  <c r="D7" i="1"/>
  <c r="D8" i="1"/>
  <c r="AA3" i="3"/>
  <c r="M7" i="3"/>
  <c r="W9" i="3"/>
  <c r="M3" i="3"/>
  <c r="AA9" i="3"/>
  <c r="I11" i="3"/>
  <c r="AC2" i="3"/>
  <c r="S10" i="3"/>
  <c r="M11" i="3"/>
  <c r="K10" i="3"/>
  <c r="G2" i="3"/>
  <c r="K5" i="3"/>
  <c r="G5" i="3"/>
  <c r="Q12" i="3"/>
  <c r="U10" i="3"/>
  <c r="D11" i="1"/>
  <c r="W6" i="3"/>
  <c r="Q2" i="3"/>
  <c r="S11" i="3"/>
  <c r="G6" i="3"/>
  <c r="M10" i="3"/>
  <c r="O5" i="3"/>
  <c r="S6" i="3"/>
  <c r="U7" i="3"/>
  <c r="G11" i="3"/>
  <c r="U12" i="3"/>
  <c r="AA8" i="3"/>
  <c r="I3" i="3"/>
  <c r="W5" i="3"/>
  <c r="O13" i="3"/>
  <c r="D14" i="1"/>
  <c r="AC11" i="3"/>
  <c r="Q11" i="3"/>
  <c r="U9" i="3"/>
  <c r="M8" i="3"/>
  <c r="W11" i="3"/>
  <c r="Q6" i="3"/>
  <c r="AC12" i="3"/>
  <c r="O4" i="3"/>
  <c r="E5" i="1"/>
  <c r="Q13" i="3"/>
  <c r="I6" i="3"/>
  <c r="AA12" i="3"/>
  <c r="S9" i="3"/>
  <c r="W7" i="3"/>
  <c r="Y8" i="3"/>
  <c r="W13" i="3"/>
  <c r="I4" i="3"/>
  <c r="S2" i="3"/>
  <c r="AA5" i="3"/>
  <c r="M12" i="3"/>
  <c r="E8" i="1"/>
  <c r="Q5" i="3"/>
  <c r="O2" i="3"/>
  <c r="G4" i="3"/>
  <c r="Q7" i="3"/>
  <c r="Y3" i="3"/>
  <c r="AC5" i="3"/>
  <c r="Y7" i="3"/>
  <c r="M2" i="3"/>
  <c r="AC10" i="3"/>
  <c r="AA4" i="3"/>
  <c r="AC4" i="3"/>
  <c r="I12" i="3"/>
  <c r="U11" i="3"/>
  <c r="O11" i="3"/>
  <c r="G13" i="3"/>
  <c r="I7" i="3"/>
  <c r="I8" i="3"/>
  <c r="K7" i="3"/>
  <c r="K11" i="3"/>
  <c r="AA13" i="3"/>
  <c r="Y9" i="3"/>
  <c r="Y10" i="3"/>
  <c r="O8" i="3"/>
  <c r="Y11" i="3"/>
  <c r="K13" i="3"/>
  <c r="S7" i="3"/>
  <c r="D12" i="1"/>
  <c r="O6" i="3"/>
  <c r="M9" i="3"/>
  <c r="S4" i="3"/>
  <c r="U4" i="3"/>
  <c r="AA2" i="3"/>
  <c r="I5" i="3"/>
  <c r="E7" i="1"/>
  <c r="W3" i="3"/>
  <c r="O9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E50" i="3"/>
  <c r="AE49" i="3"/>
  <c r="AE48" i="3"/>
  <c r="AE47" i="3"/>
  <c r="AE46" i="3"/>
  <c r="AE45" i="3"/>
  <c r="AE44" i="3"/>
  <c r="AE43" i="3"/>
  <c r="AE42" i="3"/>
  <c r="AE41" i="3"/>
  <c r="AE40" i="3"/>
  <c r="AE39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C50" i="3"/>
  <c r="AC49" i="3"/>
  <c r="AC48" i="3"/>
  <c r="AC47" i="3"/>
  <c r="AC46" i="3"/>
  <c r="AC45" i="3"/>
  <c r="AC44" i="3"/>
  <c r="AC43" i="3"/>
  <c r="AC42" i="3"/>
  <c r="AC41" i="3"/>
  <c r="AC40" i="3"/>
  <c r="AC39" i="3"/>
  <c r="AB50" i="3"/>
  <c r="AB49" i="3"/>
  <c r="AB48" i="3"/>
  <c r="AB47" i="3"/>
  <c r="AB46" i="3"/>
  <c r="AB45" i="3"/>
  <c r="AB44" i="3"/>
  <c r="AB43" i="3"/>
  <c r="AB42" i="3"/>
  <c r="AB41" i="3"/>
  <c r="AB40" i="3"/>
  <c r="AB39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Z50" i="3"/>
  <c r="Z49" i="3"/>
  <c r="Z48" i="3"/>
  <c r="Z47" i="3"/>
  <c r="Z46" i="3"/>
  <c r="Z45" i="3"/>
  <c r="Z44" i="3"/>
  <c r="Z43" i="3"/>
  <c r="Z42" i="3"/>
  <c r="Z41" i="3"/>
  <c r="Z40" i="3"/>
  <c r="Z39" i="3"/>
  <c r="Y50" i="3"/>
  <c r="Y49" i="3"/>
  <c r="Y48" i="3"/>
  <c r="Y47" i="3"/>
  <c r="Y46" i="3"/>
  <c r="Y45" i="3"/>
  <c r="Y44" i="3"/>
  <c r="Y43" i="3"/>
  <c r="Y42" i="3"/>
  <c r="Y41" i="3"/>
  <c r="Y40" i="3"/>
  <c r="Y39" i="3"/>
  <c r="X50" i="3"/>
  <c r="X49" i="3"/>
  <c r="X48" i="3"/>
  <c r="X47" i="3"/>
  <c r="X46" i="3"/>
  <c r="X45" i="3"/>
  <c r="X44" i="3"/>
  <c r="X43" i="3"/>
  <c r="X42" i="3"/>
  <c r="X41" i="3"/>
  <c r="X40" i="3"/>
  <c r="X39" i="3"/>
  <c r="W50" i="3"/>
  <c r="W49" i="3"/>
  <c r="W48" i="3"/>
  <c r="W47" i="3"/>
  <c r="W46" i="3"/>
  <c r="W45" i="3"/>
  <c r="W44" i="3"/>
  <c r="W43" i="3"/>
  <c r="W42" i="3"/>
  <c r="W41" i="3"/>
  <c r="W40" i="3"/>
  <c r="W39" i="3"/>
  <c r="V50" i="3"/>
  <c r="V49" i="3"/>
  <c r="V48" i="3"/>
  <c r="V47" i="3"/>
  <c r="V46" i="3"/>
  <c r="V45" i="3"/>
  <c r="V44" i="3"/>
  <c r="V43" i="3"/>
  <c r="V42" i="3"/>
  <c r="V41" i="3"/>
  <c r="V40" i="3"/>
  <c r="V39" i="3"/>
  <c r="U50" i="3"/>
  <c r="U49" i="3"/>
  <c r="U48" i="3"/>
  <c r="U47" i="3"/>
  <c r="U46" i="3"/>
  <c r="U45" i="3"/>
  <c r="U44" i="3"/>
  <c r="U43" i="3"/>
  <c r="U42" i="3"/>
  <c r="U41" i="3"/>
  <c r="U40" i="3"/>
  <c r="U39" i="3"/>
  <c r="B7" i="207"/>
  <c r="K23" i="207" s="1"/>
  <c r="B3" i="207"/>
  <c r="B2" i="207"/>
  <c r="B1" i="207"/>
  <c r="N3" i="1"/>
  <c r="O3" i="1"/>
  <c r="M3" i="1"/>
  <c r="L3" i="1"/>
  <c r="S3" i="1"/>
  <c r="R3" i="1"/>
  <c r="P3" i="1"/>
  <c r="Q3" i="1"/>
  <c r="T3" i="1"/>
  <c r="AH12" i="207" l="1"/>
  <c r="AH10" i="207"/>
  <c r="AH5" i="207"/>
  <c r="AH13" i="207"/>
  <c r="J23" i="207"/>
  <c r="AH4" i="207"/>
  <c r="K24" i="207"/>
  <c r="H25" i="207" s="1"/>
  <c r="AH3" i="207"/>
  <c r="D7" i="207" a="1"/>
  <c r="D7" i="207" s="1"/>
  <c r="D9" i="207" a="1"/>
  <c r="D9" i="207" s="1"/>
  <c r="D6" i="207" a="1"/>
  <c r="D6" i="207" s="1"/>
  <c r="D5" i="207" a="1"/>
  <c r="D5" i="207" s="1"/>
  <c r="D12" i="207" a="1"/>
  <c r="D12" i="207" s="1"/>
  <c r="D4" i="207" a="1"/>
  <c r="D4" i="207" s="1"/>
  <c r="D11" i="207" a="1"/>
  <c r="D11" i="207" s="1"/>
  <c r="D3" i="207" a="1"/>
  <c r="D3" i="207" s="1"/>
  <c r="D10" i="207" a="1"/>
  <c r="D10" i="207" s="1"/>
  <c r="D8" i="207" a="1"/>
  <c r="D8" i="207" s="1"/>
  <c r="J24" i="207"/>
  <c r="B8" i="207"/>
  <c r="B9" i="207"/>
  <c r="E3" i="207" l="1" a="1"/>
  <c r="E3" i="207" s="1"/>
  <c r="P3" i="207" a="1"/>
  <c r="P3" i="207" s="1"/>
  <c r="X3" i="207" a="1"/>
  <c r="X3" i="207" s="1"/>
  <c r="Q3" i="207" a="1"/>
  <c r="Q3" i="207" s="1"/>
  <c r="R3" i="207" a="1"/>
  <c r="R3" i="207" s="1"/>
  <c r="S3" i="207" a="1"/>
  <c r="S3" i="207" s="1"/>
  <c r="T3" i="207" a="1"/>
  <c r="T3" i="207" s="1"/>
  <c r="O3" i="207" a="1"/>
  <c r="O3" i="207" s="1"/>
  <c r="M3" i="207" a="1"/>
  <c r="M3" i="207" s="1"/>
  <c r="U3" i="207" a="1"/>
  <c r="U3" i="207" s="1"/>
  <c r="W3" i="207" a="1"/>
  <c r="W3" i="207" s="1"/>
  <c r="N3" i="207" a="1"/>
  <c r="N3" i="207" s="1"/>
  <c r="V3" i="207" a="1"/>
  <c r="V3" i="207" s="1"/>
  <c r="L4" i="207" a="1"/>
  <c r="L4" i="207" s="1"/>
  <c r="T4" i="207" a="1"/>
  <c r="T4" i="207" s="1"/>
  <c r="M4" i="207" a="1"/>
  <c r="M4" i="207" s="1"/>
  <c r="U4" i="207" a="1"/>
  <c r="U4" i="207" s="1"/>
  <c r="N4" i="207" a="1"/>
  <c r="N4" i="207" s="1"/>
  <c r="V4" i="207" a="1"/>
  <c r="V4" i="207" s="1"/>
  <c r="O4" i="207" a="1"/>
  <c r="O4" i="207" s="1"/>
  <c r="W4" i="207" a="1"/>
  <c r="W4" i="207" s="1"/>
  <c r="P4" i="207" a="1"/>
  <c r="P4" i="207" s="1"/>
  <c r="X4" i="207" a="1"/>
  <c r="X4" i="207" s="1"/>
  <c r="Q4" i="207" a="1"/>
  <c r="Q4" i="207" s="1"/>
  <c r="R4" i="207" a="1"/>
  <c r="R4" i="207" s="1"/>
  <c r="S4" i="207" a="1"/>
  <c r="S4" i="207" s="1"/>
  <c r="L12" i="207" a="1"/>
  <c r="L12" i="207" s="1"/>
  <c r="P12" i="207" a="1"/>
  <c r="P12" i="207" s="1"/>
  <c r="T12" i="207" a="1"/>
  <c r="T12" i="207" s="1"/>
  <c r="X12" i="207" a="1"/>
  <c r="X12" i="207" s="1"/>
  <c r="W12" i="207" a="1"/>
  <c r="W12" i="207" s="1"/>
  <c r="M12" i="207" a="1"/>
  <c r="M12" i="207" s="1"/>
  <c r="Q12" i="207" a="1"/>
  <c r="Q12" i="207" s="1"/>
  <c r="U12" i="207" a="1"/>
  <c r="U12" i="207" s="1"/>
  <c r="S12" i="207" a="1"/>
  <c r="S12" i="207" s="1"/>
  <c r="N12" i="207" a="1"/>
  <c r="N12" i="207" s="1"/>
  <c r="R12" i="207" a="1"/>
  <c r="R12" i="207" s="1"/>
  <c r="V12" i="207" a="1"/>
  <c r="V12" i="207" s="1"/>
  <c r="O12" i="207" a="1"/>
  <c r="O12" i="207" s="1"/>
  <c r="L8" i="207" a="1"/>
  <c r="L8" i="207" s="1"/>
  <c r="P8" i="207" a="1"/>
  <c r="P8" i="207" s="1"/>
  <c r="T8" i="207" a="1"/>
  <c r="T8" i="207" s="1"/>
  <c r="X8" i="207" a="1"/>
  <c r="X8" i="207" s="1"/>
  <c r="S8" i="207" a="1"/>
  <c r="S8" i="207" s="1"/>
  <c r="M8" i="207" a="1"/>
  <c r="M8" i="207" s="1"/>
  <c r="Q8" i="207" a="1"/>
  <c r="Q8" i="207" s="1"/>
  <c r="U8" i="207" a="1"/>
  <c r="U8" i="207" s="1"/>
  <c r="W8" i="207" a="1"/>
  <c r="W8" i="207" s="1"/>
  <c r="N8" i="207" a="1"/>
  <c r="N8" i="207" s="1"/>
  <c r="R8" i="207" a="1"/>
  <c r="R8" i="207" s="1"/>
  <c r="V8" i="207" a="1"/>
  <c r="V8" i="207" s="1"/>
  <c r="O8" i="207" a="1"/>
  <c r="O8" i="207" s="1"/>
  <c r="O9" i="207" a="1"/>
  <c r="O9" i="207" s="1"/>
  <c r="S9" i="207" a="1"/>
  <c r="S9" i="207" s="1"/>
  <c r="W9" i="207" a="1"/>
  <c r="W9" i="207" s="1"/>
  <c r="V9" i="207" a="1"/>
  <c r="V9" i="207" s="1"/>
  <c r="R9" i="207" a="1"/>
  <c r="R9" i="207" s="1"/>
  <c r="L9" i="207" a="1"/>
  <c r="L9" i="207" s="1"/>
  <c r="P9" i="207" a="1"/>
  <c r="P9" i="207" s="1"/>
  <c r="T9" i="207" a="1"/>
  <c r="T9" i="207" s="1"/>
  <c r="X9" i="207" a="1"/>
  <c r="X9" i="207" s="1"/>
  <c r="M9" i="207" a="1"/>
  <c r="M9" i="207" s="1"/>
  <c r="Q9" i="207" a="1"/>
  <c r="Q9" i="207" s="1"/>
  <c r="U9" i="207" a="1"/>
  <c r="U9" i="207" s="1"/>
  <c r="N9" i="207" a="1"/>
  <c r="N9" i="207" s="1"/>
  <c r="M7" i="207" a="1"/>
  <c r="M7" i="207" s="1"/>
  <c r="Q7" i="207" a="1"/>
  <c r="Q7" i="207" s="1"/>
  <c r="U7" i="207" a="1"/>
  <c r="U7" i="207" s="1"/>
  <c r="P7" i="207" a="1"/>
  <c r="P7" i="207" s="1"/>
  <c r="T7" i="207" a="1"/>
  <c r="T7" i="207" s="1"/>
  <c r="N7" i="207" a="1"/>
  <c r="N7" i="207" s="1"/>
  <c r="R7" i="207" a="1"/>
  <c r="R7" i="207" s="1"/>
  <c r="V7" i="207" a="1"/>
  <c r="V7" i="207" s="1"/>
  <c r="X7" i="207" a="1"/>
  <c r="X7" i="207" s="1"/>
  <c r="O7" i="207" a="1"/>
  <c r="O7" i="207" s="1"/>
  <c r="S7" i="207" a="1"/>
  <c r="S7" i="207" s="1"/>
  <c r="W7" i="207" a="1"/>
  <c r="W7" i="207" s="1"/>
  <c r="L7" i="207" a="1"/>
  <c r="L7" i="207" s="1"/>
  <c r="M11" i="207" a="1"/>
  <c r="M11" i="207" s="1"/>
  <c r="Q11" i="207" a="1"/>
  <c r="Q11" i="207" s="1"/>
  <c r="U11" i="207" a="1"/>
  <c r="U11" i="207" s="1"/>
  <c r="P11" i="207" a="1"/>
  <c r="P11" i="207" s="1"/>
  <c r="N11" i="207" a="1"/>
  <c r="N11" i="207" s="1"/>
  <c r="R11" i="207" a="1"/>
  <c r="R11" i="207" s="1"/>
  <c r="V11" i="207" a="1"/>
  <c r="V11" i="207" s="1"/>
  <c r="T11" i="207" a="1"/>
  <c r="T11" i="207" s="1"/>
  <c r="L11" i="207" a="1"/>
  <c r="L11" i="207" s="1"/>
  <c r="O11" i="207" a="1"/>
  <c r="O11" i="207" s="1"/>
  <c r="S11" i="207" a="1"/>
  <c r="S11" i="207" s="1"/>
  <c r="W11" i="207" a="1"/>
  <c r="W11" i="207" s="1"/>
  <c r="O5" i="207" a="1"/>
  <c r="O5" i="207" s="1"/>
  <c r="S5" i="207" a="1"/>
  <c r="S5" i="207" s="1"/>
  <c r="W5" i="207" a="1"/>
  <c r="W5" i="207" s="1"/>
  <c r="N5" i="207" a="1"/>
  <c r="N5" i="207" s="1"/>
  <c r="L5" i="207" a="1"/>
  <c r="L5" i="207" s="1"/>
  <c r="P5" i="207" a="1"/>
  <c r="P5" i="207" s="1"/>
  <c r="T5" i="207" a="1"/>
  <c r="T5" i="207" s="1"/>
  <c r="X5" i="207" a="1"/>
  <c r="X5" i="207" s="1"/>
  <c r="V5" i="207" a="1"/>
  <c r="V5" i="207" s="1"/>
  <c r="M5" i="207" a="1"/>
  <c r="M5" i="207" s="1"/>
  <c r="Q5" i="207" a="1"/>
  <c r="Q5" i="207" s="1"/>
  <c r="U5" i="207" a="1"/>
  <c r="U5" i="207" s="1"/>
  <c r="R5" i="207" a="1"/>
  <c r="R5" i="207" s="1"/>
  <c r="N10" i="207" a="1"/>
  <c r="N10" i="207" s="1"/>
  <c r="R10" i="207" a="1"/>
  <c r="R10" i="207" s="1"/>
  <c r="V10" i="207" a="1"/>
  <c r="V10" i="207" s="1"/>
  <c r="Q10" i="207" a="1"/>
  <c r="Q10" i="207" s="1"/>
  <c r="O10" i="207" a="1"/>
  <c r="O10" i="207" s="1"/>
  <c r="S10" i="207" a="1"/>
  <c r="S10" i="207" s="1"/>
  <c r="W10" i="207" a="1"/>
  <c r="W10" i="207" s="1"/>
  <c r="M10" i="207" a="1"/>
  <c r="M10" i="207" s="1"/>
  <c r="L10" i="207" a="1"/>
  <c r="L10" i="207" s="1"/>
  <c r="P10" i="207" a="1"/>
  <c r="P10" i="207" s="1"/>
  <c r="T10" i="207" a="1"/>
  <c r="T10" i="207" s="1"/>
  <c r="X10" i="207" a="1"/>
  <c r="X10" i="207" s="1"/>
  <c r="U10" i="207" a="1"/>
  <c r="U10" i="207" s="1"/>
  <c r="N6" i="207" a="1"/>
  <c r="N6" i="207" s="1"/>
  <c r="R6" i="207" a="1"/>
  <c r="R6" i="207" s="1"/>
  <c r="V6" i="207" a="1"/>
  <c r="V6" i="207" s="1"/>
  <c r="Q6" i="207" a="1"/>
  <c r="Q6" i="207" s="1"/>
  <c r="O6" i="207" a="1"/>
  <c r="O6" i="207" s="1"/>
  <c r="S6" i="207" a="1"/>
  <c r="S6" i="207" s="1"/>
  <c r="W6" i="207" a="1"/>
  <c r="W6" i="207" s="1"/>
  <c r="U6" i="207" a="1"/>
  <c r="U6" i="207" s="1"/>
  <c r="L6" i="207" a="1"/>
  <c r="L6" i="207" s="1"/>
  <c r="P6" i="207" a="1"/>
  <c r="P6" i="207" s="1"/>
  <c r="T6" i="207" a="1"/>
  <c r="T6" i="207" s="1"/>
  <c r="X6" i="207" a="1"/>
  <c r="X6" i="207" s="1"/>
  <c r="M6" i="207" a="1"/>
  <c r="M6" i="207" s="1"/>
  <c r="H24" i="207"/>
  <c r="H27" i="207"/>
  <c r="H26" i="207"/>
  <c r="E4" i="207" a="1"/>
  <c r="E4" i="207" s="1"/>
  <c r="K4" i="207" a="1"/>
  <c r="K4" i="207" s="1"/>
  <c r="G4" i="207" a="1"/>
  <c r="G4" i="207" s="1"/>
  <c r="Z4" i="207" a="1"/>
  <c r="Z4" i="207" s="1"/>
  <c r="J4" i="207" a="1"/>
  <c r="J4" i="207" s="1"/>
  <c r="Y4" i="207" a="1"/>
  <c r="Y4" i="207" s="1"/>
  <c r="F4" i="207" a="1"/>
  <c r="F4" i="207" s="1"/>
  <c r="H4" i="207" a="1"/>
  <c r="H4" i="207" s="1"/>
  <c r="I4" i="207" a="1"/>
  <c r="I4" i="207" s="1"/>
  <c r="E12" i="207" a="1"/>
  <c r="E12" i="207" s="1"/>
  <c r="Y12" i="207" a="1"/>
  <c r="Y12" i="207" s="1"/>
  <c r="H12" i="207" a="1"/>
  <c r="H12" i="207" s="1"/>
  <c r="Z12" i="207" a="1"/>
  <c r="Z12" i="207" s="1"/>
  <c r="K12" i="207" a="1"/>
  <c r="K12" i="207" s="1"/>
  <c r="G12" i="207" a="1"/>
  <c r="G12" i="207" s="1"/>
  <c r="J12" i="207" a="1"/>
  <c r="J12" i="207" s="1"/>
  <c r="I12" i="207" a="1"/>
  <c r="I12" i="207" s="1"/>
  <c r="F12" i="207" a="1"/>
  <c r="F12" i="207" s="1"/>
  <c r="E11" i="207" a="1"/>
  <c r="E11" i="207" s="1"/>
  <c r="Z11" i="207" a="1"/>
  <c r="Z11" i="207" s="1"/>
  <c r="I11" i="207" a="1"/>
  <c r="I11" i="207" s="1"/>
  <c r="J11" i="207" a="1"/>
  <c r="J11" i="207" s="1"/>
  <c r="F11" i="207" a="1"/>
  <c r="F11" i="207" s="1"/>
  <c r="Y11" i="207" a="1"/>
  <c r="Y11" i="207" s="1"/>
  <c r="H11" i="207" a="1"/>
  <c r="H11" i="207" s="1"/>
  <c r="K11" i="207" a="1"/>
  <c r="K11" i="207" s="1"/>
  <c r="G11" i="207" a="1"/>
  <c r="G11" i="207" s="1"/>
  <c r="I5" i="207" a="1"/>
  <c r="I5" i="207" s="1"/>
  <c r="K5" i="207" a="1"/>
  <c r="K5" i="207" s="1"/>
  <c r="F5" i="207" a="1"/>
  <c r="F5" i="207" s="1"/>
  <c r="E5" i="207" a="1"/>
  <c r="E5" i="207" s="1"/>
  <c r="H5" i="207" a="1"/>
  <c r="H5" i="207" s="1"/>
  <c r="Y5" i="207" a="1"/>
  <c r="Y5" i="207" s="1"/>
  <c r="Z5" i="207" a="1"/>
  <c r="Z5" i="207" s="1"/>
  <c r="J5" i="207" a="1"/>
  <c r="J5" i="207" s="1"/>
  <c r="G5" i="207" a="1"/>
  <c r="G5" i="207" s="1"/>
  <c r="E6" i="207" a="1"/>
  <c r="E6" i="207" s="1"/>
  <c r="J6" i="207" a="1"/>
  <c r="J6" i="207" s="1"/>
  <c r="Y6" i="207" a="1"/>
  <c r="Y6" i="207" s="1"/>
  <c r="I6" i="207" a="1"/>
  <c r="I6" i="207" s="1"/>
  <c r="F6" i="207" a="1"/>
  <c r="F6" i="207" s="1"/>
  <c r="Z6" i="207" a="1"/>
  <c r="Z6" i="207" s="1"/>
  <c r="K6" i="207" a="1"/>
  <c r="K6" i="207" s="1"/>
  <c r="G6" i="207" a="1"/>
  <c r="G6" i="207" s="1"/>
  <c r="H6" i="207" a="1"/>
  <c r="H6" i="207" s="1"/>
  <c r="J3" i="207" a="1"/>
  <c r="J3" i="207" s="1"/>
  <c r="G3" i="207" a="1"/>
  <c r="G3" i="207" s="1"/>
  <c r="L3" i="207" a="1"/>
  <c r="L3" i="207" s="1"/>
  <c r="Y3" i="207" a="1"/>
  <c r="Y3" i="207" s="1"/>
  <c r="Z3" i="207" a="1"/>
  <c r="Z3" i="207" s="1"/>
  <c r="F3" i="207" a="1"/>
  <c r="F3" i="207" s="1"/>
  <c r="K3" i="207" a="1"/>
  <c r="K3" i="207" s="1"/>
  <c r="H3" i="207" a="1"/>
  <c r="H3" i="207" s="1"/>
  <c r="I3" i="207" a="1"/>
  <c r="I3" i="207" s="1"/>
  <c r="E8" i="207" a="1"/>
  <c r="E8" i="207" s="1"/>
  <c r="J8" i="207" a="1"/>
  <c r="J8" i="207" s="1"/>
  <c r="G8" i="207" a="1"/>
  <c r="G8" i="207" s="1"/>
  <c r="I8" i="207" a="1"/>
  <c r="I8" i="207" s="1"/>
  <c r="F8" i="207" a="1"/>
  <c r="F8" i="207" s="1"/>
  <c r="K8" i="207" a="1"/>
  <c r="K8" i="207" s="1"/>
  <c r="Z8" i="207" a="1"/>
  <c r="Z8" i="207" s="1"/>
  <c r="H8" i="207" a="1"/>
  <c r="H8" i="207" s="1"/>
  <c r="Y8" i="207" a="1"/>
  <c r="Y8" i="207" s="1"/>
  <c r="E9" i="207" a="1"/>
  <c r="E9" i="207" s="1"/>
  <c r="F9" i="207" a="1"/>
  <c r="F9" i="207" s="1"/>
  <c r="H9" i="207" a="1"/>
  <c r="H9" i="207" s="1"/>
  <c r="K9" i="207" a="1"/>
  <c r="K9" i="207" s="1"/>
  <c r="Z9" i="207" a="1"/>
  <c r="Z9" i="207" s="1"/>
  <c r="J9" i="207" a="1"/>
  <c r="J9" i="207" s="1"/>
  <c r="Y9" i="207" a="1"/>
  <c r="Y9" i="207" s="1"/>
  <c r="G9" i="207" a="1"/>
  <c r="G9" i="207" s="1"/>
  <c r="I9" i="207" a="1"/>
  <c r="I9" i="207" s="1"/>
  <c r="E10" i="207" a="1"/>
  <c r="E10" i="207" s="1"/>
  <c r="G10" i="207" a="1"/>
  <c r="G10" i="207" s="1"/>
  <c r="H10" i="207" a="1"/>
  <c r="H10" i="207" s="1"/>
  <c r="I10" i="207" a="1"/>
  <c r="I10" i="207" s="1"/>
  <c r="K10" i="207" a="1"/>
  <c r="K10" i="207" s="1"/>
  <c r="Z10" i="207" a="1"/>
  <c r="Z10" i="207" s="1"/>
  <c r="J10" i="207" a="1"/>
  <c r="J10" i="207" s="1"/>
  <c r="F10" i="207" a="1"/>
  <c r="F10" i="207" s="1"/>
  <c r="Y10" i="207" a="1"/>
  <c r="Y10" i="207" s="1"/>
  <c r="E7" i="207" a="1"/>
  <c r="E7" i="207" s="1"/>
  <c r="K7" i="207" a="1"/>
  <c r="K7" i="207" s="1"/>
  <c r="I7" i="207" a="1"/>
  <c r="I7" i="207" s="1"/>
  <c r="F7" i="207" a="1"/>
  <c r="F7" i="207" s="1"/>
  <c r="Y7" i="207" a="1"/>
  <c r="Y7" i="207" s="1"/>
  <c r="G7" i="207" a="1"/>
  <c r="G7" i="207" s="1"/>
  <c r="H7" i="207" a="1"/>
  <c r="H7" i="207" s="1"/>
  <c r="J7" i="207" a="1"/>
  <c r="J7" i="207" s="1"/>
  <c r="Z7" i="207" a="1"/>
  <c r="Z7" i="207" s="1"/>
  <c r="T15" i="1" a="1"/>
  <c r="T15" i="1" s="1"/>
  <c r="S15" i="1" a="1"/>
  <c r="S15" i="1" s="1"/>
  <c r="R15" i="1" a="1"/>
  <c r="R15" i="1" s="1"/>
  <c r="Q15" i="1" a="1"/>
  <c r="Q15" i="1" s="1"/>
  <c r="T13" i="207" l="1"/>
  <c r="T14" i="207" s="1"/>
  <c r="Q13" i="207"/>
  <c r="Q14" i="207" s="1"/>
  <c r="W13" i="207"/>
  <c r="W14" i="207" s="1"/>
  <c r="P13" i="207"/>
  <c r="P14" i="207" s="1"/>
  <c r="R13" i="207"/>
  <c r="R14" i="207" s="1"/>
  <c r="U13" i="207"/>
  <c r="U14" i="207" s="1"/>
  <c r="N13" i="207"/>
  <c r="N14" i="207" s="1"/>
  <c r="M13" i="207"/>
  <c r="M14" i="207" s="1"/>
  <c r="S13" i="207"/>
  <c r="S14" i="207" s="1"/>
  <c r="V13" i="207"/>
  <c r="V14" i="207" s="1"/>
  <c r="O13" i="207"/>
  <c r="O14" i="207" s="1"/>
  <c r="X13" i="207"/>
  <c r="X14" i="207" s="1"/>
  <c r="Y13" i="207"/>
  <c r="Y14" i="207" s="1"/>
  <c r="AA7" i="207"/>
  <c r="AA9" i="207"/>
  <c r="E13" i="207"/>
  <c r="E14" i="207" s="1"/>
  <c r="AA3" i="207"/>
  <c r="J13" i="207"/>
  <c r="J14" i="207" s="1"/>
  <c r="AA12" i="207"/>
  <c r="G13" i="207"/>
  <c r="G14" i="207" s="1"/>
  <c r="K13" i="207"/>
  <c r="K14" i="207" s="1"/>
  <c r="L13" i="207"/>
  <c r="L14" i="207" s="1"/>
  <c r="H13" i="207"/>
  <c r="H14" i="207" s="1"/>
  <c r="F13" i="207"/>
  <c r="F14" i="207" s="1"/>
  <c r="Z13" i="207"/>
  <c r="Z14" i="207" s="1"/>
  <c r="I13" i="207"/>
  <c r="I14" i="207" s="1"/>
  <c r="AA10" i="207"/>
  <c r="AA8" i="207"/>
  <c r="AA6" i="207"/>
  <c r="AA5" i="207"/>
  <c r="AA11" i="207"/>
  <c r="AA4" i="207"/>
  <c r="AE15" i="1" a="1"/>
  <c r="AE15" i="1" s="1"/>
  <c r="AF6" i="1" a="1"/>
  <c r="AF6" i="1" s="1"/>
  <c r="AA13" i="207" l="1"/>
  <c r="AA14" i="207" s="1"/>
  <c r="C13" i="3"/>
  <c r="C3" i="3"/>
  <c r="C4" i="3"/>
  <c r="C5" i="3"/>
  <c r="C6" i="3"/>
  <c r="C7" i="3"/>
  <c r="C8" i="3"/>
  <c r="C9" i="3"/>
  <c r="C10" i="3"/>
  <c r="C11" i="3"/>
  <c r="C12" i="3"/>
  <c r="C2" i="3"/>
  <c r="B17" i="3"/>
  <c r="B16" i="3"/>
  <c r="B15" i="3"/>
  <c r="AC14" i="3"/>
  <c r="AA14" i="3"/>
  <c r="Y14" i="3"/>
  <c r="W14" i="3"/>
  <c r="U14" i="3"/>
  <c r="S14" i="3"/>
  <c r="Q14" i="3"/>
  <c r="O14" i="3"/>
  <c r="M14" i="3"/>
  <c r="K14" i="3"/>
  <c r="I14" i="3"/>
  <c r="G14" i="3"/>
  <c r="F2" i="3" l="1"/>
  <c r="C14" i="3"/>
  <c r="AF10" i="1" l="1" a="1"/>
  <c r="AF10" i="1" s="1"/>
  <c r="AF11" i="1" a="1"/>
  <c r="AF11" i="1" s="1"/>
  <c r="AF8" i="1" a="1"/>
  <c r="AF8" i="1" s="1"/>
  <c r="AF13" i="1" a="1"/>
  <c r="AF13" i="1" s="1"/>
  <c r="AF14" i="1" a="1"/>
  <c r="AF14" i="1" s="1"/>
  <c r="AF9" i="1" a="1"/>
  <c r="AF9" i="1" s="1"/>
  <c r="AF7" i="1" a="1"/>
  <c r="AF7" i="1" s="1"/>
  <c r="AF5" i="1" a="1"/>
  <c r="AF5" i="1" s="1"/>
  <c r="AF4" i="1" a="1"/>
  <c r="AF4" i="1" s="1"/>
  <c r="N15" i="1" a="1"/>
  <c r="N15" i="1" s="1"/>
  <c r="M15" i="1" a="1"/>
  <c r="M15" i="1" s="1"/>
  <c r="O15" i="1" a="1"/>
  <c r="O15" i="1" s="1"/>
  <c r="P15" i="1" a="1"/>
  <c r="P15" i="1" s="1"/>
  <c r="D15" i="1" a="1"/>
  <c r="D15" i="1" s="1"/>
  <c r="G15" i="1" a="1"/>
  <c r="G15" i="1" s="1"/>
  <c r="H15" i="1" a="1"/>
  <c r="H15" i="1" s="1"/>
  <c r="E15" i="1" a="1"/>
  <c r="E15" i="1" s="1"/>
  <c r="J15" i="1" s="1"/>
  <c r="J7" i="1"/>
  <c r="F7" i="1"/>
  <c r="F6" i="3"/>
  <c r="J5" i="1"/>
  <c r="F4" i="3"/>
  <c r="F5" i="1"/>
  <c r="J9" i="1"/>
  <c r="F8" i="3"/>
  <c r="F9" i="1"/>
  <c r="J13" i="1"/>
  <c r="F12" i="3"/>
  <c r="F13" i="1"/>
  <c r="F5" i="3"/>
  <c r="F6" i="1"/>
  <c r="J6" i="1"/>
  <c r="F3" i="3"/>
  <c r="F4" i="1"/>
  <c r="J4" i="1"/>
  <c r="F14" i="1"/>
  <c r="J14" i="1"/>
  <c r="F13" i="3"/>
  <c r="F7" i="3"/>
  <c r="F8" i="1"/>
  <c r="J8" i="1"/>
  <c r="F9" i="3"/>
  <c r="F10" i="1"/>
  <c r="J10" i="1"/>
  <c r="F12" i="1"/>
  <c r="F11" i="3"/>
  <c r="J12" i="1"/>
  <c r="J11" i="1"/>
  <c r="F11" i="1"/>
  <c r="F10" i="3"/>
  <c r="F3" i="1"/>
  <c r="J3" i="1"/>
  <c r="I8" i="1"/>
  <c r="I4" i="1"/>
  <c r="I10" i="1"/>
  <c r="I14" i="1"/>
  <c r="I12" i="1"/>
  <c r="I11" i="1"/>
  <c r="I7" i="1"/>
  <c r="I6" i="1"/>
  <c r="I5" i="1"/>
  <c r="I9" i="1"/>
  <c r="I13" i="1"/>
  <c r="I3" i="1"/>
  <c r="F15" i="1" l="1" a="1"/>
  <c r="F15" i="1" s="1"/>
  <c r="F16" i="1" s="1"/>
  <c r="K14" i="1"/>
  <c r="K8" i="1"/>
  <c r="K4" i="1"/>
  <c r="K7" i="1"/>
  <c r="K6" i="1"/>
  <c r="K11" i="1"/>
  <c r="K13" i="1"/>
  <c r="K9" i="1"/>
  <c r="K12" i="1"/>
  <c r="K10" i="1"/>
  <c r="K5" i="1"/>
  <c r="J16" i="1"/>
  <c r="K3" i="1"/>
  <c r="T12" i="3"/>
  <c r="Q45" i="3" s="1"/>
  <c r="N12" i="3"/>
  <c r="Q42" i="3" s="1"/>
  <c r="V12" i="3"/>
  <c r="H12" i="3"/>
  <c r="Q39" i="3" s="1"/>
  <c r="X12" i="3"/>
  <c r="J12" i="3"/>
  <c r="Q40" i="3" s="1"/>
  <c r="P12" i="3"/>
  <c r="Q43" i="3" s="1"/>
  <c r="L12" i="3"/>
  <c r="Q41" i="3" s="1"/>
  <c r="R12" i="3"/>
  <c r="Q44" i="3" s="1"/>
  <c r="H2" i="3"/>
  <c r="G39" i="3" s="1"/>
  <c r="X2" i="3"/>
  <c r="T2" i="3"/>
  <c r="G45" i="3" s="1"/>
  <c r="J2" i="3"/>
  <c r="G40" i="3" s="1"/>
  <c r="L2" i="3"/>
  <c r="G41" i="3" s="1"/>
  <c r="N2" i="3"/>
  <c r="G42" i="3" s="1"/>
  <c r="P2" i="3"/>
  <c r="G43" i="3" s="1"/>
  <c r="R2" i="3"/>
  <c r="G44" i="3" s="1"/>
  <c r="V2" i="3"/>
  <c r="P6" i="3"/>
  <c r="K43" i="3" s="1"/>
  <c r="R6" i="3"/>
  <c r="K44" i="3" s="1"/>
  <c r="T6" i="3"/>
  <c r="K45" i="3" s="1"/>
  <c r="J6" i="3"/>
  <c r="K40" i="3" s="1"/>
  <c r="V6" i="3"/>
  <c r="H6" i="3"/>
  <c r="K39" i="3" s="1"/>
  <c r="X6" i="3"/>
  <c r="L6" i="3"/>
  <c r="K41" i="3" s="1"/>
  <c r="N6" i="3"/>
  <c r="K42" i="3" s="1"/>
  <c r="H10" i="3"/>
  <c r="O39" i="3" s="1"/>
  <c r="X10" i="3"/>
  <c r="J10" i="3"/>
  <c r="O40" i="3" s="1"/>
  <c r="L10" i="3"/>
  <c r="O41" i="3" s="1"/>
  <c r="N10" i="3"/>
  <c r="O42" i="3" s="1"/>
  <c r="P10" i="3"/>
  <c r="O43" i="3" s="1"/>
  <c r="T10" i="3"/>
  <c r="O45" i="3" s="1"/>
  <c r="V10" i="3"/>
  <c r="R10" i="3"/>
  <c r="O44" i="3" s="1"/>
  <c r="J9" i="3"/>
  <c r="N40" i="3" s="1"/>
  <c r="T9" i="3"/>
  <c r="N45" i="3" s="1"/>
  <c r="V9" i="3"/>
  <c r="L9" i="3"/>
  <c r="N41" i="3" s="1"/>
  <c r="N9" i="3"/>
  <c r="N42" i="3" s="1"/>
  <c r="P9" i="3"/>
  <c r="N43" i="3" s="1"/>
  <c r="R9" i="3"/>
  <c r="N44" i="3" s="1"/>
  <c r="H9" i="3"/>
  <c r="N39" i="3" s="1"/>
  <c r="X9" i="3"/>
  <c r="V3" i="3"/>
  <c r="H3" i="3"/>
  <c r="H39" i="3" s="1"/>
  <c r="X3" i="3"/>
  <c r="J3" i="3"/>
  <c r="L3" i="3"/>
  <c r="H41" i="3" s="1"/>
  <c r="P3" i="3"/>
  <c r="H43" i="3" s="1"/>
  <c r="N3" i="3"/>
  <c r="H42" i="3" s="1"/>
  <c r="R3" i="3"/>
  <c r="H44" i="3" s="1"/>
  <c r="T3" i="3"/>
  <c r="H45" i="3" s="1"/>
  <c r="L8" i="3"/>
  <c r="M41" i="3" s="1"/>
  <c r="N8" i="3"/>
  <c r="M42" i="3" s="1"/>
  <c r="X8" i="3"/>
  <c r="P8" i="3"/>
  <c r="M43" i="3" s="1"/>
  <c r="R8" i="3"/>
  <c r="M44" i="3" s="1"/>
  <c r="H8" i="3"/>
  <c r="M39" i="3" s="1"/>
  <c r="T8" i="3"/>
  <c r="M45" i="3" s="1"/>
  <c r="V8" i="3"/>
  <c r="J8" i="3"/>
  <c r="M40" i="3" s="1"/>
  <c r="N7" i="3"/>
  <c r="L42" i="3" s="1"/>
  <c r="H7" i="3"/>
  <c r="L39" i="3" s="1"/>
  <c r="P7" i="3"/>
  <c r="L43" i="3" s="1"/>
  <c r="R7" i="3"/>
  <c r="L44" i="3" s="1"/>
  <c r="T7" i="3"/>
  <c r="L45" i="3" s="1"/>
  <c r="V7" i="3"/>
  <c r="X7" i="3"/>
  <c r="L7" i="3"/>
  <c r="L41" i="3" s="1"/>
  <c r="J7" i="3"/>
  <c r="L40" i="3" s="1"/>
  <c r="V11" i="3"/>
  <c r="P11" i="3"/>
  <c r="P43" i="3" s="1"/>
  <c r="H11" i="3"/>
  <c r="P39" i="3" s="1"/>
  <c r="X11" i="3"/>
  <c r="J11" i="3"/>
  <c r="P40" i="3" s="1"/>
  <c r="R11" i="3"/>
  <c r="P44" i="3" s="1"/>
  <c r="L11" i="3"/>
  <c r="P41" i="3" s="1"/>
  <c r="N11" i="3"/>
  <c r="P42" i="3" s="1"/>
  <c r="T11" i="3"/>
  <c r="P45" i="3" s="1"/>
  <c r="R13" i="3"/>
  <c r="R44" i="3" s="1"/>
  <c r="T13" i="3"/>
  <c r="R45" i="3" s="1"/>
  <c r="N13" i="3"/>
  <c r="R42" i="3" s="1"/>
  <c r="V13" i="3"/>
  <c r="H13" i="3"/>
  <c r="R39" i="3" s="1"/>
  <c r="X13" i="3"/>
  <c r="L13" i="3"/>
  <c r="R41" i="3" s="1"/>
  <c r="J13" i="3"/>
  <c r="R40" i="3" s="1"/>
  <c r="P13" i="3"/>
  <c r="R43" i="3" s="1"/>
  <c r="R5" i="3"/>
  <c r="J44" i="3" s="1"/>
  <c r="T5" i="3"/>
  <c r="J45" i="3" s="1"/>
  <c r="L5" i="3"/>
  <c r="J41" i="3" s="1"/>
  <c r="V5" i="3"/>
  <c r="N5" i="3"/>
  <c r="J42" i="3" s="1"/>
  <c r="H5" i="3"/>
  <c r="J39" i="3" s="1"/>
  <c r="X5" i="3"/>
  <c r="J5" i="3"/>
  <c r="J40" i="3" s="1"/>
  <c r="P5" i="3"/>
  <c r="J43" i="3" s="1"/>
  <c r="T4" i="3"/>
  <c r="I45" i="3" s="1"/>
  <c r="V4" i="3"/>
  <c r="H4" i="3"/>
  <c r="I39" i="3" s="1"/>
  <c r="X4" i="3"/>
  <c r="J4" i="3"/>
  <c r="I40" i="3" s="1"/>
  <c r="L4" i="3"/>
  <c r="I41" i="3" s="1"/>
  <c r="R4" i="3"/>
  <c r="I44" i="3" s="1"/>
  <c r="N4" i="3"/>
  <c r="I42" i="3" s="1"/>
  <c r="P4" i="3"/>
  <c r="I43" i="3" s="1"/>
  <c r="I15" i="1" a="1"/>
  <c r="I15" i="1" s="1"/>
  <c r="K15" i="1" a="1"/>
  <c r="K15" i="1" s="1"/>
  <c r="H16" i="1"/>
  <c r="G16" i="1"/>
  <c r="AD4" i="3"/>
  <c r="D4" i="3"/>
  <c r="E4" i="3" s="1"/>
  <c r="Z4" i="3"/>
  <c r="AB4" i="3"/>
  <c r="Z3" i="3"/>
  <c r="AB3" i="3"/>
  <c r="AD3" i="3"/>
  <c r="D3" i="3"/>
  <c r="E3" i="3" s="1"/>
  <c r="AD10" i="3"/>
  <c r="Z10" i="3"/>
  <c r="AB10" i="3"/>
  <c r="D10" i="3"/>
  <c r="E10" i="3" s="1"/>
  <c r="Z13" i="3"/>
  <c r="AB13" i="3"/>
  <c r="AD13" i="3"/>
  <c r="D13" i="3"/>
  <c r="E13" i="3" s="1"/>
  <c r="AD8" i="3"/>
  <c r="Z8" i="3"/>
  <c r="D8" i="3"/>
  <c r="E8" i="3" s="1"/>
  <c r="AB8" i="3"/>
  <c r="AD6" i="3"/>
  <c r="Z6" i="3"/>
  <c r="AB6" i="3"/>
  <c r="D6" i="3"/>
  <c r="E6" i="3" s="1"/>
  <c r="D12" i="3"/>
  <c r="E12" i="3" s="1"/>
  <c r="AB12" i="3"/>
  <c r="Z12" i="3"/>
  <c r="AD12" i="3"/>
  <c r="AB11" i="3"/>
  <c r="AD11" i="3"/>
  <c r="Z11" i="3"/>
  <c r="D11" i="3"/>
  <c r="E11" i="3" s="1"/>
  <c r="AB7" i="3"/>
  <c r="AD7" i="3"/>
  <c r="D7" i="3"/>
  <c r="E7" i="3" s="1"/>
  <c r="Z7" i="3"/>
  <c r="AB9" i="3"/>
  <c r="Z9" i="3"/>
  <c r="AD9" i="3"/>
  <c r="D9" i="3"/>
  <c r="E9" i="3" s="1"/>
  <c r="Z5" i="3"/>
  <c r="AD5" i="3"/>
  <c r="AB5" i="3"/>
  <c r="D5" i="3"/>
  <c r="E5" i="3" s="1"/>
  <c r="E16" i="1"/>
  <c r="D16" i="1"/>
  <c r="AB2" i="3"/>
  <c r="D2" i="3"/>
  <c r="E2" i="3" s="1"/>
  <c r="Z2" i="3"/>
  <c r="AD2" i="3"/>
  <c r="F14" i="3"/>
  <c r="H14" i="3" s="1"/>
  <c r="AB16" i="1" l="1"/>
  <c r="AC16" i="1"/>
  <c r="AA16" i="1"/>
  <c r="U16" i="1"/>
  <c r="Z16" i="1"/>
  <c r="Y16" i="1"/>
  <c r="X16" i="1"/>
  <c r="AD16" i="1"/>
  <c r="W16" i="1"/>
  <c r="V16" i="1"/>
  <c r="AE16" i="1"/>
  <c r="Q50" i="3"/>
  <c r="G49" i="3"/>
  <c r="H50" i="3"/>
  <c r="M47" i="3"/>
  <c r="K48" i="3"/>
  <c r="H48" i="3"/>
  <c r="O46" i="3"/>
  <c r="P46" i="3"/>
  <c r="R50" i="3"/>
  <c r="I49" i="3"/>
  <c r="P47" i="3"/>
  <c r="J49" i="3"/>
  <c r="J48" i="3"/>
  <c r="I50" i="3"/>
  <c r="N48" i="3"/>
  <c r="G46" i="3"/>
  <c r="L47" i="3"/>
  <c r="N49" i="3"/>
  <c r="R49" i="3"/>
  <c r="H46" i="3"/>
  <c r="R48" i="3"/>
  <c r="R46" i="3"/>
  <c r="N47" i="3"/>
  <c r="K47" i="3"/>
  <c r="Q47" i="3"/>
  <c r="Q48" i="3"/>
  <c r="Q49" i="3"/>
  <c r="K50" i="3"/>
  <c r="M49" i="3"/>
  <c r="G47" i="3"/>
  <c r="M48" i="3"/>
  <c r="M50" i="3"/>
  <c r="L46" i="3"/>
  <c r="O47" i="3"/>
  <c r="H47" i="3"/>
  <c r="N46" i="3"/>
  <c r="J47" i="3"/>
  <c r="J50" i="3"/>
  <c r="J46" i="3"/>
  <c r="N50" i="3"/>
  <c r="L48" i="3"/>
  <c r="L50" i="3"/>
  <c r="P48" i="3"/>
  <c r="O49" i="3"/>
  <c r="I47" i="3"/>
  <c r="K46" i="3"/>
  <c r="Q46" i="3"/>
  <c r="H49" i="3"/>
  <c r="K49" i="3"/>
  <c r="I48" i="3"/>
  <c r="R47" i="3"/>
  <c r="L49" i="3"/>
  <c r="P50" i="3"/>
  <c r="M46" i="3"/>
  <c r="G50" i="3"/>
  <c r="O48" i="3"/>
  <c r="G48" i="3"/>
  <c r="P49" i="3"/>
  <c r="O50" i="3"/>
  <c r="I46" i="3"/>
  <c r="K16" i="1"/>
  <c r="Q16" i="1"/>
  <c r="R16" i="1"/>
  <c r="S16" i="1"/>
  <c r="T16" i="1"/>
  <c r="H40" i="3"/>
  <c r="P16" i="1"/>
  <c r="M16" i="1"/>
  <c r="O16" i="1"/>
  <c r="N16" i="1"/>
  <c r="I16" i="1"/>
  <c r="P14" i="3"/>
  <c r="S43" i="3" s="1"/>
  <c r="R14" i="3"/>
  <c r="S44" i="3" s="1"/>
  <c r="N14" i="3"/>
  <c r="S42" i="3" s="1"/>
  <c r="V14" i="3"/>
  <c r="AD14" i="3"/>
  <c r="Z14" i="3"/>
  <c r="S39" i="3"/>
  <c r="AB14" i="3"/>
  <c r="X14" i="3"/>
  <c r="D14" i="3"/>
  <c r="E14" i="3" s="1"/>
  <c r="T14" i="3"/>
  <c r="S45" i="3" s="1"/>
  <c r="J14" i="3"/>
  <c r="S40" i="3" s="1"/>
  <c r="L14" i="3"/>
  <c r="S41" i="3" s="1"/>
  <c r="S47" i="3" l="1"/>
  <c r="S48" i="3"/>
  <c r="S50" i="3"/>
  <c r="S46" i="3"/>
  <c r="S49" i="3"/>
  <c r="L15" i="1" a="1"/>
  <c r="L15" i="1" s="1"/>
  <c r="L16" i="1" s="1"/>
  <c r="AF3" i="1" a="1"/>
  <c r="AF3" i="1" s="1"/>
  <c r="AF15" i="1" l="1" a="1"/>
  <c r="AF15" i="1" s="1"/>
  <c r="AF1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tc={FBD70714-D0BB-4AA6-BE65-3EED5D437171}</author>
    <author>tc={BEEF2C17-5866-4F24-BA73-D4FBD2E5754A}</author>
    <author>tc={0A15DBED-F0B4-4A1F-B367-1AC56AF1364F}</author>
    <author>tc={CDA59AD5-66A8-4316-9310-A9E77F6B23A5}</author>
  </authors>
  <commentList>
    <comment ref="L2" authorId="0" shapeId="0" xr:uid="{FBD70714-D0BB-4AA6-BE65-3EED5D43717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Initialisation : remplir le nom des candidats</t>
      </text>
    </comment>
    <comment ref="B3" authorId="1" shapeId="0" xr:uid="{BEEF2C17-5866-4F24-BA73-D4FBD2E5754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Modifier ici le nom des bureaux de vote</t>
      </text>
    </comment>
    <comment ref="C3" authorId="2" shapeId="0" xr:uid="{0A15DBED-F0B4-4A1F-B367-1AC56AF1364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Modifier ici le nombre d’électeurs inscrits</t>
      </text>
    </comment>
    <comment ref="B17" authorId="3" shapeId="0" xr:uid="{CDA59AD5-66A8-4316-9310-A9E77F6B23A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Initialisation : Mettre à jour la date et le type d'élection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tc={BFCB494A-5EEE-4582-8D8D-D7FC9A33F3A8}</author>
    <author>tc={949660B2-4E61-494B-8030-5A8D962E3720}</author>
  </authors>
  <commentList>
    <comment ref="C1" authorId="0" shapeId="0" xr:uid="{BFCB494A-5EEE-4582-8D8D-D7FC9A33F3A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distribuées</t>
      </text>
    </comment>
    <comment ref="AA14" authorId="1" shapeId="0" xr:uid="{949660B2-4E61-494B-8030-5A8D962E372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Si la case est jaune c'est que la participation est inférieure à l'heure précédente, c'est impossible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tc={EABFF79C-6F3E-45A7-AFDB-E16C33B25AA4}</author>
    <author>tc={015AC820-E43D-4952-9147-E1AB8B697D08}</author>
    <author>tc={755B2C32-0CC1-4AB8-9943-9B321C73B956}</author>
    <author>tc={1E4F50FE-453F-4374-81CD-FED15F974F3D}</author>
    <author>tc={E0FD2FBA-4E1B-4572-A9D0-6315CEDAEDFE}</author>
    <author>tc={22C51930-100C-4141-9123-FA056F76C484}</author>
    <author>tc={7B16B4CC-E443-48A6-9659-3BBEFC3ECC16}</author>
    <author>tc={3E003C7E-19BB-45E7-BEB5-218C116527E2}</author>
    <author>tc={5F46F273-6C46-4161-A494-247D2B6B31A3}</author>
    <author>tc={0DF602ED-B4B4-48F8-A449-73B218BAB594}</author>
  </authors>
  <commentList>
    <comment ref="W3" authorId="0" shapeId="0" xr:uid="{EABFF79C-6F3E-45A7-AFDB-E16C33B25AA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015AC820-E43D-4952-9147-E1AB8B697D0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755B2C32-0CC1-4AB8-9943-9B321C73B95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1E4F50FE-453F-4374-81CD-FED15F974F3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E0FD2FBA-4E1B-4572-A9D0-6315CEDAEDF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5" shapeId="0" xr:uid="{22C51930-100C-4141-9123-FA056F76C48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J23" authorId="6" shapeId="0" xr:uid="{7B16B4CC-E443-48A6-9659-3BBEFC3ECC1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K23" authorId="7" shapeId="0" xr:uid="{3E003C7E-19BB-45E7-BEB5-218C116527E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J24" authorId="8" shapeId="0" xr:uid="{5F46F273-6C46-4161-A494-247D2B6B31A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K24" authorId="9" shapeId="0" xr:uid="{0DF602ED-B4B4-48F8-A449-73B218BAB59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tc={46628604-0487-48E5-9F91-EB4DC295F616}</author>
    <author>tc={3C2CC6FF-8C99-4A54-98E3-A431EBC691A8}</author>
    <author>tc={93982A39-4621-44E5-8C69-626D3330A120}</author>
    <author>tc={E1A34A79-66F1-423A-99B8-E0FFB0DFE7CF}</author>
    <author>tc={7CCA1500-31AA-4CA5-A934-61260FF84EC0}</author>
    <author>tc={F45EA83B-F2A7-4B0E-A9DC-7FB934E46695}</author>
    <author>tc={BD3C10F1-FEEF-4E9E-94C9-D4F9E0A553EB}</author>
    <author>tc={8635CE1D-3F46-42B6-AEEE-24746F82AF72}</author>
    <author>tc={2FCCA48F-2713-4355-98C8-DDE96C91DF85}</author>
    <author>tc={D1C968E7-4EBA-455E-9F8B-28FA89205B94}</author>
  </authors>
  <commentList>
    <comment ref="AG3" authorId="0" shapeId="0" xr:uid="{46628604-0487-48E5-9F91-EB4DC295F61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3C2CC6FF-8C99-4A54-98E3-A431EBC691A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93982A39-4621-44E5-8C69-626D3330A12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E1A34A79-66F1-423A-99B8-E0FFB0DFE7C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7CCA1500-31AA-4CA5-A934-61260FF84EC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AA13" authorId="5" shapeId="0" xr:uid="{F45EA83B-F2A7-4B0E-A9DC-7FB934E4669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J23" authorId="6" shapeId="0" xr:uid="{BD3C10F1-FEEF-4E9E-94C9-D4F9E0A553E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K23" authorId="7" shapeId="0" xr:uid="{8635CE1D-3F46-42B6-AEEE-24746F82AF7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J24" authorId="8" shapeId="0" xr:uid="{2FCCA48F-2713-4355-98C8-DDE96C91DF8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K24" authorId="9" shapeId="0" xr:uid="{D1C968E7-4EBA-455E-9F8B-28FA89205B9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tc={DCFCFB2F-7502-499D-890B-05540DF58EEC}</author>
    <author>tc={453DF8CC-5029-4A13-96C0-82E3D2A198CC}</author>
    <author>tc={E7C9E984-D4C7-4CE3-BDAA-8ADE23DEFD26}</author>
    <author>tc={0A333156-19F6-4415-AAE5-FB527EF12A7E}</author>
    <author>tc={FD4E7A20-E6CA-4455-BDA7-E5900EFD53CF}</author>
    <author>tc={F43A45F0-64B2-4395-B488-121351FB074A}</author>
    <author>tc={5B77C3AF-DC03-48A9-A6B0-AD488B4DEEED}</author>
    <author>tc={120AE743-1E12-4622-AA9E-354AACB9E0E0}</author>
    <author>tc={1302020C-B4D5-4239-807A-20CF19D3E078}</author>
    <author>tc={6A418F3D-EE49-40CC-BB94-F873B392CB65}</author>
  </authors>
  <commentList>
    <comment ref="AG3" authorId="0" shapeId="0" xr:uid="{DCFCFB2F-7502-499D-890B-05540DF58EE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453DF8CC-5029-4A13-96C0-82E3D2A198C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E7C9E984-D4C7-4CE3-BDAA-8ADE23DEFD2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0A333156-19F6-4415-AAE5-FB527EF12A7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FD4E7A20-E6CA-4455-BDA7-E5900EFD53C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AA13" authorId="5" shapeId="0" xr:uid="{F43A45F0-64B2-4395-B488-121351FB074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J23" authorId="6" shapeId="0" xr:uid="{5B77C3AF-DC03-48A9-A6B0-AD488B4DEEE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K23" authorId="7" shapeId="0" xr:uid="{120AE743-1E12-4622-AA9E-354AACB9E0E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J24" authorId="8" shapeId="0" xr:uid="{1302020C-B4D5-4239-807A-20CF19D3E07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K24" authorId="9" shapeId="0" xr:uid="{6A418F3D-EE49-40CC-BB94-F873B392CB6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tc={E577394D-C20A-4CE8-ACE7-3C2992625A95}</author>
    <author>tc={383D8DAA-FB3B-4AF5-9093-CF7D6341BB30}</author>
    <author>tc={E6D8C3D6-B97E-4779-8198-E1F9CD454E17}</author>
    <author>tc={B08E5231-D6CF-462A-A5E3-7FDD26886256}</author>
    <author>tc={C109D2B2-0B95-4970-A6A4-004372EA50ED}</author>
    <author>tc={862C8B62-7765-4E99-99B0-C2631D205B98}</author>
    <author>tc={E2234F26-A87E-4417-84B2-85F3B9EBC622}</author>
    <author>tc={ABD900C8-F3BC-4107-A766-A5A28C7A3161}</author>
    <author>tc={5E2BC6AE-153B-43CC-BEC2-65D9AAB07E53}</author>
    <author>tc={70B87CF9-D3C0-4C3F-95B0-C08AEB46E6A6}</author>
  </authors>
  <commentList>
    <comment ref="AG3" authorId="0" shapeId="0" xr:uid="{E577394D-C20A-4CE8-ACE7-3C2992625A9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383D8DAA-FB3B-4AF5-9093-CF7D6341BB3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E6D8C3D6-B97E-4779-8198-E1F9CD454E1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B08E5231-D6CF-462A-A5E3-7FDD2688625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C109D2B2-0B95-4970-A6A4-004372EA50E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AA13" authorId="5" shapeId="0" xr:uid="{862C8B62-7765-4E99-99B0-C2631D205B9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J23" authorId="6" shapeId="0" xr:uid="{E2234F26-A87E-4417-84B2-85F3B9EBC62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K23" authorId="7" shapeId="0" xr:uid="{ABD900C8-F3BC-4107-A766-A5A28C7A316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J24" authorId="8" shapeId="0" xr:uid="{5E2BC6AE-153B-43CC-BEC2-65D9AAB07E5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K24" authorId="9" shapeId="0" xr:uid="{70B87CF9-D3C0-4C3F-95B0-C08AEB46E6A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tc={5C2563F2-2962-49D0-915B-6808DD79EE14}</author>
    <author>tc={DC9CE3D0-73FF-4606-8A54-7A4E3F9C3AB0}</author>
    <author>tc={72A74581-F10F-4BA8-B6BC-D84BEDBBC792}</author>
    <author>tc={97D471E6-FD68-49BF-A722-CA5063C1A19F}</author>
    <author>tc={E7048B76-D05F-4BD2-957D-238ECFD7428A}</author>
    <author>tc={2ADB9FE6-F310-465E-AE15-4C7094B3902A}</author>
    <author>tc={C7B022C6-2EFA-4A86-81B1-1412209C05FE}</author>
    <author>tc={5C1E8C38-D56E-4035-BBE1-89A3434C2019}</author>
    <author>tc={33AFD746-D87C-46E2-969C-D0D54069B2DA}</author>
    <author>tc={6EAC3D29-D8A4-445B-90E4-CEF69BAB4EA2}</author>
  </authors>
  <commentList>
    <comment ref="AG3" authorId="0" shapeId="0" xr:uid="{5C2563F2-2962-49D0-915B-6808DD79EE1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DC9CE3D0-73FF-4606-8A54-7A4E3F9C3AB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72A74581-F10F-4BA8-B6BC-D84BEDBBC79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97D471E6-FD68-49BF-A722-CA5063C1A19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E7048B76-D05F-4BD2-957D-238ECFD7428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AA13" authorId="5" shapeId="0" xr:uid="{2ADB9FE6-F310-465E-AE15-4C7094B3902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J23" authorId="6" shapeId="0" xr:uid="{C7B022C6-2EFA-4A86-81B1-1412209C05F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K23" authorId="7" shapeId="0" xr:uid="{5C1E8C38-D56E-4035-BBE1-89A3434C201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J24" authorId="8" shapeId="0" xr:uid="{33AFD746-D87C-46E2-969C-D0D54069B2D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K24" authorId="9" shapeId="0" xr:uid="{6EAC3D29-D8A4-445B-90E4-CEF69BAB4EA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tc={B254B454-609D-452D-B4BA-81D74DD9E054}</author>
    <author>tc={C03550CD-EB30-4B08-8876-861985AFD08B}</author>
    <author>tc={A8B38C82-B565-4686-ABE1-B5D346841ED5}</author>
    <author>tc={D9B4EE1F-9BBD-4208-BA33-BADBA8EA1604}</author>
    <author>tc={B887527D-CFA7-43BA-8CCE-5EE2D5E5FE2E}</author>
    <author>tc={A149F0B6-8A21-447C-A8D1-37DE8524ECDD}</author>
    <author>tc={3DA1E492-E651-4C76-824C-5D14099212CC}</author>
    <author>tc={EC08F3D9-703C-4410-ABA0-5E5045608980}</author>
    <author>tc={4AAC72BA-7DFA-4536-B536-A264BCB63B10}</author>
    <author>tc={F53A6CC8-ED13-4DE9-8DAF-F4CF1CBDA879}</author>
  </authors>
  <commentList>
    <comment ref="AG3" authorId="0" shapeId="0" xr:uid="{B254B454-609D-452D-B4BA-81D74DD9E05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C03550CD-EB30-4B08-8876-861985AFD08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A8B38C82-B565-4686-ABE1-B5D346841ED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D9B4EE1F-9BBD-4208-BA33-BADBA8EA160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B887527D-CFA7-43BA-8CCE-5EE2D5E5FE2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AA13" authorId="5" shapeId="0" xr:uid="{A149F0B6-8A21-447C-A8D1-37DE8524ECD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J23" authorId="6" shapeId="0" xr:uid="{3DA1E492-E651-4C76-824C-5D14099212C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K23" authorId="7" shapeId="0" xr:uid="{EC08F3D9-703C-4410-ABA0-5E504560898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J24" authorId="8" shapeId="0" xr:uid="{4AAC72BA-7DFA-4536-B536-A264BCB63B1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K24" authorId="9" shapeId="0" xr:uid="{F53A6CC8-ED13-4DE9-8DAF-F4CF1CBDA87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tc={4CCCF3CE-1FEA-4734-94A7-AE2874E8A6D8}</author>
    <author>tc={7AD332D4-CCA1-4539-8A9D-8EC0D4302A5C}</author>
    <author>tc={3AC494CB-5320-409E-AD6C-EE2E6744F131}</author>
    <author>tc={4847B90F-5C16-4659-B7F7-DE1DB8426BF9}</author>
    <author>tc={B43CEC78-71B1-4725-8711-41A3D70AE255}</author>
    <author>tc={831481B2-551B-48F9-A784-B68345528E9D}</author>
    <author>tc={565C47E1-E882-4D0A-ACD8-FECFA69B02E4}</author>
    <author>tc={D70ACC41-58EC-4673-962B-947D603A82E9}</author>
    <author>tc={CB3F8237-2405-4AD3-A386-921AEF5B610C}</author>
    <author>tc={700C9204-C061-4879-A65B-4564D65D487A}</author>
  </authors>
  <commentList>
    <comment ref="AG3" authorId="0" shapeId="0" xr:uid="{4CCCF3CE-1FEA-4734-94A7-AE2874E8A6D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7AD332D4-CCA1-4539-8A9D-8EC0D4302A5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3AC494CB-5320-409E-AD6C-EE2E6744F13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4847B90F-5C16-4659-B7F7-DE1DB8426BF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B43CEC78-71B1-4725-8711-41A3D70AE25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AA13" authorId="5" shapeId="0" xr:uid="{831481B2-551B-48F9-A784-B68345528E9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J23" authorId="6" shapeId="0" xr:uid="{565C47E1-E882-4D0A-ACD8-FECFA69B02E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K23" authorId="7" shapeId="0" xr:uid="{D70ACC41-58EC-4673-962B-947D603A82E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J24" authorId="8" shapeId="0" xr:uid="{CB3F8237-2405-4AD3-A386-921AEF5B610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K24" authorId="9" shapeId="0" xr:uid="{700C9204-C061-4879-A65B-4564D65D487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tc={0A24FDDB-9F1C-45F6-850B-CAB5F9C1924A}</author>
    <author>tc={6862DB01-939D-4EE4-8514-09649BECCBB6}</author>
    <author>tc={41A41CC2-167C-4610-8A34-BFBFE1EF5B30}</author>
    <author>tc={5123AAA3-BB41-4321-8CCD-7873D043289B}</author>
    <author>tc={258A9372-5457-420A-8860-690EA4EE3656}</author>
    <author>tc={6E642DE9-B340-4874-98F5-DAD769A6EC29}</author>
    <author>tc={4DB9FA30-BEF0-491F-9CBE-C68EEE9AD78A}</author>
    <author>tc={3E92174F-D6C6-476B-941C-0653533ADAEA}</author>
    <author>tc={56337937-314F-44E1-9B8E-08520754D7D3}</author>
    <author>tc={21297C0C-0AFE-44DE-96AA-AA88C8F9FD42}</author>
  </authors>
  <commentList>
    <comment ref="AG3" authorId="0" shapeId="0" xr:uid="{0A24FDDB-9F1C-45F6-850B-CAB5F9C1924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6862DB01-939D-4EE4-8514-09649BECCBB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41A41CC2-167C-4610-8A34-BFBFE1EF5B3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5123AAA3-BB41-4321-8CCD-7873D043289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258A9372-5457-420A-8860-690EA4EE365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AA13" authorId="5" shapeId="0" xr:uid="{6E642DE9-B340-4874-98F5-DAD769A6EC2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J23" authorId="6" shapeId="0" xr:uid="{4DB9FA30-BEF0-491F-9CBE-C68EEE9AD78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K23" authorId="7" shapeId="0" xr:uid="{3E92174F-D6C6-476B-941C-0653533ADAE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J24" authorId="8" shapeId="0" xr:uid="{56337937-314F-44E1-9B8E-08520754D7D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K24" authorId="9" shapeId="0" xr:uid="{21297C0C-0AFE-44DE-96AA-AA88C8F9FD4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tc={700B037F-77C3-4AD9-BD5E-38EE854BD38A}</author>
    <author>tc={87ECF4F1-B411-4692-8379-92DF401C3AE0}</author>
    <author>tc={B2CD3826-C6BF-475F-9BB0-73B599D062A4}</author>
    <author>tc={02A511C3-FF71-4584-BD03-CF7AAAE23A9C}</author>
    <author>tc={D2A77DD8-7A6F-4F4F-A01F-DCB2BDBDA37D}</author>
    <author>tc={BE0A82E9-E4BD-4224-A649-16AE8FB34171}</author>
    <author>tc={23A3C339-5ADC-4307-AC7B-9B23F4107432}</author>
    <author>tc={EA14C8EB-BBDF-402C-9FD7-16D1BDC1E7CB}</author>
    <author>tc={5FDE57D9-851C-407C-9930-C7D67AAA34CC}</author>
    <author>tc={3FB10ECC-E1EC-4FBD-AF8A-D50C4078AD76}</author>
  </authors>
  <commentList>
    <comment ref="AG3" authorId="0" shapeId="0" xr:uid="{700B037F-77C3-4AD9-BD5E-38EE854BD38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87ECF4F1-B411-4692-8379-92DF401C3AE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B2CD3826-C6BF-475F-9BB0-73B599D062A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02A511C3-FF71-4584-BD03-CF7AAAE23A9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D2A77DD8-7A6F-4F4F-A01F-DCB2BDBDA37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AA13" authorId="5" shapeId="0" xr:uid="{BE0A82E9-E4BD-4224-A649-16AE8FB3417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J23" authorId="6" shapeId="0" xr:uid="{23A3C339-5ADC-4307-AC7B-9B23F410743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K23" authorId="7" shapeId="0" xr:uid="{EA14C8EB-BBDF-402C-9FD7-16D1BDC1E7C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J24" authorId="8" shapeId="0" xr:uid="{5FDE57D9-851C-407C-9930-C7D67AAA34C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K24" authorId="9" shapeId="0" xr:uid="{3FB10ECC-E1EC-4FBD-AF8A-D50C4078AD7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tc={3F6AA35E-F784-4EC8-B686-BB3F2B73F948}</author>
    <author>tc={97702F48-E313-4B88-B77F-F75260EEA5CF}</author>
    <author>tc={6DD9A87D-1543-4182-8A66-F76B68D0B0AC}</author>
    <author>tc={16A2D73D-F795-4716-AF31-F8DE1553A2FD}</author>
    <author>tc={A62ECA02-3D6B-454F-8AEB-0C6B0D66468D}</author>
    <author>tc={6B8EC59A-6F0C-4CE7-ACAE-A3F4F0F76FDE}</author>
    <author>tc={0335CF43-F990-41EE-9844-18A030BB8D5D}</author>
    <author>tc={4987EF52-5C46-44FC-B73E-9FCCD65150C9}</author>
    <author>tc={8D5FD23E-1433-41BA-8BF1-E4754B95B851}</author>
    <author>tc={811B1BB6-3A6A-415D-88CD-2D42253A9F2D}</author>
  </authors>
  <commentList>
    <comment ref="AG3" authorId="0" shapeId="0" xr:uid="{3F6AA35E-F784-4EC8-B686-BB3F2B73F94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97702F48-E313-4B88-B77F-F75260EEA5C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6DD9A87D-1543-4182-8A66-F76B68D0B0A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16A2D73D-F795-4716-AF31-F8DE1553A2F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A62ECA02-3D6B-454F-8AEB-0C6B0D66468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AA13" authorId="5" shapeId="0" xr:uid="{6B8EC59A-6F0C-4CE7-ACAE-A3F4F0F76FD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J23" authorId="6" shapeId="0" xr:uid="{0335CF43-F990-41EE-9844-18A030BB8D5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K23" authorId="7" shapeId="0" xr:uid="{4987EF52-5C46-44FC-B73E-9FCCD65150C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J24" authorId="8" shapeId="0" xr:uid="{8D5FD23E-1433-41BA-8BF1-E4754B95B85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K24" authorId="9" shapeId="0" xr:uid="{811B1BB6-3A6A-415D-88CD-2D42253A9F2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tc={C749232F-4347-4048-BD70-83678F1B3E1D}</author>
    <author>tc={C55CF490-643B-4734-8DC4-3C66BDC683CB}</author>
    <author>tc={44B9879A-BD15-4BAC-B1ED-C2472BDD57E1}</author>
    <author>tc={B1E4A14C-F950-4F61-B194-EEB730684F25}</author>
    <author>tc={7B6DD785-BB95-4A21-938B-32C23485F8EB}</author>
    <author>tc={ED4067E0-ECE3-4674-9503-CE3E63193350}</author>
    <author>tc={16026CAE-8DE6-438D-912A-880D572D020F}</author>
    <author>tc={6E14D928-EEE5-4359-BE5E-43D3F1A52960}</author>
    <author>tc={D24F22AB-FE44-4F3D-B0A4-BBD200711C7E}</author>
    <author>tc={4B2DE17E-4932-4960-B8A0-F1AE3F6E0AF2}</author>
  </authors>
  <commentList>
    <comment ref="AG3" authorId="0" shapeId="0" xr:uid="{C749232F-4347-4048-BD70-83678F1B3E1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C55CF490-643B-4734-8DC4-3C66BDC683C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44B9879A-BD15-4BAC-B1ED-C2472BDD57E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B1E4A14C-F950-4F61-B194-EEB730684F2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7B6DD785-BB95-4A21-938B-32C23485F8E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AA13" authorId="5" shapeId="0" xr:uid="{ED4067E0-ECE3-4674-9503-CE3E6319335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J23" authorId="6" shapeId="0" xr:uid="{16026CAE-8DE6-438D-912A-880D572D020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K23" authorId="7" shapeId="0" xr:uid="{6E14D928-EEE5-4359-BE5E-43D3F1A5296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J24" authorId="8" shapeId="0" xr:uid="{D24F22AB-FE44-4F3D-B0A4-BBD200711C7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K24" authorId="9" shapeId="0" xr:uid="{4B2DE17E-4932-4960-B8A0-F1AE3F6E0AF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tc={10196598-30FF-4915-8527-26127C2E3466}</author>
    <author>tc={575D2A96-4BBB-4555-8587-82963058BC7A}</author>
    <author>tc={B07CBCEB-6AA2-4898-9D78-B3C00561B7BB}</author>
    <author>tc={DB546921-6B63-41B2-93FD-18D8723752A7}</author>
    <author>tc={5A2395B2-E3A9-4053-BA80-E7F70A87C9F1}</author>
    <author>tc={2296B2F5-1FB3-4CE9-9DDC-91A5F968C583}</author>
    <author>tc={B2E2D5CA-04D1-4FCD-9643-3F680CF941CC}</author>
    <author>tc={C0CC0DAF-DF4A-4ABF-BE49-88ADFA547A41}</author>
    <author>tc={0B43FAF2-3E0F-475E-9F3F-BA44ACDCF99A}</author>
    <author>tc={EFAA6452-32B3-4139-9162-9F26B95D0FBB}</author>
  </authors>
  <commentList>
    <comment ref="AG3" authorId="0" shapeId="0" xr:uid="{10196598-30FF-4915-8527-26127C2E346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575D2A96-4BBB-4555-8587-82963058BC7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B07CBCEB-6AA2-4898-9D78-B3C00561B7B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DB546921-6B63-41B2-93FD-18D8723752A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5A2395B2-E3A9-4053-BA80-E7F70A87C9F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AA13" authorId="5" shapeId="0" xr:uid="{2296B2F5-1FB3-4CE9-9DDC-91A5F968C58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J23" authorId="6" shapeId="0" xr:uid="{B2E2D5CA-04D1-4FCD-9643-3F680CF941C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K23" authorId="7" shapeId="0" xr:uid="{C0CC0DAF-DF4A-4ABF-BE49-88ADFA547A4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J24" authorId="8" shapeId="0" xr:uid="{0B43FAF2-3E0F-475E-9F3F-BA44ACDCF99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K24" authorId="9" shapeId="0" xr:uid="{EFAA6452-32B3-4139-9162-9F26B95D0FB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tc={3807FAEF-D2B7-4B0E-9C19-E5392D78E105}</author>
    <author>tc={162C3DD7-0E36-47A6-B0F0-7FA610B4A87C}</author>
    <author>tc={AC91D3CD-71E9-497E-85CF-416E092BF07E}</author>
    <author>tc={B6E4240D-B488-41DC-9118-FA3E1D4D4CCF}</author>
    <author>tc={D767820A-4606-438F-83C9-97EFB7A3DB04}</author>
    <author>tc={94301D58-6759-4DAE-96B3-409E2811F4F9}</author>
    <author>tc={CE0015CE-AB17-4BB9-AB19-98B52BDB33B6}</author>
    <author>tc={9CFE3393-3B67-44F0-81DD-B0828C37A461}</author>
    <author>tc={4461CBB1-E85D-4362-AB31-EF86F74B6794}</author>
    <author>tc={FA1B534A-BA7D-4F9D-BFA4-046C9A6769E3}</author>
  </authors>
  <commentList>
    <comment ref="AG3" authorId="0" shapeId="0" xr:uid="{3807FAEF-D2B7-4B0E-9C19-E5392D78E10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162C3DD7-0E36-47A6-B0F0-7FA610B4A87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AC91D3CD-71E9-497E-85CF-416E092BF07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B6E4240D-B488-41DC-9118-FA3E1D4D4CC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D767820A-4606-438F-83C9-97EFB7A3DB0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AA13" authorId="5" shapeId="0" xr:uid="{94301D58-6759-4DAE-96B3-409E2811F4F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J23" authorId="6" shapeId="0" xr:uid="{CE0015CE-AB17-4BB9-AB19-98B52BDB33B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K23" authorId="7" shapeId="0" xr:uid="{9CFE3393-3B67-44F0-81DD-B0828C37A46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J24" authorId="8" shapeId="0" xr:uid="{4461CBB1-E85D-4362-AB31-EF86F74B679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K24" authorId="9" shapeId="0" xr:uid="{FA1B534A-BA7D-4F9D-BFA4-046C9A6769E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tc={ED69BF12-9517-476C-8E01-AACB8D2F57AE}</author>
    <author>tc={49BAF116-8AF9-483C-9B56-CA1609DB2A1E}</author>
    <author>tc={BC1050F9-15F7-4802-9F3D-97E3BBBEE2DF}</author>
    <author>tc={AA877432-E641-41E3-9D46-BA7291E0014B}</author>
    <author>tc={151CFEA1-B9B0-409F-A183-5B95802C7908}</author>
    <author>tc={78E67FC1-FB45-46E0-A1A2-2AB9D027DD8E}</author>
    <author>tc={C39DAC00-43C6-4350-9A0B-C8B018003E4E}</author>
    <author>tc={998470ED-7266-4D66-9748-B1337E105FF8}</author>
    <author>tc={114E99F4-8846-42A6-8686-DC3D7B04760E}</author>
    <author>tc={A0709001-4B4A-4481-BF0B-B9C0179B6996}</author>
  </authors>
  <commentList>
    <comment ref="AG3" authorId="0" shapeId="0" xr:uid="{ED69BF12-9517-476C-8E01-AACB8D2F57A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49BAF116-8AF9-483C-9B56-CA1609DB2A1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BC1050F9-15F7-4802-9F3D-97E3BBBEE2D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AA877432-E641-41E3-9D46-BA7291E0014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151CFEA1-B9B0-409F-A183-5B95802C790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AA13" authorId="5" shapeId="0" xr:uid="{78E67FC1-FB45-46E0-A1A2-2AB9D027DD8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J23" authorId="6" shapeId="0" xr:uid="{C39DAC00-43C6-4350-9A0B-C8B018003E4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K23" authorId="7" shapeId="0" xr:uid="{998470ED-7266-4D66-9748-B1337E105FF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J24" authorId="8" shapeId="0" xr:uid="{114E99F4-8846-42A6-8686-DC3D7B04760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K24" authorId="9" shapeId="0" xr:uid="{A0709001-4B4A-4481-BF0B-B9C0179B699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<sst xmlns="http://schemas.openxmlformats.org/spreadsheetml/2006/main" count="2230" uniqueCount="115">
  <si>
    <t>Inscrits</t>
  </si>
  <si>
    <t>Emargements</t>
  </si>
  <si>
    <t>Votants</t>
  </si>
  <si>
    <t>Blancs</t>
  </si>
  <si>
    <t>Nuls</t>
  </si>
  <si>
    <t>Exprimés</t>
  </si>
  <si>
    <t>Participation</t>
  </si>
  <si>
    <t>Vérification</t>
  </si>
  <si>
    <t>Total exprimé</t>
  </si>
  <si>
    <t>TOTAL</t>
  </si>
  <si>
    <t>%</t>
  </si>
  <si>
    <t>Date</t>
  </si>
  <si>
    <t>Election</t>
  </si>
  <si>
    <t>Ville</t>
  </si>
  <si>
    <t>Cogolin</t>
  </si>
  <si>
    <t>Bureaux</t>
  </si>
  <si>
    <t>Total</t>
  </si>
  <si>
    <t>Abstention</t>
  </si>
  <si>
    <t xml:space="preserve">Les cases grisées sont </t>
  </si>
  <si>
    <t>calculées automatiquement</t>
  </si>
  <si>
    <t>Ne pas éditer</t>
  </si>
  <si>
    <t>Heure</t>
  </si>
  <si>
    <t>Municipales 1er tour</t>
  </si>
  <si>
    <t>Bureau n°</t>
  </si>
  <si>
    <t>Nom</t>
  </si>
  <si>
    <t>Seules les cases bleu clair</t>
  </si>
  <si>
    <t>sont à remplir</t>
  </si>
  <si>
    <t>Gymnase B</t>
  </si>
  <si>
    <t>COSEC</t>
  </si>
  <si>
    <t>CMM</t>
  </si>
  <si>
    <t>Base nautique</t>
  </si>
  <si>
    <t>Votants %</t>
  </si>
  <si>
    <t>08h00</t>
  </si>
  <si>
    <t>09h00</t>
  </si>
  <si>
    <t>10h00</t>
  </si>
  <si>
    <t>11h00</t>
  </si>
  <si>
    <t>12h00</t>
  </si>
  <si>
    <t>13h00</t>
  </si>
  <si>
    <t>14h00</t>
  </si>
  <si>
    <t>15h00</t>
  </si>
  <si>
    <t>16h00</t>
  </si>
  <si>
    <t>17h00</t>
  </si>
  <si>
    <t>18h00</t>
  </si>
  <si>
    <t>19h00</t>
  </si>
  <si>
    <t>20h00</t>
  </si>
  <si>
    <t>8h-9h</t>
  </si>
  <si>
    <t>9h-10h</t>
  </si>
  <si>
    <t>10h-11h</t>
  </si>
  <si>
    <t>12h-13h</t>
  </si>
  <si>
    <t>13h-14h</t>
  </si>
  <si>
    <t>14h-15h</t>
  </si>
  <si>
    <t>15h-16h</t>
  </si>
  <si>
    <t>16h-17h</t>
  </si>
  <si>
    <t>17h-18h</t>
  </si>
  <si>
    <t>11h-12h</t>
  </si>
  <si>
    <t>18h-19h</t>
  </si>
  <si>
    <t>19h-20h</t>
  </si>
  <si>
    <t>Votants cumulés</t>
  </si>
  <si>
    <t>Votants sur la période</t>
  </si>
  <si>
    <t>Période horaire</t>
  </si>
  <si>
    <t>Seules les cases bleu clair sont à remplir</t>
  </si>
  <si>
    <t>Les cases grisées sont calculées automatiquement Ne pas éditer</t>
  </si>
  <si>
    <t>Tour actuel</t>
  </si>
  <si>
    <t>Tour précédent</t>
  </si>
  <si>
    <t>Table</t>
  </si>
  <si>
    <t>Valeurs du tour précédent</t>
  </si>
  <si>
    <t>Résultats relatifs par centaines dépouillées</t>
  </si>
  <si>
    <t>Hôtel de ville</t>
  </si>
  <si>
    <r>
      <t xml:space="preserve">Ce tableur </t>
    </r>
    <r>
      <rPr>
        <i/>
        <u/>
        <sz val="14"/>
        <color rgb="FF000000"/>
        <rFont val="Calibri"/>
        <family val="2"/>
      </rPr>
      <t>ne remplace pas</t>
    </r>
    <r>
      <rPr>
        <i/>
        <sz val="14"/>
        <color rgb="FF000000"/>
        <rFont val="Calibri"/>
        <family val="2"/>
      </rPr>
      <t xml:space="preserve"> les notes papier, il est un complément mais il ne fait pas foi.</t>
    </r>
  </si>
  <si>
    <t>Candidat 1</t>
  </si>
  <si>
    <t>Candidat 3</t>
  </si>
  <si>
    <t>Candidat 4</t>
  </si>
  <si>
    <t>Candidat 5</t>
  </si>
  <si>
    <t>Candidat 6</t>
  </si>
  <si>
    <t>Candidat 7</t>
  </si>
  <si>
    <t>Candidat 8</t>
  </si>
  <si>
    <t>Candidat 9</t>
  </si>
  <si>
    <t>Candidat 10</t>
  </si>
  <si>
    <t>TABLE 1</t>
  </si>
  <si>
    <t>TABLE 2</t>
  </si>
  <si>
    <t/>
  </si>
  <si>
    <t>N° Centaine</t>
  </si>
  <si>
    <t>Enveloppe  de centaine</t>
  </si>
  <si>
    <t>TABLE 3</t>
  </si>
  <si>
    <t>Bureau 1</t>
  </si>
  <si>
    <t>Bureau 2</t>
  </si>
  <si>
    <t>Bureau 3</t>
  </si>
  <si>
    <t>Bureau 4</t>
  </si>
  <si>
    <t>Bureau 5</t>
  </si>
  <si>
    <t>Bureau 6</t>
  </si>
  <si>
    <t>Bureau 7</t>
  </si>
  <si>
    <t>Bureau 8</t>
  </si>
  <si>
    <t>Bureau 9</t>
  </si>
  <si>
    <t>Bureau 10</t>
  </si>
  <si>
    <t>Bureau 11</t>
  </si>
  <si>
    <t>Bureau 12</t>
  </si>
  <si>
    <t>Exemple</t>
  </si>
  <si>
    <t>N°</t>
  </si>
  <si>
    <t>Abstention (%)</t>
  </si>
  <si>
    <t>Candidat 2</t>
  </si>
  <si>
    <t>Résultats cumulatifs à chaque centaine dépouillée par la table 3</t>
  </si>
  <si>
    <t>Résultats cumulatifs à chaque centaine dépouillée par la table 2</t>
  </si>
  <si>
    <t>Résultats cumulatifs à chaque centaine dépouillée par la table 1</t>
  </si>
  <si>
    <t>Sous-totaux enveloppes ouvertes</t>
  </si>
  <si>
    <t>Sous-totaux centaines</t>
  </si>
  <si>
    <t>Candidat 11</t>
  </si>
  <si>
    <t>Candidat 12</t>
  </si>
  <si>
    <t>Candidat 13</t>
  </si>
  <si>
    <t>Candidat 14</t>
  </si>
  <si>
    <t>Candidat 15</t>
  </si>
  <si>
    <t>Candidat 16</t>
  </si>
  <si>
    <t>Candidat 17</t>
  </si>
  <si>
    <t>Candidat 18</t>
  </si>
  <si>
    <t>Candidat 19</t>
  </si>
  <si>
    <t>Candidat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</si>
</sst>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 mmmm\ yyyy"/>
    <numFmt numFmtId="165" formatCode="[$-F400]h:mm:ss\ AM/PM"/>
  </numFmts>
  <fonts count="65" x14ac:knownFonts="1">
    <font>
      <sz val="10"/>
      <color rgb="FF000000"/>
      <name val="Arial"/>
      <scheme val="minor"/>
    </font>
    <font>
      <b/>
      <sz val="10"/>
      <color rgb="FF000000"/>
      <name val="Calibri"/>
      <family val="2"/>
    </font>
    <font>
      <sz val="10"/>
      <name val="Arial"/>
      <family val="2"/>
    </font>
    <font>
      <sz val="10"/>
      <color rgb="FF000000"/>
      <name val="Calibri"/>
      <family val="2"/>
    </font>
    <font>
      <b/>
      <sz val="10"/>
      <color rgb="FF666666"/>
      <name val="Calibri"/>
      <family val="2"/>
    </font>
    <font>
      <b/>
      <i/>
      <sz val="10"/>
      <color rgb="FF666666"/>
      <name val="Calibri"/>
      <family val="2"/>
    </font>
    <font>
      <sz val="10"/>
      <color rgb="FF000000"/>
      <name val="Calibri"/>
      <family val="2"/>
    </font>
    <font>
      <sz val="10"/>
      <color theme="1"/>
      <name val="Calibri"/>
      <family val="2"/>
    </font>
    <font>
      <i/>
      <sz val="10"/>
      <color rgb="FF666666"/>
      <name val="Calibri"/>
      <family val="2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Calibri"/>
      <family val="2"/>
    </font>
    <font>
      <sz val="12"/>
      <color theme="1"/>
      <name val="Calibri"/>
      <family val="2"/>
    </font>
    <font>
      <i/>
      <sz val="12"/>
      <color rgb="FF666666"/>
      <name val="Calibri"/>
      <family val="2"/>
    </font>
    <font>
      <b/>
      <sz val="10"/>
      <color theme="1"/>
      <name val="Calibri"/>
      <family val="2"/>
    </font>
    <font>
      <sz val="12"/>
      <color rgb="FF000000"/>
      <name val="Calibri"/>
      <family val="2"/>
    </font>
    <font>
      <b/>
      <sz val="10"/>
      <color theme="1"/>
      <name val="Calibri"/>
      <family val="2"/>
    </font>
    <font>
      <sz val="10"/>
      <color rgb="FF1F1F1F"/>
      <name val="Calibri"/>
      <family val="2"/>
    </font>
    <font>
      <sz val="10"/>
      <color theme="1"/>
      <name val="Arial"/>
      <family val="2"/>
    </font>
    <font>
      <b/>
      <sz val="10"/>
      <color rgb="FF999999"/>
      <name val="Calibri"/>
      <family val="2"/>
    </font>
    <font>
      <sz val="10"/>
      <color rgb="FF718C00"/>
      <name val="Calibri"/>
      <family val="2"/>
    </font>
    <font>
      <sz val="10"/>
      <color rgb="FF999999"/>
      <name val="Calibri"/>
      <family val="2"/>
    </font>
    <font>
      <sz val="12"/>
      <color rgb="FF999999"/>
      <name val="Calibri"/>
      <family val="2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rgb="FF999999"/>
      <name val="Calibri"/>
      <family val="2"/>
    </font>
    <font>
      <sz val="9"/>
      <color rgb="FF000000"/>
      <name val="Calibri"/>
      <family val="2"/>
    </font>
    <font>
      <sz val="10"/>
      <color rgb="FF000000"/>
      <name val="Arial"/>
      <family val="2"/>
      <scheme val="minor"/>
    </font>
    <font>
      <sz val="8"/>
      <name val="Arial"/>
      <family val="2"/>
      <scheme val="minor"/>
    </font>
    <font>
      <sz val="10"/>
      <color rgb="FF000000"/>
      <name val="Calibri"/>
      <family val="2"/>
    </font>
    <font>
      <sz val="12"/>
      <color rgb="FF000000"/>
      <name val="Calibri"/>
      <family val="2"/>
    </font>
    <font>
      <sz val="10"/>
      <color theme="1"/>
      <name val="Calibri"/>
      <family val="2"/>
    </font>
    <font>
      <sz val="10"/>
      <name val="Calibri"/>
      <family val="2"/>
    </font>
    <font>
      <b/>
      <sz val="10"/>
      <color theme="1"/>
      <name val="Calibri"/>
      <family val="2"/>
    </font>
    <font>
      <sz val="12"/>
      <name val="Calibri"/>
      <family val="2"/>
    </font>
    <font>
      <b/>
      <sz val="12"/>
      <name val="Calibri"/>
      <family val="2"/>
    </font>
    <font>
      <sz val="10"/>
      <color theme="0" tint="-0.34998626667073579"/>
      <name val="Calibri"/>
      <family val="2"/>
    </font>
    <font>
      <sz val="10"/>
      <color theme="0" tint="-0.34998626667073579"/>
      <name val="Arial"/>
      <family val="2"/>
      <scheme val="minor"/>
    </font>
    <font>
      <i/>
      <sz val="14"/>
      <color theme="1"/>
      <name val="Calibri"/>
      <family val="2"/>
    </font>
    <font>
      <sz val="10"/>
      <color theme="0" tint="-0.499984740745262"/>
      <name val="Calibri"/>
      <family val="2"/>
    </font>
    <font>
      <sz val="12"/>
      <color theme="0" tint="-0.499984740745262"/>
      <name val="Calibri"/>
      <family val="2"/>
    </font>
    <font>
      <b/>
      <sz val="12"/>
      <color theme="1"/>
      <name val="Calibri"/>
      <family val="2"/>
    </font>
    <font>
      <sz val="10"/>
      <color rgb="FF000000"/>
      <name val="Arial"/>
      <family val="2"/>
    </font>
    <font>
      <sz val="8"/>
      <color theme="1"/>
      <name val="Calibri"/>
      <family val="2"/>
    </font>
    <font>
      <b/>
      <sz val="11"/>
      <color rgb="FF000000"/>
      <name val="Arial"/>
      <family val="2"/>
      <scheme val="minor"/>
    </font>
    <font>
      <sz val="10"/>
      <color theme="0"/>
      <name val="Calibri"/>
      <family val="2"/>
    </font>
    <font>
      <sz val="10"/>
      <color theme="1" tint="0.499984740745262"/>
      <name val="Calibri"/>
      <family val="2"/>
    </font>
    <font>
      <sz val="12"/>
      <color rgb="FF000000"/>
      <name val="Arial"/>
      <family val="2"/>
    </font>
    <font>
      <sz val="14"/>
      <color rgb="FF000000"/>
      <name val="Arial"/>
      <family val="2"/>
      <scheme val="minor"/>
    </font>
    <font>
      <b/>
      <sz val="18"/>
      <color theme="1"/>
      <name val="Calibri"/>
      <family val="2"/>
    </font>
    <font>
      <b/>
      <sz val="18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4"/>
      <color theme="4" tint="-0.249977111117893"/>
      <name val="Arial"/>
      <family val="2"/>
      <scheme val="minor"/>
    </font>
    <font>
      <sz val="12"/>
      <color theme="4" tint="-0.249977111117893"/>
      <name val="Arial"/>
      <family val="2"/>
      <scheme val="minor"/>
    </font>
    <font>
      <i/>
      <sz val="9"/>
      <color rgb="FF666666"/>
      <name val="Calibri"/>
      <family val="2"/>
    </font>
    <font>
      <i/>
      <sz val="14"/>
      <color rgb="FF000000"/>
      <name val="Calibri"/>
      <family val="2"/>
    </font>
    <font>
      <i/>
      <u/>
      <sz val="14"/>
      <color rgb="FF000000"/>
      <name val="Calibri"/>
      <family val="2"/>
    </font>
    <font>
      <b/>
      <sz val="10"/>
      <name val="Arial"/>
      <family val="2"/>
    </font>
    <font>
      <b/>
      <sz val="10"/>
      <name val="Calibri"/>
      <family val="2"/>
    </font>
    <font>
      <sz val="8"/>
      <name val="Arial"/>
      <family val="2"/>
      <scheme val="minor"/>
    </font>
    <font>
      <sz val="10"/>
      <name val="Arial"/>
      <family val="2"/>
      <scheme val="minor"/>
    </font>
    <font>
      <b/>
      <sz val="10"/>
      <name val="Arial"/>
      <family val="2"/>
      <scheme val="minor"/>
    </font>
    <font>
      <b/>
      <i/>
      <sz val="12"/>
      <color theme="0" tint="-0.499984740745262"/>
      <name val="Calibri"/>
      <family val="2"/>
    </font>
    <font>
      <i/>
      <sz val="12"/>
      <color theme="0" tint="-0.499984740745262"/>
      <name val="Calibri"/>
      <family val="2"/>
    </font>
    <font>
      <sz val="9"/>
      <color indexed="81"/>
      <name val="Tahoma"/>
      <family val="2"/>
    </font>
  </fonts>
  <fills count="95">
    <fill>
      <patternFill patternType="none"/>
    </fill>
    <fill>
      <patternFill patternType="gray125"/>
    </fill>
    <fill>
      <patternFill patternType="solid">
        <fgColor rgb="FFD9D9D9"/>
        <bgColor rgb="FFD9D9D9"/>
      </patternFill>
    </fill>
    <fill>
      <patternFill patternType="solid">
        <fgColor rgb="FFD9EAD3"/>
        <bgColor rgb="FFD9EAD3"/>
      </patternFill>
    </fill>
    <fill>
      <patternFill patternType="solid">
        <fgColor rgb="FFF4CCCC"/>
        <bgColor rgb="FFF4CCCC"/>
      </patternFill>
    </fill>
    <fill>
      <patternFill patternType="solid">
        <fgColor rgb="FFEFEFEF"/>
        <bgColor rgb="FFEFEFEF"/>
      </patternFill>
    </fill>
    <fill>
      <patternFill patternType="solid">
        <fgColor rgb="FFB7B7B7"/>
        <bgColor rgb="FFB7B7B7"/>
      </patternFill>
    </fill>
    <fill>
      <patternFill patternType="solid">
        <fgColor rgb="FFB6D7A8"/>
        <bgColor rgb="FFB6D7A8"/>
      </patternFill>
    </fill>
    <fill>
      <patternFill patternType="solid">
        <fgColor rgb="FFD5A6BD"/>
        <bgColor rgb="FFD5A6BD"/>
      </patternFill>
    </fill>
    <fill>
      <patternFill patternType="solid">
        <fgColor rgb="FFC9DAF8"/>
        <bgColor rgb="FFC9DAF8"/>
      </patternFill>
    </fill>
    <fill>
      <patternFill patternType="solid">
        <fgColor theme="0" tint="-0.14999847407452621"/>
        <bgColor rgb="FFEFEFE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4CCC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14999847407452621"/>
        <bgColor rgb="FFEFEFEF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D9D9D9"/>
      </patternFill>
    </fill>
    <fill>
      <patternFill patternType="solid">
        <fgColor theme="2" tint="-0.249977111117893"/>
        <bgColor rgb="FFEAD1DC"/>
      </patternFill>
    </fill>
    <fill>
      <patternFill patternType="solid">
        <fgColor theme="2" tint="-0.14999847407452621"/>
        <bgColor rgb="FFF9CB9C"/>
      </patternFill>
    </fill>
    <fill>
      <patternFill patternType="solid">
        <fgColor theme="7" tint="0.79998168889431442"/>
        <bgColor rgb="FFF9CB9C"/>
      </patternFill>
    </fill>
    <fill>
      <patternFill patternType="solid">
        <fgColor rgb="FFE1C1D1"/>
        <bgColor rgb="FFF9CB9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rgb="FFD9D9D9"/>
      </patternFill>
    </fill>
    <fill>
      <patternFill patternType="solid">
        <fgColor rgb="FFDAF1F3"/>
        <bgColor rgb="FFB7B7B7"/>
      </patternFill>
    </fill>
    <fill>
      <patternFill patternType="solid">
        <fgColor theme="0" tint="-0.14999847407452621"/>
        <bgColor rgb="FFB7B7B7"/>
      </patternFill>
    </fill>
    <fill>
      <patternFill patternType="solid">
        <fgColor rgb="FFE6EEEE"/>
        <bgColor rgb="FFB7B7B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EFEFEF"/>
      </patternFill>
    </fill>
    <fill>
      <patternFill patternType="solid">
        <fgColor theme="0" tint="-0.249977111117893"/>
        <bgColor rgb="FFEFEFEF"/>
      </patternFill>
    </fill>
    <fill>
      <patternFill patternType="solid">
        <fgColor theme="0" tint="-0.249977111117893"/>
        <bgColor rgb="FFCCCCCC"/>
      </patternFill>
    </fill>
    <fill>
      <patternFill patternType="solid">
        <fgColor theme="0" tint="-0.14999847407452621"/>
        <bgColor rgb="FFF9CB9C"/>
      </patternFill>
    </fill>
    <fill>
      <patternFill patternType="solid">
        <fgColor theme="0" tint="-0.14999847407452621"/>
        <bgColor rgb="FFB6D7A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rgb="FFEAD1DC"/>
      </patternFill>
    </fill>
    <fill>
      <patternFill patternType="solid">
        <fgColor theme="4"/>
        <bgColor rgb="FFB7B7B7"/>
      </patternFill>
    </fill>
    <fill>
      <patternFill patternType="solid">
        <fgColor theme="5"/>
        <bgColor rgb="FFB7B7B7"/>
      </patternFill>
    </fill>
    <fill>
      <patternFill patternType="solid">
        <fgColor theme="6"/>
        <bgColor rgb="FFB7B7B7"/>
      </patternFill>
    </fill>
    <fill>
      <patternFill patternType="solid">
        <fgColor theme="7"/>
        <bgColor rgb="FFB7B7B7"/>
      </patternFill>
    </fill>
    <fill>
      <patternFill patternType="solid">
        <fgColor theme="8"/>
        <bgColor rgb="FFB7B7B7"/>
      </patternFill>
    </fill>
    <fill>
      <patternFill patternType="solid">
        <fgColor theme="9"/>
        <bgColor rgb="FFB7B7B7"/>
      </patternFill>
    </fill>
    <fill>
      <patternFill patternType="solid">
        <fgColor theme="1"/>
        <bgColor rgb="FFB7B7B7"/>
      </patternFill>
    </fill>
    <fill>
      <patternFill patternType="solid">
        <fgColor theme="4" tint="0.39997558519241921"/>
        <bgColor rgb="FFB7B7B7"/>
      </patternFill>
    </fill>
    <fill>
      <patternFill patternType="solid">
        <fgColor theme="5" tint="0.39997558519241921"/>
        <bgColor rgb="FFB7B7B7"/>
      </patternFill>
    </fill>
    <fill>
      <patternFill patternType="solid">
        <fgColor theme="6" tint="0.39997558519241921"/>
        <bgColor rgb="FFB7B7B7"/>
      </patternFill>
    </fill>
    <fill>
      <patternFill patternType="solid">
        <fgColor theme="7" tint="0.39997558519241921"/>
        <bgColor rgb="FFB7B7B7"/>
      </patternFill>
    </fill>
    <fill>
      <patternFill patternType="solid">
        <fgColor theme="8" tint="0.39997558519241921"/>
        <bgColor rgb="FFB7B7B7"/>
      </patternFill>
    </fill>
    <fill>
      <patternFill patternType="solid">
        <fgColor theme="9" tint="0.39997558519241921"/>
        <bgColor rgb="FFB7B7B7"/>
      </patternFill>
    </fill>
    <fill>
      <patternFill patternType="solid">
        <fgColor theme="1" tint="0.249977111117893"/>
        <bgColor rgb="FFB7B7B7"/>
      </patternFill>
    </fill>
    <fill>
      <patternFill patternType="solid">
        <fgColor theme="9" tint="0.79998168889431442"/>
        <bgColor rgb="FFF4CCCC"/>
      </patternFill>
    </fill>
    <fill>
      <patternFill patternType="solid">
        <fgColor theme="0" tint="-0.249977111117893"/>
        <bgColor rgb="FFD9D9D9"/>
      </patternFill>
    </fill>
    <fill>
      <patternFill patternType="solid">
        <fgColor theme="0" tint="-0.249977111117893"/>
        <bgColor rgb="FFB7B7B7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rgb="FFFCE5CD"/>
      </patternFill>
    </fill>
    <fill>
      <patternFill patternType="solid">
        <fgColor rgb="FF8CB5F9"/>
        <bgColor indexed="64"/>
      </patternFill>
    </fill>
    <fill>
      <patternFill patternType="solid">
        <fgColor rgb="FFFDD868"/>
        <bgColor indexed="64"/>
      </patternFill>
    </fill>
    <fill>
      <patternFill patternType="solid">
        <fgColor rgb="FF7AD694"/>
        <bgColor indexed="64"/>
      </patternFill>
    </fill>
    <fill>
      <patternFill patternType="solid">
        <fgColor rgb="FFF28E86"/>
        <bgColor indexed="64"/>
      </patternFill>
    </fill>
    <fill>
      <patternFill patternType="solid">
        <fgColor rgb="FFB3CEFB"/>
        <bgColor indexed="64"/>
      </patternFill>
    </fill>
    <fill>
      <patternFill patternType="solid">
        <fgColor rgb="FFFEF2C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D9E7FD"/>
        <bgColor indexed="64"/>
      </patternFill>
    </fill>
    <fill>
      <patternFill patternType="solid">
        <fgColor rgb="FF0D5ADB"/>
        <bgColor indexed="64"/>
      </patternFill>
    </fill>
    <fill>
      <patternFill patternType="solid">
        <fgColor rgb="FF093D93"/>
        <bgColor indexed="64"/>
      </patternFill>
    </fill>
    <fill>
      <patternFill patternType="solid">
        <fgColor rgb="FFFBDAD7"/>
        <bgColor indexed="64"/>
      </patternFill>
    </fill>
    <fill>
      <patternFill patternType="solid">
        <fgColor rgb="FFF7B4AE"/>
        <bgColor indexed="64"/>
      </patternFill>
    </fill>
    <fill>
      <patternFill patternType="solid">
        <fgColor rgb="FFC22114"/>
        <bgColor indexed="64"/>
      </patternFill>
    </fill>
    <fill>
      <patternFill patternType="solid">
        <fgColor rgb="FF81160E"/>
        <bgColor indexed="64"/>
      </patternFill>
    </fill>
    <fill>
      <patternFill patternType="solid">
        <fgColor rgb="FFFDE49B"/>
        <bgColor indexed="64"/>
      </patternFill>
    </fill>
    <fill>
      <patternFill patternType="solid">
        <fgColor rgb="FFBC8E03"/>
        <bgColor indexed="64"/>
      </patternFill>
    </fill>
    <fill>
      <patternFill patternType="solid">
        <fgColor rgb="FF7D5F02"/>
        <bgColor indexed="64"/>
      </patternFill>
    </fill>
    <fill>
      <patternFill patternType="solid">
        <fgColor rgb="FFD1F1DA"/>
        <bgColor indexed="64"/>
      </patternFill>
    </fill>
    <fill>
      <patternFill patternType="solid">
        <fgColor rgb="FFA6E3B7"/>
        <bgColor indexed="64"/>
      </patternFill>
    </fill>
    <fill>
      <patternFill patternType="solid">
        <fgColor rgb="FF277E40"/>
        <bgColor indexed="64"/>
      </patternFill>
    </fill>
    <fill>
      <patternFill patternType="solid">
        <fgColor rgb="FF1A5529"/>
        <bgColor indexed="64"/>
      </patternFill>
    </fill>
    <fill>
      <patternFill patternType="solid">
        <fgColor rgb="FFBFBFBF"/>
        <bgColor rgb="FFD9D9D9"/>
      </patternFill>
    </fill>
    <fill>
      <patternFill patternType="solid">
        <fgColor rgb="FFBFBFBF"/>
        <bgColor indexed="64"/>
      </patternFill>
    </fill>
  </fills>
  <borders count="197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thin">
        <color rgb="FFEFEFEF"/>
      </right>
      <top style="medium">
        <color rgb="FFCCCCCC"/>
      </top>
      <bottom style="medium">
        <color rgb="FFCCCCCC"/>
      </bottom>
      <diagonal/>
    </border>
    <border>
      <left style="medium">
        <color rgb="FFD9D9D9"/>
      </left>
      <right/>
      <top style="medium">
        <color rgb="FFCCCCCC"/>
      </top>
      <bottom style="medium">
        <color rgb="FFCCCCCC"/>
      </bottom>
      <diagonal/>
    </border>
    <border>
      <left/>
      <right style="thin">
        <color rgb="FFEFEFEF"/>
      </right>
      <top/>
      <bottom style="thin">
        <color rgb="FFEFEFEF"/>
      </bottom>
      <diagonal/>
    </border>
    <border>
      <left style="thin">
        <color rgb="FFEFEFEF"/>
      </left>
      <right/>
      <top/>
      <bottom style="thin">
        <color rgb="FFEFEFEF"/>
      </bottom>
      <diagonal/>
    </border>
    <border>
      <left style="medium">
        <color rgb="FFD9D9D9"/>
      </left>
      <right style="thin">
        <color rgb="FFEFEFEF"/>
      </right>
      <top/>
      <bottom style="thin">
        <color rgb="FFEFEFEF"/>
      </bottom>
      <diagonal/>
    </border>
    <border>
      <left style="thin">
        <color rgb="FFEFEFEF"/>
      </left>
      <right/>
      <top style="thin">
        <color rgb="FFEFEFEF"/>
      </top>
      <bottom style="thin">
        <color rgb="FFEFEFEF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EFEFEF"/>
      </left>
      <right/>
      <top style="thin">
        <color rgb="FFEFEFEF"/>
      </top>
      <bottom/>
      <diagonal/>
    </border>
    <border>
      <left/>
      <right style="thin">
        <color rgb="FFEFEFEF"/>
      </right>
      <top style="medium">
        <color rgb="FFD9D9D9"/>
      </top>
      <bottom style="medium">
        <color rgb="FFD9D9D9"/>
      </bottom>
      <diagonal/>
    </border>
    <border>
      <left style="thin">
        <color rgb="FFEFEFEF"/>
      </left>
      <right/>
      <top style="medium">
        <color rgb="FFD9D9D9"/>
      </top>
      <bottom style="medium">
        <color rgb="FFD9D9D9"/>
      </bottom>
      <diagonal/>
    </border>
    <border>
      <left style="medium">
        <color rgb="FFD9D9D9"/>
      </left>
      <right style="thin">
        <color rgb="FFEFEFEF"/>
      </right>
      <top style="medium">
        <color rgb="FFD9D9D9"/>
      </top>
      <bottom style="medium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9900FF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 style="medium">
        <color theme="0" tint="-0.34998626667073579"/>
      </right>
      <top/>
      <bottom style="thin">
        <color theme="0" tint="-0.34998626667073579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 style="thin">
        <color rgb="FF000000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medium">
        <color theme="0" tint="-0.34998626667073579"/>
      </right>
      <top style="thin">
        <color theme="0" tint="-0.34998626667073579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rgb="FF000000"/>
      </bottom>
      <diagonal/>
    </border>
    <border>
      <left style="double">
        <color indexed="64"/>
      </left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double">
        <color indexed="64"/>
      </right>
      <top style="thin">
        <color rgb="FF000000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rgb="FF000000"/>
      </right>
      <top/>
      <bottom style="thin">
        <color rgb="FF000000"/>
      </bottom>
      <diagonal/>
    </border>
    <border>
      <left style="double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double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thin">
        <color rgb="FF000000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indexed="64"/>
      </top>
      <bottom/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medium">
        <color indexed="64"/>
      </left>
      <right style="thin">
        <color theme="4" tint="0.39997558519241921"/>
      </right>
      <top style="medium">
        <color indexed="64"/>
      </top>
      <bottom/>
      <diagonal/>
    </border>
    <border>
      <left style="medium">
        <color indexed="64"/>
      </left>
      <right style="thin">
        <color theme="4" tint="0.39997558519241921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theme="4" tint="0.39997558519241921"/>
      </right>
      <top style="thin">
        <color rgb="FF000000"/>
      </top>
      <bottom style="medium">
        <color rgb="FF000000"/>
      </bottom>
      <diagonal/>
    </border>
    <border>
      <left style="double">
        <color rgb="FF000000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double">
        <color rgb="FF000000"/>
      </left>
      <right/>
      <top style="thin">
        <color rgb="FF000000"/>
      </top>
      <bottom/>
      <diagonal/>
    </border>
    <border>
      <left style="double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theme="0" tint="-0.499984740745262"/>
      </right>
      <top/>
      <bottom/>
      <diagonal/>
    </border>
    <border>
      <left/>
      <right style="medium">
        <color theme="0" tint="-0.499984740745262"/>
      </right>
      <top style="thin">
        <color indexed="64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 style="medium">
        <color theme="0" tint="-0.499984740745262"/>
      </top>
      <bottom style="thin">
        <color indexed="64"/>
      </bottom>
      <diagonal/>
    </border>
    <border>
      <left/>
      <right/>
      <top style="medium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thin">
        <color indexed="64"/>
      </top>
      <bottom style="thin">
        <color indexed="64"/>
      </bottom>
      <diagonal/>
    </border>
    <border>
      <left style="medium">
        <color theme="0" tint="-0.499984740745262"/>
      </left>
      <right style="medium">
        <color theme="0" tint="-0.499984740745262"/>
      </right>
      <top/>
      <bottom style="thin">
        <color indexed="64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indexed="64"/>
      </top>
      <bottom/>
      <diagonal/>
    </border>
    <border>
      <left style="medium">
        <color indexed="64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thin">
        <color indexed="64"/>
      </bottom>
      <diagonal/>
    </border>
    <border>
      <left style="medium">
        <color indexed="64"/>
      </left>
      <right style="medium">
        <color theme="0" tint="-0.499984740745262"/>
      </right>
      <top style="thin">
        <color indexed="64"/>
      </top>
      <bottom style="medium">
        <color theme="0" tint="-0.499984740745262"/>
      </bottom>
      <diagonal/>
    </border>
    <border>
      <left style="medium">
        <color indexed="64"/>
      </left>
      <right/>
      <top style="thin">
        <color rgb="FF000000"/>
      </top>
      <bottom style="medium">
        <color rgb="FF000000"/>
      </bottom>
      <diagonal/>
    </border>
    <border>
      <left style="medium">
        <color theme="0" tint="-0.499984740745262"/>
      </left>
      <right/>
      <top style="medium">
        <color indexed="64"/>
      </top>
      <bottom/>
      <diagonal/>
    </border>
    <border>
      <left style="thin">
        <color theme="0" tint="-0.499984740745262"/>
      </left>
      <right style="medium">
        <color theme="0" tint="-0.499984740745262"/>
      </right>
      <top style="medium">
        <color indexed="64"/>
      </top>
      <bottom/>
      <diagonal/>
    </border>
    <border>
      <left style="medium">
        <color theme="0" tint="-0.499984740745262"/>
      </left>
      <right/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34998626667073579"/>
      </left>
      <right/>
      <top/>
      <bottom/>
      <diagonal/>
    </border>
    <border>
      <left style="medium">
        <color theme="0" tint="-0.499984740745262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theme="0" tint="-0.499984740745262"/>
      </left>
      <right style="thin">
        <color theme="0" tint="-0.34998626667073579"/>
      </right>
      <top style="thin">
        <color theme="0" tint="-0.34998626667073579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/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 style="thin">
        <color theme="0" tint="-0.34998626667073579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 style="medium">
        <color indexed="64"/>
      </top>
      <bottom/>
      <diagonal/>
    </border>
    <border>
      <left style="medium">
        <color indexed="64"/>
      </left>
      <right style="medium">
        <color theme="0" tint="-0.499984740745262"/>
      </right>
      <top style="medium">
        <color indexed="64"/>
      </top>
      <bottom style="thin">
        <color theme="0" tint="-0.34998626667073579"/>
      </bottom>
      <diagonal/>
    </border>
  </borders>
  <cellStyleXfs count="2">
    <xf numFmtId="0" fontId="0" fillId="0" borderId="0"/>
    <xf numFmtId="9" fontId="27" fillId="0" borderId="0" applyFont="0" applyFill="0" applyBorder="0" applyAlignment="0" applyProtection="0"/>
  </cellStyleXfs>
  <cellXfs count="476">
    <xf numFmtId="0" fontId="0" fillId="0" borderId="0" xfId="0"/>
    <xf numFmtId="0" fontId="7" fillId="0" borderId="0" xfId="0" applyFont="1"/>
    <xf numFmtId="0" fontId="11" fillId="0" borderId="0" xfId="0" applyFont="1" applyAlignment="1">
      <alignment horizontal="center"/>
    </xf>
    <xf numFmtId="0" fontId="11" fillId="0" borderId="0" xfId="0" applyFont="1"/>
    <xf numFmtId="10" fontId="17" fillId="0" borderId="0" xfId="0" applyNumberFormat="1" applyFont="1"/>
    <xf numFmtId="0" fontId="7" fillId="0" borderId="0" xfId="0" applyFont="1" applyAlignment="1">
      <alignment horizontal="center"/>
    </xf>
    <xf numFmtId="0" fontId="18" fillId="0" borderId="0" xfId="0" applyFont="1"/>
    <xf numFmtId="10" fontId="7" fillId="0" borderId="0" xfId="0" applyNumberFormat="1" applyFont="1" applyAlignment="1">
      <alignment horizontal="right"/>
    </xf>
    <xf numFmtId="0" fontId="7" fillId="0" borderId="0" xfId="0" applyFont="1" applyAlignment="1">
      <alignment horizontal="right"/>
    </xf>
    <xf numFmtId="0" fontId="22" fillId="5" borderId="32" xfId="0" applyFont="1" applyFill="1" applyBorder="1" applyAlignment="1">
      <alignment horizontal="right"/>
    </xf>
    <xf numFmtId="10" fontId="21" fillId="5" borderId="33" xfId="0" applyNumberFormat="1" applyFont="1" applyFill="1" applyBorder="1" applyAlignment="1">
      <alignment horizontal="center" vertical="center"/>
    </xf>
    <xf numFmtId="0" fontId="22" fillId="5" borderId="34" xfId="0" applyFont="1" applyFill="1" applyBorder="1" applyAlignment="1">
      <alignment horizontal="right"/>
    </xf>
    <xf numFmtId="0" fontId="23" fillId="2" borderId="11" xfId="0" applyFont="1" applyFill="1" applyBorder="1" applyAlignment="1">
      <alignment horizontal="right" vertical="center"/>
    </xf>
    <xf numFmtId="164" fontId="24" fillId="2" borderId="12" xfId="0" applyNumberFormat="1" applyFont="1" applyFill="1" applyBorder="1" applyAlignment="1">
      <alignment horizontal="right" vertical="center"/>
    </xf>
    <xf numFmtId="0" fontId="25" fillId="0" borderId="0" xfId="0" applyFont="1"/>
    <xf numFmtId="0" fontId="23" fillId="2" borderId="10" xfId="0" applyFont="1" applyFill="1" applyBorder="1" applyAlignment="1">
      <alignment horizontal="right" vertical="center"/>
    </xf>
    <xf numFmtId="0" fontId="24" fillId="2" borderId="15" xfId="0" applyFont="1" applyFill="1" applyBorder="1" applyAlignment="1">
      <alignment horizontal="right" vertical="center" wrapText="1"/>
    </xf>
    <xf numFmtId="0" fontId="23" fillId="2" borderId="13" xfId="0" applyFont="1" applyFill="1" applyBorder="1" applyAlignment="1">
      <alignment horizontal="right" vertical="center"/>
    </xf>
    <xf numFmtId="0" fontId="24" fillId="2" borderId="14" xfId="0" applyFont="1" applyFill="1" applyBorder="1" applyAlignment="1">
      <alignment horizontal="right" vertical="center"/>
    </xf>
    <xf numFmtId="0" fontId="11" fillId="5" borderId="0" xfId="0" applyFont="1" applyFill="1"/>
    <xf numFmtId="0" fontId="17" fillId="5" borderId="0" xfId="0" applyFont="1" applyFill="1"/>
    <xf numFmtId="3" fontId="29" fillId="11" borderId="37" xfId="0" applyNumberFormat="1" applyFont="1" applyFill="1" applyBorder="1" applyAlignment="1">
      <alignment horizontal="center" vertical="center" wrapText="1"/>
    </xf>
    <xf numFmtId="3" fontId="29" fillId="11" borderId="38" xfId="0" applyNumberFormat="1" applyFont="1" applyFill="1" applyBorder="1" applyAlignment="1">
      <alignment horizontal="center" vertical="center" wrapText="1"/>
    </xf>
    <xf numFmtId="10" fontId="3" fillId="10" borderId="40" xfId="0" applyNumberFormat="1" applyFont="1" applyFill="1" applyBorder="1" applyAlignment="1">
      <alignment horizontal="center" vertical="center"/>
    </xf>
    <xf numFmtId="10" fontId="3" fillId="10" borderId="19" xfId="0" applyNumberFormat="1" applyFont="1" applyFill="1" applyBorder="1" applyAlignment="1">
      <alignment horizontal="center" vertical="center"/>
    </xf>
    <xf numFmtId="10" fontId="3" fillId="10" borderId="41" xfId="0" applyNumberFormat="1" applyFont="1" applyFill="1" applyBorder="1" applyAlignment="1">
      <alignment horizontal="center" vertical="center"/>
    </xf>
    <xf numFmtId="9" fontId="20" fillId="2" borderId="37" xfId="1" applyFont="1" applyFill="1" applyBorder="1"/>
    <xf numFmtId="9" fontId="20" fillId="2" borderId="38" xfId="1" applyFont="1" applyFill="1" applyBorder="1"/>
    <xf numFmtId="3" fontId="29" fillId="11" borderId="43" xfId="0" applyNumberFormat="1" applyFont="1" applyFill="1" applyBorder="1" applyAlignment="1">
      <alignment horizontal="center" vertical="center" wrapText="1"/>
    </xf>
    <xf numFmtId="3" fontId="10" fillId="3" borderId="44" xfId="0" applyNumberFormat="1" applyFont="1" applyFill="1" applyBorder="1" applyAlignment="1">
      <alignment horizontal="right"/>
    </xf>
    <xf numFmtId="10" fontId="10" fillId="9" borderId="45" xfId="0" applyNumberFormat="1" applyFont="1" applyFill="1" applyBorder="1" applyAlignment="1">
      <alignment horizontal="right"/>
    </xf>
    <xf numFmtId="9" fontId="7" fillId="0" borderId="0" xfId="0" applyNumberFormat="1" applyFont="1"/>
    <xf numFmtId="0" fontId="26" fillId="0" borderId="0" xfId="0" applyFont="1"/>
    <xf numFmtId="164" fontId="31" fillId="13" borderId="48" xfId="0" applyNumberFormat="1" applyFont="1" applyFill="1" applyBorder="1" applyAlignment="1">
      <alignment horizontal="center" vertical="center"/>
    </xf>
    <xf numFmtId="0" fontId="31" fillId="13" borderId="50" xfId="0" applyFont="1" applyFill="1" applyBorder="1" applyAlignment="1">
      <alignment horizontal="center" vertical="center"/>
    </xf>
    <xf numFmtId="0" fontId="31" fillId="16" borderId="0" xfId="0" applyFont="1" applyFill="1"/>
    <xf numFmtId="0" fontId="7" fillId="16" borderId="0" xfId="0" applyFont="1" applyFill="1" applyAlignment="1">
      <alignment horizontal="right"/>
    </xf>
    <xf numFmtId="0" fontId="11" fillId="14" borderId="0" xfId="0" applyFont="1" applyFill="1"/>
    <xf numFmtId="0" fontId="7" fillId="15" borderId="0" xfId="0" applyFont="1" applyFill="1" applyAlignment="1">
      <alignment horizontal="right"/>
    </xf>
    <xf numFmtId="0" fontId="17" fillId="14" borderId="0" xfId="0" applyFont="1" applyFill="1"/>
    <xf numFmtId="0" fontId="3" fillId="18" borderId="8" xfId="0" applyFont="1" applyFill="1" applyBorder="1" applyAlignment="1">
      <alignment horizontal="center"/>
    </xf>
    <xf numFmtId="0" fontId="3" fillId="18" borderId="6" xfId="0" applyFont="1" applyFill="1" applyBorder="1" applyAlignment="1">
      <alignment horizontal="center"/>
    </xf>
    <xf numFmtId="0" fontId="3" fillId="18" borderId="5" xfId="0" applyFont="1" applyFill="1" applyBorder="1" applyAlignment="1">
      <alignment horizontal="center"/>
    </xf>
    <xf numFmtId="3" fontId="10" fillId="19" borderId="47" xfId="0" applyNumberFormat="1" applyFont="1" applyFill="1" applyBorder="1" applyAlignment="1">
      <alignment horizontal="right"/>
    </xf>
    <xf numFmtId="3" fontId="10" fillId="19" borderId="57" xfId="0" applyNumberFormat="1" applyFont="1" applyFill="1" applyBorder="1" applyAlignment="1">
      <alignment horizontal="right"/>
    </xf>
    <xf numFmtId="10" fontId="10" fillId="14" borderId="51" xfId="0" applyNumberFormat="1" applyFont="1" applyFill="1" applyBorder="1"/>
    <xf numFmtId="10" fontId="10" fillId="14" borderId="58" xfId="0" applyNumberFormat="1" applyFont="1" applyFill="1" applyBorder="1"/>
    <xf numFmtId="10" fontId="10" fillId="14" borderId="52" xfId="0" applyNumberFormat="1" applyFont="1" applyFill="1" applyBorder="1"/>
    <xf numFmtId="10" fontId="10" fillId="8" borderId="60" xfId="0" applyNumberFormat="1" applyFont="1" applyFill="1" applyBorder="1"/>
    <xf numFmtId="10" fontId="10" fillId="14" borderId="60" xfId="0" applyNumberFormat="1" applyFont="1" applyFill="1" applyBorder="1"/>
    <xf numFmtId="0" fontId="9" fillId="2" borderId="70" xfId="0" applyFont="1" applyFill="1" applyBorder="1" applyAlignment="1">
      <alignment horizontal="center"/>
    </xf>
    <xf numFmtId="3" fontId="10" fillId="19" borderId="67" xfId="0" applyNumberFormat="1" applyFont="1" applyFill="1" applyBorder="1" applyAlignment="1">
      <alignment horizontal="right"/>
    </xf>
    <xf numFmtId="10" fontId="35" fillId="5" borderId="80" xfId="0" applyNumberFormat="1" applyFont="1" applyFill="1" applyBorder="1"/>
    <xf numFmtId="10" fontId="35" fillId="5" borderId="81" xfId="0" applyNumberFormat="1" applyFont="1" applyFill="1" applyBorder="1"/>
    <xf numFmtId="10" fontId="3" fillId="10" borderId="12" xfId="0" applyNumberFormat="1" applyFont="1" applyFill="1" applyBorder="1" applyAlignment="1">
      <alignment horizontal="center" vertical="center"/>
    </xf>
    <xf numFmtId="10" fontId="3" fillId="10" borderId="16" xfId="0" applyNumberFormat="1" applyFont="1" applyFill="1" applyBorder="1" applyAlignment="1">
      <alignment horizontal="center" vertical="center"/>
    </xf>
    <xf numFmtId="10" fontId="3" fillId="10" borderId="15" xfId="0" applyNumberFormat="1" applyFont="1" applyFill="1" applyBorder="1" applyAlignment="1">
      <alignment horizontal="center" vertical="center"/>
    </xf>
    <xf numFmtId="10" fontId="3" fillId="10" borderId="9" xfId="0" applyNumberFormat="1" applyFont="1" applyFill="1" applyBorder="1" applyAlignment="1">
      <alignment horizontal="center" vertical="center"/>
    </xf>
    <xf numFmtId="10" fontId="3" fillId="10" borderId="30" xfId="0" applyNumberFormat="1" applyFont="1" applyFill="1" applyBorder="1" applyAlignment="1">
      <alignment horizontal="center" vertical="center"/>
    </xf>
    <xf numFmtId="10" fontId="3" fillId="10" borderId="20" xfId="0" applyNumberFormat="1" applyFont="1" applyFill="1" applyBorder="1" applyAlignment="1">
      <alignment horizontal="center" vertical="center"/>
    </xf>
    <xf numFmtId="10" fontId="21" fillId="28" borderId="27" xfId="0" applyNumberFormat="1" applyFont="1" applyFill="1" applyBorder="1" applyAlignment="1">
      <alignment horizontal="center" vertical="center"/>
    </xf>
    <xf numFmtId="10" fontId="21" fillId="28" borderId="29" xfId="0" applyNumberFormat="1" applyFont="1" applyFill="1" applyBorder="1" applyAlignment="1">
      <alignment horizontal="center" vertical="center"/>
    </xf>
    <xf numFmtId="10" fontId="21" fillId="28" borderId="31" xfId="0" applyNumberFormat="1" applyFont="1" applyFill="1" applyBorder="1" applyAlignment="1">
      <alignment horizontal="center" vertical="center"/>
    </xf>
    <xf numFmtId="0" fontId="1" fillId="30" borderId="85" xfId="0" applyFont="1" applyFill="1" applyBorder="1" applyAlignment="1">
      <alignment horizontal="center" vertical="center"/>
    </xf>
    <xf numFmtId="9" fontId="20" fillId="2" borderId="77" xfId="1" applyFont="1" applyFill="1" applyBorder="1"/>
    <xf numFmtId="3" fontId="6" fillId="12" borderId="86" xfId="0" applyNumberFormat="1" applyFont="1" applyFill="1" applyBorder="1" applyAlignment="1">
      <alignment horizontal="center"/>
    </xf>
    <xf numFmtId="3" fontId="6" fillId="12" borderId="75" xfId="0" applyNumberFormat="1" applyFont="1" applyFill="1" applyBorder="1" applyAlignment="1">
      <alignment horizontal="center"/>
    </xf>
    <xf numFmtId="9" fontId="20" fillId="2" borderId="39" xfId="1" applyFont="1" applyFill="1" applyBorder="1"/>
    <xf numFmtId="3" fontId="6" fillId="12" borderId="77" xfId="0" applyNumberFormat="1" applyFont="1" applyFill="1" applyBorder="1" applyAlignment="1">
      <alignment horizontal="center"/>
    </xf>
    <xf numFmtId="10" fontId="3" fillId="10" borderId="86" xfId="0" applyNumberFormat="1" applyFont="1" applyFill="1" applyBorder="1" applyAlignment="1">
      <alignment horizontal="center" vertical="center"/>
    </xf>
    <xf numFmtId="10" fontId="3" fillId="10" borderId="87" xfId="0" applyNumberFormat="1" applyFont="1" applyFill="1" applyBorder="1" applyAlignment="1">
      <alignment horizontal="center" vertical="center"/>
    </xf>
    <xf numFmtId="10" fontId="3" fillId="10" borderId="88" xfId="0" applyNumberFormat="1" applyFont="1" applyFill="1" applyBorder="1" applyAlignment="1">
      <alignment horizontal="center" vertical="center"/>
    </xf>
    <xf numFmtId="10" fontId="3" fillId="10" borderId="89" xfId="0" applyNumberFormat="1" applyFont="1" applyFill="1" applyBorder="1" applyAlignment="1">
      <alignment horizontal="center" vertical="center"/>
    </xf>
    <xf numFmtId="3" fontId="15" fillId="29" borderId="44" xfId="0" applyNumberFormat="1" applyFont="1" applyFill="1" applyBorder="1" applyAlignment="1">
      <alignment horizontal="right"/>
    </xf>
    <xf numFmtId="10" fontId="3" fillId="29" borderId="45" xfId="0" applyNumberFormat="1" applyFont="1" applyFill="1" applyBorder="1" applyAlignment="1">
      <alignment horizontal="center" vertical="center"/>
    </xf>
    <xf numFmtId="3" fontId="15" fillId="29" borderId="90" xfId="0" applyNumberFormat="1" applyFont="1" applyFill="1" applyBorder="1" applyAlignment="1">
      <alignment horizontal="right"/>
    </xf>
    <xf numFmtId="10" fontId="3" fillId="29" borderId="91" xfId="0" applyNumberFormat="1" applyFont="1" applyFill="1" applyBorder="1" applyAlignment="1">
      <alignment horizontal="center" vertical="center"/>
    </xf>
    <xf numFmtId="0" fontId="15" fillId="29" borderId="90" xfId="0" applyFont="1" applyFill="1" applyBorder="1" applyAlignment="1">
      <alignment horizontal="right"/>
    </xf>
    <xf numFmtId="10" fontId="3" fillId="29" borderId="92" xfId="0" applyNumberFormat="1" applyFont="1" applyFill="1" applyBorder="1" applyAlignment="1">
      <alignment horizontal="center" vertical="center"/>
    </xf>
    <xf numFmtId="10" fontId="3" fillId="29" borderId="93" xfId="0" applyNumberFormat="1" applyFont="1" applyFill="1" applyBorder="1" applyAlignment="1">
      <alignment horizontal="center" vertical="center"/>
    </xf>
    <xf numFmtId="0" fontId="31" fillId="0" borderId="0" xfId="0" applyFont="1"/>
    <xf numFmtId="3" fontId="10" fillId="31" borderId="68" xfId="0" applyNumberFormat="1" applyFont="1" applyFill="1" applyBorder="1" applyAlignment="1">
      <alignment horizontal="right"/>
    </xf>
    <xf numFmtId="10" fontId="10" fillId="32" borderId="60" xfId="0" applyNumberFormat="1" applyFont="1" applyFill="1" applyBorder="1"/>
    <xf numFmtId="10" fontId="9" fillId="2" borderId="69" xfId="0" applyNumberFormat="1" applyFont="1" applyFill="1" applyBorder="1" applyAlignment="1">
      <alignment horizontal="center"/>
    </xf>
    <xf numFmtId="0" fontId="34" fillId="5" borderId="48" xfId="0" applyFont="1" applyFill="1" applyBorder="1" applyAlignment="1">
      <alignment horizontal="right"/>
    </xf>
    <xf numFmtId="10" fontId="10" fillId="7" borderId="51" xfId="0" applyNumberFormat="1" applyFont="1" applyFill="1" applyBorder="1"/>
    <xf numFmtId="10" fontId="35" fillId="5" borderId="58" xfId="0" applyNumberFormat="1" applyFont="1" applyFill="1" applyBorder="1"/>
    <xf numFmtId="3" fontId="10" fillId="19" borderId="59" xfId="0" applyNumberFormat="1" applyFont="1" applyFill="1" applyBorder="1" applyAlignment="1">
      <alignment horizontal="right"/>
    </xf>
    <xf numFmtId="3" fontId="10" fillId="20" borderId="67" xfId="0" applyNumberFormat="1" applyFont="1" applyFill="1" applyBorder="1" applyAlignment="1">
      <alignment horizontal="right"/>
    </xf>
    <xf numFmtId="3" fontId="10" fillId="21" borderId="68" xfId="0" applyNumberFormat="1" applyFont="1" applyFill="1" applyBorder="1" applyAlignment="1">
      <alignment horizontal="right"/>
    </xf>
    <xf numFmtId="10" fontId="3" fillId="10" borderId="6" xfId="0" applyNumberFormat="1" applyFont="1" applyFill="1" applyBorder="1" applyAlignment="1">
      <alignment horizontal="center" vertical="center"/>
    </xf>
    <xf numFmtId="10" fontId="3" fillId="10" borderId="106" xfId="0" applyNumberFormat="1" applyFont="1" applyFill="1" applyBorder="1" applyAlignment="1">
      <alignment horizontal="center" vertical="center"/>
    </xf>
    <xf numFmtId="10" fontId="3" fillId="10" borderId="107" xfId="0" applyNumberFormat="1" applyFont="1" applyFill="1" applyBorder="1" applyAlignment="1">
      <alignment horizontal="center" vertical="center"/>
    </xf>
    <xf numFmtId="0" fontId="15" fillId="29" borderId="44" xfId="0" applyFont="1" applyFill="1" applyBorder="1" applyAlignment="1">
      <alignment horizontal="right"/>
    </xf>
    <xf numFmtId="0" fontId="31" fillId="13" borderId="55" xfId="0" applyFont="1" applyFill="1" applyBorder="1" applyAlignment="1">
      <alignment horizontal="center" vertical="center"/>
    </xf>
    <xf numFmtId="0" fontId="31" fillId="13" borderId="47" xfId="0" applyFont="1" applyFill="1" applyBorder="1"/>
    <xf numFmtId="0" fontId="31" fillId="13" borderId="49" xfId="0" applyFont="1" applyFill="1" applyBorder="1"/>
    <xf numFmtId="0" fontId="31" fillId="13" borderId="51" xfId="0" applyFont="1" applyFill="1" applyBorder="1"/>
    <xf numFmtId="10" fontId="21" fillId="5" borderId="27" xfId="0" applyNumberFormat="1" applyFont="1" applyFill="1" applyBorder="1" applyAlignment="1">
      <alignment horizontal="center" vertical="center"/>
    </xf>
    <xf numFmtId="10" fontId="21" fillId="5" borderId="29" xfId="0" applyNumberFormat="1" applyFont="1" applyFill="1" applyBorder="1" applyAlignment="1">
      <alignment horizontal="center" vertical="center"/>
    </xf>
    <xf numFmtId="10" fontId="21" fillId="5" borderId="31" xfId="0" applyNumberFormat="1" applyFont="1" applyFill="1" applyBorder="1" applyAlignment="1">
      <alignment horizontal="center" vertical="center"/>
    </xf>
    <xf numFmtId="10" fontId="39" fillId="11" borderId="116" xfId="1" applyNumberFormat="1" applyFont="1" applyFill="1" applyBorder="1" applyAlignment="1">
      <alignment horizontal="center"/>
    </xf>
    <xf numFmtId="10" fontId="39" fillId="11" borderId="95" xfId="1" applyNumberFormat="1" applyFont="1" applyFill="1" applyBorder="1" applyAlignment="1">
      <alignment horizontal="center"/>
    </xf>
    <xf numFmtId="0" fontId="39" fillId="13" borderId="117" xfId="0" applyFont="1" applyFill="1" applyBorder="1" applyAlignment="1">
      <alignment horizontal="center"/>
    </xf>
    <xf numFmtId="0" fontId="39" fillId="13" borderId="121" xfId="0" applyFont="1" applyFill="1" applyBorder="1" applyAlignment="1">
      <alignment horizontal="center"/>
    </xf>
    <xf numFmtId="10" fontId="39" fillId="11" borderId="122" xfId="1" applyNumberFormat="1" applyFont="1" applyFill="1" applyBorder="1" applyAlignment="1">
      <alignment horizontal="center"/>
    </xf>
    <xf numFmtId="10" fontId="39" fillId="11" borderId="123" xfId="1" applyNumberFormat="1" applyFont="1" applyFill="1" applyBorder="1" applyAlignment="1">
      <alignment horizontal="center"/>
    </xf>
    <xf numFmtId="10" fontId="40" fillId="13" borderId="126" xfId="1" applyNumberFormat="1" applyFont="1" applyFill="1" applyBorder="1" applyAlignment="1">
      <alignment horizontal="right"/>
    </xf>
    <xf numFmtId="10" fontId="40" fillId="13" borderId="127" xfId="1" applyNumberFormat="1" applyFont="1" applyFill="1" applyBorder="1" applyAlignment="1">
      <alignment horizontal="right"/>
    </xf>
    <xf numFmtId="3" fontId="6" fillId="11" borderId="18" xfId="0" applyNumberFormat="1" applyFont="1" applyFill="1" applyBorder="1" applyAlignment="1">
      <alignment horizontal="center" vertical="center"/>
    </xf>
    <xf numFmtId="3" fontId="6" fillId="11" borderId="17" xfId="0" applyNumberFormat="1" applyFont="1" applyFill="1" applyBorder="1" applyAlignment="1">
      <alignment horizontal="center" vertical="center"/>
    </xf>
    <xf numFmtId="0" fontId="6" fillId="11" borderId="47" xfId="0" applyFont="1" applyFill="1" applyBorder="1" applyAlignment="1">
      <alignment horizontal="center" vertical="center"/>
    </xf>
    <xf numFmtId="0" fontId="6" fillId="11" borderId="18" xfId="0" applyFont="1" applyFill="1" applyBorder="1" applyAlignment="1">
      <alignment horizontal="center" vertical="center"/>
    </xf>
    <xf numFmtId="0" fontId="6" fillId="11" borderId="104" xfId="0" applyFont="1" applyFill="1" applyBorder="1" applyAlignment="1">
      <alignment horizontal="center" vertical="center"/>
    </xf>
    <xf numFmtId="0" fontId="6" fillId="11" borderId="101" xfId="0" applyFont="1" applyFill="1" applyBorder="1" applyAlignment="1">
      <alignment horizontal="center" vertical="center"/>
    </xf>
    <xf numFmtId="0" fontId="21" fillId="27" borderId="26" xfId="0" applyFont="1" applyFill="1" applyBorder="1" applyAlignment="1">
      <alignment horizontal="center" vertical="center"/>
    </xf>
    <xf numFmtId="0" fontId="21" fillId="27" borderId="28" xfId="0" applyFont="1" applyFill="1" applyBorder="1" applyAlignment="1">
      <alignment horizontal="center" vertical="center"/>
    </xf>
    <xf numFmtId="0" fontId="6" fillId="11" borderId="49" xfId="0" applyFont="1" applyFill="1" applyBorder="1" applyAlignment="1">
      <alignment horizontal="center" vertical="center"/>
    </xf>
    <xf numFmtId="0" fontId="6" fillId="11" borderId="102" xfId="0" applyFont="1" applyFill="1" applyBorder="1" applyAlignment="1">
      <alignment horizontal="center" vertical="center"/>
    </xf>
    <xf numFmtId="3" fontId="6" fillId="11" borderId="63" xfId="0" applyNumberFormat="1" applyFont="1" applyFill="1" applyBorder="1" applyAlignment="1">
      <alignment horizontal="center" vertical="center"/>
    </xf>
    <xf numFmtId="0" fontId="6" fillId="11" borderId="76" xfId="0" applyFont="1" applyFill="1" applyBorder="1" applyAlignment="1">
      <alignment horizontal="center" vertical="center"/>
    </xf>
    <xf numFmtId="0" fontId="6" fillId="11" borderId="83" xfId="0" applyFont="1" applyFill="1" applyBorder="1" applyAlignment="1">
      <alignment horizontal="center" vertical="center"/>
    </xf>
    <xf numFmtId="0" fontId="6" fillId="11" borderId="103" xfId="0" applyFont="1" applyFill="1" applyBorder="1" applyAlignment="1">
      <alignment horizontal="center" vertical="center"/>
    </xf>
    <xf numFmtId="0" fontId="39" fillId="13" borderId="118" xfId="0" applyFont="1" applyFill="1" applyBorder="1" applyAlignment="1">
      <alignment horizontal="center"/>
    </xf>
    <xf numFmtId="0" fontId="39" fillId="13" borderId="71" xfId="0" applyFont="1" applyFill="1" applyBorder="1" applyAlignment="1">
      <alignment horizontal="center"/>
    </xf>
    <xf numFmtId="0" fontId="39" fillId="13" borderId="110" xfId="0" applyFont="1" applyFill="1" applyBorder="1" applyAlignment="1">
      <alignment horizontal="center"/>
    </xf>
    <xf numFmtId="0" fontId="39" fillId="13" borderId="111" xfId="0" applyFont="1" applyFill="1" applyBorder="1" applyAlignment="1">
      <alignment horizontal="center"/>
    </xf>
    <xf numFmtId="0" fontId="39" fillId="34" borderId="119" xfId="0" applyFont="1" applyFill="1" applyBorder="1" applyAlignment="1">
      <alignment horizontal="center"/>
    </xf>
    <xf numFmtId="10" fontId="39" fillId="11" borderId="67" xfId="1" applyNumberFormat="1" applyFont="1" applyFill="1" applyBorder="1" applyAlignment="1">
      <alignment horizontal="center"/>
    </xf>
    <xf numFmtId="10" fontId="39" fillId="11" borderId="109" xfId="1" applyNumberFormat="1" applyFont="1" applyFill="1" applyBorder="1" applyAlignment="1">
      <alignment horizontal="center"/>
    </xf>
    <xf numFmtId="10" fontId="39" fillId="11" borderId="94" xfId="1" applyNumberFormat="1" applyFont="1" applyFill="1" applyBorder="1" applyAlignment="1">
      <alignment horizontal="center"/>
    </xf>
    <xf numFmtId="10" fontId="39" fillId="11" borderId="49" xfId="1" applyNumberFormat="1" applyFont="1" applyFill="1" applyBorder="1" applyAlignment="1">
      <alignment horizontal="center"/>
    </xf>
    <xf numFmtId="10" fontId="39" fillId="11" borderId="35" xfId="1" applyNumberFormat="1" applyFont="1" applyFill="1" applyBorder="1" applyAlignment="1">
      <alignment horizontal="center"/>
    </xf>
    <xf numFmtId="10" fontId="39" fillId="11" borderId="50" xfId="1" applyNumberFormat="1" applyFont="1" applyFill="1" applyBorder="1" applyAlignment="1">
      <alignment horizontal="center"/>
    </xf>
    <xf numFmtId="0" fontId="39" fillId="34" borderId="120" xfId="0" applyFont="1" applyFill="1" applyBorder="1" applyAlignment="1">
      <alignment horizontal="center"/>
    </xf>
    <xf numFmtId="10" fontId="39" fillId="11" borderId="83" xfId="1" applyNumberFormat="1" applyFont="1" applyFill="1" applyBorder="1" applyAlignment="1">
      <alignment horizontal="center"/>
    </xf>
    <xf numFmtId="10" fontId="39" fillId="11" borderId="99" xfId="1" applyNumberFormat="1" applyFont="1" applyFill="1" applyBorder="1" applyAlignment="1">
      <alignment horizontal="center"/>
    </xf>
    <xf numFmtId="10" fontId="39" fillId="11" borderId="55" xfId="1" applyNumberFormat="1" applyFont="1" applyFill="1" applyBorder="1" applyAlignment="1">
      <alignment horizontal="center"/>
    </xf>
    <xf numFmtId="0" fontId="40" fillId="13" borderId="124" xfId="0" applyFont="1" applyFill="1" applyBorder="1" applyAlignment="1">
      <alignment horizontal="right"/>
    </xf>
    <xf numFmtId="10" fontId="40" fillId="13" borderId="125" xfId="1" applyNumberFormat="1" applyFont="1" applyFill="1" applyBorder="1" applyAlignment="1">
      <alignment horizontal="right"/>
    </xf>
    <xf numFmtId="10" fontId="40" fillId="13" borderId="114" xfId="1" applyNumberFormat="1" applyFont="1" applyFill="1" applyBorder="1" applyAlignment="1">
      <alignment horizontal="right"/>
    </xf>
    <xf numFmtId="10" fontId="40" fillId="13" borderId="115" xfId="1" applyNumberFormat="1" applyFont="1" applyFill="1" applyBorder="1" applyAlignment="1">
      <alignment horizontal="right"/>
    </xf>
    <xf numFmtId="0" fontId="0" fillId="13" borderId="0" xfId="0" applyFill="1"/>
    <xf numFmtId="0" fontId="41" fillId="0" borderId="0" xfId="0" applyFont="1" applyAlignment="1">
      <alignment vertical="center"/>
    </xf>
    <xf numFmtId="0" fontId="7" fillId="33" borderId="140" xfId="0" applyFont="1" applyFill="1" applyBorder="1"/>
    <xf numFmtId="0" fontId="7" fillId="33" borderId="0" xfId="0" applyFont="1" applyFill="1"/>
    <xf numFmtId="0" fontId="7" fillId="33" borderId="96" xfId="0" applyFont="1" applyFill="1" applyBorder="1"/>
    <xf numFmtId="0" fontId="0" fillId="33" borderId="140" xfId="0" applyFill="1" applyBorder="1"/>
    <xf numFmtId="0" fontId="0" fillId="33" borderId="0" xfId="0" applyFill="1"/>
    <xf numFmtId="0" fontId="0" fillId="33" borderId="96" xfId="0" applyFill="1" applyBorder="1"/>
    <xf numFmtId="0" fontId="0" fillId="13" borderId="140" xfId="0" applyFill="1" applyBorder="1"/>
    <xf numFmtId="0" fontId="0" fillId="13" borderId="96" xfId="0" applyFill="1" applyBorder="1"/>
    <xf numFmtId="0" fontId="0" fillId="13" borderId="69" xfId="0" applyFill="1" applyBorder="1"/>
    <xf numFmtId="0" fontId="0" fillId="13" borderId="81" xfId="0" applyFill="1" applyBorder="1"/>
    <xf numFmtId="0" fontId="0" fillId="13" borderId="77" xfId="0" applyFill="1" applyBorder="1"/>
    <xf numFmtId="0" fontId="32" fillId="16" borderId="61" xfId="0" applyFont="1" applyFill="1" applyBorder="1" applyAlignment="1" applyProtection="1">
      <alignment horizontal="center" vertical="center"/>
      <protection locked="0"/>
    </xf>
    <xf numFmtId="0" fontId="32" fillId="16" borderId="66" xfId="0" applyFont="1" applyFill="1" applyBorder="1" applyAlignment="1" applyProtection="1">
      <alignment horizontal="center" vertical="center"/>
      <protection locked="0"/>
    </xf>
    <xf numFmtId="3" fontId="32" fillId="16" borderId="49" xfId="0" applyNumberFormat="1" applyFont="1" applyFill="1" applyBorder="1" applyAlignment="1" applyProtection="1">
      <alignment horizontal="center" vertical="center"/>
      <protection locked="0"/>
    </xf>
    <xf numFmtId="3" fontId="32" fillId="16" borderId="50" xfId="0" applyNumberFormat="1" applyFont="1" applyFill="1" applyBorder="1" applyAlignment="1" applyProtection="1">
      <alignment horizontal="center" vertical="center"/>
      <protection locked="0"/>
    </xf>
    <xf numFmtId="3" fontId="32" fillId="16" borderId="83" xfId="0" applyNumberFormat="1" applyFont="1" applyFill="1" applyBorder="1" applyAlignment="1" applyProtection="1">
      <alignment horizontal="center" vertical="center"/>
      <protection locked="0"/>
    </xf>
    <xf numFmtId="3" fontId="32" fillId="16" borderId="55" xfId="0" applyNumberFormat="1" applyFont="1" applyFill="1" applyBorder="1" applyAlignment="1" applyProtection="1">
      <alignment horizontal="center" vertical="center"/>
      <protection locked="0"/>
    </xf>
    <xf numFmtId="0" fontId="12" fillId="14" borderId="47" xfId="0" applyFont="1" applyFill="1" applyBorder="1" applyAlignment="1" applyProtection="1">
      <alignment horizontal="right"/>
      <protection locked="0"/>
    </xf>
    <xf numFmtId="0" fontId="12" fillId="14" borderId="57" xfId="0" applyFont="1" applyFill="1" applyBorder="1" applyAlignment="1" applyProtection="1">
      <alignment horizontal="right"/>
      <protection locked="0"/>
    </xf>
    <xf numFmtId="3" fontId="30" fillId="14" borderId="47" xfId="0" applyNumberFormat="1" applyFont="1" applyFill="1" applyBorder="1" applyAlignment="1" applyProtection="1">
      <alignment horizontal="right"/>
      <protection locked="0"/>
    </xf>
    <xf numFmtId="3" fontId="30" fillId="14" borderId="48" xfId="0" applyNumberFormat="1" applyFont="1" applyFill="1" applyBorder="1" applyAlignment="1" applyProtection="1">
      <alignment horizontal="right"/>
      <protection locked="0"/>
    </xf>
    <xf numFmtId="3" fontId="48" fillId="13" borderId="50" xfId="0" applyNumberFormat="1" applyFont="1" applyFill="1" applyBorder="1" applyAlignment="1">
      <alignment horizontal="center" vertical="center"/>
    </xf>
    <xf numFmtId="3" fontId="48" fillId="22" borderId="50" xfId="0" applyNumberFormat="1" applyFont="1" applyFill="1" applyBorder="1" applyAlignment="1" applyProtection="1">
      <alignment horizontal="center" vertical="center"/>
      <protection locked="0"/>
    </xf>
    <xf numFmtId="3" fontId="48" fillId="13" borderId="52" xfId="0" applyNumberFormat="1" applyFont="1" applyFill="1" applyBorder="1" applyAlignment="1">
      <alignment horizontal="center" vertical="center"/>
    </xf>
    <xf numFmtId="0" fontId="49" fillId="13" borderId="48" xfId="0" applyFont="1" applyFill="1" applyBorder="1" applyAlignment="1">
      <alignment horizontal="center" vertical="center"/>
    </xf>
    <xf numFmtId="0" fontId="27" fillId="0" borderId="0" xfId="0" applyFont="1"/>
    <xf numFmtId="0" fontId="32" fillId="16" borderId="141" xfId="0" applyFont="1" applyFill="1" applyBorder="1" applyAlignment="1" applyProtection="1">
      <alignment horizontal="center" vertical="center"/>
      <protection locked="0"/>
    </xf>
    <xf numFmtId="0" fontId="32" fillId="16" borderId="47" xfId="0" applyFont="1" applyFill="1" applyBorder="1" applyAlignment="1" applyProtection="1">
      <alignment horizontal="center" vertical="center"/>
      <protection locked="0"/>
    </xf>
    <xf numFmtId="0" fontId="32" fillId="16" borderId="82" xfId="0" applyFont="1" applyFill="1" applyBorder="1" applyAlignment="1" applyProtection="1">
      <alignment horizontal="center" vertical="center"/>
      <protection locked="0"/>
    </xf>
    <xf numFmtId="0" fontId="32" fillId="16" borderId="49" xfId="0" applyFont="1" applyFill="1" applyBorder="1" applyAlignment="1" applyProtection="1">
      <alignment horizontal="center" vertical="center"/>
      <protection locked="0"/>
    </xf>
    <xf numFmtId="0" fontId="32" fillId="16" borderId="97" xfId="0" applyFont="1" applyFill="1" applyBorder="1" applyAlignment="1" applyProtection="1">
      <alignment horizontal="center" vertical="center"/>
      <protection locked="0"/>
    </xf>
    <xf numFmtId="3" fontId="32" fillId="16" borderId="51" xfId="0" applyNumberFormat="1" applyFont="1" applyFill="1" applyBorder="1" applyAlignment="1" applyProtection="1">
      <alignment horizontal="center" vertical="center"/>
      <protection locked="0"/>
    </xf>
    <xf numFmtId="3" fontId="32" fillId="16" borderId="52" xfId="0" applyNumberFormat="1" applyFont="1" applyFill="1" applyBorder="1" applyAlignment="1" applyProtection="1">
      <alignment horizontal="center" vertical="center"/>
      <protection locked="0"/>
    </xf>
    <xf numFmtId="0" fontId="27" fillId="0" borderId="35" xfId="0" applyFont="1" applyBorder="1"/>
    <xf numFmtId="0" fontId="0" fillId="0" borderId="35" xfId="0" applyBorder="1"/>
    <xf numFmtId="0" fontId="0" fillId="16" borderId="66" xfId="0" applyFill="1" applyBorder="1" applyAlignment="1" applyProtection="1">
      <alignment horizontal="center" vertical="center"/>
      <protection locked="0"/>
    </xf>
    <xf numFmtId="0" fontId="0" fillId="16" borderId="35" xfId="0" applyFill="1" applyBorder="1" applyAlignment="1" applyProtection="1">
      <alignment horizontal="center" vertical="center"/>
      <protection locked="0"/>
    </xf>
    <xf numFmtId="0" fontId="0" fillId="16" borderId="50" xfId="0" applyFill="1" applyBorder="1" applyAlignment="1" applyProtection="1">
      <alignment horizontal="center" vertical="center"/>
      <protection locked="0"/>
    </xf>
    <xf numFmtId="0" fontId="0" fillId="16" borderId="49" xfId="0" applyFill="1" applyBorder="1" applyAlignment="1" applyProtection="1">
      <alignment horizontal="center" vertical="center"/>
      <protection locked="0"/>
    </xf>
    <xf numFmtId="0" fontId="0" fillId="16" borderId="62" xfId="0" applyFill="1" applyBorder="1" applyAlignment="1" applyProtection="1">
      <alignment horizontal="center" vertical="center"/>
      <protection locked="0"/>
    </xf>
    <xf numFmtId="0" fontId="0" fillId="16" borderId="58" xfId="0" applyFill="1" applyBorder="1" applyAlignment="1" applyProtection="1">
      <alignment horizontal="center" vertical="center"/>
      <protection locked="0"/>
    </xf>
    <xf numFmtId="0" fontId="0" fillId="16" borderId="52" xfId="0" applyFill="1" applyBorder="1" applyAlignment="1" applyProtection="1">
      <alignment horizontal="center" vertical="center"/>
      <protection locked="0"/>
    </xf>
    <xf numFmtId="0" fontId="0" fillId="16" borderId="51" xfId="0" applyFill="1" applyBorder="1" applyAlignment="1" applyProtection="1">
      <alignment horizontal="center" vertical="center"/>
      <protection locked="0"/>
    </xf>
    <xf numFmtId="0" fontId="50" fillId="13" borderId="50" xfId="0" applyFont="1" applyFill="1" applyBorder="1" applyAlignment="1">
      <alignment horizontal="center" vertical="center"/>
    </xf>
    <xf numFmtId="0" fontId="48" fillId="13" borderId="50" xfId="0" applyFont="1" applyFill="1" applyBorder="1" applyAlignment="1">
      <alignment horizontal="center" vertical="center"/>
    </xf>
    <xf numFmtId="0" fontId="7" fillId="0" borderId="0" xfId="0" applyFont="1" applyProtection="1">
      <protection hidden="1"/>
    </xf>
    <xf numFmtId="0" fontId="7" fillId="0" borderId="139" xfId="0" applyFont="1" applyBorder="1" applyProtection="1">
      <protection hidden="1"/>
    </xf>
    <xf numFmtId="0" fontId="7" fillId="6" borderId="36" xfId="0" applyFont="1" applyFill="1" applyBorder="1" applyProtection="1">
      <protection hidden="1"/>
    </xf>
    <xf numFmtId="0" fontId="43" fillId="35" borderId="132" xfId="0" applyFont="1" applyFill="1" applyBorder="1" applyProtection="1">
      <protection hidden="1"/>
    </xf>
    <xf numFmtId="0" fontId="43" fillId="36" borderId="133" xfId="0" applyFont="1" applyFill="1" applyBorder="1" applyProtection="1">
      <protection hidden="1"/>
    </xf>
    <xf numFmtId="0" fontId="43" fillId="37" borderId="133" xfId="0" applyFont="1" applyFill="1" applyBorder="1" applyProtection="1">
      <protection hidden="1"/>
    </xf>
    <xf numFmtId="0" fontId="43" fillId="38" borderId="133" xfId="0" applyFont="1" applyFill="1" applyBorder="1" applyProtection="1">
      <protection hidden="1"/>
    </xf>
    <xf numFmtId="0" fontId="43" fillId="39" borderId="133" xfId="0" applyFont="1" applyFill="1" applyBorder="1" applyProtection="1">
      <protection hidden="1"/>
    </xf>
    <xf numFmtId="0" fontId="43" fillId="40" borderId="133" xfId="0" applyFont="1" applyFill="1" applyBorder="1" applyProtection="1">
      <protection hidden="1"/>
    </xf>
    <xf numFmtId="0" fontId="43" fillId="35" borderId="133" xfId="0" applyFont="1" applyFill="1" applyBorder="1" applyProtection="1">
      <protection hidden="1"/>
    </xf>
    <xf numFmtId="0" fontId="45" fillId="41" borderId="92" xfId="0" applyFont="1" applyFill="1" applyBorder="1" applyProtection="1">
      <protection hidden="1"/>
    </xf>
    <xf numFmtId="0" fontId="7" fillId="6" borderId="134" xfId="0" applyFont="1" applyFill="1" applyBorder="1" applyProtection="1">
      <protection hidden="1"/>
    </xf>
    <xf numFmtId="0" fontId="43" fillId="42" borderId="132" xfId="0" applyFont="1" applyFill="1" applyBorder="1" applyProtection="1">
      <protection hidden="1"/>
    </xf>
    <xf numFmtId="0" fontId="43" fillId="43" borderId="133" xfId="0" applyFont="1" applyFill="1" applyBorder="1" applyProtection="1">
      <protection hidden="1"/>
    </xf>
    <xf numFmtId="0" fontId="43" fillId="44" borderId="133" xfId="0" applyFont="1" applyFill="1" applyBorder="1" applyProtection="1">
      <protection hidden="1"/>
    </xf>
    <xf numFmtId="0" fontId="43" fillId="45" borderId="133" xfId="0" applyFont="1" applyFill="1" applyBorder="1" applyProtection="1">
      <protection hidden="1"/>
    </xf>
    <xf numFmtId="0" fontId="43" fillId="46" borderId="133" xfId="0" applyFont="1" applyFill="1" applyBorder="1" applyProtection="1">
      <protection hidden="1"/>
    </xf>
    <xf numFmtId="0" fontId="43" fillId="47" borderId="133" xfId="0" applyFont="1" applyFill="1" applyBorder="1" applyProtection="1">
      <protection hidden="1"/>
    </xf>
    <xf numFmtId="0" fontId="43" fillId="42" borderId="133" xfId="0" applyFont="1" applyFill="1" applyBorder="1" applyProtection="1">
      <protection hidden="1"/>
    </xf>
    <xf numFmtId="0" fontId="45" fillId="48" borderId="92" xfId="0" applyFont="1" applyFill="1" applyBorder="1" applyProtection="1">
      <protection hidden="1"/>
    </xf>
    <xf numFmtId="0" fontId="31" fillId="6" borderId="131" xfId="0" applyFont="1" applyFill="1" applyBorder="1" applyProtection="1">
      <protection hidden="1"/>
    </xf>
    <xf numFmtId="0" fontId="7" fillId="6" borderId="7" xfId="0" applyFont="1" applyFill="1" applyBorder="1" applyProtection="1">
      <protection hidden="1"/>
    </xf>
    <xf numFmtId="0" fontId="7" fillId="6" borderId="128" xfId="0" applyFont="1" applyFill="1" applyBorder="1" applyProtection="1">
      <protection hidden="1"/>
    </xf>
    <xf numFmtId="0" fontId="7" fillId="6" borderId="16" xfId="0" applyFont="1" applyFill="1" applyBorder="1" applyProtection="1">
      <protection hidden="1"/>
    </xf>
    <xf numFmtId="0" fontId="31" fillId="6" borderId="136" xfId="0" applyFont="1" applyFill="1" applyBorder="1" applyProtection="1">
      <protection hidden="1"/>
    </xf>
    <xf numFmtId="0" fontId="31" fillId="6" borderId="64" xfId="0" applyFont="1" applyFill="1" applyBorder="1" applyProtection="1">
      <protection hidden="1"/>
    </xf>
    <xf numFmtId="10" fontId="7" fillId="6" borderId="18" xfId="0" applyNumberFormat="1" applyFont="1" applyFill="1" applyBorder="1" applyProtection="1">
      <protection hidden="1"/>
    </xf>
    <xf numFmtId="10" fontId="7" fillId="6" borderId="17" xfId="0" applyNumberFormat="1" applyFont="1" applyFill="1" applyBorder="1" applyProtection="1">
      <protection hidden="1"/>
    </xf>
    <xf numFmtId="10" fontId="7" fillId="6" borderId="9" xfId="0" applyNumberFormat="1" applyFont="1" applyFill="1" applyBorder="1" applyProtection="1">
      <protection hidden="1"/>
    </xf>
    <xf numFmtId="0" fontId="31" fillId="6" borderId="137" xfId="0" applyFont="1" applyFill="1" applyBorder="1" applyProtection="1">
      <protection hidden="1"/>
    </xf>
    <xf numFmtId="0" fontId="46" fillId="6" borderId="64" xfId="0" applyFont="1" applyFill="1" applyBorder="1" applyProtection="1">
      <protection hidden="1"/>
    </xf>
    <xf numFmtId="10" fontId="46" fillId="6" borderId="18" xfId="0" applyNumberFormat="1" applyFont="1" applyFill="1" applyBorder="1" applyProtection="1">
      <protection hidden="1"/>
    </xf>
    <xf numFmtId="10" fontId="46" fillId="6" borderId="17" xfId="0" applyNumberFormat="1" applyFont="1" applyFill="1" applyBorder="1" applyProtection="1">
      <protection hidden="1"/>
    </xf>
    <xf numFmtId="10" fontId="46" fillId="6" borderId="9" xfId="0" applyNumberFormat="1" applyFont="1" applyFill="1" applyBorder="1" applyProtection="1">
      <protection hidden="1"/>
    </xf>
    <xf numFmtId="0" fontId="46" fillId="6" borderId="137" xfId="0" applyFont="1" applyFill="1" applyBorder="1" applyProtection="1">
      <protection hidden="1"/>
    </xf>
    <xf numFmtId="0" fontId="46" fillId="6" borderId="130" xfId="0" applyFont="1" applyFill="1" applyBorder="1" applyProtection="1">
      <protection hidden="1"/>
    </xf>
    <xf numFmtId="10" fontId="46" fillId="6" borderId="100" xfId="0" applyNumberFormat="1" applyFont="1" applyFill="1" applyBorder="1" applyProtection="1">
      <protection hidden="1"/>
    </xf>
    <xf numFmtId="10" fontId="46" fillId="6" borderId="129" xfId="0" applyNumberFormat="1" applyFont="1" applyFill="1" applyBorder="1" applyProtection="1">
      <protection hidden="1"/>
    </xf>
    <xf numFmtId="10" fontId="46" fillId="6" borderId="135" xfId="0" applyNumberFormat="1" applyFont="1" applyFill="1" applyBorder="1" applyProtection="1">
      <protection hidden="1"/>
    </xf>
    <xf numFmtId="0" fontId="46" fillId="6" borderId="138" xfId="0" applyFont="1" applyFill="1" applyBorder="1" applyProtection="1">
      <protection hidden="1"/>
    </xf>
    <xf numFmtId="10" fontId="10" fillId="51" borderId="79" xfId="0" applyNumberFormat="1" applyFont="1" applyFill="1" applyBorder="1"/>
    <xf numFmtId="0" fontId="52" fillId="0" borderId="0" xfId="0" applyFont="1"/>
    <xf numFmtId="0" fontId="53" fillId="0" borderId="0" xfId="0" applyFont="1" applyAlignment="1">
      <alignment vertical="top" wrapText="1"/>
    </xf>
    <xf numFmtId="0" fontId="53" fillId="0" borderId="96" xfId="0" applyFont="1" applyBorder="1" applyAlignment="1">
      <alignment vertical="top" wrapText="1"/>
    </xf>
    <xf numFmtId="0" fontId="27" fillId="0" borderId="0" xfId="0" applyFont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51" fillId="13" borderId="3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1" xfId="0" applyFill="1" applyBorder="1" applyAlignment="1" applyProtection="1">
      <alignment horizontal="center" vertical="center"/>
      <protection locked="0"/>
    </xf>
    <xf numFmtId="0" fontId="0" fillId="16" borderId="57" xfId="0" applyFill="1" applyBorder="1" applyAlignment="1" applyProtection="1">
      <alignment horizontal="center" vertical="center"/>
      <protection locked="0"/>
    </xf>
    <xf numFmtId="0" fontId="0" fillId="16" borderId="48" xfId="0" applyFill="1" applyBorder="1" applyAlignment="1" applyProtection="1">
      <alignment horizontal="center" vertical="center"/>
      <protection locked="0"/>
    </xf>
    <xf numFmtId="0" fontId="0" fillId="16" borderId="47" xfId="0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 vertical="center"/>
    </xf>
    <xf numFmtId="0" fontId="0" fillId="53" borderId="38" xfId="0" applyFill="1" applyBorder="1" applyAlignment="1" applyProtection="1">
      <alignment horizontal="center" vertical="center"/>
      <protection locked="0"/>
    </xf>
    <xf numFmtId="0" fontId="0" fillId="53" borderId="39" xfId="0" applyFill="1" applyBorder="1" applyAlignment="1" applyProtection="1">
      <alignment horizontal="center" vertical="center"/>
      <protection locked="0"/>
    </xf>
    <xf numFmtId="0" fontId="0" fillId="53" borderId="37" xfId="0" applyFill="1" applyBorder="1" applyAlignment="1" applyProtection="1">
      <alignment horizontal="center" vertical="center"/>
      <protection locked="0"/>
    </xf>
    <xf numFmtId="0" fontId="31" fillId="13" borderId="0" xfId="0" applyFont="1" applyFill="1" applyAlignment="1">
      <alignment horizontal="center" vertical="center" wrapText="1"/>
    </xf>
    <xf numFmtId="0" fontId="0" fillId="13" borderId="0" xfId="0" applyFill="1" applyAlignment="1">
      <alignment horizontal="center" vertical="center"/>
    </xf>
    <xf numFmtId="3" fontId="10" fillId="31" borderId="6" xfId="0" applyNumberFormat="1" applyFont="1" applyFill="1" applyBorder="1" applyAlignment="1">
      <alignment horizontal="right"/>
    </xf>
    <xf numFmtId="0" fontId="1" fillId="50" borderId="0" xfId="0" applyFont="1" applyFill="1" applyAlignment="1">
      <alignment vertical="center"/>
    </xf>
    <xf numFmtId="0" fontId="2" fillId="13" borderId="0" xfId="0" applyFont="1" applyFill="1"/>
    <xf numFmtId="0" fontId="1" fillId="50" borderId="145" xfId="0" applyFont="1" applyFill="1" applyBorder="1" applyAlignment="1">
      <alignment horizontal="center"/>
    </xf>
    <xf numFmtId="0" fontId="1" fillId="50" borderId="92" xfId="0" applyFont="1" applyFill="1" applyBorder="1" applyAlignment="1">
      <alignment horizontal="center"/>
    </xf>
    <xf numFmtId="0" fontId="34" fillId="5" borderId="7" xfId="0" applyFont="1" applyFill="1" applyBorder="1" applyAlignment="1">
      <alignment horizontal="right"/>
    </xf>
    <xf numFmtId="0" fontId="34" fillId="5" borderId="6" xfId="0" applyFont="1" applyFill="1" applyBorder="1" applyAlignment="1">
      <alignment horizontal="right"/>
    </xf>
    <xf numFmtId="0" fontId="34" fillId="5" borderId="109" xfId="0" applyFont="1" applyFill="1" applyBorder="1" applyAlignment="1">
      <alignment horizontal="right"/>
    </xf>
    <xf numFmtId="0" fontId="34" fillId="5" borderId="147" xfId="0" applyFont="1" applyFill="1" applyBorder="1" applyAlignment="1">
      <alignment horizontal="right"/>
    </xf>
    <xf numFmtId="10" fontId="35" fillId="5" borderId="148" xfId="0" applyNumberFormat="1" applyFont="1" applyFill="1" applyBorder="1"/>
    <xf numFmtId="0" fontId="1" fillId="50" borderId="149" xfId="0" applyFont="1" applyFill="1" applyBorder="1" applyAlignment="1">
      <alignment horizontal="center"/>
    </xf>
    <xf numFmtId="0" fontId="58" fillId="50" borderId="150" xfId="0" applyFont="1" applyFill="1" applyBorder="1" applyAlignment="1">
      <alignment horizontal="center" vertical="center"/>
    </xf>
    <xf numFmtId="0" fontId="58" fillId="50" borderId="98" xfId="0" applyFont="1" applyFill="1" applyBorder="1" applyAlignment="1">
      <alignment horizontal="center" vertical="center"/>
    </xf>
    <xf numFmtId="0" fontId="58" fillId="50" borderId="151" xfId="0" applyFont="1" applyFill="1" applyBorder="1" applyAlignment="1">
      <alignment horizontal="center" vertical="center"/>
    </xf>
    <xf numFmtId="0" fontId="58" fillId="50" borderId="152" xfId="0" applyFont="1" applyFill="1" applyBorder="1" applyAlignment="1">
      <alignment horizontal="center" vertical="center"/>
    </xf>
    <xf numFmtId="0" fontId="58" fillId="50" borderId="74" xfId="0" applyFont="1" applyFill="1" applyBorder="1" applyAlignment="1">
      <alignment horizontal="center" vertical="center"/>
    </xf>
    <xf numFmtId="0" fontId="58" fillId="50" borderId="153" xfId="0" applyFont="1" applyFill="1" applyBorder="1" applyAlignment="1">
      <alignment horizontal="center" vertical="center"/>
    </xf>
    <xf numFmtId="3" fontId="7" fillId="11" borderId="74" xfId="0" applyNumberFormat="1" applyFont="1" applyFill="1" applyBorder="1" applyAlignment="1">
      <alignment horizontal="center"/>
    </xf>
    <xf numFmtId="3" fontId="7" fillId="11" borderId="151" xfId="0" applyNumberFormat="1" applyFont="1" applyFill="1" applyBorder="1" applyAlignment="1">
      <alignment horizontal="center"/>
    </xf>
    <xf numFmtId="3" fontId="7" fillId="14" borderId="151" xfId="0" applyNumberFormat="1" applyFont="1" applyFill="1" applyBorder="1" applyAlignment="1">
      <alignment horizontal="center"/>
    </xf>
    <xf numFmtId="3" fontId="7" fillId="11" borderId="98" xfId="0" applyNumberFormat="1" applyFont="1" applyFill="1" applyBorder="1" applyAlignment="1">
      <alignment horizontal="center"/>
    </xf>
    <xf numFmtId="3" fontId="7" fillId="14" borderId="98" xfId="0" applyNumberFormat="1" applyFont="1" applyFill="1" applyBorder="1" applyAlignment="1">
      <alignment horizontal="center" vertical="center"/>
    </xf>
    <xf numFmtId="10" fontId="7" fillId="14" borderId="74" xfId="0" applyNumberFormat="1" applyFont="1" applyFill="1" applyBorder="1" applyAlignment="1">
      <alignment horizontal="center"/>
    </xf>
    <xf numFmtId="10" fontId="7" fillId="14" borderId="154" xfId="1" applyNumberFormat="1" applyFont="1" applyFill="1" applyBorder="1" applyAlignment="1">
      <alignment horizontal="center"/>
    </xf>
    <xf numFmtId="3" fontId="7" fillId="11" borderId="108" xfId="0" applyNumberFormat="1" applyFont="1" applyFill="1" applyBorder="1" applyAlignment="1">
      <alignment horizontal="center"/>
    </xf>
    <xf numFmtId="3" fontId="7" fillId="11" borderId="143" xfId="0" applyNumberFormat="1" applyFont="1" applyFill="1" applyBorder="1" applyAlignment="1">
      <alignment horizontal="center"/>
    </xf>
    <xf numFmtId="3" fontId="7" fillId="14" borderId="143" xfId="0" applyNumberFormat="1" applyFont="1" applyFill="1" applyBorder="1" applyAlignment="1">
      <alignment horizontal="center"/>
    </xf>
    <xf numFmtId="3" fontId="7" fillId="11" borderId="155" xfId="0" applyNumberFormat="1" applyFont="1" applyFill="1" applyBorder="1" applyAlignment="1">
      <alignment horizontal="center"/>
    </xf>
    <xf numFmtId="3" fontId="7" fillId="11" borderId="20" xfId="0" applyNumberFormat="1" applyFont="1" applyFill="1" applyBorder="1" applyAlignment="1">
      <alignment horizontal="center"/>
    </xf>
    <xf numFmtId="3" fontId="7" fillId="14" borderId="20" xfId="0" applyNumberFormat="1" applyFont="1" applyFill="1" applyBorder="1" applyAlignment="1">
      <alignment horizontal="center" vertical="center"/>
    </xf>
    <xf numFmtId="10" fontId="7" fillId="14" borderId="108" xfId="0" applyNumberFormat="1" applyFont="1" applyFill="1" applyBorder="1" applyAlignment="1">
      <alignment horizontal="center"/>
    </xf>
    <xf numFmtId="10" fontId="7" fillId="14" borderId="156" xfId="1" applyNumberFormat="1" applyFont="1" applyFill="1" applyBorder="1" applyAlignment="1">
      <alignment horizontal="center"/>
    </xf>
    <xf numFmtId="3" fontId="7" fillId="11" borderId="54" xfId="0" applyNumberFormat="1" applyFont="1" applyFill="1" applyBorder="1" applyAlignment="1">
      <alignment horizontal="center"/>
    </xf>
    <xf numFmtId="3" fontId="7" fillId="11" borderId="60" xfId="0" applyNumberFormat="1" applyFont="1" applyFill="1" applyBorder="1" applyAlignment="1">
      <alignment horizontal="center"/>
    </xf>
    <xf numFmtId="3" fontId="7" fillId="14" borderId="60" xfId="0" applyNumberFormat="1" applyFont="1" applyFill="1" applyBorder="1" applyAlignment="1">
      <alignment horizontal="center"/>
    </xf>
    <xf numFmtId="3" fontId="7" fillId="11" borderId="157" xfId="0" applyNumberFormat="1" applyFont="1" applyFill="1" applyBorder="1" applyAlignment="1">
      <alignment horizontal="center"/>
    </xf>
    <xf numFmtId="3" fontId="7" fillId="11" borderId="9" xfId="0" applyNumberFormat="1" applyFont="1" applyFill="1" applyBorder="1" applyAlignment="1">
      <alignment horizontal="center"/>
    </xf>
    <xf numFmtId="3" fontId="7" fillId="14" borderId="158" xfId="0" applyNumberFormat="1" applyFont="1" applyFill="1" applyBorder="1" applyAlignment="1">
      <alignment horizontal="center" vertical="center"/>
    </xf>
    <xf numFmtId="10" fontId="7" fillId="14" borderId="54" xfId="0" applyNumberFormat="1" applyFont="1" applyFill="1" applyBorder="1" applyAlignment="1">
      <alignment horizontal="center"/>
    </xf>
    <xf numFmtId="10" fontId="7" fillId="14" borderId="146" xfId="1" applyNumberFormat="1" applyFont="1" applyFill="1" applyBorder="1" applyAlignment="1">
      <alignment horizontal="center"/>
    </xf>
    <xf numFmtId="0" fontId="57" fillId="13" borderId="151" xfId="0" applyFont="1" applyFill="1" applyBorder="1" applyAlignment="1">
      <alignment horizontal="center" vertical="center"/>
    </xf>
    <xf numFmtId="0" fontId="57" fillId="13" borderId="144" xfId="0" applyFont="1" applyFill="1" applyBorder="1" applyAlignment="1">
      <alignment horizontal="center" vertical="center"/>
    </xf>
    <xf numFmtId="0" fontId="7" fillId="17" borderId="98" xfId="0" applyFont="1" applyFill="1" applyBorder="1" applyAlignment="1">
      <alignment horizontal="center"/>
    </xf>
    <xf numFmtId="3" fontId="7" fillId="49" borderId="159" xfId="0" applyNumberFormat="1" applyFont="1" applyFill="1" applyBorder="1" applyAlignment="1">
      <alignment horizontal="center" vertical="center"/>
    </xf>
    <xf numFmtId="0" fontId="7" fillId="17" borderId="20" xfId="0" applyFont="1" applyFill="1" applyBorder="1" applyAlignment="1">
      <alignment horizontal="center"/>
    </xf>
    <xf numFmtId="3" fontId="7" fillId="49" borderId="160" xfId="0" applyNumberFormat="1" applyFont="1" applyFill="1" applyBorder="1" applyAlignment="1">
      <alignment horizontal="center" vertical="center"/>
    </xf>
    <xf numFmtId="0" fontId="7" fillId="17" borderId="161" xfId="0" applyFont="1" applyFill="1" applyBorder="1" applyAlignment="1">
      <alignment horizontal="center"/>
    </xf>
    <xf numFmtId="3" fontId="7" fillId="49" borderId="162" xfId="0" applyNumberFormat="1" applyFont="1" applyFill="1" applyBorder="1" applyAlignment="1">
      <alignment horizontal="center" vertical="center"/>
    </xf>
    <xf numFmtId="0" fontId="58" fillId="55" borderId="98" xfId="0" applyFont="1" applyFill="1" applyBorder="1" applyAlignment="1">
      <alignment horizontal="center" vertical="center" wrapText="1"/>
    </xf>
    <xf numFmtId="0" fontId="58" fillId="56" borderId="98" xfId="0" applyFont="1" applyFill="1" applyBorder="1" applyAlignment="1">
      <alignment horizontal="center" vertical="center" wrapText="1"/>
    </xf>
    <xf numFmtId="0" fontId="58" fillId="57" borderId="164" xfId="0" applyFont="1" applyFill="1" applyBorder="1" applyAlignment="1">
      <alignment horizontal="center" vertical="center" wrapText="1"/>
    </xf>
    <xf numFmtId="0" fontId="7" fillId="15" borderId="163" xfId="0" applyFont="1" applyFill="1" applyBorder="1" applyAlignment="1">
      <alignment horizontal="center"/>
    </xf>
    <xf numFmtId="0" fontId="7" fillId="15" borderId="98" xfId="0" applyFont="1" applyFill="1" applyBorder="1" applyAlignment="1">
      <alignment horizontal="center"/>
    </xf>
    <xf numFmtId="0" fontId="7" fillId="15" borderId="151" xfId="0" applyFont="1" applyFill="1" applyBorder="1" applyAlignment="1">
      <alignment horizontal="center"/>
    </xf>
    <xf numFmtId="0" fontId="7" fillId="15" borderId="165" xfId="0" applyFont="1" applyFill="1" applyBorder="1" applyAlignment="1">
      <alignment horizontal="center"/>
    </xf>
    <xf numFmtId="0" fontId="7" fillId="15" borderId="20" xfId="0" applyFont="1" applyFill="1" applyBorder="1" applyAlignment="1">
      <alignment horizontal="center"/>
    </xf>
    <xf numFmtId="0" fontId="7" fillId="15" borderId="143" xfId="0" applyFont="1" applyFill="1" applyBorder="1" applyAlignment="1">
      <alignment horizontal="center"/>
    </xf>
    <xf numFmtId="0" fontId="7" fillId="15" borderId="166" xfId="0" applyFont="1" applyFill="1" applyBorder="1" applyAlignment="1">
      <alignment horizontal="center"/>
    </xf>
    <xf numFmtId="0" fontId="7" fillId="15" borderId="135" xfId="0" applyFont="1" applyFill="1" applyBorder="1" applyAlignment="1">
      <alignment horizontal="center"/>
    </xf>
    <xf numFmtId="0" fontId="7" fillId="15" borderId="60" xfId="0" applyFont="1" applyFill="1" applyBorder="1" applyAlignment="1">
      <alignment horizontal="center"/>
    </xf>
    <xf numFmtId="0" fontId="3" fillId="0" borderId="0" xfId="0" applyFont="1" applyAlignment="1">
      <alignment vertical="center" wrapText="1"/>
    </xf>
    <xf numFmtId="0" fontId="7" fillId="13" borderId="47" xfId="0" applyFont="1" applyFill="1" applyBorder="1" applyAlignment="1">
      <alignment horizontal="left" vertical="center"/>
    </xf>
    <xf numFmtId="0" fontId="7" fillId="13" borderId="49" xfId="0" applyFont="1" applyFill="1" applyBorder="1" applyAlignment="1">
      <alignment horizontal="left" vertical="center"/>
    </xf>
    <xf numFmtId="0" fontId="7" fillId="13" borderId="108" xfId="0" applyFont="1" applyFill="1" applyBorder="1" applyAlignment="1">
      <alignment horizontal="left" vertical="center"/>
    </xf>
    <xf numFmtId="0" fontId="8" fillId="4" borderId="167" xfId="0" applyFont="1" applyFill="1" applyBorder="1" applyAlignment="1">
      <alignment horizontal="center" vertical="center"/>
    </xf>
    <xf numFmtId="0" fontId="13" fillId="4" borderId="169" xfId="0" applyFont="1" applyFill="1" applyBorder="1" applyAlignment="1">
      <alignment horizontal="right"/>
    </xf>
    <xf numFmtId="0" fontId="60" fillId="16" borderId="66" xfId="0" applyFont="1" applyFill="1" applyBorder="1" applyAlignment="1" applyProtection="1">
      <alignment horizontal="center" vertical="center"/>
      <protection locked="0"/>
    </xf>
    <xf numFmtId="0" fontId="60" fillId="16" borderId="35" xfId="0" applyFont="1" applyFill="1" applyBorder="1" applyAlignment="1" applyProtection="1">
      <alignment horizontal="center" vertical="center"/>
      <protection locked="0"/>
    </xf>
    <xf numFmtId="0" fontId="60" fillId="16" borderId="50" xfId="0" applyFont="1" applyFill="1" applyBorder="1" applyAlignment="1" applyProtection="1">
      <alignment horizontal="center" vertical="center"/>
      <protection locked="0"/>
    </xf>
    <xf numFmtId="0" fontId="60" fillId="16" borderId="49" xfId="0" applyFont="1" applyFill="1" applyBorder="1" applyAlignment="1" applyProtection="1">
      <alignment horizontal="center" vertical="center"/>
      <protection locked="0"/>
    </xf>
    <xf numFmtId="165" fontId="36" fillId="25" borderId="84" xfId="0" applyNumberFormat="1" applyFont="1" applyFill="1" applyBorder="1" applyAlignment="1">
      <alignment horizontal="center" vertical="center"/>
    </xf>
    <xf numFmtId="165" fontId="0" fillId="11" borderId="72" xfId="0" applyNumberFormat="1" applyFill="1" applyBorder="1" applyAlignment="1">
      <alignment horizontal="center" vertical="center"/>
    </xf>
    <xf numFmtId="165" fontId="0" fillId="11" borderId="53" xfId="0" applyNumberFormat="1" applyFill="1" applyBorder="1" applyAlignment="1">
      <alignment horizontal="center" vertical="center"/>
    </xf>
    <xf numFmtId="165" fontId="0" fillId="11" borderId="54" xfId="0" applyNumberFormat="1" applyFill="1" applyBorder="1" applyAlignment="1">
      <alignment horizontal="center" vertical="center"/>
    </xf>
    <xf numFmtId="0" fontId="0" fillId="0" borderId="170" xfId="0" applyBorder="1"/>
    <xf numFmtId="10" fontId="62" fillId="14" borderId="168" xfId="0" applyNumberFormat="1" applyFont="1" applyFill="1" applyBorder="1"/>
    <xf numFmtId="0" fontId="60" fillId="11" borderId="65" xfId="0" applyFont="1" applyFill="1" applyBorder="1" applyAlignment="1">
      <alignment horizontal="center" vertical="center" wrapText="1"/>
    </xf>
    <xf numFmtId="0" fontId="8" fillId="4" borderId="171" xfId="0" applyFont="1" applyFill="1" applyBorder="1" applyAlignment="1">
      <alignment horizontal="center"/>
    </xf>
    <xf numFmtId="0" fontId="8" fillId="4" borderId="172" xfId="0" applyFont="1" applyFill="1" applyBorder="1" applyAlignment="1">
      <alignment horizontal="center"/>
    </xf>
    <xf numFmtId="0" fontId="5" fillId="2" borderId="84" xfId="0" applyFont="1" applyFill="1" applyBorder="1" applyAlignment="1">
      <alignment horizontal="center" vertical="center"/>
    </xf>
    <xf numFmtId="0" fontId="8" fillId="4" borderId="173" xfId="0" applyFont="1" applyFill="1" applyBorder="1" applyAlignment="1">
      <alignment horizontal="center"/>
    </xf>
    <xf numFmtId="0" fontId="4" fillId="2" borderId="174" xfId="0" applyFont="1" applyFill="1" applyBorder="1" applyAlignment="1">
      <alignment horizontal="center"/>
    </xf>
    <xf numFmtId="0" fontId="63" fillId="5" borderId="175" xfId="0" applyFont="1" applyFill="1" applyBorder="1" applyAlignment="1">
      <alignment horizontal="right"/>
    </xf>
    <xf numFmtId="10" fontId="62" fillId="5" borderId="176" xfId="0" applyNumberFormat="1" applyFont="1" applyFill="1" applyBorder="1"/>
    <xf numFmtId="0" fontId="7" fillId="50" borderId="8" xfId="0" applyFont="1" applyFill="1" applyBorder="1" applyAlignment="1">
      <alignment vertical="center"/>
    </xf>
    <xf numFmtId="0" fontId="7" fillId="50" borderId="10" xfId="0" applyFont="1" applyFill="1" applyBorder="1" applyAlignment="1">
      <alignment vertical="center"/>
    </xf>
    <xf numFmtId="0" fontId="7" fillId="50" borderId="13" xfId="0" applyFont="1" applyFill="1" applyBorder="1" applyAlignment="1">
      <alignment vertical="center"/>
    </xf>
    <xf numFmtId="164" fontId="16" fillId="17" borderId="73" xfId="0" applyNumberFormat="1" applyFont="1" applyFill="1" applyBorder="1" applyAlignment="1" applyProtection="1">
      <alignment horizontal="center" vertical="center"/>
      <protection locked="0"/>
    </xf>
    <xf numFmtId="0" fontId="14" fillId="17" borderId="15" xfId="0" applyFont="1" applyFill="1" applyBorder="1" applyAlignment="1" applyProtection="1">
      <alignment horizontal="center" vertical="center"/>
      <protection locked="0"/>
    </xf>
    <xf numFmtId="0" fontId="16" fillId="17" borderId="14" xfId="0" applyFont="1" applyFill="1" applyBorder="1" applyAlignment="1" applyProtection="1">
      <alignment horizontal="center" vertical="center"/>
      <protection locked="0"/>
    </xf>
    <xf numFmtId="0" fontId="57" fillId="13" borderId="74" xfId="0" applyFont="1" applyFill="1" applyBorder="1" applyAlignment="1">
      <alignment horizontal="center" vertical="center"/>
    </xf>
    <xf numFmtId="0" fontId="7" fillId="50" borderId="74" xfId="0" applyFont="1" applyFill="1" applyBorder="1" applyAlignment="1">
      <alignment horizontal="center"/>
    </xf>
    <xf numFmtId="0" fontId="7" fillId="50" borderId="155" xfId="0" applyFont="1" applyFill="1" applyBorder="1" applyAlignment="1">
      <alignment horizontal="center"/>
    </xf>
    <xf numFmtId="0" fontId="7" fillId="50" borderId="177" xfId="0" applyFont="1" applyFill="1" applyBorder="1" applyAlignment="1">
      <alignment horizontal="center"/>
    </xf>
    <xf numFmtId="0" fontId="7" fillId="15" borderId="55" xfId="0" applyFont="1" applyFill="1" applyBorder="1" applyAlignment="1">
      <alignment horizontal="center"/>
    </xf>
    <xf numFmtId="0" fontId="7" fillId="15" borderId="52" xfId="0" applyFont="1" applyFill="1" applyBorder="1" applyAlignment="1">
      <alignment horizontal="center"/>
    </xf>
    <xf numFmtId="165" fontId="7" fillId="25" borderId="74" xfId="0" applyNumberFormat="1" applyFont="1" applyFill="1" applyBorder="1" applyAlignment="1">
      <alignment horizontal="center" vertical="center"/>
    </xf>
    <xf numFmtId="0" fontId="7" fillId="25" borderId="74" xfId="0" applyFont="1" applyFill="1" applyBorder="1" applyAlignment="1">
      <alignment horizontal="center" vertical="center"/>
    </xf>
    <xf numFmtId="10" fontId="23" fillId="11" borderId="115" xfId="1" applyNumberFormat="1" applyFont="1" applyFill="1" applyBorder="1" applyAlignment="1">
      <alignment horizontal="center" vertical="center"/>
    </xf>
    <xf numFmtId="165" fontId="7" fillId="25" borderId="108" xfId="0" applyNumberFormat="1" applyFont="1" applyFill="1" applyBorder="1" applyAlignment="1">
      <alignment horizontal="center" vertical="center"/>
    </xf>
    <xf numFmtId="0" fontId="7" fillId="24" borderId="108" xfId="0" applyFont="1" applyFill="1" applyBorder="1" applyAlignment="1">
      <alignment horizontal="center" vertical="center"/>
    </xf>
    <xf numFmtId="10" fontId="23" fillId="11" borderId="55" xfId="1" applyNumberFormat="1" applyFont="1" applyFill="1" applyBorder="1" applyAlignment="1">
      <alignment horizontal="center" vertical="center"/>
    </xf>
    <xf numFmtId="0" fontId="36" fillId="26" borderId="178" xfId="0" applyFont="1" applyFill="1" applyBorder="1" applyAlignment="1">
      <alignment horizontal="center" vertical="center"/>
    </xf>
    <xf numFmtId="10" fontId="37" fillId="11" borderId="179" xfId="1" applyNumberFormat="1" applyFont="1" applyFill="1" applyBorder="1" applyAlignment="1">
      <alignment horizontal="center" vertical="center"/>
    </xf>
    <xf numFmtId="0" fontId="36" fillId="26" borderId="180" xfId="0" applyFont="1" applyFill="1" applyBorder="1" applyAlignment="1">
      <alignment horizontal="center" vertical="center"/>
    </xf>
    <xf numFmtId="0" fontId="32" fillId="2" borderId="37" xfId="0" applyFont="1" applyFill="1" applyBorder="1" applyAlignment="1">
      <alignment horizontal="center" vertical="center"/>
    </xf>
    <xf numFmtId="0" fontId="32" fillId="2" borderId="38" xfId="0" applyFont="1" applyFill="1" applyBorder="1" applyAlignment="1">
      <alignment horizontal="center" vertical="center"/>
    </xf>
    <xf numFmtId="0" fontId="32" fillId="2" borderId="39" xfId="0" applyFont="1" applyFill="1" applyBorder="1" applyAlignment="1">
      <alignment horizontal="center" vertical="center"/>
    </xf>
    <xf numFmtId="0" fontId="32" fillId="23" borderId="36" xfId="0" applyFont="1" applyFill="1" applyBorder="1" applyAlignment="1">
      <alignment horizontal="center" vertical="center" wrapText="1"/>
    </xf>
    <xf numFmtId="0" fontId="58" fillId="2" borderId="71" xfId="0" applyFont="1" applyFill="1" applyBorder="1" applyAlignment="1">
      <alignment horizontal="center" vertical="center"/>
    </xf>
    <xf numFmtId="0" fontId="58" fillId="2" borderId="111" xfId="0" applyFont="1" applyFill="1" applyBorder="1" applyAlignment="1">
      <alignment horizontal="center" vertical="center"/>
    </xf>
    <xf numFmtId="0" fontId="60" fillId="53" borderId="38" xfId="0" applyFont="1" applyFill="1" applyBorder="1" applyAlignment="1" applyProtection="1">
      <alignment horizontal="center" vertical="center"/>
      <protection locked="0"/>
    </xf>
    <xf numFmtId="0" fontId="60" fillId="11" borderId="36" xfId="0" applyFont="1" applyFill="1" applyBorder="1" applyAlignment="1">
      <alignment horizontal="center" vertical="center"/>
    </xf>
    <xf numFmtId="0" fontId="61" fillId="11" borderId="111" xfId="0" applyFont="1" applyFill="1" applyBorder="1" applyAlignment="1">
      <alignment horizontal="center" vertical="center" wrapText="1"/>
    </xf>
    <xf numFmtId="0" fontId="61" fillId="11" borderId="71" xfId="0" applyFont="1" applyFill="1" applyBorder="1" applyAlignment="1">
      <alignment horizontal="center" vertical="center" wrapText="1"/>
    </xf>
    <xf numFmtId="0" fontId="60" fillId="53" borderId="39" xfId="0" applyFont="1" applyFill="1" applyBorder="1" applyAlignment="1" applyProtection="1">
      <alignment horizontal="center" vertical="center"/>
      <protection locked="0"/>
    </xf>
    <xf numFmtId="0" fontId="60" fillId="16" borderId="62" xfId="0" applyFont="1" applyFill="1" applyBorder="1" applyAlignment="1" applyProtection="1">
      <alignment horizontal="center" vertical="center"/>
      <protection locked="0"/>
    </xf>
    <xf numFmtId="0" fontId="60" fillId="16" borderId="58" xfId="0" applyFont="1" applyFill="1" applyBorder="1" applyAlignment="1" applyProtection="1">
      <alignment horizontal="center" vertical="center"/>
      <protection locked="0"/>
    </xf>
    <xf numFmtId="0" fontId="60" fillId="16" borderId="52" xfId="0" applyFont="1" applyFill="1" applyBorder="1" applyAlignment="1" applyProtection="1">
      <alignment horizontal="center" vertical="center"/>
      <protection locked="0"/>
    </xf>
    <xf numFmtId="0" fontId="60" fillId="16" borderId="51" xfId="0" applyFont="1" applyFill="1" applyBorder="1" applyAlignment="1" applyProtection="1">
      <alignment horizontal="center" vertical="center"/>
      <protection locked="0"/>
    </xf>
    <xf numFmtId="0" fontId="58" fillId="25" borderId="74" xfId="0" applyFont="1" applyFill="1" applyBorder="1" applyAlignment="1">
      <alignment horizontal="center" vertical="center"/>
    </xf>
    <xf numFmtId="0" fontId="58" fillId="25" borderId="74" xfId="0" applyFont="1" applyFill="1" applyBorder="1" applyAlignment="1">
      <alignment horizontal="center" vertical="center" wrapText="1"/>
    </xf>
    <xf numFmtId="0" fontId="61" fillId="11" borderId="56" xfId="0" applyFont="1" applyFill="1" applyBorder="1" applyAlignment="1">
      <alignment horizontal="center" vertical="center"/>
    </xf>
    <xf numFmtId="0" fontId="61" fillId="11" borderId="56" xfId="0" applyFont="1" applyFill="1" applyBorder="1" applyAlignment="1">
      <alignment horizontal="center" vertical="center" wrapText="1"/>
    </xf>
    <xf numFmtId="0" fontId="0" fillId="11" borderId="48" xfId="0" applyFill="1" applyBorder="1" applyAlignment="1">
      <alignment horizontal="center" vertical="center"/>
    </xf>
    <xf numFmtId="0" fontId="0" fillId="11" borderId="50" xfId="0" applyFill="1" applyBorder="1" applyAlignment="1">
      <alignment horizontal="center" vertical="center"/>
    </xf>
    <xf numFmtId="0" fontId="0" fillId="11" borderId="52" xfId="0" applyFill="1" applyBorder="1" applyAlignment="1">
      <alignment horizontal="center" vertical="center"/>
    </xf>
    <xf numFmtId="0" fontId="37" fillId="11" borderId="182" xfId="0" applyFont="1" applyFill="1" applyBorder="1" applyAlignment="1">
      <alignment horizontal="center" vertical="center"/>
    </xf>
    <xf numFmtId="0" fontId="0" fillId="0" borderId="181" xfId="0" applyBorder="1"/>
    <xf numFmtId="10" fontId="37" fillId="11" borderId="183" xfId="1" applyNumberFormat="1" applyFont="1" applyFill="1" applyBorder="1" applyAlignment="1">
      <alignment horizontal="center" vertical="center"/>
    </xf>
    <xf numFmtId="165" fontId="36" fillId="25" borderId="184" xfId="0" applyNumberFormat="1" applyFont="1" applyFill="1" applyBorder="1" applyAlignment="1">
      <alignment horizontal="center" vertical="center"/>
    </xf>
    <xf numFmtId="0" fontId="37" fillId="11" borderId="185" xfId="0" applyFont="1" applyFill="1" applyBorder="1" applyAlignment="1">
      <alignment horizontal="center" vertical="center"/>
    </xf>
    <xf numFmtId="165" fontId="37" fillId="11" borderId="186" xfId="0" applyNumberFormat="1" applyFont="1" applyFill="1" applyBorder="1" applyAlignment="1">
      <alignment horizontal="center" vertical="center"/>
    </xf>
    <xf numFmtId="165" fontId="37" fillId="11" borderId="187" xfId="0" applyNumberFormat="1" applyFont="1" applyFill="1" applyBorder="1" applyAlignment="1">
      <alignment horizontal="center" vertical="center"/>
    </xf>
    <xf numFmtId="0" fontId="8" fillId="2" borderId="188" xfId="0" applyFont="1" applyFill="1" applyBorder="1" applyAlignment="1">
      <alignment horizontal="center"/>
    </xf>
    <xf numFmtId="0" fontId="8" fillId="4" borderId="189" xfId="0" applyFont="1" applyFill="1" applyBorder="1" applyAlignment="1">
      <alignment horizontal="center" vertical="center"/>
    </xf>
    <xf numFmtId="0" fontId="54" fillId="2" borderId="188" xfId="0" applyFont="1" applyFill="1" applyBorder="1" applyAlignment="1">
      <alignment horizontal="center" vertical="center" wrapText="1"/>
    </xf>
    <xf numFmtId="0" fontId="54" fillId="2" borderId="167" xfId="0" applyFont="1" applyFill="1" applyBorder="1" applyAlignment="1">
      <alignment horizontal="center" vertical="center" wrapText="1"/>
    </xf>
    <xf numFmtId="0" fontId="8" fillId="4" borderId="190" xfId="0" applyFont="1" applyFill="1" applyBorder="1" applyAlignment="1">
      <alignment horizontal="center" vertical="center"/>
    </xf>
    <xf numFmtId="0" fontId="8" fillId="4" borderId="191" xfId="0" applyFont="1" applyFill="1" applyBorder="1" applyAlignment="1">
      <alignment horizontal="center" vertical="center"/>
    </xf>
    <xf numFmtId="0" fontId="8" fillId="2" borderId="192" xfId="0" applyFont="1" applyFill="1" applyBorder="1" applyAlignment="1">
      <alignment horizontal="center"/>
    </xf>
    <xf numFmtId="0" fontId="54" fillId="2" borderId="190" xfId="0" applyFont="1" applyFill="1" applyBorder="1" applyAlignment="1">
      <alignment horizontal="center" vertical="center" wrapText="1"/>
    </xf>
    <xf numFmtId="3" fontId="10" fillId="59" borderId="4" xfId="0" applyNumberFormat="1" applyFont="1" applyFill="1" applyBorder="1" applyAlignment="1">
      <alignment horizontal="right"/>
    </xf>
    <xf numFmtId="0" fontId="0" fillId="0" borderId="0" xfId="0" applyBorder="1"/>
    <xf numFmtId="0" fontId="54" fillId="2" borderId="193" xfId="0" applyFont="1" applyFill="1" applyBorder="1" applyAlignment="1">
      <alignment horizontal="center" vertical="center" wrapText="1"/>
    </xf>
    <xf numFmtId="0" fontId="8" fillId="2" borderId="195" xfId="0" applyFont="1" applyFill="1" applyBorder="1" applyAlignment="1">
      <alignment horizontal="center"/>
    </xf>
    <xf numFmtId="0" fontId="54" fillId="2" borderId="194" xfId="0" applyFont="1" applyFill="1" applyBorder="1" applyAlignment="1">
      <alignment horizontal="center" vertical="center" wrapText="1"/>
    </xf>
    <xf numFmtId="0" fontId="8" fillId="2" borderId="196" xfId="0" applyFont="1" applyFill="1" applyBorder="1" applyAlignment="1">
      <alignment horizontal="center"/>
    </xf>
    <xf numFmtId="0" fontId="58" fillId="60" borderId="142" xfId="0" applyFont="1" applyFill="1" applyBorder="1" applyAlignment="1">
      <alignment horizontal="center" vertical="center" wrapText="1"/>
    </xf>
    <xf numFmtId="0" fontId="58" fillId="61" borderId="142" xfId="0" applyFont="1" applyFill="1" applyBorder="1" applyAlignment="1">
      <alignment horizontal="center" vertical="center" wrapText="1"/>
    </xf>
    <xf numFmtId="0" fontId="58" fillId="62" borderId="142" xfId="0" applyFont="1" applyFill="1" applyBorder="1" applyAlignment="1">
      <alignment horizontal="center" vertical="center" wrapText="1"/>
    </xf>
    <xf numFmtId="0" fontId="58" fillId="63" borderId="142" xfId="0" applyFont="1" applyFill="1" applyBorder="1" applyAlignment="1">
      <alignment horizontal="center" vertical="center" wrapText="1"/>
    </xf>
    <xf numFmtId="0" fontId="58" fillId="64" borderId="142" xfId="0" applyFont="1" applyFill="1" applyBorder="1" applyAlignment="1">
      <alignment horizontal="center" vertical="center" wrapText="1"/>
    </xf>
    <xf numFmtId="0" fontId="58" fillId="65" borderId="142" xfId="0" applyFont="1" applyFill="1" applyBorder="1" applyAlignment="1">
      <alignment horizontal="center" vertical="center" wrapText="1"/>
    </xf>
    <xf numFmtId="0" fontId="58" fillId="66" borderId="164" xfId="0" applyFont="1" applyFill="1" applyBorder="1" applyAlignment="1">
      <alignment horizontal="center" vertical="center" wrapText="1"/>
    </xf>
    <xf numFmtId="0" fontId="9" fillId="50" borderId="70" xfId="0" applyFont="1" applyFill="1" applyBorder="1" applyAlignment="1">
      <alignment horizontal="center"/>
    </xf>
    <xf numFmtId="0" fontId="2" fillId="13" borderId="75" xfId="0" applyFont="1" applyFill="1" applyBorder="1"/>
    <xf numFmtId="10" fontId="9" fillId="50" borderId="69" xfId="0" applyNumberFormat="1" applyFont="1" applyFill="1" applyBorder="1" applyAlignment="1">
      <alignment horizontal="center"/>
    </xf>
    <xf numFmtId="0" fontId="2" fillId="13" borderId="77" xfId="0" applyFont="1" applyFill="1" applyBorder="1"/>
    <xf numFmtId="0" fontId="1" fillId="30" borderId="1" xfId="0" applyFont="1" applyFill="1" applyBorder="1" applyAlignment="1">
      <alignment horizontal="center" vertical="center"/>
    </xf>
    <xf numFmtId="0" fontId="2" fillId="13" borderId="3" xfId="0" applyFont="1" applyFill="1" applyBorder="1"/>
    <xf numFmtId="0" fontId="33" fillId="33" borderId="105" xfId="0" applyFont="1" applyFill="1" applyBorder="1" applyAlignment="1" applyProtection="1">
      <alignment horizontal="center"/>
      <protection hidden="1"/>
    </xf>
    <xf numFmtId="0" fontId="33" fillId="33" borderId="113" xfId="0" applyFont="1" applyFill="1" applyBorder="1" applyAlignment="1" applyProtection="1">
      <alignment horizontal="center"/>
      <protection hidden="1"/>
    </xf>
    <xf numFmtId="0" fontId="35" fillId="33" borderId="105" xfId="0" applyFont="1" applyFill="1" applyBorder="1" applyAlignment="1">
      <alignment horizontal="center"/>
    </xf>
    <xf numFmtId="0" fontId="35" fillId="33" borderId="113" xfId="0" applyFont="1" applyFill="1" applyBorder="1" applyAlignment="1">
      <alignment horizontal="center"/>
    </xf>
    <xf numFmtId="0" fontId="35" fillId="33" borderId="46" xfId="0" applyFont="1" applyFill="1" applyBorder="1" applyAlignment="1">
      <alignment horizontal="center"/>
    </xf>
    <xf numFmtId="0" fontId="19" fillId="29" borderId="23" xfId="0" applyFont="1" applyFill="1" applyBorder="1" applyAlignment="1">
      <alignment horizontal="center" vertical="center"/>
    </xf>
    <xf numFmtId="0" fontId="2" fillId="13" borderId="24" xfId="0" applyFont="1" applyFill="1" applyBorder="1"/>
    <xf numFmtId="0" fontId="19" fillId="29" borderId="25" xfId="0" applyFont="1" applyFill="1" applyBorder="1" applyAlignment="1">
      <alignment horizontal="center" vertical="center"/>
    </xf>
    <xf numFmtId="0" fontId="2" fillId="13" borderId="112" xfId="0" applyFont="1" applyFill="1" applyBorder="1"/>
    <xf numFmtId="0" fontId="1" fillId="30" borderId="21" xfId="0" applyFont="1" applyFill="1" applyBorder="1" applyAlignment="1">
      <alignment horizontal="center" vertical="center"/>
    </xf>
    <xf numFmtId="0" fontId="2" fillId="13" borderId="22" xfId="0" applyFont="1" applyFill="1" applyBorder="1"/>
    <xf numFmtId="0" fontId="41" fillId="13" borderId="105" xfId="0" applyFont="1" applyFill="1" applyBorder="1" applyAlignment="1">
      <alignment horizontal="center" vertical="center"/>
    </xf>
    <xf numFmtId="0" fontId="41" fillId="13" borderId="46" xfId="0" applyFont="1" applyFill="1" applyBorder="1" applyAlignment="1">
      <alignment horizontal="center" vertical="center"/>
    </xf>
    <xf numFmtId="0" fontId="44" fillId="13" borderId="105" xfId="0" applyFont="1" applyFill="1" applyBorder="1" applyAlignment="1">
      <alignment horizontal="center" vertical="center"/>
    </xf>
    <xf numFmtId="0" fontId="44" fillId="13" borderId="113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horizontal="center"/>
    </xf>
    <xf numFmtId="0" fontId="2" fillId="0" borderId="42" xfId="0" applyFont="1" applyBorder="1"/>
    <xf numFmtId="0" fontId="2" fillId="13" borderId="2" xfId="0" applyFont="1" applyFill="1" applyBorder="1"/>
    <xf numFmtId="0" fontId="1" fillId="30" borderId="105" xfId="0" applyFont="1" applyFill="1" applyBorder="1" applyAlignment="1">
      <alignment horizontal="center" vertical="center"/>
    </xf>
    <xf numFmtId="0" fontId="2" fillId="13" borderId="46" xfId="0" applyFont="1" applyFill="1" applyBorder="1"/>
    <xf numFmtId="0" fontId="1" fillId="30" borderId="2" xfId="0" applyFont="1" applyFill="1" applyBorder="1" applyAlignment="1">
      <alignment horizontal="center" vertical="center"/>
    </xf>
    <xf numFmtId="0" fontId="51" fillId="11" borderId="105" xfId="0" applyFont="1" applyFill="1" applyBorder="1" applyAlignment="1">
      <alignment horizontal="center" vertical="center"/>
    </xf>
    <xf numFmtId="0" fontId="51" fillId="11" borderId="113" xfId="0" applyFont="1" applyFill="1" applyBorder="1" applyAlignment="1">
      <alignment horizontal="center" vertical="center"/>
    </xf>
    <xf numFmtId="0" fontId="51" fillId="11" borderId="46" xfId="0" applyFont="1" applyFill="1" applyBorder="1" applyAlignment="1">
      <alignment horizontal="center" vertical="center"/>
    </xf>
    <xf numFmtId="0" fontId="41" fillId="11" borderId="105" xfId="0" applyFont="1" applyFill="1" applyBorder="1" applyAlignment="1">
      <alignment horizontal="center" vertical="center"/>
    </xf>
    <xf numFmtId="0" fontId="41" fillId="11" borderId="113" xfId="0" applyFont="1" applyFill="1" applyBorder="1" applyAlignment="1">
      <alignment horizontal="center" vertical="center"/>
    </xf>
    <xf numFmtId="0" fontId="41" fillId="11" borderId="46" xfId="0" applyFont="1" applyFill="1" applyBorder="1" applyAlignment="1">
      <alignment horizontal="center" vertical="center"/>
    </xf>
    <xf numFmtId="0" fontId="38" fillId="16" borderId="78" xfId="0" applyFont="1" applyFill="1" applyBorder="1" applyAlignment="1">
      <alignment horizontal="center" vertical="center" wrapText="1"/>
    </xf>
    <xf numFmtId="0" fontId="38" fillId="16" borderId="0" xfId="0" applyFont="1" applyFill="1" applyAlignment="1">
      <alignment horizontal="center" vertical="center" wrapText="1"/>
    </xf>
    <xf numFmtId="0" fontId="38" fillId="14" borderId="0" xfId="0" applyFont="1" applyFill="1" applyAlignment="1">
      <alignment horizontal="center" vertical="center" wrapText="1"/>
    </xf>
    <xf numFmtId="0" fontId="55" fillId="52" borderId="0" xfId="0" applyFont="1" applyFill="1" applyAlignment="1">
      <alignment horizontal="center" vertical="center" wrapText="1"/>
    </xf>
    <xf numFmtId="0" fontId="58" fillId="22" borderId="163" xfId="0" applyFont="1" applyFill="1" applyBorder="1" applyAlignment="1">
      <alignment horizontal="center" vertical="center" wrapText="1"/>
    </xf>
    <xf numFmtId="0" fontId="58" fillId="53" borderId="98" xfId="0" applyFont="1" applyFill="1" applyBorder="1" applyAlignment="1">
      <alignment horizontal="center" vertical="center" wrapText="1"/>
    </xf>
    <xf numFmtId="0" fontId="58" fillId="54" borderId="98" xfId="0" applyFont="1" applyFill="1" applyBorder="1" applyAlignment="1">
      <alignment horizontal="center" vertical="center" wrapText="1"/>
    </xf>
    <xf numFmtId="0" fontId="58" fillId="68" borderId="98" xfId="0" applyFont="1" applyFill="1" applyBorder="1" applyAlignment="1">
      <alignment horizontal="center" vertical="center" wrapText="1"/>
    </xf>
    <xf numFmtId="0" fontId="58" fillId="69" borderId="98" xfId="0" applyFont="1" applyFill="1" applyBorder="1" applyAlignment="1">
      <alignment horizontal="center" vertical="center" wrapText="1"/>
    </xf>
    <xf numFmtId="0" fontId="58" fillId="70" borderId="164" xfId="0" applyFont="1" applyFill="1" applyBorder="1" applyAlignment="1">
      <alignment horizontal="center" vertical="center" wrapText="1"/>
    </xf>
    <xf numFmtId="0" fontId="58" fillId="71" borderId="164" xfId="0" applyFont="1" applyFill="1" applyBorder="1" applyAlignment="1">
      <alignment horizontal="center" vertical="center" wrapText="1"/>
    </xf>
    <xf numFmtId="0" fontId="58" fillId="72" borderId="98" xfId="0" applyFont="1" applyFill="1" applyBorder="1" applyAlignment="1">
      <alignment horizontal="center" vertical="center" wrapText="1"/>
    </xf>
    <xf numFmtId="0" fontId="58" fillId="58" borderId="98" xfId="0" applyFont="1" applyFill="1" applyBorder="1" applyAlignment="1">
      <alignment horizontal="center" vertical="center" wrapText="1"/>
    </xf>
    <xf numFmtId="0" fontId="58" fillId="73" borderId="98" xfId="0" applyFont="1" applyFill="1" applyBorder="1" applyAlignment="1">
      <alignment horizontal="center" vertical="center" wrapText="1"/>
    </xf>
    <xf numFmtId="0" fontId="58" fillId="74" borderId="164" xfId="0" applyFont="1" applyFill="1" applyBorder="1" applyAlignment="1">
      <alignment horizontal="center" vertical="center" wrapText="1"/>
    </xf>
    <xf numFmtId="0" fontId="58" fillId="75" borderId="164" xfId="0" applyFont="1" applyFill="1" applyBorder="1" applyAlignment="1">
      <alignment horizontal="center" vertical="center" wrapText="1"/>
    </xf>
    <xf numFmtId="0" fontId="58" fillId="67" borderId="164" xfId="0" applyFont="1" applyFill="1" applyBorder="1" applyAlignment="1">
      <alignment horizontal="center" vertical="center" wrapText="1"/>
    </xf>
    <xf numFmtId="0" fontId="58" fillId="76" borderId="164" xfId="0" applyFont="1" applyFill="1" applyBorder="1" applyAlignment="1">
      <alignment horizontal="center" vertical="center" wrapText="1"/>
    </xf>
    <xf numFmtId="0" fontId="58" fillId="77" borderId="98" xfId="0" applyFont="1" applyFill="1" applyBorder="1" applyAlignment="1">
      <alignment horizontal="center" vertical="center" wrapText="1"/>
    </xf>
    <xf numFmtId="0" fontId="58" fillId="78" borderId="115" xfId="0" applyFont="1" applyFill="1" applyBorder="1" applyAlignment="1">
      <alignment horizontal="center" vertical="center" wrapText="1"/>
    </xf>
    <xf numFmtId="0" fontId="58" fillId="79" borderId="142" xfId="0" applyFont="1" applyFill="1" applyBorder="1" applyAlignment="1">
      <alignment horizontal="center" vertical="center" wrapText="1"/>
    </xf>
    <xf numFmtId="0" fontId="58" fillId="80" borderId="142" xfId="0" applyFont="1" applyFill="1" applyBorder="1" applyAlignment="1">
      <alignment horizontal="center" vertical="center" wrapText="1"/>
    </xf>
    <xf numFmtId="0" fontId="58" fillId="81" borderId="142" xfId="0" applyFont="1" applyFill="1" applyBorder="1" applyAlignment="1">
      <alignment horizontal="center" vertical="center" wrapText="1"/>
    </xf>
    <xf numFmtId="0" fontId="58" fillId="82" borderId="142" xfId="0" applyFont="1" applyFill="1" applyBorder="1" applyAlignment="1">
      <alignment horizontal="center" vertical="center" wrapText="1"/>
    </xf>
    <xf numFmtId="0" fontId="58" fillId="83" borderId="142" xfId="0" applyFont="1" applyFill="1" applyBorder="1" applyAlignment="1">
      <alignment horizontal="center" vertical="center" wrapText="1"/>
    </xf>
    <xf numFmtId="0" fontId="58" fillId="84" borderId="142" xfId="0" applyFont="1" applyFill="1" applyBorder="1" applyAlignment="1">
      <alignment horizontal="center" vertical="center" wrapText="1"/>
    </xf>
    <xf numFmtId="0" fontId="58" fillId="85" borderId="142" xfId="0" applyFont="1" applyFill="1" applyBorder="1" applyAlignment="1">
      <alignment horizontal="center" vertical="center" wrapText="1"/>
    </xf>
    <xf numFmtId="0" fontId="58" fillId="86" borderId="142" xfId="0" applyFont="1" applyFill="1" applyBorder="1" applyAlignment="1">
      <alignment horizontal="center" vertical="center" wrapText="1"/>
    </xf>
    <xf numFmtId="0" fontId="58" fillId="87" borderId="142" xfId="0" applyFont="1" applyFill="1" applyBorder="1" applyAlignment="1">
      <alignment horizontal="center" vertical="center" wrapText="1"/>
    </xf>
    <xf numFmtId="0" fontId="58" fillId="88" borderId="142" xfId="0" applyFont="1" applyFill="1" applyBorder="1" applyAlignment="1">
      <alignment horizontal="center" vertical="center" wrapText="1"/>
    </xf>
    <xf numFmtId="0" fontId="58" fillId="89" borderId="142" xfId="0" applyFont="1" applyFill="1" applyBorder="1" applyAlignment="1">
      <alignment horizontal="center" vertical="center" wrapText="1"/>
    </xf>
    <xf numFmtId="0" fontId="58" fillId="90" borderId="142" xfId="0" applyFont="1" applyFill="1" applyBorder="1" applyAlignment="1">
      <alignment horizontal="center" vertical="center" wrapText="1"/>
    </xf>
    <xf numFmtId="0" fontId="58" fillId="91" borderId="142" xfId="0" applyFont="1" applyFill="1" applyBorder="1" applyAlignment="1">
      <alignment horizontal="center" vertical="center" wrapText="1"/>
    </xf>
    <xf numFmtId="0" fontId="58" fillId="92" borderId="142" xfId="0" applyFont="1" applyFill="1" applyBorder="1" applyAlignment="1">
      <alignment horizontal="center" vertical="center" wrapText="1"/>
    </xf>
    <xf numFmtId="0" fontId="58" fillId="93" borderId="71" xfId="0" applyFont="1" applyFill="1" applyBorder="1" applyAlignment="1">
      <alignment horizontal="center" vertical="center"/>
    </xf>
    <xf numFmtId="0" fontId="58" fillId="93" borderId="111" xfId="0" applyFont="1" applyFill="1" applyBorder="1" applyAlignment="1">
      <alignment horizontal="center" vertical="center"/>
    </xf>
    <xf numFmtId="0" fontId="61" fillId="94" borderId="71" xfId="0" applyFont="1" applyFill="1" applyBorder="1" applyAlignment="1">
      <alignment horizontal="center" vertical="center" wrapText="1"/>
    </xf>
    <xf numFmtId="0" fontId="61" fillId="94" borderId="111" xfId="0" applyFont="1" applyFill="1" applyBorder="1" applyAlignment="1">
      <alignment horizontal="center" vertical="center" wrapText="1"/>
    </xf>
    <xf numFmtId="0" fontId="7" fillId="24" borderId="108" xfId="0" applyFont="1" applyFill="1" applyBorder="1" applyAlignment="1" applyProtection="1">
      <alignment horizontal="center" vertical="center"/>
      <protection locked="0"/>
    </xf>
    <xf numFmtId="0" fontId="36" fillId="26" borderId="178" xfId="0" applyFont="1" applyFill="1" applyBorder="1" applyAlignment="1" applyProtection="1">
      <alignment horizontal="center" vertical="center"/>
      <protection locked="0"/>
    </xf>
    <xf numFmtId="0" fontId="36" fillId="26" borderId="180" xfId="0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Pourcentage" xfId="1" builtinId="5"/>
  </cellStyles>
  <dxfs count="446"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rgb="FFDAF1F3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rgb="FFDAF1F3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rgb="FFDAF1F3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rgb="FFDAF1F3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rgb="FFDAF1F3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rgb="FFDAF1F3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rgb="FFDAF1F3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rgb="FFDAF1F3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rgb="FFDAF1F3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rgb="FFDAF1F3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rgb="FFDAF1F3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rgb="FFDAF1F3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rgb="FFDAF1F3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2499465926084170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rgb="FFDAF1F3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>
          <bgColor rgb="FF66FF33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>
          <bgColor theme="5" tint="0.59996337778862885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colors>
    <mruColors>
      <color rgb="FFFFFFFF"/>
      <color rgb="FFE1C1D1"/>
      <color rgb="FFCCD6E6"/>
      <color rgb="FFC4D7EE"/>
      <color rgb="FFE6EAF0"/>
      <color rgb="FF66FF33"/>
      <color rgb="FFE6EEEE"/>
      <color rgb="FFDAF1F3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r>
              <a:rPr lang="fr-FR" b="0">
                <a:solidFill>
                  <a:srgbClr val="000000"/>
                </a:solidFill>
                <a:latin typeface="+mn-lt"/>
              </a:rPr>
              <a:t>Votes exprimés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92D050"/>
            </a:solidFill>
            <a:ln cmpd="sng">
              <a:solidFill>
                <a:srgbClr val="92D050"/>
              </a:solidFill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D9E7FD"/>
              </a:solidFill>
              <a:ln cmpd="sng">
                <a:solidFill>
                  <a:srgbClr val="D9E7FD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D760-4393-B926-AF1160C079E1}"/>
              </c:ext>
            </c:extLst>
          </c:dPt>
          <c:dPt>
            <c:idx val="1"/>
            <c:invertIfNegative val="1"/>
            <c:bubble3D val="0"/>
            <c:spPr>
              <a:solidFill>
                <a:srgbClr val="B3CEFB"/>
              </a:solidFill>
              <a:ln cmpd="sng">
                <a:solidFill>
                  <a:srgbClr val="B3CEFB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D760-4393-B926-AF1160C079E1}"/>
              </c:ext>
            </c:extLst>
          </c:dPt>
          <c:dPt>
            <c:idx val="2"/>
            <c:invertIfNegative val="1"/>
            <c:bubble3D val="0"/>
            <c:spPr>
              <a:solidFill>
                <a:srgbClr val="8CB5F9"/>
              </a:solidFill>
              <a:ln cmpd="sng">
                <a:solidFill>
                  <a:srgbClr val="8CB5F9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D760-4393-B926-AF1160C079E1}"/>
              </c:ext>
            </c:extLst>
          </c:dPt>
          <c:dPt>
            <c:idx val="3"/>
            <c:invertIfNegative val="1"/>
            <c:bubble3D val="0"/>
            <c:spPr>
              <a:solidFill>
                <a:srgbClr val="0D5ADB"/>
              </a:solidFill>
              <a:ln cmpd="sng">
                <a:solidFill>
                  <a:srgbClr val="0D5ADB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D760-4393-B926-AF1160C079E1}"/>
              </c:ext>
            </c:extLst>
          </c:dPt>
          <c:dPt>
            <c:idx val="4"/>
            <c:invertIfNegative val="1"/>
            <c:bubble3D val="0"/>
            <c:spPr>
              <a:solidFill>
                <a:srgbClr val="093D93"/>
              </a:solidFill>
              <a:ln cmpd="sng">
                <a:solidFill>
                  <a:srgbClr val="093D93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D760-4393-B926-AF1160C079E1}"/>
              </c:ext>
            </c:extLst>
          </c:dPt>
          <c:dPt>
            <c:idx val="5"/>
            <c:invertIfNegative val="1"/>
            <c:bubble3D val="0"/>
            <c:spPr>
              <a:solidFill>
                <a:srgbClr val="FBDAD7"/>
              </a:solidFill>
              <a:ln cmpd="sng">
                <a:solidFill>
                  <a:srgbClr val="FBDAD7"/>
                </a:solidFill>
              </a:ln>
            </c:spPr>
            <c:extLst>
              <c:ext xmlns:c16="http://schemas.microsoft.com/office/drawing/2014/chart" uri="{C3380CC4-5D6E-409C-BE32-E72D297353CC}">
                <c16:uniqueId val="{0000000B-D760-4393-B926-AF1160C079E1}"/>
              </c:ext>
            </c:extLst>
          </c:dPt>
          <c:dPt>
            <c:idx val="6"/>
            <c:invertIfNegative val="1"/>
            <c:bubble3D val="0"/>
            <c:spPr>
              <a:solidFill>
                <a:srgbClr val="F7B4AE"/>
              </a:solidFill>
              <a:ln cmpd="sng">
                <a:solidFill>
                  <a:srgbClr val="F7B4AE"/>
                </a:solidFill>
              </a:ln>
            </c:spPr>
            <c:extLst>
              <c:ext xmlns:c16="http://schemas.microsoft.com/office/drawing/2014/chart" uri="{C3380CC4-5D6E-409C-BE32-E72D297353CC}">
                <c16:uniqueId val="{0000000C-9D69-473A-8EC0-98BCBEC8387C}"/>
              </c:ext>
            </c:extLst>
          </c:dPt>
          <c:dPt>
            <c:idx val="7"/>
            <c:invertIfNegative val="1"/>
            <c:bubble3D val="0"/>
            <c:spPr>
              <a:solidFill>
                <a:srgbClr val="F28E86"/>
              </a:solidFill>
              <a:ln cmpd="sng">
                <a:solidFill>
                  <a:srgbClr val="F28E8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D-9D69-473A-8EC0-98BCBEC8387C}"/>
              </c:ext>
            </c:extLst>
          </c:dPt>
          <c:dPt>
            <c:idx val="8"/>
            <c:invertIfNegative val="1"/>
            <c:bubble3D val="0"/>
            <c:spPr>
              <a:solidFill>
                <a:srgbClr val="C22114"/>
              </a:solidFill>
              <a:ln cmpd="sng">
                <a:solidFill>
                  <a:srgbClr val="C22114"/>
                </a:solidFill>
              </a:ln>
            </c:spPr>
            <c:extLst>
              <c:ext xmlns:c16="http://schemas.microsoft.com/office/drawing/2014/chart" uri="{C3380CC4-5D6E-409C-BE32-E72D297353CC}">
                <c16:uniqueId val="{0000000E-9D69-473A-8EC0-98BCBEC8387C}"/>
              </c:ext>
            </c:extLst>
          </c:dPt>
          <c:dPt>
            <c:idx val="9"/>
            <c:invertIfNegative val="1"/>
            <c:bubble3D val="0"/>
            <c:spPr>
              <a:solidFill>
                <a:srgbClr val="81160E"/>
              </a:solidFill>
              <a:ln cmpd="sng">
                <a:solidFill>
                  <a:srgbClr val="81160E"/>
                </a:solidFill>
              </a:ln>
            </c:spPr>
            <c:extLst>
              <c:ext xmlns:c16="http://schemas.microsoft.com/office/drawing/2014/chart" uri="{C3380CC4-5D6E-409C-BE32-E72D297353CC}">
                <c16:uniqueId val="{0000000F-9D69-473A-8EC0-98BCBEC8387C}"/>
              </c:ext>
            </c:extLst>
          </c:dPt>
          <c:dPt>
            <c:idx val="10"/>
            <c:invertIfNegative val="1"/>
            <c:bubble3D val="0"/>
            <c:spPr>
              <a:solidFill>
                <a:srgbClr val="FEF2CD"/>
              </a:solidFill>
              <a:ln cmpd="sng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14-AC5C-4A2A-BFCA-CB41D856AAFC}"/>
              </c:ext>
            </c:extLst>
          </c:dPt>
          <c:dPt>
            <c:idx val="11"/>
            <c:invertIfNegative val="1"/>
            <c:bubble3D val="0"/>
            <c:spPr>
              <a:solidFill>
                <a:srgbClr val="FDE49B"/>
              </a:solidFill>
              <a:ln cmpd="sng">
                <a:solidFill>
                  <a:srgbClr val="FDE49B"/>
                </a:solidFill>
              </a:ln>
            </c:spPr>
            <c:extLst>
              <c:ext xmlns:c16="http://schemas.microsoft.com/office/drawing/2014/chart" uri="{C3380CC4-5D6E-409C-BE32-E72D297353CC}">
                <c16:uniqueId val="{00000016-C514-4C24-B867-D570729FAC98}"/>
              </c:ext>
            </c:extLst>
          </c:dPt>
          <c:dPt>
            <c:idx val="12"/>
            <c:invertIfNegative val="1"/>
            <c:bubble3D val="0"/>
            <c:spPr>
              <a:solidFill>
                <a:srgbClr val="FDD868"/>
              </a:solidFill>
              <a:ln cmpd="sng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C514-4C24-B867-D570729FAC98}"/>
              </c:ext>
            </c:extLst>
          </c:dPt>
          <c:dPt>
            <c:idx val="13"/>
            <c:invertIfNegative val="1"/>
            <c:bubble3D val="0"/>
            <c:spPr>
              <a:solidFill>
                <a:srgbClr val="BC8E03"/>
              </a:solidFill>
              <a:ln cmpd="sng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8-C514-4C24-B867-D570729FAC98}"/>
              </c:ext>
            </c:extLst>
          </c:dPt>
          <c:dPt>
            <c:idx val="14"/>
            <c:invertIfNegative val="1"/>
            <c:bubble3D val="0"/>
            <c:spPr>
              <a:solidFill>
                <a:srgbClr val="7D5F02"/>
              </a:solidFill>
              <a:ln cmpd="sng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C514-4C24-B867-D570729FAC98}"/>
              </c:ext>
            </c:extLst>
          </c:dPt>
          <c:dPt>
            <c:idx val="15"/>
            <c:invertIfNegative val="1"/>
            <c:bubble3D val="0"/>
            <c:spPr>
              <a:solidFill>
                <a:srgbClr val="D1F1DA"/>
              </a:solidFill>
              <a:ln cmpd="sng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A-C514-4C24-B867-D570729FAC98}"/>
              </c:ext>
            </c:extLst>
          </c:dPt>
          <c:dPt>
            <c:idx val="16"/>
            <c:invertIfNegative val="1"/>
            <c:bubble3D val="0"/>
            <c:spPr>
              <a:solidFill>
                <a:srgbClr val="A6E3B7"/>
              </a:solidFill>
              <a:ln cmpd="sng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C514-4C24-B867-D570729FAC98}"/>
              </c:ext>
            </c:extLst>
          </c:dPt>
          <c:dPt>
            <c:idx val="17"/>
            <c:invertIfNegative val="1"/>
            <c:bubble3D val="0"/>
            <c:spPr>
              <a:solidFill>
                <a:srgbClr val="7AD694"/>
              </a:solidFill>
              <a:ln cmpd="sng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1C-C514-4C24-B867-D570729FAC98}"/>
              </c:ext>
            </c:extLst>
          </c:dPt>
          <c:dPt>
            <c:idx val="18"/>
            <c:invertIfNegative val="1"/>
            <c:bubble3D val="0"/>
            <c:spPr>
              <a:solidFill>
                <a:srgbClr val="277E40"/>
              </a:solidFill>
              <a:ln cmpd="sng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C514-4C24-B867-D570729FAC98}"/>
              </c:ext>
            </c:extLst>
          </c:dPt>
          <c:dPt>
            <c:idx val="19"/>
            <c:invertIfNegative val="1"/>
            <c:bubble3D val="0"/>
            <c:spPr>
              <a:solidFill>
                <a:srgbClr val="1A5529"/>
              </a:solidFill>
              <a:ln cmpd="sng">
                <a:solidFill>
                  <a:srgbClr val="1A5529"/>
                </a:solidFill>
              </a:ln>
            </c:spPr>
            <c:extLst>
              <c:ext xmlns:c16="http://schemas.microsoft.com/office/drawing/2014/chart" uri="{C3380CC4-5D6E-409C-BE32-E72D297353CC}">
                <c16:uniqueId val="{0000001E-C514-4C24-B867-D570729FAC9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Synthèse!$L$2:$AE$2</c:f>
              <c:strCache>
                <c:ptCount val="20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Candidat 11</c:v>
                </c:pt>
                <c:pt idx="11">
                  <c:v>Candidat 12</c:v>
                </c:pt>
                <c:pt idx="12">
                  <c:v>Candidat 13</c:v>
                </c:pt>
                <c:pt idx="13">
                  <c:v>Candidat 14</c:v>
                </c:pt>
                <c:pt idx="14">
                  <c:v>Candidat 15</c:v>
                </c:pt>
                <c:pt idx="15">
                  <c:v>Candidat 16</c:v>
                </c:pt>
                <c:pt idx="16">
                  <c:v>Candidat 17</c:v>
                </c:pt>
                <c:pt idx="17">
                  <c:v>Candidat 18</c:v>
                </c:pt>
                <c:pt idx="18">
                  <c:v>Candidat 19</c:v>
                </c:pt>
                <c:pt idx="19">
                  <c:v>Candidat 20</c:v>
                </c:pt>
              </c:strCache>
            </c:strRef>
          </c:cat>
          <c:val>
            <c:numRef>
              <c:f>Synthèse!$L$16:$AE$16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92D050"/>
                    </a:solidFill>
                  </a:ln>
                </c14:spPr>
              </c14:invertSolidFillFmt>
            </c:ex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Synthèse!#REF!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C-D760-4393-B926-AF1160C07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.00%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par bureau durant la journée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6483239154321079E-2"/>
          <c:y val="6.5015479876160992E-2"/>
          <c:w val="0.83989080979742214"/>
          <c:h val="0.84373223470905145"/>
        </c:manualLayout>
      </c:layout>
      <c:lineChart>
        <c:grouping val="standard"/>
        <c:varyColors val="1"/>
        <c:ser>
          <c:idx val="12"/>
          <c:order val="0"/>
          <c:tx>
            <c:v>Total</c:v>
          </c:tx>
          <c:spPr>
            <a:ln w="317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circle"/>
            <c:size val="7"/>
            <c:spPr>
              <a:solidFill>
                <a:srgbClr val="000000"/>
              </a:solidFill>
              <a:ln w="317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horaire'!$S$38:$S$50</c15:sqref>
                  </c15:fullRef>
                </c:ext>
              </c:extLst>
              <c:f>'Participation horaire'!$S$38:$S$48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527-41BE-A6F5-3ADC9F067884}"/>
            </c:ext>
          </c:extLst>
        </c:ser>
        <c:ser>
          <c:idx val="11"/>
          <c:order val="1"/>
          <c:tx>
            <c:v>Bureau 12</c:v>
          </c:tx>
          <c:spPr>
            <a:ln w="25400" cap="rnd" cmpd="sng" algn="ctr">
              <a:solidFill>
                <a:srgbClr val="46BDC6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horaire'!$R$38:$R$50</c15:sqref>
                  </c15:fullRef>
                </c:ext>
              </c:extLst>
              <c:f>'Participation horaire'!$R$38:$R$48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527-41BE-A6F5-3ADC9F067884}"/>
            </c:ext>
          </c:extLst>
        </c:ser>
        <c:ser>
          <c:idx val="10"/>
          <c:order val="2"/>
          <c:tx>
            <c:v>Bureau 11</c:v>
          </c:tx>
          <c:spPr>
            <a:ln w="25400" cap="rnd" cmpd="sng" algn="ctr">
              <a:solidFill>
                <a:srgbClr val="FF6D01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horaire'!$Q$38:$Q$50</c15:sqref>
                  </c15:fullRef>
                </c:ext>
              </c:extLst>
              <c:f>'Participation horaire'!$Q$38:$Q$48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527-41BE-A6F5-3ADC9F067884}"/>
            </c:ext>
          </c:extLst>
        </c:ser>
        <c:ser>
          <c:idx val="9"/>
          <c:order val="3"/>
          <c:tx>
            <c:v>Bureau 10</c:v>
          </c:tx>
          <c:spPr>
            <a:ln w="25400" cap="rnd" cmpd="sng" algn="ctr">
              <a:solidFill>
                <a:srgbClr val="34A853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horaire'!$P$38:$P$50</c15:sqref>
                  </c15:fullRef>
                </c:ext>
              </c:extLst>
              <c:f>'Participation horaire'!$P$38:$P$48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527-41BE-A6F5-3ADC9F067884}"/>
            </c:ext>
          </c:extLst>
        </c:ser>
        <c:ser>
          <c:idx val="8"/>
          <c:order val="4"/>
          <c:tx>
            <c:v>Bureau 9</c:v>
          </c:tx>
          <c:spPr>
            <a:ln w="25400" cap="rnd" cmpd="sng" algn="ctr">
              <a:solidFill>
                <a:srgbClr val="FBBC0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horaire'!$O$38:$O$50</c15:sqref>
                  </c15:fullRef>
                </c:ext>
              </c:extLst>
              <c:f>'Participation horaire'!$O$38:$O$48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527-41BE-A6F5-3ADC9F067884}"/>
            </c:ext>
          </c:extLst>
        </c:ser>
        <c:ser>
          <c:idx val="7"/>
          <c:order val="5"/>
          <c:tx>
            <c:v>Bureau 8</c:v>
          </c:tx>
          <c:spPr>
            <a:ln w="25400" cap="rnd" cmpd="sng" algn="ctr">
              <a:solidFill>
                <a:srgbClr val="EA4335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horaire'!$N$38:$N$50</c15:sqref>
                  </c15:fullRef>
                </c:ext>
              </c:extLst>
              <c:f>'Participation horaire'!$N$38:$N$48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527-41BE-A6F5-3ADC9F067884}"/>
            </c:ext>
          </c:extLst>
        </c:ser>
        <c:ser>
          <c:idx val="6"/>
          <c:order val="6"/>
          <c:tx>
            <c:v>Bureau 7</c:v>
          </c:tx>
          <c:spPr>
            <a:ln w="25400" cap="rnd" cmpd="sng" algn="ctr">
              <a:solidFill>
                <a:srgbClr val="4285F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horaire'!$M$38:$M$50</c15:sqref>
                  </c15:fullRef>
                </c:ext>
              </c:extLst>
              <c:f>'Participation horaire'!$M$38:$M$48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527-41BE-A6F5-3ADC9F067884}"/>
            </c:ext>
          </c:extLst>
        </c:ser>
        <c:ser>
          <c:idx val="5"/>
          <c:order val="7"/>
          <c:tx>
            <c:v>Bureau 6</c:v>
          </c:tx>
          <c:spPr>
            <a:ln w="25400" cap="rnd" cmpd="sng" algn="ctr">
              <a:solidFill>
                <a:srgbClr val="46BDC6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horaire'!$L$38:$L$50</c15:sqref>
                  </c15:fullRef>
                </c:ext>
              </c:extLst>
              <c:f>'Participation horaire'!$L$38:$L$48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527-41BE-A6F5-3ADC9F067884}"/>
            </c:ext>
          </c:extLst>
        </c:ser>
        <c:ser>
          <c:idx val="4"/>
          <c:order val="8"/>
          <c:tx>
            <c:v>Bureau 5</c:v>
          </c:tx>
          <c:spPr>
            <a:ln w="25400" cap="rnd" cmpd="sng" algn="ctr">
              <a:solidFill>
                <a:srgbClr val="FF6D01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horaire'!$K$38:$K$50</c15:sqref>
                  </c15:fullRef>
                </c:ext>
              </c:extLst>
              <c:f>'Participation horaire'!$K$38:$K$48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527-41BE-A6F5-3ADC9F067884}"/>
            </c:ext>
          </c:extLst>
        </c:ser>
        <c:ser>
          <c:idx val="3"/>
          <c:order val="9"/>
          <c:tx>
            <c:v>Bureau 4</c:v>
          </c:tx>
          <c:spPr>
            <a:ln w="25400" cap="rnd" cmpd="sng" algn="ctr">
              <a:solidFill>
                <a:srgbClr val="34A853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horaire'!$J$38:$J$50</c15:sqref>
                  </c15:fullRef>
                </c:ext>
              </c:extLst>
              <c:f>'Participation horaire'!$J$38:$J$48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527-41BE-A6F5-3ADC9F067884}"/>
            </c:ext>
          </c:extLst>
        </c:ser>
        <c:ser>
          <c:idx val="2"/>
          <c:order val="10"/>
          <c:tx>
            <c:v>Bureau 3</c:v>
          </c:tx>
          <c:spPr>
            <a:ln w="25400" cap="rnd" cmpd="sng" algn="ctr">
              <a:solidFill>
                <a:srgbClr val="FBBC0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horaire'!$I$38:$I$50</c15:sqref>
                  </c15:fullRef>
                </c:ext>
              </c:extLst>
              <c:f>'Participation horaire'!$I$38:$I$48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27-41BE-A6F5-3ADC9F067884}"/>
            </c:ext>
          </c:extLst>
        </c:ser>
        <c:ser>
          <c:idx val="1"/>
          <c:order val="11"/>
          <c:tx>
            <c:v>Bureau 2</c:v>
          </c:tx>
          <c:spPr>
            <a:ln w="25400" cap="rnd" cmpd="sng" algn="ctr">
              <a:solidFill>
                <a:srgbClr val="EA4335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horaire'!$H$38:$H$50</c15:sqref>
                  </c15:fullRef>
                </c:ext>
              </c:extLst>
              <c:f>'Participation horaire'!$H$38:$H$48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27-41BE-A6F5-3ADC9F067884}"/>
            </c:ext>
          </c:extLst>
        </c:ser>
        <c:ser>
          <c:idx val="0"/>
          <c:order val="12"/>
          <c:tx>
            <c:v>Bureau 1</c:v>
          </c:tx>
          <c:spPr>
            <a:ln w="25400" cap="rnd" cmpd="sng" algn="ctr">
              <a:solidFill>
                <a:srgbClr val="4285F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horaire'!$G$38:$G$50</c15:sqref>
                  </c15:fullRef>
                </c:ext>
              </c:extLst>
              <c:f>'Participation horaire'!$G$38:$G$48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27-41BE-A6F5-3ADC9F067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legend>
      <c:legendPos val="r"/>
      <c:overlay val="0"/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Exemple!$D$13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CCFC-4E5C-A81B-B89D6E7F77AA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CCFC-4E5C-A81B-B89D6E7F77AA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CCFC-4E5C-A81B-B89D6E7F77AA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CCFC-4E5C-A81B-B89D6E7F77A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CCFC-4E5C-A81B-B89D6E7F77AA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CCFC-4E5C-A81B-B89D6E7F77AA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CCFC-4E5C-A81B-B89D6E7F77AA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CCFC-4E5C-A81B-B89D6E7F77AA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CCFC-4E5C-A81B-B89D6E7F77AA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CCFC-4E5C-A81B-B89D6E7F77AA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CCFC-4E5C-A81B-B89D6E7F77AA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CCFC-4E5C-A81B-B89D6E7F77A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Exemple!$E$2:$P$2</c:f>
              <c:strCache>
                <c:ptCount val="12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Exemple!$E$13:$P$13</c:f>
              <c:numCache>
                <c:formatCode>General</c:formatCode>
                <c:ptCount val="12"/>
                <c:pt idx="0">
                  <c:v>3</c:v>
                </c:pt>
                <c:pt idx="1">
                  <c:v>11</c:v>
                </c:pt>
                <c:pt idx="2">
                  <c:v>135</c:v>
                </c:pt>
                <c:pt idx="3">
                  <c:v>166</c:v>
                </c:pt>
                <c:pt idx="4">
                  <c:v>9</c:v>
                </c:pt>
                <c:pt idx="5">
                  <c:v>27</c:v>
                </c:pt>
                <c:pt idx="6">
                  <c:v>37</c:v>
                </c:pt>
                <c:pt idx="7">
                  <c:v>15</c:v>
                </c:pt>
                <c:pt idx="8">
                  <c:v>13</c:v>
                </c:pt>
                <c:pt idx="9">
                  <c:v>13</c:v>
                </c:pt>
                <c:pt idx="10" formatCode="#,##0">
                  <c:v>8</c:v>
                </c:pt>
                <c:pt idx="11" formatCode="#,##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CFC-4E5C-A81B-B89D6E7F7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Exemple!$X$2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EEB7-4F87-8B1F-773278025738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EB7-4F87-8B1F-773278025738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EB7-4F87-8B1F-773278025738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EB7-4F87-8B1F-773278025738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EEB7-4F87-8B1F-773278025738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EB7-4F87-8B1F-773278025738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EEB7-4F87-8B1F-773278025738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EEB7-4F87-8B1F-773278025738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EEB7-4F87-8B1F-773278025738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EEB7-4F87-8B1F-773278025738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EEB7-4F87-8B1F-773278025738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EEB7-4F87-8B1F-773278025738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EEB7-4F87-8B1F-773278025738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Exemple!$V$3:$V$15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Exemple!$X$3:$X$15</c:f>
              <c:numCache>
                <c:formatCode>0.00%</c:formatCode>
                <c:ptCount val="13"/>
                <c:pt idx="0">
                  <c:v>0</c:v>
                </c:pt>
                <c:pt idx="1">
                  <c:v>0.11857707509881422</c:v>
                </c:pt>
                <c:pt idx="2">
                  <c:v>0.233201581027668</c:v>
                </c:pt>
                <c:pt idx="3">
                  <c:v>0.35375494071146246</c:v>
                </c:pt>
                <c:pt idx="4">
                  <c:v>0.46442687747035571</c:v>
                </c:pt>
                <c:pt idx="5">
                  <c:v>0.55928853754940711</c:v>
                </c:pt>
                <c:pt idx="6">
                  <c:v>0.63043478260869568</c:v>
                </c:pt>
                <c:pt idx="7">
                  <c:v>0.69169960474308301</c:v>
                </c:pt>
                <c:pt idx="8">
                  <c:v>0.75098814229249011</c:v>
                </c:pt>
                <c:pt idx="9">
                  <c:v>0.78853754940711462</c:v>
                </c:pt>
                <c:pt idx="10">
                  <c:v>0.86956521739130432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EB7-4F87-8B1F-773278025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Exemple!$AA$2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396-485D-A4C3-5694BF105495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396-485D-A4C3-5694BF105495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396-485D-A4C3-5694BF105495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396-485D-A4C3-5694BF105495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396-485D-A4C3-5694BF105495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396-485D-A4C3-5694BF105495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396-485D-A4C3-5694BF105495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396-485D-A4C3-5694BF105495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8396-485D-A4C3-5694BF105495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396-485D-A4C3-5694BF105495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8396-485D-A4C3-5694BF105495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396-485D-A4C3-5694BF105495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8396-485D-A4C3-5694BF105495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Exemple!$Z$4:$Z$15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Exemple!$AA$4:$AA$15</c:f>
              <c:numCache>
                <c:formatCode>General</c:formatCode>
                <c:ptCount val="12"/>
                <c:pt idx="0">
                  <c:v>60</c:v>
                </c:pt>
                <c:pt idx="1">
                  <c:v>58</c:v>
                </c:pt>
                <c:pt idx="2">
                  <c:v>61</c:v>
                </c:pt>
                <c:pt idx="3">
                  <c:v>56</c:v>
                </c:pt>
                <c:pt idx="4">
                  <c:v>48</c:v>
                </c:pt>
                <c:pt idx="5">
                  <c:v>36</c:v>
                </c:pt>
                <c:pt idx="6">
                  <c:v>31</c:v>
                </c:pt>
                <c:pt idx="7">
                  <c:v>30</c:v>
                </c:pt>
                <c:pt idx="8">
                  <c:v>19</c:v>
                </c:pt>
                <c:pt idx="9">
                  <c:v>41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396-485D-A4C3-5694BF105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0'!$D$13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8-EA70-41AD-B1C4-117C5EADDF9A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A-EA70-41AD-B1C4-117C5EADDF9A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C-EA70-41AD-B1C4-117C5EADDF9A}"/>
              </c:ext>
            </c:extLst>
          </c:dPt>
          <c:dPt>
            <c:idx val="3"/>
            <c:invertIfNegative val="0"/>
            <c:bubble3D val="0"/>
            <c:spPr>
              <a:solidFill>
                <a:srgbClr val="0D5ADB"/>
              </a:solidFill>
              <a:ln w="63500" cap="flat" cmpd="sng" algn="ctr">
                <a:solidFill>
                  <a:srgbClr val="0D5AD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E-EA70-41AD-B1C4-117C5EADDF9A}"/>
              </c:ext>
            </c:extLst>
          </c:dPt>
          <c:dPt>
            <c:idx val="4"/>
            <c:invertIfNegative val="0"/>
            <c:bubble3D val="0"/>
            <c:spPr>
              <a:solidFill>
                <a:srgbClr val="093D93"/>
              </a:solidFill>
              <a:ln w="63500" cap="flat" cmpd="sng" algn="ctr">
                <a:solidFill>
                  <a:srgbClr val="093D9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0-EA70-41AD-B1C4-117C5EADDF9A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2-EA70-41AD-B1C4-117C5EADDF9A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4-EA70-41AD-B1C4-117C5EADDF9A}"/>
              </c:ext>
            </c:extLst>
          </c:dPt>
          <c:dPt>
            <c:idx val="7"/>
            <c:invertIfNegative val="0"/>
            <c:bubble3D val="0"/>
            <c:spPr>
              <a:solidFill>
                <a:srgbClr val="F28E86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6-EA70-41AD-B1C4-117C5EADDF9A}"/>
              </c:ext>
            </c:extLst>
          </c:dPt>
          <c:dPt>
            <c:idx val="8"/>
            <c:invertIfNegative val="0"/>
            <c:bubble3D val="0"/>
            <c:spPr>
              <a:solidFill>
                <a:srgbClr val="C22114"/>
              </a:solidFill>
              <a:ln w="63500" cap="flat" cmpd="sng" algn="ctr">
                <a:solidFill>
                  <a:srgbClr val="C2211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8-EA70-41AD-B1C4-117C5EADDF9A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A-EA70-41AD-B1C4-117C5EADDF9A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C-EA70-41AD-B1C4-117C5EADDF9A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E-EA70-41AD-B1C4-117C5EADDF9A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C-7F28-46AE-ADEF-48D8DE29FE6C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7F28-46AE-ADEF-48D8DE29FE6C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E-7F28-46AE-ADEF-48D8DE29FE6C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7F28-46AE-ADEF-48D8DE29FE6C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0-7F28-46AE-ADEF-48D8DE29FE6C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7F28-46AE-ADEF-48D8DE29FE6C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2-7F28-46AE-ADEF-48D8DE29FE6C}"/>
              </c:ext>
            </c:extLst>
          </c:dPt>
          <c:dPt>
            <c:idx val="19"/>
            <c:invertIfNegative val="0"/>
            <c:bubble3D val="0"/>
            <c:spPr>
              <a:solidFill>
                <a:srgbClr val="1A5529"/>
              </a:solidFill>
              <a:ln w="63500" cap="flat">
                <a:solidFill>
                  <a:srgbClr val="1A5529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7F28-46AE-ADEF-48D8DE29FE6C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18-BA71-47B0-8E86-A4D5A495B1CF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BA71-47B0-8E86-A4D5A495B1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0'!$E$2:$Z$2</c:f>
              <c:strCache>
                <c:ptCount val="22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Candidat 11</c:v>
                </c:pt>
                <c:pt idx="11">
                  <c:v>Candidat 12</c:v>
                </c:pt>
                <c:pt idx="12">
                  <c:v>Candidat 13</c:v>
                </c:pt>
                <c:pt idx="13">
                  <c:v>Candidat 14</c:v>
                </c:pt>
                <c:pt idx="14">
                  <c:v>Candidat 15</c:v>
                </c:pt>
                <c:pt idx="15">
                  <c:v>Candidat 16</c:v>
                </c:pt>
                <c:pt idx="16">
                  <c:v>Candidat 17</c:v>
                </c:pt>
                <c:pt idx="17">
                  <c:v>Candidat 18</c:v>
                </c:pt>
                <c:pt idx="18">
                  <c:v>Candidat 19</c:v>
                </c:pt>
                <c:pt idx="19">
                  <c:v>Candidat 20</c:v>
                </c:pt>
                <c:pt idx="20">
                  <c:v>Blancs</c:v>
                </c:pt>
                <c:pt idx="21">
                  <c:v>Nuls</c:v>
                </c:pt>
              </c:strCache>
            </c:strRef>
          </c:cat>
          <c:val>
            <c:numRef>
              <c:f>'Bureau 0'!$E$13:$Z$13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 formatCode="#,##0">
                  <c:v>0</c:v>
                </c:pt>
                <c:pt idx="2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EA70-41AD-B1C4-117C5EADD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0'!$AH$2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E73-429A-9A32-59AB00AFD32C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73-429A-9A32-59AB00AFD32C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E73-429A-9A32-59AB00AFD32C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73-429A-9A32-59AB00AFD32C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E73-429A-9A32-59AB00AFD32C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73-429A-9A32-59AB00AFD32C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E73-429A-9A32-59AB00AFD32C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E73-429A-9A32-59AB00AFD32C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8E73-429A-9A32-59AB00AFD32C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E73-429A-9A32-59AB00AFD32C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8E73-429A-9A32-59AB00AFD32C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E73-429A-9A32-59AB00AFD32C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8E73-429A-9A32-59AB00AFD32C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0'!$AF$3:$AF$15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0'!$AH$3:$AH$15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E73-429A-9A32-59AB00AFD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0'!$AK$2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D2DE-4D37-8F9D-F3A8F583D533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2DE-4D37-8F9D-F3A8F583D533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2DE-4D37-8F9D-F3A8F583D533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2DE-4D37-8F9D-F3A8F583D533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D2DE-4D37-8F9D-F3A8F583D533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D2DE-4D37-8F9D-F3A8F583D533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2DE-4D37-8F9D-F3A8F583D533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2DE-4D37-8F9D-F3A8F583D533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2DE-4D37-8F9D-F3A8F583D533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2DE-4D37-8F9D-F3A8F583D533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2DE-4D37-8F9D-F3A8F583D533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D2DE-4D37-8F9D-F3A8F583D533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D2DE-4D37-8F9D-F3A8F583D533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0'!$AJ$4:$AJ$15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0'!$AK$4:$AK$15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2DE-4D37-8F9D-F3A8F583D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6CF1-4F2A-8C63-B10A5EAC1184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6CF1-4F2A-8C63-B10A5EAC1184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6CF1-4F2A-8C63-B10A5EAC1184}"/>
              </c:ext>
            </c:extLst>
          </c:dPt>
          <c:dPt>
            <c:idx val="3"/>
            <c:invertIfNegative val="0"/>
            <c:bubble3D val="0"/>
            <c:spPr>
              <a:solidFill>
                <a:srgbClr val="0D5ADB"/>
              </a:solidFill>
              <a:ln w="63500" cap="flat" cmpd="sng" algn="ctr">
                <a:solidFill>
                  <a:srgbClr val="0D5AD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6CF1-4F2A-8C63-B10A5EAC1184}"/>
              </c:ext>
            </c:extLst>
          </c:dPt>
          <c:dPt>
            <c:idx val="4"/>
            <c:invertIfNegative val="0"/>
            <c:bubble3D val="0"/>
            <c:spPr>
              <a:solidFill>
                <a:srgbClr val="093D93"/>
              </a:solidFill>
              <a:ln w="63500" cap="flat" cmpd="sng" algn="ctr">
                <a:solidFill>
                  <a:srgbClr val="093D9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6CF1-4F2A-8C63-B10A5EAC1184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6CF1-4F2A-8C63-B10A5EAC1184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6CF1-4F2A-8C63-B10A5EAC1184}"/>
              </c:ext>
            </c:extLst>
          </c:dPt>
          <c:dPt>
            <c:idx val="7"/>
            <c:invertIfNegative val="0"/>
            <c:bubble3D val="0"/>
            <c:spPr>
              <a:solidFill>
                <a:srgbClr val="F28E86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6CF1-4F2A-8C63-B10A5EAC1184}"/>
              </c:ext>
            </c:extLst>
          </c:dPt>
          <c:dPt>
            <c:idx val="8"/>
            <c:invertIfNegative val="0"/>
            <c:bubble3D val="0"/>
            <c:spPr>
              <a:solidFill>
                <a:srgbClr val="C22114"/>
              </a:solidFill>
              <a:ln w="63500" cap="flat" cmpd="sng" algn="ctr">
                <a:solidFill>
                  <a:srgbClr val="C2211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6CF1-4F2A-8C63-B10A5EAC1184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6CF1-4F2A-8C63-B10A5EAC1184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6CF1-4F2A-8C63-B10A5EAC1184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6CF1-4F2A-8C63-B10A5EAC1184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6CF1-4F2A-8C63-B10A5EAC1184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6CF1-4F2A-8C63-B10A5EAC1184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6CF1-4F2A-8C63-B10A5EAC1184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6CF1-4F2A-8C63-B10A5EAC1184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6CF1-4F2A-8C63-B10A5EAC1184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6CF1-4F2A-8C63-B10A5EAC1184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6CF1-4F2A-8C63-B10A5EAC1184}"/>
              </c:ext>
            </c:extLst>
          </c:dPt>
          <c:dPt>
            <c:idx val="19"/>
            <c:invertIfNegative val="0"/>
            <c:bubble3D val="0"/>
            <c:spPr>
              <a:solidFill>
                <a:srgbClr val="1A5529"/>
              </a:solidFill>
              <a:ln w="63500" cap="flat">
                <a:solidFill>
                  <a:srgbClr val="1A5529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6CF1-4F2A-8C63-B10A5EAC1184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6CF1-4F2A-8C63-B10A5EAC1184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6CF1-4F2A-8C63-B10A5EAC118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1'!$E$2:$Z$2</c:f>
              <c:strCache>
                <c:ptCount val="22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Candidat 11</c:v>
                </c:pt>
                <c:pt idx="11">
                  <c:v>Candidat 12</c:v>
                </c:pt>
                <c:pt idx="12">
                  <c:v>Candidat 13</c:v>
                </c:pt>
                <c:pt idx="13">
                  <c:v>Candidat 14</c:v>
                </c:pt>
                <c:pt idx="14">
                  <c:v>Candidat 15</c:v>
                </c:pt>
                <c:pt idx="15">
                  <c:v>Candidat 16</c:v>
                </c:pt>
                <c:pt idx="16">
                  <c:v>Candidat 17</c:v>
                </c:pt>
                <c:pt idx="17">
                  <c:v>Candidat 18</c:v>
                </c:pt>
                <c:pt idx="18">
                  <c:v>Candidat 19</c:v>
                </c:pt>
                <c:pt idx="19">
                  <c:v>Candidat 20</c:v>
                </c:pt>
                <c:pt idx="20">
                  <c:v>Blancs</c:v>
                </c:pt>
                <c:pt idx="21">
                  <c:v>Nuls</c:v>
                </c:pt>
              </c:strCache>
            </c:strRef>
          </c:cat>
          <c:val>
            <c:numRef>
              <c:f>'Bureau 1'!$E$13:$Z$13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 formatCode="#,##0">
                  <c:v>0</c:v>
                </c:pt>
                <c:pt idx="2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6CF1-4F2A-8C63-B10A5EAC1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1'!$AH$2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479-490C-9BC5-C212CF6BCC9A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2479-490C-9BC5-C212CF6BCC9A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2479-490C-9BC5-C212CF6BCC9A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479-490C-9BC5-C212CF6BCC9A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2479-490C-9BC5-C212CF6BCC9A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479-490C-9BC5-C212CF6BCC9A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2479-490C-9BC5-C212CF6BCC9A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2479-490C-9BC5-C212CF6BCC9A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2479-490C-9BC5-C212CF6BCC9A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2479-490C-9BC5-C212CF6BCC9A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2479-490C-9BC5-C212CF6BCC9A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2479-490C-9BC5-C212CF6BCC9A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2479-490C-9BC5-C212CF6BCC9A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1'!$AF$3:$AF$15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1'!$AH$3:$AH$15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479-490C-9BC5-C212CF6BC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1'!$AK$2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1996-45C1-8C7B-0ADD4A140560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996-45C1-8C7B-0ADD4A140560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1996-45C1-8C7B-0ADD4A140560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996-45C1-8C7B-0ADD4A140560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1996-45C1-8C7B-0ADD4A140560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1996-45C1-8C7B-0ADD4A140560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1996-45C1-8C7B-0ADD4A140560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1996-45C1-8C7B-0ADD4A140560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1996-45C1-8C7B-0ADD4A140560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1996-45C1-8C7B-0ADD4A140560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996-45C1-8C7B-0ADD4A140560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1996-45C1-8C7B-0ADD4A140560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1996-45C1-8C7B-0ADD4A140560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1'!$AJ$4:$AJ$15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1'!$AK$4:$AK$15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996-45C1-8C7B-0ADD4A140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2'!$D$13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98E5-4ABA-B555-C179C5B69C45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98E5-4ABA-B555-C179C5B69C45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98E5-4ABA-B555-C179C5B69C45}"/>
              </c:ext>
            </c:extLst>
          </c:dPt>
          <c:dPt>
            <c:idx val="3"/>
            <c:invertIfNegative val="0"/>
            <c:bubble3D val="0"/>
            <c:spPr>
              <a:solidFill>
                <a:srgbClr val="0D5ADB"/>
              </a:solidFill>
              <a:ln w="63500" cap="flat" cmpd="sng" algn="ctr">
                <a:solidFill>
                  <a:srgbClr val="0D5AD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98E5-4ABA-B555-C179C5B69C45}"/>
              </c:ext>
            </c:extLst>
          </c:dPt>
          <c:dPt>
            <c:idx val="4"/>
            <c:invertIfNegative val="0"/>
            <c:bubble3D val="0"/>
            <c:spPr>
              <a:solidFill>
                <a:srgbClr val="093D93"/>
              </a:solidFill>
              <a:ln w="63500" cap="flat" cmpd="sng" algn="ctr">
                <a:solidFill>
                  <a:srgbClr val="093D9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98E5-4ABA-B555-C179C5B69C45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98E5-4ABA-B555-C179C5B69C45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98E5-4ABA-B555-C179C5B69C45}"/>
              </c:ext>
            </c:extLst>
          </c:dPt>
          <c:dPt>
            <c:idx val="7"/>
            <c:invertIfNegative val="0"/>
            <c:bubble3D val="0"/>
            <c:spPr>
              <a:solidFill>
                <a:srgbClr val="F28E86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98E5-4ABA-B555-C179C5B69C45}"/>
              </c:ext>
            </c:extLst>
          </c:dPt>
          <c:dPt>
            <c:idx val="8"/>
            <c:invertIfNegative val="0"/>
            <c:bubble3D val="0"/>
            <c:spPr>
              <a:solidFill>
                <a:srgbClr val="C22114"/>
              </a:solidFill>
              <a:ln w="63500" cap="flat" cmpd="sng" algn="ctr">
                <a:solidFill>
                  <a:srgbClr val="C2211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98E5-4ABA-B555-C179C5B69C45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98E5-4ABA-B555-C179C5B69C45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98E5-4ABA-B555-C179C5B69C45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98E5-4ABA-B555-C179C5B69C45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98E5-4ABA-B555-C179C5B69C45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98E5-4ABA-B555-C179C5B69C45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98E5-4ABA-B555-C179C5B69C45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98E5-4ABA-B555-C179C5B69C45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98E5-4ABA-B555-C179C5B69C45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98E5-4ABA-B555-C179C5B69C45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98E5-4ABA-B555-C179C5B69C45}"/>
              </c:ext>
            </c:extLst>
          </c:dPt>
          <c:dPt>
            <c:idx val="19"/>
            <c:invertIfNegative val="0"/>
            <c:bubble3D val="0"/>
            <c:spPr>
              <a:solidFill>
                <a:srgbClr val="1A5529"/>
              </a:solidFill>
              <a:ln w="63500" cap="flat">
                <a:solidFill>
                  <a:srgbClr val="1A5529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98E5-4ABA-B555-C179C5B69C45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98E5-4ABA-B555-C179C5B69C45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98E5-4ABA-B555-C179C5B69C4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2'!$E$2:$Z$2</c:f>
              <c:strCache>
                <c:ptCount val="22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Candidat 11</c:v>
                </c:pt>
                <c:pt idx="11">
                  <c:v>Candidat 12</c:v>
                </c:pt>
                <c:pt idx="12">
                  <c:v>Candidat 13</c:v>
                </c:pt>
                <c:pt idx="13">
                  <c:v>Candidat 14</c:v>
                </c:pt>
                <c:pt idx="14">
                  <c:v>Candidat 15</c:v>
                </c:pt>
                <c:pt idx="15">
                  <c:v>Candidat 16</c:v>
                </c:pt>
                <c:pt idx="16">
                  <c:v>Candidat 17</c:v>
                </c:pt>
                <c:pt idx="17">
                  <c:v>Candidat 18</c:v>
                </c:pt>
                <c:pt idx="18">
                  <c:v>Candidat 19</c:v>
                </c:pt>
                <c:pt idx="19">
                  <c:v>Candidat 20</c:v>
                </c:pt>
                <c:pt idx="20">
                  <c:v>Blancs</c:v>
                </c:pt>
                <c:pt idx="21">
                  <c:v>Nuls</c:v>
                </c:pt>
              </c:strCache>
            </c:strRef>
          </c:cat>
          <c:val>
            <c:numRef>
              <c:f>'Bureau 2'!$E$13:$Z$13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 formatCode="#,##0">
                  <c:v>0</c:v>
                </c:pt>
                <c:pt idx="2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98E5-4ABA-B555-C179C5B69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2'!$AH$2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779D-4D47-B32D-DD85D2E9AA90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779D-4D47-B32D-DD85D2E9AA90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779D-4D47-B32D-DD85D2E9AA90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79D-4D47-B32D-DD85D2E9AA90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779D-4D47-B32D-DD85D2E9AA90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779D-4D47-B32D-DD85D2E9AA90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779D-4D47-B32D-DD85D2E9AA90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779D-4D47-B32D-DD85D2E9AA90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779D-4D47-B32D-DD85D2E9AA90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779D-4D47-B32D-DD85D2E9AA90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779D-4D47-B32D-DD85D2E9AA90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779D-4D47-B32D-DD85D2E9AA90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779D-4D47-B32D-DD85D2E9AA90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2'!$AF$3:$AF$15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2'!$AH$3:$AH$15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79D-4D47-B32D-DD85D2E9A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2'!$AK$2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D21E-476D-9EC0-014924A9E35D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21E-476D-9EC0-014924A9E35D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21E-476D-9EC0-014924A9E35D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21E-476D-9EC0-014924A9E35D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D21E-476D-9EC0-014924A9E35D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D21E-476D-9EC0-014924A9E35D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21E-476D-9EC0-014924A9E35D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21E-476D-9EC0-014924A9E35D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21E-476D-9EC0-014924A9E35D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21E-476D-9EC0-014924A9E35D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21E-476D-9EC0-014924A9E35D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D21E-476D-9EC0-014924A9E35D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D21E-476D-9EC0-014924A9E35D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2'!$AJ$4:$AJ$15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2'!$AK$4:$AK$15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21E-476D-9EC0-014924A9E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3'!$D$13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DD85-4E0D-AB23-2A195D2BE9E5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DD85-4E0D-AB23-2A195D2BE9E5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DD85-4E0D-AB23-2A195D2BE9E5}"/>
              </c:ext>
            </c:extLst>
          </c:dPt>
          <c:dPt>
            <c:idx val="3"/>
            <c:invertIfNegative val="0"/>
            <c:bubble3D val="0"/>
            <c:spPr>
              <a:solidFill>
                <a:srgbClr val="0D5ADB"/>
              </a:solidFill>
              <a:ln w="63500" cap="flat" cmpd="sng" algn="ctr">
                <a:solidFill>
                  <a:srgbClr val="0D5AD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DD85-4E0D-AB23-2A195D2BE9E5}"/>
              </c:ext>
            </c:extLst>
          </c:dPt>
          <c:dPt>
            <c:idx val="4"/>
            <c:invertIfNegative val="0"/>
            <c:bubble3D val="0"/>
            <c:spPr>
              <a:solidFill>
                <a:srgbClr val="093D93"/>
              </a:solidFill>
              <a:ln w="63500" cap="flat" cmpd="sng" algn="ctr">
                <a:solidFill>
                  <a:srgbClr val="093D9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DD85-4E0D-AB23-2A195D2BE9E5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DD85-4E0D-AB23-2A195D2BE9E5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DD85-4E0D-AB23-2A195D2BE9E5}"/>
              </c:ext>
            </c:extLst>
          </c:dPt>
          <c:dPt>
            <c:idx val="7"/>
            <c:invertIfNegative val="0"/>
            <c:bubble3D val="0"/>
            <c:spPr>
              <a:solidFill>
                <a:srgbClr val="F28E86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DD85-4E0D-AB23-2A195D2BE9E5}"/>
              </c:ext>
            </c:extLst>
          </c:dPt>
          <c:dPt>
            <c:idx val="8"/>
            <c:invertIfNegative val="0"/>
            <c:bubble3D val="0"/>
            <c:spPr>
              <a:solidFill>
                <a:srgbClr val="C22114"/>
              </a:solidFill>
              <a:ln w="63500" cap="flat" cmpd="sng" algn="ctr">
                <a:solidFill>
                  <a:srgbClr val="C2211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DD85-4E0D-AB23-2A195D2BE9E5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DD85-4E0D-AB23-2A195D2BE9E5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DD85-4E0D-AB23-2A195D2BE9E5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DD85-4E0D-AB23-2A195D2BE9E5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DD85-4E0D-AB23-2A195D2BE9E5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DD85-4E0D-AB23-2A195D2BE9E5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DD85-4E0D-AB23-2A195D2BE9E5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DD85-4E0D-AB23-2A195D2BE9E5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DD85-4E0D-AB23-2A195D2BE9E5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DD85-4E0D-AB23-2A195D2BE9E5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DD85-4E0D-AB23-2A195D2BE9E5}"/>
              </c:ext>
            </c:extLst>
          </c:dPt>
          <c:dPt>
            <c:idx val="19"/>
            <c:invertIfNegative val="0"/>
            <c:bubble3D val="0"/>
            <c:spPr>
              <a:solidFill>
                <a:srgbClr val="1A5529"/>
              </a:solidFill>
              <a:ln w="63500" cap="flat">
                <a:solidFill>
                  <a:srgbClr val="1A5529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DD85-4E0D-AB23-2A195D2BE9E5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DD85-4E0D-AB23-2A195D2BE9E5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DD85-4E0D-AB23-2A195D2BE9E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3'!$E$2:$Z$2</c:f>
              <c:strCache>
                <c:ptCount val="22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Candidat 11</c:v>
                </c:pt>
                <c:pt idx="11">
                  <c:v>Candidat 12</c:v>
                </c:pt>
                <c:pt idx="12">
                  <c:v>Candidat 13</c:v>
                </c:pt>
                <c:pt idx="13">
                  <c:v>Candidat 14</c:v>
                </c:pt>
                <c:pt idx="14">
                  <c:v>Candidat 15</c:v>
                </c:pt>
                <c:pt idx="15">
                  <c:v>Candidat 16</c:v>
                </c:pt>
                <c:pt idx="16">
                  <c:v>Candidat 17</c:v>
                </c:pt>
                <c:pt idx="17">
                  <c:v>Candidat 18</c:v>
                </c:pt>
                <c:pt idx="18">
                  <c:v>Candidat 19</c:v>
                </c:pt>
                <c:pt idx="19">
                  <c:v>Candidat 20</c:v>
                </c:pt>
                <c:pt idx="20">
                  <c:v>Blancs</c:v>
                </c:pt>
                <c:pt idx="21">
                  <c:v>Nuls</c:v>
                </c:pt>
              </c:strCache>
            </c:strRef>
          </c:cat>
          <c:val>
            <c:numRef>
              <c:f>'Bureau 3'!$E$13:$Z$13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 formatCode="#,##0">
                  <c:v>0</c:v>
                </c:pt>
                <c:pt idx="2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DD85-4E0D-AB23-2A195D2BE9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3'!$AH$2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E725-4790-97A2-B779840A665A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725-4790-97A2-B779840A665A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725-4790-97A2-B779840A665A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725-4790-97A2-B779840A665A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E725-4790-97A2-B779840A665A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725-4790-97A2-B779840A665A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E725-4790-97A2-B779840A665A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E725-4790-97A2-B779840A665A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E725-4790-97A2-B779840A665A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E725-4790-97A2-B779840A665A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E725-4790-97A2-B779840A665A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E725-4790-97A2-B779840A665A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E725-4790-97A2-B779840A665A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3'!$AF$3:$AF$15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3'!$AH$3:$AH$15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725-4790-97A2-B779840A6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3'!$AK$2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15F-4BBD-8D51-6F116B76C786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215F-4BBD-8D51-6F116B76C786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215F-4BBD-8D51-6F116B76C786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15F-4BBD-8D51-6F116B76C786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215F-4BBD-8D51-6F116B76C786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15F-4BBD-8D51-6F116B76C786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215F-4BBD-8D51-6F116B76C786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215F-4BBD-8D51-6F116B76C786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215F-4BBD-8D51-6F116B76C786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215F-4BBD-8D51-6F116B76C786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215F-4BBD-8D51-6F116B76C786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215F-4BBD-8D51-6F116B76C786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215F-4BBD-8D51-6F116B76C786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3'!$AJ$4:$AJ$15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3'!$AK$4:$AK$15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15F-4BBD-8D51-6F116B76C7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4'!$D$13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CA5C-4BD1-9DEB-377210FCCEDD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CA5C-4BD1-9DEB-377210FCCEDD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CA5C-4BD1-9DEB-377210FCCEDD}"/>
              </c:ext>
            </c:extLst>
          </c:dPt>
          <c:dPt>
            <c:idx val="3"/>
            <c:invertIfNegative val="0"/>
            <c:bubble3D val="0"/>
            <c:spPr>
              <a:solidFill>
                <a:srgbClr val="0D5ADB"/>
              </a:solidFill>
              <a:ln w="63500" cap="flat" cmpd="sng" algn="ctr">
                <a:solidFill>
                  <a:srgbClr val="0D5AD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CA5C-4BD1-9DEB-377210FCCEDD}"/>
              </c:ext>
            </c:extLst>
          </c:dPt>
          <c:dPt>
            <c:idx val="4"/>
            <c:invertIfNegative val="0"/>
            <c:bubble3D val="0"/>
            <c:spPr>
              <a:solidFill>
                <a:srgbClr val="093D93"/>
              </a:solidFill>
              <a:ln w="63500" cap="flat" cmpd="sng" algn="ctr">
                <a:solidFill>
                  <a:srgbClr val="093D9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CA5C-4BD1-9DEB-377210FCCEDD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CA5C-4BD1-9DEB-377210FCCEDD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CA5C-4BD1-9DEB-377210FCCEDD}"/>
              </c:ext>
            </c:extLst>
          </c:dPt>
          <c:dPt>
            <c:idx val="7"/>
            <c:invertIfNegative val="0"/>
            <c:bubble3D val="0"/>
            <c:spPr>
              <a:solidFill>
                <a:srgbClr val="F28E86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CA5C-4BD1-9DEB-377210FCCEDD}"/>
              </c:ext>
            </c:extLst>
          </c:dPt>
          <c:dPt>
            <c:idx val="8"/>
            <c:invertIfNegative val="0"/>
            <c:bubble3D val="0"/>
            <c:spPr>
              <a:solidFill>
                <a:srgbClr val="C22114"/>
              </a:solidFill>
              <a:ln w="63500" cap="flat" cmpd="sng" algn="ctr">
                <a:solidFill>
                  <a:srgbClr val="C2211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CA5C-4BD1-9DEB-377210FCCEDD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CA5C-4BD1-9DEB-377210FCCEDD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CA5C-4BD1-9DEB-377210FCCEDD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CA5C-4BD1-9DEB-377210FCCEDD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CA5C-4BD1-9DEB-377210FCCEDD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CA5C-4BD1-9DEB-377210FCCEDD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CA5C-4BD1-9DEB-377210FCCEDD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CA5C-4BD1-9DEB-377210FCCEDD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CA5C-4BD1-9DEB-377210FCCEDD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CA5C-4BD1-9DEB-377210FCCEDD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CA5C-4BD1-9DEB-377210FCCEDD}"/>
              </c:ext>
            </c:extLst>
          </c:dPt>
          <c:dPt>
            <c:idx val="19"/>
            <c:invertIfNegative val="0"/>
            <c:bubble3D val="0"/>
            <c:spPr>
              <a:solidFill>
                <a:srgbClr val="1A5529"/>
              </a:solidFill>
              <a:ln w="63500" cap="flat">
                <a:solidFill>
                  <a:srgbClr val="1A5529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CA5C-4BD1-9DEB-377210FCCEDD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CA5C-4BD1-9DEB-377210FCCEDD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CA5C-4BD1-9DEB-377210FCCE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4'!$E$2:$Z$2</c:f>
              <c:strCache>
                <c:ptCount val="22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Candidat 11</c:v>
                </c:pt>
                <c:pt idx="11">
                  <c:v>Candidat 12</c:v>
                </c:pt>
                <c:pt idx="12">
                  <c:v>Candidat 13</c:v>
                </c:pt>
                <c:pt idx="13">
                  <c:v>Candidat 14</c:v>
                </c:pt>
                <c:pt idx="14">
                  <c:v>Candidat 15</c:v>
                </c:pt>
                <c:pt idx="15">
                  <c:v>Candidat 16</c:v>
                </c:pt>
                <c:pt idx="16">
                  <c:v>Candidat 17</c:v>
                </c:pt>
                <c:pt idx="17">
                  <c:v>Candidat 18</c:v>
                </c:pt>
                <c:pt idx="18">
                  <c:v>Candidat 19</c:v>
                </c:pt>
                <c:pt idx="19">
                  <c:v>Candidat 20</c:v>
                </c:pt>
                <c:pt idx="20">
                  <c:v>Blancs</c:v>
                </c:pt>
                <c:pt idx="21">
                  <c:v>Nuls</c:v>
                </c:pt>
              </c:strCache>
            </c:strRef>
          </c:cat>
          <c:val>
            <c:numRef>
              <c:f>'Bureau 4'!$E$13:$Z$13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 formatCode="#,##0">
                  <c:v>0</c:v>
                </c:pt>
                <c:pt idx="2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CA5C-4BD1-9DEB-377210FCC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4'!$AH$2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7E5E-4184-8E12-F60DFD451351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7E5E-4184-8E12-F60DFD451351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7E5E-4184-8E12-F60DFD451351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E5E-4184-8E12-F60DFD451351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7E5E-4184-8E12-F60DFD451351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7E5E-4184-8E12-F60DFD451351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7E5E-4184-8E12-F60DFD451351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7E5E-4184-8E12-F60DFD451351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7E5E-4184-8E12-F60DFD451351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7E5E-4184-8E12-F60DFD451351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7E5E-4184-8E12-F60DFD451351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7E5E-4184-8E12-F60DFD451351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7E5E-4184-8E12-F60DFD451351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4'!$AF$3:$AF$15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4'!$AH$3:$AH$15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E5E-4184-8E12-F60DFD4513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4'!$AK$2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3D03-4950-97BC-D2DE38CB5C5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D03-4950-97BC-D2DE38CB5C57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3D03-4950-97BC-D2DE38CB5C57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D03-4950-97BC-D2DE38CB5C57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3D03-4950-97BC-D2DE38CB5C57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3D03-4950-97BC-D2DE38CB5C57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3D03-4950-97BC-D2DE38CB5C57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3D03-4950-97BC-D2DE38CB5C57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3D03-4950-97BC-D2DE38CB5C57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3D03-4950-97BC-D2DE38CB5C57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3D03-4950-97BC-D2DE38CB5C57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3D03-4950-97BC-D2DE38CB5C57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3D03-4950-97BC-D2DE38CB5C57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4'!$AJ$4:$AJ$15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4'!$AK$4:$AK$15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D03-4950-97BC-D2DE38CB5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5'!$D$13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0D34-4332-857F-DDDC26AE9FE5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0D34-4332-857F-DDDC26AE9FE5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0D34-4332-857F-DDDC26AE9FE5}"/>
              </c:ext>
            </c:extLst>
          </c:dPt>
          <c:dPt>
            <c:idx val="3"/>
            <c:invertIfNegative val="0"/>
            <c:bubble3D val="0"/>
            <c:spPr>
              <a:solidFill>
                <a:srgbClr val="0D5ADB"/>
              </a:solidFill>
              <a:ln w="63500" cap="flat" cmpd="sng" algn="ctr">
                <a:solidFill>
                  <a:srgbClr val="0D5AD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0D34-4332-857F-DDDC26AE9FE5}"/>
              </c:ext>
            </c:extLst>
          </c:dPt>
          <c:dPt>
            <c:idx val="4"/>
            <c:invertIfNegative val="0"/>
            <c:bubble3D val="0"/>
            <c:spPr>
              <a:solidFill>
                <a:srgbClr val="093D93"/>
              </a:solidFill>
              <a:ln w="63500" cap="flat" cmpd="sng" algn="ctr">
                <a:solidFill>
                  <a:srgbClr val="093D9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0D34-4332-857F-DDDC26AE9FE5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0D34-4332-857F-DDDC26AE9FE5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0D34-4332-857F-DDDC26AE9FE5}"/>
              </c:ext>
            </c:extLst>
          </c:dPt>
          <c:dPt>
            <c:idx val="7"/>
            <c:invertIfNegative val="0"/>
            <c:bubble3D val="0"/>
            <c:spPr>
              <a:solidFill>
                <a:srgbClr val="F28E86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0D34-4332-857F-DDDC26AE9FE5}"/>
              </c:ext>
            </c:extLst>
          </c:dPt>
          <c:dPt>
            <c:idx val="8"/>
            <c:invertIfNegative val="0"/>
            <c:bubble3D val="0"/>
            <c:spPr>
              <a:solidFill>
                <a:srgbClr val="C22114"/>
              </a:solidFill>
              <a:ln w="63500" cap="flat" cmpd="sng" algn="ctr">
                <a:solidFill>
                  <a:srgbClr val="C2211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0D34-4332-857F-DDDC26AE9FE5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0D34-4332-857F-DDDC26AE9FE5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0D34-4332-857F-DDDC26AE9FE5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0D34-4332-857F-DDDC26AE9FE5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0D34-4332-857F-DDDC26AE9FE5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0D34-4332-857F-DDDC26AE9FE5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0D34-4332-857F-DDDC26AE9FE5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0D34-4332-857F-DDDC26AE9FE5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0D34-4332-857F-DDDC26AE9FE5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0D34-4332-857F-DDDC26AE9FE5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0D34-4332-857F-DDDC26AE9FE5}"/>
              </c:ext>
            </c:extLst>
          </c:dPt>
          <c:dPt>
            <c:idx val="19"/>
            <c:invertIfNegative val="0"/>
            <c:bubble3D val="0"/>
            <c:spPr>
              <a:solidFill>
                <a:srgbClr val="1A5529"/>
              </a:solidFill>
              <a:ln w="63500" cap="flat">
                <a:solidFill>
                  <a:srgbClr val="1A5529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0D34-4332-857F-DDDC26AE9FE5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0D34-4332-857F-DDDC26AE9FE5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0D34-4332-857F-DDDC26AE9FE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5'!$E$2:$Z$2</c:f>
              <c:strCache>
                <c:ptCount val="22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Candidat 11</c:v>
                </c:pt>
                <c:pt idx="11">
                  <c:v>Candidat 12</c:v>
                </c:pt>
                <c:pt idx="12">
                  <c:v>Candidat 13</c:v>
                </c:pt>
                <c:pt idx="13">
                  <c:v>Candidat 14</c:v>
                </c:pt>
                <c:pt idx="14">
                  <c:v>Candidat 15</c:v>
                </c:pt>
                <c:pt idx="15">
                  <c:v>Candidat 16</c:v>
                </c:pt>
                <c:pt idx="16">
                  <c:v>Candidat 17</c:v>
                </c:pt>
                <c:pt idx="17">
                  <c:v>Candidat 18</c:v>
                </c:pt>
                <c:pt idx="18">
                  <c:v>Candidat 19</c:v>
                </c:pt>
                <c:pt idx="19">
                  <c:v>Candidat 20</c:v>
                </c:pt>
                <c:pt idx="20">
                  <c:v>Blancs</c:v>
                </c:pt>
                <c:pt idx="21">
                  <c:v>Nuls</c:v>
                </c:pt>
              </c:strCache>
            </c:strRef>
          </c:cat>
          <c:val>
            <c:numRef>
              <c:f>'Bureau 5'!$E$13:$Z$13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 formatCode="#,##0">
                  <c:v>0</c:v>
                </c:pt>
                <c:pt idx="2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0D34-4332-857F-DDDC26AE9F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5'!$AH$2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341-4507-8F89-44542C110AF4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341-4507-8F89-44542C110AF4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9341-4507-8F89-44542C110AF4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9341-4507-8F89-44542C110AF4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9341-4507-8F89-44542C110AF4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9341-4507-8F89-44542C110AF4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9341-4507-8F89-44542C110AF4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9341-4507-8F89-44542C110AF4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9341-4507-8F89-44542C110AF4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9341-4507-8F89-44542C110AF4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9341-4507-8F89-44542C110AF4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9341-4507-8F89-44542C110AF4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9341-4507-8F89-44542C110AF4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5'!$AF$3:$AF$15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5'!$AH$3:$AH$15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341-4507-8F89-44542C110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5'!$AK$2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A5DD-401B-B384-18E865955114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5DD-401B-B384-18E865955114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A5DD-401B-B384-18E865955114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A5DD-401B-B384-18E865955114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A5DD-401B-B384-18E865955114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A5DD-401B-B384-18E865955114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A5DD-401B-B384-18E865955114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A5DD-401B-B384-18E865955114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A5DD-401B-B384-18E865955114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A5DD-401B-B384-18E865955114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A5DD-401B-B384-18E865955114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A5DD-401B-B384-18E865955114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A5DD-401B-B384-18E865955114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5'!$AJ$4:$AJ$15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5'!$AK$4:$AK$15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DD-401B-B384-18E865955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6'!$D$13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2C03-4EF7-8DB1-D40F46E24C17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2C03-4EF7-8DB1-D40F46E24C17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2C03-4EF7-8DB1-D40F46E24C17}"/>
              </c:ext>
            </c:extLst>
          </c:dPt>
          <c:dPt>
            <c:idx val="3"/>
            <c:invertIfNegative val="0"/>
            <c:bubble3D val="0"/>
            <c:spPr>
              <a:solidFill>
                <a:srgbClr val="0D5ADB"/>
              </a:solidFill>
              <a:ln w="63500" cap="flat" cmpd="sng" algn="ctr">
                <a:solidFill>
                  <a:srgbClr val="0D5AD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2C03-4EF7-8DB1-D40F46E24C17}"/>
              </c:ext>
            </c:extLst>
          </c:dPt>
          <c:dPt>
            <c:idx val="4"/>
            <c:invertIfNegative val="0"/>
            <c:bubble3D val="0"/>
            <c:spPr>
              <a:solidFill>
                <a:srgbClr val="093D93"/>
              </a:solidFill>
              <a:ln w="63500" cap="flat" cmpd="sng" algn="ctr">
                <a:solidFill>
                  <a:srgbClr val="093D9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2C03-4EF7-8DB1-D40F46E24C17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2C03-4EF7-8DB1-D40F46E24C17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2C03-4EF7-8DB1-D40F46E24C17}"/>
              </c:ext>
            </c:extLst>
          </c:dPt>
          <c:dPt>
            <c:idx val="7"/>
            <c:invertIfNegative val="0"/>
            <c:bubble3D val="0"/>
            <c:spPr>
              <a:solidFill>
                <a:srgbClr val="F28E86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2C03-4EF7-8DB1-D40F46E24C17}"/>
              </c:ext>
            </c:extLst>
          </c:dPt>
          <c:dPt>
            <c:idx val="8"/>
            <c:invertIfNegative val="0"/>
            <c:bubble3D val="0"/>
            <c:spPr>
              <a:solidFill>
                <a:srgbClr val="C22114"/>
              </a:solidFill>
              <a:ln w="63500" cap="flat" cmpd="sng" algn="ctr">
                <a:solidFill>
                  <a:srgbClr val="C2211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2C03-4EF7-8DB1-D40F46E24C17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2C03-4EF7-8DB1-D40F46E24C17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2C03-4EF7-8DB1-D40F46E24C17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2C03-4EF7-8DB1-D40F46E24C17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2C03-4EF7-8DB1-D40F46E24C17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2C03-4EF7-8DB1-D40F46E24C17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2C03-4EF7-8DB1-D40F46E24C17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2C03-4EF7-8DB1-D40F46E24C17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2C03-4EF7-8DB1-D40F46E24C17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2C03-4EF7-8DB1-D40F46E24C17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2C03-4EF7-8DB1-D40F46E24C17}"/>
              </c:ext>
            </c:extLst>
          </c:dPt>
          <c:dPt>
            <c:idx val="19"/>
            <c:invertIfNegative val="0"/>
            <c:bubble3D val="0"/>
            <c:spPr>
              <a:solidFill>
                <a:srgbClr val="1A5529"/>
              </a:solidFill>
              <a:ln w="63500" cap="flat">
                <a:solidFill>
                  <a:srgbClr val="1A5529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2C03-4EF7-8DB1-D40F46E24C17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2C03-4EF7-8DB1-D40F46E24C17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2C03-4EF7-8DB1-D40F46E24C1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6'!$E$2:$Z$2</c:f>
              <c:strCache>
                <c:ptCount val="22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Candidat 11</c:v>
                </c:pt>
                <c:pt idx="11">
                  <c:v>Candidat 12</c:v>
                </c:pt>
                <c:pt idx="12">
                  <c:v>Candidat 13</c:v>
                </c:pt>
                <c:pt idx="13">
                  <c:v>Candidat 14</c:v>
                </c:pt>
                <c:pt idx="14">
                  <c:v>Candidat 15</c:v>
                </c:pt>
                <c:pt idx="15">
                  <c:v>Candidat 16</c:v>
                </c:pt>
                <c:pt idx="16">
                  <c:v>Candidat 17</c:v>
                </c:pt>
                <c:pt idx="17">
                  <c:v>Candidat 18</c:v>
                </c:pt>
                <c:pt idx="18">
                  <c:v>Candidat 19</c:v>
                </c:pt>
                <c:pt idx="19">
                  <c:v>Candidat 20</c:v>
                </c:pt>
                <c:pt idx="20">
                  <c:v>Blancs</c:v>
                </c:pt>
                <c:pt idx="21">
                  <c:v>Nuls</c:v>
                </c:pt>
              </c:strCache>
            </c:strRef>
          </c:cat>
          <c:val>
            <c:numRef>
              <c:f>'Bureau 6'!$E$13:$Z$13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 formatCode="#,##0">
                  <c:v>0</c:v>
                </c:pt>
                <c:pt idx="2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2C03-4EF7-8DB1-D40F46E24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6'!$AH$2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F348-4A4D-8E34-C51EB5127EF6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348-4A4D-8E34-C51EB5127EF6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F348-4A4D-8E34-C51EB5127EF6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348-4A4D-8E34-C51EB5127EF6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F348-4A4D-8E34-C51EB5127EF6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F348-4A4D-8E34-C51EB5127EF6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F348-4A4D-8E34-C51EB5127EF6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F348-4A4D-8E34-C51EB5127EF6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F348-4A4D-8E34-C51EB5127EF6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F348-4A4D-8E34-C51EB5127EF6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F348-4A4D-8E34-C51EB5127EF6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F348-4A4D-8E34-C51EB5127EF6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F348-4A4D-8E34-C51EB5127EF6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6'!$AF$3:$AF$15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6'!$AH$3:$AH$15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348-4A4D-8E34-C51EB5127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6'!$AK$2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ACB-41E3-9A44-157CA6E6F075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ACB-41E3-9A44-157CA6E6F075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9ACB-41E3-9A44-157CA6E6F075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9ACB-41E3-9A44-157CA6E6F075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9ACB-41E3-9A44-157CA6E6F075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9ACB-41E3-9A44-157CA6E6F075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9ACB-41E3-9A44-157CA6E6F075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9ACB-41E3-9A44-157CA6E6F075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9ACB-41E3-9A44-157CA6E6F075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9ACB-41E3-9A44-157CA6E6F075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9ACB-41E3-9A44-157CA6E6F075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9ACB-41E3-9A44-157CA6E6F075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9ACB-41E3-9A44-157CA6E6F075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6'!$AJ$4:$AJ$15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6'!$AK$4:$AK$15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ACB-41E3-9A44-157CA6E6F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7'!$D$13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0AA1-4212-9FCE-A5756CC44CDB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0AA1-4212-9FCE-A5756CC44CDB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0AA1-4212-9FCE-A5756CC44CDB}"/>
              </c:ext>
            </c:extLst>
          </c:dPt>
          <c:dPt>
            <c:idx val="3"/>
            <c:invertIfNegative val="0"/>
            <c:bubble3D val="0"/>
            <c:spPr>
              <a:solidFill>
                <a:srgbClr val="0D5ADB"/>
              </a:solidFill>
              <a:ln w="63500" cap="flat" cmpd="sng" algn="ctr">
                <a:solidFill>
                  <a:srgbClr val="0D5AD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0AA1-4212-9FCE-A5756CC44CDB}"/>
              </c:ext>
            </c:extLst>
          </c:dPt>
          <c:dPt>
            <c:idx val="4"/>
            <c:invertIfNegative val="0"/>
            <c:bubble3D val="0"/>
            <c:spPr>
              <a:solidFill>
                <a:srgbClr val="093D93"/>
              </a:solidFill>
              <a:ln w="63500" cap="flat" cmpd="sng" algn="ctr">
                <a:solidFill>
                  <a:srgbClr val="093D9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0AA1-4212-9FCE-A5756CC44CDB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0AA1-4212-9FCE-A5756CC44CDB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0AA1-4212-9FCE-A5756CC44CDB}"/>
              </c:ext>
            </c:extLst>
          </c:dPt>
          <c:dPt>
            <c:idx val="7"/>
            <c:invertIfNegative val="0"/>
            <c:bubble3D val="0"/>
            <c:spPr>
              <a:solidFill>
                <a:srgbClr val="F28E86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0AA1-4212-9FCE-A5756CC44CDB}"/>
              </c:ext>
            </c:extLst>
          </c:dPt>
          <c:dPt>
            <c:idx val="8"/>
            <c:invertIfNegative val="0"/>
            <c:bubble3D val="0"/>
            <c:spPr>
              <a:solidFill>
                <a:srgbClr val="C22114"/>
              </a:solidFill>
              <a:ln w="63500" cap="flat" cmpd="sng" algn="ctr">
                <a:solidFill>
                  <a:srgbClr val="C2211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0AA1-4212-9FCE-A5756CC44CDB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0AA1-4212-9FCE-A5756CC44CDB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0AA1-4212-9FCE-A5756CC44CDB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0AA1-4212-9FCE-A5756CC44CDB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0AA1-4212-9FCE-A5756CC44CDB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0AA1-4212-9FCE-A5756CC44CDB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0AA1-4212-9FCE-A5756CC44CDB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0AA1-4212-9FCE-A5756CC44CDB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0AA1-4212-9FCE-A5756CC44CDB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0AA1-4212-9FCE-A5756CC44CDB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0AA1-4212-9FCE-A5756CC44CDB}"/>
              </c:ext>
            </c:extLst>
          </c:dPt>
          <c:dPt>
            <c:idx val="19"/>
            <c:invertIfNegative val="0"/>
            <c:bubble3D val="0"/>
            <c:spPr>
              <a:solidFill>
                <a:srgbClr val="1A5529"/>
              </a:solidFill>
              <a:ln w="63500" cap="flat">
                <a:solidFill>
                  <a:srgbClr val="1A5529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0AA1-4212-9FCE-A5756CC44CDB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0AA1-4212-9FCE-A5756CC44CDB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0AA1-4212-9FCE-A5756CC44CD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7'!$E$2:$Z$2</c:f>
              <c:strCache>
                <c:ptCount val="22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Candidat 11</c:v>
                </c:pt>
                <c:pt idx="11">
                  <c:v>Candidat 12</c:v>
                </c:pt>
                <c:pt idx="12">
                  <c:v>Candidat 13</c:v>
                </c:pt>
                <c:pt idx="13">
                  <c:v>Candidat 14</c:v>
                </c:pt>
                <c:pt idx="14">
                  <c:v>Candidat 15</c:v>
                </c:pt>
                <c:pt idx="15">
                  <c:v>Candidat 16</c:v>
                </c:pt>
                <c:pt idx="16">
                  <c:v>Candidat 17</c:v>
                </c:pt>
                <c:pt idx="17">
                  <c:v>Candidat 18</c:v>
                </c:pt>
                <c:pt idx="18">
                  <c:v>Candidat 19</c:v>
                </c:pt>
                <c:pt idx="19">
                  <c:v>Candidat 20</c:v>
                </c:pt>
                <c:pt idx="20">
                  <c:v>Blancs</c:v>
                </c:pt>
                <c:pt idx="21">
                  <c:v>Nuls</c:v>
                </c:pt>
              </c:strCache>
            </c:strRef>
          </c:cat>
          <c:val>
            <c:numRef>
              <c:f>'Bureau 7'!$E$13:$Z$13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 formatCode="#,##0">
                  <c:v>0</c:v>
                </c:pt>
                <c:pt idx="2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0AA1-4212-9FCE-A5756CC44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7'!$AH$2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35EB-4D82-A94C-A524F50EE494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5EB-4D82-A94C-A524F50EE494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35EB-4D82-A94C-A524F50EE494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5EB-4D82-A94C-A524F50EE494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35EB-4D82-A94C-A524F50EE494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35EB-4D82-A94C-A524F50EE494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35EB-4D82-A94C-A524F50EE494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35EB-4D82-A94C-A524F50EE494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35EB-4D82-A94C-A524F50EE494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35EB-4D82-A94C-A524F50EE494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35EB-4D82-A94C-A524F50EE494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35EB-4D82-A94C-A524F50EE494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35EB-4D82-A94C-A524F50EE494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7'!$AF$3:$AF$15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7'!$AH$3:$AH$15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5EB-4D82-A94C-A524F50EE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7'!$AK$2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DBA2-420E-9CBD-28AFE881409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BA2-420E-9CBD-28AFE8814097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BA2-420E-9CBD-28AFE8814097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BA2-420E-9CBD-28AFE8814097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DBA2-420E-9CBD-28AFE8814097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DBA2-420E-9CBD-28AFE8814097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BA2-420E-9CBD-28AFE8814097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BA2-420E-9CBD-28AFE8814097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BA2-420E-9CBD-28AFE8814097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BA2-420E-9CBD-28AFE8814097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BA2-420E-9CBD-28AFE8814097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DBA2-420E-9CBD-28AFE8814097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DBA2-420E-9CBD-28AFE8814097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7'!$AJ$4:$AJ$15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7'!$AK$4:$AK$15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BA2-420E-9CBD-28AFE8814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8'!$D$13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E380-4D60-95EE-F64449F6F7A7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E380-4D60-95EE-F64449F6F7A7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E380-4D60-95EE-F64449F6F7A7}"/>
              </c:ext>
            </c:extLst>
          </c:dPt>
          <c:dPt>
            <c:idx val="3"/>
            <c:invertIfNegative val="0"/>
            <c:bubble3D val="0"/>
            <c:spPr>
              <a:solidFill>
                <a:srgbClr val="0D5ADB"/>
              </a:solidFill>
              <a:ln w="63500" cap="flat" cmpd="sng" algn="ctr">
                <a:solidFill>
                  <a:srgbClr val="0D5AD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E380-4D60-95EE-F64449F6F7A7}"/>
              </c:ext>
            </c:extLst>
          </c:dPt>
          <c:dPt>
            <c:idx val="4"/>
            <c:invertIfNegative val="0"/>
            <c:bubble3D val="0"/>
            <c:spPr>
              <a:solidFill>
                <a:srgbClr val="093D93"/>
              </a:solidFill>
              <a:ln w="63500" cap="flat" cmpd="sng" algn="ctr">
                <a:solidFill>
                  <a:srgbClr val="093D9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E380-4D60-95EE-F64449F6F7A7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E380-4D60-95EE-F64449F6F7A7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E380-4D60-95EE-F64449F6F7A7}"/>
              </c:ext>
            </c:extLst>
          </c:dPt>
          <c:dPt>
            <c:idx val="7"/>
            <c:invertIfNegative val="0"/>
            <c:bubble3D val="0"/>
            <c:spPr>
              <a:solidFill>
                <a:srgbClr val="F28E86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E380-4D60-95EE-F64449F6F7A7}"/>
              </c:ext>
            </c:extLst>
          </c:dPt>
          <c:dPt>
            <c:idx val="8"/>
            <c:invertIfNegative val="0"/>
            <c:bubble3D val="0"/>
            <c:spPr>
              <a:solidFill>
                <a:srgbClr val="C22114"/>
              </a:solidFill>
              <a:ln w="63500" cap="flat" cmpd="sng" algn="ctr">
                <a:solidFill>
                  <a:srgbClr val="C2211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E380-4D60-95EE-F64449F6F7A7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E380-4D60-95EE-F64449F6F7A7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E380-4D60-95EE-F64449F6F7A7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E380-4D60-95EE-F64449F6F7A7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E380-4D60-95EE-F64449F6F7A7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E380-4D60-95EE-F64449F6F7A7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E380-4D60-95EE-F64449F6F7A7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E380-4D60-95EE-F64449F6F7A7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E380-4D60-95EE-F64449F6F7A7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E380-4D60-95EE-F64449F6F7A7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E380-4D60-95EE-F64449F6F7A7}"/>
              </c:ext>
            </c:extLst>
          </c:dPt>
          <c:dPt>
            <c:idx val="19"/>
            <c:invertIfNegative val="0"/>
            <c:bubble3D val="0"/>
            <c:spPr>
              <a:solidFill>
                <a:srgbClr val="1A5529"/>
              </a:solidFill>
              <a:ln w="63500" cap="flat">
                <a:solidFill>
                  <a:srgbClr val="1A5529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E380-4D60-95EE-F64449F6F7A7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E380-4D60-95EE-F64449F6F7A7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E380-4D60-95EE-F64449F6F7A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8'!$E$2:$Z$2</c:f>
              <c:strCache>
                <c:ptCount val="22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Candidat 11</c:v>
                </c:pt>
                <c:pt idx="11">
                  <c:v>Candidat 12</c:v>
                </c:pt>
                <c:pt idx="12">
                  <c:v>Candidat 13</c:v>
                </c:pt>
                <c:pt idx="13">
                  <c:v>Candidat 14</c:v>
                </c:pt>
                <c:pt idx="14">
                  <c:v>Candidat 15</c:v>
                </c:pt>
                <c:pt idx="15">
                  <c:v>Candidat 16</c:v>
                </c:pt>
                <c:pt idx="16">
                  <c:v>Candidat 17</c:v>
                </c:pt>
                <c:pt idx="17">
                  <c:v>Candidat 18</c:v>
                </c:pt>
                <c:pt idx="18">
                  <c:v>Candidat 19</c:v>
                </c:pt>
                <c:pt idx="19">
                  <c:v>Candidat 20</c:v>
                </c:pt>
                <c:pt idx="20">
                  <c:v>Blancs</c:v>
                </c:pt>
                <c:pt idx="21">
                  <c:v>Nuls</c:v>
                </c:pt>
              </c:strCache>
            </c:strRef>
          </c:cat>
          <c:val>
            <c:numRef>
              <c:f>'Bureau 8'!$E$13:$Z$13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 formatCode="#,##0">
                  <c:v>0</c:v>
                </c:pt>
                <c:pt idx="2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E380-4D60-95EE-F64449F6F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8'!$AH$2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CD8-472E-B9BA-645589895EEE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CD8-472E-B9BA-645589895EEE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CD8-472E-B9BA-645589895EEE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CD8-472E-B9BA-645589895EEE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CD8-472E-B9BA-645589895EEE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CD8-472E-B9BA-645589895EEE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CD8-472E-B9BA-645589895EEE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CD8-472E-B9BA-645589895EEE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8CD8-472E-B9BA-645589895EEE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CD8-472E-B9BA-645589895EEE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8CD8-472E-B9BA-645589895EEE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CD8-472E-B9BA-645589895EEE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8CD8-472E-B9BA-645589895EEE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8'!$AF$3:$AF$15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8'!$AH$3:$AH$15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CD8-472E-B9BA-645589895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8'!$AK$2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153E-4AE4-B48A-D07CE265EDF3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53E-4AE4-B48A-D07CE265EDF3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153E-4AE4-B48A-D07CE265EDF3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53E-4AE4-B48A-D07CE265EDF3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153E-4AE4-B48A-D07CE265EDF3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153E-4AE4-B48A-D07CE265EDF3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153E-4AE4-B48A-D07CE265EDF3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153E-4AE4-B48A-D07CE265EDF3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153E-4AE4-B48A-D07CE265EDF3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153E-4AE4-B48A-D07CE265EDF3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53E-4AE4-B48A-D07CE265EDF3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153E-4AE4-B48A-D07CE265EDF3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153E-4AE4-B48A-D07CE265EDF3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8'!$AJ$4:$AJ$15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8'!$AK$4:$AK$15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53E-4AE4-B48A-D07CE265E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9'!$D$13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744E-4E9C-A438-174E72F0B818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744E-4E9C-A438-174E72F0B818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744E-4E9C-A438-174E72F0B818}"/>
              </c:ext>
            </c:extLst>
          </c:dPt>
          <c:dPt>
            <c:idx val="3"/>
            <c:invertIfNegative val="0"/>
            <c:bubble3D val="0"/>
            <c:spPr>
              <a:solidFill>
                <a:srgbClr val="0D5ADB"/>
              </a:solidFill>
              <a:ln w="63500" cap="flat" cmpd="sng" algn="ctr">
                <a:solidFill>
                  <a:srgbClr val="0D5AD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744E-4E9C-A438-174E72F0B818}"/>
              </c:ext>
            </c:extLst>
          </c:dPt>
          <c:dPt>
            <c:idx val="4"/>
            <c:invertIfNegative val="0"/>
            <c:bubble3D val="0"/>
            <c:spPr>
              <a:solidFill>
                <a:srgbClr val="093D93"/>
              </a:solidFill>
              <a:ln w="63500" cap="flat" cmpd="sng" algn="ctr">
                <a:solidFill>
                  <a:srgbClr val="093D9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744E-4E9C-A438-174E72F0B818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744E-4E9C-A438-174E72F0B818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744E-4E9C-A438-174E72F0B818}"/>
              </c:ext>
            </c:extLst>
          </c:dPt>
          <c:dPt>
            <c:idx val="7"/>
            <c:invertIfNegative val="0"/>
            <c:bubble3D val="0"/>
            <c:spPr>
              <a:solidFill>
                <a:srgbClr val="F28E86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744E-4E9C-A438-174E72F0B818}"/>
              </c:ext>
            </c:extLst>
          </c:dPt>
          <c:dPt>
            <c:idx val="8"/>
            <c:invertIfNegative val="0"/>
            <c:bubble3D val="0"/>
            <c:spPr>
              <a:solidFill>
                <a:srgbClr val="C22114"/>
              </a:solidFill>
              <a:ln w="63500" cap="flat" cmpd="sng" algn="ctr">
                <a:solidFill>
                  <a:srgbClr val="C2211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744E-4E9C-A438-174E72F0B818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744E-4E9C-A438-174E72F0B818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744E-4E9C-A438-174E72F0B818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744E-4E9C-A438-174E72F0B818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744E-4E9C-A438-174E72F0B818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744E-4E9C-A438-174E72F0B818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744E-4E9C-A438-174E72F0B818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744E-4E9C-A438-174E72F0B818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744E-4E9C-A438-174E72F0B818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744E-4E9C-A438-174E72F0B818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744E-4E9C-A438-174E72F0B818}"/>
              </c:ext>
            </c:extLst>
          </c:dPt>
          <c:dPt>
            <c:idx val="19"/>
            <c:invertIfNegative val="0"/>
            <c:bubble3D val="0"/>
            <c:spPr>
              <a:solidFill>
                <a:srgbClr val="1A5529"/>
              </a:solidFill>
              <a:ln w="63500" cap="flat">
                <a:solidFill>
                  <a:srgbClr val="1A5529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744E-4E9C-A438-174E72F0B818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744E-4E9C-A438-174E72F0B818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744E-4E9C-A438-174E72F0B81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9'!$E$2:$Z$2</c:f>
              <c:strCache>
                <c:ptCount val="22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Candidat 11</c:v>
                </c:pt>
                <c:pt idx="11">
                  <c:v>Candidat 12</c:v>
                </c:pt>
                <c:pt idx="12">
                  <c:v>Candidat 13</c:v>
                </c:pt>
                <c:pt idx="13">
                  <c:v>Candidat 14</c:v>
                </c:pt>
                <c:pt idx="14">
                  <c:v>Candidat 15</c:v>
                </c:pt>
                <c:pt idx="15">
                  <c:v>Candidat 16</c:v>
                </c:pt>
                <c:pt idx="16">
                  <c:v>Candidat 17</c:v>
                </c:pt>
                <c:pt idx="17">
                  <c:v>Candidat 18</c:v>
                </c:pt>
                <c:pt idx="18">
                  <c:v>Candidat 19</c:v>
                </c:pt>
                <c:pt idx="19">
                  <c:v>Candidat 20</c:v>
                </c:pt>
                <c:pt idx="20">
                  <c:v>Blancs</c:v>
                </c:pt>
                <c:pt idx="21">
                  <c:v>Nuls</c:v>
                </c:pt>
              </c:strCache>
            </c:strRef>
          </c:cat>
          <c:val>
            <c:numRef>
              <c:f>'Bureau 9'!$E$13:$Z$13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 formatCode="#,##0">
                  <c:v>0</c:v>
                </c:pt>
                <c:pt idx="2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4E-4E9C-A438-174E72F0B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9'!$AH$2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1EE0-4174-B357-7A5E0D344BCE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EE0-4174-B357-7A5E0D344BCE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1EE0-4174-B357-7A5E0D344BCE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EE0-4174-B357-7A5E0D344BCE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1EE0-4174-B357-7A5E0D344BCE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1EE0-4174-B357-7A5E0D344BCE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1EE0-4174-B357-7A5E0D344BCE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1EE0-4174-B357-7A5E0D344BCE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1EE0-4174-B357-7A5E0D344BCE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1EE0-4174-B357-7A5E0D344BCE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EE0-4174-B357-7A5E0D344BCE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1EE0-4174-B357-7A5E0D344BCE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1EE0-4174-B357-7A5E0D344BCE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9'!$AF$3:$AF$15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9'!$AH$3:$AH$15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EE0-4174-B357-7A5E0D344B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9'!$AK$2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7D43-482D-BCE6-F22415829753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7D43-482D-BCE6-F22415829753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7D43-482D-BCE6-F22415829753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D43-482D-BCE6-F22415829753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7D43-482D-BCE6-F22415829753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7D43-482D-BCE6-F22415829753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7D43-482D-BCE6-F22415829753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7D43-482D-BCE6-F22415829753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7D43-482D-BCE6-F22415829753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7D43-482D-BCE6-F22415829753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7D43-482D-BCE6-F22415829753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7D43-482D-BCE6-F22415829753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7D43-482D-BCE6-F22415829753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9'!$AJ$4:$AJ$15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9'!$AK$4:$AK$15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D43-482D-BCE6-F22415829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10'!$D$13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3D-482D-8950-0ABB1E939B0F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E93D-482D-8950-0ABB1E939B0F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E93D-482D-8950-0ABB1E939B0F}"/>
              </c:ext>
            </c:extLst>
          </c:dPt>
          <c:dPt>
            <c:idx val="3"/>
            <c:invertIfNegative val="0"/>
            <c:bubble3D val="0"/>
            <c:spPr>
              <a:solidFill>
                <a:srgbClr val="0D5ADB"/>
              </a:solidFill>
              <a:ln w="63500" cap="flat" cmpd="sng" algn="ctr">
                <a:solidFill>
                  <a:srgbClr val="0D5AD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E93D-482D-8950-0ABB1E939B0F}"/>
              </c:ext>
            </c:extLst>
          </c:dPt>
          <c:dPt>
            <c:idx val="4"/>
            <c:invertIfNegative val="0"/>
            <c:bubble3D val="0"/>
            <c:spPr>
              <a:solidFill>
                <a:srgbClr val="093D93"/>
              </a:solidFill>
              <a:ln w="63500" cap="flat" cmpd="sng" algn="ctr">
                <a:solidFill>
                  <a:srgbClr val="093D9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E93D-482D-8950-0ABB1E939B0F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E93D-482D-8950-0ABB1E939B0F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E93D-482D-8950-0ABB1E939B0F}"/>
              </c:ext>
            </c:extLst>
          </c:dPt>
          <c:dPt>
            <c:idx val="7"/>
            <c:invertIfNegative val="0"/>
            <c:bubble3D val="0"/>
            <c:spPr>
              <a:solidFill>
                <a:srgbClr val="F28E86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E93D-482D-8950-0ABB1E939B0F}"/>
              </c:ext>
            </c:extLst>
          </c:dPt>
          <c:dPt>
            <c:idx val="8"/>
            <c:invertIfNegative val="0"/>
            <c:bubble3D val="0"/>
            <c:spPr>
              <a:solidFill>
                <a:srgbClr val="C22114"/>
              </a:solidFill>
              <a:ln w="63500" cap="flat" cmpd="sng" algn="ctr">
                <a:solidFill>
                  <a:srgbClr val="C2211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E93D-482D-8950-0ABB1E939B0F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E93D-482D-8950-0ABB1E939B0F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E93D-482D-8950-0ABB1E939B0F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E93D-482D-8950-0ABB1E939B0F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E93D-482D-8950-0ABB1E939B0F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E93D-482D-8950-0ABB1E939B0F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E93D-482D-8950-0ABB1E939B0F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E93D-482D-8950-0ABB1E939B0F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E93D-482D-8950-0ABB1E939B0F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E93D-482D-8950-0ABB1E939B0F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E93D-482D-8950-0ABB1E939B0F}"/>
              </c:ext>
            </c:extLst>
          </c:dPt>
          <c:dPt>
            <c:idx val="19"/>
            <c:invertIfNegative val="0"/>
            <c:bubble3D val="0"/>
            <c:spPr>
              <a:solidFill>
                <a:srgbClr val="1A5529"/>
              </a:solidFill>
              <a:ln w="63500" cap="flat">
                <a:solidFill>
                  <a:srgbClr val="1A5529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E93D-482D-8950-0ABB1E939B0F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E93D-482D-8950-0ABB1E939B0F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E93D-482D-8950-0ABB1E939B0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10'!$E$2:$Z$2</c:f>
              <c:strCache>
                <c:ptCount val="22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Candidat 11</c:v>
                </c:pt>
                <c:pt idx="11">
                  <c:v>Candidat 12</c:v>
                </c:pt>
                <c:pt idx="12">
                  <c:v>Candidat 13</c:v>
                </c:pt>
                <c:pt idx="13">
                  <c:v>Candidat 14</c:v>
                </c:pt>
                <c:pt idx="14">
                  <c:v>Candidat 15</c:v>
                </c:pt>
                <c:pt idx="15">
                  <c:v>Candidat 16</c:v>
                </c:pt>
                <c:pt idx="16">
                  <c:v>Candidat 17</c:v>
                </c:pt>
                <c:pt idx="17">
                  <c:v>Candidat 18</c:v>
                </c:pt>
                <c:pt idx="18">
                  <c:v>Candidat 19</c:v>
                </c:pt>
                <c:pt idx="19">
                  <c:v>Candidat 20</c:v>
                </c:pt>
                <c:pt idx="20">
                  <c:v>Blancs</c:v>
                </c:pt>
                <c:pt idx="21">
                  <c:v>Nuls</c:v>
                </c:pt>
              </c:strCache>
            </c:strRef>
          </c:cat>
          <c:val>
            <c:numRef>
              <c:f>'Bureau 10'!$E$13:$Z$13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 formatCode="#,##0">
                  <c:v>0</c:v>
                </c:pt>
                <c:pt idx="2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E93D-482D-8950-0ABB1E939B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10'!$AH$2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4E73-4694-B854-93EB6BD881B3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E73-4694-B854-93EB6BD881B3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4E73-4694-B854-93EB6BD881B3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4E73-4694-B854-93EB6BD881B3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4E73-4694-B854-93EB6BD881B3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4E73-4694-B854-93EB6BD881B3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4E73-4694-B854-93EB6BD881B3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4E73-4694-B854-93EB6BD881B3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4E73-4694-B854-93EB6BD881B3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4E73-4694-B854-93EB6BD881B3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4E73-4694-B854-93EB6BD881B3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4E73-4694-B854-93EB6BD881B3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4E73-4694-B854-93EB6BD881B3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10'!$AF$3:$AF$15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10'!$AH$3:$AH$15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E73-4694-B854-93EB6BD88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10'!$AK$2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68EF-432D-97A5-1BB154DF9EFB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68EF-432D-97A5-1BB154DF9EFB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68EF-432D-97A5-1BB154DF9EFB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68EF-432D-97A5-1BB154DF9EFB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68EF-432D-97A5-1BB154DF9EFB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68EF-432D-97A5-1BB154DF9EFB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68EF-432D-97A5-1BB154DF9EFB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68EF-432D-97A5-1BB154DF9EFB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68EF-432D-97A5-1BB154DF9EFB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68EF-432D-97A5-1BB154DF9EFB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68EF-432D-97A5-1BB154DF9EFB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68EF-432D-97A5-1BB154DF9EFB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68EF-432D-97A5-1BB154DF9EFB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10'!$AJ$4:$AJ$15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10'!$AK$4:$AK$15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8EF-432D-97A5-1BB154DF9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11'!$D$13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BB4D-4724-8A79-03A45FD5182F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BB4D-4724-8A79-03A45FD5182F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BB4D-4724-8A79-03A45FD5182F}"/>
              </c:ext>
            </c:extLst>
          </c:dPt>
          <c:dPt>
            <c:idx val="3"/>
            <c:invertIfNegative val="0"/>
            <c:bubble3D val="0"/>
            <c:spPr>
              <a:solidFill>
                <a:srgbClr val="0D5ADB"/>
              </a:solidFill>
              <a:ln w="63500" cap="flat" cmpd="sng" algn="ctr">
                <a:solidFill>
                  <a:srgbClr val="0D5AD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BB4D-4724-8A79-03A45FD5182F}"/>
              </c:ext>
            </c:extLst>
          </c:dPt>
          <c:dPt>
            <c:idx val="4"/>
            <c:invertIfNegative val="0"/>
            <c:bubble3D val="0"/>
            <c:spPr>
              <a:solidFill>
                <a:srgbClr val="093D93"/>
              </a:solidFill>
              <a:ln w="63500" cap="flat" cmpd="sng" algn="ctr">
                <a:solidFill>
                  <a:srgbClr val="093D9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BB4D-4724-8A79-03A45FD5182F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BB4D-4724-8A79-03A45FD5182F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BB4D-4724-8A79-03A45FD5182F}"/>
              </c:ext>
            </c:extLst>
          </c:dPt>
          <c:dPt>
            <c:idx val="7"/>
            <c:invertIfNegative val="0"/>
            <c:bubble3D val="0"/>
            <c:spPr>
              <a:solidFill>
                <a:srgbClr val="F28E86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BB4D-4724-8A79-03A45FD5182F}"/>
              </c:ext>
            </c:extLst>
          </c:dPt>
          <c:dPt>
            <c:idx val="8"/>
            <c:invertIfNegative val="0"/>
            <c:bubble3D val="0"/>
            <c:spPr>
              <a:solidFill>
                <a:srgbClr val="C22114"/>
              </a:solidFill>
              <a:ln w="63500" cap="flat" cmpd="sng" algn="ctr">
                <a:solidFill>
                  <a:srgbClr val="C2211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BB4D-4724-8A79-03A45FD5182F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BB4D-4724-8A79-03A45FD5182F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BB4D-4724-8A79-03A45FD5182F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BB4D-4724-8A79-03A45FD5182F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BB4D-4724-8A79-03A45FD5182F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BB4D-4724-8A79-03A45FD5182F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BB4D-4724-8A79-03A45FD5182F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BB4D-4724-8A79-03A45FD5182F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BB4D-4724-8A79-03A45FD5182F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BB4D-4724-8A79-03A45FD5182F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BB4D-4724-8A79-03A45FD5182F}"/>
              </c:ext>
            </c:extLst>
          </c:dPt>
          <c:dPt>
            <c:idx val="19"/>
            <c:invertIfNegative val="0"/>
            <c:bubble3D val="0"/>
            <c:spPr>
              <a:solidFill>
                <a:srgbClr val="1A5529"/>
              </a:solidFill>
              <a:ln w="63500" cap="flat">
                <a:solidFill>
                  <a:srgbClr val="1A5529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BB4D-4724-8A79-03A45FD5182F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BB4D-4724-8A79-03A45FD5182F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BB4D-4724-8A79-03A45FD5182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11'!$E$2:$Z$2</c:f>
              <c:strCache>
                <c:ptCount val="22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Candidat 11</c:v>
                </c:pt>
                <c:pt idx="11">
                  <c:v>Candidat 12</c:v>
                </c:pt>
                <c:pt idx="12">
                  <c:v>Candidat 13</c:v>
                </c:pt>
                <c:pt idx="13">
                  <c:v>Candidat 14</c:v>
                </c:pt>
                <c:pt idx="14">
                  <c:v>Candidat 15</c:v>
                </c:pt>
                <c:pt idx="15">
                  <c:v>Candidat 16</c:v>
                </c:pt>
                <c:pt idx="16">
                  <c:v>Candidat 17</c:v>
                </c:pt>
                <c:pt idx="17">
                  <c:v>Candidat 18</c:v>
                </c:pt>
                <c:pt idx="18">
                  <c:v>Candidat 19</c:v>
                </c:pt>
                <c:pt idx="19">
                  <c:v>Candidat 20</c:v>
                </c:pt>
                <c:pt idx="20">
                  <c:v>Blancs</c:v>
                </c:pt>
                <c:pt idx="21">
                  <c:v>Nuls</c:v>
                </c:pt>
              </c:strCache>
            </c:strRef>
          </c:cat>
          <c:val>
            <c:numRef>
              <c:f>'Bureau 11'!$E$13:$Z$13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 formatCode="#,##0">
                  <c:v>0</c:v>
                </c:pt>
                <c:pt idx="2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BB4D-4724-8A79-03A45FD51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11'!$AH$2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4028-4D99-B2F9-67AB80D9D5FB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028-4D99-B2F9-67AB80D9D5FB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4028-4D99-B2F9-67AB80D9D5FB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4028-4D99-B2F9-67AB80D9D5FB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4028-4D99-B2F9-67AB80D9D5FB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4028-4D99-B2F9-67AB80D9D5FB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4028-4D99-B2F9-67AB80D9D5FB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4028-4D99-B2F9-67AB80D9D5FB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4028-4D99-B2F9-67AB80D9D5FB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4028-4D99-B2F9-67AB80D9D5FB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4028-4D99-B2F9-67AB80D9D5FB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4028-4D99-B2F9-67AB80D9D5FB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4028-4D99-B2F9-67AB80D9D5FB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11'!$AF$3:$AF$15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11'!$AH$3:$AH$15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028-4D99-B2F9-67AB80D9D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11'!$AK$2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6C11-4112-B142-B0ACB595B7CC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6C11-4112-B142-B0ACB595B7CC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6C11-4112-B142-B0ACB595B7CC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6C11-4112-B142-B0ACB595B7CC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6C11-4112-B142-B0ACB595B7CC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6C11-4112-B142-B0ACB595B7CC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6C11-4112-B142-B0ACB595B7CC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6C11-4112-B142-B0ACB595B7CC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6C11-4112-B142-B0ACB595B7CC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6C11-4112-B142-B0ACB595B7CC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6C11-4112-B142-B0ACB595B7CC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6C11-4112-B142-B0ACB595B7CC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6C11-4112-B142-B0ACB595B7CC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11'!$AJ$4:$AJ$15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11'!$AK$4:$AK$15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C11-4112-B142-B0ACB595B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12'!$D$13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213B-4523-80A9-03A2E9227A2C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213B-4523-80A9-03A2E9227A2C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213B-4523-80A9-03A2E9227A2C}"/>
              </c:ext>
            </c:extLst>
          </c:dPt>
          <c:dPt>
            <c:idx val="3"/>
            <c:invertIfNegative val="0"/>
            <c:bubble3D val="0"/>
            <c:spPr>
              <a:solidFill>
                <a:srgbClr val="0D5ADB"/>
              </a:solidFill>
              <a:ln w="63500" cap="flat" cmpd="sng" algn="ctr">
                <a:solidFill>
                  <a:srgbClr val="0D5AD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213B-4523-80A9-03A2E9227A2C}"/>
              </c:ext>
            </c:extLst>
          </c:dPt>
          <c:dPt>
            <c:idx val="4"/>
            <c:invertIfNegative val="0"/>
            <c:bubble3D val="0"/>
            <c:spPr>
              <a:solidFill>
                <a:srgbClr val="093D93"/>
              </a:solidFill>
              <a:ln w="63500" cap="flat" cmpd="sng" algn="ctr">
                <a:solidFill>
                  <a:srgbClr val="093D9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213B-4523-80A9-03A2E9227A2C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213B-4523-80A9-03A2E9227A2C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213B-4523-80A9-03A2E9227A2C}"/>
              </c:ext>
            </c:extLst>
          </c:dPt>
          <c:dPt>
            <c:idx val="7"/>
            <c:invertIfNegative val="0"/>
            <c:bubble3D val="0"/>
            <c:spPr>
              <a:solidFill>
                <a:srgbClr val="F28E86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213B-4523-80A9-03A2E9227A2C}"/>
              </c:ext>
            </c:extLst>
          </c:dPt>
          <c:dPt>
            <c:idx val="8"/>
            <c:invertIfNegative val="0"/>
            <c:bubble3D val="0"/>
            <c:spPr>
              <a:solidFill>
                <a:srgbClr val="C22114"/>
              </a:solidFill>
              <a:ln w="63500" cap="flat" cmpd="sng" algn="ctr">
                <a:solidFill>
                  <a:srgbClr val="C2211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213B-4523-80A9-03A2E9227A2C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213B-4523-80A9-03A2E9227A2C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213B-4523-80A9-03A2E9227A2C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213B-4523-80A9-03A2E9227A2C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213B-4523-80A9-03A2E9227A2C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213B-4523-80A9-03A2E9227A2C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213B-4523-80A9-03A2E9227A2C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213B-4523-80A9-03A2E9227A2C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213B-4523-80A9-03A2E9227A2C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213B-4523-80A9-03A2E9227A2C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213B-4523-80A9-03A2E9227A2C}"/>
              </c:ext>
            </c:extLst>
          </c:dPt>
          <c:dPt>
            <c:idx val="19"/>
            <c:invertIfNegative val="0"/>
            <c:bubble3D val="0"/>
            <c:spPr>
              <a:solidFill>
                <a:srgbClr val="1A5529"/>
              </a:solidFill>
              <a:ln w="63500" cap="flat">
                <a:solidFill>
                  <a:srgbClr val="1A5529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213B-4523-80A9-03A2E9227A2C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213B-4523-80A9-03A2E9227A2C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213B-4523-80A9-03A2E9227A2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12'!$E$2:$Z$2</c:f>
              <c:strCache>
                <c:ptCount val="22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Candidat 11</c:v>
                </c:pt>
                <c:pt idx="11">
                  <c:v>Candidat 12</c:v>
                </c:pt>
                <c:pt idx="12">
                  <c:v>Candidat 13</c:v>
                </c:pt>
                <c:pt idx="13">
                  <c:v>Candidat 14</c:v>
                </c:pt>
                <c:pt idx="14">
                  <c:v>Candidat 15</c:v>
                </c:pt>
                <c:pt idx="15">
                  <c:v>Candidat 16</c:v>
                </c:pt>
                <c:pt idx="16">
                  <c:v>Candidat 17</c:v>
                </c:pt>
                <c:pt idx="17">
                  <c:v>Candidat 18</c:v>
                </c:pt>
                <c:pt idx="18">
                  <c:v>Candidat 19</c:v>
                </c:pt>
                <c:pt idx="19">
                  <c:v>Candidat 20</c:v>
                </c:pt>
                <c:pt idx="20">
                  <c:v>Blancs</c:v>
                </c:pt>
                <c:pt idx="21">
                  <c:v>Nuls</c:v>
                </c:pt>
              </c:strCache>
            </c:strRef>
          </c:cat>
          <c:val>
            <c:numRef>
              <c:f>'Bureau 12'!$E$13:$Z$13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 formatCode="#,##0">
                  <c:v>0</c:v>
                </c:pt>
                <c:pt idx="2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213B-4523-80A9-03A2E9227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12'!$AH$2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AAA5-4AE7-95AF-13E30A04ECDD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AA5-4AE7-95AF-13E30A04ECDD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AAA5-4AE7-95AF-13E30A04ECDD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AAA5-4AE7-95AF-13E30A04ECDD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AAA5-4AE7-95AF-13E30A04ECDD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AAA5-4AE7-95AF-13E30A04ECDD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AAA5-4AE7-95AF-13E30A04ECDD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AAA5-4AE7-95AF-13E30A04ECDD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AAA5-4AE7-95AF-13E30A04ECDD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AAA5-4AE7-95AF-13E30A04ECDD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AAA5-4AE7-95AF-13E30A04ECDD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AAA5-4AE7-95AF-13E30A04ECDD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AAA5-4AE7-95AF-13E30A04ECDD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12'!$AF$3:$AF$15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12'!$AH$3:$AH$15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AA5-4AE7-95AF-13E30A04E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12'!$AK$2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0C5D-4B0E-972B-4D1F1ECC70A5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5D-4B0E-972B-4D1F1ECC70A5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0C5D-4B0E-972B-4D1F1ECC70A5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C5D-4B0E-972B-4D1F1ECC70A5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0C5D-4B0E-972B-4D1F1ECC70A5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0C5D-4B0E-972B-4D1F1ECC70A5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0C5D-4B0E-972B-4D1F1ECC70A5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0C5D-4B0E-972B-4D1F1ECC70A5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0C5D-4B0E-972B-4D1F1ECC70A5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0C5D-4B0E-972B-4D1F1ECC70A5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0C5D-4B0E-972B-4D1F1ECC70A5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0C5D-4B0E-972B-4D1F1ECC70A5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0C5D-4B0E-972B-4D1F1ECC70A5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12'!$AJ$4:$AJ$15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12'!$AK$4:$AK$15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C5D-4B0E-972B-4D1F1ECC7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45189</xdr:colOff>
      <xdr:row>17</xdr:row>
      <xdr:rowOff>138225</xdr:rowOff>
    </xdr:from>
    <xdr:ext cx="12210311" cy="5562600"/>
    <xdr:graphicFrame macro="">
      <xdr:nvGraphicFramePr>
        <xdr:cNvPr id="2" name="Chart 1" title="Graphiqu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twoCellAnchor>
    <xdr:from>
      <xdr:col>2</xdr:col>
      <xdr:colOff>212480</xdr:colOff>
      <xdr:row>25</xdr:row>
      <xdr:rowOff>80596</xdr:rowOff>
    </xdr:from>
    <xdr:to>
      <xdr:col>8</xdr:col>
      <xdr:colOff>103390</xdr:colOff>
      <xdr:row>29</xdr:row>
      <xdr:rowOff>49822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9A2D36F2-33C1-4534-AC4D-48F98851114D}"/>
            </a:ext>
          </a:extLst>
        </xdr:cNvPr>
        <xdr:cNvGrpSpPr/>
      </xdr:nvGrpSpPr>
      <xdr:grpSpPr>
        <a:xfrm>
          <a:off x="1895230" y="4832513"/>
          <a:ext cx="4124243" cy="604226"/>
          <a:chOff x="1672167" y="3798518"/>
          <a:chExt cx="3685333" cy="607483"/>
        </a:xfrm>
      </xdr:grpSpPr>
      <xdr:pic>
        <xdr:nvPicPr>
          <xdr:cNvPr id="7" name="Image 6" descr="Informations avec un remplissage uni">
            <a:extLst>
              <a:ext uri="{FF2B5EF4-FFF2-40B4-BE49-F238E27FC236}">
                <a16:creationId xmlns:a16="http://schemas.microsoft.com/office/drawing/2014/main" id="{5C691DA3-E978-CDC4-AD00-2BB9290DA9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672167" y="3873500"/>
            <a:ext cx="415382" cy="464480"/>
          </a:xfrm>
          <a:prstGeom prst="rect">
            <a:avLst/>
          </a:prstGeom>
        </xdr:spPr>
      </xdr:pic>
      <xdr:sp macro="" textlink="">
        <xdr:nvSpPr>
          <xdr:cNvPr id="8" name="Légende : encadrée 7">
            <a:extLst>
              <a:ext uri="{FF2B5EF4-FFF2-40B4-BE49-F238E27FC236}">
                <a16:creationId xmlns:a16="http://schemas.microsoft.com/office/drawing/2014/main" id="{C91F3425-09A0-BE55-5696-C6C5BFECA19A}"/>
              </a:ext>
            </a:extLst>
          </xdr:cNvPr>
          <xdr:cNvSpPr/>
        </xdr:nvSpPr>
        <xdr:spPr>
          <a:xfrm>
            <a:off x="2142283" y="3798518"/>
            <a:ext cx="3215217" cy="607483"/>
          </a:xfrm>
          <a:prstGeom prst="borderCallout1">
            <a:avLst>
              <a:gd name="adj1" fmla="val -279"/>
              <a:gd name="adj2" fmla="val 9564"/>
              <a:gd name="adj3" fmla="val -162938"/>
              <a:gd name="adj4" fmla="val -19407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2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Mettre à jour les informations de cette élection</a:t>
            </a:r>
            <a:endParaRPr lang="fr-FR" sz="12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2</xdr:col>
      <xdr:colOff>264583</xdr:colOff>
      <xdr:row>17</xdr:row>
      <xdr:rowOff>70665</xdr:rowOff>
    </xdr:from>
    <xdr:to>
      <xdr:col>8</xdr:col>
      <xdr:colOff>109904</xdr:colOff>
      <xdr:row>21</xdr:row>
      <xdr:rowOff>32564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A1CC9D42-8847-8C35-7FB4-2318D2548E50}"/>
            </a:ext>
          </a:extLst>
        </xdr:cNvPr>
        <xdr:cNvGrpSpPr/>
      </xdr:nvGrpSpPr>
      <xdr:grpSpPr>
        <a:xfrm>
          <a:off x="1947333" y="3351498"/>
          <a:ext cx="4078654" cy="797983"/>
          <a:chOff x="1739151" y="3805767"/>
          <a:chExt cx="3647766" cy="607483"/>
        </a:xfrm>
      </xdr:grpSpPr>
      <xdr:pic>
        <xdr:nvPicPr>
          <xdr:cNvPr id="3" name="Image 2" descr="Informations avec un remplissage uni">
            <a:extLst>
              <a:ext uri="{FF2B5EF4-FFF2-40B4-BE49-F238E27FC236}">
                <a16:creationId xmlns:a16="http://schemas.microsoft.com/office/drawing/2014/main" id="{1AAF2774-CDC8-451D-83F6-CABF2686F5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739151" y="3921841"/>
            <a:ext cx="435403" cy="355646"/>
          </a:xfrm>
          <a:prstGeom prst="rect">
            <a:avLst/>
          </a:prstGeom>
        </xdr:spPr>
      </xdr:pic>
      <xdr:sp macro="" textlink="">
        <xdr:nvSpPr>
          <xdr:cNvPr id="4" name="Légende : encadrée 3">
            <a:extLst>
              <a:ext uri="{FF2B5EF4-FFF2-40B4-BE49-F238E27FC236}">
                <a16:creationId xmlns:a16="http://schemas.microsoft.com/office/drawing/2014/main" id="{31CE0C09-39D2-4104-A158-54409C942DD9}"/>
              </a:ext>
            </a:extLst>
          </xdr:cNvPr>
          <xdr:cNvSpPr/>
        </xdr:nvSpPr>
        <xdr:spPr>
          <a:xfrm>
            <a:off x="2171700" y="3805767"/>
            <a:ext cx="3215217" cy="607483"/>
          </a:xfrm>
          <a:prstGeom prst="borderCallout1">
            <a:avLst>
              <a:gd name="adj1" fmla="val -279"/>
              <a:gd name="adj2" fmla="val 9564"/>
              <a:gd name="adj3" fmla="val -145540"/>
              <a:gd name="adj4" fmla="val -8095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2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Mettre à jour le nom et le nombre d'inscrits de chaque bureau de vote</a:t>
            </a:r>
            <a:endParaRPr lang="fr-FR" sz="12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31</xdr:col>
      <xdr:colOff>398991</xdr:colOff>
      <xdr:row>21</xdr:row>
      <xdr:rowOff>20108</xdr:rowOff>
    </xdr:from>
    <xdr:to>
      <xdr:col>35</xdr:col>
      <xdr:colOff>718526</xdr:colOff>
      <xdr:row>24</xdr:row>
      <xdr:rowOff>148084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756F413-6096-441F-848E-26EBEA35E65F}"/>
            </a:ext>
          </a:extLst>
        </xdr:cNvPr>
        <xdr:cNvGrpSpPr/>
      </xdr:nvGrpSpPr>
      <xdr:grpSpPr>
        <a:xfrm>
          <a:off x="29820658" y="4137025"/>
          <a:ext cx="3663868" cy="604226"/>
          <a:chOff x="1672167" y="3798518"/>
          <a:chExt cx="3685333" cy="607483"/>
        </a:xfrm>
      </xdr:grpSpPr>
      <xdr:pic>
        <xdr:nvPicPr>
          <xdr:cNvPr id="10" name="Image 9" descr="Informations avec un remplissage uni">
            <a:extLst>
              <a:ext uri="{FF2B5EF4-FFF2-40B4-BE49-F238E27FC236}">
                <a16:creationId xmlns:a16="http://schemas.microsoft.com/office/drawing/2014/main" id="{7A5131B0-0F07-CE0A-CF98-C980085774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672167" y="3873500"/>
            <a:ext cx="450873" cy="464480"/>
          </a:xfrm>
          <a:prstGeom prst="rect">
            <a:avLst/>
          </a:prstGeom>
        </xdr:spPr>
      </xdr:pic>
      <xdr:sp macro="" textlink="">
        <xdr:nvSpPr>
          <xdr:cNvPr id="11" name="Légende : encadrée 10">
            <a:extLst>
              <a:ext uri="{FF2B5EF4-FFF2-40B4-BE49-F238E27FC236}">
                <a16:creationId xmlns:a16="http://schemas.microsoft.com/office/drawing/2014/main" id="{A671C40C-3517-10BD-1EFD-B1B7110DB872}"/>
              </a:ext>
            </a:extLst>
          </xdr:cNvPr>
          <xdr:cNvSpPr/>
        </xdr:nvSpPr>
        <xdr:spPr>
          <a:xfrm>
            <a:off x="2142283" y="3798518"/>
            <a:ext cx="3215217" cy="607483"/>
          </a:xfrm>
          <a:prstGeom prst="borderCallout1">
            <a:avLst>
              <a:gd name="adj1" fmla="val -279"/>
              <a:gd name="adj2" fmla="val 9564"/>
              <a:gd name="adj3" fmla="val -591939"/>
              <a:gd name="adj4" fmla="val -3442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2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Mettre à jour le nom et la couleur des candidats</a:t>
            </a:r>
            <a:endParaRPr lang="fr-FR" sz="12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419100</xdr:colOff>
          <xdr:row>26</xdr:row>
          <xdr:rowOff>19050</xdr:rowOff>
        </xdr:from>
        <xdr:to>
          <xdr:col>35</xdr:col>
          <xdr:colOff>190500</xdr:colOff>
          <xdr:row>30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Répliquer le nom et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la couleur des candidats dans les onglets</a:t>
              </a:r>
            </a:p>
            <a:p>
              <a:pPr algn="ctr" rtl="0">
                <a:defRPr sz="1000"/>
              </a:pPr>
              <a:endParaRPr lang="fr-F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238125</xdr:colOff>
          <xdr:row>31</xdr:row>
          <xdr:rowOff>9525</xdr:rowOff>
        </xdr:from>
        <xdr:to>
          <xdr:col>32</xdr:col>
          <xdr:colOff>28575</xdr:colOff>
          <xdr:row>32</xdr:row>
          <xdr:rowOff>9525</xdr:rowOff>
        </xdr:to>
        <xdr:sp macro="" textlink="">
          <xdr:nvSpPr>
            <xdr:cNvPr id="3254" name="Button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1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les boutons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Bouton 182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173958</xdr:colOff>
      <xdr:row>15</xdr:row>
      <xdr:rowOff>187831</xdr:rowOff>
    </xdr:from>
    <xdr:ext cx="15419828" cy="604264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466725</xdr:colOff>
          <xdr:row>4</xdr:row>
          <xdr:rowOff>133350</xdr:rowOff>
        </xdr:from>
        <xdr:to>
          <xdr:col>38</xdr:col>
          <xdr:colOff>66675</xdr:colOff>
          <xdr:row>8</xdr:row>
          <xdr:rowOff>57150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Importer la participation du tour précédent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35</xdr:col>
      <xdr:colOff>284443</xdr:colOff>
      <xdr:row>21</xdr:row>
      <xdr:rowOff>147918</xdr:rowOff>
    </xdr:from>
    <xdr:to>
      <xdr:col>36</xdr:col>
      <xdr:colOff>635560</xdr:colOff>
      <xdr:row>23</xdr:row>
      <xdr:rowOff>88153</xdr:rowOff>
    </xdr:to>
    <xdr:sp macro="ToggleBureauButton" textlink="">
      <xdr:nvSpPr>
        <xdr:cNvPr id="2" name="btn_1erTour_Bureau1">
          <a:extLst>
            <a:ext uri="{FF2B5EF4-FFF2-40B4-BE49-F238E27FC236}">
              <a16:creationId xmlns:a16="http://schemas.microsoft.com/office/drawing/2014/main" id="{586DD7FA-8278-9A67-7E04-A4272BF19D1D}"/>
            </a:ext>
          </a:extLst>
        </xdr:cNvPr>
        <xdr:cNvSpPr/>
      </xdr:nvSpPr>
      <xdr:spPr>
        <a:xfrm>
          <a:off x="19681825" y="4305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</a:t>
          </a:r>
        </a:p>
      </xdr:txBody>
    </xdr:sp>
    <xdr:clientData/>
  </xdr:twoCellAnchor>
  <xdr:twoCellAnchor>
    <xdr:from>
      <xdr:col>35</xdr:col>
      <xdr:colOff>284443</xdr:colOff>
      <xdr:row>23</xdr:row>
      <xdr:rowOff>151653</xdr:rowOff>
    </xdr:from>
    <xdr:to>
      <xdr:col>36</xdr:col>
      <xdr:colOff>635560</xdr:colOff>
      <xdr:row>25</xdr:row>
      <xdr:rowOff>91888</xdr:rowOff>
    </xdr:to>
    <xdr:sp macro="ToggleBureauButton" textlink="">
      <xdr:nvSpPr>
        <xdr:cNvPr id="4" name="btn_1erTour_Bureau2">
          <a:extLst>
            <a:ext uri="{FF2B5EF4-FFF2-40B4-BE49-F238E27FC236}">
              <a16:creationId xmlns:a16="http://schemas.microsoft.com/office/drawing/2014/main" id="{7C4AB28B-1062-EECD-C6E1-0A790FE87E05}"/>
            </a:ext>
          </a:extLst>
        </xdr:cNvPr>
        <xdr:cNvSpPr/>
      </xdr:nvSpPr>
      <xdr:spPr>
        <a:xfrm>
          <a:off x="19681825" y="4622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2</a:t>
          </a:r>
        </a:p>
      </xdr:txBody>
    </xdr:sp>
    <xdr:clientData/>
  </xdr:twoCellAnchor>
  <xdr:twoCellAnchor>
    <xdr:from>
      <xdr:col>35</xdr:col>
      <xdr:colOff>284443</xdr:colOff>
      <xdr:row>25</xdr:row>
      <xdr:rowOff>155388</xdr:rowOff>
    </xdr:from>
    <xdr:to>
      <xdr:col>36</xdr:col>
      <xdr:colOff>635560</xdr:colOff>
      <xdr:row>27</xdr:row>
      <xdr:rowOff>95624</xdr:rowOff>
    </xdr:to>
    <xdr:sp macro="ToggleBureauButton" textlink="">
      <xdr:nvSpPr>
        <xdr:cNvPr id="5" name="btn_1erTour_Bureau3">
          <a:extLst>
            <a:ext uri="{FF2B5EF4-FFF2-40B4-BE49-F238E27FC236}">
              <a16:creationId xmlns:a16="http://schemas.microsoft.com/office/drawing/2014/main" id="{9BF3F7B4-895B-05C8-7A4E-05FB3AAE321E}"/>
            </a:ext>
          </a:extLst>
        </xdr:cNvPr>
        <xdr:cNvSpPr/>
      </xdr:nvSpPr>
      <xdr:spPr>
        <a:xfrm>
          <a:off x="19681825" y="4940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3</a:t>
          </a:r>
        </a:p>
      </xdr:txBody>
    </xdr:sp>
    <xdr:clientData/>
  </xdr:twoCellAnchor>
  <xdr:twoCellAnchor>
    <xdr:from>
      <xdr:col>35</xdr:col>
      <xdr:colOff>284443</xdr:colOff>
      <xdr:row>27</xdr:row>
      <xdr:rowOff>159124</xdr:rowOff>
    </xdr:from>
    <xdr:to>
      <xdr:col>36</xdr:col>
      <xdr:colOff>635560</xdr:colOff>
      <xdr:row>29</xdr:row>
      <xdr:rowOff>54535</xdr:rowOff>
    </xdr:to>
    <xdr:sp macro="ToggleBureauButton" textlink="">
      <xdr:nvSpPr>
        <xdr:cNvPr id="6" name="btn_1erTour_Bureau4">
          <a:extLst>
            <a:ext uri="{FF2B5EF4-FFF2-40B4-BE49-F238E27FC236}">
              <a16:creationId xmlns:a16="http://schemas.microsoft.com/office/drawing/2014/main" id="{8B1401AC-874A-AB50-D73E-0DC17010CAD8}"/>
            </a:ext>
          </a:extLst>
        </xdr:cNvPr>
        <xdr:cNvSpPr/>
      </xdr:nvSpPr>
      <xdr:spPr>
        <a:xfrm>
          <a:off x="19681825" y="5257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4</a:t>
          </a:r>
        </a:p>
      </xdr:txBody>
    </xdr:sp>
    <xdr:clientData/>
  </xdr:twoCellAnchor>
  <xdr:twoCellAnchor>
    <xdr:from>
      <xdr:col>35</xdr:col>
      <xdr:colOff>284443</xdr:colOff>
      <xdr:row>29</xdr:row>
      <xdr:rowOff>118035</xdr:rowOff>
    </xdr:from>
    <xdr:to>
      <xdr:col>36</xdr:col>
      <xdr:colOff>635560</xdr:colOff>
      <xdr:row>31</xdr:row>
      <xdr:rowOff>58271</xdr:rowOff>
    </xdr:to>
    <xdr:sp macro="ToggleBureauButton" textlink="">
      <xdr:nvSpPr>
        <xdr:cNvPr id="7" name="btn_1erTour_Bureau5">
          <a:extLst>
            <a:ext uri="{FF2B5EF4-FFF2-40B4-BE49-F238E27FC236}">
              <a16:creationId xmlns:a16="http://schemas.microsoft.com/office/drawing/2014/main" id="{EF206660-3A33-B9DA-F4F4-F8BA78C3218B}"/>
            </a:ext>
          </a:extLst>
        </xdr:cNvPr>
        <xdr:cNvSpPr/>
      </xdr:nvSpPr>
      <xdr:spPr>
        <a:xfrm>
          <a:off x="19681825" y="5575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5</a:t>
          </a:r>
        </a:p>
      </xdr:txBody>
    </xdr:sp>
    <xdr:clientData/>
  </xdr:twoCellAnchor>
  <xdr:twoCellAnchor>
    <xdr:from>
      <xdr:col>35</xdr:col>
      <xdr:colOff>284443</xdr:colOff>
      <xdr:row>31</xdr:row>
      <xdr:rowOff>121771</xdr:rowOff>
    </xdr:from>
    <xdr:to>
      <xdr:col>36</xdr:col>
      <xdr:colOff>635560</xdr:colOff>
      <xdr:row>32</xdr:row>
      <xdr:rowOff>174065</xdr:rowOff>
    </xdr:to>
    <xdr:sp macro="ToggleBureauButton" textlink="">
      <xdr:nvSpPr>
        <xdr:cNvPr id="8" name="btn_1erTour_Bureau6">
          <a:extLst>
            <a:ext uri="{FF2B5EF4-FFF2-40B4-BE49-F238E27FC236}">
              <a16:creationId xmlns:a16="http://schemas.microsoft.com/office/drawing/2014/main" id="{8C20D334-827C-3636-73B5-80A15874D0FA}"/>
            </a:ext>
          </a:extLst>
        </xdr:cNvPr>
        <xdr:cNvSpPr/>
      </xdr:nvSpPr>
      <xdr:spPr>
        <a:xfrm>
          <a:off x="19681825" y="5892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6</a:t>
          </a:r>
        </a:p>
      </xdr:txBody>
    </xdr:sp>
    <xdr:clientData/>
  </xdr:twoCellAnchor>
  <xdr:twoCellAnchor>
    <xdr:from>
      <xdr:col>35</xdr:col>
      <xdr:colOff>284443</xdr:colOff>
      <xdr:row>33</xdr:row>
      <xdr:rowOff>35859</xdr:rowOff>
    </xdr:from>
    <xdr:to>
      <xdr:col>36</xdr:col>
      <xdr:colOff>635560</xdr:colOff>
      <xdr:row>34</xdr:row>
      <xdr:rowOff>88153</xdr:rowOff>
    </xdr:to>
    <xdr:sp macro="ToggleBureauButton" textlink="">
      <xdr:nvSpPr>
        <xdr:cNvPr id="9" name="btn_1erTour_Bureau7">
          <a:extLst>
            <a:ext uri="{FF2B5EF4-FFF2-40B4-BE49-F238E27FC236}">
              <a16:creationId xmlns:a16="http://schemas.microsoft.com/office/drawing/2014/main" id="{AE5D1B2C-AD56-018A-C48B-9A508FABF0E0}"/>
            </a:ext>
          </a:extLst>
        </xdr:cNvPr>
        <xdr:cNvSpPr/>
      </xdr:nvSpPr>
      <xdr:spPr>
        <a:xfrm>
          <a:off x="19681825" y="6210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7</a:t>
          </a:r>
        </a:p>
      </xdr:txBody>
    </xdr:sp>
    <xdr:clientData/>
  </xdr:twoCellAnchor>
  <xdr:twoCellAnchor>
    <xdr:from>
      <xdr:col>35</xdr:col>
      <xdr:colOff>284443</xdr:colOff>
      <xdr:row>34</xdr:row>
      <xdr:rowOff>151653</xdr:rowOff>
    </xdr:from>
    <xdr:to>
      <xdr:col>36</xdr:col>
      <xdr:colOff>635560</xdr:colOff>
      <xdr:row>36</xdr:row>
      <xdr:rowOff>35859</xdr:rowOff>
    </xdr:to>
    <xdr:sp macro="ToggleBureauButton" textlink="">
      <xdr:nvSpPr>
        <xdr:cNvPr id="10" name="btn_1erTour_Bureau8">
          <a:extLst>
            <a:ext uri="{FF2B5EF4-FFF2-40B4-BE49-F238E27FC236}">
              <a16:creationId xmlns:a16="http://schemas.microsoft.com/office/drawing/2014/main" id="{8C63F74C-FFC9-3B36-82EF-ECFC38567BDD}"/>
            </a:ext>
          </a:extLst>
        </xdr:cNvPr>
        <xdr:cNvSpPr/>
      </xdr:nvSpPr>
      <xdr:spPr>
        <a:xfrm>
          <a:off x="19681825" y="6527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8</a:t>
          </a:r>
        </a:p>
      </xdr:txBody>
    </xdr:sp>
    <xdr:clientData/>
  </xdr:twoCellAnchor>
  <xdr:twoCellAnchor>
    <xdr:from>
      <xdr:col>35</xdr:col>
      <xdr:colOff>284443</xdr:colOff>
      <xdr:row>36</xdr:row>
      <xdr:rowOff>99359</xdr:rowOff>
    </xdr:from>
    <xdr:to>
      <xdr:col>36</xdr:col>
      <xdr:colOff>635560</xdr:colOff>
      <xdr:row>38</xdr:row>
      <xdr:rowOff>28388</xdr:rowOff>
    </xdr:to>
    <xdr:sp macro="ToggleBureauButton" textlink="">
      <xdr:nvSpPr>
        <xdr:cNvPr id="11" name="btn_1erTour_Bureau9">
          <a:extLst>
            <a:ext uri="{FF2B5EF4-FFF2-40B4-BE49-F238E27FC236}">
              <a16:creationId xmlns:a16="http://schemas.microsoft.com/office/drawing/2014/main" id="{D16CD7BB-4A22-9039-2C8B-1369C853F9A3}"/>
            </a:ext>
          </a:extLst>
        </xdr:cNvPr>
        <xdr:cNvSpPr/>
      </xdr:nvSpPr>
      <xdr:spPr>
        <a:xfrm>
          <a:off x="19681825" y="6845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9</a:t>
          </a:r>
        </a:p>
      </xdr:txBody>
    </xdr:sp>
    <xdr:clientData/>
  </xdr:twoCellAnchor>
  <xdr:twoCellAnchor>
    <xdr:from>
      <xdr:col>35</xdr:col>
      <xdr:colOff>284443</xdr:colOff>
      <xdr:row>38</xdr:row>
      <xdr:rowOff>91888</xdr:rowOff>
    </xdr:from>
    <xdr:to>
      <xdr:col>36</xdr:col>
      <xdr:colOff>635560</xdr:colOff>
      <xdr:row>40</xdr:row>
      <xdr:rowOff>32124</xdr:rowOff>
    </xdr:to>
    <xdr:sp macro="ToggleBureauButton" textlink="">
      <xdr:nvSpPr>
        <xdr:cNvPr id="12" name="btn_1erTour_Bureau10">
          <a:extLst>
            <a:ext uri="{FF2B5EF4-FFF2-40B4-BE49-F238E27FC236}">
              <a16:creationId xmlns:a16="http://schemas.microsoft.com/office/drawing/2014/main" id="{41BB704B-A24B-6062-BB8C-2DAE0F3D4FA0}"/>
            </a:ext>
          </a:extLst>
        </xdr:cNvPr>
        <xdr:cNvSpPr/>
      </xdr:nvSpPr>
      <xdr:spPr>
        <a:xfrm>
          <a:off x="19681825" y="7162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10</a:t>
          </a:r>
        </a:p>
      </xdr:txBody>
    </xdr:sp>
    <xdr:clientData/>
  </xdr:twoCellAnchor>
  <xdr:twoCellAnchor>
    <xdr:from>
      <xdr:col>35</xdr:col>
      <xdr:colOff>284443</xdr:colOff>
      <xdr:row>40</xdr:row>
      <xdr:rowOff>95624</xdr:rowOff>
    </xdr:from>
    <xdr:to>
      <xdr:col>36</xdr:col>
      <xdr:colOff>635560</xdr:colOff>
      <xdr:row>42</xdr:row>
      <xdr:rowOff>35859</xdr:rowOff>
    </xdr:to>
    <xdr:sp macro="ToggleBureauButton" textlink="">
      <xdr:nvSpPr>
        <xdr:cNvPr id="13" name="btn_1erTour_Bureau11">
          <a:extLst>
            <a:ext uri="{FF2B5EF4-FFF2-40B4-BE49-F238E27FC236}">
              <a16:creationId xmlns:a16="http://schemas.microsoft.com/office/drawing/2014/main" id="{839E981B-ECC4-1545-CC67-018B386F611A}"/>
            </a:ext>
          </a:extLst>
        </xdr:cNvPr>
        <xdr:cNvSpPr/>
      </xdr:nvSpPr>
      <xdr:spPr>
        <a:xfrm>
          <a:off x="19681825" y="7480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11</a:t>
          </a:r>
        </a:p>
      </xdr:txBody>
    </xdr:sp>
    <xdr:clientData/>
  </xdr:twoCellAnchor>
  <xdr:twoCellAnchor>
    <xdr:from>
      <xdr:col>35</xdr:col>
      <xdr:colOff>284443</xdr:colOff>
      <xdr:row>42</xdr:row>
      <xdr:rowOff>99359</xdr:rowOff>
    </xdr:from>
    <xdr:to>
      <xdr:col>36</xdr:col>
      <xdr:colOff>635560</xdr:colOff>
      <xdr:row>44</xdr:row>
      <xdr:rowOff>39594</xdr:rowOff>
    </xdr:to>
    <xdr:sp macro="ToggleBureauButton" textlink="">
      <xdr:nvSpPr>
        <xdr:cNvPr id="14" name="btn_1erTour_Bureau12">
          <a:extLst>
            <a:ext uri="{FF2B5EF4-FFF2-40B4-BE49-F238E27FC236}">
              <a16:creationId xmlns:a16="http://schemas.microsoft.com/office/drawing/2014/main" id="{803D5813-C79F-FCE1-5D54-0425CE4A3D84}"/>
            </a:ext>
          </a:extLst>
        </xdr:cNvPr>
        <xdr:cNvSpPr/>
      </xdr:nvSpPr>
      <xdr:spPr>
        <a:xfrm>
          <a:off x="19681825" y="7797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12</a:t>
          </a:r>
        </a:p>
      </xdr:txBody>
    </xdr:sp>
    <xdr:clientData/>
  </xdr:twoCellAnchor>
  <xdr:twoCellAnchor>
    <xdr:from>
      <xdr:col>35</xdr:col>
      <xdr:colOff>284443</xdr:colOff>
      <xdr:row>44</xdr:row>
      <xdr:rowOff>103094</xdr:rowOff>
    </xdr:from>
    <xdr:to>
      <xdr:col>36</xdr:col>
      <xdr:colOff>635560</xdr:colOff>
      <xdr:row>46</xdr:row>
      <xdr:rowOff>43329</xdr:rowOff>
    </xdr:to>
    <xdr:sp macro="Toggle_Total" textlink="">
      <xdr:nvSpPr>
        <xdr:cNvPr id="15" name="btn_1erTour_Total">
          <a:extLst>
            <a:ext uri="{FF2B5EF4-FFF2-40B4-BE49-F238E27FC236}">
              <a16:creationId xmlns:a16="http://schemas.microsoft.com/office/drawing/2014/main" id="{D59493E7-0D43-ECF1-4D9E-D0435FE5477A}"/>
            </a:ext>
          </a:extLst>
        </xdr:cNvPr>
        <xdr:cNvSpPr/>
      </xdr:nvSpPr>
      <xdr:spPr>
        <a:xfrm>
          <a:off x="19681825" y="8115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Total</a:t>
          </a:r>
        </a:p>
      </xdr:txBody>
    </xdr:sp>
    <xdr:clientData/>
  </xdr:twoCellAnchor>
  <xdr:twoCellAnchor>
    <xdr:from>
      <xdr:col>35</xdr:col>
      <xdr:colOff>284443</xdr:colOff>
      <xdr:row>46</xdr:row>
      <xdr:rowOff>106829</xdr:rowOff>
    </xdr:from>
    <xdr:to>
      <xdr:col>36</xdr:col>
      <xdr:colOff>635560</xdr:colOff>
      <xdr:row>48</xdr:row>
      <xdr:rowOff>47065</xdr:rowOff>
    </xdr:to>
    <xdr:sp macro="AfficherToutPremierTour" textlink="">
      <xdr:nvSpPr>
        <xdr:cNvPr id="16" name="btn_AfficherTout">
          <a:extLst>
            <a:ext uri="{FF2B5EF4-FFF2-40B4-BE49-F238E27FC236}">
              <a16:creationId xmlns:a16="http://schemas.microsoft.com/office/drawing/2014/main" id="{3235D67E-EFC9-68BE-F739-BB816338C18C}"/>
            </a:ext>
          </a:extLst>
        </xdr:cNvPr>
        <xdr:cNvSpPr/>
      </xdr:nvSpPr>
      <xdr:spPr>
        <a:xfrm>
          <a:off x="19681825" y="8432800"/>
          <a:ext cx="1270000" cy="254000"/>
        </a:xfrm>
        <a:prstGeom prst="rect">
          <a:avLst/>
        </a:prstGeom>
        <a:solidFill>
          <a:srgbClr val="C8C8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Afficher Tout</a:t>
          </a:r>
        </a:p>
      </xdr:txBody>
    </xdr:sp>
    <xdr:clientData/>
  </xdr:twoCellAnchor>
  <xdr:twoCellAnchor>
    <xdr:from>
      <xdr:col>35</xdr:col>
      <xdr:colOff>284443</xdr:colOff>
      <xdr:row>48</xdr:row>
      <xdr:rowOff>110565</xdr:rowOff>
    </xdr:from>
    <xdr:to>
      <xdr:col>36</xdr:col>
      <xdr:colOff>635560</xdr:colOff>
      <xdr:row>50</xdr:row>
      <xdr:rowOff>39594</xdr:rowOff>
    </xdr:to>
    <xdr:sp macro="EffacerToutPremierTour" textlink="">
      <xdr:nvSpPr>
        <xdr:cNvPr id="17" name="btn_EffacerTout">
          <a:extLst>
            <a:ext uri="{FF2B5EF4-FFF2-40B4-BE49-F238E27FC236}">
              <a16:creationId xmlns:a16="http://schemas.microsoft.com/office/drawing/2014/main" id="{B67AE902-4215-6B5C-5BEF-E2E98A0421FF}"/>
            </a:ext>
          </a:extLst>
        </xdr:cNvPr>
        <xdr:cNvSpPr/>
      </xdr:nvSpPr>
      <xdr:spPr>
        <a:xfrm>
          <a:off x="19681825" y="8750300"/>
          <a:ext cx="1270000" cy="254000"/>
        </a:xfrm>
        <a:prstGeom prst="rect">
          <a:avLst/>
        </a:prstGeom>
        <a:solidFill>
          <a:srgbClr val="FF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Effacer Tout</a:t>
          </a:r>
        </a:p>
      </xdr:txBody>
    </xdr:sp>
    <xdr:clientData/>
  </xdr:twoCellAnchor>
  <xdr:twoCellAnchor>
    <xdr:from>
      <xdr:col>33</xdr:col>
      <xdr:colOff>293407</xdr:colOff>
      <xdr:row>21</xdr:row>
      <xdr:rowOff>147918</xdr:rowOff>
    </xdr:from>
    <xdr:to>
      <xdr:col>34</xdr:col>
      <xdr:colOff>644525</xdr:colOff>
      <xdr:row>23</xdr:row>
      <xdr:rowOff>88153</xdr:rowOff>
    </xdr:to>
    <xdr:sp macro="ToggleBureau2nd" textlink="">
      <xdr:nvSpPr>
        <xdr:cNvPr id="18" name="btn_2ndTour_Bureau1">
          <a:extLst>
            <a:ext uri="{FF2B5EF4-FFF2-40B4-BE49-F238E27FC236}">
              <a16:creationId xmlns:a16="http://schemas.microsoft.com/office/drawing/2014/main" id="{004DCD5A-75ED-E004-F620-CE96C5D21C42}"/>
            </a:ext>
          </a:extLst>
        </xdr:cNvPr>
        <xdr:cNvSpPr/>
      </xdr:nvSpPr>
      <xdr:spPr>
        <a:xfrm>
          <a:off x="17853025" y="4305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</a:t>
          </a:r>
        </a:p>
      </xdr:txBody>
    </xdr:sp>
    <xdr:clientData/>
  </xdr:twoCellAnchor>
  <xdr:twoCellAnchor>
    <xdr:from>
      <xdr:col>33</xdr:col>
      <xdr:colOff>293407</xdr:colOff>
      <xdr:row>23</xdr:row>
      <xdr:rowOff>151653</xdr:rowOff>
    </xdr:from>
    <xdr:to>
      <xdr:col>34</xdr:col>
      <xdr:colOff>644525</xdr:colOff>
      <xdr:row>25</xdr:row>
      <xdr:rowOff>91888</xdr:rowOff>
    </xdr:to>
    <xdr:sp macro="ToggleBureau2nd" textlink="">
      <xdr:nvSpPr>
        <xdr:cNvPr id="19" name="btn_2ndTour_Bureau2">
          <a:extLst>
            <a:ext uri="{FF2B5EF4-FFF2-40B4-BE49-F238E27FC236}">
              <a16:creationId xmlns:a16="http://schemas.microsoft.com/office/drawing/2014/main" id="{0441AD39-E3B6-A584-C44C-059BB1B02C37}"/>
            </a:ext>
          </a:extLst>
        </xdr:cNvPr>
        <xdr:cNvSpPr/>
      </xdr:nvSpPr>
      <xdr:spPr>
        <a:xfrm>
          <a:off x="17853025" y="4622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2</a:t>
          </a:r>
        </a:p>
      </xdr:txBody>
    </xdr:sp>
    <xdr:clientData/>
  </xdr:twoCellAnchor>
  <xdr:twoCellAnchor>
    <xdr:from>
      <xdr:col>33</xdr:col>
      <xdr:colOff>293407</xdr:colOff>
      <xdr:row>25</xdr:row>
      <xdr:rowOff>155388</xdr:rowOff>
    </xdr:from>
    <xdr:to>
      <xdr:col>34</xdr:col>
      <xdr:colOff>644525</xdr:colOff>
      <xdr:row>27</xdr:row>
      <xdr:rowOff>95624</xdr:rowOff>
    </xdr:to>
    <xdr:sp macro="ToggleBureau2nd" textlink="">
      <xdr:nvSpPr>
        <xdr:cNvPr id="20" name="btn_2ndTour_Bureau3">
          <a:extLst>
            <a:ext uri="{FF2B5EF4-FFF2-40B4-BE49-F238E27FC236}">
              <a16:creationId xmlns:a16="http://schemas.microsoft.com/office/drawing/2014/main" id="{269E52F9-1781-1C2C-0216-3528F7F339AF}"/>
            </a:ext>
          </a:extLst>
        </xdr:cNvPr>
        <xdr:cNvSpPr/>
      </xdr:nvSpPr>
      <xdr:spPr>
        <a:xfrm>
          <a:off x="17853025" y="4940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3</a:t>
          </a:r>
        </a:p>
      </xdr:txBody>
    </xdr:sp>
    <xdr:clientData/>
  </xdr:twoCellAnchor>
  <xdr:twoCellAnchor>
    <xdr:from>
      <xdr:col>33</xdr:col>
      <xdr:colOff>293407</xdr:colOff>
      <xdr:row>27</xdr:row>
      <xdr:rowOff>159124</xdr:rowOff>
    </xdr:from>
    <xdr:to>
      <xdr:col>34</xdr:col>
      <xdr:colOff>644525</xdr:colOff>
      <xdr:row>29</xdr:row>
      <xdr:rowOff>54535</xdr:rowOff>
    </xdr:to>
    <xdr:sp macro="ToggleBureau2nd" textlink="">
      <xdr:nvSpPr>
        <xdr:cNvPr id="21" name="btn_2ndTour_Bureau4">
          <a:extLst>
            <a:ext uri="{FF2B5EF4-FFF2-40B4-BE49-F238E27FC236}">
              <a16:creationId xmlns:a16="http://schemas.microsoft.com/office/drawing/2014/main" id="{C3F4B78B-E565-9F69-3010-306EE20E6CFF}"/>
            </a:ext>
          </a:extLst>
        </xdr:cNvPr>
        <xdr:cNvSpPr/>
      </xdr:nvSpPr>
      <xdr:spPr>
        <a:xfrm>
          <a:off x="17853025" y="5257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4</a:t>
          </a:r>
        </a:p>
      </xdr:txBody>
    </xdr:sp>
    <xdr:clientData/>
  </xdr:twoCellAnchor>
  <xdr:twoCellAnchor>
    <xdr:from>
      <xdr:col>33</xdr:col>
      <xdr:colOff>293407</xdr:colOff>
      <xdr:row>29</xdr:row>
      <xdr:rowOff>118035</xdr:rowOff>
    </xdr:from>
    <xdr:to>
      <xdr:col>34</xdr:col>
      <xdr:colOff>644525</xdr:colOff>
      <xdr:row>31</xdr:row>
      <xdr:rowOff>58271</xdr:rowOff>
    </xdr:to>
    <xdr:sp macro="ToggleBureau2nd" textlink="">
      <xdr:nvSpPr>
        <xdr:cNvPr id="22" name="btn_2ndTour_Bureau5">
          <a:extLst>
            <a:ext uri="{FF2B5EF4-FFF2-40B4-BE49-F238E27FC236}">
              <a16:creationId xmlns:a16="http://schemas.microsoft.com/office/drawing/2014/main" id="{D755AF23-58CA-1F19-818F-8A77A1FC2E16}"/>
            </a:ext>
          </a:extLst>
        </xdr:cNvPr>
        <xdr:cNvSpPr/>
      </xdr:nvSpPr>
      <xdr:spPr>
        <a:xfrm>
          <a:off x="17853025" y="5575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5</a:t>
          </a:r>
        </a:p>
      </xdr:txBody>
    </xdr:sp>
    <xdr:clientData/>
  </xdr:twoCellAnchor>
  <xdr:twoCellAnchor>
    <xdr:from>
      <xdr:col>33</xdr:col>
      <xdr:colOff>293407</xdr:colOff>
      <xdr:row>31</xdr:row>
      <xdr:rowOff>121771</xdr:rowOff>
    </xdr:from>
    <xdr:to>
      <xdr:col>34</xdr:col>
      <xdr:colOff>644525</xdr:colOff>
      <xdr:row>32</xdr:row>
      <xdr:rowOff>174065</xdr:rowOff>
    </xdr:to>
    <xdr:sp macro="ToggleBureau2nd" textlink="">
      <xdr:nvSpPr>
        <xdr:cNvPr id="23" name="btn_2ndTour_Bureau6">
          <a:extLst>
            <a:ext uri="{FF2B5EF4-FFF2-40B4-BE49-F238E27FC236}">
              <a16:creationId xmlns:a16="http://schemas.microsoft.com/office/drawing/2014/main" id="{B1B6A443-26A5-AE7E-DBB4-E7DFC7C0DEA7}"/>
            </a:ext>
          </a:extLst>
        </xdr:cNvPr>
        <xdr:cNvSpPr/>
      </xdr:nvSpPr>
      <xdr:spPr>
        <a:xfrm>
          <a:off x="17853025" y="5892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6</a:t>
          </a:r>
        </a:p>
      </xdr:txBody>
    </xdr:sp>
    <xdr:clientData/>
  </xdr:twoCellAnchor>
  <xdr:twoCellAnchor>
    <xdr:from>
      <xdr:col>33</xdr:col>
      <xdr:colOff>293407</xdr:colOff>
      <xdr:row>33</xdr:row>
      <xdr:rowOff>35859</xdr:rowOff>
    </xdr:from>
    <xdr:to>
      <xdr:col>34</xdr:col>
      <xdr:colOff>644525</xdr:colOff>
      <xdr:row>34</xdr:row>
      <xdr:rowOff>88153</xdr:rowOff>
    </xdr:to>
    <xdr:sp macro="ToggleBureau2nd" textlink="">
      <xdr:nvSpPr>
        <xdr:cNvPr id="24" name="btn_2ndTour_Bureau7">
          <a:extLst>
            <a:ext uri="{FF2B5EF4-FFF2-40B4-BE49-F238E27FC236}">
              <a16:creationId xmlns:a16="http://schemas.microsoft.com/office/drawing/2014/main" id="{DDB98C1D-00D2-AED5-120A-C1F9DCE6260A}"/>
            </a:ext>
          </a:extLst>
        </xdr:cNvPr>
        <xdr:cNvSpPr/>
      </xdr:nvSpPr>
      <xdr:spPr>
        <a:xfrm>
          <a:off x="17853025" y="6210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7</a:t>
          </a:r>
        </a:p>
      </xdr:txBody>
    </xdr:sp>
    <xdr:clientData/>
  </xdr:twoCellAnchor>
  <xdr:twoCellAnchor>
    <xdr:from>
      <xdr:col>33</xdr:col>
      <xdr:colOff>293407</xdr:colOff>
      <xdr:row>34</xdr:row>
      <xdr:rowOff>151653</xdr:rowOff>
    </xdr:from>
    <xdr:to>
      <xdr:col>34</xdr:col>
      <xdr:colOff>644525</xdr:colOff>
      <xdr:row>36</xdr:row>
      <xdr:rowOff>35859</xdr:rowOff>
    </xdr:to>
    <xdr:sp macro="ToggleBureau2nd" textlink="">
      <xdr:nvSpPr>
        <xdr:cNvPr id="25" name="btn_2ndTour_Bureau8">
          <a:extLst>
            <a:ext uri="{FF2B5EF4-FFF2-40B4-BE49-F238E27FC236}">
              <a16:creationId xmlns:a16="http://schemas.microsoft.com/office/drawing/2014/main" id="{30635637-B478-0D91-F9EA-59F9E09CA34A}"/>
            </a:ext>
          </a:extLst>
        </xdr:cNvPr>
        <xdr:cNvSpPr/>
      </xdr:nvSpPr>
      <xdr:spPr>
        <a:xfrm>
          <a:off x="17853025" y="6527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8</a:t>
          </a:r>
        </a:p>
      </xdr:txBody>
    </xdr:sp>
    <xdr:clientData/>
  </xdr:twoCellAnchor>
  <xdr:twoCellAnchor>
    <xdr:from>
      <xdr:col>33</xdr:col>
      <xdr:colOff>293407</xdr:colOff>
      <xdr:row>36</xdr:row>
      <xdr:rowOff>99359</xdr:rowOff>
    </xdr:from>
    <xdr:to>
      <xdr:col>34</xdr:col>
      <xdr:colOff>644525</xdr:colOff>
      <xdr:row>38</xdr:row>
      <xdr:rowOff>28388</xdr:rowOff>
    </xdr:to>
    <xdr:sp macro="ToggleBureau2nd" textlink="">
      <xdr:nvSpPr>
        <xdr:cNvPr id="26" name="btn_2ndTour_Bureau9">
          <a:extLst>
            <a:ext uri="{FF2B5EF4-FFF2-40B4-BE49-F238E27FC236}">
              <a16:creationId xmlns:a16="http://schemas.microsoft.com/office/drawing/2014/main" id="{2E02A64B-A32A-350A-4AE0-767F5DD772B3}"/>
            </a:ext>
          </a:extLst>
        </xdr:cNvPr>
        <xdr:cNvSpPr/>
      </xdr:nvSpPr>
      <xdr:spPr>
        <a:xfrm>
          <a:off x="17853025" y="6845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9</a:t>
          </a:r>
        </a:p>
      </xdr:txBody>
    </xdr:sp>
    <xdr:clientData/>
  </xdr:twoCellAnchor>
  <xdr:twoCellAnchor>
    <xdr:from>
      <xdr:col>33</xdr:col>
      <xdr:colOff>293407</xdr:colOff>
      <xdr:row>38</xdr:row>
      <xdr:rowOff>91888</xdr:rowOff>
    </xdr:from>
    <xdr:to>
      <xdr:col>34</xdr:col>
      <xdr:colOff>644525</xdr:colOff>
      <xdr:row>40</xdr:row>
      <xdr:rowOff>32124</xdr:rowOff>
    </xdr:to>
    <xdr:sp macro="ToggleBureau2nd" textlink="">
      <xdr:nvSpPr>
        <xdr:cNvPr id="27" name="btn_2ndTour_Bureau10">
          <a:extLst>
            <a:ext uri="{FF2B5EF4-FFF2-40B4-BE49-F238E27FC236}">
              <a16:creationId xmlns:a16="http://schemas.microsoft.com/office/drawing/2014/main" id="{F68BE9C4-F161-2EF9-F376-DF430BA0F8E4}"/>
            </a:ext>
          </a:extLst>
        </xdr:cNvPr>
        <xdr:cNvSpPr/>
      </xdr:nvSpPr>
      <xdr:spPr>
        <a:xfrm>
          <a:off x="17853025" y="7162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10</a:t>
          </a:r>
        </a:p>
      </xdr:txBody>
    </xdr:sp>
    <xdr:clientData/>
  </xdr:twoCellAnchor>
  <xdr:twoCellAnchor>
    <xdr:from>
      <xdr:col>33</xdr:col>
      <xdr:colOff>293407</xdr:colOff>
      <xdr:row>40</xdr:row>
      <xdr:rowOff>95624</xdr:rowOff>
    </xdr:from>
    <xdr:to>
      <xdr:col>34</xdr:col>
      <xdr:colOff>644525</xdr:colOff>
      <xdr:row>42</xdr:row>
      <xdr:rowOff>35859</xdr:rowOff>
    </xdr:to>
    <xdr:sp macro="ToggleBureau2nd" textlink="">
      <xdr:nvSpPr>
        <xdr:cNvPr id="28" name="btn_2ndTour_Bureau11">
          <a:extLst>
            <a:ext uri="{FF2B5EF4-FFF2-40B4-BE49-F238E27FC236}">
              <a16:creationId xmlns:a16="http://schemas.microsoft.com/office/drawing/2014/main" id="{C94AF1AF-B0B4-6E38-6E46-4258A67958F8}"/>
            </a:ext>
          </a:extLst>
        </xdr:cNvPr>
        <xdr:cNvSpPr/>
      </xdr:nvSpPr>
      <xdr:spPr>
        <a:xfrm>
          <a:off x="17853025" y="7480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11</a:t>
          </a:r>
        </a:p>
      </xdr:txBody>
    </xdr:sp>
    <xdr:clientData/>
  </xdr:twoCellAnchor>
  <xdr:twoCellAnchor>
    <xdr:from>
      <xdr:col>33</xdr:col>
      <xdr:colOff>293407</xdr:colOff>
      <xdr:row>42</xdr:row>
      <xdr:rowOff>99359</xdr:rowOff>
    </xdr:from>
    <xdr:to>
      <xdr:col>34</xdr:col>
      <xdr:colOff>644525</xdr:colOff>
      <xdr:row>44</xdr:row>
      <xdr:rowOff>39594</xdr:rowOff>
    </xdr:to>
    <xdr:sp macro="ToggleBureau2nd" textlink="">
      <xdr:nvSpPr>
        <xdr:cNvPr id="29" name="btn_2ndTour_Bureau12">
          <a:extLst>
            <a:ext uri="{FF2B5EF4-FFF2-40B4-BE49-F238E27FC236}">
              <a16:creationId xmlns:a16="http://schemas.microsoft.com/office/drawing/2014/main" id="{905954F6-158A-3A49-000A-6717F664BE96}"/>
            </a:ext>
          </a:extLst>
        </xdr:cNvPr>
        <xdr:cNvSpPr/>
      </xdr:nvSpPr>
      <xdr:spPr>
        <a:xfrm>
          <a:off x="17853025" y="7797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12</a:t>
          </a:r>
        </a:p>
      </xdr:txBody>
    </xdr:sp>
    <xdr:clientData/>
  </xdr:twoCellAnchor>
  <xdr:twoCellAnchor>
    <xdr:from>
      <xdr:col>33</xdr:col>
      <xdr:colOff>293407</xdr:colOff>
      <xdr:row>44</xdr:row>
      <xdr:rowOff>103094</xdr:rowOff>
    </xdr:from>
    <xdr:to>
      <xdr:col>34</xdr:col>
      <xdr:colOff>644525</xdr:colOff>
      <xdr:row>46</xdr:row>
      <xdr:rowOff>43329</xdr:rowOff>
    </xdr:to>
    <xdr:sp macro="Toggle_Total2nd" textlink="">
      <xdr:nvSpPr>
        <xdr:cNvPr id="30" name="btn_2ndTour_Total">
          <a:extLst>
            <a:ext uri="{FF2B5EF4-FFF2-40B4-BE49-F238E27FC236}">
              <a16:creationId xmlns:a16="http://schemas.microsoft.com/office/drawing/2014/main" id="{86C9F330-E1CD-E8E7-9B09-075E1FF9ED16}"/>
            </a:ext>
          </a:extLst>
        </xdr:cNvPr>
        <xdr:cNvSpPr/>
      </xdr:nvSpPr>
      <xdr:spPr>
        <a:xfrm>
          <a:off x="17853025" y="8115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Total</a:t>
          </a:r>
        </a:p>
      </xdr:txBody>
    </xdr:sp>
    <xdr:clientData/>
  </xdr:twoCellAnchor>
  <xdr:twoCellAnchor>
    <xdr:from>
      <xdr:col>33</xdr:col>
      <xdr:colOff>293407</xdr:colOff>
      <xdr:row>46</xdr:row>
      <xdr:rowOff>106829</xdr:rowOff>
    </xdr:from>
    <xdr:to>
      <xdr:col>34</xdr:col>
      <xdr:colOff>644525</xdr:colOff>
      <xdr:row>48</xdr:row>
      <xdr:rowOff>47065</xdr:rowOff>
    </xdr:to>
    <xdr:sp macro="AfficherTout2ndTour" textlink="">
      <xdr:nvSpPr>
        <xdr:cNvPr id="31" name="btn_2ndTour_AfficherTout">
          <a:extLst>
            <a:ext uri="{FF2B5EF4-FFF2-40B4-BE49-F238E27FC236}">
              <a16:creationId xmlns:a16="http://schemas.microsoft.com/office/drawing/2014/main" id="{422674FF-8931-7880-64C6-07C29B14751C}"/>
            </a:ext>
          </a:extLst>
        </xdr:cNvPr>
        <xdr:cNvSpPr/>
      </xdr:nvSpPr>
      <xdr:spPr>
        <a:xfrm>
          <a:off x="17853025" y="8432800"/>
          <a:ext cx="1270000" cy="254000"/>
        </a:xfrm>
        <a:prstGeom prst="rect">
          <a:avLst/>
        </a:prstGeom>
        <a:solidFill>
          <a:srgbClr val="C8C8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Afficher Tout</a:t>
          </a:r>
        </a:p>
      </xdr:txBody>
    </xdr:sp>
    <xdr:clientData/>
  </xdr:twoCellAnchor>
  <xdr:twoCellAnchor>
    <xdr:from>
      <xdr:col>33</xdr:col>
      <xdr:colOff>293407</xdr:colOff>
      <xdr:row>48</xdr:row>
      <xdr:rowOff>110565</xdr:rowOff>
    </xdr:from>
    <xdr:to>
      <xdr:col>34</xdr:col>
      <xdr:colOff>644525</xdr:colOff>
      <xdr:row>50</xdr:row>
      <xdr:rowOff>39594</xdr:rowOff>
    </xdr:to>
    <xdr:sp macro="EffacerTout2ndTour" textlink="">
      <xdr:nvSpPr>
        <xdr:cNvPr id="32" name="btn_2ndTour_EffacerTout">
          <a:extLst>
            <a:ext uri="{FF2B5EF4-FFF2-40B4-BE49-F238E27FC236}">
              <a16:creationId xmlns:a16="http://schemas.microsoft.com/office/drawing/2014/main" id="{98A19595-09A8-3741-97BD-FC6A6BEDDBCC}"/>
            </a:ext>
          </a:extLst>
        </xdr:cNvPr>
        <xdr:cNvSpPr/>
      </xdr:nvSpPr>
      <xdr:spPr>
        <a:xfrm>
          <a:off x="17853025" y="8750300"/>
          <a:ext cx="1270000" cy="254000"/>
        </a:xfrm>
        <a:prstGeom prst="rect">
          <a:avLst/>
        </a:prstGeom>
        <a:solidFill>
          <a:srgbClr val="FF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Effacer Tout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677032</xdr:colOff>
      <xdr:row>18</xdr:row>
      <xdr:rowOff>127117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533AC109-205B-47A1-9815-82BEFEB9C5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A2E899C3-1E08-4F01-908B-4880DDA0E1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AB0CDF04-8F68-4AC4-8728-3704DF4041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twoCellAnchor>
    <xdr:from>
      <xdr:col>17</xdr:col>
      <xdr:colOff>719214</xdr:colOff>
      <xdr:row>3</xdr:row>
      <xdr:rowOff>136072</xdr:rowOff>
    </xdr:from>
    <xdr:to>
      <xdr:col>20</xdr:col>
      <xdr:colOff>326572</xdr:colOff>
      <xdr:row>11</xdr:row>
      <xdr:rowOff>63500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62B1D7FD-B77D-45D4-82FF-7BFDE6264F97}"/>
            </a:ext>
          </a:extLst>
        </xdr:cNvPr>
        <xdr:cNvGrpSpPr/>
      </xdr:nvGrpSpPr>
      <xdr:grpSpPr>
        <a:xfrm>
          <a:off x="17673714" y="1100478"/>
          <a:ext cx="1893358" cy="1927678"/>
          <a:chOff x="18122750" y="734786"/>
          <a:chExt cx="1893358" cy="1886857"/>
        </a:xfrm>
      </xdr:grpSpPr>
      <xdr:pic>
        <xdr:nvPicPr>
          <xdr:cNvPr id="6" name="Image 5" descr="Informations avec un remplissage uni">
            <a:extLst>
              <a:ext uri="{FF2B5EF4-FFF2-40B4-BE49-F238E27FC236}">
                <a16:creationId xmlns:a16="http://schemas.microsoft.com/office/drawing/2014/main" id="{B8CB99EA-FE99-7870-9751-9BE31C20B0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8122750" y="1457313"/>
            <a:ext cx="424112" cy="441802"/>
          </a:xfrm>
          <a:prstGeom prst="rect">
            <a:avLst/>
          </a:prstGeom>
        </xdr:spPr>
      </xdr:pic>
      <xdr:sp macro="" textlink="">
        <xdr:nvSpPr>
          <xdr:cNvPr id="7" name="Légende : encadrée 6">
            <a:extLst>
              <a:ext uri="{FF2B5EF4-FFF2-40B4-BE49-F238E27FC236}">
                <a16:creationId xmlns:a16="http://schemas.microsoft.com/office/drawing/2014/main" id="{0F148E68-1B1F-187B-828B-828DB95D49C7}"/>
              </a:ext>
            </a:extLst>
          </xdr:cNvPr>
          <xdr:cNvSpPr/>
        </xdr:nvSpPr>
        <xdr:spPr>
          <a:xfrm>
            <a:off x="18582822" y="734786"/>
            <a:ext cx="1433286" cy="1886857"/>
          </a:xfrm>
          <a:prstGeom prst="borderCallout1">
            <a:avLst>
              <a:gd name="adj1" fmla="val 18968"/>
              <a:gd name="adj2" fmla="val 100703"/>
              <a:gd name="adj3" fmla="val 1131"/>
              <a:gd name="adj4" fmla="val 21468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Chaque heure on note la participation actuelle (nombre de votants depuis l'ouverture)</a:t>
            </a:r>
          </a:p>
        </xdr:txBody>
      </xdr:sp>
    </xdr:grpSp>
    <xdr:clientData/>
  </xdr:twoCellAnchor>
  <xdr:twoCellAnchor>
    <xdr:from>
      <xdr:col>3</xdr:col>
      <xdr:colOff>421215</xdr:colOff>
      <xdr:row>16</xdr:row>
      <xdr:rowOff>34321</xdr:rowOff>
    </xdr:from>
    <xdr:to>
      <xdr:col>13</xdr:col>
      <xdr:colOff>613833</xdr:colOff>
      <xdr:row>17</xdr:row>
      <xdr:rowOff>294973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8CADA098-043C-43E5-ADC7-09AD97B04F6A}"/>
            </a:ext>
          </a:extLst>
        </xdr:cNvPr>
        <xdr:cNvGrpSpPr/>
      </xdr:nvGrpSpPr>
      <xdr:grpSpPr>
        <a:xfrm>
          <a:off x="3433496" y="4141977"/>
          <a:ext cx="10670118" cy="486871"/>
          <a:chOff x="3986301" y="3720647"/>
          <a:chExt cx="10493091" cy="356285"/>
        </a:xfrm>
      </xdr:grpSpPr>
      <xdr:pic>
        <xdr:nvPicPr>
          <xdr:cNvPr id="9" name="Image 8" descr="Informations avec un remplissage uni">
            <a:extLst>
              <a:ext uri="{FF2B5EF4-FFF2-40B4-BE49-F238E27FC236}">
                <a16:creationId xmlns:a16="http://schemas.microsoft.com/office/drawing/2014/main" id="{2CB79FDE-1CC1-82D3-2A98-771A37AEC3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86301" y="3722398"/>
            <a:ext cx="467912" cy="352782"/>
          </a:xfrm>
          <a:prstGeom prst="rect">
            <a:avLst/>
          </a:prstGeom>
        </xdr:spPr>
      </xdr:pic>
      <xdr:sp macro="" textlink="">
        <xdr:nvSpPr>
          <xdr:cNvPr id="10" name="Légende : encadrée 9">
            <a:extLst>
              <a:ext uri="{FF2B5EF4-FFF2-40B4-BE49-F238E27FC236}">
                <a16:creationId xmlns:a16="http://schemas.microsoft.com/office/drawing/2014/main" id="{915443DB-8142-694D-DE66-F509CDDB4418}"/>
              </a:ext>
            </a:extLst>
          </xdr:cNvPr>
          <xdr:cNvSpPr/>
        </xdr:nvSpPr>
        <xdr:spPr>
          <a:xfrm>
            <a:off x="4517572" y="3720647"/>
            <a:ext cx="9961820" cy="356285"/>
          </a:xfrm>
          <a:prstGeom prst="borderCallout1">
            <a:avLst>
              <a:gd name="adj1" fmla="val -1097"/>
              <a:gd name="adj2" fmla="val 10534"/>
              <a:gd name="adj3" fmla="val -550721"/>
              <a:gd name="adj4" fmla="val 12970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400" b="1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Méthode 1 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: A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haque centaine d'enveloppes dépouillées on note ici le score du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candidat pour cette centaine (score &lt; 100)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396119</xdr:colOff>
      <xdr:row>62</xdr:row>
      <xdr:rowOff>47428</xdr:rowOff>
    </xdr:from>
    <xdr:to>
      <xdr:col>12</xdr:col>
      <xdr:colOff>530679</xdr:colOff>
      <xdr:row>64</xdr:row>
      <xdr:rowOff>111452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6C918A8D-8749-4131-A267-0F89078F0644}"/>
            </a:ext>
          </a:extLst>
        </xdr:cNvPr>
        <xdr:cNvGrpSpPr/>
      </xdr:nvGrpSpPr>
      <xdr:grpSpPr>
        <a:xfrm>
          <a:off x="3408400" y="13263366"/>
          <a:ext cx="9564310" cy="456930"/>
          <a:chOff x="4009571" y="12174517"/>
          <a:chExt cx="9314279" cy="464480"/>
        </a:xfrm>
      </xdr:grpSpPr>
      <xdr:pic>
        <xdr:nvPicPr>
          <xdr:cNvPr id="12" name="Image 11" descr="Informations avec un remplissage uni">
            <a:extLst>
              <a:ext uri="{FF2B5EF4-FFF2-40B4-BE49-F238E27FC236}">
                <a16:creationId xmlns:a16="http://schemas.microsoft.com/office/drawing/2014/main" id="{5AE9394B-872D-27F2-0EFF-AF747871AA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09571" y="12174517"/>
            <a:ext cx="422298" cy="464480"/>
          </a:xfrm>
          <a:prstGeom prst="rect">
            <a:avLst/>
          </a:prstGeom>
        </xdr:spPr>
      </xdr:pic>
      <xdr:sp macro="" textlink="">
        <xdr:nvSpPr>
          <xdr:cNvPr id="13" name="Légende : encadrée 12">
            <a:extLst>
              <a:ext uri="{FF2B5EF4-FFF2-40B4-BE49-F238E27FC236}">
                <a16:creationId xmlns:a16="http://schemas.microsoft.com/office/drawing/2014/main" id="{B73223F1-7DDD-04F8-6859-432B60B147E8}"/>
              </a:ext>
            </a:extLst>
          </xdr:cNvPr>
          <xdr:cNvSpPr/>
        </xdr:nvSpPr>
        <xdr:spPr>
          <a:xfrm>
            <a:off x="4508500" y="12217881"/>
            <a:ext cx="8815350" cy="377777"/>
          </a:xfrm>
          <a:prstGeom prst="borderCallout1">
            <a:avLst>
              <a:gd name="adj1" fmla="val 100797"/>
              <a:gd name="adj2" fmla="val 92465"/>
              <a:gd name="adj3" fmla="val 347716"/>
              <a:gd name="adj4" fmla="val 9049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A chaque centaine d'enveloppes dépouillée on note ici le score courant du candidat à la table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(score croissant)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14</xdr:col>
      <xdr:colOff>539750</xdr:colOff>
      <xdr:row>16</xdr:row>
      <xdr:rowOff>45731</xdr:rowOff>
    </xdr:from>
    <xdr:to>
      <xdr:col>19</xdr:col>
      <xdr:colOff>292100</xdr:colOff>
      <xdr:row>47</xdr:row>
      <xdr:rowOff>105834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3ED1C19C-F718-4C6E-B82E-85CB334C3857}"/>
            </a:ext>
          </a:extLst>
        </xdr:cNvPr>
        <xdr:cNvGrpSpPr/>
      </xdr:nvGrpSpPr>
      <xdr:grpSpPr>
        <a:xfrm>
          <a:off x="15077281" y="4153387"/>
          <a:ext cx="3693319" cy="5453635"/>
          <a:chOff x="15451667" y="3919231"/>
          <a:chExt cx="3699933" cy="5245936"/>
        </a:xfrm>
      </xdr:grpSpPr>
      <xdr:cxnSp macro="">
        <xdr:nvCxnSpPr>
          <xdr:cNvPr id="15" name="Connecteur droit avec flèche 14">
            <a:extLst>
              <a:ext uri="{FF2B5EF4-FFF2-40B4-BE49-F238E27FC236}">
                <a16:creationId xmlns:a16="http://schemas.microsoft.com/office/drawing/2014/main" id="{02BF388F-0B24-8BB4-3006-B6EF1AA662C0}"/>
              </a:ext>
            </a:extLst>
          </xdr:cNvPr>
          <xdr:cNvCxnSpPr/>
        </xdr:nvCxnSpPr>
        <xdr:spPr>
          <a:xfrm flipH="1">
            <a:off x="15451667" y="8826500"/>
            <a:ext cx="1248833" cy="338667"/>
          </a:xfrm>
          <a:prstGeom prst="straightConnector1">
            <a:avLst/>
          </a:prstGeom>
          <a:ln w="28575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65F35815-9509-6498-3223-BCD40857108C}"/>
              </a:ext>
            </a:extLst>
          </xdr:cNvPr>
          <xdr:cNvGrpSpPr/>
        </xdr:nvGrpSpPr>
        <xdr:grpSpPr>
          <a:xfrm>
            <a:off x="16678810" y="3919231"/>
            <a:ext cx="2472790" cy="5066019"/>
            <a:chOff x="17233273" y="4500327"/>
            <a:chExt cx="2466176" cy="5280253"/>
          </a:xfrm>
        </xdr:grpSpPr>
        <xdr:sp macro="" textlink="">
          <xdr:nvSpPr>
            <xdr:cNvPr id="17" name="Légende : encadrée 16">
              <a:extLst>
                <a:ext uri="{FF2B5EF4-FFF2-40B4-BE49-F238E27FC236}">
                  <a16:creationId xmlns:a16="http://schemas.microsoft.com/office/drawing/2014/main" id="{2E35CC07-24F9-2BB5-C484-E5041BB9DEDA}"/>
                </a:ext>
              </a:extLst>
            </xdr:cNvPr>
            <xdr:cNvSpPr/>
          </xdr:nvSpPr>
          <xdr:spPr>
            <a:xfrm>
              <a:off x="17233273" y="4968173"/>
              <a:ext cx="2466176" cy="4812407"/>
            </a:xfrm>
            <a:prstGeom prst="borderCallout1">
              <a:avLst>
                <a:gd name="adj1" fmla="val 5519"/>
                <a:gd name="adj2" fmla="val -343"/>
                <a:gd name="adj3" fmla="val -17687"/>
                <a:gd name="adj4" fmla="val -40676"/>
              </a:avLst>
            </a:prstGeom>
            <a:solidFill>
              <a:srgbClr val="FFFFFF"/>
            </a:solidFill>
            <a:ln w="22225">
              <a:solidFill>
                <a:schemeClr val="accent1"/>
              </a:solidFill>
              <a:headEnd type="none" w="med" len="med"/>
              <a:tailEnd type="triangle" w="lg" len="lg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400">
                  <a:solidFill>
                    <a:schemeClr val="accent1">
                      <a:lumMod val="75000"/>
                    </a:schemeClr>
                  </a:solidFill>
                </a:rPr>
                <a:t>Ces</a:t>
              </a:r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deux méthodes de saisies sont au choix :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1 - Soit on compte à la main les scores (relatifs) des candidats dans chaque centaine. 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2 - Soit on recopie à chaque table le décompte (cumulatif) des scores toutes les 100 enveloppes dépouillées et le calcul relatif à la centaine dépouillée se fait automatiquement</a:t>
              </a:r>
            </a:p>
            <a:p>
              <a:pPr algn="l"/>
              <a:endParaRPr lang="fr-FR" sz="14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  <xdr:pic>
          <xdr:nvPicPr>
            <xdr:cNvPr id="18" name="Image 17" descr="Informations avec un remplissage uni">
              <a:extLst>
                <a:ext uri="{FF2B5EF4-FFF2-40B4-BE49-F238E27FC236}">
                  <a16:creationId xmlns:a16="http://schemas.microsoft.com/office/drawing/2014/main" id="{4B96359C-FDA8-4BCC-E94C-4ECED16AC96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8254306" y="4500327"/>
              <a:ext cx="424112" cy="45136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381000</xdr:colOff>
      <xdr:row>59</xdr:row>
      <xdr:rowOff>78129</xdr:rowOff>
    </xdr:from>
    <xdr:to>
      <xdr:col>16</xdr:col>
      <xdr:colOff>244928</xdr:colOff>
      <xdr:row>62</xdr:row>
      <xdr:rowOff>57487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D9FA2729-E9D9-4B72-A1D7-C3291F557D8C}"/>
            </a:ext>
          </a:extLst>
        </xdr:cNvPr>
        <xdr:cNvGrpSpPr/>
      </xdr:nvGrpSpPr>
      <xdr:grpSpPr>
        <a:xfrm>
          <a:off x="3393281" y="12794004"/>
          <a:ext cx="12913178" cy="479421"/>
          <a:chOff x="3967983" y="12233869"/>
          <a:chExt cx="12756074" cy="464480"/>
        </a:xfrm>
      </xdr:grpSpPr>
      <xdr:pic>
        <xdr:nvPicPr>
          <xdr:cNvPr id="20" name="Image 19" descr="Informations avec un remplissage uni">
            <a:extLst>
              <a:ext uri="{FF2B5EF4-FFF2-40B4-BE49-F238E27FC236}">
                <a16:creationId xmlns:a16="http://schemas.microsoft.com/office/drawing/2014/main" id="{CACCDCF3-7D0E-F02E-9774-4E9458F4B6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67983" y="12233869"/>
            <a:ext cx="463886" cy="464480"/>
          </a:xfrm>
          <a:prstGeom prst="rect">
            <a:avLst/>
          </a:prstGeom>
        </xdr:spPr>
      </xdr:pic>
      <xdr:sp macro="" textlink="">
        <xdr:nvSpPr>
          <xdr:cNvPr id="21" name="Légende : encadrée 20">
            <a:extLst>
              <a:ext uri="{FF2B5EF4-FFF2-40B4-BE49-F238E27FC236}">
                <a16:creationId xmlns:a16="http://schemas.microsoft.com/office/drawing/2014/main" id="{867F5340-5351-FCA0-F28B-7A2F97C49A29}"/>
              </a:ext>
            </a:extLst>
          </xdr:cNvPr>
          <xdr:cNvSpPr/>
        </xdr:nvSpPr>
        <xdr:spPr>
          <a:xfrm>
            <a:off x="4476739" y="12269657"/>
            <a:ext cx="12247318" cy="392892"/>
          </a:xfrm>
          <a:prstGeom prst="borderCallout1">
            <a:avLst>
              <a:gd name="adj1" fmla="val -2020"/>
              <a:gd name="adj2" fmla="val 6070"/>
              <a:gd name="adj3" fmla="val -449306"/>
              <a:gd name="adj4" fmla="val -823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 b="1">
                <a:solidFill>
                  <a:schemeClr val="accent1">
                    <a:lumMod val="75000"/>
                  </a:schemeClr>
                </a:solidFill>
              </a:rPr>
              <a:t>Méthode 2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 : On distribue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une à une les centaines d'enveloppes aux différentes tables de dépouillement. Ici la table 1 a dépouillé les enveloppes 1, 3 et 4.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16</xdr:col>
      <xdr:colOff>516022</xdr:colOff>
      <xdr:row>49</xdr:row>
      <xdr:rowOff>116307</xdr:rowOff>
    </xdr:from>
    <xdr:to>
      <xdr:col>16</xdr:col>
      <xdr:colOff>843531</xdr:colOff>
      <xdr:row>58</xdr:row>
      <xdr:rowOff>123263</xdr:rowOff>
    </xdr:to>
    <xdr:sp macro="" textlink="">
      <xdr:nvSpPr>
        <xdr:cNvPr id="22" name="Flèche : bas 21">
          <a:extLst>
            <a:ext uri="{FF2B5EF4-FFF2-40B4-BE49-F238E27FC236}">
              <a16:creationId xmlns:a16="http://schemas.microsoft.com/office/drawing/2014/main" id="{2E8FDEE5-CEB2-13EE-0298-5FC87B8665A6}"/>
            </a:ext>
          </a:extLst>
        </xdr:cNvPr>
        <xdr:cNvSpPr/>
      </xdr:nvSpPr>
      <xdr:spPr>
        <a:xfrm>
          <a:off x="16630081" y="10033513"/>
          <a:ext cx="327509" cy="2225721"/>
        </a:xfrm>
        <a:custGeom>
          <a:avLst/>
          <a:gdLst>
            <a:gd name="connsiteX0" fmla="*/ 0 w 299357"/>
            <a:gd name="connsiteY0" fmla="*/ 427265 h 576943"/>
            <a:gd name="connsiteX1" fmla="*/ 74839 w 299357"/>
            <a:gd name="connsiteY1" fmla="*/ 427265 h 576943"/>
            <a:gd name="connsiteX2" fmla="*/ 74839 w 299357"/>
            <a:gd name="connsiteY2" fmla="*/ 0 h 576943"/>
            <a:gd name="connsiteX3" fmla="*/ 224518 w 299357"/>
            <a:gd name="connsiteY3" fmla="*/ 0 h 576943"/>
            <a:gd name="connsiteX4" fmla="*/ 224518 w 299357"/>
            <a:gd name="connsiteY4" fmla="*/ 427265 h 576943"/>
            <a:gd name="connsiteX5" fmla="*/ 299357 w 299357"/>
            <a:gd name="connsiteY5" fmla="*/ 427265 h 576943"/>
            <a:gd name="connsiteX6" fmla="*/ 149679 w 299357"/>
            <a:gd name="connsiteY6" fmla="*/ 576943 h 576943"/>
            <a:gd name="connsiteX7" fmla="*/ 0 w 299357"/>
            <a:gd name="connsiteY7" fmla="*/ 427265 h 57694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224518 w 299357"/>
            <a:gd name="connsiteY3" fmla="*/ 19050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157843 w 299357"/>
            <a:gd name="connsiteY3" fmla="*/ 28575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169749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1412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3176 h 602854"/>
            <a:gd name="connsiteX1" fmla="*/ 74839 w 299357"/>
            <a:gd name="connsiteY1" fmla="*/ 453176 h 602854"/>
            <a:gd name="connsiteX2" fmla="*/ 114129 w 299357"/>
            <a:gd name="connsiteY2" fmla="*/ 6861 h 602854"/>
            <a:gd name="connsiteX3" fmla="*/ 157842 w 299357"/>
            <a:gd name="connsiteY3" fmla="*/ 0 h 602854"/>
            <a:gd name="connsiteX4" fmla="*/ 224518 w 299357"/>
            <a:gd name="connsiteY4" fmla="*/ 453176 h 602854"/>
            <a:gd name="connsiteX5" fmla="*/ 299357 w 299357"/>
            <a:gd name="connsiteY5" fmla="*/ 453176 h 602854"/>
            <a:gd name="connsiteX6" fmla="*/ 149679 w 299357"/>
            <a:gd name="connsiteY6" fmla="*/ 602854 h 602854"/>
            <a:gd name="connsiteX7" fmla="*/ 0 w 299357"/>
            <a:gd name="connsiteY7" fmla="*/ 453176 h 602854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14129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7942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794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2008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1655 w 299357"/>
            <a:gd name="connsiteY3" fmla="*/ 1085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71054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68692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518012 h 667690"/>
            <a:gd name="connsiteX1" fmla="*/ 74839 w 299357"/>
            <a:gd name="connsiteY1" fmla="*/ 518012 h 667690"/>
            <a:gd name="connsiteX2" fmla="*/ 139768 w 299357"/>
            <a:gd name="connsiteY2" fmla="*/ 71697 h 667690"/>
            <a:gd name="connsiteX3" fmla="*/ 216192 w 299357"/>
            <a:gd name="connsiteY3" fmla="*/ 0 h 667690"/>
            <a:gd name="connsiteX4" fmla="*/ 224518 w 299357"/>
            <a:gd name="connsiteY4" fmla="*/ 518012 h 667690"/>
            <a:gd name="connsiteX5" fmla="*/ 299357 w 299357"/>
            <a:gd name="connsiteY5" fmla="*/ 518012 h 667690"/>
            <a:gd name="connsiteX6" fmla="*/ 149679 w 299357"/>
            <a:gd name="connsiteY6" fmla="*/ 667690 h 667690"/>
            <a:gd name="connsiteX7" fmla="*/ 0 w 299357"/>
            <a:gd name="connsiteY7" fmla="*/ 518012 h 66769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3712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6613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56707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3 h 602431"/>
            <a:gd name="connsiteX1" fmla="*/ 74839 w 299357"/>
            <a:gd name="connsiteY1" fmla="*/ 452753 h 602431"/>
            <a:gd name="connsiteX2" fmla="*/ 139768 w 299357"/>
            <a:gd name="connsiteY2" fmla="*/ 6438 h 602431"/>
            <a:gd name="connsiteX3" fmla="*/ 174173 w 299357"/>
            <a:gd name="connsiteY3" fmla="*/ 0 h 602431"/>
            <a:gd name="connsiteX4" fmla="*/ 224518 w 299357"/>
            <a:gd name="connsiteY4" fmla="*/ 452753 h 602431"/>
            <a:gd name="connsiteX5" fmla="*/ 299357 w 299357"/>
            <a:gd name="connsiteY5" fmla="*/ 452753 h 602431"/>
            <a:gd name="connsiteX6" fmla="*/ 149679 w 299357"/>
            <a:gd name="connsiteY6" fmla="*/ 602431 h 602431"/>
            <a:gd name="connsiteX7" fmla="*/ 0 w 299357"/>
            <a:gd name="connsiteY7" fmla="*/ 452753 h 602431"/>
            <a:gd name="connsiteX0" fmla="*/ 0 w 299357"/>
            <a:gd name="connsiteY0" fmla="*/ 446555 h 596233"/>
            <a:gd name="connsiteX1" fmla="*/ 74839 w 299357"/>
            <a:gd name="connsiteY1" fmla="*/ 446555 h 596233"/>
            <a:gd name="connsiteX2" fmla="*/ 139768 w 299357"/>
            <a:gd name="connsiteY2" fmla="*/ 240 h 596233"/>
            <a:gd name="connsiteX3" fmla="*/ 174173 w 299357"/>
            <a:gd name="connsiteY3" fmla="*/ 0 h 596233"/>
            <a:gd name="connsiteX4" fmla="*/ 224518 w 299357"/>
            <a:gd name="connsiteY4" fmla="*/ 446555 h 596233"/>
            <a:gd name="connsiteX5" fmla="*/ 299357 w 299357"/>
            <a:gd name="connsiteY5" fmla="*/ 446555 h 596233"/>
            <a:gd name="connsiteX6" fmla="*/ 149679 w 299357"/>
            <a:gd name="connsiteY6" fmla="*/ 596233 h 596233"/>
            <a:gd name="connsiteX7" fmla="*/ 0 w 299357"/>
            <a:gd name="connsiteY7" fmla="*/ 446555 h 5962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99357" h="596233">
              <a:moveTo>
                <a:pt x="0" y="446555"/>
              </a:moveTo>
              <a:lnTo>
                <a:pt x="74839" y="446555"/>
              </a:lnTo>
              <a:lnTo>
                <a:pt x="139768" y="240"/>
              </a:lnTo>
              <a:lnTo>
                <a:pt x="174173" y="0"/>
              </a:lnTo>
              <a:lnTo>
                <a:pt x="224518" y="446555"/>
              </a:lnTo>
              <a:lnTo>
                <a:pt x="299357" y="446555"/>
              </a:lnTo>
              <a:lnTo>
                <a:pt x="149679" y="596233"/>
              </a:lnTo>
              <a:lnTo>
                <a:pt x="0" y="446555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/>
            <a:t>2</a:t>
          </a:r>
        </a:p>
      </xdr:txBody>
    </xdr:sp>
    <xdr:clientData/>
  </xdr:twoCellAnchor>
  <xdr:twoCellAnchor>
    <xdr:from>
      <xdr:col>16</xdr:col>
      <xdr:colOff>571500</xdr:colOff>
      <xdr:row>67</xdr:row>
      <xdr:rowOff>44822</xdr:rowOff>
    </xdr:from>
    <xdr:to>
      <xdr:col>17</xdr:col>
      <xdr:colOff>2539</xdr:colOff>
      <xdr:row>71</xdr:row>
      <xdr:rowOff>156881</xdr:rowOff>
    </xdr:to>
    <xdr:sp macro="" textlink="">
      <xdr:nvSpPr>
        <xdr:cNvPr id="23" name="Flèche : bas 21">
          <a:extLst>
            <a:ext uri="{FF2B5EF4-FFF2-40B4-BE49-F238E27FC236}">
              <a16:creationId xmlns:a16="http://schemas.microsoft.com/office/drawing/2014/main" id="{6728F0E1-F46C-49A3-A565-FE9BC9DFA56F}"/>
            </a:ext>
          </a:extLst>
        </xdr:cNvPr>
        <xdr:cNvSpPr/>
      </xdr:nvSpPr>
      <xdr:spPr>
        <a:xfrm>
          <a:off x="16685559" y="14153028"/>
          <a:ext cx="327509" cy="1098177"/>
        </a:xfrm>
        <a:custGeom>
          <a:avLst/>
          <a:gdLst>
            <a:gd name="connsiteX0" fmla="*/ 0 w 299357"/>
            <a:gd name="connsiteY0" fmla="*/ 427265 h 576943"/>
            <a:gd name="connsiteX1" fmla="*/ 74839 w 299357"/>
            <a:gd name="connsiteY1" fmla="*/ 427265 h 576943"/>
            <a:gd name="connsiteX2" fmla="*/ 74839 w 299357"/>
            <a:gd name="connsiteY2" fmla="*/ 0 h 576943"/>
            <a:gd name="connsiteX3" fmla="*/ 224518 w 299357"/>
            <a:gd name="connsiteY3" fmla="*/ 0 h 576943"/>
            <a:gd name="connsiteX4" fmla="*/ 224518 w 299357"/>
            <a:gd name="connsiteY4" fmla="*/ 427265 h 576943"/>
            <a:gd name="connsiteX5" fmla="*/ 299357 w 299357"/>
            <a:gd name="connsiteY5" fmla="*/ 427265 h 576943"/>
            <a:gd name="connsiteX6" fmla="*/ 149679 w 299357"/>
            <a:gd name="connsiteY6" fmla="*/ 576943 h 576943"/>
            <a:gd name="connsiteX7" fmla="*/ 0 w 299357"/>
            <a:gd name="connsiteY7" fmla="*/ 427265 h 57694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224518 w 299357"/>
            <a:gd name="connsiteY3" fmla="*/ 19050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157843 w 299357"/>
            <a:gd name="connsiteY3" fmla="*/ 28575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169749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1412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3176 h 602854"/>
            <a:gd name="connsiteX1" fmla="*/ 74839 w 299357"/>
            <a:gd name="connsiteY1" fmla="*/ 453176 h 602854"/>
            <a:gd name="connsiteX2" fmla="*/ 114129 w 299357"/>
            <a:gd name="connsiteY2" fmla="*/ 6861 h 602854"/>
            <a:gd name="connsiteX3" fmla="*/ 157842 w 299357"/>
            <a:gd name="connsiteY3" fmla="*/ 0 h 602854"/>
            <a:gd name="connsiteX4" fmla="*/ 224518 w 299357"/>
            <a:gd name="connsiteY4" fmla="*/ 453176 h 602854"/>
            <a:gd name="connsiteX5" fmla="*/ 299357 w 299357"/>
            <a:gd name="connsiteY5" fmla="*/ 453176 h 602854"/>
            <a:gd name="connsiteX6" fmla="*/ 149679 w 299357"/>
            <a:gd name="connsiteY6" fmla="*/ 602854 h 602854"/>
            <a:gd name="connsiteX7" fmla="*/ 0 w 299357"/>
            <a:gd name="connsiteY7" fmla="*/ 453176 h 602854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14129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7942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794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2008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1655 w 299357"/>
            <a:gd name="connsiteY3" fmla="*/ 1085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71054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68692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518012 h 667690"/>
            <a:gd name="connsiteX1" fmla="*/ 74839 w 299357"/>
            <a:gd name="connsiteY1" fmla="*/ 518012 h 667690"/>
            <a:gd name="connsiteX2" fmla="*/ 139768 w 299357"/>
            <a:gd name="connsiteY2" fmla="*/ 71697 h 667690"/>
            <a:gd name="connsiteX3" fmla="*/ 216192 w 299357"/>
            <a:gd name="connsiteY3" fmla="*/ 0 h 667690"/>
            <a:gd name="connsiteX4" fmla="*/ 224518 w 299357"/>
            <a:gd name="connsiteY4" fmla="*/ 518012 h 667690"/>
            <a:gd name="connsiteX5" fmla="*/ 299357 w 299357"/>
            <a:gd name="connsiteY5" fmla="*/ 518012 h 667690"/>
            <a:gd name="connsiteX6" fmla="*/ 149679 w 299357"/>
            <a:gd name="connsiteY6" fmla="*/ 667690 h 667690"/>
            <a:gd name="connsiteX7" fmla="*/ 0 w 299357"/>
            <a:gd name="connsiteY7" fmla="*/ 518012 h 66769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3712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6613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56707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3 h 602431"/>
            <a:gd name="connsiteX1" fmla="*/ 74839 w 299357"/>
            <a:gd name="connsiteY1" fmla="*/ 452753 h 602431"/>
            <a:gd name="connsiteX2" fmla="*/ 139768 w 299357"/>
            <a:gd name="connsiteY2" fmla="*/ 6438 h 602431"/>
            <a:gd name="connsiteX3" fmla="*/ 174173 w 299357"/>
            <a:gd name="connsiteY3" fmla="*/ 0 h 602431"/>
            <a:gd name="connsiteX4" fmla="*/ 224518 w 299357"/>
            <a:gd name="connsiteY4" fmla="*/ 452753 h 602431"/>
            <a:gd name="connsiteX5" fmla="*/ 299357 w 299357"/>
            <a:gd name="connsiteY5" fmla="*/ 452753 h 602431"/>
            <a:gd name="connsiteX6" fmla="*/ 149679 w 299357"/>
            <a:gd name="connsiteY6" fmla="*/ 602431 h 602431"/>
            <a:gd name="connsiteX7" fmla="*/ 0 w 299357"/>
            <a:gd name="connsiteY7" fmla="*/ 452753 h 602431"/>
            <a:gd name="connsiteX0" fmla="*/ 0 w 299357"/>
            <a:gd name="connsiteY0" fmla="*/ 446555 h 596233"/>
            <a:gd name="connsiteX1" fmla="*/ 74839 w 299357"/>
            <a:gd name="connsiteY1" fmla="*/ 446555 h 596233"/>
            <a:gd name="connsiteX2" fmla="*/ 139768 w 299357"/>
            <a:gd name="connsiteY2" fmla="*/ 240 h 596233"/>
            <a:gd name="connsiteX3" fmla="*/ 174173 w 299357"/>
            <a:gd name="connsiteY3" fmla="*/ 0 h 596233"/>
            <a:gd name="connsiteX4" fmla="*/ 224518 w 299357"/>
            <a:gd name="connsiteY4" fmla="*/ 446555 h 596233"/>
            <a:gd name="connsiteX5" fmla="*/ 299357 w 299357"/>
            <a:gd name="connsiteY5" fmla="*/ 446555 h 596233"/>
            <a:gd name="connsiteX6" fmla="*/ 149679 w 299357"/>
            <a:gd name="connsiteY6" fmla="*/ 596233 h 596233"/>
            <a:gd name="connsiteX7" fmla="*/ 0 w 299357"/>
            <a:gd name="connsiteY7" fmla="*/ 446555 h 5962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99357" h="596233">
              <a:moveTo>
                <a:pt x="0" y="446555"/>
              </a:moveTo>
              <a:lnTo>
                <a:pt x="74839" y="446555"/>
              </a:lnTo>
              <a:lnTo>
                <a:pt x="139768" y="240"/>
              </a:lnTo>
              <a:lnTo>
                <a:pt x="174173" y="0"/>
              </a:lnTo>
              <a:lnTo>
                <a:pt x="224518" y="446555"/>
              </a:lnTo>
              <a:lnTo>
                <a:pt x="299357" y="446555"/>
              </a:lnTo>
              <a:lnTo>
                <a:pt x="149679" y="596233"/>
              </a:lnTo>
              <a:lnTo>
                <a:pt x="0" y="446555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16</xdr:col>
      <xdr:colOff>593911</xdr:colOff>
      <xdr:row>2</xdr:row>
      <xdr:rowOff>123266</xdr:rowOff>
    </xdr:from>
    <xdr:to>
      <xdr:col>17</xdr:col>
      <xdr:colOff>0</xdr:colOff>
      <xdr:row>11</xdr:row>
      <xdr:rowOff>112059</xdr:rowOff>
    </xdr:to>
    <xdr:sp macro="" textlink="">
      <xdr:nvSpPr>
        <xdr:cNvPr id="24" name="Flèche : bas 23">
          <a:extLst>
            <a:ext uri="{FF2B5EF4-FFF2-40B4-BE49-F238E27FC236}">
              <a16:creationId xmlns:a16="http://schemas.microsoft.com/office/drawing/2014/main" id="{13DB56C8-4E48-89E5-D4BF-5633B54A75D2}"/>
            </a:ext>
          </a:extLst>
        </xdr:cNvPr>
        <xdr:cNvSpPr/>
      </xdr:nvSpPr>
      <xdr:spPr>
        <a:xfrm>
          <a:off x="16707970" y="840442"/>
          <a:ext cx="302559" cy="2207558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/>
            <a:t>1</a:t>
          </a:r>
        </a:p>
      </xdr:txBody>
    </xdr:sp>
    <xdr:clientData/>
  </xdr:twoCellAnchor>
  <xdr:twoCellAnchor>
    <xdr:from>
      <xdr:col>16</xdr:col>
      <xdr:colOff>510988</xdr:colOff>
      <xdr:row>77</xdr:row>
      <xdr:rowOff>62753</xdr:rowOff>
    </xdr:from>
    <xdr:to>
      <xdr:col>16</xdr:col>
      <xdr:colOff>838497</xdr:colOff>
      <xdr:row>79</xdr:row>
      <xdr:rowOff>156884</xdr:rowOff>
    </xdr:to>
    <xdr:sp macro="" textlink="">
      <xdr:nvSpPr>
        <xdr:cNvPr id="25" name="Flèche : bas 21">
          <a:extLst>
            <a:ext uri="{FF2B5EF4-FFF2-40B4-BE49-F238E27FC236}">
              <a16:creationId xmlns:a16="http://schemas.microsoft.com/office/drawing/2014/main" id="{8DDEFA61-B48C-46AD-81D2-964143CFB691}"/>
            </a:ext>
          </a:extLst>
        </xdr:cNvPr>
        <xdr:cNvSpPr/>
      </xdr:nvSpPr>
      <xdr:spPr>
        <a:xfrm>
          <a:off x="16625047" y="16882782"/>
          <a:ext cx="327509" cy="587190"/>
        </a:xfrm>
        <a:custGeom>
          <a:avLst/>
          <a:gdLst>
            <a:gd name="connsiteX0" fmla="*/ 0 w 299357"/>
            <a:gd name="connsiteY0" fmla="*/ 427265 h 576943"/>
            <a:gd name="connsiteX1" fmla="*/ 74839 w 299357"/>
            <a:gd name="connsiteY1" fmla="*/ 427265 h 576943"/>
            <a:gd name="connsiteX2" fmla="*/ 74839 w 299357"/>
            <a:gd name="connsiteY2" fmla="*/ 0 h 576943"/>
            <a:gd name="connsiteX3" fmla="*/ 224518 w 299357"/>
            <a:gd name="connsiteY3" fmla="*/ 0 h 576943"/>
            <a:gd name="connsiteX4" fmla="*/ 224518 w 299357"/>
            <a:gd name="connsiteY4" fmla="*/ 427265 h 576943"/>
            <a:gd name="connsiteX5" fmla="*/ 299357 w 299357"/>
            <a:gd name="connsiteY5" fmla="*/ 427265 h 576943"/>
            <a:gd name="connsiteX6" fmla="*/ 149679 w 299357"/>
            <a:gd name="connsiteY6" fmla="*/ 576943 h 576943"/>
            <a:gd name="connsiteX7" fmla="*/ 0 w 299357"/>
            <a:gd name="connsiteY7" fmla="*/ 427265 h 57694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224518 w 299357"/>
            <a:gd name="connsiteY3" fmla="*/ 19050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157843 w 299357"/>
            <a:gd name="connsiteY3" fmla="*/ 28575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169749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1412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3176 h 602854"/>
            <a:gd name="connsiteX1" fmla="*/ 74839 w 299357"/>
            <a:gd name="connsiteY1" fmla="*/ 453176 h 602854"/>
            <a:gd name="connsiteX2" fmla="*/ 114129 w 299357"/>
            <a:gd name="connsiteY2" fmla="*/ 6861 h 602854"/>
            <a:gd name="connsiteX3" fmla="*/ 157842 w 299357"/>
            <a:gd name="connsiteY3" fmla="*/ 0 h 602854"/>
            <a:gd name="connsiteX4" fmla="*/ 224518 w 299357"/>
            <a:gd name="connsiteY4" fmla="*/ 453176 h 602854"/>
            <a:gd name="connsiteX5" fmla="*/ 299357 w 299357"/>
            <a:gd name="connsiteY5" fmla="*/ 453176 h 602854"/>
            <a:gd name="connsiteX6" fmla="*/ 149679 w 299357"/>
            <a:gd name="connsiteY6" fmla="*/ 602854 h 602854"/>
            <a:gd name="connsiteX7" fmla="*/ 0 w 299357"/>
            <a:gd name="connsiteY7" fmla="*/ 453176 h 602854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14129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7942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794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2008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1655 w 299357"/>
            <a:gd name="connsiteY3" fmla="*/ 1085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71054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68692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518012 h 667690"/>
            <a:gd name="connsiteX1" fmla="*/ 74839 w 299357"/>
            <a:gd name="connsiteY1" fmla="*/ 518012 h 667690"/>
            <a:gd name="connsiteX2" fmla="*/ 139768 w 299357"/>
            <a:gd name="connsiteY2" fmla="*/ 71697 h 667690"/>
            <a:gd name="connsiteX3" fmla="*/ 216192 w 299357"/>
            <a:gd name="connsiteY3" fmla="*/ 0 h 667690"/>
            <a:gd name="connsiteX4" fmla="*/ 224518 w 299357"/>
            <a:gd name="connsiteY4" fmla="*/ 518012 h 667690"/>
            <a:gd name="connsiteX5" fmla="*/ 299357 w 299357"/>
            <a:gd name="connsiteY5" fmla="*/ 518012 h 667690"/>
            <a:gd name="connsiteX6" fmla="*/ 149679 w 299357"/>
            <a:gd name="connsiteY6" fmla="*/ 667690 h 667690"/>
            <a:gd name="connsiteX7" fmla="*/ 0 w 299357"/>
            <a:gd name="connsiteY7" fmla="*/ 518012 h 66769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3712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6613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56707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3 h 602431"/>
            <a:gd name="connsiteX1" fmla="*/ 74839 w 299357"/>
            <a:gd name="connsiteY1" fmla="*/ 452753 h 602431"/>
            <a:gd name="connsiteX2" fmla="*/ 139768 w 299357"/>
            <a:gd name="connsiteY2" fmla="*/ 6438 h 602431"/>
            <a:gd name="connsiteX3" fmla="*/ 174173 w 299357"/>
            <a:gd name="connsiteY3" fmla="*/ 0 h 602431"/>
            <a:gd name="connsiteX4" fmla="*/ 224518 w 299357"/>
            <a:gd name="connsiteY4" fmla="*/ 452753 h 602431"/>
            <a:gd name="connsiteX5" fmla="*/ 299357 w 299357"/>
            <a:gd name="connsiteY5" fmla="*/ 452753 h 602431"/>
            <a:gd name="connsiteX6" fmla="*/ 149679 w 299357"/>
            <a:gd name="connsiteY6" fmla="*/ 602431 h 602431"/>
            <a:gd name="connsiteX7" fmla="*/ 0 w 299357"/>
            <a:gd name="connsiteY7" fmla="*/ 452753 h 602431"/>
            <a:gd name="connsiteX0" fmla="*/ 0 w 299357"/>
            <a:gd name="connsiteY0" fmla="*/ 446555 h 596233"/>
            <a:gd name="connsiteX1" fmla="*/ 74839 w 299357"/>
            <a:gd name="connsiteY1" fmla="*/ 446555 h 596233"/>
            <a:gd name="connsiteX2" fmla="*/ 139768 w 299357"/>
            <a:gd name="connsiteY2" fmla="*/ 240 h 596233"/>
            <a:gd name="connsiteX3" fmla="*/ 174173 w 299357"/>
            <a:gd name="connsiteY3" fmla="*/ 0 h 596233"/>
            <a:gd name="connsiteX4" fmla="*/ 224518 w 299357"/>
            <a:gd name="connsiteY4" fmla="*/ 446555 h 596233"/>
            <a:gd name="connsiteX5" fmla="*/ 299357 w 299357"/>
            <a:gd name="connsiteY5" fmla="*/ 446555 h 596233"/>
            <a:gd name="connsiteX6" fmla="*/ 149679 w 299357"/>
            <a:gd name="connsiteY6" fmla="*/ 596233 h 596233"/>
            <a:gd name="connsiteX7" fmla="*/ 0 w 299357"/>
            <a:gd name="connsiteY7" fmla="*/ 446555 h 5962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99357" h="596233">
              <a:moveTo>
                <a:pt x="0" y="446555"/>
              </a:moveTo>
              <a:lnTo>
                <a:pt x="74839" y="446555"/>
              </a:lnTo>
              <a:lnTo>
                <a:pt x="139768" y="240"/>
              </a:lnTo>
              <a:lnTo>
                <a:pt x="174173" y="0"/>
              </a:lnTo>
              <a:lnTo>
                <a:pt x="224518" y="446555"/>
              </a:lnTo>
              <a:lnTo>
                <a:pt x="299357" y="446555"/>
              </a:lnTo>
              <a:lnTo>
                <a:pt x="149679" y="596233"/>
              </a:lnTo>
              <a:lnTo>
                <a:pt x="0" y="446555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677032</xdr:colOff>
      <xdr:row>18</xdr:row>
      <xdr:rowOff>127117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E82C89EA-48D9-48CA-950A-7B882713D4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29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6EBBF1D8-5190-4250-85B8-2707F34B58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29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ACEBCE02-10F9-462F-9788-85A57CC21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466725</xdr:colOff>
          <xdr:row>23</xdr:row>
          <xdr:rowOff>161925</xdr:rowOff>
        </xdr:from>
        <xdr:to>
          <xdr:col>1</xdr:col>
          <xdr:colOff>771525</xdr:colOff>
          <xdr:row>26</xdr:row>
          <xdr:rowOff>123825</xdr:rowOff>
        </xdr:to>
        <xdr:sp macro="" textlink="">
          <xdr:nvSpPr>
            <xdr:cNvPr id="219146" name="Button 10" hidden="1">
              <a:extLst>
                <a:ext uri="{63B3BB69-23CF-44E3-9099-C40C66FF867C}">
                  <a14:compatExt spid="_x0000_s219146"/>
                </a:ext>
                <a:ext uri="{FF2B5EF4-FFF2-40B4-BE49-F238E27FC236}">
                  <a16:creationId xmlns:a16="http://schemas.microsoft.com/office/drawing/2014/main" id="{00000000-0008-0000-0300-00000A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les bureaux</a:t>
              </a:r>
            </a:p>
            <a:p>
              <a:pPr algn="ctr" rtl="0">
                <a:defRPr sz="1000"/>
              </a:pPr>
              <a:endParaRPr lang="fr-FR" sz="12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677032</xdr:colOff>
      <xdr:row>18</xdr:row>
      <xdr:rowOff>127117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3735E265-7C4A-457D-AB7A-AABB873C66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29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171144D8-4526-4615-A93C-D82AEEBA0A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29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CCC20EC9-B0DD-4975-897B-C998B7EC88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677032</xdr:colOff>
      <xdr:row>18</xdr:row>
      <xdr:rowOff>127117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86E94457-3042-4048-952A-FF1751DCF9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29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DCB19400-386B-49B7-B5B3-BA80EA395C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29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56F41961-8228-4C4C-959A-CAF198EB2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677032</xdr:colOff>
      <xdr:row>18</xdr:row>
      <xdr:rowOff>127117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36565C8D-DCC1-4637-B401-47D7055DF4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29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3010188E-B3B7-4ACC-9C47-B9B29254A4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29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02F1C635-665B-446A-B7C0-CADCDFA171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677032</xdr:colOff>
      <xdr:row>18</xdr:row>
      <xdr:rowOff>127117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7848B0FE-EC19-4048-914F-E71E735A5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29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EEA64468-703A-4112-A97D-5EF7BE5B28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29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CFA8889A-777C-4456-807C-02516F9915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677032</xdr:colOff>
      <xdr:row>18</xdr:row>
      <xdr:rowOff>127117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DEAA17B4-2467-46D4-83F8-39F20C85C3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29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E79DD732-D316-40B5-B47C-CC97C2F544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29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9BA82D5E-D4CD-431B-B768-0A84CF0328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677032</xdr:colOff>
      <xdr:row>18</xdr:row>
      <xdr:rowOff>127117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8F3B6D25-69CD-4812-9D0A-BDE4BE23A0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29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38A910D4-3299-41BC-9423-A9E689D04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29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32F78D05-4BDA-4773-A81D-DF4255B263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677032</xdr:colOff>
      <xdr:row>18</xdr:row>
      <xdr:rowOff>127117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A88043DD-E3D3-4D19-BCC9-05D0948CAE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29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2AE1CFD6-D44C-4959-AD60-1266D5E8D0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29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2AB8F5FD-668D-4A18-9ACA-F5EFAAC737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677032</xdr:colOff>
      <xdr:row>18</xdr:row>
      <xdr:rowOff>127117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ABA46DCC-172C-49BD-B420-FDE6B6B734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29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8F138A72-863E-4EC0-A0E9-87FC387285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29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FA2EFCF1-B81E-4D81-8D6B-1451228C42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677032</xdr:colOff>
      <xdr:row>18</xdr:row>
      <xdr:rowOff>127117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FDF219A4-9F95-45A2-9289-D7EADF10C8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29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C3868747-6738-45F2-A8B9-679042F6A9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29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221398DC-F456-44CD-94CE-8293379851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677032</xdr:colOff>
      <xdr:row>18</xdr:row>
      <xdr:rowOff>127117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35B7DBA2-31AF-4030-8B5D-C6960E8D09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29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DEEA7C79-8EC8-44C5-AF6A-6CEDE20730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29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AEBC3714-C62E-46DD-A620-B27FE044CA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677032</xdr:colOff>
      <xdr:row>18</xdr:row>
      <xdr:rowOff>127117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43BAA0F4-B3B2-40D9-9157-B6B29D7B66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29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496AD73F-D65C-48F6-919E-8E8A4F6E47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29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20400449-0922-4E80-93AE-0E9494E204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677032</xdr:colOff>
      <xdr:row>18</xdr:row>
      <xdr:rowOff>127117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99872485-F30B-46CB-90D1-32C7837217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29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9342E2D7-2B6F-4CDE-A58C-C52CF18A52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29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7D5F47EC-2685-4C8F-9D03-0FD67B0F81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émi Barbero" id="{B9D14DDA-5DA4-4748-A3A4-6D74DB2F48C1}" userId="S::remi.barbero@alumni.enac.fr::af27855e-84ee-4cac-afae-9f96b209abdd" providerId="AD"/>
</personList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2" dT="2025-03-13T15:05:52.99" personId="{B9D14DDA-5DA4-4748-A3A4-6D74DB2F48C1}" id="{FBD70714-D0BB-4AA6-BE65-3EED5D437171}" done="1">
    <text>Initialisation : remplir le nom des candidats</text>
  </threadedComment>
  <threadedComment ref="B3" dT="2025-08-05T09:31:20.57" personId="{B9D14DDA-5DA4-4748-A3A4-6D74DB2F48C1}" id="{BEEF2C17-5866-4F24-BA73-D4FBD2E5754A}" done="1">
    <text>Modifier ici le nom des bureaux de vote</text>
  </threadedComment>
  <threadedComment ref="C3" dT="2025-08-05T09:31:48.16" personId="{B9D14DDA-5DA4-4748-A3A4-6D74DB2F48C1}" id="{0A15DBED-F0B4-4A1F-B367-1AC56AF1364F}" done="1">
    <text>Modifier ici le nombre d’électeurs inscrits</text>
  </threadedComment>
  <threadedComment ref="B17" dT="2025-03-13T15:06:17.01" personId="{B9D14DDA-5DA4-4748-A3A4-6D74DB2F48C1}" id="{CDA59AD5-66A8-4316-9310-A9E77F6B23A5}" done="1">
    <text>Initialisation : Mettre à jour la date et le type d'élection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1" dT="2025-04-14T07:52:19.44" personId="{B9D14DDA-5DA4-4748-A3A4-6D74DB2F48C1}" id="{BFCB494A-5EEE-4582-8D8D-D7FC9A33F3A8}" done="1">
    <text>Nombre d'enveloppes distribuées</text>
  </threadedComment>
  <threadedComment ref="AA14" dT="2025-03-14T10:48:31.20" personId="{B9D14DDA-5DA4-4748-A3A4-6D74DB2F48C1}" id="{949660B2-4E61-494B-8030-5A8D962E3720}" done="1">
    <text>Si la case est jaune c'est que la participation est inférieure à l'heure précédente, c'est impossible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W3" dT="2025-07-15T12:34:37.15" personId="{B9D14DDA-5DA4-4748-A3A4-6D74DB2F48C1}" id="{EABFF79C-6F3E-45A7-AFDB-E16C33B25AA4}" done="1">
    <text>A l'ouverture du bureau il n'y a pas encore de vote</text>
  </threadedComment>
  <threadedComment ref="A7" dT="2025-04-14T11:49:35.58" personId="{B9D14DDA-5DA4-4748-A3A4-6D74DB2F48C1}" id="{015AC820-E43D-4952-9147-E1AB8B697D08}" done="1">
    <text>Nombre d'enveloppes et de bulletins sans enveloppe trouvés dans l'urne</text>
  </threadedComment>
  <threadedComment ref="B7" dT="2025-03-13T15:42:36.25" personId="{B9D14DDA-5DA4-4748-A3A4-6D74DB2F48C1}" id="{755B2C32-0CC1-4AB8-9943-9B321C73B956}" done="1">
    <text>Doit être égal à la participation horaire de cloture</text>
  </threadedComment>
  <threadedComment ref="A8" dT="2025-04-14T11:49:47.49" personId="{B9D14DDA-5DA4-4748-A3A4-6D74DB2F48C1}" id="{1E4F50FE-453F-4374-81CD-FED15F974F3D}" done="1">
    <text>Nombre de signatures sur le registre</text>
  </threadedComment>
  <threadedComment ref="B8" dT="2025-03-13T15:44:24.83" personId="{B9D14DDA-5DA4-4748-A3A4-6D74DB2F48C1}" id="{E0FD2FBA-4E1B-4572-A9D0-6315CEDAEDFE}" done="1">
    <text>Doit être normalement égal aux votants</text>
  </threadedComment>
  <threadedComment ref="Q13" dT="2025-04-14T12:15:13.05" personId="{B9D14DDA-5DA4-4748-A3A4-6D74DB2F48C1}" id="{22C51930-100C-4141-9123-FA056F76C484}" done="1">
    <text>Doit être égal au nombre de votants</text>
  </threadedComment>
  <threadedComment ref="J23" dT="2025-04-14T09:07:42.81" personId="{B9D14DDA-5DA4-4748-A3A4-6D74DB2F48C1}" id="{7B16B4CC-E443-48A6-9659-3BBEFC3ECC16}" done="1">
    <text>Nombre de centaines d'enveloppes nécessaires pour ce bureau</text>
  </threadedComment>
  <threadedComment ref="K23" dT="2025-04-24T12:32:34.89" personId="{B9D14DDA-5DA4-4748-A3A4-6D74DB2F48C1}" id="{3E003C7E-19BB-45E7-BEB5-218C116527E2}" done="1">
    <text>Index de la dernière centaine d'enveloppes</text>
  </threadedComment>
  <threadedComment ref="J24" dT="2025-04-24T12:31:05.29" personId="{B9D14DDA-5DA4-4748-A3A4-6D74DB2F48C1}" id="{5F46F273-6C46-4161-A494-247D2B6B31A3}" done="1">
    <text>Modulo 100 de la dernière centaine d'enveloppes</text>
  </threadedComment>
  <threadedComment ref="K24" dT="2025-08-05T07:48:39.46" personId="{B9D14DDA-5DA4-4748-A3A4-6D74DB2F48C1}" id="{0DF602ED-B4B4-48F8-A449-73B218BAB594}" done="1">
    <text>Nombre d’isoloirs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G3" dT="2025-07-15T12:34:37.15" personId="{B9D14DDA-5DA4-4748-A3A4-6D74DB2F48C1}" id="{46628604-0487-48E5-9F91-EB4DC295F616}" done="1">
    <text>A l'ouverture du bureau il n'y a pas encore de vote</text>
  </threadedComment>
  <threadedComment ref="A7" dT="2025-04-14T11:49:35.58" personId="{B9D14DDA-5DA4-4748-A3A4-6D74DB2F48C1}" id="{3C2CC6FF-8C99-4A54-98E3-A431EBC691A8}" done="1">
    <text>Nombre d'enveloppes et de bulletins sans enveloppe trouvés dans l'urne</text>
  </threadedComment>
  <threadedComment ref="B7" dT="2025-03-13T15:42:36.25" personId="{B9D14DDA-5DA4-4748-A3A4-6D74DB2F48C1}" id="{93982A39-4621-44E5-8C69-626D3330A120}" done="1">
    <text>Doit être égal à la participation horaire de cloture</text>
  </threadedComment>
  <threadedComment ref="A8" dT="2025-04-14T11:49:47.49" personId="{B9D14DDA-5DA4-4748-A3A4-6D74DB2F48C1}" id="{E1A34A79-66F1-423A-99B8-E0FFB0DFE7CF}" done="1">
    <text>Nombre de signatures sur le registre</text>
  </threadedComment>
  <threadedComment ref="B8" dT="2025-03-13T15:44:24.83" personId="{B9D14DDA-5DA4-4748-A3A4-6D74DB2F48C1}" id="{7CCA1500-31AA-4CA5-A934-61260FF84EC0}" done="1">
    <text>Doit être normalement égal aux votants</text>
  </threadedComment>
  <threadedComment ref="AA13" dT="2025-04-14T12:15:13.05" personId="{B9D14DDA-5DA4-4748-A3A4-6D74DB2F48C1}" id="{F45EA83B-F2A7-4B0E-A9DC-7FB934E46695}" done="1">
    <text>Doit être égal au nombre de votants</text>
  </threadedComment>
  <threadedComment ref="J23" dT="2025-04-14T09:07:42.81" personId="{B9D14DDA-5DA4-4748-A3A4-6D74DB2F48C1}" id="{BD3C10F1-FEEF-4E9E-94C9-D4F9E0A553EB}" done="1">
    <text>Nombre de centaines d'enveloppes nécessaires pour ce bureau</text>
  </threadedComment>
  <threadedComment ref="K23" dT="2025-04-24T12:32:34.89" personId="{B9D14DDA-5DA4-4748-A3A4-6D74DB2F48C1}" id="{8635CE1D-3F46-42B6-AEEE-24746F82AF72}" done="1">
    <text>Index de la dernière centaine d'enveloppes</text>
  </threadedComment>
  <threadedComment ref="J24" dT="2025-04-24T12:31:05.29" personId="{B9D14DDA-5DA4-4748-A3A4-6D74DB2F48C1}" id="{2FCCA48F-2713-4355-98C8-DDE96C91DF85}" done="1">
    <text>Modulo 100 de la dernière centaine d'enveloppes</text>
  </threadedComment>
  <threadedComment ref="K24" dT="2025-08-05T07:48:39.46" personId="{B9D14DDA-5DA4-4748-A3A4-6D74DB2F48C1}" id="{D1C968E7-4EBA-455E-9F8B-28FA89205B94}" done="1">
    <text>Nombre d’isoloirs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G3" dT="2025-07-15T12:34:37.15" personId="{B9D14DDA-5DA4-4748-A3A4-6D74DB2F48C1}" id="{DCFCFB2F-7502-499D-890B-05540DF58EEC}" done="1">
    <text>A l'ouverture du bureau il n'y a pas encore de vote</text>
  </threadedComment>
  <threadedComment ref="A7" dT="2025-04-14T11:49:35.58" personId="{B9D14DDA-5DA4-4748-A3A4-6D74DB2F48C1}" id="{453DF8CC-5029-4A13-96C0-82E3D2A198CC}" done="1">
    <text>Nombre d'enveloppes et de bulletins sans enveloppe trouvés dans l'urne</text>
  </threadedComment>
  <threadedComment ref="B7" dT="2025-03-13T15:42:36.25" personId="{B9D14DDA-5DA4-4748-A3A4-6D74DB2F48C1}" id="{E7C9E984-D4C7-4CE3-BDAA-8ADE23DEFD26}" done="1">
    <text>Doit être égal à la participation horaire de cloture</text>
  </threadedComment>
  <threadedComment ref="A8" dT="2025-04-14T11:49:47.49" personId="{B9D14DDA-5DA4-4748-A3A4-6D74DB2F48C1}" id="{0A333156-19F6-4415-AAE5-FB527EF12A7E}" done="1">
    <text>Nombre de signatures sur le registre</text>
  </threadedComment>
  <threadedComment ref="B8" dT="2025-03-13T15:44:24.83" personId="{B9D14DDA-5DA4-4748-A3A4-6D74DB2F48C1}" id="{FD4E7A20-E6CA-4455-BDA7-E5900EFD53CF}" done="1">
    <text>Doit être normalement égal aux votants</text>
  </threadedComment>
  <threadedComment ref="AA13" dT="2025-04-14T12:15:13.05" personId="{B9D14DDA-5DA4-4748-A3A4-6D74DB2F48C1}" id="{F43A45F0-64B2-4395-B488-121351FB074A}" done="1">
    <text>Doit être égal au nombre de votants</text>
  </threadedComment>
  <threadedComment ref="J23" dT="2025-04-14T09:07:42.81" personId="{B9D14DDA-5DA4-4748-A3A4-6D74DB2F48C1}" id="{5B77C3AF-DC03-48A9-A6B0-AD488B4DEEED}" done="1">
    <text>Nombre de centaines d'enveloppes nécessaires pour ce bureau</text>
  </threadedComment>
  <threadedComment ref="K23" dT="2025-04-24T12:32:34.89" personId="{B9D14DDA-5DA4-4748-A3A4-6D74DB2F48C1}" id="{120AE743-1E12-4622-AA9E-354AACB9E0E0}" done="1">
    <text>Index de la dernière centaine d'enveloppes</text>
  </threadedComment>
  <threadedComment ref="J24" dT="2025-04-24T12:31:05.29" personId="{B9D14DDA-5DA4-4748-A3A4-6D74DB2F48C1}" id="{1302020C-B4D5-4239-807A-20CF19D3E078}" done="1">
    <text>Modulo 100 de la dernière centaine d'enveloppes</text>
  </threadedComment>
  <threadedComment ref="K24" dT="2025-08-05T07:48:39.46" personId="{B9D14DDA-5DA4-4748-A3A4-6D74DB2F48C1}" id="{6A418F3D-EE49-40CC-BB94-F873B392CB65}" done="1">
    <text>Nombre d’isoloirs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G3" dT="2025-07-15T12:34:37.15" personId="{B9D14DDA-5DA4-4748-A3A4-6D74DB2F48C1}" id="{E577394D-C20A-4CE8-ACE7-3C2992625A95}" done="1">
    <text>A l'ouverture du bureau il n'y a pas encore de vote</text>
  </threadedComment>
  <threadedComment ref="A7" dT="2025-04-14T11:49:35.58" personId="{B9D14DDA-5DA4-4748-A3A4-6D74DB2F48C1}" id="{383D8DAA-FB3B-4AF5-9093-CF7D6341BB30}" done="1">
    <text>Nombre d'enveloppes et de bulletins sans enveloppe trouvés dans l'urne</text>
  </threadedComment>
  <threadedComment ref="B7" dT="2025-03-13T15:42:36.25" personId="{B9D14DDA-5DA4-4748-A3A4-6D74DB2F48C1}" id="{E6D8C3D6-B97E-4779-8198-E1F9CD454E17}" done="1">
    <text>Doit être égal à la participation horaire de cloture</text>
  </threadedComment>
  <threadedComment ref="A8" dT="2025-04-14T11:49:47.49" personId="{B9D14DDA-5DA4-4748-A3A4-6D74DB2F48C1}" id="{B08E5231-D6CF-462A-A5E3-7FDD26886256}" done="1">
    <text>Nombre de signatures sur le registre</text>
  </threadedComment>
  <threadedComment ref="B8" dT="2025-03-13T15:44:24.83" personId="{B9D14DDA-5DA4-4748-A3A4-6D74DB2F48C1}" id="{C109D2B2-0B95-4970-A6A4-004372EA50ED}" done="1">
    <text>Doit être normalement égal aux votants</text>
  </threadedComment>
  <threadedComment ref="AA13" dT="2025-04-14T12:15:13.05" personId="{B9D14DDA-5DA4-4748-A3A4-6D74DB2F48C1}" id="{862C8B62-7765-4E99-99B0-C2631D205B98}" done="1">
    <text>Doit être égal au nombre de votants</text>
  </threadedComment>
  <threadedComment ref="J23" dT="2025-04-14T09:07:42.81" personId="{B9D14DDA-5DA4-4748-A3A4-6D74DB2F48C1}" id="{E2234F26-A87E-4417-84B2-85F3B9EBC622}" done="1">
    <text>Nombre de centaines d'enveloppes nécessaires pour ce bureau</text>
  </threadedComment>
  <threadedComment ref="K23" dT="2025-04-24T12:32:34.89" personId="{B9D14DDA-5DA4-4748-A3A4-6D74DB2F48C1}" id="{ABD900C8-F3BC-4107-A766-A5A28C7A3161}" done="1">
    <text>Index de la dernière centaine d'enveloppes</text>
  </threadedComment>
  <threadedComment ref="J24" dT="2025-04-24T12:31:05.29" personId="{B9D14DDA-5DA4-4748-A3A4-6D74DB2F48C1}" id="{5E2BC6AE-153B-43CC-BEC2-65D9AAB07E53}" done="1">
    <text>Modulo 100 de la dernière centaine d'enveloppes</text>
  </threadedComment>
  <threadedComment ref="K24" dT="2025-08-05T07:48:39.46" personId="{B9D14DDA-5DA4-4748-A3A4-6D74DB2F48C1}" id="{70B87CF9-D3C0-4C3F-95B0-C08AEB46E6A6}" done="1">
    <text>Nombre d’isoloirs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AG3" dT="2025-07-15T12:34:37.15" personId="{B9D14DDA-5DA4-4748-A3A4-6D74DB2F48C1}" id="{5C2563F2-2962-49D0-915B-6808DD79EE14}" done="1">
    <text>A l'ouverture du bureau il n'y a pas encore de vote</text>
  </threadedComment>
  <threadedComment ref="A7" dT="2025-04-14T11:49:35.58" personId="{B9D14DDA-5DA4-4748-A3A4-6D74DB2F48C1}" id="{DC9CE3D0-73FF-4606-8A54-7A4E3F9C3AB0}" done="1">
    <text>Nombre d'enveloppes et de bulletins sans enveloppe trouvés dans l'urne</text>
  </threadedComment>
  <threadedComment ref="B7" dT="2025-03-13T15:42:36.25" personId="{B9D14DDA-5DA4-4748-A3A4-6D74DB2F48C1}" id="{72A74581-F10F-4BA8-B6BC-D84BEDBBC792}" done="1">
    <text>Doit être égal à la participation horaire de cloture</text>
  </threadedComment>
  <threadedComment ref="A8" dT="2025-04-14T11:49:47.49" personId="{B9D14DDA-5DA4-4748-A3A4-6D74DB2F48C1}" id="{97D471E6-FD68-49BF-A722-CA5063C1A19F}" done="1">
    <text>Nombre de signatures sur le registre</text>
  </threadedComment>
  <threadedComment ref="B8" dT="2025-03-13T15:44:24.83" personId="{B9D14DDA-5DA4-4748-A3A4-6D74DB2F48C1}" id="{E7048B76-D05F-4BD2-957D-238ECFD7428A}" done="1">
    <text>Doit être normalement égal aux votants</text>
  </threadedComment>
  <threadedComment ref="AA13" dT="2025-04-14T12:15:13.05" personId="{B9D14DDA-5DA4-4748-A3A4-6D74DB2F48C1}" id="{2ADB9FE6-F310-465E-AE15-4C7094B3902A}" done="1">
    <text>Doit être égal au nombre de votants</text>
  </threadedComment>
  <threadedComment ref="J23" dT="2025-04-14T09:07:42.81" personId="{B9D14DDA-5DA4-4748-A3A4-6D74DB2F48C1}" id="{C7B022C6-2EFA-4A86-81B1-1412209C05FE}" done="1">
    <text>Nombre de centaines d'enveloppes nécessaires pour ce bureau</text>
  </threadedComment>
  <threadedComment ref="K23" dT="2025-04-24T12:32:34.89" personId="{B9D14DDA-5DA4-4748-A3A4-6D74DB2F48C1}" id="{5C1E8C38-D56E-4035-BBE1-89A3434C2019}" done="1">
    <text>Index de la dernière centaine d'enveloppes</text>
  </threadedComment>
  <threadedComment ref="J24" dT="2025-04-24T12:31:05.29" personId="{B9D14DDA-5DA4-4748-A3A4-6D74DB2F48C1}" id="{33AFD746-D87C-46E2-969C-D0D54069B2DA}" done="1">
    <text>Modulo 100 de la dernière centaine d'enveloppes</text>
  </threadedComment>
  <threadedComment ref="K24" dT="2025-08-05T07:48:39.46" personId="{B9D14DDA-5DA4-4748-A3A4-6D74DB2F48C1}" id="{6EAC3D29-D8A4-445B-90E4-CEF69BAB4EA2}" done="1">
    <text>Nombre d’isoloirs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G3" dT="2025-07-15T12:34:37.15" personId="{B9D14DDA-5DA4-4748-A3A4-6D74DB2F48C1}" id="{B254B454-609D-452D-B4BA-81D74DD9E054}" done="1">
    <text>A l'ouverture du bureau il n'y a pas encore de vote</text>
  </threadedComment>
  <threadedComment ref="A7" dT="2025-04-14T11:49:35.58" personId="{B9D14DDA-5DA4-4748-A3A4-6D74DB2F48C1}" id="{C03550CD-EB30-4B08-8876-861985AFD08B}" done="1">
    <text>Nombre d'enveloppes et de bulletins sans enveloppe trouvés dans l'urne</text>
  </threadedComment>
  <threadedComment ref="B7" dT="2025-03-13T15:42:36.25" personId="{B9D14DDA-5DA4-4748-A3A4-6D74DB2F48C1}" id="{A8B38C82-B565-4686-ABE1-B5D346841ED5}" done="1">
    <text>Doit être égal à la participation horaire de cloture</text>
  </threadedComment>
  <threadedComment ref="A8" dT="2025-04-14T11:49:47.49" personId="{B9D14DDA-5DA4-4748-A3A4-6D74DB2F48C1}" id="{D9B4EE1F-9BBD-4208-BA33-BADBA8EA1604}" done="1">
    <text>Nombre de signatures sur le registre</text>
  </threadedComment>
  <threadedComment ref="B8" dT="2025-03-13T15:44:24.83" personId="{B9D14DDA-5DA4-4748-A3A4-6D74DB2F48C1}" id="{B887527D-CFA7-43BA-8CCE-5EE2D5E5FE2E}" done="1">
    <text>Doit être normalement égal aux votants</text>
  </threadedComment>
  <threadedComment ref="AA13" dT="2025-04-14T12:15:13.05" personId="{B9D14DDA-5DA4-4748-A3A4-6D74DB2F48C1}" id="{A149F0B6-8A21-447C-A8D1-37DE8524ECDD}" done="1">
    <text>Doit être égal au nombre de votants</text>
  </threadedComment>
  <threadedComment ref="J23" dT="2025-04-14T09:07:42.81" personId="{B9D14DDA-5DA4-4748-A3A4-6D74DB2F48C1}" id="{3DA1E492-E651-4C76-824C-5D14099212CC}" done="1">
    <text>Nombre de centaines d'enveloppes nécessaires pour ce bureau</text>
  </threadedComment>
  <threadedComment ref="K23" dT="2025-04-24T12:32:34.89" personId="{B9D14DDA-5DA4-4748-A3A4-6D74DB2F48C1}" id="{EC08F3D9-703C-4410-ABA0-5E5045608980}" done="1">
    <text>Index de la dernière centaine d'enveloppes</text>
  </threadedComment>
  <threadedComment ref="J24" dT="2025-04-24T12:31:05.29" personId="{B9D14DDA-5DA4-4748-A3A4-6D74DB2F48C1}" id="{4AAC72BA-7DFA-4536-B536-A264BCB63B10}" done="1">
    <text>Modulo 100 de la dernière centaine d'enveloppes</text>
  </threadedComment>
  <threadedComment ref="K24" dT="2025-08-05T07:48:39.46" personId="{B9D14DDA-5DA4-4748-A3A4-6D74DB2F48C1}" id="{F53A6CC8-ED13-4DE9-8DAF-F4CF1CBDA879}" done="1">
    <text>Nombre d’isoloirs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AG3" dT="2025-07-15T12:34:37.15" personId="{B9D14DDA-5DA4-4748-A3A4-6D74DB2F48C1}" id="{4CCCF3CE-1FEA-4734-94A7-AE2874E8A6D8}" done="1">
    <text>A l'ouverture du bureau il n'y a pas encore de vote</text>
  </threadedComment>
  <threadedComment ref="A7" dT="2025-04-14T11:49:35.58" personId="{B9D14DDA-5DA4-4748-A3A4-6D74DB2F48C1}" id="{7AD332D4-CCA1-4539-8A9D-8EC0D4302A5C}" done="1">
    <text>Nombre d'enveloppes et de bulletins sans enveloppe trouvés dans l'urne</text>
  </threadedComment>
  <threadedComment ref="B7" dT="2025-03-13T15:42:36.25" personId="{B9D14DDA-5DA4-4748-A3A4-6D74DB2F48C1}" id="{3AC494CB-5320-409E-AD6C-EE2E6744F131}" done="1">
    <text>Doit être égal à la participation horaire de cloture</text>
  </threadedComment>
  <threadedComment ref="A8" dT="2025-04-14T11:49:47.49" personId="{B9D14DDA-5DA4-4748-A3A4-6D74DB2F48C1}" id="{4847B90F-5C16-4659-B7F7-DE1DB8426BF9}" done="1">
    <text>Nombre de signatures sur le registre</text>
  </threadedComment>
  <threadedComment ref="B8" dT="2025-03-13T15:44:24.83" personId="{B9D14DDA-5DA4-4748-A3A4-6D74DB2F48C1}" id="{B43CEC78-71B1-4725-8711-41A3D70AE255}" done="1">
    <text>Doit être normalement égal aux votants</text>
  </threadedComment>
  <threadedComment ref="AA13" dT="2025-04-14T12:15:13.05" personId="{B9D14DDA-5DA4-4748-A3A4-6D74DB2F48C1}" id="{831481B2-551B-48F9-A784-B68345528E9D}" done="1">
    <text>Doit être égal au nombre de votants</text>
  </threadedComment>
  <threadedComment ref="J23" dT="2025-04-14T09:07:42.81" personId="{B9D14DDA-5DA4-4748-A3A4-6D74DB2F48C1}" id="{565C47E1-E882-4D0A-ACD8-FECFA69B02E4}" done="1">
    <text>Nombre de centaines d'enveloppes nécessaires pour ce bureau</text>
  </threadedComment>
  <threadedComment ref="K23" dT="2025-04-24T12:32:34.89" personId="{B9D14DDA-5DA4-4748-A3A4-6D74DB2F48C1}" id="{D70ACC41-58EC-4673-962B-947D603A82E9}" done="1">
    <text>Index de la dernière centaine d'enveloppes</text>
  </threadedComment>
  <threadedComment ref="J24" dT="2025-04-24T12:31:05.29" personId="{B9D14DDA-5DA4-4748-A3A4-6D74DB2F48C1}" id="{CB3F8237-2405-4AD3-A386-921AEF5B610C}" done="1">
    <text>Modulo 100 de la dernière centaine d'enveloppes</text>
  </threadedComment>
  <threadedComment ref="K24" dT="2025-08-05T07:48:39.46" personId="{B9D14DDA-5DA4-4748-A3A4-6D74DB2F48C1}" id="{700C9204-C061-4879-A65B-4564D65D487A}" done="1">
    <text>Nombre d’isoloirs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AG3" dT="2025-07-15T12:34:37.15" personId="{B9D14DDA-5DA4-4748-A3A4-6D74DB2F48C1}" id="{0A24FDDB-9F1C-45F6-850B-CAB5F9C1924A}" done="1">
    <text>A l'ouverture du bureau il n'y a pas encore de vote</text>
  </threadedComment>
  <threadedComment ref="A7" dT="2025-04-14T11:49:35.58" personId="{B9D14DDA-5DA4-4748-A3A4-6D74DB2F48C1}" id="{6862DB01-939D-4EE4-8514-09649BECCBB6}" done="1">
    <text>Nombre d'enveloppes et de bulletins sans enveloppe trouvés dans l'urne</text>
  </threadedComment>
  <threadedComment ref="B7" dT="2025-03-13T15:42:36.25" personId="{B9D14DDA-5DA4-4748-A3A4-6D74DB2F48C1}" id="{41A41CC2-167C-4610-8A34-BFBFE1EF5B30}" done="1">
    <text>Doit être égal à la participation horaire de cloture</text>
  </threadedComment>
  <threadedComment ref="A8" dT="2025-04-14T11:49:47.49" personId="{B9D14DDA-5DA4-4748-A3A4-6D74DB2F48C1}" id="{5123AAA3-BB41-4321-8CCD-7873D043289B}" done="1">
    <text>Nombre de signatures sur le registre</text>
  </threadedComment>
  <threadedComment ref="B8" dT="2025-03-13T15:44:24.83" personId="{B9D14DDA-5DA4-4748-A3A4-6D74DB2F48C1}" id="{258A9372-5457-420A-8860-690EA4EE3656}" done="1">
    <text>Doit être normalement égal aux votants</text>
  </threadedComment>
  <threadedComment ref="AA13" dT="2025-04-14T12:15:13.05" personId="{B9D14DDA-5DA4-4748-A3A4-6D74DB2F48C1}" id="{6E642DE9-B340-4874-98F5-DAD769A6EC29}" done="1">
    <text>Doit être égal au nombre de votants</text>
  </threadedComment>
  <threadedComment ref="J23" dT="2025-04-14T09:07:42.81" personId="{B9D14DDA-5DA4-4748-A3A4-6D74DB2F48C1}" id="{4DB9FA30-BEF0-491F-9CBE-C68EEE9AD78A}" done="1">
    <text>Nombre de centaines d'enveloppes nécessaires pour ce bureau</text>
  </threadedComment>
  <threadedComment ref="K23" dT="2025-04-24T12:32:34.89" personId="{B9D14DDA-5DA4-4748-A3A4-6D74DB2F48C1}" id="{3E92174F-D6C6-476B-941C-0653533ADAEA}" done="1">
    <text>Index de la dernière centaine d'enveloppes</text>
  </threadedComment>
  <threadedComment ref="J24" dT="2025-04-24T12:31:05.29" personId="{B9D14DDA-5DA4-4748-A3A4-6D74DB2F48C1}" id="{56337937-314F-44E1-9B8E-08520754D7D3}" done="1">
    <text>Modulo 100 de la dernière centaine d'enveloppes</text>
  </threadedComment>
  <threadedComment ref="K24" dT="2025-08-05T07:48:39.46" personId="{B9D14DDA-5DA4-4748-A3A4-6D74DB2F48C1}" id="{21297C0C-0AFE-44DE-96AA-AA88C8F9FD42}" done="1">
    <text>Nombre d’isoloirs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AG3" dT="2025-07-15T12:34:37.15" personId="{B9D14DDA-5DA4-4748-A3A4-6D74DB2F48C1}" id="{700B037F-77C3-4AD9-BD5E-38EE854BD38A}" done="1">
    <text>A l'ouverture du bureau il n'y a pas encore de vote</text>
  </threadedComment>
  <threadedComment ref="A7" dT="2025-04-14T11:49:35.58" personId="{B9D14DDA-5DA4-4748-A3A4-6D74DB2F48C1}" id="{87ECF4F1-B411-4692-8379-92DF401C3AE0}" done="1">
    <text>Nombre d'enveloppes et de bulletins sans enveloppe trouvés dans l'urne</text>
  </threadedComment>
  <threadedComment ref="B7" dT="2025-03-13T15:42:36.25" personId="{B9D14DDA-5DA4-4748-A3A4-6D74DB2F48C1}" id="{B2CD3826-C6BF-475F-9BB0-73B599D062A4}" done="1">
    <text>Doit être égal à la participation horaire de cloture</text>
  </threadedComment>
  <threadedComment ref="A8" dT="2025-04-14T11:49:47.49" personId="{B9D14DDA-5DA4-4748-A3A4-6D74DB2F48C1}" id="{02A511C3-FF71-4584-BD03-CF7AAAE23A9C}" done="1">
    <text>Nombre de signatures sur le registre</text>
  </threadedComment>
  <threadedComment ref="B8" dT="2025-03-13T15:44:24.83" personId="{B9D14DDA-5DA4-4748-A3A4-6D74DB2F48C1}" id="{D2A77DD8-7A6F-4F4F-A01F-DCB2BDBDA37D}" done="1">
    <text>Doit être normalement égal aux votants</text>
  </threadedComment>
  <threadedComment ref="AA13" dT="2025-04-14T12:15:13.05" personId="{B9D14DDA-5DA4-4748-A3A4-6D74DB2F48C1}" id="{BE0A82E9-E4BD-4224-A649-16AE8FB34171}" done="1">
    <text>Doit être égal au nombre de votants</text>
  </threadedComment>
  <threadedComment ref="J23" dT="2025-04-14T09:07:42.81" personId="{B9D14DDA-5DA4-4748-A3A4-6D74DB2F48C1}" id="{23A3C339-5ADC-4307-AC7B-9B23F4107432}" done="1">
    <text>Nombre de centaines d'enveloppes nécessaires pour ce bureau</text>
  </threadedComment>
  <threadedComment ref="K23" dT="2025-04-24T12:32:34.89" personId="{B9D14DDA-5DA4-4748-A3A4-6D74DB2F48C1}" id="{EA14C8EB-BBDF-402C-9FD7-16D1BDC1E7CB}" done="1">
    <text>Index de la dernière centaine d'enveloppes</text>
  </threadedComment>
  <threadedComment ref="J24" dT="2025-04-24T12:31:05.29" personId="{B9D14DDA-5DA4-4748-A3A4-6D74DB2F48C1}" id="{5FDE57D9-851C-407C-9930-C7D67AAA34CC}" done="1">
    <text>Modulo 100 de la dernière centaine d'enveloppes</text>
  </threadedComment>
  <threadedComment ref="K24" dT="2025-08-05T07:48:39.46" personId="{B9D14DDA-5DA4-4748-A3A4-6D74DB2F48C1}" id="{3FB10ECC-E1EC-4FBD-AF8A-D50C4078AD76}" done="1">
    <text>Nombre d’isoloirs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AG3" dT="2025-07-15T12:34:37.15" personId="{B9D14DDA-5DA4-4748-A3A4-6D74DB2F48C1}" id="{3F6AA35E-F784-4EC8-B686-BB3F2B73F948}" done="1">
    <text>A l'ouverture du bureau il n'y a pas encore de vote</text>
  </threadedComment>
  <threadedComment ref="A7" dT="2025-04-14T11:49:35.58" personId="{B9D14DDA-5DA4-4748-A3A4-6D74DB2F48C1}" id="{97702F48-E313-4B88-B77F-F75260EEA5CF}" done="1">
    <text>Nombre d'enveloppes et de bulletins sans enveloppe trouvés dans l'urne</text>
  </threadedComment>
  <threadedComment ref="B7" dT="2025-03-13T15:42:36.25" personId="{B9D14DDA-5DA4-4748-A3A4-6D74DB2F48C1}" id="{6DD9A87D-1543-4182-8A66-F76B68D0B0AC}" done="1">
    <text>Doit être égal à la participation horaire de cloture</text>
  </threadedComment>
  <threadedComment ref="A8" dT="2025-04-14T11:49:47.49" personId="{B9D14DDA-5DA4-4748-A3A4-6D74DB2F48C1}" id="{16A2D73D-F795-4716-AF31-F8DE1553A2FD}" done="1">
    <text>Nombre de signatures sur le registre</text>
  </threadedComment>
  <threadedComment ref="B8" dT="2025-03-13T15:44:24.83" personId="{B9D14DDA-5DA4-4748-A3A4-6D74DB2F48C1}" id="{A62ECA02-3D6B-454F-8AEB-0C6B0D66468D}" done="1">
    <text>Doit être normalement égal aux votants</text>
  </threadedComment>
  <threadedComment ref="AA13" dT="2025-04-14T12:15:13.05" personId="{B9D14DDA-5DA4-4748-A3A4-6D74DB2F48C1}" id="{6B8EC59A-6F0C-4CE7-ACAE-A3F4F0F76FDE}" done="1">
    <text>Doit être égal au nombre de votants</text>
  </threadedComment>
  <threadedComment ref="J23" dT="2025-04-14T09:07:42.81" personId="{B9D14DDA-5DA4-4748-A3A4-6D74DB2F48C1}" id="{0335CF43-F990-41EE-9844-18A030BB8D5D}" done="1">
    <text>Nombre de centaines d'enveloppes nécessaires pour ce bureau</text>
  </threadedComment>
  <threadedComment ref="K23" dT="2025-04-24T12:32:34.89" personId="{B9D14DDA-5DA4-4748-A3A4-6D74DB2F48C1}" id="{4987EF52-5C46-44FC-B73E-9FCCD65150C9}" done="1">
    <text>Index de la dernière centaine d'enveloppes</text>
  </threadedComment>
  <threadedComment ref="J24" dT="2025-04-24T12:31:05.29" personId="{B9D14DDA-5DA4-4748-A3A4-6D74DB2F48C1}" id="{8D5FD23E-1433-41BA-8BF1-E4754B95B851}" done="1">
    <text>Modulo 100 de la dernière centaine d'enveloppes</text>
  </threadedComment>
  <threadedComment ref="K24" dT="2025-08-05T07:48:39.46" personId="{B9D14DDA-5DA4-4748-A3A4-6D74DB2F48C1}" id="{811B1BB6-3A6A-415D-88CD-2D42253A9F2D}" done="1">
    <text>Nombre d’isoloirs</text>
  </threadedComment>
</ThreadedComments>
</file>

<file path=xl/threadedComments/threadedComment13.xml><?xml version="1.0" encoding="utf-8"?>
<ThreadedComments xmlns="http://schemas.microsoft.com/office/spreadsheetml/2018/threadedcomments" xmlns:x="http://schemas.openxmlformats.org/spreadsheetml/2006/main">
  <threadedComment ref="AG3" dT="2025-07-15T12:34:37.15" personId="{B9D14DDA-5DA4-4748-A3A4-6D74DB2F48C1}" id="{C749232F-4347-4048-BD70-83678F1B3E1D}" done="1">
    <text>A l'ouverture du bureau il n'y a pas encore de vote</text>
  </threadedComment>
  <threadedComment ref="A7" dT="2025-04-14T11:49:35.58" personId="{B9D14DDA-5DA4-4748-A3A4-6D74DB2F48C1}" id="{C55CF490-643B-4734-8DC4-3C66BDC683CB}" done="1">
    <text>Nombre d'enveloppes et de bulletins sans enveloppe trouvés dans l'urne</text>
  </threadedComment>
  <threadedComment ref="B7" dT="2025-03-13T15:42:36.25" personId="{B9D14DDA-5DA4-4748-A3A4-6D74DB2F48C1}" id="{44B9879A-BD15-4BAC-B1ED-C2472BDD57E1}" done="1">
    <text>Doit être égal à la participation horaire de cloture</text>
  </threadedComment>
  <threadedComment ref="A8" dT="2025-04-14T11:49:47.49" personId="{B9D14DDA-5DA4-4748-A3A4-6D74DB2F48C1}" id="{B1E4A14C-F950-4F61-B194-EEB730684F25}" done="1">
    <text>Nombre de signatures sur le registre</text>
  </threadedComment>
  <threadedComment ref="B8" dT="2025-03-13T15:44:24.83" personId="{B9D14DDA-5DA4-4748-A3A4-6D74DB2F48C1}" id="{7B6DD785-BB95-4A21-938B-32C23485F8EB}" done="1">
    <text>Doit être normalement égal aux votants</text>
  </threadedComment>
  <threadedComment ref="AA13" dT="2025-04-14T12:15:13.05" personId="{B9D14DDA-5DA4-4748-A3A4-6D74DB2F48C1}" id="{ED4067E0-ECE3-4674-9503-CE3E63193350}" done="1">
    <text>Doit être égal au nombre de votants</text>
  </threadedComment>
  <threadedComment ref="J23" dT="2025-04-14T09:07:42.81" personId="{B9D14DDA-5DA4-4748-A3A4-6D74DB2F48C1}" id="{16026CAE-8DE6-438D-912A-880D572D020F}" done="1">
    <text>Nombre de centaines d'enveloppes nécessaires pour ce bureau</text>
  </threadedComment>
  <threadedComment ref="K23" dT="2025-04-24T12:32:34.89" personId="{B9D14DDA-5DA4-4748-A3A4-6D74DB2F48C1}" id="{6E14D928-EEE5-4359-BE5E-43D3F1A52960}" done="1">
    <text>Index de la dernière centaine d'enveloppes</text>
  </threadedComment>
  <threadedComment ref="J24" dT="2025-04-24T12:31:05.29" personId="{B9D14DDA-5DA4-4748-A3A4-6D74DB2F48C1}" id="{D24F22AB-FE44-4F3D-B0A4-BBD200711C7E}" done="1">
    <text>Modulo 100 de la dernière centaine d'enveloppes</text>
  </threadedComment>
  <threadedComment ref="K24" dT="2025-08-05T07:48:39.46" personId="{B9D14DDA-5DA4-4748-A3A4-6D74DB2F48C1}" id="{4B2DE17E-4932-4960-B8A0-F1AE3F6E0AF2}" done="1">
    <text>Nombre d’isoloirs</text>
  </threadedComment>
</ThreadedComments>
</file>

<file path=xl/threadedComments/threadedComment14.xml><?xml version="1.0" encoding="utf-8"?>
<ThreadedComments xmlns="http://schemas.microsoft.com/office/spreadsheetml/2018/threadedcomments" xmlns:x="http://schemas.openxmlformats.org/spreadsheetml/2006/main">
  <threadedComment ref="AG3" dT="2025-07-15T12:34:37.15" personId="{B9D14DDA-5DA4-4748-A3A4-6D74DB2F48C1}" id="{10196598-30FF-4915-8527-26127C2E3466}" done="1">
    <text>A l'ouverture du bureau il n'y a pas encore de vote</text>
  </threadedComment>
  <threadedComment ref="A7" dT="2025-04-14T11:49:35.58" personId="{B9D14DDA-5DA4-4748-A3A4-6D74DB2F48C1}" id="{575D2A96-4BBB-4555-8587-82963058BC7A}" done="1">
    <text>Nombre d'enveloppes et de bulletins sans enveloppe trouvés dans l'urne</text>
  </threadedComment>
  <threadedComment ref="B7" dT="2025-03-13T15:42:36.25" personId="{B9D14DDA-5DA4-4748-A3A4-6D74DB2F48C1}" id="{B07CBCEB-6AA2-4898-9D78-B3C00561B7BB}" done="1">
    <text>Doit être égal à la participation horaire de cloture</text>
  </threadedComment>
  <threadedComment ref="A8" dT="2025-04-14T11:49:47.49" personId="{B9D14DDA-5DA4-4748-A3A4-6D74DB2F48C1}" id="{DB546921-6B63-41B2-93FD-18D8723752A7}" done="1">
    <text>Nombre de signatures sur le registre</text>
  </threadedComment>
  <threadedComment ref="B8" dT="2025-03-13T15:44:24.83" personId="{B9D14DDA-5DA4-4748-A3A4-6D74DB2F48C1}" id="{5A2395B2-E3A9-4053-BA80-E7F70A87C9F1}" done="1">
    <text>Doit être normalement égal aux votants</text>
  </threadedComment>
  <threadedComment ref="AA13" dT="2025-04-14T12:15:13.05" personId="{B9D14DDA-5DA4-4748-A3A4-6D74DB2F48C1}" id="{2296B2F5-1FB3-4CE9-9DDC-91A5F968C583}" done="1">
    <text>Doit être égal au nombre de votants</text>
  </threadedComment>
  <threadedComment ref="J23" dT="2025-04-14T09:07:42.81" personId="{B9D14DDA-5DA4-4748-A3A4-6D74DB2F48C1}" id="{B2E2D5CA-04D1-4FCD-9643-3F680CF941CC}" done="1">
    <text>Nombre de centaines d'enveloppes nécessaires pour ce bureau</text>
  </threadedComment>
  <threadedComment ref="K23" dT="2025-04-24T12:32:34.89" personId="{B9D14DDA-5DA4-4748-A3A4-6D74DB2F48C1}" id="{C0CC0DAF-DF4A-4ABF-BE49-88ADFA547A41}" done="1">
    <text>Index de la dernière centaine d'enveloppes</text>
  </threadedComment>
  <threadedComment ref="J24" dT="2025-04-24T12:31:05.29" personId="{B9D14DDA-5DA4-4748-A3A4-6D74DB2F48C1}" id="{0B43FAF2-3E0F-475E-9F3F-BA44ACDCF99A}" done="1">
    <text>Modulo 100 de la dernière centaine d'enveloppes</text>
  </threadedComment>
  <threadedComment ref="K24" dT="2025-08-05T07:48:39.46" personId="{B9D14DDA-5DA4-4748-A3A4-6D74DB2F48C1}" id="{EFAA6452-32B3-4139-9162-9F26B95D0FBB}" done="1">
    <text>Nombre d’isoloirs</text>
  </threadedComment>
</ThreadedComments>
</file>

<file path=xl/threadedComments/threadedComment15.xml><?xml version="1.0" encoding="utf-8"?>
<ThreadedComments xmlns="http://schemas.microsoft.com/office/spreadsheetml/2018/threadedcomments" xmlns:x="http://schemas.openxmlformats.org/spreadsheetml/2006/main">
  <threadedComment ref="AG3" dT="2025-07-15T12:34:37.15" personId="{B9D14DDA-5DA4-4748-A3A4-6D74DB2F48C1}" id="{3807FAEF-D2B7-4B0E-9C19-E5392D78E105}" done="1">
    <text>A l'ouverture du bureau il n'y a pas encore de vote</text>
  </threadedComment>
  <threadedComment ref="A7" dT="2025-04-14T11:49:35.58" personId="{B9D14DDA-5DA4-4748-A3A4-6D74DB2F48C1}" id="{162C3DD7-0E36-47A6-B0F0-7FA610B4A87C}" done="1">
    <text>Nombre d'enveloppes et de bulletins sans enveloppe trouvés dans l'urne</text>
  </threadedComment>
  <threadedComment ref="B7" dT="2025-03-13T15:42:36.25" personId="{B9D14DDA-5DA4-4748-A3A4-6D74DB2F48C1}" id="{AC91D3CD-71E9-497E-85CF-416E092BF07E}" done="1">
    <text>Doit être égal à la participation horaire de cloture</text>
  </threadedComment>
  <threadedComment ref="A8" dT="2025-04-14T11:49:47.49" personId="{B9D14DDA-5DA4-4748-A3A4-6D74DB2F48C1}" id="{B6E4240D-B488-41DC-9118-FA3E1D4D4CCF}" done="1">
    <text>Nombre de signatures sur le registre</text>
  </threadedComment>
  <threadedComment ref="B8" dT="2025-03-13T15:44:24.83" personId="{B9D14DDA-5DA4-4748-A3A4-6D74DB2F48C1}" id="{D767820A-4606-438F-83C9-97EFB7A3DB04}" done="1">
    <text>Doit être normalement égal aux votants</text>
  </threadedComment>
  <threadedComment ref="AA13" dT="2025-04-14T12:15:13.05" personId="{B9D14DDA-5DA4-4748-A3A4-6D74DB2F48C1}" id="{94301D58-6759-4DAE-96B3-409E2811F4F9}" done="1">
    <text>Doit être égal au nombre de votants</text>
  </threadedComment>
  <threadedComment ref="J23" dT="2025-04-14T09:07:42.81" personId="{B9D14DDA-5DA4-4748-A3A4-6D74DB2F48C1}" id="{CE0015CE-AB17-4BB9-AB19-98B52BDB33B6}" done="1">
    <text>Nombre de centaines d'enveloppes nécessaires pour ce bureau</text>
  </threadedComment>
  <threadedComment ref="K23" dT="2025-04-24T12:32:34.89" personId="{B9D14DDA-5DA4-4748-A3A4-6D74DB2F48C1}" id="{9CFE3393-3B67-44F0-81DD-B0828C37A461}" done="1">
    <text>Index de la dernière centaine d'enveloppes</text>
  </threadedComment>
  <threadedComment ref="J24" dT="2025-04-24T12:31:05.29" personId="{B9D14DDA-5DA4-4748-A3A4-6D74DB2F48C1}" id="{4461CBB1-E85D-4362-AB31-EF86F74B6794}" done="1">
    <text>Modulo 100 de la dernière centaine d'enveloppes</text>
  </threadedComment>
  <threadedComment ref="K24" dT="2025-08-05T07:48:39.46" personId="{B9D14DDA-5DA4-4748-A3A4-6D74DB2F48C1}" id="{FA1B534A-BA7D-4F9D-BFA4-046C9A6769E3}" done="1">
    <text>Nombre d’isoloirs</text>
  </threadedComment>
</ThreadedComments>
</file>

<file path=xl/threadedComments/threadedComment16.xml><?xml version="1.0" encoding="utf-8"?>
<ThreadedComments xmlns="http://schemas.microsoft.com/office/spreadsheetml/2018/threadedcomments" xmlns:x="http://schemas.openxmlformats.org/spreadsheetml/2006/main">
  <threadedComment ref="AG3" dT="2025-07-15T12:34:37.15" personId="{B9D14DDA-5DA4-4748-A3A4-6D74DB2F48C1}" id="{ED69BF12-9517-476C-8E01-AACB8D2F57AE}" done="1">
    <text>A l'ouverture du bureau il n'y a pas encore de vote</text>
  </threadedComment>
  <threadedComment ref="A7" dT="2025-04-14T11:49:35.58" personId="{B9D14DDA-5DA4-4748-A3A4-6D74DB2F48C1}" id="{49BAF116-8AF9-483C-9B56-CA1609DB2A1E}" done="1">
    <text>Nombre d'enveloppes et de bulletins sans enveloppe trouvés dans l'urne</text>
  </threadedComment>
  <threadedComment ref="B7" dT="2025-03-13T15:42:36.25" personId="{B9D14DDA-5DA4-4748-A3A4-6D74DB2F48C1}" id="{BC1050F9-15F7-4802-9F3D-97E3BBBEE2DF}" done="1">
    <text>Doit être égal à la participation horaire de cloture</text>
  </threadedComment>
  <threadedComment ref="A8" dT="2025-04-14T11:49:47.49" personId="{B9D14DDA-5DA4-4748-A3A4-6D74DB2F48C1}" id="{AA877432-E641-41E3-9D46-BA7291E0014B}" done="1">
    <text>Nombre de signatures sur le registre</text>
  </threadedComment>
  <threadedComment ref="B8" dT="2025-03-13T15:44:24.83" personId="{B9D14DDA-5DA4-4748-A3A4-6D74DB2F48C1}" id="{151CFEA1-B9B0-409F-A183-5B95802C7908}" done="1">
    <text>Doit être normalement égal aux votants</text>
  </threadedComment>
  <threadedComment ref="AA13" dT="2025-04-14T12:15:13.05" personId="{B9D14DDA-5DA4-4748-A3A4-6D74DB2F48C1}" id="{78E67FC1-FB45-46E0-A1A2-2AB9D027DD8E}" done="1">
    <text>Doit être égal au nombre de votants</text>
  </threadedComment>
  <threadedComment ref="J23" dT="2025-04-14T09:07:42.81" personId="{B9D14DDA-5DA4-4748-A3A4-6D74DB2F48C1}" id="{C39DAC00-43C6-4350-9A0B-C8B018003E4E}" done="1">
    <text>Nombre de centaines d'enveloppes nécessaires pour ce bureau</text>
  </threadedComment>
  <threadedComment ref="K23" dT="2025-04-24T12:32:34.89" personId="{B9D14DDA-5DA4-4748-A3A4-6D74DB2F48C1}" id="{998470ED-7266-4D66-9748-B1337E105FF8}" done="1">
    <text>Index de la dernière centaine d'enveloppes</text>
  </threadedComment>
  <threadedComment ref="J24" dT="2025-04-24T12:31:05.29" personId="{B9D14DDA-5DA4-4748-A3A4-6D74DB2F48C1}" id="{114E99F4-8846-42A6-8686-DC3D7B04760E}" done="1">
    <text>Modulo 100 de la dernière centaine d'enveloppes</text>
  </threadedComment>
  <threadedComment ref="K24" dT="2025-08-05T07:48:39.46" personId="{B9D14DDA-5DA4-4748-A3A4-6D74DB2F48C1}" id="{A0709001-4B4A-4481-BF0B-B9C0179B6996}" done="1">
    <text>Nombre d’isoloirs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microsoft.com/office/2017/10/relationships/threadedComment" Target="../threadedComments/threadedComment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microsoft.com/office/2017/10/relationships/threadedComment" Target="../threadedComments/threadedComment9.xml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microsoft.com/office/2017/10/relationships/threadedComment" Target="../threadedComments/threadedComment10.xml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microsoft.com/office/2017/10/relationships/threadedComment" Target="../threadedComments/threadedComment11.xml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2.xml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microsoft.com/office/2017/10/relationships/threadedComment" Target="../threadedComments/threadedComment13.xml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microsoft.com/office/2017/10/relationships/threadedComment" Target="../threadedComments/threadedComment14.xml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microsoft.com/office/2017/10/relationships/threadedComment" Target="../threadedComments/threadedComment15.xml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microsoft.com/office/2017/10/relationships/threadedComment" Target="../threadedComments/threadedComment16.xml"/><Relationship Id="rId4" Type="http://schemas.openxmlformats.org/officeDocument/2006/relationships/comments" Target="../comments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theme="4" tint="-0.499984740745262"/>
    <outlinePr summaryBelow="0" summaryRight="0"/>
    <pageSetUpPr fitToPage="1"/>
  </sheetPr>
  <dimension ref="A1:AG32"/>
  <sheetViews>
    <sheetView zoomScale="90" zoomScaleNormal="90" workbookViewId="0">
      <pane xSplit="2" topLeftCell="C1" activePane="topRight" state="frozen"/>
      <selection pane="topRight" activeCell="AF3" sqref="AF3"/>
    </sheetView>
  </sheetViews>
  <sheetFormatPr baseColWidth="10" defaultColWidth="12.5703125" defaultRowHeight="15.75" customHeight="1" x14ac:dyDescent="0.2"/>
  <cols>
    <col min="1" max="1" width="7.42578125" customWidth="1"/>
    <col min="2" max="2" width="17.7109375" customWidth="1"/>
    <col min="3" max="3" width="10" customWidth="1"/>
    <col min="4" max="4" width="14.140625" customWidth="1"/>
    <col min="5" max="5" width="10.140625" customWidth="1"/>
    <col min="6" max="6" width="11.5703125" customWidth="1"/>
    <col min="7" max="7" width="8.28515625" customWidth="1"/>
    <col min="8" max="8" width="9.42578125" customWidth="1"/>
    <col min="9" max="9" width="10.42578125" customWidth="1"/>
    <col min="10" max="10" width="13" customWidth="1"/>
    <col min="11" max="11" width="14.7109375" customWidth="1"/>
    <col min="12" max="31" width="15.7109375" customWidth="1"/>
  </cols>
  <sheetData>
    <row r="1" spans="1:33" ht="13.5" thickBot="1" x14ac:dyDescent="0.25">
      <c r="A1" s="248"/>
      <c r="B1" s="249"/>
      <c r="C1" s="248"/>
      <c r="D1" s="248"/>
      <c r="E1" s="248"/>
      <c r="F1" s="248"/>
      <c r="G1" s="248"/>
      <c r="H1" s="248"/>
      <c r="I1" s="248"/>
      <c r="J1" s="248"/>
      <c r="K1" s="248"/>
      <c r="L1" s="257">
        <v>1</v>
      </c>
      <c r="M1" s="250">
        <v>2</v>
      </c>
      <c r="N1" s="250">
        <v>3</v>
      </c>
      <c r="O1" s="250">
        <v>4</v>
      </c>
      <c r="P1" s="250">
        <v>5</v>
      </c>
      <c r="Q1" s="251">
        <v>6</v>
      </c>
      <c r="R1" s="251">
        <v>7</v>
      </c>
      <c r="S1" s="251">
        <v>8</v>
      </c>
      <c r="T1" s="251">
        <v>9</v>
      </c>
      <c r="U1" s="251">
        <v>10</v>
      </c>
      <c r="V1" s="251">
        <v>11</v>
      </c>
      <c r="W1" s="251">
        <v>12</v>
      </c>
      <c r="X1" s="251">
        <v>13</v>
      </c>
      <c r="Y1" s="251">
        <v>14</v>
      </c>
      <c r="Z1" s="251">
        <v>15</v>
      </c>
      <c r="AA1" s="251">
        <v>16</v>
      </c>
      <c r="AB1" s="251">
        <v>17</v>
      </c>
      <c r="AC1" s="251">
        <v>18</v>
      </c>
      <c r="AD1" s="251">
        <v>19</v>
      </c>
      <c r="AE1" s="251">
        <v>20</v>
      </c>
      <c r="AF1" s="328" t="s">
        <v>7</v>
      </c>
    </row>
    <row r="2" spans="1:33" ht="42.75" customHeight="1" thickBot="1" x14ac:dyDescent="0.25">
      <c r="A2" s="337" t="s">
        <v>97</v>
      </c>
      <c r="B2" s="287" t="s">
        <v>24</v>
      </c>
      <c r="C2" s="288" t="s">
        <v>0</v>
      </c>
      <c r="D2" s="258" t="s">
        <v>1</v>
      </c>
      <c r="E2" s="259" t="s">
        <v>2</v>
      </c>
      <c r="F2" s="260" t="s">
        <v>17</v>
      </c>
      <c r="G2" s="261" t="s">
        <v>3</v>
      </c>
      <c r="H2" s="259" t="s">
        <v>4</v>
      </c>
      <c r="I2" s="259" t="s">
        <v>5</v>
      </c>
      <c r="J2" s="262" t="s">
        <v>6</v>
      </c>
      <c r="K2" s="263" t="s">
        <v>98</v>
      </c>
      <c r="L2" s="439" t="s">
        <v>69</v>
      </c>
      <c r="M2" s="440" t="s">
        <v>99</v>
      </c>
      <c r="N2" s="441" t="s">
        <v>70</v>
      </c>
      <c r="O2" s="442" t="s">
        <v>71</v>
      </c>
      <c r="P2" s="443" t="s">
        <v>72</v>
      </c>
      <c r="Q2" s="401" t="s">
        <v>73</v>
      </c>
      <c r="R2" s="444" t="s">
        <v>74</v>
      </c>
      <c r="S2" s="297" t="s">
        <v>75</v>
      </c>
      <c r="T2" s="445" t="s">
        <v>76</v>
      </c>
      <c r="U2" s="446" t="s">
        <v>77</v>
      </c>
      <c r="V2" s="447" t="s">
        <v>105</v>
      </c>
      <c r="W2" s="448" t="s">
        <v>106</v>
      </c>
      <c r="X2" s="295" t="s">
        <v>107</v>
      </c>
      <c r="Y2" s="449" t="s">
        <v>108</v>
      </c>
      <c r="Z2" s="450" t="s">
        <v>109</v>
      </c>
      <c r="AA2" s="451" t="s">
        <v>110</v>
      </c>
      <c r="AB2" s="452" t="s">
        <v>111</v>
      </c>
      <c r="AC2" s="296" t="s">
        <v>112</v>
      </c>
      <c r="AD2" s="453" t="s">
        <v>113</v>
      </c>
      <c r="AE2" s="454" t="s">
        <v>114</v>
      </c>
      <c r="AF2" s="326" t="s">
        <v>8</v>
      </c>
    </row>
    <row r="3" spans="1:33" ht="12.75" x14ac:dyDescent="0.2">
      <c r="A3" s="338">
        <v>1</v>
      </c>
      <c r="B3" s="289" t="s">
        <v>67</v>
      </c>
      <c r="C3" s="290">
        <v>506</v>
      </c>
      <c r="D3" s="264" cm="1">
        <f t="array" aca="1" ref="D3" ca="1">INDIRECT("'Bureau " &amp; ROW()-2 &amp; "'!$B$8")</f>
        <v>0</v>
      </c>
      <c r="E3" s="265" cm="1">
        <f t="array" aca="1" ref="E3" ca="1">INDIRECT("'Bureau " &amp; ROW()-2 &amp; "'!$B$7")</f>
        <v>0</v>
      </c>
      <c r="F3" s="266">
        <f t="shared" ref="F3:F14" ca="1" si="0">C3-E3</f>
        <v>506</v>
      </c>
      <c r="G3" s="264">
        <f ca="1">INDEX(INDIRECT("'Bureau "&amp;(ROW()-2)&amp;"'!13:13"),1,MATCH("Blancs",INDIRECT("'Bureau "&amp;(ROW()-2)&amp;"'!2:2"),0))</f>
        <v>0</v>
      </c>
      <c r="H3" s="267">
        <f ca="1">INDEX(INDIRECT("'Bureau "&amp;(ROW()-2)&amp;"'!13:13"),1,MATCH("Nuls",INDIRECT("'Bureau "&amp;(ROW()-2)&amp;"'!2:2"),0))</f>
        <v>0</v>
      </c>
      <c r="I3" s="268">
        <f t="shared" ref="I3:I14" ca="1" si="1">E3-G3-H3</f>
        <v>0</v>
      </c>
      <c r="J3" s="269">
        <f t="shared" ref="J3:J14" ca="1" si="2">E3/C3</f>
        <v>0</v>
      </c>
      <c r="K3" s="270">
        <f t="shared" ref="K3:K14" ca="1" si="3">F3/C3</f>
        <v>1</v>
      </c>
      <c r="L3" s="298">
        <f t="shared" ref="L3:L14" ca="1" si="4">INDEX(INDIRECT("'Bureau " &amp; ROW()-2 &amp; "'!E:E"), MATCH("TOTAL", INDIRECT("'Bureau " &amp; ROW() -2&amp; "'!D:D"), 0))</f>
        <v>0</v>
      </c>
      <c r="M3" s="299">
        <f t="shared" ref="M3:M14" ca="1" si="5">INDEX(INDIRECT("'Bureau " &amp; ROW()-2 &amp; "'!F:F"), MATCH("TOTAL", INDIRECT("'Bureau " &amp; ROW() -2&amp; "'!D:D"), 0))</f>
        <v>0</v>
      </c>
      <c r="N3" s="299">
        <f t="shared" ref="N3:N14" ca="1" si="6">INDEX(INDIRECT("'Bureau " &amp; ROW()-2 &amp; "'!G:G"), MATCH("TOTAL", INDIRECT("'Bureau " &amp; ROW() -2&amp; "'!D:D"), 0))</f>
        <v>0</v>
      </c>
      <c r="O3" s="299">
        <f t="shared" ref="O3:O14" ca="1" si="7">INDEX(INDIRECT("'Bureau " &amp; ROW()-2 &amp; "'!H:H"), MATCH("TOTAL", INDIRECT("'Bureau " &amp; ROW() -2&amp; "'!D:D"), 0))</f>
        <v>0</v>
      </c>
      <c r="P3" s="299">
        <f t="shared" ref="P3:P14" ca="1" si="8">INDEX(INDIRECT("'Bureau " &amp; ROW()-2 &amp; "'!I:I"), MATCH("TOTAL", INDIRECT("'Bureau " &amp; ROW() -2&amp; "'!D:D"), 0))</f>
        <v>0</v>
      </c>
      <c r="Q3" s="300">
        <f t="shared" ref="Q3:Q14" ca="1" si="9">INDEX(INDIRECT("'Bureau " &amp; ROW()-2 &amp; "'!J:J"), MATCH("TOTAL", INDIRECT("'Bureau " &amp; ROW() -2&amp; "'!D:D"), 0))</f>
        <v>0</v>
      </c>
      <c r="R3" s="300">
        <f t="shared" ref="R3:R14" ca="1" si="10">INDEX(INDIRECT("'Bureau " &amp; ROW()-2 &amp; "'!K:K"), MATCH("TOTAL", INDIRECT("'Bureau " &amp; ROW() -2&amp; "'!D:D"), 0))</f>
        <v>0</v>
      </c>
      <c r="S3" s="300">
        <f t="shared" ref="S3:S14" ca="1" si="11">INDEX(INDIRECT("'Bureau " &amp; ROW()-2 &amp; "'!L:L"), MATCH("TOTAL", INDIRECT("'Bureau " &amp; ROW() -2&amp; "'!D:D"), 0))</f>
        <v>0</v>
      </c>
      <c r="T3" s="300">
        <f t="shared" ref="T3:T14" ca="1" si="12">INDEX(INDIRECT("'Bureau " &amp; ROW()-2 &amp; "'!M:M"), MATCH("TOTAL", INDIRECT("'Bureau " &amp; ROW() -2&amp; "'!D:D"), 0))</f>
        <v>0</v>
      </c>
      <c r="U3" s="300">
        <f ca="1">INDEX(INDIRECT("'Bureau " &amp; ROW()-2 &amp; "'!N:N"), MATCH("TOTAL", INDIRECT("'Bureau " &amp; ROW() -2&amp; "'!D:D"), 0))</f>
        <v>0</v>
      </c>
      <c r="V3" s="300">
        <f ca="1">INDEX(INDIRECT("'Bureau " &amp; ROW()-2 &amp; "'!O:O"), MATCH("TOTAL", INDIRECT("'Bureau " &amp; ROW() -2&amp; "'!D:D"), 0))</f>
        <v>0</v>
      </c>
      <c r="W3" s="300">
        <f ca="1">INDEX(INDIRECT("'Bureau " &amp; ROW()-2 &amp; "'!P:P"), MATCH("TOTAL", INDIRECT("'Bureau " &amp; ROW() -2&amp; "'!D:D"), 0))</f>
        <v>0</v>
      </c>
      <c r="X3" s="300">
        <f ca="1">INDEX(INDIRECT("'Bureau " &amp; ROW()-2 &amp; "'!Q:Q"), MATCH("TOTAL", INDIRECT("'Bureau " &amp; ROW() -2&amp; "'!D:D"), 0))</f>
        <v>0</v>
      </c>
      <c r="Y3" s="300">
        <f ca="1">INDEX(INDIRECT("'Bureau " &amp; ROW()-2 &amp; "'!R:R"), MATCH("TOTAL", INDIRECT("'Bureau " &amp; ROW() -2&amp; "'!D:D"), 0))</f>
        <v>0</v>
      </c>
      <c r="Z3" s="300">
        <f ca="1">INDEX(INDIRECT("'Bureau " &amp; ROW()-2 &amp; "'!S:S"), MATCH("TOTAL", INDIRECT("'Bureau " &amp; ROW() -2&amp; "'!D:D"), 0))</f>
        <v>0</v>
      </c>
      <c r="AA3" s="300">
        <f ca="1">INDEX(INDIRECT("'Bureau " &amp; ROW()-2 &amp; "'!T:T"), MATCH("TOTAL", INDIRECT("'Bureau " &amp; ROW() -2&amp; "'!D:D"), 0))</f>
        <v>0</v>
      </c>
      <c r="AB3" s="300">
        <f ca="1">INDEX(INDIRECT("'Bureau " &amp; ROW()-2 &amp; "'!U:U"), MATCH("TOTAL", INDIRECT("'Bureau " &amp; ROW() -2&amp; "'!D:D"), 0))</f>
        <v>0</v>
      </c>
      <c r="AC3" s="300">
        <f ca="1">INDEX(INDIRECT("'Bureau " &amp; ROW()-2 &amp; "'!V:V"), MATCH("TOTAL", INDIRECT("'Bureau " &amp; ROW() -2&amp; "'!D:D"), 0))</f>
        <v>0</v>
      </c>
      <c r="AD3" s="300">
        <f ca="1">INDEX(INDIRECT("'Bureau " &amp; ROW()-2 &amp; "'!W:W"), MATCH("TOTAL", INDIRECT("'Bureau " &amp; ROW() -2&amp; "'!D:D"), 0))</f>
        <v>0</v>
      </c>
      <c r="AE3" s="300">
        <f ca="1">INDEX(INDIRECT("'Bureau " &amp; ROW()-2 &amp; "'!X:X"), MATCH("TOTAL", INDIRECT("'Bureau " &amp; ROW() -2&amp; "'!D:D"), 0))</f>
        <v>0</v>
      </c>
      <c r="AF3" s="325" cm="1">
        <f t="array" aca="1" ref="AF3" ca="1">SUM(IFERROR(L3:AE3,0))</f>
        <v>0</v>
      </c>
    </row>
    <row r="4" spans="1:33" ht="12.75" x14ac:dyDescent="0.2">
      <c r="A4" s="339">
        <v>2</v>
      </c>
      <c r="B4" s="291" t="s">
        <v>27</v>
      </c>
      <c r="C4" s="292">
        <v>700</v>
      </c>
      <c r="D4" s="271" cm="1">
        <f t="array" aca="1" ref="D4" ca="1">INDIRECT("'Bureau " &amp; ROW()-2 &amp; "'!$B$8")</f>
        <v>0</v>
      </c>
      <c r="E4" s="272" cm="1">
        <f t="array" aca="1" ref="E4" ca="1">INDIRECT("'Bureau " &amp; ROW()-2 &amp; "'!$B$7")</f>
        <v>0</v>
      </c>
      <c r="F4" s="273">
        <f t="shared" ca="1" si="0"/>
        <v>700</v>
      </c>
      <c r="G4" s="274">
        <f t="shared" ref="G4:G14" ca="1" si="13">INDEX(INDIRECT("'Bureau "&amp;(ROW()-2)&amp;"'!13:13"),1,MATCH("Blancs",INDIRECT("'Bureau "&amp;(ROW()-2)&amp;"'!2:2"),0))</f>
        <v>0</v>
      </c>
      <c r="H4" s="275">
        <f t="shared" ref="H4:H14" ca="1" si="14">INDEX(INDIRECT("'Bureau "&amp;(ROW()-2)&amp;"'!13:13"),1,MATCH("Nuls",INDIRECT("'Bureau "&amp;(ROW()-2)&amp;"'!2:2"),0))</f>
        <v>0</v>
      </c>
      <c r="I4" s="276">
        <f t="shared" ca="1" si="1"/>
        <v>0</v>
      </c>
      <c r="J4" s="277">
        <f t="shared" ca="1" si="2"/>
        <v>0</v>
      </c>
      <c r="K4" s="278">
        <f t="shared" ca="1" si="3"/>
        <v>1</v>
      </c>
      <c r="L4" s="301">
        <f t="shared" ca="1" si="4"/>
        <v>0</v>
      </c>
      <c r="M4" s="302">
        <f t="shared" ca="1" si="5"/>
        <v>0</v>
      </c>
      <c r="N4" s="302">
        <f t="shared" ca="1" si="6"/>
        <v>0</v>
      </c>
      <c r="O4" s="302">
        <f t="shared" ca="1" si="7"/>
        <v>0</v>
      </c>
      <c r="P4" s="302">
        <f t="shared" ca="1" si="8"/>
        <v>0</v>
      </c>
      <c r="Q4" s="303">
        <f t="shared" ca="1" si="9"/>
        <v>0</v>
      </c>
      <c r="R4" s="303">
        <f t="shared" ca="1" si="10"/>
        <v>0</v>
      </c>
      <c r="S4" s="303">
        <f t="shared" ca="1" si="11"/>
        <v>0</v>
      </c>
      <c r="T4" s="303">
        <f t="shared" ca="1" si="12"/>
        <v>0</v>
      </c>
      <c r="U4" s="303">
        <f t="shared" ref="U4:U14" ca="1" si="15">INDEX(INDIRECT("'Bureau " &amp; ROW()-2 &amp; "'!N:N"), MATCH("TOTAL", INDIRECT("'Bureau " &amp; ROW() -2&amp; "'!D:D"), 0))</f>
        <v>0</v>
      </c>
      <c r="V4" s="303">
        <f t="shared" ref="V4:V14" ca="1" si="16">INDEX(INDIRECT("'Bureau " &amp; ROW()-2 &amp; "'!O:O"), MATCH("TOTAL", INDIRECT("'Bureau " &amp; ROW() -2&amp; "'!D:D"), 0))</f>
        <v>0</v>
      </c>
      <c r="W4" s="303">
        <f t="shared" ref="W4:W14" ca="1" si="17">INDEX(INDIRECT("'Bureau " &amp; ROW()-2 &amp; "'!P:P"), MATCH("TOTAL", INDIRECT("'Bureau " &amp; ROW() -2&amp; "'!D:D"), 0))</f>
        <v>0</v>
      </c>
      <c r="X4" s="303">
        <f t="shared" ref="X4:X14" ca="1" si="18">INDEX(INDIRECT("'Bureau " &amp; ROW()-2 &amp; "'!Q:Q"), MATCH("TOTAL", INDIRECT("'Bureau " &amp; ROW() -2&amp; "'!D:D"), 0))</f>
        <v>0</v>
      </c>
      <c r="Y4" s="303">
        <f t="shared" ref="Y4:Y14" ca="1" si="19">INDEX(INDIRECT("'Bureau " &amp; ROW()-2 &amp; "'!R:R"), MATCH("TOTAL", INDIRECT("'Bureau " &amp; ROW() -2&amp; "'!D:D"), 0))</f>
        <v>0</v>
      </c>
      <c r="Z4" s="303">
        <f t="shared" ref="Z4:Z14" ca="1" si="20">INDEX(INDIRECT("'Bureau " &amp; ROW()-2 &amp; "'!S:S"), MATCH("TOTAL", INDIRECT("'Bureau " &amp; ROW() -2&amp; "'!D:D"), 0))</f>
        <v>0</v>
      </c>
      <c r="AA4" s="303">
        <f t="shared" ref="AA4:AA14" ca="1" si="21">INDEX(INDIRECT("'Bureau " &amp; ROW()-2 &amp; "'!T:T"), MATCH("TOTAL", INDIRECT("'Bureau " &amp; ROW() -2&amp; "'!D:D"), 0))</f>
        <v>0</v>
      </c>
      <c r="AB4" s="303">
        <f t="shared" ref="AB4:AB14" ca="1" si="22">INDEX(INDIRECT("'Bureau " &amp; ROW()-2 &amp; "'!U:U"), MATCH("TOTAL", INDIRECT("'Bureau " &amp; ROW() -2&amp; "'!D:D"), 0))</f>
        <v>0</v>
      </c>
      <c r="AC4" s="303">
        <f t="shared" ref="AC4:AC14" ca="1" si="23">INDEX(INDIRECT("'Bureau " &amp; ROW()-2 &amp; "'!V:V"), MATCH("TOTAL", INDIRECT("'Bureau " &amp; ROW() -2&amp; "'!D:D"), 0))</f>
        <v>0</v>
      </c>
      <c r="AD4" s="303">
        <f t="shared" ref="AD4:AD14" ca="1" si="24">INDEX(INDIRECT("'Bureau " &amp; ROW()-2 &amp; "'!W:W"), MATCH("TOTAL", INDIRECT("'Bureau " &amp; ROW() -2&amp; "'!D:D"), 0))</f>
        <v>0</v>
      </c>
      <c r="AE4" s="341">
        <f t="shared" ref="AE4:AE14" ca="1" si="25">INDEX(INDIRECT("'Bureau " &amp; ROW()-2 &amp; "'!X:X"), MATCH("TOTAL", INDIRECT("'Bureau " &amp; ROW() -2&amp; "'!D:D"), 0))</f>
        <v>0</v>
      </c>
      <c r="AF4" s="324" cm="1">
        <f t="array" aca="1" ref="AF4" ca="1">SUM(IFERROR(L4:AE4,0))</f>
        <v>0</v>
      </c>
    </row>
    <row r="5" spans="1:33" ht="12.75" x14ac:dyDescent="0.2">
      <c r="A5" s="339">
        <v>3</v>
      </c>
      <c r="B5" s="291" t="s">
        <v>27</v>
      </c>
      <c r="C5" s="292">
        <v>669</v>
      </c>
      <c r="D5" s="271" cm="1">
        <f t="array" aca="1" ref="D5" ca="1">INDIRECT("'Bureau " &amp; ROW()-2 &amp; "'!$B$8")</f>
        <v>0</v>
      </c>
      <c r="E5" s="272" cm="1">
        <f t="array" aca="1" ref="E5" ca="1">INDIRECT("'Bureau " &amp; ROW()-2 &amp; "'!$B$7")</f>
        <v>0</v>
      </c>
      <c r="F5" s="273">
        <f t="shared" ca="1" si="0"/>
        <v>669</v>
      </c>
      <c r="G5" s="274">
        <f t="shared" ca="1" si="13"/>
        <v>0</v>
      </c>
      <c r="H5" s="275">
        <f t="shared" ca="1" si="14"/>
        <v>0</v>
      </c>
      <c r="I5" s="276">
        <f t="shared" ca="1" si="1"/>
        <v>0</v>
      </c>
      <c r="J5" s="277">
        <f t="shared" ca="1" si="2"/>
        <v>0</v>
      </c>
      <c r="K5" s="278">
        <f t="shared" ca="1" si="3"/>
        <v>1</v>
      </c>
      <c r="L5" s="301">
        <f t="shared" ca="1" si="4"/>
        <v>0</v>
      </c>
      <c r="M5" s="302">
        <f t="shared" ca="1" si="5"/>
        <v>0</v>
      </c>
      <c r="N5" s="302">
        <f t="shared" ca="1" si="6"/>
        <v>0</v>
      </c>
      <c r="O5" s="302">
        <f t="shared" ca="1" si="7"/>
        <v>0</v>
      </c>
      <c r="P5" s="302">
        <f t="shared" ca="1" si="8"/>
        <v>0</v>
      </c>
      <c r="Q5" s="303">
        <f t="shared" ca="1" si="9"/>
        <v>0</v>
      </c>
      <c r="R5" s="303">
        <f t="shared" ca="1" si="10"/>
        <v>0</v>
      </c>
      <c r="S5" s="303">
        <f t="shared" ca="1" si="11"/>
        <v>0</v>
      </c>
      <c r="T5" s="303">
        <f t="shared" ca="1" si="12"/>
        <v>0</v>
      </c>
      <c r="U5" s="303">
        <f t="shared" ca="1" si="15"/>
        <v>0</v>
      </c>
      <c r="V5" s="303">
        <f t="shared" ca="1" si="16"/>
        <v>0</v>
      </c>
      <c r="W5" s="303">
        <f t="shared" ca="1" si="17"/>
        <v>0</v>
      </c>
      <c r="X5" s="303">
        <f t="shared" ca="1" si="18"/>
        <v>0</v>
      </c>
      <c r="Y5" s="303">
        <f t="shared" ca="1" si="19"/>
        <v>0</v>
      </c>
      <c r="Z5" s="303">
        <f t="shared" ca="1" si="20"/>
        <v>0</v>
      </c>
      <c r="AA5" s="303">
        <f t="shared" ca="1" si="21"/>
        <v>0</v>
      </c>
      <c r="AB5" s="303">
        <f t="shared" ca="1" si="22"/>
        <v>0</v>
      </c>
      <c r="AC5" s="303">
        <f t="shared" ca="1" si="23"/>
        <v>0</v>
      </c>
      <c r="AD5" s="303">
        <f t="shared" ca="1" si="24"/>
        <v>0</v>
      </c>
      <c r="AE5" s="341">
        <f t="shared" ca="1" si="25"/>
        <v>0</v>
      </c>
      <c r="AF5" s="324" cm="1">
        <f t="array" aca="1" ref="AF5" ca="1">SUM(IFERROR(L5:AE5,0))</f>
        <v>0</v>
      </c>
    </row>
    <row r="6" spans="1:33" ht="12.75" x14ac:dyDescent="0.2">
      <c r="A6" s="339">
        <v>4</v>
      </c>
      <c r="B6" s="291" t="s">
        <v>27</v>
      </c>
      <c r="C6" s="292">
        <v>651</v>
      </c>
      <c r="D6" s="271" cm="1">
        <f t="array" aca="1" ref="D6" ca="1">INDIRECT("'Bureau " &amp; ROW()-2 &amp; "'!$B$8")</f>
        <v>0</v>
      </c>
      <c r="E6" s="272" cm="1">
        <f t="array" aca="1" ref="E6" ca="1">INDIRECT("'Bureau " &amp; ROW()-2 &amp; "'!$B$7")</f>
        <v>0</v>
      </c>
      <c r="F6" s="273">
        <f t="shared" ca="1" si="0"/>
        <v>651</v>
      </c>
      <c r="G6" s="274">
        <f t="shared" ca="1" si="13"/>
        <v>0</v>
      </c>
      <c r="H6" s="275">
        <f t="shared" ca="1" si="14"/>
        <v>0</v>
      </c>
      <c r="I6" s="276">
        <f t="shared" ca="1" si="1"/>
        <v>0</v>
      </c>
      <c r="J6" s="277">
        <f t="shared" ca="1" si="2"/>
        <v>0</v>
      </c>
      <c r="K6" s="278">
        <f t="shared" ca="1" si="3"/>
        <v>1</v>
      </c>
      <c r="L6" s="301">
        <f t="shared" ca="1" si="4"/>
        <v>0</v>
      </c>
      <c r="M6" s="302">
        <f t="shared" ca="1" si="5"/>
        <v>0</v>
      </c>
      <c r="N6" s="302">
        <f t="shared" ca="1" si="6"/>
        <v>0</v>
      </c>
      <c r="O6" s="302">
        <f t="shared" ca="1" si="7"/>
        <v>0</v>
      </c>
      <c r="P6" s="302">
        <f t="shared" ca="1" si="8"/>
        <v>0</v>
      </c>
      <c r="Q6" s="303">
        <f t="shared" ca="1" si="9"/>
        <v>0</v>
      </c>
      <c r="R6" s="303">
        <f t="shared" ca="1" si="10"/>
        <v>0</v>
      </c>
      <c r="S6" s="303">
        <f t="shared" ca="1" si="11"/>
        <v>0</v>
      </c>
      <c r="T6" s="303">
        <f t="shared" ca="1" si="12"/>
        <v>0</v>
      </c>
      <c r="U6" s="303">
        <f t="shared" ca="1" si="15"/>
        <v>0</v>
      </c>
      <c r="V6" s="303">
        <f t="shared" ca="1" si="16"/>
        <v>0</v>
      </c>
      <c r="W6" s="303">
        <f t="shared" ca="1" si="17"/>
        <v>0</v>
      </c>
      <c r="X6" s="303">
        <f t="shared" ca="1" si="18"/>
        <v>0</v>
      </c>
      <c r="Y6" s="303">
        <f t="shared" ca="1" si="19"/>
        <v>0</v>
      </c>
      <c r="Z6" s="303">
        <f t="shared" ca="1" si="20"/>
        <v>0</v>
      </c>
      <c r="AA6" s="303">
        <f t="shared" ca="1" si="21"/>
        <v>0</v>
      </c>
      <c r="AB6" s="303">
        <f t="shared" ca="1" si="22"/>
        <v>0</v>
      </c>
      <c r="AC6" s="303">
        <f t="shared" ca="1" si="23"/>
        <v>0</v>
      </c>
      <c r="AD6" s="303">
        <f t="shared" ca="1" si="24"/>
        <v>0</v>
      </c>
      <c r="AE6" s="341">
        <f t="shared" ca="1" si="25"/>
        <v>0</v>
      </c>
      <c r="AF6" s="324" cm="1">
        <f t="array" aca="1" ref="AF6" ca="1">SUM(IFERROR(L6:AE6,0))</f>
        <v>0</v>
      </c>
    </row>
    <row r="7" spans="1:33" ht="12.75" x14ac:dyDescent="0.2">
      <c r="A7" s="339">
        <v>5</v>
      </c>
      <c r="B7" s="291" t="s">
        <v>28</v>
      </c>
      <c r="C7" s="292">
        <v>671</v>
      </c>
      <c r="D7" s="271" cm="1">
        <f t="array" aca="1" ref="D7" ca="1">INDIRECT("'Bureau " &amp; ROW()-2 &amp; "'!$B$8")</f>
        <v>0</v>
      </c>
      <c r="E7" s="272" cm="1">
        <f t="array" aca="1" ref="E7" ca="1">INDIRECT("'Bureau " &amp; ROW()-2 &amp; "'!$B$7")</f>
        <v>0</v>
      </c>
      <c r="F7" s="273">
        <f t="shared" ca="1" si="0"/>
        <v>671</v>
      </c>
      <c r="G7" s="274">
        <f t="shared" ca="1" si="13"/>
        <v>0</v>
      </c>
      <c r="H7" s="275">
        <f t="shared" ca="1" si="14"/>
        <v>0</v>
      </c>
      <c r="I7" s="276">
        <f t="shared" ca="1" si="1"/>
        <v>0</v>
      </c>
      <c r="J7" s="277">
        <f t="shared" ca="1" si="2"/>
        <v>0</v>
      </c>
      <c r="K7" s="278">
        <f t="shared" ca="1" si="3"/>
        <v>1</v>
      </c>
      <c r="L7" s="301">
        <f t="shared" ca="1" si="4"/>
        <v>0</v>
      </c>
      <c r="M7" s="302">
        <f t="shared" ca="1" si="5"/>
        <v>0</v>
      </c>
      <c r="N7" s="302">
        <f t="shared" ca="1" si="6"/>
        <v>0</v>
      </c>
      <c r="O7" s="302">
        <f t="shared" ca="1" si="7"/>
        <v>0</v>
      </c>
      <c r="P7" s="302">
        <f t="shared" ca="1" si="8"/>
        <v>0</v>
      </c>
      <c r="Q7" s="303">
        <f t="shared" ca="1" si="9"/>
        <v>0</v>
      </c>
      <c r="R7" s="303">
        <f t="shared" ca="1" si="10"/>
        <v>0</v>
      </c>
      <c r="S7" s="303">
        <f t="shared" ca="1" si="11"/>
        <v>0</v>
      </c>
      <c r="T7" s="303">
        <f t="shared" ca="1" si="12"/>
        <v>0</v>
      </c>
      <c r="U7" s="303">
        <f t="shared" ca="1" si="15"/>
        <v>0</v>
      </c>
      <c r="V7" s="303">
        <f t="shared" ca="1" si="16"/>
        <v>0</v>
      </c>
      <c r="W7" s="303">
        <f t="shared" ca="1" si="17"/>
        <v>0</v>
      </c>
      <c r="X7" s="303">
        <f t="shared" ca="1" si="18"/>
        <v>0</v>
      </c>
      <c r="Y7" s="303">
        <f t="shared" ca="1" si="19"/>
        <v>0</v>
      </c>
      <c r="Z7" s="303">
        <f t="shared" ca="1" si="20"/>
        <v>0</v>
      </c>
      <c r="AA7" s="303">
        <f t="shared" ca="1" si="21"/>
        <v>0</v>
      </c>
      <c r="AB7" s="303">
        <f t="shared" ca="1" si="22"/>
        <v>0</v>
      </c>
      <c r="AC7" s="303">
        <f t="shared" ca="1" si="23"/>
        <v>0</v>
      </c>
      <c r="AD7" s="303">
        <f t="shared" ca="1" si="24"/>
        <v>0</v>
      </c>
      <c r="AE7" s="341">
        <f t="shared" ca="1" si="25"/>
        <v>0</v>
      </c>
      <c r="AF7" s="324" cm="1">
        <f t="array" aca="1" ref="AF7" ca="1">SUM(IFERROR(L7:AE7,0))</f>
        <v>0</v>
      </c>
    </row>
    <row r="8" spans="1:33" ht="12.75" x14ac:dyDescent="0.2">
      <c r="A8" s="339">
        <v>6</v>
      </c>
      <c r="B8" s="291" t="s">
        <v>28</v>
      </c>
      <c r="C8" s="292">
        <v>687</v>
      </c>
      <c r="D8" s="271" cm="1">
        <f t="array" aca="1" ref="D8" ca="1">INDIRECT("'Bureau " &amp; ROW()-2 &amp; "'!$B$8")</f>
        <v>0</v>
      </c>
      <c r="E8" s="272" cm="1">
        <f t="array" aca="1" ref="E8" ca="1">INDIRECT("'Bureau " &amp; ROW()-2 &amp; "'!$B$7")</f>
        <v>0</v>
      </c>
      <c r="F8" s="273">
        <f t="shared" ca="1" si="0"/>
        <v>687</v>
      </c>
      <c r="G8" s="274">
        <f t="shared" ca="1" si="13"/>
        <v>0</v>
      </c>
      <c r="H8" s="275">
        <f t="shared" ca="1" si="14"/>
        <v>0</v>
      </c>
      <c r="I8" s="276">
        <f t="shared" ca="1" si="1"/>
        <v>0</v>
      </c>
      <c r="J8" s="277">
        <f t="shared" ca="1" si="2"/>
        <v>0</v>
      </c>
      <c r="K8" s="278">
        <f t="shared" ca="1" si="3"/>
        <v>1</v>
      </c>
      <c r="L8" s="301">
        <f t="shared" ca="1" si="4"/>
        <v>0</v>
      </c>
      <c r="M8" s="302">
        <f t="shared" ca="1" si="5"/>
        <v>0</v>
      </c>
      <c r="N8" s="302">
        <f t="shared" ca="1" si="6"/>
        <v>0</v>
      </c>
      <c r="O8" s="302">
        <f t="shared" ca="1" si="7"/>
        <v>0</v>
      </c>
      <c r="P8" s="302">
        <f t="shared" ca="1" si="8"/>
        <v>0</v>
      </c>
      <c r="Q8" s="303">
        <f t="shared" ca="1" si="9"/>
        <v>0</v>
      </c>
      <c r="R8" s="303">
        <f t="shared" ca="1" si="10"/>
        <v>0</v>
      </c>
      <c r="S8" s="303">
        <f t="shared" ca="1" si="11"/>
        <v>0</v>
      </c>
      <c r="T8" s="303">
        <f t="shared" ca="1" si="12"/>
        <v>0</v>
      </c>
      <c r="U8" s="303">
        <f t="shared" ca="1" si="15"/>
        <v>0</v>
      </c>
      <c r="V8" s="303">
        <f t="shared" ca="1" si="16"/>
        <v>0</v>
      </c>
      <c r="W8" s="303">
        <f t="shared" ca="1" si="17"/>
        <v>0</v>
      </c>
      <c r="X8" s="303">
        <f t="shared" ca="1" si="18"/>
        <v>0</v>
      </c>
      <c r="Y8" s="303">
        <f t="shared" ca="1" si="19"/>
        <v>0</v>
      </c>
      <c r="Z8" s="303">
        <f t="shared" ca="1" si="20"/>
        <v>0</v>
      </c>
      <c r="AA8" s="303">
        <f t="shared" ca="1" si="21"/>
        <v>0</v>
      </c>
      <c r="AB8" s="303">
        <f t="shared" ca="1" si="22"/>
        <v>0</v>
      </c>
      <c r="AC8" s="303">
        <f t="shared" ca="1" si="23"/>
        <v>0</v>
      </c>
      <c r="AD8" s="303">
        <f t="shared" ca="1" si="24"/>
        <v>0</v>
      </c>
      <c r="AE8" s="341">
        <f t="shared" ca="1" si="25"/>
        <v>0</v>
      </c>
      <c r="AF8" s="324" cm="1">
        <f t="array" aca="1" ref="AF8" ca="1">SUM(IFERROR(L8:AE8,0))</f>
        <v>0</v>
      </c>
    </row>
    <row r="9" spans="1:33" ht="12.75" x14ac:dyDescent="0.2">
      <c r="A9" s="339">
        <v>7</v>
      </c>
      <c r="B9" s="291" t="s">
        <v>28</v>
      </c>
      <c r="C9" s="292">
        <v>692</v>
      </c>
      <c r="D9" s="271" cm="1">
        <f t="array" aca="1" ref="D9" ca="1">INDIRECT("'Bureau " &amp; ROW()-2 &amp; "'!$B$8")</f>
        <v>0</v>
      </c>
      <c r="E9" s="272" cm="1">
        <f t="array" aca="1" ref="E9" ca="1">INDIRECT("'Bureau " &amp; ROW()-2 &amp; "'!$B$7")</f>
        <v>0</v>
      </c>
      <c r="F9" s="273">
        <f t="shared" ca="1" si="0"/>
        <v>692</v>
      </c>
      <c r="G9" s="274">
        <f t="shared" ca="1" si="13"/>
        <v>0</v>
      </c>
      <c r="H9" s="275">
        <f t="shared" ca="1" si="14"/>
        <v>0</v>
      </c>
      <c r="I9" s="276">
        <f t="shared" ca="1" si="1"/>
        <v>0</v>
      </c>
      <c r="J9" s="277">
        <f t="shared" ca="1" si="2"/>
        <v>0</v>
      </c>
      <c r="K9" s="278">
        <f t="shared" ca="1" si="3"/>
        <v>1</v>
      </c>
      <c r="L9" s="301">
        <f t="shared" ca="1" si="4"/>
        <v>0</v>
      </c>
      <c r="M9" s="302">
        <f t="shared" ca="1" si="5"/>
        <v>0</v>
      </c>
      <c r="N9" s="302">
        <f t="shared" ca="1" si="6"/>
        <v>0</v>
      </c>
      <c r="O9" s="302">
        <f t="shared" ca="1" si="7"/>
        <v>0</v>
      </c>
      <c r="P9" s="302">
        <f t="shared" ca="1" si="8"/>
        <v>0</v>
      </c>
      <c r="Q9" s="303">
        <f t="shared" ca="1" si="9"/>
        <v>0</v>
      </c>
      <c r="R9" s="303">
        <f t="shared" ca="1" si="10"/>
        <v>0</v>
      </c>
      <c r="S9" s="303">
        <f t="shared" ca="1" si="11"/>
        <v>0</v>
      </c>
      <c r="T9" s="303">
        <f t="shared" ca="1" si="12"/>
        <v>0</v>
      </c>
      <c r="U9" s="303">
        <f t="shared" ca="1" si="15"/>
        <v>0</v>
      </c>
      <c r="V9" s="303">
        <f t="shared" ca="1" si="16"/>
        <v>0</v>
      </c>
      <c r="W9" s="303">
        <f t="shared" ca="1" si="17"/>
        <v>0</v>
      </c>
      <c r="X9" s="303">
        <f t="shared" ca="1" si="18"/>
        <v>0</v>
      </c>
      <c r="Y9" s="303">
        <f t="shared" ca="1" si="19"/>
        <v>0</v>
      </c>
      <c r="Z9" s="303">
        <f t="shared" ca="1" si="20"/>
        <v>0</v>
      </c>
      <c r="AA9" s="303">
        <f t="shared" ca="1" si="21"/>
        <v>0</v>
      </c>
      <c r="AB9" s="303">
        <f t="shared" ca="1" si="22"/>
        <v>0</v>
      </c>
      <c r="AC9" s="303">
        <f t="shared" ca="1" si="23"/>
        <v>0</v>
      </c>
      <c r="AD9" s="303">
        <f t="shared" ca="1" si="24"/>
        <v>0</v>
      </c>
      <c r="AE9" s="341">
        <f t="shared" ca="1" si="25"/>
        <v>0</v>
      </c>
      <c r="AF9" s="324" cm="1">
        <f t="array" aca="1" ref="AF9" ca="1">SUM(IFERROR(L9:AE9,0))</f>
        <v>0</v>
      </c>
    </row>
    <row r="10" spans="1:33" ht="12.75" x14ac:dyDescent="0.2">
      <c r="A10" s="339">
        <v>8</v>
      </c>
      <c r="B10" s="291" t="s">
        <v>28</v>
      </c>
      <c r="C10" s="292">
        <v>620</v>
      </c>
      <c r="D10" s="271" cm="1">
        <f t="array" aca="1" ref="D10" ca="1">INDIRECT("'Bureau " &amp; ROW()-2 &amp; "'!$B$8")</f>
        <v>0</v>
      </c>
      <c r="E10" s="272" cm="1">
        <f t="array" aca="1" ref="E10" ca="1">INDIRECT("'Bureau " &amp; ROW()-2 &amp; "'!$B$7")</f>
        <v>0</v>
      </c>
      <c r="F10" s="273">
        <f t="shared" ca="1" si="0"/>
        <v>620</v>
      </c>
      <c r="G10" s="274">
        <f t="shared" ca="1" si="13"/>
        <v>0</v>
      </c>
      <c r="H10" s="275">
        <f t="shared" ca="1" si="14"/>
        <v>0</v>
      </c>
      <c r="I10" s="276">
        <f t="shared" ca="1" si="1"/>
        <v>0</v>
      </c>
      <c r="J10" s="277">
        <f t="shared" ca="1" si="2"/>
        <v>0</v>
      </c>
      <c r="K10" s="278">
        <f t="shared" ca="1" si="3"/>
        <v>1</v>
      </c>
      <c r="L10" s="301">
        <f t="shared" ca="1" si="4"/>
        <v>0</v>
      </c>
      <c r="M10" s="302">
        <f t="shared" ca="1" si="5"/>
        <v>0</v>
      </c>
      <c r="N10" s="302">
        <f t="shared" ca="1" si="6"/>
        <v>0</v>
      </c>
      <c r="O10" s="302">
        <f t="shared" ca="1" si="7"/>
        <v>0</v>
      </c>
      <c r="P10" s="302">
        <f t="shared" ca="1" si="8"/>
        <v>0</v>
      </c>
      <c r="Q10" s="303">
        <f t="shared" ca="1" si="9"/>
        <v>0</v>
      </c>
      <c r="R10" s="303">
        <f t="shared" ca="1" si="10"/>
        <v>0</v>
      </c>
      <c r="S10" s="303">
        <f t="shared" ca="1" si="11"/>
        <v>0</v>
      </c>
      <c r="T10" s="303">
        <f t="shared" ca="1" si="12"/>
        <v>0</v>
      </c>
      <c r="U10" s="303">
        <f t="shared" ca="1" si="15"/>
        <v>0</v>
      </c>
      <c r="V10" s="303">
        <f t="shared" ca="1" si="16"/>
        <v>0</v>
      </c>
      <c r="W10" s="303">
        <f t="shared" ca="1" si="17"/>
        <v>0</v>
      </c>
      <c r="X10" s="303">
        <f t="shared" ca="1" si="18"/>
        <v>0</v>
      </c>
      <c r="Y10" s="303">
        <f t="shared" ca="1" si="19"/>
        <v>0</v>
      </c>
      <c r="Z10" s="303">
        <f t="shared" ca="1" si="20"/>
        <v>0</v>
      </c>
      <c r="AA10" s="303">
        <f t="shared" ca="1" si="21"/>
        <v>0</v>
      </c>
      <c r="AB10" s="303">
        <f t="shared" ca="1" si="22"/>
        <v>0</v>
      </c>
      <c r="AC10" s="303">
        <f t="shared" ca="1" si="23"/>
        <v>0</v>
      </c>
      <c r="AD10" s="303">
        <f t="shared" ca="1" si="24"/>
        <v>0</v>
      </c>
      <c r="AE10" s="341">
        <f t="shared" ca="1" si="25"/>
        <v>0</v>
      </c>
      <c r="AF10" s="324" cm="1">
        <f t="array" aca="1" ref="AF10" ca="1">SUM(IFERROR(L10:AE10,0))</f>
        <v>0</v>
      </c>
    </row>
    <row r="11" spans="1:33" ht="12.75" x14ac:dyDescent="0.2">
      <c r="A11" s="339">
        <v>9</v>
      </c>
      <c r="B11" s="291" t="s">
        <v>29</v>
      </c>
      <c r="C11" s="292">
        <v>671</v>
      </c>
      <c r="D11" s="271" cm="1">
        <f t="array" aca="1" ref="D11" ca="1">INDIRECT("'Bureau " &amp; ROW()-2 &amp; "'!$B$8")</f>
        <v>0</v>
      </c>
      <c r="E11" s="272" cm="1">
        <f t="array" aca="1" ref="E11" ca="1">INDIRECT("'Bureau " &amp; ROW()-2 &amp; "'!$B$7")</f>
        <v>0</v>
      </c>
      <c r="F11" s="273">
        <f t="shared" ca="1" si="0"/>
        <v>671</v>
      </c>
      <c r="G11" s="274">
        <f t="shared" ca="1" si="13"/>
        <v>0</v>
      </c>
      <c r="H11" s="275">
        <f t="shared" ca="1" si="14"/>
        <v>0</v>
      </c>
      <c r="I11" s="276">
        <f t="shared" ca="1" si="1"/>
        <v>0</v>
      </c>
      <c r="J11" s="277">
        <f t="shared" ca="1" si="2"/>
        <v>0</v>
      </c>
      <c r="K11" s="278">
        <f t="shared" ca="1" si="3"/>
        <v>1</v>
      </c>
      <c r="L11" s="301">
        <f t="shared" ca="1" si="4"/>
        <v>0</v>
      </c>
      <c r="M11" s="302">
        <f t="shared" ca="1" si="5"/>
        <v>0</v>
      </c>
      <c r="N11" s="302">
        <f t="shared" ca="1" si="6"/>
        <v>0</v>
      </c>
      <c r="O11" s="302">
        <f t="shared" ca="1" si="7"/>
        <v>0</v>
      </c>
      <c r="P11" s="302">
        <f t="shared" ca="1" si="8"/>
        <v>0</v>
      </c>
      <c r="Q11" s="303">
        <f t="shared" ca="1" si="9"/>
        <v>0</v>
      </c>
      <c r="R11" s="303">
        <f t="shared" ca="1" si="10"/>
        <v>0</v>
      </c>
      <c r="S11" s="303">
        <f t="shared" ca="1" si="11"/>
        <v>0</v>
      </c>
      <c r="T11" s="303">
        <f t="shared" ca="1" si="12"/>
        <v>0</v>
      </c>
      <c r="U11" s="303">
        <f t="shared" ca="1" si="15"/>
        <v>0</v>
      </c>
      <c r="V11" s="303">
        <f t="shared" ca="1" si="16"/>
        <v>0</v>
      </c>
      <c r="W11" s="303">
        <f t="shared" ca="1" si="17"/>
        <v>0</v>
      </c>
      <c r="X11" s="303">
        <f t="shared" ca="1" si="18"/>
        <v>0</v>
      </c>
      <c r="Y11" s="303">
        <f t="shared" ca="1" si="19"/>
        <v>0</v>
      </c>
      <c r="Z11" s="303">
        <f t="shared" ca="1" si="20"/>
        <v>0</v>
      </c>
      <c r="AA11" s="303">
        <f t="shared" ca="1" si="21"/>
        <v>0</v>
      </c>
      <c r="AB11" s="303">
        <f t="shared" ca="1" si="22"/>
        <v>0</v>
      </c>
      <c r="AC11" s="303">
        <f t="shared" ca="1" si="23"/>
        <v>0</v>
      </c>
      <c r="AD11" s="303">
        <f t="shared" ca="1" si="24"/>
        <v>0</v>
      </c>
      <c r="AE11" s="341">
        <f t="shared" ca="1" si="25"/>
        <v>0</v>
      </c>
      <c r="AF11" s="324" cm="1">
        <f t="array" aca="1" ref="AF11" ca="1">SUM(IFERROR(L11:AE11,0))</f>
        <v>0</v>
      </c>
    </row>
    <row r="12" spans="1:33" ht="12.75" x14ac:dyDescent="0.2">
      <c r="A12" s="339">
        <v>10</v>
      </c>
      <c r="B12" s="291" t="s">
        <v>29</v>
      </c>
      <c r="C12" s="292">
        <v>581</v>
      </c>
      <c r="D12" s="271" cm="1">
        <f t="array" aca="1" ref="D12" ca="1">INDIRECT("'Bureau " &amp; ROW()-2 &amp; "'!$B$8")</f>
        <v>0</v>
      </c>
      <c r="E12" s="272" cm="1">
        <f t="array" aca="1" ref="E12" ca="1">INDIRECT("'Bureau " &amp; ROW()-2 &amp; "'!$B$7")</f>
        <v>0</v>
      </c>
      <c r="F12" s="273">
        <f t="shared" ca="1" si="0"/>
        <v>581</v>
      </c>
      <c r="G12" s="274">
        <f t="shared" ca="1" si="13"/>
        <v>0</v>
      </c>
      <c r="H12" s="275">
        <f t="shared" ca="1" si="14"/>
        <v>0</v>
      </c>
      <c r="I12" s="276">
        <f t="shared" ca="1" si="1"/>
        <v>0</v>
      </c>
      <c r="J12" s="277">
        <f t="shared" ca="1" si="2"/>
        <v>0</v>
      </c>
      <c r="K12" s="278">
        <f t="shared" ca="1" si="3"/>
        <v>1</v>
      </c>
      <c r="L12" s="301">
        <f t="shared" ca="1" si="4"/>
        <v>0</v>
      </c>
      <c r="M12" s="302">
        <f t="shared" ca="1" si="5"/>
        <v>0</v>
      </c>
      <c r="N12" s="302">
        <f t="shared" ca="1" si="6"/>
        <v>0</v>
      </c>
      <c r="O12" s="302">
        <f t="shared" ca="1" si="7"/>
        <v>0</v>
      </c>
      <c r="P12" s="302">
        <f t="shared" ca="1" si="8"/>
        <v>0</v>
      </c>
      <c r="Q12" s="303">
        <f t="shared" ca="1" si="9"/>
        <v>0</v>
      </c>
      <c r="R12" s="303">
        <f t="shared" ca="1" si="10"/>
        <v>0</v>
      </c>
      <c r="S12" s="303">
        <f t="shared" ca="1" si="11"/>
        <v>0</v>
      </c>
      <c r="T12" s="303">
        <f t="shared" ca="1" si="12"/>
        <v>0</v>
      </c>
      <c r="U12" s="303">
        <f t="shared" ca="1" si="15"/>
        <v>0</v>
      </c>
      <c r="V12" s="303">
        <f t="shared" ca="1" si="16"/>
        <v>0</v>
      </c>
      <c r="W12" s="303">
        <f t="shared" ca="1" si="17"/>
        <v>0</v>
      </c>
      <c r="X12" s="303">
        <f t="shared" ca="1" si="18"/>
        <v>0</v>
      </c>
      <c r="Y12" s="303">
        <f t="shared" ca="1" si="19"/>
        <v>0</v>
      </c>
      <c r="Z12" s="303">
        <f t="shared" ca="1" si="20"/>
        <v>0</v>
      </c>
      <c r="AA12" s="303">
        <f t="shared" ca="1" si="21"/>
        <v>0</v>
      </c>
      <c r="AB12" s="303">
        <f t="shared" ca="1" si="22"/>
        <v>0</v>
      </c>
      <c r="AC12" s="303">
        <f t="shared" ca="1" si="23"/>
        <v>0</v>
      </c>
      <c r="AD12" s="303">
        <f t="shared" ca="1" si="24"/>
        <v>0</v>
      </c>
      <c r="AE12" s="341">
        <f t="shared" ca="1" si="25"/>
        <v>0</v>
      </c>
      <c r="AF12" s="324" cm="1">
        <f t="array" aca="1" ref="AF12" ca="1">SUM(IFERROR(L12:AE12,0))</f>
        <v>0</v>
      </c>
      <c r="AG12" s="390"/>
    </row>
    <row r="13" spans="1:33" ht="12.75" x14ac:dyDescent="0.2">
      <c r="A13" s="339">
        <v>11</v>
      </c>
      <c r="B13" s="291" t="s">
        <v>29</v>
      </c>
      <c r="C13" s="292">
        <v>649</v>
      </c>
      <c r="D13" s="271" cm="1">
        <f t="array" aca="1" ref="D13" ca="1">INDIRECT("'Bureau " &amp; ROW()-2 &amp; "'!$B$8")</f>
        <v>0</v>
      </c>
      <c r="E13" s="272" cm="1">
        <f t="array" aca="1" ref="E13" ca="1">INDIRECT("'Bureau " &amp; ROW()-2 &amp; "'!$B$7")</f>
        <v>0</v>
      </c>
      <c r="F13" s="273">
        <f t="shared" ca="1" si="0"/>
        <v>649</v>
      </c>
      <c r="G13" s="274">
        <f t="shared" ca="1" si="13"/>
        <v>0</v>
      </c>
      <c r="H13" s="275">
        <f t="shared" ca="1" si="14"/>
        <v>0</v>
      </c>
      <c r="I13" s="276">
        <f t="shared" ca="1" si="1"/>
        <v>0</v>
      </c>
      <c r="J13" s="277">
        <f t="shared" ca="1" si="2"/>
        <v>0</v>
      </c>
      <c r="K13" s="278">
        <f t="shared" ca="1" si="3"/>
        <v>1</v>
      </c>
      <c r="L13" s="301">
        <f t="shared" ca="1" si="4"/>
        <v>0</v>
      </c>
      <c r="M13" s="302">
        <f t="shared" ca="1" si="5"/>
        <v>0</v>
      </c>
      <c r="N13" s="302">
        <f t="shared" ca="1" si="6"/>
        <v>0</v>
      </c>
      <c r="O13" s="302">
        <f t="shared" ca="1" si="7"/>
        <v>0</v>
      </c>
      <c r="P13" s="302">
        <f t="shared" ca="1" si="8"/>
        <v>0</v>
      </c>
      <c r="Q13" s="303">
        <f t="shared" ca="1" si="9"/>
        <v>0</v>
      </c>
      <c r="R13" s="303">
        <f t="shared" ca="1" si="10"/>
        <v>0</v>
      </c>
      <c r="S13" s="303">
        <f t="shared" ca="1" si="11"/>
        <v>0</v>
      </c>
      <c r="T13" s="303">
        <f t="shared" ca="1" si="12"/>
        <v>0</v>
      </c>
      <c r="U13" s="303">
        <f t="shared" ca="1" si="15"/>
        <v>0</v>
      </c>
      <c r="V13" s="303">
        <f t="shared" ca="1" si="16"/>
        <v>0</v>
      </c>
      <c r="W13" s="303">
        <f t="shared" ca="1" si="17"/>
        <v>0</v>
      </c>
      <c r="X13" s="303">
        <f t="shared" ca="1" si="18"/>
        <v>0</v>
      </c>
      <c r="Y13" s="303">
        <f t="shared" ca="1" si="19"/>
        <v>0</v>
      </c>
      <c r="Z13" s="303">
        <f t="shared" ca="1" si="20"/>
        <v>0</v>
      </c>
      <c r="AA13" s="303">
        <f t="shared" ca="1" si="21"/>
        <v>0</v>
      </c>
      <c r="AB13" s="303">
        <f t="shared" ca="1" si="22"/>
        <v>0</v>
      </c>
      <c r="AC13" s="303">
        <f t="shared" ca="1" si="23"/>
        <v>0</v>
      </c>
      <c r="AD13" s="303">
        <f t="shared" ca="1" si="24"/>
        <v>0</v>
      </c>
      <c r="AE13" s="341">
        <f t="shared" ca="1" si="25"/>
        <v>0</v>
      </c>
      <c r="AF13" s="324" cm="1">
        <f t="array" aca="1" ref="AF13" ca="1">SUM(IFERROR(L13:AE13,0))</f>
        <v>0</v>
      </c>
    </row>
    <row r="14" spans="1:33" ht="13.5" thickBot="1" x14ac:dyDescent="0.25">
      <c r="A14" s="340">
        <v>12</v>
      </c>
      <c r="B14" s="293" t="s">
        <v>30</v>
      </c>
      <c r="C14" s="294">
        <v>645</v>
      </c>
      <c r="D14" s="279" cm="1">
        <f t="array" aca="1" ref="D14" ca="1">INDIRECT("'Bureau " &amp; ROW()-2 &amp; "'!$B$8")</f>
        <v>0</v>
      </c>
      <c r="E14" s="280" cm="1">
        <f t="array" aca="1" ref="E14" ca="1">INDIRECT("'Bureau " &amp; ROW()-2 &amp; "'!$B$7")</f>
        <v>0</v>
      </c>
      <c r="F14" s="281">
        <f t="shared" ca="1" si="0"/>
        <v>645</v>
      </c>
      <c r="G14" s="282">
        <f t="shared" ca="1" si="13"/>
        <v>0</v>
      </c>
      <c r="H14" s="283">
        <f t="shared" ca="1" si="14"/>
        <v>0</v>
      </c>
      <c r="I14" s="284">
        <f t="shared" ca="1" si="1"/>
        <v>0</v>
      </c>
      <c r="J14" s="285">
        <f t="shared" ca="1" si="2"/>
        <v>0</v>
      </c>
      <c r="K14" s="286">
        <f t="shared" ca="1" si="3"/>
        <v>1</v>
      </c>
      <c r="L14" s="304">
        <f t="shared" ca="1" si="4"/>
        <v>0</v>
      </c>
      <c r="M14" s="305">
        <f t="shared" ca="1" si="5"/>
        <v>0</v>
      </c>
      <c r="N14" s="305">
        <f t="shared" ca="1" si="6"/>
        <v>0</v>
      </c>
      <c r="O14" s="305">
        <f t="shared" ca="1" si="7"/>
        <v>0</v>
      </c>
      <c r="P14" s="305">
        <f t="shared" ca="1" si="8"/>
        <v>0</v>
      </c>
      <c r="Q14" s="306">
        <f t="shared" ca="1" si="9"/>
        <v>0</v>
      </c>
      <c r="R14" s="306">
        <f t="shared" ca="1" si="10"/>
        <v>0</v>
      </c>
      <c r="S14" s="306">
        <f t="shared" ca="1" si="11"/>
        <v>0</v>
      </c>
      <c r="T14" s="306">
        <f t="shared" ca="1" si="12"/>
        <v>0</v>
      </c>
      <c r="U14" s="306">
        <f t="shared" ca="1" si="15"/>
        <v>0</v>
      </c>
      <c r="V14" s="306">
        <f t="shared" ca="1" si="16"/>
        <v>0</v>
      </c>
      <c r="W14" s="306">
        <f t="shared" ca="1" si="17"/>
        <v>0</v>
      </c>
      <c r="X14" s="306">
        <f t="shared" ca="1" si="18"/>
        <v>0</v>
      </c>
      <c r="Y14" s="306">
        <f t="shared" ca="1" si="19"/>
        <v>0</v>
      </c>
      <c r="Z14" s="306">
        <f t="shared" ca="1" si="20"/>
        <v>0</v>
      </c>
      <c r="AA14" s="306">
        <f t="shared" ca="1" si="21"/>
        <v>0</v>
      </c>
      <c r="AB14" s="306">
        <f t="shared" ca="1" si="22"/>
        <v>0</v>
      </c>
      <c r="AC14" s="306">
        <f t="shared" ca="1" si="23"/>
        <v>0</v>
      </c>
      <c r="AD14" s="306">
        <f t="shared" ca="1" si="24"/>
        <v>0</v>
      </c>
      <c r="AE14" s="342">
        <f t="shared" ca="1" si="25"/>
        <v>0</v>
      </c>
      <c r="AF14" s="327" cm="1">
        <f t="array" aca="1" ref="AF14" ca="1">SUM(IFERROR(L14:AE14,0))</f>
        <v>0</v>
      </c>
    </row>
    <row r="15" spans="1:33" ht="15.75" customHeight="1" x14ac:dyDescent="0.25">
      <c r="A15" s="402" t="s">
        <v>9</v>
      </c>
      <c r="B15" s="403"/>
      <c r="C15" s="247" cm="1">
        <f t="array" ref="C15">SUM(IFERROR(C3:C14,0))</f>
        <v>7742</v>
      </c>
      <c r="D15" s="51" cm="1">
        <f t="array" aca="1" ref="D15" ca="1">SUM(IFERROR(D3:D14,0))</f>
        <v>0</v>
      </c>
      <c r="E15" s="81" cm="1">
        <f t="array" aca="1" ref="E15" ca="1">SUM(IFERROR(E3:E14,0))</f>
        <v>0</v>
      </c>
      <c r="F15" s="81" cm="1">
        <f t="array" aca="1" ref="F15" ca="1">SUM(IFERROR(F3:F14,0))</f>
        <v>7742</v>
      </c>
      <c r="G15" s="43" cm="1">
        <f t="array" aca="1" ref="G15" ca="1">SUM(IFERROR(G3:G14,0))</f>
        <v>0</v>
      </c>
      <c r="H15" s="44" cm="1">
        <f t="array" aca="1" ref="H15" ca="1">SUM(IFERROR(H3:H14,0))</f>
        <v>0</v>
      </c>
      <c r="I15" s="87" cm="1">
        <f t="array" aca="1" ref="I15" ca="1">SUM(IFERROR(I3:I14,0))</f>
        <v>0</v>
      </c>
      <c r="J15" s="88">
        <f ca="1">E15</f>
        <v>0</v>
      </c>
      <c r="K15" s="89" cm="1">
        <f t="array" aca="1" ref="K15" ca="1">SUM(IFERROR(F3:F14,0))</f>
        <v>7742</v>
      </c>
      <c r="L15" s="255" cm="1">
        <f t="array" aca="1" ref="L15" ca="1">SUM(IFERROR(L3:L14,0))</f>
        <v>0</v>
      </c>
      <c r="M15" s="252" cm="1">
        <f t="array" aca="1" ref="M15" ca="1">SUM(IFERROR(M3:M14,0))</f>
        <v>0</v>
      </c>
      <c r="N15" s="252" cm="1">
        <f t="array" aca="1" ref="N15" ca="1">SUM(IFERROR(N3:N14,0))</f>
        <v>0</v>
      </c>
      <c r="O15" s="252" cm="1">
        <f t="array" aca="1" ref="O15" ca="1">SUM(IFERROR(O3:O14,0))</f>
        <v>0</v>
      </c>
      <c r="P15" s="253" cm="1">
        <f t="array" aca="1" ref="P15" ca="1">SUM(IFERROR(P3:P14,0))</f>
        <v>0</v>
      </c>
      <c r="Q15" s="254" cm="1">
        <f t="array" aca="1" ref="Q15" ca="1">SUM(IFERROR(Q3:Q14,0))</f>
        <v>0</v>
      </c>
      <c r="R15" s="254" cm="1">
        <f t="array" aca="1" ref="R15" ca="1">SUM(IFERROR(R3:R14,0))</f>
        <v>0</v>
      </c>
      <c r="S15" s="254" cm="1">
        <f t="array" aca="1" ref="S15" ca="1">SUM(IFERROR(S3:S14,0))</f>
        <v>0</v>
      </c>
      <c r="T15" s="254" cm="1">
        <f t="array" aca="1" ref="T15" ca="1">SUM(IFERROR(T3:T14,0))</f>
        <v>0</v>
      </c>
      <c r="U15" s="254" cm="1">
        <f t="array" aca="1" ref="U15" ca="1">SUM(IFERROR(U3:U14,0))</f>
        <v>0</v>
      </c>
      <c r="V15" s="254" cm="1">
        <f t="array" aca="1" ref="V15" ca="1">SUM(IFERROR(V3:V14,0))</f>
        <v>0</v>
      </c>
      <c r="W15" s="254" cm="1">
        <f t="array" aca="1" ref="W15" ca="1">SUM(IFERROR(W3:W14,0))</f>
        <v>0</v>
      </c>
      <c r="X15" s="254" cm="1">
        <f t="array" aca="1" ref="X15" ca="1">SUM(IFERROR(X3:X14,0))</f>
        <v>0</v>
      </c>
      <c r="Y15" s="254" cm="1">
        <f t="array" aca="1" ref="Y15" ca="1">SUM(IFERROR(Y3:Y14,0))</f>
        <v>0</v>
      </c>
      <c r="Z15" s="254" cm="1">
        <f t="array" aca="1" ref="Z15" ca="1">SUM(IFERROR(Z3:Z14,0))</f>
        <v>0</v>
      </c>
      <c r="AA15" s="254" cm="1">
        <f t="array" aca="1" ref="AA15" ca="1">SUM(IFERROR(AA3:AA14,0))</f>
        <v>0</v>
      </c>
      <c r="AB15" s="254" cm="1">
        <f t="array" aca="1" ref="AB15" ca="1">SUM(IFERROR(AB3:AB14,0))</f>
        <v>0</v>
      </c>
      <c r="AC15" s="254" cm="1">
        <f t="array" aca="1" ref="AC15" ca="1">SUM(IFERROR(AC3:AC14,0))</f>
        <v>0</v>
      </c>
      <c r="AD15" s="254" cm="1">
        <f t="array" aca="1" ref="AD15" ca="1">SUM(IFERROR(AD3:AD14,0))</f>
        <v>0</v>
      </c>
      <c r="AE15" s="84" cm="1">
        <f t="array" aca="1" ref="AE15" ca="1">SUM(IFERROR(AE3:AE14,0))</f>
        <v>0</v>
      </c>
      <c r="AF15" s="329" cm="1">
        <f t="array" aca="1" ref="AF15" ca="1">SUM(IFERROR(AF3:AF14,0))</f>
        <v>0</v>
      </c>
    </row>
    <row r="16" spans="1:33" ht="15.75" customHeight="1" thickBot="1" x14ac:dyDescent="0.3">
      <c r="A16" s="404" t="s">
        <v>10</v>
      </c>
      <c r="B16" s="405"/>
      <c r="C16" s="229"/>
      <c r="D16" s="45">
        <f t="shared" ref="D16:K16" ca="1" si="26">D15/$C15</f>
        <v>0</v>
      </c>
      <c r="E16" s="82">
        <f t="shared" ca="1" si="26"/>
        <v>0</v>
      </c>
      <c r="F16" s="82">
        <f t="shared" ca="1" si="26"/>
        <v>1</v>
      </c>
      <c r="G16" s="45">
        <f t="shared" ca="1" si="26"/>
        <v>0</v>
      </c>
      <c r="H16" s="46">
        <f t="shared" ca="1" si="26"/>
        <v>0</v>
      </c>
      <c r="I16" s="49">
        <f t="shared" ca="1" si="26"/>
        <v>0</v>
      </c>
      <c r="J16" s="85">
        <f t="shared" ca="1" si="26"/>
        <v>0</v>
      </c>
      <c r="K16" s="48">
        <f t="shared" ca="1" si="26"/>
        <v>1</v>
      </c>
      <c r="L16" s="256">
        <f t="shared" ref="L16:AF16" ca="1" si="27">IFERROR(L15/$I15,0)</f>
        <v>0</v>
      </c>
      <c r="M16" s="52">
        <f t="shared" ca="1" si="27"/>
        <v>0</v>
      </c>
      <c r="N16" s="52">
        <f t="shared" ca="1" si="27"/>
        <v>0</v>
      </c>
      <c r="O16" s="52">
        <f t="shared" ca="1" si="27"/>
        <v>0</v>
      </c>
      <c r="P16" s="53">
        <f t="shared" ca="1" si="27"/>
        <v>0</v>
      </c>
      <c r="Q16" s="86">
        <f t="shared" ca="1" si="27"/>
        <v>0</v>
      </c>
      <c r="R16" s="86">
        <f t="shared" ca="1" si="27"/>
        <v>0</v>
      </c>
      <c r="S16" s="86">
        <f t="shared" ca="1" si="27"/>
        <v>0</v>
      </c>
      <c r="T16" s="86">
        <f t="shared" ca="1" si="27"/>
        <v>0</v>
      </c>
      <c r="U16" s="86">
        <f t="shared" ca="1" si="27"/>
        <v>0</v>
      </c>
      <c r="V16" s="86">
        <f t="shared" ca="1" si="27"/>
        <v>0</v>
      </c>
      <c r="W16" s="86">
        <f t="shared" ca="1" si="27"/>
        <v>0</v>
      </c>
      <c r="X16" s="86">
        <f t="shared" ca="1" si="27"/>
        <v>0</v>
      </c>
      <c r="Y16" s="86">
        <f t="shared" ca="1" si="27"/>
        <v>0</v>
      </c>
      <c r="Z16" s="86">
        <f t="shared" ca="1" si="27"/>
        <v>0</v>
      </c>
      <c r="AA16" s="86">
        <f t="shared" ca="1" si="27"/>
        <v>0</v>
      </c>
      <c r="AB16" s="86">
        <f t="shared" ca="1" si="27"/>
        <v>0</v>
      </c>
      <c r="AC16" s="86">
        <f t="shared" ca="1" si="27"/>
        <v>0</v>
      </c>
      <c r="AD16" s="86">
        <f t="shared" ca="1" si="27"/>
        <v>0</v>
      </c>
      <c r="AE16" s="86">
        <f t="shared" ca="1" si="27"/>
        <v>0</v>
      </c>
      <c r="AF16" s="330">
        <f t="shared" ca="1" si="27"/>
        <v>0</v>
      </c>
    </row>
    <row r="17" spans="1:32" ht="20.25" customHeight="1" x14ac:dyDescent="0.2">
      <c r="A17" s="331" t="s">
        <v>11</v>
      </c>
      <c r="B17" s="334">
        <v>46096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</row>
    <row r="18" spans="1:32" ht="20.25" customHeight="1" x14ac:dyDescent="0.2">
      <c r="A18" s="332" t="s">
        <v>12</v>
      </c>
      <c r="B18" s="335" t="s">
        <v>22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</row>
    <row r="19" spans="1:32" ht="21" customHeight="1" thickBot="1" x14ac:dyDescent="0.25">
      <c r="A19" s="333" t="s">
        <v>13</v>
      </c>
      <c r="B19" s="336" t="s">
        <v>14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</row>
    <row r="20" spans="1:32" ht="12.75" x14ac:dyDescent="0.2">
      <c r="A20" s="1"/>
      <c r="B20" s="1"/>
      <c r="C20" s="2"/>
      <c r="D20" s="3"/>
      <c r="E20" s="3"/>
      <c r="F20" s="3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</row>
    <row r="21" spans="1:32" ht="12.75" x14ac:dyDescent="0.2">
      <c r="A21" s="1"/>
      <c r="B21" s="1"/>
      <c r="C21" s="4"/>
      <c r="D21" s="3"/>
      <c r="E21" s="3"/>
      <c r="F21" s="3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</row>
    <row r="22" spans="1:32" ht="12.75" x14ac:dyDescent="0.2">
      <c r="A22" s="1"/>
      <c r="B22" s="1"/>
      <c r="C22" s="5"/>
      <c r="D22" s="3"/>
      <c r="E22" s="6"/>
      <c r="F22" s="6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</row>
    <row r="23" spans="1:32" ht="12.75" x14ac:dyDescent="0.2">
      <c r="A23" s="1"/>
      <c r="B23" s="1"/>
      <c r="C23" s="7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</row>
    <row r="24" spans="1:32" ht="12.75" x14ac:dyDescent="0.2">
      <c r="A24" s="35" t="s">
        <v>25</v>
      </c>
      <c r="B24" s="36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</row>
    <row r="25" spans="1:32" ht="12.75" x14ac:dyDescent="0.2">
      <c r="A25" s="35" t="s">
        <v>26</v>
      </c>
      <c r="B25" s="36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 ht="12.75" x14ac:dyDescent="0.2">
      <c r="A26" s="1"/>
      <c r="B26" s="8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ht="12.75" x14ac:dyDescent="0.2">
      <c r="A27" s="1"/>
      <c r="B27" s="8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ht="12.75" x14ac:dyDescent="0.2">
      <c r="A28" s="1"/>
      <c r="B28" s="8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ht="12.75" x14ac:dyDescent="0.2">
      <c r="A29" s="1"/>
      <c r="B29" s="8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ht="12.75" x14ac:dyDescent="0.2">
      <c r="A30" s="37" t="s">
        <v>18</v>
      </c>
      <c r="B30" s="38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ht="12.75" x14ac:dyDescent="0.2">
      <c r="A31" s="39" t="s">
        <v>19</v>
      </c>
      <c r="B31" s="38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ht="12.75" x14ac:dyDescent="0.2">
      <c r="A32" s="37" t="s">
        <v>20</v>
      </c>
      <c r="B32" s="38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</sheetData>
  <mergeCells count="2">
    <mergeCell ref="A15:B15"/>
    <mergeCell ref="A16:B16"/>
  </mergeCells>
  <phoneticPr fontId="28" type="noConversion"/>
  <conditionalFormatting sqref="D16:AF16">
    <cfRule type="cellIs" dxfId="445" priority="19" operator="greaterThan">
      <formula>"100%"</formula>
    </cfRule>
  </conditionalFormatting>
  <conditionalFormatting sqref="J3:J14">
    <cfRule type="cellIs" dxfId="444" priority="25" operator="notBetween">
      <formula>0</formula>
      <formula>"100%"</formula>
    </cfRule>
  </conditionalFormatting>
  <conditionalFormatting sqref="F3:F14 K3:K14">
    <cfRule type="cellIs" dxfId="443" priority="24" operator="lessThan">
      <formula>0</formula>
    </cfRule>
  </conditionalFormatting>
  <conditionalFormatting sqref="L3:AF16">
    <cfRule type="cellIs" dxfId="442" priority="3" operator="lessThan">
      <formula>0</formula>
    </cfRule>
  </conditionalFormatting>
  <conditionalFormatting sqref="AF3:AF14">
    <cfRule type="cellIs" dxfId="441" priority="5" operator="equal">
      <formula>I3</formula>
    </cfRule>
  </conditionalFormatting>
  <conditionalFormatting sqref="AF3:AF16">
    <cfRule type="cellIs" dxfId="440" priority="1" operator="equal">
      <formula>0</formula>
    </cfRule>
  </conditionalFormatting>
  <conditionalFormatting sqref="AF15">
    <cfRule type="cellIs" dxfId="439" priority="2" operator="equal">
      <formula>$I$15</formula>
    </cfRule>
    <cfRule type="cellIs" dxfId="438" priority="4" operator="lessThan">
      <formula>E14</formula>
    </cfRule>
  </conditionalFormatting>
  <conditionalFormatting sqref="AF16">
    <cfRule type="cellIs" dxfId="437" priority="18" operator="equal">
      <formula>1</formula>
    </cfRule>
    <cfRule type="cellIs" dxfId="436" priority="23" operator="lessThan">
      <formula>1</formula>
    </cfRule>
  </conditionalFormatting>
  <conditionalFormatting sqref="L15:AE15">
    <cfRule type="colorScale" priority="199">
      <colorScale>
        <cfvo type="min"/>
        <cfvo type="max"/>
        <color theme="0" tint="-0.14999847407452621"/>
        <color theme="0" tint="-0.34998626667073579"/>
      </colorScale>
    </cfRule>
  </conditionalFormatting>
  <conditionalFormatting sqref="L16:AE16">
    <cfRule type="colorScale" priority="201">
      <colorScale>
        <cfvo type="percent" val="0"/>
        <cfvo type="max"/>
        <color theme="0" tint="-0.14999847407452621"/>
        <color theme="0" tint="-0.34998626667073579"/>
      </colorScale>
    </cfRule>
  </conditionalFormatting>
  <pageMargins left="0.25" right="0.25" top="0.75" bottom="0.75" header="0.3" footer="0.3"/>
  <pageSetup paperSize="9" scale="69" orientation="landscape" r:id="rId1"/>
  <ignoredErrors>
    <ignoredError sqref="J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UniformiserCouleursDepouillement_parPoint">
                <anchor moveWithCells="1" sizeWithCells="1">
                  <from>
                    <xdr:col>32</xdr:col>
                    <xdr:colOff>419100</xdr:colOff>
                    <xdr:row>26</xdr:row>
                    <xdr:rowOff>19050</xdr:rowOff>
                  </from>
                  <to>
                    <xdr:col>35</xdr:col>
                    <xdr:colOff>190500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4" tint="0.39997558519241921"/>
    <outlinePr summaryBelow="0" summaryRight="0"/>
  </sheetPr>
  <dimension ref="A1:AQ50"/>
  <sheetViews>
    <sheetView zoomScale="70" zoomScaleNormal="70" workbookViewId="0">
      <pane xSplit="2" topLeftCell="C1" activePane="topRight" state="frozen"/>
      <selection pane="topRight" activeCell="AL33" sqref="AL33"/>
    </sheetView>
  </sheetViews>
  <sheetFormatPr baseColWidth="10" defaultColWidth="13.7109375" defaultRowHeight="15.75" customHeight="1" x14ac:dyDescent="0.2"/>
  <cols>
    <col min="1" max="1" width="6.85546875" customWidth="1"/>
    <col min="2" max="2" width="23" bestFit="1" customWidth="1"/>
    <col min="3" max="3" width="7.140625" customWidth="1"/>
    <col min="4" max="4" width="8.140625" customWidth="1"/>
    <col min="5" max="5" width="10.5703125" customWidth="1"/>
    <col min="6" max="6" width="8.5703125" customWidth="1"/>
    <col min="7" max="30" width="6.7109375" customWidth="1"/>
    <col min="31" max="31" width="10.140625" customWidth="1"/>
    <col min="43" max="43" width="16.42578125" customWidth="1"/>
  </cols>
  <sheetData>
    <row r="1" spans="1:43" ht="13.5" thickBot="1" x14ac:dyDescent="0.25">
      <c r="A1" s="417" t="s">
        <v>15</v>
      </c>
      <c r="B1" s="418"/>
      <c r="C1" s="428" t="s">
        <v>2</v>
      </c>
      <c r="D1" s="425"/>
      <c r="E1" s="407"/>
      <c r="F1" s="63" t="s">
        <v>0</v>
      </c>
      <c r="G1" s="417" t="s">
        <v>33</v>
      </c>
      <c r="H1" s="418"/>
      <c r="I1" s="417" t="s">
        <v>34</v>
      </c>
      <c r="J1" s="418"/>
      <c r="K1" s="417" t="s">
        <v>35</v>
      </c>
      <c r="L1" s="418"/>
      <c r="M1" s="406" t="s">
        <v>36</v>
      </c>
      <c r="N1" s="407"/>
      <c r="O1" s="417" t="s">
        <v>37</v>
      </c>
      <c r="P1" s="418"/>
      <c r="Q1" s="406" t="s">
        <v>38</v>
      </c>
      <c r="R1" s="425"/>
      <c r="S1" s="426" t="s">
        <v>39</v>
      </c>
      <c r="T1" s="427"/>
      <c r="U1" s="428" t="s">
        <v>40</v>
      </c>
      <c r="V1" s="407"/>
      <c r="W1" s="417" t="s">
        <v>41</v>
      </c>
      <c r="X1" s="418"/>
      <c r="Y1" s="406" t="s">
        <v>42</v>
      </c>
      <c r="Z1" s="407"/>
      <c r="AA1" s="413" t="s">
        <v>43</v>
      </c>
      <c r="AB1" s="414"/>
      <c r="AC1" s="415" t="s">
        <v>44</v>
      </c>
      <c r="AD1" s="416"/>
      <c r="AE1" s="123" t="s">
        <v>15</v>
      </c>
      <c r="AF1" s="124" t="s">
        <v>33</v>
      </c>
      <c r="AG1" s="125" t="s">
        <v>34</v>
      </c>
      <c r="AH1" s="125" t="s">
        <v>35</v>
      </c>
      <c r="AI1" s="125" t="s">
        <v>36</v>
      </c>
      <c r="AJ1" s="125" t="s">
        <v>37</v>
      </c>
      <c r="AK1" s="125" t="s">
        <v>38</v>
      </c>
      <c r="AL1" s="125" t="s">
        <v>39</v>
      </c>
      <c r="AM1" s="125" t="s">
        <v>40</v>
      </c>
      <c r="AN1" s="125" t="s">
        <v>41</v>
      </c>
      <c r="AO1" s="126" t="s">
        <v>42</v>
      </c>
      <c r="AP1" s="104" t="s">
        <v>43</v>
      </c>
      <c r="AQ1" s="103" t="s">
        <v>44</v>
      </c>
    </row>
    <row r="2" spans="1:43" ht="15.75" customHeight="1" x14ac:dyDescent="0.2">
      <c r="A2" s="40">
        <v>1</v>
      </c>
      <c r="B2" s="41" t="str" cm="1">
        <f t="array" aca="1" ref="B2" ca="1">INDIRECT("'Synthèse'!"  &amp; "$B" &amp; ROW()+1)</f>
        <v>Hôtel de ville</v>
      </c>
      <c r="C2" s="21">
        <f ca="1">MAX(G2,I2,K2,M2,O2,Q2,S2,U2,W2,Y2,AA2,AC2)</f>
        <v>0</v>
      </c>
      <c r="D2" s="23">
        <f t="shared" ref="D2:D14" ca="1" si="0">C2/$F2</f>
        <v>0</v>
      </c>
      <c r="E2" s="26">
        <f ca="1">D2</f>
        <v>0</v>
      </c>
      <c r="F2" s="65">
        <f>Synthèse!C3</f>
        <v>506</v>
      </c>
      <c r="G2" s="109" cm="1">
        <f t="array" aca="1" ref="G2" ca="1">INDIRECT("'Bureau " &amp; ROW()-1 &amp; "'!$W4")</f>
        <v>0</v>
      </c>
      <c r="H2" s="54">
        <f t="shared" ref="H2:H13" ca="1" si="1">G2/$F2</f>
        <v>0</v>
      </c>
      <c r="I2" s="110" cm="1">
        <f t="array" aca="1" ref="I2" ca="1">INDIRECT("'Bureau " &amp; ROW()-1 &amp; "'!$W5")</f>
        <v>0</v>
      </c>
      <c r="J2" s="54">
        <f t="shared" ref="J2:J14" ca="1" si="2">I2/$F2</f>
        <v>0</v>
      </c>
      <c r="K2" s="110" cm="1">
        <f t="array" aca="1" ref="K2" ca="1">INDIRECT("'Bureau " &amp; ROW()-1 &amp; "'!$W6")</f>
        <v>0</v>
      </c>
      <c r="L2" s="55">
        <f t="shared" ref="L2:L14" ca="1" si="3">K2/$F2</f>
        <v>0</v>
      </c>
      <c r="M2" s="111" cm="1">
        <f t="array" aca="1" ref="M2" ca="1">INDIRECT("'Bureau " &amp; ROW()-1 &amp; "'!$W7")</f>
        <v>0</v>
      </c>
      <c r="N2" s="69">
        <f t="shared" ref="N2:N14" ca="1" si="4">M2/$F2</f>
        <v>0</v>
      </c>
      <c r="O2" s="112" cm="1">
        <f t="array" aca="1" ref="O2" ca="1">INDIRECT("'Bureau " &amp; ROW()-1 &amp; "'!$W8")</f>
        <v>0</v>
      </c>
      <c r="P2" s="55">
        <f t="shared" ref="P2:P14" ca="1" si="5">O2/$F2</f>
        <v>0</v>
      </c>
      <c r="Q2" s="111" cm="1">
        <f t="array" aca="1" ref="Q2" ca="1">INDIRECT("'Bureau " &amp; ROW()-1 &amp; "'!$W9")</f>
        <v>0</v>
      </c>
      <c r="R2" s="69">
        <f t="shared" ref="R2:R14" ca="1" si="6">Q2/$F2</f>
        <v>0</v>
      </c>
      <c r="S2" s="113" cm="1">
        <f t="array" aca="1" ref="S2" ca="1">INDIRECT("'Bureau " &amp; ROW()-1 &amp; "'!$W10")</f>
        <v>0</v>
      </c>
      <c r="T2" s="90">
        <f t="shared" ref="T2:T14" ca="1" si="7">S2/$F2</f>
        <v>0</v>
      </c>
      <c r="U2" s="111" cm="1">
        <f t="array" aca="1" ref="U2" ca="1">INDIRECT("'Bureau " &amp; ROW()-1 &amp; "'!$W11")</f>
        <v>0</v>
      </c>
      <c r="V2" s="69">
        <f t="shared" ref="V2:V14" ca="1" si="8">U2/$F2</f>
        <v>0</v>
      </c>
      <c r="W2" s="112" cm="1">
        <f t="array" aca="1" ref="W2" ca="1">INDIRECT("'Bureau " &amp; ROW()-1 &amp; "'!$W12")</f>
        <v>0</v>
      </c>
      <c r="X2" s="55">
        <f t="shared" ref="X2:X14" ca="1" si="9">W2/$F2</f>
        <v>0</v>
      </c>
      <c r="Y2" s="114" cm="1">
        <f t="array" aca="1" ref="Y2" ca="1">INDIRECT("'Bureau " &amp; ROW()-1 &amp; "'!$W13")</f>
        <v>0</v>
      </c>
      <c r="Z2" s="91">
        <f t="shared" ref="Z2:Z14" ca="1" si="10">Y2/$F2</f>
        <v>0</v>
      </c>
      <c r="AA2" s="115" cm="1">
        <f t="array" aca="1" ref="AA2" ca="1">INDIRECT("'Bureau " &amp; ROW()-1 &amp; "'!$W14")</f>
        <v>0</v>
      </c>
      <c r="AB2" s="60">
        <f t="shared" ref="AB2:AB14" ca="1" si="11">AA2/$F2</f>
        <v>0</v>
      </c>
      <c r="AC2" s="116" cm="1">
        <f t="array" aca="1" ref="AC2" ca="1">INDIRECT("'Bureau " &amp; ROW()-1 &amp; "'!$W15")</f>
        <v>0</v>
      </c>
      <c r="AD2" s="98">
        <f t="shared" ref="AD2:AD14" ca="1" si="12">AC2/$F2</f>
        <v>0</v>
      </c>
      <c r="AE2" s="127">
        <v>1</v>
      </c>
      <c r="AF2" s="128"/>
      <c r="AG2" s="129"/>
      <c r="AH2" s="129"/>
      <c r="AI2" s="129"/>
      <c r="AJ2" s="129"/>
      <c r="AK2" s="129"/>
      <c r="AL2" s="129"/>
      <c r="AM2" s="129"/>
      <c r="AN2" s="129"/>
      <c r="AO2" s="130"/>
      <c r="AP2" s="105"/>
      <c r="AQ2" s="102"/>
    </row>
    <row r="3" spans="1:43" ht="15.75" customHeight="1" x14ac:dyDescent="0.2">
      <c r="A3" s="40">
        <v>2</v>
      </c>
      <c r="B3" s="41" t="str" cm="1">
        <f t="array" aca="1" ref="B3" ca="1">INDIRECT("'Synthèse'!"  &amp; "$B" &amp; ROW()+1)</f>
        <v>Gymnase B</v>
      </c>
      <c r="C3" s="22">
        <f t="shared" ref="C3:C13" ca="1" si="13">MAX(G3,I3,K3,M3,O3,Q3,S3,U3,W3,Y3,AA3,AC3)</f>
        <v>0</v>
      </c>
      <c r="D3" s="24">
        <f t="shared" ca="1" si="0"/>
        <v>0</v>
      </c>
      <c r="E3" s="27">
        <f t="shared" ref="E3:E14" ca="1" si="14">D3</f>
        <v>0</v>
      </c>
      <c r="F3" s="66">
        <f>Synthèse!C4</f>
        <v>700</v>
      </c>
      <c r="G3" s="109" cm="1">
        <f t="array" aca="1" ref="G3" ca="1">INDIRECT("'Bureau " &amp; ROW()-1 &amp; "'!$W4")</f>
        <v>0</v>
      </c>
      <c r="H3" s="56">
        <f t="shared" ca="1" si="1"/>
        <v>0</v>
      </c>
      <c r="I3" s="110" cm="1">
        <f t="array" aca="1" ref="I3" ca="1">INDIRECT("'Bureau " &amp; ROW()-1 &amp; "'!$W5")</f>
        <v>0</v>
      </c>
      <c r="J3" s="56">
        <f t="shared" ca="1" si="2"/>
        <v>0</v>
      </c>
      <c r="K3" s="110" cm="1">
        <f t="array" aca="1" ref="K3" ca="1">INDIRECT("'Bureau " &amp; ROW()-1 &amp; "'!$W6")</f>
        <v>0</v>
      </c>
      <c r="L3" s="57">
        <f t="shared" ca="1" si="3"/>
        <v>0</v>
      </c>
      <c r="M3" s="117" cm="1">
        <f t="array" aca="1" ref="M3" ca="1">INDIRECT("'Bureau " &amp; ROW()-1 &amp; "'!$W7")</f>
        <v>0</v>
      </c>
      <c r="N3" s="70">
        <f t="shared" ca="1" si="4"/>
        <v>0</v>
      </c>
      <c r="O3" s="112" cm="1">
        <f t="array" aca="1" ref="O3" ca="1">INDIRECT("'Bureau " &amp; ROW()-1 &amp; "'!$W8")</f>
        <v>0</v>
      </c>
      <c r="P3" s="57">
        <f t="shared" ca="1" si="5"/>
        <v>0</v>
      </c>
      <c r="Q3" s="117" cm="1">
        <f t="array" aca="1" ref="Q3" ca="1">INDIRECT("'Bureau " &amp; ROW()-1 &amp; "'!$W9")</f>
        <v>0</v>
      </c>
      <c r="R3" s="70">
        <f t="shared" ca="1" si="6"/>
        <v>0</v>
      </c>
      <c r="S3" s="113" cm="1">
        <f t="array" aca="1" ref="S3" ca="1">INDIRECT("'Bureau " &amp; ROW()-1 &amp; "'!$W10")</f>
        <v>0</v>
      </c>
      <c r="T3" s="24">
        <f t="shared" ca="1" si="7"/>
        <v>0</v>
      </c>
      <c r="U3" s="117" cm="1">
        <f t="array" aca="1" ref="U3" ca="1">INDIRECT("'Bureau " &amp; ROW()-1 &amp; "'!$W11")</f>
        <v>0</v>
      </c>
      <c r="V3" s="70">
        <f t="shared" ca="1" si="8"/>
        <v>0</v>
      </c>
      <c r="W3" s="112" cm="1">
        <f t="array" aca="1" ref="W3" ca="1">INDIRECT("'Bureau " &amp; ROW()-1 &amp; "'!$W12")</f>
        <v>0</v>
      </c>
      <c r="X3" s="57">
        <f t="shared" ca="1" si="9"/>
        <v>0</v>
      </c>
      <c r="Y3" s="118" cm="1">
        <f t="array" aca="1" ref="Y3" ca="1">INDIRECT("'Bureau " &amp; ROW()-1 &amp; "'!$W13")</f>
        <v>0</v>
      </c>
      <c r="Z3" s="92">
        <f t="shared" ca="1" si="10"/>
        <v>0</v>
      </c>
      <c r="AA3" s="115" cm="1">
        <f t="array" aca="1" ref="AA3" ca="1">INDIRECT("'Bureau " &amp; ROW()-1 &amp; "'!$W14")</f>
        <v>0</v>
      </c>
      <c r="AB3" s="61">
        <f t="shared" ca="1" si="11"/>
        <v>0</v>
      </c>
      <c r="AC3" s="116" cm="1">
        <f t="array" aca="1" ref="AC3" ca="1">INDIRECT("'Bureau " &amp; ROW()-1 &amp; "'!$W15")</f>
        <v>0</v>
      </c>
      <c r="AD3" s="99">
        <f t="shared" ca="1" si="12"/>
        <v>0</v>
      </c>
      <c r="AE3" s="127">
        <v>2</v>
      </c>
      <c r="AF3" s="131"/>
      <c r="AG3" s="132"/>
      <c r="AH3" s="132"/>
      <c r="AI3" s="132"/>
      <c r="AJ3" s="132"/>
      <c r="AK3" s="132"/>
      <c r="AL3" s="132"/>
      <c r="AM3" s="132"/>
      <c r="AN3" s="132"/>
      <c r="AO3" s="133"/>
      <c r="AP3" s="106"/>
      <c r="AQ3" s="101"/>
    </row>
    <row r="4" spans="1:43" ht="15.75" customHeight="1" x14ac:dyDescent="0.2">
      <c r="A4" s="40">
        <v>3</v>
      </c>
      <c r="B4" s="41" t="str" cm="1">
        <f t="array" aca="1" ref="B4" ca="1">INDIRECT("'Synthèse'!"  &amp; "$B" &amp; ROW()+1)</f>
        <v>Gymnase B</v>
      </c>
      <c r="C4" s="22">
        <f t="shared" ca="1" si="13"/>
        <v>0</v>
      </c>
      <c r="D4" s="24">
        <f t="shared" ca="1" si="0"/>
        <v>0</v>
      </c>
      <c r="E4" s="27">
        <f t="shared" ca="1" si="14"/>
        <v>0</v>
      </c>
      <c r="F4" s="66">
        <f>Synthèse!C5</f>
        <v>669</v>
      </c>
      <c r="G4" s="109" cm="1">
        <f t="array" aca="1" ref="G4" ca="1">INDIRECT("'Bureau " &amp; ROW()-1 &amp; "'!$W4")</f>
        <v>0</v>
      </c>
      <c r="H4" s="56">
        <f t="shared" ca="1" si="1"/>
        <v>0</v>
      </c>
      <c r="I4" s="110" cm="1">
        <f t="array" aca="1" ref="I4" ca="1">INDIRECT("'Bureau " &amp; ROW()-1 &amp; "'!$W5")</f>
        <v>0</v>
      </c>
      <c r="J4" s="56">
        <f t="shared" ca="1" si="2"/>
        <v>0</v>
      </c>
      <c r="K4" s="110" cm="1">
        <f t="array" aca="1" ref="K4" ca="1">INDIRECT("'Bureau " &amp; ROW()-1 &amp; "'!$W6")</f>
        <v>0</v>
      </c>
      <c r="L4" s="57">
        <f t="shared" ca="1" si="3"/>
        <v>0</v>
      </c>
      <c r="M4" s="117" cm="1">
        <f t="array" aca="1" ref="M4" ca="1">INDIRECT("'Bureau " &amp; ROW()-1 &amp; "'!$W7")</f>
        <v>0</v>
      </c>
      <c r="N4" s="70">
        <f t="shared" ca="1" si="4"/>
        <v>0</v>
      </c>
      <c r="O4" s="112" cm="1">
        <f t="array" aca="1" ref="O4" ca="1">INDIRECT("'Bureau " &amp; ROW()-1 &amp; "'!$W8")</f>
        <v>0</v>
      </c>
      <c r="P4" s="57">
        <f t="shared" ca="1" si="5"/>
        <v>0</v>
      </c>
      <c r="Q4" s="117" cm="1">
        <f t="array" aca="1" ref="Q4" ca="1">INDIRECT("'Bureau " &amp; ROW()-1 &amp; "'!$W9")</f>
        <v>0</v>
      </c>
      <c r="R4" s="70">
        <f t="shared" ca="1" si="6"/>
        <v>0</v>
      </c>
      <c r="S4" s="113" cm="1">
        <f t="array" aca="1" ref="S4" ca="1">INDIRECT("'Bureau " &amp; ROW()-1 &amp; "'!$W10")</f>
        <v>0</v>
      </c>
      <c r="T4" s="24">
        <f t="shared" ca="1" si="7"/>
        <v>0</v>
      </c>
      <c r="U4" s="117" cm="1">
        <f t="array" aca="1" ref="U4" ca="1">INDIRECT("'Bureau " &amp; ROW()-1 &amp; "'!$W11")</f>
        <v>0</v>
      </c>
      <c r="V4" s="70">
        <f t="shared" ca="1" si="8"/>
        <v>0</v>
      </c>
      <c r="W4" s="112" cm="1">
        <f t="array" aca="1" ref="W4" ca="1">INDIRECT("'Bureau " &amp; ROW()-1 &amp; "'!$W12")</f>
        <v>0</v>
      </c>
      <c r="X4" s="57">
        <f t="shared" ca="1" si="9"/>
        <v>0</v>
      </c>
      <c r="Y4" s="118" cm="1">
        <f t="array" aca="1" ref="Y4" ca="1">INDIRECT("'Bureau " &amp; ROW()-1 &amp; "'!$W13")</f>
        <v>0</v>
      </c>
      <c r="Z4" s="92">
        <f t="shared" ca="1" si="10"/>
        <v>0</v>
      </c>
      <c r="AA4" s="115" cm="1">
        <f t="array" aca="1" ref="AA4" ca="1">INDIRECT("'Bureau " &amp; ROW()-1 &amp; "'!$W14")</f>
        <v>0</v>
      </c>
      <c r="AB4" s="61">
        <f t="shared" ca="1" si="11"/>
        <v>0</v>
      </c>
      <c r="AC4" s="116" cm="1">
        <f t="array" aca="1" ref="AC4" ca="1">INDIRECT("'Bureau " &amp; ROW()-1 &amp; "'!$W15")</f>
        <v>0</v>
      </c>
      <c r="AD4" s="99">
        <f t="shared" ca="1" si="12"/>
        <v>0</v>
      </c>
      <c r="AE4" s="127">
        <v>3</v>
      </c>
      <c r="AF4" s="131"/>
      <c r="AG4" s="132"/>
      <c r="AH4" s="132"/>
      <c r="AI4" s="132"/>
      <c r="AJ4" s="132"/>
      <c r="AK4" s="132"/>
      <c r="AL4" s="132"/>
      <c r="AM4" s="132"/>
      <c r="AN4" s="132"/>
      <c r="AO4" s="133"/>
      <c r="AP4" s="106"/>
      <c r="AQ4" s="101"/>
    </row>
    <row r="5" spans="1:43" ht="15.75" customHeight="1" x14ac:dyDescent="0.2">
      <c r="A5" s="40">
        <v>4</v>
      </c>
      <c r="B5" s="41" t="str" cm="1">
        <f t="array" aca="1" ref="B5" ca="1">INDIRECT("'Synthèse'!"  &amp; "$B" &amp; ROW()+1)</f>
        <v>Gymnase B</v>
      </c>
      <c r="C5" s="22">
        <f t="shared" ca="1" si="13"/>
        <v>0</v>
      </c>
      <c r="D5" s="24">
        <f t="shared" ca="1" si="0"/>
        <v>0</v>
      </c>
      <c r="E5" s="27">
        <f t="shared" ca="1" si="14"/>
        <v>0</v>
      </c>
      <c r="F5" s="66">
        <f>Synthèse!C6</f>
        <v>651</v>
      </c>
      <c r="G5" s="109" cm="1">
        <f t="array" aca="1" ref="G5" ca="1">INDIRECT("'Bureau " &amp; ROW()-1 &amp; "'!$W4")</f>
        <v>0</v>
      </c>
      <c r="H5" s="56">
        <f t="shared" ca="1" si="1"/>
        <v>0</v>
      </c>
      <c r="I5" s="110" cm="1">
        <f t="array" aca="1" ref="I5" ca="1">INDIRECT("'Bureau " &amp; ROW()-1 &amp; "'!$W5")</f>
        <v>0</v>
      </c>
      <c r="J5" s="56">
        <f t="shared" ca="1" si="2"/>
        <v>0</v>
      </c>
      <c r="K5" s="110" cm="1">
        <f t="array" aca="1" ref="K5" ca="1">INDIRECT("'Bureau " &amp; ROW()-1 &amp; "'!$W6")</f>
        <v>0</v>
      </c>
      <c r="L5" s="57">
        <f t="shared" ca="1" si="3"/>
        <v>0</v>
      </c>
      <c r="M5" s="117" cm="1">
        <f t="array" aca="1" ref="M5" ca="1">INDIRECT("'Bureau " &amp; ROW()-1 &amp; "'!$W7")</f>
        <v>0</v>
      </c>
      <c r="N5" s="70">
        <f t="shared" ca="1" si="4"/>
        <v>0</v>
      </c>
      <c r="O5" s="112" cm="1">
        <f t="array" aca="1" ref="O5" ca="1">INDIRECT("'Bureau " &amp; ROW()-1 &amp; "'!$W8")</f>
        <v>0</v>
      </c>
      <c r="P5" s="57">
        <f t="shared" ca="1" si="5"/>
        <v>0</v>
      </c>
      <c r="Q5" s="117" cm="1">
        <f t="array" aca="1" ref="Q5" ca="1">INDIRECT("'Bureau " &amp; ROW()-1 &amp; "'!$W9")</f>
        <v>0</v>
      </c>
      <c r="R5" s="70">
        <f t="shared" ca="1" si="6"/>
        <v>0</v>
      </c>
      <c r="S5" s="113" cm="1">
        <f t="array" aca="1" ref="S5" ca="1">INDIRECT("'Bureau " &amp; ROW()-1 &amp; "'!$W10")</f>
        <v>0</v>
      </c>
      <c r="T5" s="24">
        <f t="shared" ca="1" si="7"/>
        <v>0</v>
      </c>
      <c r="U5" s="117" cm="1">
        <f t="array" aca="1" ref="U5" ca="1">INDIRECT("'Bureau " &amp; ROW()-1 &amp; "'!$W11")</f>
        <v>0</v>
      </c>
      <c r="V5" s="70">
        <f t="shared" ca="1" si="8"/>
        <v>0</v>
      </c>
      <c r="W5" s="112" cm="1">
        <f t="array" aca="1" ref="W5" ca="1">INDIRECT("'Bureau " &amp; ROW()-1 &amp; "'!$W12")</f>
        <v>0</v>
      </c>
      <c r="X5" s="57">
        <f t="shared" ca="1" si="9"/>
        <v>0</v>
      </c>
      <c r="Y5" s="118" cm="1">
        <f t="array" aca="1" ref="Y5" ca="1">INDIRECT("'Bureau " &amp; ROW()-1 &amp; "'!$W13")</f>
        <v>0</v>
      </c>
      <c r="Z5" s="92">
        <f t="shared" ca="1" si="10"/>
        <v>0</v>
      </c>
      <c r="AA5" s="115" cm="1">
        <f t="array" aca="1" ref="AA5" ca="1">INDIRECT("'Bureau " &amp; ROW()-1 &amp; "'!$W14")</f>
        <v>0</v>
      </c>
      <c r="AB5" s="61">
        <f t="shared" ca="1" si="11"/>
        <v>0</v>
      </c>
      <c r="AC5" s="116" cm="1">
        <f t="array" aca="1" ref="AC5" ca="1">INDIRECT("'Bureau " &amp; ROW()-1 &amp; "'!$W15")</f>
        <v>0</v>
      </c>
      <c r="AD5" s="99">
        <f t="shared" ca="1" si="12"/>
        <v>0</v>
      </c>
      <c r="AE5" s="127">
        <v>4</v>
      </c>
      <c r="AF5" s="131"/>
      <c r="AG5" s="132"/>
      <c r="AH5" s="132"/>
      <c r="AI5" s="132"/>
      <c r="AJ5" s="132"/>
      <c r="AK5" s="132"/>
      <c r="AL5" s="132"/>
      <c r="AM5" s="132"/>
      <c r="AN5" s="132"/>
      <c r="AO5" s="133"/>
      <c r="AP5" s="106"/>
      <c r="AQ5" s="101"/>
    </row>
    <row r="6" spans="1:43" ht="15.75" customHeight="1" x14ac:dyDescent="0.2">
      <c r="A6" s="40">
        <v>5</v>
      </c>
      <c r="B6" s="41" t="str" cm="1">
        <f t="array" aca="1" ref="B6" ca="1">INDIRECT("'Synthèse'!"  &amp; "$B" &amp; ROW()+1)</f>
        <v>COSEC</v>
      </c>
      <c r="C6" s="22">
        <f t="shared" ca="1" si="13"/>
        <v>0</v>
      </c>
      <c r="D6" s="24">
        <f t="shared" ca="1" si="0"/>
        <v>0</v>
      </c>
      <c r="E6" s="27">
        <f t="shared" ca="1" si="14"/>
        <v>0</v>
      </c>
      <c r="F6" s="66">
        <f>Synthèse!C7</f>
        <v>671</v>
      </c>
      <c r="G6" s="109" cm="1">
        <f t="array" aca="1" ref="G6" ca="1">INDIRECT("'Bureau " &amp; ROW()-1 &amp; "'!$W4")</f>
        <v>0</v>
      </c>
      <c r="H6" s="56">
        <f t="shared" ca="1" si="1"/>
        <v>0</v>
      </c>
      <c r="I6" s="110" cm="1">
        <f t="array" aca="1" ref="I6" ca="1">INDIRECT("'Bureau " &amp; ROW()-1 &amp; "'!$W5")</f>
        <v>0</v>
      </c>
      <c r="J6" s="56">
        <f t="shared" ca="1" si="2"/>
        <v>0</v>
      </c>
      <c r="K6" s="110" cm="1">
        <f t="array" aca="1" ref="K6" ca="1">INDIRECT("'Bureau " &amp; ROW()-1 &amp; "'!$W6")</f>
        <v>0</v>
      </c>
      <c r="L6" s="57">
        <f t="shared" ca="1" si="3"/>
        <v>0</v>
      </c>
      <c r="M6" s="117" cm="1">
        <f t="array" aca="1" ref="M6" ca="1">INDIRECT("'Bureau " &amp; ROW()-1 &amp; "'!$W7")</f>
        <v>0</v>
      </c>
      <c r="N6" s="70">
        <f t="shared" ca="1" si="4"/>
        <v>0</v>
      </c>
      <c r="O6" s="112" cm="1">
        <f t="array" aca="1" ref="O6" ca="1">INDIRECT("'Bureau " &amp; ROW()-1 &amp; "'!$W8")</f>
        <v>0</v>
      </c>
      <c r="P6" s="57">
        <f t="shared" ca="1" si="5"/>
        <v>0</v>
      </c>
      <c r="Q6" s="117" cm="1">
        <f t="array" aca="1" ref="Q6" ca="1">INDIRECT("'Bureau " &amp; ROW()-1 &amp; "'!$W9")</f>
        <v>0</v>
      </c>
      <c r="R6" s="70">
        <f t="shared" ca="1" si="6"/>
        <v>0</v>
      </c>
      <c r="S6" s="113" cm="1">
        <f t="array" aca="1" ref="S6" ca="1">INDIRECT("'Bureau " &amp; ROW()-1 &amp; "'!$W10")</f>
        <v>0</v>
      </c>
      <c r="T6" s="24">
        <f t="shared" ca="1" si="7"/>
        <v>0</v>
      </c>
      <c r="U6" s="117" cm="1">
        <f t="array" aca="1" ref="U6" ca="1">INDIRECT("'Bureau " &amp; ROW()-1 &amp; "'!$W11")</f>
        <v>0</v>
      </c>
      <c r="V6" s="70">
        <f t="shared" ca="1" si="8"/>
        <v>0</v>
      </c>
      <c r="W6" s="112" cm="1">
        <f t="array" aca="1" ref="W6" ca="1">INDIRECT("'Bureau " &amp; ROW()-1 &amp; "'!$W12")</f>
        <v>0</v>
      </c>
      <c r="X6" s="57">
        <f t="shared" ca="1" si="9"/>
        <v>0</v>
      </c>
      <c r="Y6" s="118" cm="1">
        <f t="array" aca="1" ref="Y6" ca="1">INDIRECT("'Bureau " &amp; ROW()-1 &amp; "'!$W13")</f>
        <v>0</v>
      </c>
      <c r="Z6" s="92">
        <f t="shared" ca="1" si="10"/>
        <v>0</v>
      </c>
      <c r="AA6" s="115" cm="1">
        <f t="array" aca="1" ref="AA6" ca="1">INDIRECT("'Bureau " &amp; ROW()-1 &amp; "'!$W14")</f>
        <v>0</v>
      </c>
      <c r="AB6" s="61">
        <f t="shared" ca="1" si="11"/>
        <v>0</v>
      </c>
      <c r="AC6" s="116" cm="1">
        <f t="array" aca="1" ref="AC6" ca="1">INDIRECT("'Bureau " &amp; ROW()-1 &amp; "'!$W15")</f>
        <v>0</v>
      </c>
      <c r="AD6" s="99">
        <f t="shared" ca="1" si="12"/>
        <v>0</v>
      </c>
      <c r="AE6" s="127">
        <v>5</v>
      </c>
      <c r="AF6" s="131"/>
      <c r="AG6" s="132"/>
      <c r="AH6" s="132"/>
      <c r="AI6" s="132"/>
      <c r="AJ6" s="132"/>
      <c r="AK6" s="132"/>
      <c r="AL6" s="132"/>
      <c r="AM6" s="132"/>
      <c r="AN6" s="132"/>
      <c r="AO6" s="133"/>
      <c r="AP6" s="106"/>
      <c r="AQ6" s="101"/>
    </row>
    <row r="7" spans="1:43" ht="15.75" customHeight="1" x14ac:dyDescent="0.2">
      <c r="A7" s="40">
        <v>6</v>
      </c>
      <c r="B7" s="41" t="str" cm="1">
        <f t="array" aca="1" ref="B7" ca="1">INDIRECT("'Synthèse'!"  &amp; "$B" &amp; ROW()+1)</f>
        <v>COSEC</v>
      </c>
      <c r="C7" s="22">
        <f t="shared" ca="1" si="13"/>
        <v>0</v>
      </c>
      <c r="D7" s="24">
        <f t="shared" ca="1" si="0"/>
        <v>0</v>
      </c>
      <c r="E7" s="27">
        <f t="shared" ca="1" si="14"/>
        <v>0</v>
      </c>
      <c r="F7" s="66">
        <f>Synthèse!C8</f>
        <v>687</v>
      </c>
      <c r="G7" s="109" cm="1">
        <f t="array" aca="1" ref="G7" ca="1">INDIRECT("'Bureau " &amp; ROW()-1 &amp; "'!$W4")</f>
        <v>0</v>
      </c>
      <c r="H7" s="56">
        <f t="shared" ca="1" si="1"/>
        <v>0</v>
      </c>
      <c r="I7" s="110" cm="1">
        <f t="array" aca="1" ref="I7" ca="1">INDIRECT("'Bureau " &amp; ROW()-1 &amp; "'!$W5")</f>
        <v>0</v>
      </c>
      <c r="J7" s="56">
        <f t="shared" ca="1" si="2"/>
        <v>0</v>
      </c>
      <c r="K7" s="110" cm="1">
        <f t="array" aca="1" ref="K7" ca="1">INDIRECT("'Bureau " &amp; ROW()-1 &amp; "'!$W6")</f>
        <v>0</v>
      </c>
      <c r="L7" s="57">
        <f t="shared" ca="1" si="3"/>
        <v>0</v>
      </c>
      <c r="M7" s="117" cm="1">
        <f t="array" aca="1" ref="M7" ca="1">INDIRECT("'Bureau " &amp; ROW()-1 &amp; "'!$W7")</f>
        <v>0</v>
      </c>
      <c r="N7" s="70">
        <f t="shared" ca="1" si="4"/>
        <v>0</v>
      </c>
      <c r="O7" s="112" cm="1">
        <f t="array" aca="1" ref="O7" ca="1">INDIRECT("'Bureau " &amp; ROW()-1 &amp; "'!$W8")</f>
        <v>0</v>
      </c>
      <c r="P7" s="57">
        <f t="shared" ca="1" si="5"/>
        <v>0</v>
      </c>
      <c r="Q7" s="117" cm="1">
        <f t="array" aca="1" ref="Q7" ca="1">INDIRECT("'Bureau " &amp; ROW()-1 &amp; "'!$W9")</f>
        <v>0</v>
      </c>
      <c r="R7" s="70">
        <f t="shared" ca="1" si="6"/>
        <v>0</v>
      </c>
      <c r="S7" s="113" cm="1">
        <f t="array" aca="1" ref="S7" ca="1">INDIRECT("'Bureau " &amp; ROW()-1 &amp; "'!$W10")</f>
        <v>0</v>
      </c>
      <c r="T7" s="24">
        <f t="shared" ca="1" si="7"/>
        <v>0</v>
      </c>
      <c r="U7" s="117" cm="1">
        <f t="array" aca="1" ref="U7" ca="1">INDIRECT("'Bureau " &amp; ROW()-1 &amp; "'!$W11")</f>
        <v>0</v>
      </c>
      <c r="V7" s="70">
        <f t="shared" ca="1" si="8"/>
        <v>0</v>
      </c>
      <c r="W7" s="112" cm="1">
        <f t="array" aca="1" ref="W7" ca="1">INDIRECT("'Bureau " &amp; ROW()-1 &amp; "'!$W12")</f>
        <v>0</v>
      </c>
      <c r="X7" s="57">
        <f t="shared" ca="1" si="9"/>
        <v>0</v>
      </c>
      <c r="Y7" s="118" cm="1">
        <f t="array" aca="1" ref="Y7" ca="1">INDIRECT("'Bureau " &amp; ROW()-1 &amp; "'!$W13")</f>
        <v>0</v>
      </c>
      <c r="Z7" s="92">
        <f t="shared" ca="1" si="10"/>
        <v>0</v>
      </c>
      <c r="AA7" s="115" cm="1">
        <f t="array" aca="1" ref="AA7" ca="1">INDIRECT("'Bureau " &amp; ROW()-1 &amp; "'!$W14")</f>
        <v>0</v>
      </c>
      <c r="AB7" s="61">
        <f t="shared" ca="1" si="11"/>
        <v>0</v>
      </c>
      <c r="AC7" s="116" cm="1">
        <f t="array" aca="1" ref="AC7" ca="1">INDIRECT("'Bureau " &amp; ROW()-1 &amp; "'!$W15")</f>
        <v>0</v>
      </c>
      <c r="AD7" s="99">
        <f t="shared" ca="1" si="12"/>
        <v>0</v>
      </c>
      <c r="AE7" s="127">
        <v>6</v>
      </c>
      <c r="AF7" s="131"/>
      <c r="AG7" s="132"/>
      <c r="AH7" s="132"/>
      <c r="AI7" s="132"/>
      <c r="AJ7" s="132"/>
      <c r="AK7" s="132"/>
      <c r="AL7" s="132"/>
      <c r="AM7" s="132"/>
      <c r="AN7" s="132"/>
      <c r="AO7" s="133"/>
      <c r="AP7" s="106"/>
      <c r="AQ7" s="101"/>
    </row>
    <row r="8" spans="1:43" ht="15.75" customHeight="1" x14ac:dyDescent="0.2">
      <c r="A8" s="40">
        <v>7</v>
      </c>
      <c r="B8" s="41" t="str" cm="1">
        <f t="array" aca="1" ref="B8" ca="1">INDIRECT("'Synthèse'!"  &amp; "$B" &amp; ROW()+1)</f>
        <v>COSEC</v>
      </c>
      <c r="C8" s="22">
        <f t="shared" ca="1" si="13"/>
        <v>0</v>
      </c>
      <c r="D8" s="24">
        <f t="shared" ca="1" si="0"/>
        <v>0</v>
      </c>
      <c r="E8" s="27">
        <f t="shared" ca="1" si="14"/>
        <v>0</v>
      </c>
      <c r="F8" s="66">
        <f>Synthèse!C9</f>
        <v>692</v>
      </c>
      <c r="G8" s="109" cm="1">
        <f t="array" aca="1" ref="G8" ca="1">INDIRECT("'Bureau " &amp; ROW()-1 &amp; "'!$W4")</f>
        <v>0</v>
      </c>
      <c r="H8" s="56">
        <f t="shared" ca="1" si="1"/>
        <v>0</v>
      </c>
      <c r="I8" s="110" cm="1">
        <f t="array" aca="1" ref="I8" ca="1">INDIRECT("'Bureau " &amp; ROW()-1 &amp; "'!$W5")</f>
        <v>0</v>
      </c>
      <c r="J8" s="56">
        <f t="shared" ca="1" si="2"/>
        <v>0</v>
      </c>
      <c r="K8" s="110" cm="1">
        <f t="array" aca="1" ref="K8" ca="1">INDIRECT("'Bureau " &amp; ROW()-1 &amp; "'!$W6")</f>
        <v>0</v>
      </c>
      <c r="L8" s="57">
        <f t="shared" ca="1" si="3"/>
        <v>0</v>
      </c>
      <c r="M8" s="117" cm="1">
        <f t="array" aca="1" ref="M8" ca="1">INDIRECT("'Bureau " &amp; ROW()-1 &amp; "'!$W7")</f>
        <v>0</v>
      </c>
      <c r="N8" s="70">
        <f t="shared" ca="1" si="4"/>
        <v>0</v>
      </c>
      <c r="O8" s="112" cm="1">
        <f t="array" aca="1" ref="O8" ca="1">INDIRECT("'Bureau " &amp; ROW()-1 &amp; "'!$W8")</f>
        <v>0</v>
      </c>
      <c r="P8" s="57">
        <f t="shared" ca="1" si="5"/>
        <v>0</v>
      </c>
      <c r="Q8" s="117" cm="1">
        <f t="array" aca="1" ref="Q8" ca="1">INDIRECT("'Bureau " &amp; ROW()-1 &amp; "'!$W9")</f>
        <v>0</v>
      </c>
      <c r="R8" s="70">
        <f t="shared" ca="1" si="6"/>
        <v>0</v>
      </c>
      <c r="S8" s="113" cm="1">
        <f t="array" aca="1" ref="S8" ca="1">INDIRECT("'Bureau " &amp; ROW()-1 &amp; "'!$W10")</f>
        <v>0</v>
      </c>
      <c r="T8" s="24">
        <f t="shared" ca="1" si="7"/>
        <v>0</v>
      </c>
      <c r="U8" s="117" cm="1">
        <f t="array" aca="1" ref="U8" ca="1">INDIRECT("'Bureau " &amp; ROW()-1 &amp; "'!$W11")</f>
        <v>0</v>
      </c>
      <c r="V8" s="70">
        <f t="shared" ca="1" si="8"/>
        <v>0</v>
      </c>
      <c r="W8" s="112" cm="1">
        <f t="array" aca="1" ref="W8" ca="1">INDIRECT("'Bureau " &amp; ROW()-1 &amp; "'!$W12")</f>
        <v>0</v>
      </c>
      <c r="X8" s="57">
        <f t="shared" ca="1" si="9"/>
        <v>0</v>
      </c>
      <c r="Y8" s="118" cm="1">
        <f t="array" aca="1" ref="Y8" ca="1">INDIRECT("'Bureau " &amp; ROW()-1 &amp; "'!$W13")</f>
        <v>0</v>
      </c>
      <c r="Z8" s="92">
        <f t="shared" ca="1" si="10"/>
        <v>0</v>
      </c>
      <c r="AA8" s="115" cm="1">
        <f t="array" aca="1" ref="AA8" ca="1">INDIRECT("'Bureau " &amp; ROW()-1 &amp; "'!$W14")</f>
        <v>0</v>
      </c>
      <c r="AB8" s="61">
        <f t="shared" ca="1" si="11"/>
        <v>0</v>
      </c>
      <c r="AC8" s="116" cm="1">
        <f t="array" aca="1" ref="AC8" ca="1">INDIRECT("'Bureau " &amp; ROW()-1 &amp; "'!$W15")</f>
        <v>0</v>
      </c>
      <c r="AD8" s="99">
        <f t="shared" ca="1" si="12"/>
        <v>0</v>
      </c>
      <c r="AE8" s="127">
        <v>7</v>
      </c>
      <c r="AF8" s="131"/>
      <c r="AG8" s="132"/>
      <c r="AH8" s="132"/>
      <c r="AI8" s="132"/>
      <c r="AJ8" s="132"/>
      <c r="AK8" s="132"/>
      <c r="AL8" s="132"/>
      <c r="AM8" s="132"/>
      <c r="AN8" s="132"/>
      <c r="AO8" s="133"/>
      <c r="AP8" s="106"/>
      <c r="AQ8" s="101"/>
    </row>
    <row r="9" spans="1:43" ht="15.75" customHeight="1" x14ac:dyDescent="0.2">
      <c r="A9" s="40">
        <v>8</v>
      </c>
      <c r="B9" s="41" t="str" cm="1">
        <f t="array" aca="1" ref="B9" ca="1">INDIRECT("'Synthèse'!"  &amp; "$B" &amp; ROW()+1)</f>
        <v>COSEC</v>
      </c>
      <c r="C9" s="22">
        <f t="shared" ca="1" si="13"/>
        <v>0</v>
      </c>
      <c r="D9" s="24">
        <f t="shared" ca="1" si="0"/>
        <v>0</v>
      </c>
      <c r="E9" s="27">
        <f t="shared" ca="1" si="14"/>
        <v>0</v>
      </c>
      <c r="F9" s="66">
        <f>Synthèse!C10</f>
        <v>620</v>
      </c>
      <c r="G9" s="109" cm="1">
        <f t="array" aca="1" ref="G9" ca="1">INDIRECT("'Bureau " &amp; ROW()-1 &amp; "'!$W4")</f>
        <v>0</v>
      </c>
      <c r="H9" s="56">
        <f t="shared" ca="1" si="1"/>
        <v>0</v>
      </c>
      <c r="I9" s="110" cm="1">
        <f t="array" aca="1" ref="I9" ca="1">INDIRECT("'Bureau " &amp; ROW()-1 &amp; "'!$W5")</f>
        <v>0</v>
      </c>
      <c r="J9" s="56">
        <f t="shared" ca="1" si="2"/>
        <v>0</v>
      </c>
      <c r="K9" s="110" cm="1">
        <f t="array" aca="1" ref="K9" ca="1">INDIRECT("'Bureau " &amp; ROW()-1 &amp; "'!$W6")</f>
        <v>0</v>
      </c>
      <c r="L9" s="57">
        <f t="shared" ca="1" si="3"/>
        <v>0</v>
      </c>
      <c r="M9" s="117" cm="1">
        <f t="array" aca="1" ref="M9" ca="1">INDIRECT("'Bureau " &amp; ROW()-1 &amp; "'!$W7")</f>
        <v>0</v>
      </c>
      <c r="N9" s="70">
        <f t="shared" ca="1" si="4"/>
        <v>0</v>
      </c>
      <c r="O9" s="112" cm="1">
        <f t="array" aca="1" ref="O9" ca="1">INDIRECT("'Bureau " &amp; ROW()-1 &amp; "'!$W8")</f>
        <v>0</v>
      </c>
      <c r="P9" s="57">
        <f t="shared" ca="1" si="5"/>
        <v>0</v>
      </c>
      <c r="Q9" s="117" cm="1">
        <f t="array" aca="1" ref="Q9" ca="1">INDIRECT("'Bureau " &amp; ROW()-1 &amp; "'!$W9")</f>
        <v>0</v>
      </c>
      <c r="R9" s="70">
        <f t="shared" ca="1" si="6"/>
        <v>0</v>
      </c>
      <c r="S9" s="113" cm="1">
        <f t="array" aca="1" ref="S9" ca="1">INDIRECT("'Bureau " &amp; ROW()-1 &amp; "'!$W10")</f>
        <v>0</v>
      </c>
      <c r="T9" s="24">
        <f t="shared" ca="1" si="7"/>
        <v>0</v>
      </c>
      <c r="U9" s="117" cm="1">
        <f t="array" aca="1" ref="U9" ca="1">INDIRECT("'Bureau " &amp; ROW()-1 &amp; "'!$W11")</f>
        <v>0</v>
      </c>
      <c r="V9" s="70">
        <f t="shared" ca="1" si="8"/>
        <v>0</v>
      </c>
      <c r="W9" s="112" cm="1">
        <f t="array" aca="1" ref="W9" ca="1">INDIRECT("'Bureau " &amp; ROW()-1 &amp; "'!$W12")</f>
        <v>0</v>
      </c>
      <c r="X9" s="57">
        <f t="shared" ca="1" si="9"/>
        <v>0</v>
      </c>
      <c r="Y9" s="118" cm="1">
        <f t="array" aca="1" ref="Y9" ca="1">INDIRECT("'Bureau " &amp; ROW()-1 &amp; "'!$W13")</f>
        <v>0</v>
      </c>
      <c r="Z9" s="92">
        <f t="shared" ca="1" si="10"/>
        <v>0</v>
      </c>
      <c r="AA9" s="115" cm="1">
        <f t="array" aca="1" ref="AA9" ca="1">INDIRECT("'Bureau " &amp; ROW()-1 &amp; "'!$W14")</f>
        <v>0</v>
      </c>
      <c r="AB9" s="61">
        <f t="shared" ca="1" si="11"/>
        <v>0</v>
      </c>
      <c r="AC9" s="116" cm="1">
        <f t="array" aca="1" ref="AC9" ca="1">INDIRECT("'Bureau " &amp; ROW()-1 &amp; "'!$W15")</f>
        <v>0</v>
      </c>
      <c r="AD9" s="99">
        <f t="shared" ca="1" si="12"/>
        <v>0</v>
      </c>
      <c r="AE9" s="127">
        <v>8</v>
      </c>
      <c r="AF9" s="131"/>
      <c r="AG9" s="132"/>
      <c r="AH9" s="132"/>
      <c r="AI9" s="132"/>
      <c r="AJ9" s="132"/>
      <c r="AK9" s="132"/>
      <c r="AL9" s="132"/>
      <c r="AM9" s="132"/>
      <c r="AN9" s="132"/>
      <c r="AO9" s="133"/>
      <c r="AP9" s="106"/>
      <c r="AQ9" s="101"/>
    </row>
    <row r="10" spans="1:43" ht="15.75" customHeight="1" x14ac:dyDescent="0.2">
      <c r="A10" s="40">
        <v>9</v>
      </c>
      <c r="B10" s="41" t="str" cm="1">
        <f t="array" aca="1" ref="B10" ca="1">INDIRECT("'Synthèse'!"  &amp; "$B" &amp; ROW()+1)</f>
        <v>CMM</v>
      </c>
      <c r="C10" s="22">
        <f t="shared" ca="1" si="13"/>
        <v>0</v>
      </c>
      <c r="D10" s="24">
        <f t="shared" ca="1" si="0"/>
        <v>0</v>
      </c>
      <c r="E10" s="27">
        <f t="shared" ca="1" si="14"/>
        <v>0</v>
      </c>
      <c r="F10" s="66">
        <f>Synthèse!C11</f>
        <v>671</v>
      </c>
      <c r="G10" s="109" cm="1">
        <f t="array" aca="1" ref="G10" ca="1">INDIRECT("'Bureau " &amp; ROW()-1 &amp; "'!$W4")</f>
        <v>0</v>
      </c>
      <c r="H10" s="56">
        <f t="shared" ca="1" si="1"/>
        <v>0</v>
      </c>
      <c r="I10" s="110" cm="1">
        <f t="array" aca="1" ref="I10" ca="1">INDIRECT("'Bureau " &amp; ROW()-1 &amp; "'!$W5")</f>
        <v>0</v>
      </c>
      <c r="J10" s="56">
        <f t="shared" ca="1" si="2"/>
        <v>0</v>
      </c>
      <c r="K10" s="110" cm="1">
        <f t="array" aca="1" ref="K10" ca="1">INDIRECT("'Bureau " &amp; ROW()-1 &amp; "'!$W6")</f>
        <v>0</v>
      </c>
      <c r="L10" s="57">
        <f t="shared" ca="1" si="3"/>
        <v>0</v>
      </c>
      <c r="M10" s="117" cm="1">
        <f t="array" aca="1" ref="M10" ca="1">INDIRECT("'Bureau " &amp; ROW()-1 &amp; "'!$W7")</f>
        <v>0</v>
      </c>
      <c r="N10" s="70">
        <f t="shared" ca="1" si="4"/>
        <v>0</v>
      </c>
      <c r="O10" s="112" cm="1">
        <f t="array" aca="1" ref="O10" ca="1">INDIRECT("'Bureau " &amp; ROW()-1 &amp; "'!$W8")</f>
        <v>0</v>
      </c>
      <c r="P10" s="57">
        <f t="shared" ca="1" si="5"/>
        <v>0</v>
      </c>
      <c r="Q10" s="117" cm="1">
        <f t="array" aca="1" ref="Q10" ca="1">INDIRECT("'Bureau " &amp; ROW()-1 &amp; "'!$W9")</f>
        <v>0</v>
      </c>
      <c r="R10" s="70">
        <f t="shared" ca="1" si="6"/>
        <v>0</v>
      </c>
      <c r="S10" s="113" cm="1">
        <f t="array" aca="1" ref="S10" ca="1">INDIRECT("'Bureau " &amp; ROW()-1 &amp; "'!$W10")</f>
        <v>0</v>
      </c>
      <c r="T10" s="24">
        <f t="shared" ca="1" si="7"/>
        <v>0</v>
      </c>
      <c r="U10" s="117" cm="1">
        <f t="array" aca="1" ref="U10" ca="1">INDIRECT("'Bureau " &amp; ROW()-1 &amp; "'!$W11")</f>
        <v>0</v>
      </c>
      <c r="V10" s="70">
        <f t="shared" ca="1" si="8"/>
        <v>0</v>
      </c>
      <c r="W10" s="112" cm="1">
        <f t="array" aca="1" ref="W10" ca="1">INDIRECT("'Bureau " &amp; ROW()-1 &amp; "'!$W12")</f>
        <v>0</v>
      </c>
      <c r="X10" s="57">
        <f t="shared" ca="1" si="9"/>
        <v>0</v>
      </c>
      <c r="Y10" s="118" cm="1">
        <f t="array" aca="1" ref="Y10" ca="1">INDIRECT("'Bureau " &amp; ROW()-1 &amp; "'!$W13")</f>
        <v>0</v>
      </c>
      <c r="Z10" s="92">
        <f t="shared" ca="1" si="10"/>
        <v>0</v>
      </c>
      <c r="AA10" s="115" cm="1">
        <f t="array" aca="1" ref="AA10" ca="1">INDIRECT("'Bureau " &amp; ROW()-1 &amp; "'!$W14")</f>
        <v>0</v>
      </c>
      <c r="AB10" s="61">
        <f t="shared" ca="1" si="11"/>
        <v>0</v>
      </c>
      <c r="AC10" s="116" cm="1">
        <f t="array" aca="1" ref="AC10" ca="1">INDIRECT("'Bureau " &amp; ROW()-1 &amp; "'!$W15")</f>
        <v>0</v>
      </c>
      <c r="AD10" s="99">
        <f t="shared" ca="1" si="12"/>
        <v>0</v>
      </c>
      <c r="AE10" s="127">
        <v>9</v>
      </c>
      <c r="AF10" s="131"/>
      <c r="AG10" s="132"/>
      <c r="AH10" s="132"/>
      <c r="AI10" s="132"/>
      <c r="AJ10" s="132"/>
      <c r="AK10" s="132"/>
      <c r="AL10" s="132"/>
      <c r="AM10" s="132"/>
      <c r="AN10" s="132"/>
      <c r="AO10" s="133"/>
      <c r="AP10" s="106"/>
      <c r="AQ10" s="101"/>
    </row>
    <row r="11" spans="1:43" ht="15.75" customHeight="1" x14ac:dyDescent="0.2">
      <c r="A11" s="40">
        <v>10</v>
      </c>
      <c r="B11" s="41" t="str" cm="1">
        <f t="array" aca="1" ref="B11" ca="1">INDIRECT("'Synthèse'!"  &amp; "$B" &amp; ROW()+1)</f>
        <v>CMM</v>
      </c>
      <c r="C11" s="22">
        <f t="shared" ca="1" si="13"/>
        <v>0</v>
      </c>
      <c r="D11" s="24">
        <f t="shared" ca="1" si="0"/>
        <v>0</v>
      </c>
      <c r="E11" s="27">
        <f t="shared" ca="1" si="14"/>
        <v>0</v>
      </c>
      <c r="F11" s="66">
        <f>Synthèse!C12</f>
        <v>581</v>
      </c>
      <c r="G11" s="109" cm="1">
        <f t="array" aca="1" ref="G11" ca="1">INDIRECT("'Bureau " &amp; ROW()-1 &amp; "'!$W4")</f>
        <v>0</v>
      </c>
      <c r="H11" s="56">
        <f t="shared" ca="1" si="1"/>
        <v>0</v>
      </c>
      <c r="I11" s="110" cm="1">
        <f t="array" aca="1" ref="I11" ca="1">INDIRECT("'Bureau " &amp; ROW()-1 &amp; "'!$W5")</f>
        <v>0</v>
      </c>
      <c r="J11" s="56">
        <f t="shared" ca="1" si="2"/>
        <v>0</v>
      </c>
      <c r="K11" s="110" cm="1">
        <f t="array" aca="1" ref="K11" ca="1">INDIRECT("'Bureau " &amp; ROW()-1 &amp; "'!$W6")</f>
        <v>0</v>
      </c>
      <c r="L11" s="57">
        <f t="shared" ca="1" si="3"/>
        <v>0</v>
      </c>
      <c r="M11" s="117" cm="1">
        <f t="array" aca="1" ref="M11" ca="1">INDIRECT("'Bureau " &amp; ROW()-1 &amp; "'!$W7")</f>
        <v>0</v>
      </c>
      <c r="N11" s="70">
        <f t="shared" ca="1" si="4"/>
        <v>0</v>
      </c>
      <c r="O11" s="112" cm="1">
        <f t="array" aca="1" ref="O11" ca="1">INDIRECT("'Bureau " &amp; ROW()-1 &amp; "'!$W8")</f>
        <v>0</v>
      </c>
      <c r="P11" s="57">
        <f t="shared" ca="1" si="5"/>
        <v>0</v>
      </c>
      <c r="Q11" s="117" cm="1">
        <f t="array" aca="1" ref="Q11" ca="1">INDIRECT("'Bureau " &amp; ROW()-1 &amp; "'!$W9")</f>
        <v>0</v>
      </c>
      <c r="R11" s="70">
        <f t="shared" ca="1" si="6"/>
        <v>0</v>
      </c>
      <c r="S11" s="113" cm="1">
        <f t="array" aca="1" ref="S11" ca="1">INDIRECT("'Bureau " &amp; ROW()-1 &amp; "'!$W10")</f>
        <v>0</v>
      </c>
      <c r="T11" s="24">
        <f t="shared" ca="1" si="7"/>
        <v>0</v>
      </c>
      <c r="U11" s="117" cm="1">
        <f t="array" aca="1" ref="U11" ca="1">INDIRECT("'Bureau " &amp; ROW()-1 &amp; "'!$W11")</f>
        <v>0</v>
      </c>
      <c r="V11" s="70">
        <f t="shared" ca="1" si="8"/>
        <v>0</v>
      </c>
      <c r="W11" s="112" cm="1">
        <f t="array" aca="1" ref="W11" ca="1">INDIRECT("'Bureau " &amp; ROW()-1 &amp; "'!$W12")</f>
        <v>0</v>
      </c>
      <c r="X11" s="57">
        <f t="shared" ca="1" si="9"/>
        <v>0</v>
      </c>
      <c r="Y11" s="118" cm="1">
        <f t="array" aca="1" ref="Y11" ca="1">INDIRECT("'Bureau " &amp; ROW()-1 &amp; "'!$W13")</f>
        <v>0</v>
      </c>
      <c r="Z11" s="92">
        <f t="shared" ca="1" si="10"/>
        <v>0</v>
      </c>
      <c r="AA11" s="115" cm="1">
        <f t="array" aca="1" ref="AA11" ca="1">INDIRECT("'Bureau " &amp; ROW()-1 &amp; "'!$W14")</f>
        <v>0</v>
      </c>
      <c r="AB11" s="61">
        <f t="shared" ca="1" si="11"/>
        <v>0</v>
      </c>
      <c r="AC11" s="116" cm="1">
        <f t="array" aca="1" ref="AC11" ca="1">INDIRECT("'Bureau " &amp; ROW()-1 &amp; "'!$W15")</f>
        <v>0</v>
      </c>
      <c r="AD11" s="99">
        <f t="shared" ca="1" si="12"/>
        <v>0</v>
      </c>
      <c r="AE11" s="127">
        <v>10</v>
      </c>
      <c r="AF11" s="131"/>
      <c r="AG11" s="132"/>
      <c r="AH11" s="132"/>
      <c r="AI11" s="132"/>
      <c r="AJ11" s="132"/>
      <c r="AK11" s="132"/>
      <c r="AL11" s="132"/>
      <c r="AM11" s="132"/>
      <c r="AN11" s="132"/>
      <c r="AO11" s="133"/>
      <c r="AP11" s="106"/>
      <c r="AQ11" s="101"/>
    </row>
    <row r="12" spans="1:43" ht="15.75" customHeight="1" x14ac:dyDescent="0.2">
      <c r="A12" s="40">
        <v>11</v>
      </c>
      <c r="B12" s="41" t="str" cm="1">
        <f t="array" aca="1" ref="B12" ca="1">INDIRECT("'Synthèse'!"  &amp; "$B" &amp; ROW()+1)</f>
        <v>CMM</v>
      </c>
      <c r="C12" s="22">
        <f t="shared" ca="1" si="13"/>
        <v>0</v>
      </c>
      <c r="D12" s="24">
        <f t="shared" ca="1" si="0"/>
        <v>0</v>
      </c>
      <c r="E12" s="27">
        <f t="shared" ca="1" si="14"/>
        <v>0</v>
      </c>
      <c r="F12" s="66">
        <f>Synthèse!C13</f>
        <v>649</v>
      </c>
      <c r="G12" s="109" cm="1">
        <f t="array" aca="1" ref="G12" ca="1">INDIRECT("'Bureau " &amp; ROW()-1 &amp; "'!$W4")</f>
        <v>0</v>
      </c>
      <c r="H12" s="56">
        <f t="shared" ca="1" si="1"/>
        <v>0</v>
      </c>
      <c r="I12" s="110" cm="1">
        <f t="array" aca="1" ref="I12" ca="1">INDIRECT("'Bureau " &amp; ROW()-1 &amp; "'!$W5")</f>
        <v>0</v>
      </c>
      <c r="J12" s="56">
        <f t="shared" ca="1" si="2"/>
        <v>0</v>
      </c>
      <c r="K12" s="110" cm="1">
        <f t="array" aca="1" ref="K12" ca="1">INDIRECT("'Bureau " &amp; ROW()-1 &amp; "'!$W6")</f>
        <v>0</v>
      </c>
      <c r="L12" s="57">
        <f t="shared" ca="1" si="3"/>
        <v>0</v>
      </c>
      <c r="M12" s="117" cm="1">
        <f t="array" aca="1" ref="M12" ca="1">INDIRECT("'Bureau " &amp; ROW()-1 &amp; "'!$W7")</f>
        <v>0</v>
      </c>
      <c r="N12" s="70">
        <f t="shared" ca="1" si="4"/>
        <v>0</v>
      </c>
      <c r="O12" s="112" cm="1">
        <f t="array" aca="1" ref="O12" ca="1">INDIRECT("'Bureau " &amp; ROW()-1 &amp; "'!$W8")</f>
        <v>0</v>
      </c>
      <c r="P12" s="57">
        <f t="shared" ca="1" si="5"/>
        <v>0</v>
      </c>
      <c r="Q12" s="117" cm="1">
        <f t="array" aca="1" ref="Q12" ca="1">INDIRECT("'Bureau " &amp; ROW()-1 &amp; "'!$W9")</f>
        <v>0</v>
      </c>
      <c r="R12" s="70">
        <f t="shared" ca="1" si="6"/>
        <v>0</v>
      </c>
      <c r="S12" s="113" cm="1">
        <f t="array" aca="1" ref="S12" ca="1">INDIRECT("'Bureau " &amp; ROW()-1 &amp; "'!$W10")</f>
        <v>0</v>
      </c>
      <c r="T12" s="24">
        <f t="shared" ca="1" si="7"/>
        <v>0</v>
      </c>
      <c r="U12" s="117" cm="1">
        <f t="array" aca="1" ref="U12" ca="1">INDIRECT("'Bureau " &amp; ROW()-1 &amp; "'!$W11")</f>
        <v>0</v>
      </c>
      <c r="V12" s="70">
        <f t="shared" ca="1" si="8"/>
        <v>0</v>
      </c>
      <c r="W12" s="112" cm="1">
        <f t="array" aca="1" ref="W12" ca="1">INDIRECT("'Bureau " &amp; ROW()-1 &amp; "'!$W12")</f>
        <v>0</v>
      </c>
      <c r="X12" s="57">
        <f t="shared" ca="1" si="9"/>
        <v>0</v>
      </c>
      <c r="Y12" s="118" cm="1">
        <f t="array" aca="1" ref="Y12" ca="1">INDIRECT("'Bureau " &amp; ROW()-1 &amp; "'!$W13")</f>
        <v>0</v>
      </c>
      <c r="Z12" s="92">
        <f t="shared" ca="1" si="10"/>
        <v>0</v>
      </c>
      <c r="AA12" s="115" cm="1">
        <f t="array" aca="1" ref="AA12" ca="1">INDIRECT("'Bureau " &amp; ROW()-1 &amp; "'!$W14")</f>
        <v>0</v>
      </c>
      <c r="AB12" s="61">
        <f t="shared" ca="1" si="11"/>
        <v>0</v>
      </c>
      <c r="AC12" s="116" cm="1">
        <f t="array" aca="1" ref="AC12" ca="1">INDIRECT("'Bureau " &amp; ROW()-1 &amp; "'!$W15")</f>
        <v>0</v>
      </c>
      <c r="AD12" s="99">
        <f t="shared" ca="1" si="12"/>
        <v>0</v>
      </c>
      <c r="AE12" s="127">
        <v>11</v>
      </c>
      <c r="AF12" s="131"/>
      <c r="AG12" s="132"/>
      <c r="AH12" s="132"/>
      <c r="AI12" s="132"/>
      <c r="AJ12" s="132"/>
      <c r="AK12" s="132"/>
      <c r="AL12" s="132"/>
      <c r="AM12" s="132"/>
      <c r="AN12" s="132"/>
      <c r="AO12" s="133"/>
      <c r="AP12" s="106"/>
      <c r="AQ12" s="101"/>
    </row>
    <row r="13" spans="1:43" ht="15.75" customHeight="1" thickBot="1" x14ac:dyDescent="0.25">
      <c r="A13" s="42">
        <v>12</v>
      </c>
      <c r="B13" s="41" t="str" cm="1">
        <f t="array" aca="1" ref="B13" ca="1">INDIRECT("'Synthèse'!"  &amp; "$B" &amp; ROW()+1)</f>
        <v>Base nautique</v>
      </c>
      <c r="C13" s="28">
        <f t="shared" ca="1" si="13"/>
        <v>0</v>
      </c>
      <c r="D13" s="25">
        <f t="shared" ca="1" si="0"/>
        <v>0</v>
      </c>
      <c r="E13" s="67">
        <f t="shared" ca="1" si="14"/>
        <v>0</v>
      </c>
      <c r="F13" s="68">
        <f>Synthèse!C14</f>
        <v>645</v>
      </c>
      <c r="G13" s="119" cm="1">
        <f t="array" aca="1" ref="G13" ca="1">INDIRECT("'Bureau " &amp; ROW()-1 &amp; "'!$W4")</f>
        <v>0</v>
      </c>
      <c r="H13" s="58">
        <f t="shared" ca="1" si="1"/>
        <v>0</v>
      </c>
      <c r="I13" s="110" cm="1">
        <f t="array" aca="1" ref="I13" ca="1">INDIRECT("'Bureau " &amp; ROW()-1 &amp; "'!$W5")</f>
        <v>0</v>
      </c>
      <c r="J13" s="58">
        <f t="shared" ca="1" si="2"/>
        <v>0</v>
      </c>
      <c r="K13" s="110" cm="1">
        <f t="array" aca="1" ref="K13" ca="1">INDIRECT("'Bureau " &amp; ROW()-1 &amp; "'!$W6")</f>
        <v>0</v>
      </c>
      <c r="L13" s="59">
        <f t="shared" ca="1" si="3"/>
        <v>0</v>
      </c>
      <c r="M13" s="120" cm="1">
        <f t="array" aca="1" ref="M13" ca="1">INDIRECT("'Bureau " &amp; ROW()-1 &amp; "'!$W7")</f>
        <v>0</v>
      </c>
      <c r="N13" s="71">
        <f t="shared" ca="1" si="4"/>
        <v>0</v>
      </c>
      <c r="O13" s="112" cm="1">
        <f t="array" aca="1" ref="O13" ca="1">INDIRECT("'Bureau " &amp; ROW()-1 &amp; "'!$W8")</f>
        <v>0</v>
      </c>
      <c r="P13" s="59">
        <f t="shared" ca="1" si="5"/>
        <v>0</v>
      </c>
      <c r="Q13" s="121" cm="1">
        <f t="array" aca="1" ref="Q13" ca="1">INDIRECT("'Bureau " &amp; ROW()-1 &amp; "'!$W9")</f>
        <v>0</v>
      </c>
      <c r="R13" s="72">
        <f t="shared" ca="1" si="6"/>
        <v>0</v>
      </c>
      <c r="S13" s="113" cm="1">
        <f t="array" aca="1" ref="S13" ca="1">INDIRECT("'Bureau " &amp; ROW()-1 &amp; "'!$W10")</f>
        <v>0</v>
      </c>
      <c r="T13" s="25">
        <f t="shared" ca="1" si="7"/>
        <v>0</v>
      </c>
      <c r="U13" s="120" cm="1">
        <f t="array" aca="1" ref="U13" ca="1">INDIRECT("'Bureau " &amp; ROW()-1 &amp; "'!$W11")</f>
        <v>0</v>
      </c>
      <c r="V13" s="71">
        <f t="shared" ca="1" si="8"/>
        <v>0</v>
      </c>
      <c r="W13" s="112" cm="1">
        <f t="array" aca="1" ref="W13" ca="1">INDIRECT("'Bureau " &amp; ROW()-1 &amp; "'!$W12")</f>
        <v>0</v>
      </c>
      <c r="X13" s="59">
        <f t="shared" ca="1" si="9"/>
        <v>0</v>
      </c>
      <c r="Y13" s="122" cm="1">
        <f t="array" aca="1" ref="Y13" ca="1">INDIRECT("'Bureau " &amp; ROW()-1 &amp; "'!$W13")</f>
        <v>0</v>
      </c>
      <c r="Z13" s="71">
        <f t="shared" ca="1" si="10"/>
        <v>0</v>
      </c>
      <c r="AA13" s="115" cm="1">
        <f t="array" aca="1" ref="AA13" ca="1">INDIRECT("'Bureau " &amp; ROW()-1 &amp; "'!$W14")</f>
        <v>0</v>
      </c>
      <c r="AB13" s="62">
        <f t="shared" ca="1" si="11"/>
        <v>0</v>
      </c>
      <c r="AC13" s="116" cm="1">
        <f t="array" aca="1" ref="AC13" ca="1">INDIRECT("'Bureau " &amp; ROW()-1 &amp; "'!$W15")</f>
        <v>0</v>
      </c>
      <c r="AD13" s="100">
        <f t="shared" ca="1" si="12"/>
        <v>0</v>
      </c>
      <c r="AE13" s="134">
        <v>12</v>
      </c>
      <c r="AF13" s="135"/>
      <c r="AG13" s="136"/>
      <c r="AH13" s="136"/>
      <c r="AI13" s="136"/>
      <c r="AJ13" s="136"/>
      <c r="AK13" s="136"/>
      <c r="AL13" s="136"/>
      <c r="AM13" s="136"/>
      <c r="AN13" s="136"/>
      <c r="AO13" s="137"/>
      <c r="AP13" s="106"/>
      <c r="AQ13" s="101"/>
    </row>
    <row r="14" spans="1:43" ht="15.75" customHeight="1" thickBot="1" x14ac:dyDescent="0.3">
      <c r="A14" s="423" t="s">
        <v>9</v>
      </c>
      <c r="B14" s="424"/>
      <c r="C14" s="29">
        <f ca="1">SUM(C2:C13)</f>
        <v>0</v>
      </c>
      <c r="D14" s="30">
        <f t="shared" ca="1" si="0"/>
        <v>0</v>
      </c>
      <c r="E14" s="64">
        <f t="shared" ca="1" si="14"/>
        <v>0</v>
      </c>
      <c r="F14" s="389">
        <f t="shared" ref="F14:G14" si="15">SUM(F2:F13)</f>
        <v>7742</v>
      </c>
      <c r="G14" s="73">
        <f t="shared" ca="1" si="15"/>
        <v>0</v>
      </c>
      <c r="H14" s="74">
        <f ca="1">G14/$F14</f>
        <v>0</v>
      </c>
      <c r="I14" s="75">
        <f ca="1">SUM(I2:I13)</f>
        <v>0</v>
      </c>
      <c r="J14" s="74">
        <f t="shared" ca="1" si="2"/>
        <v>0</v>
      </c>
      <c r="K14" s="75">
        <f ca="1">SUM(K2:K13)</f>
        <v>0</v>
      </c>
      <c r="L14" s="76">
        <f t="shared" ca="1" si="3"/>
        <v>0</v>
      </c>
      <c r="M14" s="77">
        <f ca="1">SUM(M2:M13)</f>
        <v>0</v>
      </c>
      <c r="N14" s="76">
        <f t="shared" ca="1" si="4"/>
        <v>0</v>
      </c>
      <c r="O14" s="77">
        <f ca="1">SUM(O2:O13)</f>
        <v>0</v>
      </c>
      <c r="P14" s="76">
        <f t="shared" ca="1" si="5"/>
        <v>0</v>
      </c>
      <c r="Q14" s="77">
        <f ca="1">SUM(Q2:Q13)</f>
        <v>0</v>
      </c>
      <c r="R14" s="76">
        <f t="shared" ca="1" si="6"/>
        <v>0</v>
      </c>
      <c r="S14" s="77">
        <f ca="1">SUM(S2:S13)</f>
        <v>0</v>
      </c>
      <c r="T14" s="76">
        <f t="shared" ca="1" si="7"/>
        <v>0</v>
      </c>
      <c r="U14" s="77">
        <f ca="1">SUM(U2:U13)</f>
        <v>0</v>
      </c>
      <c r="V14" s="76">
        <f t="shared" ca="1" si="8"/>
        <v>0</v>
      </c>
      <c r="W14" s="77">
        <f ca="1">SUM(W2:W13)</f>
        <v>0</v>
      </c>
      <c r="X14" s="78">
        <f t="shared" ca="1" si="9"/>
        <v>0</v>
      </c>
      <c r="Y14" s="93">
        <f ca="1">SUM(Y2:Y13)</f>
        <v>0</v>
      </c>
      <c r="Z14" s="79">
        <f t="shared" ca="1" si="10"/>
        <v>0</v>
      </c>
      <c r="AA14" s="9">
        <f ca="1">SUM(AA2:AA13)</f>
        <v>0</v>
      </c>
      <c r="AB14" s="10">
        <f t="shared" ca="1" si="11"/>
        <v>0</v>
      </c>
      <c r="AC14" s="11">
        <f ca="1">SUM(AC2:AC13)</f>
        <v>0</v>
      </c>
      <c r="AD14" s="10">
        <f t="shared" ca="1" si="12"/>
        <v>0</v>
      </c>
      <c r="AE14" s="138" t="s">
        <v>16</v>
      </c>
      <c r="AF14" s="139"/>
      <c r="AG14" s="140"/>
      <c r="AH14" s="140"/>
      <c r="AI14" s="140"/>
      <c r="AJ14" s="140"/>
      <c r="AK14" s="140"/>
      <c r="AL14" s="140"/>
      <c r="AM14" s="140"/>
      <c r="AN14" s="140"/>
      <c r="AO14" s="141"/>
      <c r="AP14" s="107"/>
      <c r="AQ14" s="108"/>
    </row>
    <row r="15" spans="1:43" ht="16.5" thickBot="1" x14ac:dyDescent="0.3">
      <c r="A15" s="12" t="s">
        <v>11</v>
      </c>
      <c r="B15" s="13">
        <f>Synthèse!B17</f>
        <v>46096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4"/>
      <c r="AB15" s="14"/>
      <c r="AC15" s="14"/>
      <c r="AD15" s="14"/>
      <c r="AE15" s="410" t="s">
        <v>65</v>
      </c>
      <c r="AF15" s="411"/>
      <c r="AG15" s="411"/>
      <c r="AH15" s="411"/>
      <c r="AI15" s="411"/>
      <c r="AJ15" s="411"/>
      <c r="AK15" s="411"/>
      <c r="AL15" s="411"/>
      <c r="AM15" s="411"/>
      <c r="AN15" s="411"/>
      <c r="AO15" s="411"/>
      <c r="AP15" s="411"/>
      <c r="AQ15" s="412"/>
    </row>
    <row r="16" spans="1:43" ht="15" customHeight="1" x14ac:dyDescent="0.2">
      <c r="A16" s="15" t="s">
        <v>12</v>
      </c>
      <c r="B16" s="16" t="str">
        <f>Synthèse!B18</f>
        <v>Municipales 1er tour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4"/>
      <c r="AB16" s="14"/>
      <c r="AC16" s="14"/>
      <c r="AD16" s="14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</row>
    <row r="17" spans="1:43" ht="17.25" customHeight="1" thickBot="1" x14ac:dyDescent="0.25">
      <c r="A17" s="17" t="s">
        <v>13</v>
      </c>
      <c r="B17" s="18" t="str">
        <f>Synthèse!B19</f>
        <v>Cogolin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4"/>
      <c r="AC17" s="14"/>
      <c r="AD17" s="14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</row>
    <row r="18" spans="1:43" ht="12.75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4"/>
      <c r="AB18" s="14"/>
      <c r="AC18" s="14"/>
      <c r="AD18" s="14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</row>
    <row r="19" spans="1:43" ht="12.75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4"/>
      <c r="AB19" s="14"/>
      <c r="AC19" s="14"/>
      <c r="AD19" s="14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</row>
    <row r="20" spans="1:43" ht="13.5" thickBo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4"/>
      <c r="AB20" s="14"/>
      <c r="AC20" s="14"/>
      <c r="AD20" s="14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</row>
    <row r="21" spans="1:43" ht="20.25" customHeight="1" thickBo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4"/>
      <c r="AB21" s="14"/>
      <c r="AC21" s="14"/>
      <c r="AD21" s="14"/>
      <c r="AE21" s="1"/>
      <c r="AF21" s="1"/>
      <c r="AG21" s="1"/>
      <c r="AH21" s="421" t="s">
        <v>62</v>
      </c>
      <c r="AI21" s="422"/>
      <c r="AJ21" s="419" t="s">
        <v>63</v>
      </c>
      <c r="AK21" s="420"/>
      <c r="AL21" s="143"/>
      <c r="AO21" s="1"/>
      <c r="AP21" s="1"/>
      <c r="AQ21" s="1"/>
    </row>
    <row r="22" spans="1:43" ht="12.75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4"/>
      <c r="AB22" s="14"/>
      <c r="AC22" s="14"/>
      <c r="AD22" s="14"/>
      <c r="AE22" s="1"/>
      <c r="AF22" s="1"/>
      <c r="AG22" s="1"/>
      <c r="AH22" s="144"/>
      <c r="AI22" s="145"/>
      <c r="AJ22" s="144"/>
      <c r="AK22" s="146"/>
      <c r="AL22" s="1"/>
      <c r="AO22" s="1"/>
      <c r="AP22" s="1"/>
      <c r="AQ22" s="1"/>
    </row>
    <row r="23" spans="1:43" ht="12.75" x14ac:dyDescent="0.2">
      <c r="A23" s="1"/>
      <c r="B23" s="80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4"/>
      <c r="AB23" s="14"/>
      <c r="AC23" s="14"/>
      <c r="AD23" s="14"/>
      <c r="AE23" s="1"/>
      <c r="AF23" s="1"/>
      <c r="AG23" s="1"/>
      <c r="AH23" s="144"/>
      <c r="AI23" s="145"/>
      <c r="AJ23" s="144"/>
      <c r="AK23" s="146"/>
      <c r="AL23" s="1"/>
      <c r="AO23" s="1"/>
      <c r="AP23" s="1"/>
      <c r="AQ23" s="1"/>
    </row>
    <row r="24" spans="1:43" ht="12.75" x14ac:dyDescent="0.2">
      <c r="A24" s="1"/>
      <c r="B24" s="80"/>
      <c r="C24" s="31"/>
      <c r="D24" s="3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4"/>
      <c r="AB24" s="14"/>
      <c r="AC24" s="14"/>
      <c r="AD24" s="14"/>
      <c r="AE24" s="1"/>
      <c r="AF24" s="1"/>
      <c r="AG24" s="1"/>
      <c r="AH24" s="144"/>
      <c r="AI24" s="145"/>
      <c r="AJ24" s="144"/>
      <c r="AK24" s="146"/>
      <c r="AL24" s="1"/>
      <c r="AO24" s="1"/>
      <c r="AP24" s="1"/>
      <c r="AQ24" s="1"/>
    </row>
    <row r="25" spans="1:43" ht="12.75" x14ac:dyDescent="0.2">
      <c r="A25" s="1"/>
      <c r="B25" s="1"/>
      <c r="C25" s="31"/>
      <c r="D25" s="3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4"/>
      <c r="AB25" s="14"/>
      <c r="AC25" s="14"/>
      <c r="AD25" s="14"/>
      <c r="AE25" s="1"/>
      <c r="AF25" s="1"/>
      <c r="AG25" s="1"/>
      <c r="AH25" s="144"/>
      <c r="AI25" s="145"/>
      <c r="AJ25" s="144"/>
      <c r="AK25" s="146"/>
      <c r="AL25" s="1"/>
      <c r="AO25" s="1"/>
      <c r="AP25" s="1"/>
      <c r="AQ25" s="1"/>
    </row>
    <row r="26" spans="1:43" ht="12.75" x14ac:dyDescent="0.2">
      <c r="A26" s="1"/>
      <c r="B26" s="1"/>
      <c r="C26" s="31"/>
      <c r="D26" s="3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4"/>
      <c r="AB26" s="14"/>
      <c r="AC26" s="14"/>
      <c r="AD26" s="14"/>
      <c r="AE26" s="1"/>
      <c r="AF26" s="1"/>
      <c r="AG26" s="1"/>
      <c r="AH26" s="144"/>
      <c r="AI26" s="145"/>
      <c r="AJ26" s="144"/>
      <c r="AK26" s="146"/>
      <c r="AL26" s="1"/>
      <c r="AO26" s="1"/>
      <c r="AP26" s="1"/>
      <c r="AQ26" s="1"/>
    </row>
    <row r="27" spans="1:43" ht="12.75" x14ac:dyDescent="0.2">
      <c r="A27" s="1"/>
      <c r="B27" s="1"/>
      <c r="C27" s="31"/>
      <c r="D27" s="3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4"/>
      <c r="AB27" s="14"/>
      <c r="AC27" s="14"/>
      <c r="AD27" s="14"/>
      <c r="AE27" s="1"/>
      <c r="AF27" s="1"/>
      <c r="AG27" s="1"/>
      <c r="AH27" s="144"/>
      <c r="AI27" s="145"/>
      <c r="AJ27" s="144"/>
      <c r="AK27" s="146"/>
      <c r="AL27" s="1"/>
      <c r="AO27" s="1"/>
      <c r="AP27" s="1"/>
      <c r="AQ27" s="1"/>
    </row>
    <row r="28" spans="1:43" ht="15.75" customHeight="1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4"/>
      <c r="AB28" s="14"/>
      <c r="AC28" s="14"/>
      <c r="AD28" s="14"/>
      <c r="AE28" s="1"/>
      <c r="AF28" s="1"/>
      <c r="AG28" s="1"/>
      <c r="AH28" s="144"/>
      <c r="AI28" s="145"/>
      <c r="AJ28" s="144"/>
      <c r="AK28" s="146"/>
      <c r="AL28" s="1"/>
      <c r="AO28" s="1"/>
      <c r="AP28" s="1"/>
      <c r="AQ28" s="1"/>
    </row>
    <row r="29" spans="1:43" ht="12.75" x14ac:dyDescent="0.2">
      <c r="A29" s="1"/>
      <c r="B29" s="19" t="s">
        <v>18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4"/>
      <c r="AB29" s="14"/>
      <c r="AC29" s="14"/>
      <c r="AD29" s="14"/>
      <c r="AE29" s="1"/>
      <c r="AF29" s="1"/>
      <c r="AG29" s="1"/>
      <c r="AH29" s="144"/>
      <c r="AI29" s="145"/>
      <c r="AJ29" s="144"/>
      <c r="AK29" s="146"/>
      <c r="AL29" s="1"/>
      <c r="AO29" s="1"/>
      <c r="AP29" s="1"/>
      <c r="AQ29" s="1"/>
    </row>
    <row r="30" spans="1:43" ht="12.75" x14ac:dyDescent="0.2">
      <c r="A30" s="1"/>
      <c r="B30" s="20" t="s">
        <v>19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4"/>
      <c r="AB30" s="14"/>
      <c r="AC30" s="14"/>
      <c r="AD30" s="14"/>
      <c r="AE30" s="1"/>
      <c r="AF30" s="1"/>
      <c r="AG30" s="1"/>
      <c r="AH30" s="144"/>
      <c r="AI30" s="145"/>
      <c r="AJ30" s="144"/>
      <c r="AK30" s="146"/>
      <c r="AL30" s="1"/>
      <c r="AO30" s="1"/>
      <c r="AP30" s="1"/>
      <c r="AQ30" s="1"/>
    </row>
    <row r="31" spans="1:43" ht="12.75" x14ac:dyDescent="0.2">
      <c r="A31" s="1"/>
      <c r="B31" s="19" t="s">
        <v>20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4"/>
      <c r="AB31" s="14"/>
      <c r="AC31" s="14"/>
      <c r="AD31" s="14"/>
      <c r="AE31" s="1"/>
      <c r="AF31" s="1"/>
      <c r="AG31" s="1"/>
      <c r="AH31" s="144"/>
      <c r="AI31" s="145"/>
      <c r="AJ31" s="144"/>
      <c r="AK31" s="146"/>
      <c r="AL31" s="1"/>
      <c r="AO31" s="1"/>
      <c r="AP31" s="1"/>
      <c r="AQ31" s="1"/>
    </row>
    <row r="32" spans="1:43" ht="15.75" customHeight="1" x14ac:dyDescent="0.2">
      <c r="AH32" s="147"/>
      <c r="AI32" s="148"/>
      <c r="AJ32" s="147"/>
      <c r="AK32" s="149"/>
    </row>
    <row r="33" spans="6:37" ht="15.75" customHeight="1" x14ac:dyDescent="0.2">
      <c r="AH33" s="147"/>
      <c r="AI33" s="148"/>
      <c r="AJ33" s="147"/>
      <c r="AK33" s="149"/>
    </row>
    <row r="34" spans="6:37" ht="15.75" customHeight="1" x14ac:dyDescent="0.2">
      <c r="AH34" s="147"/>
      <c r="AI34" s="148"/>
      <c r="AJ34" s="147"/>
      <c r="AK34" s="149"/>
    </row>
    <row r="35" spans="6:37" ht="15.75" customHeight="1" thickBot="1" x14ac:dyDescent="0.25">
      <c r="AH35" s="147"/>
      <c r="AI35" s="148"/>
      <c r="AJ35" s="147"/>
      <c r="AK35" s="149"/>
    </row>
    <row r="36" spans="6:37" ht="13.5" thickBot="1" x14ac:dyDescent="0.25">
      <c r="F36" s="189"/>
      <c r="G36" s="408" t="s">
        <v>62</v>
      </c>
      <c r="H36" s="409"/>
      <c r="I36" s="409"/>
      <c r="J36" s="409"/>
      <c r="K36" s="409"/>
      <c r="L36" s="409"/>
      <c r="M36" s="409"/>
      <c r="N36" s="409"/>
      <c r="O36" s="409"/>
      <c r="P36" s="409"/>
      <c r="Q36" s="409"/>
      <c r="R36" s="409"/>
      <c r="S36" s="409"/>
      <c r="T36" s="190"/>
      <c r="U36" s="409" t="s">
        <v>63</v>
      </c>
      <c r="V36" s="409"/>
      <c r="W36" s="409"/>
      <c r="X36" s="409"/>
      <c r="Y36" s="409"/>
      <c r="Z36" s="409"/>
      <c r="AA36" s="409"/>
      <c r="AB36" s="409"/>
      <c r="AC36" s="409"/>
      <c r="AD36" s="409"/>
      <c r="AE36" s="409"/>
      <c r="AF36" s="409"/>
      <c r="AG36" s="409"/>
      <c r="AH36" s="147"/>
      <c r="AI36" s="148"/>
      <c r="AJ36" s="147"/>
      <c r="AK36" s="149"/>
    </row>
    <row r="37" spans="6:37" ht="13.5" thickBot="1" x14ac:dyDescent="0.25">
      <c r="F37" s="191" t="s">
        <v>21</v>
      </c>
      <c r="G37" s="192" t="s">
        <v>84</v>
      </c>
      <c r="H37" s="193" t="s">
        <v>85</v>
      </c>
      <c r="I37" s="194" t="s">
        <v>86</v>
      </c>
      <c r="J37" s="195" t="s">
        <v>87</v>
      </c>
      <c r="K37" s="196" t="s">
        <v>88</v>
      </c>
      <c r="L37" s="197" t="s">
        <v>89</v>
      </c>
      <c r="M37" s="198" t="s">
        <v>90</v>
      </c>
      <c r="N37" s="193" t="s">
        <v>91</v>
      </c>
      <c r="O37" s="194" t="s">
        <v>92</v>
      </c>
      <c r="P37" s="195" t="s">
        <v>93</v>
      </c>
      <c r="Q37" s="196" t="s">
        <v>94</v>
      </c>
      <c r="R37" s="197" t="s">
        <v>95</v>
      </c>
      <c r="S37" s="199" t="s">
        <v>16</v>
      </c>
      <c r="T37" s="200" t="s">
        <v>21</v>
      </c>
      <c r="U37" s="201" t="s">
        <v>84</v>
      </c>
      <c r="V37" s="202" t="s">
        <v>85</v>
      </c>
      <c r="W37" s="203" t="s">
        <v>86</v>
      </c>
      <c r="X37" s="204" t="s">
        <v>87</v>
      </c>
      <c r="Y37" s="205" t="s">
        <v>88</v>
      </c>
      <c r="Z37" s="206" t="s">
        <v>89</v>
      </c>
      <c r="AA37" s="207" t="s">
        <v>90</v>
      </c>
      <c r="AB37" s="202" t="s">
        <v>91</v>
      </c>
      <c r="AC37" s="203" t="s">
        <v>92</v>
      </c>
      <c r="AD37" s="204" t="s">
        <v>93</v>
      </c>
      <c r="AE37" s="205" t="s">
        <v>94</v>
      </c>
      <c r="AF37" s="206" t="s">
        <v>95</v>
      </c>
      <c r="AG37" s="208" t="s">
        <v>16</v>
      </c>
      <c r="AH37" s="147"/>
      <c r="AI37" s="148"/>
      <c r="AJ37" s="147"/>
      <c r="AK37" s="149"/>
    </row>
    <row r="38" spans="6:37" ht="12.75" x14ac:dyDescent="0.2">
      <c r="F38" s="209" t="s">
        <v>32</v>
      </c>
      <c r="G38" s="210">
        <v>0</v>
      </c>
      <c r="H38" s="211">
        <v>0</v>
      </c>
      <c r="I38" s="211">
        <v>0</v>
      </c>
      <c r="J38" s="211">
        <v>0</v>
      </c>
      <c r="K38" s="211">
        <v>0</v>
      </c>
      <c r="L38" s="211">
        <v>0</v>
      </c>
      <c r="M38" s="211">
        <v>0</v>
      </c>
      <c r="N38" s="211">
        <v>0</v>
      </c>
      <c r="O38" s="211">
        <v>0</v>
      </c>
      <c r="P38" s="211">
        <v>0</v>
      </c>
      <c r="Q38" s="211">
        <v>0</v>
      </c>
      <c r="R38" s="211">
        <v>0</v>
      </c>
      <c r="S38" s="212">
        <v>0</v>
      </c>
      <c r="T38" s="213" t="s">
        <v>32</v>
      </c>
      <c r="U38" s="210">
        <v>0</v>
      </c>
      <c r="V38" s="211">
        <v>0</v>
      </c>
      <c r="W38" s="211">
        <v>0</v>
      </c>
      <c r="X38" s="211">
        <v>0</v>
      </c>
      <c r="Y38" s="211">
        <v>0</v>
      </c>
      <c r="Z38" s="211">
        <v>0</v>
      </c>
      <c r="AA38" s="211">
        <v>0</v>
      </c>
      <c r="AB38" s="211">
        <v>0</v>
      </c>
      <c r="AC38" s="211">
        <v>0</v>
      </c>
      <c r="AD38" s="211">
        <v>0</v>
      </c>
      <c r="AE38" s="211">
        <v>0</v>
      </c>
      <c r="AF38" s="211">
        <v>0</v>
      </c>
      <c r="AG38" s="212">
        <v>0</v>
      </c>
      <c r="AH38" s="147"/>
      <c r="AI38" s="148"/>
      <c r="AJ38" s="147"/>
      <c r="AK38" s="149"/>
    </row>
    <row r="39" spans="6:37" ht="12.75" x14ac:dyDescent="0.2">
      <c r="F39" s="214" t="s">
        <v>33</v>
      </c>
      <c r="G39" s="215">
        <f ca="1">H2</f>
        <v>0</v>
      </c>
      <c r="H39" s="216">
        <f ca="1">H3</f>
        <v>0</v>
      </c>
      <c r="I39" s="216">
        <f ca="1">H4</f>
        <v>0</v>
      </c>
      <c r="J39" s="216">
        <f ca="1">H5</f>
        <v>0</v>
      </c>
      <c r="K39" s="216">
        <f ca="1">H6</f>
        <v>0</v>
      </c>
      <c r="L39" s="216">
        <f ca="1">H7</f>
        <v>0</v>
      </c>
      <c r="M39" s="216">
        <f ca="1">H8</f>
        <v>0</v>
      </c>
      <c r="N39" s="216">
        <f ca="1">H9</f>
        <v>0</v>
      </c>
      <c r="O39" s="216">
        <f ca="1">H10</f>
        <v>0</v>
      </c>
      <c r="P39" s="216">
        <f ca="1">H11</f>
        <v>0</v>
      </c>
      <c r="Q39" s="216">
        <f ca="1">H12</f>
        <v>0</v>
      </c>
      <c r="R39" s="216">
        <f ca="1">H13</f>
        <v>0</v>
      </c>
      <c r="S39" s="217">
        <f ca="1">H14</f>
        <v>0</v>
      </c>
      <c r="T39" s="218" t="s">
        <v>33</v>
      </c>
      <c r="U39" s="215">
        <f>AF2</f>
        <v>0</v>
      </c>
      <c r="V39" s="216">
        <f>AF3</f>
        <v>0</v>
      </c>
      <c r="W39" s="216">
        <f>AF4</f>
        <v>0</v>
      </c>
      <c r="X39" s="216">
        <f>AF5</f>
        <v>0</v>
      </c>
      <c r="Y39" s="216">
        <f>AF6</f>
        <v>0</v>
      </c>
      <c r="Z39" s="216">
        <f>AF7</f>
        <v>0</v>
      </c>
      <c r="AA39" s="216">
        <f>AF8</f>
        <v>0</v>
      </c>
      <c r="AB39" s="216">
        <f>AF9</f>
        <v>0</v>
      </c>
      <c r="AC39" s="216">
        <f>AF10</f>
        <v>0</v>
      </c>
      <c r="AD39" s="216">
        <f>AF11</f>
        <v>0</v>
      </c>
      <c r="AE39" s="216">
        <f>AF12</f>
        <v>0</v>
      </c>
      <c r="AF39" s="216">
        <f>AF13</f>
        <v>0</v>
      </c>
      <c r="AG39" s="217">
        <f>AF14</f>
        <v>0</v>
      </c>
      <c r="AH39" s="147"/>
      <c r="AI39" s="148"/>
      <c r="AJ39" s="147"/>
      <c r="AK39" s="149"/>
    </row>
    <row r="40" spans="6:37" ht="12.75" x14ac:dyDescent="0.2">
      <c r="F40" s="214" t="s">
        <v>34</v>
      </c>
      <c r="G40" s="215">
        <f ca="1">J2</f>
        <v>0</v>
      </c>
      <c r="H40" s="216">
        <f ca="1">J3</f>
        <v>0</v>
      </c>
      <c r="I40" s="216">
        <f ca="1">J4</f>
        <v>0</v>
      </c>
      <c r="J40" s="216">
        <f ca="1">J5</f>
        <v>0</v>
      </c>
      <c r="K40" s="216">
        <f ca="1">J6</f>
        <v>0</v>
      </c>
      <c r="L40" s="216">
        <f ca="1">J7</f>
        <v>0</v>
      </c>
      <c r="M40" s="216">
        <f ca="1">J8</f>
        <v>0</v>
      </c>
      <c r="N40" s="216">
        <f ca="1">J9</f>
        <v>0</v>
      </c>
      <c r="O40" s="216">
        <f ca="1">J10</f>
        <v>0</v>
      </c>
      <c r="P40" s="216">
        <f ca="1">J11</f>
        <v>0</v>
      </c>
      <c r="Q40" s="216">
        <f ca="1">J12</f>
        <v>0</v>
      </c>
      <c r="R40" s="216">
        <f ca="1">J13</f>
        <v>0</v>
      </c>
      <c r="S40" s="217">
        <f ca="1">J14</f>
        <v>0</v>
      </c>
      <c r="T40" s="218" t="s">
        <v>34</v>
      </c>
      <c r="U40" s="215">
        <f>AG2</f>
        <v>0</v>
      </c>
      <c r="V40" s="216">
        <f>AG3</f>
        <v>0</v>
      </c>
      <c r="W40" s="216">
        <f>AG4</f>
        <v>0</v>
      </c>
      <c r="X40" s="216">
        <f>AG5</f>
        <v>0</v>
      </c>
      <c r="Y40" s="216">
        <f>AG6</f>
        <v>0</v>
      </c>
      <c r="Z40" s="216">
        <f>AG7</f>
        <v>0</v>
      </c>
      <c r="AA40" s="216">
        <f>AG8</f>
        <v>0</v>
      </c>
      <c r="AB40" s="216">
        <f>AG9</f>
        <v>0</v>
      </c>
      <c r="AC40" s="216">
        <f>AG10</f>
        <v>0</v>
      </c>
      <c r="AD40" s="216">
        <f>AG11</f>
        <v>0</v>
      </c>
      <c r="AE40" s="216">
        <f>AG12</f>
        <v>0</v>
      </c>
      <c r="AF40" s="216">
        <f>AG13</f>
        <v>0</v>
      </c>
      <c r="AG40" s="217">
        <f>AG14</f>
        <v>0</v>
      </c>
      <c r="AH40" s="147"/>
      <c r="AI40" s="148"/>
      <c r="AJ40" s="147"/>
      <c r="AK40" s="149"/>
    </row>
    <row r="41" spans="6:37" ht="12.75" x14ac:dyDescent="0.2">
      <c r="F41" s="214" t="s">
        <v>35</v>
      </c>
      <c r="G41" s="215">
        <f ca="1">L2</f>
        <v>0</v>
      </c>
      <c r="H41" s="216">
        <f ca="1">L3</f>
        <v>0</v>
      </c>
      <c r="I41" s="216">
        <f ca="1">L4</f>
        <v>0</v>
      </c>
      <c r="J41" s="216">
        <f ca="1">L5</f>
        <v>0</v>
      </c>
      <c r="K41" s="216">
        <f ca="1">L6</f>
        <v>0</v>
      </c>
      <c r="L41" s="216">
        <f ca="1">L7</f>
        <v>0</v>
      </c>
      <c r="M41" s="216">
        <f ca="1">L8</f>
        <v>0</v>
      </c>
      <c r="N41" s="216">
        <f ca="1">L9</f>
        <v>0</v>
      </c>
      <c r="O41" s="216">
        <f ca="1">L10</f>
        <v>0</v>
      </c>
      <c r="P41" s="216">
        <f ca="1">L11</f>
        <v>0</v>
      </c>
      <c r="Q41" s="216">
        <f ca="1">L12</f>
        <v>0</v>
      </c>
      <c r="R41" s="216">
        <f ca="1">L13</f>
        <v>0</v>
      </c>
      <c r="S41" s="217">
        <f ca="1">L14</f>
        <v>0</v>
      </c>
      <c r="T41" s="218" t="s">
        <v>35</v>
      </c>
      <c r="U41" s="215">
        <f>AH2</f>
        <v>0</v>
      </c>
      <c r="V41" s="216">
        <f>AH3</f>
        <v>0</v>
      </c>
      <c r="W41" s="216">
        <f>AH4</f>
        <v>0</v>
      </c>
      <c r="X41" s="216">
        <f>AH5</f>
        <v>0</v>
      </c>
      <c r="Y41" s="216">
        <f>AH6</f>
        <v>0</v>
      </c>
      <c r="Z41" s="216">
        <f>AH7</f>
        <v>0</v>
      </c>
      <c r="AA41" s="216">
        <f>AH8</f>
        <v>0</v>
      </c>
      <c r="AB41" s="216">
        <f>AH9</f>
        <v>0</v>
      </c>
      <c r="AC41" s="216">
        <f>AH10</f>
        <v>0</v>
      </c>
      <c r="AD41" s="216">
        <f>AH11</f>
        <v>0</v>
      </c>
      <c r="AE41" s="216">
        <f>AH12</f>
        <v>0</v>
      </c>
      <c r="AF41" s="216">
        <f>AH13</f>
        <v>0</v>
      </c>
      <c r="AG41" s="217">
        <f>AH14</f>
        <v>0</v>
      </c>
      <c r="AH41" s="147"/>
      <c r="AI41" s="148"/>
      <c r="AJ41" s="147"/>
      <c r="AK41" s="149"/>
    </row>
    <row r="42" spans="6:37" ht="12.75" x14ac:dyDescent="0.2">
      <c r="F42" s="214" t="s">
        <v>36</v>
      </c>
      <c r="G42" s="215">
        <f ca="1">N2</f>
        <v>0</v>
      </c>
      <c r="H42" s="216">
        <f ca="1">N3</f>
        <v>0</v>
      </c>
      <c r="I42" s="216">
        <f ca="1">N4</f>
        <v>0</v>
      </c>
      <c r="J42" s="216">
        <f ca="1">N5</f>
        <v>0</v>
      </c>
      <c r="K42" s="216">
        <f ca="1">N6</f>
        <v>0</v>
      </c>
      <c r="L42" s="216">
        <f ca="1">N7</f>
        <v>0</v>
      </c>
      <c r="M42" s="216">
        <f ca="1">N8</f>
        <v>0</v>
      </c>
      <c r="N42" s="216">
        <f ca="1">N9</f>
        <v>0</v>
      </c>
      <c r="O42" s="216">
        <f ca="1">N10</f>
        <v>0</v>
      </c>
      <c r="P42" s="216">
        <f ca="1">N11</f>
        <v>0</v>
      </c>
      <c r="Q42" s="216">
        <f ca="1">N12</f>
        <v>0</v>
      </c>
      <c r="R42" s="216">
        <f ca="1">N13</f>
        <v>0</v>
      </c>
      <c r="S42" s="217">
        <f ca="1">N14</f>
        <v>0</v>
      </c>
      <c r="T42" s="218" t="s">
        <v>36</v>
      </c>
      <c r="U42" s="215">
        <f>AI2</f>
        <v>0</v>
      </c>
      <c r="V42" s="216">
        <f>AI3</f>
        <v>0</v>
      </c>
      <c r="W42" s="216">
        <f>AI4</f>
        <v>0</v>
      </c>
      <c r="X42" s="216">
        <f>AI5</f>
        <v>0</v>
      </c>
      <c r="Y42" s="216">
        <f>AI6</f>
        <v>0</v>
      </c>
      <c r="Z42" s="216">
        <f>AI7</f>
        <v>0</v>
      </c>
      <c r="AA42" s="216">
        <f>AI8</f>
        <v>0</v>
      </c>
      <c r="AB42" s="216">
        <f>AI9</f>
        <v>0</v>
      </c>
      <c r="AC42" s="216">
        <f>AI10</f>
        <v>0</v>
      </c>
      <c r="AD42" s="216">
        <f>AI11</f>
        <v>0</v>
      </c>
      <c r="AE42" s="216">
        <f>AI12</f>
        <v>0</v>
      </c>
      <c r="AF42" s="216">
        <f>AI13</f>
        <v>0</v>
      </c>
      <c r="AG42" s="217">
        <f>AI14</f>
        <v>0</v>
      </c>
      <c r="AH42" s="147"/>
      <c r="AI42" s="148"/>
      <c r="AJ42" s="147"/>
      <c r="AK42" s="149"/>
    </row>
    <row r="43" spans="6:37" ht="12.75" x14ac:dyDescent="0.2">
      <c r="F43" s="214" t="s">
        <v>37</v>
      </c>
      <c r="G43" s="215">
        <f ca="1">P2</f>
        <v>0</v>
      </c>
      <c r="H43" s="216">
        <f ca="1">P3</f>
        <v>0</v>
      </c>
      <c r="I43" s="216">
        <f ca="1">P4</f>
        <v>0</v>
      </c>
      <c r="J43" s="216">
        <f ca="1">P5</f>
        <v>0</v>
      </c>
      <c r="K43" s="216">
        <f ca="1">P6</f>
        <v>0</v>
      </c>
      <c r="L43" s="216">
        <f ca="1">P7</f>
        <v>0</v>
      </c>
      <c r="M43" s="216">
        <f ca="1">P8</f>
        <v>0</v>
      </c>
      <c r="N43" s="216">
        <f ca="1">P9</f>
        <v>0</v>
      </c>
      <c r="O43" s="216">
        <f ca="1">P10</f>
        <v>0</v>
      </c>
      <c r="P43" s="216">
        <f ca="1">P11</f>
        <v>0</v>
      </c>
      <c r="Q43" s="216">
        <f ca="1">P12</f>
        <v>0</v>
      </c>
      <c r="R43" s="216">
        <f ca="1">P13</f>
        <v>0</v>
      </c>
      <c r="S43" s="217">
        <f ca="1">P14</f>
        <v>0</v>
      </c>
      <c r="T43" s="218" t="s">
        <v>37</v>
      </c>
      <c r="U43" s="215">
        <f>AJ2</f>
        <v>0</v>
      </c>
      <c r="V43" s="216">
        <f>AJ3</f>
        <v>0</v>
      </c>
      <c r="W43" s="216">
        <f>AJ4</f>
        <v>0</v>
      </c>
      <c r="X43" s="216">
        <f>AJ5</f>
        <v>0</v>
      </c>
      <c r="Y43" s="216">
        <f>AJ6</f>
        <v>0</v>
      </c>
      <c r="Z43" s="216">
        <f>AJ7</f>
        <v>0</v>
      </c>
      <c r="AA43" s="216">
        <f>AJ8</f>
        <v>0</v>
      </c>
      <c r="AB43" s="216">
        <f>AJ9</f>
        <v>0</v>
      </c>
      <c r="AC43" s="216">
        <f>AJ10</f>
        <v>0</v>
      </c>
      <c r="AD43" s="216">
        <f>AJ11</f>
        <v>0</v>
      </c>
      <c r="AE43" s="216">
        <f>AJ12</f>
        <v>0</v>
      </c>
      <c r="AF43" s="216">
        <f>AJ13</f>
        <v>0</v>
      </c>
      <c r="AG43" s="217">
        <f>AJ14</f>
        <v>0</v>
      </c>
      <c r="AH43" s="147"/>
      <c r="AI43" s="148"/>
      <c r="AJ43" s="147"/>
      <c r="AK43" s="149"/>
    </row>
    <row r="44" spans="6:37" ht="12.75" x14ac:dyDescent="0.2">
      <c r="F44" s="214" t="s">
        <v>38</v>
      </c>
      <c r="G44" s="215">
        <f ca="1">R2</f>
        <v>0</v>
      </c>
      <c r="H44" s="216">
        <f ca="1">R3</f>
        <v>0</v>
      </c>
      <c r="I44" s="216">
        <f ca="1">R4</f>
        <v>0</v>
      </c>
      <c r="J44" s="216">
        <f ca="1">R5</f>
        <v>0</v>
      </c>
      <c r="K44" s="216">
        <f ca="1">R6</f>
        <v>0</v>
      </c>
      <c r="L44" s="216">
        <f ca="1">R7</f>
        <v>0</v>
      </c>
      <c r="M44" s="216">
        <f ca="1">R8</f>
        <v>0</v>
      </c>
      <c r="N44" s="216">
        <f ca="1">R9</f>
        <v>0</v>
      </c>
      <c r="O44" s="216">
        <f ca="1">R10</f>
        <v>0</v>
      </c>
      <c r="P44" s="216">
        <f ca="1">R11</f>
        <v>0</v>
      </c>
      <c r="Q44" s="216">
        <f ca="1">R12</f>
        <v>0</v>
      </c>
      <c r="R44" s="216">
        <f ca="1">R13</f>
        <v>0</v>
      </c>
      <c r="S44" s="217">
        <f ca="1">R14</f>
        <v>0</v>
      </c>
      <c r="T44" s="218" t="s">
        <v>38</v>
      </c>
      <c r="U44" s="215">
        <f>AK2</f>
        <v>0</v>
      </c>
      <c r="V44" s="216">
        <f>AK3</f>
        <v>0</v>
      </c>
      <c r="W44" s="216">
        <f>AK4</f>
        <v>0</v>
      </c>
      <c r="X44" s="216">
        <f>AK5</f>
        <v>0</v>
      </c>
      <c r="Y44" s="216">
        <f>AK6</f>
        <v>0</v>
      </c>
      <c r="Z44" s="216">
        <f>AK7</f>
        <v>0</v>
      </c>
      <c r="AA44" s="216">
        <f>AK8</f>
        <v>0</v>
      </c>
      <c r="AB44" s="216">
        <f>AK9</f>
        <v>0</v>
      </c>
      <c r="AC44" s="216">
        <f>AK10</f>
        <v>0</v>
      </c>
      <c r="AD44" s="216">
        <f>AK11</f>
        <v>0</v>
      </c>
      <c r="AE44" s="216">
        <f>AK12</f>
        <v>0</v>
      </c>
      <c r="AF44" s="216">
        <f>AK13</f>
        <v>0</v>
      </c>
      <c r="AG44" s="217">
        <f>AK14</f>
        <v>0</v>
      </c>
      <c r="AH44" s="147"/>
      <c r="AI44" s="148"/>
      <c r="AJ44" s="147"/>
      <c r="AK44" s="149"/>
    </row>
    <row r="45" spans="6:37" ht="12.75" x14ac:dyDescent="0.2">
      <c r="F45" s="214" t="s">
        <v>39</v>
      </c>
      <c r="G45" s="215">
        <f ca="1">T2</f>
        <v>0</v>
      </c>
      <c r="H45" s="216">
        <f ca="1">T3</f>
        <v>0</v>
      </c>
      <c r="I45" s="216">
        <f ca="1">T4</f>
        <v>0</v>
      </c>
      <c r="J45" s="216">
        <f ca="1">T5</f>
        <v>0</v>
      </c>
      <c r="K45" s="216">
        <f ca="1">T6</f>
        <v>0</v>
      </c>
      <c r="L45" s="216">
        <f ca="1">T7</f>
        <v>0</v>
      </c>
      <c r="M45" s="216">
        <f ca="1">T8</f>
        <v>0</v>
      </c>
      <c r="N45" s="216">
        <f ca="1">T9</f>
        <v>0</v>
      </c>
      <c r="O45" s="216">
        <f ca="1">T10</f>
        <v>0</v>
      </c>
      <c r="P45" s="216">
        <f ca="1">T11</f>
        <v>0</v>
      </c>
      <c r="Q45" s="216">
        <f ca="1">T12</f>
        <v>0</v>
      </c>
      <c r="R45" s="216">
        <f ca="1">T13</f>
        <v>0</v>
      </c>
      <c r="S45" s="217">
        <f ca="1">T14</f>
        <v>0</v>
      </c>
      <c r="T45" s="218" t="s">
        <v>39</v>
      </c>
      <c r="U45" s="215">
        <f>AL2</f>
        <v>0</v>
      </c>
      <c r="V45" s="216">
        <f>AL3</f>
        <v>0</v>
      </c>
      <c r="W45" s="216">
        <f>AL4</f>
        <v>0</v>
      </c>
      <c r="X45" s="216">
        <f>AL5</f>
        <v>0</v>
      </c>
      <c r="Y45" s="216">
        <f>AL6</f>
        <v>0</v>
      </c>
      <c r="Z45" s="216">
        <f>AL7</f>
        <v>0</v>
      </c>
      <c r="AA45" s="216">
        <f>AL8</f>
        <v>0</v>
      </c>
      <c r="AB45" s="216">
        <f>AL9</f>
        <v>0</v>
      </c>
      <c r="AC45" s="216">
        <f>AL10</f>
        <v>0</v>
      </c>
      <c r="AD45" s="216">
        <f>AL11</f>
        <v>0</v>
      </c>
      <c r="AE45" s="216">
        <f>AL12</f>
        <v>0</v>
      </c>
      <c r="AF45" s="216">
        <f>AL13</f>
        <v>0</v>
      </c>
      <c r="AG45" s="217">
        <f>AL14</f>
        <v>0</v>
      </c>
      <c r="AH45" s="147"/>
      <c r="AI45" s="148"/>
      <c r="AJ45" s="147"/>
      <c r="AK45" s="149"/>
    </row>
    <row r="46" spans="6:37" ht="12.75" x14ac:dyDescent="0.2">
      <c r="F46" s="214" t="s">
        <v>40</v>
      </c>
      <c r="G46" s="215">
        <f ca="1">V2</f>
        <v>0</v>
      </c>
      <c r="H46" s="216">
        <f ca="1">V3</f>
        <v>0</v>
      </c>
      <c r="I46" s="216">
        <f ca="1">V4</f>
        <v>0</v>
      </c>
      <c r="J46" s="216">
        <f ca="1">V5</f>
        <v>0</v>
      </c>
      <c r="K46" s="216">
        <f ca="1">V6</f>
        <v>0</v>
      </c>
      <c r="L46" s="216">
        <f ca="1">V7</f>
        <v>0</v>
      </c>
      <c r="M46" s="216">
        <f ca="1">V8</f>
        <v>0</v>
      </c>
      <c r="N46" s="216">
        <f ca="1">V9</f>
        <v>0</v>
      </c>
      <c r="O46" s="216">
        <f ca="1">V10</f>
        <v>0</v>
      </c>
      <c r="P46" s="216">
        <f ca="1">V11</f>
        <v>0</v>
      </c>
      <c r="Q46" s="216">
        <f ca="1">V12</f>
        <v>0</v>
      </c>
      <c r="R46" s="216">
        <f ca="1">V13</f>
        <v>0</v>
      </c>
      <c r="S46" s="217">
        <f ca="1">V14</f>
        <v>0</v>
      </c>
      <c r="T46" s="218" t="s">
        <v>40</v>
      </c>
      <c r="U46" s="215">
        <f>AM2</f>
        <v>0</v>
      </c>
      <c r="V46" s="216">
        <f>AM3</f>
        <v>0</v>
      </c>
      <c r="W46" s="216">
        <f>AM4</f>
        <v>0</v>
      </c>
      <c r="X46" s="216">
        <f>AM5</f>
        <v>0</v>
      </c>
      <c r="Y46" s="216">
        <f>AM6</f>
        <v>0</v>
      </c>
      <c r="Z46" s="216">
        <f>AM7</f>
        <v>0</v>
      </c>
      <c r="AA46" s="216">
        <f>AM8</f>
        <v>0</v>
      </c>
      <c r="AB46" s="216">
        <f>AM9</f>
        <v>0</v>
      </c>
      <c r="AC46" s="216">
        <f>AM10</f>
        <v>0</v>
      </c>
      <c r="AD46" s="216">
        <f>AM11</f>
        <v>0</v>
      </c>
      <c r="AE46" s="216">
        <f>AM12</f>
        <v>0</v>
      </c>
      <c r="AF46" s="216">
        <f>AM13</f>
        <v>0</v>
      </c>
      <c r="AG46" s="217">
        <f>AM14</f>
        <v>0</v>
      </c>
      <c r="AH46" s="147"/>
      <c r="AI46" s="148"/>
      <c r="AJ46" s="147"/>
      <c r="AK46" s="149"/>
    </row>
    <row r="47" spans="6:37" ht="12.75" x14ac:dyDescent="0.2">
      <c r="F47" s="214" t="s">
        <v>41</v>
      </c>
      <c r="G47" s="215">
        <f ca="1">X2</f>
        <v>0</v>
      </c>
      <c r="H47" s="216">
        <f ca="1">X3</f>
        <v>0</v>
      </c>
      <c r="I47" s="216">
        <f ca="1">X4</f>
        <v>0</v>
      </c>
      <c r="J47" s="216">
        <f ca="1">X5</f>
        <v>0</v>
      </c>
      <c r="K47" s="216">
        <f ca="1">X6</f>
        <v>0</v>
      </c>
      <c r="L47" s="216">
        <f ca="1">X7</f>
        <v>0</v>
      </c>
      <c r="M47" s="216">
        <f ca="1">X8</f>
        <v>0</v>
      </c>
      <c r="N47" s="216">
        <f ca="1">X9</f>
        <v>0</v>
      </c>
      <c r="O47" s="216">
        <f ca="1">X10</f>
        <v>0</v>
      </c>
      <c r="P47" s="216">
        <f ca="1">X11</f>
        <v>0</v>
      </c>
      <c r="Q47" s="216">
        <f ca="1">X12</f>
        <v>0</v>
      </c>
      <c r="R47" s="216">
        <f ca="1">X13</f>
        <v>0</v>
      </c>
      <c r="S47" s="217">
        <f ca="1">X14</f>
        <v>0</v>
      </c>
      <c r="T47" s="218" t="s">
        <v>41</v>
      </c>
      <c r="U47" s="215">
        <f>AN2</f>
        <v>0</v>
      </c>
      <c r="V47" s="216">
        <f>AN3</f>
        <v>0</v>
      </c>
      <c r="W47" s="216">
        <f>AN4</f>
        <v>0</v>
      </c>
      <c r="X47" s="216">
        <f>AN5</f>
        <v>0</v>
      </c>
      <c r="Y47" s="216">
        <f>AN6</f>
        <v>0</v>
      </c>
      <c r="Z47" s="216">
        <f>AN7</f>
        <v>0</v>
      </c>
      <c r="AA47" s="216">
        <f>AN8</f>
        <v>0</v>
      </c>
      <c r="AB47" s="216">
        <f>AN9</f>
        <v>0</v>
      </c>
      <c r="AC47" s="216">
        <f>AN10</f>
        <v>0</v>
      </c>
      <c r="AD47" s="216">
        <f>AN11</f>
        <v>0</v>
      </c>
      <c r="AE47" s="216">
        <f>AN12</f>
        <v>0</v>
      </c>
      <c r="AF47" s="216">
        <f>AN13</f>
        <v>0</v>
      </c>
      <c r="AG47" s="217">
        <f>AN14</f>
        <v>0</v>
      </c>
      <c r="AH47" s="150"/>
      <c r="AI47" s="142"/>
      <c r="AJ47" s="150"/>
      <c r="AK47" s="151"/>
    </row>
    <row r="48" spans="6:37" ht="12.75" x14ac:dyDescent="0.2">
      <c r="F48" s="214" t="s">
        <v>42</v>
      </c>
      <c r="G48" s="215">
        <f ca="1">Z2</f>
        <v>0</v>
      </c>
      <c r="H48" s="216">
        <f ca="1">Z3</f>
        <v>0</v>
      </c>
      <c r="I48" s="216">
        <f ca="1">Z4</f>
        <v>0</v>
      </c>
      <c r="J48" s="216">
        <f ca="1">Z5</f>
        <v>0</v>
      </c>
      <c r="K48" s="216">
        <f ca="1">Z6</f>
        <v>0</v>
      </c>
      <c r="L48" s="216">
        <f ca="1">Z7</f>
        <v>0</v>
      </c>
      <c r="M48" s="216">
        <f ca="1">Z8</f>
        <v>0</v>
      </c>
      <c r="N48" s="216">
        <f ca="1">Z9</f>
        <v>0</v>
      </c>
      <c r="O48" s="216">
        <f ca="1">Z10</f>
        <v>0</v>
      </c>
      <c r="P48" s="216">
        <f ca="1">Z11</f>
        <v>0</v>
      </c>
      <c r="Q48" s="216">
        <f ca="1">Z12</f>
        <v>0</v>
      </c>
      <c r="R48" s="216">
        <f ca="1">Z13</f>
        <v>0</v>
      </c>
      <c r="S48" s="217">
        <f ca="1">Z14</f>
        <v>0</v>
      </c>
      <c r="T48" s="218" t="s">
        <v>42</v>
      </c>
      <c r="U48" s="215">
        <f>AO2</f>
        <v>0</v>
      </c>
      <c r="V48" s="216">
        <f>AO3</f>
        <v>0</v>
      </c>
      <c r="W48" s="216">
        <f>AO4</f>
        <v>0</v>
      </c>
      <c r="X48" s="216">
        <f>AO5</f>
        <v>0</v>
      </c>
      <c r="Y48" s="216">
        <f>AO6</f>
        <v>0</v>
      </c>
      <c r="Z48" s="216">
        <f>AO7</f>
        <v>0</v>
      </c>
      <c r="AA48" s="216">
        <f>AO8</f>
        <v>0</v>
      </c>
      <c r="AB48" s="216">
        <f>AO9</f>
        <v>0</v>
      </c>
      <c r="AC48" s="216">
        <f>AO10</f>
        <v>0</v>
      </c>
      <c r="AD48" s="216">
        <f>AO11</f>
        <v>0</v>
      </c>
      <c r="AE48" s="216">
        <f>AO12</f>
        <v>0</v>
      </c>
      <c r="AF48" s="216">
        <f>AO13</f>
        <v>0</v>
      </c>
      <c r="AG48" s="217">
        <f>AO14</f>
        <v>0</v>
      </c>
      <c r="AH48" s="150"/>
      <c r="AI48" s="142"/>
      <c r="AJ48" s="150"/>
      <c r="AK48" s="151"/>
    </row>
    <row r="49" spans="6:37" ht="12.75" x14ac:dyDescent="0.2">
      <c r="F49" s="219" t="s">
        <v>43</v>
      </c>
      <c r="G49" s="220">
        <f ca="1">AB2</f>
        <v>0</v>
      </c>
      <c r="H49" s="221">
        <f ca="1">AB3</f>
        <v>0</v>
      </c>
      <c r="I49" s="221">
        <f ca="1">AB4</f>
        <v>0</v>
      </c>
      <c r="J49" s="221">
        <f ca="1">AB5</f>
        <v>0</v>
      </c>
      <c r="K49" s="221">
        <f ca="1">AB6</f>
        <v>0</v>
      </c>
      <c r="L49" s="221">
        <f ca="1">AB7</f>
        <v>0</v>
      </c>
      <c r="M49" s="221">
        <f ca="1">AB8</f>
        <v>0</v>
      </c>
      <c r="N49" s="221">
        <f ca="1">AB9</f>
        <v>0</v>
      </c>
      <c r="O49" s="221">
        <f ca="1">AB10</f>
        <v>0</v>
      </c>
      <c r="P49" s="221">
        <f ca="1">AB11</f>
        <v>0</v>
      </c>
      <c r="Q49" s="221">
        <f ca="1">AB12</f>
        <v>0</v>
      </c>
      <c r="R49" s="221">
        <f ca="1">AB13</f>
        <v>0</v>
      </c>
      <c r="S49" s="222">
        <f ca="1">AB14</f>
        <v>0</v>
      </c>
      <c r="T49" s="223" t="s">
        <v>43</v>
      </c>
      <c r="U49" s="220">
        <f>AP2</f>
        <v>0</v>
      </c>
      <c r="V49" s="221">
        <f>AP3</f>
        <v>0</v>
      </c>
      <c r="W49" s="221">
        <f>AP4</f>
        <v>0</v>
      </c>
      <c r="X49" s="221">
        <f>AP5</f>
        <v>0</v>
      </c>
      <c r="Y49" s="221">
        <f>AP6</f>
        <v>0</v>
      </c>
      <c r="Z49" s="221">
        <f>AP7</f>
        <v>0</v>
      </c>
      <c r="AA49" s="221">
        <f>AP8</f>
        <v>0</v>
      </c>
      <c r="AB49" s="221">
        <f>AP9</f>
        <v>0</v>
      </c>
      <c r="AC49" s="221">
        <f>AP10</f>
        <v>0</v>
      </c>
      <c r="AD49" s="221">
        <f>AP11</f>
        <v>0</v>
      </c>
      <c r="AE49" s="221">
        <f>AP12</f>
        <v>0</v>
      </c>
      <c r="AF49" s="221">
        <f>AP13</f>
        <v>0</v>
      </c>
      <c r="AG49" s="222">
        <f>AP14</f>
        <v>0</v>
      </c>
      <c r="AH49" s="150"/>
      <c r="AI49" s="142"/>
      <c r="AJ49" s="150"/>
      <c r="AK49" s="151"/>
    </row>
    <row r="50" spans="6:37" ht="13.5" thickBot="1" x14ac:dyDescent="0.25">
      <c r="F50" s="224" t="s">
        <v>44</v>
      </c>
      <c r="G50" s="225">
        <f ca="1">AD2</f>
        <v>0</v>
      </c>
      <c r="H50" s="226">
        <f ca="1">AD3</f>
        <v>0</v>
      </c>
      <c r="I50" s="226">
        <f ca="1">AD4</f>
        <v>0</v>
      </c>
      <c r="J50" s="226">
        <f ca="1">AD5</f>
        <v>0</v>
      </c>
      <c r="K50" s="226">
        <f ca="1">AD6</f>
        <v>0</v>
      </c>
      <c r="L50" s="226">
        <f ca="1">AD7</f>
        <v>0</v>
      </c>
      <c r="M50" s="226">
        <f ca="1">AD8</f>
        <v>0</v>
      </c>
      <c r="N50" s="226">
        <f ca="1">AD9</f>
        <v>0</v>
      </c>
      <c r="O50" s="226">
        <f ca="1">AD10</f>
        <v>0</v>
      </c>
      <c r="P50" s="226">
        <f ca="1">AD11</f>
        <v>0</v>
      </c>
      <c r="Q50" s="226">
        <f ca="1">AD12</f>
        <v>0</v>
      </c>
      <c r="R50" s="226">
        <f ca="1">AD13</f>
        <v>0</v>
      </c>
      <c r="S50" s="227">
        <f ca="1">AD14</f>
        <v>0</v>
      </c>
      <c r="T50" s="228" t="s">
        <v>44</v>
      </c>
      <c r="U50" s="225">
        <f>AQ2</f>
        <v>0</v>
      </c>
      <c r="V50" s="226">
        <f>AQ3</f>
        <v>0</v>
      </c>
      <c r="W50" s="226">
        <f>AQ4</f>
        <v>0</v>
      </c>
      <c r="X50" s="226">
        <f>AQ5</f>
        <v>0</v>
      </c>
      <c r="Y50" s="226">
        <f>AQ6</f>
        <v>0</v>
      </c>
      <c r="Z50" s="226">
        <f>AQ7</f>
        <v>0</v>
      </c>
      <c r="AA50" s="226">
        <f>AQ8</f>
        <v>0</v>
      </c>
      <c r="AB50" s="226">
        <f>AQ9</f>
        <v>0</v>
      </c>
      <c r="AC50" s="226">
        <f>AQ10</f>
        <v>0</v>
      </c>
      <c r="AD50" s="226">
        <f>AQ11</f>
        <v>0</v>
      </c>
      <c r="AE50" s="226">
        <f>AQ12</f>
        <v>0</v>
      </c>
      <c r="AF50" s="226">
        <f>AQ13</f>
        <v>0</v>
      </c>
      <c r="AG50" s="227">
        <f>AQ14</f>
        <v>0</v>
      </c>
      <c r="AH50" s="152"/>
      <c r="AI50" s="153"/>
      <c r="AJ50" s="152"/>
      <c r="AK50" s="154"/>
    </row>
  </sheetData>
  <mergeCells count="20">
    <mergeCell ref="A14:B14"/>
    <mergeCell ref="Q1:R1"/>
    <mergeCell ref="S1:T1"/>
    <mergeCell ref="U1:V1"/>
    <mergeCell ref="W1:X1"/>
    <mergeCell ref="A1:B1"/>
    <mergeCell ref="C1:E1"/>
    <mergeCell ref="G1:H1"/>
    <mergeCell ref="I1:J1"/>
    <mergeCell ref="K1:L1"/>
    <mergeCell ref="Y1:Z1"/>
    <mergeCell ref="G36:S36"/>
    <mergeCell ref="U36:AG36"/>
    <mergeCell ref="AE15:AQ15"/>
    <mergeCell ref="AA1:AB1"/>
    <mergeCell ref="AC1:AD1"/>
    <mergeCell ref="M1:N1"/>
    <mergeCell ref="O1:P1"/>
    <mergeCell ref="AJ21:AK21"/>
    <mergeCell ref="AH21:AI21"/>
  </mergeCells>
  <phoneticPr fontId="28" type="noConversion"/>
  <conditionalFormatting sqref="D2:D14 H2:H14 J2:J14 L2:L14 N2:N14 P2:P14 R2:R14 T2:T14 V2:V14 X2:X14 Z2:Z14 AB2:AB14 AD2:AD14">
    <cfRule type="cellIs" dxfId="435" priority="1" operator="greaterThan">
      <formula>1</formula>
    </cfRule>
  </conditionalFormatting>
  <conditionalFormatting sqref="E2:E13">
    <cfRule type="dataBar" priority="2">
      <dataBar showValue="0"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{3FDD93BF-BD62-434C-B28B-B55DBDFEDBA1}</x14:id>
        </ext>
      </extLst>
    </cfRule>
  </conditionalFormatting>
  <conditionalFormatting sqref="E14">
    <cfRule type="dataBar" priority="3">
      <dataBar showValue="0">
        <cfvo type="num" val="0"/>
        <cfvo type="num" val="1"/>
        <color theme="4" tint="-0.499984740745262"/>
      </dataBar>
      <extLst>
        <ext xmlns:x14="http://schemas.microsoft.com/office/spreadsheetml/2009/9/main" uri="{B025F937-C7B1-47D3-B67F-A62EFF666E3E}">
          <x14:id>{A914CC1E-FDA3-4754-ACDB-2624EA9E0F4E}</x14:id>
        </ext>
      </extLst>
    </cfRule>
  </conditionalFormatting>
  <conditionalFormatting sqref="I2:AD14">
    <cfRule type="expression" dxfId="434" priority="18">
      <formula>AND(MOD(COLUMN(), 2)=1, I2&lt;G2, NOT(ISBLANK(I2)), NOT(I2=0))</formula>
    </cfRule>
  </conditionalFormatting>
  <pageMargins left="0.7" right="0.7" top="0.75" bottom="0.75" header="0.3" footer="0.3"/>
  <pageSetup paperSize="9" orientation="portrait" r:id="rId1"/>
  <ignoredErrors>
    <ignoredError sqref="H14 I14:J14 K14:L14 M14:N14 O14:P14 Q14:R14 S14:T14 U14:V14 W14:X14 Y14:Z14 AA14:AC1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54" r:id="rId4" name="Button 182">
              <controlPr defaultSize="0" print="0" autoFill="0" autoPict="0" macro="[0]!GenererBoutonsFormesInteractives">
                <anchor moveWithCells="1">
                  <from>
                    <xdr:col>30</xdr:col>
                    <xdr:colOff>238125</xdr:colOff>
                    <xdr:row>31</xdr:row>
                    <xdr:rowOff>9525</xdr:rowOff>
                  </from>
                  <to>
                    <xdr:col>32</xdr:col>
                    <xdr:colOff>28575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locked="0" defaultSize="0" print="0" autoFill="0" autoPict="0" macro="[0]!ImporterParticipationHorairePremierTour">
                <anchor moveWithCells="1">
                  <from>
                    <xdr:col>34</xdr:col>
                    <xdr:colOff>466725</xdr:colOff>
                    <xdr:row>4</xdr:row>
                    <xdr:rowOff>133350</xdr:rowOff>
                  </from>
                  <to>
                    <xdr:col>38</xdr:col>
                    <xdr:colOff>66675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FDD93BF-BD62-434C-B28B-B55DBDFEDBA1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E2:E13</xm:sqref>
        </x14:conditionalFormatting>
        <x14:conditionalFormatting xmlns:xm="http://schemas.microsoft.com/office/excel/2006/main">
          <x14:cfRule type="dataBar" id="{A914CC1E-FDA3-4754-ACDB-2624EA9E0F4E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47D81-9559-4051-82F9-2D259A70BFBA}">
  <sheetPr codeName="Feuil43">
    <tabColor rgb="FFB4A7D6"/>
  </sheetPr>
  <dimension ref="A1:AB82"/>
  <sheetViews>
    <sheetView topLeftCell="A8" zoomScale="80" zoomScaleNormal="80" workbookViewId="0">
      <pane xSplit="2" topLeftCell="C1" activePane="topRight" state="frozen"/>
      <selection pane="topRight" activeCell="O17" sqref="O17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4" width="15.7109375" customWidth="1"/>
    <col min="17" max="17" width="13.42578125" bestFit="1" customWidth="1"/>
    <col min="18" max="18" width="11.42578125" customWidth="1"/>
    <col min="21" max="21" width="10.42578125" customWidth="1"/>
    <col min="22" max="22" width="15.42578125" customWidth="1"/>
    <col min="23" max="23" width="16.140625" customWidth="1"/>
    <col min="24" max="24" width="12" customWidth="1"/>
    <col min="26" max="26" width="13.28515625" customWidth="1"/>
    <col min="27" max="27" width="14.42578125" customWidth="1"/>
  </cols>
  <sheetData>
    <row r="1" spans="1:28" ht="16.5" customHeight="1" thickBot="1" x14ac:dyDescent="0.25">
      <c r="A1" s="308" t="s">
        <v>11</v>
      </c>
      <c r="B1" s="33">
        <f>Synthèse!B17</f>
        <v>46096</v>
      </c>
      <c r="D1" s="307"/>
      <c r="E1" s="432" t="s">
        <v>66</v>
      </c>
      <c r="F1" s="433"/>
      <c r="G1" s="433"/>
      <c r="H1" s="433"/>
      <c r="I1" s="433"/>
      <c r="J1" s="433"/>
      <c r="K1" s="433"/>
      <c r="L1" s="433"/>
      <c r="M1" s="433"/>
      <c r="N1" s="433"/>
      <c r="O1" s="433"/>
      <c r="P1" s="434"/>
      <c r="Q1" s="394" t="s">
        <v>7</v>
      </c>
    </row>
    <row r="2" spans="1:28" ht="39.75" customHeight="1" thickBot="1" x14ac:dyDescent="0.25">
      <c r="A2" s="309" t="s">
        <v>12</v>
      </c>
      <c r="B2" s="34" t="str">
        <f>Synthèse!B18</f>
        <v>Municipales 1er tour</v>
      </c>
      <c r="D2" s="355" t="s">
        <v>82</v>
      </c>
      <c r="E2" s="455" t="str">
        <f>Synthèse!L2</f>
        <v>Candidat 1</v>
      </c>
      <c r="F2" s="399" t="str">
        <f>Synthèse!M2</f>
        <v>Candidat 2</v>
      </c>
      <c r="G2" s="395" t="str">
        <f>Synthèse!N2</f>
        <v>Candidat 3</v>
      </c>
      <c r="H2" s="456" t="str">
        <f>Synthèse!O2</f>
        <v>Candidat 4</v>
      </c>
      <c r="I2" s="457" t="str">
        <f>Synthèse!P2</f>
        <v>Candidat 5</v>
      </c>
      <c r="J2" s="458" t="str">
        <f>Synthèse!Q2</f>
        <v>Candidat 6</v>
      </c>
      <c r="K2" s="459" t="str">
        <f>Synthèse!R2</f>
        <v>Candidat 7</v>
      </c>
      <c r="L2" s="398" t="str">
        <f>Synthèse!S2</f>
        <v>Candidat 8</v>
      </c>
      <c r="M2" s="460" t="str">
        <f>Synthèse!T2</f>
        <v>Candidat 9</v>
      </c>
      <c r="N2" s="461" t="str">
        <f>Synthèse!U2</f>
        <v>Candidat 10</v>
      </c>
      <c r="O2" s="356" t="s">
        <v>3</v>
      </c>
      <c r="P2" s="357" t="s">
        <v>4</v>
      </c>
      <c r="Q2" s="391" t="s">
        <v>104</v>
      </c>
      <c r="V2" s="367" t="s">
        <v>21</v>
      </c>
      <c r="W2" s="368" t="s">
        <v>57</v>
      </c>
      <c r="X2" s="369" t="s">
        <v>31</v>
      </c>
      <c r="Z2" s="370" t="s">
        <v>59</v>
      </c>
      <c r="AA2" s="370" t="s">
        <v>58</v>
      </c>
    </row>
    <row r="3" spans="1:28" ht="20.100000000000001" customHeight="1" thickBot="1" x14ac:dyDescent="0.25">
      <c r="A3" s="310" t="s">
        <v>13</v>
      </c>
      <c r="B3" s="94" t="str">
        <f>Synthèse!B19</f>
        <v>Cogolin</v>
      </c>
      <c r="D3" s="352" cm="1">
        <f t="array" ref="D3">IF(ROW(1:1)&lt;=$K$23, (ROW(1:1)), "")</f>
        <v>1</v>
      </c>
      <c r="E3" s="155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1</v>
      </c>
      <c r="F3" s="155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3</v>
      </c>
      <c r="G3" s="155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23</v>
      </c>
      <c r="H3" s="155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46</v>
      </c>
      <c r="I3" s="155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2</v>
      </c>
      <c r="J3" s="155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5</v>
      </c>
      <c r="K3" s="155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9</v>
      </c>
      <c r="L3" s="155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6</v>
      </c>
      <c r="M3" s="15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170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5</v>
      </c>
      <c r="O3" s="171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172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311">
        <f t="shared" ref="Q3:Q12" si="0">SUM(E3:P3)</f>
        <v>100</v>
      </c>
      <c r="V3" s="343" t="s">
        <v>32</v>
      </c>
      <c r="W3" s="344">
        <v>0</v>
      </c>
      <c r="X3" s="345">
        <f t="shared" ref="X3" si="1">W3/$B$6</f>
        <v>0</v>
      </c>
      <c r="Z3" s="323"/>
      <c r="AA3" s="323"/>
    </row>
    <row r="4" spans="1:28" ht="20.100000000000001" customHeight="1" x14ac:dyDescent="0.2">
      <c r="A4" s="95" t="s">
        <v>23</v>
      </c>
      <c r="B4" s="168">
        <v>0</v>
      </c>
      <c r="D4" s="353" cm="1">
        <f t="array" ref="D4">IF(ROW(2:2)&lt;=$K$23, (ROW(2:2)), "")</f>
        <v>2</v>
      </c>
      <c r="E4" s="156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56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2</v>
      </c>
      <c r="G4" s="156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17</v>
      </c>
      <c r="H4" s="156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59</v>
      </c>
      <c r="I4" s="156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3</v>
      </c>
      <c r="J4" s="156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5</v>
      </c>
      <c r="K4" s="156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9</v>
      </c>
      <c r="L4" s="156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2</v>
      </c>
      <c r="M4" s="15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</v>
      </c>
      <c r="N4" s="156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157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</v>
      </c>
      <c r="P4" s="158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</v>
      </c>
      <c r="Q4" s="311">
        <f t="shared" si="0"/>
        <v>100</v>
      </c>
      <c r="V4" s="346" t="s">
        <v>33</v>
      </c>
      <c r="W4" s="347">
        <v>60</v>
      </c>
      <c r="X4" s="348">
        <f t="shared" ref="X4:X12" si="2">IF(OR(W4=0, W4=""), NA(), W4/$B$6)</f>
        <v>0.11857707509881422</v>
      </c>
      <c r="Z4" s="318" t="s">
        <v>45</v>
      </c>
      <c r="AA4" s="371">
        <f t="shared" ref="AA4:AA13" si="3">IF(W4&lt;&gt;0,W4-W3,NA())</f>
        <v>60</v>
      </c>
    </row>
    <row r="5" spans="1:28" ht="20.100000000000001" customHeight="1" x14ac:dyDescent="0.2">
      <c r="A5" s="96" t="s">
        <v>24</v>
      </c>
      <c r="B5" s="187" t="s">
        <v>96</v>
      </c>
      <c r="D5" s="353" cm="1">
        <f t="array" ref="D5">IF(ROW(3:3)&lt;=$K$23, (ROW(3:3)), "")</f>
        <v>3</v>
      </c>
      <c r="E5" s="156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56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3</v>
      </c>
      <c r="G5" s="156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40</v>
      </c>
      <c r="H5" s="156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30</v>
      </c>
      <c r="I5" s="156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1</v>
      </c>
      <c r="J5" s="156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8</v>
      </c>
      <c r="K5" s="156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6</v>
      </c>
      <c r="L5" s="15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5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5</v>
      </c>
      <c r="N5" s="156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5</v>
      </c>
      <c r="O5" s="173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2</v>
      </c>
      <c r="P5" s="174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311">
        <f t="shared" si="0"/>
        <v>100</v>
      </c>
      <c r="T5" s="231"/>
      <c r="U5" s="232"/>
      <c r="V5" s="346" t="s">
        <v>34</v>
      </c>
      <c r="W5" s="347">
        <v>118</v>
      </c>
      <c r="X5" s="348">
        <f t="shared" si="2"/>
        <v>0.233201581027668</v>
      </c>
      <c r="Z5" s="319" t="s">
        <v>46</v>
      </c>
      <c r="AA5" s="372">
        <f t="shared" si="3"/>
        <v>58</v>
      </c>
    </row>
    <row r="6" spans="1:28" ht="20.100000000000001" customHeight="1" x14ac:dyDescent="0.2">
      <c r="A6" s="96" t="s">
        <v>0</v>
      </c>
      <c r="B6" s="188">
        <v>506</v>
      </c>
      <c r="D6" s="353" cm="1">
        <f t="array" ref="D6">IF(ROW(4:4)&lt;=$K$23, (ROW(4:4)), "")</f>
        <v>4</v>
      </c>
      <c r="E6" s="156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F6" s="156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G6" s="156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36</v>
      </c>
      <c r="H6" s="156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19</v>
      </c>
      <c r="I6" s="156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J6" s="156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8</v>
      </c>
      <c r="K6" s="156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12</v>
      </c>
      <c r="L6" s="15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4</v>
      </c>
      <c r="M6" s="15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7</v>
      </c>
      <c r="N6" s="156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3</v>
      </c>
      <c r="O6" s="173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3</v>
      </c>
      <c r="P6" s="174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Q6" s="311">
        <f t="shared" si="0"/>
        <v>100</v>
      </c>
      <c r="T6" s="231"/>
      <c r="U6" s="232"/>
      <c r="V6" s="346" t="s">
        <v>35</v>
      </c>
      <c r="W6" s="347">
        <v>179</v>
      </c>
      <c r="X6" s="348">
        <f t="shared" si="2"/>
        <v>0.35375494071146246</v>
      </c>
      <c r="Z6" s="319" t="s">
        <v>47</v>
      </c>
      <c r="AA6" s="372">
        <f t="shared" si="3"/>
        <v>61</v>
      </c>
    </row>
    <row r="7" spans="1:28" ht="20.100000000000001" customHeight="1" x14ac:dyDescent="0.2">
      <c r="A7" s="96" t="s">
        <v>2</v>
      </c>
      <c r="B7" s="165">
        <f>MAX(W4:W15)</f>
        <v>440</v>
      </c>
      <c r="D7" s="353" cm="1">
        <f t="array" ref="D7">IF(ROW(5:5)&lt;=$K$23, (ROW(5:5)), "")</f>
        <v>5</v>
      </c>
      <c r="E7" s="156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56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G7" s="156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19</v>
      </c>
      <c r="H7" s="156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12</v>
      </c>
      <c r="I7" s="156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J7" s="156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K7" s="156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L7" s="156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3</v>
      </c>
      <c r="M7" s="15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156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157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2</v>
      </c>
      <c r="P7" s="158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311">
        <f t="shared" si="0"/>
        <v>40</v>
      </c>
      <c r="T7" s="231"/>
      <c r="U7" s="232"/>
      <c r="V7" s="346" t="s">
        <v>36</v>
      </c>
      <c r="W7" s="347">
        <v>235</v>
      </c>
      <c r="X7" s="348">
        <f t="shared" si="2"/>
        <v>0.46442687747035571</v>
      </c>
      <c r="Z7" s="319" t="s">
        <v>54</v>
      </c>
      <c r="AA7" s="372">
        <f t="shared" si="3"/>
        <v>56</v>
      </c>
    </row>
    <row r="8" spans="1:28" ht="20.100000000000001" customHeight="1" x14ac:dyDescent="0.2">
      <c r="A8" s="96" t="s">
        <v>1</v>
      </c>
      <c r="B8" s="166">
        <f>B7</f>
        <v>440</v>
      </c>
      <c r="D8" s="353" t="str" cm="1">
        <f t="array" ref="D8">IF(ROW(6:6)&lt;=$K$23, (ROW(6:6)), "")</f>
        <v/>
      </c>
      <c r="E8" s="156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56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56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56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56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56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56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56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5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156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157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158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311">
        <f t="shared" si="0"/>
        <v>0</v>
      </c>
      <c r="T8" s="231"/>
      <c r="U8" s="232"/>
      <c r="V8" s="346" t="s">
        <v>37</v>
      </c>
      <c r="W8" s="347">
        <v>283</v>
      </c>
      <c r="X8" s="348">
        <f t="shared" si="2"/>
        <v>0.55928853754940711</v>
      </c>
      <c r="Z8" s="319" t="s">
        <v>48</v>
      </c>
      <c r="AA8" s="372">
        <f t="shared" si="3"/>
        <v>48</v>
      </c>
    </row>
    <row r="9" spans="1:28" ht="20.100000000000001" customHeight="1" thickBot="1" x14ac:dyDescent="0.25">
      <c r="A9" s="97" t="s">
        <v>17</v>
      </c>
      <c r="B9" s="167">
        <f>B6-B7</f>
        <v>66</v>
      </c>
      <c r="D9" s="353" t="str" cm="1">
        <f t="array" ref="D9">IF(ROW(7:7)&lt;=$K$23, (ROW(7:7)), "")</f>
        <v/>
      </c>
      <c r="E9" s="156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56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56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56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56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56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56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56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56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156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159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160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311">
        <f t="shared" si="0"/>
        <v>0</v>
      </c>
      <c r="T9" s="231"/>
      <c r="U9" s="232"/>
      <c r="V9" s="346" t="s">
        <v>38</v>
      </c>
      <c r="W9" s="347">
        <v>319</v>
      </c>
      <c r="X9" s="348">
        <f t="shared" si="2"/>
        <v>0.63043478260869568</v>
      </c>
      <c r="Z9" s="319" t="s">
        <v>49</v>
      </c>
      <c r="AA9" s="372">
        <f t="shared" si="3"/>
        <v>36</v>
      </c>
    </row>
    <row r="10" spans="1:28" ht="20.100000000000001" customHeight="1" x14ac:dyDescent="0.2">
      <c r="A10" s="435" t="s">
        <v>60</v>
      </c>
      <c r="B10" s="435"/>
      <c r="D10" s="353" t="str" cm="1">
        <f t="array" ref="D10">IF(ROW(8:8)&lt;=$K$23, (ROW(8:8)), "")</f>
        <v/>
      </c>
      <c r="E10" s="156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56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56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56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56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56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56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56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56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156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159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160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311">
        <f t="shared" si="0"/>
        <v>0</v>
      </c>
      <c r="T10" s="231"/>
      <c r="U10" s="232"/>
      <c r="V10" s="346" t="s">
        <v>39</v>
      </c>
      <c r="W10" s="347">
        <v>350</v>
      </c>
      <c r="X10" s="348">
        <f t="shared" si="2"/>
        <v>0.69169960474308301</v>
      </c>
      <c r="Z10" s="319" t="s">
        <v>50</v>
      </c>
      <c r="AA10" s="372">
        <f t="shared" si="3"/>
        <v>31</v>
      </c>
    </row>
    <row r="11" spans="1:28" ht="20.100000000000001" customHeight="1" x14ac:dyDescent="0.2">
      <c r="A11" s="436"/>
      <c r="B11" s="436"/>
      <c r="D11" s="353" t="str" cm="1">
        <f t="array" ref="D11">IF(ROW(9:9)&lt;=$K$23, (ROW(9:9)), "")</f>
        <v/>
      </c>
      <c r="E11" s="156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56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56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56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56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56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56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56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56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156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159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160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311">
        <f t="shared" si="0"/>
        <v>0</v>
      </c>
      <c r="T11" s="231"/>
      <c r="U11" s="232"/>
      <c r="V11" s="346" t="s">
        <v>40</v>
      </c>
      <c r="W11" s="347">
        <v>380</v>
      </c>
      <c r="X11" s="348">
        <f t="shared" si="2"/>
        <v>0.75098814229249011</v>
      </c>
      <c r="Z11" s="319" t="s">
        <v>51</v>
      </c>
      <c r="AA11" s="372">
        <f t="shared" si="3"/>
        <v>30</v>
      </c>
    </row>
    <row r="12" spans="1:28" ht="20.100000000000001" customHeight="1" thickBot="1" x14ac:dyDescent="0.25">
      <c r="A12" s="437" t="s">
        <v>61</v>
      </c>
      <c r="B12" s="437"/>
      <c r="D12" s="354" t="str" cm="1">
        <f t="array" ref="D12">IF(ROW(10:10)&lt;=$K$23, (ROW(10:10)), "")</f>
        <v/>
      </c>
      <c r="E12" s="156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56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56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56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56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56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56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56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56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156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175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176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311">
        <f t="shared" si="0"/>
        <v>0</v>
      </c>
      <c r="T12" s="231"/>
      <c r="U12" s="232"/>
      <c r="V12" s="346" t="s">
        <v>41</v>
      </c>
      <c r="W12" s="347">
        <v>399</v>
      </c>
      <c r="X12" s="348">
        <f t="shared" si="2"/>
        <v>0.78853754940711462</v>
      </c>
      <c r="Z12" s="319" t="s">
        <v>52</v>
      </c>
      <c r="AA12" s="372">
        <f t="shared" si="3"/>
        <v>19</v>
      </c>
    </row>
    <row r="13" spans="1:28" ht="20.100000000000001" customHeight="1" thickBot="1" x14ac:dyDescent="0.3">
      <c r="A13" s="437"/>
      <c r="B13" s="437"/>
      <c r="D13" s="50" t="s">
        <v>9</v>
      </c>
      <c r="E13" s="161">
        <f t="shared" ref="E13:Q13" si="4">SUM(E3:E12)</f>
        <v>3</v>
      </c>
      <c r="F13" s="162">
        <f t="shared" si="4"/>
        <v>11</v>
      </c>
      <c r="G13" s="162">
        <f t="shared" si="4"/>
        <v>135</v>
      </c>
      <c r="H13" s="162">
        <f t="shared" si="4"/>
        <v>166</v>
      </c>
      <c r="I13" s="162">
        <f t="shared" si="4"/>
        <v>9</v>
      </c>
      <c r="J13" s="162">
        <f t="shared" si="4"/>
        <v>27</v>
      </c>
      <c r="K13" s="162">
        <f t="shared" si="4"/>
        <v>37</v>
      </c>
      <c r="L13" s="162">
        <f t="shared" si="4"/>
        <v>15</v>
      </c>
      <c r="M13" s="162">
        <f t="shared" si="4"/>
        <v>13</v>
      </c>
      <c r="N13" s="162">
        <f t="shared" si="4"/>
        <v>13</v>
      </c>
      <c r="O13" s="163">
        <f t="shared" si="4"/>
        <v>8</v>
      </c>
      <c r="P13" s="164">
        <f t="shared" si="4"/>
        <v>3</v>
      </c>
      <c r="Q13" s="312">
        <f t="shared" si="4"/>
        <v>440</v>
      </c>
      <c r="T13" s="231"/>
      <c r="U13" s="232"/>
      <c r="V13" s="346" t="s">
        <v>42</v>
      </c>
      <c r="W13" s="347">
        <v>440</v>
      </c>
      <c r="X13" s="348">
        <f>IF(OR(W13=0, W13=""), NA(), W13/$B$6)</f>
        <v>0.86956521739130432</v>
      </c>
      <c r="Z13" s="320" t="s">
        <v>53</v>
      </c>
      <c r="AA13" s="373">
        <f t="shared" si="3"/>
        <v>41</v>
      </c>
    </row>
    <row r="14" spans="1:28" ht="20.100000000000001" customHeight="1" thickBot="1" x14ac:dyDescent="0.3">
      <c r="A14" s="437"/>
      <c r="B14" s="437"/>
      <c r="D14" s="83" t="s">
        <v>10</v>
      </c>
      <c r="E14" s="45">
        <f t="shared" ref="E14:Q14" si="5">IFERROR(E13/$B$7,0)</f>
        <v>6.8181818181818179E-3</v>
      </c>
      <c r="F14" s="46">
        <f t="shared" si="5"/>
        <v>2.5000000000000001E-2</v>
      </c>
      <c r="G14" s="46">
        <f t="shared" si="5"/>
        <v>0.30681818181818182</v>
      </c>
      <c r="H14" s="46">
        <f t="shared" si="5"/>
        <v>0.37727272727272726</v>
      </c>
      <c r="I14" s="46">
        <f t="shared" si="5"/>
        <v>2.0454545454545454E-2</v>
      </c>
      <c r="J14" s="46">
        <f t="shared" si="5"/>
        <v>6.1363636363636363E-2</v>
      </c>
      <c r="K14" s="46">
        <f t="shared" si="5"/>
        <v>8.4090909090909091E-2</v>
      </c>
      <c r="L14" s="46">
        <f t="shared" si="5"/>
        <v>3.4090909090909088E-2</v>
      </c>
      <c r="M14" s="46">
        <f t="shared" si="5"/>
        <v>2.9545454545454545E-2</v>
      </c>
      <c r="N14" s="46">
        <f t="shared" si="5"/>
        <v>2.9545454545454545E-2</v>
      </c>
      <c r="O14" s="45">
        <f t="shared" si="5"/>
        <v>1.8181818181818181E-2</v>
      </c>
      <c r="P14" s="47">
        <f t="shared" si="5"/>
        <v>6.8181818181818179E-3</v>
      </c>
      <c r="Q14" s="322">
        <f t="shared" si="5"/>
        <v>1</v>
      </c>
      <c r="V14" s="377" t="s">
        <v>43</v>
      </c>
      <c r="W14" s="349"/>
      <c r="X14" s="350" t="e">
        <f>IF(OR(W14=0, W14=""), NA(), W14/$B$6)</f>
        <v>#N/A</v>
      </c>
      <c r="Y14" s="375"/>
      <c r="Z14" s="379" t="s">
        <v>55</v>
      </c>
      <c r="AA14" s="374" t="e">
        <f>IF(W14&lt;&gt;0,W14-W13,NA())</f>
        <v>#N/A</v>
      </c>
      <c r="AB14" s="375"/>
    </row>
    <row r="15" spans="1:28" ht="18" customHeight="1" thickBot="1" x14ac:dyDescent="0.25">
      <c r="A15" s="438" t="s">
        <v>68</v>
      </c>
      <c r="B15" s="438"/>
      <c r="C15" s="1"/>
      <c r="D15" s="1"/>
      <c r="Q15" s="321"/>
      <c r="V15" s="317" t="s">
        <v>44</v>
      </c>
      <c r="W15" s="351"/>
      <c r="X15" s="376" t="e">
        <f>IF(OR(W15=0, W15=""), NA(), W15/$B$6)</f>
        <v>#N/A</v>
      </c>
      <c r="Z15" s="380" t="s">
        <v>56</v>
      </c>
      <c r="AA15" s="378" t="e">
        <f>IF(W15&lt;&gt;0,W15-W14,NA())</f>
        <v>#N/A</v>
      </c>
      <c r="AB15" s="375"/>
    </row>
    <row r="16" spans="1:28" ht="12.75" customHeight="1" x14ac:dyDescent="0.2">
      <c r="A16" s="438"/>
      <c r="B16" s="438"/>
      <c r="V16" s="321"/>
      <c r="W16" s="321"/>
      <c r="X16" s="321"/>
      <c r="AA16" s="321"/>
    </row>
    <row r="17" spans="1:11" ht="18" customHeight="1" x14ac:dyDescent="0.25">
      <c r="A17" s="438"/>
      <c r="B17" s="438"/>
      <c r="E17" s="230"/>
    </row>
    <row r="18" spans="1:11" ht="26.25" customHeight="1" x14ac:dyDescent="0.2">
      <c r="A18" s="438"/>
      <c r="B18" s="438"/>
    </row>
    <row r="23" spans="1:11" x14ac:dyDescent="0.2">
      <c r="H23" s="177" t="s">
        <v>64</v>
      </c>
      <c r="J23" s="245">
        <f>CEILING($B$6, 100)/100</f>
        <v>6</v>
      </c>
      <c r="K23" s="245">
        <f>CEILING($B$7,100)/100</f>
        <v>5</v>
      </c>
    </row>
    <row r="24" spans="1:11" x14ac:dyDescent="0.2">
      <c r="H24" s="178">
        <f>IF((ROW()-23)&lt;=$K$24,(ROW()-23),"Choisir")</f>
        <v>1</v>
      </c>
      <c r="J24" s="245">
        <f>MOD($B$7,100)</f>
        <v>40</v>
      </c>
      <c r="K24" s="246">
        <f>CEILING($B$6/300,1)</f>
        <v>2</v>
      </c>
    </row>
    <row r="25" spans="1:11" x14ac:dyDescent="0.2">
      <c r="H25" s="178">
        <f>IF((ROW()-23)&lt;=$K$24,(ROW()-23),"Choisir")</f>
        <v>2</v>
      </c>
    </row>
    <row r="26" spans="1:11" x14ac:dyDescent="0.2">
      <c r="H26" s="178" t="str">
        <f>IF((ROW()-23)&lt;=$K$24,(ROW()-23),"Choisir")</f>
        <v>Choisir</v>
      </c>
    </row>
    <row r="27" spans="1:11" x14ac:dyDescent="0.2">
      <c r="H27" s="178" t="str">
        <f>IF((ROW()-23)&lt;=$K$24,(ROW()-23),"Choisir")</f>
        <v>Choisir</v>
      </c>
    </row>
    <row r="46" spans="4:17" x14ac:dyDescent="0.2">
      <c r="E46" s="169"/>
    </row>
    <row r="47" spans="4:17" ht="13.5" thickBot="1" x14ac:dyDescent="0.25">
      <c r="E47" s="169"/>
    </row>
    <row r="48" spans="4:17" ht="20.100000000000001" customHeight="1" thickBot="1" x14ac:dyDescent="0.25">
      <c r="D48" s="235" t="s">
        <v>78</v>
      </c>
      <c r="E48" s="429" t="s">
        <v>102</v>
      </c>
      <c r="F48" s="430"/>
      <c r="G48" s="430"/>
      <c r="H48" s="430"/>
      <c r="I48" s="430"/>
      <c r="J48" s="430"/>
      <c r="K48" s="430"/>
      <c r="L48" s="430"/>
      <c r="M48" s="430"/>
      <c r="N48" s="430"/>
      <c r="O48" s="430"/>
      <c r="P48" s="431"/>
      <c r="Q48" s="381" t="s">
        <v>7</v>
      </c>
    </row>
    <row r="49" spans="3:17" ht="36.75" thickBot="1" x14ac:dyDescent="0.25">
      <c r="C49" s="233"/>
      <c r="D49" s="359" t="s">
        <v>81</v>
      </c>
      <c r="E49" s="455" t="s">
        <v>69</v>
      </c>
      <c r="F49" s="399" t="s">
        <v>99</v>
      </c>
      <c r="G49" s="395" t="s">
        <v>70</v>
      </c>
      <c r="H49" s="456" t="s">
        <v>71</v>
      </c>
      <c r="I49" s="457" t="s">
        <v>72</v>
      </c>
      <c r="J49" s="458" t="s">
        <v>73</v>
      </c>
      <c r="K49" s="459" t="s">
        <v>74</v>
      </c>
      <c r="L49" s="398" t="s">
        <v>75</v>
      </c>
      <c r="M49" s="460" t="s">
        <v>76</v>
      </c>
      <c r="N49" s="461" t="s">
        <v>77</v>
      </c>
      <c r="O49" s="361" t="s">
        <v>3</v>
      </c>
      <c r="P49" s="360" t="s">
        <v>4</v>
      </c>
      <c r="Q49" s="383" t="s">
        <v>103</v>
      </c>
    </row>
    <row r="50" spans="3:17" ht="19.5" customHeight="1" x14ac:dyDescent="0.2">
      <c r="C50" s="234"/>
      <c r="D50" s="358">
        <v>1</v>
      </c>
      <c r="E50" s="313">
        <v>1</v>
      </c>
      <c r="F50" s="314">
        <v>3</v>
      </c>
      <c r="G50" s="314">
        <v>23</v>
      </c>
      <c r="H50" s="314">
        <v>46</v>
      </c>
      <c r="I50" s="314">
        <v>2</v>
      </c>
      <c r="J50" s="314">
        <v>5</v>
      </c>
      <c r="K50" s="314">
        <v>9</v>
      </c>
      <c r="L50" s="314">
        <v>6</v>
      </c>
      <c r="M50" s="314"/>
      <c r="N50" s="315">
        <v>5</v>
      </c>
      <c r="O50" s="316"/>
      <c r="P50" s="315"/>
      <c r="Q50" s="382">
        <f t="shared" ref="Q50:Q59" si="6">SUM(E50:P50)</f>
        <v>100</v>
      </c>
    </row>
    <row r="51" spans="3:17" ht="20.100000000000001" customHeight="1" x14ac:dyDescent="0.2">
      <c r="C51" s="234"/>
      <c r="D51" s="358">
        <v>3</v>
      </c>
      <c r="E51" s="313">
        <v>1</v>
      </c>
      <c r="F51" s="314">
        <v>6</v>
      </c>
      <c r="G51" s="314">
        <v>63</v>
      </c>
      <c r="H51" s="314">
        <v>76</v>
      </c>
      <c r="I51" s="314">
        <v>3</v>
      </c>
      <c r="J51" s="314">
        <v>13</v>
      </c>
      <c r="K51" s="314">
        <v>15</v>
      </c>
      <c r="L51" s="314">
        <v>6</v>
      </c>
      <c r="M51" s="314">
        <v>5</v>
      </c>
      <c r="N51" s="315">
        <v>10</v>
      </c>
      <c r="O51" s="316">
        <v>2</v>
      </c>
      <c r="P51" s="315"/>
      <c r="Q51" s="382">
        <f t="shared" si="6"/>
        <v>200</v>
      </c>
    </row>
    <row r="52" spans="3:17" ht="20.100000000000001" customHeight="1" x14ac:dyDescent="0.2">
      <c r="C52" s="234"/>
      <c r="D52" s="358">
        <v>4</v>
      </c>
      <c r="E52" s="313">
        <v>3</v>
      </c>
      <c r="F52" s="314">
        <v>8</v>
      </c>
      <c r="G52" s="314">
        <v>99</v>
      </c>
      <c r="H52" s="314">
        <v>95</v>
      </c>
      <c r="I52" s="314">
        <v>5</v>
      </c>
      <c r="J52" s="314">
        <v>21</v>
      </c>
      <c r="K52" s="314">
        <v>27</v>
      </c>
      <c r="L52" s="314">
        <v>10</v>
      </c>
      <c r="M52" s="314">
        <v>12</v>
      </c>
      <c r="N52" s="315">
        <v>13</v>
      </c>
      <c r="O52" s="316">
        <v>5</v>
      </c>
      <c r="P52" s="315">
        <v>2</v>
      </c>
      <c r="Q52" s="382">
        <f t="shared" si="6"/>
        <v>300</v>
      </c>
    </row>
    <row r="53" spans="3:17" ht="20.100000000000001" customHeight="1" x14ac:dyDescent="0.2">
      <c r="C53" s="234"/>
      <c r="D53" s="358" t="s">
        <v>80</v>
      </c>
      <c r="E53" s="313"/>
      <c r="F53" s="314"/>
      <c r="G53" s="314"/>
      <c r="H53" s="314"/>
      <c r="I53" s="314"/>
      <c r="J53" s="314"/>
      <c r="K53" s="314"/>
      <c r="L53" s="314"/>
      <c r="M53" s="314"/>
      <c r="N53" s="315"/>
      <c r="O53" s="316"/>
      <c r="P53" s="315"/>
      <c r="Q53" s="382">
        <f t="shared" si="6"/>
        <v>0</v>
      </c>
    </row>
    <row r="54" spans="3:17" ht="20.100000000000001" customHeight="1" x14ac:dyDescent="0.2">
      <c r="C54" s="234"/>
      <c r="D54" s="358" t="s">
        <v>80</v>
      </c>
      <c r="E54" s="313"/>
      <c r="F54" s="314"/>
      <c r="G54" s="314"/>
      <c r="H54" s="314"/>
      <c r="I54" s="314"/>
      <c r="J54" s="314"/>
      <c r="K54" s="314"/>
      <c r="L54" s="314"/>
      <c r="M54" s="314"/>
      <c r="N54" s="315"/>
      <c r="O54" s="316"/>
      <c r="P54" s="315"/>
      <c r="Q54" s="382">
        <f t="shared" si="6"/>
        <v>0</v>
      </c>
    </row>
    <row r="55" spans="3:17" ht="20.100000000000001" customHeight="1" x14ac:dyDescent="0.2">
      <c r="C55" s="234"/>
      <c r="D55" s="358" t="s">
        <v>80</v>
      </c>
      <c r="E55" s="313"/>
      <c r="F55" s="314"/>
      <c r="G55" s="314"/>
      <c r="H55" s="314"/>
      <c r="I55" s="314"/>
      <c r="J55" s="314"/>
      <c r="K55" s="314"/>
      <c r="L55" s="314"/>
      <c r="M55" s="314"/>
      <c r="N55" s="315"/>
      <c r="O55" s="316"/>
      <c r="P55" s="315"/>
      <c r="Q55" s="382">
        <f t="shared" si="6"/>
        <v>0</v>
      </c>
    </row>
    <row r="56" spans="3:17" ht="20.100000000000001" customHeight="1" x14ac:dyDescent="0.2">
      <c r="C56" s="234"/>
      <c r="D56" s="358" t="s">
        <v>80</v>
      </c>
      <c r="E56" s="313"/>
      <c r="F56" s="314"/>
      <c r="G56" s="314"/>
      <c r="H56" s="314"/>
      <c r="I56" s="314"/>
      <c r="J56" s="314"/>
      <c r="K56" s="314"/>
      <c r="L56" s="314"/>
      <c r="M56" s="314"/>
      <c r="N56" s="315"/>
      <c r="O56" s="316"/>
      <c r="P56" s="315"/>
      <c r="Q56" s="382">
        <f t="shared" si="6"/>
        <v>0</v>
      </c>
    </row>
    <row r="57" spans="3:17" ht="20.100000000000001" customHeight="1" x14ac:dyDescent="0.2">
      <c r="C57" s="234"/>
      <c r="D57" s="358" t="s">
        <v>80</v>
      </c>
      <c r="E57" s="313"/>
      <c r="F57" s="314"/>
      <c r="G57" s="314"/>
      <c r="H57" s="314"/>
      <c r="I57" s="314"/>
      <c r="J57" s="314"/>
      <c r="K57" s="314"/>
      <c r="L57" s="314"/>
      <c r="M57" s="314"/>
      <c r="N57" s="315"/>
      <c r="O57" s="316"/>
      <c r="P57" s="315"/>
      <c r="Q57" s="382">
        <f t="shared" si="6"/>
        <v>0</v>
      </c>
    </row>
    <row r="58" spans="3:17" ht="20.100000000000001" customHeight="1" x14ac:dyDescent="0.2">
      <c r="C58" s="234"/>
      <c r="D58" s="358" t="s">
        <v>80</v>
      </c>
      <c r="E58" s="313"/>
      <c r="F58" s="314"/>
      <c r="G58" s="314"/>
      <c r="H58" s="314"/>
      <c r="I58" s="314"/>
      <c r="J58" s="314"/>
      <c r="K58" s="314"/>
      <c r="L58" s="314"/>
      <c r="M58" s="314"/>
      <c r="N58" s="315"/>
      <c r="O58" s="316"/>
      <c r="P58" s="315"/>
      <c r="Q58" s="382">
        <f t="shared" si="6"/>
        <v>0</v>
      </c>
    </row>
    <row r="59" spans="3:17" ht="20.100000000000001" customHeight="1" thickBot="1" x14ac:dyDescent="0.25">
      <c r="C59" s="234"/>
      <c r="D59" s="362" t="s">
        <v>80</v>
      </c>
      <c r="E59" s="363"/>
      <c r="F59" s="364"/>
      <c r="G59" s="364"/>
      <c r="H59" s="364"/>
      <c r="I59" s="364"/>
      <c r="J59" s="364"/>
      <c r="K59" s="364"/>
      <c r="L59" s="364"/>
      <c r="M59" s="364"/>
      <c r="N59" s="365"/>
      <c r="O59" s="366"/>
      <c r="P59" s="365"/>
      <c r="Q59" s="382">
        <f t="shared" si="6"/>
        <v>0</v>
      </c>
    </row>
    <row r="60" spans="3:17" x14ac:dyDescent="0.2">
      <c r="Q60" s="321"/>
    </row>
    <row r="63" spans="3:17" ht="18" x14ac:dyDescent="0.25">
      <c r="E63" s="230"/>
    </row>
    <row r="65" spans="4:17" ht="13.5" thickBot="1" x14ac:dyDescent="0.25"/>
    <row r="66" spans="4:17" ht="16.5" customHeight="1" thickBot="1" x14ac:dyDescent="0.25">
      <c r="D66" s="235" t="s">
        <v>79</v>
      </c>
      <c r="E66" s="429" t="s">
        <v>101</v>
      </c>
      <c r="F66" s="430"/>
      <c r="G66" s="430"/>
      <c r="H66" s="430"/>
      <c r="I66" s="430"/>
      <c r="J66" s="430"/>
      <c r="K66" s="430"/>
      <c r="L66" s="430"/>
      <c r="M66" s="430"/>
      <c r="N66" s="430"/>
      <c r="O66" s="430"/>
      <c r="P66" s="431"/>
      <c r="Q66" s="381" t="s">
        <v>7</v>
      </c>
    </row>
    <row r="67" spans="4:17" ht="36.75" thickBot="1" x14ac:dyDescent="0.25">
      <c r="D67" s="359" t="s">
        <v>81</v>
      </c>
      <c r="E67" s="455" t="s">
        <v>69</v>
      </c>
      <c r="F67" s="399" t="s">
        <v>99</v>
      </c>
      <c r="G67" s="395" t="s">
        <v>70</v>
      </c>
      <c r="H67" s="456" t="s">
        <v>71</v>
      </c>
      <c r="I67" s="457" t="s">
        <v>72</v>
      </c>
      <c r="J67" s="458" t="s">
        <v>73</v>
      </c>
      <c r="K67" s="459" t="s">
        <v>74</v>
      </c>
      <c r="L67" s="398" t="s">
        <v>75</v>
      </c>
      <c r="M67" s="460" t="s">
        <v>76</v>
      </c>
      <c r="N67" s="461" t="s">
        <v>77</v>
      </c>
      <c r="O67" s="361" t="s">
        <v>3</v>
      </c>
      <c r="P67" s="360" t="s">
        <v>4</v>
      </c>
      <c r="Q67" s="388" t="s">
        <v>103</v>
      </c>
    </row>
    <row r="68" spans="4:17" ht="20.100000000000001" customHeight="1" x14ac:dyDescent="0.2">
      <c r="D68" s="244">
        <v>2</v>
      </c>
      <c r="E68" s="237"/>
      <c r="F68" s="238">
        <v>2</v>
      </c>
      <c r="G68" s="238">
        <v>17</v>
      </c>
      <c r="H68" s="238">
        <v>59</v>
      </c>
      <c r="I68" s="238">
        <v>3</v>
      </c>
      <c r="J68" s="238">
        <v>5</v>
      </c>
      <c r="K68" s="238">
        <v>9</v>
      </c>
      <c r="L68" s="238">
        <v>2</v>
      </c>
      <c r="M68" s="238">
        <v>1</v>
      </c>
      <c r="N68" s="239"/>
      <c r="O68" s="240">
        <v>1</v>
      </c>
      <c r="P68" s="239">
        <v>1</v>
      </c>
      <c r="Q68" s="385">
        <f t="shared" ref="Q68:Q72" si="7">SUM(E68:P68)</f>
        <v>100</v>
      </c>
    </row>
    <row r="69" spans="4:17" ht="20.100000000000001" customHeight="1" x14ac:dyDescent="0.2">
      <c r="D69" s="242">
        <v>5</v>
      </c>
      <c r="E69" s="179"/>
      <c r="F69" s="180">
        <v>3</v>
      </c>
      <c r="G69" s="180">
        <v>36</v>
      </c>
      <c r="H69" s="180">
        <v>71</v>
      </c>
      <c r="I69" s="180">
        <v>4</v>
      </c>
      <c r="J69" s="180">
        <v>6</v>
      </c>
      <c r="K69" s="180">
        <v>10</v>
      </c>
      <c r="L69" s="180">
        <v>5</v>
      </c>
      <c r="M69" s="180">
        <v>1</v>
      </c>
      <c r="N69" s="181"/>
      <c r="O69" s="182">
        <v>3</v>
      </c>
      <c r="P69" s="181">
        <v>1</v>
      </c>
      <c r="Q69" s="311">
        <f t="shared" si="7"/>
        <v>140</v>
      </c>
    </row>
    <row r="70" spans="4:17" ht="20.100000000000001" customHeight="1" x14ac:dyDescent="0.2">
      <c r="D70" s="242" t="s">
        <v>80</v>
      </c>
      <c r="E70" s="179"/>
      <c r="F70" s="180"/>
      <c r="G70" s="180"/>
      <c r="H70" s="180"/>
      <c r="I70" s="180"/>
      <c r="J70" s="180"/>
      <c r="K70" s="180"/>
      <c r="L70" s="180"/>
      <c r="M70" s="180"/>
      <c r="N70" s="181"/>
      <c r="O70" s="182"/>
      <c r="P70" s="181"/>
      <c r="Q70" s="311">
        <f t="shared" si="7"/>
        <v>0</v>
      </c>
    </row>
    <row r="71" spans="4:17" ht="20.100000000000001" customHeight="1" x14ac:dyDescent="0.2">
      <c r="D71" s="242" t="s">
        <v>80</v>
      </c>
      <c r="E71" s="179"/>
      <c r="F71" s="180"/>
      <c r="G71" s="180"/>
      <c r="H71" s="180"/>
      <c r="I71" s="180"/>
      <c r="J71" s="180"/>
      <c r="K71" s="180"/>
      <c r="L71" s="180"/>
      <c r="M71" s="180"/>
      <c r="N71" s="181"/>
      <c r="O71" s="182"/>
      <c r="P71" s="181"/>
      <c r="Q71" s="311">
        <f t="shared" si="7"/>
        <v>0</v>
      </c>
    </row>
    <row r="72" spans="4:17" ht="20.100000000000001" customHeight="1" thickBot="1" x14ac:dyDescent="0.25">
      <c r="D72" s="243" t="s">
        <v>80</v>
      </c>
      <c r="E72" s="183"/>
      <c r="F72" s="184"/>
      <c r="G72" s="184"/>
      <c r="H72" s="184"/>
      <c r="I72" s="184"/>
      <c r="J72" s="184"/>
      <c r="K72" s="184"/>
      <c r="L72" s="184"/>
      <c r="M72" s="184"/>
      <c r="N72" s="185"/>
      <c r="O72" s="186"/>
      <c r="P72" s="185"/>
      <c r="Q72" s="386">
        <f t="shared" si="7"/>
        <v>0</v>
      </c>
    </row>
    <row r="73" spans="4:17" ht="20.100000000000001" customHeight="1" x14ac:dyDescent="0.2">
      <c r="D73" s="236"/>
      <c r="E73" s="234"/>
      <c r="F73" s="234"/>
      <c r="G73" s="234"/>
      <c r="H73" s="234"/>
      <c r="I73" s="234"/>
      <c r="J73" s="234"/>
      <c r="K73" s="234"/>
      <c r="L73" s="234"/>
      <c r="M73" s="234"/>
      <c r="N73" s="234"/>
      <c r="O73" s="234"/>
      <c r="P73" s="234"/>
    </row>
    <row r="74" spans="4:17" ht="20.100000000000001" customHeight="1" x14ac:dyDescent="0.2">
      <c r="D74" s="236"/>
      <c r="E74" s="234"/>
      <c r="F74" s="234"/>
      <c r="G74" s="234"/>
      <c r="H74" s="234"/>
      <c r="I74" s="234"/>
      <c r="J74" s="234"/>
      <c r="K74" s="234"/>
      <c r="L74" s="234"/>
      <c r="M74" s="234"/>
      <c r="N74" s="234"/>
      <c r="O74" s="234"/>
      <c r="P74" s="234"/>
    </row>
    <row r="75" spans="4:17" ht="20.100000000000001" customHeight="1" thickBot="1" x14ac:dyDescent="0.25">
      <c r="D75" s="236"/>
      <c r="E75" s="234"/>
      <c r="F75" s="234"/>
      <c r="G75" s="234"/>
      <c r="H75" s="234"/>
      <c r="I75" s="234"/>
      <c r="J75" s="234"/>
      <c r="K75" s="234"/>
      <c r="L75" s="234"/>
      <c r="M75" s="234"/>
      <c r="N75" s="234"/>
      <c r="O75" s="234"/>
      <c r="P75" s="234"/>
    </row>
    <row r="76" spans="4:17" ht="20.100000000000001" customHeight="1" thickBot="1" x14ac:dyDescent="0.25">
      <c r="D76" s="235" t="s">
        <v>83</v>
      </c>
      <c r="E76" s="429" t="s">
        <v>100</v>
      </c>
      <c r="F76" s="430"/>
      <c r="G76" s="430"/>
      <c r="H76" s="430"/>
      <c r="I76" s="430"/>
      <c r="J76" s="430"/>
      <c r="K76" s="430"/>
      <c r="L76" s="430"/>
      <c r="M76" s="430"/>
      <c r="N76" s="430"/>
      <c r="O76" s="430"/>
      <c r="P76" s="431"/>
      <c r="Q76" s="387" t="s">
        <v>7</v>
      </c>
    </row>
    <row r="77" spans="4:17" ht="36.75" thickBot="1" x14ac:dyDescent="0.25">
      <c r="D77" s="359" t="s">
        <v>81</v>
      </c>
      <c r="E77" s="455" t="s">
        <v>69</v>
      </c>
      <c r="F77" s="399" t="s">
        <v>99</v>
      </c>
      <c r="G77" s="395" t="s">
        <v>70</v>
      </c>
      <c r="H77" s="456" t="s">
        <v>71</v>
      </c>
      <c r="I77" s="457" t="s">
        <v>72</v>
      </c>
      <c r="J77" s="458" t="s">
        <v>73</v>
      </c>
      <c r="K77" s="459" t="s">
        <v>74</v>
      </c>
      <c r="L77" s="398" t="s">
        <v>75</v>
      </c>
      <c r="M77" s="460" t="s">
        <v>76</v>
      </c>
      <c r="N77" s="461" t="s">
        <v>77</v>
      </c>
      <c r="O77" s="361" t="s">
        <v>3</v>
      </c>
      <c r="P77" s="360" t="s">
        <v>4</v>
      </c>
      <c r="Q77" s="384" t="s">
        <v>103</v>
      </c>
    </row>
    <row r="78" spans="4:17" ht="20.100000000000001" customHeight="1" x14ac:dyDescent="0.2">
      <c r="D78" s="244" t="s">
        <v>80</v>
      </c>
      <c r="E78" s="237"/>
      <c r="F78" s="238"/>
      <c r="G78" s="238"/>
      <c r="H78" s="238"/>
      <c r="I78" s="238"/>
      <c r="J78" s="238"/>
      <c r="K78" s="238"/>
      <c r="L78" s="238"/>
      <c r="M78" s="238"/>
      <c r="N78" s="239"/>
      <c r="O78" s="240"/>
      <c r="P78" s="239"/>
      <c r="Q78" s="385">
        <f t="shared" ref="Q78:Q80" si="8">SUM(E78:P78)</f>
        <v>0</v>
      </c>
    </row>
    <row r="79" spans="4:17" ht="20.100000000000001" customHeight="1" x14ac:dyDescent="0.2">
      <c r="D79" s="242" t="s">
        <v>80</v>
      </c>
      <c r="E79" s="179"/>
      <c r="F79" s="180"/>
      <c r="G79" s="180"/>
      <c r="H79" s="180"/>
      <c r="I79" s="180"/>
      <c r="J79" s="180"/>
      <c r="K79" s="180"/>
      <c r="L79" s="180"/>
      <c r="M79" s="180"/>
      <c r="N79" s="181"/>
      <c r="O79" s="182"/>
      <c r="P79" s="181"/>
      <c r="Q79" s="311">
        <f t="shared" si="8"/>
        <v>0</v>
      </c>
    </row>
    <row r="80" spans="4:17" ht="20.100000000000001" customHeight="1" thickBot="1" x14ac:dyDescent="0.25">
      <c r="D80" s="243" t="s">
        <v>80</v>
      </c>
      <c r="E80" s="183"/>
      <c r="F80" s="184"/>
      <c r="G80" s="184"/>
      <c r="H80" s="184"/>
      <c r="I80" s="184"/>
      <c r="J80" s="184"/>
      <c r="K80" s="184"/>
      <c r="L80" s="184"/>
      <c r="M80" s="184"/>
      <c r="N80" s="185"/>
      <c r="O80" s="186"/>
      <c r="P80" s="185"/>
      <c r="Q80" s="386">
        <f t="shared" si="8"/>
        <v>0</v>
      </c>
    </row>
    <row r="81" spans="4:17" ht="20.100000000000001" customHeight="1" x14ac:dyDescent="0.2">
      <c r="D81" s="236"/>
      <c r="E81" s="234"/>
      <c r="F81" s="234"/>
      <c r="G81" s="234"/>
      <c r="H81" s="234"/>
      <c r="I81" s="234"/>
      <c r="J81" s="234"/>
      <c r="K81" s="234"/>
      <c r="L81" s="234"/>
      <c r="M81" s="234"/>
      <c r="N81" s="234"/>
      <c r="O81" s="234"/>
      <c r="P81" s="234"/>
      <c r="Q81" s="241"/>
    </row>
    <row r="82" spans="4:17" ht="20.100000000000001" customHeight="1" x14ac:dyDescent="0.2">
      <c r="D82" s="236"/>
      <c r="E82" s="234"/>
      <c r="F82" s="234"/>
      <c r="G82" s="234"/>
      <c r="H82" s="234"/>
      <c r="I82" s="234"/>
      <c r="J82" s="234"/>
      <c r="K82" s="234"/>
      <c r="L82" s="234"/>
      <c r="M82" s="234"/>
      <c r="N82" s="234"/>
      <c r="O82" s="234"/>
      <c r="P82" s="234"/>
      <c r="Q82" s="241"/>
    </row>
  </sheetData>
  <mergeCells count="7">
    <mergeCell ref="E76:P76"/>
    <mergeCell ref="E1:P1"/>
    <mergeCell ref="A10:B11"/>
    <mergeCell ref="A12:B14"/>
    <mergeCell ref="A15:B18"/>
    <mergeCell ref="E48:P48"/>
    <mergeCell ref="E66:P66"/>
  </mergeCells>
  <conditionalFormatting sqref="E3:Q12">
    <cfRule type="cellIs" dxfId="433" priority="16" operator="notBetween">
      <formula>0</formula>
      <formula>100</formula>
    </cfRule>
  </conditionalFormatting>
  <conditionalFormatting sqref="E3:Q14">
    <cfRule type="cellIs" dxfId="432" priority="19" operator="lessThan">
      <formula>0</formula>
    </cfRule>
  </conditionalFormatting>
  <conditionalFormatting sqref="E14:Q14">
    <cfRule type="cellIs" dxfId="431" priority="22" operator="greaterThan">
      <formula>1</formula>
    </cfRule>
  </conditionalFormatting>
  <conditionalFormatting sqref="Q3:Q13">
    <cfRule type="cellIs" dxfId="430" priority="20" operator="equal">
      <formula>0</formula>
    </cfRule>
  </conditionalFormatting>
  <conditionalFormatting sqref="Q13">
    <cfRule type="cellIs" dxfId="429" priority="24" operator="equal">
      <formula>$B$7</formula>
    </cfRule>
  </conditionalFormatting>
  <conditionalFormatting sqref="Q14">
    <cfRule type="cellIs" dxfId="428" priority="21" operator="equal">
      <formula>1</formula>
    </cfRule>
    <cfRule type="cellIs" dxfId="427" priority="23" operator="lessThan">
      <formula>1</formula>
    </cfRule>
  </conditionalFormatting>
  <conditionalFormatting sqref="W4:W15">
    <cfRule type="expression" dxfId="426" priority="25">
      <formula>AND($W4&lt;$W3, NOT(ISBLANK($W4)))</formula>
    </cfRule>
    <cfRule type="cellIs" dxfId="425" priority="26" operator="greaterThan">
      <formula>$B$6</formula>
    </cfRule>
  </conditionalFormatting>
  <conditionalFormatting sqref="X4:X15">
    <cfRule type="cellIs" dxfId="424" priority="18" operator="greaterThan">
      <formula>1</formula>
    </cfRule>
  </conditionalFormatting>
  <conditionalFormatting sqref="D68:D72 D50:D59 D78:D80">
    <cfRule type="colorScale" priority="14">
      <colorScale>
        <cfvo type="min"/>
        <cfvo type="max"/>
        <color theme="9" tint="0.79998168889431442"/>
        <color theme="9" tint="-0.499984740745262"/>
      </colorScale>
    </cfRule>
  </conditionalFormatting>
  <conditionalFormatting sqref="E3:P12">
    <cfRule type="expression" dxfId="423" priority="27">
      <formula>($D3&lt;=$K$23)</formula>
    </cfRule>
  </conditionalFormatting>
  <conditionalFormatting sqref="Q3:Q12">
    <cfRule type="expression" dxfId="422" priority="28">
      <formula>AND($D3=$K$23, Q3=$J$24)</formula>
    </cfRule>
    <cfRule type="expression" dxfId="421" priority="29">
      <formula>AND($D3=$K$23, MOD(Q3,100)&gt;$J$24)</formula>
    </cfRule>
    <cfRule type="cellIs" dxfId="420" priority="30" operator="equal">
      <formula>100</formula>
    </cfRule>
  </conditionalFormatting>
  <conditionalFormatting sqref="D3:P12">
    <cfRule type="expression" dxfId="419" priority="34">
      <formula>($D3&gt;$K$23)</formula>
    </cfRule>
  </conditionalFormatting>
  <conditionalFormatting sqref="E50:P59 E68:P72 E78:P80">
    <cfRule type="cellIs" dxfId="418" priority="31" operator="notBetween">
      <formula>0</formula>
      <formula>$B$7</formula>
    </cfRule>
    <cfRule type="expression" dxfId="417" priority="32">
      <formula>($D50&lt;=$K$23)</formula>
    </cfRule>
    <cfRule type="expression" dxfId="416" priority="33">
      <formula>($D50&gt;$K$23)</formula>
    </cfRule>
  </conditionalFormatting>
  <conditionalFormatting sqref="B8">
    <cfRule type="cellIs" dxfId="415" priority="12" operator="notEqual">
      <formula>$B$7</formula>
    </cfRule>
  </conditionalFormatting>
  <conditionalFormatting sqref="E50:P59">
    <cfRule type="expression" dxfId="414" priority="10">
      <formula>AND(E51&lt;MAX(E$50:E51), NOT(ISBLANK(E51)), NOT(E51=0))</formula>
    </cfRule>
  </conditionalFormatting>
  <conditionalFormatting sqref="E68:P72">
    <cfRule type="expression" dxfId="413" priority="11">
      <formula>AND(E69&lt;MAX(E$68:E69), NOT(ISBLANK(E69)), NOT(E69=0))</formula>
    </cfRule>
  </conditionalFormatting>
  <conditionalFormatting sqref="E78:P80">
    <cfRule type="expression" dxfId="412" priority="15">
      <formula>AND(E79&lt;MAX(E$78:E79), NOT(ISBLANK(E79)), NOT(E79=0))</formula>
    </cfRule>
  </conditionalFormatting>
  <conditionalFormatting sqref="Q50">
    <cfRule type="cellIs" dxfId="411" priority="1" operator="lessThan">
      <formula>0</formula>
    </cfRule>
    <cfRule type="cellIs" dxfId="410" priority="2" operator="equal">
      <formula>0</formula>
    </cfRule>
    <cfRule type="expression" dxfId="409" priority="3">
      <formula>OR(MOD($Q50,100)=0,AND($D50=$K$23,MOD($Q50,100)=$J$24))</formula>
    </cfRule>
  </conditionalFormatting>
  <conditionalFormatting sqref="Q52:Q59 Q68:Q72 Q78:Q80">
    <cfRule type="cellIs" dxfId="408" priority="4" operator="lessThan">
      <formula>0</formula>
    </cfRule>
    <cfRule type="cellIs" dxfId="407" priority="5" operator="equal">
      <formula>0</formula>
    </cfRule>
    <cfRule type="expression" dxfId="406" priority="6">
      <formula>OR(MOD($Q52,100)=0,AND($D52=$K$23,MOD($Q52,100)=$J$24))</formula>
    </cfRule>
  </conditionalFormatting>
  <conditionalFormatting sqref="Q51">
    <cfRule type="cellIs" dxfId="405" priority="7" operator="lessThan">
      <formula>0</formula>
    </cfRule>
    <cfRule type="cellIs" dxfId="404" priority="8" operator="equal">
      <formula>0</formula>
    </cfRule>
    <cfRule type="expression" dxfId="403" priority="9">
      <formula>OR(MOD($Q51,100)=0,AND($D50=$K$23,MOD($Q51,100)=$J$24))</formula>
    </cfRule>
  </conditionalFormatting>
  <dataValidations count="2">
    <dataValidation type="list" allowBlank="1" showInputMessage="1" showErrorMessage="1" sqref="D68:D72 D78:D82 D50:D59" xr:uid="{ADD5D60F-BE3B-4C74-9C35-A8C64EC2A50E}">
      <formula1>$D$3:$D$12</formula1>
    </dataValidation>
    <dataValidation type="list" allowBlank="1" showInputMessage="1" showErrorMessage="1" sqref="C50:C59" xr:uid="{CEE0577B-1D99-4B19-8565-0E6EF302CFDB}">
      <formula1>$H$24:$H$26</formula1>
    </dataValidation>
  </dataValidations>
  <pageMargins left="0.7" right="0.7" top="0.75" bottom="0.75" header="0.3" footer="0.3"/>
  <pageSetup paperSize="9" orientation="portrait" r:id="rId1"/>
  <cellWatches>
    <cellWatch r="I52"/>
  </cellWatche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F0F0-5A98-4FC1-90C0-5B68BE15F38E}">
  <sheetPr codeName="Feuil17">
    <tabColor rgb="FFB4A7D6"/>
  </sheetPr>
  <dimension ref="A1:AL82"/>
  <sheetViews>
    <sheetView zoomScale="80" zoomScaleNormal="80" workbookViewId="0">
      <pane xSplit="2" topLeftCell="C1" activePane="topRight" state="frozen"/>
      <selection pane="topRight" activeCell="B29" sqref="B29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24" width="15.7109375" customWidth="1"/>
    <col min="27" max="27" width="12.85546875" customWidth="1"/>
    <col min="28" max="28" width="11.42578125" customWidth="1"/>
    <col min="31" max="31" width="10.42578125" customWidth="1"/>
    <col min="32" max="32" width="15.42578125" customWidth="1"/>
    <col min="33" max="33" width="16.140625" customWidth="1"/>
    <col min="34" max="34" width="12" customWidth="1"/>
    <col min="36" max="36" width="13.28515625" customWidth="1"/>
    <col min="37" max="37" width="14.42578125" customWidth="1"/>
  </cols>
  <sheetData>
    <row r="1" spans="1:38" ht="16.5" customHeight="1" thickBot="1" x14ac:dyDescent="0.25">
      <c r="A1" s="308" t="s">
        <v>11</v>
      </c>
      <c r="B1" s="33">
        <f>Synthèse!B17</f>
        <v>46096</v>
      </c>
      <c r="D1" s="307"/>
      <c r="E1" s="432" t="s">
        <v>66</v>
      </c>
      <c r="F1" s="433"/>
      <c r="G1" s="433"/>
      <c r="H1" s="433"/>
      <c r="I1" s="433"/>
      <c r="J1" s="433"/>
      <c r="K1" s="433"/>
      <c r="L1" s="433"/>
      <c r="M1" s="433"/>
      <c r="N1" s="433"/>
      <c r="O1" s="433"/>
      <c r="P1" s="433"/>
      <c r="Q1" s="433"/>
      <c r="R1" s="433"/>
      <c r="S1" s="433"/>
      <c r="T1" s="433"/>
      <c r="U1" s="433"/>
      <c r="V1" s="433"/>
      <c r="W1" s="433"/>
      <c r="X1" s="433"/>
      <c r="Y1" s="433"/>
      <c r="Z1" s="434"/>
      <c r="AA1" s="392" t="s">
        <v>7</v>
      </c>
    </row>
    <row r="2" spans="1:38" ht="39.75" customHeight="1" thickBot="1" x14ac:dyDescent="0.25">
      <c r="A2" s="309" t="s">
        <v>12</v>
      </c>
      <c r="B2" s="34" t="str">
        <f>Synthèse!B18</f>
        <v>Municipales 1er tour</v>
      </c>
      <c r="D2" s="355" t="s">
        <v>82</v>
      </c>
      <c r="E2" s="455" t="str">
        <f>Synthèse!L2</f>
        <v>Candidat 1</v>
      </c>
      <c r="F2" s="399" t="str">
        <f>Synthèse!M2</f>
        <v>Candidat 2</v>
      </c>
      <c r="G2" s="395" t="str">
        <f>Synthèse!N2</f>
        <v>Candidat 3</v>
      </c>
      <c r="H2" s="456" t="str">
        <f>Synthèse!O2</f>
        <v>Candidat 4</v>
      </c>
      <c r="I2" s="457" t="str">
        <f>Synthèse!P2</f>
        <v>Candidat 5</v>
      </c>
      <c r="J2" s="458" t="str">
        <f>Synthèse!Q2</f>
        <v>Candidat 6</v>
      </c>
      <c r="K2" s="459" t="str">
        <f>Synthèse!R2</f>
        <v>Candidat 7</v>
      </c>
      <c r="L2" s="398" t="str">
        <f>Synthèse!S2</f>
        <v>Candidat 8</v>
      </c>
      <c r="M2" s="460" t="str">
        <f>Synthèse!T2</f>
        <v>Candidat 9</v>
      </c>
      <c r="N2" s="461" t="str">
        <f>Synthèse!U2</f>
        <v>Candidat 10</v>
      </c>
      <c r="O2" s="400" t="str">
        <f>Synthèse!V2</f>
        <v>Candidat 11</v>
      </c>
      <c r="P2" s="462" t="str">
        <f>Synthèse!W2</f>
        <v>Candidat 12</v>
      </c>
      <c r="Q2" s="396" t="str">
        <f>Synthèse!X2</f>
        <v>Candidat 13</v>
      </c>
      <c r="R2" s="463" t="str">
        <f>Synthèse!Y2</f>
        <v>Candidat 14</v>
      </c>
      <c r="S2" s="464" t="str">
        <f>Synthèse!Z2</f>
        <v>Candidat 15</v>
      </c>
      <c r="T2" s="465" t="str">
        <f>Synthèse!AA2</f>
        <v>Candidat 16</v>
      </c>
      <c r="U2" s="466" t="str">
        <f>Synthèse!AB2</f>
        <v>Candidat 17</v>
      </c>
      <c r="V2" s="397" t="str">
        <f>Synthèse!AC2</f>
        <v>Candidat 18</v>
      </c>
      <c r="W2" s="467" t="str">
        <f>Synthèse!AD2</f>
        <v>Candidat 19</v>
      </c>
      <c r="X2" s="468" t="str">
        <f>Synthèse!AE2</f>
        <v>Candidat 20</v>
      </c>
      <c r="Y2" s="469" t="s">
        <v>3</v>
      </c>
      <c r="Z2" s="470" t="s">
        <v>4</v>
      </c>
      <c r="AA2" s="393" t="s">
        <v>104</v>
      </c>
      <c r="AF2" s="367" t="s">
        <v>21</v>
      </c>
      <c r="AG2" s="368" t="s">
        <v>57</v>
      </c>
      <c r="AH2" s="369" t="s">
        <v>31</v>
      </c>
      <c r="AJ2" s="370" t="s">
        <v>59</v>
      </c>
      <c r="AK2" s="370" t="s">
        <v>58</v>
      </c>
    </row>
    <row r="3" spans="1:38" ht="20.100000000000001" customHeight="1" thickBot="1" x14ac:dyDescent="0.25">
      <c r="A3" s="310" t="s">
        <v>13</v>
      </c>
      <c r="B3" s="94" t="str">
        <f>Synthèse!B19</f>
        <v>Cogolin</v>
      </c>
      <c r="D3" s="352" t="str" cm="1">
        <f t="array" ref="D3">IF(ROW(1:1)&lt;=$K$23, (ROW(1:1)), "")</f>
        <v/>
      </c>
      <c r="E3" s="155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55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55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55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55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55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55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55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5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155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1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155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155" cm="1">
        <f t="array" ref="Q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R3" s="155" cm="1">
        <f t="array" ref="R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S3" s="155" cm="1">
        <f t="array" ref="S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T3" s="155" cm="1">
        <f t="array" ref="T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U3" s="155" cm="1">
        <f t="array" ref="U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V3" s="155" cm="1">
        <f t="array" ref="V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W3" s="155" cm="1">
        <f t="array" ref="W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X3" s="155" cm="1">
        <f t="array" ref="X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Y3" s="171" cm="1">
        <f t="array" ref="Y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Z3" s="172" cm="1">
        <f t="array" ref="Z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AA3" s="311">
        <f t="shared" ref="AA3:AA12" si="0">SUM(E3:Z3)</f>
        <v>0</v>
      </c>
      <c r="AF3" s="343" t="s">
        <v>32</v>
      </c>
      <c r="AG3" s="344">
        <v>0</v>
      </c>
      <c r="AH3" s="345">
        <f t="shared" ref="AH3" ca="1" si="1">AG3/$B$6</f>
        <v>0</v>
      </c>
      <c r="AJ3" s="323"/>
      <c r="AK3" s="323"/>
    </row>
    <row r="4" spans="1:38" ht="20.100000000000001" customHeight="1" x14ac:dyDescent="0.2">
      <c r="A4" s="95" t="s">
        <v>23</v>
      </c>
      <c r="B4" s="168">
        <v>0</v>
      </c>
      <c r="D4" s="353" t="str" cm="1">
        <f t="array" ref="D4">IF(ROW(2:2)&lt;=$K$23, (ROW(2:2)), "")</f>
        <v/>
      </c>
      <c r="E4" s="156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56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56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56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56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56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56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56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5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156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156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156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156" cm="1">
        <f t="array" ref="Q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R4" s="156" cm="1">
        <f t="array" ref="R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S4" s="156" cm="1">
        <f t="array" ref="S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T4" s="156" cm="1">
        <f t="array" ref="T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U4" s="156" cm="1">
        <f t="array" ref="U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V4" s="156" cm="1">
        <f t="array" ref="V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W4" s="156" cm="1">
        <f t="array" ref="W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X4" s="156" cm="1">
        <f t="array" ref="X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Y4" s="157" cm="1">
        <f t="array" ref="Y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Z4" s="158" cm="1">
        <f t="array" ref="Z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AA4" s="311">
        <f t="shared" si="0"/>
        <v>0</v>
      </c>
      <c r="AF4" s="346" t="s">
        <v>33</v>
      </c>
      <c r="AG4" s="473"/>
      <c r="AH4" s="348" t="e">
        <f t="shared" ref="AH4:AH13" si="2">IF(OR(AG4=0, AG4=""), NA(), AG4/$B$6)</f>
        <v>#N/A</v>
      </c>
      <c r="AJ4" s="318" t="s">
        <v>45</v>
      </c>
      <c r="AK4" s="371" t="e">
        <f t="shared" ref="AK4:AK13" si="3">IF(AG4&lt;&gt;0,AG4-AG3,NA())</f>
        <v>#N/A</v>
      </c>
    </row>
    <row r="5" spans="1:38" ht="20.100000000000001" customHeight="1" x14ac:dyDescent="0.2">
      <c r="A5" s="96" t="s">
        <v>24</v>
      </c>
      <c r="B5" s="187" t="str" cm="1">
        <f t="array" aca="1" ref="B5" ca="1">IFERROR(INDIRECT("'Synthèse'" &amp; "!$B" &amp; $B$4),"Modèle")</f>
        <v>Modèle</v>
      </c>
      <c r="D5" s="353" t="str" cm="1">
        <f t="array" ref="D5">IF(ROW(3:3)&lt;=$K$23, (ROW(3:3)), "")</f>
        <v/>
      </c>
      <c r="E5" s="156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56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56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56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56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56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56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5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5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156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156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156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156" cm="1">
        <f t="array" ref="Q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R5" s="156" cm="1">
        <f t="array" ref="R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S5" s="156" cm="1">
        <f t="array" ref="S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T5" s="156" cm="1">
        <f t="array" ref="T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U5" s="156" cm="1">
        <f t="array" ref="U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V5" s="156" cm="1">
        <f t="array" ref="V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W5" s="156" cm="1">
        <f t="array" ref="W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X5" s="156" cm="1">
        <f t="array" ref="X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Y5" s="173" cm="1">
        <f t="array" ref="Y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Z5" s="174" cm="1">
        <f t="array" ref="Z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AA5" s="311">
        <f t="shared" si="0"/>
        <v>0</v>
      </c>
      <c r="AD5" s="231"/>
      <c r="AE5" s="232"/>
      <c r="AF5" s="346" t="s">
        <v>34</v>
      </c>
      <c r="AG5" s="473"/>
      <c r="AH5" s="348" t="e">
        <f t="shared" si="2"/>
        <v>#N/A</v>
      </c>
      <c r="AJ5" s="319" t="s">
        <v>46</v>
      </c>
      <c r="AK5" s="372" t="e">
        <f t="shared" si="3"/>
        <v>#N/A</v>
      </c>
    </row>
    <row r="6" spans="1:38" ht="20.100000000000001" customHeight="1" x14ac:dyDescent="0.2">
      <c r="A6" s="96" t="s">
        <v>0</v>
      </c>
      <c r="B6" s="188" cm="1">
        <f t="array" aca="1" ref="B6" ca="1">IFERROR(INDIRECT("'Synthèse'" &amp; "!$C" &amp; $B$4),663)</f>
        <v>663</v>
      </c>
      <c r="D6" s="353" t="str" cm="1">
        <f t="array" ref="D6">IF(ROW(4:4)&lt;=$K$23, (ROW(4:4)), "")</f>
        <v/>
      </c>
      <c r="E6" s="156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56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56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56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56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56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56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5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5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156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156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156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156" cm="1">
        <f t="array" ref="Q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R6" s="156" cm="1">
        <f t="array" ref="R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S6" s="156" cm="1">
        <f t="array" ref="S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T6" s="156" cm="1">
        <f t="array" ref="T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U6" s="156" cm="1">
        <f t="array" ref="U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V6" s="156" cm="1">
        <f t="array" ref="V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W6" s="156" cm="1">
        <f t="array" ref="W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X6" s="156" cm="1">
        <f t="array" ref="X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Y6" s="173" cm="1">
        <f t="array" ref="Y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Z6" s="174" cm="1">
        <f t="array" ref="Z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AA6" s="311">
        <f t="shared" si="0"/>
        <v>0</v>
      </c>
      <c r="AD6" s="231"/>
      <c r="AE6" s="232"/>
      <c r="AF6" s="346" t="s">
        <v>35</v>
      </c>
      <c r="AG6" s="473"/>
      <c r="AH6" s="348" t="e">
        <f t="shared" si="2"/>
        <v>#N/A</v>
      </c>
      <c r="AJ6" s="319" t="s">
        <v>47</v>
      </c>
      <c r="AK6" s="372" t="e">
        <f t="shared" si="3"/>
        <v>#N/A</v>
      </c>
    </row>
    <row r="7" spans="1:38" ht="20.100000000000001" customHeight="1" x14ac:dyDescent="0.2">
      <c r="A7" s="96" t="s">
        <v>2</v>
      </c>
      <c r="B7" s="165">
        <f>MAX(AG4:AG15)</f>
        <v>0</v>
      </c>
      <c r="D7" s="353" t="str" cm="1">
        <f t="array" ref="D7">IF(ROW(5:5)&lt;=$K$23, (ROW(5:5)), "")</f>
        <v/>
      </c>
      <c r="E7" s="156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56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56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56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56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56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56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56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5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156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156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156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156" cm="1">
        <f t="array" ref="Q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R7" s="156" cm="1">
        <f t="array" ref="R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S7" s="156" cm="1">
        <f t="array" ref="S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T7" s="156" cm="1">
        <f t="array" ref="T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U7" s="156" cm="1">
        <f t="array" ref="U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V7" s="156" cm="1">
        <f t="array" ref="V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W7" s="156" cm="1">
        <f t="array" ref="W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X7" s="156" cm="1">
        <f t="array" ref="X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Y7" s="157" cm="1">
        <f t="array" ref="Y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Z7" s="158" cm="1">
        <f t="array" ref="Z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AA7" s="311">
        <f t="shared" si="0"/>
        <v>0</v>
      </c>
      <c r="AD7" s="231"/>
      <c r="AE7" s="232"/>
      <c r="AF7" s="346" t="s">
        <v>36</v>
      </c>
      <c r="AG7" s="473"/>
      <c r="AH7" s="348" t="e">
        <f t="shared" si="2"/>
        <v>#N/A</v>
      </c>
      <c r="AJ7" s="319" t="s">
        <v>54</v>
      </c>
      <c r="AK7" s="372" t="e">
        <f t="shared" si="3"/>
        <v>#N/A</v>
      </c>
    </row>
    <row r="8" spans="1:38" ht="20.100000000000001" customHeight="1" x14ac:dyDescent="0.2">
      <c r="A8" s="96" t="s">
        <v>1</v>
      </c>
      <c r="B8" s="166">
        <f>B7</f>
        <v>0</v>
      </c>
      <c r="D8" s="353" t="str" cm="1">
        <f t="array" ref="D8">IF(ROW(6:6)&lt;=$K$23, (ROW(6:6)), "")</f>
        <v/>
      </c>
      <c r="E8" s="156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56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56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56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56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56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56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56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5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156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156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156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156" cm="1">
        <f t="array" ref="Q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R8" s="156" cm="1">
        <f t="array" ref="R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S8" s="156" cm="1">
        <f t="array" ref="S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T8" s="156" cm="1">
        <f t="array" ref="T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U8" s="156" cm="1">
        <f t="array" ref="U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V8" s="156" cm="1">
        <f t="array" ref="V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W8" s="156" cm="1">
        <f t="array" ref="W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X8" s="156" cm="1">
        <f t="array" ref="X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Y8" s="157" cm="1">
        <f t="array" ref="Y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Z8" s="158" cm="1">
        <f t="array" ref="Z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AA8" s="311">
        <f t="shared" si="0"/>
        <v>0</v>
      </c>
      <c r="AD8" s="231"/>
      <c r="AE8" s="232"/>
      <c r="AF8" s="346" t="s">
        <v>37</v>
      </c>
      <c r="AG8" s="473"/>
      <c r="AH8" s="348" t="e">
        <f t="shared" si="2"/>
        <v>#N/A</v>
      </c>
      <c r="AJ8" s="319" t="s">
        <v>48</v>
      </c>
      <c r="AK8" s="372" t="e">
        <f t="shared" si="3"/>
        <v>#N/A</v>
      </c>
    </row>
    <row r="9" spans="1:38" ht="20.100000000000001" customHeight="1" thickBot="1" x14ac:dyDescent="0.25">
      <c r="A9" s="97" t="s">
        <v>17</v>
      </c>
      <c r="B9" s="167">
        <f ca="1">B6-B7</f>
        <v>663</v>
      </c>
      <c r="D9" s="353" t="str" cm="1">
        <f t="array" ref="D9">IF(ROW(7:7)&lt;=$K$23, (ROW(7:7)), "")</f>
        <v/>
      </c>
      <c r="E9" s="156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56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56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56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56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56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56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56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56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156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156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156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156" cm="1">
        <f t="array" ref="Q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R9" s="156" cm="1">
        <f t="array" ref="R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S9" s="156" cm="1">
        <f t="array" ref="S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T9" s="156" cm="1">
        <f t="array" ref="T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U9" s="156" cm="1">
        <f t="array" ref="U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V9" s="156" cm="1">
        <f t="array" ref="V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W9" s="156" cm="1">
        <f t="array" ref="W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X9" s="156" cm="1">
        <f t="array" ref="X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Y9" s="159" cm="1">
        <f t="array" ref="Y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Z9" s="160" cm="1">
        <f t="array" ref="Z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AA9" s="311">
        <f t="shared" si="0"/>
        <v>0</v>
      </c>
      <c r="AD9" s="231"/>
      <c r="AE9" s="232"/>
      <c r="AF9" s="346" t="s">
        <v>38</v>
      </c>
      <c r="AG9" s="473"/>
      <c r="AH9" s="348" t="e">
        <f t="shared" si="2"/>
        <v>#N/A</v>
      </c>
      <c r="AJ9" s="319" t="s">
        <v>49</v>
      </c>
      <c r="AK9" s="372" t="e">
        <f t="shared" si="3"/>
        <v>#N/A</v>
      </c>
    </row>
    <row r="10" spans="1:38" ht="20.100000000000001" customHeight="1" x14ac:dyDescent="0.2">
      <c r="A10" s="435" t="s">
        <v>60</v>
      </c>
      <c r="B10" s="435"/>
      <c r="D10" s="353" t="str" cm="1">
        <f t="array" ref="D10">IF(ROW(8:8)&lt;=$K$23, (ROW(8:8)), "")</f>
        <v/>
      </c>
      <c r="E10" s="156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56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56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56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56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56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56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56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56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156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156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156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156" cm="1">
        <f t="array" ref="Q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R10" s="156" cm="1">
        <f t="array" ref="R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S10" s="156" cm="1">
        <f t="array" ref="S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T10" s="156" cm="1">
        <f t="array" ref="T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U10" s="156" cm="1">
        <f t="array" ref="U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V10" s="156" cm="1">
        <f t="array" ref="V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W10" s="156" cm="1">
        <f t="array" ref="W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X10" s="156" cm="1">
        <f t="array" ref="X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Y10" s="159" cm="1">
        <f t="array" ref="Y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Z10" s="160" cm="1">
        <f t="array" ref="Z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AA10" s="311">
        <f t="shared" si="0"/>
        <v>0</v>
      </c>
      <c r="AD10" s="231"/>
      <c r="AE10" s="232"/>
      <c r="AF10" s="346" t="s">
        <v>39</v>
      </c>
      <c r="AG10" s="473"/>
      <c r="AH10" s="348" t="e">
        <f t="shared" si="2"/>
        <v>#N/A</v>
      </c>
      <c r="AJ10" s="319" t="s">
        <v>50</v>
      </c>
      <c r="AK10" s="372" t="e">
        <f t="shared" si="3"/>
        <v>#N/A</v>
      </c>
    </row>
    <row r="11" spans="1:38" ht="20.100000000000001" customHeight="1" x14ac:dyDescent="0.2">
      <c r="A11" s="436"/>
      <c r="B11" s="436"/>
      <c r="D11" s="353" t="str" cm="1">
        <f t="array" ref="D11">IF(ROW(9:9)&lt;=$K$23, (ROW(9:9)), "")</f>
        <v/>
      </c>
      <c r="E11" s="156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56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56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56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56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56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56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56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56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156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156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156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156" cm="1">
        <f t="array" ref="Q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R11" s="156" cm="1">
        <f t="array" ref="R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S11" s="156" cm="1">
        <f t="array" ref="S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T11" s="156" cm="1">
        <f t="array" ref="T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U11" s="156" cm="1">
        <f t="array" ref="U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V11" s="156" cm="1">
        <f t="array" ref="V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W11" s="156" cm="1">
        <f t="array" ref="W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X11" s="156">
        <v>0</v>
      </c>
      <c r="Y11" s="159" cm="1">
        <f t="array" ref="Y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Z11" s="160" cm="1">
        <f t="array" ref="Z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AA11" s="311">
        <f t="shared" si="0"/>
        <v>0</v>
      </c>
      <c r="AD11" s="231"/>
      <c r="AE11" s="232"/>
      <c r="AF11" s="346" t="s">
        <v>40</v>
      </c>
      <c r="AG11" s="473"/>
      <c r="AH11" s="348" t="e">
        <f t="shared" si="2"/>
        <v>#N/A</v>
      </c>
      <c r="AJ11" s="319" t="s">
        <v>51</v>
      </c>
      <c r="AK11" s="372" t="e">
        <f t="shared" si="3"/>
        <v>#N/A</v>
      </c>
    </row>
    <row r="12" spans="1:38" ht="20.100000000000001" customHeight="1" thickBot="1" x14ac:dyDescent="0.25">
      <c r="A12" s="437" t="s">
        <v>61</v>
      </c>
      <c r="B12" s="437"/>
      <c r="D12" s="354" t="str" cm="1">
        <f t="array" ref="D12">IF(ROW(10:10)&lt;=$K$23, (ROW(10:10)), "")</f>
        <v/>
      </c>
      <c r="E12" s="156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56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56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56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56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56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56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56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56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156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156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156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156" cm="1">
        <f t="array" ref="Q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R12" s="156" cm="1">
        <f t="array" ref="R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S12" s="156" cm="1">
        <f t="array" ref="S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T12" s="156" cm="1">
        <f t="array" ref="T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U12" s="156" cm="1">
        <f t="array" ref="U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V12" s="156" cm="1">
        <f t="array" ref="V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W12" s="156" cm="1">
        <f t="array" ref="W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X12" s="156" cm="1">
        <f t="array" ref="X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Y12" s="175" cm="1">
        <f t="array" ref="Y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Z12" s="176" cm="1">
        <f t="array" ref="Z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AA12" s="311">
        <f t="shared" si="0"/>
        <v>0</v>
      </c>
      <c r="AD12" s="231"/>
      <c r="AE12" s="232"/>
      <c r="AF12" s="346" t="s">
        <v>41</v>
      </c>
      <c r="AG12" s="473"/>
      <c r="AH12" s="348" t="e">
        <f t="shared" si="2"/>
        <v>#N/A</v>
      </c>
      <c r="AJ12" s="319" t="s">
        <v>52</v>
      </c>
      <c r="AK12" s="372" t="e">
        <f t="shared" si="3"/>
        <v>#N/A</v>
      </c>
    </row>
    <row r="13" spans="1:38" ht="20.100000000000001" customHeight="1" thickBot="1" x14ac:dyDescent="0.3">
      <c r="A13" s="437"/>
      <c r="B13" s="437"/>
      <c r="D13" s="50" t="s">
        <v>9</v>
      </c>
      <c r="E13" s="161">
        <f t="shared" ref="E13:Z13" si="4">SUM(E3:E12)</f>
        <v>0</v>
      </c>
      <c r="F13" s="162">
        <f t="shared" si="4"/>
        <v>0</v>
      </c>
      <c r="G13" s="162">
        <f t="shared" si="4"/>
        <v>0</v>
      </c>
      <c r="H13" s="162">
        <f t="shared" si="4"/>
        <v>0</v>
      </c>
      <c r="I13" s="162">
        <f t="shared" si="4"/>
        <v>0</v>
      </c>
      <c r="J13" s="162">
        <f t="shared" si="4"/>
        <v>0</v>
      </c>
      <c r="K13" s="162">
        <f t="shared" si="4"/>
        <v>0</v>
      </c>
      <c r="L13" s="162">
        <f t="shared" si="4"/>
        <v>0</v>
      </c>
      <c r="M13" s="162">
        <f t="shared" si="4"/>
        <v>0</v>
      </c>
      <c r="N13" s="162">
        <f t="shared" si="4"/>
        <v>0</v>
      </c>
      <c r="O13" s="162">
        <f t="shared" si="4"/>
        <v>0</v>
      </c>
      <c r="P13" s="162">
        <f t="shared" si="4"/>
        <v>0</v>
      </c>
      <c r="Q13" s="162">
        <f t="shared" si="4"/>
        <v>0</v>
      </c>
      <c r="R13" s="162">
        <f t="shared" si="4"/>
        <v>0</v>
      </c>
      <c r="S13" s="162">
        <f t="shared" si="4"/>
        <v>0</v>
      </c>
      <c r="T13" s="162">
        <f t="shared" si="4"/>
        <v>0</v>
      </c>
      <c r="U13" s="162">
        <f t="shared" si="4"/>
        <v>0</v>
      </c>
      <c r="V13" s="162">
        <f t="shared" si="4"/>
        <v>0</v>
      </c>
      <c r="W13" s="162">
        <f t="shared" si="4"/>
        <v>0</v>
      </c>
      <c r="X13" s="162">
        <f t="shared" si="4"/>
        <v>0</v>
      </c>
      <c r="Y13" s="163">
        <f t="shared" si="4"/>
        <v>0</v>
      </c>
      <c r="Z13" s="164">
        <f t="shared" si="4"/>
        <v>0</v>
      </c>
      <c r="AA13" s="312">
        <f t="shared" ref="AA13" si="5">SUM(AA3:AA12)</f>
        <v>0</v>
      </c>
      <c r="AD13" s="231"/>
      <c r="AE13" s="232"/>
      <c r="AF13" s="346" t="s">
        <v>42</v>
      </c>
      <c r="AG13" s="473"/>
      <c r="AH13" s="348" t="e">
        <f t="shared" si="2"/>
        <v>#N/A</v>
      </c>
      <c r="AJ13" s="320" t="s">
        <v>53</v>
      </c>
      <c r="AK13" s="373" t="e">
        <f t="shared" si="3"/>
        <v>#N/A</v>
      </c>
    </row>
    <row r="14" spans="1:38" ht="20.100000000000001" customHeight="1" thickBot="1" x14ac:dyDescent="0.3">
      <c r="A14" s="437"/>
      <c r="B14" s="437"/>
      <c r="D14" s="83" t="s">
        <v>10</v>
      </c>
      <c r="E14" s="45">
        <f t="shared" ref="E14:AA14" si="6">IFERROR(E13/$B$7,0)</f>
        <v>0</v>
      </c>
      <c r="F14" s="46">
        <f t="shared" si="6"/>
        <v>0</v>
      </c>
      <c r="G14" s="46">
        <f t="shared" si="6"/>
        <v>0</v>
      </c>
      <c r="H14" s="46">
        <f t="shared" si="6"/>
        <v>0</v>
      </c>
      <c r="I14" s="46">
        <f t="shared" si="6"/>
        <v>0</v>
      </c>
      <c r="J14" s="46">
        <f t="shared" si="6"/>
        <v>0</v>
      </c>
      <c r="K14" s="46">
        <f t="shared" si="6"/>
        <v>0</v>
      </c>
      <c r="L14" s="46">
        <f t="shared" si="6"/>
        <v>0</v>
      </c>
      <c r="M14" s="46">
        <f t="shared" si="6"/>
        <v>0</v>
      </c>
      <c r="N14" s="46">
        <f t="shared" si="6"/>
        <v>0</v>
      </c>
      <c r="O14" s="46">
        <f t="shared" si="6"/>
        <v>0</v>
      </c>
      <c r="P14" s="46">
        <f t="shared" si="6"/>
        <v>0</v>
      </c>
      <c r="Q14" s="46">
        <f t="shared" si="6"/>
        <v>0</v>
      </c>
      <c r="R14" s="46">
        <f t="shared" si="6"/>
        <v>0</v>
      </c>
      <c r="S14" s="46">
        <f t="shared" si="6"/>
        <v>0</v>
      </c>
      <c r="T14" s="46">
        <f t="shared" si="6"/>
        <v>0</v>
      </c>
      <c r="U14" s="46">
        <f t="shared" si="6"/>
        <v>0</v>
      </c>
      <c r="V14" s="46">
        <f t="shared" si="6"/>
        <v>0</v>
      </c>
      <c r="W14" s="46">
        <f t="shared" si="6"/>
        <v>0</v>
      </c>
      <c r="X14" s="46">
        <f t="shared" si="6"/>
        <v>0</v>
      </c>
      <c r="Y14" s="45">
        <f t="shared" si="6"/>
        <v>0</v>
      </c>
      <c r="Z14" s="47">
        <f t="shared" si="6"/>
        <v>0</v>
      </c>
      <c r="AA14" s="322">
        <f t="shared" si="6"/>
        <v>0</v>
      </c>
      <c r="AF14" s="377" t="s">
        <v>43</v>
      </c>
      <c r="AG14" s="474"/>
      <c r="AH14" s="350" t="e">
        <f>IF(OR(AG14=0, AG14=""), NA(), AG14/$B$6)</f>
        <v>#N/A</v>
      </c>
      <c r="AI14" s="375"/>
      <c r="AJ14" s="379" t="s">
        <v>55</v>
      </c>
      <c r="AK14" s="374" t="e">
        <f>IF(AG14&lt;&gt;0,AG14-AG13,NA())</f>
        <v>#N/A</v>
      </c>
      <c r="AL14" s="375"/>
    </row>
    <row r="15" spans="1:38" ht="18" customHeight="1" thickBot="1" x14ac:dyDescent="0.25">
      <c r="A15" s="438" t="s">
        <v>68</v>
      </c>
      <c r="B15" s="438"/>
      <c r="C15" s="1"/>
      <c r="D15" s="1"/>
      <c r="AA15" s="321"/>
      <c r="AF15" s="317" t="s">
        <v>44</v>
      </c>
      <c r="AG15" s="475"/>
      <c r="AH15" s="376" t="e">
        <f>IF(OR(AG15=0, AG15=""), NA(), AG15/$B$6)</f>
        <v>#N/A</v>
      </c>
      <c r="AJ15" s="380" t="s">
        <v>56</v>
      </c>
      <c r="AK15" s="378" t="e">
        <f>IF(AG15&lt;&gt;0,AG15-AG14,NA())</f>
        <v>#N/A</v>
      </c>
      <c r="AL15" s="375"/>
    </row>
    <row r="16" spans="1:38" ht="12.75" customHeight="1" x14ac:dyDescent="0.2">
      <c r="A16" s="438"/>
      <c r="B16" s="438"/>
      <c r="AF16" s="321"/>
      <c r="AG16" s="321"/>
      <c r="AH16" s="321"/>
      <c r="AK16" s="321"/>
    </row>
    <row r="17" spans="1:11" ht="18" customHeight="1" x14ac:dyDescent="0.25">
      <c r="A17" s="438"/>
      <c r="B17" s="438"/>
      <c r="E17" s="230"/>
    </row>
    <row r="18" spans="1:11" ht="26.25" customHeight="1" x14ac:dyDescent="0.2">
      <c r="A18" s="438"/>
      <c r="B18" s="438"/>
    </row>
    <row r="23" spans="1:11" x14ac:dyDescent="0.2">
      <c r="H23" s="177" t="s">
        <v>64</v>
      </c>
      <c r="J23" s="245">
        <f ca="1">CEILING($B$6, 100)/100</f>
        <v>7</v>
      </c>
      <c r="K23" s="245">
        <f>CEILING($B$7,100)/100</f>
        <v>0</v>
      </c>
    </row>
    <row r="24" spans="1:11" x14ac:dyDescent="0.2">
      <c r="H24" s="178">
        <f ca="1">IF((ROW()-23)&lt;=$K$24,(ROW()-23),"Choisir")</f>
        <v>1</v>
      </c>
      <c r="J24" s="245">
        <f>MOD($B$7,100)</f>
        <v>0</v>
      </c>
      <c r="K24" s="246">
        <f ca="1">CEILING($B$6/300,1)</f>
        <v>3</v>
      </c>
    </row>
    <row r="25" spans="1:11" x14ac:dyDescent="0.2">
      <c r="H25" s="178">
        <f ca="1">IF((ROW()-23)&lt;=$K$24,(ROW()-23),"Choisir")</f>
        <v>2</v>
      </c>
    </row>
    <row r="26" spans="1:11" x14ac:dyDescent="0.2">
      <c r="H26" s="178">
        <f ca="1">IF((ROW()-23)&lt;=$K$24,(ROW()-23),"Choisir")</f>
        <v>3</v>
      </c>
    </row>
    <row r="27" spans="1:11" x14ac:dyDescent="0.2">
      <c r="H27" s="178" t="str">
        <f ca="1">IF((ROW()-23)&lt;=$K$24,(ROW()-23),"Choisir")</f>
        <v>Choisir</v>
      </c>
    </row>
    <row r="46" spans="4:27" x14ac:dyDescent="0.2">
      <c r="E46" s="169"/>
    </row>
    <row r="47" spans="4:27" ht="13.5" thickBot="1" x14ac:dyDescent="0.25">
      <c r="E47" s="169"/>
    </row>
    <row r="48" spans="4:27" ht="20.100000000000001" customHeight="1" thickBot="1" x14ac:dyDescent="0.25">
      <c r="D48" s="235" t="s">
        <v>78</v>
      </c>
      <c r="E48" s="429" t="s">
        <v>102</v>
      </c>
      <c r="F48" s="430"/>
      <c r="G48" s="430"/>
      <c r="H48" s="430"/>
      <c r="I48" s="430"/>
      <c r="J48" s="430"/>
      <c r="K48" s="430"/>
      <c r="L48" s="430"/>
      <c r="M48" s="430"/>
      <c r="N48" s="430"/>
      <c r="O48" s="430"/>
      <c r="P48" s="430"/>
      <c r="Q48" s="430"/>
      <c r="R48" s="430"/>
      <c r="S48" s="430"/>
      <c r="T48" s="430"/>
      <c r="U48" s="430"/>
      <c r="V48" s="430"/>
      <c r="W48" s="430"/>
      <c r="X48" s="430"/>
      <c r="Y48" s="430"/>
      <c r="Z48" s="431"/>
      <c r="AA48" s="381" t="s">
        <v>7</v>
      </c>
    </row>
    <row r="49" spans="3:27" ht="47.25" customHeight="1" thickBot="1" x14ac:dyDescent="0.25">
      <c r="C49" s="233"/>
      <c r="D49" s="359" t="s">
        <v>81</v>
      </c>
      <c r="E49" s="455" t="s">
        <v>69</v>
      </c>
      <c r="F49" s="399" t="s">
        <v>99</v>
      </c>
      <c r="G49" s="395" t="s">
        <v>70</v>
      </c>
      <c r="H49" s="456" t="s">
        <v>71</v>
      </c>
      <c r="I49" s="457" t="s">
        <v>72</v>
      </c>
      <c r="J49" s="458" t="s">
        <v>73</v>
      </c>
      <c r="K49" s="459" t="s">
        <v>74</v>
      </c>
      <c r="L49" s="398" t="s">
        <v>75</v>
      </c>
      <c r="M49" s="460" t="s">
        <v>76</v>
      </c>
      <c r="N49" s="461" t="s">
        <v>77</v>
      </c>
      <c r="O49" s="400" t="s">
        <v>105</v>
      </c>
      <c r="P49" s="462" t="s">
        <v>106</v>
      </c>
      <c r="Q49" s="396" t="s">
        <v>107</v>
      </c>
      <c r="R49" s="463" t="s">
        <v>108</v>
      </c>
      <c r="S49" s="464" t="s">
        <v>109</v>
      </c>
      <c r="T49" s="465" t="s">
        <v>110</v>
      </c>
      <c r="U49" s="466" t="s">
        <v>111</v>
      </c>
      <c r="V49" s="397" t="s">
        <v>112</v>
      </c>
      <c r="W49" s="467" t="s">
        <v>113</v>
      </c>
      <c r="X49" s="468" t="s">
        <v>114</v>
      </c>
      <c r="Y49" s="471" t="s">
        <v>3</v>
      </c>
      <c r="Z49" s="472" t="s">
        <v>4</v>
      </c>
      <c r="AA49" s="383" t="s">
        <v>103</v>
      </c>
    </row>
    <row r="50" spans="3:27" ht="19.5" customHeight="1" x14ac:dyDescent="0.2">
      <c r="C50" s="234"/>
      <c r="D50" s="358" t="s">
        <v>80</v>
      </c>
      <c r="E50" s="313"/>
      <c r="F50" s="314"/>
      <c r="G50" s="314"/>
      <c r="H50" s="314"/>
      <c r="I50" s="314"/>
      <c r="J50" s="314"/>
      <c r="K50" s="314"/>
      <c r="L50" s="314"/>
      <c r="M50" s="314"/>
      <c r="N50" s="314"/>
      <c r="O50" s="314"/>
      <c r="P50" s="314"/>
      <c r="Q50" s="314"/>
      <c r="R50" s="314"/>
      <c r="S50" s="314"/>
      <c r="T50" s="314"/>
      <c r="U50" s="314"/>
      <c r="V50" s="314"/>
      <c r="W50" s="314"/>
      <c r="X50" s="315"/>
      <c r="Y50" s="316"/>
      <c r="Z50" s="315"/>
      <c r="AA50" s="382">
        <f t="shared" ref="AA50:AA59" si="7">SUM(E50:Z50)</f>
        <v>0</v>
      </c>
    </row>
    <row r="51" spans="3:27" ht="20.100000000000001" customHeight="1" x14ac:dyDescent="0.2">
      <c r="C51" s="234"/>
      <c r="D51" s="358" t="s">
        <v>80</v>
      </c>
      <c r="E51" s="313"/>
      <c r="F51" s="314"/>
      <c r="G51" s="314"/>
      <c r="H51" s="314"/>
      <c r="I51" s="314"/>
      <c r="J51" s="314"/>
      <c r="K51" s="314"/>
      <c r="L51" s="314"/>
      <c r="M51" s="314"/>
      <c r="N51" s="314"/>
      <c r="O51" s="314"/>
      <c r="P51" s="314"/>
      <c r="Q51" s="314"/>
      <c r="R51" s="314"/>
      <c r="S51" s="314"/>
      <c r="T51" s="314"/>
      <c r="U51" s="314"/>
      <c r="V51" s="314"/>
      <c r="W51" s="314"/>
      <c r="X51" s="315"/>
      <c r="Y51" s="316"/>
      <c r="Z51" s="315"/>
      <c r="AA51" s="382">
        <f t="shared" si="7"/>
        <v>0</v>
      </c>
    </row>
    <row r="52" spans="3:27" ht="20.100000000000001" customHeight="1" x14ac:dyDescent="0.2">
      <c r="C52" s="234"/>
      <c r="D52" s="358" t="s">
        <v>80</v>
      </c>
      <c r="E52" s="313"/>
      <c r="F52" s="314"/>
      <c r="G52" s="314"/>
      <c r="H52" s="314"/>
      <c r="I52" s="314"/>
      <c r="J52" s="314"/>
      <c r="K52" s="314"/>
      <c r="L52" s="314"/>
      <c r="M52" s="314"/>
      <c r="N52" s="314"/>
      <c r="O52" s="314"/>
      <c r="P52" s="314"/>
      <c r="Q52" s="314"/>
      <c r="R52" s="314"/>
      <c r="S52" s="314"/>
      <c r="T52" s="314"/>
      <c r="U52" s="314"/>
      <c r="V52" s="314"/>
      <c r="W52" s="314"/>
      <c r="X52" s="315"/>
      <c r="Y52" s="316"/>
      <c r="Z52" s="315"/>
      <c r="AA52" s="382">
        <f t="shared" si="7"/>
        <v>0</v>
      </c>
    </row>
    <row r="53" spans="3:27" ht="20.100000000000001" customHeight="1" x14ac:dyDescent="0.2">
      <c r="C53" s="234"/>
      <c r="D53" s="358" t="s">
        <v>80</v>
      </c>
      <c r="E53" s="313"/>
      <c r="F53" s="314"/>
      <c r="G53" s="314"/>
      <c r="H53" s="314"/>
      <c r="I53" s="314"/>
      <c r="J53" s="314"/>
      <c r="K53" s="314"/>
      <c r="L53" s="314"/>
      <c r="M53" s="314"/>
      <c r="N53" s="314"/>
      <c r="O53" s="314"/>
      <c r="P53" s="314"/>
      <c r="Q53" s="314"/>
      <c r="R53" s="314"/>
      <c r="S53" s="314"/>
      <c r="T53" s="314"/>
      <c r="U53" s="314"/>
      <c r="V53" s="314"/>
      <c r="W53" s="314"/>
      <c r="X53" s="315"/>
      <c r="Y53" s="316"/>
      <c r="Z53" s="315"/>
      <c r="AA53" s="382">
        <f t="shared" si="7"/>
        <v>0</v>
      </c>
    </row>
    <row r="54" spans="3:27" ht="20.100000000000001" customHeight="1" x14ac:dyDescent="0.2">
      <c r="C54" s="234"/>
      <c r="D54" s="358" t="s">
        <v>80</v>
      </c>
      <c r="E54" s="313"/>
      <c r="F54" s="314"/>
      <c r="G54" s="314"/>
      <c r="H54" s="314"/>
      <c r="I54" s="314"/>
      <c r="J54" s="314"/>
      <c r="K54" s="314"/>
      <c r="L54" s="314"/>
      <c r="M54" s="314"/>
      <c r="N54" s="314"/>
      <c r="O54" s="314"/>
      <c r="P54" s="314"/>
      <c r="Q54" s="314"/>
      <c r="R54" s="314"/>
      <c r="S54" s="314"/>
      <c r="T54" s="314"/>
      <c r="U54" s="314"/>
      <c r="V54" s="314"/>
      <c r="W54" s="314"/>
      <c r="X54" s="315"/>
      <c r="Y54" s="316"/>
      <c r="Z54" s="315"/>
      <c r="AA54" s="382">
        <f t="shared" si="7"/>
        <v>0</v>
      </c>
    </row>
    <row r="55" spans="3:27" ht="20.100000000000001" customHeight="1" x14ac:dyDescent="0.2">
      <c r="C55" s="234"/>
      <c r="D55" s="358" t="s">
        <v>80</v>
      </c>
      <c r="E55" s="313"/>
      <c r="F55" s="314"/>
      <c r="G55" s="314"/>
      <c r="H55" s="314"/>
      <c r="I55" s="314"/>
      <c r="J55" s="314"/>
      <c r="K55" s="314"/>
      <c r="L55" s="314"/>
      <c r="M55" s="314"/>
      <c r="N55" s="314"/>
      <c r="O55" s="314"/>
      <c r="P55" s="314"/>
      <c r="Q55" s="314"/>
      <c r="R55" s="314"/>
      <c r="S55" s="314"/>
      <c r="T55" s="314"/>
      <c r="U55" s="314"/>
      <c r="V55" s="314"/>
      <c r="W55" s="314"/>
      <c r="X55" s="315"/>
      <c r="Y55" s="316"/>
      <c r="Z55" s="315"/>
      <c r="AA55" s="382">
        <f t="shared" si="7"/>
        <v>0</v>
      </c>
    </row>
    <row r="56" spans="3:27" ht="20.100000000000001" customHeight="1" x14ac:dyDescent="0.2">
      <c r="C56" s="234"/>
      <c r="D56" s="358" t="s">
        <v>80</v>
      </c>
      <c r="E56" s="313"/>
      <c r="F56" s="314"/>
      <c r="G56" s="314"/>
      <c r="H56" s="314"/>
      <c r="I56" s="314"/>
      <c r="J56" s="314"/>
      <c r="K56" s="314"/>
      <c r="L56" s="314"/>
      <c r="M56" s="314"/>
      <c r="N56" s="314"/>
      <c r="O56" s="314"/>
      <c r="P56" s="314"/>
      <c r="Q56" s="314"/>
      <c r="R56" s="314"/>
      <c r="S56" s="314"/>
      <c r="T56" s="314"/>
      <c r="U56" s="314"/>
      <c r="V56" s="314"/>
      <c r="W56" s="314"/>
      <c r="X56" s="315"/>
      <c r="Y56" s="316"/>
      <c r="Z56" s="315"/>
      <c r="AA56" s="382">
        <f t="shared" si="7"/>
        <v>0</v>
      </c>
    </row>
    <row r="57" spans="3:27" ht="20.100000000000001" customHeight="1" x14ac:dyDescent="0.2">
      <c r="C57" s="234"/>
      <c r="D57" s="358" t="s">
        <v>80</v>
      </c>
      <c r="E57" s="313"/>
      <c r="F57" s="314"/>
      <c r="G57" s="314"/>
      <c r="H57" s="314"/>
      <c r="I57" s="314"/>
      <c r="J57" s="314"/>
      <c r="K57" s="314"/>
      <c r="L57" s="314"/>
      <c r="M57" s="314"/>
      <c r="N57" s="314"/>
      <c r="O57" s="314"/>
      <c r="P57" s="314"/>
      <c r="Q57" s="314"/>
      <c r="R57" s="314"/>
      <c r="S57" s="314"/>
      <c r="T57" s="314"/>
      <c r="U57" s="314"/>
      <c r="V57" s="314"/>
      <c r="W57" s="314"/>
      <c r="X57" s="315"/>
      <c r="Y57" s="316"/>
      <c r="Z57" s="315"/>
      <c r="AA57" s="382">
        <f t="shared" si="7"/>
        <v>0</v>
      </c>
    </row>
    <row r="58" spans="3:27" ht="20.100000000000001" customHeight="1" x14ac:dyDescent="0.2">
      <c r="C58" s="234"/>
      <c r="D58" s="358" t="s">
        <v>80</v>
      </c>
      <c r="E58" s="313"/>
      <c r="F58" s="314"/>
      <c r="G58" s="314"/>
      <c r="H58" s="314"/>
      <c r="I58" s="314"/>
      <c r="J58" s="314"/>
      <c r="K58" s="314"/>
      <c r="L58" s="314"/>
      <c r="M58" s="314"/>
      <c r="N58" s="314"/>
      <c r="O58" s="314"/>
      <c r="P58" s="314"/>
      <c r="Q58" s="314"/>
      <c r="R58" s="314"/>
      <c r="S58" s="314"/>
      <c r="T58" s="314"/>
      <c r="U58" s="314"/>
      <c r="V58" s="314"/>
      <c r="W58" s="314"/>
      <c r="X58" s="315"/>
      <c r="Y58" s="316"/>
      <c r="Z58" s="315"/>
      <c r="AA58" s="382">
        <f t="shared" si="7"/>
        <v>0</v>
      </c>
    </row>
    <row r="59" spans="3:27" ht="20.100000000000001" customHeight="1" thickBot="1" x14ac:dyDescent="0.25">
      <c r="C59" s="234"/>
      <c r="D59" s="362" t="s">
        <v>80</v>
      </c>
      <c r="E59" s="363"/>
      <c r="F59" s="364"/>
      <c r="G59" s="364"/>
      <c r="H59" s="364"/>
      <c r="I59" s="364"/>
      <c r="J59" s="364"/>
      <c r="K59" s="364"/>
      <c r="L59" s="364"/>
      <c r="M59" s="364"/>
      <c r="N59" s="364"/>
      <c r="O59" s="364"/>
      <c r="P59" s="364"/>
      <c r="Q59" s="364"/>
      <c r="R59" s="364"/>
      <c r="S59" s="364"/>
      <c r="T59" s="364"/>
      <c r="U59" s="364"/>
      <c r="V59" s="364"/>
      <c r="W59" s="364"/>
      <c r="X59" s="365"/>
      <c r="Y59" s="366"/>
      <c r="Z59" s="365"/>
      <c r="AA59" s="382">
        <f t="shared" si="7"/>
        <v>0</v>
      </c>
    </row>
    <row r="60" spans="3:27" x14ac:dyDescent="0.2">
      <c r="AA60" s="321"/>
    </row>
    <row r="63" spans="3:27" ht="18" x14ac:dyDescent="0.25">
      <c r="E63" s="230"/>
    </row>
    <row r="65" spans="4:27" ht="13.5" thickBot="1" x14ac:dyDescent="0.25"/>
    <row r="66" spans="4:27" ht="16.5" customHeight="1" thickBot="1" x14ac:dyDescent="0.25">
      <c r="D66" s="235" t="s">
        <v>79</v>
      </c>
      <c r="E66" s="429" t="s">
        <v>101</v>
      </c>
      <c r="F66" s="430"/>
      <c r="G66" s="430"/>
      <c r="H66" s="430"/>
      <c r="I66" s="430"/>
      <c r="J66" s="430"/>
      <c r="K66" s="430"/>
      <c r="L66" s="430"/>
      <c r="M66" s="430"/>
      <c r="N66" s="430"/>
      <c r="O66" s="430"/>
      <c r="P66" s="430"/>
      <c r="Q66" s="430"/>
      <c r="R66" s="430"/>
      <c r="S66" s="430"/>
      <c r="T66" s="430"/>
      <c r="U66" s="430"/>
      <c r="V66" s="430"/>
      <c r="W66" s="430"/>
      <c r="X66" s="430"/>
      <c r="Y66" s="430"/>
      <c r="Z66" s="431"/>
      <c r="AA66" s="381" t="s">
        <v>7</v>
      </c>
    </row>
    <row r="67" spans="4:27" ht="42" customHeight="1" thickBot="1" x14ac:dyDescent="0.25">
      <c r="D67" s="359" t="s">
        <v>81</v>
      </c>
      <c r="E67" s="455" t="s">
        <v>69</v>
      </c>
      <c r="F67" s="399" t="s">
        <v>99</v>
      </c>
      <c r="G67" s="395" t="s">
        <v>70</v>
      </c>
      <c r="H67" s="456" t="s">
        <v>71</v>
      </c>
      <c r="I67" s="457" t="s">
        <v>72</v>
      </c>
      <c r="J67" s="458" t="s">
        <v>73</v>
      </c>
      <c r="K67" s="459" t="s">
        <v>74</v>
      </c>
      <c r="L67" s="398" t="s">
        <v>75</v>
      </c>
      <c r="M67" s="460" t="s">
        <v>76</v>
      </c>
      <c r="N67" s="461" t="s">
        <v>77</v>
      </c>
      <c r="O67" s="400" t="s">
        <v>105</v>
      </c>
      <c r="P67" s="462" t="s">
        <v>106</v>
      </c>
      <c r="Q67" s="396" t="s">
        <v>107</v>
      </c>
      <c r="R67" s="463" t="s">
        <v>108</v>
      </c>
      <c r="S67" s="464" t="s">
        <v>109</v>
      </c>
      <c r="T67" s="465" t="s">
        <v>110</v>
      </c>
      <c r="U67" s="466" t="s">
        <v>111</v>
      </c>
      <c r="V67" s="397" t="s">
        <v>112</v>
      </c>
      <c r="W67" s="467" t="s">
        <v>113</v>
      </c>
      <c r="X67" s="468" t="s">
        <v>114</v>
      </c>
      <c r="Y67" s="471" t="s">
        <v>3</v>
      </c>
      <c r="Z67" s="472" t="s">
        <v>4</v>
      </c>
      <c r="AA67" s="388" t="s">
        <v>103</v>
      </c>
    </row>
    <row r="68" spans="4:27" ht="20.100000000000001" customHeight="1" x14ac:dyDescent="0.2">
      <c r="D68" s="244" t="s">
        <v>80</v>
      </c>
      <c r="E68" s="237"/>
      <c r="F68" s="238"/>
      <c r="G68" s="238"/>
      <c r="H68" s="238"/>
      <c r="I68" s="238"/>
      <c r="J68" s="238"/>
      <c r="K68" s="238"/>
      <c r="L68" s="238"/>
      <c r="M68" s="238"/>
      <c r="N68" s="238"/>
      <c r="O68" s="238"/>
      <c r="P68" s="238"/>
      <c r="Q68" s="238"/>
      <c r="R68" s="238"/>
      <c r="S68" s="238"/>
      <c r="T68" s="238"/>
      <c r="U68" s="238"/>
      <c r="V68" s="238"/>
      <c r="W68" s="238"/>
      <c r="X68" s="239"/>
      <c r="Y68" s="240"/>
      <c r="Z68" s="239"/>
      <c r="AA68" s="385">
        <f t="shared" ref="AA68:AA72" si="8">SUM(E68:Z68)</f>
        <v>0</v>
      </c>
    </row>
    <row r="69" spans="4:27" ht="20.100000000000001" customHeight="1" x14ac:dyDescent="0.2">
      <c r="D69" s="242" t="s">
        <v>80</v>
      </c>
      <c r="E69" s="179"/>
      <c r="F69" s="180"/>
      <c r="G69" s="180"/>
      <c r="H69" s="180"/>
      <c r="I69" s="180"/>
      <c r="J69" s="180"/>
      <c r="K69" s="180"/>
      <c r="L69" s="180"/>
      <c r="M69" s="180"/>
      <c r="N69" s="180"/>
      <c r="O69" s="180"/>
      <c r="P69" s="180"/>
      <c r="Q69" s="180"/>
      <c r="R69" s="180"/>
      <c r="S69" s="180"/>
      <c r="T69" s="180"/>
      <c r="U69" s="180"/>
      <c r="V69" s="180"/>
      <c r="W69" s="180"/>
      <c r="X69" s="181"/>
      <c r="Y69" s="182"/>
      <c r="Z69" s="181"/>
      <c r="AA69" s="311">
        <f t="shared" si="8"/>
        <v>0</v>
      </c>
    </row>
    <row r="70" spans="4:27" ht="20.100000000000001" customHeight="1" x14ac:dyDescent="0.2">
      <c r="D70" s="242" t="s">
        <v>80</v>
      </c>
      <c r="E70" s="179"/>
      <c r="F70" s="180"/>
      <c r="G70" s="180"/>
      <c r="H70" s="180"/>
      <c r="I70" s="180"/>
      <c r="J70" s="180"/>
      <c r="K70" s="180"/>
      <c r="L70" s="180"/>
      <c r="M70" s="180"/>
      <c r="N70" s="180"/>
      <c r="O70" s="180"/>
      <c r="P70" s="180"/>
      <c r="Q70" s="180"/>
      <c r="R70" s="180"/>
      <c r="S70" s="180"/>
      <c r="T70" s="180"/>
      <c r="U70" s="180"/>
      <c r="V70" s="180"/>
      <c r="W70" s="180"/>
      <c r="X70" s="181"/>
      <c r="Y70" s="182"/>
      <c r="Z70" s="181"/>
      <c r="AA70" s="311">
        <f t="shared" si="8"/>
        <v>0</v>
      </c>
    </row>
    <row r="71" spans="4:27" ht="20.100000000000001" customHeight="1" x14ac:dyDescent="0.2">
      <c r="D71" s="242" t="s">
        <v>80</v>
      </c>
      <c r="E71" s="179"/>
      <c r="F71" s="180"/>
      <c r="G71" s="180"/>
      <c r="H71" s="180"/>
      <c r="I71" s="180"/>
      <c r="J71" s="180"/>
      <c r="K71" s="180"/>
      <c r="L71" s="180"/>
      <c r="M71" s="180"/>
      <c r="N71" s="180"/>
      <c r="O71" s="180"/>
      <c r="P71" s="180"/>
      <c r="Q71" s="180"/>
      <c r="R71" s="180"/>
      <c r="S71" s="180"/>
      <c r="T71" s="180"/>
      <c r="U71" s="180"/>
      <c r="V71" s="180"/>
      <c r="W71" s="180"/>
      <c r="X71" s="181"/>
      <c r="Y71" s="182"/>
      <c r="Z71" s="181"/>
      <c r="AA71" s="311">
        <f t="shared" si="8"/>
        <v>0</v>
      </c>
    </row>
    <row r="72" spans="4:27" ht="20.100000000000001" customHeight="1" thickBot="1" x14ac:dyDescent="0.25">
      <c r="D72" s="243" t="s">
        <v>80</v>
      </c>
      <c r="E72" s="183"/>
      <c r="F72" s="184"/>
      <c r="G72" s="184"/>
      <c r="H72" s="184"/>
      <c r="I72" s="184"/>
      <c r="J72" s="184"/>
      <c r="K72" s="184"/>
      <c r="L72" s="184"/>
      <c r="M72" s="184"/>
      <c r="N72" s="184"/>
      <c r="O72" s="184"/>
      <c r="P72" s="184"/>
      <c r="Q72" s="184"/>
      <c r="R72" s="184"/>
      <c r="S72" s="184"/>
      <c r="T72" s="184"/>
      <c r="U72" s="184"/>
      <c r="V72" s="184"/>
      <c r="W72" s="184"/>
      <c r="X72" s="185"/>
      <c r="Y72" s="186"/>
      <c r="Z72" s="185"/>
      <c r="AA72" s="386">
        <f t="shared" si="8"/>
        <v>0</v>
      </c>
    </row>
    <row r="73" spans="4:27" ht="20.100000000000001" customHeight="1" x14ac:dyDescent="0.2">
      <c r="D73" s="236"/>
      <c r="E73" s="234"/>
      <c r="F73" s="234"/>
      <c r="G73" s="234"/>
      <c r="H73" s="234"/>
      <c r="I73" s="234"/>
      <c r="J73" s="234"/>
      <c r="K73" s="234"/>
      <c r="L73" s="234"/>
      <c r="M73" s="234"/>
      <c r="N73" s="234"/>
      <c r="O73" s="234"/>
      <c r="P73" s="234"/>
      <c r="Q73" s="234"/>
      <c r="R73" s="234"/>
      <c r="S73" s="234"/>
      <c r="T73" s="234"/>
      <c r="U73" s="234"/>
      <c r="V73" s="234"/>
      <c r="W73" s="234"/>
      <c r="X73" s="234"/>
      <c r="Y73" s="234"/>
      <c r="Z73" s="234"/>
    </row>
    <row r="74" spans="4:27" ht="20.100000000000001" customHeight="1" x14ac:dyDescent="0.2">
      <c r="D74" s="236"/>
      <c r="E74" s="234"/>
      <c r="F74" s="234"/>
      <c r="G74" s="234"/>
      <c r="H74" s="234"/>
      <c r="I74" s="234"/>
      <c r="J74" s="234"/>
      <c r="K74" s="234"/>
      <c r="L74" s="234"/>
      <c r="M74" s="234"/>
      <c r="N74" s="234"/>
      <c r="O74" s="234"/>
      <c r="P74" s="234"/>
      <c r="Q74" s="234"/>
      <c r="R74" s="234"/>
      <c r="S74" s="234"/>
      <c r="T74" s="234"/>
      <c r="U74" s="234"/>
      <c r="V74" s="234"/>
      <c r="W74" s="234"/>
      <c r="X74" s="234"/>
      <c r="Y74" s="234"/>
      <c r="Z74" s="234"/>
    </row>
    <row r="75" spans="4:27" ht="20.100000000000001" customHeight="1" thickBot="1" x14ac:dyDescent="0.25">
      <c r="D75" s="236"/>
      <c r="E75" s="234"/>
      <c r="F75" s="234"/>
      <c r="G75" s="234"/>
      <c r="H75" s="234"/>
      <c r="I75" s="234"/>
      <c r="J75" s="234"/>
      <c r="K75" s="234"/>
      <c r="L75" s="234"/>
      <c r="M75" s="234"/>
      <c r="N75" s="234"/>
      <c r="O75" s="234"/>
      <c r="P75" s="234"/>
      <c r="Q75" s="234"/>
      <c r="R75" s="234"/>
      <c r="S75" s="234"/>
      <c r="T75" s="234"/>
      <c r="U75" s="234"/>
      <c r="V75" s="234"/>
      <c r="W75" s="234"/>
      <c r="X75" s="234"/>
      <c r="Y75" s="234"/>
      <c r="Z75" s="234"/>
    </row>
    <row r="76" spans="4:27" ht="20.100000000000001" customHeight="1" thickBot="1" x14ac:dyDescent="0.25">
      <c r="D76" s="235" t="s">
        <v>83</v>
      </c>
      <c r="E76" s="429" t="s">
        <v>100</v>
      </c>
      <c r="F76" s="430"/>
      <c r="G76" s="430"/>
      <c r="H76" s="430"/>
      <c r="I76" s="430"/>
      <c r="J76" s="430"/>
      <c r="K76" s="430"/>
      <c r="L76" s="430"/>
      <c r="M76" s="430"/>
      <c r="N76" s="430"/>
      <c r="O76" s="430"/>
      <c r="P76" s="430"/>
      <c r="Q76" s="430"/>
      <c r="R76" s="430"/>
      <c r="S76" s="430"/>
      <c r="T76" s="430"/>
      <c r="U76" s="430"/>
      <c r="V76" s="430"/>
      <c r="W76" s="430"/>
      <c r="X76" s="430"/>
      <c r="Y76" s="430"/>
      <c r="Z76" s="431"/>
      <c r="AA76" s="387" t="s">
        <v>7</v>
      </c>
    </row>
    <row r="77" spans="4:27" ht="39.75" customHeight="1" thickBot="1" x14ac:dyDescent="0.25">
      <c r="D77" s="359" t="s">
        <v>81</v>
      </c>
      <c r="E77" s="455" t="s">
        <v>69</v>
      </c>
      <c r="F77" s="399" t="s">
        <v>99</v>
      </c>
      <c r="G77" s="395" t="s">
        <v>70</v>
      </c>
      <c r="H77" s="456" t="s">
        <v>71</v>
      </c>
      <c r="I77" s="457" t="s">
        <v>72</v>
      </c>
      <c r="J77" s="458" t="s">
        <v>73</v>
      </c>
      <c r="K77" s="459" t="s">
        <v>74</v>
      </c>
      <c r="L77" s="398" t="s">
        <v>75</v>
      </c>
      <c r="M77" s="460" t="s">
        <v>76</v>
      </c>
      <c r="N77" s="461" t="s">
        <v>77</v>
      </c>
      <c r="O77" s="400" t="s">
        <v>105</v>
      </c>
      <c r="P77" s="462" t="s">
        <v>106</v>
      </c>
      <c r="Q77" s="396" t="s">
        <v>107</v>
      </c>
      <c r="R77" s="463" t="s">
        <v>108</v>
      </c>
      <c r="S77" s="464" t="s">
        <v>109</v>
      </c>
      <c r="T77" s="465" t="s">
        <v>110</v>
      </c>
      <c r="U77" s="466" t="s">
        <v>111</v>
      </c>
      <c r="V77" s="397" t="s">
        <v>112</v>
      </c>
      <c r="W77" s="467" t="s">
        <v>113</v>
      </c>
      <c r="X77" s="468" t="s">
        <v>114</v>
      </c>
      <c r="Y77" s="471" t="s">
        <v>3</v>
      </c>
      <c r="Z77" s="472" t="s">
        <v>4</v>
      </c>
      <c r="AA77" s="384" t="s">
        <v>103</v>
      </c>
    </row>
    <row r="78" spans="4:27" ht="20.100000000000001" customHeight="1" x14ac:dyDescent="0.2">
      <c r="D78" s="244" t="s">
        <v>80</v>
      </c>
      <c r="E78" s="237"/>
      <c r="F78" s="238"/>
      <c r="G78" s="238"/>
      <c r="H78" s="238"/>
      <c r="I78" s="238"/>
      <c r="J78" s="238"/>
      <c r="K78" s="238"/>
      <c r="L78" s="238"/>
      <c r="M78" s="238"/>
      <c r="N78" s="238"/>
      <c r="O78" s="238"/>
      <c r="P78" s="238"/>
      <c r="Q78" s="238"/>
      <c r="R78" s="238"/>
      <c r="S78" s="238"/>
      <c r="T78" s="238"/>
      <c r="U78" s="238"/>
      <c r="V78" s="238"/>
      <c r="W78" s="238"/>
      <c r="X78" s="239"/>
      <c r="Y78" s="240"/>
      <c r="Z78" s="239"/>
      <c r="AA78" s="385">
        <f t="shared" ref="AA78:AA80" si="9">SUM(E78:Z78)</f>
        <v>0</v>
      </c>
    </row>
    <row r="79" spans="4:27" ht="20.100000000000001" customHeight="1" x14ac:dyDescent="0.2">
      <c r="D79" s="242" t="s">
        <v>80</v>
      </c>
      <c r="E79" s="179"/>
      <c r="F79" s="180"/>
      <c r="G79" s="180"/>
      <c r="H79" s="180"/>
      <c r="I79" s="180"/>
      <c r="J79" s="180"/>
      <c r="K79" s="180"/>
      <c r="L79" s="180"/>
      <c r="M79" s="180"/>
      <c r="N79" s="180"/>
      <c r="O79" s="180"/>
      <c r="P79" s="180"/>
      <c r="Q79" s="180"/>
      <c r="R79" s="180"/>
      <c r="S79" s="180"/>
      <c r="T79" s="180"/>
      <c r="U79" s="180"/>
      <c r="V79" s="180"/>
      <c r="W79" s="180"/>
      <c r="X79" s="181"/>
      <c r="Y79" s="182"/>
      <c r="Z79" s="181"/>
      <c r="AA79" s="311">
        <f t="shared" si="9"/>
        <v>0</v>
      </c>
    </row>
    <row r="80" spans="4:27" ht="20.100000000000001" customHeight="1" thickBot="1" x14ac:dyDescent="0.25">
      <c r="D80" s="243" t="s">
        <v>80</v>
      </c>
      <c r="E80" s="183"/>
      <c r="F80" s="184"/>
      <c r="G80" s="184"/>
      <c r="H80" s="184"/>
      <c r="I80" s="184"/>
      <c r="J80" s="184"/>
      <c r="K80" s="184"/>
      <c r="L80" s="184"/>
      <c r="M80" s="184"/>
      <c r="N80" s="184"/>
      <c r="O80" s="184"/>
      <c r="P80" s="184"/>
      <c r="Q80" s="184"/>
      <c r="R80" s="184"/>
      <c r="S80" s="184"/>
      <c r="T80" s="184"/>
      <c r="U80" s="184"/>
      <c r="V80" s="184"/>
      <c r="W80" s="184"/>
      <c r="X80" s="185"/>
      <c r="Y80" s="186"/>
      <c r="Z80" s="185"/>
      <c r="AA80" s="386">
        <f t="shared" si="9"/>
        <v>0</v>
      </c>
    </row>
    <row r="81" spans="4:27" ht="20.100000000000001" customHeight="1" x14ac:dyDescent="0.2">
      <c r="D81" s="236"/>
      <c r="E81" s="234"/>
      <c r="F81" s="234"/>
      <c r="G81" s="234"/>
      <c r="H81" s="234"/>
      <c r="I81" s="234"/>
      <c r="J81" s="234"/>
      <c r="K81" s="234"/>
      <c r="L81" s="234"/>
      <c r="M81" s="234"/>
      <c r="N81" s="234"/>
      <c r="O81" s="234"/>
      <c r="P81" s="234"/>
      <c r="Q81" s="234"/>
      <c r="R81" s="234"/>
      <c r="S81" s="234"/>
      <c r="T81" s="234"/>
      <c r="U81" s="234"/>
      <c r="V81" s="234"/>
      <c r="W81" s="234"/>
      <c r="X81" s="234"/>
      <c r="Y81" s="234"/>
      <c r="Z81" s="234"/>
      <c r="AA81" s="241"/>
    </row>
    <row r="82" spans="4:27" ht="20.100000000000001" customHeight="1" x14ac:dyDescent="0.2">
      <c r="D82" s="236"/>
      <c r="E82" s="234"/>
      <c r="F82" s="234"/>
      <c r="G82" s="234"/>
      <c r="H82" s="234"/>
      <c r="I82" s="234"/>
      <c r="J82" s="234"/>
      <c r="K82" s="234"/>
      <c r="L82" s="234"/>
      <c r="M82" s="234"/>
      <c r="N82" s="234"/>
      <c r="O82" s="234"/>
      <c r="P82" s="234"/>
      <c r="Q82" s="234"/>
      <c r="R82" s="234"/>
      <c r="S82" s="234"/>
      <c r="T82" s="234"/>
      <c r="U82" s="234"/>
      <c r="V82" s="234"/>
      <c r="W82" s="234"/>
      <c r="X82" s="234"/>
      <c r="Y82" s="234"/>
      <c r="Z82" s="234"/>
      <c r="AA82" s="241"/>
    </row>
  </sheetData>
  <mergeCells count="7">
    <mergeCell ref="E66:Z66"/>
    <mergeCell ref="A15:B18"/>
    <mergeCell ref="E1:Z1"/>
    <mergeCell ref="E48:Z48"/>
    <mergeCell ref="E76:Z76"/>
    <mergeCell ref="A10:B11"/>
    <mergeCell ref="A12:B14"/>
  </mergeCells>
  <phoneticPr fontId="59" type="noConversion"/>
  <conditionalFormatting sqref="B8">
    <cfRule type="cellIs" dxfId="402" priority="43" operator="notEqual">
      <formula>$B$7</formula>
    </cfRule>
  </conditionalFormatting>
  <conditionalFormatting sqref="E3:AA12">
    <cfRule type="cellIs" dxfId="401" priority="42" operator="notBetween">
      <formula>0</formula>
      <formula>100</formula>
    </cfRule>
  </conditionalFormatting>
  <conditionalFormatting sqref="E3:AA14">
    <cfRule type="cellIs" dxfId="400" priority="45" operator="lessThan">
      <formula>0</formula>
    </cfRule>
  </conditionalFormatting>
  <conditionalFormatting sqref="E14:AA14">
    <cfRule type="cellIs" dxfId="399" priority="52" operator="greaterThan">
      <formula>1</formula>
    </cfRule>
  </conditionalFormatting>
  <conditionalFormatting sqref="AA3:AA13">
    <cfRule type="cellIs" dxfId="398" priority="50" operator="equal">
      <formula>0</formula>
    </cfRule>
  </conditionalFormatting>
  <conditionalFormatting sqref="AA13">
    <cfRule type="cellIs" dxfId="397" priority="54" operator="equal">
      <formula>$B$7</formula>
    </cfRule>
  </conditionalFormatting>
  <conditionalFormatting sqref="AA14">
    <cfRule type="cellIs" dxfId="396" priority="51" operator="equal">
      <formula>1</formula>
    </cfRule>
    <cfRule type="cellIs" dxfId="395" priority="53" operator="lessThan">
      <formula>1</formula>
    </cfRule>
  </conditionalFormatting>
  <conditionalFormatting sqref="AG4:AG15">
    <cfRule type="expression" dxfId="394" priority="57">
      <formula>AND($AG4&lt;$AG3, NOT(ISBLANK($AG4)))</formula>
    </cfRule>
    <cfRule type="cellIs" dxfId="393" priority="58" operator="greaterThan">
      <formula>$B$6</formula>
    </cfRule>
  </conditionalFormatting>
  <conditionalFormatting sqref="AH4:AH15">
    <cfRule type="cellIs" dxfId="392" priority="44" operator="greaterThan">
      <formula>1</formula>
    </cfRule>
  </conditionalFormatting>
  <conditionalFormatting sqref="D68:D72 D50:D59 D78:D80">
    <cfRule type="colorScale" priority="31">
      <colorScale>
        <cfvo type="min"/>
        <cfvo type="max"/>
        <color theme="9" tint="0.79998168889431442"/>
        <color theme="9" tint="-0.499984740745262"/>
      </colorScale>
    </cfRule>
  </conditionalFormatting>
  <conditionalFormatting sqref="E3:Z12">
    <cfRule type="expression" dxfId="391" priority="88">
      <formula>($D3&lt;=$K$23)</formula>
    </cfRule>
  </conditionalFormatting>
  <conditionalFormatting sqref="AA3:AA12">
    <cfRule type="expression" dxfId="390" priority="89">
      <formula>AND($D3=$K$23, AA3=$J$24)</formula>
    </cfRule>
    <cfRule type="expression" dxfId="389" priority="90">
      <formula>AND($D3=$K$23, MOD(AA3,100)&gt;$J$24)</formula>
    </cfRule>
    <cfRule type="cellIs" dxfId="388" priority="91" operator="equal">
      <formula>100</formula>
    </cfRule>
  </conditionalFormatting>
  <conditionalFormatting sqref="D3:Z12">
    <cfRule type="expression" dxfId="387" priority="100">
      <formula>($D3&gt;$K$23)</formula>
    </cfRule>
  </conditionalFormatting>
  <conditionalFormatting sqref="AA50 AA68:AA72 AA78:AA80">
    <cfRule type="cellIs" dxfId="386" priority="127" operator="lessThan">
      <formula>0</formula>
    </cfRule>
    <cfRule type="cellIs" dxfId="385" priority="128" operator="equal">
      <formula>0</formula>
    </cfRule>
    <cfRule type="expression" dxfId="384" priority="129">
      <formula>OR(MOD($AA50,100)=0,AND($D50=$K$23,MOD($AA50,100)=$J$24))</formula>
    </cfRule>
  </conditionalFormatting>
  <conditionalFormatting sqref="E50:Z59">
    <cfRule type="expression" dxfId="383" priority="2">
      <formula>AND(E50&lt;MAX(E$50:E50), NOT(ISBLANK(E50)), NOT(E50=0))</formula>
    </cfRule>
  </conditionalFormatting>
  <conditionalFormatting sqref="AA52:AA59">
    <cfRule type="cellIs" dxfId="382" priority="185" operator="lessThan">
      <formula>0</formula>
    </cfRule>
    <cfRule type="cellIs" dxfId="381" priority="186" operator="equal">
      <formula>0</formula>
    </cfRule>
    <cfRule type="expression" dxfId="380" priority="187">
      <formula>OR(MOD($AA52,100)=0,AND($D52=$K$23,MOD($AA52,100)=$J$24))</formula>
    </cfRule>
  </conditionalFormatting>
  <conditionalFormatting sqref="AA51">
    <cfRule type="cellIs" dxfId="379" priority="194" operator="lessThan">
      <formula>0</formula>
    </cfRule>
    <cfRule type="cellIs" dxfId="378" priority="195" operator="equal">
      <formula>0</formula>
    </cfRule>
    <cfRule type="expression" dxfId="377" priority="196">
      <formula>OR(MOD($AA51,100)=0,AND($D50=$K$23,MOD($AA51,100)=$J$24))</formula>
    </cfRule>
  </conditionalFormatting>
  <conditionalFormatting sqref="E50:Z59 E68:Z72 E78:Z80">
    <cfRule type="cellIs" dxfId="376" priority="92" operator="notBetween">
      <formula>0</formula>
      <formula>$B$7</formula>
    </cfRule>
    <cfRule type="expression" dxfId="375" priority="93">
      <formula>($D50&lt;=$K$23)</formula>
    </cfRule>
    <cfRule type="expression" dxfId="374" priority="94">
      <formula>($D50&gt;$K$23)</formula>
    </cfRule>
  </conditionalFormatting>
  <conditionalFormatting sqref="E68:Z72">
    <cfRule type="expression" dxfId="373" priority="1">
      <formula>AND(E68&lt;MAX(E$68:E68), NOT(ISBLANK(E68)), NOT(E68=0))</formula>
    </cfRule>
  </conditionalFormatting>
  <conditionalFormatting sqref="E78:Z80">
    <cfRule type="expression" dxfId="372" priority="146">
      <formula>AND(E78&lt;MAX(E$78:E78), NOT(ISBLANK(E78)), NOT(E78=0))</formula>
    </cfRule>
  </conditionalFormatting>
  <dataValidations count="2">
    <dataValidation type="list" allowBlank="1" showInputMessage="1" showErrorMessage="1" sqref="C50:C59" xr:uid="{26E6ADDE-67A2-40F5-90D2-78EBD3B4767D}">
      <formula1>$H$24:$H$26</formula1>
    </dataValidation>
    <dataValidation type="list" allowBlank="1" showInputMessage="1" showErrorMessage="1" sqref="D68:D72 D78:D82 D50:D59" xr:uid="{16BE8E6D-019E-4446-BDFE-0DD1503C603A}">
      <formula1>$D$3:$D$12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146" r:id="rId4" name="Button 10">
              <controlPr defaultSize="0" print="0" autoFill="0" autoPict="0" macro="[0]!ReinitialiserEtGenererBureaux">
                <anchor moveWithCells="1">
                  <from>
                    <xdr:col>0</xdr:col>
                    <xdr:colOff>466725</xdr:colOff>
                    <xdr:row>23</xdr:row>
                    <xdr:rowOff>161925</xdr:rowOff>
                  </from>
                  <to>
                    <xdr:col>1</xdr:col>
                    <xdr:colOff>771525</xdr:colOff>
                    <xdr:row>26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2D98-4287-49D8-9861-511EF11E0B82}">
  <sheetPr codeName="Feuil30">
    <tabColor rgb="FFB4A7D6"/>
  </sheetPr>
  <dimension ref="A1:AL82"/>
  <sheetViews>
    <sheetView zoomScale="80" zoomScaleNormal="80" workbookViewId="0">
      <pane xSplit="2" topLeftCell="C1" activePane="topRight" state="frozen"/>
      <selection pane="topRight" activeCell="B29" sqref="B29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24" width="15.7109375" customWidth="1"/>
    <col min="27" max="27" width="12.85546875" customWidth="1"/>
    <col min="28" max="28" width="11.42578125" customWidth="1"/>
    <col min="31" max="31" width="10.42578125" customWidth="1"/>
    <col min="32" max="32" width="15.42578125" customWidth="1"/>
    <col min="33" max="33" width="16.140625" customWidth="1"/>
    <col min="34" max="34" width="12" customWidth="1"/>
    <col min="36" max="36" width="13.28515625" customWidth="1"/>
    <col min="37" max="37" width="14.42578125" customWidth="1"/>
  </cols>
  <sheetData>
    <row r="1" spans="1:38" ht="16.5" customHeight="1" thickBot="1" x14ac:dyDescent="0.25">
      <c r="A1" s="308" t="s">
        <v>11</v>
      </c>
      <c r="B1" s="33">
        <f>Synthèse!B17</f>
        <v>46096</v>
      </c>
      <c r="D1" s="307"/>
      <c r="E1" s="432" t="s">
        <v>66</v>
      </c>
      <c r="F1" s="433"/>
      <c r="G1" s="433"/>
      <c r="H1" s="433"/>
      <c r="I1" s="433"/>
      <c r="J1" s="433"/>
      <c r="K1" s="433"/>
      <c r="L1" s="433"/>
      <c r="M1" s="433"/>
      <c r="N1" s="433"/>
      <c r="O1" s="433"/>
      <c r="P1" s="433"/>
      <c r="Q1" s="433"/>
      <c r="R1" s="433"/>
      <c r="S1" s="433"/>
      <c r="T1" s="433"/>
      <c r="U1" s="433"/>
      <c r="V1" s="433"/>
      <c r="W1" s="433"/>
      <c r="X1" s="433"/>
      <c r="Y1" s="433"/>
      <c r="Z1" s="434"/>
      <c r="AA1" s="392" t="s">
        <v>7</v>
      </c>
    </row>
    <row r="2" spans="1:38" ht="39.75" customHeight="1" thickBot="1" x14ac:dyDescent="0.25">
      <c r="A2" s="309" t="s">
        <v>12</v>
      </c>
      <c r="B2" s="34" t="str">
        <f>Synthèse!B18</f>
        <v>Municipales 1er tour</v>
      </c>
      <c r="D2" s="355" t="s">
        <v>82</v>
      </c>
      <c r="E2" s="455" t="str">
        <f>Synthèse!L2</f>
        <v>Candidat 1</v>
      </c>
      <c r="F2" s="399" t="str">
        <f>Synthèse!M2</f>
        <v>Candidat 2</v>
      </c>
      <c r="G2" s="395" t="str">
        <f>Synthèse!N2</f>
        <v>Candidat 3</v>
      </c>
      <c r="H2" s="456" t="str">
        <f>Synthèse!O2</f>
        <v>Candidat 4</v>
      </c>
      <c r="I2" s="457" t="str">
        <f>Synthèse!P2</f>
        <v>Candidat 5</v>
      </c>
      <c r="J2" s="458" t="str">
        <f>Synthèse!Q2</f>
        <v>Candidat 6</v>
      </c>
      <c r="K2" s="459" t="str">
        <f>Synthèse!R2</f>
        <v>Candidat 7</v>
      </c>
      <c r="L2" s="398" t="str">
        <f>Synthèse!S2</f>
        <v>Candidat 8</v>
      </c>
      <c r="M2" s="460" t="str">
        <f>Synthèse!T2</f>
        <v>Candidat 9</v>
      </c>
      <c r="N2" s="461" t="str">
        <f>Synthèse!U2</f>
        <v>Candidat 10</v>
      </c>
      <c r="O2" s="400" t="str">
        <f>Synthèse!V2</f>
        <v>Candidat 11</v>
      </c>
      <c r="P2" s="462" t="str">
        <f>Synthèse!W2</f>
        <v>Candidat 12</v>
      </c>
      <c r="Q2" s="396" t="str">
        <f>Synthèse!X2</f>
        <v>Candidat 13</v>
      </c>
      <c r="R2" s="463" t="str">
        <f>Synthèse!Y2</f>
        <v>Candidat 14</v>
      </c>
      <c r="S2" s="464" t="str">
        <f>Synthèse!Z2</f>
        <v>Candidat 15</v>
      </c>
      <c r="T2" s="465" t="str">
        <f>Synthèse!AA2</f>
        <v>Candidat 16</v>
      </c>
      <c r="U2" s="466" t="str">
        <f>Synthèse!AB2</f>
        <v>Candidat 17</v>
      </c>
      <c r="V2" s="397" t="str">
        <f>Synthèse!AC2</f>
        <v>Candidat 18</v>
      </c>
      <c r="W2" s="467" t="str">
        <f>Synthèse!AD2</f>
        <v>Candidat 19</v>
      </c>
      <c r="X2" s="468" t="str">
        <f>Synthèse!AE2</f>
        <v>Candidat 20</v>
      </c>
      <c r="Y2" s="469" t="s">
        <v>3</v>
      </c>
      <c r="Z2" s="470" t="s">
        <v>4</v>
      </c>
      <c r="AA2" s="393" t="s">
        <v>104</v>
      </c>
      <c r="AF2" s="367" t="s">
        <v>21</v>
      </c>
      <c r="AG2" s="368" t="s">
        <v>57</v>
      </c>
      <c r="AH2" s="369" t="s">
        <v>31</v>
      </c>
      <c r="AJ2" s="370" t="s">
        <v>59</v>
      </c>
      <c r="AK2" s="370" t="s">
        <v>58</v>
      </c>
    </row>
    <row r="3" spans="1:38" ht="20.100000000000001" customHeight="1" thickBot="1" x14ac:dyDescent="0.25">
      <c r="A3" s="310" t="s">
        <v>13</v>
      </c>
      <c r="B3" s="94" t="str">
        <f>Synthèse!B19</f>
        <v>Cogolin</v>
      </c>
      <c r="D3" s="352" t="str" cm="1">
        <f t="array" ref="D3">IF(ROW(1:1)&lt;=$K$23, (ROW(1:1)), "")</f>
        <v/>
      </c>
      <c r="E3" s="155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55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55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55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55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55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55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55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5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155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1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155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155" cm="1">
        <f t="array" ref="Q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R3" s="155" cm="1">
        <f t="array" ref="R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S3" s="155" cm="1">
        <f t="array" ref="S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T3" s="155" cm="1">
        <f t="array" ref="T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U3" s="155" cm="1">
        <f t="array" ref="U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V3" s="155" cm="1">
        <f t="array" ref="V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W3" s="155" cm="1">
        <f t="array" ref="W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X3" s="155" cm="1">
        <f t="array" ref="X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Y3" s="171" cm="1">
        <f t="array" ref="Y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Z3" s="172" cm="1">
        <f t="array" ref="Z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AA3" s="311">
        <f t="shared" ref="AA3:AA12" si="0">SUM(E3:Z3)</f>
        <v>0</v>
      </c>
      <c r="AF3" s="343" t="s">
        <v>32</v>
      </c>
      <c r="AG3" s="344">
        <v>0</v>
      </c>
      <c r="AH3" s="345">
        <f t="shared" ref="AH3" si="1">AG3/$B$6</f>
        <v>0</v>
      </c>
      <c r="AJ3" s="323"/>
      <c r="AK3" s="323"/>
    </row>
    <row r="4" spans="1:38" ht="20.100000000000001" customHeight="1" x14ac:dyDescent="0.2">
      <c r="A4" s="95" t="s">
        <v>23</v>
      </c>
      <c r="B4" s="168">
        <v>1</v>
      </c>
      <c r="D4" s="353" t="str" cm="1">
        <f t="array" ref="D4">IF(ROW(2:2)&lt;=$K$23, (ROW(2:2)), "")</f>
        <v/>
      </c>
      <c r="E4" s="156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56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56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56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56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56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56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56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5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156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156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156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156" cm="1">
        <f t="array" ref="Q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R4" s="156" cm="1">
        <f t="array" ref="R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S4" s="156" cm="1">
        <f t="array" ref="S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T4" s="156" cm="1">
        <f t="array" ref="T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U4" s="156" cm="1">
        <f t="array" ref="U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V4" s="156" cm="1">
        <f t="array" ref="V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W4" s="156" cm="1">
        <f t="array" ref="W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X4" s="156" cm="1">
        <f t="array" ref="X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Y4" s="157" cm="1">
        <f t="array" ref="Y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Z4" s="158" cm="1">
        <f t="array" ref="Z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AA4" s="311">
        <f t="shared" si="0"/>
        <v>0</v>
      </c>
      <c r="AF4" s="346" t="s">
        <v>33</v>
      </c>
      <c r="AG4" s="473"/>
      <c r="AH4" s="348" t="e">
        <f t="shared" ref="AH4:AH13" si="2">IF(OR(AG4=0, AG4=""), NA(), AG4/$B$6)</f>
        <v>#N/A</v>
      </c>
      <c r="AJ4" s="318" t="s">
        <v>45</v>
      </c>
      <c r="AK4" s="371" t="e">
        <f t="shared" ref="AK4:AK13" si="3">IF(AG4&lt;&gt;0,AG4-AG3,NA())</f>
        <v>#N/A</v>
      </c>
    </row>
    <row r="5" spans="1:38" ht="20.100000000000001" customHeight="1" x14ac:dyDescent="0.2">
      <c r="A5" s="96" t="s">
        <v>24</v>
      </c>
      <c r="B5" s="187" t="s">
        <v>67</v>
      </c>
      <c r="D5" s="353" t="str" cm="1">
        <f t="array" ref="D5">IF(ROW(3:3)&lt;=$K$23, (ROW(3:3)), "")</f>
        <v/>
      </c>
      <c r="E5" s="156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56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56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56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56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56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56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5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5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156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156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156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156" cm="1">
        <f t="array" ref="Q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R5" s="156" cm="1">
        <f t="array" ref="R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S5" s="156" cm="1">
        <f t="array" ref="S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T5" s="156" cm="1">
        <f t="array" ref="T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U5" s="156" cm="1">
        <f t="array" ref="U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V5" s="156" cm="1">
        <f t="array" ref="V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W5" s="156" cm="1">
        <f t="array" ref="W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X5" s="156" cm="1">
        <f t="array" ref="X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Y5" s="173" cm="1">
        <f t="array" ref="Y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Z5" s="174" cm="1">
        <f t="array" ref="Z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AA5" s="311">
        <f t="shared" si="0"/>
        <v>0</v>
      </c>
      <c r="AD5" s="231"/>
      <c r="AE5" s="232"/>
      <c r="AF5" s="346" t="s">
        <v>34</v>
      </c>
      <c r="AG5" s="473"/>
      <c r="AH5" s="348" t="e">
        <f t="shared" si="2"/>
        <v>#N/A</v>
      </c>
      <c r="AJ5" s="319" t="s">
        <v>46</v>
      </c>
      <c r="AK5" s="372" t="e">
        <f t="shared" si="3"/>
        <v>#N/A</v>
      </c>
    </row>
    <row r="6" spans="1:38" ht="20.100000000000001" customHeight="1" x14ac:dyDescent="0.2">
      <c r="A6" s="96" t="s">
        <v>0</v>
      </c>
      <c r="B6" s="188">
        <v>506</v>
      </c>
      <c r="D6" s="353" t="str" cm="1">
        <f t="array" ref="D6">IF(ROW(4:4)&lt;=$K$23, (ROW(4:4)), "")</f>
        <v/>
      </c>
      <c r="E6" s="156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56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56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56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56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56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56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5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5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156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156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156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156" cm="1">
        <f t="array" ref="Q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R6" s="156" cm="1">
        <f t="array" ref="R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S6" s="156" cm="1">
        <f t="array" ref="S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T6" s="156" cm="1">
        <f t="array" ref="T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U6" s="156" cm="1">
        <f t="array" ref="U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V6" s="156" cm="1">
        <f t="array" ref="V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W6" s="156" cm="1">
        <f t="array" ref="W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X6" s="156" cm="1">
        <f t="array" ref="X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Y6" s="173" cm="1">
        <f t="array" ref="Y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Z6" s="174" cm="1">
        <f t="array" ref="Z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AA6" s="311">
        <f t="shared" si="0"/>
        <v>0</v>
      </c>
      <c r="AD6" s="231"/>
      <c r="AE6" s="232"/>
      <c r="AF6" s="346" t="s">
        <v>35</v>
      </c>
      <c r="AG6" s="473"/>
      <c r="AH6" s="348" t="e">
        <f t="shared" si="2"/>
        <v>#N/A</v>
      </c>
      <c r="AJ6" s="319" t="s">
        <v>47</v>
      </c>
      <c r="AK6" s="372" t="e">
        <f t="shared" si="3"/>
        <v>#N/A</v>
      </c>
    </row>
    <row r="7" spans="1:38" ht="20.100000000000001" customHeight="1" x14ac:dyDescent="0.2">
      <c r="A7" s="96" t="s">
        <v>2</v>
      </c>
      <c r="B7" s="165">
        <f>MAX(AG4:AG15)</f>
        <v>0</v>
      </c>
      <c r="D7" s="353" t="str" cm="1">
        <f t="array" ref="D7">IF(ROW(5:5)&lt;=$K$23, (ROW(5:5)), "")</f>
        <v/>
      </c>
      <c r="E7" s="156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56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56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56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56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56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56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56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5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156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156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156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156" cm="1">
        <f t="array" ref="Q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R7" s="156" cm="1">
        <f t="array" ref="R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S7" s="156" cm="1">
        <f t="array" ref="S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T7" s="156" cm="1">
        <f t="array" ref="T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U7" s="156" cm="1">
        <f t="array" ref="U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V7" s="156" cm="1">
        <f t="array" ref="V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W7" s="156" cm="1">
        <f t="array" ref="W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X7" s="156" cm="1">
        <f t="array" ref="X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Y7" s="157" cm="1">
        <f t="array" ref="Y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Z7" s="158" cm="1">
        <f t="array" ref="Z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AA7" s="311">
        <f t="shared" si="0"/>
        <v>0</v>
      </c>
      <c r="AD7" s="231"/>
      <c r="AE7" s="232"/>
      <c r="AF7" s="346" t="s">
        <v>36</v>
      </c>
      <c r="AG7" s="473"/>
      <c r="AH7" s="348" t="e">
        <f t="shared" si="2"/>
        <v>#N/A</v>
      </c>
      <c r="AJ7" s="319" t="s">
        <v>54</v>
      </c>
      <c r="AK7" s="372" t="e">
        <f t="shared" si="3"/>
        <v>#N/A</v>
      </c>
    </row>
    <row r="8" spans="1:38" ht="20.100000000000001" customHeight="1" x14ac:dyDescent="0.2">
      <c r="A8" s="96" t="s">
        <v>1</v>
      </c>
      <c r="B8" s="166">
        <f>B7</f>
        <v>0</v>
      </c>
      <c r="D8" s="353" t="str" cm="1">
        <f t="array" ref="D8">IF(ROW(6:6)&lt;=$K$23, (ROW(6:6)), "")</f>
        <v/>
      </c>
      <c r="E8" s="156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56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56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56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56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56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56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56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5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156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156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156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156" cm="1">
        <f t="array" ref="Q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R8" s="156" cm="1">
        <f t="array" ref="R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S8" s="156" cm="1">
        <f t="array" ref="S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T8" s="156" cm="1">
        <f t="array" ref="T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U8" s="156" cm="1">
        <f t="array" ref="U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V8" s="156" cm="1">
        <f t="array" ref="V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W8" s="156" cm="1">
        <f t="array" ref="W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X8" s="156" cm="1">
        <f t="array" ref="X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Y8" s="157" cm="1">
        <f t="array" ref="Y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Z8" s="158" cm="1">
        <f t="array" ref="Z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AA8" s="311">
        <f t="shared" si="0"/>
        <v>0</v>
      </c>
      <c r="AD8" s="231"/>
      <c r="AE8" s="232"/>
      <c r="AF8" s="346" t="s">
        <v>37</v>
      </c>
      <c r="AG8" s="473"/>
      <c r="AH8" s="348" t="e">
        <f t="shared" si="2"/>
        <v>#N/A</v>
      </c>
      <c r="AJ8" s="319" t="s">
        <v>48</v>
      </c>
      <c r="AK8" s="372" t="e">
        <f t="shared" si="3"/>
        <v>#N/A</v>
      </c>
    </row>
    <row r="9" spans="1:38" ht="20.100000000000001" customHeight="1" thickBot="1" x14ac:dyDescent="0.25">
      <c r="A9" s="97" t="s">
        <v>17</v>
      </c>
      <c r="B9" s="167">
        <f>B6-B7</f>
        <v>506</v>
      </c>
      <c r="D9" s="353" t="str" cm="1">
        <f t="array" ref="D9">IF(ROW(7:7)&lt;=$K$23, (ROW(7:7)), "")</f>
        <v/>
      </c>
      <c r="E9" s="156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56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56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56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56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56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56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56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56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156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156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156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156" cm="1">
        <f t="array" ref="Q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R9" s="156" cm="1">
        <f t="array" ref="R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S9" s="156" cm="1">
        <f t="array" ref="S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T9" s="156" cm="1">
        <f t="array" ref="T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U9" s="156" cm="1">
        <f t="array" ref="U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V9" s="156" cm="1">
        <f t="array" ref="V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W9" s="156" cm="1">
        <f t="array" ref="W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X9" s="156" cm="1">
        <f t="array" ref="X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Y9" s="159" cm="1">
        <f t="array" ref="Y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Z9" s="160" cm="1">
        <f t="array" ref="Z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AA9" s="311">
        <f t="shared" si="0"/>
        <v>0</v>
      </c>
      <c r="AD9" s="231"/>
      <c r="AE9" s="232"/>
      <c r="AF9" s="346" t="s">
        <v>38</v>
      </c>
      <c r="AG9" s="473"/>
      <c r="AH9" s="348" t="e">
        <f t="shared" si="2"/>
        <v>#N/A</v>
      </c>
      <c r="AJ9" s="319" t="s">
        <v>49</v>
      </c>
      <c r="AK9" s="372" t="e">
        <f t="shared" si="3"/>
        <v>#N/A</v>
      </c>
    </row>
    <row r="10" spans="1:38" ht="20.100000000000001" customHeight="1" x14ac:dyDescent="0.2">
      <c r="A10" s="435" t="s">
        <v>60</v>
      </c>
      <c r="B10" s="435"/>
      <c r="D10" s="353" t="str" cm="1">
        <f t="array" ref="D10">IF(ROW(8:8)&lt;=$K$23, (ROW(8:8)), "")</f>
        <v/>
      </c>
      <c r="E10" s="156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56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56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56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56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56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56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56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56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156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156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156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156" cm="1">
        <f t="array" ref="Q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R10" s="156" cm="1">
        <f t="array" ref="R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S10" s="156" cm="1">
        <f t="array" ref="S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T10" s="156" cm="1">
        <f t="array" ref="T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U10" s="156" cm="1">
        <f t="array" ref="U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V10" s="156" cm="1">
        <f t="array" ref="V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W10" s="156" cm="1">
        <f t="array" ref="W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X10" s="156" cm="1">
        <f t="array" ref="X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Y10" s="159" cm="1">
        <f t="array" ref="Y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Z10" s="160" cm="1">
        <f t="array" ref="Z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AA10" s="311">
        <f t="shared" si="0"/>
        <v>0</v>
      </c>
      <c r="AD10" s="231"/>
      <c r="AE10" s="232"/>
      <c r="AF10" s="346" t="s">
        <v>39</v>
      </c>
      <c r="AG10" s="473"/>
      <c r="AH10" s="348" t="e">
        <f t="shared" si="2"/>
        <v>#N/A</v>
      </c>
      <c r="AJ10" s="319" t="s">
        <v>50</v>
      </c>
      <c r="AK10" s="372" t="e">
        <f t="shared" si="3"/>
        <v>#N/A</v>
      </c>
    </row>
    <row r="11" spans="1:38" ht="20.100000000000001" customHeight="1" x14ac:dyDescent="0.2">
      <c r="A11" s="436"/>
      <c r="B11" s="436"/>
      <c r="D11" s="353" t="str" cm="1">
        <f t="array" ref="D11">IF(ROW(9:9)&lt;=$K$23, (ROW(9:9)), "")</f>
        <v/>
      </c>
      <c r="E11" s="156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56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56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56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56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56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56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56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56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156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156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156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156" cm="1">
        <f t="array" ref="Q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R11" s="156" cm="1">
        <f t="array" ref="R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S11" s="156" cm="1">
        <f t="array" ref="S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T11" s="156" cm="1">
        <f t="array" ref="T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U11" s="156" cm="1">
        <f t="array" ref="U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V11" s="156" cm="1">
        <f t="array" ref="V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W11" s="156" cm="1">
        <f t="array" ref="W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X11" s="156">
        <v>0</v>
      </c>
      <c r="Y11" s="159" cm="1">
        <f t="array" ref="Y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Z11" s="160" cm="1">
        <f t="array" ref="Z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AA11" s="311">
        <f t="shared" si="0"/>
        <v>0</v>
      </c>
      <c r="AD11" s="231"/>
      <c r="AE11" s="232"/>
      <c r="AF11" s="346" t="s">
        <v>40</v>
      </c>
      <c r="AG11" s="473"/>
      <c r="AH11" s="348" t="e">
        <f t="shared" si="2"/>
        <v>#N/A</v>
      </c>
      <c r="AJ11" s="319" t="s">
        <v>51</v>
      </c>
      <c r="AK11" s="372" t="e">
        <f t="shared" si="3"/>
        <v>#N/A</v>
      </c>
    </row>
    <row r="12" spans="1:38" ht="20.100000000000001" customHeight="1" thickBot="1" x14ac:dyDescent="0.25">
      <c r="A12" s="437" t="s">
        <v>61</v>
      </c>
      <c r="B12" s="437"/>
      <c r="D12" s="354" t="str" cm="1">
        <f t="array" ref="D12">IF(ROW(10:10)&lt;=$K$23, (ROW(10:10)), "")</f>
        <v/>
      </c>
      <c r="E12" s="156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56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56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56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56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56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56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56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56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156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156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156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156" cm="1">
        <f t="array" ref="Q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R12" s="156" cm="1">
        <f t="array" ref="R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S12" s="156" cm="1">
        <f t="array" ref="S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T12" s="156" cm="1">
        <f t="array" ref="T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U12" s="156" cm="1">
        <f t="array" ref="U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V12" s="156" cm="1">
        <f t="array" ref="V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W12" s="156" cm="1">
        <f t="array" ref="W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X12" s="156" cm="1">
        <f t="array" ref="X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Y12" s="175" cm="1">
        <f t="array" ref="Y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Z12" s="176" cm="1">
        <f t="array" ref="Z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AA12" s="311">
        <f t="shared" si="0"/>
        <v>0</v>
      </c>
      <c r="AD12" s="231"/>
      <c r="AE12" s="232"/>
      <c r="AF12" s="346" t="s">
        <v>41</v>
      </c>
      <c r="AG12" s="473"/>
      <c r="AH12" s="348" t="e">
        <f t="shared" si="2"/>
        <v>#N/A</v>
      </c>
      <c r="AJ12" s="319" t="s">
        <v>52</v>
      </c>
      <c r="AK12" s="372" t="e">
        <f t="shared" si="3"/>
        <v>#N/A</v>
      </c>
    </row>
    <row r="13" spans="1:38" ht="20.100000000000001" customHeight="1" thickBot="1" x14ac:dyDescent="0.3">
      <c r="A13" s="437"/>
      <c r="B13" s="437"/>
      <c r="D13" s="50" t="s">
        <v>9</v>
      </c>
      <c r="E13" s="161">
        <f t="shared" ref="E13:AA13" si="4">SUM(E3:E12)</f>
        <v>0</v>
      </c>
      <c r="F13" s="162">
        <f t="shared" si="4"/>
        <v>0</v>
      </c>
      <c r="G13" s="162">
        <f t="shared" si="4"/>
        <v>0</v>
      </c>
      <c r="H13" s="162">
        <f t="shared" si="4"/>
        <v>0</v>
      </c>
      <c r="I13" s="162">
        <f t="shared" si="4"/>
        <v>0</v>
      </c>
      <c r="J13" s="162">
        <f t="shared" si="4"/>
        <v>0</v>
      </c>
      <c r="K13" s="162">
        <f t="shared" si="4"/>
        <v>0</v>
      </c>
      <c r="L13" s="162">
        <f t="shared" si="4"/>
        <v>0</v>
      </c>
      <c r="M13" s="162">
        <f t="shared" si="4"/>
        <v>0</v>
      </c>
      <c r="N13" s="162">
        <f t="shared" si="4"/>
        <v>0</v>
      </c>
      <c r="O13" s="162">
        <f t="shared" si="4"/>
        <v>0</v>
      </c>
      <c r="P13" s="162">
        <f t="shared" si="4"/>
        <v>0</v>
      </c>
      <c r="Q13" s="162">
        <f t="shared" si="4"/>
        <v>0</v>
      </c>
      <c r="R13" s="162">
        <f t="shared" si="4"/>
        <v>0</v>
      </c>
      <c r="S13" s="162">
        <f t="shared" si="4"/>
        <v>0</v>
      </c>
      <c r="T13" s="162">
        <f t="shared" si="4"/>
        <v>0</v>
      </c>
      <c r="U13" s="162">
        <f t="shared" si="4"/>
        <v>0</v>
      </c>
      <c r="V13" s="162">
        <f t="shared" si="4"/>
        <v>0</v>
      </c>
      <c r="W13" s="162">
        <f t="shared" si="4"/>
        <v>0</v>
      </c>
      <c r="X13" s="162">
        <f t="shared" si="4"/>
        <v>0</v>
      </c>
      <c r="Y13" s="163">
        <f t="shared" si="4"/>
        <v>0</v>
      </c>
      <c r="Z13" s="164">
        <f t="shared" si="4"/>
        <v>0</v>
      </c>
      <c r="AA13" s="312">
        <f t="shared" si="4"/>
        <v>0</v>
      </c>
      <c r="AD13" s="231"/>
      <c r="AE13" s="232"/>
      <c r="AF13" s="346" t="s">
        <v>42</v>
      </c>
      <c r="AG13" s="473"/>
      <c r="AH13" s="348" t="e">
        <f t="shared" si="2"/>
        <v>#N/A</v>
      </c>
      <c r="AJ13" s="320" t="s">
        <v>53</v>
      </c>
      <c r="AK13" s="373" t="e">
        <f t="shared" si="3"/>
        <v>#N/A</v>
      </c>
    </row>
    <row r="14" spans="1:38" ht="20.100000000000001" customHeight="1" thickBot="1" x14ac:dyDescent="0.3">
      <c r="A14" s="437"/>
      <c r="B14" s="437"/>
      <c r="D14" s="83" t="s">
        <v>10</v>
      </c>
      <c r="E14" s="45">
        <f t="shared" ref="E14:AA14" si="5">IFERROR(E13/$B$7,0)</f>
        <v>0</v>
      </c>
      <c r="F14" s="46">
        <f t="shared" si="5"/>
        <v>0</v>
      </c>
      <c r="G14" s="46">
        <f t="shared" si="5"/>
        <v>0</v>
      </c>
      <c r="H14" s="46">
        <f t="shared" si="5"/>
        <v>0</v>
      </c>
      <c r="I14" s="46">
        <f t="shared" si="5"/>
        <v>0</v>
      </c>
      <c r="J14" s="46">
        <f t="shared" si="5"/>
        <v>0</v>
      </c>
      <c r="K14" s="46">
        <f t="shared" si="5"/>
        <v>0</v>
      </c>
      <c r="L14" s="46">
        <f t="shared" si="5"/>
        <v>0</v>
      </c>
      <c r="M14" s="46">
        <f t="shared" si="5"/>
        <v>0</v>
      </c>
      <c r="N14" s="46">
        <f t="shared" si="5"/>
        <v>0</v>
      </c>
      <c r="O14" s="46">
        <f t="shared" si="5"/>
        <v>0</v>
      </c>
      <c r="P14" s="46">
        <f t="shared" si="5"/>
        <v>0</v>
      </c>
      <c r="Q14" s="46">
        <f t="shared" si="5"/>
        <v>0</v>
      </c>
      <c r="R14" s="46">
        <f t="shared" si="5"/>
        <v>0</v>
      </c>
      <c r="S14" s="46">
        <f t="shared" si="5"/>
        <v>0</v>
      </c>
      <c r="T14" s="46">
        <f t="shared" si="5"/>
        <v>0</v>
      </c>
      <c r="U14" s="46">
        <f t="shared" si="5"/>
        <v>0</v>
      </c>
      <c r="V14" s="46">
        <f t="shared" si="5"/>
        <v>0</v>
      </c>
      <c r="W14" s="46">
        <f t="shared" si="5"/>
        <v>0</v>
      </c>
      <c r="X14" s="46">
        <f t="shared" si="5"/>
        <v>0</v>
      </c>
      <c r="Y14" s="45">
        <f t="shared" si="5"/>
        <v>0</v>
      </c>
      <c r="Z14" s="47">
        <f t="shared" si="5"/>
        <v>0</v>
      </c>
      <c r="AA14" s="322">
        <f t="shared" si="5"/>
        <v>0</v>
      </c>
      <c r="AF14" s="377" t="s">
        <v>43</v>
      </c>
      <c r="AG14" s="474"/>
      <c r="AH14" s="350" t="e">
        <f>IF(OR(AG14=0, AG14=""), NA(), AG14/$B$6)</f>
        <v>#N/A</v>
      </c>
      <c r="AI14" s="375"/>
      <c r="AJ14" s="379" t="s">
        <v>55</v>
      </c>
      <c r="AK14" s="374" t="e">
        <f>IF(AG14&lt;&gt;0,AG14-AG13,NA())</f>
        <v>#N/A</v>
      </c>
      <c r="AL14" s="375"/>
    </row>
    <row r="15" spans="1:38" ht="18" customHeight="1" thickBot="1" x14ac:dyDescent="0.25">
      <c r="A15" s="438" t="s">
        <v>68</v>
      </c>
      <c r="B15" s="438"/>
      <c r="C15" s="1"/>
      <c r="D15" s="1"/>
      <c r="AA15" s="321"/>
      <c r="AF15" s="317" t="s">
        <v>44</v>
      </c>
      <c r="AG15" s="475"/>
      <c r="AH15" s="376" t="e">
        <f>IF(OR(AG15=0, AG15=""), NA(), AG15/$B$6)</f>
        <v>#N/A</v>
      </c>
      <c r="AJ15" s="380" t="s">
        <v>56</v>
      </c>
      <c r="AK15" s="378" t="e">
        <f>IF(AG15&lt;&gt;0,AG15-AG14,NA())</f>
        <v>#N/A</v>
      </c>
      <c r="AL15" s="375"/>
    </row>
    <row r="16" spans="1:38" ht="12.75" customHeight="1" x14ac:dyDescent="0.2">
      <c r="A16" s="438"/>
      <c r="B16" s="438"/>
      <c r="AF16" s="321"/>
      <c r="AG16" s="321"/>
      <c r="AH16" s="321"/>
      <c r="AK16" s="321"/>
    </row>
    <row r="17" spans="1:11" ht="18" customHeight="1" x14ac:dyDescent="0.25">
      <c r="A17" s="438"/>
      <c r="B17" s="438"/>
      <c r="E17" s="230"/>
    </row>
    <row r="18" spans="1:11" ht="26.25" customHeight="1" x14ac:dyDescent="0.2">
      <c r="A18" s="438"/>
      <c r="B18" s="438"/>
    </row>
    <row r="23" spans="1:11" x14ac:dyDescent="0.2">
      <c r="H23" s="177" t="s">
        <v>64</v>
      </c>
      <c r="J23" s="245">
        <f>CEILING($B$6, 100)/100</f>
        <v>6</v>
      </c>
      <c r="K23" s="245">
        <f>CEILING($B$7,100)/100</f>
        <v>0</v>
      </c>
    </row>
    <row r="24" spans="1:11" x14ac:dyDescent="0.2">
      <c r="H24" s="178">
        <f>IF((ROW()-23)&lt;=$K$24,(ROW()-23),"Choisir")</f>
        <v>1</v>
      </c>
      <c r="J24" s="245">
        <f>MOD($B$7,100)</f>
        <v>0</v>
      </c>
      <c r="K24" s="246">
        <f>CEILING($B$6/300,1)</f>
        <v>2</v>
      </c>
    </row>
    <row r="25" spans="1:11" x14ac:dyDescent="0.2">
      <c r="H25" s="178">
        <f>IF((ROW()-23)&lt;=$K$24,(ROW()-23),"Choisir")</f>
        <v>2</v>
      </c>
    </row>
    <row r="26" spans="1:11" x14ac:dyDescent="0.2">
      <c r="H26" s="178" t="str">
        <f>IF((ROW()-23)&lt;=$K$24,(ROW()-23),"Choisir")</f>
        <v>Choisir</v>
      </c>
    </row>
    <row r="27" spans="1:11" x14ac:dyDescent="0.2">
      <c r="H27" s="178" t="str">
        <f>IF((ROW()-23)&lt;=$K$24,(ROW()-23),"Choisir")</f>
        <v>Choisir</v>
      </c>
    </row>
    <row r="46" spans="4:27" x14ac:dyDescent="0.2">
      <c r="E46" s="169"/>
    </row>
    <row r="47" spans="4:27" ht="13.5" thickBot="1" x14ac:dyDescent="0.25">
      <c r="E47" s="169"/>
    </row>
    <row r="48" spans="4:27" ht="20.100000000000001" customHeight="1" thickBot="1" x14ac:dyDescent="0.25">
      <c r="D48" s="235" t="s">
        <v>78</v>
      </c>
      <c r="E48" s="429" t="s">
        <v>102</v>
      </c>
      <c r="F48" s="430"/>
      <c r="G48" s="430"/>
      <c r="H48" s="430"/>
      <c r="I48" s="430"/>
      <c r="J48" s="430"/>
      <c r="K48" s="430"/>
      <c r="L48" s="430"/>
      <c r="M48" s="430"/>
      <c r="N48" s="430"/>
      <c r="O48" s="430"/>
      <c r="P48" s="430"/>
      <c r="Q48" s="430"/>
      <c r="R48" s="430"/>
      <c r="S48" s="430"/>
      <c r="T48" s="430"/>
      <c r="U48" s="430"/>
      <c r="V48" s="430"/>
      <c r="W48" s="430"/>
      <c r="X48" s="430"/>
      <c r="Y48" s="430"/>
      <c r="Z48" s="431"/>
      <c r="AA48" s="381" t="s">
        <v>7</v>
      </c>
    </row>
    <row r="49" spans="3:27" ht="47.25" customHeight="1" thickBot="1" x14ac:dyDescent="0.25">
      <c r="C49" s="233"/>
      <c r="D49" s="359" t="s">
        <v>81</v>
      </c>
      <c r="E49" s="455" t="s">
        <v>69</v>
      </c>
      <c r="F49" s="399" t="s">
        <v>99</v>
      </c>
      <c r="G49" s="395" t="s">
        <v>70</v>
      </c>
      <c r="H49" s="456" t="s">
        <v>71</v>
      </c>
      <c r="I49" s="457" t="s">
        <v>72</v>
      </c>
      <c r="J49" s="458" t="s">
        <v>73</v>
      </c>
      <c r="K49" s="459" t="s">
        <v>74</v>
      </c>
      <c r="L49" s="398" t="s">
        <v>75</v>
      </c>
      <c r="M49" s="460" t="s">
        <v>76</v>
      </c>
      <c r="N49" s="461" t="s">
        <v>77</v>
      </c>
      <c r="O49" s="400" t="s">
        <v>105</v>
      </c>
      <c r="P49" s="462" t="s">
        <v>106</v>
      </c>
      <c r="Q49" s="396" t="s">
        <v>107</v>
      </c>
      <c r="R49" s="463" t="s">
        <v>108</v>
      </c>
      <c r="S49" s="464" t="s">
        <v>109</v>
      </c>
      <c r="T49" s="465" t="s">
        <v>110</v>
      </c>
      <c r="U49" s="466" t="s">
        <v>111</v>
      </c>
      <c r="V49" s="397" t="s">
        <v>112</v>
      </c>
      <c r="W49" s="467" t="s">
        <v>113</v>
      </c>
      <c r="X49" s="468" t="s">
        <v>114</v>
      </c>
      <c r="Y49" s="471" t="s">
        <v>3</v>
      </c>
      <c r="Z49" s="472" t="s">
        <v>4</v>
      </c>
      <c r="AA49" s="383" t="s">
        <v>103</v>
      </c>
    </row>
    <row r="50" spans="3:27" ht="19.5" customHeight="1" x14ac:dyDescent="0.2">
      <c r="C50" s="234"/>
      <c r="D50" s="358" t="s">
        <v>80</v>
      </c>
      <c r="E50" s="313"/>
      <c r="F50" s="314"/>
      <c r="G50" s="314"/>
      <c r="H50" s="314"/>
      <c r="I50" s="314"/>
      <c r="J50" s="314"/>
      <c r="K50" s="314"/>
      <c r="L50" s="314"/>
      <c r="M50" s="314"/>
      <c r="N50" s="314"/>
      <c r="O50" s="314"/>
      <c r="P50" s="314"/>
      <c r="Q50" s="314"/>
      <c r="R50" s="314"/>
      <c r="S50" s="314"/>
      <c r="T50" s="314"/>
      <c r="U50" s="314"/>
      <c r="V50" s="314"/>
      <c r="W50" s="314"/>
      <c r="X50" s="315"/>
      <c r="Y50" s="316"/>
      <c r="Z50" s="315"/>
      <c r="AA50" s="382">
        <f t="shared" ref="AA50:AA59" si="6">SUM(E50:Z50)</f>
        <v>0</v>
      </c>
    </row>
    <row r="51" spans="3:27" ht="20.100000000000001" customHeight="1" x14ac:dyDescent="0.2">
      <c r="C51" s="234"/>
      <c r="D51" s="358" t="s">
        <v>80</v>
      </c>
      <c r="E51" s="313"/>
      <c r="F51" s="314"/>
      <c r="G51" s="314"/>
      <c r="H51" s="314"/>
      <c r="I51" s="314"/>
      <c r="J51" s="314"/>
      <c r="K51" s="314"/>
      <c r="L51" s="314"/>
      <c r="M51" s="314"/>
      <c r="N51" s="314"/>
      <c r="O51" s="314"/>
      <c r="P51" s="314"/>
      <c r="Q51" s="314"/>
      <c r="R51" s="314"/>
      <c r="S51" s="314"/>
      <c r="T51" s="314"/>
      <c r="U51" s="314"/>
      <c r="V51" s="314"/>
      <c r="W51" s="314"/>
      <c r="X51" s="315"/>
      <c r="Y51" s="316"/>
      <c r="Z51" s="315"/>
      <c r="AA51" s="382">
        <f t="shared" si="6"/>
        <v>0</v>
      </c>
    </row>
    <row r="52" spans="3:27" ht="20.100000000000001" customHeight="1" x14ac:dyDescent="0.2">
      <c r="C52" s="234"/>
      <c r="D52" s="358" t="s">
        <v>80</v>
      </c>
      <c r="E52" s="313"/>
      <c r="F52" s="314"/>
      <c r="G52" s="314"/>
      <c r="H52" s="314"/>
      <c r="I52" s="314"/>
      <c r="J52" s="314"/>
      <c r="K52" s="314"/>
      <c r="L52" s="314"/>
      <c r="M52" s="314"/>
      <c r="N52" s="314"/>
      <c r="O52" s="314"/>
      <c r="P52" s="314"/>
      <c r="Q52" s="314"/>
      <c r="R52" s="314"/>
      <c r="S52" s="314"/>
      <c r="T52" s="314"/>
      <c r="U52" s="314"/>
      <c r="V52" s="314"/>
      <c r="W52" s="314"/>
      <c r="X52" s="315"/>
      <c r="Y52" s="316"/>
      <c r="Z52" s="315"/>
      <c r="AA52" s="382">
        <f t="shared" si="6"/>
        <v>0</v>
      </c>
    </row>
    <row r="53" spans="3:27" ht="20.100000000000001" customHeight="1" x14ac:dyDescent="0.2">
      <c r="C53" s="234"/>
      <c r="D53" s="358" t="s">
        <v>80</v>
      </c>
      <c r="E53" s="313"/>
      <c r="F53" s="314"/>
      <c r="G53" s="314"/>
      <c r="H53" s="314"/>
      <c r="I53" s="314"/>
      <c r="J53" s="314"/>
      <c r="K53" s="314"/>
      <c r="L53" s="314"/>
      <c r="M53" s="314"/>
      <c r="N53" s="314"/>
      <c r="O53" s="314"/>
      <c r="P53" s="314"/>
      <c r="Q53" s="314"/>
      <c r="R53" s="314"/>
      <c r="S53" s="314"/>
      <c r="T53" s="314"/>
      <c r="U53" s="314"/>
      <c r="V53" s="314"/>
      <c r="W53" s="314"/>
      <c r="X53" s="315"/>
      <c r="Y53" s="316"/>
      <c r="Z53" s="315"/>
      <c r="AA53" s="382">
        <f t="shared" si="6"/>
        <v>0</v>
      </c>
    </row>
    <row r="54" spans="3:27" ht="20.100000000000001" customHeight="1" x14ac:dyDescent="0.2">
      <c r="C54" s="234"/>
      <c r="D54" s="358" t="s">
        <v>80</v>
      </c>
      <c r="E54" s="313"/>
      <c r="F54" s="314"/>
      <c r="G54" s="314"/>
      <c r="H54" s="314"/>
      <c r="I54" s="314"/>
      <c r="J54" s="314"/>
      <c r="K54" s="314"/>
      <c r="L54" s="314"/>
      <c r="M54" s="314"/>
      <c r="N54" s="314"/>
      <c r="O54" s="314"/>
      <c r="P54" s="314"/>
      <c r="Q54" s="314"/>
      <c r="R54" s="314"/>
      <c r="S54" s="314"/>
      <c r="T54" s="314"/>
      <c r="U54" s="314"/>
      <c r="V54" s="314"/>
      <c r="W54" s="314"/>
      <c r="X54" s="315"/>
      <c r="Y54" s="316"/>
      <c r="Z54" s="315"/>
      <c r="AA54" s="382">
        <f t="shared" si="6"/>
        <v>0</v>
      </c>
    </row>
    <row r="55" spans="3:27" ht="20.100000000000001" customHeight="1" x14ac:dyDescent="0.2">
      <c r="C55" s="234"/>
      <c r="D55" s="358" t="s">
        <v>80</v>
      </c>
      <c r="E55" s="313"/>
      <c r="F55" s="314"/>
      <c r="G55" s="314"/>
      <c r="H55" s="314"/>
      <c r="I55" s="314"/>
      <c r="J55" s="314"/>
      <c r="K55" s="314"/>
      <c r="L55" s="314"/>
      <c r="M55" s="314"/>
      <c r="N55" s="314"/>
      <c r="O55" s="314"/>
      <c r="P55" s="314"/>
      <c r="Q55" s="314"/>
      <c r="R55" s="314"/>
      <c r="S55" s="314"/>
      <c r="T55" s="314"/>
      <c r="U55" s="314"/>
      <c r="V55" s="314"/>
      <c r="W55" s="314"/>
      <c r="X55" s="315"/>
      <c r="Y55" s="316"/>
      <c r="Z55" s="315"/>
      <c r="AA55" s="382">
        <f t="shared" si="6"/>
        <v>0</v>
      </c>
    </row>
    <row r="56" spans="3:27" ht="20.100000000000001" customHeight="1" x14ac:dyDescent="0.2">
      <c r="C56" s="234"/>
      <c r="D56" s="358" t="s">
        <v>80</v>
      </c>
      <c r="E56" s="313"/>
      <c r="F56" s="314"/>
      <c r="G56" s="314"/>
      <c r="H56" s="314"/>
      <c r="I56" s="314"/>
      <c r="J56" s="314"/>
      <c r="K56" s="314"/>
      <c r="L56" s="314"/>
      <c r="M56" s="314"/>
      <c r="N56" s="314"/>
      <c r="O56" s="314"/>
      <c r="P56" s="314"/>
      <c r="Q56" s="314"/>
      <c r="R56" s="314"/>
      <c r="S56" s="314"/>
      <c r="T56" s="314"/>
      <c r="U56" s="314"/>
      <c r="V56" s="314"/>
      <c r="W56" s="314"/>
      <c r="X56" s="315"/>
      <c r="Y56" s="316"/>
      <c r="Z56" s="315"/>
      <c r="AA56" s="382">
        <f t="shared" si="6"/>
        <v>0</v>
      </c>
    </row>
    <row r="57" spans="3:27" ht="20.100000000000001" customHeight="1" x14ac:dyDescent="0.2">
      <c r="C57" s="234"/>
      <c r="D57" s="358" t="s">
        <v>80</v>
      </c>
      <c r="E57" s="313"/>
      <c r="F57" s="314"/>
      <c r="G57" s="314"/>
      <c r="H57" s="314"/>
      <c r="I57" s="314"/>
      <c r="J57" s="314"/>
      <c r="K57" s="314"/>
      <c r="L57" s="314"/>
      <c r="M57" s="314"/>
      <c r="N57" s="314"/>
      <c r="O57" s="314"/>
      <c r="P57" s="314"/>
      <c r="Q57" s="314"/>
      <c r="R57" s="314"/>
      <c r="S57" s="314"/>
      <c r="T57" s="314"/>
      <c r="U57" s="314"/>
      <c r="V57" s="314"/>
      <c r="W57" s="314"/>
      <c r="X57" s="315"/>
      <c r="Y57" s="316"/>
      <c r="Z57" s="315"/>
      <c r="AA57" s="382">
        <f t="shared" si="6"/>
        <v>0</v>
      </c>
    </row>
    <row r="58" spans="3:27" ht="20.100000000000001" customHeight="1" x14ac:dyDescent="0.2">
      <c r="C58" s="234"/>
      <c r="D58" s="358" t="s">
        <v>80</v>
      </c>
      <c r="E58" s="313"/>
      <c r="F58" s="314"/>
      <c r="G58" s="314"/>
      <c r="H58" s="314"/>
      <c r="I58" s="314"/>
      <c r="J58" s="314"/>
      <c r="K58" s="314"/>
      <c r="L58" s="314"/>
      <c r="M58" s="314"/>
      <c r="N58" s="314"/>
      <c r="O58" s="314"/>
      <c r="P58" s="314"/>
      <c r="Q58" s="314"/>
      <c r="R58" s="314"/>
      <c r="S58" s="314"/>
      <c r="T58" s="314"/>
      <c r="U58" s="314"/>
      <c r="V58" s="314"/>
      <c r="W58" s="314"/>
      <c r="X58" s="315"/>
      <c r="Y58" s="316"/>
      <c r="Z58" s="315"/>
      <c r="AA58" s="382">
        <f t="shared" si="6"/>
        <v>0</v>
      </c>
    </row>
    <row r="59" spans="3:27" ht="20.100000000000001" customHeight="1" thickBot="1" x14ac:dyDescent="0.25">
      <c r="C59" s="234"/>
      <c r="D59" s="362" t="s">
        <v>80</v>
      </c>
      <c r="E59" s="363"/>
      <c r="F59" s="364"/>
      <c r="G59" s="364"/>
      <c r="H59" s="364"/>
      <c r="I59" s="364"/>
      <c r="J59" s="364"/>
      <c r="K59" s="364"/>
      <c r="L59" s="364"/>
      <c r="M59" s="364"/>
      <c r="N59" s="364"/>
      <c r="O59" s="364"/>
      <c r="P59" s="364"/>
      <c r="Q59" s="364"/>
      <c r="R59" s="364"/>
      <c r="S59" s="364"/>
      <c r="T59" s="364"/>
      <c r="U59" s="364"/>
      <c r="V59" s="364"/>
      <c r="W59" s="364"/>
      <c r="X59" s="365"/>
      <c r="Y59" s="366"/>
      <c r="Z59" s="365"/>
      <c r="AA59" s="382">
        <f t="shared" si="6"/>
        <v>0</v>
      </c>
    </row>
    <row r="60" spans="3:27" x14ac:dyDescent="0.2">
      <c r="AA60" s="321"/>
    </row>
    <row r="63" spans="3:27" ht="18" x14ac:dyDescent="0.25">
      <c r="E63" s="230"/>
    </row>
    <row r="65" spans="4:27" ht="13.5" thickBot="1" x14ac:dyDescent="0.25"/>
    <row r="66" spans="4:27" ht="16.5" customHeight="1" thickBot="1" x14ac:dyDescent="0.25">
      <c r="D66" s="235" t="s">
        <v>79</v>
      </c>
      <c r="E66" s="429" t="s">
        <v>101</v>
      </c>
      <c r="F66" s="430"/>
      <c r="G66" s="430"/>
      <c r="H66" s="430"/>
      <c r="I66" s="430"/>
      <c r="J66" s="430"/>
      <c r="K66" s="430"/>
      <c r="L66" s="430"/>
      <c r="M66" s="430"/>
      <c r="N66" s="430"/>
      <c r="O66" s="430"/>
      <c r="P66" s="430"/>
      <c r="Q66" s="430"/>
      <c r="R66" s="430"/>
      <c r="S66" s="430"/>
      <c r="T66" s="430"/>
      <c r="U66" s="430"/>
      <c r="V66" s="430"/>
      <c r="W66" s="430"/>
      <c r="X66" s="430"/>
      <c r="Y66" s="430"/>
      <c r="Z66" s="431"/>
      <c r="AA66" s="381" t="s">
        <v>7</v>
      </c>
    </row>
    <row r="67" spans="4:27" ht="42" customHeight="1" thickBot="1" x14ac:dyDescent="0.25">
      <c r="D67" s="359" t="s">
        <v>81</v>
      </c>
      <c r="E67" s="455" t="s">
        <v>69</v>
      </c>
      <c r="F67" s="399" t="s">
        <v>99</v>
      </c>
      <c r="G67" s="395" t="s">
        <v>70</v>
      </c>
      <c r="H67" s="456" t="s">
        <v>71</v>
      </c>
      <c r="I67" s="457" t="s">
        <v>72</v>
      </c>
      <c r="J67" s="458" t="s">
        <v>73</v>
      </c>
      <c r="K67" s="459" t="s">
        <v>74</v>
      </c>
      <c r="L67" s="398" t="s">
        <v>75</v>
      </c>
      <c r="M67" s="460" t="s">
        <v>76</v>
      </c>
      <c r="N67" s="461" t="s">
        <v>77</v>
      </c>
      <c r="O67" s="400" t="s">
        <v>105</v>
      </c>
      <c r="P67" s="462" t="s">
        <v>106</v>
      </c>
      <c r="Q67" s="396" t="s">
        <v>107</v>
      </c>
      <c r="R67" s="463" t="s">
        <v>108</v>
      </c>
      <c r="S67" s="464" t="s">
        <v>109</v>
      </c>
      <c r="T67" s="465" t="s">
        <v>110</v>
      </c>
      <c r="U67" s="466" t="s">
        <v>111</v>
      </c>
      <c r="V67" s="397" t="s">
        <v>112</v>
      </c>
      <c r="W67" s="467" t="s">
        <v>113</v>
      </c>
      <c r="X67" s="468" t="s">
        <v>114</v>
      </c>
      <c r="Y67" s="471" t="s">
        <v>3</v>
      </c>
      <c r="Z67" s="472" t="s">
        <v>4</v>
      </c>
      <c r="AA67" s="388" t="s">
        <v>103</v>
      </c>
    </row>
    <row r="68" spans="4:27" ht="20.100000000000001" customHeight="1" x14ac:dyDescent="0.2">
      <c r="D68" s="244" t="s">
        <v>80</v>
      </c>
      <c r="E68" s="237"/>
      <c r="F68" s="238"/>
      <c r="G68" s="238"/>
      <c r="H68" s="238"/>
      <c r="I68" s="238"/>
      <c r="J68" s="238"/>
      <c r="K68" s="238"/>
      <c r="L68" s="238"/>
      <c r="M68" s="238"/>
      <c r="N68" s="238"/>
      <c r="O68" s="238"/>
      <c r="P68" s="238"/>
      <c r="Q68" s="238"/>
      <c r="R68" s="238"/>
      <c r="S68" s="238"/>
      <c r="T68" s="238"/>
      <c r="U68" s="238"/>
      <c r="V68" s="238"/>
      <c r="W68" s="238"/>
      <c r="X68" s="239"/>
      <c r="Y68" s="240"/>
      <c r="Z68" s="239"/>
      <c r="AA68" s="385">
        <f t="shared" ref="AA68:AA72" si="7">SUM(E68:Z68)</f>
        <v>0</v>
      </c>
    </row>
    <row r="69" spans="4:27" ht="20.100000000000001" customHeight="1" x14ac:dyDescent="0.2">
      <c r="D69" s="242" t="s">
        <v>80</v>
      </c>
      <c r="E69" s="179"/>
      <c r="F69" s="180"/>
      <c r="G69" s="180"/>
      <c r="H69" s="180"/>
      <c r="I69" s="180"/>
      <c r="J69" s="180"/>
      <c r="K69" s="180"/>
      <c r="L69" s="180"/>
      <c r="M69" s="180"/>
      <c r="N69" s="180"/>
      <c r="O69" s="180"/>
      <c r="P69" s="180"/>
      <c r="Q69" s="180"/>
      <c r="R69" s="180"/>
      <c r="S69" s="180"/>
      <c r="T69" s="180"/>
      <c r="U69" s="180"/>
      <c r="V69" s="180"/>
      <c r="W69" s="180"/>
      <c r="X69" s="181"/>
      <c r="Y69" s="182"/>
      <c r="Z69" s="181"/>
      <c r="AA69" s="311">
        <f t="shared" si="7"/>
        <v>0</v>
      </c>
    </row>
    <row r="70" spans="4:27" ht="20.100000000000001" customHeight="1" x14ac:dyDescent="0.2">
      <c r="D70" s="242" t="s">
        <v>80</v>
      </c>
      <c r="E70" s="179"/>
      <c r="F70" s="180"/>
      <c r="G70" s="180"/>
      <c r="H70" s="180"/>
      <c r="I70" s="180"/>
      <c r="J70" s="180"/>
      <c r="K70" s="180"/>
      <c r="L70" s="180"/>
      <c r="M70" s="180"/>
      <c r="N70" s="180"/>
      <c r="O70" s="180"/>
      <c r="P70" s="180"/>
      <c r="Q70" s="180"/>
      <c r="R70" s="180"/>
      <c r="S70" s="180"/>
      <c r="T70" s="180"/>
      <c r="U70" s="180"/>
      <c r="V70" s="180"/>
      <c r="W70" s="180"/>
      <c r="X70" s="181"/>
      <c r="Y70" s="182"/>
      <c r="Z70" s="181"/>
      <c r="AA70" s="311">
        <f t="shared" si="7"/>
        <v>0</v>
      </c>
    </row>
    <row r="71" spans="4:27" ht="20.100000000000001" customHeight="1" x14ac:dyDescent="0.2">
      <c r="D71" s="242" t="s">
        <v>80</v>
      </c>
      <c r="E71" s="179"/>
      <c r="F71" s="180"/>
      <c r="G71" s="180"/>
      <c r="H71" s="180"/>
      <c r="I71" s="180"/>
      <c r="J71" s="180"/>
      <c r="K71" s="180"/>
      <c r="L71" s="180"/>
      <c r="M71" s="180"/>
      <c r="N71" s="180"/>
      <c r="O71" s="180"/>
      <c r="P71" s="180"/>
      <c r="Q71" s="180"/>
      <c r="R71" s="180"/>
      <c r="S71" s="180"/>
      <c r="T71" s="180"/>
      <c r="U71" s="180"/>
      <c r="V71" s="180"/>
      <c r="W71" s="180"/>
      <c r="X71" s="181"/>
      <c r="Y71" s="182"/>
      <c r="Z71" s="181"/>
      <c r="AA71" s="311">
        <f t="shared" si="7"/>
        <v>0</v>
      </c>
    </row>
    <row r="72" spans="4:27" ht="20.100000000000001" customHeight="1" thickBot="1" x14ac:dyDescent="0.25">
      <c r="D72" s="243" t="s">
        <v>80</v>
      </c>
      <c r="E72" s="183"/>
      <c r="F72" s="184"/>
      <c r="G72" s="184"/>
      <c r="H72" s="184"/>
      <c r="I72" s="184"/>
      <c r="J72" s="184"/>
      <c r="K72" s="184"/>
      <c r="L72" s="184"/>
      <c r="M72" s="184"/>
      <c r="N72" s="184"/>
      <c r="O72" s="184"/>
      <c r="P72" s="184"/>
      <c r="Q72" s="184"/>
      <c r="R72" s="184"/>
      <c r="S72" s="184"/>
      <c r="T72" s="184"/>
      <c r="U72" s="184"/>
      <c r="V72" s="184"/>
      <c r="W72" s="184"/>
      <c r="X72" s="185"/>
      <c r="Y72" s="186"/>
      <c r="Z72" s="185"/>
      <c r="AA72" s="386">
        <f t="shared" si="7"/>
        <v>0</v>
      </c>
    </row>
    <row r="73" spans="4:27" ht="20.100000000000001" customHeight="1" x14ac:dyDescent="0.2">
      <c r="D73" s="236"/>
      <c r="E73" s="234"/>
      <c r="F73" s="234"/>
      <c r="G73" s="234"/>
      <c r="H73" s="234"/>
      <c r="I73" s="234"/>
      <c r="J73" s="234"/>
      <c r="K73" s="234"/>
      <c r="L73" s="234"/>
      <c r="M73" s="234"/>
      <c r="N73" s="234"/>
      <c r="O73" s="234"/>
      <c r="P73" s="234"/>
      <c r="Q73" s="234"/>
      <c r="R73" s="234"/>
      <c r="S73" s="234"/>
      <c r="T73" s="234"/>
      <c r="U73" s="234"/>
      <c r="V73" s="234"/>
      <c r="W73" s="234"/>
      <c r="X73" s="234"/>
      <c r="Y73" s="234"/>
      <c r="Z73" s="234"/>
    </row>
    <row r="74" spans="4:27" ht="20.100000000000001" customHeight="1" x14ac:dyDescent="0.2">
      <c r="D74" s="236"/>
      <c r="E74" s="234"/>
      <c r="F74" s="234"/>
      <c r="G74" s="234"/>
      <c r="H74" s="234"/>
      <c r="I74" s="234"/>
      <c r="J74" s="234"/>
      <c r="K74" s="234"/>
      <c r="L74" s="234"/>
      <c r="M74" s="234"/>
      <c r="N74" s="234"/>
      <c r="O74" s="234"/>
      <c r="P74" s="234"/>
      <c r="Q74" s="234"/>
      <c r="R74" s="234"/>
      <c r="S74" s="234"/>
      <c r="T74" s="234"/>
      <c r="U74" s="234"/>
      <c r="V74" s="234"/>
      <c r="W74" s="234"/>
      <c r="X74" s="234"/>
      <c r="Y74" s="234"/>
      <c r="Z74" s="234"/>
    </row>
    <row r="75" spans="4:27" ht="20.100000000000001" customHeight="1" thickBot="1" x14ac:dyDescent="0.25">
      <c r="D75" s="236"/>
      <c r="E75" s="234"/>
      <c r="F75" s="234"/>
      <c r="G75" s="234"/>
      <c r="H75" s="234"/>
      <c r="I75" s="234"/>
      <c r="J75" s="234"/>
      <c r="K75" s="234"/>
      <c r="L75" s="234"/>
      <c r="M75" s="234"/>
      <c r="N75" s="234"/>
      <c r="O75" s="234"/>
      <c r="P75" s="234"/>
      <c r="Q75" s="234"/>
      <c r="R75" s="234"/>
      <c r="S75" s="234"/>
      <c r="T75" s="234"/>
      <c r="U75" s="234"/>
      <c r="V75" s="234"/>
      <c r="W75" s="234"/>
      <c r="X75" s="234"/>
      <c r="Y75" s="234"/>
      <c r="Z75" s="234"/>
    </row>
    <row r="76" spans="4:27" ht="20.100000000000001" customHeight="1" thickBot="1" x14ac:dyDescent="0.25">
      <c r="D76" s="235" t="s">
        <v>83</v>
      </c>
      <c r="E76" s="429" t="s">
        <v>100</v>
      </c>
      <c r="F76" s="430"/>
      <c r="G76" s="430"/>
      <c r="H76" s="430"/>
      <c r="I76" s="430"/>
      <c r="J76" s="430"/>
      <c r="K76" s="430"/>
      <c r="L76" s="430"/>
      <c r="M76" s="430"/>
      <c r="N76" s="430"/>
      <c r="O76" s="430"/>
      <c r="P76" s="430"/>
      <c r="Q76" s="430"/>
      <c r="R76" s="430"/>
      <c r="S76" s="430"/>
      <c r="T76" s="430"/>
      <c r="U76" s="430"/>
      <c r="V76" s="430"/>
      <c r="W76" s="430"/>
      <c r="X76" s="430"/>
      <c r="Y76" s="430"/>
      <c r="Z76" s="431"/>
      <c r="AA76" s="387" t="s">
        <v>7</v>
      </c>
    </row>
    <row r="77" spans="4:27" ht="39.75" customHeight="1" thickBot="1" x14ac:dyDescent="0.25">
      <c r="D77" s="359" t="s">
        <v>81</v>
      </c>
      <c r="E77" s="455" t="s">
        <v>69</v>
      </c>
      <c r="F77" s="399" t="s">
        <v>99</v>
      </c>
      <c r="G77" s="395" t="s">
        <v>70</v>
      </c>
      <c r="H77" s="456" t="s">
        <v>71</v>
      </c>
      <c r="I77" s="457" t="s">
        <v>72</v>
      </c>
      <c r="J77" s="458" t="s">
        <v>73</v>
      </c>
      <c r="K77" s="459" t="s">
        <v>74</v>
      </c>
      <c r="L77" s="398" t="s">
        <v>75</v>
      </c>
      <c r="M77" s="460" t="s">
        <v>76</v>
      </c>
      <c r="N77" s="461" t="s">
        <v>77</v>
      </c>
      <c r="O77" s="400" t="s">
        <v>105</v>
      </c>
      <c r="P77" s="462" t="s">
        <v>106</v>
      </c>
      <c r="Q77" s="396" t="s">
        <v>107</v>
      </c>
      <c r="R77" s="463" t="s">
        <v>108</v>
      </c>
      <c r="S77" s="464" t="s">
        <v>109</v>
      </c>
      <c r="T77" s="465" t="s">
        <v>110</v>
      </c>
      <c r="U77" s="466" t="s">
        <v>111</v>
      </c>
      <c r="V77" s="397" t="s">
        <v>112</v>
      </c>
      <c r="W77" s="467" t="s">
        <v>113</v>
      </c>
      <c r="X77" s="468" t="s">
        <v>114</v>
      </c>
      <c r="Y77" s="471" t="s">
        <v>3</v>
      </c>
      <c r="Z77" s="472" t="s">
        <v>4</v>
      </c>
      <c r="AA77" s="384" t="s">
        <v>103</v>
      </c>
    </row>
    <row r="78" spans="4:27" ht="20.100000000000001" customHeight="1" x14ac:dyDescent="0.2">
      <c r="D78" s="244" t="s">
        <v>80</v>
      </c>
      <c r="E78" s="237"/>
      <c r="F78" s="238"/>
      <c r="G78" s="238"/>
      <c r="H78" s="238"/>
      <c r="I78" s="238"/>
      <c r="J78" s="238"/>
      <c r="K78" s="238"/>
      <c r="L78" s="238"/>
      <c r="M78" s="238"/>
      <c r="N78" s="238"/>
      <c r="O78" s="238"/>
      <c r="P78" s="238"/>
      <c r="Q78" s="238"/>
      <c r="R78" s="238"/>
      <c r="S78" s="238"/>
      <c r="T78" s="238"/>
      <c r="U78" s="238"/>
      <c r="V78" s="238"/>
      <c r="W78" s="238"/>
      <c r="X78" s="239"/>
      <c r="Y78" s="240"/>
      <c r="Z78" s="239"/>
      <c r="AA78" s="385">
        <f t="shared" ref="AA78:AA80" si="8">SUM(E78:Z78)</f>
        <v>0</v>
      </c>
    </row>
    <row r="79" spans="4:27" ht="20.100000000000001" customHeight="1" x14ac:dyDescent="0.2">
      <c r="D79" s="242" t="s">
        <v>80</v>
      </c>
      <c r="E79" s="179"/>
      <c r="F79" s="180"/>
      <c r="G79" s="180"/>
      <c r="H79" s="180"/>
      <c r="I79" s="180"/>
      <c r="J79" s="180"/>
      <c r="K79" s="180"/>
      <c r="L79" s="180"/>
      <c r="M79" s="180"/>
      <c r="N79" s="180"/>
      <c r="O79" s="180"/>
      <c r="P79" s="180"/>
      <c r="Q79" s="180"/>
      <c r="R79" s="180"/>
      <c r="S79" s="180"/>
      <c r="T79" s="180"/>
      <c r="U79" s="180"/>
      <c r="V79" s="180"/>
      <c r="W79" s="180"/>
      <c r="X79" s="181"/>
      <c r="Y79" s="182"/>
      <c r="Z79" s="181"/>
      <c r="AA79" s="311">
        <f t="shared" si="8"/>
        <v>0</v>
      </c>
    </row>
    <row r="80" spans="4:27" ht="20.100000000000001" customHeight="1" thickBot="1" x14ac:dyDescent="0.25">
      <c r="D80" s="243" t="s">
        <v>80</v>
      </c>
      <c r="E80" s="183"/>
      <c r="F80" s="184"/>
      <c r="G80" s="184"/>
      <c r="H80" s="184"/>
      <c r="I80" s="184"/>
      <c r="J80" s="184"/>
      <c r="K80" s="184"/>
      <c r="L80" s="184"/>
      <c r="M80" s="184"/>
      <c r="N80" s="184"/>
      <c r="O80" s="184"/>
      <c r="P80" s="184"/>
      <c r="Q80" s="184"/>
      <c r="R80" s="184"/>
      <c r="S80" s="184"/>
      <c r="T80" s="184"/>
      <c r="U80" s="184"/>
      <c r="V80" s="184"/>
      <c r="W80" s="184"/>
      <c r="X80" s="185"/>
      <c r="Y80" s="186"/>
      <c r="Z80" s="185"/>
      <c r="AA80" s="386">
        <f t="shared" si="8"/>
        <v>0</v>
      </c>
    </row>
    <row r="81" spans="4:27" ht="20.100000000000001" customHeight="1" x14ac:dyDescent="0.2">
      <c r="D81" s="236"/>
      <c r="E81" s="234"/>
      <c r="F81" s="234"/>
      <c r="G81" s="234"/>
      <c r="H81" s="234"/>
      <c r="I81" s="234"/>
      <c r="J81" s="234"/>
      <c r="K81" s="234"/>
      <c r="L81" s="234"/>
      <c r="M81" s="234"/>
      <c r="N81" s="234"/>
      <c r="O81" s="234"/>
      <c r="P81" s="234"/>
      <c r="Q81" s="234"/>
      <c r="R81" s="234"/>
      <c r="S81" s="234"/>
      <c r="T81" s="234"/>
      <c r="U81" s="234"/>
      <c r="V81" s="234"/>
      <c r="W81" s="234"/>
      <c r="X81" s="234"/>
      <c r="Y81" s="234"/>
      <c r="Z81" s="234"/>
      <c r="AA81" s="241"/>
    </row>
    <row r="82" spans="4:27" ht="20.100000000000001" customHeight="1" x14ac:dyDescent="0.2">
      <c r="D82" s="236"/>
      <c r="E82" s="234"/>
      <c r="F82" s="234"/>
      <c r="G82" s="234"/>
      <c r="H82" s="234"/>
      <c r="I82" s="234"/>
      <c r="J82" s="234"/>
      <c r="K82" s="234"/>
      <c r="L82" s="234"/>
      <c r="M82" s="234"/>
      <c r="N82" s="234"/>
      <c r="O82" s="234"/>
      <c r="P82" s="234"/>
      <c r="Q82" s="234"/>
      <c r="R82" s="234"/>
      <c r="S82" s="234"/>
      <c r="T82" s="234"/>
      <c r="U82" s="234"/>
      <c r="V82" s="234"/>
      <c r="W82" s="234"/>
      <c r="X82" s="234"/>
      <c r="Y82" s="234"/>
      <c r="Z82" s="234"/>
      <c r="AA82" s="241"/>
    </row>
  </sheetData>
  <sheetProtection algorithmName="SHA-512" hashValue="6Lf4aus0pE/Mm29E73dkXj6wd4A4eNGRqfnJm8ez0EEQ4w8rE3r0T+Gv0le7whHQdw2rR6ECW+jj62XROMDnUA==" saltValue="1lEP0CPFTMbTlgt1CwJ7wA==" spinCount="100000" sheet="1" objects="1" scenarios="1"/>
  <mergeCells count="7">
    <mergeCell ref="E76:Z76"/>
    <mergeCell ref="E1:Z1"/>
    <mergeCell ref="A10:B11"/>
    <mergeCell ref="A12:B14"/>
    <mergeCell ref="A15:B18"/>
    <mergeCell ref="E48:Z48"/>
    <mergeCell ref="E66:Z66"/>
  </mergeCells>
  <conditionalFormatting sqref="B8">
    <cfRule type="cellIs" dxfId="371" priority="5" operator="notEqual">
      <formula>$B$7</formula>
    </cfRule>
  </conditionalFormatting>
  <conditionalFormatting sqref="E3:AA12">
    <cfRule type="cellIs" dxfId="370" priority="4" operator="notBetween">
      <formula>0</formula>
      <formula>100</formula>
    </cfRule>
  </conditionalFormatting>
  <conditionalFormatting sqref="E3:AA14">
    <cfRule type="cellIs" dxfId="369" priority="7" operator="lessThan">
      <formula>0</formula>
    </cfRule>
  </conditionalFormatting>
  <conditionalFormatting sqref="E14:AA14">
    <cfRule type="cellIs" dxfId="368" priority="10" operator="greaterThan">
      <formula>1</formula>
    </cfRule>
  </conditionalFormatting>
  <conditionalFormatting sqref="AA3:AA13">
    <cfRule type="cellIs" dxfId="367" priority="8" operator="equal">
      <formula>0</formula>
    </cfRule>
  </conditionalFormatting>
  <conditionalFormatting sqref="AA13">
    <cfRule type="cellIs" dxfId="366" priority="12" operator="equal">
      <formula>$B$7</formula>
    </cfRule>
  </conditionalFormatting>
  <conditionalFormatting sqref="AA14">
    <cfRule type="cellIs" dxfId="365" priority="9" operator="equal">
      <formula>1</formula>
    </cfRule>
    <cfRule type="cellIs" dxfId="364" priority="11" operator="lessThan">
      <formula>1</formula>
    </cfRule>
  </conditionalFormatting>
  <conditionalFormatting sqref="AG4:AG15">
    <cfRule type="expression" dxfId="363" priority="13">
      <formula>AND($AG4&lt;$AG3, NOT(ISBLANK($AG4)))</formula>
    </cfRule>
    <cfRule type="cellIs" dxfId="362" priority="14" operator="greaterThan">
      <formula>$B$6</formula>
    </cfRule>
  </conditionalFormatting>
  <conditionalFormatting sqref="AH4:AH15">
    <cfRule type="cellIs" dxfId="361" priority="6" operator="greaterThan">
      <formula>1</formula>
    </cfRule>
  </conditionalFormatting>
  <conditionalFormatting sqref="D68:D72 D50:D59 D78:D80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3:Z12">
    <cfRule type="expression" dxfId="360" priority="15">
      <formula>($D3&lt;=$K$23)</formula>
    </cfRule>
  </conditionalFormatting>
  <conditionalFormatting sqref="AA3:AA12">
    <cfRule type="expression" dxfId="359" priority="16">
      <formula>AND($D3=$K$23, AA3=$J$24)</formula>
    </cfRule>
    <cfRule type="expression" dxfId="358" priority="17">
      <formula>AND($D3=$K$23, MOD(AA3,100)&gt;$J$24)</formula>
    </cfRule>
    <cfRule type="cellIs" dxfId="357" priority="18" operator="equal">
      <formula>100</formula>
    </cfRule>
  </conditionalFormatting>
  <conditionalFormatting sqref="D3:Z12">
    <cfRule type="expression" dxfId="356" priority="22">
      <formula>($D3&gt;$K$23)</formula>
    </cfRule>
  </conditionalFormatting>
  <conditionalFormatting sqref="AA50 AA68:AA72 AA78:AA80">
    <cfRule type="cellIs" dxfId="355" priority="23" operator="lessThan">
      <formula>0</formula>
    </cfRule>
    <cfRule type="cellIs" dxfId="354" priority="24" operator="equal">
      <formula>0</formula>
    </cfRule>
    <cfRule type="expression" dxfId="353" priority="25">
      <formula>OR(MOD($AA50,100)=0,AND($D50=$K$23,MOD($AA50,100)=$J$24))</formula>
    </cfRule>
  </conditionalFormatting>
  <conditionalFormatting sqref="E50:Z59">
    <cfRule type="expression" dxfId="352" priority="2">
      <formula>AND(E50&lt;MAX(E$50:E50), NOT(ISBLANK(E50)), NOT(E50=0))</formula>
    </cfRule>
  </conditionalFormatting>
  <conditionalFormatting sqref="AA52:AA59">
    <cfRule type="cellIs" dxfId="351" priority="27" operator="lessThan">
      <formula>0</formula>
    </cfRule>
    <cfRule type="cellIs" dxfId="350" priority="28" operator="equal">
      <formula>0</formula>
    </cfRule>
    <cfRule type="expression" dxfId="349" priority="29">
      <formula>OR(MOD($AA52,100)=0,AND($D52=$K$23,MOD($AA52,100)=$J$24))</formula>
    </cfRule>
  </conditionalFormatting>
  <conditionalFormatting sqref="AA51">
    <cfRule type="cellIs" dxfId="348" priority="30" operator="lessThan">
      <formula>0</formula>
    </cfRule>
    <cfRule type="cellIs" dxfId="347" priority="31" operator="equal">
      <formula>0</formula>
    </cfRule>
    <cfRule type="expression" dxfId="346" priority="32">
      <formula>OR(MOD($AA51,100)=0,AND($D50=$K$23,MOD($AA51,100)=$J$24))</formula>
    </cfRule>
  </conditionalFormatting>
  <conditionalFormatting sqref="E50:Z59 E68:Z72 E78:Z80">
    <cfRule type="cellIs" dxfId="345" priority="19" operator="notBetween">
      <formula>0</formula>
      <formula>$B$7</formula>
    </cfRule>
    <cfRule type="expression" dxfId="344" priority="20">
      <formula>($D50&lt;=$K$23)</formula>
    </cfRule>
    <cfRule type="expression" dxfId="343" priority="21">
      <formula>($D50&gt;$K$23)</formula>
    </cfRule>
  </conditionalFormatting>
  <conditionalFormatting sqref="E68:Z72">
    <cfRule type="expression" dxfId="342" priority="1">
      <formula>AND(E68&lt;MAX(E$68:E68), NOT(ISBLANK(E68)), NOT(E68=0))</formula>
    </cfRule>
  </conditionalFormatting>
  <conditionalFormatting sqref="E78:Z80">
    <cfRule type="expression" dxfId="341" priority="26">
      <formula>AND(E78&lt;MAX(E$78:E78), NOT(ISBLANK(E78)), NOT(E78=0))</formula>
    </cfRule>
  </conditionalFormatting>
  <dataValidations count="2">
    <dataValidation type="list" allowBlank="1" showInputMessage="1" showErrorMessage="1" sqref="D68:D72 D78:D82 D50:D59" xr:uid="{19FC0500-5AE8-42AA-BE53-9A61A7BC93AA}">
      <formula1>$D$3:$D$12</formula1>
    </dataValidation>
    <dataValidation type="list" allowBlank="1" showInputMessage="1" showErrorMessage="1" sqref="C50:C59" xr:uid="{CF3B3986-5818-481F-9371-A8D035848236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3F8A1-21CC-4143-9D85-B0B0B68E2033}">
  <sheetPr codeName="Feuil31">
    <tabColor rgb="FFB4A7D6"/>
  </sheetPr>
  <dimension ref="A1:AL82"/>
  <sheetViews>
    <sheetView zoomScale="80" zoomScaleNormal="80" workbookViewId="0">
      <pane xSplit="2" topLeftCell="C1" activePane="topRight" state="frozen"/>
      <selection pane="topRight" activeCell="B29" sqref="B29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24" width="15.7109375" customWidth="1"/>
    <col min="27" max="27" width="12.85546875" customWidth="1"/>
    <col min="28" max="28" width="11.42578125" customWidth="1"/>
    <col min="31" max="31" width="10.42578125" customWidth="1"/>
    <col min="32" max="32" width="15.42578125" customWidth="1"/>
    <col min="33" max="33" width="16.140625" customWidth="1"/>
    <col min="34" max="34" width="12" customWidth="1"/>
    <col min="36" max="36" width="13.28515625" customWidth="1"/>
    <col min="37" max="37" width="14.42578125" customWidth="1"/>
  </cols>
  <sheetData>
    <row r="1" spans="1:38" ht="16.5" customHeight="1" thickBot="1" x14ac:dyDescent="0.25">
      <c r="A1" s="308" t="s">
        <v>11</v>
      </c>
      <c r="B1" s="33">
        <f>Synthèse!B17</f>
        <v>46096</v>
      </c>
      <c r="D1" s="307"/>
      <c r="E1" s="432" t="s">
        <v>66</v>
      </c>
      <c r="F1" s="433"/>
      <c r="G1" s="433"/>
      <c r="H1" s="433"/>
      <c r="I1" s="433"/>
      <c r="J1" s="433"/>
      <c r="K1" s="433"/>
      <c r="L1" s="433"/>
      <c r="M1" s="433"/>
      <c r="N1" s="433"/>
      <c r="O1" s="433"/>
      <c r="P1" s="433"/>
      <c r="Q1" s="433"/>
      <c r="R1" s="433"/>
      <c r="S1" s="433"/>
      <c r="T1" s="433"/>
      <c r="U1" s="433"/>
      <c r="V1" s="433"/>
      <c r="W1" s="433"/>
      <c r="X1" s="433"/>
      <c r="Y1" s="433"/>
      <c r="Z1" s="434"/>
      <c r="AA1" s="392" t="s">
        <v>7</v>
      </c>
    </row>
    <row r="2" spans="1:38" ht="39.75" customHeight="1" thickBot="1" x14ac:dyDescent="0.25">
      <c r="A2" s="309" t="s">
        <v>12</v>
      </c>
      <c r="B2" s="34" t="str">
        <f>Synthèse!B18</f>
        <v>Municipales 1er tour</v>
      </c>
      <c r="D2" s="355" t="s">
        <v>82</v>
      </c>
      <c r="E2" s="455" t="str">
        <f>Synthèse!L2</f>
        <v>Candidat 1</v>
      </c>
      <c r="F2" s="399" t="str">
        <f>Synthèse!M2</f>
        <v>Candidat 2</v>
      </c>
      <c r="G2" s="395" t="str">
        <f>Synthèse!N2</f>
        <v>Candidat 3</v>
      </c>
      <c r="H2" s="456" t="str">
        <f>Synthèse!O2</f>
        <v>Candidat 4</v>
      </c>
      <c r="I2" s="457" t="str">
        <f>Synthèse!P2</f>
        <v>Candidat 5</v>
      </c>
      <c r="J2" s="458" t="str">
        <f>Synthèse!Q2</f>
        <v>Candidat 6</v>
      </c>
      <c r="K2" s="459" t="str">
        <f>Synthèse!R2</f>
        <v>Candidat 7</v>
      </c>
      <c r="L2" s="398" t="str">
        <f>Synthèse!S2</f>
        <v>Candidat 8</v>
      </c>
      <c r="M2" s="460" t="str">
        <f>Synthèse!T2</f>
        <v>Candidat 9</v>
      </c>
      <c r="N2" s="461" t="str">
        <f>Synthèse!U2</f>
        <v>Candidat 10</v>
      </c>
      <c r="O2" s="400" t="str">
        <f>Synthèse!V2</f>
        <v>Candidat 11</v>
      </c>
      <c r="P2" s="462" t="str">
        <f>Synthèse!W2</f>
        <v>Candidat 12</v>
      </c>
      <c r="Q2" s="396" t="str">
        <f>Synthèse!X2</f>
        <v>Candidat 13</v>
      </c>
      <c r="R2" s="463" t="str">
        <f>Synthèse!Y2</f>
        <v>Candidat 14</v>
      </c>
      <c r="S2" s="464" t="str">
        <f>Synthèse!Z2</f>
        <v>Candidat 15</v>
      </c>
      <c r="T2" s="465" t="str">
        <f>Synthèse!AA2</f>
        <v>Candidat 16</v>
      </c>
      <c r="U2" s="466" t="str">
        <f>Synthèse!AB2</f>
        <v>Candidat 17</v>
      </c>
      <c r="V2" s="397" t="str">
        <f>Synthèse!AC2</f>
        <v>Candidat 18</v>
      </c>
      <c r="W2" s="467" t="str">
        <f>Synthèse!AD2</f>
        <v>Candidat 19</v>
      </c>
      <c r="X2" s="468" t="str">
        <f>Synthèse!AE2</f>
        <v>Candidat 20</v>
      </c>
      <c r="Y2" s="469" t="s">
        <v>3</v>
      </c>
      <c r="Z2" s="470" t="s">
        <v>4</v>
      </c>
      <c r="AA2" s="393" t="s">
        <v>104</v>
      </c>
      <c r="AF2" s="367" t="s">
        <v>21</v>
      </c>
      <c r="AG2" s="368" t="s">
        <v>57</v>
      </c>
      <c r="AH2" s="369" t="s">
        <v>31</v>
      </c>
      <c r="AJ2" s="370" t="s">
        <v>59</v>
      </c>
      <c r="AK2" s="370" t="s">
        <v>58</v>
      </c>
    </row>
    <row r="3" spans="1:38" ht="20.100000000000001" customHeight="1" thickBot="1" x14ac:dyDescent="0.25">
      <c r="A3" s="310" t="s">
        <v>13</v>
      </c>
      <c r="B3" s="94" t="str">
        <f>Synthèse!B19</f>
        <v>Cogolin</v>
      </c>
      <c r="D3" s="352" t="str" cm="1">
        <f t="array" ref="D3">IF(ROW(1:1)&lt;=$K$23, (ROW(1:1)), "")</f>
        <v/>
      </c>
      <c r="E3" s="155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55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55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55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55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55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55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55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5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155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1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155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155" cm="1">
        <f t="array" ref="Q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R3" s="155" cm="1">
        <f t="array" ref="R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S3" s="155" cm="1">
        <f t="array" ref="S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T3" s="155" cm="1">
        <f t="array" ref="T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U3" s="155" cm="1">
        <f t="array" ref="U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V3" s="155" cm="1">
        <f t="array" ref="V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W3" s="155" cm="1">
        <f t="array" ref="W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X3" s="155" cm="1">
        <f t="array" ref="X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Y3" s="171" cm="1">
        <f t="array" ref="Y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Z3" s="172" cm="1">
        <f t="array" ref="Z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AA3" s="311">
        <f t="shared" ref="AA3:AA12" si="0">SUM(E3:Z3)</f>
        <v>0</v>
      </c>
      <c r="AF3" s="343" t="s">
        <v>32</v>
      </c>
      <c r="AG3" s="344">
        <v>0</v>
      </c>
      <c r="AH3" s="345">
        <f t="shared" ref="AH3" si="1">AG3/$B$6</f>
        <v>0</v>
      </c>
      <c r="AJ3" s="323"/>
      <c r="AK3" s="323"/>
    </row>
    <row r="4" spans="1:38" ht="20.100000000000001" customHeight="1" x14ac:dyDescent="0.2">
      <c r="A4" s="95" t="s">
        <v>23</v>
      </c>
      <c r="B4" s="168">
        <v>2</v>
      </c>
      <c r="D4" s="353" t="str" cm="1">
        <f t="array" ref="D4">IF(ROW(2:2)&lt;=$K$23, (ROW(2:2)), "")</f>
        <v/>
      </c>
      <c r="E4" s="156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56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56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56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56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56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56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56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5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156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156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156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156" cm="1">
        <f t="array" ref="Q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R4" s="156" cm="1">
        <f t="array" ref="R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S4" s="156" cm="1">
        <f t="array" ref="S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T4" s="156" cm="1">
        <f t="array" ref="T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U4" s="156" cm="1">
        <f t="array" ref="U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V4" s="156" cm="1">
        <f t="array" ref="V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W4" s="156" cm="1">
        <f t="array" ref="W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X4" s="156" cm="1">
        <f t="array" ref="X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Y4" s="157" cm="1">
        <f t="array" ref="Y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Z4" s="158" cm="1">
        <f t="array" ref="Z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AA4" s="311">
        <f t="shared" si="0"/>
        <v>0</v>
      </c>
      <c r="AF4" s="346" t="s">
        <v>33</v>
      </c>
      <c r="AG4" s="473"/>
      <c r="AH4" s="348" t="e">
        <f t="shared" ref="AH4:AH13" si="2">IF(OR(AG4=0, AG4=""), NA(), AG4/$B$6)</f>
        <v>#N/A</v>
      </c>
      <c r="AJ4" s="318" t="s">
        <v>45</v>
      </c>
      <c r="AK4" s="371" t="e">
        <f t="shared" ref="AK4:AK13" si="3">IF(AG4&lt;&gt;0,AG4-AG3,NA())</f>
        <v>#N/A</v>
      </c>
    </row>
    <row r="5" spans="1:38" ht="20.100000000000001" customHeight="1" x14ac:dyDescent="0.2">
      <c r="A5" s="96" t="s">
        <v>24</v>
      </c>
      <c r="B5" s="187" t="s">
        <v>27</v>
      </c>
      <c r="D5" s="353" t="str" cm="1">
        <f t="array" ref="D5">IF(ROW(3:3)&lt;=$K$23, (ROW(3:3)), "")</f>
        <v/>
      </c>
      <c r="E5" s="156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56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56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56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56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56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56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5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5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156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156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156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156" cm="1">
        <f t="array" ref="Q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R5" s="156" cm="1">
        <f t="array" ref="R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S5" s="156" cm="1">
        <f t="array" ref="S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T5" s="156" cm="1">
        <f t="array" ref="T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U5" s="156" cm="1">
        <f t="array" ref="U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V5" s="156" cm="1">
        <f t="array" ref="V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W5" s="156" cm="1">
        <f t="array" ref="W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X5" s="156" cm="1">
        <f t="array" ref="X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Y5" s="173" cm="1">
        <f t="array" ref="Y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Z5" s="174" cm="1">
        <f t="array" ref="Z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AA5" s="311">
        <f t="shared" si="0"/>
        <v>0</v>
      </c>
      <c r="AD5" s="231"/>
      <c r="AE5" s="232"/>
      <c r="AF5" s="346" t="s">
        <v>34</v>
      </c>
      <c r="AG5" s="473"/>
      <c r="AH5" s="348" t="e">
        <f t="shared" si="2"/>
        <v>#N/A</v>
      </c>
      <c r="AJ5" s="319" t="s">
        <v>46</v>
      </c>
      <c r="AK5" s="372" t="e">
        <f t="shared" si="3"/>
        <v>#N/A</v>
      </c>
    </row>
    <row r="6" spans="1:38" ht="20.100000000000001" customHeight="1" x14ac:dyDescent="0.2">
      <c r="A6" s="96" t="s">
        <v>0</v>
      </c>
      <c r="B6" s="188">
        <v>700</v>
      </c>
      <c r="D6" s="353" t="str" cm="1">
        <f t="array" ref="D6">IF(ROW(4:4)&lt;=$K$23, (ROW(4:4)), "")</f>
        <v/>
      </c>
      <c r="E6" s="156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56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56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56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56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56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56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5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5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156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156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156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156" cm="1">
        <f t="array" ref="Q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R6" s="156" cm="1">
        <f t="array" ref="R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S6" s="156" cm="1">
        <f t="array" ref="S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T6" s="156" cm="1">
        <f t="array" ref="T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U6" s="156" cm="1">
        <f t="array" ref="U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V6" s="156" cm="1">
        <f t="array" ref="V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W6" s="156" cm="1">
        <f t="array" ref="W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X6" s="156" cm="1">
        <f t="array" ref="X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Y6" s="173" cm="1">
        <f t="array" ref="Y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Z6" s="174" cm="1">
        <f t="array" ref="Z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AA6" s="311">
        <f t="shared" si="0"/>
        <v>0</v>
      </c>
      <c r="AD6" s="231"/>
      <c r="AE6" s="232"/>
      <c r="AF6" s="346" t="s">
        <v>35</v>
      </c>
      <c r="AG6" s="473"/>
      <c r="AH6" s="348" t="e">
        <f t="shared" si="2"/>
        <v>#N/A</v>
      </c>
      <c r="AJ6" s="319" t="s">
        <v>47</v>
      </c>
      <c r="AK6" s="372" t="e">
        <f t="shared" si="3"/>
        <v>#N/A</v>
      </c>
    </row>
    <row r="7" spans="1:38" ht="20.100000000000001" customHeight="1" x14ac:dyDescent="0.2">
      <c r="A7" s="96" t="s">
        <v>2</v>
      </c>
      <c r="B7" s="165">
        <f>MAX(AG4:AG15)</f>
        <v>0</v>
      </c>
      <c r="D7" s="353" t="str" cm="1">
        <f t="array" ref="D7">IF(ROW(5:5)&lt;=$K$23, (ROW(5:5)), "")</f>
        <v/>
      </c>
      <c r="E7" s="156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56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56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56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56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56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56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56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5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156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156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156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156" cm="1">
        <f t="array" ref="Q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R7" s="156" cm="1">
        <f t="array" ref="R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S7" s="156" cm="1">
        <f t="array" ref="S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T7" s="156" cm="1">
        <f t="array" ref="T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U7" s="156" cm="1">
        <f t="array" ref="U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V7" s="156" cm="1">
        <f t="array" ref="V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W7" s="156" cm="1">
        <f t="array" ref="W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X7" s="156" cm="1">
        <f t="array" ref="X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Y7" s="157" cm="1">
        <f t="array" ref="Y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Z7" s="158" cm="1">
        <f t="array" ref="Z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AA7" s="311">
        <f t="shared" si="0"/>
        <v>0</v>
      </c>
      <c r="AD7" s="231"/>
      <c r="AE7" s="232"/>
      <c r="AF7" s="346" t="s">
        <v>36</v>
      </c>
      <c r="AG7" s="473"/>
      <c r="AH7" s="348" t="e">
        <f t="shared" si="2"/>
        <v>#N/A</v>
      </c>
      <c r="AJ7" s="319" t="s">
        <v>54</v>
      </c>
      <c r="AK7" s="372" t="e">
        <f t="shared" si="3"/>
        <v>#N/A</v>
      </c>
    </row>
    <row r="8" spans="1:38" ht="20.100000000000001" customHeight="1" x14ac:dyDescent="0.2">
      <c r="A8" s="96" t="s">
        <v>1</v>
      </c>
      <c r="B8" s="166">
        <f>B7</f>
        <v>0</v>
      </c>
      <c r="D8" s="353" t="str" cm="1">
        <f t="array" ref="D8">IF(ROW(6:6)&lt;=$K$23, (ROW(6:6)), "")</f>
        <v/>
      </c>
      <c r="E8" s="156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56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56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56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56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56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56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56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5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156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156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156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156" cm="1">
        <f t="array" ref="Q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R8" s="156" cm="1">
        <f t="array" ref="R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S8" s="156" cm="1">
        <f t="array" ref="S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T8" s="156" cm="1">
        <f t="array" ref="T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U8" s="156" cm="1">
        <f t="array" ref="U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V8" s="156" cm="1">
        <f t="array" ref="V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W8" s="156" cm="1">
        <f t="array" ref="W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X8" s="156" cm="1">
        <f t="array" ref="X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Y8" s="157" cm="1">
        <f t="array" ref="Y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Z8" s="158" cm="1">
        <f t="array" ref="Z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AA8" s="311">
        <f t="shared" si="0"/>
        <v>0</v>
      </c>
      <c r="AD8" s="231"/>
      <c r="AE8" s="232"/>
      <c r="AF8" s="346" t="s">
        <v>37</v>
      </c>
      <c r="AG8" s="473"/>
      <c r="AH8" s="348" t="e">
        <f t="shared" si="2"/>
        <v>#N/A</v>
      </c>
      <c r="AJ8" s="319" t="s">
        <v>48</v>
      </c>
      <c r="AK8" s="372" t="e">
        <f t="shared" si="3"/>
        <v>#N/A</v>
      </c>
    </row>
    <row r="9" spans="1:38" ht="20.100000000000001" customHeight="1" thickBot="1" x14ac:dyDescent="0.25">
      <c r="A9" s="97" t="s">
        <v>17</v>
      </c>
      <c r="B9" s="167">
        <f>B6-B7</f>
        <v>700</v>
      </c>
      <c r="D9" s="353" t="str" cm="1">
        <f t="array" ref="D9">IF(ROW(7:7)&lt;=$K$23, (ROW(7:7)), "")</f>
        <v/>
      </c>
      <c r="E9" s="156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56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56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56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56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56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56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56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56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156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156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156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156" cm="1">
        <f t="array" ref="Q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R9" s="156" cm="1">
        <f t="array" ref="R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S9" s="156" cm="1">
        <f t="array" ref="S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T9" s="156" cm="1">
        <f t="array" ref="T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U9" s="156" cm="1">
        <f t="array" ref="U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V9" s="156" cm="1">
        <f t="array" ref="V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W9" s="156" cm="1">
        <f t="array" ref="W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X9" s="156" cm="1">
        <f t="array" ref="X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Y9" s="159" cm="1">
        <f t="array" ref="Y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Z9" s="160" cm="1">
        <f t="array" ref="Z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AA9" s="311">
        <f t="shared" si="0"/>
        <v>0</v>
      </c>
      <c r="AD9" s="231"/>
      <c r="AE9" s="232"/>
      <c r="AF9" s="346" t="s">
        <v>38</v>
      </c>
      <c r="AG9" s="473"/>
      <c r="AH9" s="348" t="e">
        <f t="shared" si="2"/>
        <v>#N/A</v>
      </c>
      <c r="AJ9" s="319" t="s">
        <v>49</v>
      </c>
      <c r="AK9" s="372" t="e">
        <f t="shared" si="3"/>
        <v>#N/A</v>
      </c>
    </row>
    <row r="10" spans="1:38" ht="20.100000000000001" customHeight="1" x14ac:dyDescent="0.2">
      <c r="A10" s="435" t="s">
        <v>60</v>
      </c>
      <c r="B10" s="435"/>
      <c r="D10" s="353" t="str" cm="1">
        <f t="array" ref="D10">IF(ROW(8:8)&lt;=$K$23, (ROW(8:8)), "")</f>
        <v/>
      </c>
      <c r="E10" s="156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56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56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56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56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56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56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56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56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156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156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156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156" cm="1">
        <f t="array" ref="Q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R10" s="156" cm="1">
        <f t="array" ref="R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S10" s="156" cm="1">
        <f t="array" ref="S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T10" s="156" cm="1">
        <f t="array" ref="T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U10" s="156" cm="1">
        <f t="array" ref="U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V10" s="156" cm="1">
        <f t="array" ref="V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W10" s="156" cm="1">
        <f t="array" ref="W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X10" s="156" cm="1">
        <f t="array" ref="X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Y10" s="159" cm="1">
        <f t="array" ref="Y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Z10" s="160" cm="1">
        <f t="array" ref="Z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AA10" s="311">
        <f t="shared" si="0"/>
        <v>0</v>
      </c>
      <c r="AD10" s="231"/>
      <c r="AE10" s="232"/>
      <c r="AF10" s="346" t="s">
        <v>39</v>
      </c>
      <c r="AG10" s="473"/>
      <c r="AH10" s="348" t="e">
        <f t="shared" si="2"/>
        <v>#N/A</v>
      </c>
      <c r="AJ10" s="319" t="s">
        <v>50</v>
      </c>
      <c r="AK10" s="372" t="e">
        <f t="shared" si="3"/>
        <v>#N/A</v>
      </c>
    </row>
    <row r="11" spans="1:38" ht="20.100000000000001" customHeight="1" x14ac:dyDescent="0.2">
      <c r="A11" s="436"/>
      <c r="B11" s="436"/>
      <c r="D11" s="353" t="str" cm="1">
        <f t="array" ref="D11">IF(ROW(9:9)&lt;=$K$23, (ROW(9:9)), "")</f>
        <v/>
      </c>
      <c r="E11" s="156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56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56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56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56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56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56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56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56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156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156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156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156" cm="1">
        <f t="array" ref="Q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R11" s="156" cm="1">
        <f t="array" ref="R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S11" s="156" cm="1">
        <f t="array" ref="S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T11" s="156" cm="1">
        <f t="array" ref="T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U11" s="156" cm="1">
        <f t="array" ref="U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V11" s="156" cm="1">
        <f t="array" ref="V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W11" s="156" cm="1">
        <f t="array" ref="W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X11" s="156">
        <v>0</v>
      </c>
      <c r="Y11" s="159" cm="1">
        <f t="array" ref="Y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Z11" s="160" cm="1">
        <f t="array" ref="Z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AA11" s="311">
        <f t="shared" si="0"/>
        <v>0</v>
      </c>
      <c r="AD11" s="231"/>
      <c r="AE11" s="232"/>
      <c r="AF11" s="346" t="s">
        <v>40</v>
      </c>
      <c r="AG11" s="473"/>
      <c r="AH11" s="348" t="e">
        <f t="shared" si="2"/>
        <v>#N/A</v>
      </c>
      <c r="AJ11" s="319" t="s">
        <v>51</v>
      </c>
      <c r="AK11" s="372" t="e">
        <f t="shared" si="3"/>
        <v>#N/A</v>
      </c>
    </row>
    <row r="12" spans="1:38" ht="20.100000000000001" customHeight="1" thickBot="1" x14ac:dyDescent="0.25">
      <c r="A12" s="437" t="s">
        <v>61</v>
      </c>
      <c r="B12" s="437"/>
      <c r="D12" s="354" t="str" cm="1">
        <f t="array" ref="D12">IF(ROW(10:10)&lt;=$K$23, (ROW(10:10)), "")</f>
        <v/>
      </c>
      <c r="E12" s="156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56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56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56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56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56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56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56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56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156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156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156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156" cm="1">
        <f t="array" ref="Q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R12" s="156" cm="1">
        <f t="array" ref="R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S12" s="156" cm="1">
        <f t="array" ref="S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T12" s="156" cm="1">
        <f t="array" ref="T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U12" s="156" cm="1">
        <f t="array" ref="U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V12" s="156" cm="1">
        <f t="array" ref="V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W12" s="156" cm="1">
        <f t="array" ref="W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X12" s="156" cm="1">
        <f t="array" ref="X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Y12" s="175" cm="1">
        <f t="array" ref="Y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Z12" s="176" cm="1">
        <f t="array" ref="Z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AA12" s="311">
        <f t="shared" si="0"/>
        <v>0</v>
      </c>
      <c r="AD12" s="231"/>
      <c r="AE12" s="232"/>
      <c r="AF12" s="346" t="s">
        <v>41</v>
      </c>
      <c r="AG12" s="473"/>
      <c r="AH12" s="348" t="e">
        <f t="shared" si="2"/>
        <v>#N/A</v>
      </c>
      <c r="AJ12" s="319" t="s">
        <v>52</v>
      </c>
      <c r="AK12" s="372" t="e">
        <f t="shared" si="3"/>
        <v>#N/A</v>
      </c>
    </row>
    <row r="13" spans="1:38" ht="20.100000000000001" customHeight="1" thickBot="1" x14ac:dyDescent="0.3">
      <c r="A13" s="437"/>
      <c r="B13" s="437"/>
      <c r="D13" s="50" t="s">
        <v>9</v>
      </c>
      <c r="E13" s="161">
        <f t="shared" ref="E13:AA13" si="4">SUM(E3:E12)</f>
        <v>0</v>
      </c>
      <c r="F13" s="162">
        <f t="shared" si="4"/>
        <v>0</v>
      </c>
      <c r="G13" s="162">
        <f t="shared" si="4"/>
        <v>0</v>
      </c>
      <c r="H13" s="162">
        <f t="shared" si="4"/>
        <v>0</v>
      </c>
      <c r="I13" s="162">
        <f t="shared" si="4"/>
        <v>0</v>
      </c>
      <c r="J13" s="162">
        <f t="shared" si="4"/>
        <v>0</v>
      </c>
      <c r="K13" s="162">
        <f t="shared" si="4"/>
        <v>0</v>
      </c>
      <c r="L13" s="162">
        <f t="shared" si="4"/>
        <v>0</v>
      </c>
      <c r="M13" s="162">
        <f t="shared" si="4"/>
        <v>0</v>
      </c>
      <c r="N13" s="162">
        <f t="shared" si="4"/>
        <v>0</v>
      </c>
      <c r="O13" s="162">
        <f t="shared" si="4"/>
        <v>0</v>
      </c>
      <c r="P13" s="162">
        <f t="shared" si="4"/>
        <v>0</v>
      </c>
      <c r="Q13" s="162">
        <f t="shared" si="4"/>
        <v>0</v>
      </c>
      <c r="R13" s="162">
        <f t="shared" si="4"/>
        <v>0</v>
      </c>
      <c r="S13" s="162">
        <f t="shared" si="4"/>
        <v>0</v>
      </c>
      <c r="T13" s="162">
        <f t="shared" si="4"/>
        <v>0</v>
      </c>
      <c r="U13" s="162">
        <f t="shared" si="4"/>
        <v>0</v>
      </c>
      <c r="V13" s="162">
        <f t="shared" si="4"/>
        <v>0</v>
      </c>
      <c r="W13" s="162">
        <f t="shared" si="4"/>
        <v>0</v>
      </c>
      <c r="X13" s="162">
        <f t="shared" si="4"/>
        <v>0</v>
      </c>
      <c r="Y13" s="163">
        <f t="shared" si="4"/>
        <v>0</v>
      </c>
      <c r="Z13" s="164">
        <f t="shared" si="4"/>
        <v>0</v>
      </c>
      <c r="AA13" s="312">
        <f t="shared" si="4"/>
        <v>0</v>
      </c>
      <c r="AD13" s="231"/>
      <c r="AE13" s="232"/>
      <c r="AF13" s="346" t="s">
        <v>42</v>
      </c>
      <c r="AG13" s="473"/>
      <c r="AH13" s="348" t="e">
        <f t="shared" si="2"/>
        <v>#N/A</v>
      </c>
      <c r="AJ13" s="320" t="s">
        <v>53</v>
      </c>
      <c r="AK13" s="373" t="e">
        <f t="shared" si="3"/>
        <v>#N/A</v>
      </c>
    </row>
    <row r="14" spans="1:38" ht="20.100000000000001" customHeight="1" thickBot="1" x14ac:dyDescent="0.3">
      <c r="A14" s="437"/>
      <c r="B14" s="437"/>
      <c r="D14" s="83" t="s">
        <v>10</v>
      </c>
      <c r="E14" s="45">
        <f t="shared" ref="E14:AA14" si="5">IFERROR(E13/$B$7,0)</f>
        <v>0</v>
      </c>
      <c r="F14" s="46">
        <f t="shared" si="5"/>
        <v>0</v>
      </c>
      <c r="G14" s="46">
        <f t="shared" si="5"/>
        <v>0</v>
      </c>
      <c r="H14" s="46">
        <f t="shared" si="5"/>
        <v>0</v>
      </c>
      <c r="I14" s="46">
        <f t="shared" si="5"/>
        <v>0</v>
      </c>
      <c r="J14" s="46">
        <f t="shared" si="5"/>
        <v>0</v>
      </c>
      <c r="K14" s="46">
        <f t="shared" si="5"/>
        <v>0</v>
      </c>
      <c r="L14" s="46">
        <f t="shared" si="5"/>
        <v>0</v>
      </c>
      <c r="M14" s="46">
        <f t="shared" si="5"/>
        <v>0</v>
      </c>
      <c r="N14" s="46">
        <f t="shared" si="5"/>
        <v>0</v>
      </c>
      <c r="O14" s="46">
        <f t="shared" si="5"/>
        <v>0</v>
      </c>
      <c r="P14" s="46">
        <f t="shared" si="5"/>
        <v>0</v>
      </c>
      <c r="Q14" s="46">
        <f t="shared" si="5"/>
        <v>0</v>
      </c>
      <c r="R14" s="46">
        <f t="shared" si="5"/>
        <v>0</v>
      </c>
      <c r="S14" s="46">
        <f t="shared" si="5"/>
        <v>0</v>
      </c>
      <c r="T14" s="46">
        <f t="shared" si="5"/>
        <v>0</v>
      </c>
      <c r="U14" s="46">
        <f t="shared" si="5"/>
        <v>0</v>
      </c>
      <c r="V14" s="46">
        <f t="shared" si="5"/>
        <v>0</v>
      </c>
      <c r="W14" s="46">
        <f t="shared" si="5"/>
        <v>0</v>
      </c>
      <c r="X14" s="46">
        <f t="shared" si="5"/>
        <v>0</v>
      </c>
      <c r="Y14" s="45">
        <f t="shared" si="5"/>
        <v>0</v>
      </c>
      <c r="Z14" s="47">
        <f t="shared" si="5"/>
        <v>0</v>
      </c>
      <c r="AA14" s="322">
        <f t="shared" si="5"/>
        <v>0</v>
      </c>
      <c r="AF14" s="377" t="s">
        <v>43</v>
      </c>
      <c r="AG14" s="474"/>
      <c r="AH14" s="350" t="e">
        <f>IF(OR(AG14=0, AG14=""), NA(), AG14/$B$6)</f>
        <v>#N/A</v>
      </c>
      <c r="AI14" s="375"/>
      <c r="AJ14" s="379" t="s">
        <v>55</v>
      </c>
      <c r="AK14" s="374" t="e">
        <f>IF(AG14&lt;&gt;0,AG14-AG13,NA())</f>
        <v>#N/A</v>
      </c>
      <c r="AL14" s="375"/>
    </row>
    <row r="15" spans="1:38" ht="18" customHeight="1" thickBot="1" x14ac:dyDescent="0.25">
      <c r="A15" s="438" t="s">
        <v>68</v>
      </c>
      <c r="B15" s="438"/>
      <c r="C15" s="1"/>
      <c r="D15" s="1"/>
      <c r="AA15" s="321"/>
      <c r="AF15" s="317" t="s">
        <v>44</v>
      </c>
      <c r="AG15" s="475"/>
      <c r="AH15" s="376" t="e">
        <f>IF(OR(AG15=0, AG15=""), NA(), AG15/$B$6)</f>
        <v>#N/A</v>
      </c>
      <c r="AJ15" s="380" t="s">
        <v>56</v>
      </c>
      <c r="AK15" s="378" t="e">
        <f>IF(AG15&lt;&gt;0,AG15-AG14,NA())</f>
        <v>#N/A</v>
      </c>
      <c r="AL15" s="375"/>
    </row>
    <row r="16" spans="1:38" ht="12.75" customHeight="1" x14ac:dyDescent="0.2">
      <c r="A16" s="438"/>
      <c r="B16" s="438"/>
      <c r="AF16" s="321"/>
      <c r="AG16" s="321"/>
      <c r="AH16" s="321"/>
      <c r="AK16" s="321"/>
    </row>
    <row r="17" spans="1:11" ht="18" customHeight="1" x14ac:dyDescent="0.25">
      <c r="A17" s="438"/>
      <c r="B17" s="438"/>
      <c r="E17" s="230"/>
    </row>
    <row r="18" spans="1:11" ht="26.25" customHeight="1" x14ac:dyDescent="0.2">
      <c r="A18" s="438"/>
      <c r="B18" s="438"/>
    </row>
    <row r="23" spans="1:11" x14ac:dyDescent="0.2">
      <c r="H23" s="177" t="s">
        <v>64</v>
      </c>
      <c r="J23" s="245">
        <f>CEILING($B$6, 100)/100</f>
        <v>7</v>
      </c>
      <c r="K23" s="245">
        <f>CEILING($B$7,100)/100</f>
        <v>0</v>
      </c>
    </row>
    <row r="24" spans="1:11" x14ac:dyDescent="0.2">
      <c r="H24" s="178">
        <f>IF((ROW()-23)&lt;=$K$24,(ROW()-23),"Choisir")</f>
        <v>1</v>
      </c>
      <c r="J24" s="245">
        <f>MOD($B$7,100)</f>
        <v>0</v>
      </c>
      <c r="K24" s="246">
        <f>CEILING($B$6/300,1)</f>
        <v>3</v>
      </c>
    </row>
    <row r="25" spans="1:11" x14ac:dyDescent="0.2">
      <c r="H25" s="178">
        <f>IF((ROW()-23)&lt;=$K$24,(ROW()-23),"Choisir")</f>
        <v>2</v>
      </c>
    </row>
    <row r="26" spans="1:11" x14ac:dyDescent="0.2">
      <c r="H26" s="178">
        <f>IF((ROW()-23)&lt;=$K$24,(ROW()-23),"Choisir")</f>
        <v>3</v>
      </c>
    </row>
    <row r="27" spans="1:11" x14ac:dyDescent="0.2">
      <c r="H27" s="178" t="str">
        <f>IF((ROW()-23)&lt;=$K$24,(ROW()-23),"Choisir")</f>
        <v>Choisir</v>
      </c>
    </row>
    <row r="46" spans="4:27" x14ac:dyDescent="0.2">
      <c r="E46" s="169"/>
    </row>
    <row r="47" spans="4:27" ht="13.5" thickBot="1" x14ac:dyDescent="0.25">
      <c r="E47" s="169"/>
    </row>
    <row r="48" spans="4:27" ht="20.100000000000001" customHeight="1" thickBot="1" x14ac:dyDescent="0.25">
      <c r="D48" s="235" t="s">
        <v>78</v>
      </c>
      <c r="E48" s="429" t="s">
        <v>102</v>
      </c>
      <c r="F48" s="430"/>
      <c r="G48" s="430"/>
      <c r="H48" s="430"/>
      <c r="I48" s="430"/>
      <c r="J48" s="430"/>
      <c r="K48" s="430"/>
      <c r="L48" s="430"/>
      <c r="M48" s="430"/>
      <c r="N48" s="430"/>
      <c r="O48" s="430"/>
      <c r="P48" s="430"/>
      <c r="Q48" s="430"/>
      <c r="R48" s="430"/>
      <c r="S48" s="430"/>
      <c r="T48" s="430"/>
      <c r="U48" s="430"/>
      <c r="V48" s="430"/>
      <c r="W48" s="430"/>
      <c r="X48" s="430"/>
      <c r="Y48" s="430"/>
      <c r="Z48" s="431"/>
      <c r="AA48" s="381" t="s">
        <v>7</v>
      </c>
    </row>
    <row r="49" spans="3:27" ht="47.25" customHeight="1" thickBot="1" x14ac:dyDescent="0.25">
      <c r="C49" s="233"/>
      <c r="D49" s="359" t="s">
        <v>81</v>
      </c>
      <c r="E49" s="455" t="s">
        <v>69</v>
      </c>
      <c r="F49" s="399" t="s">
        <v>99</v>
      </c>
      <c r="G49" s="395" t="s">
        <v>70</v>
      </c>
      <c r="H49" s="456" t="s">
        <v>71</v>
      </c>
      <c r="I49" s="457" t="s">
        <v>72</v>
      </c>
      <c r="J49" s="458" t="s">
        <v>73</v>
      </c>
      <c r="K49" s="459" t="s">
        <v>74</v>
      </c>
      <c r="L49" s="398" t="s">
        <v>75</v>
      </c>
      <c r="M49" s="460" t="s">
        <v>76</v>
      </c>
      <c r="N49" s="461" t="s">
        <v>77</v>
      </c>
      <c r="O49" s="400" t="s">
        <v>105</v>
      </c>
      <c r="P49" s="462" t="s">
        <v>106</v>
      </c>
      <c r="Q49" s="396" t="s">
        <v>107</v>
      </c>
      <c r="R49" s="463" t="s">
        <v>108</v>
      </c>
      <c r="S49" s="464" t="s">
        <v>109</v>
      </c>
      <c r="T49" s="465" t="s">
        <v>110</v>
      </c>
      <c r="U49" s="466" t="s">
        <v>111</v>
      </c>
      <c r="V49" s="397" t="s">
        <v>112</v>
      </c>
      <c r="W49" s="467" t="s">
        <v>113</v>
      </c>
      <c r="X49" s="468" t="s">
        <v>114</v>
      </c>
      <c r="Y49" s="471" t="s">
        <v>3</v>
      </c>
      <c r="Z49" s="472" t="s">
        <v>4</v>
      </c>
      <c r="AA49" s="383" t="s">
        <v>103</v>
      </c>
    </row>
    <row r="50" spans="3:27" ht="19.5" customHeight="1" x14ac:dyDescent="0.2">
      <c r="C50" s="234"/>
      <c r="D50" s="358" t="s">
        <v>80</v>
      </c>
      <c r="E50" s="313"/>
      <c r="F50" s="314"/>
      <c r="G50" s="314"/>
      <c r="H50" s="314"/>
      <c r="I50" s="314"/>
      <c r="J50" s="314"/>
      <c r="K50" s="314"/>
      <c r="L50" s="314"/>
      <c r="M50" s="314"/>
      <c r="N50" s="314"/>
      <c r="O50" s="314"/>
      <c r="P50" s="314"/>
      <c r="Q50" s="314"/>
      <c r="R50" s="314"/>
      <c r="S50" s="314"/>
      <c r="T50" s="314"/>
      <c r="U50" s="314"/>
      <c r="V50" s="314"/>
      <c r="W50" s="314"/>
      <c r="X50" s="315"/>
      <c r="Y50" s="316"/>
      <c r="Z50" s="315"/>
      <c r="AA50" s="382">
        <f t="shared" ref="AA50:AA59" si="6">SUM(E50:Z50)</f>
        <v>0</v>
      </c>
    </row>
    <row r="51" spans="3:27" ht="20.100000000000001" customHeight="1" x14ac:dyDescent="0.2">
      <c r="C51" s="234"/>
      <c r="D51" s="358" t="s">
        <v>80</v>
      </c>
      <c r="E51" s="313"/>
      <c r="F51" s="314"/>
      <c r="G51" s="314"/>
      <c r="H51" s="314"/>
      <c r="I51" s="314"/>
      <c r="J51" s="314"/>
      <c r="K51" s="314"/>
      <c r="L51" s="314"/>
      <c r="M51" s="314"/>
      <c r="N51" s="314"/>
      <c r="O51" s="314"/>
      <c r="P51" s="314"/>
      <c r="Q51" s="314"/>
      <c r="R51" s="314"/>
      <c r="S51" s="314"/>
      <c r="T51" s="314"/>
      <c r="U51" s="314"/>
      <c r="V51" s="314"/>
      <c r="W51" s="314"/>
      <c r="X51" s="315"/>
      <c r="Y51" s="316"/>
      <c r="Z51" s="315"/>
      <c r="AA51" s="382">
        <f t="shared" si="6"/>
        <v>0</v>
      </c>
    </row>
    <row r="52" spans="3:27" ht="20.100000000000001" customHeight="1" x14ac:dyDescent="0.2">
      <c r="C52" s="234"/>
      <c r="D52" s="358" t="s">
        <v>80</v>
      </c>
      <c r="E52" s="313"/>
      <c r="F52" s="314"/>
      <c r="G52" s="314"/>
      <c r="H52" s="314"/>
      <c r="I52" s="314"/>
      <c r="J52" s="314"/>
      <c r="K52" s="314"/>
      <c r="L52" s="314"/>
      <c r="M52" s="314"/>
      <c r="N52" s="314"/>
      <c r="O52" s="314"/>
      <c r="P52" s="314"/>
      <c r="Q52" s="314"/>
      <c r="R52" s="314"/>
      <c r="S52" s="314"/>
      <c r="T52" s="314"/>
      <c r="U52" s="314"/>
      <c r="V52" s="314"/>
      <c r="W52" s="314"/>
      <c r="X52" s="315"/>
      <c r="Y52" s="316"/>
      <c r="Z52" s="315"/>
      <c r="AA52" s="382">
        <f t="shared" si="6"/>
        <v>0</v>
      </c>
    </row>
    <row r="53" spans="3:27" ht="20.100000000000001" customHeight="1" x14ac:dyDescent="0.2">
      <c r="C53" s="234"/>
      <c r="D53" s="358" t="s">
        <v>80</v>
      </c>
      <c r="E53" s="313"/>
      <c r="F53" s="314"/>
      <c r="G53" s="314"/>
      <c r="H53" s="314"/>
      <c r="I53" s="314"/>
      <c r="J53" s="314"/>
      <c r="K53" s="314"/>
      <c r="L53" s="314"/>
      <c r="M53" s="314"/>
      <c r="N53" s="314"/>
      <c r="O53" s="314"/>
      <c r="P53" s="314"/>
      <c r="Q53" s="314"/>
      <c r="R53" s="314"/>
      <c r="S53" s="314"/>
      <c r="T53" s="314"/>
      <c r="U53" s="314"/>
      <c r="V53" s="314"/>
      <c r="W53" s="314"/>
      <c r="X53" s="315"/>
      <c r="Y53" s="316"/>
      <c r="Z53" s="315"/>
      <c r="AA53" s="382">
        <f t="shared" si="6"/>
        <v>0</v>
      </c>
    </row>
    <row r="54" spans="3:27" ht="20.100000000000001" customHeight="1" x14ac:dyDescent="0.2">
      <c r="C54" s="234"/>
      <c r="D54" s="358" t="s">
        <v>80</v>
      </c>
      <c r="E54" s="313"/>
      <c r="F54" s="314"/>
      <c r="G54" s="314"/>
      <c r="H54" s="314"/>
      <c r="I54" s="314"/>
      <c r="J54" s="314"/>
      <c r="K54" s="314"/>
      <c r="L54" s="314"/>
      <c r="M54" s="314"/>
      <c r="N54" s="314"/>
      <c r="O54" s="314"/>
      <c r="P54" s="314"/>
      <c r="Q54" s="314"/>
      <c r="R54" s="314"/>
      <c r="S54" s="314"/>
      <c r="T54" s="314"/>
      <c r="U54" s="314"/>
      <c r="V54" s="314"/>
      <c r="W54" s="314"/>
      <c r="X54" s="315"/>
      <c r="Y54" s="316"/>
      <c r="Z54" s="315"/>
      <c r="AA54" s="382">
        <f t="shared" si="6"/>
        <v>0</v>
      </c>
    </row>
    <row r="55" spans="3:27" ht="20.100000000000001" customHeight="1" x14ac:dyDescent="0.2">
      <c r="C55" s="234"/>
      <c r="D55" s="358" t="s">
        <v>80</v>
      </c>
      <c r="E55" s="313"/>
      <c r="F55" s="314"/>
      <c r="G55" s="314"/>
      <c r="H55" s="314"/>
      <c r="I55" s="314"/>
      <c r="J55" s="314"/>
      <c r="K55" s="314"/>
      <c r="L55" s="314"/>
      <c r="M55" s="314"/>
      <c r="N55" s="314"/>
      <c r="O55" s="314"/>
      <c r="P55" s="314"/>
      <c r="Q55" s="314"/>
      <c r="R55" s="314"/>
      <c r="S55" s="314"/>
      <c r="T55" s="314"/>
      <c r="U55" s="314"/>
      <c r="V55" s="314"/>
      <c r="W55" s="314"/>
      <c r="X55" s="315"/>
      <c r="Y55" s="316"/>
      <c r="Z55" s="315"/>
      <c r="AA55" s="382">
        <f t="shared" si="6"/>
        <v>0</v>
      </c>
    </row>
    <row r="56" spans="3:27" ht="20.100000000000001" customHeight="1" x14ac:dyDescent="0.2">
      <c r="C56" s="234"/>
      <c r="D56" s="358" t="s">
        <v>80</v>
      </c>
      <c r="E56" s="313"/>
      <c r="F56" s="314"/>
      <c r="G56" s="314"/>
      <c r="H56" s="314"/>
      <c r="I56" s="314"/>
      <c r="J56" s="314"/>
      <c r="K56" s="314"/>
      <c r="L56" s="314"/>
      <c r="M56" s="314"/>
      <c r="N56" s="314"/>
      <c r="O56" s="314"/>
      <c r="P56" s="314"/>
      <c r="Q56" s="314"/>
      <c r="R56" s="314"/>
      <c r="S56" s="314"/>
      <c r="T56" s="314"/>
      <c r="U56" s="314"/>
      <c r="V56" s="314"/>
      <c r="W56" s="314"/>
      <c r="X56" s="315"/>
      <c r="Y56" s="316"/>
      <c r="Z56" s="315"/>
      <c r="AA56" s="382">
        <f t="shared" si="6"/>
        <v>0</v>
      </c>
    </row>
    <row r="57" spans="3:27" ht="20.100000000000001" customHeight="1" x14ac:dyDescent="0.2">
      <c r="C57" s="234"/>
      <c r="D57" s="358" t="s">
        <v>80</v>
      </c>
      <c r="E57" s="313"/>
      <c r="F57" s="314"/>
      <c r="G57" s="314"/>
      <c r="H57" s="314"/>
      <c r="I57" s="314"/>
      <c r="J57" s="314"/>
      <c r="K57" s="314"/>
      <c r="L57" s="314"/>
      <c r="M57" s="314"/>
      <c r="N57" s="314"/>
      <c r="O57" s="314"/>
      <c r="P57" s="314"/>
      <c r="Q57" s="314"/>
      <c r="R57" s="314"/>
      <c r="S57" s="314"/>
      <c r="T57" s="314"/>
      <c r="U57" s="314"/>
      <c r="V57" s="314"/>
      <c r="W57" s="314"/>
      <c r="X57" s="315"/>
      <c r="Y57" s="316"/>
      <c r="Z57" s="315"/>
      <c r="AA57" s="382">
        <f t="shared" si="6"/>
        <v>0</v>
      </c>
    </row>
    <row r="58" spans="3:27" ht="20.100000000000001" customHeight="1" x14ac:dyDescent="0.2">
      <c r="C58" s="234"/>
      <c r="D58" s="358" t="s">
        <v>80</v>
      </c>
      <c r="E58" s="313"/>
      <c r="F58" s="314"/>
      <c r="G58" s="314"/>
      <c r="H58" s="314"/>
      <c r="I58" s="314"/>
      <c r="J58" s="314"/>
      <c r="K58" s="314"/>
      <c r="L58" s="314"/>
      <c r="M58" s="314"/>
      <c r="N58" s="314"/>
      <c r="O58" s="314"/>
      <c r="P58" s="314"/>
      <c r="Q58" s="314"/>
      <c r="R58" s="314"/>
      <c r="S58" s="314"/>
      <c r="T58" s="314"/>
      <c r="U58" s="314"/>
      <c r="V58" s="314"/>
      <c r="W58" s="314"/>
      <c r="X58" s="315"/>
      <c r="Y58" s="316"/>
      <c r="Z58" s="315"/>
      <c r="AA58" s="382">
        <f t="shared" si="6"/>
        <v>0</v>
      </c>
    </row>
    <row r="59" spans="3:27" ht="20.100000000000001" customHeight="1" thickBot="1" x14ac:dyDescent="0.25">
      <c r="C59" s="234"/>
      <c r="D59" s="362" t="s">
        <v>80</v>
      </c>
      <c r="E59" s="363"/>
      <c r="F59" s="364"/>
      <c r="G59" s="364"/>
      <c r="H59" s="364"/>
      <c r="I59" s="364"/>
      <c r="J59" s="364"/>
      <c r="K59" s="364"/>
      <c r="L59" s="364"/>
      <c r="M59" s="364"/>
      <c r="N59" s="364"/>
      <c r="O59" s="364"/>
      <c r="P59" s="364"/>
      <c r="Q59" s="364"/>
      <c r="R59" s="364"/>
      <c r="S59" s="364"/>
      <c r="T59" s="364"/>
      <c r="U59" s="364"/>
      <c r="V59" s="364"/>
      <c r="W59" s="364"/>
      <c r="X59" s="365"/>
      <c r="Y59" s="366"/>
      <c r="Z59" s="365"/>
      <c r="AA59" s="382">
        <f t="shared" si="6"/>
        <v>0</v>
      </c>
    </row>
    <row r="60" spans="3:27" x14ac:dyDescent="0.2">
      <c r="AA60" s="321"/>
    </row>
    <row r="63" spans="3:27" ht="18" x14ac:dyDescent="0.25">
      <c r="E63" s="230"/>
    </row>
    <row r="65" spans="4:27" ht="13.5" thickBot="1" x14ac:dyDescent="0.25"/>
    <row r="66" spans="4:27" ht="16.5" customHeight="1" thickBot="1" x14ac:dyDescent="0.25">
      <c r="D66" s="235" t="s">
        <v>79</v>
      </c>
      <c r="E66" s="429" t="s">
        <v>101</v>
      </c>
      <c r="F66" s="430"/>
      <c r="G66" s="430"/>
      <c r="H66" s="430"/>
      <c r="I66" s="430"/>
      <c r="J66" s="430"/>
      <c r="K66" s="430"/>
      <c r="L66" s="430"/>
      <c r="M66" s="430"/>
      <c r="N66" s="430"/>
      <c r="O66" s="430"/>
      <c r="P66" s="430"/>
      <c r="Q66" s="430"/>
      <c r="R66" s="430"/>
      <c r="S66" s="430"/>
      <c r="T66" s="430"/>
      <c r="U66" s="430"/>
      <c r="V66" s="430"/>
      <c r="W66" s="430"/>
      <c r="X66" s="430"/>
      <c r="Y66" s="430"/>
      <c r="Z66" s="431"/>
      <c r="AA66" s="381" t="s">
        <v>7</v>
      </c>
    </row>
    <row r="67" spans="4:27" ht="42" customHeight="1" thickBot="1" x14ac:dyDescent="0.25">
      <c r="D67" s="359" t="s">
        <v>81</v>
      </c>
      <c r="E67" s="455" t="s">
        <v>69</v>
      </c>
      <c r="F67" s="399" t="s">
        <v>99</v>
      </c>
      <c r="G67" s="395" t="s">
        <v>70</v>
      </c>
      <c r="H67" s="456" t="s">
        <v>71</v>
      </c>
      <c r="I67" s="457" t="s">
        <v>72</v>
      </c>
      <c r="J67" s="458" t="s">
        <v>73</v>
      </c>
      <c r="K67" s="459" t="s">
        <v>74</v>
      </c>
      <c r="L67" s="398" t="s">
        <v>75</v>
      </c>
      <c r="M67" s="460" t="s">
        <v>76</v>
      </c>
      <c r="N67" s="461" t="s">
        <v>77</v>
      </c>
      <c r="O67" s="400" t="s">
        <v>105</v>
      </c>
      <c r="P67" s="462" t="s">
        <v>106</v>
      </c>
      <c r="Q67" s="396" t="s">
        <v>107</v>
      </c>
      <c r="R67" s="463" t="s">
        <v>108</v>
      </c>
      <c r="S67" s="464" t="s">
        <v>109</v>
      </c>
      <c r="T67" s="465" t="s">
        <v>110</v>
      </c>
      <c r="U67" s="466" t="s">
        <v>111</v>
      </c>
      <c r="V67" s="397" t="s">
        <v>112</v>
      </c>
      <c r="W67" s="467" t="s">
        <v>113</v>
      </c>
      <c r="X67" s="468" t="s">
        <v>114</v>
      </c>
      <c r="Y67" s="471" t="s">
        <v>3</v>
      </c>
      <c r="Z67" s="472" t="s">
        <v>4</v>
      </c>
      <c r="AA67" s="388" t="s">
        <v>103</v>
      </c>
    </row>
    <row r="68" spans="4:27" ht="20.100000000000001" customHeight="1" x14ac:dyDescent="0.2">
      <c r="D68" s="244" t="s">
        <v>80</v>
      </c>
      <c r="E68" s="237"/>
      <c r="F68" s="238"/>
      <c r="G68" s="238"/>
      <c r="H68" s="238"/>
      <c r="I68" s="238"/>
      <c r="J68" s="238"/>
      <c r="K68" s="238"/>
      <c r="L68" s="238"/>
      <c r="M68" s="238"/>
      <c r="N68" s="238"/>
      <c r="O68" s="238"/>
      <c r="P68" s="238"/>
      <c r="Q68" s="238"/>
      <c r="R68" s="238"/>
      <c r="S68" s="238"/>
      <c r="T68" s="238"/>
      <c r="U68" s="238"/>
      <c r="V68" s="238"/>
      <c r="W68" s="238"/>
      <c r="X68" s="239"/>
      <c r="Y68" s="240"/>
      <c r="Z68" s="239"/>
      <c r="AA68" s="385">
        <f t="shared" ref="AA68:AA72" si="7">SUM(E68:Z68)</f>
        <v>0</v>
      </c>
    </row>
    <row r="69" spans="4:27" ht="20.100000000000001" customHeight="1" x14ac:dyDescent="0.2">
      <c r="D69" s="242" t="s">
        <v>80</v>
      </c>
      <c r="E69" s="179"/>
      <c r="F69" s="180"/>
      <c r="G69" s="180"/>
      <c r="H69" s="180"/>
      <c r="I69" s="180"/>
      <c r="J69" s="180"/>
      <c r="K69" s="180"/>
      <c r="L69" s="180"/>
      <c r="M69" s="180"/>
      <c r="N69" s="180"/>
      <c r="O69" s="180"/>
      <c r="P69" s="180"/>
      <c r="Q69" s="180"/>
      <c r="R69" s="180"/>
      <c r="S69" s="180"/>
      <c r="T69" s="180"/>
      <c r="U69" s="180"/>
      <c r="V69" s="180"/>
      <c r="W69" s="180"/>
      <c r="X69" s="181"/>
      <c r="Y69" s="182"/>
      <c r="Z69" s="181"/>
      <c r="AA69" s="311">
        <f t="shared" si="7"/>
        <v>0</v>
      </c>
    </row>
    <row r="70" spans="4:27" ht="20.100000000000001" customHeight="1" x14ac:dyDescent="0.2">
      <c r="D70" s="242" t="s">
        <v>80</v>
      </c>
      <c r="E70" s="179"/>
      <c r="F70" s="180"/>
      <c r="G70" s="180"/>
      <c r="H70" s="180"/>
      <c r="I70" s="180"/>
      <c r="J70" s="180"/>
      <c r="K70" s="180"/>
      <c r="L70" s="180"/>
      <c r="M70" s="180"/>
      <c r="N70" s="180"/>
      <c r="O70" s="180"/>
      <c r="P70" s="180"/>
      <c r="Q70" s="180"/>
      <c r="R70" s="180"/>
      <c r="S70" s="180"/>
      <c r="T70" s="180"/>
      <c r="U70" s="180"/>
      <c r="V70" s="180"/>
      <c r="W70" s="180"/>
      <c r="X70" s="181"/>
      <c r="Y70" s="182"/>
      <c r="Z70" s="181"/>
      <c r="AA70" s="311">
        <f t="shared" si="7"/>
        <v>0</v>
      </c>
    </row>
    <row r="71" spans="4:27" ht="20.100000000000001" customHeight="1" x14ac:dyDescent="0.2">
      <c r="D71" s="242" t="s">
        <v>80</v>
      </c>
      <c r="E71" s="179"/>
      <c r="F71" s="180"/>
      <c r="G71" s="180"/>
      <c r="H71" s="180"/>
      <c r="I71" s="180"/>
      <c r="J71" s="180"/>
      <c r="K71" s="180"/>
      <c r="L71" s="180"/>
      <c r="M71" s="180"/>
      <c r="N71" s="180"/>
      <c r="O71" s="180"/>
      <c r="P71" s="180"/>
      <c r="Q71" s="180"/>
      <c r="R71" s="180"/>
      <c r="S71" s="180"/>
      <c r="T71" s="180"/>
      <c r="U71" s="180"/>
      <c r="V71" s="180"/>
      <c r="W71" s="180"/>
      <c r="X71" s="181"/>
      <c r="Y71" s="182"/>
      <c r="Z71" s="181"/>
      <c r="AA71" s="311">
        <f t="shared" si="7"/>
        <v>0</v>
      </c>
    </row>
    <row r="72" spans="4:27" ht="20.100000000000001" customHeight="1" thickBot="1" x14ac:dyDescent="0.25">
      <c r="D72" s="243" t="s">
        <v>80</v>
      </c>
      <c r="E72" s="183"/>
      <c r="F72" s="184"/>
      <c r="G72" s="184"/>
      <c r="H72" s="184"/>
      <c r="I72" s="184"/>
      <c r="J72" s="184"/>
      <c r="K72" s="184"/>
      <c r="L72" s="184"/>
      <c r="M72" s="184"/>
      <c r="N72" s="184"/>
      <c r="O72" s="184"/>
      <c r="P72" s="184"/>
      <c r="Q72" s="184"/>
      <c r="R72" s="184"/>
      <c r="S72" s="184"/>
      <c r="T72" s="184"/>
      <c r="U72" s="184"/>
      <c r="V72" s="184"/>
      <c r="W72" s="184"/>
      <c r="X72" s="185"/>
      <c r="Y72" s="186"/>
      <c r="Z72" s="185"/>
      <c r="AA72" s="386">
        <f t="shared" si="7"/>
        <v>0</v>
      </c>
    </row>
    <row r="73" spans="4:27" ht="20.100000000000001" customHeight="1" x14ac:dyDescent="0.2">
      <c r="D73" s="236"/>
      <c r="E73" s="234"/>
      <c r="F73" s="234"/>
      <c r="G73" s="234"/>
      <c r="H73" s="234"/>
      <c r="I73" s="234"/>
      <c r="J73" s="234"/>
      <c r="K73" s="234"/>
      <c r="L73" s="234"/>
      <c r="M73" s="234"/>
      <c r="N73" s="234"/>
      <c r="O73" s="234"/>
      <c r="P73" s="234"/>
      <c r="Q73" s="234"/>
      <c r="R73" s="234"/>
      <c r="S73" s="234"/>
      <c r="T73" s="234"/>
      <c r="U73" s="234"/>
      <c r="V73" s="234"/>
      <c r="W73" s="234"/>
      <c r="X73" s="234"/>
      <c r="Y73" s="234"/>
      <c r="Z73" s="234"/>
    </row>
    <row r="74" spans="4:27" ht="20.100000000000001" customHeight="1" x14ac:dyDescent="0.2">
      <c r="D74" s="236"/>
      <c r="E74" s="234"/>
      <c r="F74" s="234"/>
      <c r="G74" s="234"/>
      <c r="H74" s="234"/>
      <c r="I74" s="234"/>
      <c r="J74" s="234"/>
      <c r="K74" s="234"/>
      <c r="L74" s="234"/>
      <c r="M74" s="234"/>
      <c r="N74" s="234"/>
      <c r="O74" s="234"/>
      <c r="P74" s="234"/>
      <c r="Q74" s="234"/>
      <c r="R74" s="234"/>
      <c r="S74" s="234"/>
      <c r="T74" s="234"/>
      <c r="U74" s="234"/>
      <c r="V74" s="234"/>
      <c r="W74" s="234"/>
      <c r="X74" s="234"/>
      <c r="Y74" s="234"/>
      <c r="Z74" s="234"/>
    </row>
    <row r="75" spans="4:27" ht="20.100000000000001" customHeight="1" thickBot="1" x14ac:dyDescent="0.25">
      <c r="D75" s="236"/>
      <c r="E75" s="234"/>
      <c r="F75" s="234"/>
      <c r="G75" s="234"/>
      <c r="H75" s="234"/>
      <c r="I75" s="234"/>
      <c r="J75" s="234"/>
      <c r="K75" s="234"/>
      <c r="L75" s="234"/>
      <c r="M75" s="234"/>
      <c r="N75" s="234"/>
      <c r="O75" s="234"/>
      <c r="P75" s="234"/>
      <c r="Q75" s="234"/>
      <c r="R75" s="234"/>
      <c r="S75" s="234"/>
      <c r="T75" s="234"/>
      <c r="U75" s="234"/>
      <c r="V75" s="234"/>
      <c r="W75" s="234"/>
      <c r="X75" s="234"/>
      <c r="Y75" s="234"/>
      <c r="Z75" s="234"/>
    </row>
    <row r="76" spans="4:27" ht="20.100000000000001" customHeight="1" thickBot="1" x14ac:dyDescent="0.25">
      <c r="D76" s="235" t="s">
        <v>83</v>
      </c>
      <c r="E76" s="429" t="s">
        <v>100</v>
      </c>
      <c r="F76" s="430"/>
      <c r="G76" s="430"/>
      <c r="H76" s="430"/>
      <c r="I76" s="430"/>
      <c r="J76" s="430"/>
      <c r="K76" s="430"/>
      <c r="L76" s="430"/>
      <c r="M76" s="430"/>
      <c r="N76" s="430"/>
      <c r="O76" s="430"/>
      <c r="P76" s="430"/>
      <c r="Q76" s="430"/>
      <c r="R76" s="430"/>
      <c r="S76" s="430"/>
      <c r="T76" s="430"/>
      <c r="U76" s="430"/>
      <c r="V76" s="430"/>
      <c r="W76" s="430"/>
      <c r="X76" s="430"/>
      <c r="Y76" s="430"/>
      <c r="Z76" s="431"/>
      <c r="AA76" s="387" t="s">
        <v>7</v>
      </c>
    </row>
    <row r="77" spans="4:27" ht="39.75" customHeight="1" thickBot="1" x14ac:dyDescent="0.25">
      <c r="D77" s="359" t="s">
        <v>81</v>
      </c>
      <c r="E77" s="455" t="s">
        <v>69</v>
      </c>
      <c r="F77" s="399" t="s">
        <v>99</v>
      </c>
      <c r="G77" s="395" t="s">
        <v>70</v>
      </c>
      <c r="H77" s="456" t="s">
        <v>71</v>
      </c>
      <c r="I77" s="457" t="s">
        <v>72</v>
      </c>
      <c r="J77" s="458" t="s">
        <v>73</v>
      </c>
      <c r="K77" s="459" t="s">
        <v>74</v>
      </c>
      <c r="L77" s="398" t="s">
        <v>75</v>
      </c>
      <c r="M77" s="460" t="s">
        <v>76</v>
      </c>
      <c r="N77" s="461" t="s">
        <v>77</v>
      </c>
      <c r="O77" s="400" t="s">
        <v>105</v>
      </c>
      <c r="P77" s="462" t="s">
        <v>106</v>
      </c>
      <c r="Q77" s="396" t="s">
        <v>107</v>
      </c>
      <c r="R77" s="463" t="s">
        <v>108</v>
      </c>
      <c r="S77" s="464" t="s">
        <v>109</v>
      </c>
      <c r="T77" s="465" t="s">
        <v>110</v>
      </c>
      <c r="U77" s="466" t="s">
        <v>111</v>
      </c>
      <c r="V77" s="397" t="s">
        <v>112</v>
      </c>
      <c r="W77" s="467" t="s">
        <v>113</v>
      </c>
      <c r="X77" s="468" t="s">
        <v>114</v>
      </c>
      <c r="Y77" s="471" t="s">
        <v>3</v>
      </c>
      <c r="Z77" s="472" t="s">
        <v>4</v>
      </c>
      <c r="AA77" s="384" t="s">
        <v>103</v>
      </c>
    </row>
    <row r="78" spans="4:27" ht="20.100000000000001" customHeight="1" x14ac:dyDescent="0.2">
      <c r="D78" s="244" t="s">
        <v>80</v>
      </c>
      <c r="E78" s="237"/>
      <c r="F78" s="238"/>
      <c r="G78" s="238"/>
      <c r="H78" s="238"/>
      <c r="I78" s="238"/>
      <c r="J78" s="238"/>
      <c r="K78" s="238"/>
      <c r="L78" s="238"/>
      <c r="M78" s="238"/>
      <c r="N78" s="238"/>
      <c r="O78" s="238"/>
      <c r="P78" s="238"/>
      <c r="Q78" s="238"/>
      <c r="R78" s="238"/>
      <c r="S78" s="238"/>
      <c r="T78" s="238"/>
      <c r="U78" s="238"/>
      <c r="V78" s="238"/>
      <c r="W78" s="238"/>
      <c r="X78" s="239"/>
      <c r="Y78" s="240"/>
      <c r="Z78" s="239"/>
      <c r="AA78" s="385">
        <f t="shared" ref="AA78:AA80" si="8">SUM(E78:Z78)</f>
        <v>0</v>
      </c>
    </row>
    <row r="79" spans="4:27" ht="20.100000000000001" customHeight="1" x14ac:dyDescent="0.2">
      <c r="D79" s="242" t="s">
        <v>80</v>
      </c>
      <c r="E79" s="179"/>
      <c r="F79" s="180"/>
      <c r="G79" s="180"/>
      <c r="H79" s="180"/>
      <c r="I79" s="180"/>
      <c r="J79" s="180"/>
      <c r="K79" s="180"/>
      <c r="L79" s="180"/>
      <c r="M79" s="180"/>
      <c r="N79" s="180"/>
      <c r="O79" s="180"/>
      <c r="P79" s="180"/>
      <c r="Q79" s="180"/>
      <c r="R79" s="180"/>
      <c r="S79" s="180"/>
      <c r="T79" s="180"/>
      <c r="U79" s="180"/>
      <c r="V79" s="180"/>
      <c r="W79" s="180"/>
      <c r="X79" s="181"/>
      <c r="Y79" s="182"/>
      <c r="Z79" s="181"/>
      <c r="AA79" s="311">
        <f t="shared" si="8"/>
        <v>0</v>
      </c>
    </row>
    <row r="80" spans="4:27" ht="20.100000000000001" customHeight="1" thickBot="1" x14ac:dyDescent="0.25">
      <c r="D80" s="243" t="s">
        <v>80</v>
      </c>
      <c r="E80" s="183"/>
      <c r="F80" s="184"/>
      <c r="G80" s="184"/>
      <c r="H80" s="184"/>
      <c r="I80" s="184"/>
      <c r="J80" s="184"/>
      <c r="K80" s="184"/>
      <c r="L80" s="184"/>
      <c r="M80" s="184"/>
      <c r="N80" s="184"/>
      <c r="O80" s="184"/>
      <c r="P80" s="184"/>
      <c r="Q80" s="184"/>
      <c r="R80" s="184"/>
      <c r="S80" s="184"/>
      <c r="T80" s="184"/>
      <c r="U80" s="184"/>
      <c r="V80" s="184"/>
      <c r="W80" s="184"/>
      <c r="X80" s="185"/>
      <c r="Y80" s="186"/>
      <c r="Z80" s="185"/>
      <c r="AA80" s="386">
        <f t="shared" si="8"/>
        <v>0</v>
      </c>
    </row>
    <row r="81" spans="4:27" ht="20.100000000000001" customHeight="1" x14ac:dyDescent="0.2">
      <c r="D81" s="236"/>
      <c r="E81" s="234"/>
      <c r="F81" s="234"/>
      <c r="G81" s="234"/>
      <c r="H81" s="234"/>
      <c r="I81" s="234"/>
      <c r="J81" s="234"/>
      <c r="K81" s="234"/>
      <c r="L81" s="234"/>
      <c r="M81" s="234"/>
      <c r="N81" s="234"/>
      <c r="O81" s="234"/>
      <c r="P81" s="234"/>
      <c r="Q81" s="234"/>
      <c r="R81" s="234"/>
      <c r="S81" s="234"/>
      <c r="T81" s="234"/>
      <c r="U81" s="234"/>
      <c r="V81" s="234"/>
      <c r="W81" s="234"/>
      <c r="X81" s="234"/>
      <c r="Y81" s="234"/>
      <c r="Z81" s="234"/>
      <c r="AA81" s="241"/>
    </row>
    <row r="82" spans="4:27" ht="20.100000000000001" customHeight="1" x14ac:dyDescent="0.2">
      <c r="D82" s="236"/>
      <c r="E82" s="234"/>
      <c r="F82" s="234"/>
      <c r="G82" s="234"/>
      <c r="H82" s="234"/>
      <c r="I82" s="234"/>
      <c r="J82" s="234"/>
      <c r="K82" s="234"/>
      <c r="L82" s="234"/>
      <c r="M82" s="234"/>
      <c r="N82" s="234"/>
      <c r="O82" s="234"/>
      <c r="P82" s="234"/>
      <c r="Q82" s="234"/>
      <c r="R82" s="234"/>
      <c r="S82" s="234"/>
      <c r="T82" s="234"/>
      <c r="U82" s="234"/>
      <c r="V82" s="234"/>
      <c r="W82" s="234"/>
      <c r="X82" s="234"/>
      <c r="Y82" s="234"/>
      <c r="Z82" s="234"/>
      <c r="AA82" s="241"/>
    </row>
  </sheetData>
  <sheetProtection algorithmName="SHA-512" hashValue="SX3qXoBvYqjCbayKcbYohkvRtY5MnqS7jTSz9g5U6Z1XhD+2Km/TN1dOvXZVxaiFEQwcKOiAAjbTQn1ErXR5fw==" saltValue="6dohFT75vV+Re2aAYvX9/Q==" spinCount="100000" sheet="1" objects="1" scenarios="1"/>
  <mergeCells count="7">
    <mergeCell ref="E76:Z76"/>
    <mergeCell ref="E1:Z1"/>
    <mergeCell ref="A10:B11"/>
    <mergeCell ref="A12:B14"/>
    <mergeCell ref="A15:B18"/>
    <mergeCell ref="E48:Z48"/>
    <mergeCell ref="E66:Z66"/>
  </mergeCells>
  <conditionalFormatting sqref="B8">
    <cfRule type="cellIs" dxfId="340" priority="5" operator="notEqual">
      <formula>$B$7</formula>
    </cfRule>
  </conditionalFormatting>
  <conditionalFormatting sqref="E3:AA12">
    <cfRule type="cellIs" dxfId="339" priority="4" operator="notBetween">
      <formula>0</formula>
      <formula>100</formula>
    </cfRule>
  </conditionalFormatting>
  <conditionalFormatting sqref="E3:AA14">
    <cfRule type="cellIs" dxfId="338" priority="7" operator="lessThan">
      <formula>0</formula>
    </cfRule>
  </conditionalFormatting>
  <conditionalFormatting sqref="E14:AA14">
    <cfRule type="cellIs" dxfId="337" priority="10" operator="greaterThan">
      <formula>1</formula>
    </cfRule>
  </conditionalFormatting>
  <conditionalFormatting sqref="AA3:AA13">
    <cfRule type="cellIs" dxfId="336" priority="8" operator="equal">
      <formula>0</formula>
    </cfRule>
  </conditionalFormatting>
  <conditionalFormatting sqref="AA13">
    <cfRule type="cellIs" dxfId="335" priority="12" operator="equal">
      <formula>$B$7</formula>
    </cfRule>
  </conditionalFormatting>
  <conditionalFormatting sqref="AA14">
    <cfRule type="cellIs" dxfId="334" priority="9" operator="equal">
      <formula>1</formula>
    </cfRule>
    <cfRule type="cellIs" dxfId="333" priority="11" operator="lessThan">
      <formula>1</formula>
    </cfRule>
  </conditionalFormatting>
  <conditionalFormatting sqref="AG4:AG15">
    <cfRule type="expression" dxfId="332" priority="13">
      <formula>AND($AG4&lt;$AG3, NOT(ISBLANK($AG4)))</formula>
    </cfRule>
    <cfRule type="cellIs" dxfId="331" priority="14" operator="greaterThan">
      <formula>$B$6</formula>
    </cfRule>
  </conditionalFormatting>
  <conditionalFormatting sqref="AH4:AH15">
    <cfRule type="cellIs" dxfId="330" priority="6" operator="greaterThan">
      <formula>1</formula>
    </cfRule>
  </conditionalFormatting>
  <conditionalFormatting sqref="D68:D72 D50:D59 D78:D80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3:Z12">
    <cfRule type="expression" dxfId="329" priority="15">
      <formula>($D3&lt;=$K$23)</formula>
    </cfRule>
  </conditionalFormatting>
  <conditionalFormatting sqref="AA3:AA12">
    <cfRule type="expression" dxfId="328" priority="16">
      <formula>AND($D3=$K$23, AA3=$J$24)</formula>
    </cfRule>
    <cfRule type="expression" dxfId="327" priority="17">
      <formula>AND($D3=$K$23, MOD(AA3,100)&gt;$J$24)</formula>
    </cfRule>
    <cfRule type="cellIs" dxfId="326" priority="18" operator="equal">
      <formula>100</formula>
    </cfRule>
  </conditionalFormatting>
  <conditionalFormatting sqref="D3:Z12">
    <cfRule type="expression" dxfId="325" priority="22">
      <formula>($D3&gt;$K$23)</formula>
    </cfRule>
  </conditionalFormatting>
  <conditionalFormatting sqref="AA50 AA68:AA72 AA78:AA80">
    <cfRule type="cellIs" dxfId="324" priority="23" operator="lessThan">
      <formula>0</formula>
    </cfRule>
    <cfRule type="cellIs" dxfId="323" priority="24" operator="equal">
      <formula>0</formula>
    </cfRule>
    <cfRule type="expression" dxfId="322" priority="25">
      <formula>OR(MOD($AA50,100)=0,AND($D50=$K$23,MOD($AA50,100)=$J$24))</formula>
    </cfRule>
  </conditionalFormatting>
  <conditionalFormatting sqref="E50:Z59">
    <cfRule type="expression" dxfId="321" priority="2">
      <formula>AND(E50&lt;MAX(E$50:E50), NOT(ISBLANK(E50)), NOT(E50=0))</formula>
    </cfRule>
  </conditionalFormatting>
  <conditionalFormatting sqref="AA52:AA59">
    <cfRule type="cellIs" dxfId="320" priority="27" operator="lessThan">
      <formula>0</formula>
    </cfRule>
    <cfRule type="cellIs" dxfId="319" priority="28" operator="equal">
      <formula>0</formula>
    </cfRule>
    <cfRule type="expression" dxfId="318" priority="29">
      <formula>OR(MOD($AA52,100)=0,AND($D52=$K$23,MOD($AA52,100)=$J$24))</formula>
    </cfRule>
  </conditionalFormatting>
  <conditionalFormatting sqref="AA51">
    <cfRule type="cellIs" dxfId="317" priority="30" operator="lessThan">
      <formula>0</formula>
    </cfRule>
    <cfRule type="cellIs" dxfId="316" priority="31" operator="equal">
      <formula>0</formula>
    </cfRule>
    <cfRule type="expression" dxfId="315" priority="32">
      <formula>OR(MOD($AA51,100)=0,AND($D50=$K$23,MOD($AA51,100)=$J$24))</formula>
    </cfRule>
  </conditionalFormatting>
  <conditionalFormatting sqref="E50:Z59 E68:Z72 E78:Z80">
    <cfRule type="cellIs" dxfId="314" priority="19" operator="notBetween">
      <formula>0</formula>
      <formula>$B$7</formula>
    </cfRule>
    <cfRule type="expression" dxfId="313" priority="20">
      <formula>($D50&lt;=$K$23)</formula>
    </cfRule>
    <cfRule type="expression" dxfId="312" priority="21">
      <formula>($D50&gt;$K$23)</formula>
    </cfRule>
  </conditionalFormatting>
  <conditionalFormatting sqref="E68:Z72">
    <cfRule type="expression" dxfId="311" priority="1">
      <formula>AND(E68&lt;MAX(E$68:E68), NOT(ISBLANK(E68)), NOT(E68=0))</formula>
    </cfRule>
  </conditionalFormatting>
  <conditionalFormatting sqref="E78:Z80">
    <cfRule type="expression" dxfId="310" priority="26">
      <formula>AND(E78&lt;MAX(E$78:E78), NOT(ISBLANK(E78)), NOT(E78=0))</formula>
    </cfRule>
  </conditionalFormatting>
  <dataValidations count="2">
    <dataValidation type="list" allowBlank="1" showInputMessage="1" showErrorMessage="1" sqref="D68:D72 D78:D82 D50:D59" xr:uid="{B22B807E-4BE6-4890-8EFB-61FD439CF935}">
      <formula1>$D$3:$D$12</formula1>
    </dataValidation>
    <dataValidation type="list" allowBlank="1" showInputMessage="1" showErrorMessage="1" sqref="C50:C59" xr:uid="{5E05C3F4-9994-441C-9E11-76A149919A71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1B31E-E8F0-4484-ADF4-9C03BB6BC2FA}">
  <sheetPr codeName="Feuil32">
    <tabColor rgb="FFB4A7D6"/>
  </sheetPr>
  <dimension ref="A1:AL82"/>
  <sheetViews>
    <sheetView zoomScale="80" zoomScaleNormal="80" workbookViewId="0">
      <pane xSplit="2" topLeftCell="C1" activePane="topRight" state="frozen"/>
      <selection pane="topRight" activeCell="B29" sqref="B29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24" width="15.7109375" customWidth="1"/>
    <col min="27" max="27" width="12.85546875" customWidth="1"/>
    <col min="28" max="28" width="11.42578125" customWidth="1"/>
    <col min="31" max="31" width="10.42578125" customWidth="1"/>
    <col min="32" max="32" width="15.42578125" customWidth="1"/>
    <col min="33" max="33" width="16.140625" customWidth="1"/>
    <col min="34" max="34" width="12" customWidth="1"/>
    <col min="36" max="36" width="13.28515625" customWidth="1"/>
    <col min="37" max="37" width="14.42578125" customWidth="1"/>
  </cols>
  <sheetData>
    <row r="1" spans="1:38" ht="16.5" customHeight="1" thickBot="1" x14ac:dyDescent="0.25">
      <c r="A1" s="308" t="s">
        <v>11</v>
      </c>
      <c r="B1" s="33">
        <f>Synthèse!B17</f>
        <v>46096</v>
      </c>
      <c r="D1" s="307"/>
      <c r="E1" s="432" t="s">
        <v>66</v>
      </c>
      <c r="F1" s="433"/>
      <c r="G1" s="433"/>
      <c r="H1" s="433"/>
      <c r="I1" s="433"/>
      <c r="J1" s="433"/>
      <c r="K1" s="433"/>
      <c r="L1" s="433"/>
      <c r="M1" s="433"/>
      <c r="N1" s="433"/>
      <c r="O1" s="433"/>
      <c r="P1" s="433"/>
      <c r="Q1" s="433"/>
      <c r="R1" s="433"/>
      <c r="S1" s="433"/>
      <c r="T1" s="433"/>
      <c r="U1" s="433"/>
      <c r="V1" s="433"/>
      <c r="W1" s="433"/>
      <c r="X1" s="433"/>
      <c r="Y1" s="433"/>
      <c r="Z1" s="434"/>
      <c r="AA1" s="392" t="s">
        <v>7</v>
      </c>
    </row>
    <row r="2" spans="1:38" ht="39.75" customHeight="1" thickBot="1" x14ac:dyDescent="0.25">
      <c r="A2" s="309" t="s">
        <v>12</v>
      </c>
      <c r="B2" s="34" t="str">
        <f>Synthèse!B18</f>
        <v>Municipales 1er tour</v>
      </c>
      <c r="D2" s="355" t="s">
        <v>82</v>
      </c>
      <c r="E2" s="455" t="str">
        <f>Synthèse!L2</f>
        <v>Candidat 1</v>
      </c>
      <c r="F2" s="399" t="str">
        <f>Synthèse!M2</f>
        <v>Candidat 2</v>
      </c>
      <c r="G2" s="395" t="str">
        <f>Synthèse!N2</f>
        <v>Candidat 3</v>
      </c>
      <c r="H2" s="456" t="str">
        <f>Synthèse!O2</f>
        <v>Candidat 4</v>
      </c>
      <c r="I2" s="457" t="str">
        <f>Synthèse!P2</f>
        <v>Candidat 5</v>
      </c>
      <c r="J2" s="458" t="str">
        <f>Synthèse!Q2</f>
        <v>Candidat 6</v>
      </c>
      <c r="K2" s="459" t="str">
        <f>Synthèse!R2</f>
        <v>Candidat 7</v>
      </c>
      <c r="L2" s="398" t="str">
        <f>Synthèse!S2</f>
        <v>Candidat 8</v>
      </c>
      <c r="M2" s="460" t="str">
        <f>Synthèse!T2</f>
        <v>Candidat 9</v>
      </c>
      <c r="N2" s="461" t="str">
        <f>Synthèse!U2</f>
        <v>Candidat 10</v>
      </c>
      <c r="O2" s="400" t="str">
        <f>Synthèse!V2</f>
        <v>Candidat 11</v>
      </c>
      <c r="P2" s="462" t="str">
        <f>Synthèse!W2</f>
        <v>Candidat 12</v>
      </c>
      <c r="Q2" s="396" t="str">
        <f>Synthèse!X2</f>
        <v>Candidat 13</v>
      </c>
      <c r="R2" s="463" t="str">
        <f>Synthèse!Y2</f>
        <v>Candidat 14</v>
      </c>
      <c r="S2" s="464" t="str">
        <f>Synthèse!Z2</f>
        <v>Candidat 15</v>
      </c>
      <c r="T2" s="465" t="str">
        <f>Synthèse!AA2</f>
        <v>Candidat 16</v>
      </c>
      <c r="U2" s="466" t="str">
        <f>Synthèse!AB2</f>
        <v>Candidat 17</v>
      </c>
      <c r="V2" s="397" t="str">
        <f>Synthèse!AC2</f>
        <v>Candidat 18</v>
      </c>
      <c r="W2" s="467" t="str">
        <f>Synthèse!AD2</f>
        <v>Candidat 19</v>
      </c>
      <c r="X2" s="468" t="str">
        <f>Synthèse!AE2</f>
        <v>Candidat 20</v>
      </c>
      <c r="Y2" s="469" t="s">
        <v>3</v>
      </c>
      <c r="Z2" s="470" t="s">
        <v>4</v>
      </c>
      <c r="AA2" s="393" t="s">
        <v>104</v>
      </c>
      <c r="AF2" s="367" t="s">
        <v>21</v>
      </c>
      <c r="AG2" s="368" t="s">
        <v>57</v>
      </c>
      <c r="AH2" s="369" t="s">
        <v>31</v>
      </c>
      <c r="AJ2" s="370" t="s">
        <v>59</v>
      </c>
      <c r="AK2" s="370" t="s">
        <v>58</v>
      </c>
    </row>
    <row r="3" spans="1:38" ht="20.100000000000001" customHeight="1" thickBot="1" x14ac:dyDescent="0.25">
      <c r="A3" s="310" t="s">
        <v>13</v>
      </c>
      <c r="B3" s="94" t="str">
        <f>Synthèse!B19</f>
        <v>Cogolin</v>
      </c>
      <c r="D3" s="352" t="str" cm="1">
        <f t="array" ref="D3">IF(ROW(1:1)&lt;=$K$23, (ROW(1:1)), "")</f>
        <v/>
      </c>
      <c r="E3" s="155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55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55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55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55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55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55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55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5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155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1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155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155" cm="1">
        <f t="array" ref="Q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R3" s="155" cm="1">
        <f t="array" ref="R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S3" s="155" cm="1">
        <f t="array" ref="S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T3" s="155" cm="1">
        <f t="array" ref="T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U3" s="155" cm="1">
        <f t="array" ref="U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V3" s="155" cm="1">
        <f t="array" ref="V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W3" s="155" cm="1">
        <f t="array" ref="W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X3" s="155" cm="1">
        <f t="array" ref="X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Y3" s="171" cm="1">
        <f t="array" ref="Y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Z3" s="172" cm="1">
        <f t="array" ref="Z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AA3" s="311">
        <f t="shared" ref="AA3:AA12" si="0">SUM(E3:Z3)</f>
        <v>0</v>
      </c>
      <c r="AF3" s="343" t="s">
        <v>32</v>
      </c>
      <c r="AG3" s="344">
        <v>0</v>
      </c>
      <c r="AH3" s="345">
        <f t="shared" ref="AH3" si="1">AG3/$B$6</f>
        <v>0</v>
      </c>
      <c r="AJ3" s="323"/>
      <c r="AK3" s="323"/>
    </row>
    <row r="4" spans="1:38" ht="20.100000000000001" customHeight="1" x14ac:dyDescent="0.2">
      <c r="A4" s="95" t="s">
        <v>23</v>
      </c>
      <c r="B4" s="168">
        <v>3</v>
      </c>
      <c r="D4" s="353" t="str" cm="1">
        <f t="array" ref="D4">IF(ROW(2:2)&lt;=$K$23, (ROW(2:2)), "")</f>
        <v/>
      </c>
      <c r="E4" s="156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56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56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56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56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56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56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56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5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156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156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156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156" cm="1">
        <f t="array" ref="Q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R4" s="156" cm="1">
        <f t="array" ref="R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S4" s="156" cm="1">
        <f t="array" ref="S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T4" s="156" cm="1">
        <f t="array" ref="T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U4" s="156" cm="1">
        <f t="array" ref="U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V4" s="156" cm="1">
        <f t="array" ref="V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W4" s="156" cm="1">
        <f t="array" ref="W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X4" s="156" cm="1">
        <f t="array" ref="X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Y4" s="157" cm="1">
        <f t="array" ref="Y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Z4" s="158" cm="1">
        <f t="array" ref="Z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AA4" s="311">
        <f t="shared" si="0"/>
        <v>0</v>
      </c>
      <c r="AF4" s="346" t="s">
        <v>33</v>
      </c>
      <c r="AG4" s="473"/>
      <c r="AH4" s="348" t="e">
        <f t="shared" ref="AH4:AH13" si="2">IF(OR(AG4=0, AG4=""), NA(), AG4/$B$6)</f>
        <v>#N/A</v>
      </c>
      <c r="AJ4" s="318" t="s">
        <v>45</v>
      </c>
      <c r="AK4" s="371" t="e">
        <f t="shared" ref="AK4:AK13" si="3">IF(AG4&lt;&gt;0,AG4-AG3,NA())</f>
        <v>#N/A</v>
      </c>
    </row>
    <row r="5" spans="1:38" ht="20.100000000000001" customHeight="1" x14ac:dyDescent="0.2">
      <c r="A5" s="96" t="s">
        <v>24</v>
      </c>
      <c r="B5" s="187" t="s">
        <v>27</v>
      </c>
      <c r="D5" s="353" t="str" cm="1">
        <f t="array" ref="D5">IF(ROW(3:3)&lt;=$K$23, (ROW(3:3)), "")</f>
        <v/>
      </c>
      <c r="E5" s="156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56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56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56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56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56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56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5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5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156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156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156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156" cm="1">
        <f t="array" ref="Q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R5" s="156" cm="1">
        <f t="array" ref="R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S5" s="156" cm="1">
        <f t="array" ref="S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T5" s="156" cm="1">
        <f t="array" ref="T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U5" s="156" cm="1">
        <f t="array" ref="U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V5" s="156" cm="1">
        <f t="array" ref="V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W5" s="156" cm="1">
        <f t="array" ref="W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X5" s="156" cm="1">
        <f t="array" ref="X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Y5" s="173" cm="1">
        <f t="array" ref="Y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Z5" s="174" cm="1">
        <f t="array" ref="Z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AA5" s="311">
        <f t="shared" si="0"/>
        <v>0</v>
      </c>
      <c r="AD5" s="231"/>
      <c r="AE5" s="232"/>
      <c r="AF5" s="346" t="s">
        <v>34</v>
      </c>
      <c r="AG5" s="473"/>
      <c r="AH5" s="348" t="e">
        <f t="shared" si="2"/>
        <v>#N/A</v>
      </c>
      <c r="AJ5" s="319" t="s">
        <v>46</v>
      </c>
      <c r="AK5" s="372" t="e">
        <f t="shared" si="3"/>
        <v>#N/A</v>
      </c>
    </row>
    <row r="6" spans="1:38" ht="20.100000000000001" customHeight="1" x14ac:dyDescent="0.2">
      <c r="A6" s="96" t="s">
        <v>0</v>
      </c>
      <c r="B6" s="188">
        <v>669</v>
      </c>
      <c r="D6" s="353" t="str" cm="1">
        <f t="array" ref="D6">IF(ROW(4:4)&lt;=$K$23, (ROW(4:4)), "")</f>
        <v/>
      </c>
      <c r="E6" s="156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56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56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56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56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56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56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5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5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156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156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156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156" cm="1">
        <f t="array" ref="Q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R6" s="156" cm="1">
        <f t="array" ref="R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S6" s="156" cm="1">
        <f t="array" ref="S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T6" s="156" cm="1">
        <f t="array" ref="T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U6" s="156" cm="1">
        <f t="array" ref="U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V6" s="156" cm="1">
        <f t="array" ref="V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W6" s="156" cm="1">
        <f t="array" ref="W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X6" s="156" cm="1">
        <f t="array" ref="X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Y6" s="173" cm="1">
        <f t="array" ref="Y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Z6" s="174" cm="1">
        <f t="array" ref="Z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AA6" s="311">
        <f t="shared" si="0"/>
        <v>0</v>
      </c>
      <c r="AD6" s="231"/>
      <c r="AE6" s="232"/>
      <c r="AF6" s="346" t="s">
        <v>35</v>
      </c>
      <c r="AG6" s="473"/>
      <c r="AH6" s="348" t="e">
        <f t="shared" si="2"/>
        <v>#N/A</v>
      </c>
      <c r="AJ6" s="319" t="s">
        <v>47</v>
      </c>
      <c r="AK6" s="372" t="e">
        <f t="shared" si="3"/>
        <v>#N/A</v>
      </c>
    </row>
    <row r="7" spans="1:38" ht="20.100000000000001" customHeight="1" x14ac:dyDescent="0.2">
      <c r="A7" s="96" t="s">
        <v>2</v>
      </c>
      <c r="B7" s="165">
        <f>MAX(AG4:AG15)</f>
        <v>0</v>
      </c>
      <c r="D7" s="353" t="str" cm="1">
        <f t="array" ref="D7">IF(ROW(5:5)&lt;=$K$23, (ROW(5:5)), "")</f>
        <v/>
      </c>
      <c r="E7" s="156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56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56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56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56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56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56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56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5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156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156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156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156" cm="1">
        <f t="array" ref="Q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R7" s="156" cm="1">
        <f t="array" ref="R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S7" s="156" cm="1">
        <f t="array" ref="S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T7" s="156" cm="1">
        <f t="array" ref="T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U7" s="156" cm="1">
        <f t="array" ref="U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V7" s="156" cm="1">
        <f t="array" ref="V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W7" s="156" cm="1">
        <f t="array" ref="W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X7" s="156" cm="1">
        <f t="array" ref="X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Y7" s="157" cm="1">
        <f t="array" ref="Y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Z7" s="158" cm="1">
        <f t="array" ref="Z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AA7" s="311">
        <f t="shared" si="0"/>
        <v>0</v>
      </c>
      <c r="AD7" s="231"/>
      <c r="AE7" s="232"/>
      <c r="AF7" s="346" t="s">
        <v>36</v>
      </c>
      <c r="AG7" s="473"/>
      <c r="AH7" s="348" t="e">
        <f t="shared" si="2"/>
        <v>#N/A</v>
      </c>
      <c r="AJ7" s="319" t="s">
        <v>54</v>
      </c>
      <c r="AK7" s="372" t="e">
        <f t="shared" si="3"/>
        <v>#N/A</v>
      </c>
    </row>
    <row r="8" spans="1:38" ht="20.100000000000001" customHeight="1" x14ac:dyDescent="0.2">
      <c r="A8" s="96" t="s">
        <v>1</v>
      </c>
      <c r="B8" s="166">
        <f>B7</f>
        <v>0</v>
      </c>
      <c r="D8" s="353" t="str" cm="1">
        <f t="array" ref="D8">IF(ROW(6:6)&lt;=$K$23, (ROW(6:6)), "")</f>
        <v/>
      </c>
      <c r="E8" s="156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56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56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56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56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56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56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56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5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156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156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156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156" cm="1">
        <f t="array" ref="Q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R8" s="156" cm="1">
        <f t="array" ref="R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S8" s="156" cm="1">
        <f t="array" ref="S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T8" s="156" cm="1">
        <f t="array" ref="T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U8" s="156" cm="1">
        <f t="array" ref="U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V8" s="156" cm="1">
        <f t="array" ref="V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W8" s="156" cm="1">
        <f t="array" ref="W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X8" s="156" cm="1">
        <f t="array" ref="X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Y8" s="157" cm="1">
        <f t="array" ref="Y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Z8" s="158" cm="1">
        <f t="array" ref="Z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AA8" s="311">
        <f t="shared" si="0"/>
        <v>0</v>
      </c>
      <c r="AD8" s="231"/>
      <c r="AE8" s="232"/>
      <c r="AF8" s="346" t="s">
        <v>37</v>
      </c>
      <c r="AG8" s="473"/>
      <c r="AH8" s="348" t="e">
        <f t="shared" si="2"/>
        <v>#N/A</v>
      </c>
      <c r="AJ8" s="319" t="s">
        <v>48</v>
      </c>
      <c r="AK8" s="372" t="e">
        <f t="shared" si="3"/>
        <v>#N/A</v>
      </c>
    </row>
    <row r="9" spans="1:38" ht="20.100000000000001" customHeight="1" thickBot="1" x14ac:dyDescent="0.25">
      <c r="A9" s="97" t="s">
        <v>17</v>
      </c>
      <c r="B9" s="167">
        <f>B6-B7</f>
        <v>669</v>
      </c>
      <c r="D9" s="353" t="str" cm="1">
        <f t="array" ref="D9">IF(ROW(7:7)&lt;=$K$23, (ROW(7:7)), "")</f>
        <v/>
      </c>
      <c r="E9" s="156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56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56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56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56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56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56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56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56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156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156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156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156" cm="1">
        <f t="array" ref="Q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R9" s="156" cm="1">
        <f t="array" ref="R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S9" s="156" cm="1">
        <f t="array" ref="S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T9" s="156" cm="1">
        <f t="array" ref="T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U9" s="156" cm="1">
        <f t="array" ref="U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V9" s="156" cm="1">
        <f t="array" ref="V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W9" s="156" cm="1">
        <f t="array" ref="W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X9" s="156" cm="1">
        <f t="array" ref="X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Y9" s="159" cm="1">
        <f t="array" ref="Y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Z9" s="160" cm="1">
        <f t="array" ref="Z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AA9" s="311">
        <f t="shared" si="0"/>
        <v>0</v>
      </c>
      <c r="AD9" s="231"/>
      <c r="AE9" s="232"/>
      <c r="AF9" s="346" t="s">
        <v>38</v>
      </c>
      <c r="AG9" s="473"/>
      <c r="AH9" s="348" t="e">
        <f t="shared" si="2"/>
        <v>#N/A</v>
      </c>
      <c r="AJ9" s="319" t="s">
        <v>49</v>
      </c>
      <c r="AK9" s="372" t="e">
        <f t="shared" si="3"/>
        <v>#N/A</v>
      </c>
    </row>
    <row r="10" spans="1:38" ht="20.100000000000001" customHeight="1" x14ac:dyDescent="0.2">
      <c r="A10" s="435" t="s">
        <v>60</v>
      </c>
      <c r="B10" s="435"/>
      <c r="D10" s="353" t="str" cm="1">
        <f t="array" ref="D10">IF(ROW(8:8)&lt;=$K$23, (ROW(8:8)), "")</f>
        <v/>
      </c>
      <c r="E10" s="156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56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56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56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56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56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56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56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56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156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156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156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156" cm="1">
        <f t="array" ref="Q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R10" s="156" cm="1">
        <f t="array" ref="R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S10" s="156" cm="1">
        <f t="array" ref="S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T10" s="156" cm="1">
        <f t="array" ref="T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U10" s="156" cm="1">
        <f t="array" ref="U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V10" s="156" cm="1">
        <f t="array" ref="V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W10" s="156" cm="1">
        <f t="array" ref="W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X10" s="156" cm="1">
        <f t="array" ref="X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Y10" s="159" cm="1">
        <f t="array" ref="Y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Z10" s="160" cm="1">
        <f t="array" ref="Z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AA10" s="311">
        <f t="shared" si="0"/>
        <v>0</v>
      </c>
      <c r="AD10" s="231"/>
      <c r="AE10" s="232"/>
      <c r="AF10" s="346" t="s">
        <v>39</v>
      </c>
      <c r="AG10" s="473"/>
      <c r="AH10" s="348" t="e">
        <f t="shared" si="2"/>
        <v>#N/A</v>
      </c>
      <c r="AJ10" s="319" t="s">
        <v>50</v>
      </c>
      <c r="AK10" s="372" t="e">
        <f t="shared" si="3"/>
        <v>#N/A</v>
      </c>
    </row>
    <row r="11" spans="1:38" ht="20.100000000000001" customHeight="1" x14ac:dyDescent="0.2">
      <c r="A11" s="436"/>
      <c r="B11" s="436"/>
      <c r="D11" s="353" t="str" cm="1">
        <f t="array" ref="D11">IF(ROW(9:9)&lt;=$K$23, (ROW(9:9)), "")</f>
        <v/>
      </c>
      <c r="E11" s="156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56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56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56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56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56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56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56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56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156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156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156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156" cm="1">
        <f t="array" ref="Q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R11" s="156" cm="1">
        <f t="array" ref="R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S11" s="156" cm="1">
        <f t="array" ref="S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T11" s="156" cm="1">
        <f t="array" ref="T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U11" s="156" cm="1">
        <f t="array" ref="U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V11" s="156" cm="1">
        <f t="array" ref="V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W11" s="156" cm="1">
        <f t="array" ref="W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X11" s="156">
        <v>0</v>
      </c>
      <c r="Y11" s="159" cm="1">
        <f t="array" ref="Y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Z11" s="160" cm="1">
        <f t="array" ref="Z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AA11" s="311">
        <f t="shared" si="0"/>
        <v>0</v>
      </c>
      <c r="AD11" s="231"/>
      <c r="AE11" s="232"/>
      <c r="AF11" s="346" t="s">
        <v>40</v>
      </c>
      <c r="AG11" s="473"/>
      <c r="AH11" s="348" t="e">
        <f t="shared" si="2"/>
        <v>#N/A</v>
      </c>
      <c r="AJ11" s="319" t="s">
        <v>51</v>
      </c>
      <c r="AK11" s="372" t="e">
        <f t="shared" si="3"/>
        <v>#N/A</v>
      </c>
    </row>
    <row r="12" spans="1:38" ht="20.100000000000001" customHeight="1" thickBot="1" x14ac:dyDescent="0.25">
      <c r="A12" s="437" t="s">
        <v>61</v>
      </c>
      <c r="B12" s="437"/>
      <c r="D12" s="354" t="str" cm="1">
        <f t="array" ref="D12">IF(ROW(10:10)&lt;=$K$23, (ROW(10:10)), "")</f>
        <v/>
      </c>
      <c r="E12" s="156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56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56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56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56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56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56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56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56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156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156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156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156" cm="1">
        <f t="array" ref="Q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R12" s="156" cm="1">
        <f t="array" ref="R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S12" s="156" cm="1">
        <f t="array" ref="S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T12" s="156" cm="1">
        <f t="array" ref="T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U12" s="156" cm="1">
        <f t="array" ref="U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V12" s="156" cm="1">
        <f t="array" ref="V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W12" s="156" cm="1">
        <f t="array" ref="W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X12" s="156" cm="1">
        <f t="array" ref="X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Y12" s="175" cm="1">
        <f t="array" ref="Y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Z12" s="176" cm="1">
        <f t="array" ref="Z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AA12" s="311">
        <f t="shared" si="0"/>
        <v>0</v>
      </c>
      <c r="AD12" s="231"/>
      <c r="AE12" s="232"/>
      <c r="AF12" s="346" t="s">
        <v>41</v>
      </c>
      <c r="AG12" s="473"/>
      <c r="AH12" s="348" t="e">
        <f t="shared" si="2"/>
        <v>#N/A</v>
      </c>
      <c r="AJ12" s="319" t="s">
        <v>52</v>
      </c>
      <c r="AK12" s="372" t="e">
        <f t="shared" si="3"/>
        <v>#N/A</v>
      </c>
    </row>
    <row r="13" spans="1:38" ht="20.100000000000001" customHeight="1" thickBot="1" x14ac:dyDescent="0.3">
      <c r="A13" s="437"/>
      <c r="B13" s="437"/>
      <c r="D13" s="50" t="s">
        <v>9</v>
      </c>
      <c r="E13" s="161">
        <f t="shared" ref="E13:AA13" si="4">SUM(E3:E12)</f>
        <v>0</v>
      </c>
      <c r="F13" s="162">
        <f t="shared" si="4"/>
        <v>0</v>
      </c>
      <c r="G13" s="162">
        <f t="shared" si="4"/>
        <v>0</v>
      </c>
      <c r="H13" s="162">
        <f t="shared" si="4"/>
        <v>0</v>
      </c>
      <c r="I13" s="162">
        <f t="shared" si="4"/>
        <v>0</v>
      </c>
      <c r="J13" s="162">
        <f t="shared" si="4"/>
        <v>0</v>
      </c>
      <c r="K13" s="162">
        <f t="shared" si="4"/>
        <v>0</v>
      </c>
      <c r="L13" s="162">
        <f t="shared" si="4"/>
        <v>0</v>
      </c>
      <c r="M13" s="162">
        <f t="shared" si="4"/>
        <v>0</v>
      </c>
      <c r="N13" s="162">
        <f t="shared" si="4"/>
        <v>0</v>
      </c>
      <c r="O13" s="162">
        <f t="shared" si="4"/>
        <v>0</v>
      </c>
      <c r="P13" s="162">
        <f t="shared" si="4"/>
        <v>0</v>
      </c>
      <c r="Q13" s="162">
        <f t="shared" si="4"/>
        <v>0</v>
      </c>
      <c r="R13" s="162">
        <f t="shared" si="4"/>
        <v>0</v>
      </c>
      <c r="S13" s="162">
        <f t="shared" si="4"/>
        <v>0</v>
      </c>
      <c r="T13" s="162">
        <f t="shared" si="4"/>
        <v>0</v>
      </c>
      <c r="U13" s="162">
        <f t="shared" si="4"/>
        <v>0</v>
      </c>
      <c r="V13" s="162">
        <f t="shared" si="4"/>
        <v>0</v>
      </c>
      <c r="W13" s="162">
        <f t="shared" si="4"/>
        <v>0</v>
      </c>
      <c r="X13" s="162">
        <f t="shared" si="4"/>
        <v>0</v>
      </c>
      <c r="Y13" s="163">
        <f t="shared" si="4"/>
        <v>0</v>
      </c>
      <c r="Z13" s="164">
        <f t="shared" si="4"/>
        <v>0</v>
      </c>
      <c r="AA13" s="312">
        <f t="shared" si="4"/>
        <v>0</v>
      </c>
      <c r="AD13" s="231"/>
      <c r="AE13" s="232"/>
      <c r="AF13" s="346" t="s">
        <v>42</v>
      </c>
      <c r="AG13" s="473"/>
      <c r="AH13" s="348" t="e">
        <f t="shared" si="2"/>
        <v>#N/A</v>
      </c>
      <c r="AJ13" s="320" t="s">
        <v>53</v>
      </c>
      <c r="AK13" s="373" t="e">
        <f t="shared" si="3"/>
        <v>#N/A</v>
      </c>
    </row>
    <row r="14" spans="1:38" ht="20.100000000000001" customHeight="1" thickBot="1" x14ac:dyDescent="0.3">
      <c r="A14" s="437"/>
      <c r="B14" s="437"/>
      <c r="D14" s="83" t="s">
        <v>10</v>
      </c>
      <c r="E14" s="45">
        <f t="shared" ref="E14:AA14" si="5">IFERROR(E13/$B$7,0)</f>
        <v>0</v>
      </c>
      <c r="F14" s="46">
        <f t="shared" si="5"/>
        <v>0</v>
      </c>
      <c r="G14" s="46">
        <f t="shared" si="5"/>
        <v>0</v>
      </c>
      <c r="H14" s="46">
        <f t="shared" si="5"/>
        <v>0</v>
      </c>
      <c r="I14" s="46">
        <f t="shared" si="5"/>
        <v>0</v>
      </c>
      <c r="J14" s="46">
        <f t="shared" si="5"/>
        <v>0</v>
      </c>
      <c r="K14" s="46">
        <f t="shared" si="5"/>
        <v>0</v>
      </c>
      <c r="L14" s="46">
        <f t="shared" si="5"/>
        <v>0</v>
      </c>
      <c r="M14" s="46">
        <f t="shared" si="5"/>
        <v>0</v>
      </c>
      <c r="N14" s="46">
        <f t="shared" si="5"/>
        <v>0</v>
      </c>
      <c r="O14" s="46">
        <f t="shared" si="5"/>
        <v>0</v>
      </c>
      <c r="P14" s="46">
        <f t="shared" si="5"/>
        <v>0</v>
      </c>
      <c r="Q14" s="46">
        <f t="shared" si="5"/>
        <v>0</v>
      </c>
      <c r="R14" s="46">
        <f t="shared" si="5"/>
        <v>0</v>
      </c>
      <c r="S14" s="46">
        <f t="shared" si="5"/>
        <v>0</v>
      </c>
      <c r="T14" s="46">
        <f t="shared" si="5"/>
        <v>0</v>
      </c>
      <c r="U14" s="46">
        <f t="shared" si="5"/>
        <v>0</v>
      </c>
      <c r="V14" s="46">
        <f t="shared" si="5"/>
        <v>0</v>
      </c>
      <c r="W14" s="46">
        <f t="shared" si="5"/>
        <v>0</v>
      </c>
      <c r="X14" s="46">
        <f t="shared" si="5"/>
        <v>0</v>
      </c>
      <c r="Y14" s="45">
        <f t="shared" si="5"/>
        <v>0</v>
      </c>
      <c r="Z14" s="47">
        <f t="shared" si="5"/>
        <v>0</v>
      </c>
      <c r="AA14" s="322">
        <f t="shared" si="5"/>
        <v>0</v>
      </c>
      <c r="AF14" s="377" t="s">
        <v>43</v>
      </c>
      <c r="AG14" s="474"/>
      <c r="AH14" s="350" t="e">
        <f>IF(OR(AG14=0, AG14=""), NA(), AG14/$B$6)</f>
        <v>#N/A</v>
      </c>
      <c r="AI14" s="375"/>
      <c r="AJ14" s="379" t="s">
        <v>55</v>
      </c>
      <c r="AK14" s="374" t="e">
        <f>IF(AG14&lt;&gt;0,AG14-AG13,NA())</f>
        <v>#N/A</v>
      </c>
      <c r="AL14" s="375"/>
    </row>
    <row r="15" spans="1:38" ht="18" customHeight="1" thickBot="1" x14ac:dyDescent="0.25">
      <c r="A15" s="438" t="s">
        <v>68</v>
      </c>
      <c r="B15" s="438"/>
      <c r="C15" s="1"/>
      <c r="D15" s="1"/>
      <c r="AA15" s="321"/>
      <c r="AF15" s="317" t="s">
        <v>44</v>
      </c>
      <c r="AG15" s="475"/>
      <c r="AH15" s="376" t="e">
        <f>IF(OR(AG15=0, AG15=""), NA(), AG15/$B$6)</f>
        <v>#N/A</v>
      </c>
      <c r="AJ15" s="380" t="s">
        <v>56</v>
      </c>
      <c r="AK15" s="378" t="e">
        <f>IF(AG15&lt;&gt;0,AG15-AG14,NA())</f>
        <v>#N/A</v>
      </c>
      <c r="AL15" s="375"/>
    </row>
    <row r="16" spans="1:38" ht="12.75" customHeight="1" x14ac:dyDescent="0.2">
      <c r="A16" s="438"/>
      <c r="B16" s="438"/>
      <c r="AF16" s="321"/>
      <c r="AG16" s="321"/>
      <c r="AH16" s="321"/>
      <c r="AK16" s="321"/>
    </row>
    <row r="17" spans="1:11" ht="18" customHeight="1" x14ac:dyDescent="0.25">
      <c r="A17" s="438"/>
      <c r="B17" s="438"/>
      <c r="E17" s="230"/>
    </row>
    <row r="18" spans="1:11" ht="26.25" customHeight="1" x14ac:dyDescent="0.2">
      <c r="A18" s="438"/>
      <c r="B18" s="438"/>
    </row>
    <row r="23" spans="1:11" x14ac:dyDescent="0.2">
      <c r="H23" s="177" t="s">
        <v>64</v>
      </c>
      <c r="J23" s="245">
        <f>CEILING($B$6, 100)/100</f>
        <v>7</v>
      </c>
      <c r="K23" s="245">
        <f>CEILING($B$7,100)/100</f>
        <v>0</v>
      </c>
    </row>
    <row r="24" spans="1:11" x14ac:dyDescent="0.2">
      <c r="H24" s="178">
        <f>IF((ROW()-23)&lt;=$K$24,(ROW()-23),"Choisir")</f>
        <v>1</v>
      </c>
      <c r="J24" s="245">
        <f>MOD($B$7,100)</f>
        <v>0</v>
      </c>
      <c r="K24" s="246">
        <f>CEILING($B$6/300,1)</f>
        <v>3</v>
      </c>
    </row>
    <row r="25" spans="1:11" x14ac:dyDescent="0.2">
      <c r="H25" s="178">
        <f>IF((ROW()-23)&lt;=$K$24,(ROW()-23),"Choisir")</f>
        <v>2</v>
      </c>
    </row>
    <row r="26" spans="1:11" x14ac:dyDescent="0.2">
      <c r="H26" s="178">
        <f>IF((ROW()-23)&lt;=$K$24,(ROW()-23),"Choisir")</f>
        <v>3</v>
      </c>
    </row>
    <row r="27" spans="1:11" x14ac:dyDescent="0.2">
      <c r="H27" s="178" t="str">
        <f>IF((ROW()-23)&lt;=$K$24,(ROW()-23),"Choisir")</f>
        <v>Choisir</v>
      </c>
    </row>
    <row r="46" spans="4:27" x14ac:dyDescent="0.2">
      <c r="E46" s="169"/>
    </row>
    <row r="47" spans="4:27" ht="13.5" thickBot="1" x14ac:dyDescent="0.25">
      <c r="E47" s="169"/>
    </row>
    <row r="48" spans="4:27" ht="20.100000000000001" customHeight="1" thickBot="1" x14ac:dyDescent="0.25">
      <c r="D48" s="235" t="s">
        <v>78</v>
      </c>
      <c r="E48" s="429" t="s">
        <v>102</v>
      </c>
      <c r="F48" s="430"/>
      <c r="G48" s="430"/>
      <c r="H48" s="430"/>
      <c r="I48" s="430"/>
      <c r="J48" s="430"/>
      <c r="K48" s="430"/>
      <c r="L48" s="430"/>
      <c r="M48" s="430"/>
      <c r="N48" s="430"/>
      <c r="O48" s="430"/>
      <c r="P48" s="430"/>
      <c r="Q48" s="430"/>
      <c r="R48" s="430"/>
      <c r="S48" s="430"/>
      <c r="T48" s="430"/>
      <c r="U48" s="430"/>
      <c r="V48" s="430"/>
      <c r="W48" s="430"/>
      <c r="X48" s="430"/>
      <c r="Y48" s="430"/>
      <c r="Z48" s="431"/>
      <c r="AA48" s="381" t="s">
        <v>7</v>
      </c>
    </row>
    <row r="49" spans="3:27" ht="47.25" customHeight="1" thickBot="1" x14ac:dyDescent="0.25">
      <c r="C49" s="233"/>
      <c r="D49" s="359" t="s">
        <v>81</v>
      </c>
      <c r="E49" s="455" t="s">
        <v>69</v>
      </c>
      <c r="F49" s="399" t="s">
        <v>99</v>
      </c>
      <c r="G49" s="395" t="s">
        <v>70</v>
      </c>
      <c r="H49" s="456" t="s">
        <v>71</v>
      </c>
      <c r="I49" s="457" t="s">
        <v>72</v>
      </c>
      <c r="J49" s="458" t="s">
        <v>73</v>
      </c>
      <c r="K49" s="459" t="s">
        <v>74</v>
      </c>
      <c r="L49" s="398" t="s">
        <v>75</v>
      </c>
      <c r="M49" s="460" t="s">
        <v>76</v>
      </c>
      <c r="N49" s="461" t="s">
        <v>77</v>
      </c>
      <c r="O49" s="400" t="s">
        <v>105</v>
      </c>
      <c r="P49" s="462" t="s">
        <v>106</v>
      </c>
      <c r="Q49" s="396" t="s">
        <v>107</v>
      </c>
      <c r="R49" s="463" t="s">
        <v>108</v>
      </c>
      <c r="S49" s="464" t="s">
        <v>109</v>
      </c>
      <c r="T49" s="465" t="s">
        <v>110</v>
      </c>
      <c r="U49" s="466" t="s">
        <v>111</v>
      </c>
      <c r="V49" s="397" t="s">
        <v>112</v>
      </c>
      <c r="W49" s="467" t="s">
        <v>113</v>
      </c>
      <c r="X49" s="468" t="s">
        <v>114</v>
      </c>
      <c r="Y49" s="471" t="s">
        <v>3</v>
      </c>
      <c r="Z49" s="472" t="s">
        <v>4</v>
      </c>
      <c r="AA49" s="383" t="s">
        <v>103</v>
      </c>
    </row>
    <row r="50" spans="3:27" ht="19.5" customHeight="1" x14ac:dyDescent="0.2">
      <c r="C50" s="234"/>
      <c r="D50" s="358" t="s">
        <v>80</v>
      </c>
      <c r="E50" s="313"/>
      <c r="F50" s="314"/>
      <c r="G50" s="314"/>
      <c r="H50" s="314"/>
      <c r="I50" s="314"/>
      <c r="J50" s="314"/>
      <c r="K50" s="314"/>
      <c r="L50" s="314"/>
      <c r="M50" s="314"/>
      <c r="N50" s="314"/>
      <c r="O50" s="314"/>
      <c r="P50" s="314"/>
      <c r="Q50" s="314"/>
      <c r="R50" s="314"/>
      <c r="S50" s="314"/>
      <c r="T50" s="314"/>
      <c r="U50" s="314"/>
      <c r="V50" s="314"/>
      <c r="W50" s="314"/>
      <c r="X50" s="315"/>
      <c r="Y50" s="316"/>
      <c r="Z50" s="315"/>
      <c r="AA50" s="382">
        <f t="shared" ref="AA50:AA59" si="6">SUM(E50:Z50)</f>
        <v>0</v>
      </c>
    </row>
    <row r="51" spans="3:27" ht="20.100000000000001" customHeight="1" x14ac:dyDescent="0.2">
      <c r="C51" s="234"/>
      <c r="D51" s="358" t="s">
        <v>80</v>
      </c>
      <c r="E51" s="313"/>
      <c r="F51" s="314"/>
      <c r="G51" s="314"/>
      <c r="H51" s="314"/>
      <c r="I51" s="314"/>
      <c r="J51" s="314"/>
      <c r="K51" s="314"/>
      <c r="L51" s="314"/>
      <c r="M51" s="314"/>
      <c r="N51" s="314"/>
      <c r="O51" s="314"/>
      <c r="P51" s="314"/>
      <c r="Q51" s="314"/>
      <c r="R51" s="314"/>
      <c r="S51" s="314"/>
      <c r="T51" s="314"/>
      <c r="U51" s="314"/>
      <c r="V51" s="314"/>
      <c r="W51" s="314"/>
      <c r="X51" s="315"/>
      <c r="Y51" s="316"/>
      <c r="Z51" s="315"/>
      <c r="AA51" s="382">
        <f t="shared" si="6"/>
        <v>0</v>
      </c>
    </row>
    <row r="52" spans="3:27" ht="20.100000000000001" customHeight="1" x14ac:dyDescent="0.2">
      <c r="C52" s="234"/>
      <c r="D52" s="358" t="s">
        <v>80</v>
      </c>
      <c r="E52" s="313"/>
      <c r="F52" s="314"/>
      <c r="G52" s="314"/>
      <c r="H52" s="314"/>
      <c r="I52" s="314"/>
      <c r="J52" s="314"/>
      <c r="K52" s="314"/>
      <c r="L52" s="314"/>
      <c r="M52" s="314"/>
      <c r="N52" s="314"/>
      <c r="O52" s="314"/>
      <c r="P52" s="314"/>
      <c r="Q52" s="314"/>
      <c r="R52" s="314"/>
      <c r="S52" s="314"/>
      <c r="T52" s="314"/>
      <c r="U52" s="314"/>
      <c r="V52" s="314"/>
      <c r="W52" s="314"/>
      <c r="X52" s="315"/>
      <c r="Y52" s="316"/>
      <c r="Z52" s="315"/>
      <c r="AA52" s="382">
        <f t="shared" si="6"/>
        <v>0</v>
      </c>
    </row>
    <row r="53" spans="3:27" ht="20.100000000000001" customHeight="1" x14ac:dyDescent="0.2">
      <c r="C53" s="234"/>
      <c r="D53" s="358" t="s">
        <v>80</v>
      </c>
      <c r="E53" s="313"/>
      <c r="F53" s="314"/>
      <c r="G53" s="314"/>
      <c r="H53" s="314"/>
      <c r="I53" s="314"/>
      <c r="J53" s="314"/>
      <c r="K53" s="314"/>
      <c r="L53" s="314"/>
      <c r="M53" s="314"/>
      <c r="N53" s="314"/>
      <c r="O53" s="314"/>
      <c r="P53" s="314"/>
      <c r="Q53" s="314"/>
      <c r="R53" s="314"/>
      <c r="S53" s="314"/>
      <c r="T53" s="314"/>
      <c r="U53" s="314"/>
      <c r="V53" s="314"/>
      <c r="W53" s="314"/>
      <c r="X53" s="315"/>
      <c r="Y53" s="316"/>
      <c r="Z53" s="315"/>
      <c r="AA53" s="382">
        <f t="shared" si="6"/>
        <v>0</v>
      </c>
    </row>
    <row r="54" spans="3:27" ht="20.100000000000001" customHeight="1" x14ac:dyDescent="0.2">
      <c r="C54" s="234"/>
      <c r="D54" s="358" t="s">
        <v>80</v>
      </c>
      <c r="E54" s="313"/>
      <c r="F54" s="314"/>
      <c r="G54" s="314"/>
      <c r="H54" s="314"/>
      <c r="I54" s="314"/>
      <c r="J54" s="314"/>
      <c r="K54" s="314"/>
      <c r="L54" s="314"/>
      <c r="M54" s="314"/>
      <c r="N54" s="314"/>
      <c r="O54" s="314"/>
      <c r="P54" s="314"/>
      <c r="Q54" s="314"/>
      <c r="R54" s="314"/>
      <c r="S54" s="314"/>
      <c r="T54" s="314"/>
      <c r="U54" s="314"/>
      <c r="V54" s="314"/>
      <c r="W54" s="314"/>
      <c r="X54" s="315"/>
      <c r="Y54" s="316"/>
      <c r="Z54" s="315"/>
      <c r="AA54" s="382">
        <f t="shared" si="6"/>
        <v>0</v>
      </c>
    </row>
    <row r="55" spans="3:27" ht="20.100000000000001" customHeight="1" x14ac:dyDescent="0.2">
      <c r="C55" s="234"/>
      <c r="D55" s="358" t="s">
        <v>80</v>
      </c>
      <c r="E55" s="313"/>
      <c r="F55" s="314"/>
      <c r="G55" s="314"/>
      <c r="H55" s="314"/>
      <c r="I55" s="314"/>
      <c r="J55" s="314"/>
      <c r="K55" s="314"/>
      <c r="L55" s="314"/>
      <c r="M55" s="314"/>
      <c r="N55" s="314"/>
      <c r="O55" s="314"/>
      <c r="P55" s="314"/>
      <c r="Q55" s="314"/>
      <c r="R55" s="314"/>
      <c r="S55" s="314"/>
      <c r="T55" s="314"/>
      <c r="U55" s="314"/>
      <c r="V55" s="314"/>
      <c r="W55" s="314"/>
      <c r="X55" s="315"/>
      <c r="Y55" s="316"/>
      <c r="Z55" s="315"/>
      <c r="AA55" s="382">
        <f t="shared" si="6"/>
        <v>0</v>
      </c>
    </row>
    <row r="56" spans="3:27" ht="20.100000000000001" customHeight="1" x14ac:dyDescent="0.2">
      <c r="C56" s="234"/>
      <c r="D56" s="358" t="s">
        <v>80</v>
      </c>
      <c r="E56" s="313"/>
      <c r="F56" s="314"/>
      <c r="G56" s="314"/>
      <c r="H56" s="314"/>
      <c r="I56" s="314"/>
      <c r="J56" s="314"/>
      <c r="K56" s="314"/>
      <c r="L56" s="314"/>
      <c r="M56" s="314"/>
      <c r="N56" s="314"/>
      <c r="O56" s="314"/>
      <c r="P56" s="314"/>
      <c r="Q56" s="314"/>
      <c r="R56" s="314"/>
      <c r="S56" s="314"/>
      <c r="T56" s="314"/>
      <c r="U56" s="314"/>
      <c r="V56" s="314"/>
      <c r="W56" s="314"/>
      <c r="X56" s="315"/>
      <c r="Y56" s="316"/>
      <c r="Z56" s="315"/>
      <c r="AA56" s="382">
        <f t="shared" si="6"/>
        <v>0</v>
      </c>
    </row>
    <row r="57" spans="3:27" ht="20.100000000000001" customHeight="1" x14ac:dyDescent="0.2">
      <c r="C57" s="234"/>
      <c r="D57" s="358" t="s">
        <v>80</v>
      </c>
      <c r="E57" s="313"/>
      <c r="F57" s="314"/>
      <c r="G57" s="314"/>
      <c r="H57" s="314"/>
      <c r="I57" s="314"/>
      <c r="J57" s="314"/>
      <c r="K57" s="314"/>
      <c r="L57" s="314"/>
      <c r="M57" s="314"/>
      <c r="N57" s="314"/>
      <c r="O57" s="314"/>
      <c r="P57" s="314"/>
      <c r="Q57" s="314"/>
      <c r="R57" s="314"/>
      <c r="S57" s="314"/>
      <c r="T57" s="314"/>
      <c r="U57" s="314"/>
      <c r="V57" s="314"/>
      <c r="W57" s="314"/>
      <c r="X57" s="315"/>
      <c r="Y57" s="316"/>
      <c r="Z57" s="315"/>
      <c r="AA57" s="382">
        <f t="shared" si="6"/>
        <v>0</v>
      </c>
    </row>
    <row r="58" spans="3:27" ht="20.100000000000001" customHeight="1" x14ac:dyDescent="0.2">
      <c r="C58" s="234"/>
      <c r="D58" s="358" t="s">
        <v>80</v>
      </c>
      <c r="E58" s="313"/>
      <c r="F58" s="314"/>
      <c r="G58" s="314"/>
      <c r="H58" s="314"/>
      <c r="I58" s="314"/>
      <c r="J58" s="314"/>
      <c r="K58" s="314"/>
      <c r="L58" s="314"/>
      <c r="M58" s="314"/>
      <c r="N58" s="314"/>
      <c r="O58" s="314"/>
      <c r="P58" s="314"/>
      <c r="Q58" s="314"/>
      <c r="R58" s="314"/>
      <c r="S58" s="314"/>
      <c r="T58" s="314"/>
      <c r="U58" s="314"/>
      <c r="V58" s="314"/>
      <c r="W58" s="314"/>
      <c r="X58" s="315"/>
      <c r="Y58" s="316"/>
      <c r="Z58" s="315"/>
      <c r="AA58" s="382">
        <f t="shared" si="6"/>
        <v>0</v>
      </c>
    </row>
    <row r="59" spans="3:27" ht="20.100000000000001" customHeight="1" thickBot="1" x14ac:dyDescent="0.25">
      <c r="C59" s="234"/>
      <c r="D59" s="362" t="s">
        <v>80</v>
      </c>
      <c r="E59" s="363"/>
      <c r="F59" s="364"/>
      <c r="G59" s="364"/>
      <c r="H59" s="364"/>
      <c r="I59" s="364"/>
      <c r="J59" s="364"/>
      <c r="K59" s="364"/>
      <c r="L59" s="364"/>
      <c r="M59" s="364"/>
      <c r="N59" s="364"/>
      <c r="O59" s="364"/>
      <c r="P59" s="364"/>
      <c r="Q59" s="364"/>
      <c r="R59" s="364"/>
      <c r="S59" s="364"/>
      <c r="T59" s="364"/>
      <c r="U59" s="364"/>
      <c r="V59" s="364"/>
      <c r="W59" s="364"/>
      <c r="X59" s="365"/>
      <c r="Y59" s="366"/>
      <c r="Z59" s="365"/>
      <c r="AA59" s="382">
        <f t="shared" si="6"/>
        <v>0</v>
      </c>
    </row>
    <row r="60" spans="3:27" x14ac:dyDescent="0.2">
      <c r="AA60" s="321"/>
    </row>
    <row r="63" spans="3:27" ht="18" x14ac:dyDescent="0.25">
      <c r="E63" s="230"/>
    </row>
    <row r="65" spans="4:27" ht="13.5" thickBot="1" x14ac:dyDescent="0.25"/>
    <row r="66" spans="4:27" ht="16.5" customHeight="1" thickBot="1" x14ac:dyDescent="0.25">
      <c r="D66" s="235" t="s">
        <v>79</v>
      </c>
      <c r="E66" s="429" t="s">
        <v>101</v>
      </c>
      <c r="F66" s="430"/>
      <c r="G66" s="430"/>
      <c r="H66" s="430"/>
      <c r="I66" s="430"/>
      <c r="J66" s="430"/>
      <c r="K66" s="430"/>
      <c r="L66" s="430"/>
      <c r="M66" s="430"/>
      <c r="N66" s="430"/>
      <c r="O66" s="430"/>
      <c r="P66" s="430"/>
      <c r="Q66" s="430"/>
      <c r="R66" s="430"/>
      <c r="S66" s="430"/>
      <c r="T66" s="430"/>
      <c r="U66" s="430"/>
      <c r="V66" s="430"/>
      <c r="W66" s="430"/>
      <c r="X66" s="430"/>
      <c r="Y66" s="430"/>
      <c r="Z66" s="431"/>
      <c r="AA66" s="381" t="s">
        <v>7</v>
      </c>
    </row>
    <row r="67" spans="4:27" ht="42" customHeight="1" thickBot="1" x14ac:dyDescent="0.25">
      <c r="D67" s="359" t="s">
        <v>81</v>
      </c>
      <c r="E67" s="455" t="s">
        <v>69</v>
      </c>
      <c r="F67" s="399" t="s">
        <v>99</v>
      </c>
      <c r="G67" s="395" t="s">
        <v>70</v>
      </c>
      <c r="H67" s="456" t="s">
        <v>71</v>
      </c>
      <c r="I67" s="457" t="s">
        <v>72</v>
      </c>
      <c r="J67" s="458" t="s">
        <v>73</v>
      </c>
      <c r="K67" s="459" t="s">
        <v>74</v>
      </c>
      <c r="L67" s="398" t="s">
        <v>75</v>
      </c>
      <c r="M67" s="460" t="s">
        <v>76</v>
      </c>
      <c r="N67" s="461" t="s">
        <v>77</v>
      </c>
      <c r="O67" s="400" t="s">
        <v>105</v>
      </c>
      <c r="P67" s="462" t="s">
        <v>106</v>
      </c>
      <c r="Q67" s="396" t="s">
        <v>107</v>
      </c>
      <c r="R67" s="463" t="s">
        <v>108</v>
      </c>
      <c r="S67" s="464" t="s">
        <v>109</v>
      </c>
      <c r="T67" s="465" t="s">
        <v>110</v>
      </c>
      <c r="U67" s="466" t="s">
        <v>111</v>
      </c>
      <c r="V67" s="397" t="s">
        <v>112</v>
      </c>
      <c r="W67" s="467" t="s">
        <v>113</v>
      </c>
      <c r="X67" s="468" t="s">
        <v>114</v>
      </c>
      <c r="Y67" s="471" t="s">
        <v>3</v>
      </c>
      <c r="Z67" s="472" t="s">
        <v>4</v>
      </c>
      <c r="AA67" s="388" t="s">
        <v>103</v>
      </c>
    </row>
    <row r="68" spans="4:27" ht="20.100000000000001" customHeight="1" x14ac:dyDescent="0.2">
      <c r="D68" s="244" t="s">
        <v>80</v>
      </c>
      <c r="E68" s="237"/>
      <c r="F68" s="238"/>
      <c r="G68" s="238"/>
      <c r="H68" s="238"/>
      <c r="I68" s="238"/>
      <c r="J68" s="238"/>
      <c r="K68" s="238"/>
      <c r="L68" s="238"/>
      <c r="M68" s="238"/>
      <c r="N68" s="238"/>
      <c r="O68" s="238"/>
      <c r="P68" s="238"/>
      <c r="Q68" s="238"/>
      <c r="R68" s="238"/>
      <c r="S68" s="238"/>
      <c r="T68" s="238"/>
      <c r="U68" s="238"/>
      <c r="V68" s="238"/>
      <c r="W68" s="238"/>
      <c r="X68" s="239"/>
      <c r="Y68" s="240"/>
      <c r="Z68" s="239"/>
      <c r="AA68" s="385">
        <f t="shared" ref="AA68:AA72" si="7">SUM(E68:Z68)</f>
        <v>0</v>
      </c>
    </row>
    <row r="69" spans="4:27" ht="20.100000000000001" customHeight="1" x14ac:dyDescent="0.2">
      <c r="D69" s="242" t="s">
        <v>80</v>
      </c>
      <c r="E69" s="179"/>
      <c r="F69" s="180"/>
      <c r="G69" s="180"/>
      <c r="H69" s="180"/>
      <c r="I69" s="180"/>
      <c r="J69" s="180"/>
      <c r="K69" s="180"/>
      <c r="L69" s="180"/>
      <c r="M69" s="180"/>
      <c r="N69" s="180"/>
      <c r="O69" s="180"/>
      <c r="P69" s="180"/>
      <c r="Q69" s="180"/>
      <c r="R69" s="180"/>
      <c r="S69" s="180"/>
      <c r="T69" s="180"/>
      <c r="U69" s="180"/>
      <c r="V69" s="180"/>
      <c r="W69" s="180"/>
      <c r="X69" s="181"/>
      <c r="Y69" s="182"/>
      <c r="Z69" s="181"/>
      <c r="AA69" s="311">
        <f t="shared" si="7"/>
        <v>0</v>
      </c>
    </row>
    <row r="70" spans="4:27" ht="20.100000000000001" customHeight="1" x14ac:dyDescent="0.2">
      <c r="D70" s="242" t="s">
        <v>80</v>
      </c>
      <c r="E70" s="179"/>
      <c r="F70" s="180"/>
      <c r="G70" s="180"/>
      <c r="H70" s="180"/>
      <c r="I70" s="180"/>
      <c r="J70" s="180"/>
      <c r="K70" s="180"/>
      <c r="L70" s="180"/>
      <c r="M70" s="180"/>
      <c r="N70" s="180"/>
      <c r="O70" s="180"/>
      <c r="P70" s="180"/>
      <c r="Q70" s="180"/>
      <c r="R70" s="180"/>
      <c r="S70" s="180"/>
      <c r="T70" s="180"/>
      <c r="U70" s="180"/>
      <c r="V70" s="180"/>
      <c r="W70" s="180"/>
      <c r="X70" s="181"/>
      <c r="Y70" s="182"/>
      <c r="Z70" s="181"/>
      <c r="AA70" s="311">
        <f t="shared" si="7"/>
        <v>0</v>
      </c>
    </row>
    <row r="71" spans="4:27" ht="20.100000000000001" customHeight="1" x14ac:dyDescent="0.2">
      <c r="D71" s="242" t="s">
        <v>80</v>
      </c>
      <c r="E71" s="179"/>
      <c r="F71" s="180"/>
      <c r="G71" s="180"/>
      <c r="H71" s="180"/>
      <c r="I71" s="180"/>
      <c r="J71" s="180"/>
      <c r="K71" s="180"/>
      <c r="L71" s="180"/>
      <c r="M71" s="180"/>
      <c r="N71" s="180"/>
      <c r="O71" s="180"/>
      <c r="P71" s="180"/>
      <c r="Q71" s="180"/>
      <c r="R71" s="180"/>
      <c r="S71" s="180"/>
      <c r="T71" s="180"/>
      <c r="U71" s="180"/>
      <c r="V71" s="180"/>
      <c r="W71" s="180"/>
      <c r="X71" s="181"/>
      <c r="Y71" s="182"/>
      <c r="Z71" s="181"/>
      <c r="AA71" s="311">
        <f t="shared" si="7"/>
        <v>0</v>
      </c>
    </row>
    <row r="72" spans="4:27" ht="20.100000000000001" customHeight="1" thickBot="1" x14ac:dyDescent="0.25">
      <c r="D72" s="243" t="s">
        <v>80</v>
      </c>
      <c r="E72" s="183"/>
      <c r="F72" s="184"/>
      <c r="G72" s="184"/>
      <c r="H72" s="184"/>
      <c r="I72" s="184"/>
      <c r="J72" s="184"/>
      <c r="K72" s="184"/>
      <c r="L72" s="184"/>
      <c r="M72" s="184"/>
      <c r="N72" s="184"/>
      <c r="O72" s="184"/>
      <c r="P72" s="184"/>
      <c r="Q72" s="184"/>
      <c r="R72" s="184"/>
      <c r="S72" s="184"/>
      <c r="T72" s="184"/>
      <c r="U72" s="184"/>
      <c r="V72" s="184"/>
      <c r="W72" s="184"/>
      <c r="X72" s="185"/>
      <c r="Y72" s="186"/>
      <c r="Z72" s="185"/>
      <c r="AA72" s="386">
        <f t="shared" si="7"/>
        <v>0</v>
      </c>
    </row>
    <row r="73" spans="4:27" ht="20.100000000000001" customHeight="1" x14ac:dyDescent="0.2">
      <c r="D73" s="236"/>
      <c r="E73" s="234"/>
      <c r="F73" s="234"/>
      <c r="G73" s="234"/>
      <c r="H73" s="234"/>
      <c r="I73" s="234"/>
      <c r="J73" s="234"/>
      <c r="K73" s="234"/>
      <c r="L73" s="234"/>
      <c r="M73" s="234"/>
      <c r="N73" s="234"/>
      <c r="O73" s="234"/>
      <c r="P73" s="234"/>
      <c r="Q73" s="234"/>
      <c r="R73" s="234"/>
      <c r="S73" s="234"/>
      <c r="T73" s="234"/>
      <c r="U73" s="234"/>
      <c r="V73" s="234"/>
      <c r="W73" s="234"/>
      <c r="X73" s="234"/>
      <c r="Y73" s="234"/>
      <c r="Z73" s="234"/>
    </row>
    <row r="74" spans="4:27" ht="20.100000000000001" customHeight="1" x14ac:dyDescent="0.2">
      <c r="D74" s="236"/>
      <c r="E74" s="234"/>
      <c r="F74" s="234"/>
      <c r="G74" s="234"/>
      <c r="H74" s="234"/>
      <c r="I74" s="234"/>
      <c r="J74" s="234"/>
      <c r="K74" s="234"/>
      <c r="L74" s="234"/>
      <c r="M74" s="234"/>
      <c r="N74" s="234"/>
      <c r="O74" s="234"/>
      <c r="P74" s="234"/>
      <c r="Q74" s="234"/>
      <c r="R74" s="234"/>
      <c r="S74" s="234"/>
      <c r="T74" s="234"/>
      <c r="U74" s="234"/>
      <c r="V74" s="234"/>
      <c r="W74" s="234"/>
      <c r="X74" s="234"/>
      <c r="Y74" s="234"/>
      <c r="Z74" s="234"/>
    </row>
    <row r="75" spans="4:27" ht="20.100000000000001" customHeight="1" thickBot="1" x14ac:dyDescent="0.25">
      <c r="D75" s="236"/>
      <c r="E75" s="234"/>
      <c r="F75" s="234"/>
      <c r="G75" s="234"/>
      <c r="H75" s="234"/>
      <c r="I75" s="234"/>
      <c r="J75" s="234"/>
      <c r="K75" s="234"/>
      <c r="L75" s="234"/>
      <c r="M75" s="234"/>
      <c r="N75" s="234"/>
      <c r="O75" s="234"/>
      <c r="P75" s="234"/>
      <c r="Q75" s="234"/>
      <c r="R75" s="234"/>
      <c r="S75" s="234"/>
      <c r="T75" s="234"/>
      <c r="U75" s="234"/>
      <c r="V75" s="234"/>
      <c r="W75" s="234"/>
      <c r="X75" s="234"/>
      <c r="Y75" s="234"/>
      <c r="Z75" s="234"/>
    </row>
    <row r="76" spans="4:27" ht="20.100000000000001" customHeight="1" thickBot="1" x14ac:dyDescent="0.25">
      <c r="D76" s="235" t="s">
        <v>83</v>
      </c>
      <c r="E76" s="429" t="s">
        <v>100</v>
      </c>
      <c r="F76" s="430"/>
      <c r="G76" s="430"/>
      <c r="H76" s="430"/>
      <c r="I76" s="430"/>
      <c r="J76" s="430"/>
      <c r="K76" s="430"/>
      <c r="L76" s="430"/>
      <c r="M76" s="430"/>
      <c r="N76" s="430"/>
      <c r="O76" s="430"/>
      <c r="P76" s="430"/>
      <c r="Q76" s="430"/>
      <c r="R76" s="430"/>
      <c r="S76" s="430"/>
      <c r="T76" s="430"/>
      <c r="U76" s="430"/>
      <c r="V76" s="430"/>
      <c r="W76" s="430"/>
      <c r="X76" s="430"/>
      <c r="Y76" s="430"/>
      <c r="Z76" s="431"/>
      <c r="AA76" s="387" t="s">
        <v>7</v>
      </c>
    </row>
    <row r="77" spans="4:27" ht="39.75" customHeight="1" thickBot="1" x14ac:dyDescent="0.25">
      <c r="D77" s="359" t="s">
        <v>81</v>
      </c>
      <c r="E77" s="455" t="s">
        <v>69</v>
      </c>
      <c r="F77" s="399" t="s">
        <v>99</v>
      </c>
      <c r="G77" s="395" t="s">
        <v>70</v>
      </c>
      <c r="H77" s="456" t="s">
        <v>71</v>
      </c>
      <c r="I77" s="457" t="s">
        <v>72</v>
      </c>
      <c r="J77" s="458" t="s">
        <v>73</v>
      </c>
      <c r="K77" s="459" t="s">
        <v>74</v>
      </c>
      <c r="L77" s="398" t="s">
        <v>75</v>
      </c>
      <c r="M77" s="460" t="s">
        <v>76</v>
      </c>
      <c r="N77" s="461" t="s">
        <v>77</v>
      </c>
      <c r="O77" s="400" t="s">
        <v>105</v>
      </c>
      <c r="P77" s="462" t="s">
        <v>106</v>
      </c>
      <c r="Q77" s="396" t="s">
        <v>107</v>
      </c>
      <c r="R77" s="463" t="s">
        <v>108</v>
      </c>
      <c r="S77" s="464" t="s">
        <v>109</v>
      </c>
      <c r="T77" s="465" t="s">
        <v>110</v>
      </c>
      <c r="U77" s="466" t="s">
        <v>111</v>
      </c>
      <c r="V77" s="397" t="s">
        <v>112</v>
      </c>
      <c r="W77" s="467" t="s">
        <v>113</v>
      </c>
      <c r="X77" s="468" t="s">
        <v>114</v>
      </c>
      <c r="Y77" s="471" t="s">
        <v>3</v>
      </c>
      <c r="Z77" s="472" t="s">
        <v>4</v>
      </c>
      <c r="AA77" s="384" t="s">
        <v>103</v>
      </c>
    </row>
    <row r="78" spans="4:27" ht="20.100000000000001" customHeight="1" x14ac:dyDescent="0.2">
      <c r="D78" s="244" t="s">
        <v>80</v>
      </c>
      <c r="E78" s="237"/>
      <c r="F78" s="238"/>
      <c r="G78" s="238"/>
      <c r="H78" s="238"/>
      <c r="I78" s="238"/>
      <c r="J78" s="238"/>
      <c r="K78" s="238"/>
      <c r="L78" s="238"/>
      <c r="M78" s="238"/>
      <c r="N78" s="238"/>
      <c r="O78" s="238"/>
      <c r="P78" s="238"/>
      <c r="Q78" s="238"/>
      <c r="R78" s="238"/>
      <c r="S78" s="238"/>
      <c r="T78" s="238"/>
      <c r="U78" s="238"/>
      <c r="V78" s="238"/>
      <c r="W78" s="238"/>
      <c r="X78" s="239"/>
      <c r="Y78" s="240"/>
      <c r="Z78" s="239"/>
      <c r="AA78" s="385">
        <f t="shared" ref="AA78:AA80" si="8">SUM(E78:Z78)</f>
        <v>0</v>
      </c>
    </row>
    <row r="79" spans="4:27" ht="20.100000000000001" customHeight="1" x14ac:dyDescent="0.2">
      <c r="D79" s="242" t="s">
        <v>80</v>
      </c>
      <c r="E79" s="179"/>
      <c r="F79" s="180"/>
      <c r="G79" s="180"/>
      <c r="H79" s="180"/>
      <c r="I79" s="180"/>
      <c r="J79" s="180"/>
      <c r="K79" s="180"/>
      <c r="L79" s="180"/>
      <c r="M79" s="180"/>
      <c r="N79" s="180"/>
      <c r="O79" s="180"/>
      <c r="P79" s="180"/>
      <c r="Q79" s="180"/>
      <c r="R79" s="180"/>
      <c r="S79" s="180"/>
      <c r="T79" s="180"/>
      <c r="U79" s="180"/>
      <c r="V79" s="180"/>
      <c r="W79" s="180"/>
      <c r="X79" s="181"/>
      <c r="Y79" s="182"/>
      <c r="Z79" s="181"/>
      <c r="AA79" s="311">
        <f t="shared" si="8"/>
        <v>0</v>
      </c>
    </row>
    <row r="80" spans="4:27" ht="20.100000000000001" customHeight="1" thickBot="1" x14ac:dyDescent="0.25">
      <c r="D80" s="243" t="s">
        <v>80</v>
      </c>
      <c r="E80" s="183"/>
      <c r="F80" s="184"/>
      <c r="G80" s="184"/>
      <c r="H80" s="184"/>
      <c r="I80" s="184"/>
      <c r="J80" s="184"/>
      <c r="K80" s="184"/>
      <c r="L80" s="184"/>
      <c r="M80" s="184"/>
      <c r="N80" s="184"/>
      <c r="O80" s="184"/>
      <c r="P80" s="184"/>
      <c r="Q80" s="184"/>
      <c r="R80" s="184"/>
      <c r="S80" s="184"/>
      <c r="T80" s="184"/>
      <c r="U80" s="184"/>
      <c r="V80" s="184"/>
      <c r="W80" s="184"/>
      <c r="X80" s="185"/>
      <c r="Y80" s="186"/>
      <c r="Z80" s="185"/>
      <c r="AA80" s="386">
        <f t="shared" si="8"/>
        <v>0</v>
      </c>
    </row>
    <row r="81" spans="4:27" ht="20.100000000000001" customHeight="1" x14ac:dyDescent="0.2">
      <c r="D81" s="236"/>
      <c r="E81" s="234"/>
      <c r="F81" s="234"/>
      <c r="G81" s="234"/>
      <c r="H81" s="234"/>
      <c r="I81" s="234"/>
      <c r="J81" s="234"/>
      <c r="K81" s="234"/>
      <c r="L81" s="234"/>
      <c r="M81" s="234"/>
      <c r="N81" s="234"/>
      <c r="O81" s="234"/>
      <c r="P81" s="234"/>
      <c r="Q81" s="234"/>
      <c r="R81" s="234"/>
      <c r="S81" s="234"/>
      <c r="T81" s="234"/>
      <c r="U81" s="234"/>
      <c r="V81" s="234"/>
      <c r="W81" s="234"/>
      <c r="X81" s="234"/>
      <c r="Y81" s="234"/>
      <c r="Z81" s="234"/>
      <c r="AA81" s="241"/>
    </row>
    <row r="82" spans="4:27" ht="20.100000000000001" customHeight="1" x14ac:dyDescent="0.2">
      <c r="D82" s="236"/>
      <c r="E82" s="234"/>
      <c r="F82" s="234"/>
      <c r="G82" s="234"/>
      <c r="H82" s="234"/>
      <c r="I82" s="234"/>
      <c r="J82" s="234"/>
      <c r="K82" s="234"/>
      <c r="L82" s="234"/>
      <c r="M82" s="234"/>
      <c r="N82" s="234"/>
      <c r="O82" s="234"/>
      <c r="P82" s="234"/>
      <c r="Q82" s="234"/>
      <c r="R82" s="234"/>
      <c r="S82" s="234"/>
      <c r="T82" s="234"/>
      <c r="U82" s="234"/>
      <c r="V82" s="234"/>
      <c r="W82" s="234"/>
      <c r="X82" s="234"/>
      <c r="Y82" s="234"/>
      <c r="Z82" s="234"/>
      <c r="AA82" s="241"/>
    </row>
  </sheetData>
  <sheetProtection algorithmName="SHA-512" hashValue="I2JTgzfobQ7Q23tRiD3G6DacsXkG2FdSD8oGToq+ShDCsLQ6tvtPeWxncUyYr0fXzltpl11b9ACPpgfAHOVj2w==" saltValue="8qOTy0tDzjd9gSgnR+8Bqg==" spinCount="100000" sheet="1" objects="1" scenarios="1"/>
  <mergeCells count="7">
    <mergeCell ref="E76:Z76"/>
    <mergeCell ref="E1:Z1"/>
    <mergeCell ref="A10:B11"/>
    <mergeCell ref="A12:B14"/>
    <mergeCell ref="A15:B18"/>
    <mergeCell ref="E48:Z48"/>
    <mergeCell ref="E66:Z66"/>
  </mergeCells>
  <conditionalFormatting sqref="B8">
    <cfRule type="cellIs" dxfId="309" priority="5" operator="notEqual">
      <formula>$B$7</formula>
    </cfRule>
  </conditionalFormatting>
  <conditionalFormatting sqref="E3:AA12">
    <cfRule type="cellIs" dxfId="308" priority="4" operator="notBetween">
      <formula>0</formula>
      <formula>100</formula>
    </cfRule>
  </conditionalFormatting>
  <conditionalFormatting sqref="E3:AA14">
    <cfRule type="cellIs" dxfId="307" priority="7" operator="lessThan">
      <formula>0</formula>
    </cfRule>
  </conditionalFormatting>
  <conditionalFormatting sqref="E14:AA14">
    <cfRule type="cellIs" dxfId="306" priority="10" operator="greaterThan">
      <formula>1</formula>
    </cfRule>
  </conditionalFormatting>
  <conditionalFormatting sqref="AA3:AA13">
    <cfRule type="cellIs" dxfId="305" priority="8" operator="equal">
      <formula>0</formula>
    </cfRule>
  </conditionalFormatting>
  <conditionalFormatting sqref="AA13">
    <cfRule type="cellIs" dxfId="304" priority="12" operator="equal">
      <formula>$B$7</formula>
    </cfRule>
  </conditionalFormatting>
  <conditionalFormatting sqref="AA14">
    <cfRule type="cellIs" dxfId="303" priority="9" operator="equal">
      <formula>1</formula>
    </cfRule>
    <cfRule type="cellIs" dxfId="302" priority="11" operator="lessThan">
      <formula>1</formula>
    </cfRule>
  </conditionalFormatting>
  <conditionalFormatting sqref="AG4:AG15">
    <cfRule type="expression" dxfId="301" priority="13">
      <formula>AND($AG4&lt;$AG3, NOT(ISBLANK($AG4)))</formula>
    </cfRule>
    <cfRule type="cellIs" dxfId="300" priority="14" operator="greaterThan">
      <formula>$B$6</formula>
    </cfRule>
  </conditionalFormatting>
  <conditionalFormatting sqref="AH4:AH15">
    <cfRule type="cellIs" dxfId="299" priority="6" operator="greaterThan">
      <formula>1</formula>
    </cfRule>
  </conditionalFormatting>
  <conditionalFormatting sqref="D68:D72 D50:D59 D78:D80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3:Z12">
    <cfRule type="expression" dxfId="298" priority="15">
      <formula>($D3&lt;=$K$23)</formula>
    </cfRule>
  </conditionalFormatting>
  <conditionalFormatting sqref="AA3:AA12">
    <cfRule type="expression" dxfId="297" priority="16">
      <formula>AND($D3=$K$23, AA3=$J$24)</formula>
    </cfRule>
    <cfRule type="expression" dxfId="296" priority="17">
      <formula>AND($D3=$K$23, MOD(AA3,100)&gt;$J$24)</formula>
    </cfRule>
    <cfRule type="cellIs" dxfId="295" priority="18" operator="equal">
      <formula>100</formula>
    </cfRule>
  </conditionalFormatting>
  <conditionalFormatting sqref="D3:Z12">
    <cfRule type="expression" dxfId="294" priority="22">
      <formula>($D3&gt;$K$23)</formula>
    </cfRule>
  </conditionalFormatting>
  <conditionalFormatting sqref="AA50 AA68:AA72 AA78:AA80">
    <cfRule type="cellIs" dxfId="293" priority="23" operator="lessThan">
      <formula>0</formula>
    </cfRule>
    <cfRule type="cellIs" dxfId="292" priority="24" operator="equal">
      <formula>0</formula>
    </cfRule>
    <cfRule type="expression" dxfId="291" priority="25">
      <formula>OR(MOD($AA50,100)=0,AND($D50=$K$23,MOD($AA50,100)=$J$24))</formula>
    </cfRule>
  </conditionalFormatting>
  <conditionalFormatting sqref="E50:Z59">
    <cfRule type="expression" dxfId="290" priority="2">
      <formula>AND(E50&lt;MAX(E$50:E50), NOT(ISBLANK(E50)), NOT(E50=0))</formula>
    </cfRule>
  </conditionalFormatting>
  <conditionalFormatting sqref="AA52:AA59">
    <cfRule type="cellIs" dxfId="289" priority="27" operator="lessThan">
      <formula>0</formula>
    </cfRule>
    <cfRule type="cellIs" dxfId="288" priority="28" operator="equal">
      <formula>0</formula>
    </cfRule>
    <cfRule type="expression" dxfId="287" priority="29">
      <formula>OR(MOD($AA52,100)=0,AND($D52=$K$23,MOD($AA52,100)=$J$24))</formula>
    </cfRule>
  </conditionalFormatting>
  <conditionalFormatting sqref="AA51">
    <cfRule type="cellIs" dxfId="286" priority="30" operator="lessThan">
      <formula>0</formula>
    </cfRule>
    <cfRule type="cellIs" dxfId="285" priority="31" operator="equal">
      <formula>0</formula>
    </cfRule>
    <cfRule type="expression" dxfId="284" priority="32">
      <formula>OR(MOD($AA51,100)=0,AND($D50=$K$23,MOD($AA51,100)=$J$24))</formula>
    </cfRule>
  </conditionalFormatting>
  <conditionalFormatting sqref="E50:Z59 E68:Z72 E78:Z80">
    <cfRule type="cellIs" dxfId="283" priority="19" operator="notBetween">
      <formula>0</formula>
      <formula>$B$7</formula>
    </cfRule>
    <cfRule type="expression" dxfId="282" priority="20">
      <formula>($D50&lt;=$K$23)</formula>
    </cfRule>
    <cfRule type="expression" dxfId="281" priority="21">
      <formula>($D50&gt;$K$23)</formula>
    </cfRule>
  </conditionalFormatting>
  <conditionalFormatting sqref="E68:Z72">
    <cfRule type="expression" dxfId="280" priority="1">
      <formula>AND(E68&lt;MAX(E$68:E68), NOT(ISBLANK(E68)), NOT(E68=0))</formula>
    </cfRule>
  </conditionalFormatting>
  <conditionalFormatting sqref="E78:Z80">
    <cfRule type="expression" dxfId="279" priority="26">
      <formula>AND(E78&lt;MAX(E$78:E78), NOT(ISBLANK(E78)), NOT(E78=0))</formula>
    </cfRule>
  </conditionalFormatting>
  <dataValidations count="2">
    <dataValidation type="list" allowBlank="1" showInputMessage="1" showErrorMessage="1" sqref="D68:D72 D78:D82 D50:D59" xr:uid="{6634A5D1-92F4-4879-9E27-B3CB5DA17D25}">
      <formula1>$D$3:$D$12</formula1>
    </dataValidation>
    <dataValidation type="list" allowBlank="1" showInputMessage="1" showErrorMessage="1" sqref="C50:C59" xr:uid="{65E047A7-B83E-4B88-8BDB-5C00D4288A03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F418A-DA5B-48FD-89D3-C0B39B71E53A}">
  <sheetPr codeName="Feuil33">
    <tabColor rgb="FFB4A7D6"/>
  </sheetPr>
  <dimension ref="A1:AL82"/>
  <sheetViews>
    <sheetView zoomScale="80" zoomScaleNormal="80" workbookViewId="0">
      <pane xSplit="2" topLeftCell="C1" activePane="topRight" state="frozen"/>
      <selection pane="topRight" activeCell="B29" sqref="B29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24" width="15.7109375" customWidth="1"/>
    <col min="27" max="27" width="12.85546875" customWidth="1"/>
    <col min="28" max="28" width="11.42578125" customWidth="1"/>
    <col min="31" max="31" width="10.42578125" customWidth="1"/>
    <col min="32" max="32" width="15.42578125" customWidth="1"/>
    <col min="33" max="33" width="16.140625" customWidth="1"/>
    <col min="34" max="34" width="12" customWidth="1"/>
    <col min="36" max="36" width="13.28515625" customWidth="1"/>
    <col min="37" max="37" width="14.42578125" customWidth="1"/>
  </cols>
  <sheetData>
    <row r="1" spans="1:38" ht="16.5" customHeight="1" thickBot="1" x14ac:dyDescent="0.25">
      <c r="A1" s="308" t="s">
        <v>11</v>
      </c>
      <c r="B1" s="33">
        <f>Synthèse!B17</f>
        <v>46096</v>
      </c>
      <c r="D1" s="307"/>
      <c r="E1" s="432" t="s">
        <v>66</v>
      </c>
      <c r="F1" s="433"/>
      <c r="G1" s="433"/>
      <c r="H1" s="433"/>
      <c r="I1" s="433"/>
      <c r="J1" s="433"/>
      <c r="K1" s="433"/>
      <c r="L1" s="433"/>
      <c r="M1" s="433"/>
      <c r="N1" s="433"/>
      <c r="O1" s="433"/>
      <c r="P1" s="433"/>
      <c r="Q1" s="433"/>
      <c r="R1" s="433"/>
      <c r="S1" s="433"/>
      <c r="T1" s="433"/>
      <c r="U1" s="433"/>
      <c r="V1" s="433"/>
      <c r="W1" s="433"/>
      <c r="X1" s="433"/>
      <c r="Y1" s="433"/>
      <c r="Z1" s="434"/>
      <c r="AA1" s="392" t="s">
        <v>7</v>
      </c>
    </row>
    <row r="2" spans="1:38" ht="39.75" customHeight="1" thickBot="1" x14ac:dyDescent="0.25">
      <c r="A2" s="309" t="s">
        <v>12</v>
      </c>
      <c r="B2" s="34" t="str">
        <f>Synthèse!B18</f>
        <v>Municipales 1er tour</v>
      </c>
      <c r="D2" s="355" t="s">
        <v>82</v>
      </c>
      <c r="E2" s="455" t="str">
        <f>Synthèse!L2</f>
        <v>Candidat 1</v>
      </c>
      <c r="F2" s="399" t="str">
        <f>Synthèse!M2</f>
        <v>Candidat 2</v>
      </c>
      <c r="G2" s="395" t="str">
        <f>Synthèse!N2</f>
        <v>Candidat 3</v>
      </c>
      <c r="H2" s="456" t="str">
        <f>Synthèse!O2</f>
        <v>Candidat 4</v>
      </c>
      <c r="I2" s="457" t="str">
        <f>Synthèse!P2</f>
        <v>Candidat 5</v>
      </c>
      <c r="J2" s="458" t="str">
        <f>Synthèse!Q2</f>
        <v>Candidat 6</v>
      </c>
      <c r="K2" s="459" t="str">
        <f>Synthèse!R2</f>
        <v>Candidat 7</v>
      </c>
      <c r="L2" s="398" t="str">
        <f>Synthèse!S2</f>
        <v>Candidat 8</v>
      </c>
      <c r="M2" s="460" t="str">
        <f>Synthèse!T2</f>
        <v>Candidat 9</v>
      </c>
      <c r="N2" s="461" t="str">
        <f>Synthèse!U2</f>
        <v>Candidat 10</v>
      </c>
      <c r="O2" s="400" t="str">
        <f>Synthèse!V2</f>
        <v>Candidat 11</v>
      </c>
      <c r="P2" s="462" t="str">
        <f>Synthèse!W2</f>
        <v>Candidat 12</v>
      </c>
      <c r="Q2" s="396" t="str">
        <f>Synthèse!X2</f>
        <v>Candidat 13</v>
      </c>
      <c r="R2" s="463" t="str">
        <f>Synthèse!Y2</f>
        <v>Candidat 14</v>
      </c>
      <c r="S2" s="464" t="str">
        <f>Synthèse!Z2</f>
        <v>Candidat 15</v>
      </c>
      <c r="T2" s="465" t="str">
        <f>Synthèse!AA2</f>
        <v>Candidat 16</v>
      </c>
      <c r="U2" s="466" t="str">
        <f>Synthèse!AB2</f>
        <v>Candidat 17</v>
      </c>
      <c r="V2" s="397" t="str">
        <f>Synthèse!AC2</f>
        <v>Candidat 18</v>
      </c>
      <c r="W2" s="467" t="str">
        <f>Synthèse!AD2</f>
        <v>Candidat 19</v>
      </c>
      <c r="X2" s="468" t="str">
        <f>Synthèse!AE2</f>
        <v>Candidat 20</v>
      </c>
      <c r="Y2" s="469" t="s">
        <v>3</v>
      </c>
      <c r="Z2" s="470" t="s">
        <v>4</v>
      </c>
      <c r="AA2" s="393" t="s">
        <v>104</v>
      </c>
      <c r="AF2" s="367" t="s">
        <v>21</v>
      </c>
      <c r="AG2" s="368" t="s">
        <v>57</v>
      </c>
      <c r="AH2" s="369" t="s">
        <v>31</v>
      </c>
      <c r="AJ2" s="370" t="s">
        <v>59</v>
      </c>
      <c r="AK2" s="370" t="s">
        <v>58</v>
      </c>
    </row>
    <row r="3" spans="1:38" ht="20.100000000000001" customHeight="1" thickBot="1" x14ac:dyDescent="0.25">
      <c r="A3" s="310" t="s">
        <v>13</v>
      </c>
      <c r="B3" s="94" t="str">
        <f>Synthèse!B19</f>
        <v>Cogolin</v>
      </c>
      <c r="D3" s="352" t="str" cm="1">
        <f t="array" ref="D3">IF(ROW(1:1)&lt;=$K$23, (ROW(1:1)), "")</f>
        <v/>
      </c>
      <c r="E3" s="155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55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55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55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55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55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55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55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5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155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1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155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155" cm="1">
        <f t="array" ref="Q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R3" s="155" cm="1">
        <f t="array" ref="R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S3" s="155" cm="1">
        <f t="array" ref="S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T3" s="155" cm="1">
        <f t="array" ref="T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U3" s="155" cm="1">
        <f t="array" ref="U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V3" s="155" cm="1">
        <f t="array" ref="V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W3" s="155" cm="1">
        <f t="array" ref="W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X3" s="155" cm="1">
        <f t="array" ref="X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Y3" s="171" cm="1">
        <f t="array" ref="Y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Z3" s="172" cm="1">
        <f t="array" ref="Z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AA3" s="311">
        <f t="shared" ref="AA3:AA12" si="0">SUM(E3:Z3)</f>
        <v>0</v>
      </c>
      <c r="AF3" s="343" t="s">
        <v>32</v>
      </c>
      <c r="AG3" s="344">
        <v>0</v>
      </c>
      <c r="AH3" s="345">
        <f t="shared" ref="AH3" si="1">AG3/$B$6</f>
        <v>0</v>
      </c>
      <c r="AJ3" s="323"/>
      <c r="AK3" s="323"/>
    </row>
    <row r="4" spans="1:38" ht="20.100000000000001" customHeight="1" x14ac:dyDescent="0.2">
      <c r="A4" s="95" t="s">
        <v>23</v>
      </c>
      <c r="B4" s="168">
        <v>4</v>
      </c>
      <c r="D4" s="353" t="str" cm="1">
        <f t="array" ref="D4">IF(ROW(2:2)&lt;=$K$23, (ROW(2:2)), "")</f>
        <v/>
      </c>
      <c r="E4" s="156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56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56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56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56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56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56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56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5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156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156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156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156" cm="1">
        <f t="array" ref="Q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R4" s="156" cm="1">
        <f t="array" ref="R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S4" s="156" cm="1">
        <f t="array" ref="S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T4" s="156" cm="1">
        <f t="array" ref="T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U4" s="156" cm="1">
        <f t="array" ref="U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V4" s="156" cm="1">
        <f t="array" ref="V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W4" s="156" cm="1">
        <f t="array" ref="W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X4" s="156" cm="1">
        <f t="array" ref="X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Y4" s="157" cm="1">
        <f t="array" ref="Y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Z4" s="158" cm="1">
        <f t="array" ref="Z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AA4" s="311">
        <f t="shared" si="0"/>
        <v>0</v>
      </c>
      <c r="AF4" s="346" t="s">
        <v>33</v>
      </c>
      <c r="AG4" s="473"/>
      <c r="AH4" s="348" t="e">
        <f t="shared" ref="AH4:AH13" si="2">IF(OR(AG4=0, AG4=""), NA(), AG4/$B$6)</f>
        <v>#N/A</v>
      </c>
      <c r="AJ4" s="318" t="s">
        <v>45</v>
      </c>
      <c r="AK4" s="371" t="e">
        <f t="shared" ref="AK4:AK13" si="3">IF(AG4&lt;&gt;0,AG4-AG3,NA())</f>
        <v>#N/A</v>
      </c>
    </row>
    <row r="5" spans="1:38" ht="20.100000000000001" customHeight="1" x14ac:dyDescent="0.2">
      <c r="A5" s="96" t="s">
        <v>24</v>
      </c>
      <c r="B5" s="187" t="s">
        <v>27</v>
      </c>
      <c r="D5" s="353" t="str" cm="1">
        <f t="array" ref="D5">IF(ROW(3:3)&lt;=$K$23, (ROW(3:3)), "")</f>
        <v/>
      </c>
      <c r="E5" s="156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56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56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56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56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56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56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5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5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156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156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156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156" cm="1">
        <f t="array" ref="Q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R5" s="156" cm="1">
        <f t="array" ref="R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S5" s="156" cm="1">
        <f t="array" ref="S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T5" s="156" cm="1">
        <f t="array" ref="T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U5" s="156" cm="1">
        <f t="array" ref="U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V5" s="156" cm="1">
        <f t="array" ref="V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W5" s="156" cm="1">
        <f t="array" ref="W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X5" s="156" cm="1">
        <f t="array" ref="X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Y5" s="173" cm="1">
        <f t="array" ref="Y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Z5" s="174" cm="1">
        <f t="array" ref="Z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AA5" s="311">
        <f t="shared" si="0"/>
        <v>0</v>
      </c>
      <c r="AD5" s="231"/>
      <c r="AE5" s="232"/>
      <c r="AF5" s="346" t="s">
        <v>34</v>
      </c>
      <c r="AG5" s="473"/>
      <c r="AH5" s="348" t="e">
        <f t="shared" si="2"/>
        <v>#N/A</v>
      </c>
      <c r="AJ5" s="319" t="s">
        <v>46</v>
      </c>
      <c r="AK5" s="372" t="e">
        <f t="shared" si="3"/>
        <v>#N/A</v>
      </c>
    </row>
    <row r="6" spans="1:38" ht="20.100000000000001" customHeight="1" x14ac:dyDescent="0.2">
      <c r="A6" s="96" t="s">
        <v>0</v>
      </c>
      <c r="B6" s="188">
        <v>651</v>
      </c>
      <c r="D6" s="353" t="str" cm="1">
        <f t="array" ref="D6">IF(ROW(4:4)&lt;=$K$23, (ROW(4:4)), "")</f>
        <v/>
      </c>
      <c r="E6" s="156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56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56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56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56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56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56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5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5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156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156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156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156" cm="1">
        <f t="array" ref="Q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R6" s="156" cm="1">
        <f t="array" ref="R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S6" s="156" cm="1">
        <f t="array" ref="S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T6" s="156" cm="1">
        <f t="array" ref="T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U6" s="156" cm="1">
        <f t="array" ref="U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V6" s="156" cm="1">
        <f t="array" ref="V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W6" s="156" cm="1">
        <f t="array" ref="W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X6" s="156" cm="1">
        <f t="array" ref="X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Y6" s="173" cm="1">
        <f t="array" ref="Y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Z6" s="174" cm="1">
        <f t="array" ref="Z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AA6" s="311">
        <f t="shared" si="0"/>
        <v>0</v>
      </c>
      <c r="AD6" s="231"/>
      <c r="AE6" s="232"/>
      <c r="AF6" s="346" t="s">
        <v>35</v>
      </c>
      <c r="AG6" s="473"/>
      <c r="AH6" s="348" t="e">
        <f t="shared" si="2"/>
        <v>#N/A</v>
      </c>
      <c r="AJ6" s="319" t="s">
        <v>47</v>
      </c>
      <c r="AK6" s="372" t="e">
        <f t="shared" si="3"/>
        <v>#N/A</v>
      </c>
    </row>
    <row r="7" spans="1:38" ht="20.100000000000001" customHeight="1" x14ac:dyDescent="0.2">
      <c r="A7" s="96" t="s">
        <v>2</v>
      </c>
      <c r="B7" s="165">
        <f>MAX(AG4:AG15)</f>
        <v>0</v>
      </c>
      <c r="D7" s="353" t="str" cm="1">
        <f t="array" ref="D7">IF(ROW(5:5)&lt;=$K$23, (ROW(5:5)), "")</f>
        <v/>
      </c>
      <c r="E7" s="156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56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56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56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56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56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56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56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5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156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156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156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156" cm="1">
        <f t="array" ref="Q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R7" s="156" cm="1">
        <f t="array" ref="R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S7" s="156" cm="1">
        <f t="array" ref="S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T7" s="156" cm="1">
        <f t="array" ref="T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U7" s="156" cm="1">
        <f t="array" ref="U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V7" s="156" cm="1">
        <f t="array" ref="V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W7" s="156" cm="1">
        <f t="array" ref="W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X7" s="156" cm="1">
        <f t="array" ref="X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Y7" s="157" cm="1">
        <f t="array" ref="Y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Z7" s="158" cm="1">
        <f t="array" ref="Z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AA7" s="311">
        <f t="shared" si="0"/>
        <v>0</v>
      </c>
      <c r="AD7" s="231"/>
      <c r="AE7" s="232"/>
      <c r="AF7" s="346" t="s">
        <v>36</v>
      </c>
      <c r="AG7" s="473"/>
      <c r="AH7" s="348" t="e">
        <f t="shared" si="2"/>
        <v>#N/A</v>
      </c>
      <c r="AJ7" s="319" t="s">
        <v>54</v>
      </c>
      <c r="AK7" s="372" t="e">
        <f t="shared" si="3"/>
        <v>#N/A</v>
      </c>
    </row>
    <row r="8" spans="1:38" ht="20.100000000000001" customHeight="1" x14ac:dyDescent="0.2">
      <c r="A8" s="96" t="s">
        <v>1</v>
      </c>
      <c r="B8" s="166">
        <f>B7</f>
        <v>0</v>
      </c>
      <c r="D8" s="353" t="str" cm="1">
        <f t="array" ref="D8">IF(ROW(6:6)&lt;=$K$23, (ROW(6:6)), "")</f>
        <v/>
      </c>
      <c r="E8" s="156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56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56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56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56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56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56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56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5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156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156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156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156" cm="1">
        <f t="array" ref="Q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R8" s="156" cm="1">
        <f t="array" ref="R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S8" s="156" cm="1">
        <f t="array" ref="S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T8" s="156" cm="1">
        <f t="array" ref="T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U8" s="156" cm="1">
        <f t="array" ref="U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V8" s="156" cm="1">
        <f t="array" ref="V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W8" s="156" cm="1">
        <f t="array" ref="W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X8" s="156" cm="1">
        <f t="array" ref="X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Y8" s="157" cm="1">
        <f t="array" ref="Y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Z8" s="158" cm="1">
        <f t="array" ref="Z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AA8" s="311">
        <f t="shared" si="0"/>
        <v>0</v>
      </c>
      <c r="AD8" s="231"/>
      <c r="AE8" s="232"/>
      <c r="AF8" s="346" t="s">
        <v>37</v>
      </c>
      <c r="AG8" s="473"/>
      <c r="AH8" s="348" t="e">
        <f t="shared" si="2"/>
        <v>#N/A</v>
      </c>
      <c r="AJ8" s="319" t="s">
        <v>48</v>
      </c>
      <c r="AK8" s="372" t="e">
        <f t="shared" si="3"/>
        <v>#N/A</v>
      </c>
    </row>
    <row r="9" spans="1:38" ht="20.100000000000001" customHeight="1" thickBot="1" x14ac:dyDescent="0.25">
      <c r="A9" s="97" t="s">
        <v>17</v>
      </c>
      <c r="B9" s="167">
        <f>B6-B7</f>
        <v>651</v>
      </c>
      <c r="D9" s="353" t="str" cm="1">
        <f t="array" ref="D9">IF(ROW(7:7)&lt;=$K$23, (ROW(7:7)), "")</f>
        <v/>
      </c>
      <c r="E9" s="156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56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56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56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56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56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56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56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56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156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156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156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156" cm="1">
        <f t="array" ref="Q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R9" s="156" cm="1">
        <f t="array" ref="R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S9" s="156" cm="1">
        <f t="array" ref="S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T9" s="156" cm="1">
        <f t="array" ref="T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U9" s="156" cm="1">
        <f t="array" ref="U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V9" s="156" cm="1">
        <f t="array" ref="V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W9" s="156" cm="1">
        <f t="array" ref="W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X9" s="156" cm="1">
        <f t="array" ref="X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Y9" s="159" cm="1">
        <f t="array" ref="Y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Z9" s="160" cm="1">
        <f t="array" ref="Z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AA9" s="311">
        <f t="shared" si="0"/>
        <v>0</v>
      </c>
      <c r="AD9" s="231"/>
      <c r="AE9" s="232"/>
      <c r="AF9" s="346" t="s">
        <v>38</v>
      </c>
      <c r="AG9" s="473"/>
      <c r="AH9" s="348" t="e">
        <f t="shared" si="2"/>
        <v>#N/A</v>
      </c>
      <c r="AJ9" s="319" t="s">
        <v>49</v>
      </c>
      <c r="AK9" s="372" t="e">
        <f t="shared" si="3"/>
        <v>#N/A</v>
      </c>
    </row>
    <row r="10" spans="1:38" ht="20.100000000000001" customHeight="1" x14ac:dyDescent="0.2">
      <c r="A10" s="435" t="s">
        <v>60</v>
      </c>
      <c r="B10" s="435"/>
      <c r="D10" s="353" t="str" cm="1">
        <f t="array" ref="D10">IF(ROW(8:8)&lt;=$K$23, (ROW(8:8)), "")</f>
        <v/>
      </c>
      <c r="E10" s="156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56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56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56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56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56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56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56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56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156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156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156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156" cm="1">
        <f t="array" ref="Q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R10" s="156" cm="1">
        <f t="array" ref="R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S10" s="156" cm="1">
        <f t="array" ref="S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T10" s="156" cm="1">
        <f t="array" ref="T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U10" s="156" cm="1">
        <f t="array" ref="U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V10" s="156" cm="1">
        <f t="array" ref="V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W10" s="156" cm="1">
        <f t="array" ref="W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X10" s="156" cm="1">
        <f t="array" ref="X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Y10" s="159" cm="1">
        <f t="array" ref="Y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Z10" s="160" cm="1">
        <f t="array" ref="Z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AA10" s="311">
        <f t="shared" si="0"/>
        <v>0</v>
      </c>
      <c r="AD10" s="231"/>
      <c r="AE10" s="232"/>
      <c r="AF10" s="346" t="s">
        <v>39</v>
      </c>
      <c r="AG10" s="473"/>
      <c r="AH10" s="348" t="e">
        <f t="shared" si="2"/>
        <v>#N/A</v>
      </c>
      <c r="AJ10" s="319" t="s">
        <v>50</v>
      </c>
      <c r="AK10" s="372" t="e">
        <f t="shared" si="3"/>
        <v>#N/A</v>
      </c>
    </row>
    <row r="11" spans="1:38" ht="20.100000000000001" customHeight="1" x14ac:dyDescent="0.2">
      <c r="A11" s="436"/>
      <c r="B11" s="436"/>
      <c r="D11" s="353" t="str" cm="1">
        <f t="array" ref="D11">IF(ROW(9:9)&lt;=$K$23, (ROW(9:9)), "")</f>
        <v/>
      </c>
      <c r="E11" s="156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56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56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56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56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56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56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56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56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156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156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156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156" cm="1">
        <f t="array" ref="Q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R11" s="156" cm="1">
        <f t="array" ref="R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S11" s="156" cm="1">
        <f t="array" ref="S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T11" s="156" cm="1">
        <f t="array" ref="T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U11" s="156" cm="1">
        <f t="array" ref="U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V11" s="156" cm="1">
        <f t="array" ref="V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W11" s="156" cm="1">
        <f t="array" ref="W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X11" s="156">
        <v>0</v>
      </c>
      <c r="Y11" s="159" cm="1">
        <f t="array" ref="Y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Z11" s="160" cm="1">
        <f t="array" ref="Z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AA11" s="311">
        <f t="shared" si="0"/>
        <v>0</v>
      </c>
      <c r="AD11" s="231"/>
      <c r="AE11" s="232"/>
      <c r="AF11" s="346" t="s">
        <v>40</v>
      </c>
      <c r="AG11" s="473"/>
      <c r="AH11" s="348" t="e">
        <f t="shared" si="2"/>
        <v>#N/A</v>
      </c>
      <c r="AJ11" s="319" t="s">
        <v>51</v>
      </c>
      <c r="AK11" s="372" t="e">
        <f t="shared" si="3"/>
        <v>#N/A</v>
      </c>
    </row>
    <row r="12" spans="1:38" ht="20.100000000000001" customHeight="1" thickBot="1" x14ac:dyDescent="0.25">
      <c r="A12" s="437" t="s">
        <v>61</v>
      </c>
      <c r="B12" s="437"/>
      <c r="D12" s="354" t="str" cm="1">
        <f t="array" ref="D12">IF(ROW(10:10)&lt;=$K$23, (ROW(10:10)), "")</f>
        <v/>
      </c>
      <c r="E12" s="156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56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56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56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56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56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56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56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56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156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156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156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156" cm="1">
        <f t="array" ref="Q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R12" s="156" cm="1">
        <f t="array" ref="R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S12" s="156" cm="1">
        <f t="array" ref="S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T12" s="156" cm="1">
        <f t="array" ref="T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U12" s="156" cm="1">
        <f t="array" ref="U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V12" s="156" cm="1">
        <f t="array" ref="V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W12" s="156" cm="1">
        <f t="array" ref="W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X12" s="156" cm="1">
        <f t="array" ref="X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Y12" s="175" cm="1">
        <f t="array" ref="Y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Z12" s="176" cm="1">
        <f t="array" ref="Z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AA12" s="311">
        <f t="shared" si="0"/>
        <v>0</v>
      </c>
      <c r="AD12" s="231"/>
      <c r="AE12" s="232"/>
      <c r="AF12" s="346" t="s">
        <v>41</v>
      </c>
      <c r="AG12" s="473"/>
      <c r="AH12" s="348" t="e">
        <f t="shared" si="2"/>
        <v>#N/A</v>
      </c>
      <c r="AJ12" s="319" t="s">
        <v>52</v>
      </c>
      <c r="AK12" s="372" t="e">
        <f t="shared" si="3"/>
        <v>#N/A</v>
      </c>
    </row>
    <row r="13" spans="1:38" ht="20.100000000000001" customHeight="1" thickBot="1" x14ac:dyDescent="0.3">
      <c r="A13" s="437"/>
      <c r="B13" s="437"/>
      <c r="D13" s="50" t="s">
        <v>9</v>
      </c>
      <c r="E13" s="161">
        <f t="shared" ref="E13:AA13" si="4">SUM(E3:E12)</f>
        <v>0</v>
      </c>
      <c r="F13" s="162">
        <f t="shared" si="4"/>
        <v>0</v>
      </c>
      <c r="G13" s="162">
        <f t="shared" si="4"/>
        <v>0</v>
      </c>
      <c r="H13" s="162">
        <f t="shared" si="4"/>
        <v>0</v>
      </c>
      <c r="I13" s="162">
        <f t="shared" si="4"/>
        <v>0</v>
      </c>
      <c r="J13" s="162">
        <f t="shared" si="4"/>
        <v>0</v>
      </c>
      <c r="K13" s="162">
        <f t="shared" si="4"/>
        <v>0</v>
      </c>
      <c r="L13" s="162">
        <f t="shared" si="4"/>
        <v>0</v>
      </c>
      <c r="M13" s="162">
        <f t="shared" si="4"/>
        <v>0</v>
      </c>
      <c r="N13" s="162">
        <f t="shared" si="4"/>
        <v>0</v>
      </c>
      <c r="O13" s="162">
        <f t="shared" si="4"/>
        <v>0</v>
      </c>
      <c r="P13" s="162">
        <f t="shared" si="4"/>
        <v>0</v>
      </c>
      <c r="Q13" s="162">
        <f t="shared" si="4"/>
        <v>0</v>
      </c>
      <c r="R13" s="162">
        <f t="shared" si="4"/>
        <v>0</v>
      </c>
      <c r="S13" s="162">
        <f t="shared" si="4"/>
        <v>0</v>
      </c>
      <c r="T13" s="162">
        <f t="shared" si="4"/>
        <v>0</v>
      </c>
      <c r="U13" s="162">
        <f t="shared" si="4"/>
        <v>0</v>
      </c>
      <c r="V13" s="162">
        <f t="shared" si="4"/>
        <v>0</v>
      </c>
      <c r="W13" s="162">
        <f t="shared" si="4"/>
        <v>0</v>
      </c>
      <c r="X13" s="162">
        <f t="shared" si="4"/>
        <v>0</v>
      </c>
      <c r="Y13" s="163">
        <f t="shared" si="4"/>
        <v>0</v>
      </c>
      <c r="Z13" s="164">
        <f t="shared" si="4"/>
        <v>0</v>
      </c>
      <c r="AA13" s="312">
        <f t="shared" si="4"/>
        <v>0</v>
      </c>
      <c r="AD13" s="231"/>
      <c r="AE13" s="232"/>
      <c r="AF13" s="346" t="s">
        <v>42</v>
      </c>
      <c r="AG13" s="473"/>
      <c r="AH13" s="348" t="e">
        <f t="shared" si="2"/>
        <v>#N/A</v>
      </c>
      <c r="AJ13" s="320" t="s">
        <v>53</v>
      </c>
      <c r="AK13" s="373" t="e">
        <f t="shared" si="3"/>
        <v>#N/A</v>
      </c>
    </row>
    <row r="14" spans="1:38" ht="20.100000000000001" customHeight="1" thickBot="1" x14ac:dyDescent="0.3">
      <c r="A14" s="437"/>
      <c r="B14" s="437"/>
      <c r="D14" s="83" t="s">
        <v>10</v>
      </c>
      <c r="E14" s="45">
        <f t="shared" ref="E14:AA14" si="5">IFERROR(E13/$B$7,0)</f>
        <v>0</v>
      </c>
      <c r="F14" s="46">
        <f t="shared" si="5"/>
        <v>0</v>
      </c>
      <c r="G14" s="46">
        <f t="shared" si="5"/>
        <v>0</v>
      </c>
      <c r="H14" s="46">
        <f t="shared" si="5"/>
        <v>0</v>
      </c>
      <c r="I14" s="46">
        <f t="shared" si="5"/>
        <v>0</v>
      </c>
      <c r="J14" s="46">
        <f t="shared" si="5"/>
        <v>0</v>
      </c>
      <c r="K14" s="46">
        <f t="shared" si="5"/>
        <v>0</v>
      </c>
      <c r="L14" s="46">
        <f t="shared" si="5"/>
        <v>0</v>
      </c>
      <c r="M14" s="46">
        <f t="shared" si="5"/>
        <v>0</v>
      </c>
      <c r="N14" s="46">
        <f t="shared" si="5"/>
        <v>0</v>
      </c>
      <c r="O14" s="46">
        <f t="shared" si="5"/>
        <v>0</v>
      </c>
      <c r="P14" s="46">
        <f t="shared" si="5"/>
        <v>0</v>
      </c>
      <c r="Q14" s="46">
        <f t="shared" si="5"/>
        <v>0</v>
      </c>
      <c r="R14" s="46">
        <f t="shared" si="5"/>
        <v>0</v>
      </c>
      <c r="S14" s="46">
        <f t="shared" si="5"/>
        <v>0</v>
      </c>
      <c r="T14" s="46">
        <f t="shared" si="5"/>
        <v>0</v>
      </c>
      <c r="U14" s="46">
        <f t="shared" si="5"/>
        <v>0</v>
      </c>
      <c r="V14" s="46">
        <f t="shared" si="5"/>
        <v>0</v>
      </c>
      <c r="W14" s="46">
        <f t="shared" si="5"/>
        <v>0</v>
      </c>
      <c r="X14" s="46">
        <f t="shared" si="5"/>
        <v>0</v>
      </c>
      <c r="Y14" s="45">
        <f t="shared" si="5"/>
        <v>0</v>
      </c>
      <c r="Z14" s="47">
        <f t="shared" si="5"/>
        <v>0</v>
      </c>
      <c r="AA14" s="322">
        <f t="shared" si="5"/>
        <v>0</v>
      </c>
      <c r="AF14" s="377" t="s">
        <v>43</v>
      </c>
      <c r="AG14" s="474"/>
      <c r="AH14" s="350" t="e">
        <f>IF(OR(AG14=0, AG14=""), NA(), AG14/$B$6)</f>
        <v>#N/A</v>
      </c>
      <c r="AI14" s="375"/>
      <c r="AJ14" s="379" t="s">
        <v>55</v>
      </c>
      <c r="AK14" s="374" t="e">
        <f>IF(AG14&lt;&gt;0,AG14-AG13,NA())</f>
        <v>#N/A</v>
      </c>
      <c r="AL14" s="375"/>
    </row>
    <row r="15" spans="1:38" ht="18" customHeight="1" thickBot="1" x14ac:dyDescent="0.25">
      <c r="A15" s="438" t="s">
        <v>68</v>
      </c>
      <c r="B15" s="438"/>
      <c r="C15" s="1"/>
      <c r="D15" s="1"/>
      <c r="AA15" s="321"/>
      <c r="AF15" s="317" t="s">
        <v>44</v>
      </c>
      <c r="AG15" s="475"/>
      <c r="AH15" s="376" t="e">
        <f>IF(OR(AG15=0, AG15=""), NA(), AG15/$B$6)</f>
        <v>#N/A</v>
      </c>
      <c r="AJ15" s="380" t="s">
        <v>56</v>
      </c>
      <c r="AK15" s="378" t="e">
        <f>IF(AG15&lt;&gt;0,AG15-AG14,NA())</f>
        <v>#N/A</v>
      </c>
      <c r="AL15" s="375"/>
    </row>
    <row r="16" spans="1:38" ht="12.75" customHeight="1" x14ac:dyDescent="0.2">
      <c r="A16" s="438"/>
      <c r="B16" s="438"/>
      <c r="AF16" s="321"/>
      <c r="AG16" s="321"/>
      <c r="AH16" s="321"/>
      <c r="AK16" s="321"/>
    </row>
    <row r="17" spans="1:11" ht="18" customHeight="1" x14ac:dyDescent="0.25">
      <c r="A17" s="438"/>
      <c r="B17" s="438"/>
      <c r="E17" s="230"/>
    </row>
    <row r="18" spans="1:11" ht="26.25" customHeight="1" x14ac:dyDescent="0.2">
      <c r="A18" s="438"/>
      <c r="B18" s="438"/>
    </row>
    <row r="23" spans="1:11" x14ac:dyDescent="0.2">
      <c r="H23" s="177" t="s">
        <v>64</v>
      </c>
      <c r="J23" s="245">
        <f>CEILING($B$6, 100)/100</f>
        <v>7</v>
      </c>
      <c r="K23" s="245">
        <f>CEILING($B$7,100)/100</f>
        <v>0</v>
      </c>
    </row>
    <row r="24" spans="1:11" x14ac:dyDescent="0.2">
      <c r="H24" s="178">
        <f>IF((ROW()-23)&lt;=$K$24,(ROW()-23),"Choisir")</f>
        <v>1</v>
      </c>
      <c r="J24" s="245">
        <f>MOD($B$7,100)</f>
        <v>0</v>
      </c>
      <c r="K24" s="246">
        <f>CEILING($B$6/300,1)</f>
        <v>3</v>
      </c>
    </row>
    <row r="25" spans="1:11" x14ac:dyDescent="0.2">
      <c r="H25" s="178">
        <f>IF((ROW()-23)&lt;=$K$24,(ROW()-23),"Choisir")</f>
        <v>2</v>
      </c>
    </row>
    <row r="26" spans="1:11" x14ac:dyDescent="0.2">
      <c r="H26" s="178">
        <f>IF((ROW()-23)&lt;=$K$24,(ROW()-23),"Choisir")</f>
        <v>3</v>
      </c>
    </row>
    <row r="27" spans="1:11" x14ac:dyDescent="0.2">
      <c r="H27" s="178" t="str">
        <f>IF((ROW()-23)&lt;=$K$24,(ROW()-23),"Choisir")</f>
        <v>Choisir</v>
      </c>
    </row>
    <row r="46" spans="4:27" x14ac:dyDescent="0.2">
      <c r="E46" s="169"/>
    </row>
    <row r="47" spans="4:27" ht="13.5" thickBot="1" x14ac:dyDescent="0.25">
      <c r="E47" s="169"/>
    </row>
    <row r="48" spans="4:27" ht="20.100000000000001" customHeight="1" thickBot="1" x14ac:dyDescent="0.25">
      <c r="D48" s="235" t="s">
        <v>78</v>
      </c>
      <c r="E48" s="429" t="s">
        <v>102</v>
      </c>
      <c r="F48" s="430"/>
      <c r="G48" s="430"/>
      <c r="H48" s="430"/>
      <c r="I48" s="430"/>
      <c r="J48" s="430"/>
      <c r="K48" s="430"/>
      <c r="L48" s="430"/>
      <c r="M48" s="430"/>
      <c r="N48" s="430"/>
      <c r="O48" s="430"/>
      <c r="P48" s="430"/>
      <c r="Q48" s="430"/>
      <c r="R48" s="430"/>
      <c r="S48" s="430"/>
      <c r="T48" s="430"/>
      <c r="U48" s="430"/>
      <c r="V48" s="430"/>
      <c r="W48" s="430"/>
      <c r="X48" s="430"/>
      <c r="Y48" s="430"/>
      <c r="Z48" s="431"/>
      <c r="AA48" s="381" t="s">
        <v>7</v>
      </c>
    </row>
    <row r="49" spans="3:27" ht="47.25" customHeight="1" thickBot="1" x14ac:dyDescent="0.25">
      <c r="C49" s="233"/>
      <c r="D49" s="359" t="s">
        <v>81</v>
      </c>
      <c r="E49" s="455" t="s">
        <v>69</v>
      </c>
      <c r="F49" s="399" t="s">
        <v>99</v>
      </c>
      <c r="G49" s="395" t="s">
        <v>70</v>
      </c>
      <c r="H49" s="456" t="s">
        <v>71</v>
      </c>
      <c r="I49" s="457" t="s">
        <v>72</v>
      </c>
      <c r="J49" s="458" t="s">
        <v>73</v>
      </c>
      <c r="K49" s="459" t="s">
        <v>74</v>
      </c>
      <c r="L49" s="398" t="s">
        <v>75</v>
      </c>
      <c r="M49" s="460" t="s">
        <v>76</v>
      </c>
      <c r="N49" s="461" t="s">
        <v>77</v>
      </c>
      <c r="O49" s="400" t="s">
        <v>105</v>
      </c>
      <c r="P49" s="462" t="s">
        <v>106</v>
      </c>
      <c r="Q49" s="396" t="s">
        <v>107</v>
      </c>
      <c r="R49" s="463" t="s">
        <v>108</v>
      </c>
      <c r="S49" s="464" t="s">
        <v>109</v>
      </c>
      <c r="T49" s="465" t="s">
        <v>110</v>
      </c>
      <c r="U49" s="466" t="s">
        <v>111</v>
      </c>
      <c r="V49" s="397" t="s">
        <v>112</v>
      </c>
      <c r="W49" s="467" t="s">
        <v>113</v>
      </c>
      <c r="X49" s="468" t="s">
        <v>114</v>
      </c>
      <c r="Y49" s="471" t="s">
        <v>3</v>
      </c>
      <c r="Z49" s="472" t="s">
        <v>4</v>
      </c>
      <c r="AA49" s="383" t="s">
        <v>103</v>
      </c>
    </row>
    <row r="50" spans="3:27" ht="19.5" customHeight="1" x14ac:dyDescent="0.2">
      <c r="C50" s="234"/>
      <c r="D50" s="358" t="s">
        <v>80</v>
      </c>
      <c r="E50" s="313"/>
      <c r="F50" s="314"/>
      <c r="G50" s="314"/>
      <c r="H50" s="314"/>
      <c r="I50" s="314"/>
      <c r="J50" s="314"/>
      <c r="K50" s="314"/>
      <c r="L50" s="314"/>
      <c r="M50" s="314"/>
      <c r="N50" s="314"/>
      <c r="O50" s="314"/>
      <c r="P50" s="314"/>
      <c r="Q50" s="314"/>
      <c r="R50" s="314"/>
      <c r="S50" s="314"/>
      <c r="T50" s="314"/>
      <c r="U50" s="314"/>
      <c r="V50" s="314"/>
      <c r="W50" s="314"/>
      <c r="X50" s="315"/>
      <c r="Y50" s="316"/>
      <c r="Z50" s="315"/>
      <c r="AA50" s="382">
        <f t="shared" ref="AA50:AA59" si="6">SUM(E50:Z50)</f>
        <v>0</v>
      </c>
    </row>
    <row r="51" spans="3:27" ht="20.100000000000001" customHeight="1" x14ac:dyDescent="0.2">
      <c r="C51" s="234"/>
      <c r="D51" s="358" t="s">
        <v>80</v>
      </c>
      <c r="E51" s="313"/>
      <c r="F51" s="314"/>
      <c r="G51" s="314"/>
      <c r="H51" s="314"/>
      <c r="I51" s="314"/>
      <c r="J51" s="314"/>
      <c r="K51" s="314"/>
      <c r="L51" s="314"/>
      <c r="M51" s="314"/>
      <c r="N51" s="314"/>
      <c r="O51" s="314"/>
      <c r="P51" s="314"/>
      <c r="Q51" s="314"/>
      <c r="R51" s="314"/>
      <c r="S51" s="314"/>
      <c r="T51" s="314"/>
      <c r="U51" s="314"/>
      <c r="V51" s="314"/>
      <c r="W51" s="314"/>
      <c r="X51" s="315"/>
      <c r="Y51" s="316"/>
      <c r="Z51" s="315"/>
      <c r="AA51" s="382">
        <f t="shared" si="6"/>
        <v>0</v>
      </c>
    </row>
    <row r="52" spans="3:27" ht="20.100000000000001" customHeight="1" x14ac:dyDescent="0.2">
      <c r="C52" s="234"/>
      <c r="D52" s="358" t="s">
        <v>80</v>
      </c>
      <c r="E52" s="313"/>
      <c r="F52" s="314"/>
      <c r="G52" s="314"/>
      <c r="H52" s="314"/>
      <c r="I52" s="314"/>
      <c r="J52" s="314"/>
      <c r="K52" s="314"/>
      <c r="L52" s="314"/>
      <c r="M52" s="314"/>
      <c r="N52" s="314"/>
      <c r="O52" s="314"/>
      <c r="P52" s="314"/>
      <c r="Q52" s="314"/>
      <c r="R52" s="314"/>
      <c r="S52" s="314"/>
      <c r="T52" s="314"/>
      <c r="U52" s="314"/>
      <c r="V52" s="314"/>
      <c r="W52" s="314"/>
      <c r="X52" s="315"/>
      <c r="Y52" s="316"/>
      <c r="Z52" s="315"/>
      <c r="AA52" s="382">
        <f t="shared" si="6"/>
        <v>0</v>
      </c>
    </row>
    <row r="53" spans="3:27" ht="20.100000000000001" customHeight="1" x14ac:dyDescent="0.2">
      <c r="C53" s="234"/>
      <c r="D53" s="358" t="s">
        <v>80</v>
      </c>
      <c r="E53" s="313"/>
      <c r="F53" s="314"/>
      <c r="G53" s="314"/>
      <c r="H53" s="314"/>
      <c r="I53" s="314"/>
      <c r="J53" s="314"/>
      <c r="K53" s="314"/>
      <c r="L53" s="314"/>
      <c r="M53" s="314"/>
      <c r="N53" s="314"/>
      <c r="O53" s="314"/>
      <c r="P53" s="314"/>
      <c r="Q53" s="314"/>
      <c r="R53" s="314"/>
      <c r="S53" s="314"/>
      <c r="T53" s="314"/>
      <c r="U53" s="314"/>
      <c r="V53" s="314"/>
      <c r="W53" s="314"/>
      <c r="X53" s="315"/>
      <c r="Y53" s="316"/>
      <c r="Z53" s="315"/>
      <c r="AA53" s="382">
        <f t="shared" si="6"/>
        <v>0</v>
      </c>
    </row>
    <row r="54" spans="3:27" ht="20.100000000000001" customHeight="1" x14ac:dyDescent="0.2">
      <c r="C54" s="234"/>
      <c r="D54" s="358" t="s">
        <v>80</v>
      </c>
      <c r="E54" s="313"/>
      <c r="F54" s="314"/>
      <c r="G54" s="314"/>
      <c r="H54" s="314"/>
      <c r="I54" s="314"/>
      <c r="J54" s="314"/>
      <c r="K54" s="314"/>
      <c r="L54" s="314"/>
      <c r="M54" s="314"/>
      <c r="N54" s="314"/>
      <c r="O54" s="314"/>
      <c r="P54" s="314"/>
      <c r="Q54" s="314"/>
      <c r="R54" s="314"/>
      <c r="S54" s="314"/>
      <c r="T54" s="314"/>
      <c r="U54" s="314"/>
      <c r="V54" s="314"/>
      <c r="W54" s="314"/>
      <c r="X54" s="315"/>
      <c r="Y54" s="316"/>
      <c r="Z54" s="315"/>
      <c r="AA54" s="382">
        <f t="shared" si="6"/>
        <v>0</v>
      </c>
    </row>
    <row r="55" spans="3:27" ht="20.100000000000001" customHeight="1" x14ac:dyDescent="0.2">
      <c r="C55" s="234"/>
      <c r="D55" s="358" t="s">
        <v>80</v>
      </c>
      <c r="E55" s="313"/>
      <c r="F55" s="314"/>
      <c r="G55" s="314"/>
      <c r="H55" s="314"/>
      <c r="I55" s="314"/>
      <c r="J55" s="314"/>
      <c r="K55" s="314"/>
      <c r="L55" s="314"/>
      <c r="M55" s="314"/>
      <c r="N55" s="314"/>
      <c r="O55" s="314"/>
      <c r="P55" s="314"/>
      <c r="Q55" s="314"/>
      <c r="R55" s="314"/>
      <c r="S55" s="314"/>
      <c r="T55" s="314"/>
      <c r="U55" s="314"/>
      <c r="V55" s="314"/>
      <c r="W55" s="314"/>
      <c r="X55" s="315"/>
      <c r="Y55" s="316"/>
      <c r="Z55" s="315"/>
      <c r="AA55" s="382">
        <f t="shared" si="6"/>
        <v>0</v>
      </c>
    </row>
    <row r="56" spans="3:27" ht="20.100000000000001" customHeight="1" x14ac:dyDescent="0.2">
      <c r="C56" s="234"/>
      <c r="D56" s="358" t="s">
        <v>80</v>
      </c>
      <c r="E56" s="313"/>
      <c r="F56" s="314"/>
      <c r="G56" s="314"/>
      <c r="H56" s="314"/>
      <c r="I56" s="314"/>
      <c r="J56" s="314"/>
      <c r="K56" s="314"/>
      <c r="L56" s="314"/>
      <c r="M56" s="314"/>
      <c r="N56" s="314"/>
      <c r="O56" s="314"/>
      <c r="P56" s="314"/>
      <c r="Q56" s="314"/>
      <c r="R56" s="314"/>
      <c r="S56" s="314"/>
      <c r="T56" s="314"/>
      <c r="U56" s="314"/>
      <c r="V56" s="314"/>
      <c r="W56" s="314"/>
      <c r="X56" s="315"/>
      <c r="Y56" s="316"/>
      <c r="Z56" s="315"/>
      <c r="AA56" s="382">
        <f t="shared" si="6"/>
        <v>0</v>
      </c>
    </row>
    <row r="57" spans="3:27" ht="20.100000000000001" customHeight="1" x14ac:dyDescent="0.2">
      <c r="C57" s="234"/>
      <c r="D57" s="358" t="s">
        <v>80</v>
      </c>
      <c r="E57" s="313"/>
      <c r="F57" s="314"/>
      <c r="G57" s="314"/>
      <c r="H57" s="314"/>
      <c r="I57" s="314"/>
      <c r="J57" s="314"/>
      <c r="K57" s="314"/>
      <c r="L57" s="314"/>
      <c r="M57" s="314"/>
      <c r="N57" s="314"/>
      <c r="O57" s="314"/>
      <c r="P57" s="314"/>
      <c r="Q57" s="314"/>
      <c r="R57" s="314"/>
      <c r="S57" s="314"/>
      <c r="T57" s="314"/>
      <c r="U57" s="314"/>
      <c r="V57" s="314"/>
      <c r="W57" s="314"/>
      <c r="X57" s="315"/>
      <c r="Y57" s="316"/>
      <c r="Z57" s="315"/>
      <c r="AA57" s="382">
        <f t="shared" si="6"/>
        <v>0</v>
      </c>
    </row>
    <row r="58" spans="3:27" ht="20.100000000000001" customHeight="1" x14ac:dyDescent="0.2">
      <c r="C58" s="234"/>
      <c r="D58" s="358" t="s">
        <v>80</v>
      </c>
      <c r="E58" s="313"/>
      <c r="F58" s="314"/>
      <c r="G58" s="314"/>
      <c r="H58" s="314"/>
      <c r="I58" s="314"/>
      <c r="J58" s="314"/>
      <c r="K58" s="314"/>
      <c r="L58" s="314"/>
      <c r="M58" s="314"/>
      <c r="N58" s="314"/>
      <c r="O58" s="314"/>
      <c r="P58" s="314"/>
      <c r="Q58" s="314"/>
      <c r="R58" s="314"/>
      <c r="S58" s="314"/>
      <c r="T58" s="314"/>
      <c r="U58" s="314"/>
      <c r="V58" s="314"/>
      <c r="W58" s="314"/>
      <c r="X58" s="315"/>
      <c r="Y58" s="316"/>
      <c r="Z58" s="315"/>
      <c r="AA58" s="382">
        <f t="shared" si="6"/>
        <v>0</v>
      </c>
    </row>
    <row r="59" spans="3:27" ht="20.100000000000001" customHeight="1" thickBot="1" x14ac:dyDescent="0.25">
      <c r="C59" s="234"/>
      <c r="D59" s="362" t="s">
        <v>80</v>
      </c>
      <c r="E59" s="363"/>
      <c r="F59" s="364"/>
      <c r="G59" s="364"/>
      <c r="H59" s="364"/>
      <c r="I59" s="364"/>
      <c r="J59" s="364"/>
      <c r="K59" s="364"/>
      <c r="L59" s="364"/>
      <c r="M59" s="364"/>
      <c r="N59" s="364"/>
      <c r="O59" s="364"/>
      <c r="P59" s="364"/>
      <c r="Q59" s="364"/>
      <c r="R59" s="364"/>
      <c r="S59" s="364"/>
      <c r="T59" s="364"/>
      <c r="U59" s="364"/>
      <c r="V59" s="364"/>
      <c r="W59" s="364"/>
      <c r="X59" s="365"/>
      <c r="Y59" s="366"/>
      <c r="Z59" s="365"/>
      <c r="AA59" s="382">
        <f t="shared" si="6"/>
        <v>0</v>
      </c>
    </row>
    <row r="60" spans="3:27" x14ac:dyDescent="0.2">
      <c r="AA60" s="321"/>
    </row>
    <row r="63" spans="3:27" ht="18" x14ac:dyDescent="0.25">
      <c r="E63" s="230"/>
    </row>
    <row r="65" spans="4:27" ht="13.5" thickBot="1" x14ac:dyDescent="0.25"/>
    <row r="66" spans="4:27" ht="16.5" customHeight="1" thickBot="1" x14ac:dyDescent="0.25">
      <c r="D66" s="235" t="s">
        <v>79</v>
      </c>
      <c r="E66" s="429" t="s">
        <v>101</v>
      </c>
      <c r="F66" s="430"/>
      <c r="G66" s="430"/>
      <c r="H66" s="430"/>
      <c r="I66" s="430"/>
      <c r="J66" s="430"/>
      <c r="K66" s="430"/>
      <c r="L66" s="430"/>
      <c r="M66" s="430"/>
      <c r="N66" s="430"/>
      <c r="O66" s="430"/>
      <c r="P66" s="430"/>
      <c r="Q66" s="430"/>
      <c r="R66" s="430"/>
      <c r="S66" s="430"/>
      <c r="T66" s="430"/>
      <c r="U66" s="430"/>
      <c r="V66" s="430"/>
      <c r="W66" s="430"/>
      <c r="X66" s="430"/>
      <c r="Y66" s="430"/>
      <c r="Z66" s="431"/>
      <c r="AA66" s="381" t="s">
        <v>7</v>
      </c>
    </row>
    <row r="67" spans="4:27" ht="42" customHeight="1" thickBot="1" x14ac:dyDescent="0.25">
      <c r="D67" s="359" t="s">
        <v>81</v>
      </c>
      <c r="E67" s="455" t="s">
        <v>69</v>
      </c>
      <c r="F67" s="399" t="s">
        <v>99</v>
      </c>
      <c r="G67" s="395" t="s">
        <v>70</v>
      </c>
      <c r="H67" s="456" t="s">
        <v>71</v>
      </c>
      <c r="I67" s="457" t="s">
        <v>72</v>
      </c>
      <c r="J67" s="458" t="s">
        <v>73</v>
      </c>
      <c r="K67" s="459" t="s">
        <v>74</v>
      </c>
      <c r="L67" s="398" t="s">
        <v>75</v>
      </c>
      <c r="M67" s="460" t="s">
        <v>76</v>
      </c>
      <c r="N67" s="461" t="s">
        <v>77</v>
      </c>
      <c r="O67" s="400" t="s">
        <v>105</v>
      </c>
      <c r="P67" s="462" t="s">
        <v>106</v>
      </c>
      <c r="Q67" s="396" t="s">
        <v>107</v>
      </c>
      <c r="R67" s="463" t="s">
        <v>108</v>
      </c>
      <c r="S67" s="464" t="s">
        <v>109</v>
      </c>
      <c r="T67" s="465" t="s">
        <v>110</v>
      </c>
      <c r="U67" s="466" t="s">
        <v>111</v>
      </c>
      <c r="V67" s="397" t="s">
        <v>112</v>
      </c>
      <c r="W67" s="467" t="s">
        <v>113</v>
      </c>
      <c r="X67" s="468" t="s">
        <v>114</v>
      </c>
      <c r="Y67" s="471" t="s">
        <v>3</v>
      </c>
      <c r="Z67" s="472" t="s">
        <v>4</v>
      </c>
      <c r="AA67" s="388" t="s">
        <v>103</v>
      </c>
    </row>
    <row r="68" spans="4:27" ht="20.100000000000001" customHeight="1" x14ac:dyDescent="0.2">
      <c r="D68" s="244" t="s">
        <v>80</v>
      </c>
      <c r="E68" s="237"/>
      <c r="F68" s="238"/>
      <c r="G68" s="238"/>
      <c r="H68" s="238"/>
      <c r="I68" s="238"/>
      <c r="J68" s="238"/>
      <c r="K68" s="238"/>
      <c r="L68" s="238"/>
      <c r="M68" s="238"/>
      <c r="N68" s="238"/>
      <c r="O68" s="238"/>
      <c r="P68" s="238"/>
      <c r="Q68" s="238"/>
      <c r="R68" s="238"/>
      <c r="S68" s="238"/>
      <c r="T68" s="238"/>
      <c r="U68" s="238"/>
      <c r="V68" s="238"/>
      <c r="W68" s="238"/>
      <c r="X68" s="239"/>
      <c r="Y68" s="240"/>
      <c r="Z68" s="239"/>
      <c r="AA68" s="385">
        <f t="shared" ref="AA68:AA72" si="7">SUM(E68:Z68)</f>
        <v>0</v>
      </c>
    </row>
    <row r="69" spans="4:27" ht="20.100000000000001" customHeight="1" x14ac:dyDescent="0.2">
      <c r="D69" s="242" t="s">
        <v>80</v>
      </c>
      <c r="E69" s="179"/>
      <c r="F69" s="180"/>
      <c r="G69" s="180"/>
      <c r="H69" s="180"/>
      <c r="I69" s="180"/>
      <c r="J69" s="180"/>
      <c r="K69" s="180"/>
      <c r="L69" s="180"/>
      <c r="M69" s="180"/>
      <c r="N69" s="180"/>
      <c r="O69" s="180"/>
      <c r="P69" s="180"/>
      <c r="Q69" s="180"/>
      <c r="R69" s="180"/>
      <c r="S69" s="180"/>
      <c r="T69" s="180"/>
      <c r="U69" s="180"/>
      <c r="V69" s="180"/>
      <c r="W69" s="180"/>
      <c r="X69" s="181"/>
      <c r="Y69" s="182"/>
      <c r="Z69" s="181"/>
      <c r="AA69" s="311">
        <f t="shared" si="7"/>
        <v>0</v>
      </c>
    </row>
    <row r="70" spans="4:27" ht="20.100000000000001" customHeight="1" x14ac:dyDescent="0.2">
      <c r="D70" s="242" t="s">
        <v>80</v>
      </c>
      <c r="E70" s="179"/>
      <c r="F70" s="180"/>
      <c r="G70" s="180"/>
      <c r="H70" s="180"/>
      <c r="I70" s="180"/>
      <c r="J70" s="180"/>
      <c r="K70" s="180"/>
      <c r="L70" s="180"/>
      <c r="M70" s="180"/>
      <c r="N70" s="180"/>
      <c r="O70" s="180"/>
      <c r="P70" s="180"/>
      <c r="Q70" s="180"/>
      <c r="R70" s="180"/>
      <c r="S70" s="180"/>
      <c r="T70" s="180"/>
      <c r="U70" s="180"/>
      <c r="V70" s="180"/>
      <c r="W70" s="180"/>
      <c r="X70" s="181"/>
      <c r="Y70" s="182"/>
      <c r="Z70" s="181"/>
      <c r="AA70" s="311">
        <f t="shared" si="7"/>
        <v>0</v>
      </c>
    </row>
    <row r="71" spans="4:27" ht="20.100000000000001" customHeight="1" x14ac:dyDescent="0.2">
      <c r="D71" s="242" t="s">
        <v>80</v>
      </c>
      <c r="E71" s="179"/>
      <c r="F71" s="180"/>
      <c r="G71" s="180"/>
      <c r="H71" s="180"/>
      <c r="I71" s="180"/>
      <c r="J71" s="180"/>
      <c r="K71" s="180"/>
      <c r="L71" s="180"/>
      <c r="M71" s="180"/>
      <c r="N71" s="180"/>
      <c r="O71" s="180"/>
      <c r="P71" s="180"/>
      <c r="Q71" s="180"/>
      <c r="R71" s="180"/>
      <c r="S71" s="180"/>
      <c r="T71" s="180"/>
      <c r="U71" s="180"/>
      <c r="V71" s="180"/>
      <c r="W71" s="180"/>
      <c r="X71" s="181"/>
      <c r="Y71" s="182"/>
      <c r="Z71" s="181"/>
      <c r="AA71" s="311">
        <f t="shared" si="7"/>
        <v>0</v>
      </c>
    </row>
    <row r="72" spans="4:27" ht="20.100000000000001" customHeight="1" thickBot="1" x14ac:dyDescent="0.25">
      <c r="D72" s="243" t="s">
        <v>80</v>
      </c>
      <c r="E72" s="183"/>
      <c r="F72" s="184"/>
      <c r="G72" s="184"/>
      <c r="H72" s="184"/>
      <c r="I72" s="184"/>
      <c r="J72" s="184"/>
      <c r="K72" s="184"/>
      <c r="L72" s="184"/>
      <c r="M72" s="184"/>
      <c r="N72" s="184"/>
      <c r="O72" s="184"/>
      <c r="P72" s="184"/>
      <c r="Q72" s="184"/>
      <c r="R72" s="184"/>
      <c r="S72" s="184"/>
      <c r="T72" s="184"/>
      <c r="U72" s="184"/>
      <c r="V72" s="184"/>
      <c r="W72" s="184"/>
      <c r="X72" s="185"/>
      <c r="Y72" s="186"/>
      <c r="Z72" s="185"/>
      <c r="AA72" s="386">
        <f t="shared" si="7"/>
        <v>0</v>
      </c>
    </row>
    <row r="73" spans="4:27" ht="20.100000000000001" customHeight="1" x14ac:dyDescent="0.2">
      <c r="D73" s="236"/>
      <c r="E73" s="234"/>
      <c r="F73" s="234"/>
      <c r="G73" s="234"/>
      <c r="H73" s="234"/>
      <c r="I73" s="234"/>
      <c r="J73" s="234"/>
      <c r="K73" s="234"/>
      <c r="L73" s="234"/>
      <c r="M73" s="234"/>
      <c r="N73" s="234"/>
      <c r="O73" s="234"/>
      <c r="P73" s="234"/>
      <c r="Q73" s="234"/>
      <c r="R73" s="234"/>
      <c r="S73" s="234"/>
      <c r="T73" s="234"/>
      <c r="U73" s="234"/>
      <c r="V73" s="234"/>
      <c r="W73" s="234"/>
      <c r="X73" s="234"/>
      <c r="Y73" s="234"/>
      <c r="Z73" s="234"/>
    </row>
    <row r="74" spans="4:27" ht="20.100000000000001" customHeight="1" x14ac:dyDescent="0.2">
      <c r="D74" s="236"/>
      <c r="E74" s="234"/>
      <c r="F74" s="234"/>
      <c r="G74" s="234"/>
      <c r="H74" s="234"/>
      <c r="I74" s="234"/>
      <c r="J74" s="234"/>
      <c r="K74" s="234"/>
      <c r="L74" s="234"/>
      <c r="M74" s="234"/>
      <c r="N74" s="234"/>
      <c r="O74" s="234"/>
      <c r="P74" s="234"/>
      <c r="Q74" s="234"/>
      <c r="R74" s="234"/>
      <c r="S74" s="234"/>
      <c r="T74" s="234"/>
      <c r="U74" s="234"/>
      <c r="V74" s="234"/>
      <c r="W74" s="234"/>
      <c r="X74" s="234"/>
      <c r="Y74" s="234"/>
      <c r="Z74" s="234"/>
    </row>
    <row r="75" spans="4:27" ht="20.100000000000001" customHeight="1" thickBot="1" x14ac:dyDescent="0.25">
      <c r="D75" s="236"/>
      <c r="E75" s="234"/>
      <c r="F75" s="234"/>
      <c r="G75" s="234"/>
      <c r="H75" s="234"/>
      <c r="I75" s="234"/>
      <c r="J75" s="234"/>
      <c r="K75" s="234"/>
      <c r="L75" s="234"/>
      <c r="M75" s="234"/>
      <c r="N75" s="234"/>
      <c r="O75" s="234"/>
      <c r="P75" s="234"/>
      <c r="Q75" s="234"/>
      <c r="R75" s="234"/>
      <c r="S75" s="234"/>
      <c r="T75" s="234"/>
      <c r="U75" s="234"/>
      <c r="V75" s="234"/>
      <c r="W75" s="234"/>
      <c r="X75" s="234"/>
      <c r="Y75" s="234"/>
      <c r="Z75" s="234"/>
    </row>
    <row r="76" spans="4:27" ht="20.100000000000001" customHeight="1" thickBot="1" x14ac:dyDescent="0.25">
      <c r="D76" s="235" t="s">
        <v>83</v>
      </c>
      <c r="E76" s="429" t="s">
        <v>100</v>
      </c>
      <c r="F76" s="430"/>
      <c r="G76" s="430"/>
      <c r="H76" s="430"/>
      <c r="I76" s="430"/>
      <c r="J76" s="430"/>
      <c r="K76" s="430"/>
      <c r="L76" s="430"/>
      <c r="M76" s="430"/>
      <c r="N76" s="430"/>
      <c r="O76" s="430"/>
      <c r="P76" s="430"/>
      <c r="Q76" s="430"/>
      <c r="R76" s="430"/>
      <c r="S76" s="430"/>
      <c r="T76" s="430"/>
      <c r="U76" s="430"/>
      <c r="V76" s="430"/>
      <c r="W76" s="430"/>
      <c r="X76" s="430"/>
      <c r="Y76" s="430"/>
      <c r="Z76" s="431"/>
      <c r="AA76" s="387" t="s">
        <v>7</v>
      </c>
    </row>
    <row r="77" spans="4:27" ht="39.75" customHeight="1" thickBot="1" x14ac:dyDescent="0.25">
      <c r="D77" s="359" t="s">
        <v>81</v>
      </c>
      <c r="E77" s="455" t="s">
        <v>69</v>
      </c>
      <c r="F77" s="399" t="s">
        <v>99</v>
      </c>
      <c r="G77" s="395" t="s">
        <v>70</v>
      </c>
      <c r="H77" s="456" t="s">
        <v>71</v>
      </c>
      <c r="I77" s="457" t="s">
        <v>72</v>
      </c>
      <c r="J77" s="458" t="s">
        <v>73</v>
      </c>
      <c r="K77" s="459" t="s">
        <v>74</v>
      </c>
      <c r="L77" s="398" t="s">
        <v>75</v>
      </c>
      <c r="M77" s="460" t="s">
        <v>76</v>
      </c>
      <c r="N77" s="461" t="s">
        <v>77</v>
      </c>
      <c r="O77" s="400" t="s">
        <v>105</v>
      </c>
      <c r="P77" s="462" t="s">
        <v>106</v>
      </c>
      <c r="Q77" s="396" t="s">
        <v>107</v>
      </c>
      <c r="R77" s="463" t="s">
        <v>108</v>
      </c>
      <c r="S77" s="464" t="s">
        <v>109</v>
      </c>
      <c r="T77" s="465" t="s">
        <v>110</v>
      </c>
      <c r="U77" s="466" t="s">
        <v>111</v>
      </c>
      <c r="V77" s="397" t="s">
        <v>112</v>
      </c>
      <c r="W77" s="467" t="s">
        <v>113</v>
      </c>
      <c r="X77" s="468" t="s">
        <v>114</v>
      </c>
      <c r="Y77" s="471" t="s">
        <v>3</v>
      </c>
      <c r="Z77" s="472" t="s">
        <v>4</v>
      </c>
      <c r="AA77" s="384" t="s">
        <v>103</v>
      </c>
    </row>
    <row r="78" spans="4:27" ht="20.100000000000001" customHeight="1" x14ac:dyDescent="0.2">
      <c r="D78" s="244" t="s">
        <v>80</v>
      </c>
      <c r="E78" s="237"/>
      <c r="F78" s="238"/>
      <c r="G78" s="238"/>
      <c r="H78" s="238"/>
      <c r="I78" s="238"/>
      <c r="J78" s="238"/>
      <c r="K78" s="238"/>
      <c r="L78" s="238"/>
      <c r="M78" s="238"/>
      <c r="N78" s="238"/>
      <c r="O78" s="238"/>
      <c r="P78" s="238"/>
      <c r="Q78" s="238"/>
      <c r="R78" s="238"/>
      <c r="S78" s="238"/>
      <c r="T78" s="238"/>
      <c r="U78" s="238"/>
      <c r="V78" s="238"/>
      <c r="W78" s="238"/>
      <c r="X78" s="239"/>
      <c r="Y78" s="240"/>
      <c r="Z78" s="239"/>
      <c r="AA78" s="385">
        <f t="shared" ref="AA78:AA80" si="8">SUM(E78:Z78)</f>
        <v>0</v>
      </c>
    </row>
    <row r="79" spans="4:27" ht="20.100000000000001" customHeight="1" x14ac:dyDescent="0.2">
      <c r="D79" s="242" t="s">
        <v>80</v>
      </c>
      <c r="E79" s="179"/>
      <c r="F79" s="180"/>
      <c r="G79" s="180"/>
      <c r="H79" s="180"/>
      <c r="I79" s="180"/>
      <c r="J79" s="180"/>
      <c r="K79" s="180"/>
      <c r="L79" s="180"/>
      <c r="M79" s="180"/>
      <c r="N79" s="180"/>
      <c r="O79" s="180"/>
      <c r="P79" s="180"/>
      <c r="Q79" s="180"/>
      <c r="R79" s="180"/>
      <c r="S79" s="180"/>
      <c r="T79" s="180"/>
      <c r="U79" s="180"/>
      <c r="V79" s="180"/>
      <c r="W79" s="180"/>
      <c r="X79" s="181"/>
      <c r="Y79" s="182"/>
      <c r="Z79" s="181"/>
      <c r="AA79" s="311">
        <f t="shared" si="8"/>
        <v>0</v>
      </c>
    </row>
    <row r="80" spans="4:27" ht="20.100000000000001" customHeight="1" thickBot="1" x14ac:dyDescent="0.25">
      <c r="D80" s="243" t="s">
        <v>80</v>
      </c>
      <c r="E80" s="183"/>
      <c r="F80" s="184"/>
      <c r="G80" s="184"/>
      <c r="H80" s="184"/>
      <c r="I80" s="184"/>
      <c r="J80" s="184"/>
      <c r="K80" s="184"/>
      <c r="L80" s="184"/>
      <c r="M80" s="184"/>
      <c r="N80" s="184"/>
      <c r="O80" s="184"/>
      <c r="P80" s="184"/>
      <c r="Q80" s="184"/>
      <c r="R80" s="184"/>
      <c r="S80" s="184"/>
      <c r="T80" s="184"/>
      <c r="U80" s="184"/>
      <c r="V80" s="184"/>
      <c r="W80" s="184"/>
      <c r="X80" s="185"/>
      <c r="Y80" s="186"/>
      <c r="Z80" s="185"/>
      <c r="AA80" s="386">
        <f t="shared" si="8"/>
        <v>0</v>
      </c>
    </row>
    <row r="81" spans="4:27" ht="20.100000000000001" customHeight="1" x14ac:dyDescent="0.2">
      <c r="D81" s="236"/>
      <c r="E81" s="234"/>
      <c r="F81" s="234"/>
      <c r="G81" s="234"/>
      <c r="H81" s="234"/>
      <c r="I81" s="234"/>
      <c r="J81" s="234"/>
      <c r="K81" s="234"/>
      <c r="L81" s="234"/>
      <c r="M81" s="234"/>
      <c r="N81" s="234"/>
      <c r="O81" s="234"/>
      <c r="P81" s="234"/>
      <c r="Q81" s="234"/>
      <c r="R81" s="234"/>
      <c r="S81" s="234"/>
      <c r="T81" s="234"/>
      <c r="U81" s="234"/>
      <c r="V81" s="234"/>
      <c r="W81" s="234"/>
      <c r="X81" s="234"/>
      <c r="Y81" s="234"/>
      <c r="Z81" s="234"/>
      <c r="AA81" s="241"/>
    </row>
    <row r="82" spans="4:27" ht="20.100000000000001" customHeight="1" x14ac:dyDescent="0.2">
      <c r="D82" s="236"/>
      <c r="E82" s="234"/>
      <c r="F82" s="234"/>
      <c r="G82" s="234"/>
      <c r="H82" s="234"/>
      <c r="I82" s="234"/>
      <c r="J82" s="234"/>
      <c r="K82" s="234"/>
      <c r="L82" s="234"/>
      <c r="M82" s="234"/>
      <c r="N82" s="234"/>
      <c r="O82" s="234"/>
      <c r="P82" s="234"/>
      <c r="Q82" s="234"/>
      <c r="R82" s="234"/>
      <c r="S82" s="234"/>
      <c r="T82" s="234"/>
      <c r="U82" s="234"/>
      <c r="V82" s="234"/>
      <c r="W82" s="234"/>
      <c r="X82" s="234"/>
      <c r="Y82" s="234"/>
      <c r="Z82" s="234"/>
      <c r="AA82" s="241"/>
    </row>
  </sheetData>
  <sheetProtection algorithmName="SHA-512" hashValue="r4M/9AFLcZcqX0REIYMv6Vs9ZexuqcbIdsCtNXqYHs17WmoXe0UQhnBDp1+u166hRADKn4euf1FiOgEKRDlGLA==" saltValue="lUMa/IDHx/SYkKdrSiC2Rw==" spinCount="100000" sheet="1" objects="1" scenarios="1"/>
  <mergeCells count="7">
    <mergeCell ref="E76:Z76"/>
    <mergeCell ref="E1:Z1"/>
    <mergeCell ref="A10:B11"/>
    <mergeCell ref="A12:B14"/>
    <mergeCell ref="A15:B18"/>
    <mergeCell ref="E48:Z48"/>
    <mergeCell ref="E66:Z66"/>
  </mergeCells>
  <conditionalFormatting sqref="B8">
    <cfRule type="cellIs" dxfId="278" priority="5" operator="notEqual">
      <formula>$B$7</formula>
    </cfRule>
  </conditionalFormatting>
  <conditionalFormatting sqref="E3:AA12">
    <cfRule type="cellIs" dxfId="277" priority="4" operator="notBetween">
      <formula>0</formula>
      <formula>100</formula>
    </cfRule>
  </conditionalFormatting>
  <conditionalFormatting sqref="E3:AA14">
    <cfRule type="cellIs" dxfId="276" priority="7" operator="lessThan">
      <formula>0</formula>
    </cfRule>
  </conditionalFormatting>
  <conditionalFormatting sqref="E14:AA14">
    <cfRule type="cellIs" dxfId="275" priority="10" operator="greaterThan">
      <formula>1</formula>
    </cfRule>
  </conditionalFormatting>
  <conditionalFormatting sqref="AA3:AA13">
    <cfRule type="cellIs" dxfId="274" priority="8" operator="equal">
      <formula>0</formula>
    </cfRule>
  </conditionalFormatting>
  <conditionalFormatting sqref="AA13">
    <cfRule type="cellIs" dxfId="273" priority="12" operator="equal">
      <formula>$B$7</formula>
    </cfRule>
  </conditionalFormatting>
  <conditionalFormatting sqref="AA14">
    <cfRule type="cellIs" dxfId="272" priority="9" operator="equal">
      <formula>1</formula>
    </cfRule>
    <cfRule type="cellIs" dxfId="271" priority="11" operator="lessThan">
      <formula>1</formula>
    </cfRule>
  </conditionalFormatting>
  <conditionalFormatting sqref="AG4:AG15">
    <cfRule type="expression" dxfId="270" priority="13">
      <formula>AND($AG4&lt;$AG3, NOT(ISBLANK($AG4)))</formula>
    </cfRule>
    <cfRule type="cellIs" dxfId="269" priority="14" operator="greaterThan">
      <formula>$B$6</formula>
    </cfRule>
  </conditionalFormatting>
  <conditionalFormatting sqref="AH4:AH15">
    <cfRule type="cellIs" dxfId="268" priority="6" operator="greaterThan">
      <formula>1</formula>
    </cfRule>
  </conditionalFormatting>
  <conditionalFormatting sqref="D68:D72 D50:D59 D78:D80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3:Z12">
    <cfRule type="expression" dxfId="267" priority="15">
      <formula>($D3&lt;=$K$23)</formula>
    </cfRule>
  </conditionalFormatting>
  <conditionalFormatting sqref="AA3:AA12">
    <cfRule type="expression" dxfId="266" priority="16">
      <formula>AND($D3=$K$23, AA3=$J$24)</formula>
    </cfRule>
    <cfRule type="expression" dxfId="265" priority="17">
      <formula>AND($D3=$K$23, MOD(AA3,100)&gt;$J$24)</formula>
    </cfRule>
    <cfRule type="cellIs" dxfId="264" priority="18" operator="equal">
      <formula>100</formula>
    </cfRule>
  </conditionalFormatting>
  <conditionalFormatting sqref="D3:Z12">
    <cfRule type="expression" dxfId="263" priority="22">
      <formula>($D3&gt;$K$23)</formula>
    </cfRule>
  </conditionalFormatting>
  <conditionalFormatting sqref="AA50 AA68:AA72 AA78:AA80">
    <cfRule type="cellIs" dxfId="262" priority="23" operator="lessThan">
      <formula>0</formula>
    </cfRule>
    <cfRule type="cellIs" dxfId="261" priority="24" operator="equal">
      <formula>0</formula>
    </cfRule>
    <cfRule type="expression" dxfId="260" priority="25">
      <formula>OR(MOD($AA50,100)=0,AND($D50=$K$23,MOD($AA50,100)=$J$24))</formula>
    </cfRule>
  </conditionalFormatting>
  <conditionalFormatting sqref="E50:Z59">
    <cfRule type="expression" dxfId="259" priority="2">
      <formula>AND(E50&lt;MAX(E$50:E50), NOT(ISBLANK(E50)), NOT(E50=0))</formula>
    </cfRule>
  </conditionalFormatting>
  <conditionalFormatting sqref="AA52:AA59">
    <cfRule type="cellIs" dxfId="258" priority="27" operator="lessThan">
      <formula>0</formula>
    </cfRule>
    <cfRule type="cellIs" dxfId="257" priority="28" operator="equal">
      <formula>0</formula>
    </cfRule>
    <cfRule type="expression" dxfId="256" priority="29">
      <formula>OR(MOD($AA52,100)=0,AND($D52=$K$23,MOD($AA52,100)=$J$24))</formula>
    </cfRule>
  </conditionalFormatting>
  <conditionalFormatting sqref="AA51">
    <cfRule type="cellIs" dxfId="255" priority="30" operator="lessThan">
      <formula>0</formula>
    </cfRule>
    <cfRule type="cellIs" dxfId="254" priority="31" operator="equal">
      <formula>0</formula>
    </cfRule>
    <cfRule type="expression" dxfId="253" priority="32">
      <formula>OR(MOD($AA51,100)=0,AND($D50=$K$23,MOD($AA51,100)=$J$24))</formula>
    </cfRule>
  </conditionalFormatting>
  <conditionalFormatting sqref="E50:Z59 E68:Z72 E78:Z80">
    <cfRule type="cellIs" dxfId="252" priority="19" operator="notBetween">
      <formula>0</formula>
      <formula>$B$7</formula>
    </cfRule>
    <cfRule type="expression" dxfId="251" priority="20">
      <formula>($D50&lt;=$K$23)</formula>
    </cfRule>
    <cfRule type="expression" dxfId="250" priority="21">
      <formula>($D50&gt;$K$23)</formula>
    </cfRule>
  </conditionalFormatting>
  <conditionalFormatting sqref="E68:Z72">
    <cfRule type="expression" dxfId="249" priority="1">
      <formula>AND(E68&lt;MAX(E$68:E68), NOT(ISBLANK(E68)), NOT(E68=0))</formula>
    </cfRule>
  </conditionalFormatting>
  <conditionalFormatting sqref="E78:Z80">
    <cfRule type="expression" dxfId="248" priority="26">
      <formula>AND(E78&lt;MAX(E$78:E78), NOT(ISBLANK(E78)), NOT(E78=0))</formula>
    </cfRule>
  </conditionalFormatting>
  <dataValidations count="2">
    <dataValidation type="list" allowBlank="1" showInputMessage="1" showErrorMessage="1" sqref="D68:D72 D78:D82 D50:D59" xr:uid="{60814C0C-9A63-4F35-9D00-AEC4032859EF}">
      <formula1>$D$3:$D$12</formula1>
    </dataValidation>
    <dataValidation type="list" allowBlank="1" showInputMessage="1" showErrorMessage="1" sqref="C50:C59" xr:uid="{C4DFF47C-8D27-49AF-A7A1-F6C0A42F64E7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3C598-FD0B-4C52-B21B-4BF5B2B52BE3}">
  <sheetPr codeName="Feuil34">
    <tabColor rgb="FFB4A7D6"/>
  </sheetPr>
  <dimension ref="A1:AL82"/>
  <sheetViews>
    <sheetView zoomScale="80" zoomScaleNormal="80" workbookViewId="0">
      <pane xSplit="2" topLeftCell="C1" activePane="topRight" state="frozen"/>
      <selection pane="topRight" activeCell="B29" sqref="B29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24" width="15.7109375" customWidth="1"/>
    <col min="27" max="27" width="12.85546875" customWidth="1"/>
    <col min="28" max="28" width="11.42578125" customWidth="1"/>
    <col min="31" max="31" width="10.42578125" customWidth="1"/>
    <col min="32" max="32" width="15.42578125" customWidth="1"/>
    <col min="33" max="33" width="16.140625" customWidth="1"/>
    <col min="34" max="34" width="12" customWidth="1"/>
    <col min="36" max="36" width="13.28515625" customWidth="1"/>
    <col min="37" max="37" width="14.42578125" customWidth="1"/>
  </cols>
  <sheetData>
    <row r="1" spans="1:38" ht="16.5" customHeight="1" thickBot="1" x14ac:dyDescent="0.25">
      <c r="A1" s="308" t="s">
        <v>11</v>
      </c>
      <c r="B1" s="33">
        <f>Synthèse!B17</f>
        <v>46096</v>
      </c>
      <c r="D1" s="307"/>
      <c r="E1" s="432" t="s">
        <v>66</v>
      </c>
      <c r="F1" s="433"/>
      <c r="G1" s="433"/>
      <c r="H1" s="433"/>
      <c r="I1" s="433"/>
      <c r="J1" s="433"/>
      <c r="K1" s="433"/>
      <c r="L1" s="433"/>
      <c r="M1" s="433"/>
      <c r="N1" s="433"/>
      <c r="O1" s="433"/>
      <c r="P1" s="433"/>
      <c r="Q1" s="433"/>
      <c r="R1" s="433"/>
      <c r="S1" s="433"/>
      <c r="T1" s="433"/>
      <c r="U1" s="433"/>
      <c r="V1" s="433"/>
      <c r="W1" s="433"/>
      <c r="X1" s="433"/>
      <c r="Y1" s="433"/>
      <c r="Z1" s="434"/>
      <c r="AA1" s="392" t="s">
        <v>7</v>
      </c>
    </row>
    <row r="2" spans="1:38" ht="39.75" customHeight="1" thickBot="1" x14ac:dyDescent="0.25">
      <c r="A2" s="309" t="s">
        <v>12</v>
      </c>
      <c r="B2" s="34" t="str">
        <f>Synthèse!B18</f>
        <v>Municipales 1er tour</v>
      </c>
      <c r="D2" s="355" t="s">
        <v>82</v>
      </c>
      <c r="E2" s="455" t="str">
        <f>Synthèse!L2</f>
        <v>Candidat 1</v>
      </c>
      <c r="F2" s="399" t="str">
        <f>Synthèse!M2</f>
        <v>Candidat 2</v>
      </c>
      <c r="G2" s="395" t="str">
        <f>Synthèse!N2</f>
        <v>Candidat 3</v>
      </c>
      <c r="H2" s="456" t="str">
        <f>Synthèse!O2</f>
        <v>Candidat 4</v>
      </c>
      <c r="I2" s="457" t="str">
        <f>Synthèse!P2</f>
        <v>Candidat 5</v>
      </c>
      <c r="J2" s="458" t="str">
        <f>Synthèse!Q2</f>
        <v>Candidat 6</v>
      </c>
      <c r="K2" s="459" t="str">
        <f>Synthèse!R2</f>
        <v>Candidat 7</v>
      </c>
      <c r="L2" s="398" t="str">
        <f>Synthèse!S2</f>
        <v>Candidat 8</v>
      </c>
      <c r="M2" s="460" t="str">
        <f>Synthèse!T2</f>
        <v>Candidat 9</v>
      </c>
      <c r="N2" s="461" t="str">
        <f>Synthèse!U2</f>
        <v>Candidat 10</v>
      </c>
      <c r="O2" s="400" t="str">
        <f>Synthèse!V2</f>
        <v>Candidat 11</v>
      </c>
      <c r="P2" s="462" t="str">
        <f>Synthèse!W2</f>
        <v>Candidat 12</v>
      </c>
      <c r="Q2" s="396" t="str">
        <f>Synthèse!X2</f>
        <v>Candidat 13</v>
      </c>
      <c r="R2" s="463" t="str">
        <f>Synthèse!Y2</f>
        <v>Candidat 14</v>
      </c>
      <c r="S2" s="464" t="str">
        <f>Synthèse!Z2</f>
        <v>Candidat 15</v>
      </c>
      <c r="T2" s="465" t="str">
        <f>Synthèse!AA2</f>
        <v>Candidat 16</v>
      </c>
      <c r="U2" s="466" t="str">
        <f>Synthèse!AB2</f>
        <v>Candidat 17</v>
      </c>
      <c r="V2" s="397" t="str">
        <f>Synthèse!AC2</f>
        <v>Candidat 18</v>
      </c>
      <c r="W2" s="467" t="str">
        <f>Synthèse!AD2</f>
        <v>Candidat 19</v>
      </c>
      <c r="X2" s="468" t="str">
        <f>Synthèse!AE2</f>
        <v>Candidat 20</v>
      </c>
      <c r="Y2" s="469" t="s">
        <v>3</v>
      </c>
      <c r="Z2" s="470" t="s">
        <v>4</v>
      </c>
      <c r="AA2" s="393" t="s">
        <v>104</v>
      </c>
      <c r="AF2" s="367" t="s">
        <v>21</v>
      </c>
      <c r="AG2" s="368" t="s">
        <v>57</v>
      </c>
      <c r="AH2" s="369" t="s">
        <v>31</v>
      </c>
      <c r="AJ2" s="370" t="s">
        <v>59</v>
      </c>
      <c r="AK2" s="370" t="s">
        <v>58</v>
      </c>
    </row>
    <row r="3" spans="1:38" ht="20.100000000000001" customHeight="1" thickBot="1" x14ac:dyDescent="0.25">
      <c r="A3" s="310" t="s">
        <v>13</v>
      </c>
      <c r="B3" s="94" t="str">
        <f>Synthèse!B19</f>
        <v>Cogolin</v>
      </c>
      <c r="D3" s="352" t="str" cm="1">
        <f t="array" ref="D3">IF(ROW(1:1)&lt;=$K$23, (ROW(1:1)), "")</f>
        <v/>
      </c>
      <c r="E3" s="155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55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55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55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55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55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55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55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5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155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1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155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155" cm="1">
        <f t="array" ref="Q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R3" s="155" cm="1">
        <f t="array" ref="R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S3" s="155" cm="1">
        <f t="array" ref="S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T3" s="155" cm="1">
        <f t="array" ref="T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U3" s="155" cm="1">
        <f t="array" ref="U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V3" s="155" cm="1">
        <f t="array" ref="V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W3" s="155" cm="1">
        <f t="array" ref="W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X3" s="155" cm="1">
        <f t="array" ref="X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Y3" s="171" cm="1">
        <f t="array" ref="Y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Z3" s="172" cm="1">
        <f t="array" ref="Z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AA3" s="311">
        <f t="shared" ref="AA3:AA12" si="0">SUM(E3:Z3)</f>
        <v>0</v>
      </c>
      <c r="AF3" s="343" t="s">
        <v>32</v>
      </c>
      <c r="AG3" s="344">
        <v>0</v>
      </c>
      <c r="AH3" s="345">
        <f t="shared" ref="AH3" si="1">AG3/$B$6</f>
        <v>0</v>
      </c>
      <c r="AJ3" s="323"/>
      <c r="AK3" s="323"/>
    </row>
    <row r="4" spans="1:38" ht="20.100000000000001" customHeight="1" x14ac:dyDescent="0.2">
      <c r="A4" s="95" t="s">
        <v>23</v>
      </c>
      <c r="B4" s="168">
        <v>5</v>
      </c>
      <c r="D4" s="353" t="str" cm="1">
        <f t="array" ref="D4">IF(ROW(2:2)&lt;=$K$23, (ROW(2:2)), "")</f>
        <v/>
      </c>
      <c r="E4" s="156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56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56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56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56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56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56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56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5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156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156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156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156" cm="1">
        <f t="array" ref="Q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R4" s="156" cm="1">
        <f t="array" ref="R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S4" s="156" cm="1">
        <f t="array" ref="S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T4" s="156" cm="1">
        <f t="array" ref="T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U4" s="156" cm="1">
        <f t="array" ref="U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V4" s="156" cm="1">
        <f t="array" ref="V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W4" s="156" cm="1">
        <f t="array" ref="W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X4" s="156" cm="1">
        <f t="array" ref="X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Y4" s="157" cm="1">
        <f t="array" ref="Y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Z4" s="158" cm="1">
        <f t="array" ref="Z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AA4" s="311">
        <f t="shared" si="0"/>
        <v>0</v>
      </c>
      <c r="AF4" s="346" t="s">
        <v>33</v>
      </c>
      <c r="AG4" s="473"/>
      <c r="AH4" s="348" t="e">
        <f t="shared" ref="AH4:AH13" si="2">IF(OR(AG4=0, AG4=""), NA(), AG4/$B$6)</f>
        <v>#N/A</v>
      </c>
      <c r="AJ4" s="318" t="s">
        <v>45</v>
      </c>
      <c r="AK4" s="371" t="e">
        <f t="shared" ref="AK4:AK13" si="3">IF(AG4&lt;&gt;0,AG4-AG3,NA())</f>
        <v>#N/A</v>
      </c>
    </row>
    <row r="5" spans="1:38" ht="20.100000000000001" customHeight="1" x14ac:dyDescent="0.2">
      <c r="A5" s="96" t="s">
        <v>24</v>
      </c>
      <c r="B5" s="187" t="s">
        <v>28</v>
      </c>
      <c r="D5" s="353" t="str" cm="1">
        <f t="array" ref="D5">IF(ROW(3:3)&lt;=$K$23, (ROW(3:3)), "")</f>
        <v/>
      </c>
      <c r="E5" s="156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56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56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56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56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56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56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5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5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156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156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156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156" cm="1">
        <f t="array" ref="Q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R5" s="156" cm="1">
        <f t="array" ref="R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S5" s="156" cm="1">
        <f t="array" ref="S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T5" s="156" cm="1">
        <f t="array" ref="T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U5" s="156" cm="1">
        <f t="array" ref="U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V5" s="156" cm="1">
        <f t="array" ref="V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W5" s="156" cm="1">
        <f t="array" ref="W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X5" s="156" cm="1">
        <f t="array" ref="X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Y5" s="173" cm="1">
        <f t="array" ref="Y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Z5" s="174" cm="1">
        <f t="array" ref="Z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AA5" s="311">
        <f t="shared" si="0"/>
        <v>0</v>
      </c>
      <c r="AD5" s="231"/>
      <c r="AE5" s="232"/>
      <c r="AF5" s="346" t="s">
        <v>34</v>
      </c>
      <c r="AG5" s="473"/>
      <c r="AH5" s="348" t="e">
        <f t="shared" si="2"/>
        <v>#N/A</v>
      </c>
      <c r="AJ5" s="319" t="s">
        <v>46</v>
      </c>
      <c r="AK5" s="372" t="e">
        <f t="shared" si="3"/>
        <v>#N/A</v>
      </c>
    </row>
    <row r="6" spans="1:38" ht="20.100000000000001" customHeight="1" x14ac:dyDescent="0.2">
      <c r="A6" s="96" t="s">
        <v>0</v>
      </c>
      <c r="B6" s="188">
        <v>671</v>
      </c>
      <c r="D6" s="353" t="str" cm="1">
        <f t="array" ref="D6">IF(ROW(4:4)&lt;=$K$23, (ROW(4:4)), "")</f>
        <v/>
      </c>
      <c r="E6" s="156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56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56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56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56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56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56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5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5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156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156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156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156" cm="1">
        <f t="array" ref="Q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R6" s="156" cm="1">
        <f t="array" ref="R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S6" s="156" cm="1">
        <f t="array" ref="S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T6" s="156" cm="1">
        <f t="array" ref="T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U6" s="156" cm="1">
        <f t="array" ref="U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V6" s="156" cm="1">
        <f t="array" ref="V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W6" s="156" cm="1">
        <f t="array" ref="W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X6" s="156" cm="1">
        <f t="array" ref="X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Y6" s="173" cm="1">
        <f t="array" ref="Y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Z6" s="174" cm="1">
        <f t="array" ref="Z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AA6" s="311">
        <f t="shared" si="0"/>
        <v>0</v>
      </c>
      <c r="AD6" s="231"/>
      <c r="AE6" s="232"/>
      <c r="AF6" s="346" t="s">
        <v>35</v>
      </c>
      <c r="AG6" s="473"/>
      <c r="AH6" s="348" t="e">
        <f t="shared" si="2"/>
        <v>#N/A</v>
      </c>
      <c r="AJ6" s="319" t="s">
        <v>47</v>
      </c>
      <c r="AK6" s="372" t="e">
        <f t="shared" si="3"/>
        <v>#N/A</v>
      </c>
    </row>
    <row r="7" spans="1:38" ht="20.100000000000001" customHeight="1" x14ac:dyDescent="0.2">
      <c r="A7" s="96" t="s">
        <v>2</v>
      </c>
      <c r="B7" s="165">
        <f>MAX(AG4:AG15)</f>
        <v>0</v>
      </c>
      <c r="D7" s="353" t="str" cm="1">
        <f t="array" ref="D7">IF(ROW(5:5)&lt;=$K$23, (ROW(5:5)), "")</f>
        <v/>
      </c>
      <c r="E7" s="156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56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56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56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56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56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56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56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5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156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156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156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156" cm="1">
        <f t="array" ref="Q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R7" s="156" cm="1">
        <f t="array" ref="R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S7" s="156" cm="1">
        <f t="array" ref="S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T7" s="156" cm="1">
        <f t="array" ref="T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U7" s="156" cm="1">
        <f t="array" ref="U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V7" s="156" cm="1">
        <f t="array" ref="V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W7" s="156" cm="1">
        <f t="array" ref="W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X7" s="156" cm="1">
        <f t="array" ref="X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Y7" s="157" cm="1">
        <f t="array" ref="Y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Z7" s="158" cm="1">
        <f t="array" ref="Z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AA7" s="311">
        <f t="shared" si="0"/>
        <v>0</v>
      </c>
      <c r="AD7" s="231"/>
      <c r="AE7" s="232"/>
      <c r="AF7" s="346" t="s">
        <v>36</v>
      </c>
      <c r="AG7" s="473"/>
      <c r="AH7" s="348" t="e">
        <f t="shared" si="2"/>
        <v>#N/A</v>
      </c>
      <c r="AJ7" s="319" t="s">
        <v>54</v>
      </c>
      <c r="AK7" s="372" t="e">
        <f t="shared" si="3"/>
        <v>#N/A</v>
      </c>
    </row>
    <row r="8" spans="1:38" ht="20.100000000000001" customHeight="1" x14ac:dyDescent="0.2">
      <c r="A8" s="96" t="s">
        <v>1</v>
      </c>
      <c r="B8" s="166">
        <f>B7</f>
        <v>0</v>
      </c>
      <c r="D8" s="353" t="str" cm="1">
        <f t="array" ref="D8">IF(ROW(6:6)&lt;=$K$23, (ROW(6:6)), "")</f>
        <v/>
      </c>
      <c r="E8" s="156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56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56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56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56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56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56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56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5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156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156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156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156" cm="1">
        <f t="array" ref="Q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R8" s="156" cm="1">
        <f t="array" ref="R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S8" s="156" cm="1">
        <f t="array" ref="S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T8" s="156" cm="1">
        <f t="array" ref="T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U8" s="156" cm="1">
        <f t="array" ref="U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V8" s="156" cm="1">
        <f t="array" ref="V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W8" s="156" cm="1">
        <f t="array" ref="W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X8" s="156" cm="1">
        <f t="array" ref="X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Y8" s="157" cm="1">
        <f t="array" ref="Y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Z8" s="158" cm="1">
        <f t="array" ref="Z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AA8" s="311">
        <f t="shared" si="0"/>
        <v>0</v>
      </c>
      <c r="AD8" s="231"/>
      <c r="AE8" s="232"/>
      <c r="AF8" s="346" t="s">
        <v>37</v>
      </c>
      <c r="AG8" s="473"/>
      <c r="AH8" s="348" t="e">
        <f t="shared" si="2"/>
        <v>#N/A</v>
      </c>
      <c r="AJ8" s="319" t="s">
        <v>48</v>
      </c>
      <c r="AK8" s="372" t="e">
        <f t="shared" si="3"/>
        <v>#N/A</v>
      </c>
    </row>
    <row r="9" spans="1:38" ht="20.100000000000001" customHeight="1" thickBot="1" x14ac:dyDescent="0.25">
      <c r="A9" s="97" t="s">
        <v>17</v>
      </c>
      <c r="B9" s="167">
        <f>B6-B7</f>
        <v>671</v>
      </c>
      <c r="D9" s="353" t="str" cm="1">
        <f t="array" ref="D9">IF(ROW(7:7)&lt;=$K$23, (ROW(7:7)), "")</f>
        <v/>
      </c>
      <c r="E9" s="156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56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56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56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56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56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56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56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56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156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156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156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156" cm="1">
        <f t="array" ref="Q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R9" s="156" cm="1">
        <f t="array" ref="R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S9" s="156" cm="1">
        <f t="array" ref="S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T9" s="156" cm="1">
        <f t="array" ref="T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U9" s="156" cm="1">
        <f t="array" ref="U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V9" s="156" cm="1">
        <f t="array" ref="V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W9" s="156" cm="1">
        <f t="array" ref="W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X9" s="156" cm="1">
        <f t="array" ref="X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Y9" s="159" cm="1">
        <f t="array" ref="Y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Z9" s="160" cm="1">
        <f t="array" ref="Z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AA9" s="311">
        <f t="shared" si="0"/>
        <v>0</v>
      </c>
      <c r="AD9" s="231"/>
      <c r="AE9" s="232"/>
      <c r="AF9" s="346" t="s">
        <v>38</v>
      </c>
      <c r="AG9" s="473"/>
      <c r="AH9" s="348" t="e">
        <f t="shared" si="2"/>
        <v>#N/A</v>
      </c>
      <c r="AJ9" s="319" t="s">
        <v>49</v>
      </c>
      <c r="AK9" s="372" t="e">
        <f t="shared" si="3"/>
        <v>#N/A</v>
      </c>
    </row>
    <row r="10" spans="1:38" ht="20.100000000000001" customHeight="1" x14ac:dyDescent="0.2">
      <c r="A10" s="435" t="s">
        <v>60</v>
      </c>
      <c r="B10" s="435"/>
      <c r="D10" s="353" t="str" cm="1">
        <f t="array" ref="D10">IF(ROW(8:8)&lt;=$K$23, (ROW(8:8)), "")</f>
        <v/>
      </c>
      <c r="E10" s="156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56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56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56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56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56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56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56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56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156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156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156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156" cm="1">
        <f t="array" ref="Q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R10" s="156" cm="1">
        <f t="array" ref="R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S10" s="156" cm="1">
        <f t="array" ref="S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T10" s="156" cm="1">
        <f t="array" ref="T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U10" s="156" cm="1">
        <f t="array" ref="U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V10" s="156" cm="1">
        <f t="array" ref="V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W10" s="156" cm="1">
        <f t="array" ref="W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X10" s="156" cm="1">
        <f t="array" ref="X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Y10" s="159" cm="1">
        <f t="array" ref="Y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Z10" s="160" cm="1">
        <f t="array" ref="Z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AA10" s="311">
        <f t="shared" si="0"/>
        <v>0</v>
      </c>
      <c r="AD10" s="231"/>
      <c r="AE10" s="232"/>
      <c r="AF10" s="346" t="s">
        <v>39</v>
      </c>
      <c r="AG10" s="473"/>
      <c r="AH10" s="348" t="e">
        <f t="shared" si="2"/>
        <v>#N/A</v>
      </c>
      <c r="AJ10" s="319" t="s">
        <v>50</v>
      </c>
      <c r="AK10" s="372" t="e">
        <f t="shared" si="3"/>
        <v>#N/A</v>
      </c>
    </row>
    <row r="11" spans="1:38" ht="20.100000000000001" customHeight="1" x14ac:dyDescent="0.2">
      <c r="A11" s="436"/>
      <c r="B11" s="436"/>
      <c r="D11" s="353" t="str" cm="1">
        <f t="array" ref="D11">IF(ROW(9:9)&lt;=$K$23, (ROW(9:9)), "")</f>
        <v/>
      </c>
      <c r="E11" s="156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56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56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56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56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56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56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56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56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156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156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156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156" cm="1">
        <f t="array" ref="Q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R11" s="156" cm="1">
        <f t="array" ref="R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S11" s="156" cm="1">
        <f t="array" ref="S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T11" s="156" cm="1">
        <f t="array" ref="T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U11" s="156" cm="1">
        <f t="array" ref="U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V11" s="156" cm="1">
        <f t="array" ref="V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W11" s="156" cm="1">
        <f t="array" ref="W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X11" s="156">
        <v>0</v>
      </c>
      <c r="Y11" s="159" cm="1">
        <f t="array" ref="Y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Z11" s="160" cm="1">
        <f t="array" ref="Z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AA11" s="311">
        <f t="shared" si="0"/>
        <v>0</v>
      </c>
      <c r="AD11" s="231"/>
      <c r="AE11" s="232"/>
      <c r="AF11" s="346" t="s">
        <v>40</v>
      </c>
      <c r="AG11" s="473"/>
      <c r="AH11" s="348" t="e">
        <f t="shared" si="2"/>
        <v>#N/A</v>
      </c>
      <c r="AJ11" s="319" t="s">
        <v>51</v>
      </c>
      <c r="AK11" s="372" t="e">
        <f t="shared" si="3"/>
        <v>#N/A</v>
      </c>
    </row>
    <row r="12" spans="1:38" ht="20.100000000000001" customHeight="1" thickBot="1" x14ac:dyDescent="0.25">
      <c r="A12" s="437" t="s">
        <v>61</v>
      </c>
      <c r="B12" s="437"/>
      <c r="D12" s="354" t="str" cm="1">
        <f t="array" ref="D12">IF(ROW(10:10)&lt;=$K$23, (ROW(10:10)), "")</f>
        <v/>
      </c>
      <c r="E12" s="156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56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56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56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56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56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56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56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56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156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156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156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156" cm="1">
        <f t="array" ref="Q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R12" s="156" cm="1">
        <f t="array" ref="R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S12" s="156" cm="1">
        <f t="array" ref="S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T12" s="156" cm="1">
        <f t="array" ref="T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U12" s="156" cm="1">
        <f t="array" ref="U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V12" s="156" cm="1">
        <f t="array" ref="V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W12" s="156" cm="1">
        <f t="array" ref="W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X12" s="156" cm="1">
        <f t="array" ref="X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Y12" s="175" cm="1">
        <f t="array" ref="Y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Z12" s="176" cm="1">
        <f t="array" ref="Z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AA12" s="311">
        <f t="shared" si="0"/>
        <v>0</v>
      </c>
      <c r="AD12" s="231"/>
      <c r="AE12" s="232"/>
      <c r="AF12" s="346" t="s">
        <v>41</v>
      </c>
      <c r="AG12" s="473"/>
      <c r="AH12" s="348" t="e">
        <f t="shared" si="2"/>
        <v>#N/A</v>
      </c>
      <c r="AJ12" s="319" t="s">
        <v>52</v>
      </c>
      <c r="AK12" s="372" t="e">
        <f t="shared" si="3"/>
        <v>#N/A</v>
      </c>
    </row>
    <row r="13" spans="1:38" ht="20.100000000000001" customHeight="1" thickBot="1" x14ac:dyDescent="0.3">
      <c r="A13" s="437"/>
      <c r="B13" s="437"/>
      <c r="D13" s="50" t="s">
        <v>9</v>
      </c>
      <c r="E13" s="161">
        <f t="shared" ref="E13:AA13" si="4">SUM(E3:E12)</f>
        <v>0</v>
      </c>
      <c r="F13" s="162">
        <f t="shared" si="4"/>
        <v>0</v>
      </c>
      <c r="G13" s="162">
        <f t="shared" si="4"/>
        <v>0</v>
      </c>
      <c r="H13" s="162">
        <f t="shared" si="4"/>
        <v>0</v>
      </c>
      <c r="I13" s="162">
        <f t="shared" si="4"/>
        <v>0</v>
      </c>
      <c r="J13" s="162">
        <f t="shared" si="4"/>
        <v>0</v>
      </c>
      <c r="K13" s="162">
        <f t="shared" si="4"/>
        <v>0</v>
      </c>
      <c r="L13" s="162">
        <f t="shared" si="4"/>
        <v>0</v>
      </c>
      <c r="M13" s="162">
        <f t="shared" si="4"/>
        <v>0</v>
      </c>
      <c r="N13" s="162">
        <f t="shared" si="4"/>
        <v>0</v>
      </c>
      <c r="O13" s="162">
        <f t="shared" si="4"/>
        <v>0</v>
      </c>
      <c r="P13" s="162">
        <f t="shared" si="4"/>
        <v>0</v>
      </c>
      <c r="Q13" s="162">
        <f t="shared" si="4"/>
        <v>0</v>
      </c>
      <c r="R13" s="162">
        <f t="shared" si="4"/>
        <v>0</v>
      </c>
      <c r="S13" s="162">
        <f t="shared" si="4"/>
        <v>0</v>
      </c>
      <c r="T13" s="162">
        <f t="shared" si="4"/>
        <v>0</v>
      </c>
      <c r="U13" s="162">
        <f t="shared" si="4"/>
        <v>0</v>
      </c>
      <c r="V13" s="162">
        <f t="shared" si="4"/>
        <v>0</v>
      </c>
      <c r="W13" s="162">
        <f t="shared" si="4"/>
        <v>0</v>
      </c>
      <c r="X13" s="162">
        <f t="shared" si="4"/>
        <v>0</v>
      </c>
      <c r="Y13" s="163">
        <f t="shared" si="4"/>
        <v>0</v>
      </c>
      <c r="Z13" s="164">
        <f t="shared" si="4"/>
        <v>0</v>
      </c>
      <c r="AA13" s="312">
        <f t="shared" si="4"/>
        <v>0</v>
      </c>
      <c r="AD13" s="231"/>
      <c r="AE13" s="232"/>
      <c r="AF13" s="346" t="s">
        <v>42</v>
      </c>
      <c r="AG13" s="473"/>
      <c r="AH13" s="348" t="e">
        <f t="shared" si="2"/>
        <v>#N/A</v>
      </c>
      <c r="AJ13" s="320" t="s">
        <v>53</v>
      </c>
      <c r="AK13" s="373" t="e">
        <f t="shared" si="3"/>
        <v>#N/A</v>
      </c>
    </row>
    <row r="14" spans="1:38" ht="20.100000000000001" customHeight="1" thickBot="1" x14ac:dyDescent="0.3">
      <c r="A14" s="437"/>
      <c r="B14" s="437"/>
      <c r="D14" s="83" t="s">
        <v>10</v>
      </c>
      <c r="E14" s="45">
        <f t="shared" ref="E14:AA14" si="5">IFERROR(E13/$B$7,0)</f>
        <v>0</v>
      </c>
      <c r="F14" s="46">
        <f t="shared" si="5"/>
        <v>0</v>
      </c>
      <c r="G14" s="46">
        <f t="shared" si="5"/>
        <v>0</v>
      </c>
      <c r="H14" s="46">
        <f t="shared" si="5"/>
        <v>0</v>
      </c>
      <c r="I14" s="46">
        <f t="shared" si="5"/>
        <v>0</v>
      </c>
      <c r="J14" s="46">
        <f t="shared" si="5"/>
        <v>0</v>
      </c>
      <c r="K14" s="46">
        <f t="shared" si="5"/>
        <v>0</v>
      </c>
      <c r="L14" s="46">
        <f t="shared" si="5"/>
        <v>0</v>
      </c>
      <c r="M14" s="46">
        <f t="shared" si="5"/>
        <v>0</v>
      </c>
      <c r="N14" s="46">
        <f t="shared" si="5"/>
        <v>0</v>
      </c>
      <c r="O14" s="46">
        <f t="shared" si="5"/>
        <v>0</v>
      </c>
      <c r="P14" s="46">
        <f t="shared" si="5"/>
        <v>0</v>
      </c>
      <c r="Q14" s="46">
        <f t="shared" si="5"/>
        <v>0</v>
      </c>
      <c r="R14" s="46">
        <f t="shared" si="5"/>
        <v>0</v>
      </c>
      <c r="S14" s="46">
        <f t="shared" si="5"/>
        <v>0</v>
      </c>
      <c r="T14" s="46">
        <f t="shared" si="5"/>
        <v>0</v>
      </c>
      <c r="U14" s="46">
        <f t="shared" si="5"/>
        <v>0</v>
      </c>
      <c r="V14" s="46">
        <f t="shared" si="5"/>
        <v>0</v>
      </c>
      <c r="W14" s="46">
        <f t="shared" si="5"/>
        <v>0</v>
      </c>
      <c r="X14" s="46">
        <f t="shared" si="5"/>
        <v>0</v>
      </c>
      <c r="Y14" s="45">
        <f t="shared" si="5"/>
        <v>0</v>
      </c>
      <c r="Z14" s="47">
        <f t="shared" si="5"/>
        <v>0</v>
      </c>
      <c r="AA14" s="322">
        <f t="shared" si="5"/>
        <v>0</v>
      </c>
      <c r="AF14" s="377" t="s">
        <v>43</v>
      </c>
      <c r="AG14" s="474"/>
      <c r="AH14" s="350" t="e">
        <f>IF(OR(AG14=0, AG14=""), NA(), AG14/$B$6)</f>
        <v>#N/A</v>
      </c>
      <c r="AI14" s="375"/>
      <c r="AJ14" s="379" t="s">
        <v>55</v>
      </c>
      <c r="AK14" s="374" t="e">
        <f>IF(AG14&lt;&gt;0,AG14-AG13,NA())</f>
        <v>#N/A</v>
      </c>
      <c r="AL14" s="375"/>
    </row>
    <row r="15" spans="1:38" ht="18" customHeight="1" thickBot="1" x14ac:dyDescent="0.25">
      <c r="A15" s="438" t="s">
        <v>68</v>
      </c>
      <c r="B15" s="438"/>
      <c r="C15" s="1"/>
      <c r="D15" s="1"/>
      <c r="AA15" s="321"/>
      <c r="AF15" s="317" t="s">
        <v>44</v>
      </c>
      <c r="AG15" s="475"/>
      <c r="AH15" s="376" t="e">
        <f>IF(OR(AG15=0, AG15=""), NA(), AG15/$B$6)</f>
        <v>#N/A</v>
      </c>
      <c r="AJ15" s="380" t="s">
        <v>56</v>
      </c>
      <c r="AK15" s="378" t="e">
        <f>IF(AG15&lt;&gt;0,AG15-AG14,NA())</f>
        <v>#N/A</v>
      </c>
      <c r="AL15" s="375"/>
    </row>
    <row r="16" spans="1:38" ht="12.75" customHeight="1" x14ac:dyDescent="0.2">
      <c r="A16" s="438"/>
      <c r="B16" s="438"/>
      <c r="AF16" s="321"/>
      <c r="AG16" s="321"/>
      <c r="AH16" s="321"/>
      <c r="AK16" s="321"/>
    </row>
    <row r="17" spans="1:11" ht="18" customHeight="1" x14ac:dyDescent="0.25">
      <c r="A17" s="438"/>
      <c r="B17" s="438"/>
      <c r="E17" s="230"/>
    </row>
    <row r="18" spans="1:11" ht="26.25" customHeight="1" x14ac:dyDescent="0.2">
      <c r="A18" s="438"/>
      <c r="B18" s="438"/>
    </row>
    <row r="23" spans="1:11" x14ac:dyDescent="0.2">
      <c r="H23" s="177" t="s">
        <v>64</v>
      </c>
      <c r="J23" s="245">
        <f>CEILING($B$6, 100)/100</f>
        <v>7</v>
      </c>
      <c r="K23" s="245">
        <f>CEILING($B$7,100)/100</f>
        <v>0</v>
      </c>
    </row>
    <row r="24" spans="1:11" x14ac:dyDescent="0.2">
      <c r="H24" s="178">
        <f>IF((ROW()-23)&lt;=$K$24,(ROW()-23),"Choisir")</f>
        <v>1</v>
      </c>
      <c r="J24" s="245">
        <f>MOD($B$7,100)</f>
        <v>0</v>
      </c>
      <c r="K24" s="246">
        <f>CEILING($B$6/300,1)</f>
        <v>3</v>
      </c>
    </row>
    <row r="25" spans="1:11" x14ac:dyDescent="0.2">
      <c r="H25" s="178">
        <f>IF((ROW()-23)&lt;=$K$24,(ROW()-23),"Choisir")</f>
        <v>2</v>
      </c>
    </row>
    <row r="26" spans="1:11" x14ac:dyDescent="0.2">
      <c r="H26" s="178">
        <f>IF((ROW()-23)&lt;=$K$24,(ROW()-23),"Choisir")</f>
        <v>3</v>
      </c>
    </row>
    <row r="27" spans="1:11" x14ac:dyDescent="0.2">
      <c r="H27" s="178" t="str">
        <f>IF((ROW()-23)&lt;=$K$24,(ROW()-23),"Choisir")</f>
        <v>Choisir</v>
      </c>
    </row>
    <row r="46" spans="4:27" x14ac:dyDescent="0.2">
      <c r="E46" s="169"/>
    </row>
    <row r="47" spans="4:27" ht="13.5" thickBot="1" x14ac:dyDescent="0.25">
      <c r="E47" s="169"/>
    </row>
    <row r="48" spans="4:27" ht="20.100000000000001" customHeight="1" thickBot="1" x14ac:dyDescent="0.25">
      <c r="D48" s="235" t="s">
        <v>78</v>
      </c>
      <c r="E48" s="429" t="s">
        <v>102</v>
      </c>
      <c r="F48" s="430"/>
      <c r="G48" s="430"/>
      <c r="H48" s="430"/>
      <c r="I48" s="430"/>
      <c r="J48" s="430"/>
      <c r="K48" s="430"/>
      <c r="L48" s="430"/>
      <c r="M48" s="430"/>
      <c r="N48" s="430"/>
      <c r="O48" s="430"/>
      <c r="P48" s="430"/>
      <c r="Q48" s="430"/>
      <c r="R48" s="430"/>
      <c r="S48" s="430"/>
      <c r="T48" s="430"/>
      <c r="U48" s="430"/>
      <c r="V48" s="430"/>
      <c r="W48" s="430"/>
      <c r="X48" s="430"/>
      <c r="Y48" s="430"/>
      <c r="Z48" s="431"/>
      <c r="AA48" s="381" t="s">
        <v>7</v>
      </c>
    </row>
    <row r="49" spans="3:27" ht="47.25" customHeight="1" thickBot="1" x14ac:dyDescent="0.25">
      <c r="C49" s="233"/>
      <c r="D49" s="359" t="s">
        <v>81</v>
      </c>
      <c r="E49" s="455" t="s">
        <v>69</v>
      </c>
      <c r="F49" s="399" t="s">
        <v>99</v>
      </c>
      <c r="G49" s="395" t="s">
        <v>70</v>
      </c>
      <c r="H49" s="456" t="s">
        <v>71</v>
      </c>
      <c r="I49" s="457" t="s">
        <v>72</v>
      </c>
      <c r="J49" s="458" t="s">
        <v>73</v>
      </c>
      <c r="K49" s="459" t="s">
        <v>74</v>
      </c>
      <c r="L49" s="398" t="s">
        <v>75</v>
      </c>
      <c r="M49" s="460" t="s">
        <v>76</v>
      </c>
      <c r="N49" s="461" t="s">
        <v>77</v>
      </c>
      <c r="O49" s="400" t="s">
        <v>105</v>
      </c>
      <c r="P49" s="462" t="s">
        <v>106</v>
      </c>
      <c r="Q49" s="396" t="s">
        <v>107</v>
      </c>
      <c r="R49" s="463" t="s">
        <v>108</v>
      </c>
      <c r="S49" s="464" t="s">
        <v>109</v>
      </c>
      <c r="T49" s="465" t="s">
        <v>110</v>
      </c>
      <c r="U49" s="466" t="s">
        <v>111</v>
      </c>
      <c r="V49" s="397" t="s">
        <v>112</v>
      </c>
      <c r="W49" s="467" t="s">
        <v>113</v>
      </c>
      <c r="X49" s="468" t="s">
        <v>114</v>
      </c>
      <c r="Y49" s="471" t="s">
        <v>3</v>
      </c>
      <c r="Z49" s="472" t="s">
        <v>4</v>
      </c>
      <c r="AA49" s="383" t="s">
        <v>103</v>
      </c>
    </row>
    <row r="50" spans="3:27" ht="19.5" customHeight="1" x14ac:dyDescent="0.2">
      <c r="C50" s="234"/>
      <c r="D50" s="358" t="s">
        <v>80</v>
      </c>
      <c r="E50" s="313"/>
      <c r="F50" s="314"/>
      <c r="G50" s="314"/>
      <c r="H50" s="314"/>
      <c r="I50" s="314"/>
      <c r="J50" s="314"/>
      <c r="K50" s="314"/>
      <c r="L50" s="314"/>
      <c r="M50" s="314"/>
      <c r="N50" s="314"/>
      <c r="O50" s="314"/>
      <c r="P50" s="314"/>
      <c r="Q50" s="314"/>
      <c r="R50" s="314"/>
      <c r="S50" s="314"/>
      <c r="T50" s="314"/>
      <c r="U50" s="314"/>
      <c r="V50" s="314"/>
      <c r="W50" s="314"/>
      <c r="X50" s="315"/>
      <c r="Y50" s="316"/>
      <c r="Z50" s="315"/>
      <c r="AA50" s="382">
        <f t="shared" ref="AA50:AA59" si="6">SUM(E50:Z50)</f>
        <v>0</v>
      </c>
    </row>
    <row r="51" spans="3:27" ht="20.100000000000001" customHeight="1" x14ac:dyDescent="0.2">
      <c r="C51" s="234"/>
      <c r="D51" s="358" t="s">
        <v>80</v>
      </c>
      <c r="E51" s="313"/>
      <c r="F51" s="314"/>
      <c r="G51" s="314"/>
      <c r="H51" s="314"/>
      <c r="I51" s="314"/>
      <c r="J51" s="314"/>
      <c r="K51" s="314"/>
      <c r="L51" s="314"/>
      <c r="M51" s="314"/>
      <c r="N51" s="314"/>
      <c r="O51" s="314"/>
      <c r="P51" s="314"/>
      <c r="Q51" s="314"/>
      <c r="R51" s="314"/>
      <c r="S51" s="314"/>
      <c r="T51" s="314"/>
      <c r="U51" s="314"/>
      <c r="V51" s="314"/>
      <c r="W51" s="314"/>
      <c r="X51" s="315"/>
      <c r="Y51" s="316"/>
      <c r="Z51" s="315"/>
      <c r="AA51" s="382">
        <f t="shared" si="6"/>
        <v>0</v>
      </c>
    </row>
    <row r="52" spans="3:27" ht="20.100000000000001" customHeight="1" x14ac:dyDescent="0.2">
      <c r="C52" s="234"/>
      <c r="D52" s="358" t="s">
        <v>80</v>
      </c>
      <c r="E52" s="313"/>
      <c r="F52" s="314"/>
      <c r="G52" s="314"/>
      <c r="H52" s="314"/>
      <c r="I52" s="314"/>
      <c r="J52" s="314"/>
      <c r="K52" s="314"/>
      <c r="L52" s="314"/>
      <c r="M52" s="314"/>
      <c r="N52" s="314"/>
      <c r="O52" s="314"/>
      <c r="P52" s="314"/>
      <c r="Q52" s="314"/>
      <c r="R52" s="314"/>
      <c r="S52" s="314"/>
      <c r="T52" s="314"/>
      <c r="U52" s="314"/>
      <c r="V52" s="314"/>
      <c r="W52" s="314"/>
      <c r="X52" s="315"/>
      <c r="Y52" s="316"/>
      <c r="Z52" s="315"/>
      <c r="AA52" s="382">
        <f t="shared" si="6"/>
        <v>0</v>
      </c>
    </row>
    <row r="53" spans="3:27" ht="20.100000000000001" customHeight="1" x14ac:dyDescent="0.2">
      <c r="C53" s="234"/>
      <c r="D53" s="358" t="s">
        <v>80</v>
      </c>
      <c r="E53" s="313"/>
      <c r="F53" s="314"/>
      <c r="G53" s="314"/>
      <c r="H53" s="314"/>
      <c r="I53" s="314"/>
      <c r="J53" s="314"/>
      <c r="K53" s="314"/>
      <c r="L53" s="314"/>
      <c r="M53" s="314"/>
      <c r="N53" s="314"/>
      <c r="O53" s="314"/>
      <c r="P53" s="314"/>
      <c r="Q53" s="314"/>
      <c r="R53" s="314"/>
      <c r="S53" s="314"/>
      <c r="T53" s="314"/>
      <c r="U53" s="314"/>
      <c r="V53" s="314"/>
      <c r="W53" s="314"/>
      <c r="X53" s="315"/>
      <c r="Y53" s="316"/>
      <c r="Z53" s="315"/>
      <c r="AA53" s="382">
        <f t="shared" si="6"/>
        <v>0</v>
      </c>
    </row>
    <row r="54" spans="3:27" ht="20.100000000000001" customHeight="1" x14ac:dyDescent="0.2">
      <c r="C54" s="234"/>
      <c r="D54" s="358" t="s">
        <v>80</v>
      </c>
      <c r="E54" s="313"/>
      <c r="F54" s="314"/>
      <c r="G54" s="314"/>
      <c r="H54" s="314"/>
      <c r="I54" s="314"/>
      <c r="J54" s="314"/>
      <c r="K54" s="314"/>
      <c r="L54" s="314"/>
      <c r="M54" s="314"/>
      <c r="N54" s="314"/>
      <c r="O54" s="314"/>
      <c r="P54" s="314"/>
      <c r="Q54" s="314"/>
      <c r="R54" s="314"/>
      <c r="S54" s="314"/>
      <c r="T54" s="314"/>
      <c r="U54" s="314"/>
      <c r="V54" s="314"/>
      <c r="W54" s="314"/>
      <c r="X54" s="315"/>
      <c r="Y54" s="316"/>
      <c r="Z54" s="315"/>
      <c r="AA54" s="382">
        <f t="shared" si="6"/>
        <v>0</v>
      </c>
    </row>
    <row r="55" spans="3:27" ht="20.100000000000001" customHeight="1" x14ac:dyDescent="0.2">
      <c r="C55" s="234"/>
      <c r="D55" s="358" t="s">
        <v>80</v>
      </c>
      <c r="E55" s="313"/>
      <c r="F55" s="314"/>
      <c r="G55" s="314"/>
      <c r="H55" s="314"/>
      <c r="I55" s="314"/>
      <c r="J55" s="314"/>
      <c r="K55" s="314"/>
      <c r="L55" s="314"/>
      <c r="M55" s="314"/>
      <c r="N55" s="314"/>
      <c r="O55" s="314"/>
      <c r="P55" s="314"/>
      <c r="Q55" s="314"/>
      <c r="R55" s="314"/>
      <c r="S55" s="314"/>
      <c r="T55" s="314"/>
      <c r="U55" s="314"/>
      <c r="V55" s="314"/>
      <c r="W55" s="314"/>
      <c r="X55" s="315"/>
      <c r="Y55" s="316"/>
      <c r="Z55" s="315"/>
      <c r="AA55" s="382">
        <f t="shared" si="6"/>
        <v>0</v>
      </c>
    </row>
    <row r="56" spans="3:27" ht="20.100000000000001" customHeight="1" x14ac:dyDescent="0.2">
      <c r="C56" s="234"/>
      <c r="D56" s="358" t="s">
        <v>80</v>
      </c>
      <c r="E56" s="313"/>
      <c r="F56" s="314"/>
      <c r="G56" s="314"/>
      <c r="H56" s="314"/>
      <c r="I56" s="314"/>
      <c r="J56" s="314"/>
      <c r="K56" s="314"/>
      <c r="L56" s="314"/>
      <c r="M56" s="314"/>
      <c r="N56" s="314"/>
      <c r="O56" s="314"/>
      <c r="P56" s="314"/>
      <c r="Q56" s="314"/>
      <c r="R56" s="314"/>
      <c r="S56" s="314"/>
      <c r="T56" s="314"/>
      <c r="U56" s="314"/>
      <c r="V56" s="314"/>
      <c r="W56" s="314"/>
      <c r="X56" s="315"/>
      <c r="Y56" s="316"/>
      <c r="Z56" s="315"/>
      <c r="AA56" s="382">
        <f t="shared" si="6"/>
        <v>0</v>
      </c>
    </row>
    <row r="57" spans="3:27" ht="20.100000000000001" customHeight="1" x14ac:dyDescent="0.2">
      <c r="C57" s="234"/>
      <c r="D57" s="358" t="s">
        <v>80</v>
      </c>
      <c r="E57" s="313"/>
      <c r="F57" s="314"/>
      <c r="G57" s="314"/>
      <c r="H57" s="314"/>
      <c r="I57" s="314"/>
      <c r="J57" s="314"/>
      <c r="K57" s="314"/>
      <c r="L57" s="314"/>
      <c r="M57" s="314"/>
      <c r="N57" s="314"/>
      <c r="O57" s="314"/>
      <c r="P57" s="314"/>
      <c r="Q57" s="314"/>
      <c r="R57" s="314"/>
      <c r="S57" s="314"/>
      <c r="T57" s="314"/>
      <c r="U57" s="314"/>
      <c r="V57" s="314"/>
      <c r="W57" s="314"/>
      <c r="X57" s="315"/>
      <c r="Y57" s="316"/>
      <c r="Z57" s="315"/>
      <c r="AA57" s="382">
        <f t="shared" si="6"/>
        <v>0</v>
      </c>
    </row>
    <row r="58" spans="3:27" ht="20.100000000000001" customHeight="1" x14ac:dyDescent="0.2">
      <c r="C58" s="234"/>
      <c r="D58" s="358" t="s">
        <v>80</v>
      </c>
      <c r="E58" s="313"/>
      <c r="F58" s="314"/>
      <c r="G58" s="314"/>
      <c r="H58" s="314"/>
      <c r="I58" s="314"/>
      <c r="J58" s="314"/>
      <c r="K58" s="314"/>
      <c r="L58" s="314"/>
      <c r="M58" s="314"/>
      <c r="N58" s="314"/>
      <c r="O58" s="314"/>
      <c r="P58" s="314"/>
      <c r="Q58" s="314"/>
      <c r="R58" s="314"/>
      <c r="S58" s="314"/>
      <c r="T58" s="314"/>
      <c r="U58" s="314"/>
      <c r="V58" s="314"/>
      <c r="W58" s="314"/>
      <c r="X58" s="315"/>
      <c r="Y58" s="316"/>
      <c r="Z58" s="315"/>
      <c r="AA58" s="382">
        <f t="shared" si="6"/>
        <v>0</v>
      </c>
    </row>
    <row r="59" spans="3:27" ht="20.100000000000001" customHeight="1" thickBot="1" x14ac:dyDescent="0.25">
      <c r="C59" s="234"/>
      <c r="D59" s="362" t="s">
        <v>80</v>
      </c>
      <c r="E59" s="363"/>
      <c r="F59" s="364"/>
      <c r="G59" s="364"/>
      <c r="H59" s="364"/>
      <c r="I59" s="364"/>
      <c r="J59" s="364"/>
      <c r="K59" s="364"/>
      <c r="L59" s="364"/>
      <c r="M59" s="364"/>
      <c r="N59" s="364"/>
      <c r="O59" s="364"/>
      <c r="P59" s="364"/>
      <c r="Q59" s="364"/>
      <c r="R59" s="364"/>
      <c r="S59" s="364"/>
      <c r="T59" s="364"/>
      <c r="U59" s="364"/>
      <c r="V59" s="364"/>
      <c r="W59" s="364"/>
      <c r="X59" s="365"/>
      <c r="Y59" s="366"/>
      <c r="Z59" s="365"/>
      <c r="AA59" s="382">
        <f t="shared" si="6"/>
        <v>0</v>
      </c>
    </row>
    <row r="60" spans="3:27" x14ac:dyDescent="0.2">
      <c r="AA60" s="321"/>
    </row>
    <row r="63" spans="3:27" ht="18" x14ac:dyDescent="0.25">
      <c r="E63" s="230"/>
    </row>
    <row r="65" spans="4:27" ht="13.5" thickBot="1" x14ac:dyDescent="0.25"/>
    <row r="66" spans="4:27" ht="16.5" customHeight="1" thickBot="1" x14ac:dyDescent="0.25">
      <c r="D66" s="235" t="s">
        <v>79</v>
      </c>
      <c r="E66" s="429" t="s">
        <v>101</v>
      </c>
      <c r="F66" s="430"/>
      <c r="G66" s="430"/>
      <c r="H66" s="430"/>
      <c r="I66" s="430"/>
      <c r="J66" s="430"/>
      <c r="K66" s="430"/>
      <c r="L66" s="430"/>
      <c r="M66" s="430"/>
      <c r="N66" s="430"/>
      <c r="O66" s="430"/>
      <c r="P66" s="430"/>
      <c r="Q66" s="430"/>
      <c r="R66" s="430"/>
      <c r="S66" s="430"/>
      <c r="T66" s="430"/>
      <c r="U66" s="430"/>
      <c r="V66" s="430"/>
      <c r="W66" s="430"/>
      <c r="X66" s="430"/>
      <c r="Y66" s="430"/>
      <c r="Z66" s="431"/>
      <c r="AA66" s="381" t="s">
        <v>7</v>
      </c>
    </row>
    <row r="67" spans="4:27" ht="42" customHeight="1" thickBot="1" x14ac:dyDescent="0.25">
      <c r="D67" s="359" t="s">
        <v>81</v>
      </c>
      <c r="E67" s="455" t="s">
        <v>69</v>
      </c>
      <c r="F67" s="399" t="s">
        <v>99</v>
      </c>
      <c r="G67" s="395" t="s">
        <v>70</v>
      </c>
      <c r="H67" s="456" t="s">
        <v>71</v>
      </c>
      <c r="I67" s="457" t="s">
        <v>72</v>
      </c>
      <c r="J67" s="458" t="s">
        <v>73</v>
      </c>
      <c r="K67" s="459" t="s">
        <v>74</v>
      </c>
      <c r="L67" s="398" t="s">
        <v>75</v>
      </c>
      <c r="M67" s="460" t="s">
        <v>76</v>
      </c>
      <c r="N67" s="461" t="s">
        <v>77</v>
      </c>
      <c r="O67" s="400" t="s">
        <v>105</v>
      </c>
      <c r="P67" s="462" t="s">
        <v>106</v>
      </c>
      <c r="Q67" s="396" t="s">
        <v>107</v>
      </c>
      <c r="R67" s="463" t="s">
        <v>108</v>
      </c>
      <c r="S67" s="464" t="s">
        <v>109</v>
      </c>
      <c r="T67" s="465" t="s">
        <v>110</v>
      </c>
      <c r="U67" s="466" t="s">
        <v>111</v>
      </c>
      <c r="V67" s="397" t="s">
        <v>112</v>
      </c>
      <c r="W67" s="467" t="s">
        <v>113</v>
      </c>
      <c r="X67" s="468" t="s">
        <v>114</v>
      </c>
      <c r="Y67" s="471" t="s">
        <v>3</v>
      </c>
      <c r="Z67" s="472" t="s">
        <v>4</v>
      </c>
      <c r="AA67" s="388" t="s">
        <v>103</v>
      </c>
    </row>
    <row r="68" spans="4:27" ht="20.100000000000001" customHeight="1" x14ac:dyDescent="0.2">
      <c r="D68" s="244" t="s">
        <v>80</v>
      </c>
      <c r="E68" s="237"/>
      <c r="F68" s="238"/>
      <c r="G68" s="238"/>
      <c r="H68" s="238"/>
      <c r="I68" s="238"/>
      <c r="J68" s="238"/>
      <c r="K68" s="238"/>
      <c r="L68" s="238"/>
      <c r="M68" s="238"/>
      <c r="N68" s="238"/>
      <c r="O68" s="238"/>
      <c r="P68" s="238"/>
      <c r="Q68" s="238"/>
      <c r="R68" s="238"/>
      <c r="S68" s="238"/>
      <c r="T68" s="238"/>
      <c r="U68" s="238"/>
      <c r="V68" s="238"/>
      <c r="W68" s="238"/>
      <c r="X68" s="239"/>
      <c r="Y68" s="240"/>
      <c r="Z68" s="239"/>
      <c r="AA68" s="385">
        <f t="shared" ref="AA68:AA72" si="7">SUM(E68:Z68)</f>
        <v>0</v>
      </c>
    </row>
    <row r="69" spans="4:27" ht="20.100000000000001" customHeight="1" x14ac:dyDescent="0.2">
      <c r="D69" s="242" t="s">
        <v>80</v>
      </c>
      <c r="E69" s="179"/>
      <c r="F69" s="180"/>
      <c r="G69" s="180"/>
      <c r="H69" s="180"/>
      <c r="I69" s="180"/>
      <c r="J69" s="180"/>
      <c r="K69" s="180"/>
      <c r="L69" s="180"/>
      <c r="M69" s="180"/>
      <c r="N69" s="180"/>
      <c r="O69" s="180"/>
      <c r="P69" s="180"/>
      <c r="Q69" s="180"/>
      <c r="R69" s="180"/>
      <c r="S69" s="180"/>
      <c r="T69" s="180"/>
      <c r="U69" s="180"/>
      <c r="V69" s="180"/>
      <c r="W69" s="180"/>
      <c r="X69" s="181"/>
      <c r="Y69" s="182"/>
      <c r="Z69" s="181"/>
      <c r="AA69" s="311">
        <f t="shared" si="7"/>
        <v>0</v>
      </c>
    </row>
    <row r="70" spans="4:27" ht="20.100000000000001" customHeight="1" x14ac:dyDescent="0.2">
      <c r="D70" s="242" t="s">
        <v>80</v>
      </c>
      <c r="E70" s="179"/>
      <c r="F70" s="180"/>
      <c r="G70" s="180"/>
      <c r="H70" s="180"/>
      <c r="I70" s="180"/>
      <c r="J70" s="180"/>
      <c r="K70" s="180"/>
      <c r="L70" s="180"/>
      <c r="M70" s="180"/>
      <c r="N70" s="180"/>
      <c r="O70" s="180"/>
      <c r="P70" s="180"/>
      <c r="Q70" s="180"/>
      <c r="R70" s="180"/>
      <c r="S70" s="180"/>
      <c r="T70" s="180"/>
      <c r="U70" s="180"/>
      <c r="V70" s="180"/>
      <c r="W70" s="180"/>
      <c r="X70" s="181"/>
      <c r="Y70" s="182"/>
      <c r="Z70" s="181"/>
      <c r="AA70" s="311">
        <f t="shared" si="7"/>
        <v>0</v>
      </c>
    </row>
    <row r="71" spans="4:27" ht="20.100000000000001" customHeight="1" x14ac:dyDescent="0.2">
      <c r="D71" s="242" t="s">
        <v>80</v>
      </c>
      <c r="E71" s="179"/>
      <c r="F71" s="180"/>
      <c r="G71" s="180"/>
      <c r="H71" s="180"/>
      <c r="I71" s="180"/>
      <c r="J71" s="180"/>
      <c r="K71" s="180"/>
      <c r="L71" s="180"/>
      <c r="M71" s="180"/>
      <c r="N71" s="180"/>
      <c r="O71" s="180"/>
      <c r="P71" s="180"/>
      <c r="Q71" s="180"/>
      <c r="R71" s="180"/>
      <c r="S71" s="180"/>
      <c r="T71" s="180"/>
      <c r="U71" s="180"/>
      <c r="V71" s="180"/>
      <c r="W71" s="180"/>
      <c r="X71" s="181"/>
      <c r="Y71" s="182"/>
      <c r="Z71" s="181"/>
      <c r="AA71" s="311">
        <f t="shared" si="7"/>
        <v>0</v>
      </c>
    </row>
    <row r="72" spans="4:27" ht="20.100000000000001" customHeight="1" thickBot="1" x14ac:dyDescent="0.25">
      <c r="D72" s="243" t="s">
        <v>80</v>
      </c>
      <c r="E72" s="183"/>
      <c r="F72" s="184"/>
      <c r="G72" s="184"/>
      <c r="H72" s="184"/>
      <c r="I72" s="184"/>
      <c r="J72" s="184"/>
      <c r="K72" s="184"/>
      <c r="L72" s="184"/>
      <c r="M72" s="184"/>
      <c r="N72" s="184"/>
      <c r="O72" s="184"/>
      <c r="P72" s="184"/>
      <c r="Q72" s="184"/>
      <c r="R72" s="184"/>
      <c r="S72" s="184"/>
      <c r="T72" s="184"/>
      <c r="U72" s="184"/>
      <c r="V72" s="184"/>
      <c r="W72" s="184"/>
      <c r="X72" s="185"/>
      <c r="Y72" s="186"/>
      <c r="Z72" s="185"/>
      <c r="AA72" s="386">
        <f t="shared" si="7"/>
        <v>0</v>
      </c>
    </row>
    <row r="73" spans="4:27" ht="20.100000000000001" customHeight="1" x14ac:dyDescent="0.2">
      <c r="D73" s="236"/>
      <c r="E73" s="234"/>
      <c r="F73" s="234"/>
      <c r="G73" s="234"/>
      <c r="H73" s="234"/>
      <c r="I73" s="234"/>
      <c r="J73" s="234"/>
      <c r="K73" s="234"/>
      <c r="L73" s="234"/>
      <c r="M73" s="234"/>
      <c r="N73" s="234"/>
      <c r="O73" s="234"/>
      <c r="P73" s="234"/>
      <c r="Q73" s="234"/>
      <c r="R73" s="234"/>
      <c r="S73" s="234"/>
      <c r="T73" s="234"/>
      <c r="U73" s="234"/>
      <c r="V73" s="234"/>
      <c r="W73" s="234"/>
      <c r="X73" s="234"/>
      <c r="Y73" s="234"/>
      <c r="Z73" s="234"/>
    </row>
    <row r="74" spans="4:27" ht="20.100000000000001" customHeight="1" x14ac:dyDescent="0.2">
      <c r="D74" s="236"/>
      <c r="E74" s="234"/>
      <c r="F74" s="234"/>
      <c r="G74" s="234"/>
      <c r="H74" s="234"/>
      <c r="I74" s="234"/>
      <c r="J74" s="234"/>
      <c r="K74" s="234"/>
      <c r="L74" s="234"/>
      <c r="M74" s="234"/>
      <c r="N74" s="234"/>
      <c r="O74" s="234"/>
      <c r="P74" s="234"/>
      <c r="Q74" s="234"/>
      <c r="R74" s="234"/>
      <c r="S74" s="234"/>
      <c r="T74" s="234"/>
      <c r="U74" s="234"/>
      <c r="V74" s="234"/>
      <c r="W74" s="234"/>
      <c r="X74" s="234"/>
      <c r="Y74" s="234"/>
      <c r="Z74" s="234"/>
    </row>
    <row r="75" spans="4:27" ht="20.100000000000001" customHeight="1" thickBot="1" x14ac:dyDescent="0.25">
      <c r="D75" s="236"/>
      <c r="E75" s="234"/>
      <c r="F75" s="234"/>
      <c r="G75" s="234"/>
      <c r="H75" s="234"/>
      <c r="I75" s="234"/>
      <c r="J75" s="234"/>
      <c r="K75" s="234"/>
      <c r="L75" s="234"/>
      <c r="M75" s="234"/>
      <c r="N75" s="234"/>
      <c r="O75" s="234"/>
      <c r="P75" s="234"/>
      <c r="Q75" s="234"/>
      <c r="R75" s="234"/>
      <c r="S75" s="234"/>
      <c r="T75" s="234"/>
      <c r="U75" s="234"/>
      <c r="V75" s="234"/>
      <c r="W75" s="234"/>
      <c r="X75" s="234"/>
      <c r="Y75" s="234"/>
      <c r="Z75" s="234"/>
    </row>
    <row r="76" spans="4:27" ht="20.100000000000001" customHeight="1" thickBot="1" x14ac:dyDescent="0.25">
      <c r="D76" s="235" t="s">
        <v>83</v>
      </c>
      <c r="E76" s="429" t="s">
        <v>100</v>
      </c>
      <c r="F76" s="430"/>
      <c r="G76" s="430"/>
      <c r="H76" s="430"/>
      <c r="I76" s="430"/>
      <c r="J76" s="430"/>
      <c r="K76" s="430"/>
      <c r="L76" s="430"/>
      <c r="M76" s="430"/>
      <c r="N76" s="430"/>
      <c r="O76" s="430"/>
      <c r="P76" s="430"/>
      <c r="Q76" s="430"/>
      <c r="R76" s="430"/>
      <c r="S76" s="430"/>
      <c r="T76" s="430"/>
      <c r="U76" s="430"/>
      <c r="V76" s="430"/>
      <c r="W76" s="430"/>
      <c r="X76" s="430"/>
      <c r="Y76" s="430"/>
      <c r="Z76" s="431"/>
      <c r="AA76" s="387" t="s">
        <v>7</v>
      </c>
    </row>
    <row r="77" spans="4:27" ht="39.75" customHeight="1" thickBot="1" x14ac:dyDescent="0.25">
      <c r="D77" s="359" t="s">
        <v>81</v>
      </c>
      <c r="E77" s="455" t="s">
        <v>69</v>
      </c>
      <c r="F77" s="399" t="s">
        <v>99</v>
      </c>
      <c r="G77" s="395" t="s">
        <v>70</v>
      </c>
      <c r="H77" s="456" t="s">
        <v>71</v>
      </c>
      <c r="I77" s="457" t="s">
        <v>72</v>
      </c>
      <c r="J77" s="458" t="s">
        <v>73</v>
      </c>
      <c r="K77" s="459" t="s">
        <v>74</v>
      </c>
      <c r="L77" s="398" t="s">
        <v>75</v>
      </c>
      <c r="M77" s="460" t="s">
        <v>76</v>
      </c>
      <c r="N77" s="461" t="s">
        <v>77</v>
      </c>
      <c r="O77" s="400" t="s">
        <v>105</v>
      </c>
      <c r="P77" s="462" t="s">
        <v>106</v>
      </c>
      <c r="Q77" s="396" t="s">
        <v>107</v>
      </c>
      <c r="R77" s="463" t="s">
        <v>108</v>
      </c>
      <c r="S77" s="464" t="s">
        <v>109</v>
      </c>
      <c r="T77" s="465" t="s">
        <v>110</v>
      </c>
      <c r="U77" s="466" t="s">
        <v>111</v>
      </c>
      <c r="V77" s="397" t="s">
        <v>112</v>
      </c>
      <c r="W77" s="467" t="s">
        <v>113</v>
      </c>
      <c r="X77" s="468" t="s">
        <v>114</v>
      </c>
      <c r="Y77" s="471" t="s">
        <v>3</v>
      </c>
      <c r="Z77" s="472" t="s">
        <v>4</v>
      </c>
      <c r="AA77" s="384" t="s">
        <v>103</v>
      </c>
    </row>
    <row r="78" spans="4:27" ht="20.100000000000001" customHeight="1" x14ac:dyDescent="0.2">
      <c r="D78" s="244" t="s">
        <v>80</v>
      </c>
      <c r="E78" s="237"/>
      <c r="F78" s="238"/>
      <c r="G78" s="238"/>
      <c r="H78" s="238"/>
      <c r="I78" s="238"/>
      <c r="J78" s="238"/>
      <c r="K78" s="238"/>
      <c r="L78" s="238"/>
      <c r="M78" s="238"/>
      <c r="N78" s="238"/>
      <c r="O78" s="238"/>
      <c r="P78" s="238"/>
      <c r="Q78" s="238"/>
      <c r="R78" s="238"/>
      <c r="S78" s="238"/>
      <c r="T78" s="238"/>
      <c r="U78" s="238"/>
      <c r="V78" s="238"/>
      <c r="W78" s="238"/>
      <c r="X78" s="239"/>
      <c r="Y78" s="240"/>
      <c r="Z78" s="239"/>
      <c r="AA78" s="385">
        <f t="shared" ref="AA78:AA80" si="8">SUM(E78:Z78)</f>
        <v>0</v>
      </c>
    </row>
    <row r="79" spans="4:27" ht="20.100000000000001" customHeight="1" x14ac:dyDescent="0.2">
      <c r="D79" s="242" t="s">
        <v>80</v>
      </c>
      <c r="E79" s="179"/>
      <c r="F79" s="180"/>
      <c r="G79" s="180"/>
      <c r="H79" s="180"/>
      <c r="I79" s="180"/>
      <c r="J79" s="180"/>
      <c r="K79" s="180"/>
      <c r="L79" s="180"/>
      <c r="M79" s="180"/>
      <c r="N79" s="180"/>
      <c r="O79" s="180"/>
      <c r="P79" s="180"/>
      <c r="Q79" s="180"/>
      <c r="R79" s="180"/>
      <c r="S79" s="180"/>
      <c r="T79" s="180"/>
      <c r="U79" s="180"/>
      <c r="V79" s="180"/>
      <c r="W79" s="180"/>
      <c r="X79" s="181"/>
      <c r="Y79" s="182"/>
      <c r="Z79" s="181"/>
      <c r="AA79" s="311">
        <f t="shared" si="8"/>
        <v>0</v>
      </c>
    </row>
    <row r="80" spans="4:27" ht="20.100000000000001" customHeight="1" thickBot="1" x14ac:dyDescent="0.25">
      <c r="D80" s="243" t="s">
        <v>80</v>
      </c>
      <c r="E80" s="183"/>
      <c r="F80" s="184"/>
      <c r="G80" s="184"/>
      <c r="H80" s="184"/>
      <c r="I80" s="184"/>
      <c r="J80" s="184"/>
      <c r="K80" s="184"/>
      <c r="L80" s="184"/>
      <c r="M80" s="184"/>
      <c r="N80" s="184"/>
      <c r="O80" s="184"/>
      <c r="P80" s="184"/>
      <c r="Q80" s="184"/>
      <c r="R80" s="184"/>
      <c r="S80" s="184"/>
      <c r="T80" s="184"/>
      <c r="U80" s="184"/>
      <c r="V80" s="184"/>
      <c r="W80" s="184"/>
      <c r="X80" s="185"/>
      <c r="Y80" s="186"/>
      <c r="Z80" s="185"/>
      <c r="AA80" s="386">
        <f t="shared" si="8"/>
        <v>0</v>
      </c>
    </row>
    <row r="81" spans="4:27" ht="20.100000000000001" customHeight="1" x14ac:dyDescent="0.2">
      <c r="D81" s="236"/>
      <c r="E81" s="234"/>
      <c r="F81" s="234"/>
      <c r="G81" s="234"/>
      <c r="H81" s="234"/>
      <c r="I81" s="234"/>
      <c r="J81" s="234"/>
      <c r="K81" s="234"/>
      <c r="L81" s="234"/>
      <c r="M81" s="234"/>
      <c r="N81" s="234"/>
      <c r="O81" s="234"/>
      <c r="P81" s="234"/>
      <c r="Q81" s="234"/>
      <c r="R81" s="234"/>
      <c r="S81" s="234"/>
      <c r="T81" s="234"/>
      <c r="U81" s="234"/>
      <c r="V81" s="234"/>
      <c r="W81" s="234"/>
      <c r="X81" s="234"/>
      <c r="Y81" s="234"/>
      <c r="Z81" s="234"/>
      <c r="AA81" s="241"/>
    </row>
    <row r="82" spans="4:27" ht="20.100000000000001" customHeight="1" x14ac:dyDescent="0.2">
      <c r="D82" s="236"/>
      <c r="E82" s="234"/>
      <c r="F82" s="234"/>
      <c r="G82" s="234"/>
      <c r="H82" s="234"/>
      <c r="I82" s="234"/>
      <c r="J82" s="234"/>
      <c r="K82" s="234"/>
      <c r="L82" s="234"/>
      <c r="M82" s="234"/>
      <c r="N82" s="234"/>
      <c r="O82" s="234"/>
      <c r="P82" s="234"/>
      <c r="Q82" s="234"/>
      <c r="R82" s="234"/>
      <c r="S82" s="234"/>
      <c r="T82" s="234"/>
      <c r="U82" s="234"/>
      <c r="V82" s="234"/>
      <c r="W82" s="234"/>
      <c r="X82" s="234"/>
      <c r="Y82" s="234"/>
      <c r="Z82" s="234"/>
      <c r="AA82" s="241"/>
    </row>
  </sheetData>
  <sheetProtection algorithmName="SHA-512" hashValue="zzXoLBJuWrAcF2vE+9Lpj7X8UXe0upjAGCkDbqTh8FSKipnMp2NfzBagfECzCspDsWJWEc56iKOknGpn0FiS4Q==" saltValue="edIk+M7eIhM2A2HtOSNWtQ==" spinCount="100000" sheet="1" objects="1" scenarios="1"/>
  <mergeCells count="7">
    <mergeCell ref="E76:Z76"/>
    <mergeCell ref="E1:Z1"/>
    <mergeCell ref="A10:B11"/>
    <mergeCell ref="A12:B14"/>
    <mergeCell ref="A15:B18"/>
    <mergeCell ref="E48:Z48"/>
    <mergeCell ref="E66:Z66"/>
  </mergeCells>
  <conditionalFormatting sqref="B8">
    <cfRule type="cellIs" dxfId="247" priority="5" operator="notEqual">
      <formula>$B$7</formula>
    </cfRule>
  </conditionalFormatting>
  <conditionalFormatting sqref="E3:AA12">
    <cfRule type="cellIs" dxfId="246" priority="4" operator="notBetween">
      <formula>0</formula>
      <formula>100</formula>
    </cfRule>
  </conditionalFormatting>
  <conditionalFormatting sqref="E3:AA14">
    <cfRule type="cellIs" dxfId="245" priority="7" operator="lessThan">
      <formula>0</formula>
    </cfRule>
  </conditionalFormatting>
  <conditionalFormatting sqref="E14:AA14">
    <cfRule type="cellIs" dxfId="244" priority="10" operator="greaterThan">
      <formula>1</formula>
    </cfRule>
  </conditionalFormatting>
  <conditionalFormatting sqref="AA3:AA13">
    <cfRule type="cellIs" dxfId="243" priority="8" operator="equal">
      <formula>0</formula>
    </cfRule>
  </conditionalFormatting>
  <conditionalFormatting sqref="AA13">
    <cfRule type="cellIs" dxfId="242" priority="12" operator="equal">
      <formula>$B$7</formula>
    </cfRule>
  </conditionalFormatting>
  <conditionalFormatting sqref="AA14">
    <cfRule type="cellIs" dxfId="241" priority="9" operator="equal">
      <formula>1</formula>
    </cfRule>
    <cfRule type="cellIs" dxfId="240" priority="11" operator="lessThan">
      <formula>1</formula>
    </cfRule>
  </conditionalFormatting>
  <conditionalFormatting sqref="AG4:AG15">
    <cfRule type="expression" dxfId="239" priority="13">
      <formula>AND($AG4&lt;$AG3, NOT(ISBLANK($AG4)))</formula>
    </cfRule>
    <cfRule type="cellIs" dxfId="238" priority="14" operator="greaterThan">
      <formula>$B$6</formula>
    </cfRule>
  </conditionalFormatting>
  <conditionalFormatting sqref="AH4:AH15">
    <cfRule type="cellIs" dxfId="237" priority="6" operator="greaterThan">
      <formula>1</formula>
    </cfRule>
  </conditionalFormatting>
  <conditionalFormatting sqref="D68:D72 D50:D59 D78:D80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3:Z12">
    <cfRule type="expression" dxfId="236" priority="15">
      <formula>($D3&lt;=$K$23)</formula>
    </cfRule>
  </conditionalFormatting>
  <conditionalFormatting sqref="AA3:AA12">
    <cfRule type="expression" dxfId="235" priority="16">
      <formula>AND($D3=$K$23, AA3=$J$24)</formula>
    </cfRule>
    <cfRule type="expression" dxfId="234" priority="17">
      <formula>AND($D3=$K$23, MOD(AA3,100)&gt;$J$24)</formula>
    </cfRule>
    <cfRule type="cellIs" dxfId="233" priority="18" operator="equal">
      <formula>100</formula>
    </cfRule>
  </conditionalFormatting>
  <conditionalFormatting sqref="D3:Z12">
    <cfRule type="expression" dxfId="232" priority="22">
      <formula>($D3&gt;$K$23)</formula>
    </cfRule>
  </conditionalFormatting>
  <conditionalFormatting sqref="AA50 AA68:AA72 AA78:AA80">
    <cfRule type="cellIs" dxfId="231" priority="23" operator="lessThan">
      <formula>0</formula>
    </cfRule>
    <cfRule type="cellIs" dxfId="230" priority="24" operator="equal">
      <formula>0</formula>
    </cfRule>
    <cfRule type="expression" dxfId="229" priority="25">
      <formula>OR(MOD($AA50,100)=0,AND($D50=$K$23,MOD($AA50,100)=$J$24))</formula>
    </cfRule>
  </conditionalFormatting>
  <conditionalFormatting sqref="E50:Z59">
    <cfRule type="expression" dxfId="228" priority="2">
      <formula>AND(E50&lt;MAX(E$50:E50), NOT(ISBLANK(E50)), NOT(E50=0))</formula>
    </cfRule>
  </conditionalFormatting>
  <conditionalFormatting sqref="AA52:AA59">
    <cfRule type="cellIs" dxfId="227" priority="27" operator="lessThan">
      <formula>0</formula>
    </cfRule>
    <cfRule type="cellIs" dxfId="226" priority="28" operator="equal">
      <formula>0</formula>
    </cfRule>
    <cfRule type="expression" dxfId="225" priority="29">
      <formula>OR(MOD($AA52,100)=0,AND($D52=$K$23,MOD($AA52,100)=$J$24))</formula>
    </cfRule>
  </conditionalFormatting>
  <conditionalFormatting sqref="AA51">
    <cfRule type="cellIs" dxfId="224" priority="30" operator="lessThan">
      <formula>0</formula>
    </cfRule>
    <cfRule type="cellIs" dxfId="223" priority="31" operator="equal">
      <formula>0</formula>
    </cfRule>
    <cfRule type="expression" dxfId="222" priority="32">
      <formula>OR(MOD($AA51,100)=0,AND($D50=$K$23,MOD($AA51,100)=$J$24))</formula>
    </cfRule>
  </conditionalFormatting>
  <conditionalFormatting sqref="E50:Z59 E68:Z72 E78:Z80">
    <cfRule type="cellIs" dxfId="221" priority="19" operator="notBetween">
      <formula>0</formula>
      <formula>$B$7</formula>
    </cfRule>
    <cfRule type="expression" dxfId="220" priority="20">
      <formula>($D50&lt;=$K$23)</formula>
    </cfRule>
    <cfRule type="expression" dxfId="219" priority="21">
      <formula>($D50&gt;$K$23)</formula>
    </cfRule>
  </conditionalFormatting>
  <conditionalFormatting sqref="E68:Z72">
    <cfRule type="expression" dxfId="218" priority="1">
      <formula>AND(E68&lt;MAX(E$68:E68), NOT(ISBLANK(E68)), NOT(E68=0))</formula>
    </cfRule>
  </conditionalFormatting>
  <conditionalFormatting sqref="E78:Z80">
    <cfRule type="expression" dxfId="217" priority="26">
      <formula>AND(E78&lt;MAX(E$78:E78), NOT(ISBLANK(E78)), NOT(E78=0))</formula>
    </cfRule>
  </conditionalFormatting>
  <dataValidations count="2">
    <dataValidation type="list" allowBlank="1" showInputMessage="1" showErrorMessage="1" sqref="D68:D72 D78:D82 D50:D59" xr:uid="{78E77D64-17EF-498D-A915-3F44856B0C22}">
      <formula1>$D$3:$D$12</formula1>
    </dataValidation>
    <dataValidation type="list" allowBlank="1" showInputMessage="1" showErrorMessage="1" sqref="C50:C59" xr:uid="{BDB2A01E-7E52-44C7-9D3F-A06F18845E0A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1C95D-D18B-4EA4-B574-E35181A203F9}">
  <sheetPr codeName="Feuil35">
    <tabColor rgb="FFB4A7D6"/>
  </sheetPr>
  <dimension ref="A1:AL82"/>
  <sheetViews>
    <sheetView zoomScale="80" zoomScaleNormal="80" workbookViewId="0">
      <pane xSplit="2" topLeftCell="C1" activePane="topRight" state="frozen"/>
      <selection pane="topRight" activeCell="B29" sqref="B29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24" width="15.7109375" customWidth="1"/>
    <col min="27" max="27" width="12.85546875" customWidth="1"/>
    <col min="28" max="28" width="11.42578125" customWidth="1"/>
    <col min="31" max="31" width="10.42578125" customWidth="1"/>
    <col min="32" max="32" width="15.42578125" customWidth="1"/>
    <col min="33" max="33" width="16.140625" customWidth="1"/>
    <col min="34" max="34" width="12" customWidth="1"/>
    <col min="36" max="36" width="13.28515625" customWidth="1"/>
    <col min="37" max="37" width="14.42578125" customWidth="1"/>
  </cols>
  <sheetData>
    <row r="1" spans="1:38" ht="16.5" customHeight="1" thickBot="1" x14ac:dyDescent="0.25">
      <c r="A1" s="308" t="s">
        <v>11</v>
      </c>
      <c r="B1" s="33">
        <f>Synthèse!B17</f>
        <v>46096</v>
      </c>
      <c r="D1" s="307"/>
      <c r="E1" s="432" t="s">
        <v>66</v>
      </c>
      <c r="F1" s="433"/>
      <c r="G1" s="433"/>
      <c r="H1" s="433"/>
      <c r="I1" s="433"/>
      <c r="J1" s="433"/>
      <c r="K1" s="433"/>
      <c r="L1" s="433"/>
      <c r="M1" s="433"/>
      <c r="N1" s="433"/>
      <c r="O1" s="433"/>
      <c r="P1" s="433"/>
      <c r="Q1" s="433"/>
      <c r="R1" s="433"/>
      <c r="S1" s="433"/>
      <c r="T1" s="433"/>
      <c r="U1" s="433"/>
      <c r="V1" s="433"/>
      <c r="W1" s="433"/>
      <c r="X1" s="433"/>
      <c r="Y1" s="433"/>
      <c r="Z1" s="434"/>
      <c r="AA1" s="392" t="s">
        <v>7</v>
      </c>
    </row>
    <row r="2" spans="1:38" ht="39.75" customHeight="1" thickBot="1" x14ac:dyDescent="0.25">
      <c r="A2" s="309" t="s">
        <v>12</v>
      </c>
      <c r="B2" s="34" t="str">
        <f>Synthèse!B18</f>
        <v>Municipales 1er tour</v>
      </c>
      <c r="D2" s="355" t="s">
        <v>82</v>
      </c>
      <c r="E2" s="455" t="str">
        <f>Synthèse!L2</f>
        <v>Candidat 1</v>
      </c>
      <c r="F2" s="399" t="str">
        <f>Synthèse!M2</f>
        <v>Candidat 2</v>
      </c>
      <c r="G2" s="395" t="str">
        <f>Synthèse!N2</f>
        <v>Candidat 3</v>
      </c>
      <c r="H2" s="456" t="str">
        <f>Synthèse!O2</f>
        <v>Candidat 4</v>
      </c>
      <c r="I2" s="457" t="str">
        <f>Synthèse!P2</f>
        <v>Candidat 5</v>
      </c>
      <c r="J2" s="458" t="str">
        <f>Synthèse!Q2</f>
        <v>Candidat 6</v>
      </c>
      <c r="K2" s="459" t="str">
        <f>Synthèse!R2</f>
        <v>Candidat 7</v>
      </c>
      <c r="L2" s="398" t="str">
        <f>Synthèse!S2</f>
        <v>Candidat 8</v>
      </c>
      <c r="M2" s="460" t="str">
        <f>Synthèse!T2</f>
        <v>Candidat 9</v>
      </c>
      <c r="N2" s="461" t="str">
        <f>Synthèse!U2</f>
        <v>Candidat 10</v>
      </c>
      <c r="O2" s="400" t="str">
        <f>Synthèse!V2</f>
        <v>Candidat 11</v>
      </c>
      <c r="P2" s="462" t="str">
        <f>Synthèse!W2</f>
        <v>Candidat 12</v>
      </c>
      <c r="Q2" s="396" t="str">
        <f>Synthèse!X2</f>
        <v>Candidat 13</v>
      </c>
      <c r="R2" s="463" t="str">
        <f>Synthèse!Y2</f>
        <v>Candidat 14</v>
      </c>
      <c r="S2" s="464" t="str">
        <f>Synthèse!Z2</f>
        <v>Candidat 15</v>
      </c>
      <c r="T2" s="465" t="str">
        <f>Synthèse!AA2</f>
        <v>Candidat 16</v>
      </c>
      <c r="U2" s="466" t="str">
        <f>Synthèse!AB2</f>
        <v>Candidat 17</v>
      </c>
      <c r="V2" s="397" t="str">
        <f>Synthèse!AC2</f>
        <v>Candidat 18</v>
      </c>
      <c r="W2" s="467" t="str">
        <f>Synthèse!AD2</f>
        <v>Candidat 19</v>
      </c>
      <c r="X2" s="468" t="str">
        <f>Synthèse!AE2</f>
        <v>Candidat 20</v>
      </c>
      <c r="Y2" s="469" t="s">
        <v>3</v>
      </c>
      <c r="Z2" s="470" t="s">
        <v>4</v>
      </c>
      <c r="AA2" s="393" t="s">
        <v>104</v>
      </c>
      <c r="AF2" s="367" t="s">
        <v>21</v>
      </c>
      <c r="AG2" s="368" t="s">
        <v>57</v>
      </c>
      <c r="AH2" s="369" t="s">
        <v>31</v>
      </c>
      <c r="AJ2" s="370" t="s">
        <v>59</v>
      </c>
      <c r="AK2" s="370" t="s">
        <v>58</v>
      </c>
    </row>
    <row r="3" spans="1:38" ht="20.100000000000001" customHeight="1" thickBot="1" x14ac:dyDescent="0.25">
      <c r="A3" s="310" t="s">
        <v>13</v>
      </c>
      <c r="B3" s="94" t="str">
        <f>Synthèse!B19</f>
        <v>Cogolin</v>
      </c>
      <c r="D3" s="352" t="str" cm="1">
        <f t="array" ref="D3">IF(ROW(1:1)&lt;=$K$23, (ROW(1:1)), "")</f>
        <v/>
      </c>
      <c r="E3" s="155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55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55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55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55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55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55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55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5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155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1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155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155" cm="1">
        <f t="array" ref="Q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R3" s="155" cm="1">
        <f t="array" ref="R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S3" s="155" cm="1">
        <f t="array" ref="S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T3" s="155" cm="1">
        <f t="array" ref="T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U3" s="155" cm="1">
        <f t="array" ref="U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V3" s="155" cm="1">
        <f t="array" ref="V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W3" s="155" cm="1">
        <f t="array" ref="W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X3" s="155" cm="1">
        <f t="array" ref="X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Y3" s="171" cm="1">
        <f t="array" ref="Y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Z3" s="172" cm="1">
        <f t="array" ref="Z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AA3" s="311">
        <f t="shared" ref="AA3:AA12" si="0">SUM(E3:Z3)</f>
        <v>0</v>
      </c>
      <c r="AF3" s="343" t="s">
        <v>32</v>
      </c>
      <c r="AG3" s="344">
        <v>0</v>
      </c>
      <c r="AH3" s="345">
        <f t="shared" ref="AH3" si="1">AG3/$B$6</f>
        <v>0</v>
      </c>
      <c r="AJ3" s="323"/>
      <c r="AK3" s="323"/>
    </row>
    <row r="4" spans="1:38" ht="20.100000000000001" customHeight="1" x14ac:dyDescent="0.2">
      <c r="A4" s="95" t="s">
        <v>23</v>
      </c>
      <c r="B4" s="168">
        <v>6</v>
      </c>
      <c r="D4" s="353" t="str" cm="1">
        <f t="array" ref="D4">IF(ROW(2:2)&lt;=$K$23, (ROW(2:2)), "")</f>
        <v/>
      </c>
      <c r="E4" s="156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56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56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56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56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56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56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56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5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156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156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156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156" cm="1">
        <f t="array" ref="Q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R4" s="156" cm="1">
        <f t="array" ref="R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S4" s="156" cm="1">
        <f t="array" ref="S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T4" s="156" cm="1">
        <f t="array" ref="T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U4" s="156" cm="1">
        <f t="array" ref="U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V4" s="156" cm="1">
        <f t="array" ref="V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W4" s="156" cm="1">
        <f t="array" ref="W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X4" s="156" cm="1">
        <f t="array" ref="X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Y4" s="157" cm="1">
        <f t="array" ref="Y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Z4" s="158" cm="1">
        <f t="array" ref="Z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AA4" s="311">
        <f t="shared" si="0"/>
        <v>0</v>
      </c>
      <c r="AF4" s="346" t="s">
        <v>33</v>
      </c>
      <c r="AG4" s="473"/>
      <c r="AH4" s="348" t="e">
        <f t="shared" ref="AH4:AH13" si="2">IF(OR(AG4=0, AG4=""), NA(), AG4/$B$6)</f>
        <v>#N/A</v>
      </c>
      <c r="AJ4" s="318" t="s">
        <v>45</v>
      </c>
      <c r="AK4" s="371" t="e">
        <f t="shared" ref="AK4:AK13" si="3">IF(AG4&lt;&gt;0,AG4-AG3,NA())</f>
        <v>#N/A</v>
      </c>
    </row>
    <row r="5" spans="1:38" ht="20.100000000000001" customHeight="1" x14ac:dyDescent="0.2">
      <c r="A5" s="96" t="s">
        <v>24</v>
      </c>
      <c r="B5" s="187" t="s">
        <v>28</v>
      </c>
      <c r="D5" s="353" t="str" cm="1">
        <f t="array" ref="D5">IF(ROW(3:3)&lt;=$K$23, (ROW(3:3)), "")</f>
        <v/>
      </c>
      <c r="E5" s="156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56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56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56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56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56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56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5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5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156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156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156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156" cm="1">
        <f t="array" ref="Q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R5" s="156" cm="1">
        <f t="array" ref="R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S5" s="156" cm="1">
        <f t="array" ref="S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T5" s="156" cm="1">
        <f t="array" ref="T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U5" s="156" cm="1">
        <f t="array" ref="U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V5" s="156" cm="1">
        <f t="array" ref="V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W5" s="156" cm="1">
        <f t="array" ref="W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X5" s="156" cm="1">
        <f t="array" ref="X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Y5" s="173" cm="1">
        <f t="array" ref="Y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Z5" s="174" cm="1">
        <f t="array" ref="Z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AA5" s="311">
        <f t="shared" si="0"/>
        <v>0</v>
      </c>
      <c r="AD5" s="231"/>
      <c r="AE5" s="232"/>
      <c r="AF5" s="346" t="s">
        <v>34</v>
      </c>
      <c r="AG5" s="473"/>
      <c r="AH5" s="348" t="e">
        <f t="shared" si="2"/>
        <v>#N/A</v>
      </c>
      <c r="AJ5" s="319" t="s">
        <v>46</v>
      </c>
      <c r="AK5" s="372" t="e">
        <f t="shared" si="3"/>
        <v>#N/A</v>
      </c>
    </row>
    <row r="6" spans="1:38" ht="20.100000000000001" customHeight="1" x14ac:dyDescent="0.2">
      <c r="A6" s="96" t="s">
        <v>0</v>
      </c>
      <c r="B6" s="188">
        <v>687</v>
      </c>
      <c r="D6" s="353" t="str" cm="1">
        <f t="array" ref="D6">IF(ROW(4:4)&lt;=$K$23, (ROW(4:4)), "")</f>
        <v/>
      </c>
      <c r="E6" s="156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56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56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56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56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56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56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5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5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156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156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156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156" cm="1">
        <f t="array" ref="Q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R6" s="156" cm="1">
        <f t="array" ref="R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S6" s="156" cm="1">
        <f t="array" ref="S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T6" s="156" cm="1">
        <f t="array" ref="T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U6" s="156" cm="1">
        <f t="array" ref="U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V6" s="156" cm="1">
        <f t="array" ref="V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W6" s="156" cm="1">
        <f t="array" ref="W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X6" s="156" cm="1">
        <f t="array" ref="X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Y6" s="173" cm="1">
        <f t="array" ref="Y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Z6" s="174" cm="1">
        <f t="array" ref="Z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AA6" s="311">
        <f t="shared" si="0"/>
        <v>0</v>
      </c>
      <c r="AD6" s="231"/>
      <c r="AE6" s="232"/>
      <c r="AF6" s="346" t="s">
        <v>35</v>
      </c>
      <c r="AG6" s="473"/>
      <c r="AH6" s="348" t="e">
        <f t="shared" si="2"/>
        <v>#N/A</v>
      </c>
      <c r="AJ6" s="319" t="s">
        <v>47</v>
      </c>
      <c r="AK6" s="372" t="e">
        <f t="shared" si="3"/>
        <v>#N/A</v>
      </c>
    </row>
    <row r="7" spans="1:38" ht="20.100000000000001" customHeight="1" x14ac:dyDescent="0.2">
      <c r="A7" s="96" t="s">
        <v>2</v>
      </c>
      <c r="B7" s="165">
        <f>MAX(AG4:AG15)</f>
        <v>0</v>
      </c>
      <c r="D7" s="353" t="str" cm="1">
        <f t="array" ref="D7">IF(ROW(5:5)&lt;=$K$23, (ROW(5:5)), "")</f>
        <v/>
      </c>
      <c r="E7" s="156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56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56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56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56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56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56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56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5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156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156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156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156" cm="1">
        <f t="array" ref="Q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R7" s="156" cm="1">
        <f t="array" ref="R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S7" s="156" cm="1">
        <f t="array" ref="S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T7" s="156" cm="1">
        <f t="array" ref="T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U7" s="156" cm="1">
        <f t="array" ref="U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V7" s="156" cm="1">
        <f t="array" ref="V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W7" s="156" cm="1">
        <f t="array" ref="W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X7" s="156" cm="1">
        <f t="array" ref="X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Y7" s="157" cm="1">
        <f t="array" ref="Y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Z7" s="158" cm="1">
        <f t="array" ref="Z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AA7" s="311">
        <f t="shared" si="0"/>
        <v>0</v>
      </c>
      <c r="AD7" s="231"/>
      <c r="AE7" s="232"/>
      <c r="AF7" s="346" t="s">
        <v>36</v>
      </c>
      <c r="AG7" s="473"/>
      <c r="AH7" s="348" t="e">
        <f t="shared" si="2"/>
        <v>#N/A</v>
      </c>
      <c r="AJ7" s="319" t="s">
        <v>54</v>
      </c>
      <c r="AK7" s="372" t="e">
        <f t="shared" si="3"/>
        <v>#N/A</v>
      </c>
    </row>
    <row r="8" spans="1:38" ht="20.100000000000001" customHeight="1" x14ac:dyDescent="0.2">
      <c r="A8" s="96" t="s">
        <v>1</v>
      </c>
      <c r="B8" s="166">
        <f>B7</f>
        <v>0</v>
      </c>
      <c r="D8" s="353" t="str" cm="1">
        <f t="array" ref="D8">IF(ROW(6:6)&lt;=$K$23, (ROW(6:6)), "")</f>
        <v/>
      </c>
      <c r="E8" s="156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56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56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56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56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56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56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56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5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156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156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156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156" cm="1">
        <f t="array" ref="Q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R8" s="156" cm="1">
        <f t="array" ref="R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S8" s="156" cm="1">
        <f t="array" ref="S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T8" s="156" cm="1">
        <f t="array" ref="T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U8" s="156" cm="1">
        <f t="array" ref="U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V8" s="156" cm="1">
        <f t="array" ref="V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W8" s="156" cm="1">
        <f t="array" ref="W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X8" s="156" cm="1">
        <f t="array" ref="X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Y8" s="157" cm="1">
        <f t="array" ref="Y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Z8" s="158" cm="1">
        <f t="array" ref="Z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AA8" s="311">
        <f t="shared" si="0"/>
        <v>0</v>
      </c>
      <c r="AD8" s="231"/>
      <c r="AE8" s="232"/>
      <c r="AF8" s="346" t="s">
        <v>37</v>
      </c>
      <c r="AG8" s="473"/>
      <c r="AH8" s="348" t="e">
        <f t="shared" si="2"/>
        <v>#N/A</v>
      </c>
      <c r="AJ8" s="319" t="s">
        <v>48</v>
      </c>
      <c r="AK8" s="372" t="e">
        <f t="shared" si="3"/>
        <v>#N/A</v>
      </c>
    </row>
    <row r="9" spans="1:38" ht="20.100000000000001" customHeight="1" thickBot="1" x14ac:dyDescent="0.25">
      <c r="A9" s="97" t="s">
        <v>17</v>
      </c>
      <c r="B9" s="167">
        <f>B6-B7</f>
        <v>687</v>
      </c>
      <c r="D9" s="353" t="str" cm="1">
        <f t="array" ref="D9">IF(ROW(7:7)&lt;=$K$23, (ROW(7:7)), "")</f>
        <v/>
      </c>
      <c r="E9" s="156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56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56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56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56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56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56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56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56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156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156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156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156" cm="1">
        <f t="array" ref="Q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R9" s="156" cm="1">
        <f t="array" ref="R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S9" s="156" cm="1">
        <f t="array" ref="S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T9" s="156" cm="1">
        <f t="array" ref="T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U9" s="156" cm="1">
        <f t="array" ref="U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V9" s="156" cm="1">
        <f t="array" ref="V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W9" s="156" cm="1">
        <f t="array" ref="W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X9" s="156" cm="1">
        <f t="array" ref="X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Y9" s="159" cm="1">
        <f t="array" ref="Y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Z9" s="160" cm="1">
        <f t="array" ref="Z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AA9" s="311">
        <f t="shared" si="0"/>
        <v>0</v>
      </c>
      <c r="AD9" s="231"/>
      <c r="AE9" s="232"/>
      <c r="AF9" s="346" t="s">
        <v>38</v>
      </c>
      <c r="AG9" s="473"/>
      <c r="AH9" s="348" t="e">
        <f t="shared" si="2"/>
        <v>#N/A</v>
      </c>
      <c r="AJ9" s="319" t="s">
        <v>49</v>
      </c>
      <c r="AK9" s="372" t="e">
        <f t="shared" si="3"/>
        <v>#N/A</v>
      </c>
    </row>
    <row r="10" spans="1:38" ht="20.100000000000001" customHeight="1" x14ac:dyDescent="0.2">
      <c r="A10" s="435" t="s">
        <v>60</v>
      </c>
      <c r="B10" s="435"/>
      <c r="D10" s="353" t="str" cm="1">
        <f t="array" ref="D10">IF(ROW(8:8)&lt;=$K$23, (ROW(8:8)), "")</f>
        <v/>
      </c>
      <c r="E10" s="156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56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56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56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56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56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56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56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56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156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156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156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156" cm="1">
        <f t="array" ref="Q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R10" s="156" cm="1">
        <f t="array" ref="R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S10" s="156" cm="1">
        <f t="array" ref="S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T10" s="156" cm="1">
        <f t="array" ref="T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U10" s="156" cm="1">
        <f t="array" ref="U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V10" s="156" cm="1">
        <f t="array" ref="V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W10" s="156" cm="1">
        <f t="array" ref="W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X10" s="156" cm="1">
        <f t="array" ref="X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Y10" s="159" cm="1">
        <f t="array" ref="Y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Z10" s="160" cm="1">
        <f t="array" ref="Z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AA10" s="311">
        <f t="shared" si="0"/>
        <v>0</v>
      </c>
      <c r="AD10" s="231"/>
      <c r="AE10" s="232"/>
      <c r="AF10" s="346" t="s">
        <v>39</v>
      </c>
      <c r="AG10" s="473"/>
      <c r="AH10" s="348" t="e">
        <f t="shared" si="2"/>
        <v>#N/A</v>
      </c>
      <c r="AJ10" s="319" t="s">
        <v>50</v>
      </c>
      <c r="AK10" s="372" t="e">
        <f t="shared" si="3"/>
        <v>#N/A</v>
      </c>
    </row>
    <row r="11" spans="1:38" ht="20.100000000000001" customHeight="1" x14ac:dyDescent="0.2">
      <c r="A11" s="436"/>
      <c r="B11" s="436"/>
      <c r="D11" s="353" t="str" cm="1">
        <f t="array" ref="D11">IF(ROW(9:9)&lt;=$K$23, (ROW(9:9)), "")</f>
        <v/>
      </c>
      <c r="E11" s="156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56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56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56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56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56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56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56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56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156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156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156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156" cm="1">
        <f t="array" ref="Q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R11" s="156" cm="1">
        <f t="array" ref="R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S11" s="156" cm="1">
        <f t="array" ref="S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T11" s="156" cm="1">
        <f t="array" ref="T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U11" s="156" cm="1">
        <f t="array" ref="U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V11" s="156" cm="1">
        <f t="array" ref="V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W11" s="156" cm="1">
        <f t="array" ref="W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X11" s="156">
        <v>0</v>
      </c>
      <c r="Y11" s="159" cm="1">
        <f t="array" ref="Y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Z11" s="160" cm="1">
        <f t="array" ref="Z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AA11" s="311">
        <f t="shared" si="0"/>
        <v>0</v>
      </c>
      <c r="AD11" s="231"/>
      <c r="AE11" s="232"/>
      <c r="AF11" s="346" t="s">
        <v>40</v>
      </c>
      <c r="AG11" s="473"/>
      <c r="AH11" s="348" t="e">
        <f t="shared" si="2"/>
        <v>#N/A</v>
      </c>
      <c r="AJ11" s="319" t="s">
        <v>51</v>
      </c>
      <c r="AK11" s="372" t="e">
        <f t="shared" si="3"/>
        <v>#N/A</v>
      </c>
    </row>
    <row r="12" spans="1:38" ht="20.100000000000001" customHeight="1" thickBot="1" x14ac:dyDescent="0.25">
      <c r="A12" s="437" t="s">
        <v>61</v>
      </c>
      <c r="B12" s="437"/>
      <c r="D12" s="354" t="str" cm="1">
        <f t="array" ref="D12">IF(ROW(10:10)&lt;=$K$23, (ROW(10:10)), "")</f>
        <v/>
      </c>
      <c r="E12" s="156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56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56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56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56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56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56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56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56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156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156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156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156" cm="1">
        <f t="array" ref="Q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R12" s="156" cm="1">
        <f t="array" ref="R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S12" s="156" cm="1">
        <f t="array" ref="S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T12" s="156" cm="1">
        <f t="array" ref="T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U12" s="156" cm="1">
        <f t="array" ref="U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V12" s="156" cm="1">
        <f t="array" ref="V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W12" s="156" cm="1">
        <f t="array" ref="W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X12" s="156" cm="1">
        <f t="array" ref="X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Y12" s="175" cm="1">
        <f t="array" ref="Y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Z12" s="176" cm="1">
        <f t="array" ref="Z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AA12" s="311">
        <f t="shared" si="0"/>
        <v>0</v>
      </c>
      <c r="AD12" s="231"/>
      <c r="AE12" s="232"/>
      <c r="AF12" s="346" t="s">
        <v>41</v>
      </c>
      <c r="AG12" s="473"/>
      <c r="AH12" s="348" t="e">
        <f t="shared" si="2"/>
        <v>#N/A</v>
      </c>
      <c r="AJ12" s="319" t="s">
        <v>52</v>
      </c>
      <c r="AK12" s="372" t="e">
        <f t="shared" si="3"/>
        <v>#N/A</v>
      </c>
    </row>
    <row r="13" spans="1:38" ht="20.100000000000001" customHeight="1" thickBot="1" x14ac:dyDescent="0.3">
      <c r="A13" s="437"/>
      <c r="B13" s="437"/>
      <c r="D13" s="50" t="s">
        <v>9</v>
      </c>
      <c r="E13" s="161">
        <f t="shared" ref="E13:AA13" si="4">SUM(E3:E12)</f>
        <v>0</v>
      </c>
      <c r="F13" s="162">
        <f t="shared" si="4"/>
        <v>0</v>
      </c>
      <c r="G13" s="162">
        <f t="shared" si="4"/>
        <v>0</v>
      </c>
      <c r="H13" s="162">
        <f t="shared" si="4"/>
        <v>0</v>
      </c>
      <c r="I13" s="162">
        <f t="shared" si="4"/>
        <v>0</v>
      </c>
      <c r="J13" s="162">
        <f t="shared" si="4"/>
        <v>0</v>
      </c>
      <c r="K13" s="162">
        <f t="shared" si="4"/>
        <v>0</v>
      </c>
      <c r="L13" s="162">
        <f t="shared" si="4"/>
        <v>0</v>
      </c>
      <c r="M13" s="162">
        <f t="shared" si="4"/>
        <v>0</v>
      </c>
      <c r="N13" s="162">
        <f t="shared" si="4"/>
        <v>0</v>
      </c>
      <c r="O13" s="162">
        <f t="shared" si="4"/>
        <v>0</v>
      </c>
      <c r="P13" s="162">
        <f t="shared" si="4"/>
        <v>0</v>
      </c>
      <c r="Q13" s="162">
        <f t="shared" si="4"/>
        <v>0</v>
      </c>
      <c r="R13" s="162">
        <f t="shared" si="4"/>
        <v>0</v>
      </c>
      <c r="S13" s="162">
        <f t="shared" si="4"/>
        <v>0</v>
      </c>
      <c r="T13" s="162">
        <f t="shared" si="4"/>
        <v>0</v>
      </c>
      <c r="U13" s="162">
        <f t="shared" si="4"/>
        <v>0</v>
      </c>
      <c r="V13" s="162">
        <f t="shared" si="4"/>
        <v>0</v>
      </c>
      <c r="W13" s="162">
        <f t="shared" si="4"/>
        <v>0</v>
      </c>
      <c r="X13" s="162">
        <f t="shared" si="4"/>
        <v>0</v>
      </c>
      <c r="Y13" s="163">
        <f t="shared" si="4"/>
        <v>0</v>
      </c>
      <c r="Z13" s="164">
        <f t="shared" si="4"/>
        <v>0</v>
      </c>
      <c r="AA13" s="312">
        <f t="shared" si="4"/>
        <v>0</v>
      </c>
      <c r="AD13" s="231"/>
      <c r="AE13" s="232"/>
      <c r="AF13" s="346" t="s">
        <v>42</v>
      </c>
      <c r="AG13" s="473"/>
      <c r="AH13" s="348" t="e">
        <f t="shared" si="2"/>
        <v>#N/A</v>
      </c>
      <c r="AJ13" s="320" t="s">
        <v>53</v>
      </c>
      <c r="AK13" s="373" t="e">
        <f t="shared" si="3"/>
        <v>#N/A</v>
      </c>
    </row>
    <row r="14" spans="1:38" ht="20.100000000000001" customHeight="1" thickBot="1" x14ac:dyDescent="0.3">
      <c r="A14" s="437"/>
      <c r="B14" s="437"/>
      <c r="D14" s="83" t="s">
        <v>10</v>
      </c>
      <c r="E14" s="45">
        <f t="shared" ref="E14:AA14" si="5">IFERROR(E13/$B$7,0)</f>
        <v>0</v>
      </c>
      <c r="F14" s="46">
        <f t="shared" si="5"/>
        <v>0</v>
      </c>
      <c r="G14" s="46">
        <f t="shared" si="5"/>
        <v>0</v>
      </c>
      <c r="H14" s="46">
        <f t="shared" si="5"/>
        <v>0</v>
      </c>
      <c r="I14" s="46">
        <f t="shared" si="5"/>
        <v>0</v>
      </c>
      <c r="J14" s="46">
        <f t="shared" si="5"/>
        <v>0</v>
      </c>
      <c r="K14" s="46">
        <f t="shared" si="5"/>
        <v>0</v>
      </c>
      <c r="L14" s="46">
        <f t="shared" si="5"/>
        <v>0</v>
      </c>
      <c r="M14" s="46">
        <f t="shared" si="5"/>
        <v>0</v>
      </c>
      <c r="N14" s="46">
        <f t="shared" si="5"/>
        <v>0</v>
      </c>
      <c r="O14" s="46">
        <f t="shared" si="5"/>
        <v>0</v>
      </c>
      <c r="P14" s="46">
        <f t="shared" si="5"/>
        <v>0</v>
      </c>
      <c r="Q14" s="46">
        <f t="shared" si="5"/>
        <v>0</v>
      </c>
      <c r="R14" s="46">
        <f t="shared" si="5"/>
        <v>0</v>
      </c>
      <c r="S14" s="46">
        <f t="shared" si="5"/>
        <v>0</v>
      </c>
      <c r="T14" s="46">
        <f t="shared" si="5"/>
        <v>0</v>
      </c>
      <c r="U14" s="46">
        <f t="shared" si="5"/>
        <v>0</v>
      </c>
      <c r="V14" s="46">
        <f t="shared" si="5"/>
        <v>0</v>
      </c>
      <c r="W14" s="46">
        <f t="shared" si="5"/>
        <v>0</v>
      </c>
      <c r="X14" s="46">
        <f t="shared" si="5"/>
        <v>0</v>
      </c>
      <c r="Y14" s="45">
        <f t="shared" si="5"/>
        <v>0</v>
      </c>
      <c r="Z14" s="47">
        <f t="shared" si="5"/>
        <v>0</v>
      </c>
      <c r="AA14" s="322">
        <f t="shared" si="5"/>
        <v>0</v>
      </c>
      <c r="AF14" s="377" t="s">
        <v>43</v>
      </c>
      <c r="AG14" s="474"/>
      <c r="AH14" s="350" t="e">
        <f>IF(OR(AG14=0, AG14=""), NA(), AG14/$B$6)</f>
        <v>#N/A</v>
      </c>
      <c r="AI14" s="375"/>
      <c r="AJ14" s="379" t="s">
        <v>55</v>
      </c>
      <c r="AK14" s="374" t="e">
        <f>IF(AG14&lt;&gt;0,AG14-AG13,NA())</f>
        <v>#N/A</v>
      </c>
      <c r="AL14" s="375"/>
    </row>
    <row r="15" spans="1:38" ht="18" customHeight="1" thickBot="1" x14ac:dyDescent="0.25">
      <c r="A15" s="438" t="s">
        <v>68</v>
      </c>
      <c r="B15" s="438"/>
      <c r="C15" s="1"/>
      <c r="D15" s="1"/>
      <c r="AA15" s="321"/>
      <c r="AF15" s="317" t="s">
        <v>44</v>
      </c>
      <c r="AG15" s="475"/>
      <c r="AH15" s="376" t="e">
        <f>IF(OR(AG15=0, AG15=""), NA(), AG15/$B$6)</f>
        <v>#N/A</v>
      </c>
      <c r="AJ15" s="380" t="s">
        <v>56</v>
      </c>
      <c r="AK15" s="378" t="e">
        <f>IF(AG15&lt;&gt;0,AG15-AG14,NA())</f>
        <v>#N/A</v>
      </c>
      <c r="AL15" s="375"/>
    </row>
    <row r="16" spans="1:38" ht="12.75" customHeight="1" x14ac:dyDescent="0.2">
      <c r="A16" s="438"/>
      <c r="B16" s="438"/>
      <c r="AF16" s="321"/>
      <c r="AG16" s="321"/>
      <c r="AH16" s="321"/>
      <c r="AK16" s="321"/>
    </row>
    <row r="17" spans="1:11" ht="18" customHeight="1" x14ac:dyDescent="0.25">
      <c r="A17" s="438"/>
      <c r="B17" s="438"/>
      <c r="E17" s="230"/>
    </row>
    <row r="18" spans="1:11" ht="26.25" customHeight="1" x14ac:dyDescent="0.2">
      <c r="A18" s="438"/>
      <c r="B18" s="438"/>
    </row>
    <row r="23" spans="1:11" x14ac:dyDescent="0.2">
      <c r="H23" s="177" t="s">
        <v>64</v>
      </c>
      <c r="J23" s="245">
        <f>CEILING($B$6, 100)/100</f>
        <v>7</v>
      </c>
      <c r="K23" s="245">
        <f>CEILING($B$7,100)/100</f>
        <v>0</v>
      </c>
    </row>
    <row r="24" spans="1:11" x14ac:dyDescent="0.2">
      <c r="H24" s="178">
        <f>IF((ROW()-23)&lt;=$K$24,(ROW()-23),"Choisir")</f>
        <v>1</v>
      </c>
      <c r="J24" s="245">
        <f>MOD($B$7,100)</f>
        <v>0</v>
      </c>
      <c r="K24" s="246">
        <f>CEILING($B$6/300,1)</f>
        <v>3</v>
      </c>
    </row>
    <row r="25" spans="1:11" x14ac:dyDescent="0.2">
      <c r="H25" s="178">
        <f>IF((ROW()-23)&lt;=$K$24,(ROW()-23),"Choisir")</f>
        <v>2</v>
      </c>
    </row>
    <row r="26" spans="1:11" x14ac:dyDescent="0.2">
      <c r="H26" s="178">
        <f>IF((ROW()-23)&lt;=$K$24,(ROW()-23),"Choisir")</f>
        <v>3</v>
      </c>
    </row>
    <row r="27" spans="1:11" x14ac:dyDescent="0.2">
      <c r="H27" s="178" t="str">
        <f>IF((ROW()-23)&lt;=$K$24,(ROW()-23),"Choisir")</f>
        <v>Choisir</v>
      </c>
    </row>
    <row r="46" spans="4:27" x14ac:dyDescent="0.2">
      <c r="E46" s="169"/>
    </row>
    <row r="47" spans="4:27" ht="13.5" thickBot="1" x14ac:dyDescent="0.25">
      <c r="E47" s="169"/>
    </row>
    <row r="48" spans="4:27" ht="20.100000000000001" customHeight="1" thickBot="1" x14ac:dyDescent="0.25">
      <c r="D48" s="235" t="s">
        <v>78</v>
      </c>
      <c r="E48" s="429" t="s">
        <v>102</v>
      </c>
      <c r="F48" s="430"/>
      <c r="G48" s="430"/>
      <c r="H48" s="430"/>
      <c r="I48" s="430"/>
      <c r="J48" s="430"/>
      <c r="K48" s="430"/>
      <c r="L48" s="430"/>
      <c r="M48" s="430"/>
      <c r="N48" s="430"/>
      <c r="O48" s="430"/>
      <c r="P48" s="430"/>
      <c r="Q48" s="430"/>
      <c r="R48" s="430"/>
      <c r="S48" s="430"/>
      <c r="T48" s="430"/>
      <c r="U48" s="430"/>
      <c r="V48" s="430"/>
      <c r="W48" s="430"/>
      <c r="X48" s="430"/>
      <c r="Y48" s="430"/>
      <c r="Z48" s="431"/>
      <c r="AA48" s="381" t="s">
        <v>7</v>
      </c>
    </row>
    <row r="49" spans="3:27" ht="47.25" customHeight="1" thickBot="1" x14ac:dyDescent="0.25">
      <c r="C49" s="233"/>
      <c r="D49" s="359" t="s">
        <v>81</v>
      </c>
      <c r="E49" s="455" t="s">
        <v>69</v>
      </c>
      <c r="F49" s="399" t="s">
        <v>99</v>
      </c>
      <c r="G49" s="395" t="s">
        <v>70</v>
      </c>
      <c r="H49" s="456" t="s">
        <v>71</v>
      </c>
      <c r="I49" s="457" t="s">
        <v>72</v>
      </c>
      <c r="J49" s="458" t="s">
        <v>73</v>
      </c>
      <c r="K49" s="459" t="s">
        <v>74</v>
      </c>
      <c r="L49" s="398" t="s">
        <v>75</v>
      </c>
      <c r="M49" s="460" t="s">
        <v>76</v>
      </c>
      <c r="N49" s="461" t="s">
        <v>77</v>
      </c>
      <c r="O49" s="400" t="s">
        <v>105</v>
      </c>
      <c r="P49" s="462" t="s">
        <v>106</v>
      </c>
      <c r="Q49" s="396" t="s">
        <v>107</v>
      </c>
      <c r="R49" s="463" t="s">
        <v>108</v>
      </c>
      <c r="S49" s="464" t="s">
        <v>109</v>
      </c>
      <c r="T49" s="465" t="s">
        <v>110</v>
      </c>
      <c r="U49" s="466" t="s">
        <v>111</v>
      </c>
      <c r="V49" s="397" t="s">
        <v>112</v>
      </c>
      <c r="W49" s="467" t="s">
        <v>113</v>
      </c>
      <c r="X49" s="468" t="s">
        <v>114</v>
      </c>
      <c r="Y49" s="471" t="s">
        <v>3</v>
      </c>
      <c r="Z49" s="472" t="s">
        <v>4</v>
      </c>
      <c r="AA49" s="383" t="s">
        <v>103</v>
      </c>
    </row>
    <row r="50" spans="3:27" ht="19.5" customHeight="1" x14ac:dyDescent="0.2">
      <c r="C50" s="234"/>
      <c r="D50" s="358" t="s">
        <v>80</v>
      </c>
      <c r="E50" s="313"/>
      <c r="F50" s="314"/>
      <c r="G50" s="314"/>
      <c r="H50" s="314"/>
      <c r="I50" s="314"/>
      <c r="J50" s="314"/>
      <c r="K50" s="314"/>
      <c r="L50" s="314"/>
      <c r="M50" s="314"/>
      <c r="N50" s="314"/>
      <c r="O50" s="314"/>
      <c r="P50" s="314"/>
      <c r="Q50" s="314"/>
      <c r="R50" s="314"/>
      <c r="S50" s="314"/>
      <c r="T50" s="314"/>
      <c r="U50" s="314"/>
      <c r="V50" s="314"/>
      <c r="W50" s="314"/>
      <c r="X50" s="315"/>
      <c r="Y50" s="316"/>
      <c r="Z50" s="315"/>
      <c r="AA50" s="382">
        <f t="shared" ref="AA50:AA59" si="6">SUM(E50:Z50)</f>
        <v>0</v>
      </c>
    </row>
    <row r="51" spans="3:27" ht="20.100000000000001" customHeight="1" x14ac:dyDescent="0.2">
      <c r="C51" s="234"/>
      <c r="D51" s="358" t="s">
        <v>80</v>
      </c>
      <c r="E51" s="313"/>
      <c r="F51" s="314"/>
      <c r="G51" s="314"/>
      <c r="H51" s="314"/>
      <c r="I51" s="314"/>
      <c r="J51" s="314"/>
      <c r="K51" s="314"/>
      <c r="L51" s="314"/>
      <c r="M51" s="314"/>
      <c r="N51" s="314"/>
      <c r="O51" s="314"/>
      <c r="P51" s="314"/>
      <c r="Q51" s="314"/>
      <c r="R51" s="314"/>
      <c r="S51" s="314"/>
      <c r="T51" s="314"/>
      <c r="U51" s="314"/>
      <c r="V51" s="314"/>
      <c r="W51" s="314"/>
      <c r="X51" s="315"/>
      <c r="Y51" s="316"/>
      <c r="Z51" s="315"/>
      <c r="AA51" s="382">
        <f t="shared" si="6"/>
        <v>0</v>
      </c>
    </row>
    <row r="52" spans="3:27" ht="20.100000000000001" customHeight="1" x14ac:dyDescent="0.2">
      <c r="C52" s="234"/>
      <c r="D52" s="358" t="s">
        <v>80</v>
      </c>
      <c r="E52" s="313"/>
      <c r="F52" s="314"/>
      <c r="G52" s="314"/>
      <c r="H52" s="314"/>
      <c r="I52" s="314"/>
      <c r="J52" s="314"/>
      <c r="K52" s="314"/>
      <c r="L52" s="314"/>
      <c r="M52" s="314"/>
      <c r="N52" s="314"/>
      <c r="O52" s="314"/>
      <c r="P52" s="314"/>
      <c r="Q52" s="314"/>
      <c r="R52" s="314"/>
      <c r="S52" s="314"/>
      <c r="T52" s="314"/>
      <c r="U52" s="314"/>
      <c r="V52" s="314"/>
      <c r="W52" s="314"/>
      <c r="X52" s="315"/>
      <c r="Y52" s="316"/>
      <c r="Z52" s="315"/>
      <c r="AA52" s="382">
        <f t="shared" si="6"/>
        <v>0</v>
      </c>
    </row>
    <row r="53" spans="3:27" ht="20.100000000000001" customHeight="1" x14ac:dyDescent="0.2">
      <c r="C53" s="234"/>
      <c r="D53" s="358" t="s">
        <v>80</v>
      </c>
      <c r="E53" s="313"/>
      <c r="F53" s="314"/>
      <c r="G53" s="314"/>
      <c r="H53" s="314"/>
      <c r="I53" s="314"/>
      <c r="J53" s="314"/>
      <c r="K53" s="314"/>
      <c r="L53" s="314"/>
      <c r="M53" s="314"/>
      <c r="N53" s="314"/>
      <c r="O53" s="314"/>
      <c r="P53" s="314"/>
      <c r="Q53" s="314"/>
      <c r="R53" s="314"/>
      <c r="S53" s="314"/>
      <c r="T53" s="314"/>
      <c r="U53" s="314"/>
      <c r="V53" s="314"/>
      <c r="W53" s="314"/>
      <c r="X53" s="315"/>
      <c r="Y53" s="316"/>
      <c r="Z53" s="315"/>
      <c r="AA53" s="382">
        <f t="shared" si="6"/>
        <v>0</v>
      </c>
    </row>
    <row r="54" spans="3:27" ht="20.100000000000001" customHeight="1" x14ac:dyDescent="0.2">
      <c r="C54" s="234"/>
      <c r="D54" s="358" t="s">
        <v>80</v>
      </c>
      <c r="E54" s="313"/>
      <c r="F54" s="314"/>
      <c r="G54" s="314"/>
      <c r="H54" s="314"/>
      <c r="I54" s="314"/>
      <c r="J54" s="314"/>
      <c r="K54" s="314"/>
      <c r="L54" s="314"/>
      <c r="M54" s="314"/>
      <c r="N54" s="314"/>
      <c r="O54" s="314"/>
      <c r="P54" s="314"/>
      <c r="Q54" s="314"/>
      <c r="R54" s="314"/>
      <c r="S54" s="314"/>
      <c r="T54" s="314"/>
      <c r="U54" s="314"/>
      <c r="V54" s="314"/>
      <c r="W54" s="314"/>
      <c r="X54" s="315"/>
      <c r="Y54" s="316"/>
      <c r="Z54" s="315"/>
      <c r="AA54" s="382">
        <f t="shared" si="6"/>
        <v>0</v>
      </c>
    </row>
    <row r="55" spans="3:27" ht="20.100000000000001" customHeight="1" x14ac:dyDescent="0.2">
      <c r="C55" s="234"/>
      <c r="D55" s="358" t="s">
        <v>80</v>
      </c>
      <c r="E55" s="313"/>
      <c r="F55" s="314"/>
      <c r="G55" s="314"/>
      <c r="H55" s="314"/>
      <c r="I55" s="314"/>
      <c r="J55" s="314"/>
      <c r="K55" s="314"/>
      <c r="L55" s="314"/>
      <c r="M55" s="314"/>
      <c r="N55" s="314"/>
      <c r="O55" s="314"/>
      <c r="P55" s="314"/>
      <c r="Q55" s="314"/>
      <c r="R55" s="314"/>
      <c r="S55" s="314"/>
      <c r="T55" s="314"/>
      <c r="U55" s="314"/>
      <c r="V55" s="314"/>
      <c r="W55" s="314"/>
      <c r="X55" s="315"/>
      <c r="Y55" s="316"/>
      <c r="Z55" s="315"/>
      <c r="AA55" s="382">
        <f t="shared" si="6"/>
        <v>0</v>
      </c>
    </row>
    <row r="56" spans="3:27" ht="20.100000000000001" customHeight="1" x14ac:dyDescent="0.2">
      <c r="C56" s="234"/>
      <c r="D56" s="358" t="s">
        <v>80</v>
      </c>
      <c r="E56" s="313"/>
      <c r="F56" s="314"/>
      <c r="G56" s="314"/>
      <c r="H56" s="314"/>
      <c r="I56" s="314"/>
      <c r="J56" s="314"/>
      <c r="K56" s="314"/>
      <c r="L56" s="314"/>
      <c r="M56" s="314"/>
      <c r="N56" s="314"/>
      <c r="O56" s="314"/>
      <c r="P56" s="314"/>
      <c r="Q56" s="314"/>
      <c r="R56" s="314"/>
      <c r="S56" s="314"/>
      <c r="T56" s="314"/>
      <c r="U56" s="314"/>
      <c r="V56" s="314"/>
      <c r="W56" s="314"/>
      <c r="X56" s="315"/>
      <c r="Y56" s="316"/>
      <c r="Z56" s="315"/>
      <c r="AA56" s="382">
        <f t="shared" si="6"/>
        <v>0</v>
      </c>
    </row>
    <row r="57" spans="3:27" ht="20.100000000000001" customHeight="1" x14ac:dyDescent="0.2">
      <c r="C57" s="234"/>
      <c r="D57" s="358" t="s">
        <v>80</v>
      </c>
      <c r="E57" s="313"/>
      <c r="F57" s="314"/>
      <c r="G57" s="314"/>
      <c r="H57" s="314"/>
      <c r="I57" s="314"/>
      <c r="J57" s="314"/>
      <c r="K57" s="314"/>
      <c r="L57" s="314"/>
      <c r="M57" s="314"/>
      <c r="N57" s="314"/>
      <c r="O57" s="314"/>
      <c r="P57" s="314"/>
      <c r="Q57" s="314"/>
      <c r="R57" s="314"/>
      <c r="S57" s="314"/>
      <c r="T57" s="314"/>
      <c r="U57" s="314"/>
      <c r="V57" s="314"/>
      <c r="W57" s="314"/>
      <c r="X57" s="315"/>
      <c r="Y57" s="316"/>
      <c r="Z57" s="315"/>
      <c r="AA57" s="382">
        <f t="shared" si="6"/>
        <v>0</v>
      </c>
    </row>
    <row r="58" spans="3:27" ht="20.100000000000001" customHeight="1" x14ac:dyDescent="0.2">
      <c r="C58" s="234"/>
      <c r="D58" s="358" t="s">
        <v>80</v>
      </c>
      <c r="E58" s="313"/>
      <c r="F58" s="314"/>
      <c r="G58" s="314"/>
      <c r="H58" s="314"/>
      <c r="I58" s="314"/>
      <c r="J58" s="314"/>
      <c r="K58" s="314"/>
      <c r="L58" s="314"/>
      <c r="M58" s="314"/>
      <c r="N58" s="314"/>
      <c r="O58" s="314"/>
      <c r="P58" s="314"/>
      <c r="Q58" s="314"/>
      <c r="R58" s="314"/>
      <c r="S58" s="314"/>
      <c r="T58" s="314"/>
      <c r="U58" s="314"/>
      <c r="V58" s="314"/>
      <c r="W58" s="314"/>
      <c r="X58" s="315"/>
      <c r="Y58" s="316"/>
      <c r="Z58" s="315"/>
      <c r="AA58" s="382">
        <f t="shared" si="6"/>
        <v>0</v>
      </c>
    </row>
    <row r="59" spans="3:27" ht="20.100000000000001" customHeight="1" thickBot="1" x14ac:dyDescent="0.25">
      <c r="C59" s="234"/>
      <c r="D59" s="362" t="s">
        <v>80</v>
      </c>
      <c r="E59" s="363"/>
      <c r="F59" s="364"/>
      <c r="G59" s="364"/>
      <c r="H59" s="364"/>
      <c r="I59" s="364"/>
      <c r="J59" s="364"/>
      <c r="K59" s="364"/>
      <c r="L59" s="364"/>
      <c r="M59" s="364"/>
      <c r="N59" s="364"/>
      <c r="O59" s="364"/>
      <c r="P59" s="364"/>
      <c r="Q59" s="364"/>
      <c r="R59" s="364"/>
      <c r="S59" s="364"/>
      <c r="T59" s="364"/>
      <c r="U59" s="364"/>
      <c r="V59" s="364"/>
      <c r="W59" s="364"/>
      <c r="X59" s="365"/>
      <c r="Y59" s="366"/>
      <c r="Z59" s="365"/>
      <c r="AA59" s="382">
        <f t="shared" si="6"/>
        <v>0</v>
      </c>
    </row>
    <row r="60" spans="3:27" x14ac:dyDescent="0.2">
      <c r="AA60" s="321"/>
    </row>
    <row r="63" spans="3:27" ht="18" x14ac:dyDescent="0.25">
      <c r="E63" s="230"/>
    </row>
    <row r="65" spans="4:27" ht="13.5" thickBot="1" x14ac:dyDescent="0.25"/>
    <row r="66" spans="4:27" ht="16.5" customHeight="1" thickBot="1" x14ac:dyDescent="0.25">
      <c r="D66" s="235" t="s">
        <v>79</v>
      </c>
      <c r="E66" s="429" t="s">
        <v>101</v>
      </c>
      <c r="F66" s="430"/>
      <c r="G66" s="430"/>
      <c r="H66" s="430"/>
      <c r="I66" s="430"/>
      <c r="J66" s="430"/>
      <c r="K66" s="430"/>
      <c r="L66" s="430"/>
      <c r="M66" s="430"/>
      <c r="N66" s="430"/>
      <c r="O66" s="430"/>
      <c r="P66" s="430"/>
      <c r="Q66" s="430"/>
      <c r="R66" s="430"/>
      <c r="S66" s="430"/>
      <c r="T66" s="430"/>
      <c r="U66" s="430"/>
      <c r="V66" s="430"/>
      <c r="W66" s="430"/>
      <c r="X66" s="430"/>
      <c r="Y66" s="430"/>
      <c r="Z66" s="431"/>
      <c r="AA66" s="381" t="s">
        <v>7</v>
      </c>
    </row>
    <row r="67" spans="4:27" ht="42" customHeight="1" thickBot="1" x14ac:dyDescent="0.25">
      <c r="D67" s="359" t="s">
        <v>81</v>
      </c>
      <c r="E67" s="455" t="s">
        <v>69</v>
      </c>
      <c r="F67" s="399" t="s">
        <v>99</v>
      </c>
      <c r="G67" s="395" t="s">
        <v>70</v>
      </c>
      <c r="H67" s="456" t="s">
        <v>71</v>
      </c>
      <c r="I67" s="457" t="s">
        <v>72</v>
      </c>
      <c r="J67" s="458" t="s">
        <v>73</v>
      </c>
      <c r="K67" s="459" t="s">
        <v>74</v>
      </c>
      <c r="L67" s="398" t="s">
        <v>75</v>
      </c>
      <c r="M67" s="460" t="s">
        <v>76</v>
      </c>
      <c r="N67" s="461" t="s">
        <v>77</v>
      </c>
      <c r="O67" s="400" t="s">
        <v>105</v>
      </c>
      <c r="P67" s="462" t="s">
        <v>106</v>
      </c>
      <c r="Q67" s="396" t="s">
        <v>107</v>
      </c>
      <c r="R67" s="463" t="s">
        <v>108</v>
      </c>
      <c r="S67" s="464" t="s">
        <v>109</v>
      </c>
      <c r="T67" s="465" t="s">
        <v>110</v>
      </c>
      <c r="U67" s="466" t="s">
        <v>111</v>
      </c>
      <c r="V67" s="397" t="s">
        <v>112</v>
      </c>
      <c r="W67" s="467" t="s">
        <v>113</v>
      </c>
      <c r="X67" s="468" t="s">
        <v>114</v>
      </c>
      <c r="Y67" s="471" t="s">
        <v>3</v>
      </c>
      <c r="Z67" s="472" t="s">
        <v>4</v>
      </c>
      <c r="AA67" s="388" t="s">
        <v>103</v>
      </c>
    </row>
    <row r="68" spans="4:27" ht="20.100000000000001" customHeight="1" x14ac:dyDescent="0.2">
      <c r="D68" s="244" t="s">
        <v>80</v>
      </c>
      <c r="E68" s="237"/>
      <c r="F68" s="238"/>
      <c r="G68" s="238"/>
      <c r="H68" s="238"/>
      <c r="I68" s="238"/>
      <c r="J68" s="238"/>
      <c r="K68" s="238"/>
      <c r="L68" s="238"/>
      <c r="M68" s="238"/>
      <c r="N68" s="238"/>
      <c r="O68" s="238"/>
      <c r="P68" s="238"/>
      <c r="Q68" s="238"/>
      <c r="R68" s="238"/>
      <c r="S68" s="238"/>
      <c r="T68" s="238"/>
      <c r="U68" s="238"/>
      <c r="V68" s="238"/>
      <c r="W68" s="238"/>
      <c r="X68" s="239"/>
      <c r="Y68" s="240"/>
      <c r="Z68" s="239"/>
      <c r="AA68" s="385">
        <f t="shared" ref="AA68:AA72" si="7">SUM(E68:Z68)</f>
        <v>0</v>
      </c>
    </row>
    <row r="69" spans="4:27" ht="20.100000000000001" customHeight="1" x14ac:dyDescent="0.2">
      <c r="D69" s="242" t="s">
        <v>80</v>
      </c>
      <c r="E69" s="179"/>
      <c r="F69" s="180"/>
      <c r="G69" s="180"/>
      <c r="H69" s="180"/>
      <c r="I69" s="180"/>
      <c r="J69" s="180"/>
      <c r="K69" s="180"/>
      <c r="L69" s="180"/>
      <c r="M69" s="180"/>
      <c r="N69" s="180"/>
      <c r="O69" s="180"/>
      <c r="P69" s="180"/>
      <c r="Q69" s="180"/>
      <c r="R69" s="180"/>
      <c r="S69" s="180"/>
      <c r="T69" s="180"/>
      <c r="U69" s="180"/>
      <c r="V69" s="180"/>
      <c r="W69" s="180"/>
      <c r="X69" s="181"/>
      <c r="Y69" s="182"/>
      <c r="Z69" s="181"/>
      <c r="AA69" s="311">
        <f t="shared" si="7"/>
        <v>0</v>
      </c>
    </row>
    <row r="70" spans="4:27" ht="20.100000000000001" customHeight="1" x14ac:dyDescent="0.2">
      <c r="D70" s="242" t="s">
        <v>80</v>
      </c>
      <c r="E70" s="179"/>
      <c r="F70" s="180"/>
      <c r="G70" s="180"/>
      <c r="H70" s="180"/>
      <c r="I70" s="180"/>
      <c r="J70" s="180"/>
      <c r="K70" s="180"/>
      <c r="L70" s="180"/>
      <c r="M70" s="180"/>
      <c r="N70" s="180"/>
      <c r="O70" s="180"/>
      <c r="P70" s="180"/>
      <c r="Q70" s="180"/>
      <c r="R70" s="180"/>
      <c r="S70" s="180"/>
      <c r="T70" s="180"/>
      <c r="U70" s="180"/>
      <c r="V70" s="180"/>
      <c r="W70" s="180"/>
      <c r="X70" s="181"/>
      <c r="Y70" s="182"/>
      <c r="Z70" s="181"/>
      <c r="AA70" s="311">
        <f t="shared" si="7"/>
        <v>0</v>
      </c>
    </row>
    <row r="71" spans="4:27" ht="20.100000000000001" customHeight="1" x14ac:dyDescent="0.2">
      <c r="D71" s="242" t="s">
        <v>80</v>
      </c>
      <c r="E71" s="179"/>
      <c r="F71" s="180"/>
      <c r="G71" s="180"/>
      <c r="H71" s="180"/>
      <c r="I71" s="180"/>
      <c r="J71" s="180"/>
      <c r="K71" s="180"/>
      <c r="L71" s="180"/>
      <c r="M71" s="180"/>
      <c r="N71" s="180"/>
      <c r="O71" s="180"/>
      <c r="P71" s="180"/>
      <c r="Q71" s="180"/>
      <c r="R71" s="180"/>
      <c r="S71" s="180"/>
      <c r="T71" s="180"/>
      <c r="U71" s="180"/>
      <c r="V71" s="180"/>
      <c r="W71" s="180"/>
      <c r="X71" s="181"/>
      <c r="Y71" s="182"/>
      <c r="Z71" s="181"/>
      <c r="AA71" s="311">
        <f t="shared" si="7"/>
        <v>0</v>
      </c>
    </row>
    <row r="72" spans="4:27" ht="20.100000000000001" customHeight="1" thickBot="1" x14ac:dyDescent="0.25">
      <c r="D72" s="243" t="s">
        <v>80</v>
      </c>
      <c r="E72" s="183"/>
      <c r="F72" s="184"/>
      <c r="G72" s="184"/>
      <c r="H72" s="184"/>
      <c r="I72" s="184"/>
      <c r="J72" s="184"/>
      <c r="K72" s="184"/>
      <c r="L72" s="184"/>
      <c r="M72" s="184"/>
      <c r="N72" s="184"/>
      <c r="O72" s="184"/>
      <c r="P72" s="184"/>
      <c r="Q72" s="184"/>
      <c r="R72" s="184"/>
      <c r="S72" s="184"/>
      <c r="T72" s="184"/>
      <c r="U72" s="184"/>
      <c r="V72" s="184"/>
      <c r="W72" s="184"/>
      <c r="X72" s="185"/>
      <c r="Y72" s="186"/>
      <c r="Z72" s="185"/>
      <c r="AA72" s="386">
        <f t="shared" si="7"/>
        <v>0</v>
      </c>
    </row>
    <row r="73" spans="4:27" ht="20.100000000000001" customHeight="1" x14ac:dyDescent="0.2">
      <c r="D73" s="236"/>
      <c r="E73" s="234"/>
      <c r="F73" s="234"/>
      <c r="G73" s="234"/>
      <c r="H73" s="234"/>
      <c r="I73" s="234"/>
      <c r="J73" s="234"/>
      <c r="K73" s="234"/>
      <c r="L73" s="234"/>
      <c r="M73" s="234"/>
      <c r="N73" s="234"/>
      <c r="O73" s="234"/>
      <c r="P73" s="234"/>
      <c r="Q73" s="234"/>
      <c r="R73" s="234"/>
      <c r="S73" s="234"/>
      <c r="T73" s="234"/>
      <c r="U73" s="234"/>
      <c r="V73" s="234"/>
      <c r="W73" s="234"/>
      <c r="X73" s="234"/>
      <c r="Y73" s="234"/>
      <c r="Z73" s="234"/>
    </row>
    <row r="74" spans="4:27" ht="20.100000000000001" customHeight="1" x14ac:dyDescent="0.2">
      <c r="D74" s="236"/>
      <c r="E74" s="234"/>
      <c r="F74" s="234"/>
      <c r="G74" s="234"/>
      <c r="H74" s="234"/>
      <c r="I74" s="234"/>
      <c r="J74" s="234"/>
      <c r="K74" s="234"/>
      <c r="L74" s="234"/>
      <c r="M74" s="234"/>
      <c r="N74" s="234"/>
      <c r="O74" s="234"/>
      <c r="P74" s="234"/>
      <c r="Q74" s="234"/>
      <c r="R74" s="234"/>
      <c r="S74" s="234"/>
      <c r="T74" s="234"/>
      <c r="U74" s="234"/>
      <c r="V74" s="234"/>
      <c r="W74" s="234"/>
      <c r="X74" s="234"/>
      <c r="Y74" s="234"/>
      <c r="Z74" s="234"/>
    </row>
    <row r="75" spans="4:27" ht="20.100000000000001" customHeight="1" thickBot="1" x14ac:dyDescent="0.25">
      <c r="D75" s="236"/>
      <c r="E75" s="234"/>
      <c r="F75" s="234"/>
      <c r="G75" s="234"/>
      <c r="H75" s="234"/>
      <c r="I75" s="234"/>
      <c r="J75" s="234"/>
      <c r="K75" s="234"/>
      <c r="L75" s="234"/>
      <c r="M75" s="234"/>
      <c r="N75" s="234"/>
      <c r="O75" s="234"/>
      <c r="P75" s="234"/>
      <c r="Q75" s="234"/>
      <c r="R75" s="234"/>
      <c r="S75" s="234"/>
      <c r="T75" s="234"/>
      <c r="U75" s="234"/>
      <c r="V75" s="234"/>
      <c r="W75" s="234"/>
      <c r="X75" s="234"/>
      <c r="Y75" s="234"/>
      <c r="Z75" s="234"/>
    </row>
    <row r="76" spans="4:27" ht="20.100000000000001" customHeight="1" thickBot="1" x14ac:dyDescent="0.25">
      <c r="D76" s="235" t="s">
        <v>83</v>
      </c>
      <c r="E76" s="429" t="s">
        <v>100</v>
      </c>
      <c r="F76" s="430"/>
      <c r="G76" s="430"/>
      <c r="H76" s="430"/>
      <c r="I76" s="430"/>
      <c r="J76" s="430"/>
      <c r="K76" s="430"/>
      <c r="L76" s="430"/>
      <c r="M76" s="430"/>
      <c r="N76" s="430"/>
      <c r="O76" s="430"/>
      <c r="P76" s="430"/>
      <c r="Q76" s="430"/>
      <c r="R76" s="430"/>
      <c r="S76" s="430"/>
      <c r="T76" s="430"/>
      <c r="U76" s="430"/>
      <c r="V76" s="430"/>
      <c r="W76" s="430"/>
      <c r="X76" s="430"/>
      <c r="Y76" s="430"/>
      <c r="Z76" s="431"/>
      <c r="AA76" s="387" t="s">
        <v>7</v>
      </c>
    </row>
    <row r="77" spans="4:27" ht="39.75" customHeight="1" thickBot="1" x14ac:dyDescent="0.25">
      <c r="D77" s="359" t="s">
        <v>81</v>
      </c>
      <c r="E77" s="455" t="s">
        <v>69</v>
      </c>
      <c r="F77" s="399" t="s">
        <v>99</v>
      </c>
      <c r="G77" s="395" t="s">
        <v>70</v>
      </c>
      <c r="H77" s="456" t="s">
        <v>71</v>
      </c>
      <c r="I77" s="457" t="s">
        <v>72</v>
      </c>
      <c r="J77" s="458" t="s">
        <v>73</v>
      </c>
      <c r="K77" s="459" t="s">
        <v>74</v>
      </c>
      <c r="L77" s="398" t="s">
        <v>75</v>
      </c>
      <c r="M77" s="460" t="s">
        <v>76</v>
      </c>
      <c r="N77" s="461" t="s">
        <v>77</v>
      </c>
      <c r="O77" s="400" t="s">
        <v>105</v>
      </c>
      <c r="P77" s="462" t="s">
        <v>106</v>
      </c>
      <c r="Q77" s="396" t="s">
        <v>107</v>
      </c>
      <c r="R77" s="463" t="s">
        <v>108</v>
      </c>
      <c r="S77" s="464" t="s">
        <v>109</v>
      </c>
      <c r="T77" s="465" t="s">
        <v>110</v>
      </c>
      <c r="U77" s="466" t="s">
        <v>111</v>
      </c>
      <c r="V77" s="397" t="s">
        <v>112</v>
      </c>
      <c r="W77" s="467" t="s">
        <v>113</v>
      </c>
      <c r="X77" s="468" t="s">
        <v>114</v>
      </c>
      <c r="Y77" s="471" t="s">
        <v>3</v>
      </c>
      <c r="Z77" s="472" t="s">
        <v>4</v>
      </c>
      <c r="AA77" s="384" t="s">
        <v>103</v>
      </c>
    </row>
    <row r="78" spans="4:27" ht="20.100000000000001" customHeight="1" x14ac:dyDescent="0.2">
      <c r="D78" s="244" t="s">
        <v>80</v>
      </c>
      <c r="E78" s="237"/>
      <c r="F78" s="238"/>
      <c r="G78" s="238"/>
      <c r="H78" s="238"/>
      <c r="I78" s="238"/>
      <c r="J78" s="238"/>
      <c r="K78" s="238"/>
      <c r="L78" s="238"/>
      <c r="M78" s="238"/>
      <c r="N78" s="238"/>
      <c r="O78" s="238"/>
      <c r="P78" s="238"/>
      <c r="Q78" s="238"/>
      <c r="R78" s="238"/>
      <c r="S78" s="238"/>
      <c r="T78" s="238"/>
      <c r="U78" s="238"/>
      <c r="V78" s="238"/>
      <c r="W78" s="238"/>
      <c r="X78" s="239"/>
      <c r="Y78" s="240"/>
      <c r="Z78" s="239"/>
      <c r="AA78" s="385">
        <f t="shared" ref="AA78:AA80" si="8">SUM(E78:Z78)</f>
        <v>0</v>
      </c>
    </row>
    <row r="79" spans="4:27" ht="20.100000000000001" customHeight="1" x14ac:dyDescent="0.2">
      <c r="D79" s="242" t="s">
        <v>80</v>
      </c>
      <c r="E79" s="179"/>
      <c r="F79" s="180"/>
      <c r="G79" s="180"/>
      <c r="H79" s="180"/>
      <c r="I79" s="180"/>
      <c r="J79" s="180"/>
      <c r="K79" s="180"/>
      <c r="L79" s="180"/>
      <c r="M79" s="180"/>
      <c r="N79" s="180"/>
      <c r="O79" s="180"/>
      <c r="P79" s="180"/>
      <c r="Q79" s="180"/>
      <c r="R79" s="180"/>
      <c r="S79" s="180"/>
      <c r="T79" s="180"/>
      <c r="U79" s="180"/>
      <c r="V79" s="180"/>
      <c r="W79" s="180"/>
      <c r="X79" s="181"/>
      <c r="Y79" s="182"/>
      <c r="Z79" s="181"/>
      <c r="AA79" s="311">
        <f t="shared" si="8"/>
        <v>0</v>
      </c>
    </row>
    <row r="80" spans="4:27" ht="20.100000000000001" customHeight="1" thickBot="1" x14ac:dyDescent="0.25">
      <c r="D80" s="243" t="s">
        <v>80</v>
      </c>
      <c r="E80" s="183"/>
      <c r="F80" s="184"/>
      <c r="G80" s="184"/>
      <c r="H80" s="184"/>
      <c r="I80" s="184"/>
      <c r="J80" s="184"/>
      <c r="K80" s="184"/>
      <c r="L80" s="184"/>
      <c r="M80" s="184"/>
      <c r="N80" s="184"/>
      <c r="O80" s="184"/>
      <c r="P80" s="184"/>
      <c r="Q80" s="184"/>
      <c r="R80" s="184"/>
      <c r="S80" s="184"/>
      <c r="T80" s="184"/>
      <c r="U80" s="184"/>
      <c r="V80" s="184"/>
      <c r="W80" s="184"/>
      <c r="X80" s="185"/>
      <c r="Y80" s="186"/>
      <c r="Z80" s="185"/>
      <c r="AA80" s="386">
        <f t="shared" si="8"/>
        <v>0</v>
      </c>
    </row>
    <row r="81" spans="4:27" ht="20.100000000000001" customHeight="1" x14ac:dyDescent="0.2">
      <c r="D81" s="236"/>
      <c r="E81" s="234"/>
      <c r="F81" s="234"/>
      <c r="G81" s="234"/>
      <c r="H81" s="234"/>
      <c r="I81" s="234"/>
      <c r="J81" s="234"/>
      <c r="K81" s="234"/>
      <c r="L81" s="234"/>
      <c r="M81" s="234"/>
      <c r="N81" s="234"/>
      <c r="O81" s="234"/>
      <c r="P81" s="234"/>
      <c r="Q81" s="234"/>
      <c r="R81" s="234"/>
      <c r="S81" s="234"/>
      <c r="T81" s="234"/>
      <c r="U81" s="234"/>
      <c r="V81" s="234"/>
      <c r="W81" s="234"/>
      <c r="X81" s="234"/>
      <c r="Y81" s="234"/>
      <c r="Z81" s="234"/>
      <c r="AA81" s="241"/>
    </row>
    <row r="82" spans="4:27" ht="20.100000000000001" customHeight="1" x14ac:dyDescent="0.2">
      <c r="D82" s="236"/>
      <c r="E82" s="234"/>
      <c r="F82" s="234"/>
      <c r="G82" s="234"/>
      <c r="H82" s="234"/>
      <c r="I82" s="234"/>
      <c r="J82" s="234"/>
      <c r="K82" s="234"/>
      <c r="L82" s="234"/>
      <c r="M82" s="234"/>
      <c r="N82" s="234"/>
      <c r="O82" s="234"/>
      <c r="P82" s="234"/>
      <c r="Q82" s="234"/>
      <c r="R82" s="234"/>
      <c r="S82" s="234"/>
      <c r="T82" s="234"/>
      <c r="U82" s="234"/>
      <c r="V82" s="234"/>
      <c r="W82" s="234"/>
      <c r="X82" s="234"/>
      <c r="Y82" s="234"/>
      <c r="Z82" s="234"/>
      <c r="AA82" s="241"/>
    </row>
  </sheetData>
  <sheetProtection algorithmName="SHA-512" hashValue="dedubSI86m00D26Dif1Fn2At6b1YUc7N7+AjtB85Uh5csG3VsUedy+f0CMlxZKb9uP5VSg8hRPw9jcfWdJFKdg==" saltValue="yTPo1tph+Kqbx/iQ8xkHog==" spinCount="100000" sheet="1" objects="1" scenarios="1"/>
  <mergeCells count="7">
    <mergeCell ref="E76:Z76"/>
    <mergeCell ref="E1:Z1"/>
    <mergeCell ref="A10:B11"/>
    <mergeCell ref="A12:B14"/>
    <mergeCell ref="A15:B18"/>
    <mergeCell ref="E48:Z48"/>
    <mergeCell ref="E66:Z66"/>
  </mergeCells>
  <conditionalFormatting sqref="B8">
    <cfRule type="cellIs" dxfId="216" priority="5" operator="notEqual">
      <formula>$B$7</formula>
    </cfRule>
  </conditionalFormatting>
  <conditionalFormatting sqref="E3:AA12">
    <cfRule type="cellIs" dxfId="215" priority="4" operator="notBetween">
      <formula>0</formula>
      <formula>100</formula>
    </cfRule>
  </conditionalFormatting>
  <conditionalFormatting sqref="E3:AA14">
    <cfRule type="cellIs" dxfId="214" priority="7" operator="lessThan">
      <formula>0</formula>
    </cfRule>
  </conditionalFormatting>
  <conditionalFormatting sqref="E14:AA14">
    <cfRule type="cellIs" dxfId="213" priority="10" operator="greaterThan">
      <formula>1</formula>
    </cfRule>
  </conditionalFormatting>
  <conditionalFormatting sqref="AA3:AA13">
    <cfRule type="cellIs" dxfId="212" priority="8" operator="equal">
      <formula>0</formula>
    </cfRule>
  </conditionalFormatting>
  <conditionalFormatting sqref="AA13">
    <cfRule type="cellIs" dxfId="211" priority="12" operator="equal">
      <formula>$B$7</formula>
    </cfRule>
  </conditionalFormatting>
  <conditionalFormatting sqref="AA14">
    <cfRule type="cellIs" dxfId="210" priority="9" operator="equal">
      <formula>1</formula>
    </cfRule>
    <cfRule type="cellIs" dxfId="209" priority="11" operator="lessThan">
      <formula>1</formula>
    </cfRule>
  </conditionalFormatting>
  <conditionalFormatting sqref="AG4:AG15">
    <cfRule type="expression" dxfId="208" priority="13">
      <formula>AND($AG4&lt;$AG3, NOT(ISBLANK($AG4)))</formula>
    </cfRule>
    <cfRule type="cellIs" dxfId="207" priority="14" operator="greaterThan">
      <formula>$B$6</formula>
    </cfRule>
  </conditionalFormatting>
  <conditionalFormatting sqref="AH4:AH15">
    <cfRule type="cellIs" dxfId="206" priority="6" operator="greaterThan">
      <formula>1</formula>
    </cfRule>
  </conditionalFormatting>
  <conditionalFormatting sqref="D68:D72 D50:D59 D78:D80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3:Z12">
    <cfRule type="expression" dxfId="205" priority="15">
      <formula>($D3&lt;=$K$23)</formula>
    </cfRule>
  </conditionalFormatting>
  <conditionalFormatting sqref="AA3:AA12">
    <cfRule type="expression" dxfId="204" priority="16">
      <formula>AND($D3=$K$23, AA3=$J$24)</formula>
    </cfRule>
    <cfRule type="expression" dxfId="203" priority="17">
      <formula>AND($D3=$K$23, MOD(AA3,100)&gt;$J$24)</formula>
    </cfRule>
    <cfRule type="cellIs" dxfId="202" priority="18" operator="equal">
      <formula>100</formula>
    </cfRule>
  </conditionalFormatting>
  <conditionalFormatting sqref="D3:Z12">
    <cfRule type="expression" dxfId="201" priority="22">
      <formula>($D3&gt;$K$23)</formula>
    </cfRule>
  </conditionalFormatting>
  <conditionalFormatting sqref="AA50 AA68:AA72 AA78:AA80">
    <cfRule type="cellIs" dxfId="200" priority="23" operator="lessThan">
      <formula>0</formula>
    </cfRule>
    <cfRule type="cellIs" dxfId="199" priority="24" operator="equal">
      <formula>0</formula>
    </cfRule>
    <cfRule type="expression" dxfId="198" priority="25">
      <formula>OR(MOD($AA50,100)=0,AND($D50=$K$23,MOD($AA50,100)=$J$24))</formula>
    </cfRule>
  </conditionalFormatting>
  <conditionalFormatting sqref="E50:Z59">
    <cfRule type="expression" dxfId="197" priority="2">
      <formula>AND(E50&lt;MAX(E$50:E50), NOT(ISBLANK(E50)), NOT(E50=0))</formula>
    </cfRule>
  </conditionalFormatting>
  <conditionalFormatting sqref="AA52:AA59">
    <cfRule type="cellIs" dxfId="196" priority="27" operator="lessThan">
      <formula>0</formula>
    </cfRule>
    <cfRule type="cellIs" dxfId="195" priority="28" operator="equal">
      <formula>0</formula>
    </cfRule>
    <cfRule type="expression" dxfId="194" priority="29">
      <formula>OR(MOD($AA52,100)=0,AND($D52=$K$23,MOD($AA52,100)=$J$24))</formula>
    </cfRule>
  </conditionalFormatting>
  <conditionalFormatting sqref="AA51">
    <cfRule type="cellIs" dxfId="193" priority="30" operator="lessThan">
      <formula>0</formula>
    </cfRule>
    <cfRule type="cellIs" dxfId="192" priority="31" operator="equal">
      <formula>0</formula>
    </cfRule>
    <cfRule type="expression" dxfId="191" priority="32">
      <formula>OR(MOD($AA51,100)=0,AND($D50=$K$23,MOD($AA51,100)=$J$24))</formula>
    </cfRule>
  </conditionalFormatting>
  <conditionalFormatting sqref="E50:Z59 E68:Z72 E78:Z80">
    <cfRule type="cellIs" dxfId="190" priority="19" operator="notBetween">
      <formula>0</formula>
      <formula>$B$7</formula>
    </cfRule>
    <cfRule type="expression" dxfId="189" priority="20">
      <formula>($D50&lt;=$K$23)</formula>
    </cfRule>
    <cfRule type="expression" dxfId="188" priority="21">
      <formula>($D50&gt;$K$23)</formula>
    </cfRule>
  </conditionalFormatting>
  <conditionalFormatting sqref="E68:Z72">
    <cfRule type="expression" dxfId="187" priority="1">
      <formula>AND(E68&lt;MAX(E$68:E68), NOT(ISBLANK(E68)), NOT(E68=0))</formula>
    </cfRule>
  </conditionalFormatting>
  <conditionalFormatting sqref="E78:Z80">
    <cfRule type="expression" dxfId="186" priority="26">
      <formula>AND(E78&lt;MAX(E$78:E78), NOT(ISBLANK(E78)), NOT(E78=0))</formula>
    </cfRule>
  </conditionalFormatting>
  <dataValidations count="2">
    <dataValidation type="list" allowBlank="1" showInputMessage="1" showErrorMessage="1" sqref="D68:D72 D78:D82 D50:D59" xr:uid="{B823C42C-8036-4663-93B8-050F9E243842}">
      <formula1>$D$3:$D$12</formula1>
    </dataValidation>
    <dataValidation type="list" allowBlank="1" showInputMessage="1" showErrorMessage="1" sqref="C50:C59" xr:uid="{BD7B21E1-1643-4EF2-980F-396E73D100A0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AE7DD-DCFF-4F3C-B243-B365836191E7}">
  <sheetPr codeName="Feuil36">
    <tabColor rgb="FFB4A7D6"/>
  </sheetPr>
  <dimension ref="A1:AL82"/>
  <sheetViews>
    <sheetView zoomScale="80" zoomScaleNormal="80" workbookViewId="0">
      <pane xSplit="2" topLeftCell="C1" activePane="topRight" state="frozen"/>
      <selection pane="topRight" activeCell="B29" sqref="B29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24" width="15.7109375" customWidth="1"/>
    <col min="27" max="27" width="12.85546875" customWidth="1"/>
    <col min="28" max="28" width="11.42578125" customWidth="1"/>
    <col min="31" max="31" width="10.42578125" customWidth="1"/>
    <col min="32" max="32" width="15.42578125" customWidth="1"/>
    <col min="33" max="33" width="16.140625" customWidth="1"/>
    <col min="34" max="34" width="12" customWidth="1"/>
    <col min="36" max="36" width="13.28515625" customWidth="1"/>
    <col min="37" max="37" width="14.42578125" customWidth="1"/>
  </cols>
  <sheetData>
    <row r="1" spans="1:38" ht="16.5" customHeight="1" thickBot="1" x14ac:dyDescent="0.25">
      <c r="A1" s="308" t="s">
        <v>11</v>
      </c>
      <c r="B1" s="33">
        <f>Synthèse!B17</f>
        <v>46096</v>
      </c>
      <c r="D1" s="307"/>
      <c r="E1" s="432" t="s">
        <v>66</v>
      </c>
      <c r="F1" s="433"/>
      <c r="G1" s="433"/>
      <c r="H1" s="433"/>
      <c r="I1" s="433"/>
      <c r="J1" s="433"/>
      <c r="K1" s="433"/>
      <c r="L1" s="433"/>
      <c r="M1" s="433"/>
      <c r="N1" s="433"/>
      <c r="O1" s="433"/>
      <c r="P1" s="433"/>
      <c r="Q1" s="433"/>
      <c r="R1" s="433"/>
      <c r="S1" s="433"/>
      <c r="T1" s="433"/>
      <c r="U1" s="433"/>
      <c r="V1" s="433"/>
      <c r="W1" s="433"/>
      <c r="X1" s="433"/>
      <c r="Y1" s="433"/>
      <c r="Z1" s="434"/>
      <c r="AA1" s="392" t="s">
        <v>7</v>
      </c>
    </row>
    <row r="2" spans="1:38" ht="39.75" customHeight="1" thickBot="1" x14ac:dyDescent="0.25">
      <c r="A2" s="309" t="s">
        <v>12</v>
      </c>
      <c r="B2" s="34" t="str">
        <f>Synthèse!B18</f>
        <v>Municipales 1er tour</v>
      </c>
      <c r="D2" s="355" t="s">
        <v>82</v>
      </c>
      <c r="E2" s="455" t="str">
        <f>Synthèse!L2</f>
        <v>Candidat 1</v>
      </c>
      <c r="F2" s="399" t="str">
        <f>Synthèse!M2</f>
        <v>Candidat 2</v>
      </c>
      <c r="G2" s="395" t="str">
        <f>Synthèse!N2</f>
        <v>Candidat 3</v>
      </c>
      <c r="H2" s="456" t="str">
        <f>Synthèse!O2</f>
        <v>Candidat 4</v>
      </c>
      <c r="I2" s="457" t="str">
        <f>Synthèse!P2</f>
        <v>Candidat 5</v>
      </c>
      <c r="J2" s="458" t="str">
        <f>Synthèse!Q2</f>
        <v>Candidat 6</v>
      </c>
      <c r="K2" s="459" t="str">
        <f>Synthèse!R2</f>
        <v>Candidat 7</v>
      </c>
      <c r="L2" s="398" t="str">
        <f>Synthèse!S2</f>
        <v>Candidat 8</v>
      </c>
      <c r="M2" s="460" t="str">
        <f>Synthèse!T2</f>
        <v>Candidat 9</v>
      </c>
      <c r="N2" s="461" t="str">
        <f>Synthèse!U2</f>
        <v>Candidat 10</v>
      </c>
      <c r="O2" s="400" t="str">
        <f>Synthèse!V2</f>
        <v>Candidat 11</v>
      </c>
      <c r="P2" s="462" t="str">
        <f>Synthèse!W2</f>
        <v>Candidat 12</v>
      </c>
      <c r="Q2" s="396" t="str">
        <f>Synthèse!X2</f>
        <v>Candidat 13</v>
      </c>
      <c r="R2" s="463" t="str">
        <f>Synthèse!Y2</f>
        <v>Candidat 14</v>
      </c>
      <c r="S2" s="464" t="str">
        <f>Synthèse!Z2</f>
        <v>Candidat 15</v>
      </c>
      <c r="T2" s="465" t="str">
        <f>Synthèse!AA2</f>
        <v>Candidat 16</v>
      </c>
      <c r="U2" s="466" t="str">
        <f>Synthèse!AB2</f>
        <v>Candidat 17</v>
      </c>
      <c r="V2" s="397" t="str">
        <f>Synthèse!AC2</f>
        <v>Candidat 18</v>
      </c>
      <c r="W2" s="467" t="str">
        <f>Synthèse!AD2</f>
        <v>Candidat 19</v>
      </c>
      <c r="X2" s="468" t="str">
        <f>Synthèse!AE2</f>
        <v>Candidat 20</v>
      </c>
      <c r="Y2" s="469" t="s">
        <v>3</v>
      </c>
      <c r="Z2" s="470" t="s">
        <v>4</v>
      </c>
      <c r="AA2" s="393" t="s">
        <v>104</v>
      </c>
      <c r="AF2" s="367" t="s">
        <v>21</v>
      </c>
      <c r="AG2" s="368" t="s">
        <v>57</v>
      </c>
      <c r="AH2" s="369" t="s">
        <v>31</v>
      </c>
      <c r="AJ2" s="370" t="s">
        <v>59</v>
      </c>
      <c r="AK2" s="370" t="s">
        <v>58</v>
      </c>
    </row>
    <row r="3" spans="1:38" ht="20.100000000000001" customHeight="1" thickBot="1" x14ac:dyDescent="0.25">
      <c r="A3" s="310" t="s">
        <v>13</v>
      </c>
      <c r="B3" s="94" t="str">
        <f>Synthèse!B19</f>
        <v>Cogolin</v>
      </c>
      <c r="D3" s="352" t="str" cm="1">
        <f t="array" ref="D3">IF(ROW(1:1)&lt;=$K$23, (ROW(1:1)), "")</f>
        <v/>
      </c>
      <c r="E3" s="155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55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55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55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55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55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55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55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5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155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1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155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155" cm="1">
        <f t="array" ref="Q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R3" s="155" cm="1">
        <f t="array" ref="R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S3" s="155" cm="1">
        <f t="array" ref="S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T3" s="155" cm="1">
        <f t="array" ref="T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U3" s="155" cm="1">
        <f t="array" ref="U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V3" s="155" cm="1">
        <f t="array" ref="V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W3" s="155" cm="1">
        <f t="array" ref="W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X3" s="155" cm="1">
        <f t="array" ref="X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Y3" s="171" cm="1">
        <f t="array" ref="Y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Z3" s="172" cm="1">
        <f t="array" ref="Z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AA3" s="311">
        <f t="shared" ref="AA3:AA12" si="0">SUM(E3:Z3)</f>
        <v>0</v>
      </c>
      <c r="AF3" s="343" t="s">
        <v>32</v>
      </c>
      <c r="AG3" s="344">
        <v>0</v>
      </c>
      <c r="AH3" s="345">
        <f t="shared" ref="AH3" si="1">AG3/$B$6</f>
        <v>0</v>
      </c>
      <c r="AJ3" s="323"/>
      <c r="AK3" s="323"/>
    </row>
    <row r="4" spans="1:38" ht="20.100000000000001" customHeight="1" x14ac:dyDescent="0.2">
      <c r="A4" s="95" t="s">
        <v>23</v>
      </c>
      <c r="B4" s="168">
        <v>7</v>
      </c>
      <c r="D4" s="353" t="str" cm="1">
        <f t="array" ref="D4">IF(ROW(2:2)&lt;=$K$23, (ROW(2:2)), "")</f>
        <v/>
      </c>
      <c r="E4" s="156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56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56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56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56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56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56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56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5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156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156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156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156" cm="1">
        <f t="array" ref="Q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R4" s="156" cm="1">
        <f t="array" ref="R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S4" s="156" cm="1">
        <f t="array" ref="S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T4" s="156" cm="1">
        <f t="array" ref="T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U4" s="156" cm="1">
        <f t="array" ref="U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V4" s="156" cm="1">
        <f t="array" ref="V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W4" s="156" cm="1">
        <f t="array" ref="W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X4" s="156" cm="1">
        <f t="array" ref="X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Y4" s="157" cm="1">
        <f t="array" ref="Y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Z4" s="158" cm="1">
        <f t="array" ref="Z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AA4" s="311">
        <f t="shared" si="0"/>
        <v>0</v>
      </c>
      <c r="AF4" s="346" t="s">
        <v>33</v>
      </c>
      <c r="AG4" s="473"/>
      <c r="AH4" s="348" t="e">
        <f t="shared" ref="AH4:AH13" si="2">IF(OR(AG4=0, AG4=""), NA(), AG4/$B$6)</f>
        <v>#N/A</v>
      </c>
      <c r="AJ4" s="318" t="s">
        <v>45</v>
      </c>
      <c r="AK4" s="371" t="e">
        <f t="shared" ref="AK4:AK13" si="3">IF(AG4&lt;&gt;0,AG4-AG3,NA())</f>
        <v>#N/A</v>
      </c>
    </row>
    <row r="5" spans="1:38" ht="20.100000000000001" customHeight="1" x14ac:dyDescent="0.2">
      <c r="A5" s="96" t="s">
        <v>24</v>
      </c>
      <c r="B5" s="187" t="s">
        <v>28</v>
      </c>
      <c r="D5" s="353" t="str" cm="1">
        <f t="array" ref="D5">IF(ROW(3:3)&lt;=$K$23, (ROW(3:3)), "")</f>
        <v/>
      </c>
      <c r="E5" s="156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56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56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56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56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56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56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5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5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156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156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156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156" cm="1">
        <f t="array" ref="Q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R5" s="156" cm="1">
        <f t="array" ref="R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S5" s="156" cm="1">
        <f t="array" ref="S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T5" s="156" cm="1">
        <f t="array" ref="T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U5" s="156" cm="1">
        <f t="array" ref="U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V5" s="156" cm="1">
        <f t="array" ref="V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W5" s="156" cm="1">
        <f t="array" ref="W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X5" s="156" cm="1">
        <f t="array" ref="X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Y5" s="173" cm="1">
        <f t="array" ref="Y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Z5" s="174" cm="1">
        <f t="array" ref="Z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AA5" s="311">
        <f t="shared" si="0"/>
        <v>0</v>
      </c>
      <c r="AD5" s="231"/>
      <c r="AE5" s="232"/>
      <c r="AF5" s="346" t="s">
        <v>34</v>
      </c>
      <c r="AG5" s="473"/>
      <c r="AH5" s="348" t="e">
        <f t="shared" si="2"/>
        <v>#N/A</v>
      </c>
      <c r="AJ5" s="319" t="s">
        <v>46</v>
      </c>
      <c r="AK5" s="372" t="e">
        <f t="shared" si="3"/>
        <v>#N/A</v>
      </c>
    </row>
    <row r="6" spans="1:38" ht="20.100000000000001" customHeight="1" x14ac:dyDescent="0.2">
      <c r="A6" s="96" t="s">
        <v>0</v>
      </c>
      <c r="B6" s="188">
        <v>692</v>
      </c>
      <c r="D6" s="353" t="str" cm="1">
        <f t="array" ref="D6">IF(ROW(4:4)&lt;=$K$23, (ROW(4:4)), "")</f>
        <v/>
      </c>
      <c r="E6" s="156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56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56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56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56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56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56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5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5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156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156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156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156" cm="1">
        <f t="array" ref="Q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R6" s="156" cm="1">
        <f t="array" ref="R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S6" s="156" cm="1">
        <f t="array" ref="S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T6" s="156" cm="1">
        <f t="array" ref="T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U6" s="156" cm="1">
        <f t="array" ref="U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V6" s="156" cm="1">
        <f t="array" ref="V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W6" s="156" cm="1">
        <f t="array" ref="W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X6" s="156" cm="1">
        <f t="array" ref="X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Y6" s="173" cm="1">
        <f t="array" ref="Y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Z6" s="174" cm="1">
        <f t="array" ref="Z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AA6" s="311">
        <f t="shared" si="0"/>
        <v>0</v>
      </c>
      <c r="AD6" s="231"/>
      <c r="AE6" s="232"/>
      <c r="AF6" s="346" t="s">
        <v>35</v>
      </c>
      <c r="AG6" s="473"/>
      <c r="AH6" s="348" t="e">
        <f t="shared" si="2"/>
        <v>#N/A</v>
      </c>
      <c r="AJ6" s="319" t="s">
        <v>47</v>
      </c>
      <c r="AK6" s="372" t="e">
        <f t="shared" si="3"/>
        <v>#N/A</v>
      </c>
    </row>
    <row r="7" spans="1:38" ht="20.100000000000001" customHeight="1" x14ac:dyDescent="0.2">
      <c r="A7" s="96" t="s">
        <v>2</v>
      </c>
      <c r="B7" s="165">
        <f>MAX(AG4:AG15)</f>
        <v>0</v>
      </c>
      <c r="D7" s="353" t="str" cm="1">
        <f t="array" ref="D7">IF(ROW(5:5)&lt;=$K$23, (ROW(5:5)), "")</f>
        <v/>
      </c>
      <c r="E7" s="156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56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56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56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56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56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56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56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5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156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156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156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156" cm="1">
        <f t="array" ref="Q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R7" s="156" cm="1">
        <f t="array" ref="R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S7" s="156" cm="1">
        <f t="array" ref="S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T7" s="156" cm="1">
        <f t="array" ref="T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U7" s="156" cm="1">
        <f t="array" ref="U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V7" s="156" cm="1">
        <f t="array" ref="V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W7" s="156" cm="1">
        <f t="array" ref="W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X7" s="156" cm="1">
        <f t="array" ref="X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Y7" s="157" cm="1">
        <f t="array" ref="Y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Z7" s="158" cm="1">
        <f t="array" ref="Z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AA7" s="311">
        <f t="shared" si="0"/>
        <v>0</v>
      </c>
      <c r="AD7" s="231"/>
      <c r="AE7" s="232"/>
      <c r="AF7" s="346" t="s">
        <v>36</v>
      </c>
      <c r="AG7" s="473"/>
      <c r="AH7" s="348" t="e">
        <f t="shared" si="2"/>
        <v>#N/A</v>
      </c>
      <c r="AJ7" s="319" t="s">
        <v>54</v>
      </c>
      <c r="AK7" s="372" t="e">
        <f t="shared" si="3"/>
        <v>#N/A</v>
      </c>
    </row>
    <row r="8" spans="1:38" ht="20.100000000000001" customHeight="1" x14ac:dyDescent="0.2">
      <c r="A8" s="96" t="s">
        <v>1</v>
      </c>
      <c r="B8" s="166">
        <f>B7</f>
        <v>0</v>
      </c>
      <c r="D8" s="353" t="str" cm="1">
        <f t="array" ref="D8">IF(ROW(6:6)&lt;=$K$23, (ROW(6:6)), "")</f>
        <v/>
      </c>
      <c r="E8" s="156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56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56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56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56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56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56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56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5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156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156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156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156" cm="1">
        <f t="array" ref="Q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R8" s="156" cm="1">
        <f t="array" ref="R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S8" s="156" cm="1">
        <f t="array" ref="S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T8" s="156" cm="1">
        <f t="array" ref="T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U8" s="156" cm="1">
        <f t="array" ref="U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V8" s="156" cm="1">
        <f t="array" ref="V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W8" s="156" cm="1">
        <f t="array" ref="W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X8" s="156" cm="1">
        <f t="array" ref="X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Y8" s="157" cm="1">
        <f t="array" ref="Y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Z8" s="158" cm="1">
        <f t="array" ref="Z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AA8" s="311">
        <f t="shared" si="0"/>
        <v>0</v>
      </c>
      <c r="AD8" s="231"/>
      <c r="AE8" s="232"/>
      <c r="AF8" s="346" t="s">
        <v>37</v>
      </c>
      <c r="AG8" s="473"/>
      <c r="AH8" s="348" t="e">
        <f t="shared" si="2"/>
        <v>#N/A</v>
      </c>
      <c r="AJ8" s="319" t="s">
        <v>48</v>
      </c>
      <c r="AK8" s="372" t="e">
        <f t="shared" si="3"/>
        <v>#N/A</v>
      </c>
    </row>
    <row r="9" spans="1:38" ht="20.100000000000001" customHeight="1" thickBot="1" x14ac:dyDescent="0.25">
      <c r="A9" s="97" t="s">
        <v>17</v>
      </c>
      <c r="B9" s="167">
        <f>B6-B7</f>
        <v>692</v>
      </c>
      <c r="D9" s="353" t="str" cm="1">
        <f t="array" ref="D9">IF(ROW(7:7)&lt;=$K$23, (ROW(7:7)), "")</f>
        <v/>
      </c>
      <c r="E9" s="156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56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56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56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56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56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56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56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56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156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156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156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156" cm="1">
        <f t="array" ref="Q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R9" s="156" cm="1">
        <f t="array" ref="R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S9" s="156" cm="1">
        <f t="array" ref="S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T9" s="156" cm="1">
        <f t="array" ref="T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U9" s="156" cm="1">
        <f t="array" ref="U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V9" s="156" cm="1">
        <f t="array" ref="V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W9" s="156" cm="1">
        <f t="array" ref="W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X9" s="156" cm="1">
        <f t="array" ref="X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Y9" s="159" cm="1">
        <f t="array" ref="Y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Z9" s="160" cm="1">
        <f t="array" ref="Z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AA9" s="311">
        <f t="shared" si="0"/>
        <v>0</v>
      </c>
      <c r="AD9" s="231"/>
      <c r="AE9" s="232"/>
      <c r="AF9" s="346" t="s">
        <v>38</v>
      </c>
      <c r="AG9" s="473"/>
      <c r="AH9" s="348" t="e">
        <f t="shared" si="2"/>
        <v>#N/A</v>
      </c>
      <c r="AJ9" s="319" t="s">
        <v>49</v>
      </c>
      <c r="AK9" s="372" t="e">
        <f t="shared" si="3"/>
        <v>#N/A</v>
      </c>
    </row>
    <row r="10" spans="1:38" ht="20.100000000000001" customHeight="1" x14ac:dyDescent="0.2">
      <c r="A10" s="435" t="s">
        <v>60</v>
      </c>
      <c r="B10" s="435"/>
      <c r="D10" s="353" t="str" cm="1">
        <f t="array" ref="D10">IF(ROW(8:8)&lt;=$K$23, (ROW(8:8)), "")</f>
        <v/>
      </c>
      <c r="E10" s="156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56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56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56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56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56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56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56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56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156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156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156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156" cm="1">
        <f t="array" ref="Q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R10" s="156" cm="1">
        <f t="array" ref="R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S10" s="156" cm="1">
        <f t="array" ref="S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T10" s="156" cm="1">
        <f t="array" ref="T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U10" s="156" cm="1">
        <f t="array" ref="U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V10" s="156" cm="1">
        <f t="array" ref="V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W10" s="156" cm="1">
        <f t="array" ref="W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X10" s="156" cm="1">
        <f t="array" ref="X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Y10" s="159" cm="1">
        <f t="array" ref="Y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Z10" s="160" cm="1">
        <f t="array" ref="Z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AA10" s="311">
        <f t="shared" si="0"/>
        <v>0</v>
      </c>
      <c r="AD10" s="231"/>
      <c r="AE10" s="232"/>
      <c r="AF10" s="346" t="s">
        <v>39</v>
      </c>
      <c r="AG10" s="473"/>
      <c r="AH10" s="348" t="e">
        <f t="shared" si="2"/>
        <v>#N/A</v>
      </c>
      <c r="AJ10" s="319" t="s">
        <v>50</v>
      </c>
      <c r="AK10" s="372" t="e">
        <f t="shared" si="3"/>
        <v>#N/A</v>
      </c>
    </row>
    <row r="11" spans="1:38" ht="20.100000000000001" customHeight="1" x14ac:dyDescent="0.2">
      <c r="A11" s="436"/>
      <c r="B11" s="436"/>
      <c r="D11" s="353" t="str" cm="1">
        <f t="array" ref="D11">IF(ROW(9:9)&lt;=$K$23, (ROW(9:9)), "")</f>
        <v/>
      </c>
      <c r="E11" s="156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56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56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56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56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56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56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56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56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156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156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156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156" cm="1">
        <f t="array" ref="Q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R11" s="156" cm="1">
        <f t="array" ref="R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S11" s="156" cm="1">
        <f t="array" ref="S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T11" s="156" cm="1">
        <f t="array" ref="T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U11" s="156" cm="1">
        <f t="array" ref="U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V11" s="156" cm="1">
        <f t="array" ref="V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W11" s="156" cm="1">
        <f t="array" ref="W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X11" s="156">
        <v>0</v>
      </c>
      <c r="Y11" s="159" cm="1">
        <f t="array" ref="Y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Z11" s="160" cm="1">
        <f t="array" ref="Z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AA11" s="311">
        <f t="shared" si="0"/>
        <v>0</v>
      </c>
      <c r="AD11" s="231"/>
      <c r="AE11" s="232"/>
      <c r="AF11" s="346" t="s">
        <v>40</v>
      </c>
      <c r="AG11" s="473"/>
      <c r="AH11" s="348" t="e">
        <f t="shared" si="2"/>
        <v>#N/A</v>
      </c>
      <c r="AJ11" s="319" t="s">
        <v>51</v>
      </c>
      <c r="AK11" s="372" t="e">
        <f t="shared" si="3"/>
        <v>#N/A</v>
      </c>
    </row>
    <row r="12" spans="1:38" ht="20.100000000000001" customHeight="1" thickBot="1" x14ac:dyDescent="0.25">
      <c r="A12" s="437" t="s">
        <v>61</v>
      </c>
      <c r="B12" s="437"/>
      <c r="D12" s="354" t="str" cm="1">
        <f t="array" ref="D12">IF(ROW(10:10)&lt;=$K$23, (ROW(10:10)), "")</f>
        <v/>
      </c>
      <c r="E12" s="156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56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56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56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56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56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56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56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56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156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156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156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156" cm="1">
        <f t="array" ref="Q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R12" s="156" cm="1">
        <f t="array" ref="R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S12" s="156" cm="1">
        <f t="array" ref="S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T12" s="156" cm="1">
        <f t="array" ref="T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U12" s="156" cm="1">
        <f t="array" ref="U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V12" s="156" cm="1">
        <f t="array" ref="V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W12" s="156" cm="1">
        <f t="array" ref="W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X12" s="156" cm="1">
        <f t="array" ref="X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Y12" s="175" cm="1">
        <f t="array" ref="Y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Z12" s="176" cm="1">
        <f t="array" ref="Z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AA12" s="311">
        <f t="shared" si="0"/>
        <v>0</v>
      </c>
      <c r="AD12" s="231"/>
      <c r="AE12" s="232"/>
      <c r="AF12" s="346" t="s">
        <v>41</v>
      </c>
      <c r="AG12" s="473"/>
      <c r="AH12" s="348" t="e">
        <f t="shared" si="2"/>
        <v>#N/A</v>
      </c>
      <c r="AJ12" s="319" t="s">
        <v>52</v>
      </c>
      <c r="AK12" s="372" t="e">
        <f t="shared" si="3"/>
        <v>#N/A</v>
      </c>
    </row>
    <row r="13" spans="1:38" ht="20.100000000000001" customHeight="1" thickBot="1" x14ac:dyDescent="0.3">
      <c r="A13" s="437"/>
      <c r="B13" s="437"/>
      <c r="D13" s="50" t="s">
        <v>9</v>
      </c>
      <c r="E13" s="161">
        <f t="shared" ref="E13:AA13" si="4">SUM(E3:E12)</f>
        <v>0</v>
      </c>
      <c r="F13" s="162">
        <f t="shared" si="4"/>
        <v>0</v>
      </c>
      <c r="G13" s="162">
        <f t="shared" si="4"/>
        <v>0</v>
      </c>
      <c r="H13" s="162">
        <f t="shared" si="4"/>
        <v>0</v>
      </c>
      <c r="I13" s="162">
        <f t="shared" si="4"/>
        <v>0</v>
      </c>
      <c r="J13" s="162">
        <f t="shared" si="4"/>
        <v>0</v>
      </c>
      <c r="K13" s="162">
        <f t="shared" si="4"/>
        <v>0</v>
      </c>
      <c r="L13" s="162">
        <f t="shared" si="4"/>
        <v>0</v>
      </c>
      <c r="M13" s="162">
        <f t="shared" si="4"/>
        <v>0</v>
      </c>
      <c r="N13" s="162">
        <f t="shared" si="4"/>
        <v>0</v>
      </c>
      <c r="O13" s="162">
        <f t="shared" si="4"/>
        <v>0</v>
      </c>
      <c r="P13" s="162">
        <f t="shared" si="4"/>
        <v>0</v>
      </c>
      <c r="Q13" s="162">
        <f t="shared" si="4"/>
        <v>0</v>
      </c>
      <c r="R13" s="162">
        <f t="shared" si="4"/>
        <v>0</v>
      </c>
      <c r="S13" s="162">
        <f t="shared" si="4"/>
        <v>0</v>
      </c>
      <c r="T13" s="162">
        <f t="shared" si="4"/>
        <v>0</v>
      </c>
      <c r="U13" s="162">
        <f t="shared" si="4"/>
        <v>0</v>
      </c>
      <c r="V13" s="162">
        <f t="shared" si="4"/>
        <v>0</v>
      </c>
      <c r="W13" s="162">
        <f t="shared" si="4"/>
        <v>0</v>
      </c>
      <c r="X13" s="162">
        <f t="shared" si="4"/>
        <v>0</v>
      </c>
      <c r="Y13" s="163">
        <f t="shared" si="4"/>
        <v>0</v>
      </c>
      <c r="Z13" s="164">
        <f t="shared" si="4"/>
        <v>0</v>
      </c>
      <c r="AA13" s="312">
        <f t="shared" si="4"/>
        <v>0</v>
      </c>
      <c r="AD13" s="231"/>
      <c r="AE13" s="232"/>
      <c r="AF13" s="346" t="s">
        <v>42</v>
      </c>
      <c r="AG13" s="473"/>
      <c r="AH13" s="348" t="e">
        <f t="shared" si="2"/>
        <v>#N/A</v>
      </c>
      <c r="AJ13" s="320" t="s">
        <v>53</v>
      </c>
      <c r="AK13" s="373" t="e">
        <f t="shared" si="3"/>
        <v>#N/A</v>
      </c>
    </row>
    <row r="14" spans="1:38" ht="20.100000000000001" customHeight="1" thickBot="1" x14ac:dyDescent="0.3">
      <c r="A14" s="437"/>
      <c r="B14" s="437"/>
      <c r="D14" s="83" t="s">
        <v>10</v>
      </c>
      <c r="E14" s="45">
        <f t="shared" ref="E14:AA14" si="5">IFERROR(E13/$B$7,0)</f>
        <v>0</v>
      </c>
      <c r="F14" s="46">
        <f t="shared" si="5"/>
        <v>0</v>
      </c>
      <c r="G14" s="46">
        <f t="shared" si="5"/>
        <v>0</v>
      </c>
      <c r="H14" s="46">
        <f t="shared" si="5"/>
        <v>0</v>
      </c>
      <c r="I14" s="46">
        <f t="shared" si="5"/>
        <v>0</v>
      </c>
      <c r="J14" s="46">
        <f t="shared" si="5"/>
        <v>0</v>
      </c>
      <c r="K14" s="46">
        <f t="shared" si="5"/>
        <v>0</v>
      </c>
      <c r="L14" s="46">
        <f t="shared" si="5"/>
        <v>0</v>
      </c>
      <c r="M14" s="46">
        <f t="shared" si="5"/>
        <v>0</v>
      </c>
      <c r="N14" s="46">
        <f t="shared" si="5"/>
        <v>0</v>
      </c>
      <c r="O14" s="46">
        <f t="shared" si="5"/>
        <v>0</v>
      </c>
      <c r="P14" s="46">
        <f t="shared" si="5"/>
        <v>0</v>
      </c>
      <c r="Q14" s="46">
        <f t="shared" si="5"/>
        <v>0</v>
      </c>
      <c r="R14" s="46">
        <f t="shared" si="5"/>
        <v>0</v>
      </c>
      <c r="S14" s="46">
        <f t="shared" si="5"/>
        <v>0</v>
      </c>
      <c r="T14" s="46">
        <f t="shared" si="5"/>
        <v>0</v>
      </c>
      <c r="U14" s="46">
        <f t="shared" si="5"/>
        <v>0</v>
      </c>
      <c r="V14" s="46">
        <f t="shared" si="5"/>
        <v>0</v>
      </c>
      <c r="W14" s="46">
        <f t="shared" si="5"/>
        <v>0</v>
      </c>
      <c r="X14" s="46">
        <f t="shared" si="5"/>
        <v>0</v>
      </c>
      <c r="Y14" s="45">
        <f t="shared" si="5"/>
        <v>0</v>
      </c>
      <c r="Z14" s="47">
        <f t="shared" si="5"/>
        <v>0</v>
      </c>
      <c r="AA14" s="322">
        <f t="shared" si="5"/>
        <v>0</v>
      </c>
      <c r="AF14" s="377" t="s">
        <v>43</v>
      </c>
      <c r="AG14" s="474"/>
      <c r="AH14" s="350" t="e">
        <f>IF(OR(AG14=0, AG14=""), NA(), AG14/$B$6)</f>
        <v>#N/A</v>
      </c>
      <c r="AI14" s="375"/>
      <c r="AJ14" s="379" t="s">
        <v>55</v>
      </c>
      <c r="AK14" s="374" t="e">
        <f>IF(AG14&lt;&gt;0,AG14-AG13,NA())</f>
        <v>#N/A</v>
      </c>
      <c r="AL14" s="375"/>
    </row>
    <row r="15" spans="1:38" ht="18" customHeight="1" thickBot="1" x14ac:dyDescent="0.25">
      <c r="A15" s="438" t="s">
        <v>68</v>
      </c>
      <c r="B15" s="438"/>
      <c r="C15" s="1"/>
      <c r="D15" s="1"/>
      <c r="AA15" s="321"/>
      <c r="AF15" s="317" t="s">
        <v>44</v>
      </c>
      <c r="AG15" s="475"/>
      <c r="AH15" s="376" t="e">
        <f>IF(OR(AG15=0, AG15=""), NA(), AG15/$B$6)</f>
        <v>#N/A</v>
      </c>
      <c r="AJ15" s="380" t="s">
        <v>56</v>
      </c>
      <c r="AK15" s="378" t="e">
        <f>IF(AG15&lt;&gt;0,AG15-AG14,NA())</f>
        <v>#N/A</v>
      </c>
      <c r="AL15" s="375"/>
    </row>
    <row r="16" spans="1:38" ht="12.75" customHeight="1" x14ac:dyDescent="0.2">
      <c r="A16" s="438"/>
      <c r="B16" s="438"/>
      <c r="AF16" s="321"/>
      <c r="AG16" s="321"/>
      <c r="AH16" s="321"/>
      <c r="AK16" s="321"/>
    </row>
    <row r="17" spans="1:11" ht="18" customHeight="1" x14ac:dyDescent="0.25">
      <c r="A17" s="438"/>
      <c r="B17" s="438"/>
      <c r="E17" s="230"/>
    </row>
    <row r="18" spans="1:11" ht="26.25" customHeight="1" x14ac:dyDescent="0.2">
      <c r="A18" s="438"/>
      <c r="B18" s="438"/>
    </row>
    <row r="23" spans="1:11" x14ac:dyDescent="0.2">
      <c r="H23" s="177" t="s">
        <v>64</v>
      </c>
      <c r="J23" s="245">
        <f>CEILING($B$6, 100)/100</f>
        <v>7</v>
      </c>
      <c r="K23" s="245">
        <f>CEILING($B$7,100)/100</f>
        <v>0</v>
      </c>
    </row>
    <row r="24" spans="1:11" x14ac:dyDescent="0.2">
      <c r="H24" s="178">
        <f>IF((ROW()-23)&lt;=$K$24,(ROW()-23),"Choisir")</f>
        <v>1</v>
      </c>
      <c r="J24" s="245">
        <f>MOD($B$7,100)</f>
        <v>0</v>
      </c>
      <c r="K24" s="246">
        <f>CEILING($B$6/300,1)</f>
        <v>3</v>
      </c>
    </row>
    <row r="25" spans="1:11" x14ac:dyDescent="0.2">
      <c r="H25" s="178">
        <f>IF((ROW()-23)&lt;=$K$24,(ROW()-23),"Choisir")</f>
        <v>2</v>
      </c>
    </row>
    <row r="26" spans="1:11" x14ac:dyDescent="0.2">
      <c r="H26" s="178">
        <f>IF((ROW()-23)&lt;=$K$24,(ROW()-23),"Choisir")</f>
        <v>3</v>
      </c>
    </row>
    <row r="27" spans="1:11" x14ac:dyDescent="0.2">
      <c r="H27" s="178" t="str">
        <f>IF((ROW()-23)&lt;=$K$24,(ROW()-23),"Choisir")</f>
        <v>Choisir</v>
      </c>
    </row>
    <row r="46" spans="4:27" x14ac:dyDescent="0.2">
      <c r="E46" s="169"/>
    </row>
    <row r="47" spans="4:27" ht="13.5" thickBot="1" x14ac:dyDescent="0.25">
      <c r="E47" s="169"/>
    </row>
    <row r="48" spans="4:27" ht="20.100000000000001" customHeight="1" thickBot="1" x14ac:dyDescent="0.25">
      <c r="D48" s="235" t="s">
        <v>78</v>
      </c>
      <c r="E48" s="429" t="s">
        <v>102</v>
      </c>
      <c r="F48" s="430"/>
      <c r="G48" s="430"/>
      <c r="H48" s="430"/>
      <c r="I48" s="430"/>
      <c r="J48" s="430"/>
      <c r="K48" s="430"/>
      <c r="L48" s="430"/>
      <c r="M48" s="430"/>
      <c r="N48" s="430"/>
      <c r="O48" s="430"/>
      <c r="P48" s="430"/>
      <c r="Q48" s="430"/>
      <c r="R48" s="430"/>
      <c r="S48" s="430"/>
      <c r="T48" s="430"/>
      <c r="U48" s="430"/>
      <c r="V48" s="430"/>
      <c r="W48" s="430"/>
      <c r="X48" s="430"/>
      <c r="Y48" s="430"/>
      <c r="Z48" s="431"/>
      <c r="AA48" s="381" t="s">
        <v>7</v>
      </c>
    </row>
    <row r="49" spans="3:27" ht="47.25" customHeight="1" thickBot="1" x14ac:dyDescent="0.25">
      <c r="C49" s="233"/>
      <c r="D49" s="359" t="s">
        <v>81</v>
      </c>
      <c r="E49" s="455" t="s">
        <v>69</v>
      </c>
      <c r="F49" s="399" t="s">
        <v>99</v>
      </c>
      <c r="G49" s="395" t="s">
        <v>70</v>
      </c>
      <c r="H49" s="456" t="s">
        <v>71</v>
      </c>
      <c r="I49" s="457" t="s">
        <v>72</v>
      </c>
      <c r="J49" s="458" t="s">
        <v>73</v>
      </c>
      <c r="K49" s="459" t="s">
        <v>74</v>
      </c>
      <c r="L49" s="398" t="s">
        <v>75</v>
      </c>
      <c r="M49" s="460" t="s">
        <v>76</v>
      </c>
      <c r="N49" s="461" t="s">
        <v>77</v>
      </c>
      <c r="O49" s="400" t="s">
        <v>105</v>
      </c>
      <c r="P49" s="462" t="s">
        <v>106</v>
      </c>
      <c r="Q49" s="396" t="s">
        <v>107</v>
      </c>
      <c r="R49" s="463" t="s">
        <v>108</v>
      </c>
      <c r="S49" s="464" t="s">
        <v>109</v>
      </c>
      <c r="T49" s="465" t="s">
        <v>110</v>
      </c>
      <c r="U49" s="466" t="s">
        <v>111</v>
      </c>
      <c r="V49" s="397" t="s">
        <v>112</v>
      </c>
      <c r="W49" s="467" t="s">
        <v>113</v>
      </c>
      <c r="X49" s="468" t="s">
        <v>114</v>
      </c>
      <c r="Y49" s="471" t="s">
        <v>3</v>
      </c>
      <c r="Z49" s="472" t="s">
        <v>4</v>
      </c>
      <c r="AA49" s="383" t="s">
        <v>103</v>
      </c>
    </row>
    <row r="50" spans="3:27" ht="19.5" customHeight="1" x14ac:dyDescent="0.2">
      <c r="C50" s="234"/>
      <c r="D50" s="358" t="s">
        <v>80</v>
      </c>
      <c r="E50" s="313"/>
      <c r="F50" s="314"/>
      <c r="G50" s="314"/>
      <c r="H50" s="314"/>
      <c r="I50" s="314"/>
      <c r="J50" s="314"/>
      <c r="K50" s="314"/>
      <c r="L50" s="314"/>
      <c r="M50" s="314"/>
      <c r="N50" s="314"/>
      <c r="O50" s="314"/>
      <c r="P50" s="314"/>
      <c r="Q50" s="314"/>
      <c r="R50" s="314"/>
      <c r="S50" s="314"/>
      <c r="T50" s="314"/>
      <c r="U50" s="314"/>
      <c r="V50" s="314"/>
      <c r="W50" s="314"/>
      <c r="X50" s="315"/>
      <c r="Y50" s="316"/>
      <c r="Z50" s="315"/>
      <c r="AA50" s="382">
        <f t="shared" ref="AA50:AA59" si="6">SUM(E50:Z50)</f>
        <v>0</v>
      </c>
    </row>
    <row r="51" spans="3:27" ht="20.100000000000001" customHeight="1" x14ac:dyDescent="0.2">
      <c r="C51" s="234"/>
      <c r="D51" s="358" t="s">
        <v>80</v>
      </c>
      <c r="E51" s="313"/>
      <c r="F51" s="314"/>
      <c r="G51" s="314"/>
      <c r="H51" s="314"/>
      <c r="I51" s="314"/>
      <c r="J51" s="314"/>
      <c r="K51" s="314"/>
      <c r="L51" s="314"/>
      <c r="M51" s="314"/>
      <c r="N51" s="314"/>
      <c r="O51" s="314"/>
      <c r="P51" s="314"/>
      <c r="Q51" s="314"/>
      <c r="R51" s="314"/>
      <c r="S51" s="314"/>
      <c r="T51" s="314"/>
      <c r="U51" s="314"/>
      <c r="V51" s="314"/>
      <c r="W51" s="314"/>
      <c r="X51" s="315"/>
      <c r="Y51" s="316"/>
      <c r="Z51" s="315"/>
      <c r="AA51" s="382">
        <f t="shared" si="6"/>
        <v>0</v>
      </c>
    </row>
    <row r="52" spans="3:27" ht="20.100000000000001" customHeight="1" x14ac:dyDescent="0.2">
      <c r="C52" s="234"/>
      <c r="D52" s="358" t="s">
        <v>80</v>
      </c>
      <c r="E52" s="313"/>
      <c r="F52" s="314"/>
      <c r="G52" s="314"/>
      <c r="H52" s="314"/>
      <c r="I52" s="314"/>
      <c r="J52" s="314"/>
      <c r="K52" s="314"/>
      <c r="L52" s="314"/>
      <c r="M52" s="314"/>
      <c r="N52" s="314"/>
      <c r="O52" s="314"/>
      <c r="P52" s="314"/>
      <c r="Q52" s="314"/>
      <c r="R52" s="314"/>
      <c r="S52" s="314"/>
      <c r="T52" s="314"/>
      <c r="U52" s="314"/>
      <c r="V52" s="314"/>
      <c r="W52" s="314"/>
      <c r="X52" s="315"/>
      <c r="Y52" s="316"/>
      <c r="Z52" s="315"/>
      <c r="AA52" s="382">
        <f t="shared" si="6"/>
        <v>0</v>
      </c>
    </row>
    <row r="53" spans="3:27" ht="20.100000000000001" customHeight="1" x14ac:dyDescent="0.2">
      <c r="C53" s="234"/>
      <c r="D53" s="358" t="s">
        <v>80</v>
      </c>
      <c r="E53" s="313"/>
      <c r="F53" s="314"/>
      <c r="G53" s="314"/>
      <c r="H53" s="314"/>
      <c r="I53" s="314"/>
      <c r="J53" s="314"/>
      <c r="K53" s="314"/>
      <c r="L53" s="314"/>
      <c r="M53" s="314"/>
      <c r="N53" s="314"/>
      <c r="O53" s="314"/>
      <c r="P53" s="314"/>
      <c r="Q53" s="314"/>
      <c r="R53" s="314"/>
      <c r="S53" s="314"/>
      <c r="T53" s="314"/>
      <c r="U53" s="314"/>
      <c r="V53" s="314"/>
      <c r="W53" s="314"/>
      <c r="X53" s="315"/>
      <c r="Y53" s="316"/>
      <c r="Z53" s="315"/>
      <c r="AA53" s="382">
        <f t="shared" si="6"/>
        <v>0</v>
      </c>
    </row>
    <row r="54" spans="3:27" ht="20.100000000000001" customHeight="1" x14ac:dyDescent="0.2">
      <c r="C54" s="234"/>
      <c r="D54" s="358" t="s">
        <v>80</v>
      </c>
      <c r="E54" s="313"/>
      <c r="F54" s="314"/>
      <c r="G54" s="314"/>
      <c r="H54" s="314"/>
      <c r="I54" s="314"/>
      <c r="J54" s="314"/>
      <c r="K54" s="314"/>
      <c r="L54" s="314"/>
      <c r="M54" s="314"/>
      <c r="N54" s="314"/>
      <c r="O54" s="314"/>
      <c r="P54" s="314"/>
      <c r="Q54" s="314"/>
      <c r="R54" s="314"/>
      <c r="S54" s="314"/>
      <c r="T54" s="314"/>
      <c r="U54" s="314"/>
      <c r="V54" s="314"/>
      <c r="W54" s="314"/>
      <c r="X54" s="315"/>
      <c r="Y54" s="316"/>
      <c r="Z54" s="315"/>
      <c r="AA54" s="382">
        <f t="shared" si="6"/>
        <v>0</v>
      </c>
    </row>
    <row r="55" spans="3:27" ht="20.100000000000001" customHeight="1" x14ac:dyDescent="0.2">
      <c r="C55" s="234"/>
      <c r="D55" s="358" t="s">
        <v>80</v>
      </c>
      <c r="E55" s="313"/>
      <c r="F55" s="314"/>
      <c r="G55" s="314"/>
      <c r="H55" s="314"/>
      <c r="I55" s="314"/>
      <c r="J55" s="314"/>
      <c r="K55" s="314"/>
      <c r="L55" s="314"/>
      <c r="M55" s="314"/>
      <c r="N55" s="314"/>
      <c r="O55" s="314"/>
      <c r="P55" s="314"/>
      <c r="Q55" s="314"/>
      <c r="R55" s="314"/>
      <c r="S55" s="314"/>
      <c r="T55" s="314"/>
      <c r="U55" s="314"/>
      <c r="V55" s="314"/>
      <c r="W55" s="314"/>
      <c r="X55" s="315"/>
      <c r="Y55" s="316"/>
      <c r="Z55" s="315"/>
      <c r="AA55" s="382">
        <f t="shared" si="6"/>
        <v>0</v>
      </c>
    </row>
    <row r="56" spans="3:27" ht="20.100000000000001" customHeight="1" x14ac:dyDescent="0.2">
      <c r="C56" s="234"/>
      <c r="D56" s="358" t="s">
        <v>80</v>
      </c>
      <c r="E56" s="313"/>
      <c r="F56" s="314"/>
      <c r="G56" s="314"/>
      <c r="H56" s="314"/>
      <c r="I56" s="314"/>
      <c r="J56" s="314"/>
      <c r="K56" s="314"/>
      <c r="L56" s="314"/>
      <c r="M56" s="314"/>
      <c r="N56" s="314"/>
      <c r="O56" s="314"/>
      <c r="P56" s="314"/>
      <c r="Q56" s="314"/>
      <c r="R56" s="314"/>
      <c r="S56" s="314"/>
      <c r="T56" s="314"/>
      <c r="U56" s="314"/>
      <c r="V56" s="314"/>
      <c r="W56" s="314"/>
      <c r="X56" s="315"/>
      <c r="Y56" s="316"/>
      <c r="Z56" s="315"/>
      <c r="AA56" s="382">
        <f t="shared" si="6"/>
        <v>0</v>
      </c>
    </row>
    <row r="57" spans="3:27" ht="20.100000000000001" customHeight="1" x14ac:dyDescent="0.2">
      <c r="C57" s="234"/>
      <c r="D57" s="358" t="s">
        <v>80</v>
      </c>
      <c r="E57" s="313"/>
      <c r="F57" s="314"/>
      <c r="G57" s="314"/>
      <c r="H57" s="314"/>
      <c r="I57" s="314"/>
      <c r="J57" s="314"/>
      <c r="K57" s="314"/>
      <c r="L57" s="314"/>
      <c r="M57" s="314"/>
      <c r="N57" s="314"/>
      <c r="O57" s="314"/>
      <c r="P57" s="314"/>
      <c r="Q57" s="314"/>
      <c r="R57" s="314"/>
      <c r="S57" s="314"/>
      <c r="T57" s="314"/>
      <c r="U57" s="314"/>
      <c r="V57" s="314"/>
      <c r="W57" s="314"/>
      <c r="X57" s="315"/>
      <c r="Y57" s="316"/>
      <c r="Z57" s="315"/>
      <c r="AA57" s="382">
        <f t="shared" si="6"/>
        <v>0</v>
      </c>
    </row>
    <row r="58" spans="3:27" ht="20.100000000000001" customHeight="1" x14ac:dyDescent="0.2">
      <c r="C58" s="234"/>
      <c r="D58" s="358" t="s">
        <v>80</v>
      </c>
      <c r="E58" s="313"/>
      <c r="F58" s="314"/>
      <c r="G58" s="314"/>
      <c r="H58" s="314"/>
      <c r="I58" s="314"/>
      <c r="J58" s="314"/>
      <c r="K58" s="314"/>
      <c r="L58" s="314"/>
      <c r="M58" s="314"/>
      <c r="N58" s="314"/>
      <c r="O58" s="314"/>
      <c r="P58" s="314"/>
      <c r="Q58" s="314"/>
      <c r="R58" s="314"/>
      <c r="S58" s="314"/>
      <c r="T58" s="314"/>
      <c r="U58" s="314"/>
      <c r="V58" s="314"/>
      <c r="W58" s="314"/>
      <c r="X58" s="315"/>
      <c r="Y58" s="316"/>
      <c r="Z58" s="315"/>
      <c r="AA58" s="382">
        <f t="shared" si="6"/>
        <v>0</v>
      </c>
    </row>
    <row r="59" spans="3:27" ht="20.100000000000001" customHeight="1" thickBot="1" x14ac:dyDescent="0.25">
      <c r="C59" s="234"/>
      <c r="D59" s="362" t="s">
        <v>80</v>
      </c>
      <c r="E59" s="363"/>
      <c r="F59" s="364"/>
      <c r="G59" s="364"/>
      <c r="H59" s="364"/>
      <c r="I59" s="364"/>
      <c r="J59" s="364"/>
      <c r="K59" s="364"/>
      <c r="L59" s="364"/>
      <c r="M59" s="364"/>
      <c r="N59" s="364"/>
      <c r="O59" s="364"/>
      <c r="P59" s="364"/>
      <c r="Q59" s="364"/>
      <c r="R59" s="364"/>
      <c r="S59" s="364"/>
      <c r="T59" s="364"/>
      <c r="U59" s="364"/>
      <c r="V59" s="364"/>
      <c r="W59" s="364"/>
      <c r="X59" s="365"/>
      <c r="Y59" s="366"/>
      <c r="Z59" s="365"/>
      <c r="AA59" s="382">
        <f t="shared" si="6"/>
        <v>0</v>
      </c>
    </row>
    <row r="60" spans="3:27" x14ac:dyDescent="0.2">
      <c r="AA60" s="321"/>
    </row>
    <row r="63" spans="3:27" ht="18" x14ac:dyDescent="0.25">
      <c r="E63" s="230"/>
    </row>
    <row r="65" spans="4:27" ht="13.5" thickBot="1" x14ac:dyDescent="0.25"/>
    <row r="66" spans="4:27" ht="16.5" customHeight="1" thickBot="1" x14ac:dyDescent="0.25">
      <c r="D66" s="235" t="s">
        <v>79</v>
      </c>
      <c r="E66" s="429" t="s">
        <v>101</v>
      </c>
      <c r="F66" s="430"/>
      <c r="G66" s="430"/>
      <c r="H66" s="430"/>
      <c r="I66" s="430"/>
      <c r="J66" s="430"/>
      <c r="K66" s="430"/>
      <c r="L66" s="430"/>
      <c r="M66" s="430"/>
      <c r="N66" s="430"/>
      <c r="O66" s="430"/>
      <c r="P66" s="430"/>
      <c r="Q66" s="430"/>
      <c r="R66" s="430"/>
      <c r="S66" s="430"/>
      <c r="T66" s="430"/>
      <c r="U66" s="430"/>
      <c r="V66" s="430"/>
      <c r="W66" s="430"/>
      <c r="X66" s="430"/>
      <c r="Y66" s="430"/>
      <c r="Z66" s="431"/>
      <c r="AA66" s="381" t="s">
        <v>7</v>
      </c>
    </row>
    <row r="67" spans="4:27" ht="42" customHeight="1" thickBot="1" x14ac:dyDescent="0.25">
      <c r="D67" s="359" t="s">
        <v>81</v>
      </c>
      <c r="E67" s="455" t="s">
        <v>69</v>
      </c>
      <c r="F67" s="399" t="s">
        <v>99</v>
      </c>
      <c r="G67" s="395" t="s">
        <v>70</v>
      </c>
      <c r="H67" s="456" t="s">
        <v>71</v>
      </c>
      <c r="I67" s="457" t="s">
        <v>72</v>
      </c>
      <c r="J67" s="458" t="s">
        <v>73</v>
      </c>
      <c r="K67" s="459" t="s">
        <v>74</v>
      </c>
      <c r="L67" s="398" t="s">
        <v>75</v>
      </c>
      <c r="M67" s="460" t="s">
        <v>76</v>
      </c>
      <c r="N67" s="461" t="s">
        <v>77</v>
      </c>
      <c r="O67" s="400" t="s">
        <v>105</v>
      </c>
      <c r="P67" s="462" t="s">
        <v>106</v>
      </c>
      <c r="Q67" s="396" t="s">
        <v>107</v>
      </c>
      <c r="R67" s="463" t="s">
        <v>108</v>
      </c>
      <c r="S67" s="464" t="s">
        <v>109</v>
      </c>
      <c r="T67" s="465" t="s">
        <v>110</v>
      </c>
      <c r="U67" s="466" t="s">
        <v>111</v>
      </c>
      <c r="V67" s="397" t="s">
        <v>112</v>
      </c>
      <c r="W67" s="467" t="s">
        <v>113</v>
      </c>
      <c r="X67" s="468" t="s">
        <v>114</v>
      </c>
      <c r="Y67" s="471" t="s">
        <v>3</v>
      </c>
      <c r="Z67" s="472" t="s">
        <v>4</v>
      </c>
      <c r="AA67" s="388" t="s">
        <v>103</v>
      </c>
    </row>
    <row r="68" spans="4:27" ht="20.100000000000001" customHeight="1" x14ac:dyDescent="0.2">
      <c r="D68" s="244" t="s">
        <v>80</v>
      </c>
      <c r="E68" s="237"/>
      <c r="F68" s="238"/>
      <c r="G68" s="238"/>
      <c r="H68" s="238"/>
      <c r="I68" s="238"/>
      <c r="J68" s="238"/>
      <c r="K68" s="238"/>
      <c r="L68" s="238"/>
      <c r="M68" s="238"/>
      <c r="N68" s="238"/>
      <c r="O68" s="238"/>
      <c r="P68" s="238"/>
      <c r="Q68" s="238"/>
      <c r="R68" s="238"/>
      <c r="S68" s="238"/>
      <c r="T68" s="238"/>
      <c r="U68" s="238"/>
      <c r="V68" s="238"/>
      <c r="W68" s="238"/>
      <c r="X68" s="239"/>
      <c r="Y68" s="240"/>
      <c r="Z68" s="239"/>
      <c r="AA68" s="385">
        <f t="shared" ref="AA68:AA72" si="7">SUM(E68:Z68)</f>
        <v>0</v>
      </c>
    </row>
    <row r="69" spans="4:27" ht="20.100000000000001" customHeight="1" x14ac:dyDescent="0.2">
      <c r="D69" s="242" t="s">
        <v>80</v>
      </c>
      <c r="E69" s="179"/>
      <c r="F69" s="180"/>
      <c r="G69" s="180"/>
      <c r="H69" s="180"/>
      <c r="I69" s="180"/>
      <c r="J69" s="180"/>
      <c r="K69" s="180"/>
      <c r="L69" s="180"/>
      <c r="M69" s="180"/>
      <c r="N69" s="180"/>
      <c r="O69" s="180"/>
      <c r="P69" s="180"/>
      <c r="Q69" s="180"/>
      <c r="R69" s="180"/>
      <c r="S69" s="180"/>
      <c r="T69" s="180"/>
      <c r="U69" s="180"/>
      <c r="V69" s="180"/>
      <c r="W69" s="180"/>
      <c r="X69" s="181"/>
      <c r="Y69" s="182"/>
      <c r="Z69" s="181"/>
      <c r="AA69" s="311">
        <f t="shared" si="7"/>
        <v>0</v>
      </c>
    </row>
    <row r="70" spans="4:27" ht="20.100000000000001" customHeight="1" x14ac:dyDescent="0.2">
      <c r="D70" s="242" t="s">
        <v>80</v>
      </c>
      <c r="E70" s="179"/>
      <c r="F70" s="180"/>
      <c r="G70" s="180"/>
      <c r="H70" s="180"/>
      <c r="I70" s="180"/>
      <c r="J70" s="180"/>
      <c r="K70" s="180"/>
      <c r="L70" s="180"/>
      <c r="M70" s="180"/>
      <c r="N70" s="180"/>
      <c r="O70" s="180"/>
      <c r="P70" s="180"/>
      <c r="Q70" s="180"/>
      <c r="R70" s="180"/>
      <c r="S70" s="180"/>
      <c r="T70" s="180"/>
      <c r="U70" s="180"/>
      <c r="V70" s="180"/>
      <c r="W70" s="180"/>
      <c r="X70" s="181"/>
      <c r="Y70" s="182"/>
      <c r="Z70" s="181"/>
      <c r="AA70" s="311">
        <f t="shared" si="7"/>
        <v>0</v>
      </c>
    </row>
    <row r="71" spans="4:27" ht="20.100000000000001" customHeight="1" x14ac:dyDescent="0.2">
      <c r="D71" s="242" t="s">
        <v>80</v>
      </c>
      <c r="E71" s="179"/>
      <c r="F71" s="180"/>
      <c r="G71" s="180"/>
      <c r="H71" s="180"/>
      <c r="I71" s="180"/>
      <c r="J71" s="180"/>
      <c r="K71" s="180"/>
      <c r="L71" s="180"/>
      <c r="M71" s="180"/>
      <c r="N71" s="180"/>
      <c r="O71" s="180"/>
      <c r="P71" s="180"/>
      <c r="Q71" s="180"/>
      <c r="R71" s="180"/>
      <c r="S71" s="180"/>
      <c r="T71" s="180"/>
      <c r="U71" s="180"/>
      <c r="V71" s="180"/>
      <c r="W71" s="180"/>
      <c r="X71" s="181"/>
      <c r="Y71" s="182"/>
      <c r="Z71" s="181"/>
      <c r="AA71" s="311">
        <f t="shared" si="7"/>
        <v>0</v>
      </c>
    </row>
    <row r="72" spans="4:27" ht="20.100000000000001" customHeight="1" thickBot="1" x14ac:dyDescent="0.25">
      <c r="D72" s="243" t="s">
        <v>80</v>
      </c>
      <c r="E72" s="183"/>
      <c r="F72" s="184"/>
      <c r="G72" s="184"/>
      <c r="H72" s="184"/>
      <c r="I72" s="184"/>
      <c r="J72" s="184"/>
      <c r="K72" s="184"/>
      <c r="L72" s="184"/>
      <c r="M72" s="184"/>
      <c r="N72" s="184"/>
      <c r="O72" s="184"/>
      <c r="P72" s="184"/>
      <c r="Q72" s="184"/>
      <c r="R72" s="184"/>
      <c r="S72" s="184"/>
      <c r="T72" s="184"/>
      <c r="U72" s="184"/>
      <c r="V72" s="184"/>
      <c r="W72" s="184"/>
      <c r="X72" s="185"/>
      <c r="Y72" s="186"/>
      <c r="Z72" s="185"/>
      <c r="AA72" s="386">
        <f t="shared" si="7"/>
        <v>0</v>
      </c>
    </row>
    <row r="73" spans="4:27" ht="20.100000000000001" customHeight="1" x14ac:dyDescent="0.2">
      <c r="D73" s="236"/>
      <c r="E73" s="234"/>
      <c r="F73" s="234"/>
      <c r="G73" s="234"/>
      <c r="H73" s="234"/>
      <c r="I73" s="234"/>
      <c r="J73" s="234"/>
      <c r="K73" s="234"/>
      <c r="L73" s="234"/>
      <c r="M73" s="234"/>
      <c r="N73" s="234"/>
      <c r="O73" s="234"/>
      <c r="P73" s="234"/>
      <c r="Q73" s="234"/>
      <c r="R73" s="234"/>
      <c r="S73" s="234"/>
      <c r="T73" s="234"/>
      <c r="U73" s="234"/>
      <c r="V73" s="234"/>
      <c r="W73" s="234"/>
      <c r="X73" s="234"/>
      <c r="Y73" s="234"/>
      <c r="Z73" s="234"/>
    </row>
    <row r="74" spans="4:27" ht="20.100000000000001" customHeight="1" x14ac:dyDescent="0.2">
      <c r="D74" s="236"/>
      <c r="E74" s="234"/>
      <c r="F74" s="234"/>
      <c r="G74" s="234"/>
      <c r="H74" s="234"/>
      <c r="I74" s="234"/>
      <c r="J74" s="234"/>
      <c r="K74" s="234"/>
      <c r="L74" s="234"/>
      <c r="M74" s="234"/>
      <c r="N74" s="234"/>
      <c r="O74" s="234"/>
      <c r="P74" s="234"/>
      <c r="Q74" s="234"/>
      <c r="R74" s="234"/>
      <c r="S74" s="234"/>
      <c r="T74" s="234"/>
      <c r="U74" s="234"/>
      <c r="V74" s="234"/>
      <c r="W74" s="234"/>
      <c r="X74" s="234"/>
      <c r="Y74" s="234"/>
      <c r="Z74" s="234"/>
    </row>
    <row r="75" spans="4:27" ht="20.100000000000001" customHeight="1" thickBot="1" x14ac:dyDescent="0.25">
      <c r="D75" s="236"/>
      <c r="E75" s="234"/>
      <c r="F75" s="234"/>
      <c r="G75" s="234"/>
      <c r="H75" s="234"/>
      <c r="I75" s="234"/>
      <c r="J75" s="234"/>
      <c r="K75" s="234"/>
      <c r="L75" s="234"/>
      <c r="M75" s="234"/>
      <c r="N75" s="234"/>
      <c r="O75" s="234"/>
      <c r="P75" s="234"/>
      <c r="Q75" s="234"/>
      <c r="R75" s="234"/>
      <c r="S75" s="234"/>
      <c r="T75" s="234"/>
      <c r="U75" s="234"/>
      <c r="V75" s="234"/>
      <c r="W75" s="234"/>
      <c r="X75" s="234"/>
      <c r="Y75" s="234"/>
      <c r="Z75" s="234"/>
    </row>
    <row r="76" spans="4:27" ht="20.100000000000001" customHeight="1" thickBot="1" x14ac:dyDescent="0.25">
      <c r="D76" s="235" t="s">
        <v>83</v>
      </c>
      <c r="E76" s="429" t="s">
        <v>100</v>
      </c>
      <c r="F76" s="430"/>
      <c r="G76" s="430"/>
      <c r="H76" s="430"/>
      <c r="I76" s="430"/>
      <c r="J76" s="430"/>
      <c r="K76" s="430"/>
      <c r="L76" s="430"/>
      <c r="M76" s="430"/>
      <c r="N76" s="430"/>
      <c r="O76" s="430"/>
      <c r="P76" s="430"/>
      <c r="Q76" s="430"/>
      <c r="R76" s="430"/>
      <c r="S76" s="430"/>
      <c r="T76" s="430"/>
      <c r="U76" s="430"/>
      <c r="V76" s="430"/>
      <c r="W76" s="430"/>
      <c r="X76" s="430"/>
      <c r="Y76" s="430"/>
      <c r="Z76" s="431"/>
      <c r="AA76" s="387" t="s">
        <v>7</v>
      </c>
    </row>
    <row r="77" spans="4:27" ht="39.75" customHeight="1" thickBot="1" x14ac:dyDescent="0.25">
      <c r="D77" s="359" t="s">
        <v>81</v>
      </c>
      <c r="E77" s="455" t="s">
        <v>69</v>
      </c>
      <c r="F77" s="399" t="s">
        <v>99</v>
      </c>
      <c r="G77" s="395" t="s">
        <v>70</v>
      </c>
      <c r="H77" s="456" t="s">
        <v>71</v>
      </c>
      <c r="I77" s="457" t="s">
        <v>72</v>
      </c>
      <c r="J77" s="458" t="s">
        <v>73</v>
      </c>
      <c r="K77" s="459" t="s">
        <v>74</v>
      </c>
      <c r="L77" s="398" t="s">
        <v>75</v>
      </c>
      <c r="M77" s="460" t="s">
        <v>76</v>
      </c>
      <c r="N77" s="461" t="s">
        <v>77</v>
      </c>
      <c r="O77" s="400" t="s">
        <v>105</v>
      </c>
      <c r="P77" s="462" t="s">
        <v>106</v>
      </c>
      <c r="Q77" s="396" t="s">
        <v>107</v>
      </c>
      <c r="R77" s="463" t="s">
        <v>108</v>
      </c>
      <c r="S77" s="464" t="s">
        <v>109</v>
      </c>
      <c r="T77" s="465" t="s">
        <v>110</v>
      </c>
      <c r="U77" s="466" t="s">
        <v>111</v>
      </c>
      <c r="V77" s="397" t="s">
        <v>112</v>
      </c>
      <c r="W77" s="467" t="s">
        <v>113</v>
      </c>
      <c r="X77" s="468" t="s">
        <v>114</v>
      </c>
      <c r="Y77" s="471" t="s">
        <v>3</v>
      </c>
      <c r="Z77" s="472" t="s">
        <v>4</v>
      </c>
      <c r="AA77" s="384" t="s">
        <v>103</v>
      </c>
    </row>
    <row r="78" spans="4:27" ht="20.100000000000001" customHeight="1" x14ac:dyDescent="0.2">
      <c r="D78" s="244" t="s">
        <v>80</v>
      </c>
      <c r="E78" s="237"/>
      <c r="F78" s="238"/>
      <c r="G78" s="238"/>
      <c r="H78" s="238"/>
      <c r="I78" s="238"/>
      <c r="J78" s="238"/>
      <c r="K78" s="238"/>
      <c r="L78" s="238"/>
      <c r="M78" s="238"/>
      <c r="N78" s="238"/>
      <c r="O78" s="238"/>
      <c r="P78" s="238"/>
      <c r="Q78" s="238"/>
      <c r="R78" s="238"/>
      <c r="S78" s="238"/>
      <c r="T78" s="238"/>
      <c r="U78" s="238"/>
      <c r="V78" s="238"/>
      <c r="W78" s="238"/>
      <c r="X78" s="239"/>
      <c r="Y78" s="240"/>
      <c r="Z78" s="239"/>
      <c r="AA78" s="385">
        <f t="shared" ref="AA78:AA80" si="8">SUM(E78:Z78)</f>
        <v>0</v>
      </c>
    </row>
    <row r="79" spans="4:27" ht="20.100000000000001" customHeight="1" x14ac:dyDescent="0.2">
      <c r="D79" s="242" t="s">
        <v>80</v>
      </c>
      <c r="E79" s="179"/>
      <c r="F79" s="180"/>
      <c r="G79" s="180"/>
      <c r="H79" s="180"/>
      <c r="I79" s="180"/>
      <c r="J79" s="180"/>
      <c r="K79" s="180"/>
      <c r="L79" s="180"/>
      <c r="M79" s="180"/>
      <c r="N79" s="180"/>
      <c r="O79" s="180"/>
      <c r="P79" s="180"/>
      <c r="Q79" s="180"/>
      <c r="R79" s="180"/>
      <c r="S79" s="180"/>
      <c r="T79" s="180"/>
      <c r="U79" s="180"/>
      <c r="V79" s="180"/>
      <c r="W79" s="180"/>
      <c r="X79" s="181"/>
      <c r="Y79" s="182"/>
      <c r="Z79" s="181"/>
      <c r="AA79" s="311">
        <f t="shared" si="8"/>
        <v>0</v>
      </c>
    </row>
    <row r="80" spans="4:27" ht="20.100000000000001" customHeight="1" thickBot="1" x14ac:dyDescent="0.25">
      <c r="D80" s="243" t="s">
        <v>80</v>
      </c>
      <c r="E80" s="183"/>
      <c r="F80" s="184"/>
      <c r="G80" s="184"/>
      <c r="H80" s="184"/>
      <c r="I80" s="184"/>
      <c r="J80" s="184"/>
      <c r="K80" s="184"/>
      <c r="L80" s="184"/>
      <c r="M80" s="184"/>
      <c r="N80" s="184"/>
      <c r="O80" s="184"/>
      <c r="P80" s="184"/>
      <c r="Q80" s="184"/>
      <c r="R80" s="184"/>
      <c r="S80" s="184"/>
      <c r="T80" s="184"/>
      <c r="U80" s="184"/>
      <c r="V80" s="184"/>
      <c r="W80" s="184"/>
      <c r="X80" s="185"/>
      <c r="Y80" s="186"/>
      <c r="Z80" s="185"/>
      <c r="AA80" s="386">
        <f t="shared" si="8"/>
        <v>0</v>
      </c>
    </row>
    <row r="81" spans="4:27" ht="20.100000000000001" customHeight="1" x14ac:dyDescent="0.2">
      <c r="D81" s="236"/>
      <c r="E81" s="234"/>
      <c r="F81" s="234"/>
      <c r="G81" s="234"/>
      <c r="H81" s="234"/>
      <c r="I81" s="234"/>
      <c r="J81" s="234"/>
      <c r="K81" s="234"/>
      <c r="L81" s="234"/>
      <c r="M81" s="234"/>
      <c r="N81" s="234"/>
      <c r="O81" s="234"/>
      <c r="P81" s="234"/>
      <c r="Q81" s="234"/>
      <c r="R81" s="234"/>
      <c r="S81" s="234"/>
      <c r="T81" s="234"/>
      <c r="U81" s="234"/>
      <c r="V81" s="234"/>
      <c r="W81" s="234"/>
      <c r="X81" s="234"/>
      <c r="Y81" s="234"/>
      <c r="Z81" s="234"/>
      <c r="AA81" s="241"/>
    </row>
    <row r="82" spans="4:27" ht="20.100000000000001" customHeight="1" x14ac:dyDescent="0.2">
      <c r="D82" s="236"/>
      <c r="E82" s="234"/>
      <c r="F82" s="234"/>
      <c r="G82" s="234"/>
      <c r="H82" s="234"/>
      <c r="I82" s="234"/>
      <c r="J82" s="234"/>
      <c r="K82" s="234"/>
      <c r="L82" s="234"/>
      <c r="M82" s="234"/>
      <c r="N82" s="234"/>
      <c r="O82" s="234"/>
      <c r="P82" s="234"/>
      <c r="Q82" s="234"/>
      <c r="R82" s="234"/>
      <c r="S82" s="234"/>
      <c r="T82" s="234"/>
      <c r="U82" s="234"/>
      <c r="V82" s="234"/>
      <c r="W82" s="234"/>
      <c r="X82" s="234"/>
      <c r="Y82" s="234"/>
      <c r="Z82" s="234"/>
      <c r="AA82" s="241"/>
    </row>
  </sheetData>
  <sheetProtection algorithmName="SHA-512" hashValue="RUJ9bwAis72crcWs6m7dgE2vl+VGAdkgEDYcNkAv7XFTGqUODvCH33hJG2BVCwvvDJwEaD/9HaNEqw49/SySjw==" saltValue="/2UMexROnOUcJAiKOVvHNw==" spinCount="100000" sheet="1" objects="1" scenarios="1"/>
  <mergeCells count="7">
    <mergeCell ref="E76:Z76"/>
    <mergeCell ref="E1:Z1"/>
    <mergeCell ref="A10:B11"/>
    <mergeCell ref="A12:B14"/>
    <mergeCell ref="A15:B18"/>
    <mergeCell ref="E48:Z48"/>
    <mergeCell ref="E66:Z66"/>
  </mergeCells>
  <conditionalFormatting sqref="B8">
    <cfRule type="cellIs" dxfId="185" priority="5" operator="notEqual">
      <formula>$B$7</formula>
    </cfRule>
  </conditionalFormatting>
  <conditionalFormatting sqref="E3:AA12">
    <cfRule type="cellIs" dxfId="184" priority="4" operator="notBetween">
      <formula>0</formula>
      <formula>100</formula>
    </cfRule>
  </conditionalFormatting>
  <conditionalFormatting sqref="E3:AA14">
    <cfRule type="cellIs" dxfId="183" priority="7" operator="lessThan">
      <formula>0</formula>
    </cfRule>
  </conditionalFormatting>
  <conditionalFormatting sqref="E14:AA14">
    <cfRule type="cellIs" dxfId="182" priority="10" operator="greaterThan">
      <formula>1</formula>
    </cfRule>
  </conditionalFormatting>
  <conditionalFormatting sqref="AA3:AA13">
    <cfRule type="cellIs" dxfId="181" priority="8" operator="equal">
      <formula>0</formula>
    </cfRule>
  </conditionalFormatting>
  <conditionalFormatting sqref="AA13">
    <cfRule type="cellIs" dxfId="180" priority="12" operator="equal">
      <formula>$B$7</formula>
    </cfRule>
  </conditionalFormatting>
  <conditionalFormatting sqref="AA14">
    <cfRule type="cellIs" dxfId="179" priority="9" operator="equal">
      <formula>1</formula>
    </cfRule>
    <cfRule type="cellIs" dxfId="178" priority="11" operator="lessThan">
      <formula>1</formula>
    </cfRule>
  </conditionalFormatting>
  <conditionalFormatting sqref="AG4:AG15">
    <cfRule type="expression" dxfId="177" priority="13">
      <formula>AND($AG4&lt;$AG3, NOT(ISBLANK($AG4)))</formula>
    </cfRule>
    <cfRule type="cellIs" dxfId="176" priority="14" operator="greaterThan">
      <formula>$B$6</formula>
    </cfRule>
  </conditionalFormatting>
  <conditionalFormatting sqref="AH4:AH15">
    <cfRule type="cellIs" dxfId="175" priority="6" operator="greaterThan">
      <formula>1</formula>
    </cfRule>
  </conditionalFormatting>
  <conditionalFormatting sqref="D68:D72 D50:D59 D78:D80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3:Z12">
    <cfRule type="expression" dxfId="174" priority="15">
      <formula>($D3&lt;=$K$23)</formula>
    </cfRule>
  </conditionalFormatting>
  <conditionalFormatting sqref="AA3:AA12">
    <cfRule type="expression" dxfId="173" priority="16">
      <formula>AND($D3=$K$23, AA3=$J$24)</formula>
    </cfRule>
    <cfRule type="expression" dxfId="172" priority="17">
      <formula>AND($D3=$K$23, MOD(AA3,100)&gt;$J$24)</formula>
    </cfRule>
    <cfRule type="cellIs" dxfId="171" priority="18" operator="equal">
      <formula>100</formula>
    </cfRule>
  </conditionalFormatting>
  <conditionalFormatting sqref="D3:Z12">
    <cfRule type="expression" dxfId="170" priority="22">
      <formula>($D3&gt;$K$23)</formula>
    </cfRule>
  </conditionalFormatting>
  <conditionalFormatting sqref="AA50 AA68:AA72 AA78:AA80">
    <cfRule type="cellIs" dxfId="169" priority="23" operator="lessThan">
      <formula>0</formula>
    </cfRule>
    <cfRule type="cellIs" dxfId="168" priority="24" operator="equal">
      <formula>0</formula>
    </cfRule>
    <cfRule type="expression" dxfId="167" priority="25">
      <formula>OR(MOD($AA50,100)=0,AND($D50=$K$23,MOD($AA50,100)=$J$24))</formula>
    </cfRule>
  </conditionalFormatting>
  <conditionalFormatting sqref="E50:Z59">
    <cfRule type="expression" dxfId="166" priority="2">
      <formula>AND(E50&lt;MAX(E$50:E50), NOT(ISBLANK(E50)), NOT(E50=0))</formula>
    </cfRule>
  </conditionalFormatting>
  <conditionalFormatting sqref="AA52:AA59">
    <cfRule type="cellIs" dxfId="165" priority="27" operator="lessThan">
      <formula>0</formula>
    </cfRule>
    <cfRule type="cellIs" dxfId="164" priority="28" operator="equal">
      <formula>0</formula>
    </cfRule>
    <cfRule type="expression" dxfId="163" priority="29">
      <formula>OR(MOD($AA52,100)=0,AND($D52=$K$23,MOD($AA52,100)=$J$24))</formula>
    </cfRule>
  </conditionalFormatting>
  <conditionalFormatting sqref="AA51">
    <cfRule type="cellIs" dxfId="162" priority="30" operator="lessThan">
      <formula>0</formula>
    </cfRule>
    <cfRule type="cellIs" dxfId="161" priority="31" operator="equal">
      <formula>0</formula>
    </cfRule>
    <cfRule type="expression" dxfId="160" priority="32">
      <formula>OR(MOD($AA51,100)=0,AND($D50=$K$23,MOD($AA51,100)=$J$24))</formula>
    </cfRule>
  </conditionalFormatting>
  <conditionalFormatting sqref="E50:Z59 E68:Z72 E78:Z80">
    <cfRule type="cellIs" dxfId="159" priority="19" operator="notBetween">
      <formula>0</formula>
      <formula>$B$7</formula>
    </cfRule>
    <cfRule type="expression" dxfId="158" priority="20">
      <formula>($D50&lt;=$K$23)</formula>
    </cfRule>
    <cfRule type="expression" dxfId="157" priority="21">
      <formula>($D50&gt;$K$23)</formula>
    </cfRule>
  </conditionalFormatting>
  <conditionalFormatting sqref="E68:Z72">
    <cfRule type="expression" dxfId="156" priority="1">
      <formula>AND(E68&lt;MAX(E$68:E68), NOT(ISBLANK(E68)), NOT(E68=0))</formula>
    </cfRule>
  </conditionalFormatting>
  <conditionalFormatting sqref="E78:Z80">
    <cfRule type="expression" dxfId="155" priority="26">
      <formula>AND(E78&lt;MAX(E$78:E78), NOT(ISBLANK(E78)), NOT(E78=0))</formula>
    </cfRule>
  </conditionalFormatting>
  <dataValidations count="2">
    <dataValidation type="list" allowBlank="1" showInputMessage="1" showErrorMessage="1" sqref="D68:D72 D78:D82 D50:D59" xr:uid="{066CF3FC-B13B-4FBF-8304-920B01B1C470}">
      <formula1>$D$3:$D$12</formula1>
    </dataValidation>
    <dataValidation type="list" allowBlank="1" showInputMessage="1" showErrorMessage="1" sqref="C50:C59" xr:uid="{A4089875-4805-4AED-92CE-299D06DBAA8E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7D61C-0CC8-4C30-A454-E1622531052A}">
  <sheetPr codeName="Feuil37">
    <tabColor rgb="FFB4A7D6"/>
  </sheetPr>
  <dimension ref="A1:AL82"/>
  <sheetViews>
    <sheetView zoomScale="80" zoomScaleNormal="80" workbookViewId="0">
      <pane xSplit="2" topLeftCell="C1" activePane="topRight" state="frozen"/>
      <selection pane="topRight" activeCell="B29" sqref="B29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24" width="15.7109375" customWidth="1"/>
    <col min="27" max="27" width="12.85546875" customWidth="1"/>
    <col min="28" max="28" width="11.42578125" customWidth="1"/>
    <col min="31" max="31" width="10.42578125" customWidth="1"/>
    <col min="32" max="32" width="15.42578125" customWidth="1"/>
    <col min="33" max="33" width="16.140625" customWidth="1"/>
    <col min="34" max="34" width="12" customWidth="1"/>
    <col min="36" max="36" width="13.28515625" customWidth="1"/>
    <col min="37" max="37" width="14.42578125" customWidth="1"/>
  </cols>
  <sheetData>
    <row r="1" spans="1:38" ht="16.5" customHeight="1" thickBot="1" x14ac:dyDescent="0.25">
      <c r="A1" s="308" t="s">
        <v>11</v>
      </c>
      <c r="B1" s="33">
        <f>Synthèse!B17</f>
        <v>46096</v>
      </c>
      <c r="D1" s="307"/>
      <c r="E1" s="432" t="s">
        <v>66</v>
      </c>
      <c r="F1" s="433"/>
      <c r="G1" s="433"/>
      <c r="H1" s="433"/>
      <c r="I1" s="433"/>
      <c r="J1" s="433"/>
      <c r="K1" s="433"/>
      <c r="L1" s="433"/>
      <c r="M1" s="433"/>
      <c r="N1" s="433"/>
      <c r="O1" s="433"/>
      <c r="P1" s="433"/>
      <c r="Q1" s="433"/>
      <c r="R1" s="433"/>
      <c r="S1" s="433"/>
      <c r="T1" s="433"/>
      <c r="U1" s="433"/>
      <c r="V1" s="433"/>
      <c r="W1" s="433"/>
      <c r="X1" s="433"/>
      <c r="Y1" s="433"/>
      <c r="Z1" s="434"/>
      <c r="AA1" s="392" t="s">
        <v>7</v>
      </c>
    </row>
    <row r="2" spans="1:38" ht="39.75" customHeight="1" thickBot="1" x14ac:dyDescent="0.25">
      <c r="A2" s="309" t="s">
        <v>12</v>
      </c>
      <c r="B2" s="34" t="str">
        <f>Synthèse!B18</f>
        <v>Municipales 1er tour</v>
      </c>
      <c r="D2" s="355" t="s">
        <v>82</v>
      </c>
      <c r="E2" s="455" t="str">
        <f>Synthèse!L2</f>
        <v>Candidat 1</v>
      </c>
      <c r="F2" s="399" t="str">
        <f>Synthèse!M2</f>
        <v>Candidat 2</v>
      </c>
      <c r="G2" s="395" t="str">
        <f>Synthèse!N2</f>
        <v>Candidat 3</v>
      </c>
      <c r="H2" s="456" t="str">
        <f>Synthèse!O2</f>
        <v>Candidat 4</v>
      </c>
      <c r="I2" s="457" t="str">
        <f>Synthèse!P2</f>
        <v>Candidat 5</v>
      </c>
      <c r="J2" s="458" t="str">
        <f>Synthèse!Q2</f>
        <v>Candidat 6</v>
      </c>
      <c r="K2" s="459" t="str">
        <f>Synthèse!R2</f>
        <v>Candidat 7</v>
      </c>
      <c r="L2" s="398" t="str">
        <f>Synthèse!S2</f>
        <v>Candidat 8</v>
      </c>
      <c r="M2" s="460" t="str">
        <f>Synthèse!T2</f>
        <v>Candidat 9</v>
      </c>
      <c r="N2" s="461" t="str">
        <f>Synthèse!U2</f>
        <v>Candidat 10</v>
      </c>
      <c r="O2" s="400" t="str">
        <f>Synthèse!V2</f>
        <v>Candidat 11</v>
      </c>
      <c r="P2" s="462" t="str">
        <f>Synthèse!W2</f>
        <v>Candidat 12</v>
      </c>
      <c r="Q2" s="396" t="str">
        <f>Synthèse!X2</f>
        <v>Candidat 13</v>
      </c>
      <c r="R2" s="463" t="str">
        <f>Synthèse!Y2</f>
        <v>Candidat 14</v>
      </c>
      <c r="S2" s="464" t="str">
        <f>Synthèse!Z2</f>
        <v>Candidat 15</v>
      </c>
      <c r="T2" s="465" t="str">
        <f>Synthèse!AA2</f>
        <v>Candidat 16</v>
      </c>
      <c r="U2" s="466" t="str">
        <f>Synthèse!AB2</f>
        <v>Candidat 17</v>
      </c>
      <c r="V2" s="397" t="str">
        <f>Synthèse!AC2</f>
        <v>Candidat 18</v>
      </c>
      <c r="W2" s="467" t="str">
        <f>Synthèse!AD2</f>
        <v>Candidat 19</v>
      </c>
      <c r="X2" s="468" t="str">
        <f>Synthèse!AE2</f>
        <v>Candidat 20</v>
      </c>
      <c r="Y2" s="469" t="s">
        <v>3</v>
      </c>
      <c r="Z2" s="470" t="s">
        <v>4</v>
      </c>
      <c r="AA2" s="393" t="s">
        <v>104</v>
      </c>
      <c r="AF2" s="367" t="s">
        <v>21</v>
      </c>
      <c r="AG2" s="368" t="s">
        <v>57</v>
      </c>
      <c r="AH2" s="369" t="s">
        <v>31</v>
      </c>
      <c r="AJ2" s="370" t="s">
        <v>59</v>
      </c>
      <c r="AK2" s="370" t="s">
        <v>58</v>
      </c>
    </row>
    <row r="3" spans="1:38" ht="20.100000000000001" customHeight="1" thickBot="1" x14ac:dyDescent="0.25">
      <c r="A3" s="310" t="s">
        <v>13</v>
      </c>
      <c r="B3" s="94" t="str">
        <f>Synthèse!B19</f>
        <v>Cogolin</v>
      </c>
      <c r="D3" s="352" t="str" cm="1">
        <f t="array" ref="D3">IF(ROW(1:1)&lt;=$K$23, (ROW(1:1)), "")</f>
        <v/>
      </c>
      <c r="E3" s="155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55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55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55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55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55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55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55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5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155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1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155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155" cm="1">
        <f t="array" ref="Q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R3" s="155" cm="1">
        <f t="array" ref="R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S3" s="155" cm="1">
        <f t="array" ref="S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T3" s="155" cm="1">
        <f t="array" ref="T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U3" s="155" cm="1">
        <f t="array" ref="U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V3" s="155" cm="1">
        <f t="array" ref="V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W3" s="155" cm="1">
        <f t="array" ref="W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X3" s="155" cm="1">
        <f t="array" ref="X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Y3" s="171" cm="1">
        <f t="array" ref="Y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Z3" s="172" cm="1">
        <f t="array" ref="Z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AA3" s="311">
        <f t="shared" ref="AA3:AA12" si="0">SUM(E3:Z3)</f>
        <v>0</v>
      </c>
      <c r="AF3" s="343" t="s">
        <v>32</v>
      </c>
      <c r="AG3" s="344">
        <v>0</v>
      </c>
      <c r="AH3" s="345">
        <f t="shared" ref="AH3" si="1">AG3/$B$6</f>
        <v>0</v>
      </c>
      <c r="AJ3" s="323"/>
      <c r="AK3" s="323"/>
    </row>
    <row r="4" spans="1:38" ht="20.100000000000001" customHeight="1" x14ac:dyDescent="0.2">
      <c r="A4" s="95" t="s">
        <v>23</v>
      </c>
      <c r="B4" s="168">
        <v>8</v>
      </c>
      <c r="D4" s="353" t="str" cm="1">
        <f t="array" ref="D4">IF(ROW(2:2)&lt;=$K$23, (ROW(2:2)), "")</f>
        <v/>
      </c>
      <c r="E4" s="156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56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56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56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56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56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56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56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5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156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156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156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156" cm="1">
        <f t="array" ref="Q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R4" s="156" cm="1">
        <f t="array" ref="R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S4" s="156" cm="1">
        <f t="array" ref="S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T4" s="156" cm="1">
        <f t="array" ref="T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U4" s="156" cm="1">
        <f t="array" ref="U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V4" s="156" cm="1">
        <f t="array" ref="V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W4" s="156" cm="1">
        <f t="array" ref="W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X4" s="156" cm="1">
        <f t="array" ref="X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Y4" s="157" cm="1">
        <f t="array" ref="Y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Z4" s="158" cm="1">
        <f t="array" ref="Z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AA4" s="311">
        <f t="shared" si="0"/>
        <v>0</v>
      </c>
      <c r="AF4" s="346" t="s">
        <v>33</v>
      </c>
      <c r="AG4" s="473"/>
      <c r="AH4" s="348" t="e">
        <f t="shared" ref="AH4:AH13" si="2">IF(OR(AG4=0, AG4=""), NA(), AG4/$B$6)</f>
        <v>#N/A</v>
      </c>
      <c r="AJ4" s="318" t="s">
        <v>45</v>
      </c>
      <c r="AK4" s="371" t="e">
        <f t="shared" ref="AK4:AK13" si="3">IF(AG4&lt;&gt;0,AG4-AG3,NA())</f>
        <v>#N/A</v>
      </c>
    </row>
    <row r="5" spans="1:38" ht="20.100000000000001" customHeight="1" x14ac:dyDescent="0.2">
      <c r="A5" s="96" t="s">
        <v>24</v>
      </c>
      <c r="B5" s="187" t="s">
        <v>28</v>
      </c>
      <c r="D5" s="353" t="str" cm="1">
        <f t="array" ref="D5">IF(ROW(3:3)&lt;=$K$23, (ROW(3:3)), "")</f>
        <v/>
      </c>
      <c r="E5" s="156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56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56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56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56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56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56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5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5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156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156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156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156" cm="1">
        <f t="array" ref="Q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R5" s="156" cm="1">
        <f t="array" ref="R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S5" s="156" cm="1">
        <f t="array" ref="S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T5" s="156" cm="1">
        <f t="array" ref="T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U5" s="156" cm="1">
        <f t="array" ref="U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V5" s="156" cm="1">
        <f t="array" ref="V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W5" s="156" cm="1">
        <f t="array" ref="W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X5" s="156" cm="1">
        <f t="array" ref="X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Y5" s="173" cm="1">
        <f t="array" ref="Y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Z5" s="174" cm="1">
        <f t="array" ref="Z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AA5" s="311">
        <f t="shared" si="0"/>
        <v>0</v>
      </c>
      <c r="AD5" s="231"/>
      <c r="AE5" s="232"/>
      <c r="AF5" s="346" t="s">
        <v>34</v>
      </c>
      <c r="AG5" s="473"/>
      <c r="AH5" s="348" t="e">
        <f t="shared" si="2"/>
        <v>#N/A</v>
      </c>
      <c r="AJ5" s="319" t="s">
        <v>46</v>
      </c>
      <c r="AK5" s="372" t="e">
        <f t="shared" si="3"/>
        <v>#N/A</v>
      </c>
    </row>
    <row r="6" spans="1:38" ht="20.100000000000001" customHeight="1" x14ac:dyDescent="0.2">
      <c r="A6" s="96" t="s">
        <v>0</v>
      </c>
      <c r="B6" s="188">
        <v>620</v>
      </c>
      <c r="D6" s="353" t="str" cm="1">
        <f t="array" ref="D6">IF(ROW(4:4)&lt;=$K$23, (ROW(4:4)), "")</f>
        <v/>
      </c>
      <c r="E6" s="156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56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56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56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56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56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56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5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5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156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156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156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156" cm="1">
        <f t="array" ref="Q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R6" s="156" cm="1">
        <f t="array" ref="R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S6" s="156" cm="1">
        <f t="array" ref="S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T6" s="156" cm="1">
        <f t="array" ref="T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U6" s="156" cm="1">
        <f t="array" ref="U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V6" s="156" cm="1">
        <f t="array" ref="V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W6" s="156" cm="1">
        <f t="array" ref="W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X6" s="156" cm="1">
        <f t="array" ref="X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Y6" s="173" cm="1">
        <f t="array" ref="Y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Z6" s="174" cm="1">
        <f t="array" ref="Z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AA6" s="311">
        <f t="shared" si="0"/>
        <v>0</v>
      </c>
      <c r="AD6" s="231"/>
      <c r="AE6" s="232"/>
      <c r="AF6" s="346" t="s">
        <v>35</v>
      </c>
      <c r="AG6" s="473"/>
      <c r="AH6" s="348" t="e">
        <f t="shared" si="2"/>
        <v>#N/A</v>
      </c>
      <c r="AJ6" s="319" t="s">
        <v>47</v>
      </c>
      <c r="AK6" s="372" t="e">
        <f t="shared" si="3"/>
        <v>#N/A</v>
      </c>
    </row>
    <row r="7" spans="1:38" ht="20.100000000000001" customHeight="1" x14ac:dyDescent="0.2">
      <c r="A7" s="96" t="s">
        <v>2</v>
      </c>
      <c r="B7" s="165">
        <f>MAX(AG4:AG15)</f>
        <v>0</v>
      </c>
      <c r="D7" s="353" t="str" cm="1">
        <f t="array" ref="D7">IF(ROW(5:5)&lt;=$K$23, (ROW(5:5)), "")</f>
        <v/>
      </c>
      <c r="E7" s="156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56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56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56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56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56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56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56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5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156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156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156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156" cm="1">
        <f t="array" ref="Q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R7" s="156" cm="1">
        <f t="array" ref="R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S7" s="156" cm="1">
        <f t="array" ref="S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T7" s="156" cm="1">
        <f t="array" ref="T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U7" s="156" cm="1">
        <f t="array" ref="U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V7" s="156" cm="1">
        <f t="array" ref="V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W7" s="156" cm="1">
        <f t="array" ref="W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X7" s="156" cm="1">
        <f t="array" ref="X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Y7" s="157" cm="1">
        <f t="array" ref="Y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Z7" s="158" cm="1">
        <f t="array" ref="Z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AA7" s="311">
        <f t="shared" si="0"/>
        <v>0</v>
      </c>
      <c r="AD7" s="231"/>
      <c r="AE7" s="232"/>
      <c r="AF7" s="346" t="s">
        <v>36</v>
      </c>
      <c r="AG7" s="473"/>
      <c r="AH7" s="348" t="e">
        <f t="shared" si="2"/>
        <v>#N/A</v>
      </c>
      <c r="AJ7" s="319" t="s">
        <v>54</v>
      </c>
      <c r="AK7" s="372" t="e">
        <f t="shared" si="3"/>
        <v>#N/A</v>
      </c>
    </row>
    <row r="8" spans="1:38" ht="20.100000000000001" customHeight="1" x14ac:dyDescent="0.2">
      <c r="A8" s="96" t="s">
        <v>1</v>
      </c>
      <c r="B8" s="166">
        <f>B7</f>
        <v>0</v>
      </c>
      <c r="D8" s="353" t="str" cm="1">
        <f t="array" ref="D8">IF(ROW(6:6)&lt;=$K$23, (ROW(6:6)), "")</f>
        <v/>
      </c>
      <c r="E8" s="156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56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56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56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56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56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56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56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5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156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156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156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156" cm="1">
        <f t="array" ref="Q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R8" s="156" cm="1">
        <f t="array" ref="R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S8" s="156" cm="1">
        <f t="array" ref="S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T8" s="156" cm="1">
        <f t="array" ref="T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U8" s="156" cm="1">
        <f t="array" ref="U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V8" s="156" cm="1">
        <f t="array" ref="V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W8" s="156" cm="1">
        <f t="array" ref="W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X8" s="156" cm="1">
        <f t="array" ref="X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Y8" s="157" cm="1">
        <f t="array" ref="Y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Z8" s="158" cm="1">
        <f t="array" ref="Z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AA8" s="311">
        <f t="shared" si="0"/>
        <v>0</v>
      </c>
      <c r="AD8" s="231"/>
      <c r="AE8" s="232"/>
      <c r="AF8" s="346" t="s">
        <v>37</v>
      </c>
      <c r="AG8" s="473"/>
      <c r="AH8" s="348" t="e">
        <f t="shared" si="2"/>
        <v>#N/A</v>
      </c>
      <c r="AJ8" s="319" t="s">
        <v>48</v>
      </c>
      <c r="AK8" s="372" t="e">
        <f t="shared" si="3"/>
        <v>#N/A</v>
      </c>
    </row>
    <row r="9" spans="1:38" ht="20.100000000000001" customHeight="1" thickBot="1" x14ac:dyDescent="0.25">
      <c r="A9" s="97" t="s">
        <v>17</v>
      </c>
      <c r="B9" s="167">
        <f>B6-B7</f>
        <v>620</v>
      </c>
      <c r="D9" s="353" t="str" cm="1">
        <f t="array" ref="D9">IF(ROW(7:7)&lt;=$K$23, (ROW(7:7)), "")</f>
        <v/>
      </c>
      <c r="E9" s="156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56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56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56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56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56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56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56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56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156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156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156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156" cm="1">
        <f t="array" ref="Q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R9" s="156" cm="1">
        <f t="array" ref="R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S9" s="156" cm="1">
        <f t="array" ref="S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T9" s="156" cm="1">
        <f t="array" ref="T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U9" s="156" cm="1">
        <f t="array" ref="U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V9" s="156" cm="1">
        <f t="array" ref="V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W9" s="156" cm="1">
        <f t="array" ref="W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X9" s="156" cm="1">
        <f t="array" ref="X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Y9" s="159" cm="1">
        <f t="array" ref="Y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Z9" s="160" cm="1">
        <f t="array" ref="Z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AA9" s="311">
        <f t="shared" si="0"/>
        <v>0</v>
      </c>
      <c r="AD9" s="231"/>
      <c r="AE9" s="232"/>
      <c r="AF9" s="346" t="s">
        <v>38</v>
      </c>
      <c r="AG9" s="473"/>
      <c r="AH9" s="348" t="e">
        <f t="shared" si="2"/>
        <v>#N/A</v>
      </c>
      <c r="AJ9" s="319" t="s">
        <v>49</v>
      </c>
      <c r="AK9" s="372" t="e">
        <f t="shared" si="3"/>
        <v>#N/A</v>
      </c>
    </row>
    <row r="10" spans="1:38" ht="20.100000000000001" customHeight="1" x14ac:dyDescent="0.2">
      <c r="A10" s="435" t="s">
        <v>60</v>
      </c>
      <c r="B10" s="435"/>
      <c r="D10" s="353" t="str" cm="1">
        <f t="array" ref="D10">IF(ROW(8:8)&lt;=$K$23, (ROW(8:8)), "")</f>
        <v/>
      </c>
      <c r="E10" s="156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56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56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56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56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56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56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56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56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156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156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156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156" cm="1">
        <f t="array" ref="Q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R10" s="156" cm="1">
        <f t="array" ref="R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S10" s="156" cm="1">
        <f t="array" ref="S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T10" s="156" cm="1">
        <f t="array" ref="T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U10" s="156" cm="1">
        <f t="array" ref="U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V10" s="156" cm="1">
        <f t="array" ref="V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W10" s="156" cm="1">
        <f t="array" ref="W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X10" s="156" cm="1">
        <f t="array" ref="X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Y10" s="159" cm="1">
        <f t="array" ref="Y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Z10" s="160" cm="1">
        <f t="array" ref="Z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AA10" s="311">
        <f t="shared" si="0"/>
        <v>0</v>
      </c>
      <c r="AD10" s="231"/>
      <c r="AE10" s="232"/>
      <c r="AF10" s="346" t="s">
        <v>39</v>
      </c>
      <c r="AG10" s="473"/>
      <c r="AH10" s="348" t="e">
        <f t="shared" si="2"/>
        <v>#N/A</v>
      </c>
      <c r="AJ10" s="319" t="s">
        <v>50</v>
      </c>
      <c r="AK10" s="372" t="e">
        <f t="shared" si="3"/>
        <v>#N/A</v>
      </c>
    </row>
    <row r="11" spans="1:38" ht="20.100000000000001" customHeight="1" x14ac:dyDescent="0.2">
      <c r="A11" s="436"/>
      <c r="B11" s="436"/>
      <c r="D11" s="353" t="str" cm="1">
        <f t="array" ref="D11">IF(ROW(9:9)&lt;=$K$23, (ROW(9:9)), "")</f>
        <v/>
      </c>
      <c r="E11" s="156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56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56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56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56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56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56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56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56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156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156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156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156" cm="1">
        <f t="array" ref="Q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R11" s="156" cm="1">
        <f t="array" ref="R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S11" s="156" cm="1">
        <f t="array" ref="S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T11" s="156" cm="1">
        <f t="array" ref="T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U11" s="156" cm="1">
        <f t="array" ref="U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V11" s="156" cm="1">
        <f t="array" ref="V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W11" s="156" cm="1">
        <f t="array" ref="W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X11" s="156">
        <v>0</v>
      </c>
      <c r="Y11" s="159" cm="1">
        <f t="array" ref="Y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Z11" s="160" cm="1">
        <f t="array" ref="Z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AA11" s="311">
        <f t="shared" si="0"/>
        <v>0</v>
      </c>
      <c r="AD11" s="231"/>
      <c r="AE11" s="232"/>
      <c r="AF11" s="346" t="s">
        <v>40</v>
      </c>
      <c r="AG11" s="473"/>
      <c r="AH11" s="348" t="e">
        <f t="shared" si="2"/>
        <v>#N/A</v>
      </c>
      <c r="AJ11" s="319" t="s">
        <v>51</v>
      </c>
      <c r="AK11" s="372" t="e">
        <f t="shared" si="3"/>
        <v>#N/A</v>
      </c>
    </row>
    <row r="12" spans="1:38" ht="20.100000000000001" customHeight="1" thickBot="1" x14ac:dyDescent="0.25">
      <c r="A12" s="437" t="s">
        <v>61</v>
      </c>
      <c r="B12" s="437"/>
      <c r="D12" s="354" t="str" cm="1">
        <f t="array" ref="D12">IF(ROW(10:10)&lt;=$K$23, (ROW(10:10)), "")</f>
        <v/>
      </c>
      <c r="E12" s="156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56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56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56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56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56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56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56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56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156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156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156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156" cm="1">
        <f t="array" ref="Q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R12" s="156" cm="1">
        <f t="array" ref="R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S12" s="156" cm="1">
        <f t="array" ref="S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T12" s="156" cm="1">
        <f t="array" ref="T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U12" s="156" cm="1">
        <f t="array" ref="U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V12" s="156" cm="1">
        <f t="array" ref="V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W12" s="156" cm="1">
        <f t="array" ref="W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X12" s="156" cm="1">
        <f t="array" ref="X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Y12" s="175" cm="1">
        <f t="array" ref="Y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Z12" s="176" cm="1">
        <f t="array" ref="Z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AA12" s="311">
        <f t="shared" si="0"/>
        <v>0</v>
      </c>
      <c r="AD12" s="231"/>
      <c r="AE12" s="232"/>
      <c r="AF12" s="346" t="s">
        <v>41</v>
      </c>
      <c r="AG12" s="473"/>
      <c r="AH12" s="348" t="e">
        <f t="shared" si="2"/>
        <v>#N/A</v>
      </c>
      <c r="AJ12" s="319" t="s">
        <v>52</v>
      </c>
      <c r="AK12" s="372" t="e">
        <f t="shared" si="3"/>
        <v>#N/A</v>
      </c>
    </row>
    <row r="13" spans="1:38" ht="20.100000000000001" customHeight="1" thickBot="1" x14ac:dyDescent="0.3">
      <c r="A13" s="437"/>
      <c r="B13" s="437"/>
      <c r="D13" s="50" t="s">
        <v>9</v>
      </c>
      <c r="E13" s="161">
        <f t="shared" ref="E13:AA13" si="4">SUM(E3:E12)</f>
        <v>0</v>
      </c>
      <c r="F13" s="162">
        <f t="shared" si="4"/>
        <v>0</v>
      </c>
      <c r="G13" s="162">
        <f t="shared" si="4"/>
        <v>0</v>
      </c>
      <c r="H13" s="162">
        <f t="shared" si="4"/>
        <v>0</v>
      </c>
      <c r="I13" s="162">
        <f t="shared" si="4"/>
        <v>0</v>
      </c>
      <c r="J13" s="162">
        <f t="shared" si="4"/>
        <v>0</v>
      </c>
      <c r="K13" s="162">
        <f t="shared" si="4"/>
        <v>0</v>
      </c>
      <c r="L13" s="162">
        <f t="shared" si="4"/>
        <v>0</v>
      </c>
      <c r="M13" s="162">
        <f t="shared" si="4"/>
        <v>0</v>
      </c>
      <c r="N13" s="162">
        <f t="shared" si="4"/>
        <v>0</v>
      </c>
      <c r="O13" s="162">
        <f t="shared" si="4"/>
        <v>0</v>
      </c>
      <c r="P13" s="162">
        <f t="shared" si="4"/>
        <v>0</v>
      </c>
      <c r="Q13" s="162">
        <f t="shared" si="4"/>
        <v>0</v>
      </c>
      <c r="R13" s="162">
        <f t="shared" si="4"/>
        <v>0</v>
      </c>
      <c r="S13" s="162">
        <f t="shared" si="4"/>
        <v>0</v>
      </c>
      <c r="T13" s="162">
        <f t="shared" si="4"/>
        <v>0</v>
      </c>
      <c r="U13" s="162">
        <f t="shared" si="4"/>
        <v>0</v>
      </c>
      <c r="V13" s="162">
        <f t="shared" si="4"/>
        <v>0</v>
      </c>
      <c r="W13" s="162">
        <f t="shared" si="4"/>
        <v>0</v>
      </c>
      <c r="X13" s="162">
        <f t="shared" si="4"/>
        <v>0</v>
      </c>
      <c r="Y13" s="163">
        <f t="shared" si="4"/>
        <v>0</v>
      </c>
      <c r="Z13" s="164">
        <f t="shared" si="4"/>
        <v>0</v>
      </c>
      <c r="AA13" s="312">
        <f t="shared" si="4"/>
        <v>0</v>
      </c>
      <c r="AD13" s="231"/>
      <c r="AE13" s="232"/>
      <c r="AF13" s="346" t="s">
        <v>42</v>
      </c>
      <c r="AG13" s="473"/>
      <c r="AH13" s="348" t="e">
        <f t="shared" si="2"/>
        <v>#N/A</v>
      </c>
      <c r="AJ13" s="320" t="s">
        <v>53</v>
      </c>
      <c r="AK13" s="373" t="e">
        <f t="shared" si="3"/>
        <v>#N/A</v>
      </c>
    </row>
    <row r="14" spans="1:38" ht="20.100000000000001" customHeight="1" thickBot="1" x14ac:dyDescent="0.3">
      <c r="A14" s="437"/>
      <c r="B14" s="437"/>
      <c r="D14" s="83" t="s">
        <v>10</v>
      </c>
      <c r="E14" s="45">
        <f t="shared" ref="E14:AA14" si="5">IFERROR(E13/$B$7,0)</f>
        <v>0</v>
      </c>
      <c r="F14" s="46">
        <f t="shared" si="5"/>
        <v>0</v>
      </c>
      <c r="G14" s="46">
        <f t="shared" si="5"/>
        <v>0</v>
      </c>
      <c r="H14" s="46">
        <f t="shared" si="5"/>
        <v>0</v>
      </c>
      <c r="I14" s="46">
        <f t="shared" si="5"/>
        <v>0</v>
      </c>
      <c r="J14" s="46">
        <f t="shared" si="5"/>
        <v>0</v>
      </c>
      <c r="K14" s="46">
        <f t="shared" si="5"/>
        <v>0</v>
      </c>
      <c r="L14" s="46">
        <f t="shared" si="5"/>
        <v>0</v>
      </c>
      <c r="M14" s="46">
        <f t="shared" si="5"/>
        <v>0</v>
      </c>
      <c r="N14" s="46">
        <f t="shared" si="5"/>
        <v>0</v>
      </c>
      <c r="O14" s="46">
        <f t="shared" si="5"/>
        <v>0</v>
      </c>
      <c r="P14" s="46">
        <f t="shared" si="5"/>
        <v>0</v>
      </c>
      <c r="Q14" s="46">
        <f t="shared" si="5"/>
        <v>0</v>
      </c>
      <c r="R14" s="46">
        <f t="shared" si="5"/>
        <v>0</v>
      </c>
      <c r="S14" s="46">
        <f t="shared" si="5"/>
        <v>0</v>
      </c>
      <c r="T14" s="46">
        <f t="shared" si="5"/>
        <v>0</v>
      </c>
      <c r="U14" s="46">
        <f t="shared" si="5"/>
        <v>0</v>
      </c>
      <c r="V14" s="46">
        <f t="shared" si="5"/>
        <v>0</v>
      </c>
      <c r="W14" s="46">
        <f t="shared" si="5"/>
        <v>0</v>
      </c>
      <c r="X14" s="46">
        <f t="shared" si="5"/>
        <v>0</v>
      </c>
      <c r="Y14" s="45">
        <f t="shared" si="5"/>
        <v>0</v>
      </c>
      <c r="Z14" s="47">
        <f t="shared" si="5"/>
        <v>0</v>
      </c>
      <c r="AA14" s="322">
        <f t="shared" si="5"/>
        <v>0</v>
      </c>
      <c r="AF14" s="377" t="s">
        <v>43</v>
      </c>
      <c r="AG14" s="474"/>
      <c r="AH14" s="350" t="e">
        <f>IF(OR(AG14=0, AG14=""), NA(), AG14/$B$6)</f>
        <v>#N/A</v>
      </c>
      <c r="AI14" s="375"/>
      <c r="AJ14" s="379" t="s">
        <v>55</v>
      </c>
      <c r="AK14" s="374" t="e">
        <f>IF(AG14&lt;&gt;0,AG14-AG13,NA())</f>
        <v>#N/A</v>
      </c>
      <c r="AL14" s="375"/>
    </row>
    <row r="15" spans="1:38" ht="18" customHeight="1" thickBot="1" x14ac:dyDescent="0.25">
      <c r="A15" s="438" t="s">
        <v>68</v>
      </c>
      <c r="B15" s="438"/>
      <c r="C15" s="1"/>
      <c r="D15" s="1"/>
      <c r="AA15" s="321"/>
      <c r="AF15" s="317" t="s">
        <v>44</v>
      </c>
      <c r="AG15" s="475"/>
      <c r="AH15" s="376" t="e">
        <f>IF(OR(AG15=0, AG15=""), NA(), AG15/$B$6)</f>
        <v>#N/A</v>
      </c>
      <c r="AJ15" s="380" t="s">
        <v>56</v>
      </c>
      <c r="AK15" s="378" t="e">
        <f>IF(AG15&lt;&gt;0,AG15-AG14,NA())</f>
        <v>#N/A</v>
      </c>
      <c r="AL15" s="375"/>
    </row>
    <row r="16" spans="1:38" ht="12.75" customHeight="1" x14ac:dyDescent="0.2">
      <c r="A16" s="438"/>
      <c r="B16" s="438"/>
      <c r="AF16" s="321"/>
      <c r="AG16" s="321"/>
      <c r="AH16" s="321"/>
      <c r="AK16" s="321"/>
    </row>
    <row r="17" spans="1:11" ht="18" customHeight="1" x14ac:dyDescent="0.25">
      <c r="A17" s="438"/>
      <c r="B17" s="438"/>
      <c r="E17" s="230"/>
    </row>
    <row r="18" spans="1:11" ht="26.25" customHeight="1" x14ac:dyDescent="0.2">
      <c r="A18" s="438"/>
      <c r="B18" s="438"/>
    </row>
    <row r="23" spans="1:11" x14ac:dyDescent="0.2">
      <c r="H23" s="177" t="s">
        <v>64</v>
      </c>
      <c r="J23" s="245">
        <f>CEILING($B$6, 100)/100</f>
        <v>7</v>
      </c>
      <c r="K23" s="245">
        <f>CEILING($B$7,100)/100</f>
        <v>0</v>
      </c>
    </row>
    <row r="24" spans="1:11" x14ac:dyDescent="0.2">
      <c r="H24" s="178">
        <f>IF((ROW()-23)&lt;=$K$24,(ROW()-23),"Choisir")</f>
        <v>1</v>
      </c>
      <c r="J24" s="245">
        <f>MOD($B$7,100)</f>
        <v>0</v>
      </c>
      <c r="K24" s="246">
        <f>CEILING($B$6/300,1)</f>
        <v>3</v>
      </c>
    </row>
    <row r="25" spans="1:11" x14ac:dyDescent="0.2">
      <c r="H25" s="178">
        <f>IF((ROW()-23)&lt;=$K$24,(ROW()-23),"Choisir")</f>
        <v>2</v>
      </c>
    </row>
    <row r="26" spans="1:11" x14ac:dyDescent="0.2">
      <c r="H26" s="178">
        <f>IF((ROW()-23)&lt;=$K$24,(ROW()-23),"Choisir")</f>
        <v>3</v>
      </c>
    </row>
    <row r="27" spans="1:11" x14ac:dyDescent="0.2">
      <c r="H27" s="178" t="str">
        <f>IF((ROW()-23)&lt;=$K$24,(ROW()-23),"Choisir")</f>
        <v>Choisir</v>
      </c>
    </row>
    <row r="46" spans="4:27" x14ac:dyDescent="0.2">
      <c r="E46" s="169"/>
    </row>
    <row r="47" spans="4:27" ht="13.5" thickBot="1" x14ac:dyDescent="0.25">
      <c r="E47" s="169"/>
    </row>
    <row r="48" spans="4:27" ht="20.100000000000001" customHeight="1" thickBot="1" x14ac:dyDescent="0.25">
      <c r="D48" s="235" t="s">
        <v>78</v>
      </c>
      <c r="E48" s="429" t="s">
        <v>102</v>
      </c>
      <c r="F48" s="430"/>
      <c r="G48" s="430"/>
      <c r="H48" s="430"/>
      <c r="I48" s="430"/>
      <c r="J48" s="430"/>
      <c r="K48" s="430"/>
      <c r="L48" s="430"/>
      <c r="M48" s="430"/>
      <c r="N48" s="430"/>
      <c r="O48" s="430"/>
      <c r="P48" s="430"/>
      <c r="Q48" s="430"/>
      <c r="R48" s="430"/>
      <c r="S48" s="430"/>
      <c r="T48" s="430"/>
      <c r="U48" s="430"/>
      <c r="V48" s="430"/>
      <c r="W48" s="430"/>
      <c r="X48" s="430"/>
      <c r="Y48" s="430"/>
      <c r="Z48" s="431"/>
      <c r="AA48" s="381" t="s">
        <v>7</v>
      </c>
    </row>
    <row r="49" spans="3:27" ht="47.25" customHeight="1" thickBot="1" x14ac:dyDescent="0.25">
      <c r="C49" s="233"/>
      <c r="D49" s="359" t="s">
        <v>81</v>
      </c>
      <c r="E49" s="455" t="s">
        <v>69</v>
      </c>
      <c r="F49" s="399" t="s">
        <v>99</v>
      </c>
      <c r="G49" s="395" t="s">
        <v>70</v>
      </c>
      <c r="H49" s="456" t="s">
        <v>71</v>
      </c>
      <c r="I49" s="457" t="s">
        <v>72</v>
      </c>
      <c r="J49" s="458" t="s">
        <v>73</v>
      </c>
      <c r="K49" s="459" t="s">
        <v>74</v>
      </c>
      <c r="L49" s="398" t="s">
        <v>75</v>
      </c>
      <c r="M49" s="460" t="s">
        <v>76</v>
      </c>
      <c r="N49" s="461" t="s">
        <v>77</v>
      </c>
      <c r="O49" s="400" t="s">
        <v>105</v>
      </c>
      <c r="P49" s="462" t="s">
        <v>106</v>
      </c>
      <c r="Q49" s="396" t="s">
        <v>107</v>
      </c>
      <c r="R49" s="463" t="s">
        <v>108</v>
      </c>
      <c r="S49" s="464" t="s">
        <v>109</v>
      </c>
      <c r="T49" s="465" t="s">
        <v>110</v>
      </c>
      <c r="U49" s="466" t="s">
        <v>111</v>
      </c>
      <c r="V49" s="397" t="s">
        <v>112</v>
      </c>
      <c r="W49" s="467" t="s">
        <v>113</v>
      </c>
      <c r="X49" s="468" t="s">
        <v>114</v>
      </c>
      <c r="Y49" s="471" t="s">
        <v>3</v>
      </c>
      <c r="Z49" s="472" t="s">
        <v>4</v>
      </c>
      <c r="AA49" s="383" t="s">
        <v>103</v>
      </c>
    </row>
    <row r="50" spans="3:27" ht="19.5" customHeight="1" x14ac:dyDescent="0.2">
      <c r="C50" s="234"/>
      <c r="D50" s="358" t="s">
        <v>80</v>
      </c>
      <c r="E50" s="313"/>
      <c r="F50" s="314"/>
      <c r="G50" s="314"/>
      <c r="H50" s="314"/>
      <c r="I50" s="314"/>
      <c r="J50" s="314"/>
      <c r="K50" s="314"/>
      <c r="L50" s="314"/>
      <c r="M50" s="314"/>
      <c r="N50" s="314"/>
      <c r="O50" s="314"/>
      <c r="P50" s="314"/>
      <c r="Q50" s="314"/>
      <c r="R50" s="314"/>
      <c r="S50" s="314"/>
      <c r="T50" s="314"/>
      <c r="U50" s="314"/>
      <c r="V50" s="314"/>
      <c r="W50" s="314"/>
      <c r="X50" s="315"/>
      <c r="Y50" s="316"/>
      <c r="Z50" s="315"/>
      <c r="AA50" s="382">
        <f t="shared" ref="AA50:AA59" si="6">SUM(E50:Z50)</f>
        <v>0</v>
      </c>
    </row>
    <row r="51" spans="3:27" ht="20.100000000000001" customHeight="1" x14ac:dyDescent="0.2">
      <c r="C51" s="234"/>
      <c r="D51" s="358" t="s">
        <v>80</v>
      </c>
      <c r="E51" s="313"/>
      <c r="F51" s="314"/>
      <c r="G51" s="314"/>
      <c r="H51" s="314"/>
      <c r="I51" s="314"/>
      <c r="J51" s="314"/>
      <c r="K51" s="314"/>
      <c r="L51" s="314"/>
      <c r="M51" s="314"/>
      <c r="N51" s="314"/>
      <c r="O51" s="314"/>
      <c r="P51" s="314"/>
      <c r="Q51" s="314"/>
      <c r="R51" s="314"/>
      <c r="S51" s="314"/>
      <c r="T51" s="314"/>
      <c r="U51" s="314"/>
      <c r="V51" s="314"/>
      <c r="W51" s="314"/>
      <c r="X51" s="315"/>
      <c r="Y51" s="316"/>
      <c r="Z51" s="315"/>
      <c r="AA51" s="382">
        <f t="shared" si="6"/>
        <v>0</v>
      </c>
    </row>
    <row r="52" spans="3:27" ht="20.100000000000001" customHeight="1" x14ac:dyDescent="0.2">
      <c r="C52" s="234"/>
      <c r="D52" s="358" t="s">
        <v>80</v>
      </c>
      <c r="E52" s="313"/>
      <c r="F52" s="314"/>
      <c r="G52" s="314"/>
      <c r="H52" s="314"/>
      <c r="I52" s="314"/>
      <c r="J52" s="314"/>
      <c r="K52" s="314"/>
      <c r="L52" s="314"/>
      <c r="M52" s="314"/>
      <c r="N52" s="314"/>
      <c r="O52" s="314"/>
      <c r="P52" s="314"/>
      <c r="Q52" s="314"/>
      <c r="R52" s="314"/>
      <c r="S52" s="314"/>
      <c r="T52" s="314"/>
      <c r="U52" s="314"/>
      <c r="V52" s="314"/>
      <c r="W52" s="314"/>
      <c r="X52" s="315"/>
      <c r="Y52" s="316"/>
      <c r="Z52" s="315"/>
      <c r="AA52" s="382">
        <f t="shared" si="6"/>
        <v>0</v>
      </c>
    </row>
    <row r="53" spans="3:27" ht="20.100000000000001" customHeight="1" x14ac:dyDescent="0.2">
      <c r="C53" s="234"/>
      <c r="D53" s="358" t="s">
        <v>80</v>
      </c>
      <c r="E53" s="313"/>
      <c r="F53" s="314"/>
      <c r="G53" s="314"/>
      <c r="H53" s="314"/>
      <c r="I53" s="314"/>
      <c r="J53" s="314"/>
      <c r="K53" s="314"/>
      <c r="L53" s="314"/>
      <c r="M53" s="314"/>
      <c r="N53" s="314"/>
      <c r="O53" s="314"/>
      <c r="P53" s="314"/>
      <c r="Q53" s="314"/>
      <c r="R53" s="314"/>
      <c r="S53" s="314"/>
      <c r="T53" s="314"/>
      <c r="U53" s="314"/>
      <c r="V53" s="314"/>
      <c r="W53" s="314"/>
      <c r="X53" s="315"/>
      <c r="Y53" s="316"/>
      <c r="Z53" s="315"/>
      <c r="AA53" s="382">
        <f t="shared" si="6"/>
        <v>0</v>
      </c>
    </row>
    <row r="54" spans="3:27" ht="20.100000000000001" customHeight="1" x14ac:dyDescent="0.2">
      <c r="C54" s="234"/>
      <c r="D54" s="358" t="s">
        <v>80</v>
      </c>
      <c r="E54" s="313"/>
      <c r="F54" s="314"/>
      <c r="G54" s="314"/>
      <c r="H54" s="314"/>
      <c r="I54" s="314"/>
      <c r="J54" s="314"/>
      <c r="K54" s="314"/>
      <c r="L54" s="314"/>
      <c r="M54" s="314"/>
      <c r="N54" s="314"/>
      <c r="O54" s="314"/>
      <c r="P54" s="314"/>
      <c r="Q54" s="314"/>
      <c r="R54" s="314"/>
      <c r="S54" s="314"/>
      <c r="T54" s="314"/>
      <c r="U54" s="314"/>
      <c r="V54" s="314"/>
      <c r="W54" s="314"/>
      <c r="X54" s="315"/>
      <c r="Y54" s="316"/>
      <c r="Z54" s="315"/>
      <c r="AA54" s="382">
        <f t="shared" si="6"/>
        <v>0</v>
      </c>
    </row>
    <row r="55" spans="3:27" ht="20.100000000000001" customHeight="1" x14ac:dyDescent="0.2">
      <c r="C55" s="234"/>
      <c r="D55" s="358" t="s">
        <v>80</v>
      </c>
      <c r="E55" s="313"/>
      <c r="F55" s="314"/>
      <c r="G55" s="314"/>
      <c r="H55" s="314"/>
      <c r="I55" s="314"/>
      <c r="J55" s="314"/>
      <c r="K55" s="314"/>
      <c r="L55" s="314"/>
      <c r="M55" s="314"/>
      <c r="N55" s="314"/>
      <c r="O55" s="314"/>
      <c r="P55" s="314"/>
      <c r="Q55" s="314"/>
      <c r="R55" s="314"/>
      <c r="S55" s="314"/>
      <c r="T55" s="314"/>
      <c r="U55" s="314"/>
      <c r="V55" s="314"/>
      <c r="W55" s="314"/>
      <c r="X55" s="315"/>
      <c r="Y55" s="316"/>
      <c r="Z55" s="315"/>
      <c r="AA55" s="382">
        <f t="shared" si="6"/>
        <v>0</v>
      </c>
    </row>
    <row r="56" spans="3:27" ht="20.100000000000001" customHeight="1" x14ac:dyDescent="0.2">
      <c r="C56" s="234"/>
      <c r="D56" s="358" t="s">
        <v>80</v>
      </c>
      <c r="E56" s="313"/>
      <c r="F56" s="314"/>
      <c r="G56" s="314"/>
      <c r="H56" s="314"/>
      <c r="I56" s="314"/>
      <c r="J56" s="314"/>
      <c r="K56" s="314"/>
      <c r="L56" s="314"/>
      <c r="M56" s="314"/>
      <c r="N56" s="314"/>
      <c r="O56" s="314"/>
      <c r="P56" s="314"/>
      <c r="Q56" s="314"/>
      <c r="R56" s="314"/>
      <c r="S56" s="314"/>
      <c r="T56" s="314"/>
      <c r="U56" s="314"/>
      <c r="V56" s="314"/>
      <c r="W56" s="314"/>
      <c r="X56" s="315"/>
      <c r="Y56" s="316"/>
      <c r="Z56" s="315"/>
      <c r="AA56" s="382">
        <f t="shared" si="6"/>
        <v>0</v>
      </c>
    </row>
    <row r="57" spans="3:27" ht="20.100000000000001" customHeight="1" x14ac:dyDescent="0.2">
      <c r="C57" s="234"/>
      <c r="D57" s="358" t="s">
        <v>80</v>
      </c>
      <c r="E57" s="313"/>
      <c r="F57" s="314"/>
      <c r="G57" s="314"/>
      <c r="H57" s="314"/>
      <c r="I57" s="314"/>
      <c r="J57" s="314"/>
      <c r="K57" s="314"/>
      <c r="L57" s="314"/>
      <c r="M57" s="314"/>
      <c r="N57" s="314"/>
      <c r="O57" s="314"/>
      <c r="P57" s="314"/>
      <c r="Q57" s="314"/>
      <c r="R57" s="314"/>
      <c r="S57" s="314"/>
      <c r="T57" s="314"/>
      <c r="U57" s="314"/>
      <c r="V57" s="314"/>
      <c r="W57" s="314"/>
      <c r="X57" s="315"/>
      <c r="Y57" s="316"/>
      <c r="Z57" s="315"/>
      <c r="AA57" s="382">
        <f t="shared" si="6"/>
        <v>0</v>
      </c>
    </row>
    <row r="58" spans="3:27" ht="20.100000000000001" customHeight="1" x14ac:dyDescent="0.2">
      <c r="C58" s="234"/>
      <c r="D58" s="358" t="s">
        <v>80</v>
      </c>
      <c r="E58" s="313"/>
      <c r="F58" s="314"/>
      <c r="G58" s="314"/>
      <c r="H58" s="314"/>
      <c r="I58" s="314"/>
      <c r="J58" s="314"/>
      <c r="K58" s="314"/>
      <c r="L58" s="314"/>
      <c r="M58" s="314"/>
      <c r="N58" s="314"/>
      <c r="O58" s="314"/>
      <c r="P58" s="314"/>
      <c r="Q58" s="314"/>
      <c r="R58" s="314"/>
      <c r="S58" s="314"/>
      <c r="T58" s="314"/>
      <c r="U58" s="314"/>
      <c r="V58" s="314"/>
      <c r="W58" s="314"/>
      <c r="X58" s="315"/>
      <c r="Y58" s="316"/>
      <c r="Z58" s="315"/>
      <c r="AA58" s="382">
        <f t="shared" si="6"/>
        <v>0</v>
      </c>
    </row>
    <row r="59" spans="3:27" ht="20.100000000000001" customHeight="1" thickBot="1" x14ac:dyDescent="0.25">
      <c r="C59" s="234"/>
      <c r="D59" s="362" t="s">
        <v>80</v>
      </c>
      <c r="E59" s="363"/>
      <c r="F59" s="364"/>
      <c r="G59" s="364"/>
      <c r="H59" s="364"/>
      <c r="I59" s="364"/>
      <c r="J59" s="364"/>
      <c r="K59" s="364"/>
      <c r="L59" s="364"/>
      <c r="M59" s="364"/>
      <c r="N59" s="364"/>
      <c r="O59" s="364"/>
      <c r="P59" s="364"/>
      <c r="Q59" s="364"/>
      <c r="R59" s="364"/>
      <c r="S59" s="364"/>
      <c r="T59" s="364"/>
      <c r="U59" s="364"/>
      <c r="V59" s="364"/>
      <c r="W59" s="364"/>
      <c r="X59" s="365"/>
      <c r="Y59" s="366"/>
      <c r="Z59" s="365"/>
      <c r="AA59" s="382">
        <f t="shared" si="6"/>
        <v>0</v>
      </c>
    </row>
    <row r="60" spans="3:27" x14ac:dyDescent="0.2">
      <c r="AA60" s="321"/>
    </row>
    <row r="63" spans="3:27" ht="18" x14ac:dyDescent="0.25">
      <c r="E63" s="230"/>
    </row>
    <row r="65" spans="4:27" ht="13.5" thickBot="1" x14ac:dyDescent="0.25"/>
    <row r="66" spans="4:27" ht="16.5" customHeight="1" thickBot="1" x14ac:dyDescent="0.25">
      <c r="D66" s="235" t="s">
        <v>79</v>
      </c>
      <c r="E66" s="429" t="s">
        <v>101</v>
      </c>
      <c r="F66" s="430"/>
      <c r="G66" s="430"/>
      <c r="H66" s="430"/>
      <c r="I66" s="430"/>
      <c r="J66" s="430"/>
      <c r="K66" s="430"/>
      <c r="L66" s="430"/>
      <c r="M66" s="430"/>
      <c r="N66" s="430"/>
      <c r="O66" s="430"/>
      <c r="P66" s="430"/>
      <c r="Q66" s="430"/>
      <c r="R66" s="430"/>
      <c r="S66" s="430"/>
      <c r="T66" s="430"/>
      <c r="U66" s="430"/>
      <c r="V66" s="430"/>
      <c r="W66" s="430"/>
      <c r="X66" s="430"/>
      <c r="Y66" s="430"/>
      <c r="Z66" s="431"/>
      <c r="AA66" s="381" t="s">
        <v>7</v>
      </c>
    </row>
    <row r="67" spans="4:27" ht="42" customHeight="1" thickBot="1" x14ac:dyDescent="0.25">
      <c r="D67" s="359" t="s">
        <v>81</v>
      </c>
      <c r="E67" s="455" t="s">
        <v>69</v>
      </c>
      <c r="F67" s="399" t="s">
        <v>99</v>
      </c>
      <c r="G67" s="395" t="s">
        <v>70</v>
      </c>
      <c r="H67" s="456" t="s">
        <v>71</v>
      </c>
      <c r="I67" s="457" t="s">
        <v>72</v>
      </c>
      <c r="J67" s="458" t="s">
        <v>73</v>
      </c>
      <c r="K67" s="459" t="s">
        <v>74</v>
      </c>
      <c r="L67" s="398" t="s">
        <v>75</v>
      </c>
      <c r="M67" s="460" t="s">
        <v>76</v>
      </c>
      <c r="N67" s="461" t="s">
        <v>77</v>
      </c>
      <c r="O67" s="400" t="s">
        <v>105</v>
      </c>
      <c r="P67" s="462" t="s">
        <v>106</v>
      </c>
      <c r="Q67" s="396" t="s">
        <v>107</v>
      </c>
      <c r="R67" s="463" t="s">
        <v>108</v>
      </c>
      <c r="S67" s="464" t="s">
        <v>109</v>
      </c>
      <c r="T67" s="465" t="s">
        <v>110</v>
      </c>
      <c r="U67" s="466" t="s">
        <v>111</v>
      </c>
      <c r="V67" s="397" t="s">
        <v>112</v>
      </c>
      <c r="W67" s="467" t="s">
        <v>113</v>
      </c>
      <c r="X67" s="468" t="s">
        <v>114</v>
      </c>
      <c r="Y67" s="471" t="s">
        <v>3</v>
      </c>
      <c r="Z67" s="472" t="s">
        <v>4</v>
      </c>
      <c r="AA67" s="388" t="s">
        <v>103</v>
      </c>
    </row>
    <row r="68" spans="4:27" ht="20.100000000000001" customHeight="1" x14ac:dyDescent="0.2">
      <c r="D68" s="244" t="s">
        <v>80</v>
      </c>
      <c r="E68" s="237"/>
      <c r="F68" s="238"/>
      <c r="G68" s="238"/>
      <c r="H68" s="238"/>
      <c r="I68" s="238"/>
      <c r="J68" s="238"/>
      <c r="K68" s="238"/>
      <c r="L68" s="238"/>
      <c r="M68" s="238"/>
      <c r="N68" s="238"/>
      <c r="O68" s="238"/>
      <c r="P68" s="238"/>
      <c r="Q68" s="238"/>
      <c r="R68" s="238"/>
      <c r="S68" s="238"/>
      <c r="T68" s="238"/>
      <c r="U68" s="238"/>
      <c r="V68" s="238"/>
      <c r="W68" s="238"/>
      <c r="X68" s="239"/>
      <c r="Y68" s="240"/>
      <c r="Z68" s="239"/>
      <c r="AA68" s="385">
        <f t="shared" ref="AA68:AA72" si="7">SUM(E68:Z68)</f>
        <v>0</v>
      </c>
    </row>
    <row r="69" spans="4:27" ht="20.100000000000001" customHeight="1" x14ac:dyDescent="0.2">
      <c r="D69" s="242" t="s">
        <v>80</v>
      </c>
      <c r="E69" s="179"/>
      <c r="F69" s="180"/>
      <c r="G69" s="180"/>
      <c r="H69" s="180"/>
      <c r="I69" s="180"/>
      <c r="J69" s="180"/>
      <c r="K69" s="180"/>
      <c r="L69" s="180"/>
      <c r="M69" s="180"/>
      <c r="N69" s="180"/>
      <c r="O69" s="180"/>
      <c r="P69" s="180"/>
      <c r="Q69" s="180"/>
      <c r="R69" s="180"/>
      <c r="S69" s="180"/>
      <c r="T69" s="180"/>
      <c r="U69" s="180"/>
      <c r="V69" s="180"/>
      <c r="W69" s="180"/>
      <c r="X69" s="181"/>
      <c r="Y69" s="182"/>
      <c r="Z69" s="181"/>
      <c r="AA69" s="311">
        <f t="shared" si="7"/>
        <v>0</v>
      </c>
    </row>
    <row r="70" spans="4:27" ht="20.100000000000001" customHeight="1" x14ac:dyDescent="0.2">
      <c r="D70" s="242" t="s">
        <v>80</v>
      </c>
      <c r="E70" s="179"/>
      <c r="F70" s="180"/>
      <c r="G70" s="180"/>
      <c r="H70" s="180"/>
      <c r="I70" s="180"/>
      <c r="J70" s="180"/>
      <c r="K70" s="180"/>
      <c r="L70" s="180"/>
      <c r="M70" s="180"/>
      <c r="N70" s="180"/>
      <c r="O70" s="180"/>
      <c r="P70" s="180"/>
      <c r="Q70" s="180"/>
      <c r="R70" s="180"/>
      <c r="S70" s="180"/>
      <c r="T70" s="180"/>
      <c r="U70" s="180"/>
      <c r="V70" s="180"/>
      <c r="W70" s="180"/>
      <c r="X70" s="181"/>
      <c r="Y70" s="182"/>
      <c r="Z70" s="181"/>
      <c r="AA70" s="311">
        <f t="shared" si="7"/>
        <v>0</v>
      </c>
    </row>
    <row r="71" spans="4:27" ht="20.100000000000001" customHeight="1" x14ac:dyDescent="0.2">
      <c r="D71" s="242" t="s">
        <v>80</v>
      </c>
      <c r="E71" s="179"/>
      <c r="F71" s="180"/>
      <c r="G71" s="180"/>
      <c r="H71" s="180"/>
      <c r="I71" s="180"/>
      <c r="J71" s="180"/>
      <c r="K71" s="180"/>
      <c r="L71" s="180"/>
      <c r="M71" s="180"/>
      <c r="N71" s="180"/>
      <c r="O71" s="180"/>
      <c r="P71" s="180"/>
      <c r="Q71" s="180"/>
      <c r="R71" s="180"/>
      <c r="S71" s="180"/>
      <c r="T71" s="180"/>
      <c r="U71" s="180"/>
      <c r="V71" s="180"/>
      <c r="W71" s="180"/>
      <c r="X71" s="181"/>
      <c r="Y71" s="182"/>
      <c r="Z71" s="181"/>
      <c r="AA71" s="311">
        <f t="shared" si="7"/>
        <v>0</v>
      </c>
    </row>
    <row r="72" spans="4:27" ht="20.100000000000001" customHeight="1" thickBot="1" x14ac:dyDescent="0.25">
      <c r="D72" s="243" t="s">
        <v>80</v>
      </c>
      <c r="E72" s="183"/>
      <c r="F72" s="184"/>
      <c r="G72" s="184"/>
      <c r="H72" s="184"/>
      <c r="I72" s="184"/>
      <c r="J72" s="184"/>
      <c r="K72" s="184"/>
      <c r="L72" s="184"/>
      <c r="M72" s="184"/>
      <c r="N72" s="184"/>
      <c r="O72" s="184"/>
      <c r="P72" s="184"/>
      <c r="Q72" s="184"/>
      <c r="R72" s="184"/>
      <c r="S72" s="184"/>
      <c r="T72" s="184"/>
      <c r="U72" s="184"/>
      <c r="V72" s="184"/>
      <c r="W72" s="184"/>
      <c r="X72" s="185"/>
      <c r="Y72" s="186"/>
      <c r="Z72" s="185"/>
      <c r="AA72" s="386">
        <f t="shared" si="7"/>
        <v>0</v>
      </c>
    </row>
    <row r="73" spans="4:27" ht="20.100000000000001" customHeight="1" x14ac:dyDescent="0.2">
      <c r="D73" s="236"/>
      <c r="E73" s="234"/>
      <c r="F73" s="234"/>
      <c r="G73" s="234"/>
      <c r="H73" s="234"/>
      <c r="I73" s="234"/>
      <c r="J73" s="234"/>
      <c r="K73" s="234"/>
      <c r="L73" s="234"/>
      <c r="M73" s="234"/>
      <c r="N73" s="234"/>
      <c r="O73" s="234"/>
      <c r="P73" s="234"/>
      <c r="Q73" s="234"/>
      <c r="R73" s="234"/>
      <c r="S73" s="234"/>
      <c r="T73" s="234"/>
      <c r="U73" s="234"/>
      <c r="V73" s="234"/>
      <c r="W73" s="234"/>
      <c r="X73" s="234"/>
      <c r="Y73" s="234"/>
      <c r="Z73" s="234"/>
    </row>
    <row r="74" spans="4:27" ht="20.100000000000001" customHeight="1" x14ac:dyDescent="0.2">
      <c r="D74" s="236"/>
      <c r="E74" s="234"/>
      <c r="F74" s="234"/>
      <c r="G74" s="234"/>
      <c r="H74" s="234"/>
      <c r="I74" s="234"/>
      <c r="J74" s="234"/>
      <c r="K74" s="234"/>
      <c r="L74" s="234"/>
      <c r="M74" s="234"/>
      <c r="N74" s="234"/>
      <c r="O74" s="234"/>
      <c r="P74" s="234"/>
      <c r="Q74" s="234"/>
      <c r="R74" s="234"/>
      <c r="S74" s="234"/>
      <c r="T74" s="234"/>
      <c r="U74" s="234"/>
      <c r="V74" s="234"/>
      <c r="W74" s="234"/>
      <c r="X74" s="234"/>
      <c r="Y74" s="234"/>
      <c r="Z74" s="234"/>
    </row>
    <row r="75" spans="4:27" ht="20.100000000000001" customHeight="1" thickBot="1" x14ac:dyDescent="0.25">
      <c r="D75" s="236"/>
      <c r="E75" s="234"/>
      <c r="F75" s="234"/>
      <c r="G75" s="234"/>
      <c r="H75" s="234"/>
      <c r="I75" s="234"/>
      <c r="J75" s="234"/>
      <c r="K75" s="234"/>
      <c r="L75" s="234"/>
      <c r="M75" s="234"/>
      <c r="N75" s="234"/>
      <c r="O75" s="234"/>
      <c r="P75" s="234"/>
      <c r="Q75" s="234"/>
      <c r="R75" s="234"/>
      <c r="S75" s="234"/>
      <c r="T75" s="234"/>
      <c r="U75" s="234"/>
      <c r="V75" s="234"/>
      <c r="W75" s="234"/>
      <c r="X75" s="234"/>
      <c r="Y75" s="234"/>
      <c r="Z75" s="234"/>
    </row>
    <row r="76" spans="4:27" ht="20.100000000000001" customHeight="1" thickBot="1" x14ac:dyDescent="0.25">
      <c r="D76" s="235" t="s">
        <v>83</v>
      </c>
      <c r="E76" s="429" t="s">
        <v>100</v>
      </c>
      <c r="F76" s="430"/>
      <c r="G76" s="430"/>
      <c r="H76" s="430"/>
      <c r="I76" s="430"/>
      <c r="J76" s="430"/>
      <c r="K76" s="430"/>
      <c r="L76" s="430"/>
      <c r="M76" s="430"/>
      <c r="N76" s="430"/>
      <c r="O76" s="430"/>
      <c r="P76" s="430"/>
      <c r="Q76" s="430"/>
      <c r="R76" s="430"/>
      <c r="S76" s="430"/>
      <c r="T76" s="430"/>
      <c r="U76" s="430"/>
      <c r="V76" s="430"/>
      <c r="W76" s="430"/>
      <c r="X76" s="430"/>
      <c r="Y76" s="430"/>
      <c r="Z76" s="431"/>
      <c r="AA76" s="387" t="s">
        <v>7</v>
      </c>
    </row>
    <row r="77" spans="4:27" ht="39.75" customHeight="1" thickBot="1" x14ac:dyDescent="0.25">
      <c r="D77" s="359" t="s">
        <v>81</v>
      </c>
      <c r="E77" s="455" t="s">
        <v>69</v>
      </c>
      <c r="F77" s="399" t="s">
        <v>99</v>
      </c>
      <c r="G77" s="395" t="s">
        <v>70</v>
      </c>
      <c r="H77" s="456" t="s">
        <v>71</v>
      </c>
      <c r="I77" s="457" t="s">
        <v>72</v>
      </c>
      <c r="J77" s="458" t="s">
        <v>73</v>
      </c>
      <c r="K77" s="459" t="s">
        <v>74</v>
      </c>
      <c r="L77" s="398" t="s">
        <v>75</v>
      </c>
      <c r="M77" s="460" t="s">
        <v>76</v>
      </c>
      <c r="N77" s="461" t="s">
        <v>77</v>
      </c>
      <c r="O77" s="400" t="s">
        <v>105</v>
      </c>
      <c r="P77" s="462" t="s">
        <v>106</v>
      </c>
      <c r="Q77" s="396" t="s">
        <v>107</v>
      </c>
      <c r="R77" s="463" t="s">
        <v>108</v>
      </c>
      <c r="S77" s="464" t="s">
        <v>109</v>
      </c>
      <c r="T77" s="465" t="s">
        <v>110</v>
      </c>
      <c r="U77" s="466" t="s">
        <v>111</v>
      </c>
      <c r="V77" s="397" t="s">
        <v>112</v>
      </c>
      <c r="W77" s="467" t="s">
        <v>113</v>
      </c>
      <c r="X77" s="468" t="s">
        <v>114</v>
      </c>
      <c r="Y77" s="471" t="s">
        <v>3</v>
      </c>
      <c r="Z77" s="472" t="s">
        <v>4</v>
      </c>
      <c r="AA77" s="384" t="s">
        <v>103</v>
      </c>
    </row>
    <row r="78" spans="4:27" ht="20.100000000000001" customHeight="1" x14ac:dyDescent="0.2">
      <c r="D78" s="244" t="s">
        <v>80</v>
      </c>
      <c r="E78" s="237"/>
      <c r="F78" s="238"/>
      <c r="G78" s="238"/>
      <c r="H78" s="238"/>
      <c r="I78" s="238"/>
      <c r="J78" s="238"/>
      <c r="K78" s="238"/>
      <c r="L78" s="238"/>
      <c r="M78" s="238"/>
      <c r="N78" s="238"/>
      <c r="O78" s="238"/>
      <c r="P78" s="238"/>
      <c r="Q78" s="238"/>
      <c r="R78" s="238"/>
      <c r="S78" s="238"/>
      <c r="T78" s="238"/>
      <c r="U78" s="238"/>
      <c r="V78" s="238"/>
      <c r="W78" s="238"/>
      <c r="X78" s="239"/>
      <c r="Y78" s="240"/>
      <c r="Z78" s="239"/>
      <c r="AA78" s="385">
        <f t="shared" ref="AA78:AA80" si="8">SUM(E78:Z78)</f>
        <v>0</v>
      </c>
    </row>
    <row r="79" spans="4:27" ht="20.100000000000001" customHeight="1" x14ac:dyDescent="0.2">
      <c r="D79" s="242" t="s">
        <v>80</v>
      </c>
      <c r="E79" s="179"/>
      <c r="F79" s="180"/>
      <c r="G79" s="180"/>
      <c r="H79" s="180"/>
      <c r="I79" s="180"/>
      <c r="J79" s="180"/>
      <c r="K79" s="180"/>
      <c r="L79" s="180"/>
      <c r="M79" s="180"/>
      <c r="N79" s="180"/>
      <c r="O79" s="180"/>
      <c r="P79" s="180"/>
      <c r="Q79" s="180"/>
      <c r="R79" s="180"/>
      <c r="S79" s="180"/>
      <c r="T79" s="180"/>
      <c r="U79" s="180"/>
      <c r="V79" s="180"/>
      <c r="W79" s="180"/>
      <c r="X79" s="181"/>
      <c r="Y79" s="182"/>
      <c r="Z79" s="181"/>
      <c r="AA79" s="311">
        <f t="shared" si="8"/>
        <v>0</v>
      </c>
    </row>
    <row r="80" spans="4:27" ht="20.100000000000001" customHeight="1" thickBot="1" x14ac:dyDescent="0.25">
      <c r="D80" s="243" t="s">
        <v>80</v>
      </c>
      <c r="E80" s="183"/>
      <c r="F80" s="184"/>
      <c r="G80" s="184"/>
      <c r="H80" s="184"/>
      <c r="I80" s="184"/>
      <c r="J80" s="184"/>
      <c r="K80" s="184"/>
      <c r="L80" s="184"/>
      <c r="M80" s="184"/>
      <c r="N80" s="184"/>
      <c r="O80" s="184"/>
      <c r="P80" s="184"/>
      <c r="Q80" s="184"/>
      <c r="R80" s="184"/>
      <c r="S80" s="184"/>
      <c r="T80" s="184"/>
      <c r="U80" s="184"/>
      <c r="V80" s="184"/>
      <c r="W80" s="184"/>
      <c r="X80" s="185"/>
      <c r="Y80" s="186"/>
      <c r="Z80" s="185"/>
      <c r="AA80" s="386">
        <f t="shared" si="8"/>
        <v>0</v>
      </c>
    </row>
    <row r="81" spans="4:27" ht="20.100000000000001" customHeight="1" x14ac:dyDescent="0.2">
      <c r="D81" s="236"/>
      <c r="E81" s="234"/>
      <c r="F81" s="234"/>
      <c r="G81" s="234"/>
      <c r="H81" s="234"/>
      <c r="I81" s="234"/>
      <c r="J81" s="234"/>
      <c r="K81" s="234"/>
      <c r="L81" s="234"/>
      <c r="M81" s="234"/>
      <c r="N81" s="234"/>
      <c r="O81" s="234"/>
      <c r="P81" s="234"/>
      <c r="Q81" s="234"/>
      <c r="R81" s="234"/>
      <c r="S81" s="234"/>
      <c r="T81" s="234"/>
      <c r="U81" s="234"/>
      <c r="V81" s="234"/>
      <c r="W81" s="234"/>
      <c r="X81" s="234"/>
      <c r="Y81" s="234"/>
      <c r="Z81" s="234"/>
      <c r="AA81" s="241"/>
    </row>
    <row r="82" spans="4:27" ht="20.100000000000001" customHeight="1" x14ac:dyDescent="0.2">
      <c r="D82" s="236"/>
      <c r="E82" s="234"/>
      <c r="F82" s="234"/>
      <c r="G82" s="234"/>
      <c r="H82" s="234"/>
      <c r="I82" s="234"/>
      <c r="J82" s="234"/>
      <c r="K82" s="234"/>
      <c r="L82" s="234"/>
      <c r="M82" s="234"/>
      <c r="N82" s="234"/>
      <c r="O82" s="234"/>
      <c r="P82" s="234"/>
      <c r="Q82" s="234"/>
      <c r="R82" s="234"/>
      <c r="S82" s="234"/>
      <c r="T82" s="234"/>
      <c r="U82" s="234"/>
      <c r="V82" s="234"/>
      <c r="W82" s="234"/>
      <c r="X82" s="234"/>
      <c r="Y82" s="234"/>
      <c r="Z82" s="234"/>
      <c r="AA82" s="241"/>
    </row>
  </sheetData>
  <sheetProtection algorithmName="SHA-512" hashValue="SLEN/vMxbpcMKnXP5qE6zBS/gagH3e+c/pKc8vkj3Jre9T8QLNqVfQZzo38elsYEGXbIEK57AaXKoBH6Q93Y+g==" saltValue="jvNMeek5iUC03U6pHCxMSw==" spinCount="100000" sheet="1" objects="1" scenarios="1"/>
  <mergeCells count="7">
    <mergeCell ref="E76:Z76"/>
    <mergeCell ref="E1:Z1"/>
    <mergeCell ref="A10:B11"/>
    <mergeCell ref="A12:B14"/>
    <mergeCell ref="A15:B18"/>
    <mergeCell ref="E48:Z48"/>
    <mergeCell ref="E66:Z66"/>
  </mergeCells>
  <conditionalFormatting sqref="B8">
    <cfRule type="cellIs" dxfId="154" priority="5" operator="notEqual">
      <formula>$B$7</formula>
    </cfRule>
  </conditionalFormatting>
  <conditionalFormatting sqref="E3:AA12">
    <cfRule type="cellIs" dxfId="153" priority="4" operator="notBetween">
      <formula>0</formula>
      <formula>100</formula>
    </cfRule>
  </conditionalFormatting>
  <conditionalFormatting sqref="E3:AA14">
    <cfRule type="cellIs" dxfId="152" priority="7" operator="lessThan">
      <formula>0</formula>
    </cfRule>
  </conditionalFormatting>
  <conditionalFormatting sqref="E14:AA14">
    <cfRule type="cellIs" dxfId="151" priority="10" operator="greaterThan">
      <formula>1</formula>
    </cfRule>
  </conditionalFormatting>
  <conditionalFormatting sqref="AA3:AA13">
    <cfRule type="cellIs" dxfId="150" priority="8" operator="equal">
      <formula>0</formula>
    </cfRule>
  </conditionalFormatting>
  <conditionalFormatting sqref="AA13">
    <cfRule type="cellIs" dxfId="149" priority="12" operator="equal">
      <formula>$B$7</formula>
    </cfRule>
  </conditionalFormatting>
  <conditionalFormatting sqref="AA14">
    <cfRule type="cellIs" dxfId="148" priority="9" operator="equal">
      <formula>1</formula>
    </cfRule>
    <cfRule type="cellIs" dxfId="147" priority="11" operator="lessThan">
      <formula>1</formula>
    </cfRule>
  </conditionalFormatting>
  <conditionalFormatting sqref="AG4:AG15">
    <cfRule type="expression" dxfId="146" priority="13">
      <formula>AND($AG4&lt;$AG3, NOT(ISBLANK($AG4)))</formula>
    </cfRule>
    <cfRule type="cellIs" dxfId="145" priority="14" operator="greaterThan">
      <formula>$B$6</formula>
    </cfRule>
  </conditionalFormatting>
  <conditionalFormatting sqref="AH4:AH15">
    <cfRule type="cellIs" dxfId="144" priority="6" operator="greaterThan">
      <formula>1</formula>
    </cfRule>
  </conditionalFormatting>
  <conditionalFormatting sqref="D68:D72 D50:D59 D78:D80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3:Z12">
    <cfRule type="expression" dxfId="143" priority="15">
      <formula>($D3&lt;=$K$23)</formula>
    </cfRule>
  </conditionalFormatting>
  <conditionalFormatting sqref="AA3:AA12">
    <cfRule type="expression" dxfId="142" priority="16">
      <formula>AND($D3=$K$23, AA3=$J$24)</formula>
    </cfRule>
    <cfRule type="expression" dxfId="141" priority="17">
      <formula>AND($D3=$K$23, MOD(AA3,100)&gt;$J$24)</formula>
    </cfRule>
    <cfRule type="cellIs" dxfId="140" priority="18" operator="equal">
      <formula>100</formula>
    </cfRule>
  </conditionalFormatting>
  <conditionalFormatting sqref="D3:Z12">
    <cfRule type="expression" dxfId="139" priority="22">
      <formula>($D3&gt;$K$23)</formula>
    </cfRule>
  </conditionalFormatting>
  <conditionalFormatting sqref="AA50 AA68:AA72 AA78:AA80">
    <cfRule type="cellIs" dxfId="138" priority="23" operator="lessThan">
      <formula>0</formula>
    </cfRule>
    <cfRule type="cellIs" dxfId="137" priority="24" operator="equal">
      <formula>0</formula>
    </cfRule>
    <cfRule type="expression" dxfId="136" priority="25">
      <formula>OR(MOD($AA50,100)=0,AND($D50=$K$23,MOD($AA50,100)=$J$24))</formula>
    </cfRule>
  </conditionalFormatting>
  <conditionalFormatting sqref="E50:Z59">
    <cfRule type="expression" dxfId="135" priority="2">
      <formula>AND(E50&lt;MAX(E$50:E50), NOT(ISBLANK(E50)), NOT(E50=0))</formula>
    </cfRule>
  </conditionalFormatting>
  <conditionalFormatting sqref="AA52:AA59">
    <cfRule type="cellIs" dxfId="134" priority="27" operator="lessThan">
      <formula>0</formula>
    </cfRule>
    <cfRule type="cellIs" dxfId="133" priority="28" operator="equal">
      <formula>0</formula>
    </cfRule>
    <cfRule type="expression" dxfId="132" priority="29">
      <formula>OR(MOD($AA52,100)=0,AND($D52=$K$23,MOD($AA52,100)=$J$24))</formula>
    </cfRule>
  </conditionalFormatting>
  <conditionalFormatting sqref="AA51">
    <cfRule type="cellIs" dxfId="131" priority="30" operator="lessThan">
      <formula>0</formula>
    </cfRule>
    <cfRule type="cellIs" dxfId="130" priority="31" operator="equal">
      <formula>0</formula>
    </cfRule>
    <cfRule type="expression" dxfId="129" priority="32">
      <formula>OR(MOD($AA51,100)=0,AND($D50=$K$23,MOD($AA51,100)=$J$24))</formula>
    </cfRule>
  </conditionalFormatting>
  <conditionalFormatting sqref="E50:Z59 E68:Z72 E78:Z80">
    <cfRule type="cellIs" dxfId="128" priority="19" operator="notBetween">
      <formula>0</formula>
      <formula>$B$7</formula>
    </cfRule>
    <cfRule type="expression" dxfId="127" priority="20">
      <formula>($D50&lt;=$K$23)</formula>
    </cfRule>
    <cfRule type="expression" dxfId="126" priority="21">
      <formula>($D50&gt;$K$23)</formula>
    </cfRule>
  </conditionalFormatting>
  <conditionalFormatting sqref="E68:Z72">
    <cfRule type="expression" dxfId="125" priority="1">
      <formula>AND(E68&lt;MAX(E$68:E68), NOT(ISBLANK(E68)), NOT(E68=0))</formula>
    </cfRule>
  </conditionalFormatting>
  <conditionalFormatting sqref="E78:Z80">
    <cfRule type="expression" dxfId="124" priority="26">
      <formula>AND(E78&lt;MAX(E$78:E78), NOT(ISBLANK(E78)), NOT(E78=0))</formula>
    </cfRule>
  </conditionalFormatting>
  <dataValidations count="2">
    <dataValidation type="list" allowBlank="1" showInputMessage="1" showErrorMessage="1" sqref="D68:D72 D78:D82 D50:D59" xr:uid="{896FBDF2-E0CB-4D90-8BD4-14DD6DCA9B2B}">
      <formula1>$D$3:$D$12</formula1>
    </dataValidation>
    <dataValidation type="list" allowBlank="1" showInputMessage="1" showErrorMessage="1" sqref="C50:C59" xr:uid="{7B770D36-5CB4-416D-95E8-E35733077432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7EB9C-4C7B-4AA2-A9F5-5959B23A5FC3}">
  <sheetPr codeName="Feuil38">
    <tabColor rgb="FFB4A7D6"/>
  </sheetPr>
  <dimension ref="A1:AL82"/>
  <sheetViews>
    <sheetView zoomScale="80" zoomScaleNormal="80" workbookViewId="0">
      <pane xSplit="2" topLeftCell="C1" activePane="topRight" state="frozen"/>
      <selection pane="topRight" activeCell="B29" sqref="B29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24" width="15.7109375" customWidth="1"/>
    <col min="27" max="27" width="12.85546875" customWidth="1"/>
    <col min="28" max="28" width="11.42578125" customWidth="1"/>
    <col min="31" max="31" width="10.42578125" customWidth="1"/>
    <col min="32" max="32" width="15.42578125" customWidth="1"/>
    <col min="33" max="33" width="16.140625" customWidth="1"/>
    <col min="34" max="34" width="12" customWidth="1"/>
    <col min="36" max="36" width="13.28515625" customWidth="1"/>
    <col min="37" max="37" width="14.42578125" customWidth="1"/>
  </cols>
  <sheetData>
    <row r="1" spans="1:38" ht="16.5" customHeight="1" thickBot="1" x14ac:dyDescent="0.25">
      <c r="A1" s="308" t="s">
        <v>11</v>
      </c>
      <c r="B1" s="33">
        <f>Synthèse!B17</f>
        <v>46096</v>
      </c>
      <c r="D1" s="307"/>
      <c r="E1" s="432" t="s">
        <v>66</v>
      </c>
      <c r="F1" s="433"/>
      <c r="G1" s="433"/>
      <c r="H1" s="433"/>
      <c r="I1" s="433"/>
      <c r="J1" s="433"/>
      <c r="K1" s="433"/>
      <c r="L1" s="433"/>
      <c r="M1" s="433"/>
      <c r="N1" s="433"/>
      <c r="O1" s="433"/>
      <c r="P1" s="433"/>
      <c r="Q1" s="433"/>
      <c r="R1" s="433"/>
      <c r="S1" s="433"/>
      <c r="T1" s="433"/>
      <c r="U1" s="433"/>
      <c r="V1" s="433"/>
      <c r="W1" s="433"/>
      <c r="X1" s="433"/>
      <c r="Y1" s="433"/>
      <c r="Z1" s="434"/>
      <c r="AA1" s="392" t="s">
        <v>7</v>
      </c>
    </row>
    <row r="2" spans="1:38" ht="39.75" customHeight="1" thickBot="1" x14ac:dyDescent="0.25">
      <c r="A2" s="309" t="s">
        <v>12</v>
      </c>
      <c r="B2" s="34" t="str">
        <f>Synthèse!B18</f>
        <v>Municipales 1er tour</v>
      </c>
      <c r="D2" s="355" t="s">
        <v>82</v>
      </c>
      <c r="E2" s="455" t="str">
        <f>Synthèse!L2</f>
        <v>Candidat 1</v>
      </c>
      <c r="F2" s="399" t="str">
        <f>Synthèse!M2</f>
        <v>Candidat 2</v>
      </c>
      <c r="G2" s="395" t="str">
        <f>Synthèse!N2</f>
        <v>Candidat 3</v>
      </c>
      <c r="H2" s="456" t="str">
        <f>Synthèse!O2</f>
        <v>Candidat 4</v>
      </c>
      <c r="I2" s="457" t="str">
        <f>Synthèse!P2</f>
        <v>Candidat 5</v>
      </c>
      <c r="J2" s="458" t="str">
        <f>Synthèse!Q2</f>
        <v>Candidat 6</v>
      </c>
      <c r="K2" s="459" t="str">
        <f>Synthèse!R2</f>
        <v>Candidat 7</v>
      </c>
      <c r="L2" s="398" t="str">
        <f>Synthèse!S2</f>
        <v>Candidat 8</v>
      </c>
      <c r="M2" s="460" t="str">
        <f>Synthèse!T2</f>
        <v>Candidat 9</v>
      </c>
      <c r="N2" s="461" t="str">
        <f>Synthèse!U2</f>
        <v>Candidat 10</v>
      </c>
      <c r="O2" s="400" t="str">
        <f>Synthèse!V2</f>
        <v>Candidat 11</v>
      </c>
      <c r="P2" s="462" t="str">
        <f>Synthèse!W2</f>
        <v>Candidat 12</v>
      </c>
      <c r="Q2" s="396" t="str">
        <f>Synthèse!X2</f>
        <v>Candidat 13</v>
      </c>
      <c r="R2" s="463" t="str">
        <f>Synthèse!Y2</f>
        <v>Candidat 14</v>
      </c>
      <c r="S2" s="464" t="str">
        <f>Synthèse!Z2</f>
        <v>Candidat 15</v>
      </c>
      <c r="T2" s="465" t="str">
        <f>Synthèse!AA2</f>
        <v>Candidat 16</v>
      </c>
      <c r="U2" s="466" t="str">
        <f>Synthèse!AB2</f>
        <v>Candidat 17</v>
      </c>
      <c r="V2" s="397" t="str">
        <f>Synthèse!AC2</f>
        <v>Candidat 18</v>
      </c>
      <c r="W2" s="467" t="str">
        <f>Synthèse!AD2</f>
        <v>Candidat 19</v>
      </c>
      <c r="X2" s="468" t="str">
        <f>Synthèse!AE2</f>
        <v>Candidat 20</v>
      </c>
      <c r="Y2" s="469" t="s">
        <v>3</v>
      </c>
      <c r="Z2" s="470" t="s">
        <v>4</v>
      </c>
      <c r="AA2" s="393" t="s">
        <v>104</v>
      </c>
      <c r="AF2" s="367" t="s">
        <v>21</v>
      </c>
      <c r="AG2" s="368" t="s">
        <v>57</v>
      </c>
      <c r="AH2" s="369" t="s">
        <v>31</v>
      </c>
      <c r="AJ2" s="370" t="s">
        <v>59</v>
      </c>
      <c r="AK2" s="370" t="s">
        <v>58</v>
      </c>
    </row>
    <row r="3" spans="1:38" ht="20.100000000000001" customHeight="1" thickBot="1" x14ac:dyDescent="0.25">
      <c r="A3" s="310" t="s">
        <v>13</v>
      </c>
      <c r="B3" s="94" t="str">
        <f>Synthèse!B19</f>
        <v>Cogolin</v>
      </c>
      <c r="D3" s="352" t="str" cm="1">
        <f t="array" ref="D3">IF(ROW(1:1)&lt;=$K$23, (ROW(1:1)), "")</f>
        <v/>
      </c>
      <c r="E3" s="155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55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55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55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55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55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55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55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5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155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1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155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155" cm="1">
        <f t="array" ref="Q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R3" s="155" cm="1">
        <f t="array" ref="R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S3" s="155" cm="1">
        <f t="array" ref="S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T3" s="155" cm="1">
        <f t="array" ref="T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U3" s="155" cm="1">
        <f t="array" ref="U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V3" s="155" cm="1">
        <f t="array" ref="V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W3" s="155" cm="1">
        <f t="array" ref="W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X3" s="155" cm="1">
        <f t="array" ref="X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Y3" s="171" cm="1">
        <f t="array" ref="Y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Z3" s="172" cm="1">
        <f t="array" ref="Z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AA3" s="311">
        <f t="shared" ref="AA3:AA12" si="0">SUM(E3:Z3)</f>
        <v>0</v>
      </c>
      <c r="AF3" s="343" t="s">
        <v>32</v>
      </c>
      <c r="AG3" s="344">
        <v>0</v>
      </c>
      <c r="AH3" s="345">
        <f t="shared" ref="AH3" si="1">AG3/$B$6</f>
        <v>0</v>
      </c>
      <c r="AJ3" s="323"/>
      <c r="AK3" s="323"/>
    </row>
    <row r="4" spans="1:38" ht="20.100000000000001" customHeight="1" x14ac:dyDescent="0.2">
      <c r="A4" s="95" t="s">
        <v>23</v>
      </c>
      <c r="B4" s="168">
        <v>9</v>
      </c>
      <c r="D4" s="353" t="str" cm="1">
        <f t="array" ref="D4">IF(ROW(2:2)&lt;=$K$23, (ROW(2:2)), "")</f>
        <v/>
      </c>
      <c r="E4" s="156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56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56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56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56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56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56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56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5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156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156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156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156" cm="1">
        <f t="array" ref="Q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R4" s="156" cm="1">
        <f t="array" ref="R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S4" s="156" cm="1">
        <f t="array" ref="S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T4" s="156" cm="1">
        <f t="array" ref="T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U4" s="156" cm="1">
        <f t="array" ref="U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V4" s="156" cm="1">
        <f t="array" ref="V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W4" s="156" cm="1">
        <f t="array" ref="W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X4" s="156" cm="1">
        <f t="array" ref="X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Y4" s="157" cm="1">
        <f t="array" ref="Y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Z4" s="158" cm="1">
        <f t="array" ref="Z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AA4" s="311">
        <f t="shared" si="0"/>
        <v>0</v>
      </c>
      <c r="AF4" s="346" t="s">
        <v>33</v>
      </c>
      <c r="AG4" s="473"/>
      <c r="AH4" s="348" t="e">
        <f t="shared" ref="AH4:AH13" si="2">IF(OR(AG4=0, AG4=""), NA(), AG4/$B$6)</f>
        <v>#N/A</v>
      </c>
      <c r="AJ4" s="318" t="s">
        <v>45</v>
      </c>
      <c r="AK4" s="371" t="e">
        <f t="shared" ref="AK4:AK13" si="3">IF(AG4&lt;&gt;0,AG4-AG3,NA())</f>
        <v>#N/A</v>
      </c>
    </row>
    <row r="5" spans="1:38" ht="20.100000000000001" customHeight="1" x14ac:dyDescent="0.2">
      <c r="A5" s="96" t="s">
        <v>24</v>
      </c>
      <c r="B5" s="187" t="s">
        <v>29</v>
      </c>
      <c r="D5" s="353" t="str" cm="1">
        <f t="array" ref="D5">IF(ROW(3:3)&lt;=$K$23, (ROW(3:3)), "")</f>
        <v/>
      </c>
      <c r="E5" s="156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56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56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56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56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56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56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5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5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156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156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156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156" cm="1">
        <f t="array" ref="Q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R5" s="156" cm="1">
        <f t="array" ref="R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S5" s="156" cm="1">
        <f t="array" ref="S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T5" s="156" cm="1">
        <f t="array" ref="T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U5" s="156" cm="1">
        <f t="array" ref="U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V5" s="156" cm="1">
        <f t="array" ref="V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W5" s="156" cm="1">
        <f t="array" ref="W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X5" s="156" cm="1">
        <f t="array" ref="X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Y5" s="173" cm="1">
        <f t="array" ref="Y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Z5" s="174" cm="1">
        <f t="array" ref="Z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AA5" s="311">
        <f t="shared" si="0"/>
        <v>0</v>
      </c>
      <c r="AD5" s="231"/>
      <c r="AE5" s="232"/>
      <c r="AF5" s="346" t="s">
        <v>34</v>
      </c>
      <c r="AG5" s="473"/>
      <c r="AH5" s="348" t="e">
        <f t="shared" si="2"/>
        <v>#N/A</v>
      </c>
      <c r="AJ5" s="319" t="s">
        <v>46</v>
      </c>
      <c r="AK5" s="372" t="e">
        <f t="shared" si="3"/>
        <v>#N/A</v>
      </c>
    </row>
    <row r="6" spans="1:38" ht="20.100000000000001" customHeight="1" x14ac:dyDescent="0.2">
      <c r="A6" s="96" t="s">
        <v>0</v>
      </c>
      <c r="B6" s="188">
        <v>671</v>
      </c>
      <c r="D6" s="353" t="str" cm="1">
        <f t="array" ref="D6">IF(ROW(4:4)&lt;=$K$23, (ROW(4:4)), "")</f>
        <v/>
      </c>
      <c r="E6" s="156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56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56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56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56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56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56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5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5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156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156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156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156" cm="1">
        <f t="array" ref="Q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R6" s="156" cm="1">
        <f t="array" ref="R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S6" s="156" cm="1">
        <f t="array" ref="S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T6" s="156" cm="1">
        <f t="array" ref="T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U6" s="156" cm="1">
        <f t="array" ref="U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V6" s="156" cm="1">
        <f t="array" ref="V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W6" s="156" cm="1">
        <f t="array" ref="W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X6" s="156" cm="1">
        <f t="array" ref="X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Y6" s="173" cm="1">
        <f t="array" ref="Y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Z6" s="174" cm="1">
        <f t="array" ref="Z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AA6" s="311">
        <f t="shared" si="0"/>
        <v>0</v>
      </c>
      <c r="AD6" s="231"/>
      <c r="AE6" s="232"/>
      <c r="AF6" s="346" t="s">
        <v>35</v>
      </c>
      <c r="AG6" s="473"/>
      <c r="AH6" s="348" t="e">
        <f t="shared" si="2"/>
        <v>#N/A</v>
      </c>
      <c r="AJ6" s="319" t="s">
        <v>47</v>
      </c>
      <c r="AK6" s="372" t="e">
        <f t="shared" si="3"/>
        <v>#N/A</v>
      </c>
    </row>
    <row r="7" spans="1:38" ht="20.100000000000001" customHeight="1" x14ac:dyDescent="0.2">
      <c r="A7" s="96" t="s">
        <v>2</v>
      </c>
      <c r="B7" s="165">
        <f>MAX(AG4:AG15)</f>
        <v>0</v>
      </c>
      <c r="D7" s="353" t="str" cm="1">
        <f t="array" ref="D7">IF(ROW(5:5)&lt;=$K$23, (ROW(5:5)), "")</f>
        <v/>
      </c>
      <c r="E7" s="156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56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56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56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56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56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56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56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5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156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156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156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156" cm="1">
        <f t="array" ref="Q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R7" s="156" cm="1">
        <f t="array" ref="R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S7" s="156" cm="1">
        <f t="array" ref="S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T7" s="156" cm="1">
        <f t="array" ref="T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U7" s="156" cm="1">
        <f t="array" ref="U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V7" s="156" cm="1">
        <f t="array" ref="V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W7" s="156" cm="1">
        <f t="array" ref="W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X7" s="156" cm="1">
        <f t="array" ref="X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Y7" s="157" cm="1">
        <f t="array" ref="Y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Z7" s="158" cm="1">
        <f t="array" ref="Z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AA7" s="311">
        <f t="shared" si="0"/>
        <v>0</v>
      </c>
      <c r="AD7" s="231"/>
      <c r="AE7" s="232"/>
      <c r="AF7" s="346" t="s">
        <v>36</v>
      </c>
      <c r="AG7" s="473"/>
      <c r="AH7" s="348" t="e">
        <f t="shared" si="2"/>
        <v>#N/A</v>
      </c>
      <c r="AJ7" s="319" t="s">
        <v>54</v>
      </c>
      <c r="AK7" s="372" t="e">
        <f t="shared" si="3"/>
        <v>#N/A</v>
      </c>
    </row>
    <row r="8" spans="1:38" ht="20.100000000000001" customHeight="1" x14ac:dyDescent="0.2">
      <c r="A8" s="96" t="s">
        <v>1</v>
      </c>
      <c r="B8" s="166">
        <f>B7</f>
        <v>0</v>
      </c>
      <c r="D8" s="353" t="str" cm="1">
        <f t="array" ref="D8">IF(ROW(6:6)&lt;=$K$23, (ROW(6:6)), "")</f>
        <v/>
      </c>
      <c r="E8" s="156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56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56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56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56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56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56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56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5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156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156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156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156" cm="1">
        <f t="array" ref="Q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R8" s="156" cm="1">
        <f t="array" ref="R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S8" s="156" cm="1">
        <f t="array" ref="S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T8" s="156" cm="1">
        <f t="array" ref="T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U8" s="156" cm="1">
        <f t="array" ref="U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V8" s="156" cm="1">
        <f t="array" ref="V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W8" s="156" cm="1">
        <f t="array" ref="W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X8" s="156" cm="1">
        <f t="array" ref="X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Y8" s="157" cm="1">
        <f t="array" ref="Y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Z8" s="158" cm="1">
        <f t="array" ref="Z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AA8" s="311">
        <f t="shared" si="0"/>
        <v>0</v>
      </c>
      <c r="AD8" s="231"/>
      <c r="AE8" s="232"/>
      <c r="AF8" s="346" t="s">
        <v>37</v>
      </c>
      <c r="AG8" s="473"/>
      <c r="AH8" s="348" t="e">
        <f t="shared" si="2"/>
        <v>#N/A</v>
      </c>
      <c r="AJ8" s="319" t="s">
        <v>48</v>
      </c>
      <c r="AK8" s="372" t="e">
        <f t="shared" si="3"/>
        <v>#N/A</v>
      </c>
    </row>
    <row r="9" spans="1:38" ht="20.100000000000001" customHeight="1" thickBot="1" x14ac:dyDescent="0.25">
      <c r="A9" s="97" t="s">
        <v>17</v>
      </c>
      <c r="B9" s="167">
        <f>B6-B7</f>
        <v>671</v>
      </c>
      <c r="D9" s="353" t="str" cm="1">
        <f t="array" ref="D9">IF(ROW(7:7)&lt;=$K$23, (ROW(7:7)), "")</f>
        <v/>
      </c>
      <c r="E9" s="156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56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56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56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56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56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56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56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56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156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156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156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156" cm="1">
        <f t="array" ref="Q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R9" s="156" cm="1">
        <f t="array" ref="R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S9" s="156" cm="1">
        <f t="array" ref="S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T9" s="156" cm="1">
        <f t="array" ref="T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U9" s="156" cm="1">
        <f t="array" ref="U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V9" s="156" cm="1">
        <f t="array" ref="V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W9" s="156" cm="1">
        <f t="array" ref="W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X9" s="156" cm="1">
        <f t="array" ref="X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Y9" s="159" cm="1">
        <f t="array" ref="Y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Z9" s="160" cm="1">
        <f t="array" ref="Z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AA9" s="311">
        <f t="shared" si="0"/>
        <v>0</v>
      </c>
      <c r="AD9" s="231"/>
      <c r="AE9" s="232"/>
      <c r="AF9" s="346" t="s">
        <v>38</v>
      </c>
      <c r="AG9" s="473"/>
      <c r="AH9" s="348" t="e">
        <f t="shared" si="2"/>
        <v>#N/A</v>
      </c>
      <c r="AJ9" s="319" t="s">
        <v>49</v>
      </c>
      <c r="AK9" s="372" t="e">
        <f t="shared" si="3"/>
        <v>#N/A</v>
      </c>
    </row>
    <row r="10" spans="1:38" ht="20.100000000000001" customHeight="1" x14ac:dyDescent="0.2">
      <c r="A10" s="435" t="s">
        <v>60</v>
      </c>
      <c r="B10" s="435"/>
      <c r="D10" s="353" t="str" cm="1">
        <f t="array" ref="D10">IF(ROW(8:8)&lt;=$K$23, (ROW(8:8)), "")</f>
        <v/>
      </c>
      <c r="E10" s="156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56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56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56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56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56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56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56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56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156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156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156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156" cm="1">
        <f t="array" ref="Q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R10" s="156" cm="1">
        <f t="array" ref="R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S10" s="156" cm="1">
        <f t="array" ref="S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T10" s="156" cm="1">
        <f t="array" ref="T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U10" s="156" cm="1">
        <f t="array" ref="U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V10" s="156" cm="1">
        <f t="array" ref="V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W10" s="156" cm="1">
        <f t="array" ref="W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X10" s="156" cm="1">
        <f t="array" ref="X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Y10" s="159" cm="1">
        <f t="array" ref="Y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Z10" s="160" cm="1">
        <f t="array" ref="Z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AA10" s="311">
        <f t="shared" si="0"/>
        <v>0</v>
      </c>
      <c r="AD10" s="231"/>
      <c r="AE10" s="232"/>
      <c r="AF10" s="346" t="s">
        <v>39</v>
      </c>
      <c r="AG10" s="473"/>
      <c r="AH10" s="348" t="e">
        <f t="shared" si="2"/>
        <v>#N/A</v>
      </c>
      <c r="AJ10" s="319" t="s">
        <v>50</v>
      </c>
      <c r="AK10" s="372" t="e">
        <f t="shared" si="3"/>
        <v>#N/A</v>
      </c>
    </row>
    <row r="11" spans="1:38" ht="20.100000000000001" customHeight="1" x14ac:dyDescent="0.2">
      <c r="A11" s="436"/>
      <c r="B11" s="436"/>
      <c r="D11" s="353" t="str" cm="1">
        <f t="array" ref="D11">IF(ROW(9:9)&lt;=$K$23, (ROW(9:9)), "")</f>
        <v/>
      </c>
      <c r="E11" s="156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56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56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56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56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56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56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56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56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156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156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156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156" cm="1">
        <f t="array" ref="Q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R11" s="156" cm="1">
        <f t="array" ref="R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S11" s="156" cm="1">
        <f t="array" ref="S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T11" s="156" cm="1">
        <f t="array" ref="T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U11" s="156" cm="1">
        <f t="array" ref="U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V11" s="156" cm="1">
        <f t="array" ref="V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W11" s="156" cm="1">
        <f t="array" ref="W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X11" s="156">
        <v>0</v>
      </c>
      <c r="Y11" s="159" cm="1">
        <f t="array" ref="Y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Z11" s="160" cm="1">
        <f t="array" ref="Z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AA11" s="311">
        <f t="shared" si="0"/>
        <v>0</v>
      </c>
      <c r="AD11" s="231"/>
      <c r="AE11" s="232"/>
      <c r="AF11" s="346" t="s">
        <v>40</v>
      </c>
      <c r="AG11" s="473"/>
      <c r="AH11" s="348" t="e">
        <f t="shared" si="2"/>
        <v>#N/A</v>
      </c>
      <c r="AJ11" s="319" t="s">
        <v>51</v>
      </c>
      <c r="AK11" s="372" t="e">
        <f t="shared" si="3"/>
        <v>#N/A</v>
      </c>
    </row>
    <row r="12" spans="1:38" ht="20.100000000000001" customHeight="1" thickBot="1" x14ac:dyDescent="0.25">
      <c r="A12" s="437" t="s">
        <v>61</v>
      </c>
      <c r="B12" s="437"/>
      <c r="D12" s="354" t="str" cm="1">
        <f t="array" ref="D12">IF(ROW(10:10)&lt;=$K$23, (ROW(10:10)), "")</f>
        <v/>
      </c>
      <c r="E12" s="156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56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56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56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56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56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56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56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56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156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156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156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156" cm="1">
        <f t="array" ref="Q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R12" s="156" cm="1">
        <f t="array" ref="R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S12" s="156" cm="1">
        <f t="array" ref="S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T12" s="156" cm="1">
        <f t="array" ref="T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U12" s="156" cm="1">
        <f t="array" ref="U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V12" s="156" cm="1">
        <f t="array" ref="V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W12" s="156" cm="1">
        <f t="array" ref="W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X12" s="156" cm="1">
        <f t="array" ref="X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Y12" s="175" cm="1">
        <f t="array" ref="Y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Z12" s="176" cm="1">
        <f t="array" ref="Z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AA12" s="311">
        <f t="shared" si="0"/>
        <v>0</v>
      </c>
      <c r="AD12" s="231"/>
      <c r="AE12" s="232"/>
      <c r="AF12" s="346" t="s">
        <v>41</v>
      </c>
      <c r="AG12" s="473"/>
      <c r="AH12" s="348" t="e">
        <f t="shared" si="2"/>
        <v>#N/A</v>
      </c>
      <c r="AJ12" s="319" t="s">
        <v>52</v>
      </c>
      <c r="AK12" s="372" t="e">
        <f t="shared" si="3"/>
        <v>#N/A</v>
      </c>
    </row>
    <row r="13" spans="1:38" ht="20.100000000000001" customHeight="1" thickBot="1" x14ac:dyDescent="0.3">
      <c r="A13" s="437"/>
      <c r="B13" s="437"/>
      <c r="D13" s="50" t="s">
        <v>9</v>
      </c>
      <c r="E13" s="161">
        <f t="shared" ref="E13:AA13" si="4">SUM(E3:E12)</f>
        <v>0</v>
      </c>
      <c r="F13" s="162">
        <f t="shared" si="4"/>
        <v>0</v>
      </c>
      <c r="G13" s="162">
        <f t="shared" si="4"/>
        <v>0</v>
      </c>
      <c r="H13" s="162">
        <f t="shared" si="4"/>
        <v>0</v>
      </c>
      <c r="I13" s="162">
        <f t="shared" si="4"/>
        <v>0</v>
      </c>
      <c r="J13" s="162">
        <f t="shared" si="4"/>
        <v>0</v>
      </c>
      <c r="K13" s="162">
        <f t="shared" si="4"/>
        <v>0</v>
      </c>
      <c r="L13" s="162">
        <f t="shared" si="4"/>
        <v>0</v>
      </c>
      <c r="M13" s="162">
        <f t="shared" si="4"/>
        <v>0</v>
      </c>
      <c r="N13" s="162">
        <f t="shared" si="4"/>
        <v>0</v>
      </c>
      <c r="O13" s="162">
        <f t="shared" si="4"/>
        <v>0</v>
      </c>
      <c r="P13" s="162">
        <f t="shared" si="4"/>
        <v>0</v>
      </c>
      <c r="Q13" s="162">
        <f t="shared" si="4"/>
        <v>0</v>
      </c>
      <c r="R13" s="162">
        <f t="shared" si="4"/>
        <v>0</v>
      </c>
      <c r="S13" s="162">
        <f t="shared" si="4"/>
        <v>0</v>
      </c>
      <c r="T13" s="162">
        <f t="shared" si="4"/>
        <v>0</v>
      </c>
      <c r="U13" s="162">
        <f t="shared" si="4"/>
        <v>0</v>
      </c>
      <c r="V13" s="162">
        <f t="shared" si="4"/>
        <v>0</v>
      </c>
      <c r="W13" s="162">
        <f t="shared" si="4"/>
        <v>0</v>
      </c>
      <c r="X13" s="162">
        <f t="shared" si="4"/>
        <v>0</v>
      </c>
      <c r="Y13" s="163">
        <f t="shared" si="4"/>
        <v>0</v>
      </c>
      <c r="Z13" s="164">
        <f t="shared" si="4"/>
        <v>0</v>
      </c>
      <c r="AA13" s="312">
        <f t="shared" si="4"/>
        <v>0</v>
      </c>
      <c r="AD13" s="231"/>
      <c r="AE13" s="232"/>
      <c r="AF13" s="346" t="s">
        <v>42</v>
      </c>
      <c r="AG13" s="473"/>
      <c r="AH13" s="348" t="e">
        <f t="shared" si="2"/>
        <v>#N/A</v>
      </c>
      <c r="AJ13" s="320" t="s">
        <v>53</v>
      </c>
      <c r="AK13" s="373" t="e">
        <f t="shared" si="3"/>
        <v>#N/A</v>
      </c>
    </row>
    <row r="14" spans="1:38" ht="20.100000000000001" customHeight="1" thickBot="1" x14ac:dyDescent="0.3">
      <c r="A14" s="437"/>
      <c r="B14" s="437"/>
      <c r="D14" s="83" t="s">
        <v>10</v>
      </c>
      <c r="E14" s="45">
        <f t="shared" ref="E14:AA14" si="5">IFERROR(E13/$B$7,0)</f>
        <v>0</v>
      </c>
      <c r="F14" s="46">
        <f t="shared" si="5"/>
        <v>0</v>
      </c>
      <c r="G14" s="46">
        <f t="shared" si="5"/>
        <v>0</v>
      </c>
      <c r="H14" s="46">
        <f t="shared" si="5"/>
        <v>0</v>
      </c>
      <c r="I14" s="46">
        <f t="shared" si="5"/>
        <v>0</v>
      </c>
      <c r="J14" s="46">
        <f t="shared" si="5"/>
        <v>0</v>
      </c>
      <c r="K14" s="46">
        <f t="shared" si="5"/>
        <v>0</v>
      </c>
      <c r="L14" s="46">
        <f t="shared" si="5"/>
        <v>0</v>
      </c>
      <c r="M14" s="46">
        <f t="shared" si="5"/>
        <v>0</v>
      </c>
      <c r="N14" s="46">
        <f t="shared" si="5"/>
        <v>0</v>
      </c>
      <c r="O14" s="46">
        <f t="shared" si="5"/>
        <v>0</v>
      </c>
      <c r="P14" s="46">
        <f t="shared" si="5"/>
        <v>0</v>
      </c>
      <c r="Q14" s="46">
        <f t="shared" si="5"/>
        <v>0</v>
      </c>
      <c r="R14" s="46">
        <f t="shared" si="5"/>
        <v>0</v>
      </c>
      <c r="S14" s="46">
        <f t="shared" si="5"/>
        <v>0</v>
      </c>
      <c r="T14" s="46">
        <f t="shared" si="5"/>
        <v>0</v>
      </c>
      <c r="U14" s="46">
        <f t="shared" si="5"/>
        <v>0</v>
      </c>
      <c r="V14" s="46">
        <f t="shared" si="5"/>
        <v>0</v>
      </c>
      <c r="W14" s="46">
        <f t="shared" si="5"/>
        <v>0</v>
      </c>
      <c r="X14" s="46">
        <f t="shared" si="5"/>
        <v>0</v>
      </c>
      <c r="Y14" s="45">
        <f t="shared" si="5"/>
        <v>0</v>
      </c>
      <c r="Z14" s="47">
        <f t="shared" si="5"/>
        <v>0</v>
      </c>
      <c r="AA14" s="322">
        <f t="shared" si="5"/>
        <v>0</v>
      </c>
      <c r="AF14" s="377" t="s">
        <v>43</v>
      </c>
      <c r="AG14" s="474"/>
      <c r="AH14" s="350" t="e">
        <f>IF(OR(AG14=0, AG14=""), NA(), AG14/$B$6)</f>
        <v>#N/A</v>
      </c>
      <c r="AI14" s="375"/>
      <c r="AJ14" s="379" t="s">
        <v>55</v>
      </c>
      <c r="AK14" s="374" t="e">
        <f>IF(AG14&lt;&gt;0,AG14-AG13,NA())</f>
        <v>#N/A</v>
      </c>
      <c r="AL14" s="375"/>
    </row>
    <row r="15" spans="1:38" ht="18" customHeight="1" thickBot="1" x14ac:dyDescent="0.25">
      <c r="A15" s="438" t="s">
        <v>68</v>
      </c>
      <c r="B15" s="438"/>
      <c r="C15" s="1"/>
      <c r="D15" s="1"/>
      <c r="AA15" s="321"/>
      <c r="AF15" s="317" t="s">
        <v>44</v>
      </c>
      <c r="AG15" s="475"/>
      <c r="AH15" s="376" t="e">
        <f>IF(OR(AG15=0, AG15=""), NA(), AG15/$B$6)</f>
        <v>#N/A</v>
      </c>
      <c r="AJ15" s="380" t="s">
        <v>56</v>
      </c>
      <c r="AK15" s="378" t="e">
        <f>IF(AG15&lt;&gt;0,AG15-AG14,NA())</f>
        <v>#N/A</v>
      </c>
      <c r="AL15" s="375"/>
    </row>
    <row r="16" spans="1:38" ht="12.75" customHeight="1" x14ac:dyDescent="0.2">
      <c r="A16" s="438"/>
      <c r="B16" s="438"/>
      <c r="AF16" s="321"/>
      <c r="AG16" s="321"/>
      <c r="AH16" s="321"/>
      <c r="AK16" s="321"/>
    </row>
    <row r="17" spans="1:11" ht="18" customHeight="1" x14ac:dyDescent="0.25">
      <c r="A17" s="438"/>
      <c r="B17" s="438"/>
      <c r="E17" s="230"/>
    </row>
    <row r="18" spans="1:11" ht="26.25" customHeight="1" x14ac:dyDescent="0.2">
      <c r="A18" s="438"/>
      <c r="B18" s="438"/>
    </row>
    <row r="23" spans="1:11" x14ac:dyDescent="0.2">
      <c r="H23" s="177" t="s">
        <v>64</v>
      </c>
      <c r="J23" s="245">
        <f>CEILING($B$6, 100)/100</f>
        <v>7</v>
      </c>
      <c r="K23" s="245">
        <f>CEILING($B$7,100)/100</f>
        <v>0</v>
      </c>
    </row>
    <row r="24" spans="1:11" x14ac:dyDescent="0.2">
      <c r="H24" s="178">
        <f>IF((ROW()-23)&lt;=$K$24,(ROW()-23),"Choisir")</f>
        <v>1</v>
      </c>
      <c r="J24" s="245">
        <f>MOD($B$7,100)</f>
        <v>0</v>
      </c>
      <c r="K24" s="246">
        <f>CEILING($B$6/300,1)</f>
        <v>3</v>
      </c>
    </row>
    <row r="25" spans="1:11" x14ac:dyDescent="0.2">
      <c r="H25" s="178">
        <f>IF((ROW()-23)&lt;=$K$24,(ROW()-23),"Choisir")</f>
        <v>2</v>
      </c>
    </row>
    <row r="26" spans="1:11" x14ac:dyDescent="0.2">
      <c r="H26" s="178">
        <f>IF((ROW()-23)&lt;=$K$24,(ROW()-23),"Choisir")</f>
        <v>3</v>
      </c>
    </row>
    <row r="27" spans="1:11" x14ac:dyDescent="0.2">
      <c r="H27" s="178" t="str">
        <f>IF((ROW()-23)&lt;=$K$24,(ROW()-23),"Choisir")</f>
        <v>Choisir</v>
      </c>
    </row>
    <row r="46" spans="4:27" x14ac:dyDescent="0.2">
      <c r="E46" s="169"/>
    </row>
    <row r="47" spans="4:27" ht="13.5" thickBot="1" x14ac:dyDescent="0.25">
      <c r="E47" s="169"/>
    </row>
    <row r="48" spans="4:27" ht="20.100000000000001" customHeight="1" thickBot="1" x14ac:dyDescent="0.25">
      <c r="D48" s="235" t="s">
        <v>78</v>
      </c>
      <c r="E48" s="429" t="s">
        <v>102</v>
      </c>
      <c r="F48" s="430"/>
      <c r="G48" s="430"/>
      <c r="H48" s="430"/>
      <c r="I48" s="430"/>
      <c r="J48" s="430"/>
      <c r="K48" s="430"/>
      <c r="L48" s="430"/>
      <c r="M48" s="430"/>
      <c r="N48" s="430"/>
      <c r="O48" s="430"/>
      <c r="P48" s="430"/>
      <c r="Q48" s="430"/>
      <c r="R48" s="430"/>
      <c r="S48" s="430"/>
      <c r="T48" s="430"/>
      <c r="U48" s="430"/>
      <c r="V48" s="430"/>
      <c r="W48" s="430"/>
      <c r="X48" s="430"/>
      <c r="Y48" s="430"/>
      <c r="Z48" s="431"/>
      <c r="AA48" s="381" t="s">
        <v>7</v>
      </c>
    </row>
    <row r="49" spans="3:27" ht="47.25" customHeight="1" thickBot="1" x14ac:dyDescent="0.25">
      <c r="C49" s="233"/>
      <c r="D49" s="359" t="s">
        <v>81</v>
      </c>
      <c r="E49" s="455" t="s">
        <v>69</v>
      </c>
      <c r="F49" s="399" t="s">
        <v>99</v>
      </c>
      <c r="G49" s="395" t="s">
        <v>70</v>
      </c>
      <c r="H49" s="456" t="s">
        <v>71</v>
      </c>
      <c r="I49" s="457" t="s">
        <v>72</v>
      </c>
      <c r="J49" s="458" t="s">
        <v>73</v>
      </c>
      <c r="K49" s="459" t="s">
        <v>74</v>
      </c>
      <c r="L49" s="398" t="s">
        <v>75</v>
      </c>
      <c r="M49" s="460" t="s">
        <v>76</v>
      </c>
      <c r="N49" s="461" t="s">
        <v>77</v>
      </c>
      <c r="O49" s="400" t="s">
        <v>105</v>
      </c>
      <c r="P49" s="462" t="s">
        <v>106</v>
      </c>
      <c r="Q49" s="396" t="s">
        <v>107</v>
      </c>
      <c r="R49" s="463" t="s">
        <v>108</v>
      </c>
      <c r="S49" s="464" t="s">
        <v>109</v>
      </c>
      <c r="T49" s="465" t="s">
        <v>110</v>
      </c>
      <c r="U49" s="466" t="s">
        <v>111</v>
      </c>
      <c r="V49" s="397" t="s">
        <v>112</v>
      </c>
      <c r="W49" s="467" t="s">
        <v>113</v>
      </c>
      <c r="X49" s="468" t="s">
        <v>114</v>
      </c>
      <c r="Y49" s="471" t="s">
        <v>3</v>
      </c>
      <c r="Z49" s="472" t="s">
        <v>4</v>
      </c>
      <c r="AA49" s="383" t="s">
        <v>103</v>
      </c>
    </row>
    <row r="50" spans="3:27" ht="19.5" customHeight="1" x14ac:dyDescent="0.2">
      <c r="C50" s="234"/>
      <c r="D50" s="358" t="s">
        <v>80</v>
      </c>
      <c r="E50" s="313"/>
      <c r="F50" s="314"/>
      <c r="G50" s="314"/>
      <c r="H50" s="314"/>
      <c r="I50" s="314"/>
      <c r="J50" s="314"/>
      <c r="K50" s="314"/>
      <c r="L50" s="314"/>
      <c r="M50" s="314"/>
      <c r="N50" s="314"/>
      <c r="O50" s="314"/>
      <c r="P50" s="314"/>
      <c r="Q50" s="314"/>
      <c r="R50" s="314"/>
      <c r="S50" s="314"/>
      <c r="T50" s="314"/>
      <c r="U50" s="314"/>
      <c r="V50" s="314"/>
      <c r="W50" s="314"/>
      <c r="X50" s="315"/>
      <c r="Y50" s="316"/>
      <c r="Z50" s="315"/>
      <c r="AA50" s="382">
        <f t="shared" ref="AA50:AA59" si="6">SUM(E50:Z50)</f>
        <v>0</v>
      </c>
    </row>
    <row r="51" spans="3:27" ht="20.100000000000001" customHeight="1" x14ac:dyDescent="0.2">
      <c r="C51" s="234"/>
      <c r="D51" s="358" t="s">
        <v>80</v>
      </c>
      <c r="E51" s="313"/>
      <c r="F51" s="314"/>
      <c r="G51" s="314"/>
      <c r="H51" s="314"/>
      <c r="I51" s="314"/>
      <c r="J51" s="314"/>
      <c r="K51" s="314"/>
      <c r="L51" s="314"/>
      <c r="M51" s="314"/>
      <c r="N51" s="314"/>
      <c r="O51" s="314"/>
      <c r="P51" s="314"/>
      <c r="Q51" s="314"/>
      <c r="R51" s="314"/>
      <c r="S51" s="314"/>
      <c r="T51" s="314"/>
      <c r="U51" s="314"/>
      <c r="V51" s="314"/>
      <c r="W51" s="314"/>
      <c r="X51" s="315"/>
      <c r="Y51" s="316"/>
      <c r="Z51" s="315"/>
      <c r="AA51" s="382">
        <f t="shared" si="6"/>
        <v>0</v>
      </c>
    </row>
    <row r="52" spans="3:27" ht="20.100000000000001" customHeight="1" x14ac:dyDescent="0.2">
      <c r="C52" s="234"/>
      <c r="D52" s="358" t="s">
        <v>80</v>
      </c>
      <c r="E52" s="313"/>
      <c r="F52" s="314"/>
      <c r="G52" s="314"/>
      <c r="H52" s="314"/>
      <c r="I52" s="314"/>
      <c r="J52" s="314"/>
      <c r="K52" s="314"/>
      <c r="L52" s="314"/>
      <c r="M52" s="314"/>
      <c r="N52" s="314"/>
      <c r="O52" s="314"/>
      <c r="P52" s="314"/>
      <c r="Q52" s="314"/>
      <c r="R52" s="314"/>
      <c r="S52" s="314"/>
      <c r="T52" s="314"/>
      <c r="U52" s="314"/>
      <c r="V52" s="314"/>
      <c r="W52" s="314"/>
      <c r="X52" s="315"/>
      <c r="Y52" s="316"/>
      <c r="Z52" s="315"/>
      <c r="AA52" s="382">
        <f t="shared" si="6"/>
        <v>0</v>
      </c>
    </row>
    <row r="53" spans="3:27" ht="20.100000000000001" customHeight="1" x14ac:dyDescent="0.2">
      <c r="C53" s="234"/>
      <c r="D53" s="358" t="s">
        <v>80</v>
      </c>
      <c r="E53" s="313"/>
      <c r="F53" s="314"/>
      <c r="G53" s="314"/>
      <c r="H53" s="314"/>
      <c r="I53" s="314"/>
      <c r="J53" s="314"/>
      <c r="K53" s="314"/>
      <c r="L53" s="314"/>
      <c r="M53" s="314"/>
      <c r="N53" s="314"/>
      <c r="O53" s="314"/>
      <c r="P53" s="314"/>
      <c r="Q53" s="314"/>
      <c r="R53" s="314"/>
      <c r="S53" s="314"/>
      <c r="T53" s="314"/>
      <c r="U53" s="314"/>
      <c r="V53" s="314"/>
      <c r="W53" s="314"/>
      <c r="X53" s="315"/>
      <c r="Y53" s="316"/>
      <c r="Z53" s="315"/>
      <c r="AA53" s="382">
        <f t="shared" si="6"/>
        <v>0</v>
      </c>
    </row>
    <row r="54" spans="3:27" ht="20.100000000000001" customHeight="1" x14ac:dyDescent="0.2">
      <c r="C54" s="234"/>
      <c r="D54" s="358" t="s">
        <v>80</v>
      </c>
      <c r="E54" s="313"/>
      <c r="F54" s="314"/>
      <c r="G54" s="314"/>
      <c r="H54" s="314"/>
      <c r="I54" s="314"/>
      <c r="J54" s="314"/>
      <c r="K54" s="314"/>
      <c r="L54" s="314"/>
      <c r="M54" s="314"/>
      <c r="N54" s="314"/>
      <c r="O54" s="314"/>
      <c r="P54" s="314"/>
      <c r="Q54" s="314"/>
      <c r="R54" s="314"/>
      <c r="S54" s="314"/>
      <c r="T54" s="314"/>
      <c r="U54" s="314"/>
      <c r="V54" s="314"/>
      <c r="W54" s="314"/>
      <c r="X54" s="315"/>
      <c r="Y54" s="316"/>
      <c r="Z54" s="315"/>
      <c r="AA54" s="382">
        <f t="shared" si="6"/>
        <v>0</v>
      </c>
    </row>
    <row r="55" spans="3:27" ht="20.100000000000001" customHeight="1" x14ac:dyDescent="0.2">
      <c r="C55" s="234"/>
      <c r="D55" s="358" t="s">
        <v>80</v>
      </c>
      <c r="E55" s="313"/>
      <c r="F55" s="314"/>
      <c r="G55" s="314"/>
      <c r="H55" s="314"/>
      <c r="I55" s="314"/>
      <c r="J55" s="314"/>
      <c r="K55" s="314"/>
      <c r="L55" s="314"/>
      <c r="M55" s="314"/>
      <c r="N55" s="314"/>
      <c r="O55" s="314"/>
      <c r="P55" s="314"/>
      <c r="Q55" s="314"/>
      <c r="R55" s="314"/>
      <c r="S55" s="314"/>
      <c r="T55" s="314"/>
      <c r="U55" s="314"/>
      <c r="V55" s="314"/>
      <c r="W55" s="314"/>
      <c r="X55" s="315"/>
      <c r="Y55" s="316"/>
      <c r="Z55" s="315"/>
      <c r="AA55" s="382">
        <f t="shared" si="6"/>
        <v>0</v>
      </c>
    </row>
    <row r="56" spans="3:27" ht="20.100000000000001" customHeight="1" x14ac:dyDescent="0.2">
      <c r="C56" s="234"/>
      <c r="D56" s="358" t="s">
        <v>80</v>
      </c>
      <c r="E56" s="313"/>
      <c r="F56" s="314"/>
      <c r="G56" s="314"/>
      <c r="H56" s="314"/>
      <c r="I56" s="314"/>
      <c r="J56" s="314"/>
      <c r="K56" s="314"/>
      <c r="L56" s="314"/>
      <c r="M56" s="314"/>
      <c r="N56" s="314"/>
      <c r="O56" s="314"/>
      <c r="P56" s="314"/>
      <c r="Q56" s="314"/>
      <c r="R56" s="314"/>
      <c r="S56" s="314"/>
      <c r="T56" s="314"/>
      <c r="U56" s="314"/>
      <c r="V56" s="314"/>
      <c r="W56" s="314"/>
      <c r="X56" s="315"/>
      <c r="Y56" s="316"/>
      <c r="Z56" s="315"/>
      <c r="AA56" s="382">
        <f t="shared" si="6"/>
        <v>0</v>
      </c>
    </row>
    <row r="57" spans="3:27" ht="20.100000000000001" customHeight="1" x14ac:dyDescent="0.2">
      <c r="C57" s="234"/>
      <c r="D57" s="358" t="s">
        <v>80</v>
      </c>
      <c r="E57" s="313"/>
      <c r="F57" s="314"/>
      <c r="G57" s="314"/>
      <c r="H57" s="314"/>
      <c r="I57" s="314"/>
      <c r="J57" s="314"/>
      <c r="K57" s="314"/>
      <c r="L57" s="314"/>
      <c r="M57" s="314"/>
      <c r="N57" s="314"/>
      <c r="O57" s="314"/>
      <c r="P57" s="314"/>
      <c r="Q57" s="314"/>
      <c r="R57" s="314"/>
      <c r="S57" s="314"/>
      <c r="T57" s="314"/>
      <c r="U57" s="314"/>
      <c r="V57" s="314"/>
      <c r="W57" s="314"/>
      <c r="X57" s="315"/>
      <c r="Y57" s="316"/>
      <c r="Z57" s="315"/>
      <c r="AA57" s="382">
        <f t="shared" si="6"/>
        <v>0</v>
      </c>
    </row>
    <row r="58" spans="3:27" ht="20.100000000000001" customHeight="1" x14ac:dyDescent="0.2">
      <c r="C58" s="234"/>
      <c r="D58" s="358" t="s">
        <v>80</v>
      </c>
      <c r="E58" s="313"/>
      <c r="F58" s="314"/>
      <c r="G58" s="314"/>
      <c r="H58" s="314"/>
      <c r="I58" s="314"/>
      <c r="J58" s="314"/>
      <c r="K58" s="314"/>
      <c r="L58" s="314"/>
      <c r="M58" s="314"/>
      <c r="N58" s="314"/>
      <c r="O58" s="314"/>
      <c r="P58" s="314"/>
      <c r="Q58" s="314"/>
      <c r="R58" s="314"/>
      <c r="S58" s="314"/>
      <c r="T58" s="314"/>
      <c r="U58" s="314"/>
      <c r="V58" s="314"/>
      <c r="W58" s="314"/>
      <c r="X58" s="315"/>
      <c r="Y58" s="316"/>
      <c r="Z58" s="315"/>
      <c r="AA58" s="382">
        <f t="shared" si="6"/>
        <v>0</v>
      </c>
    </row>
    <row r="59" spans="3:27" ht="20.100000000000001" customHeight="1" thickBot="1" x14ac:dyDescent="0.25">
      <c r="C59" s="234"/>
      <c r="D59" s="362" t="s">
        <v>80</v>
      </c>
      <c r="E59" s="363"/>
      <c r="F59" s="364"/>
      <c r="G59" s="364"/>
      <c r="H59" s="364"/>
      <c r="I59" s="364"/>
      <c r="J59" s="364"/>
      <c r="K59" s="364"/>
      <c r="L59" s="364"/>
      <c r="M59" s="364"/>
      <c r="N59" s="364"/>
      <c r="O59" s="364"/>
      <c r="P59" s="364"/>
      <c r="Q59" s="364"/>
      <c r="R59" s="364"/>
      <c r="S59" s="364"/>
      <c r="T59" s="364"/>
      <c r="U59" s="364"/>
      <c r="V59" s="364"/>
      <c r="W59" s="364"/>
      <c r="X59" s="365"/>
      <c r="Y59" s="366"/>
      <c r="Z59" s="365"/>
      <c r="AA59" s="382">
        <f t="shared" si="6"/>
        <v>0</v>
      </c>
    </row>
    <row r="60" spans="3:27" x14ac:dyDescent="0.2">
      <c r="AA60" s="321"/>
    </row>
    <row r="63" spans="3:27" ht="18" x14ac:dyDescent="0.25">
      <c r="E63" s="230"/>
    </row>
    <row r="65" spans="4:27" ht="13.5" thickBot="1" x14ac:dyDescent="0.25"/>
    <row r="66" spans="4:27" ht="16.5" customHeight="1" thickBot="1" x14ac:dyDescent="0.25">
      <c r="D66" s="235" t="s">
        <v>79</v>
      </c>
      <c r="E66" s="429" t="s">
        <v>101</v>
      </c>
      <c r="F66" s="430"/>
      <c r="G66" s="430"/>
      <c r="H66" s="430"/>
      <c r="I66" s="430"/>
      <c r="J66" s="430"/>
      <c r="K66" s="430"/>
      <c r="L66" s="430"/>
      <c r="M66" s="430"/>
      <c r="N66" s="430"/>
      <c r="O66" s="430"/>
      <c r="P66" s="430"/>
      <c r="Q66" s="430"/>
      <c r="R66" s="430"/>
      <c r="S66" s="430"/>
      <c r="T66" s="430"/>
      <c r="U66" s="430"/>
      <c r="V66" s="430"/>
      <c r="W66" s="430"/>
      <c r="X66" s="430"/>
      <c r="Y66" s="430"/>
      <c r="Z66" s="431"/>
      <c r="AA66" s="381" t="s">
        <v>7</v>
      </c>
    </row>
    <row r="67" spans="4:27" ht="42" customHeight="1" thickBot="1" x14ac:dyDescent="0.25">
      <c r="D67" s="359" t="s">
        <v>81</v>
      </c>
      <c r="E67" s="455" t="s">
        <v>69</v>
      </c>
      <c r="F67" s="399" t="s">
        <v>99</v>
      </c>
      <c r="G67" s="395" t="s">
        <v>70</v>
      </c>
      <c r="H67" s="456" t="s">
        <v>71</v>
      </c>
      <c r="I67" s="457" t="s">
        <v>72</v>
      </c>
      <c r="J67" s="458" t="s">
        <v>73</v>
      </c>
      <c r="K67" s="459" t="s">
        <v>74</v>
      </c>
      <c r="L67" s="398" t="s">
        <v>75</v>
      </c>
      <c r="M67" s="460" t="s">
        <v>76</v>
      </c>
      <c r="N67" s="461" t="s">
        <v>77</v>
      </c>
      <c r="O67" s="400" t="s">
        <v>105</v>
      </c>
      <c r="P67" s="462" t="s">
        <v>106</v>
      </c>
      <c r="Q67" s="396" t="s">
        <v>107</v>
      </c>
      <c r="R67" s="463" t="s">
        <v>108</v>
      </c>
      <c r="S67" s="464" t="s">
        <v>109</v>
      </c>
      <c r="T67" s="465" t="s">
        <v>110</v>
      </c>
      <c r="U67" s="466" t="s">
        <v>111</v>
      </c>
      <c r="V67" s="397" t="s">
        <v>112</v>
      </c>
      <c r="W67" s="467" t="s">
        <v>113</v>
      </c>
      <c r="X67" s="468" t="s">
        <v>114</v>
      </c>
      <c r="Y67" s="471" t="s">
        <v>3</v>
      </c>
      <c r="Z67" s="472" t="s">
        <v>4</v>
      </c>
      <c r="AA67" s="388" t="s">
        <v>103</v>
      </c>
    </row>
    <row r="68" spans="4:27" ht="20.100000000000001" customHeight="1" x14ac:dyDescent="0.2">
      <c r="D68" s="244" t="s">
        <v>80</v>
      </c>
      <c r="E68" s="237"/>
      <c r="F68" s="238"/>
      <c r="G68" s="238"/>
      <c r="H68" s="238"/>
      <c r="I68" s="238"/>
      <c r="J68" s="238"/>
      <c r="K68" s="238"/>
      <c r="L68" s="238"/>
      <c r="M68" s="238"/>
      <c r="N68" s="238"/>
      <c r="O68" s="238"/>
      <c r="P68" s="238"/>
      <c r="Q68" s="238"/>
      <c r="R68" s="238"/>
      <c r="S68" s="238"/>
      <c r="T68" s="238"/>
      <c r="U68" s="238"/>
      <c r="V68" s="238"/>
      <c r="W68" s="238"/>
      <c r="X68" s="239"/>
      <c r="Y68" s="240"/>
      <c r="Z68" s="239"/>
      <c r="AA68" s="385">
        <f t="shared" ref="AA68:AA72" si="7">SUM(E68:Z68)</f>
        <v>0</v>
      </c>
    </row>
    <row r="69" spans="4:27" ht="20.100000000000001" customHeight="1" x14ac:dyDescent="0.2">
      <c r="D69" s="242" t="s">
        <v>80</v>
      </c>
      <c r="E69" s="179"/>
      <c r="F69" s="180"/>
      <c r="G69" s="180"/>
      <c r="H69" s="180"/>
      <c r="I69" s="180"/>
      <c r="J69" s="180"/>
      <c r="K69" s="180"/>
      <c r="L69" s="180"/>
      <c r="M69" s="180"/>
      <c r="N69" s="180"/>
      <c r="O69" s="180"/>
      <c r="P69" s="180"/>
      <c r="Q69" s="180"/>
      <c r="R69" s="180"/>
      <c r="S69" s="180"/>
      <c r="T69" s="180"/>
      <c r="U69" s="180"/>
      <c r="V69" s="180"/>
      <c r="W69" s="180"/>
      <c r="X69" s="181"/>
      <c r="Y69" s="182"/>
      <c r="Z69" s="181"/>
      <c r="AA69" s="311">
        <f t="shared" si="7"/>
        <v>0</v>
      </c>
    </row>
    <row r="70" spans="4:27" ht="20.100000000000001" customHeight="1" x14ac:dyDescent="0.2">
      <c r="D70" s="242" t="s">
        <v>80</v>
      </c>
      <c r="E70" s="179"/>
      <c r="F70" s="180"/>
      <c r="G70" s="180"/>
      <c r="H70" s="180"/>
      <c r="I70" s="180"/>
      <c r="J70" s="180"/>
      <c r="K70" s="180"/>
      <c r="L70" s="180"/>
      <c r="M70" s="180"/>
      <c r="N70" s="180"/>
      <c r="O70" s="180"/>
      <c r="P70" s="180"/>
      <c r="Q70" s="180"/>
      <c r="R70" s="180"/>
      <c r="S70" s="180"/>
      <c r="T70" s="180"/>
      <c r="U70" s="180"/>
      <c r="V70" s="180"/>
      <c r="W70" s="180"/>
      <c r="X70" s="181"/>
      <c r="Y70" s="182"/>
      <c r="Z70" s="181"/>
      <c r="AA70" s="311">
        <f t="shared" si="7"/>
        <v>0</v>
      </c>
    </row>
    <row r="71" spans="4:27" ht="20.100000000000001" customHeight="1" x14ac:dyDescent="0.2">
      <c r="D71" s="242" t="s">
        <v>80</v>
      </c>
      <c r="E71" s="179"/>
      <c r="F71" s="180"/>
      <c r="G71" s="180"/>
      <c r="H71" s="180"/>
      <c r="I71" s="180"/>
      <c r="J71" s="180"/>
      <c r="K71" s="180"/>
      <c r="L71" s="180"/>
      <c r="M71" s="180"/>
      <c r="N71" s="180"/>
      <c r="O71" s="180"/>
      <c r="P71" s="180"/>
      <c r="Q71" s="180"/>
      <c r="R71" s="180"/>
      <c r="S71" s="180"/>
      <c r="T71" s="180"/>
      <c r="U71" s="180"/>
      <c r="V71" s="180"/>
      <c r="W71" s="180"/>
      <c r="X71" s="181"/>
      <c r="Y71" s="182"/>
      <c r="Z71" s="181"/>
      <c r="AA71" s="311">
        <f t="shared" si="7"/>
        <v>0</v>
      </c>
    </row>
    <row r="72" spans="4:27" ht="20.100000000000001" customHeight="1" thickBot="1" x14ac:dyDescent="0.25">
      <c r="D72" s="243" t="s">
        <v>80</v>
      </c>
      <c r="E72" s="183"/>
      <c r="F72" s="184"/>
      <c r="G72" s="184"/>
      <c r="H72" s="184"/>
      <c r="I72" s="184"/>
      <c r="J72" s="184"/>
      <c r="K72" s="184"/>
      <c r="L72" s="184"/>
      <c r="M72" s="184"/>
      <c r="N72" s="184"/>
      <c r="O72" s="184"/>
      <c r="P72" s="184"/>
      <c r="Q72" s="184"/>
      <c r="R72" s="184"/>
      <c r="S72" s="184"/>
      <c r="T72" s="184"/>
      <c r="U72" s="184"/>
      <c r="V72" s="184"/>
      <c r="W72" s="184"/>
      <c r="X72" s="185"/>
      <c r="Y72" s="186"/>
      <c r="Z72" s="185"/>
      <c r="AA72" s="386">
        <f t="shared" si="7"/>
        <v>0</v>
      </c>
    </row>
    <row r="73" spans="4:27" ht="20.100000000000001" customHeight="1" x14ac:dyDescent="0.2">
      <c r="D73" s="236"/>
      <c r="E73" s="234"/>
      <c r="F73" s="234"/>
      <c r="G73" s="234"/>
      <c r="H73" s="234"/>
      <c r="I73" s="234"/>
      <c r="J73" s="234"/>
      <c r="K73" s="234"/>
      <c r="L73" s="234"/>
      <c r="M73" s="234"/>
      <c r="N73" s="234"/>
      <c r="O73" s="234"/>
      <c r="P73" s="234"/>
      <c r="Q73" s="234"/>
      <c r="R73" s="234"/>
      <c r="S73" s="234"/>
      <c r="T73" s="234"/>
      <c r="U73" s="234"/>
      <c r="V73" s="234"/>
      <c r="W73" s="234"/>
      <c r="X73" s="234"/>
      <c r="Y73" s="234"/>
      <c r="Z73" s="234"/>
    </row>
    <row r="74" spans="4:27" ht="20.100000000000001" customHeight="1" x14ac:dyDescent="0.2">
      <c r="D74" s="236"/>
      <c r="E74" s="234"/>
      <c r="F74" s="234"/>
      <c r="G74" s="234"/>
      <c r="H74" s="234"/>
      <c r="I74" s="234"/>
      <c r="J74" s="234"/>
      <c r="K74" s="234"/>
      <c r="L74" s="234"/>
      <c r="M74" s="234"/>
      <c r="N74" s="234"/>
      <c r="O74" s="234"/>
      <c r="P74" s="234"/>
      <c r="Q74" s="234"/>
      <c r="R74" s="234"/>
      <c r="S74" s="234"/>
      <c r="T74" s="234"/>
      <c r="U74" s="234"/>
      <c r="V74" s="234"/>
      <c r="W74" s="234"/>
      <c r="X74" s="234"/>
      <c r="Y74" s="234"/>
      <c r="Z74" s="234"/>
    </row>
    <row r="75" spans="4:27" ht="20.100000000000001" customHeight="1" thickBot="1" x14ac:dyDescent="0.25">
      <c r="D75" s="236"/>
      <c r="E75" s="234"/>
      <c r="F75" s="234"/>
      <c r="G75" s="234"/>
      <c r="H75" s="234"/>
      <c r="I75" s="234"/>
      <c r="J75" s="234"/>
      <c r="K75" s="234"/>
      <c r="L75" s="234"/>
      <c r="M75" s="234"/>
      <c r="N75" s="234"/>
      <c r="O75" s="234"/>
      <c r="P75" s="234"/>
      <c r="Q75" s="234"/>
      <c r="R75" s="234"/>
      <c r="S75" s="234"/>
      <c r="T75" s="234"/>
      <c r="U75" s="234"/>
      <c r="V75" s="234"/>
      <c r="W75" s="234"/>
      <c r="X75" s="234"/>
      <c r="Y75" s="234"/>
      <c r="Z75" s="234"/>
    </row>
    <row r="76" spans="4:27" ht="20.100000000000001" customHeight="1" thickBot="1" x14ac:dyDescent="0.25">
      <c r="D76" s="235" t="s">
        <v>83</v>
      </c>
      <c r="E76" s="429" t="s">
        <v>100</v>
      </c>
      <c r="F76" s="430"/>
      <c r="G76" s="430"/>
      <c r="H76" s="430"/>
      <c r="I76" s="430"/>
      <c r="J76" s="430"/>
      <c r="K76" s="430"/>
      <c r="L76" s="430"/>
      <c r="M76" s="430"/>
      <c r="N76" s="430"/>
      <c r="O76" s="430"/>
      <c r="P76" s="430"/>
      <c r="Q76" s="430"/>
      <c r="R76" s="430"/>
      <c r="S76" s="430"/>
      <c r="T76" s="430"/>
      <c r="U76" s="430"/>
      <c r="V76" s="430"/>
      <c r="W76" s="430"/>
      <c r="X76" s="430"/>
      <c r="Y76" s="430"/>
      <c r="Z76" s="431"/>
      <c r="AA76" s="387" t="s">
        <v>7</v>
      </c>
    </row>
    <row r="77" spans="4:27" ht="39.75" customHeight="1" thickBot="1" x14ac:dyDescent="0.25">
      <c r="D77" s="359" t="s">
        <v>81</v>
      </c>
      <c r="E77" s="455" t="s">
        <v>69</v>
      </c>
      <c r="F77" s="399" t="s">
        <v>99</v>
      </c>
      <c r="G77" s="395" t="s">
        <v>70</v>
      </c>
      <c r="H77" s="456" t="s">
        <v>71</v>
      </c>
      <c r="I77" s="457" t="s">
        <v>72</v>
      </c>
      <c r="J77" s="458" t="s">
        <v>73</v>
      </c>
      <c r="K77" s="459" t="s">
        <v>74</v>
      </c>
      <c r="L77" s="398" t="s">
        <v>75</v>
      </c>
      <c r="M77" s="460" t="s">
        <v>76</v>
      </c>
      <c r="N77" s="461" t="s">
        <v>77</v>
      </c>
      <c r="O77" s="400" t="s">
        <v>105</v>
      </c>
      <c r="P77" s="462" t="s">
        <v>106</v>
      </c>
      <c r="Q77" s="396" t="s">
        <v>107</v>
      </c>
      <c r="R77" s="463" t="s">
        <v>108</v>
      </c>
      <c r="S77" s="464" t="s">
        <v>109</v>
      </c>
      <c r="T77" s="465" t="s">
        <v>110</v>
      </c>
      <c r="U77" s="466" t="s">
        <v>111</v>
      </c>
      <c r="V77" s="397" t="s">
        <v>112</v>
      </c>
      <c r="W77" s="467" t="s">
        <v>113</v>
      </c>
      <c r="X77" s="468" t="s">
        <v>114</v>
      </c>
      <c r="Y77" s="471" t="s">
        <v>3</v>
      </c>
      <c r="Z77" s="472" t="s">
        <v>4</v>
      </c>
      <c r="AA77" s="384" t="s">
        <v>103</v>
      </c>
    </row>
    <row r="78" spans="4:27" ht="20.100000000000001" customHeight="1" x14ac:dyDescent="0.2">
      <c r="D78" s="244" t="s">
        <v>80</v>
      </c>
      <c r="E78" s="237"/>
      <c r="F78" s="238"/>
      <c r="G78" s="238"/>
      <c r="H78" s="238"/>
      <c r="I78" s="238"/>
      <c r="J78" s="238"/>
      <c r="K78" s="238"/>
      <c r="L78" s="238"/>
      <c r="M78" s="238"/>
      <c r="N78" s="238"/>
      <c r="O78" s="238"/>
      <c r="P78" s="238"/>
      <c r="Q78" s="238"/>
      <c r="R78" s="238"/>
      <c r="S78" s="238"/>
      <c r="T78" s="238"/>
      <c r="U78" s="238"/>
      <c r="V78" s="238"/>
      <c r="W78" s="238"/>
      <c r="X78" s="239"/>
      <c r="Y78" s="240"/>
      <c r="Z78" s="239"/>
      <c r="AA78" s="385">
        <f t="shared" ref="AA78:AA80" si="8">SUM(E78:Z78)</f>
        <v>0</v>
      </c>
    </row>
    <row r="79" spans="4:27" ht="20.100000000000001" customHeight="1" x14ac:dyDescent="0.2">
      <c r="D79" s="242" t="s">
        <v>80</v>
      </c>
      <c r="E79" s="179"/>
      <c r="F79" s="180"/>
      <c r="G79" s="180"/>
      <c r="H79" s="180"/>
      <c r="I79" s="180"/>
      <c r="J79" s="180"/>
      <c r="K79" s="180"/>
      <c r="L79" s="180"/>
      <c r="M79" s="180"/>
      <c r="N79" s="180"/>
      <c r="O79" s="180"/>
      <c r="P79" s="180"/>
      <c r="Q79" s="180"/>
      <c r="R79" s="180"/>
      <c r="S79" s="180"/>
      <c r="T79" s="180"/>
      <c r="U79" s="180"/>
      <c r="V79" s="180"/>
      <c r="W79" s="180"/>
      <c r="X79" s="181"/>
      <c r="Y79" s="182"/>
      <c r="Z79" s="181"/>
      <c r="AA79" s="311">
        <f t="shared" si="8"/>
        <v>0</v>
      </c>
    </row>
    <row r="80" spans="4:27" ht="20.100000000000001" customHeight="1" thickBot="1" x14ac:dyDescent="0.25">
      <c r="D80" s="243" t="s">
        <v>80</v>
      </c>
      <c r="E80" s="183"/>
      <c r="F80" s="184"/>
      <c r="G80" s="184"/>
      <c r="H80" s="184"/>
      <c r="I80" s="184"/>
      <c r="J80" s="184"/>
      <c r="K80" s="184"/>
      <c r="L80" s="184"/>
      <c r="M80" s="184"/>
      <c r="N80" s="184"/>
      <c r="O80" s="184"/>
      <c r="P80" s="184"/>
      <c r="Q80" s="184"/>
      <c r="R80" s="184"/>
      <c r="S80" s="184"/>
      <c r="T80" s="184"/>
      <c r="U80" s="184"/>
      <c r="V80" s="184"/>
      <c r="W80" s="184"/>
      <c r="X80" s="185"/>
      <c r="Y80" s="186"/>
      <c r="Z80" s="185"/>
      <c r="AA80" s="386">
        <f t="shared" si="8"/>
        <v>0</v>
      </c>
    </row>
    <row r="81" spans="4:27" ht="20.100000000000001" customHeight="1" x14ac:dyDescent="0.2">
      <c r="D81" s="236"/>
      <c r="E81" s="234"/>
      <c r="F81" s="234"/>
      <c r="G81" s="234"/>
      <c r="H81" s="234"/>
      <c r="I81" s="234"/>
      <c r="J81" s="234"/>
      <c r="K81" s="234"/>
      <c r="L81" s="234"/>
      <c r="M81" s="234"/>
      <c r="N81" s="234"/>
      <c r="O81" s="234"/>
      <c r="P81" s="234"/>
      <c r="Q81" s="234"/>
      <c r="R81" s="234"/>
      <c r="S81" s="234"/>
      <c r="T81" s="234"/>
      <c r="U81" s="234"/>
      <c r="V81" s="234"/>
      <c r="W81" s="234"/>
      <c r="X81" s="234"/>
      <c r="Y81" s="234"/>
      <c r="Z81" s="234"/>
      <c r="AA81" s="241"/>
    </row>
    <row r="82" spans="4:27" ht="20.100000000000001" customHeight="1" x14ac:dyDescent="0.2">
      <c r="D82" s="236"/>
      <c r="E82" s="234"/>
      <c r="F82" s="234"/>
      <c r="G82" s="234"/>
      <c r="H82" s="234"/>
      <c r="I82" s="234"/>
      <c r="J82" s="234"/>
      <c r="K82" s="234"/>
      <c r="L82" s="234"/>
      <c r="M82" s="234"/>
      <c r="N82" s="234"/>
      <c r="O82" s="234"/>
      <c r="P82" s="234"/>
      <c r="Q82" s="234"/>
      <c r="R82" s="234"/>
      <c r="S82" s="234"/>
      <c r="T82" s="234"/>
      <c r="U82" s="234"/>
      <c r="V82" s="234"/>
      <c r="W82" s="234"/>
      <c r="X82" s="234"/>
      <c r="Y82" s="234"/>
      <c r="Z82" s="234"/>
      <c r="AA82" s="241"/>
    </row>
  </sheetData>
  <sheetProtection algorithmName="SHA-512" hashValue="8vqUF0zkBMsgt4rb+oTy0W1TxfuF5qVL5pqaoPfrt3ZHqrN2vRF313yxCUrf1sRtoBWB337t0/9X5v29COzaQA==" saltValue="n4rR+lH7yBDE89eaxqkKbg==" spinCount="100000" sheet="1" objects="1" scenarios="1"/>
  <mergeCells count="7">
    <mergeCell ref="E76:Z76"/>
    <mergeCell ref="E1:Z1"/>
    <mergeCell ref="A10:B11"/>
    <mergeCell ref="A12:B14"/>
    <mergeCell ref="A15:B18"/>
    <mergeCell ref="E48:Z48"/>
    <mergeCell ref="E66:Z66"/>
  </mergeCells>
  <conditionalFormatting sqref="B8">
    <cfRule type="cellIs" dxfId="123" priority="5" operator="notEqual">
      <formula>$B$7</formula>
    </cfRule>
  </conditionalFormatting>
  <conditionalFormatting sqref="E3:AA12">
    <cfRule type="cellIs" dxfId="122" priority="4" operator="notBetween">
      <formula>0</formula>
      <formula>100</formula>
    </cfRule>
  </conditionalFormatting>
  <conditionalFormatting sqref="E3:AA14">
    <cfRule type="cellIs" dxfId="121" priority="7" operator="lessThan">
      <formula>0</formula>
    </cfRule>
  </conditionalFormatting>
  <conditionalFormatting sqref="E14:AA14">
    <cfRule type="cellIs" dxfId="120" priority="10" operator="greaterThan">
      <formula>1</formula>
    </cfRule>
  </conditionalFormatting>
  <conditionalFormatting sqref="AA3:AA13">
    <cfRule type="cellIs" dxfId="119" priority="8" operator="equal">
      <formula>0</formula>
    </cfRule>
  </conditionalFormatting>
  <conditionalFormatting sqref="AA13">
    <cfRule type="cellIs" dxfId="118" priority="12" operator="equal">
      <formula>$B$7</formula>
    </cfRule>
  </conditionalFormatting>
  <conditionalFormatting sqref="AA14">
    <cfRule type="cellIs" dxfId="117" priority="9" operator="equal">
      <formula>1</formula>
    </cfRule>
    <cfRule type="cellIs" dxfId="116" priority="11" operator="lessThan">
      <formula>1</formula>
    </cfRule>
  </conditionalFormatting>
  <conditionalFormatting sqref="AG4:AG15">
    <cfRule type="expression" dxfId="115" priority="13">
      <formula>AND($AG4&lt;$AG3, NOT(ISBLANK($AG4)))</formula>
    </cfRule>
    <cfRule type="cellIs" dxfId="114" priority="14" operator="greaterThan">
      <formula>$B$6</formula>
    </cfRule>
  </conditionalFormatting>
  <conditionalFormatting sqref="AH4:AH15">
    <cfRule type="cellIs" dxfId="113" priority="6" operator="greaterThan">
      <formula>1</formula>
    </cfRule>
  </conditionalFormatting>
  <conditionalFormatting sqref="D68:D72 D50:D59 D78:D80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3:Z12">
    <cfRule type="expression" dxfId="112" priority="15">
      <formula>($D3&lt;=$K$23)</formula>
    </cfRule>
  </conditionalFormatting>
  <conditionalFormatting sqref="AA3:AA12">
    <cfRule type="expression" dxfId="111" priority="16">
      <formula>AND($D3=$K$23, AA3=$J$24)</formula>
    </cfRule>
    <cfRule type="expression" dxfId="110" priority="17">
      <formula>AND($D3=$K$23, MOD(AA3,100)&gt;$J$24)</formula>
    </cfRule>
    <cfRule type="cellIs" dxfId="109" priority="18" operator="equal">
      <formula>100</formula>
    </cfRule>
  </conditionalFormatting>
  <conditionalFormatting sqref="D3:Z12">
    <cfRule type="expression" dxfId="108" priority="22">
      <formula>($D3&gt;$K$23)</formula>
    </cfRule>
  </conditionalFormatting>
  <conditionalFormatting sqref="AA50 AA68:AA72 AA78:AA80">
    <cfRule type="cellIs" dxfId="107" priority="23" operator="lessThan">
      <formula>0</formula>
    </cfRule>
    <cfRule type="cellIs" dxfId="106" priority="24" operator="equal">
      <formula>0</formula>
    </cfRule>
    <cfRule type="expression" dxfId="105" priority="25">
      <formula>OR(MOD($AA50,100)=0,AND($D50=$K$23,MOD($AA50,100)=$J$24))</formula>
    </cfRule>
  </conditionalFormatting>
  <conditionalFormatting sqref="E50:Z59">
    <cfRule type="expression" dxfId="104" priority="2">
      <formula>AND(E50&lt;MAX(E$50:E50), NOT(ISBLANK(E50)), NOT(E50=0))</formula>
    </cfRule>
  </conditionalFormatting>
  <conditionalFormatting sqref="AA52:AA59">
    <cfRule type="cellIs" dxfId="103" priority="27" operator="lessThan">
      <formula>0</formula>
    </cfRule>
    <cfRule type="cellIs" dxfId="102" priority="28" operator="equal">
      <formula>0</formula>
    </cfRule>
    <cfRule type="expression" dxfId="101" priority="29">
      <formula>OR(MOD($AA52,100)=0,AND($D52=$K$23,MOD($AA52,100)=$J$24))</formula>
    </cfRule>
  </conditionalFormatting>
  <conditionalFormatting sqref="AA51">
    <cfRule type="cellIs" dxfId="100" priority="30" operator="lessThan">
      <formula>0</formula>
    </cfRule>
    <cfRule type="cellIs" dxfId="99" priority="31" operator="equal">
      <formula>0</formula>
    </cfRule>
    <cfRule type="expression" dxfId="98" priority="32">
      <formula>OR(MOD($AA51,100)=0,AND($D50=$K$23,MOD($AA51,100)=$J$24))</formula>
    </cfRule>
  </conditionalFormatting>
  <conditionalFormatting sqref="E50:Z59 E68:Z72 E78:Z80">
    <cfRule type="cellIs" dxfId="97" priority="19" operator="notBetween">
      <formula>0</formula>
      <formula>$B$7</formula>
    </cfRule>
    <cfRule type="expression" dxfId="96" priority="20">
      <formula>($D50&lt;=$K$23)</formula>
    </cfRule>
    <cfRule type="expression" dxfId="95" priority="21">
      <formula>($D50&gt;$K$23)</formula>
    </cfRule>
  </conditionalFormatting>
  <conditionalFormatting sqref="E68:Z72">
    <cfRule type="expression" dxfId="94" priority="1">
      <formula>AND(E68&lt;MAX(E$68:E68), NOT(ISBLANK(E68)), NOT(E68=0))</formula>
    </cfRule>
  </conditionalFormatting>
  <conditionalFormatting sqref="E78:Z80">
    <cfRule type="expression" dxfId="93" priority="26">
      <formula>AND(E78&lt;MAX(E$78:E78), NOT(ISBLANK(E78)), NOT(E78=0))</formula>
    </cfRule>
  </conditionalFormatting>
  <dataValidations count="2">
    <dataValidation type="list" allowBlank="1" showInputMessage="1" showErrorMessage="1" sqref="D68:D72 D78:D82 D50:D59" xr:uid="{7B1662C7-B658-4B4D-9C6A-4FB752B58F7C}">
      <formula1>$D$3:$D$12</formula1>
    </dataValidation>
    <dataValidation type="list" allowBlank="1" showInputMessage="1" showErrorMessage="1" sqref="C50:C59" xr:uid="{966D8BCD-FA0E-4D30-B68E-C721E3B8A7F6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38D27-A4A9-48B7-85F2-F3D6AA1DD2F6}">
  <sheetPr codeName="Feuil39">
    <tabColor rgb="FFB4A7D6"/>
  </sheetPr>
  <dimension ref="A1:AL82"/>
  <sheetViews>
    <sheetView zoomScale="80" zoomScaleNormal="80" workbookViewId="0">
      <pane xSplit="2" topLeftCell="C1" activePane="topRight" state="frozen"/>
      <selection pane="topRight" activeCell="B29" sqref="B29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24" width="15.7109375" customWidth="1"/>
    <col min="27" max="27" width="12.85546875" customWidth="1"/>
    <col min="28" max="28" width="11.42578125" customWidth="1"/>
    <col min="31" max="31" width="10.42578125" customWidth="1"/>
    <col min="32" max="32" width="15.42578125" customWidth="1"/>
    <col min="33" max="33" width="16.140625" customWidth="1"/>
    <col min="34" max="34" width="12" customWidth="1"/>
    <col min="36" max="36" width="13.28515625" customWidth="1"/>
    <col min="37" max="37" width="14.42578125" customWidth="1"/>
  </cols>
  <sheetData>
    <row r="1" spans="1:38" ht="16.5" customHeight="1" thickBot="1" x14ac:dyDescent="0.25">
      <c r="A1" s="308" t="s">
        <v>11</v>
      </c>
      <c r="B1" s="33">
        <f>Synthèse!B17</f>
        <v>46096</v>
      </c>
      <c r="D1" s="307"/>
      <c r="E1" s="432" t="s">
        <v>66</v>
      </c>
      <c r="F1" s="433"/>
      <c r="G1" s="433"/>
      <c r="H1" s="433"/>
      <c r="I1" s="433"/>
      <c r="J1" s="433"/>
      <c r="K1" s="433"/>
      <c r="L1" s="433"/>
      <c r="M1" s="433"/>
      <c r="N1" s="433"/>
      <c r="O1" s="433"/>
      <c r="P1" s="433"/>
      <c r="Q1" s="433"/>
      <c r="R1" s="433"/>
      <c r="S1" s="433"/>
      <c r="T1" s="433"/>
      <c r="U1" s="433"/>
      <c r="V1" s="433"/>
      <c r="W1" s="433"/>
      <c r="X1" s="433"/>
      <c r="Y1" s="433"/>
      <c r="Z1" s="434"/>
      <c r="AA1" s="392" t="s">
        <v>7</v>
      </c>
    </row>
    <row r="2" spans="1:38" ht="39.75" customHeight="1" thickBot="1" x14ac:dyDescent="0.25">
      <c r="A2" s="309" t="s">
        <v>12</v>
      </c>
      <c r="B2" s="34" t="str">
        <f>Synthèse!B18</f>
        <v>Municipales 1er tour</v>
      </c>
      <c r="D2" s="355" t="s">
        <v>82</v>
      </c>
      <c r="E2" s="455" t="str">
        <f>Synthèse!L2</f>
        <v>Candidat 1</v>
      </c>
      <c r="F2" s="399" t="str">
        <f>Synthèse!M2</f>
        <v>Candidat 2</v>
      </c>
      <c r="G2" s="395" t="str">
        <f>Synthèse!N2</f>
        <v>Candidat 3</v>
      </c>
      <c r="H2" s="456" t="str">
        <f>Synthèse!O2</f>
        <v>Candidat 4</v>
      </c>
      <c r="I2" s="457" t="str">
        <f>Synthèse!P2</f>
        <v>Candidat 5</v>
      </c>
      <c r="J2" s="458" t="str">
        <f>Synthèse!Q2</f>
        <v>Candidat 6</v>
      </c>
      <c r="K2" s="459" t="str">
        <f>Synthèse!R2</f>
        <v>Candidat 7</v>
      </c>
      <c r="L2" s="398" t="str">
        <f>Synthèse!S2</f>
        <v>Candidat 8</v>
      </c>
      <c r="M2" s="460" t="str">
        <f>Synthèse!T2</f>
        <v>Candidat 9</v>
      </c>
      <c r="N2" s="461" t="str">
        <f>Synthèse!U2</f>
        <v>Candidat 10</v>
      </c>
      <c r="O2" s="400" t="str">
        <f>Synthèse!V2</f>
        <v>Candidat 11</v>
      </c>
      <c r="P2" s="462" t="str">
        <f>Synthèse!W2</f>
        <v>Candidat 12</v>
      </c>
      <c r="Q2" s="396" t="str">
        <f>Synthèse!X2</f>
        <v>Candidat 13</v>
      </c>
      <c r="R2" s="463" t="str">
        <f>Synthèse!Y2</f>
        <v>Candidat 14</v>
      </c>
      <c r="S2" s="464" t="str">
        <f>Synthèse!Z2</f>
        <v>Candidat 15</v>
      </c>
      <c r="T2" s="465" t="str">
        <f>Synthèse!AA2</f>
        <v>Candidat 16</v>
      </c>
      <c r="U2" s="466" t="str">
        <f>Synthèse!AB2</f>
        <v>Candidat 17</v>
      </c>
      <c r="V2" s="397" t="str">
        <f>Synthèse!AC2</f>
        <v>Candidat 18</v>
      </c>
      <c r="W2" s="467" t="str">
        <f>Synthèse!AD2</f>
        <v>Candidat 19</v>
      </c>
      <c r="X2" s="468" t="str">
        <f>Synthèse!AE2</f>
        <v>Candidat 20</v>
      </c>
      <c r="Y2" s="469" t="s">
        <v>3</v>
      </c>
      <c r="Z2" s="470" t="s">
        <v>4</v>
      </c>
      <c r="AA2" s="393" t="s">
        <v>104</v>
      </c>
      <c r="AF2" s="367" t="s">
        <v>21</v>
      </c>
      <c r="AG2" s="368" t="s">
        <v>57</v>
      </c>
      <c r="AH2" s="369" t="s">
        <v>31</v>
      </c>
      <c r="AJ2" s="370" t="s">
        <v>59</v>
      </c>
      <c r="AK2" s="370" t="s">
        <v>58</v>
      </c>
    </row>
    <row r="3" spans="1:38" ht="20.100000000000001" customHeight="1" thickBot="1" x14ac:dyDescent="0.25">
      <c r="A3" s="310" t="s">
        <v>13</v>
      </c>
      <c r="B3" s="94" t="str">
        <f>Synthèse!B19</f>
        <v>Cogolin</v>
      </c>
      <c r="D3" s="352" t="str" cm="1">
        <f t="array" ref="D3">IF(ROW(1:1)&lt;=$K$23, (ROW(1:1)), "")</f>
        <v/>
      </c>
      <c r="E3" s="155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55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55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55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55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55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55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55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5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155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1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155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155" cm="1">
        <f t="array" ref="Q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R3" s="155" cm="1">
        <f t="array" ref="R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S3" s="155" cm="1">
        <f t="array" ref="S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T3" s="155" cm="1">
        <f t="array" ref="T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U3" s="155" cm="1">
        <f t="array" ref="U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V3" s="155" cm="1">
        <f t="array" ref="V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W3" s="155" cm="1">
        <f t="array" ref="W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X3" s="155" cm="1">
        <f t="array" ref="X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Y3" s="171" cm="1">
        <f t="array" ref="Y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Z3" s="172" cm="1">
        <f t="array" ref="Z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AA3" s="311">
        <f t="shared" ref="AA3:AA12" si="0">SUM(E3:Z3)</f>
        <v>0</v>
      </c>
      <c r="AF3" s="343" t="s">
        <v>32</v>
      </c>
      <c r="AG3" s="344">
        <v>0</v>
      </c>
      <c r="AH3" s="345">
        <f t="shared" ref="AH3" si="1">AG3/$B$6</f>
        <v>0</v>
      </c>
      <c r="AJ3" s="323"/>
      <c r="AK3" s="323"/>
    </row>
    <row r="4" spans="1:38" ht="20.100000000000001" customHeight="1" x14ac:dyDescent="0.2">
      <c r="A4" s="95" t="s">
        <v>23</v>
      </c>
      <c r="B4" s="168">
        <v>10</v>
      </c>
      <c r="D4" s="353" t="str" cm="1">
        <f t="array" ref="D4">IF(ROW(2:2)&lt;=$K$23, (ROW(2:2)), "")</f>
        <v/>
      </c>
      <c r="E4" s="156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56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56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56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56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56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56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56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5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156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156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156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156" cm="1">
        <f t="array" ref="Q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R4" s="156" cm="1">
        <f t="array" ref="R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S4" s="156" cm="1">
        <f t="array" ref="S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T4" s="156" cm="1">
        <f t="array" ref="T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U4" s="156" cm="1">
        <f t="array" ref="U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V4" s="156" cm="1">
        <f t="array" ref="V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W4" s="156" cm="1">
        <f t="array" ref="W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X4" s="156" cm="1">
        <f t="array" ref="X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Y4" s="157" cm="1">
        <f t="array" ref="Y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Z4" s="158" cm="1">
        <f t="array" ref="Z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AA4" s="311">
        <f t="shared" si="0"/>
        <v>0</v>
      </c>
      <c r="AF4" s="346" t="s">
        <v>33</v>
      </c>
      <c r="AG4" s="473"/>
      <c r="AH4" s="348" t="e">
        <f t="shared" ref="AH4:AH13" si="2">IF(OR(AG4=0, AG4=""), NA(), AG4/$B$6)</f>
        <v>#N/A</v>
      </c>
      <c r="AJ4" s="318" t="s">
        <v>45</v>
      </c>
      <c r="AK4" s="371" t="e">
        <f t="shared" ref="AK4:AK13" si="3">IF(AG4&lt;&gt;0,AG4-AG3,NA())</f>
        <v>#N/A</v>
      </c>
    </row>
    <row r="5" spans="1:38" ht="20.100000000000001" customHeight="1" x14ac:dyDescent="0.2">
      <c r="A5" s="96" t="s">
        <v>24</v>
      </c>
      <c r="B5" s="187" t="s">
        <v>29</v>
      </c>
      <c r="D5" s="353" t="str" cm="1">
        <f t="array" ref="D5">IF(ROW(3:3)&lt;=$K$23, (ROW(3:3)), "")</f>
        <v/>
      </c>
      <c r="E5" s="156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56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56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56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56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56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56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5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5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156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156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156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156" cm="1">
        <f t="array" ref="Q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R5" s="156" cm="1">
        <f t="array" ref="R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S5" s="156" cm="1">
        <f t="array" ref="S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T5" s="156" cm="1">
        <f t="array" ref="T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U5" s="156" cm="1">
        <f t="array" ref="U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V5" s="156" cm="1">
        <f t="array" ref="V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W5" s="156" cm="1">
        <f t="array" ref="W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X5" s="156" cm="1">
        <f t="array" ref="X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Y5" s="173" cm="1">
        <f t="array" ref="Y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Z5" s="174" cm="1">
        <f t="array" ref="Z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AA5" s="311">
        <f t="shared" si="0"/>
        <v>0</v>
      </c>
      <c r="AD5" s="231"/>
      <c r="AE5" s="232"/>
      <c r="AF5" s="346" t="s">
        <v>34</v>
      </c>
      <c r="AG5" s="473"/>
      <c r="AH5" s="348" t="e">
        <f t="shared" si="2"/>
        <v>#N/A</v>
      </c>
      <c r="AJ5" s="319" t="s">
        <v>46</v>
      </c>
      <c r="AK5" s="372" t="e">
        <f t="shared" si="3"/>
        <v>#N/A</v>
      </c>
    </row>
    <row r="6" spans="1:38" ht="20.100000000000001" customHeight="1" x14ac:dyDescent="0.2">
      <c r="A6" s="96" t="s">
        <v>0</v>
      </c>
      <c r="B6" s="188">
        <v>581</v>
      </c>
      <c r="D6" s="353" t="str" cm="1">
        <f t="array" ref="D6">IF(ROW(4:4)&lt;=$K$23, (ROW(4:4)), "")</f>
        <v/>
      </c>
      <c r="E6" s="156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56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56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56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56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56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56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5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5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156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156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156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156" cm="1">
        <f t="array" ref="Q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R6" s="156" cm="1">
        <f t="array" ref="R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S6" s="156" cm="1">
        <f t="array" ref="S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T6" s="156" cm="1">
        <f t="array" ref="T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U6" s="156" cm="1">
        <f t="array" ref="U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V6" s="156" cm="1">
        <f t="array" ref="V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W6" s="156" cm="1">
        <f t="array" ref="W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X6" s="156" cm="1">
        <f t="array" ref="X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Y6" s="173" cm="1">
        <f t="array" ref="Y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Z6" s="174" cm="1">
        <f t="array" ref="Z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AA6" s="311">
        <f t="shared" si="0"/>
        <v>0</v>
      </c>
      <c r="AD6" s="231"/>
      <c r="AE6" s="232"/>
      <c r="AF6" s="346" t="s">
        <v>35</v>
      </c>
      <c r="AG6" s="473"/>
      <c r="AH6" s="348" t="e">
        <f t="shared" si="2"/>
        <v>#N/A</v>
      </c>
      <c r="AJ6" s="319" t="s">
        <v>47</v>
      </c>
      <c r="AK6" s="372" t="e">
        <f t="shared" si="3"/>
        <v>#N/A</v>
      </c>
    </row>
    <row r="7" spans="1:38" ht="20.100000000000001" customHeight="1" x14ac:dyDescent="0.2">
      <c r="A7" s="96" t="s">
        <v>2</v>
      </c>
      <c r="B7" s="165">
        <f>MAX(AG4:AG15)</f>
        <v>0</v>
      </c>
      <c r="D7" s="353" t="str" cm="1">
        <f t="array" ref="D7">IF(ROW(5:5)&lt;=$K$23, (ROW(5:5)), "")</f>
        <v/>
      </c>
      <c r="E7" s="156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56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56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56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56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56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56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56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5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156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156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156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156" cm="1">
        <f t="array" ref="Q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R7" s="156" cm="1">
        <f t="array" ref="R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S7" s="156" cm="1">
        <f t="array" ref="S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T7" s="156" cm="1">
        <f t="array" ref="T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U7" s="156" cm="1">
        <f t="array" ref="U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V7" s="156" cm="1">
        <f t="array" ref="V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W7" s="156" cm="1">
        <f t="array" ref="W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X7" s="156" cm="1">
        <f t="array" ref="X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Y7" s="157" cm="1">
        <f t="array" ref="Y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Z7" s="158" cm="1">
        <f t="array" ref="Z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AA7" s="311">
        <f t="shared" si="0"/>
        <v>0</v>
      </c>
      <c r="AD7" s="231"/>
      <c r="AE7" s="232"/>
      <c r="AF7" s="346" t="s">
        <v>36</v>
      </c>
      <c r="AG7" s="473"/>
      <c r="AH7" s="348" t="e">
        <f t="shared" si="2"/>
        <v>#N/A</v>
      </c>
      <c r="AJ7" s="319" t="s">
        <v>54</v>
      </c>
      <c r="AK7" s="372" t="e">
        <f t="shared" si="3"/>
        <v>#N/A</v>
      </c>
    </row>
    <row r="8" spans="1:38" ht="20.100000000000001" customHeight="1" x14ac:dyDescent="0.2">
      <c r="A8" s="96" t="s">
        <v>1</v>
      </c>
      <c r="B8" s="166">
        <f>B7</f>
        <v>0</v>
      </c>
      <c r="D8" s="353" t="str" cm="1">
        <f t="array" ref="D8">IF(ROW(6:6)&lt;=$K$23, (ROW(6:6)), "")</f>
        <v/>
      </c>
      <c r="E8" s="156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56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56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56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56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56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56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56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5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156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156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156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156" cm="1">
        <f t="array" ref="Q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R8" s="156" cm="1">
        <f t="array" ref="R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S8" s="156" cm="1">
        <f t="array" ref="S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T8" s="156" cm="1">
        <f t="array" ref="T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U8" s="156" cm="1">
        <f t="array" ref="U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V8" s="156" cm="1">
        <f t="array" ref="V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W8" s="156" cm="1">
        <f t="array" ref="W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X8" s="156" cm="1">
        <f t="array" ref="X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Y8" s="157" cm="1">
        <f t="array" ref="Y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Z8" s="158" cm="1">
        <f t="array" ref="Z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AA8" s="311">
        <f t="shared" si="0"/>
        <v>0</v>
      </c>
      <c r="AD8" s="231"/>
      <c r="AE8" s="232"/>
      <c r="AF8" s="346" t="s">
        <v>37</v>
      </c>
      <c r="AG8" s="473"/>
      <c r="AH8" s="348" t="e">
        <f t="shared" si="2"/>
        <v>#N/A</v>
      </c>
      <c r="AJ8" s="319" t="s">
        <v>48</v>
      </c>
      <c r="AK8" s="372" t="e">
        <f t="shared" si="3"/>
        <v>#N/A</v>
      </c>
    </row>
    <row r="9" spans="1:38" ht="20.100000000000001" customHeight="1" thickBot="1" x14ac:dyDescent="0.25">
      <c r="A9" s="97" t="s">
        <v>17</v>
      </c>
      <c r="B9" s="167">
        <f>B6-B7</f>
        <v>581</v>
      </c>
      <c r="D9" s="353" t="str" cm="1">
        <f t="array" ref="D9">IF(ROW(7:7)&lt;=$K$23, (ROW(7:7)), "")</f>
        <v/>
      </c>
      <c r="E9" s="156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56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56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56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56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56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56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56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56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156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156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156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156" cm="1">
        <f t="array" ref="Q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R9" s="156" cm="1">
        <f t="array" ref="R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S9" s="156" cm="1">
        <f t="array" ref="S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T9" s="156" cm="1">
        <f t="array" ref="T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U9" s="156" cm="1">
        <f t="array" ref="U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V9" s="156" cm="1">
        <f t="array" ref="V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W9" s="156" cm="1">
        <f t="array" ref="W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X9" s="156" cm="1">
        <f t="array" ref="X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Y9" s="159" cm="1">
        <f t="array" ref="Y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Z9" s="160" cm="1">
        <f t="array" ref="Z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AA9" s="311">
        <f t="shared" si="0"/>
        <v>0</v>
      </c>
      <c r="AD9" s="231"/>
      <c r="AE9" s="232"/>
      <c r="AF9" s="346" t="s">
        <v>38</v>
      </c>
      <c r="AG9" s="473"/>
      <c r="AH9" s="348" t="e">
        <f t="shared" si="2"/>
        <v>#N/A</v>
      </c>
      <c r="AJ9" s="319" t="s">
        <v>49</v>
      </c>
      <c r="AK9" s="372" t="e">
        <f t="shared" si="3"/>
        <v>#N/A</v>
      </c>
    </row>
    <row r="10" spans="1:38" ht="20.100000000000001" customHeight="1" x14ac:dyDescent="0.2">
      <c r="A10" s="435" t="s">
        <v>60</v>
      </c>
      <c r="B10" s="435"/>
      <c r="D10" s="353" t="str" cm="1">
        <f t="array" ref="D10">IF(ROW(8:8)&lt;=$K$23, (ROW(8:8)), "")</f>
        <v/>
      </c>
      <c r="E10" s="156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56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56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56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56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56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56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56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56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156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156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156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156" cm="1">
        <f t="array" ref="Q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R10" s="156" cm="1">
        <f t="array" ref="R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S10" s="156" cm="1">
        <f t="array" ref="S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T10" s="156" cm="1">
        <f t="array" ref="T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U10" s="156" cm="1">
        <f t="array" ref="U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V10" s="156" cm="1">
        <f t="array" ref="V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W10" s="156" cm="1">
        <f t="array" ref="W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X10" s="156" cm="1">
        <f t="array" ref="X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Y10" s="159" cm="1">
        <f t="array" ref="Y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Z10" s="160" cm="1">
        <f t="array" ref="Z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AA10" s="311">
        <f t="shared" si="0"/>
        <v>0</v>
      </c>
      <c r="AD10" s="231"/>
      <c r="AE10" s="232"/>
      <c r="AF10" s="346" t="s">
        <v>39</v>
      </c>
      <c r="AG10" s="473"/>
      <c r="AH10" s="348" t="e">
        <f t="shared" si="2"/>
        <v>#N/A</v>
      </c>
      <c r="AJ10" s="319" t="s">
        <v>50</v>
      </c>
      <c r="AK10" s="372" t="e">
        <f t="shared" si="3"/>
        <v>#N/A</v>
      </c>
    </row>
    <row r="11" spans="1:38" ht="20.100000000000001" customHeight="1" x14ac:dyDescent="0.2">
      <c r="A11" s="436"/>
      <c r="B11" s="436"/>
      <c r="D11" s="353" t="str" cm="1">
        <f t="array" ref="D11">IF(ROW(9:9)&lt;=$K$23, (ROW(9:9)), "")</f>
        <v/>
      </c>
      <c r="E11" s="156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56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56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56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56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56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56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56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56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156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156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156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156" cm="1">
        <f t="array" ref="Q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R11" s="156" cm="1">
        <f t="array" ref="R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S11" s="156" cm="1">
        <f t="array" ref="S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T11" s="156" cm="1">
        <f t="array" ref="T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U11" s="156" cm="1">
        <f t="array" ref="U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V11" s="156" cm="1">
        <f t="array" ref="V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W11" s="156" cm="1">
        <f t="array" ref="W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X11" s="156">
        <v>0</v>
      </c>
      <c r="Y11" s="159" cm="1">
        <f t="array" ref="Y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Z11" s="160" cm="1">
        <f t="array" ref="Z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AA11" s="311">
        <f t="shared" si="0"/>
        <v>0</v>
      </c>
      <c r="AD11" s="231"/>
      <c r="AE11" s="232"/>
      <c r="AF11" s="346" t="s">
        <v>40</v>
      </c>
      <c r="AG11" s="473"/>
      <c r="AH11" s="348" t="e">
        <f t="shared" si="2"/>
        <v>#N/A</v>
      </c>
      <c r="AJ11" s="319" t="s">
        <v>51</v>
      </c>
      <c r="AK11" s="372" t="e">
        <f t="shared" si="3"/>
        <v>#N/A</v>
      </c>
    </row>
    <row r="12" spans="1:38" ht="20.100000000000001" customHeight="1" thickBot="1" x14ac:dyDescent="0.25">
      <c r="A12" s="437" t="s">
        <v>61</v>
      </c>
      <c r="B12" s="437"/>
      <c r="D12" s="354" t="str" cm="1">
        <f t="array" ref="D12">IF(ROW(10:10)&lt;=$K$23, (ROW(10:10)), "")</f>
        <v/>
      </c>
      <c r="E12" s="156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56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56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56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56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56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56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56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56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156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156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156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156" cm="1">
        <f t="array" ref="Q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R12" s="156" cm="1">
        <f t="array" ref="R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S12" s="156" cm="1">
        <f t="array" ref="S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T12" s="156" cm="1">
        <f t="array" ref="T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U12" s="156" cm="1">
        <f t="array" ref="U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V12" s="156" cm="1">
        <f t="array" ref="V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W12" s="156" cm="1">
        <f t="array" ref="W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X12" s="156" cm="1">
        <f t="array" ref="X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Y12" s="175" cm="1">
        <f t="array" ref="Y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Z12" s="176" cm="1">
        <f t="array" ref="Z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AA12" s="311">
        <f t="shared" si="0"/>
        <v>0</v>
      </c>
      <c r="AD12" s="231"/>
      <c r="AE12" s="232"/>
      <c r="AF12" s="346" t="s">
        <v>41</v>
      </c>
      <c r="AG12" s="473"/>
      <c r="AH12" s="348" t="e">
        <f t="shared" si="2"/>
        <v>#N/A</v>
      </c>
      <c r="AJ12" s="319" t="s">
        <v>52</v>
      </c>
      <c r="AK12" s="372" t="e">
        <f t="shared" si="3"/>
        <v>#N/A</v>
      </c>
    </row>
    <row r="13" spans="1:38" ht="20.100000000000001" customHeight="1" thickBot="1" x14ac:dyDescent="0.3">
      <c r="A13" s="437"/>
      <c r="B13" s="437"/>
      <c r="D13" s="50" t="s">
        <v>9</v>
      </c>
      <c r="E13" s="161">
        <f t="shared" ref="E13:AA13" si="4">SUM(E3:E12)</f>
        <v>0</v>
      </c>
      <c r="F13" s="162">
        <f t="shared" si="4"/>
        <v>0</v>
      </c>
      <c r="G13" s="162">
        <f t="shared" si="4"/>
        <v>0</v>
      </c>
      <c r="H13" s="162">
        <f t="shared" si="4"/>
        <v>0</v>
      </c>
      <c r="I13" s="162">
        <f t="shared" si="4"/>
        <v>0</v>
      </c>
      <c r="J13" s="162">
        <f t="shared" si="4"/>
        <v>0</v>
      </c>
      <c r="K13" s="162">
        <f t="shared" si="4"/>
        <v>0</v>
      </c>
      <c r="L13" s="162">
        <f t="shared" si="4"/>
        <v>0</v>
      </c>
      <c r="M13" s="162">
        <f t="shared" si="4"/>
        <v>0</v>
      </c>
      <c r="N13" s="162">
        <f t="shared" si="4"/>
        <v>0</v>
      </c>
      <c r="O13" s="162">
        <f t="shared" si="4"/>
        <v>0</v>
      </c>
      <c r="P13" s="162">
        <f t="shared" si="4"/>
        <v>0</v>
      </c>
      <c r="Q13" s="162">
        <f t="shared" si="4"/>
        <v>0</v>
      </c>
      <c r="R13" s="162">
        <f t="shared" si="4"/>
        <v>0</v>
      </c>
      <c r="S13" s="162">
        <f t="shared" si="4"/>
        <v>0</v>
      </c>
      <c r="T13" s="162">
        <f t="shared" si="4"/>
        <v>0</v>
      </c>
      <c r="U13" s="162">
        <f t="shared" si="4"/>
        <v>0</v>
      </c>
      <c r="V13" s="162">
        <f t="shared" si="4"/>
        <v>0</v>
      </c>
      <c r="W13" s="162">
        <f t="shared" si="4"/>
        <v>0</v>
      </c>
      <c r="X13" s="162">
        <f t="shared" si="4"/>
        <v>0</v>
      </c>
      <c r="Y13" s="163">
        <f t="shared" si="4"/>
        <v>0</v>
      </c>
      <c r="Z13" s="164">
        <f t="shared" si="4"/>
        <v>0</v>
      </c>
      <c r="AA13" s="312">
        <f t="shared" si="4"/>
        <v>0</v>
      </c>
      <c r="AD13" s="231"/>
      <c r="AE13" s="232"/>
      <c r="AF13" s="346" t="s">
        <v>42</v>
      </c>
      <c r="AG13" s="473"/>
      <c r="AH13" s="348" t="e">
        <f t="shared" si="2"/>
        <v>#N/A</v>
      </c>
      <c r="AJ13" s="320" t="s">
        <v>53</v>
      </c>
      <c r="AK13" s="373" t="e">
        <f t="shared" si="3"/>
        <v>#N/A</v>
      </c>
    </row>
    <row r="14" spans="1:38" ht="20.100000000000001" customHeight="1" thickBot="1" x14ac:dyDescent="0.3">
      <c r="A14" s="437"/>
      <c r="B14" s="437"/>
      <c r="D14" s="83" t="s">
        <v>10</v>
      </c>
      <c r="E14" s="45">
        <f t="shared" ref="E14:AA14" si="5">IFERROR(E13/$B$7,0)</f>
        <v>0</v>
      </c>
      <c r="F14" s="46">
        <f t="shared" si="5"/>
        <v>0</v>
      </c>
      <c r="G14" s="46">
        <f t="shared" si="5"/>
        <v>0</v>
      </c>
      <c r="H14" s="46">
        <f t="shared" si="5"/>
        <v>0</v>
      </c>
      <c r="I14" s="46">
        <f t="shared" si="5"/>
        <v>0</v>
      </c>
      <c r="J14" s="46">
        <f t="shared" si="5"/>
        <v>0</v>
      </c>
      <c r="K14" s="46">
        <f t="shared" si="5"/>
        <v>0</v>
      </c>
      <c r="L14" s="46">
        <f t="shared" si="5"/>
        <v>0</v>
      </c>
      <c r="M14" s="46">
        <f t="shared" si="5"/>
        <v>0</v>
      </c>
      <c r="N14" s="46">
        <f t="shared" si="5"/>
        <v>0</v>
      </c>
      <c r="O14" s="46">
        <f t="shared" si="5"/>
        <v>0</v>
      </c>
      <c r="P14" s="46">
        <f t="shared" si="5"/>
        <v>0</v>
      </c>
      <c r="Q14" s="46">
        <f t="shared" si="5"/>
        <v>0</v>
      </c>
      <c r="R14" s="46">
        <f t="shared" si="5"/>
        <v>0</v>
      </c>
      <c r="S14" s="46">
        <f t="shared" si="5"/>
        <v>0</v>
      </c>
      <c r="T14" s="46">
        <f t="shared" si="5"/>
        <v>0</v>
      </c>
      <c r="U14" s="46">
        <f t="shared" si="5"/>
        <v>0</v>
      </c>
      <c r="V14" s="46">
        <f t="shared" si="5"/>
        <v>0</v>
      </c>
      <c r="W14" s="46">
        <f t="shared" si="5"/>
        <v>0</v>
      </c>
      <c r="X14" s="46">
        <f t="shared" si="5"/>
        <v>0</v>
      </c>
      <c r="Y14" s="45">
        <f t="shared" si="5"/>
        <v>0</v>
      </c>
      <c r="Z14" s="47">
        <f t="shared" si="5"/>
        <v>0</v>
      </c>
      <c r="AA14" s="322">
        <f t="shared" si="5"/>
        <v>0</v>
      </c>
      <c r="AF14" s="377" t="s">
        <v>43</v>
      </c>
      <c r="AG14" s="474"/>
      <c r="AH14" s="350" t="e">
        <f>IF(OR(AG14=0, AG14=""), NA(), AG14/$B$6)</f>
        <v>#N/A</v>
      </c>
      <c r="AI14" s="375"/>
      <c r="AJ14" s="379" t="s">
        <v>55</v>
      </c>
      <c r="AK14" s="374" t="e">
        <f>IF(AG14&lt;&gt;0,AG14-AG13,NA())</f>
        <v>#N/A</v>
      </c>
      <c r="AL14" s="375"/>
    </row>
    <row r="15" spans="1:38" ht="18" customHeight="1" thickBot="1" x14ac:dyDescent="0.25">
      <c r="A15" s="438" t="s">
        <v>68</v>
      </c>
      <c r="B15" s="438"/>
      <c r="C15" s="1"/>
      <c r="D15" s="1"/>
      <c r="AA15" s="321"/>
      <c r="AF15" s="317" t="s">
        <v>44</v>
      </c>
      <c r="AG15" s="475"/>
      <c r="AH15" s="376" t="e">
        <f>IF(OR(AG15=0, AG15=""), NA(), AG15/$B$6)</f>
        <v>#N/A</v>
      </c>
      <c r="AJ15" s="380" t="s">
        <v>56</v>
      </c>
      <c r="AK15" s="378" t="e">
        <f>IF(AG15&lt;&gt;0,AG15-AG14,NA())</f>
        <v>#N/A</v>
      </c>
      <c r="AL15" s="375"/>
    </row>
    <row r="16" spans="1:38" ht="12.75" customHeight="1" x14ac:dyDescent="0.2">
      <c r="A16" s="438"/>
      <c r="B16" s="438"/>
      <c r="AF16" s="321"/>
      <c r="AG16" s="321"/>
      <c r="AH16" s="321"/>
      <c r="AK16" s="321"/>
    </row>
    <row r="17" spans="1:11" ht="18" customHeight="1" x14ac:dyDescent="0.25">
      <c r="A17" s="438"/>
      <c r="B17" s="438"/>
      <c r="E17" s="230"/>
    </row>
    <row r="18" spans="1:11" ht="26.25" customHeight="1" x14ac:dyDescent="0.2">
      <c r="A18" s="438"/>
      <c r="B18" s="438"/>
    </row>
    <row r="23" spans="1:11" x14ac:dyDescent="0.2">
      <c r="H23" s="177" t="s">
        <v>64</v>
      </c>
      <c r="J23" s="245">
        <f>CEILING($B$6, 100)/100</f>
        <v>6</v>
      </c>
      <c r="K23" s="245">
        <f>CEILING($B$7,100)/100</f>
        <v>0</v>
      </c>
    </row>
    <row r="24" spans="1:11" x14ac:dyDescent="0.2">
      <c r="H24" s="178">
        <f>IF((ROW()-23)&lt;=$K$24,(ROW()-23),"Choisir")</f>
        <v>1</v>
      </c>
      <c r="J24" s="245">
        <f>MOD($B$7,100)</f>
        <v>0</v>
      </c>
      <c r="K24" s="246">
        <f>CEILING($B$6/300,1)</f>
        <v>2</v>
      </c>
    </row>
    <row r="25" spans="1:11" x14ac:dyDescent="0.2">
      <c r="H25" s="178">
        <f>IF((ROW()-23)&lt;=$K$24,(ROW()-23),"Choisir")</f>
        <v>2</v>
      </c>
    </row>
    <row r="26" spans="1:11" x14ac:dyDescent="0.2">
      <c r="H26" s="178" t="str">
        <f>IF((ROW()-23)&lt;=$K$24,(ROW()-23),"Choisir")</f>
        <v>Choisir</v>
      </c>
    </row>
    <row r="27" spans="1:11" x14ac:dyDescent="0.2">
      <c r="H27" s="178" t="str">
        <f>IF((ROW()-23)&lt;=$K$24,(ROW()-23),"Choisir")</f>
        <v>Choisir</v>
      </c>
    </row>
    <row r="46" spans="4:27" x14ac:dyDescent="0.2">
      <c r="E46" s="169"/>
    </row>
    <row r="47" spans="4:27" ht="13.5" thickBot="1" x14ac:dyDescent="0.25">
      <c r="E47" s="169"/>
    </row>
    <row r="48" spans="4:27" ht="20.100000000000001" customHeight="1" thickBot="1" x14ac:dyDescent="0.25">
      <c r="D48" s="235" t="s">
        <v>78</v>
      </c>
      <c r="E48" s="429" t="s">
        <v>102</v>
      </c>
      <c r="F48" s="430"/>
      <c r="G48" s="430"/>
      <c r="H48" s="430"/>
      <c r="I48" s="430"/>
      <c r="J48" s="430"/>
      <c r="K48" s="430"/>
      <c r="L48" s="430"/>
      <c r="M48" s="430"/>
      <c r="N48" s="430"/>
      <c r="O48" s="430"/>
      <c r="P48" s="430"/>
      <c r="Q48" s="430"/>
      <c r="R48" s="430"/>
      <c r="S48" s="430"/>
      <c r="T48" s="430"/>
      <c r="U48" s="430"/>
      <c r="V48" s="430"/>
      <c r="W48" s="430"/>
      <c r="X48" s="430"/>
      <c r="Y48" s="430"/>
      <c r="Z48" s="431"/>
      <c r="AA48" s="381" t="s">
        <v>7</v>
      </c>
    </row>
    <row r="49" spans="3:27" ht="47.25" customHeight="1" thickBot="1" x14ac:dyDescent="0.25">
      <c r="C49" s="233"/>
      <c r="D49" s="359" t="s">
        <v>81</v>
      </c>
      <c r="E49" s="455" t="s">
        <v>69</v>
      </c>
      <c r="F49" s="399" t="s">
        <v>99</v>
      </c>
      <c r="G49" s="395" t="s">
        <v>70</v>
      </c>
      <c r="H49" s="456" t="s">
        <v>71</v>
      </c>
      <c r="I49" s="457" t="s">
        <v>72</v>
      </c>
      <c r="J49" s="458" t="s">
        <v>73</v>
      </c>
      <c r="K49" s="459" t="s">
        <v>74</v>
      </c>
      <c r="L49" s="398" t="s">
        <v>75</v>
      </c>
      <c r="M49" s="460" t="s">
        <v>76</v>
      </c>
      <c r="N49" s="461" t="s">
        <v>77</v>
      </c>
      <c r="O49" s="400" t="s">
        <v>105</v>
      </c>
      <c r="P49" s="462" t="s">
        <v>106</v>
      </c>
      <c r="Q49" s="396" t="s">
        <v>107</v>
      </c>
      <c r="R49" s="463" t="s">
        <v>108</v>
      </c>
      <c r="S49" s="464" t="s">
        <v>109</v>
      </c>
      <c r="T49" s="465" t="s">
        <v>110</v>
      </c>
      <c r="U49" s="466" t="s">
        <v>111</v>
      </c>
      <c r="V49" s="397" t="s">
        <v>112</v>
      </c>
      <c r="W49" s="467" t="s">
        <v>113</v>
      </c>
      <c r="X49" s="468" t="s">
        <v>114</v>
      </c>
      <c r="Y49" s="471" t="s">
        <v>3</v>
      </c>
      <c r="Z49" s="472" t="s">
        <v>4</v>
      </c>
      <c r="AA49" s="383" t="s">
        <v>103</v>
      </c>
    </row>
    <row r="50" spans="3:27" ht="19.5" customHeight="1" x14ac:dyDescent="0.2">
      <c r="C50" s="234"/>
      <c r="D50" s="358" t="s">
        <v>80</v>
      </c>
      <c r="E50" s="313"/>
      <c r="F50" s="314"/>
      <c r="G50" s="314"/>
      <c r="H50" s="314"/>
      <c r="I50" s="314"/>
      <c r="J50" s="314"/>
      <c r="K50" s="314"/>
      <c r="L50" s="314"/>
      <c r="M50" s="314"/>
      <c r="N50" s="314"/>
      <c r="O50" s="314"/>
      <c r="P50" s="314"/>
      <c r="Q50" s="314"/>
      <c r="R50" s="314"/>
      <c r="S50" s="314"/>
      <c r="T50" s="314"/>
      <c r="U50" s="314"/>
      <c r="V50" s="314"/>
      <c r="W50" s="314"/>
      <c r="X50" s="315"/>
      <c r="Y50" s="316"/>
      <c r="Z50" s="315"/>
      <c r="AA50" s="382">
        <f t="shared" ref="AA50:AA59" si="6">SUM(E50:Z50)</f>
        <v>0</v>
      </c>
    </row>
    <row r="51" spans="3:27" ht="20.100000000000001" customHeight="1" x14ac:dyDescent="0.2">
      <c r="C51" s="234"/>
      <c r="D51" s="358" t="s">
        <v>80</v>
      </c>
      <c r="E51" s="313"/>
      <c r="F51" s="314"/>
      <c r="G51" s="314"/>
      <c r="H51" s="314"/>
      <c r="I51" s="314"/>
      <c r="J51" s="314"/>
      <c r="K51" s="314"/>
      <c r="L51" s="314"/>
      <c r="M51" s="314"/>
      <c r="N51" s="314"/>
      <c r="O51" s="314"/>
      <c r="P51" s="314"/>
      <c r="Q51" s="314"/>
      <c r="R51" s="314"/>
      <c r="S51" s="314"/>
      <c r="T51" s="314"/>
      <c r="U51" s="314"/>
      <c r="V51" s="314"/>
      <c r="W51" s="314"/>
      <c r="X51" s="315"/>
      <c r="Y51" s="316"/>
      <c r="Z51" s="315"/>
      <c r="AA51" s="382">
        <f t="shared" si="6"/>
        <v>0</v>
      </c>
    </row>
    <row r="52" spans="3:27" ht="20.100000000000001" customHeight="1" x14ac:dyDescent="0.2">
      <c r="C52" s="234"/>
      <c r="D52" s="358" t="s">
        <v>80</v>
      </c>
      <c r="E52" s="313"/>
      <c r="F52" s="314"/>
      <c r="G52" s="314"/>
      <c r="H52" s="314"/>
      <c r="I52" s="314"/>
      <c r="J52" s="314"/>
      <c r="K52" s="314"/>
      <c r="L52" s="314"/>
      <c r="M52" s="314"/>
      <c r="N52" s="314"/>
      <c r="O52" s="314"/>
      <c r="P52" s="314"/>
      <c r="Q52" s="314"/>
      <c r="R52" s="314"/>
      <c r="S52" s="314"/>
      <c r="T52" s="314"/>
      <c r="U52" s="314"/>
      <c r="V52" s="314"/>
      <c r="W52" s="314"/>
      <c r="X52" s="315"/>
      <c r="Y52" s="316"/>
      <c r="Z52" s="315"/>
      <c r="AA52" s="382">
        <f t="shared" si="6"/>
        <v>0</v>
      </c>
    </row>
    <row r="53" spans="3:27" ht="20.100000000000001" customHeight="1" x14ac:dyDescent="0.2">
      <c r="C53" s="234"/>
      <c r="D53" s="358" t="s">
        <v>80</v>
      </c>
      <c r="E53" s="313"/>
      <c r="F53" s="314"/>
      <c r="G53" s="314"/>
      <c r="H53" s="314"/>
      <c r="I53" s="314"/>
      <c r="J53" s="314"/>
      <c r="K53" s="314"/>
      <c r="L53" s="314"/>
      <c r="M53" s="314"/>
      <c r="N53" s="314"/>
      <c r="O53" s="314"/>
      <c r="P53" s="314"/>
      <c r="Q53" s="314"/>
      <c r="R53" s="314"/>
      <c r="S53" s="314"/>
      <c r="T53" s="314"/>
      <c r="U53" s="314"/>
      <c r="V53" s="314"/>
      <c r="W53" s="314"/>
      <c r="X53" s="315"/>
      <c r="Y53" s="316"/>
      <c r="Z53" s="315"/>
      <c r="AA53" s="382">
        <f t="shared" si="6"/>
        <v>0</v>
      </c>
    </row>
    <row r="54" spans="3:27" ht="20.100000000000001" customHeight="1" x14ac:dyDescent="0.2">
      <c r="C54" s="234"/>
      <c r="D54" s="358" t="s">
        <v>80</v>
      </c>
      <c r="E54" s="313"/>
      <c r="F54" s="314"/>
      <c r="G54" s="314"/>
      <c r="H54" s="314"/>
      <c r="I54" s="314"/>
      <c r="J54" s="314"/>
      <c r="K54" s="314"/>
      <c r="L54" s="314"/>
      <c r="M54" s="314"/>
      <c r="N54" s="314"/>
      <c r="O54" s="314"/>
      <c r="P54" s="314"/>
      <c r="Q54" s="314"/>
      <c r="R54" s="314"/>
      <c r="S54" s="314"/>
      <c r="T54" s="314"/>
      <c r="U54" s="314"/>
      <c r="V54" s="314"/>
      <c r="W54" s="314"/>
      <c r="X54" s="315"/>
      <c r="Y54" s="316"/>
      <c r="Z54" s="315"/>
      <c r="AA54" s="382">
        <f t="shared" si="6"/>
        <v>0</v>
      </c>
    </row>
    <row r="55" spans="3:27" ht="20.100000000000001" customHeight="1" x14ac:dyDescent="0.2">
      <c r="C55" s="234"/>
      <c r="D55" s="358" t="s">
        <v>80</v>
      </c>
      <c r="E55" s="313"/>
      <c r="F55" s="314"/>
      <c r="G55" s="314"/>
      <c r="H55" s="314"/>
      <c r="I55" s="314"/>
      <c r="J55" s="314"/>
      <c r="K55" s="314"/>
      <c r="L55" s="314"/>
      <c r="M55" s="314"/>
      <c r="N55" s="314"/>
      <c r="O55" s="314"/>
      <c r="P55" s="314"/>
      <c r="Q55" s="314"/>
      <c r="R55" s="314"/>
      <c r="S55" s="314"/>
      <c r="T55" s="314"/>
      <c r="U55" s="314"/>
      <c r="V55" s="314"/>
      <c r="W55" s="314"/>
      <c r="X55" s="315"/>
      <c r="Y55" s="316"/>
      <c r="Z55" s="315"/>
      <c r="AA55" s="382">
        <f t="shared" si="6"/>
        <v>0</v>
      </c>
    </row>
    <row r="56" spans="3:27" ht="20.100000000000001" customHeight="1" x14ac:dyDescent="0.2">
      <c r="C56" s="234"/>
      <c r="D56" s="358" t="s">
        <v>80</v>
      </c>
      <c r="E56" s="313"/>
      <c r="F56" s="314"/>
      <c r="G56" s="314"/>
      <c r="H56" s="314"/>
      <c r="I56" s="314"/>
      <c r="J56" s="314"/>
      <c r="K56" s="314"/>
      <c r="L56" s="314"/>
      <c r="M56" s="314"/>
      <c r="N56" s="314"/>
      <c r="O56" s="314"/>
      <c r="P56" s="314"/>
      <c r="Q56" s="314"/>
      <c r="R56" s="314"/>
      <c r="S56" s="314"/>
      <c r="T56" s="314"/>
      <c r="U56" s="314"/>
      <c r="V56" s="314"/>
      <c r="W56" s="314"/>
      <c r="X56" s="315"/>
      <c r="Y56" s="316"/>
      <c r="Z56" s="315"/>
      <c r="AA56" s="382">
        <f t="shared" si="6"/>
        <v>0</v>
      </c>
    </row>
    <row r="57" spans="3:27" ht="20.100000000000001" customHeight="1" x14ac:dyDescent="0.2">
      <c r="C57" s="234"/>
      <c r="D57" s="358" t="s">
        <v>80</v>
      </c>
      <c r="E57" s="313"/>
      <c r="F57" s="314"/>
      <c r="G57" s="314"/>
      <c r="H57" s="314"/>
      <c r="I57" s="314"/>
      <c r="J57" s="314"/>
      <c r="K57" s="314"/>
      <c r="L57" s="314"/>
      <c r="M57" s="314"/>
      <c r="N57" s="314"/>
      <c r="O57" s="314"/>
      <c r="P57" s="314"/>
      <c r="Q57" s="314"/>
      <c r="R57" s="314"/>
      <c r="S57" s="314"/>
      <c r="T57" s="314"/>
      <c r="U57" s="314"/>
      <c r="V57" s="314"/>
      <c r="W57" s="314"/>
      <c r="X57" s="315"/>
      <c r="Y57" s="316"/>
      <c r="Z57" s="315"/>
      <c r="AA57" s="382">
        <f t="shared" si="6"/>
        <v>0</v>
      </c>
    </row>
    <row r="58" spans="3:27" ht="20.100000000000001" customHeight="1" x14ac:dyDescent="0.2">
      <c r="C58" s="234"/>
      <c r="D58" s="358" t="s">
        <v>80</v>
      </c>
      <c r="E58" s="313"/>
      <c r="F58" s="314"/>
      <c r="G58" s="314"/>
      <c r="H58" s="314"/>
      <c r="I58" s="314"/>
      <c r="J58" s="314"/>
      <c r="K58" s="314"/>
      <c r="L58" s="314"/>
      <c r="M58" s="314"/>
      <c r="N58" s="314"/>
      <c r="O58" s="314"/>
      <c r="P58" s="314"/>
      <c r="Q58" s="314"/>
      <c r="R58" s="314"/>
      <c r="S58" s="314"/>
      <c r="T58" s="314"/>
      <c r="U58" s="314"/>
      <c r="V58" s="314"/>
      <c r="W58" s="314"/>
      <c r="X58" s="315"/>
      <c r="Y58" s="316"/>
      <c r="Z58" s="315"/>
      <c r="AA58" s="382">
        <f t="shared" si="6"/>
        <v>0</v>
      </c>
    </row>
    <row r="59" spans="3:27" ht="20.100000000000001" customHeight="1" thickBot="1" x14ac:dyDescent="0.25">
      <c r="C59" s="234"/>
      <c r="D59" s="362" t="s">
        <v>80</v>
      </c>
      <c r="E59" s="363"/>
      <c r="F59" s="364"/>
      <c r="G59" s="364"/>
      <c r="H59" s="364"/>
      <c r="I59" s="364"/>
      <c r="J59" s="364"/>
      <c r="K59" s="364"/>
      <c r="L59" s="364"/>
      <c r="M59" s="364"/>
      <c r="N59" s="364"/>
      <c r="O59" s="364"/>
      <c r="P59" s="364"/>
      <c r="Q59" s="364"/>
      <c r="R59" s="364"/>
      <c r="S59" s="364"/>
      <c r="T59" s="364"/>
      <c r="U59" s="364"/>
      <c r="V59" s="364"/>
      <c r="W59" s="364"/>
      <c r="X59" s="365"/>
      <c r="Y59" s="366"/>
      <c r="Z59" s="365"/>
      <c r="AA59" s="382">
        <f t="shared" si="6"/>
        <v>0</v>
      </c>
    </row>
    <row r="60" spans="3:27" x14ac:dyDescent="0.2">
      <c r="AA60" s="321"/>
    </row>
    <row r="63" spans="3:27" ht="18" x14ac:dyDescent="0.25">
      <c r="E63" s="230"/>
    </row>
    <row r="65" spans="4:27" ht="13.5" thickBot="1" x14ac:dyDescent="0.25"/>
    <row r="66" spans="4:27" ht="16.5" customHeight="1" thickBot="1" x14ac:dyDescent="0.25">
      <c r="D66" s="235" t="s">
        <v>79</v>
      </c>
      <c r="E66" s="429" t="s">
        <v>101</v>
      </c>
      <c r="F66" s="430"/>
      <c r="G66" s="430"/>
      <c r="H66" s="430"/>
      <c r="I66" s="430"/>
      <c r="J66" s="430"/>
      <c r="K66" s="430"/>
      <c r="L66" s="430"/>
      <c r="M66" s="430"/>
      <c r="N66" s="430"/>
      <c r="O66" s="430"/>
      <c r="P66" s="430"/>
      <c r="Q66" s="430"/>
      <c r="R66" s="430"/>
      <c r="S66" s="430"/>
      <c r="T66" s="430"/>
      <c r="U66" s="430"/>
      <c r="V66" s="430"/>
      <c r="W66" s="430"/>
      <c r="X66" s="430"/>
      <c r="Y66" s="430"/>
      <c r="Z66" s="431"/>
      <c r="AA66" s="381" t="s">
        <v>7</v>
      </c>
    </row>
    <row r="67" spans="4:27" ht="42" customHeight="1" thickBot="1" x14ac:dyDescent="0.25">
      <c r="D67" s="359" t="s">
        <v>81</v>
      </c>
      <c r="E67" s="455" t="s">
        <v>69</v>
      </c>
      <c r="F67" s="399" t="s">
        <v>99</v>
      </c>
      <c r="G67" s="395" t="s">
        <v>70</v>
      </c>
      <c r="H67" s="456" t="s">
        <v>71</v>
      </c>
      <c r="I67" s="457" t="s">
        <v>72</v>
      </c>
      <c r="J67" s="458" t="s">
        <v>73</v>
      </c>
      <c r="K67" s="459" t="s">
        <v>74</v>
      </c>
      <c r="L67" s="398" t="s">
        <v>75</v>
      </c>
      <c r="M67" s="460" t="s">
        <v>76</v>
      </c>
      <c r="N67" s="461" t="s">
        <v>77</v>
      </c>
      <c r="O67" s="400" t="s">
        <v>105</v>
      </c>
      <c r="P67" s="462" t="s">
        <v>106</v>
      </c>
      <c r="Q67" s="396" t="s">
        <v>107</v>
      </c>
      <c r="R67" s="463" t="s">
        <v>108</v>
      </c>
      <c r="S67" s="464" t="s">
        <v>109</v>
      </c>
      <c r="T67" s="465" t="s">
        <v>110</v>
      </c>
      <c r="U67" s="466" t="s">
        <v>111</v>
      </c>
      <c r="V67" s="397" t="s">
        <v>112</v>
      </c>
      <c r="W67" s="467" t="s">
        <v>113</v>
      </c>
      <c r="X67" s="468" t="s">
        <v>114</v>
      </c>
      <c r="Y67" s="471" t="s">
        <v>3</v>
      </c>
      <c r="Z67" s="472" t="s">
        <v>4</v>
      </c>
      <c r="AA67" s="388" t="s">
        <v>103</v>
      </c>
    </row>
    <row r="68" spans="4:27" ht="20.100000000000001" customHeight="1" x14ac:dyDescent="0.2">
      <c r="D68" s="244" t="s">
        <v>80</v>
      </c>
      <c r="E68" s="237"/>
      <c r="F68" s="238"/>
      <c r="G68" s="238"/>
      <c r="H68" s="238"/>
      <c r="I68" s="238"/>
      <c r="J68" s="238"/>
      <c r="K68" s="238"/>
      <c r="L68" s="238"/>
      <c r="M68" s="238"/>
      <c r="N68" s="238"/>
      <c r="O68" s="238"/>
      <c r="P68" s="238"/>
      <c r="Q68" s="238"/>
      <c r="R68" s="238"/>
      <c r="S68" s="238"/>
      <c r="T68" s="238"/>
      <c r="U68" s="238"/>
      <c r="V68" s="238"/>
      <c r="W68" s="238"/>
      <c r="X68" s="239"/>
      <c r="Y68" s="240"/>
      <c r="Z68" s="239"/>
      <c r="AA68" s="385">
        <f t="shared" ref="AA68:AA72" si="7">SUM(E68:Z68)</f>
        <v>0</v>
      </c>
    </row>
    <row r="69" spans="4:27" ht="20.100000000000001" customHeight="1" x14ac:dyDescent="0.2">
      <c r="D69" s="242" t="s">
        <v>80</v>
      </c>
      <c r="E69" s="179"/>
      <c r="F69" s="180"/>
      <c r="G69" s="180"/>
      <c r="H69" s="180"/>
      <c r="I69" s="180"/>
      <c r="J69" s="180"/>
      <c r="K69" s="180"/>
      <c r="L69" s="180"/>
      <c r="M69" s="180"/>
      <c r="N69" s="180"/>
      <c r="O69" s="180"/>
      <c r="P69" s="180"/>
      <c r="Q69" s="180"/>
      <c r="R69" s="180"/>
      <c r="S69" s="180"/>
      <c r="T69" s="180"/>
      <c r="U69" s="180"/>
      <c r="V69" s="180"/>
      <c r="W69" s="180"/>
      <c r="X69" s="181"/>
      <c r="Y69" s="182"/>
      <c r="Z69" s="181"/>
      <c r="AA69" s="311">
        <f t="shared" si="7"/>
        <v>0</v>
      </c>
    </row>
    <row r="70" spans="4:27" ht="20.100000000000001" customHeight="1" x14ac:dyDescent="0.2">
      <c r="D70" s="242" t="s">
        <v>80</v>
      </c>
      <c r="E70" s="179"/>
      <c r="F70" s="180"/>
      <c r="G70" s="180"/>
      <c r="H70" s="180"/>
      <c r="I70" s="180"/>
      <c r="J70" s="180"/>
      <c r="K70" s="180"/>
      <c r="L70" s="180"/>
      <c r="M70" s="180"/>
      <c r="N70" s="180"/>
      <c r="O70" s="180"/>
      <c r="P70" s="180"/>
      <c r="Q70" s="180"/>
      <c r="R70" s="180"/>
      <c r="S70" s="180"/>
      <c r="T70" s="180"/>
      <c r="U70" s="180"/>
      <c r="V70" s="180"/>
      <c r="W70" s="180"/>
      <c r="X70" s="181"/>
      <c r="Y70" s="182"/>
      <c r="Z70" s="181"/>
      <c r="AA70" s="311">
        <f t="shared" si="7"/>
        <v>0</v>
      </c>
    </row>
    <row r="71" spans="4:27" ht="20.100000000000001" customHeight="1" x14ac:dyDescent="0.2">
      <c r="D71" s="242" t="s">
        <v>80</v>
      </c>
      <c r="E71" s="179"/>
      <c r="F71" s="180"/>
      <c r="G71" s="180"/>
      <c r="H71" s="180"/>
      <c r="I71" s="180"/>
      <c r="J71" s="180"/>
      <c r="K71" s="180"/>
      <c r="L71" s="180"/>
      <c r="M71" s="180"/>
      <c r="N71" s="180"/>
      <c r="O71" s="180"/>
      <c r="P71" s="180"/>
      <c r="Q71" s="180"/>
      <c r="R71" s="180"/>
      <c r="S71" s="180"/>
      <c r="T71" s="180"/>
      <c r="U71" s="180"/>
      <c r="V71" s="180"/>
      <c r="W71" s="180"/>
      <c r="X71" s="181"/>
      <c r="Y71" s="182"/>
      <c r="Z71" s="181"/>
      <c r="AA71" s="311">
        <f t="shared" si="7"/>
        <v>0</v>
      </c>
    </row>
    <row r="72" spans="4:27" ht="20.100000000000001" customHeight="1" thickBot="1" x14ac:dyDescent="0.25">
      <c r="D72" s="243" t="s">
        <v>80</v>
      </c>
      <c r="E72" s="183"/>
      <c r="F72" s="184"/>
      <c r="G72" s="184"/>
      <c r="H72" s="184"/>
      <c r="I72" s="184"/>
      <c r="J72" s="184"/>
      <c r="K72" s="184"/>
      <c r="L72" s="184"/>
      <c r="M72" s="184"/>
      <c r="N72" s="184"/>
      <c r="O72" s="184"/>
      <c r="P72" s="184"/>
      <c r="Q72" s="184"/>
      <c r="R72" s="184"/>
      <c r="S72" s="184"/>
      <c r="T72" s="184"/>
      <c r="U72" s="184"/>
      <c r="V72" s="184"/>
      <c r="W72" s="184"/>
      <c r="X72" s="185"/>
      <c r="Y72" s="186"/>
      <c r="Z72" s="185"/>
      <c r="AA72" s="386">
        <f t="shared" si="7"/>
        <v>0</v>
      </c>
    </row>
    <row r="73" spans="4:27" ht="20.100000000000001" customHeight="1" x14ac:dyDescent="0.2">
      <c r="D73" s="236"/>
      <c r="E73" s="234"/>
      <c r="F73" s="234"/>
      <c r="G73" s="234"/>
      <c r="H73" s="234"/>
      <c r="I73" s="234"/>
      <c r="J73" s="234"/>
      <c r="K73" s="234"/>
      <c r="L73" s="234"/>
      <c r="M73" s="234"/>
      <c r="N73" s="234"/>
      <c r="O73" s="234"/>
      <c r="P73" s="234"/>
      <c r="Q73" s="234"/>
      <c r="R73" s="234"/>
      <c r="S73" s="234"/>
      <c r="T73" s="234"/>
      <c r="U73" s="234"/>
      <c r="V73" s="234"/>
      <c r="W73" s="234"/>
      <c r="X73" s="234"/>
      <c r="Y73" s="234"/>
      <c r="Z73" s="234"/>
    </row>
    <row r="74" spans="4:27" ht="20.100000000000001" customHeight="1" x14ac:dyDescent="0.2">
      <c r="D74" s="236"/>
      <c r="E74" s="234"/>
      <c r="F74" s="234"/>
      <c r="G74" s="234"/>
      <c r="H74" s="234"/>
      <c r="I74" s="234"/>
      <c r="J74" s="234"/>
      <c r="K74" s="234"/>
      <c r="L74" s="234"/>
      <c r="M74" s="234"/>
      <c r="N74" s="234"/>
      <c r="O74" s="234"/>
      <c r="P74" s="234"/>
      <c r="Q74" s="234"/>
      <c r="R74" s="234"/>
      <c r="S74" s="234"/>
      <c r="T74" s="234"/>
      <c r="U74" s="234"/>
      <c r="V74" s="234"/>
      <c r="W74" s="234"/>
      <c r="X74" s="234"/>
      <c r="Y74" s="234"/>
      <c r="Z74" s="234"/>
    </row>
    <row r="75" spans="4:27" ht="20.100000000000001" customHeight="1" thickBot="1" x14ac:dyDescent="0.25">
      <c r="D75" s="236"/>
      <c r="E75" s="234"/>
      <c r="F75" s="234"/>
      <c r="G75" s="234"/>
      <c r="H75" s="234"/>
      <c r="I75" s="234"/>
      <c r="J75" s="234"/>
      <c r="K75" s="234"/>
      <c r="L75" s="234"/>
      <c r="M75" s="234"/>
      <c r="N75" s="234"/>
      <c r="O75" s="234"/>
      <c r="P75" s="234"/>
      <c r="Q75" s="234"/>
      <c r="R75" s="234"/>
      <c r="S75" s="234"/>
      <c r="T75" s="234"/>
      <c r="U75" s="234"/>
      <c r="V75" s="234"/>
      <c r="W75" s="234"/>
      <c r="X75" s="234"/>
      <c r="Y75" s="234"/>
      <c r="Z75" s="234"/>
    </row>
    <row r="76" spans="4:27" ht="20.100000000000001" customHeight="1" thickBot="1" x14ac:dyDescent="0.25">
      <c r="D76" s="235" t="s">
        <v>83</v>
      </c>
      <c r="E76" s="429" t="s">
        <v>100</v>
      </c>
      <c r="F76" s="430"/>
      <c r="G76" s="430"/>
      <c r="H76" s="430"/>
      <c r="I76" s="430"/>
      <c r="J76" s="430"/>
      <c r="K76" s="430"/>
      <c r="L76" s="430"/>
      <c r="M76" s="430"/>
      <c r="N76" s="430"/>
      <c r="O76" s="430"/>
      <c r="P76" s="430"/>
      <c r="Q76" s="430"/>
      <c r="R76" s="430"/>
      <c r="S76" s="430"/>
      <c r="T76" s="430"/>
      <c r="U76" s="430"/>
      <c r="V76" s="430"/>
      <c r="W76" s="430"/>
      <c r="X76" s="430"/>
      <c r="Y76" s="430"/>
      <c r="Z76" s="431"/>
      <c r="AA76" s="387" t="s">
        <v>7</v>
      </c>
    </row>
    <row r="77" spans="4:27" ht="39.75" customHeight="1" thickBot="1" x14ac:dyDescent="0.25">
      <c r="D77" s="359" t="s">
        <v>81</v>
      </c>
      <c r="E77" s="455" t="s">
        <v>69</v>
      </c>
      <c r="F77" s="399" t="s">
        <v>99</v>
      </c>
      <c r="G77" s="395" t="s">
        <v>70</v>
      </c>
      <c r="H77" s="456" t="s">
        <v>71</v>
      </c>
      <c r="I77" s="457" t="s">
        <v>72</v>
      </c>
      <c r="J77" s="458" t="s">
        <v>73</v>
      </c>
      <c r="K77" s="459" t="s">
        <v>74</v>
      </c>
      <c r="L77" s="398" t="s">
        <v>75</v>
      </c>
      <c r="M77" s="460" t="s">
        <v>76</v>
      </c>
      <c r="N77" s="461" t="s">
        <v>77</v>
      </c>
      <c r="O77" s="400" t="s">
        <v>105</v>
      </c>
      <c r="P77" s="462" t="s">
        <v>106</v>
      </c>
      <c r="Q77" s="396" t="s">
        <v>107</v>
      </c>
      <c r="R77" s="463" t="s">
        <v>108</v>
      </c>
      <c r="S77" s="464" t="s">
        <v>109</v>
      </c>
      <c r="T77" s="465" t="s">
        <v>110</v>
      </c>
      <c r="U77" s="466" t="s">
        <v>111</v>
      </c>
      <c r="V77" s="397" t="s">
        <v>112</v>
      </c>
      <c r="W77" s="467" t="s">
        <v>113</v>
      </c>
      <c r="X77" s="468" t="s">
        <v>114</v>
      </c>
      <c r="Y77" s="471" t="s">
        <v>3</v>
      </c>
      <c r="Z77" s="472" t="s">
        <v>4</v>
      </c>
      <c r="AA77" s="384" t="s">
        <v>103</v>
      </c>
    </row>
    <row r="78" spans="4:27" ht="20.100000000000001" customHeight="1" x14ac:dyDescent="0.2">
      <c r="D78" s="244" t="s">
        <v>80</v>
      </c>
      <c r="E78" s="237"/>
      <c r="F78" s="238"/>
      <c r="G78" s="238"/>
      <c r="H78" s="238"/>
      <c r="I78" s="238"/>
      <c r="J78" s="238"/>
      <c r="K78" s="238"/>
      <c r="L78" s="238"/>
      <c r="M78" s="238"/>
      <c r="N78" s="238"/>
      <c r="O78" s="238"/>
      <c r="P78" s="238"/>
      <c r="Q78" s="238"/>
      <c r="R78" s="238"/>
      <c r="S78" s="238"/>
      <c r="T78" s="238"/>
      <c r="U78" s="238"/>
      <c r="V78" s="238"/>
      <c r="W78" s="238"/>
      <c r="X78" s="239"/>
      <c r="Y78" s="240"/>
      <c r="Z78" s="239"/>
      <c r="AA78" s="385">
        <f t="shared" ref="AA78:AA80" si="8">SUM(E78:Z78)</f>
        <v>0</v>
      </c>
    </row>
    <row r="79" spans="4:27" ht="20.100000000000001" customHeight="1" x14ac:dyDescent="0.2">
      <c r="D79" s="242" t="s">
        <v>80</v>
      </c>
      <c r="E79" s="179"/>
      <c r="F79" s="180"/>
      <c r="G79" s="180"/>
      <c r="H79" s="180"/>
      <c r="I79" s="180"/>
      <c r="J79" s="180"/>
      <c r="K79" s="180"/>
      <c r="L79" s="180"/>
      <c r="M79" s="180"/>
      <c r="N79" s="180"/>
      <c r="O79" s="180"/>
      <c r="P79" s="180"/>
      <c r="Q79" s="180"/>
      <c r="R79" s="180"/>
      <c r="S79" s="180"/>
      <c r="T79" s="180"/>
      <c r="U79" s="180"/>
      <c r="V79" s="180"/>
      <c r="W79" s="180"/>
      <c r="X79" s="181"/>
      <c r="Y79" s="182"/>
      <c r="Z79" s="181"/>
      <c r="AA79" s="311">
        <f t="shared" si="8"/>
        <v>0</v>
      </c>
    </row>
    <row r="80" spans="4:27" ht="20.100000000000001" customHeight="1" thickBot="1" x14ac:dyDescent="0.25">
      <c r="D80" s="243" t="s">
        <v>80</v>
      </c>
      <c r="E80" s="183"/>
      <c r="F80" s="184"/>
      <c r="G80" s="184"/>
      <c r="H80" s="184"/>
      <c r="I80" s="184"/>
      <c r="J80" s="184"/>
      <c r="K80" s="184"/>
      <c r="L80" s="184"/>
      <c r="M80" s="184"/>
      <c r="N80" s="184"/>
      <c r="O80" s="184"/>
      <c r="P80" s="184"/>
      <c r="Q80" s="184"/>
      <c r="R80" s="184"/>
      <c r="S80" s="184"/>
      <c r="T80" s="184"/>
      <c r="U80" s="184"/>
      <c r="V80" s="184"/>
      <c r="W80" s="184"/>
      <c r="X80" s="185"/>
      <c r="Y80" s="186"/>
      <c r="Z80" s="185"/>
      <c r="AA80" s="386">
        <f t="shared" si="8"/>
        <v>0</v>
      </c>
    </row>
    <row r="81" spans="4:27" ht="20.100000000000001" customHeight="1" x14ac:dyDescent="0.2">
      <c r="D81" s="236"/>
      <c r="E81" s="234"/>
      <c r="F81" s="234"/>
      <c r="G81" s="234"/>
      <c r="H81" s="234"/>
      <c r="I81" s="234"/>
      <c r="J81" s="234"/>
      <c r="K81" s="234"/>
      <c r="L81" s="234"/>
      <c r="M81" s="234"/>
      <c r="N81" s="234"/>
      <c r="O81" s="234"/>
      <c r="P81" s="234"/>
      <c r="Q81" s="234"/>
      <c r="R81" s="234"/>
      <c r="S81" s="234"/>
      <c r="T81" s="234"/>
      <c r="U81" s="234"/>
      <c r="V81" s="234"/>
      <c r="W81" s="234"/>
      <c r="X81" s="234"/>
      <c r="Y81" s="234"/>
      <c r="Z81" s="234"/>
      <c r="AA81" s="241"/>
    </row>
    <row r="82" spans="4:27" ht="20.100000000000001" customHeight="1" x14ac:dyDescent="0.2">
      <c r="D82" s="236"/>
      <c r="E82" s="234"/>
      <c r="F82" s="234"/>
      <c r="G82" s="234"/>
      <c r="H82" s="234"/>
      <c r="I82" s="234"/>
      <c r="J82" s="234"/>
      <c r="K82" s="234"/>
      <c r="L82" s="234"/>
      <c r="M82" s="234"/>
      <c r="N82" s="234"/>
      <c r="O82" s="234"/>
      <c r="P82" s="234"/>
      <c r="Q82" s="234"/>
      <c r="R82" s="234"/>
      <c r="S82" s="234"/>
      <c r="T82" s="234"/>
      <c r="U82" s="234"/>
      <c r="V82" s="234"/>
      <c r="W82" s="234"/>
      <c r="X82" s="234"/>
      <c r="Y82" s="234"/>
      <c r="Z82" s="234"/>
      <c r="AA82" s="241"/>
    </row>
  </sheetData>
  <sheetProtection algorithmName="SHA-512" hashValue="xnVh6DN6Mv8NsA8d/Z05ejg3WPh3IcOLRr8bCNj0xwB8Py1LJc4VEU9BqT7zpAMA2w7yXIJVSfTV0tudUfVCjQ==" saltValue="IfHPvRY5/wBJFQbhF+1fKA==" spinCount="100000" sheet="1" objects="1" scenarios="1"/>
  <mergeCells count="7">
    <mergeCell ref="E76:Z76"/>
    <mergeCell ref="E1:Z1"/>
    <mergeCell ref="A10:B11"/>
    <mergeCell ref="A12:B14"/>
    <mergeCell ref="A15:B18"/>
    <mergeCell ref="E48:Z48"/>
    <mergeCell ref="E66:Z66"/>
  </mergeCells>
  <conditionalFormatting sqref="B8">
    <cfRule type="cellIs" dxfId="92" priority="5" operator="notEqual">
      <formula>$B$7</formula>
    </cfRule>
  </conditionalFormatting>
  <conditionalFormatting sqref="E3:AA12">
    <cfRule type="cellIs" dxfId="91" priority="4" operator="notBetween">
      <formula>0</formula>
      <formula>100</formula>
    </cfRule>
  </conditionalFormatting>
  <conditionalFormatting sqref="E3:AA14">
    <cfRule type="cellIs" dxfId="90" priority="7" operator="lessThan">
      <formula>0</formula>
    </cfRule>
  </conditionalFormatting>
  <conditionalFormatting sqref="E14:AA14">
    <cfRule type="cellIs" dxfId="89" priority="10" operator="greaterThan">
      <formula>1</formula>
    </cfRule>
  </conditionalFormatting>
  <conditionalFormatting sqref="AA3:AA13">
    <cfRule type="cellIs" dxfId="88" priority="8" operator="equal">
      <formula>0</formula>
    </cfRule>
  </conditionalFormatting>
  <conditionalFormatting sqref="AA13">
    <cfRule type="cellIs" dxfId="87" priority="12" operator="equal">
      <formula>$B$7</formula>
    </cfRule>
  </conditionalFormatting>
  <conditionalFormatting sqref="AA14">
    <cfRule type="cellIs" dxfId="86" priority="9" operator="equal">
      <formula>1</formula>
    </cfRule>
    <cfRule type="cellIs" dxfId="85" priority="11" operator="lessThan">
      <formula>1</formula>
    </cfRule>
  </conditionalFormatting>
  <conditionalFormatting sqref="AG4:AG15">
    <cfRule type="expression" dxfId="84" priority="13">
      <formula>AND($AG4&lt;$AG3, NOT(ISBLANK($AG4)))</formula>
    </cfRule>
    <cfRule type="cellIs" dxfId="83" priority="14" operator="greaterThan">
      <formula>$B$6</formula>
    </cfRule>
  </conditionalFormatting>
  <conditionalFormatting sqref="AH4:AH15">
    <cfRule type="cellIs" dxfId="82" priority="6" operator="greaterThan">
      <formula>1</formula>
    </cfRule>
  </conditionalFormatting>
  <conditionalFormatting sqref="D68:D72 D50:D59 D78:D80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3:Z12">
    <cfRule type="expression" dxfId="81" priority="15">
      <formula>($D3&lt;=$K$23)</formula>
    </cfRule>
  </conditionalFormatting>
  <conditionalFormatting sqref="AA3:AA12">
    <cfRule type="expression" dxfId="80" priority="16">
      <formula>AND($D3=$K$23, AA3=$J$24)</formula>
    </cfRule>
    <cfRule type="expression" dxfId="79" priority="17">
      <formula>AND($D3=$K$23, MOD(AA3,100)&gt;$J$24)</formula>
    </cfRule>
    <cfRule type="cellIs" dxfId="78" priority="18" operator="equal">
      <formula>100</formula>
    </cfRule>
  </conditionalFormatting>
  <conditionalFormatting sqref="D3:Z12">
    <cfRule type="expression" dxfId="77" priority="22">
      <formula>($D3&gt;$K$23)</formula>
    </cfRule>
  </conditionalFormatting>
  <conditionalFormatting sqref="AA50 AA68:AA72 AA78:AA80">
    <cfRule type="cellIs" dxfId="76" priority="23" operator="lessThan">
      <formula>0</formula>
    </cfRule>
    <cfRule type="cellIs" dxfId="75" priority="24" operator="equal">
      <formula>0</formula>
    </cfRule>
    <cfRule type="expression" dxfId="74" priority="25">
      <formula>OR(MOD($AA50,100)=0,AND($D50=$K$23,MOD($AA50,100)=$J$24))</formula>
    </cfRule>
  </conditionalFormatting>
  <conditionalFormatting sqref="E50:Z59">
    <cfRule type="expression" dxfId="73" priority="2">
      <formula>AND(E50&lt;MAX(E$50:E50), NOT(ISBLANK(E50)), NOT(E50=0))</formula>
    </cfRule>
  </conditionalFormatting>
  <conditionalFormatting sqref="AA52:AA59">
    <cfRule type="cellIs" dxfId="72" priority="27" operator="lessThan">
      <formula>0</formula>
    </cfRule>
    <cfRule type="cellIs" dxfId="71" priority="28" operator="equal">
      <formula>0</formula>
    </cfRule>
    <cfRule type="expression" dxfId="70" priority="29">
      <formula>OR(MOD($AA52,100)=0,AND($D52=$K$23,MOD($AA52,100)=$J$24))</formula>
    </cfRule>
  </conditionalFormatting>
  <conditionalFormatting sqref="AA51">
    <cfRule type="cellIs" dxfId="69" priority="30" operator="lessThan">
      <formula>0</formula>
    </cfRule>
    <cfRule type="cellIs" dxfId="68" priority="31" operator="equal">
      <formula>0</formula>
    </cfRule>
    <cfRule type="expression" dxfId="67" priority="32">
      <formula>OR(MOD($AA51,100)=0,AND($D50=$K$23,MOD($AA51,100)=$J$24))</formula>
    </cfRule>
  </conditionalFormatting>
  <conditionalFormatting sqref="E50:Z59 E68:Z72 E78:Z80">
    <cfRule type="cellIs" dxfId="66" priority="19" operator="notBetween">
      <formula>0</formula>
      <formula>$B$7</formula>
    </cfRule>
    <cfRule type="expression" dxfId="65" priority="20">
      <formula>($D50&lt;=$K$23)</formula>
    </cfRule>
    <cfRule type="expression" dxfId="64" priority="21">
      <formula>($D50&gt;$K$23)</formula>
    </cfRule>
  </conditionalFormatting>
  <conditionalFormatting sqref="E68:Z72">
    <cfRule type="expression" dxfId="63" priority="1">
      <formula>AND(E68&lt;MAX(E$68:E68), NOT(ISBLANK(E68)), NOT(E68=0))</formula>
    </cfRule>
  </conditionalFormatting>
  <conditionalFormatting sqref="E78:Z80">
    <cfRule type="expression" dxfId="62" priority="26">
      <formula>AND(E78&lt;MAX(E$78:E78), NOT(ISBLANK(E78)), NOT(E78=0))</formula>
    </cfRule>
  </conditionalFormatting>
  <dataValidations count="2">
    <dataValidation type="list" allowBlank="1" showInputMessage="1" showErrorMessage="1" sqref="D68:D72 D78:D82 D50:D59" xr:uid="{11E3BCC2-B1AA-487C-A824-0D625E013FBD}">
      <formula1>$D$3:$D$12</formula1>
    </dataValidation>
    <dataValidation type="list" allowBlank="1" showInputMessage="1" showErrorMessage="1" sqref="C50:C59" xr:uid="{E4D7EA46-916F-467D-8D97-2C13C94C8F89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5145F-C4F2-4041-8D3D-4323EAFA7F5E}">
  <sheetPr codeName="Feuil40">
    <tabColor rgb="FFB4A7D6"/>
  </sheetPr>
  <dimension ref="A1:AL82"/>
  <sheetViews>
    <sheetView zoomScale="80" zoomScaleNormal="80" workbookViewId="0">
      <pane xSplit="2" topLeftCell="C1" activePane="topRight" state="frozen"/>
      <selection pane="topRight" activeCell="B29" sqref="B29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24" width="15.7109375" customWidth="1"/>
    <col min="27" max="27" width="12.85546875" customWidth="1"/>
    <col min="28" max="28" width="11.42578125" customWidth="1"/>
    <col min="31" max="31" width="10.42578125" customWidth="1"/>
    <col min="32" max="32" width="15.42578125" customWidth="1"/>
    <col min="33" max="33" width="16.140625" customWidth="1"/>
    <col min="34" max="34" width="12" customWidth="1"/>
    <col min="36" max="36" width="13.28515625" customWidth="1"/>
    <col min="37" max="37" width="14.42578125" customWidth="1"/>
  </cols>
  <sheetData>
    <row r="1" spans="1:38" ht="16.5" customHeight="1" thickBot="1" x14ac:dyDescent="0.25">
      <c r="A1" s="308" t="s">
        <v>11</v>
      </c>
      <c r="B1" s="33">
        <f>Synthèse!B17</f>
        <v>46096</v>
      </c>
      <c r="D1" s="307"/>
      <c r="E1" s="432" t="s">
        <v>66</v>
      </c>
      <c r="F1" s="433"/>
      <c r="G1" s="433"/>
      <c r="H1" s="433"/>
      <c r="I1" s="433"/>
      <c r="J1" s="433"/>
      <c r="K1" s="433"/>
      <c r="L1" s="433"/>
      <c r="M1" s="433"/>
      <c r="N1" s="433"/>
      <c r="O1" s="433"/>
      <c r="P1" s="433"/>
      <c r="Q1" s="433"/>
      <c r="R1" s="433"/>
      <c r="S1" s="433"/>
      <c r="T1" s="433"/>
      <c r="U1" s="433"/>
      <c r="V1" s="433"/>
      <c r="W1" s="433"/>
      <c r="X1" s="433"/>
      <c r="Y1" s="433"/>
      <c r="Z1" s="434"/>
      <c r="AA1" s="392" t="s">
        <v>7</v>
      </c>
    </row>
    <row r="2" spans="1:38" ht="39.75" customHeight="1" thickBot="1" x14ac:dyDescent="0.25">
      <c r="A2" s="309" t="s">
        <v>12</v>
      </c>
      <c r="B2" s="34" t="str">
        <f>Synthèse!B18</f>
        <v>Municipales 1er tour</v>
      </c>
      <c r="D2" s="355" t="s">
        <v>82</v>
      </c>
      <c r="E2" s="455" t="str">
        <f>Synthèse!L2</f>
        <v>Candidat 1</v>
      </c>
      <c r="F2" s="399" t="str">
        <f>Synthèse!M2</f>
        <v>Candidat 2</v>
      </c>
      <c r="G2" s="395" t="str">
        <f>Synthèse!N2</f>
        <v>Candidat 3</v>
      </c>
      <c r="H2" s="456" t="str">
        <f>Synthèse!O2</f>
        <v>Candidat 4</v>
      </c>
      <c r="I2" s="457" t="str">
        <f>Synthèse!P2</f>
        <v>Candidat 5</v>
      </c>
      <c r="J2" s="458" t="str">
        <f>Synthèse!Q2</f>
        <v>Candidat 6</v>
      </c>
      <c r="K2" s="459" t="str">
        <f>Synthèse!R2</f>
        <v>Candidat 7</v>
      </c>
      <c r="L2" s="398" t="str">
        <f>Synthèse!S2</f>
        <v>Candidat 8</v>
      </c>
      <c r="M2" s="460" t="str">
        <f>Synthèse!T2</f>
        <v>Candidat 9</v>
      </c>
      <c r="N2" s="461" t="str">
        <f>Synthèse!U2</f>
        <v>Candidat 10</v>
      </c>
      <c r="O2" s="400" t="str">
        <f>Synthèse!V2</f>
        <v>Candidat 11</v>
      </c>
      <c r="P2" s="462" t="str">
        <f>Synthèse!W2</f>
        <v>Candidat 12</v>
      </c>
      <c r="Q2" s="396" t="str">
        <f>Synthèse!X2</f>
        <v>Candidat 13</v>
      </c>
      <c r="R2" s="463" t="str">
        <f>Synthèse!Y2</f>
        <v>Candidat 14</v>
      </c>
      <c r="S2" s="464" t="str">
        <f>Synthèse!Z2</f>
        <v>Candidat 15</v>
      </c>
      <c r="T2" s="465" t="str">
        <f>Synthèse!AA2</f>
        <v>Candidat 16</v>
      </c>
      <c r="U2" s="466" t="str">
        <f>Synthèse!AB2</f>
        <v>Candidat 17</v>
      </c>
      <c r="V2" s="397" t="str">
        <f>Synthèse!AC2</f>
        <v>Candidat 18</v>
      </c>
      <c r="W2" s="467" t="str">
        <f>Synthèse!AD2</f>
        <v>Candidat 19</v>
      </c>
      <c r="X2" s="468" t="str">
        <f>Synthèse!AE2</f>
        <v>Candidat 20</v>
      </c>
      <c r="Y2" s="469" t="s">
        <v>3</v>
      </c>
      <c r="Z2" s="470" t="s">
        <v>4</v>
      </c>
      <c r="AA2" s="393" t="s">
        <v>104</v>
      </c>
      <c r="AF2" s="367" t="s">
        <v>21</v>
      </c>
      <c r="AG2" s="368" t="s">
        <v>57</v>
      </c>
      <c r="AH2" s="369" t="s">
        <v>31</v>
      </c>
      <c r="AJ2" s="370" t="s">
        <v>59</v>
      </c>
      <c r="AK2" s="370" t="s">
        <v>58</v>
      </c>
    </row>
    <row r="3" spans="1:38" ht="20.100000000000001" customHeight="1" thickBot="1" x14ac:dyDescent="0.25">
      <c r="A3" s="310" t="s">
        <v>13</v>
      </c>
      <c r="B3" s="94" t="str">
        <f>Synthèse!B19</f>
        <v>Cogolin</v>
      </c>
      <c r="D3" s="352" t="str" cm="1">
        <f t="array" ref="D3">IF(ROW(1:1)&lt;=$K$23, (ROW(1:1)), "")</f>
        <v/>
      </c>
      <c r="E3" s="155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55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55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55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55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55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55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55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5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155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1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155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155" cm="1">
        <f t="array" ref="Q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R3" s="155" cm="1">
        <f t="array" ref="R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S3" s="155" cm="1">
        <f t="array" ref="S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T3" s="155" cm="1">
        <f t="array" ref="T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U3" s="155" cm="1">
        <f t="array" ref="U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V3" s="155" cm="1">
        <f t="array" ref="V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W3" s="155" cm="1">
        <f t="array" ref="W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X3" s="155" cm="1">
        <f t="array" ref="X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Y3" s="171" cm="1">
        <f t="array" ref="Y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Z3" s="172" cm="1">
        <f t="array" ref="Z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AA3" s="311">
        <f t="shared" ref="AA3:AA12" si="0">SUM(E3:Z3)</f>
        <v>0</v>
      </c>
      <c r="AF3" s="343" t="s">
        <v>32</v>
      </c>
      <c r="AG3" s="344">
        <v>0</v>
      </c>
      <c r="AH3" s="345">
        <f t="shared" ref="AH3" si="1">AG3/$B$6</f>
        <v>0</v>
      </c>
      <c r="AJ3" s="323"/>
      <c r="AK3" s="323"/>
    </row>
    <row r="4" spans="1:38" ht="20.100000000000001" customHeight="1" x14ac:dyDescent="0.2">
      <c r="A4" s="95" t="s">
        <v>23</v>
      </c>
      <c r="B4" s="168">
        <v>11</v>
      </c>
      <c r="D4" s="353" t="str" cm="1">
        <f t="array" ref="D4">IF(ROW(2:2)&lt;=$K$23, (ROW(2:2)), "")</f>
        <v/>
      </c>
      <c r="E4" s="156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56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56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56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56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56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56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56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5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156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156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156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156" cm="1">
        <f t="array" ref="Q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R4" s="156" cm="1">
        <f t="array" ref="R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S4" s="156" cm="1">
        <f t="array" ref="S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T4" s="156" cm="1">
        <f t="array" ref="T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U4" s="156" cm="1">
        <f t="array" ref="U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V4" s="156" cm="1">
        <f t="array" ref="V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W4" s="156" cm="1">
        <f t="array" ref="W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X4" s="156" cm="1">
        <f t="array" ref="X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Y4" s="157" cm="1">
        <f t="array" ref="Y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Z4" s="158" cm="1">
        <f t="array" ref="Z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AA4" s="311">
        <f t="shared" si="0"/>
        <v>0</v>
      </c>
      <c r="AF4" s="346" t="s">
        <v>33</v>
      </c>
      <c r="AG4" s="473"/>
      <c r="AH4" s="348" t="e">
        <f t="shared" ref="AH4:AH13" si="2">IF(OR(AG4=0, AG4=""), NA(), AG4/$B$6)</f>
        <v>#N/A</v>
      </c>
      <c r="AJ4" s="318" t="s">
        <v>45</v>
      </c>
      <c r="AK4" s="371" t="e">
        <f t="shared" ref="AK4:AK13" si="3">IF(AG4&lt;&gt;0,AG4-AG3,NA())</f>
        <v>#N/A</v>
      </c>
    </row>
    <row r="5" spans="1:38" ht="20.100000000000001" customHeight="1" x14ac:dyDescent="0.2">
      <c r="A5" s="96" t="s">
        <v>24</v>
      </c>
      <c r="B5" s="187" t="s">
        <v>29</v>
      </c>
      <c r="D5" s="353" t="str" cm="1">
        <f t="array" ref="D5">IF(ROW(3:3)&lt;=$K$23, (ROW(3:3)), "")</f>
        <v/>
      </c>
      <c r="E5" s="156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56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56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56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56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56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56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5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5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156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156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156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156" cm="1">
        <f t="array" ref="Q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R5" s="156" cm="1">
        <f t="array" ref="R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S5" s="156" cm="1">
        <f t="array" ref="S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T5" s="156" cm="1">
        <f t="array" ref="T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U5" s="156" cm="1">
        <f t="array" ref="U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V5" s="156" cm="1">
        <f t="array" ref="V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W5" s="156" cm="1">
        <f t="array" ref="W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X5" s="156" cm="1">
        <f t="array" ref="X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Y5" s="173" cm="1">
        <f t="array" ref="Y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Z5" s="174" cm="1">
        <f t="array" ref="Z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AA5" s="311">
        <f t="shared" si="0"/>
        <v>0</v>
      </c>
      <c r="AD5" s="231"/>
      <c r="AE5" s="232"/>
      <c r="AF5" s="346" t="s">
        <v>34</v>
      </c>
      <c r="AG5" s="473"/>
      <c r="AH5" s="348" t="e">
        <f t="shared" si="2"/>
        <v>#N/A</v>
      </c>
      <c r="AJ5" s="319" t="s">
        <v>46</v>
      </c>
      <c r="AK5" s="372" t="e">
        <f t="shared" si="3"/>
        <v>#N/A</v>
      </c>
    </row>
    <row r="6" spans="1:38" ht="20.100000000000001" customHeight="1" x14ac:dyDescent="0.2">
      <c r="A6" s="96" t="s">
        <v>0</v>
      </c>
      <c r="B6" s="188">
        <v>649</v>
      </c>
      <c r="D6" s="353" t="str" cm="1">
        <f t="array" ref="D6">IF(ROW(4:4)&lt;=$K$23, (ROW(4:4)), "")</f>
        <v/>
      </c>
      <c r="E6" s="156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56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56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56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56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56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56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5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5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156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156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156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156" cm="1">
        <f t="array" ref="Q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R6" s="156" cm="1">
        <f t="array" ref="R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S6" s="156" cm="1">
        <f t="array" ref="S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T6" s="156" cm="1">
        <f t="array" ref="T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U6" s="156" cm="1">
        <f t="array" ref="U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V6" s="156" cm="1">
        <f t="array" ref="V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W6" s="156" cm="1">
        <f t="array" ref="W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X6" s="156" cm="1">
        <f t="array" ref="X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Y6" s="173" cm="1">
        <f t="array" ref="Y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Z6" s="174" cm="1">
        <f t="array" ref="Z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AA6" s="311">
        <f t="shared" si="0"/>
        <v>0</v>
      </c>
      <c r="AD6" s="231"/>
      <c r="AE6" s="232"/>
      <c r="AF6" s="346" t="s">
        <v>35</v>
      </c>
      <c r="AG6" s="473"/>
      <c r="AH6" s="348" t="e">
        <f t="shared" si="2"/>
        <v>#N/A</v>
      </c>
      <c r="AJ6" s="319" t="s">
        <v>47</v>
      </c>
      <c r="AK6" s="372" t="e">
        <f t="shared" si="3"/>
        <v>#N/A</v>
      </c>
    </row>
    <row r="7" spans="1:38" ht="20.100000000000001" customHeight="1" x14ac:dyDescent="0.2">
      <c r="A7" s="96" t="s">
        <v>2</v>
      </c>
      <c r="B7" s="165">
        <f>MAX(AG4:AG15)</f>
        <v>0</v>
      </c>
      <c r="D7" s="353" t="str" cm="1">
        <f t="array" ref="D7">IF(ROW(5:5)&lt;=$K$23, (ROW(5:5)), "")</f>
        <v/>
      </c>
      <c r="E7" s="156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56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56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56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56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56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56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56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5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156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156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156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156" cm="1">
        <f t="array" ref="Q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R7" s="156" cm="1">
        <f t="array" ref="R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S7" s="156" cm="1">
        <f t="array" ref="S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T7" s="156" cm="1">
        <f t="array" ref="T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U7" s="156" cm="1">
        <f t="array" ref="U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V7" s="156" cm="1">
        <f t="array" ref="V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W7" s="156" cm="1">
        <f t="array" ref="W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X7" s="156" cm="1">
        <f t="array" ref="X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Y7" s="157" cm="1">
        <f t="array" ref="Y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Z7" s="158" cm="1">
        <f t="array" ref="Z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AA7" s="311">
        <f t="shared" si="0"/>
        <v>0</v>
      </c>
      <c r="AD7" s="231"/>
      <c r="AE7" s="232"/>
      <c r="AF7" s="346" t="s">
        <v>36</v>
      </c>
      <c r="AG7" s="473"/>
      <c r="AH7" s="348" t="e">
        <f t="shared" si="2"/>
        <v>#N/A</v>
      </c>
      <c r="AJ7" s="319" t="s">
        <v>54</v>
      </c>
      <c r="AK7" s="372" t="e">
        <f t="shared" si="3"/>
        <v>#N/A</v>
      </c>
    </row>
    <row r="8" spans="1:38" ht="20.100000000000001" customHeight="1" x14ac:dyDescent="0.2">
      <c r="A8" s="96" t="s">
        <v>1</v>
      </c>
      <c r="B8" s="166">
        <f>B7</f>
        <v>0</v>
      </c>
      <c r="D8" s="353" t="str" cm="1">
        <f t="array" ref="D8">IF(ROW(6:6)&lt;=$K$23, (ROW(6:6)), "")</f>
        <v/>
      </c>
      <c r="E8" s="156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56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56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56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56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56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56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56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5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156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156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156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156" cm="1">
        <f t="array" ref="Q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R8" s="156" cm="1">
        <f t="array" ref="R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S8" s="156" cm="1">
        <f t="array" ref="S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T8" s="156" cm="1">
        <f t="array" ref="T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U8" s="156" cm="1">
        <f t="array" ref="U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V8" s="156" cm="1">
        <f t="array" ref="V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W8" s="156" cm="1">
        <f t="array" ref="W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X8" s="156" cm="1">
        <f t="array" ref="X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Y8" s="157" cm="1">
        <f t="array" ref="Y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Z8" s="158" cm="1">
        <f t="array" ref="Z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AA8" s="311">
        <f t="shared" si="0"/>
        <v>0</v>
      </c>
      <c r="AD8" s="231"/>
      <c r="AE8" s="232"/>
      <c r="AF8" s="346" t="s">
        <v>37</v>
      </c>
      <c r="AG8" s="473"/>
      <c r="AH8" s="348" t="e">
        <f t="shared" si="2"/>
        <v>#N/A</v>
      </c>
      <c r="AJ8" s="319" t="s">
        <v>48</v>
      </c>
      <c r="AK8" s="372" t="e">
        <f t="shared" si="3"/>
        <v>#N/A</v>
      </c>
    </row>
    <row r="9" spans="1:38" ht="20.100000000000001" customHeight="1" thickBot="1" x14ac:dyDescent="0.25">
      <c r="A9" s="97" t="s">
        <v>17</v>
      </c>
      <c r="B9" s="167">
        <f>B6-B7</f>
        <v>649</v>
      </c>
      <c r="D9" s="353" t="str" cm="1">
        <f t="array" ref="D9">IF(ROW(7:7)&lt;=$K$23, (ROW(7:7)), "")</f>
        <v/>
      </c>
      <c r="E9" s="156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56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56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56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56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56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56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56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56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156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156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156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156" cm="1">
        <f t="array" ref="Q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R9" s="156" cm="1">
        <f t="array" ref="R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S9" s="156" cm="1">
        <f t="array" ref="S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T9" s="156" cm="1">
        <f t="array" ref="T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U9" s="156" cm="1">
        <f t="array" ref="U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V9" s="156" cm="1">
        <f t="array" ref="V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W9" s="156" cm="1">
        <f t="array" ref="W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X9" s="156" cm="1">
        <f t="array" ref="X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Y9" s="159" cm="1">
        <f t="array" ref="Y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Z9" s="160" cm="1">
        <f t="array" ref="Z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AA9" s="311">
        <f t="shared" si="0"/>
        <v>0</v>
      </c>
      <c r="AD9" s="231"/>
      <c r="AE9" s="232"/>
      <c r="AF9" s="346" t="s">
        <v>38</v>
      </c>
      <c r="AG9" s="473"/>
      <c r="AH9" s="348" t="e">
        <f t="shared" si="2"/>
        <v>#N/A</v>
      </c>
      <c r="AJ9" s="319" t="s">
        <v>49</v>
      </c>
      <c r="AK9" s="372" t="e">
        <f t="shared" si="3"/>
        <v>#N/A</v>
      </c>
    </row>
    <row r="10" spans="1:38" ht="20.100000000000001" customHeight="1" x14ac:dyDescent="0.2">
      <c r="A10" s="435" t="s">
        <v>60</v>
      </c>
      <c r="B10" s="435"/>
      <c r="D10" s="353" t="str" cm="1">
        <f t="array" ref="D10">IF(ROW(8:8)&lt;=$K$23, (ROW(8:8)), "")</f>
        <v/>
      </c>
      <c r="E10" s="156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56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56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56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56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56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56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56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56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156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156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156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156" cm="1">
        <f t="array" ref="Q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R10" s="156" cm="1">
        <f t="array" ref="R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S10" s="156" cm="1">
        <f t="array" ref="S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T10" s="156" cm="1">
        <f t="array" ref="T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U10" s="156" cm="1">
        <f t="array" ref="U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V10" s="156" cm="1">
        <f t="array" ref="V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W10" s="156" cm="1">
        <f t="array" ref="W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X10" s="156" cm="1">
        <f t="array" ref="X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Y10" s="159" cm="1">
        <f t="array" ref="Y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Z10" s="160" cm="1">
        <f t="array" ref="Z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AA10" s="311">
        <f t="shared" si="0"/>
        <v>0</v>
      </c>
      <c r="AD10" s="231"/>
      <c r="AE10" s="232"/>
      <c r="AF10" s="346" t="s">
        <v>39</v>
      </c>
      <c r="AG10" s="473"/>
      <c r="AH10" s="348" t="e">
        <f t="shared" si="2"/>
        <v>#N/A</v>
      </c>
      <c r="AJ10" s="319" t="s">
        <v>50</v>
      </c>
      <c r="AK10" s="372" t="e">
        <f t="shared" si="3"/>
        <v>#N/A</v>
      </c>
    </row>
    <row r="11" spans="1:38" ht="20.100000000000001" customHeight="1" x14ac:dyDescent="0.2">
      <c r="A11" s="436"/>
      <c r="B11" s="436"/>
      <c r="D11" s="353" t="str" cm="1">
        <f t="array" ref="D11">IF(ROW(9:9)&lt;=$K$23, (ROW(9:9)), "")</f>
        <v/>
      </c>
      <c r="E11" s="156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56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56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56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56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56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56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56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56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156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156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156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156" cm="1">
        <f t="array" ref="Q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R11" s="156" cm="1">
        <f t="array" ref="R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S11" s="156" cm="1">
        <f t="array" ref="S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T11" s="156" cm="1">
        <f t="array" ref="T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U11" s="156" cm="1">
        <f t="array" ref="U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V11" s="156" cm="1">
        <f t="array" ref="V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W11" s="156" cm="1">
        <f t="array" ref="W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X11" s="156">
        <v>0</v>
      </c>
      <c r="Y11" s="159" cm="1">
        <f t="array" ref="Y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Z11" s="160" cm="1">
        <f t="array" ref="Z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AA11" s="311">
        <f t="shared" si="0"/>
        <v>0</v>
      </c>
      <c r="AD11" s="231"/>
      <c r="AE11" s="232"/>
      <c r="AF11" s="346" t="s">
        <v>40</v>
      </c>
      <c r="AG11" s="473"/>
      <c r="AH11" s="348" t="e">
        <f t="shared" si="2"/>
        <v>#N/A</v>
      </c>
      <c r="AJ11" s="319" t="s">
        <v>51</v>
      </c>
      <c r="AK11" s="372" t="e">
        <f t="shared" si="3"/>
        <v>#N/A</v>
      </c>
    </row>
    <row r="12" spans="1:38" ht="20.100000000000001" customHeight="1" thickBot="1" x14ac:dyDescent="0.25">
      <c r="A12" s="437" t="s">
        <v>61</v>
      </c>
      <c r="B12" s="437"/>
      <c r="D12" s="354" t="str" cm="1">
        <f t="array" ref="D12">IF(ROW(10:10)&lt;=$K$23, (ROW(10:10)), "")</f>
        <v/>
      </c>
      <c r="E12" s="156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56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56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56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56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56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56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56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56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156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156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156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156" cm="1">
        <f t="array" ref="Q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R12" s="156" cm="1">
        <f t="array" ref="R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S12" s="156" cm="1">
        <f t="array" ref="S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T12" s="156" cm="1">
        <f t="array" ref="T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U12" s="156" cm="1">
        <f t="array" ref="U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V12" s="156" cm="1">
        <f t="array" ref="V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W12" s="156" cm="1">
        <f t="array" ref="W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X12" s="156" cm="1">
        <f t="array" ref="X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Y12" s="175" cm="1">
        <f t="array" ref="Y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Z12" s="176" cm="1">
        <f t="array" ref="Z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AA12" s="311">
        <f t="shared" si="0"/>
        <v>0</v>
      </c>
      <c r="AD12" s="231"/>
      <c r="AE12" s="232"/>
      <c r="AF12" s="346" t="s">
        <v>41</v>
      </c>
      <c r="AG12" s="473"/>
      <c r="AH12" s="348" t="e">
        <f t="shared" si="2"/>
        <v>#N/A</v>
      </c>
      <c r="AJ12" s="319" t="s">
        <v>52</v>
      </c>
      <c r="AK12" s="372" t="e">
        <f t="shared" si="3"/>
        <v>#N/A</v>
      </c>
    </row>
    <row r="13" spans="1:38" ht="20.100000000000001" customHeight="1" thickBot="1" x14ac:dyDescent="0.3">
      <c r="A13" s="437"/>
      <c r="B13" s="437"/>
      <c r="D13" s="50" t="s">
        <v>9</v>
      </c>
      <c r="E13" s="161">
        <f t="shared" ref="E13:AA13" si="4">SUM(E3:E12)</f>
        <v>0</v>
      </c>
      <c r="F13" s="162">
        <f t="shared" si="4"/>
        <v>0</v>
      </c>
      <c r="G13" s="162">
        <f t="shared" si="4"/>
        <v>0</v>
      </c>
      <c r="H13" s="162">
        <f t="shared" si="4"/>
        <v>0</v>
      </c>
      <c r="I13" s="162">
        <f t="shared" si="4"/>
        <v>0</v>
      </c>
      <c r="J13" s="162">
        <f t="shared" si="4"/>
        <v>0</v>
      </c>
      <c r="K13" s="162">
        <f t="shared" si="4"/>
        <v>0</v>
      </c>
      <c r="L13" s="162">
        <f t="shared" si="4"/>
        <v>0</v>
      </c>
      <c r="M13" s="162">
        <f t="shared" si="4"/>
        <v>0</v>
      </c>
      <c r="N13" s="162">
        <f t="shared" si="4"/>
        <v>0</v>
      </c>
      <c r="O13" s="162">
        <f t="shared" si="4"/>
        <v>0</v>
      </c>
      <c r="P13" s="162">
        <f t="shared" si="4"/>
        <v>0</v>
      </c>
      <c r="Q13" s="162">
        <f t="shared" si="4"/>
        <v>0</v>
      </c>
      <c r="R13" s="162">
        <f t="shared" si="4"/>
        <v>0</v>
      </c>
      <c r="S13" s="162">
        <f t="shared" si="4"/>
        <v>0</v>
      </c>
      <c r="T13" s="162">
        <f t="shared" si="4"/>
        <v>0</v>
      </c>
      <c r="U13" s="162">
        <f t="shared" si="4"/>
        <v>0</v>
      </c>
      <c r="V13" s="162">
        <f t="shared" si="4"/>
        <v>0</v>
      </c>
      <c r="W13" s="162">
        <f t="shared" si="4"/>
        <v>0</v>
      </c>
      <c r="X13" s="162">
        <f t="shared" si="4"/>
        <v>0</v>
      </c>
      <c r="Y13" s="163">
        <f t="shared" si="4"/>
        <v>0</v>
      </c>
      <c r="Z13" s="164">
        <f t="shared" si="4"/>
        <v>0</v>
      </c>
      <c r="AA13" s="312">
        <f t="shared" si="4"/>
        <v>0</v>
      </c>
      <c r="AD13" s="231"/>
      <c r="AE13" s="232"/>
      <c r="AF13" s="346" t="s">
        <v>42</v>
      </c>
      <c r="AG13" s="473"/>
      <c r="AH13" s="348" t="e">
        <f t="shared" si="2"/>
        <v>#N/A</v>
      </c>
      <c r="AJ13" s="320" t="s">
        <v>53</v>
      </c>
      <c r="AK13" s="373" t="e">
        <f t="shared" si="3"/>
        <v>#N/A</v>
      </c>
    </row>
    <row r="14" spans="1:38" ht="20.100000000000001" customHeight="1" thickBot="1" x14ac:dyDescent="0.3">
      <c r="A14" s="437"/>
      <c r="B14" s="437"/>
      <c r="D14" s="83" t="s">
        <v>10</v>
      </c>
      <c r="E14" s="45">
        <f t="shared" ref="E14:AA14" si="5">IFERROR(E13/$B$7,0)</f>
        <v>0</v>
      </c>
      <c r="F14" s="46">
        <f t="shared" si="5"/>
        <v>0</v>
      </c>
      <c r="G14" s="46">
        <f t="shared" si="5"/>
        <v>0</v>
      </c>
      <c r="H14" s="46">
        <f t="shared" si="5"/>
        <v>0</v>
      </c>
      <c r="I14" s="46">
        <f t="shared" si="5"/>
        <v>0</v>
      </c>
      <c r="J14" s="46">
        <f t="shared" si="5"/>
        <v>0</v>
      </c>
      <c r="K14" s="46">
        <f t="shared" si="5"/>
        <v>0</v>
      </c>
      <c r="L14" s="46">
        <f t="shared" si="5"/>
        <v>0</v>
      </c>
      <c r="M14" s="46">
        <f t="shared" si="5"/>
        <v>0</v>
      </c>
      <c r="N14" s="46">
        <f t="shared" si="5"/>
        <v>0</v>
      </c>
      <c r="O14" s="46">
        <f t="shared" si="5"/>
        <v>0</v>
      </c>
      <c r="P14" s="46">
        <f t="shared" si="5"/>
        <v>0</v>
      </c>
      <c r="Q14" s="46">
        <f t="shared" si="5"/>
        <v>0</v>
      </c>
      <c r="R14" s="46">
        <f t="shared" si="5"/>
        <v>0</v>
      </c>
      <c r="S14" s="46">
        <f t="shared" si="5"/>
        <v>0</v>
      </c>
      <c r="T14" s="46">
        <f t="shared" si="5"/>
        <v>0</v>
      </c>
      <c r="U14" s="46">
        <f t="shared" si="5"/>
        <v>0</v>
      </c>
      <c r="V14" s="46">
        <f t="shared" si="5"/>
        <v>0</v>
      </c>
      <c r="W14" s="46">
        <f t="shared" si="5"/>
        <v>0</v>
      </c>
      <c r="X14" s="46">
        <f t="shared" si="5"/>
        <v>0</v>
      </c>
      <c r="Y14" s="45">
        <f t="shared" si="5"/>
        <v>0</v>
      </c>
      <c r="Z14" s="47">
        <f t="shared" si="5"/>
        <v>0</v>
      </c>
      <c r="AA14" s="322">
        <f t="shared" si="5"/>
        <v>0</v>
      </c>
      <c r="AF14" s="377" t="s">
        <v>43</v>
      </c>
      <c r="AG14" s="474"/>
      <c r="AH14" s="350" t="e">
        <f>IF(OR(AG14=0, AG14=""), NA(), AG14/$B$6)</f>
        <v>#N/A</v>
      </c>
      <c r="AI14" s="375"/>
      <c r="AJ14" s="379" t="s">
        <v>55</v>
      </c>
      <c r="AK14" s="374" t="e">
        <f>IF(AG14&lt;&gt;0,AG14-AG13,NA())</f>
        <v>#N/A</v>
      </c>
      <c r="AL14" s="375"/>
    </row>
    <row r="15" spans="1:38" ht="18" customHeight="1" thickBot="1" x14ac:dyDescent="0.25">
      <c r="A15" s="438" t="s">
        <v>68</v>
      </c>
      <c r="B15" s="438"/>
      <c r="C15" s="1"/>
      <c r="D15" s="1"/>
      <c r="AA15" s="321"/>
      <c r="AF15" s="317" t="s">
        <v>44</v>
      </c>
      <c r="AG15" s="475"/>
      <c r="AH15" s="376" t="e">
        <f>IF(OR(AG15=0, AG15=""), NA(), AG15/$B$6)</f>
        <v>#N/A</v>
      </c>
      <c r="AJ15" s="380" t="s">
        <v>56</v>
      </c>
      <c r="AK15" s="378" t="e">
        <f>IF(AG15&lt;&gt;0,AG15-AG14,NA())</f>
        <v>#N/A</v>
      </c>
      <c r="AL15" s="375"/>
    </row>
    <row r="16" spans="1:38" ht="12.75" customHeight="1" x14ac:dyDescent="0.2">
      <c r="A16" s="438"/>
      <c r="B16" s="438"/>
      <c r="AF16" s="321"/>
      <c r="AG16" s="321"/>
      <c r="AH16" s="321"/>
      <c r="AK16" s="321"/>
    </row>
    <row r="17" spans="1:11" ht="18" customHeight="1" x14ac:dyDescent="0.25">
      <c r="A17" s="438"/>
      <c r="B17" s="438"/>
      <c r="E17" s="230"/>
    </row>
    <row r="18" spans="1:11" ht="26.25" customHeight="1" x14ac:dyDescent="0.2">
      <c r="A18" s="438"/>
      <c r="B18" s="438"/>
    </row>
    <row r="23" spans="1:11" x14ac:dyDescent="0.2">
      <c r="H23" s="177" t="s">
        <v>64</v>
      </c>
      <c r="J23" s="245">
        <f>CEILING($B$6, 100)/100</f>
        <v>7</v>
      </c>
      <c r="K23" s="245">
        <f>CEILING($B$7,100)/100</f>
        <v>0</v>
      </c>
    </row>
    <row r="24" spans="1:11" x14ac:dyDescent="0.2">
      <c r="H24" s="178">
        <f>IF((ROW()-23)&lt;=$K$24,(ROW()-23),"Choisir")</f>
        <v>1</v>
      </c>
      <c r="J24" s="245">
        <f>MOD($B$7,100)</f>
        <v>0</v>
      </c>
      <c r="K24" s="246">
        <f>CEILING($B$6/300,1)</f>
        <v>3</v>
      </c>
    </row>
    <row r="25" spans="1:11" x14ac:dyDescent="0.2">
      <c r="H25" s="178">
        <f>IF((ROW()-23)&lt;=$K$24,(ROW()-23),"Choisir")</f>
        <v>2</v>
      </c>
    </row>
    <row r="26" spans="1:11" x14ac:dyDescent="0.2">
      <c r="H26" s="178">
        <f>IF((ROW()-23)&lt;=$K$24,(ROW()-23),"Choisir")</f>
        <v>3</v>
      </c>
    </row>
    <row r="27" spans="1:11" x14ac:dyDescent="0.2">
      <c r="H27" s="178" t="str">
        <f>IF((ROW()-23)&lt;=$K$24,(ROW()-23),"Choisir")</f>
        <v>Choisir</v>
      </c>
    </row>
    <row r="46" spans="4:27" x14ac:dyDescent="0.2">
      <c r="E46" s="169"/>
    </row>
    <row r="47" spans="4:27" ht="13.5" thickBot="1" x14ac:dyDescent="0.25">
      <c r="E47" s="169"/>
    </row>
    <row r="48" spans="4:27" ht="20.100000000000001" customHeight="1" thickBot="1" x14ac:dyDescent="0.25">
      <c r="D48" s="235" t="s">
        <v>78</v>
      </c>
      <c r="E48" s="429" t="s">
        <v>102</v>
      </c>
      <c r="F48" s="430"/>
      <c r="G48" s="430"/>
      <c r="H48" s="430"/>
      <c r="I48" s="430"/>
      <c r="J48" s="430"/>
      <c r="K48" s="430"/>
      <c r="L48" s="430"/>
      <c r="M48" s="430"/>
      <c r="N48" s="430"/>
      <c r="O48" s="430"/>
      <c r="P48" s="430"/>
      <c r="Q48" s="430"/>
      <c r="R48" s="430"/>
      <c r="S48" s="430"/>
      <c r="T48" s="430"/>
      <c r="U48" s="430"/>
      <c r="V48" s="430"/>
      <c r="W48" s="430"/>
      <c r="X48" s="430"/>
      <c r="Y48" s="430"/>
      <c r="Z48" s="431"/>
      <c r="AA48" s="381" t="s">
        <v>7</v>
      </c>
    </row>
    <row r="49" spans="3:27" ht="47.25" customHeight="1" thickBot="1" x14ac:dyDescent="0.25">
      <c r="C49" s="233"/>
      <c r="D49" s="359" t="s">
        <v>81</v>
      </c>
      <c r="E49" s="455" t="s">
        <v>69</v>
      </c>
      <c r="F49" s="399" t="s">
        <v>99</v>
      </c>
      <c r="G49" s="395" t="s">
        <v>70</v>
      </c>
      <c r="H49" s="456" t="s">
        <v>71</v>
      </c>
      <c r="I49" s="457" t="s">
        <v>72</v>
      </c>
      <c r="J49" s="458" t="s">
        <v>73</v>
      </c>
      <c r="K49" s="459" t="s">
        <v>74</v>
      </c>
      <c r="L49" s="398" t="s">
        <v>75</v>
      </c>
      <c r="M49" s="460" t="s">
        <v>76</v>
      </c>
      <c r="N49" s="461" t="s">
        <v>77</v>
      </c>
      <c r="O49" s="400" t="s">
        <v>105</v>
      </c>
      <c r="P49" s="462" t="s">
        <v>106</v>
      </c>
      <c r="Q49" s="396" t="s">
        <v>107</v>
      </c>
      <c r="R49" s="463" t="s">
        <v>108</v>
      </c>
      <c r="S49" s="464" t="s">
        <v>109</v>
      </c>
      <c r="T49" s="465" t="s">
        <v>110</v>
      </c>
      <c r="U49" s="466" t="s">
        <v>111</v>
      </c>
      <c r="V49" s="397" t="s">
        <v>112</v>
      </c>
      <c r="W49" s="467" t="s">
        <v>113</v>
      </c>
      <c r="X49" s="468" t="s">
        <v>114</v>
      </c>
      <c r="Y49" s="471" t="s">
        <v>3</v>
      </c>
      <c r="Z49" s="472" t="s">
        <v>4</v>
      </c>
      <c r="AA49" s="383" t="s">
        <v>103</v>
      </c>
    </row>
    <row r="50" spans="3:27" ht="19.5" customHeight="1" x14ac:dyDescent="0.2">
      <c r="C50" s="234"/>
      <c r="D50" s="358" t="s">
        <v>80</v>
      </c>
      <c r="E50" s="313"/>
      <c r="F50" s="314"/>
      <c r="G50" s="314"/>
      <c r="H50" s="314"/>
      <c r="I50" s="314"/>
      <c r="J50" s="314"/>
      <c r="K50" s="314"/>
      <c r="L50" s="314"/>
      <c r="M50" s="314"/>
      <c r="N50" s="314"/>
      <c r="O50" s="314"/>
      <c r="P50" s="314"/>
      <c r="Q50" s="314"/>
      <c r="R50" s="314"/>
      <c r="S50" s="314"/>
      <c r="T50" s="314"/>
      <c r="U50" s="314"/>
      <c r="V50" s="314"/>
      <c r="W50" s="314"/>
      <c r="X50" s="315"/>
      <c r="Y50" s="316"/>
      <c r="Z50" s="315"/>
      <c r="AA50" s="382">
        <f t="shared" ref="AA50:AA59" si="6">SUM(E50:Z50)</f>
        <v>0</v>
      </c>
    </row>
    <row r="51" spans="3:27" ht="20.100000000000001" customHeight="1" x14ac:dyDescent="0.2">
      <c r="C51" s="234"/>
      <c r="D51" s="358" t="s">
        <v>80</v>
      </c>
      <c r="E51" s="313"/>
      <c r="F51" s="314"/>
      <c r="G51" s="314"/>
      <c r="H51" s="314"/>
      <c r="I51" s="314"/>
      <c r="J51" s="314"/>
      <c r="K51" s="314"/>
      <c r="L51" s="314"/>
      <c r="M51" s="314"/>
      <c r="N51" s="314"/>
      <c r="O51" s="314"/>
      <c r="P51" s="314"/>
      <c r="Q51" s="314"/>
      <c r="R51" s="314"/>
      <c r="S51" s="314"/>
      <c r="T51" s="314"/>
      <c r="U51" s="314"/>
      <c r="V51" s="314"/>
      <c r="W51" s="314"/>
      <c r="X51" s="315"/>
      <c r="Y51" s="316"/>
      <c r="Z51" s="315"/>
      <c r="AA51" s="382">
        <f t="shared" si="6"/>
        <v>0</v>
      </c>
    </row>
    <row r="52" spans="3:27" ht="20.100000000000001" customHeight="1" x14ac:dyDescent="0.2">
      <c r="C52" s="234"/>
      <c r="D52" s="358" t="s">
        <v>80</v>
      </c>
      <c r="E52" s="313"/>
      <c r="F52" s="314"/>
      <c r="G52" s="314"/>
      <c r="H52" s="314"/>
      <c r="I52" s="314"/>
      <c r="J52" s="314"/>
      <c r="K52" s="314"/>
      <c r="L52" s="314"/>
      <c r="M52" s="314"/>
      <c r="N52" s="314"/>
      <c r="O52" s="314"/>
      <c r="P52" s="314"/>
      <c r="Q52" s="314"/>
      <c r="R52" s="314"/>
      <c r="S52" s="314"/>
      <c r="T52" s="314"/>
      <c r="U52" s="314"/>
      <c r="V52" s="314"/>
      <c r="W52" s="314"/>
      <c r="X52" s="315"/>
      <c r="Y52" s="316"/>
      <c r="Z52" s="315"/>
      <c r="AA52" s="382">
        <f t="shared" si="6"/>
        <v>0</v>
      </c>
    </row>
    <row r="53" spans="3:27" ht="20.100000000000001" customHeight="1" x14ac:dyDescent="0.2">
      <c r="C53" s="234"/>
      <c r="D53" s="358" t="s">
        <v>80</v>
      </c>
      <c r="E53" s="313"/>
      <c r="F53" s="314"/>
      <c r="G53" s="314"/>
      <c r="H53" s="314"/>
      <c r="I53" s="314"/>
      <c r="J53" s="314"/>
      <c r="K53" s="314"/>
      <c r="L53" s="314"/>
      <c r="M53" s="314"/>
      <c r="N53" s="314"/>
      <c r="O53" s="314"/>
      <c r="P53" s="314"/>
      <c r="Q53" s="314"/>
      <c r="R53" s="314"/>
      <c r="S53" s="314"/>
      <c r="T53" s="314"/>
      <c r="U53" s="314"/>
      <c r="V53" s="314"/>
      <c r="W53" s="314"/>
      <c r="X53" s="315"/>
      <c r="Y53" s="316"/>
      <c r="Z53" s="315"/>
      <c r="AA53" s="382">
        <f t="shared" si="6"/>
        <v>0</v>
      </c>
    </row>
    <row r="54" spans="3:27" ht="20.100000000000001" customHeight="1" x14ac:dyDescent="0.2">
      <c r="C54" s="234"/>
      <c r="D54" s="358" t="s">
        <v>80</v>
      </c>
      <c r="E54" s="313"/>
      <c r="F54" s="314"/>
      <c r="G54" s="314"/>
      <c r="H54" s="314"/>
      <c r="I54" s="314"/>
      <c r="J54" s="314"/>
      <c r="K54" s="314"/>
      <c r="L54" s="314"/>
      <c r="M54" s="314"/>
      <c r="N54" s="314"/>
      <c r="O54" s="314"/>
      <c r="P54" s="314"/>
      <c r="Q54" s="314"/>
      <c r="R54" s="314"/>
      <c r="S54" s="314"/>
      <c r="T54" s="314"/>
      <c r="U54" s="314"/>
      <c r="V54" s="314"/>
      <c r="W54" s="314"/>
      <c r="X54" s="315"/>
      <c r="Y54" s="316"/>
      <c r="Z54" s="315"/>
      <c r="AA54" s="382">
        <f t="shared" si="6"/>
        <v>0</v>
      </c>
    </row>
    <row r="55" spans="3:27" ht="20.100000000000001" customHeight="1" x14ac:dyDescent="0.2">
      <c r="C55" s="234"/>
      <c r="D55" s="358" t="s">
        <v>80</v>
      </c>
      <c r="E55" s="313"/>
      <c r="F55" s="314"/>
      <c r="G55" s="314"/>
      <c r="H55" s="314"/>
      <c r="I55" s="314"/>
      <c r="J55" s="314"/>
      <c r="K55" s="314"/>
      <c r="L55" s="314"/>
      <c r="M55" s="314"/>
      <c r="N55" s="314"/>
      <c r="O55" s="314"/>
      <c r="P55" s="314"/>
      <c r="Q55" s="314"/>
      <c r="R55" s="314"/>
      <c r="S55" s="314"/>
      <c r="T55" s="314"/>
      <c r="U55" s="314"/>
      <c r="V55" s="314"/>
      <c r="W55" s="314"/>
      <c r="X55" s="315"/>
      <c r="Y55" s="316"/>
      <c r="Z55" s="315"/>
      <c r="AA55" s="382">
        <f t="shared" si="6"/>
        <v>0</v>
      </c>
    </row>
    <row r="56" spans="3:27" ht="20.100000000000001" customHeight="1" x14ac:dyDescent="0.2">
      <c r="C56" s="234"/>
      <c r="D56" s="358" t="s">
        <v>80</v>
      </c>
      <c r="E56" s="313"/>
      <c r="F56" s="314"/>
      <c r="G56" s="314"/>
      <c r="H56" s="314"/>
      <c r="I56" s="314"/>
      <c r="J56" s="314"/>
      <c r="K56" s="314"/>
      <c r="L56" s="314"/>
      <c r="M56" s="314"/>
      <c r="N56" s="314"/>
      <c r="O56" s="314"/>
      <c r="P56" s="314"/>
      <c r="Q56" s="314"/>
      <c r="R56" s="314"/>
      <c r="S56" s="314"/>
      <c r="T56" s="314"/>
      <c r="U56" s="314"/>
      <c r="V56" s="314"/>
      <c r="W56" s="314"/>
      <c r="X56" s="315"/>
      <c r="Y56" s="316"/>
      <c r="Z56" s="315"/>
      <c r="AA56" s="382">
        <f t="shared" si="6"/>
        <v>0</v>
      </c>
    </row>
    <row r="57" spans="3:27" ht="20.100000000000001" customHeight="1" x14ac:dyDescent="0.2">
      <c r="C57" s="234"/>
      <c r="D57" s="358" t="s">
        <v>80</v>
      </c>
      <c r="E57" s="313"/>
      <c r="F57" s="314"/>
      <c r="G57" s="314"/>
      <c r="H57" s="314"/>
      <c r="I57" s="314"/>
      <c r="J57" s="314"/>
      <c r="K57" s="314"/>
      <c r="L57" s="314"/>
      <c r="M57" s="314"/>
      <c r="N57" s="314"/>
      <c r="O57" s="314"/>
      <c r="P57" s="314"/>
      <c r="Q57" s="314"/>
      <c r="R57" s="314"/>
      <c r="S57" s="314"/>
      <c r="T57" s="314"/>
      <c r="U57" s="314"/>
      <c r="V57" s="314"/>
      <c r="W57" s="314"/>
      <c r="X57" s="315"/>
      <c r="Y57" s="316"/>
      <c r="Z57" s="315"/>
      <c r="AA57" s="382">
        <f t="shared" si="6"/>
        <v>0</v>
      </c>
    </row>
    <row r="58" spans="3:27" ht="20.100000000000001" customHeight="1" x14ac:dyDescent="0.2">
      <c r="C58" s="234"/>
      <c r="D58" s="358" t="s">
        <v>80</v>
      </c>
      <c r="E58" s="313"/>
      <c r="F58" s="314"/>
      <c r="G58" s="314"/>
      <c r="H58" s="314"/>
      <c r="I58" s="314"/>
      <c r="J58" s="314"/>
      <c r="K58" s="314"/>
      <c r="L58" s="314"/>
      <c r="M58" s="314"/>
      <c r="N58" s="314"/>
      <c r="O58" s="314"/>
      <c r="P58" s="314"/>
      <c r="Q58" s="314"/>
      <c r="R58" s="314"/>
      <c r="S58" s="314"/>
      <c r="T58" s="314"/>
      <c r="U58" s="314"/>
      <c r="V58" s="314"/>
      <c r="W58" s="314"/>
      <c r="X58" s="315"/>
      <c r="Y58" s="316"/>
      <c r="Z58" s="315"/>
      <c r="AA58" s="382">
        <f t="shared" si="6"/>
        <v>0</v>
      </c>
    </row>
    <row r="59" spans="3:27" ht="20.100000000000001" customHeight="1" thickBot="1" x14ac:dyDescent="0.25">
      <c r="C59" s="234"/>
      <c r="D59" s="362" t="s">
        <v>80</v>
      </c>
      <c r="E59" s="363"/>
      <c r="F59" s="364"/>
      <c r="G59" s="364"/>
      <c r="H59" s="364"/>
      <c r="I59" s="364"/>
      <c r="J59" s="364"/>
      <c r="K59" s="364"/>
      <c r="L59" s="364"/>
      <c r="M59" s="364"/>
      <c r="N59" s="364"/>
      <c r="O59" s="364"/>
      <c r="P59" s="364"/>
      <c r="Q59" s="364"/>
      <c r="R59" s="364"/>
      <c r="S59" s="364"/>
      <c r="T59" s="364"/>
      <c r="U59" s="364"/>
      <c r="V59" s="364"/>
      <c r="W59" s="364"/>
      <c r="X59" s="365"/>
      <c r="Y59" s="366"/>
      <c r="Z59" s="365"/>
      <c r="AA59" s="382">
        <f t="shared" si="6"/>
        <v>0</v>
      </c>
    </row>
    <row r="60" spans="3:27" x14ac:dyDescent="0.2">
      <c r="AA60" s="321"/>
    </row>
    <row r="63" spans="3:27" ht="18" x14ac:dyDescent="0.25">
      <c r="E63" s="230"/>
    </row>
    <row r="65" spans="4:27" ht="13.5" thickBot="1" x14ac:dyDescent="0.25"/>
    <row r="66" spans="4:27" ht="16.5" customHeight="1" thickBot="1" x14ac:dyDescent="0.25">
      <c r="D66" s="235" t="s">
        <v>79</v>
      </c>
      <c r="E66" s="429" t="s">
        <v>101</v>
      </c>
      <c r="F66" s="430"/>
      <c r="G66" s="430"/>
      <c r="H66" s="430"/>
      <c r="I66" s="430"/>
      <c r="J66" s="430"/>
      <c r="K66" s="430"/>
      <c r="L66" s="430"/>
      <c r="M66" s="430"/>
      <c r="N66" s="430"/>
      <c r="O66" s="430"/>
      <c r="P66" s="430"/>
      <c r="Q66" s="430"/>
      <c r="R66" s="430"/>
      <c r="S66" s="430"/>
      <c r="T66" s="430"/>
      <c r="U66" s="430"/>
      <c r="V66" s="430"/>
      <c r="W66" s="430"/>
      <c r="X66" s="430"/>
      <c r="Y66" s="430"/>
      <c r="Z66" s="431"/>
      <c r="AA66" s="381" t="s">
        <v>7</v>
      </c>
    </row>
    <row r="67" spans="4:27" ht="42" customHeight="1" thickBot="1" x14ac:dyDescent="0.25">
      <c r="D67" s="359" t="s">
        <v>81</v>
      </c>
      <c r="E67" s="455" t="s">
        <v>69</v>
      </c>
      <c r="F67" s="399" t="s">
        <v>99</v>
      </c>
      <c r="G67" s="395" t="s">
        <v>70</v>
      </c>
      <c r="H67" s="456" t="s">
        <v>71</v>
      </c>
      <c r="I67" s="457" t="s">
        <v>72</v>
      </c>
      <c r="J67" s="458" t="s">
        <v>73</v>
      </c>
      <c r="K67" s="459" t="s">
        <v>74</v>
      </c>
      <c r="L67" s="398" t="s">
        <v>75</v>
      </c>
      <c r="M67" s="460" t="s">
        <v>76</v>
      </c>
      <c r="N67" s="461" t="s">
        <v>77</v>
      </c>
      <c r="O67" s="400" t="s">
        <v>105</v>
      </c>
      <c r="P67" s="462" t="s">
        <v>106</v>
      </c>
      <c r="Q67" s="396" t="s">
        <v>107</v>
      </c>
      <c r="R67" s="463" t="s">
        <v>108</v>
      </c>
      <c r="S67" s="464" t="s">
        <v>109</v>
      </c>
      <c r="T67" s="465" t="s">
        <v>110</v>
      </c>
      <c r="U67" s="466" t="s">
        <v>111</v>
      </c>
      <c r="V67" s="397" t="s">
        <v>112</v>
      </c>
      <c r="W67" s="467" t="s">
        <v>113</v>
      </c>
      <c r="X67" s="468" t="s">
        <v>114</v>
      </c>
      <c r="Y67" s="471" t="s">
        <v>3</v>
      </c>
      <c r="Z67" s="472" t="s">
        <v>4</v>
      </c>
      <c r="AA67" s="388" t="s">
        <v>103</v>
      </c>
    </row>
    <row r="68" spans="4:27" ht="20.100000000000001" customHeight="1" x14ac:dyDescent="0.2">
      <c r="D68" s="244" t="s">
        <v>80</v>
      </c>
      <c r="E68" s="237"/>
      <c r="F68" s="238"/>
      <c r="G68" s="238"/>
      <c r="H68" s="238"/>
      <c r="I68" s="238"/>
      <c r="J68" s="238"/>
      <c r="K68" s="238"/>
      <c r="L68" s="238"/>
      <c r="M68" s="238"/>
      <c r="N68" s="238"/>
      <c r="O68" s="238"/>
      <c r="P68" s="238"/>
      <c r="Q68" s="238"/>
      <c r="R68" s="238"/>
      <c r="S68" s="238"/>
      <c r="T68" s="238"/>
      <c r="U68" s="238"/>
      <c r="V68" s="238"/>
      <c r="W68" s="238"/>
      <c r="X68" s="239"/>
      <c r="Y68" s="240"/>
      <c r="Z68" s="239"/>
      <c r="AA68" s="385">
        <f t="shared" ref="AA68:AA72" si="7">SUM(E68:Z68)</f>
        <v>0</v>
      </c>
    </row>
    <row r="69" spans="4:27" ht="20.100000000000001" customHeight="1" x14ac:dyDescent="0.2">
      <c r="D69" s="242" t="s">
        <v>80</v>
      </c>
      <c r="E69" s="179"/>
      <c r="F69" s="180"/>
      <c r="G69" s="180"/>
      <c r="H69" s="180"/>
      <c r="I69" s="180"/>
      <c r="J69" s="180"/>
      <c r="K69" s="180"/>
      <c r="L69" s="180"/>
      <c r="M69" s="180"/>
      <c r="N69" s="180"/>
      <c r="O69" s="180"/>
      <c r="P69" s="180"/>
      <c r="Q69" s="180"/>
      <c r="R69" s="180"/>
      <c r="S69" s="180"/>
      <c r="T69" s="180"/>
      <c r="U69" s="180"/>
      <c r="V69" s="180"/>
      <c r="W69" s="180"/>
      <c r="X69" s="181"/>
      <c r="Y69" s="182"/>
      <c r="Z69" s="181"/>
      <c r="AA69" s="311">
        <f t="shared" si="7"/>
        <v>0</v>
      </c>
    </row>
    <row r="70" spans="4:27" ht="20.100000000000001" customHeight="1" x14ac:dyDescent="0.2">
      <c r="D70" s="242" t="s">
        <v>80</v>
      </c>
      <c r="E70" s="179"/>
      <c r="F70" s="180"/>
      <c r="G70" s="180"/>
      <c r="H70" s="180"/>
      <c r="I70" s="180"/>
      <c r="J70" s="180"/>
      <c r="K70" s="180"/>
      <c r="L70" s="180"/>
      <c r="M70" s="180"/>
      <c r="N70" s="180"/>
      <c r="O70" s="180"/>
      <c r="P70" s="180"/>
      <c r="Q70" s="180"/>
      <c r="R70" s="180"/>
      <c r="S70" s="180"/>
      <c r="T70" s="180"/>
      <c r="U70" s="180"/>
      <c r="V70" s="180"/>
      <c r="W70" s="180"/>
      <c r="X70" s="181"/>
      <c r="Y70" s="182"/>
      <c r="Z70" s="181"/>
      <c r="AA70" s="311">
        <f t="shared" si="7"/>
        <v>0</v>
      </c>
    </row>
    <row r="71" spans="4:27" ht="20.100000000000001" customHeight="1" x14ac:dyDescent="0.2">
      <c r="D71" s="242" t="s">
        <v>80</v>
      </c>
      <c r="E71" s="179"/>
      <c r="F71" s="180"/>
      <c r="G71" s="180"/>
      <c r="H71" s="180"/>
      <c r="I71" s="180"/>
      <c r="J71" s="180"/>
      <c r="K71" s="180"/>
      <c r="L71" s="180"/>
      <c r="M71" s="180"/>
      <c r="N71" s="180"/>
      <c r="O71" s="180"/>
      <c r="P71" s="180"/>
      <c r="Q71" s="180"/>
      <c r="R71" s="180"/>
      <c r="S71" s="180"/>
      <c r="T71" s="180"/>
      <c r="U71" s="180"/>
      <c r="V71" s="180"/>
      <c r="W71" s="180"/>
      <c r="X71" s="181"/>
      <c r="Y71" s="182"/>
      <c r="Z71" s="181"/>
      <c r="AA71" s="311">
        <f t="shared" si="7"/>
        <v>0</v>
      </c>
    </row>
    <row r="72" spans="4:27" ht="20.100000000000001" customHeight="1" thickBot="1" x14ac:dyDescent="0.25">
      <c r="D72" s="243" t="s">
        <v>80</v>
      </c>
      <c r="E72" s="183"/>
      <c r="F72" s="184"/>
      <c r="G72" s="184"/>
      <c r="H72" s="184"/>
      <c r="I72" s="184"/>
      <c r="J72" s="184"/>
      <c r="K72" s="184"/>
      <c r="L72" s="184"/>
      <c r="M72" s="184"/>
      <c r="N72" s="184"/>
      <c r="O72" s="184"/>
      <c r="P72" s="184"/>
      <c r="Q72" s="184"/>
      <c r="R72" s="184"/>
      <c r="S72" s="184"/>
      <c r="T72" s="184"/>
      <c r="U72" s="184"/>
      <c r="V72" s="184"/>
      <c r="W72" s="184"/>
      <c r="X72" s="185"/>
      <c r="Y72" s="186"/>
      <c r="Z72" s="185"/>
      <c r="AA72" s="386">
        <f t="shared" si="7"/>
        <v>0</v>
      </c>
    </row>
    <row r="73" spans="4:27" ht="20.100000000000001" customHeight="1" x14ac:dyDescent="0.2">
      <c r="D73" s="236"/>
      <c r="E73" s="234"/>
      <c r="F73" s="234"/>
      <c r="G73" s="234"/>
      <c r="H73" s="234"/>
      <c r="I73" s="234"/>
      <c r="J73" s="234"/>
      <c r="K73" s="234"/>
      <c r="L73" s="234"/>
      <c r="M73" s="234"/>
      <c r="N73" s="234"/>
      <c r="O73" s="234"/>
      <c r="P73" s="234"/>
      <c r="Q73" s="234"/>
      <c r="R73" s="234"/>
      <c r="S73" s="234"/>
      <c r="T73" s="234"/>
      <c r="U73" s="234"/>
      <c r="V73" s="234"/>
      <c r="W73" s="234"/>
      <c r="X73" s="234"/>
      <c r="Y73" s="234"/>
      <c r="Z73" s="234"/>
    </row>
    <row r="74" spans="4:27" ht="20.100000000000001" customHeight="1" x14ac:dyDescent="0.2">
      <c r="D74" s="236"/>
      <c r="E74" s="234"/>
      <c r="F74" s="234"/>
      <c r="G74" s="234"/>
      <c r="H74" s="234"/>
      <c r="I74" s="234"/>
      <c r="J74" s="234"/>
      <c r="K74" s="234"/>
      <c r="L74" s="234"/>
      <c r="M74" s="234"/>
      <c r="N74" s="234"/>
      <c r="O74" s="234"/>
      <c r="P74" s="234"/>
      <c r="Q74" s="234"/>
      <c r="R74" s="234"/>
      <c r="S74" s="234"/>
      <c r="T74" s="234"/>
      <c r="U74" s="234"/>
      <c r="V74" s="234"/>
      <c r="W74" s="234"/>
      <c r="X74" s="234"/>
      <c r="Y74" s="234"/>
      <c r="Z74" s="234"/>
    </row>
    <row r="75" spans="4:27" ht="20.100000000000001" customHeight="1" thickBot="1" x14ac:dyDescent="0.25">
      <c r="D75" s="236"/>
      <c r="E75" s="234"/>
      <c r="F75" s="234"/>
      <c r="G75" s="234"/>
      <c r="H75" s="234"/>
      <c r="I75" s="234"/>
      <c r="J75" s="234"/>
      <c r="K75" s="234"/>
      <c r="L75" s="234"/>
      <c r="M75" s="234"/>
      <c r="N75" s="234"/>
      <c r="O75" s="234"/>
      <c r="P75" s="234"/>
      <c r="Q75" s="234"/>
      <c r="R75" s="234"/>
      <c r="S75" s="234"/>
      <c r="T75" s="234"/>
      <c r="U75" s="234"/>
      <c r="V75" s="234"/>
      <c r="W75" s="234"/>
      <c r="X75" s="234"/>
      <c r="Y75" s="234"/>
      <c r="Z75" s="234"/>
    </row>
    <row r="76" spans="4:27" ht="20.100000000000001" customHeight="1" thickBot="1" x14ac:dyDescent="0.25">
      <c r="D76" s="235" t="s">
        <v>83</v>
      </c>
      <c r="E76" s="429" t="s">
        <v>100</v>
      </c>
      <c r="F76" s="430"/>
      <c r="G76" s="430"/>
      <c r="H76" s="430"/>
      <c r="I76" s="430"/>
      <c r="J76" s="430"/>
      <c r="K76" s="430"/>
      <c r="L76" s="430"/>
      <c r="M76" s="430"/>
      <c r="N76" s="430"/>
      <c r="O76" s="430"/>
      <c r="P76" s="430"/>
      <c r="Q76" s="430"/>
      <c r="R76" s="430"/>
      <c r="S76" s="430"/>
      <c r="T76" s="430"/>
      <c r="U76" s="430"/>
      <c r="V76" s="430"/>
      <c r="W76" s="430"/>
      <c r="X76" s="430"/>
      <c r="Y76" s="430"/>
      <c r="Z76" s="431"/>
      <c r="AA76" s="387" t="s">
        <v>7</v>
      </c>
    </row>
    <row r="77" spans="4:27" ht="39.75" customHeight="1" thickBot="1" x14ac:dyDescent="0.25">
      <c r="D77" s="359" t="s">
        <v>81</v>
      </c>
      <c r="E77" s="455" t="s">
        <v>69</v>
      </c>
      <c r="F77" s="399" t="s">
        <v>99</v>
      </c>
      <c r="G77" s="395" t="s">
        <v>70</v>
      </c>
      <c r="H77" s="456" t="s">
        <v>71</v>
      </c>
      <c r="I77" s="457" t="s">
        <v>72</v>
      </c>
      <c r="J77" s="458" t="s">
        <v>73</v>
      </c>
      <c r="K77" s="459" t="s">
        <v>74</v>
      </c>
      <c r="L77" s="398" t="s">
        <v>75</v>
      </c>
      <c r="M77" s="460" t="s">
        <v>76</v>
      </c>
      <c r="N77" s="461" t="s">
        <v>77</v>
      </c>
      <c r="O77" s="400" t="s">
        <v>105</v>
      </c>
      <c r="P77" s="462" t="s">
        <v>106</v>
      </c>
      <c r="Q77" s="396" t="s">
        <v>107</v>
      </c>
      <c r="R77" s="463" t="s">
        <v>108</v>
      </c>
      <c r="S77" s="464" t="s">
        <v>109</v>
      </c>
      <c r="T77" s="465" t="s">
        <v>110</v>
      </c>
      <c r="U77" s="466" t="s">
        <v>111</v>
      </c>
      <c r="V77" s="397" t="s">
        <v>112</v>
      </c>
      <c r="W77" s="467" t="s">
        <v>113</v>
      </c>
      <c r="X77" s="468" t="s">
        <v>114</v>
      </c>
      <c r="Y77" s="471" t="s">
        <v>3</v>
      </c>
      <c r="Z77" s="472" t="s">
        <v>4</v>
      </c>
      <c r="AA77" s="384" t="s">
        <v>103</v>
      </c>
    </row>
    <row r="78" spans="4:27" ht="20.100000000000001" customHeight="1" x14ac:dyDescent="0.2">
      <c r="D78" s="244" t="s">
        <v>80</v>
      </c>
      <c r="E78" s="237"/>
      <c r="F78" s="238"/>
      <c r="G78" s="238"/>
      <c r="H78" s="238"/>
      <c r="I78" s="238"/>
      <c r="J78" s="238"/>
      <c r="K78" s="238"/>
      <c r="L78" s="238"/>
      <c r="M78" s="238"/>
      <c r="N78" s="238"/>
      <c r="O78" s="238"/>
      <c r="P78" s="238"/>
      <c r="Q78" s="238"/>
      <c r="R78" s="238"/>
      <c r="S78" s="238"/>
      <c r="T78" s="238"/>
      <c r="U78" s="238"/>
      <c r="V78" s="238"/>
      <c r="W78" s="238"/>
      <c r="X78" s="239"/>
      <c r="Y78" s="240"/>
      <c r="Z78" s="239"/>
      <c r="AA78" s="385">
        <f t="shared" ref="AA78:AA80" si="8">SUM(E78:Z78)</f>
        <v>0</v>
      </c>
    </row>
    <row r="79" spans="4:27" ht="20.100000000000001" customHeight="1" x14ac:dyDescent="0.2">
      <c r="D79" s="242" t="s">
        <v>80</v>
      </c>
      <c r="E79" s="179"/>
      <c r="F79" s="180"/>
      <c r="G79" s="180"/>
      <c r="H79" s="180"/>
      <c r="I79" s="180"/>
      <c r="J79" s="180"/>
      <c r="K79" s="180"/>
      <c r="L79" s="180"/>
      <c r="M79" s="180"/>
      <c r="N79" s="180"/>
      <c r="O79" s="180"/>
      <c r="P79" s="180"/>
      <c r="Q79" s="180"/>
      <c r="R79" s="180"/>
      <c r="S79" s="180"/>
      <c r="T79" s="180"/>
      <c r="U79" s="180"/>
      <c r="V79" s="180"/>
      <c r="W79" s="180"/>
      <c r="X79" s="181"/>
      <c r="Y79" s="182"/>
      <c r="Z79" s="181"/>
      <c r="AA79" s="311">
        <f t="shared" si="8"/>
        <v>0</v>
      </c>
    </row>
    <row r="80" spans="4:27" ht="20.100000000000001" customHeight="1" thickBot="1" x14ac:dyDescent="0.25">
      <c r="D80" s="243" t="s">
        <v>80</v>
      </c>
      <c r="E80" s="183"/>
      <c r="F80" s="184"/>
      <c r="G80" s="184"/>
      <c r="H80" s="184"/>
      <c r="I80" s="184"/>
      <c r="J80" s="184"/>
      <c r="K80" s="184"/>
      <c r="L80" s="184"/>
      <c r="M80" s="184"/>
      <c r="N80" s="184"/>
      <c r="O80" s="184"/>
      <c r="P80" s="184"/>
      <c r="Q80" s="184"/>
      <c r="R80" s="184"/>
      <c r="S80" s="184"/>
      <c r="T80" s="184"/>
      <c r="U80" s="184"/>
      <c r="V80" s="184"/>
      <c r="W80" s="184"/>
      <c r="X80" s="185"/>
      <c r="Y80" s="186"/>
      <c r="Z80" s="185"/>
      <c r="AA80" s="386">
        <f t="shared" si="8"/>
        <v>0</v>
      </c>
    </row>
    <row r="81" spans="4:27" ht="20.100000000000001" customHeight="1" x14ac:dyDescent="0.2">
      <c r="D81" s="236"/>
      <c r="E81" s="234"/>
      <c r="F81" s="234"/>
      <c r="G81" s="234"/>
      <c r="H81" s="234"/>
      <c r="I81" s="234"/>
      <c r="J81" s="234"/>
      <c r="K81" s="234"/>
      <c r="L81" s="234"/>
      <c r="M81" s="234"/>
      <c r="N81" s="234"/>
      <c r="O81" s="234"/>
      <c r="P81" s="234"/>
      <c r="Q81" s="234"/>
      <c r="R81" s="234"/>
      <c r="S81" s="234"/>
      <c r="T81" s="234"/>
      <c r="U81" s="234"/>
      <c r="V81" s="234"/>
      <c r="W81" s="234"/>
      <c r="X81" s="234"/>
      <c r="Y81" s="234"/>
      <c r="Z81" s="234"/>
      <c r="AA81" s="241"/>
    </row>
    <row r="82" spans="4:27" ht="20.100000000000001" customHeight="1" x14ac:dyDescent="0.2">
      <c r="D82" s="236"/>
      <c r="E82" s="234"/>
      <c r="F82" s="234"/>
      <c r="G82" s="234"/>
      <c r="H82" s="234"/>
      <c r="I82" s="234"/>
      <c r="J82" s="234"/>
      <c r="K82" s="234"/>
      <c r="L82" s="234"/>
      <c r="M82" s="234"/>
      <c r="N82" s="234"/>
      <c r="O82" s="234"/>
      <c r="P82" s="234"/>
      <c r="Q82" s="234"/>
      <c r="R82" s="234"/>
      <c r="S82" s="234"/>
      <c r="T82" s="234"/>
      <c r="U82" s="234"/>
      <c r="V82" s="234"/>
      <c r="W82" s="234"/>
      <c r="X82" s="234"/>
      <c r="Y82" s="234"/>
      <c r="Z82" s="234"/>
      <c r="AA82" s="241"/>
    </row>
  </sheetData>
  <sheetProtection algorithmName="SHA-512" hashValue="ioBwj9cE3bVqjWtYl3099GBEJrG/Yp6Zqk9ZERXcPtOcorPsrAUIdR8shswOu4Xl1XCjlKFyO0GoxDdwYNzl9A==" saltValue="sAjGiDp0ONWx6c+PqcRJkg==" spinCount="100000" sheet="1" objects="1" scenarios="1"/>
  <mergeCells count="7">
    <mergeCell ref="E76:Z76"/>
    <mergeCell ref="E1:Z1"/>
    <mergeCell ref="A10:B11"/>
    <mergeCell ref="A12:B14"/>
    <mergeCell ref="A15:B18"/>
    <mergeCell ref="E48:Z48"/>
    <mergeCell ref="E66:Z66"/>
  </mergeCells>
  <conditionalFormatting sqref="B8">
    <cfRule type="cellIs" dxfId="61" priority="5" operator="notEqual">
      <formula>$B$7</formula>
    </cfRule>
  </conditionalFormatting>
  <conditionalFormatting sqref="E3:AA12">
    <cfRule type="cellIs" dxfId="60" priority="4" operator="notBetween">
      <formula>0</formula>
      <formula>100</formula>
    </cfRule>
  </conditionalFormatting>
  <conditionalFormatting sqref="E3:AA14">
    <cfRule type="cellIs" dxfId="59" priority="7" operator="lessThan">
      <formula>0</formula>
    </cfRule>
  </conditionalFormatting>
  <conditionalFormatting sqref="E14:AA14">
    <cfRule type="cellIs" dxfId="58" priority="10" operator="greaterThan">
      <formula>1</formula>
    </cfRule>
  </conditionalFormatting>
  <conditionalFormatting sqref="AA3:AA13">
    <cfRule type="cellIs" dxfId="57" priority="8" operator="equal">
      <formula>0</formula>
    </cfRule>
  </conditionalFormatting>
  <conditionalFormatting sqref="AA13">
    <cfRule type="cellIs" dxfId="56" priority="12" operator="equal">
      <formula>$B$7</formula>
    </cfRule>
  </conditionalFormatting>
  <conditionalFormatting sqref="AA14">
    <cfRule type="cellIs" dxfId="55" priority="9" operator="equal">
      <formula>1</formula>
    </cfRule>
    <cfRule type="cellIs" dxfId="54" priority="11" operator="lessThan">
      <formula>1</formula>
    </cfRule>
  </conditionalFormatting>
  <conditionalFormatting sqref="AG4:AG15">
    <cfRule type="expression" dxfId="53" priority="13">
      <formula>AND($AG4&lt;$AG3, NOT(ISBLANK($AG4)))</formula>
    </cfRule>
    <cfRule type="cellIs" dxfId="52" priority="14" operator="greaterThan">
      <formula>$B$6</formula>
    </cfRule>
  </conditionalFormatting>
  <conditionalFormatting sqref="AH4:AH15">
    <cfRule type="cellIs" dxfId="51" priority="6" operator="greaterThan">
      <formula>1</formula>
    </cfRule>
  </conditionalFormatting>
  <conditionalFormatting sqref="D68:D72 D50:D59 D78:D80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3:Z12">
    <cfRule type="expression" dxfId="50" priority="15">
      <formula>($D3&lt;=$K$23)</formula>
    </cfRule>
  </conditionalFormatting>
  <conditionalFormatting sqref="AA3:AA12">
    <cfRule type="expression" dxfId="49" priority="16">
      <formula>AND($D3=$K$23, AA3=$J$24)</formula>
    </cfRule>
    <cfRule type="expression" dxfId="48" priority="17">
      <formula>AND($D3=$K$23, MOD(AA3,100)&gt;$J$24)</formula>
    </cfRule>
    <cfRule type="cellIs" dxfId="47" priority="18" operator="equal">
      <formula>100</formula>
    </cfRule>
  </conditionalFormatting>
  <conditionalFormatting sqref="D3:Z12">
    <cfRule type="expression" dxfId="46" priority="22">
      <formula>($D3&gt;$K$23)</formula>
    </cfRule>
  </conditionalFormatting>
  <conditionalFormatting sqref="AA50 AA68:AA72 AA78:AA80">
    <cfRule type="cellIs" dxfId="45" priority="23" operator="lessThan">
      <formula>0</formula>
    </cfRule>
    <cfRule type="cellIs" dxfId="44" priority="24" operator="equal">
      <formula>0</formula>
    </cfRule>
    <cfRule type="expression" dxfId="43" priority="25">
      <formula>OR(MOD($AA50,100)=0,AND($D50=$K$23,MOD($AA50,100)=$J$24))</formula>
    </cfRule>
  </conditionalFormatting>
  <conditionalFormatting sqref="E50:Z59">
    <cfRule type="expression" dxfId="42" priority="2">
      <formula>AND(E50&lt;MAX(E$50:E50), NOT(ISBLANK(E50)), NOT(E50=0))</formula>
    </cfRule>
  </conditionalFormatting>
  <conditionalFormatting sqref="AA52:AA59">
    <cfRule type="cellIs" dxfId="41" priority="27" operator="lessThan">
      <formula>0</formula>
    </cfRule>
    <cfRule type="cellIs" dxfId="40" priority="28" operator="equal">
      <formula>0</formula>
    </cfRule>
    <cfRule type="expression" dxfId="39" priority="29">
      <formula>OR(MOD($AA52,100)=0,AND($D52=$K$23,MOD($AA52,100)=$J$24))</formula>
    </cfRule>
  </conditionalFormatting>
  <conditionalFormatting sqref="AA51">
    <cfRule type="cellIs" dxfId="38" priority="30" operator="lessThan">
      <formula>0</formula>
    </cfRule>
    <cfRule type="cellIs" dxfId="37" priority="31" operator="equal">
      <formula>0</formula>
    </cfRule>
    <cfRule type="expression" dxfId="36" priority="32">
      <formula>OR(MOD($AA51,100)=0,AND($D50=$K$23,MOD($AA51,100)=$J$24))</formula>
    </cfRule>
  </conditionalFormatting>
  <conditionalFormatting sqref="E50:Z59 E68:Z72 E78:Z80">
    <cfRule type="cellIs" dxfId="35" priority="19" operator="notBetween">
      <formula>0</formula>
      <formula>$B$7</formula>
    </cfRule>
    <cfRule type="expression" dxfId="34" priority="20">
      <formula>($D50&lt;=$K$23)</formula>
    </cfRule>
    <cfRule type="expression" dxfId="33" priority="21">
      <formula>($D50&gt;$K$23)</formula>
    </cfRule>
  </conditionalFormatting>
  <conditionalFormatting sqref="E68:Z72">
    <cfRule type="expression" dxfId="32" priority="1">
      <formula>AND(E68&lt;MAX(E$68:E68), NOT(ISBLANK(E68)), NOT(E68=0))</formula>
    </cfRule>
  </conditionalFormatting>
  <conditionalFormatting sqref="E78:Z80">
    <cfRule type="expression" dxfId="31" priority="26">
      <formula>AND(E78&lt;MAX(E$78:E78), NOT(ISBLANK(E78)), NOT(E78=0))</formula>
    </cfRule>
  </conditionalFormatting>
  <dataValidations count="2">
    <dataValidation type="list" allowBlank="1" showInputMessage="1" showErrorMessage="1" sqref="D68:D72 D78:D82 D50:D59" xr:uid="{B10A3902-1F4E-4AF6-B6CE-C97740260F0C}">
      <formula1>$D$3:$D$12</formula1>
    </dataValidation>
    <dataValidation type="list" allowBlank="1" showInputMessage="1" showErrorMessage="1" sqref="C50:C59" xr:uid="{3DDBB6D3-0F32-417C-8704-62AEDE7362AB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052E6-FAB5-4C53-AA6F-E92F5B051E63}">
  <sheetPr codeName="Feuil41">
    <tabColor rgb="FFB4A7D6"/>
  </sheetPr>
  <dimension ref="A1:AL82"/>
  <sheetViews>
    <sheetView tabSelected="1" zoomScale="80" zoomScaleNormal="80" workbookViewId="0">
      <pane xSplit="2" topLeftCell="C1" activePane="topRight" state="frozen"/>
      <selection pane="topRight" activeCell="B29" sqref="B29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24" width="15.7109375" customWidth="1"/>
    <col min="27" max="27" width="12.85546875" customWidth="1"/>
    <col min="28" max="28" width="11.42578125" customWidth="1"/>
    <col min="31" max="31" width="10.42578125" customWidth="1"/>
    <col min="32" max="32" width="15.42578125" customWidth="1"/>
    <col min="33" max="33" width="16.140625" customWidth="1"/>
    <col min="34" max="34" width="12" customWidth="1"/>
    <col min="36" max="36" width="13.28515625" customWidth="1"/>
    <col min="37" max="37" width="14.42578125" customWidth="1"/>
  </cols>
  <sheetData>
    <row r="1" spans="1:38" ht="16.5" customHeight="1" thickBot="1" x14ac:dyDescent="0.25">
      <c r="A1" s="308" t="s">
        <v>11</v>
      </c>
      <c r="B1" s="33">
        <f>Synthèse!B17</f>
        <v>46096</v>
      </c>
      <c r="D1" s="307"/>
      <c r="E1" s="432" t="s">
        <v>66</v>
      </c>
      <c r="F1" s="433"/>
      <c r="G1" s="433"/>
      <c r="H1" s="433"/>
      <c r="I1" s="433"/>
      <c r="J1" s="433"/>
      <c r="K1" s="433"/>
      <c r="L1" s="433"/>
      <c r="M1" s="433"/>
      <c r="N1" s="433"/>
      <c r="O1" s="433"/>
      <c r="P1" s="433"/>
      <c r="Q1" s="433"/>
      <c r="R1" s="433"/>
      <c r="S1" s="433"/>
      <c r="T1" s="433"/>
      <c r="U1" s="433"/>
      <c r="V1" s="433"/>
      <c r="W1" s="433"/>
      <c r="X1" s="433"/>
      <c r="Y1" s="433"/>
      <c r="Z1" s="434"/>
      <c r="AA1" s="392" t="s">
        <v>7</v>
      </c>
    </row>
    <row r="2" spans="1:38" ht="39.75" customHeight="1" thickBot="1" x14ac:dyDescent="0.25">
      <c r="A2" s="309" t="s">
        <v>12</v>
      </c>
      <c r="B2" s="34" t="str">
        <f>Synthèse!B18</f>
        <v>Municipales 1er tour</v>
      </c>
      <c r="D2" s="355" t="s">
        <v>82</v>
      </c>
      <c r="E2" s="455" t="str">
        <f>Synthèse!L2</f>
        <v>Candidat 1</v>
      </c>
      <c r="F2" s="399" t="str">
        <f>Synthèse!M2</f>
        <v>Candidat 2</v>
      </c>
      <c r="G2" s="395" t="str">
        <f>Synthèse!N2</f>
        <v>Candidat 3</v>
      </c>
      <c r="H2" s="456" t="str">
        <f>Synthèse!O2</f>
        <v>Candidat 4</v>
      </c>
      <c r="I2" s="457" t="str">
        <f>Synthèse!P2</f>
        <v>Candidat 5</v>
      </c>
      <c r="J2" s="458" t="str">
        <f>Synthèse!Q2</f>
        <v>Candidat 6</v>
      </c>
      <c r="K2" s="459" t="str">
        <f>Synthèse!R2</f>
        <v>Candidat 7</v>
      </c>
      <c r="L2" s="398" t="str">
        <f>Synthèse!S2</f>
        <v>Candidat 8</v>
      </c>
      <c r="M2" s="460" t="str">
        <f>Synthèse!T2</f>
        <v>Candidat 9</v>
      </c>
      <c r="N2" s="461" t="str">
        <f>Synthèse!U2</f>
        <v>Candidat 10</v>
      </c>
      <c r="O2" s="400" t="str">
        <f>Synthèse!V2</f>
        <v>Candidat 11</v>
      </c>
      <c r="P2" s="462" t="str">
        <f>Synthèse!W2</f>
        <v>Candidat 12</v>
      </c>
      <c r="Q2" s="396" t="str">
        <f>Synthèse!X2</f>
        <v>Candidat 13</v>
      </c>
      <c r="R2" s="463" t="str">
        <f>Synthèse!Y2</f>
        <v>Candidat 14</v>
      </c>
      <c r="S2" s="464" t="str">
        <f>Synthèse!Z2</f>
        <v>Candidat 15</v>
      </c>
      <c r="T2" s="465" t="str">
        <f>Synthèse!AA2</f>
        <v>Candidat 16</v>
      </c>
      <c r="U2" s="466" t="str">
        <f>Synthèse!AB2</f>
        <v>Candidat 17</v>
      </c>
      <c r="V2" s="397" t="str">
        <f>Synthèse!AC2</f>
        <v>Candidat 18</v>
      </c>
      <c r="W2" s="467" t="str">
        <f>Synthèse!AD2</f>
        <v>Candidat 19</v>
      </c>
      <c r="X2" s="468" t="str">
        <f>Synthèse!AE2</f>
        <v>Candidat 20</v>
      </c>
      <c r="Y2" s="469" t="s">
        <v>3</v>
      </c>
      <c r="Z2" s="470" t="s">
        <v>4</v>
      </c>
      <c r="AA2" s="393" t="s">
        <v>104</v>
      </c>
      <c r="AF2" s="367" t="s">
        <v>21</v>
      </c>
      <c r="AG2" s="368" t="s">
        <v>57</v>
      </c>
      <c r="AH2" s="369" t="s">
        <v>31</v>
      </c>
      <c r="AJ2" s="370" t="s">
        <v>59</v>
      </c>
      <c r="AK2" s="370" t="s">
        <v>58</v>
      </c>
    </row>
    <row r="3" spans="1:38" ht="20.100000000000001" customHeight="1" thickBot="1" x14ac:dyDescent="0.25">
      <c r="A3" s="310" t="s">
        <v>13</v>
      </c>
      <c r="B3" s="94" t="str">
        <f>Synthèse!B19</f>
        <v>Cogolin</v>
      </c>
      <c r="D3" s="352" t="str" cm="1">
        <f t="array" ref="D3">IF(ROW(1:1)&lt;=$K$23, (ROW(1:1)), "")</f>
        <v/>
      </c>
      <c r="E3" s="155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55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55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55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55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55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55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55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5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155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1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155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155" cm="1">
        <f t="array" ref="Q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R3" s="155" cm="1">
        <f t="array" ref="R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S3" s="155" cm="1">
        <f t="array" ref="S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T3" s="155" cm="1">
        <f t="array" ref="T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U3" s="155" cm="1">
        <f t="array" ref="U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V3" s="155" cm="1">
        <f t="array" ref="V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W3" s="155" cm="1">
        <f t="array" ref="W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X3" s="155" cm="1">
        <f t="array" ref="X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Y3" s="171" cm="1">
        <f t="array" ref="Y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Z3" s="172" cm="1">
        <f t="array" ref="Z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AA3" s="311">
        <f t="shared" ref="AA3:AA12" si="0">SUM(E3:Z3)</f>
        <v>0</v>
      </c>
      <c r="AF3" s="343" t="s">
        <v>32</v>
      </c>
      <c r="AG3" s="344">
        <v>0</v>
      </c>
      <c r="AH3" s="345">
        <f t="shared" ref="AH3" si="1">AG3/$B$6</f>
        <v>0</v>
      </c>
      <c r="AJ3" s="323"/>
      <c r="AK3" s="323"/>
    </row>
    <row r="4" spans="1:38" ht="20.100000000000001" customHeight="1" x14ac:dyDescent="0.2">
      <c r="A4" s="95" t="s">
        <v>23</v>
      </c>
      <c r="B4" s="168">
        <v>12</v>
      </c>
      <c r="D4" s="353" t="str" cm="1">
        <f t="array" ref="D4">IF(ROW(2:2)&lt;=$K$23, (ROW(2:2)), "")</f>
        <v/>
      </c>
      <c r="E4" s="156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56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56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56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56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56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56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56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5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156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156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156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156" cm="1">
        <f t="array" ref="Q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R4" s="156" cm="1">
        <f t="array" ref="R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S4" s="156" cm="1">
        <f t="array" ref="S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T4" s="156" cm="1">
        <f t="array" ref="T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U4" s="156" cm="1">
        <f t="array" ref="U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V4" s="156" cm="1">
        <f t="array" ref="V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W4" s="156" cm="1">
        <f t="array" ref="W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X4" s="156" cm="1">
        <f t="array" ref="X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Y4" s="157" cm="1">
        <f t="array" ref="Y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Z4" s="158" cm="1">
        <f t="array" ref="Z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AA4" s="311">
        <f t="shared" si="0"/>
        <v>0</v>
      </c>
      <c r="AF4" s="346" t="s">
        <v>33</v>
      </c>
      <c r="AG4" s="473"/>
      <c r="AH4" s="348" t="e">
        <f t="shared" ref="AH4:AH13" si="2">IF(OR(AG4=0, AG4=""), NA(), AG4/$B$6)</f>
        <v>#N/A</v>
      </c>
      <c r="AJ4" s="318" t="s">
        <v>45</v>
      </c>
      <c r="AK4" s="371" t="e">
        <f t="shared" ref="AK4:AK13" si="3">IF(AG4&lt;&gt;0,AG4-AG3,NA())</f>
        <v>#N/A</v>
      </c>
    </row>
    <row r="5" spans="1:38" ht="20.100000000000001" customHeight="1" x14ac:dyDescent="0.2">
      <c r="A5" s="96" t="s">
        <v>24</v>
      </c>
      <c r="B5" s="187" t="s">
        <v>30</v>
      </c>
      <c r="D5" s="353" t="str" cm="1">
        <f t="array" ref="D5">IF(ROW(3:3)&lt;=$K$23, (ROW(3:3)), "")</f>
        <v/>
      </c>
      <c r="E5" s="156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56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56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56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56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56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56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5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5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156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156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156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156" cm="1">
        <f t="array" ref="Q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R5" s="156" cm="1">
        <f t="array" ref="R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S5" s="156" cm="1">
        <f t="array" ref="S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T5" s="156" cm="1">
        <f t="array" ref="T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U5" s="156" cm="1">
        <f t="array" ref="U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V5" s="156" cm="1">
        <f t="array" ref="V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W5" s="156" cm="1">
        <f t="array" ref="W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X5" s="156" cm="1">
        <f t="array" ref="X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Y5" s="173" cm="1">
        <f t="array" ref="Y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Z5" s="174" cm="1">
        <f t="array" ref="Z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AA5" s="311">
        <f t="shared" si="0"/>
        <v>0</v>
      </c>
      <c r="AD5" s="231"/>
      <c r="AE5" s="232"/>
      <c r="AF5" s="346" t="s">
        <v>34</v>
      </c>
      <c r="AG5" s="473"/>
      <c r="AH5" s="348" t="e">
        <f t="shared" si="2"/>
        <v>#N/A</v>
      </c>
      <c r="AJ5" s="319" t="s">
        <v>46</v>
      </c>
      <c r="AK5" s="372" t="e">
        <f t="shared" si="3"/>
        <v>#N/A</v>
      </c>
    </row>
    <row r="6" spans="1:38" ht="20.100000000000001" customHeight="1" x14ac:dyDescent="0.2">
      <c r="A6" s="96" t="s">
        <v>0</v>
      </c>
      <c r="B6" s="188">
        <v>645</v>
      </c>
      <c r="D6" s="353" t="str" cm="1">
        <f t="array" ref="D6">IF(ROW(4:4)&lt;=$K$23, (ROW(4:4)), "")</f>
        <v/>
      </c>
      <c r="E6" s="156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56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56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56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56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56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56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5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5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156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156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156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156" cm="1">
        <f t="array" ref="Q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R6" s="156" cm="1">
        <f t="array" ref="R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S6" s="156" cm="1">
        <f t="array" ref="S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T6" s="156" cm="1">
        <f t="array" ref="T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U6" s="156" cm="1">
        <f t="array" ref="U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V6" s="156" cm="1">
        <f t="array" ref="V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W6" s="156" cm="1">
        <f t="array" ref="W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X6" s="156" cm="1">
        <f t="array" ref="X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Y6" s="173" cm="1">
        <f t="array" ref="Y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Z6" s="174" cm="1">
        <f t="array" ref="Z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AA6" s="311">
        <f t="shared" si="0"/>
        <v>0</v>
      </c>
      <c r="AD6" s="231"/>
      <c r="AE6" s="232"/>
      <c r="AF6" s="346" t="s">
        <v>35</v>
      </c>
      <c r="AG6" s="473"/>
      <c r="AH6" s="348" t="e">
        <f t="shared" si="2"/>
        <v>#N/A</v>
      </c>
      <c r="AJ6" s="319" t="s">
        <v>47</v>
      </c>
      <c r="AK6" s="372" t="e">
        <f t="shared" si="3"/>
        <v>#N/A</v>
      </c>
    </row>
    <row r="7" spans="1:38" ht="20.100000000000001" customHeight="1" x14ac:dyDescent="0.2">
      <c r="A7" s="96" t="s">
        <v>2</v>
      </c>
      <c r="B7" s="165">
        <f>MAX(AG4:AG15)</f>
        <v>0</v>
      </c>
      <c r="D7" s="353" t="str" cm="1">
        <f t="array" ref="D7">IF(ROW(5:5)&lt;=$K$23, (ROW(5:5)), "")</f>
        <v/>
      </c>
      <c r="E7" s="156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56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56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56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56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56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56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56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5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156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156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156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156" cm="1">
        <f t="array" ref="Q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R7" s="156" cm="1">
        <f t="array" ref="R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S7" s="156" cm="1">
        <f t="array" ref="S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T7" s="156" cm="1">
        <f t="array" ref="T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U7" s="156" cm="1">
        <f t="array" ref="U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V7" s="156" cm="1">
        <f t="array" ref="V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W7" s="156" cm="1">
        <f t="array" ref="W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X7" s="156" cm="1">
        <f t="array" ref="X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Y7" s="157" cm="1">
        <f t="array" ref="Y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Z7" s="158" cm="1">
        <f t="array" ref="Z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AA7" s="311">
        <f t="shared" si="0"/>
        <v>0</v>
      </c>
      <c r="AD7" s="231"/>
      <c r="AE7" s="232"/>
      <c r="AF7" s="346" t="s">
        <v>36</v>
      </c>
      <c r="AG7" s="473"/>
      <c r="AH7" s="348" t="e">
        <f t="shared" si="2"/>
        <v>#N/A</v>
      </c>
      <c r="AJ7" s="319" t="s">
        <v>54</v>
      </c>
      <c r="AK7" s="372" t="e">
        <f t="shared" si="3"/>
        <v>#N/A</v>
      </c>
    </row>
    <row r="8" spans="1:38" ht="20.100000000000001" customHeight="1" x14ac:dyDescent="0.2">
      <c r="A8" s="96" t="s">
        <v>1</v>
      </c>
      <c r="B8" s="166">
        <f>B7</f>
        <v>0</v>
      </c>
      <c r="D8" s="353" t="str" cm="1">
        <f t="array" ref="D8">IF(ROW(6:6)&lt;=$K$23, (ROW(6:6)), "")</f>
        <v/>
      </c>
      <c r="E8" s="156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56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56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56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56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56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56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56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5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156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156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156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156" cm="1">
        <f t="array" ref="Q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R8" s="156" cm="1">
        <f t="array" ref="R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S8" s="156" cm="1">
        <f t="array" ref="S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T8" s="156" cm="1">
        <f t="array" ref="T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U8" s="156" cm="1">
        <f t="array" ref="U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V8" s="156" cm="1">
        <f t="array" ref="V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W8" s="156" cm="1">
        <f t="array" ref="W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X8" s="156" cm="1">
        <f t="array" ref="X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Y8" s="157" cm="1">
        <f t="array" ref="Y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Z8" s="158" cm="1">
        <f t="array" ref="Z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AA8" s="311">
        <f t="shared" si="0"/>
        <v>0</v>
      </c>
      <c r="AD8" s="231"/>
      <c r="AE8" s="232"/>
      <c r="AF8" s="346" t="s">
        <v>37</v>
      </c>
      <c r="AG8" s="473"/>
      <c r="AH8" s="348" t="e">
        <f t="shared" si="2"/>
        <v>#N/A</v>
      </c>
      <c r="AJ8" s="319" t="s">
        <v>48</v>
      </c>
      <c r="AK8" s="372" t="e">
        <f t="shared" si="3"/>
        <v>#N/A</v>
      </c>
    </row>
    <row r="9" spans="1:38" ht="20.100000000000001" customHeight="1" thickBot="1" x14ac:dyDescent="0.25">
      <c r="A9" s="97" t="s">
        <v>17</v>
      </c>
      <c r="B9" s="167">
        <f>B6-B7</f>
        <v>645</v>
      </c>
      <c r="D9" s="353" t="str" cm="1">
        <f t="array" ref="D9">IF(ROW(7:7)&lt;=$K$23, (ROW(7:7)), "")</f>
        <v/>
      </c>
      <c r="E9" s="156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56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56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56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56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56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56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56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56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156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156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156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156" cm="1">
        <f t="array" ref="Q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R9" s="156" cm="1">
        <f t="array" ref="R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S9" s="156" cm="1">
        <f t="array" ref="S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T9" s="156" cm="1">
        <f t="array" ref="T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U9" s="156" cm="1">
        <f t="array" ref="U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V9" s="156" cm="1">
        <f t="array" ref="V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W9" s="156" cm="1">
        <f t="array" ref="W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X9" s="156" cm="1">
        <f t="array" ref="X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Y9" s="159" cm="1">
        <f t="array" ref="Y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Z9" s="160" cm="1">
        <f t="array" ref="Z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AA9" s="311">
        <f t="shared" si="0"/>
        <v>0</v>
      </c>
      <c r="AD9" s="231"/>
      <c r="AE9" s="232"/>
      <c r="AF9" s="346" t="s">
        <v>38</v>
      </c>
      <c r="AG9" s="473"/>
      <c r="AH9" s="348" t="e">
        <f t="shared" si="2"/>
        <v>#N/A</v>
      </c>
      <c r="AJ9" s="319" t="s">
        <v>49</v>
      </c>
      <c r="AK9" s="372" t="e">
        <f t="shared" si="3"/>
        <v>#N/A</v>
      </c>
    </row>
    <row r="10" spans="1:38" ht="20.100000000000001" customHeight="1" x14ac:dyDescent="0.2">
      <c r="A10" s="435" t="s">
        <v>60</v>
      </c>
      <c r="B10" s="435"/>
      <c r="D10" s="353" t="str" cm="1">
        <f t="array" ref="D10">IF(ROW(8:8)&lt;=$K$23, (ROW(8:8)), "")</f>
        <v/>
      </c>
      <c r="E10" s="156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56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56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56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56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56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56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56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56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156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156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156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156" cm="1">
        <f t="array" ref="Q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R10" s="156" cm="1">
        <f t="array" ref="R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S10" s="156" cm="1">
        <f t="array" ref="S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T10" s="156" cm="1">
        <f t="array" ref="T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U10" s="156" cm="1">
        <f t="array" ref="U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V10" s="156" cm="1">
        <f t="array" ref="V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W10" s="156" cm="1">
        <f t="array" ref="W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X10" s="156" cm="1">
        <f t="array" ref="X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Y10" s="159" cm="1">
        <f t="array" ref="Y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Z10" s="160" cm="1">
        <f t="array" ref="Z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AA10" s="311">
        <f t="shared" si="0"/>
        <v>0</v>
      </c>
      <c r="AD10" s="231"/>
      <c r="AE10" s="232"/>
      <c r="AF10" s="346" t="s">
        <v>39</v>
      </c>
      <c r="AG10" s="473"/>
      <c r="AH10" s="348" t="e">
        <f t="shared" si="2"/>
        <v>#N/A</v>
      </c>
      <c r="AJ10" s="319" t="s">
        <v>50</v>
      </c>
      <c r="AK10" s="372" t="e">
        <f t="shared" si="3"/>
        <v>#N/A</v>
      </c>
    </row>
    <row r="11" spans="1:38" ht="20.100000000000001" customHeight="1" x14ac:dyDescent="0.2">
      <c r="A11" s="436"/>
      <c r="B11" s="436"/>
      <c r="D11" s="353" t="str" cm="1">
        <f t="array" ref="D11">IF(ROW(9:9)&lt;=$K$23, (ROW(9:9)), "")</f>
        <v/>
      </c>
      <c r="E11" s="156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56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56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56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56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56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56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56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56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156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156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156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156" cm="1">
        <f t="array" ref="Q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R11" s="156" cm="1">
        <f t="array" ref="R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S11" s="156" cm="1">
        <f t="array" ref="S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T11" s="156" cm="1">
        <f t="array" ref="T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U11" s="156" cm="1">
        <f t="array" ref="U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V11" s="156" cm="1">
        <f t="array" ref="V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W11" s="156" cm="1">
        <f t="array" ref="W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X11" s="156">
        <v>0</v>
      </c>
      <c r="Y11" s="159" cm="1">
        <f t="array" ref="Y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Z11" s="160" cm="1">
        <f t="array" ref="Z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AA11" s="311">
        <f t="shared" si="0"/>
        <v>0</v>
      </c>
      <c r="AD11" s="231"/>
      <c r="AE11" s="232"/>
      <c r="AF11" s="346" t="s">
        <v>40</v>
      </c>
      <c r="AG11" s="473"/>
      <c r="AH11" s="348" t="e">
        <f t="shared" si="2"/>
        <v>#N/A</v>
      </c>
      <c r="AJ11" s="319" t="s">
        <v>51</v>
      </c>
      <c r="AK11" s="372" t="e">
        <f t="shared" si="3"/>
        <v>#N/A</v>
      </c>
    </row>
    <row r="12" spans="1:38" ht="20.100000000000001" customHeight="1" thickBot="1" x14ac:dyDescent="0.25">
      <c r="A12" s="437" t="s">
        <v>61</v>
      </c>
      <c r="B12" s="437"/>
      <c r="D12" s="354" t="str" cm="1">
        <f t="array" ref="D12">IF(ROW(10:10)&lt;=$K$23, (ROW(10:10)), "")</f>
        <v/>
      </c>
      <c r="E12" s="156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56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56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56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56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56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56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56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56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156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156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156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156" cm="1">
        <f t="array" ref="Q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R12" s="156" cm="1">
        <f t="array" ref="R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S12" s="156" cm="1">
        <f t="array" ref="S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T12" s="156" cm="1">
        <f t="array" ref="T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U12" s="156" cm="1">
        <f t="array" ref="U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V12" s="156" cm="1">
        <f t="array" ref="V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W12" s="156" cm="1">
        <f t="array" ref="W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X12" s="156" cm="1">
        <f t="array" ref="X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Y12" s="175" cm="1">
        <f t="array" ref="Y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Z12" s="176" cm="1">
        <f t="array" ref="Z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AA12" s="311">
        <f t="shared" si="0"/>
        <v>0</v>
      </c>
      <c r="AD12" s="231"/>
      <c r="AE12" s="232"/>
      <c r="AF12" s="346" t="s">
        <v>41</v>
      </c>
      <c r="AG12" s="473"/>
      <c r="AH12" s="348" t="e">
        <f t="shared" si="2"/>
        <v>#N/A</v>
      </c>
      <c r="AJ12" s="319" t="s">
        <v>52</v>
      </c>
      <c r="AK12" s="372" t="e">
        <f t="shared" si="3"/>
        <v>#N/A</v>
      </c>
    </row>
    <row r="13" spans="1:38" ht="20.100000000000001" customHeight="1" thickBot="1" x14ac:dyDescent="0.3">
      <c r="A13" s="437"/>
      <c r="B13" s="437"/>
      <c r="D13" s="50" t="s">
        <v>9</v>
      </c>
      <c r="E13" s="161">
        <f t="shared" ref="E13:AA13" si="4">SUM(E3:E12)</f>
        <v>0</v>
      </c>
      <c r="F13" s="162">
        <f t="shared" si="4"/>
        <v>0</v>
      </c>
      <c r="G13" s="162">
        <f t="shared" si="4"/>
        <v>0</v>
      </c>
      <c r="H13" s="162">
        <f t="shared" si="4"/>
        <v>0</v>
      </c>
      <c r="I13" s="162">
        <f t="shared" si="4"/>
        <v>0</v>
      </c>
      <c r="J13" s="162">
        <f t="shared" si="4"/>
        <v>0</v>
      </c>
      <c r="K13" s="162">
        <f t="shared" si="4"/>
        <v>0</v>
      </c>
      <c r="L13" s="162">
        <f t="shared" si="4"/>
        <v>0</v>
      </c>
      <c r="M13" s="162">
        <f t="shared" si="4"/>
        <v>0</v>
      </c>
      <c r="N13" s="162">
        <f t="shared" si="4"/>
        <v>0</v>
      </c>
      <c r="O13" s="162">
        <f t="shared" si="4"/>
        <v>0</v>
      </c>
      <c r="P13" s="162">
        <f t="shared" si="4"/>
        <v>0</v>
      </c>
      <c r="Q13" s="162">
        <f t="shared" si="4"/>
        <v>0</v>
      </c>
      <c r="R13" s="162">
        <f t="shared" si="4"/>
        <v>0</v>
      </c>
      <c r="S13" s="162">
        <f t="shared" si="4"/>
        <v>0</v>
      </c>
      <c r="T13" s="162">
        <f t="shared" si="4"/>
        <v>0</v>
      </c>
      <c r="U13" s="162">
        <f t="shared" si="4"/>
        <v>0</v>
      </c>
      <c r="V13" s="162">
        <f t="shared" si="4"/>
        <v>0</v>
      </c>
      <c r="W13" s="162">
        <f t="shared" si="4"/>
        <v>0</v>
      </c>
      <c r="X13" s="162">
        <f t="shared" si="4"/>
        <v>0</v>
      </c>
      <c r="Y13" s="163">
        <f t="shared" si="4"/>
        <v>0</v>
      </c>
      <c r="Z13" s="164">
        <f t="shared" si="4"/>
        <v>0</v>
      </c>
      <c r="AA13" s="312">
        <f t="shared" si="4"/>
        <v>0</v>
      </c>
      <c r="AD13" s="231"/>
      <c r="AE13" s="232"/>
      <c r="AF13" s="346" t="s">
        <v>42</v>
      </c>
      <c r="AG13" s="473"/>
      <c r="AH13" s="348" t="e">
        <f t="shared" si="2"/>
        <v>#N/A</v>
      </c>
      <c r="AJ13" s="320" t="s">
        <v>53</v>
      </c>
      <c r="AK13" s="373" t="e">
        <f t="shared" si="3"/>
        <v>#N/A</v>
      </c>
    </row>
    <row r="14" spans="1:38" ht="20.100000000000001" customHeight="1" thickBot="1" x14ac:dyDescent="0.3">
      <c r="A14" s="437"/>
      <c r="B14" s="437"/>
      <c r="D14" s="83" t="s">
        <v>10</v>
      </c>
      <c r="E14" s="45">
        <f t="shared" ref="E14:AA14" si="5">IFERROR(E13/$B$7,0)</f>
        <v>0</v>
      </c>
      <c r="F14" s="46">
        <f t="shared" si="5"/>
        <v>0</v>
      </c>
      <c r="G14" s="46">
        <f t="shared" si="5"/>
        <v>0</v>
      </c>
      <c r="H14" s="46">
        <f t="shared" si="5"/>
        <v>0</v>
      </c>
      <c r="I14" s="46">
        <f t="shared" si="5"/>
        <v>0</v>
      </c>
      <c r="J14" s="46">
        <f t="shared" si="5"/>
        <v>0</v>
      </c>
      <c r="K14" s="46">
        <f t="shared" si="5"/>
        <v>0</v>
      </c>
      <c r="L14" s="46">
        <f t="shared" si="5"/>
        <v>0</v>
      </c>
      <c r="M14" s="46">
        <f t="shared" si="5"/>
        <v>0</v>
      </c>
      <c r="N14" s="46">
        <f t="shared" si="5"/>
        <v>0</v>
      </c>
      <c r="O14" s="46">
        <f t="shared" si="5"/>
        <v>0</v>
      </c>
      <c r="P14" s="46">
        <f t="shared" si="5"/>
        <v>0</v>
      </c>
      <c r="Q14" s="46">
        <f t="shared" si="5"/>
        <v>0</v>
      </c>
      <c r="R14" s="46">
        <f t="shared" si="5"/>
        <v>0</v>
      </c>
      <c r="S14" s="46">
        <f t="shared" si="5"/>
        <v>0</v>
      </c>
      <c r="T14" s="46">
        <f t="shared" si="5"/>
        <v>0</v>
      </c>
      <c r="U14" s="46">
        <f t="shared" si="5"/>
        <v>0</v>
      </c>
      <c r="V14" s="46">
        <f t="shared" si="5"/>
        <v>0</v>
      </c>
      <c r="W14" s="46">
        <f t="shared" si="5"/>
        <v>0</v>
      </c>
      <c r="X14" s="46">
        <f t="shared" si="5"/>
        <v>0</v>
      </c>
      <c r="Y14" s="45">
        <f t="shared" si="5"/>
        <v>0</v>
      </c>
      <c r="Z14" s="47">
        <f t="shared" si="5"/>
        <v>0</v>
      </c>
      <c r="AA14" s="322">
        <f t="shared" si="5"/>
        <v>0</v>
      </c>
      <c r="AF14" s="377" t="s">
        <v>43</v>
      </c>
      <c r="AG14" s="474"/>
      <c r="AH14" s="350" t="e">
        <f>IF(OR(AG14=0, AG14=""), NA(), AG14/$B$6)</f>
        <v>#N/A</v>
      </c>
      <c r="AI14" s="375"/>
      <c r="AJ14" s="379" t="s">
        <v>55</v>
      </c>
      <c r="AK14" s="374" t="e">
        <f>IF(AG14&lt;&gt;0,AG14-AG13,NA())</f>
        <v>#N/A</v>
      </c>
      <c r="AL14" s="375"/>
    </row>
    <row r="15" spans="1:38" ht="18" customHeight="1" thickBot="1" x14ac:dyDescent="0.25">
      <c r="A15" s="438" t="s">
        <v>68</v>
      </c>
      <c r="B15" s="438"/>
      <c r="C15" s="1"/>
      <c r="D15" s="1"/>
      <c r="AA15" s="321"/>
      <c r="AF15" s="317" t="s">
        <v>44</v>
      </c>
      <c r="AG15" s="475"/>
      <c r="AH15" s="376" t="e">
        <f>IF(OR(AG15=0, AG15=""), NA(), AG15/$B$6)</f>
        <v>#N/A</v>
      </c>
      <c r="AJ15" s="380" t="s">
        <v>56</v>
      </c>
      <c r="AK15" s="378" t="e">
        <f>IF(AG15&lt;&gt;0,AG15-AG14,NA())</f>
        <v>#N/A</v>
      </c>
      <c r="AL15" s="375"/>
    </row>
    <row r="16" spans="1:38" ht="12.75" customHeight="1" x14ac:dyDescent="0.2">
      <c r="A16" s="438"/>
      <c r="B16" s="438"/>
      <c r="AF16" s="321"/>
      <c r="AG16" s="321"/>
      <c r="AH16" s="321"/>
      <c r="AK16" s="321"/>
    </row>
    <row r="17" spans="1:11" ht="18" customHeight="1" x14ac:dyDescent="0.25">
      <c r="A17" s="438"/>
      <c r="B17" s="438"/>
      <c r="E17" s="230"/>
    </row>
    <row r="18" spans="1:11" ht="26.25" customHeight="1" x14ac:dyDescent="0.2">
      <c r="A18" s="438"/>
      <c r="B18" s="438"/>
    </row>
    <row r="23" spans="1:11" x14ac:dyDescent="0.2">
      <c r="H23" s="177" t="s">
        <v>64</v>
      </c>
      <c r="J23" s="245">
        <f>CEILING($B$6, 100)/100</f>
        <v>7</v>
      </c>
      <c r="K23" s="245">
        <f>CEILING($B$7,100)/100</f>
        <v>0</v>
      </c>
    </row>
    <row r="24" spans="1:11" x14ac:dyDescent="0.2">
      <c r="H24" s="178">
        <f>IF((ROW()-23)&lt;=$K$24,(ROW()-23),"Choisir")</f>
        <v>1</v>
      </c>
      <c r="J24" s="245">
        <f>MOD($B$7,100)</f>
        <v>0</v>
      </c>
      <c r="K24" s="246">
        <f>CEILING($B$6/300,1)</f>
        <v>3</v>
      </c>
    </row>
    <row r="25" spans="1:11" x14ac:dyDescent="0.2">
      <c r="H25" s="178">
        <f>IF((ROW()-23)&lt;=$K$24,(ROW()-23),"Choisir")</f>
        <v>2</v>
      </c>
    </row>
    <row r="26" spans="1:11" x14ac:dyDescent="0.2">
      <c r="H26" s="178">
        <f>IF((ROW()-23)&lt;=$K$24,(ROW()-23),"Choisir")</f>
        <v>3</v>
      </c>
    </row>
    <row r="27" spans="1:11" x14ac:dyDescent="0.2">
      <c r="H27" s="178" t="str">
        <f>IF((ROW()-23)&lt;=$K$24,(ROW()-23),"Choisir")</f>
        <v>Choisir</v>
      </c>
    </row>
    <row r="46" spans="4:27" x14ac:dyDescent="0.2">
      <c r="E46" s="169"/>
    </row>
    <row r="47" spans="4:27" ht="13.5" thickBot="1" x14ac:dyDescent="0.25">
      <c r="E47" s="169"/>
    </row>
    <row r="48" spans="4:27" ht="20.100000000000001" customHeight="1" thickBot="1" x14ac:dyDescent="0.25">
      <c r="D48" s="235" t="s">
        <v>78</v>
      </c>
      <c r="E48" s="429" t="s">
        <v>102</v>
      </c>
      <c r="F48" s="430"/>
      <c r="G48" s="430"/>
      <c r="H48" s="430"/>
      <c r="I48" s="430"/>
      <c r="J48" s="430"/>
      <c r="K48" s="430"/>
      <c r="L48" s="430"/>
      <c r="M48" s="430"/>
      <c r="N48" s="430"/>
      <c r="O48" s="430"/>
      <c r="P48" s="430"/>
      <c r="Q48" s="430"/>
      <c r="R48" s="430"/>
      <c r="S48" s="430"/>
      <c r="T48" s="430"/>
      <c r="U48" s="430"/>
      <c r="V48" s="430"/>
      <c r="W48" s="430"/>
      <c r="X48" s="430"/>
      <c r="Y48" s="430"/>
      <c r="Z48" s="431"/>
      <c r="AA48" s="381" t="s">
        <v>7</v>
      </c>
    </row>
    <row r="49" spans="3:27" ht="47.25" customHeight="1" thickBot="1" x14ac:dyDescent="0.25">
      <c r="C49" s="233"/>
      <c r="D49" s="359" t="s">
        <v>81</v>
      </c>
      <c r="E49" s="455" t="s">
        <v>69</v>
      </c>
      <c r="F49" s="399" t="s">
        <v>99</v>
      </c>
      <c r="G49" s="395" t="s">
        <v>70</v>
      </c>
      <c r="H49" s="456" t="s">
        <v>71</v>
      </c>
      <c r="I49" s="457" t="s">
        <v>72</v>
      </c>
      <c r="J49" s="458" t="s">
        <v>73</v>
      </c>
      <c r="K49" s="459" t="s">
        <v>74</v>
      </c>
      <c r="L49" s="398" t="s">
        <v>75</v>
      </c>
      <c r="M49" s="460" t="s">
        <v>76</v>
      </c>
      <c r="N49" s="461" t="s">
        <v>77</v>
      </c>
      <c r="O49" s="400" t="s">
        <v>105</v>
      </c>
      <c r="P49" s="462" t="s">
        <v>106</v>
      </c>
      <c r="Q49" s="396" t="s">
        <v>107</v>
      </c>
      <c r="R49" s="463" t="s">
        <v>108</v>
      </c>
      <c r="S49" s="464" t="s">
        <v>109</v>
      </c>
      <c r="T49" s="465" t="s">
        <v>110</v>
      </c>
      <c r="U49" s="466" t="s">
        <v>111</v>
      </c>
      <c r="V49" s="397" t="s">
        <v>112</v>
      </c>
      <c r="W49" s="467" t="s">
        <v>113</v>
      </c>
      <c r="X49" s="468" t="s">
        <v>114</v>
      </c>
      <c r="Y49" s="471" t="s">
        <v>3</v>
      </c>
      <c r="Z49" s="472" t="s">
        <v>4</v>
      </c>
      <c r="AA49" s="383" t="s">
        <v>103</v>
      </c>
    </row>
    <row r="50" spans="3:27" ht="19.5" customHeight="1" x14ac:dyDescent="0.2">
      <c r="C50" s="234"/>
      <c r="D50" s="358" t="s">
        <v>80</v>
      </c>
      <c r="E50" s="313"/>
      <c r="F50" s="314"/>
      <c r="G50" s="314"/>
      <c r="H50" s="314"/>
      <c r="I50" s="314"/>
      <c r="J50" s="314"/>
      <c r="K50" s="314"/>
      <c r="L50" s="314"/>
      <c r="M50" s="314"/>
      <c r="N50" s="314"/>
      <c r="O50" s="314"/>
      <c r="P50" s="314"/>
      <c r="Q50" s="314"/>
      <c r="R50" s="314"/>
      <c r="S50" s="314"/>
      <c r="T50" s="314"/>
      <c r="U50" s="314"/>
      <c r="V50" s="314"/>
      <c r="W50" s="314"/>
      <c r="X50" s="315"/>
      <c r="Y50" s="316"/>
      <c r="Z50" s="315"/>
      <c r="AA50" s="382">
        <f t="shared" ref="AA50:AA59" si="6">SUM(E50:Z50)</f>
        <v>0</v>
      </c>
    </row>
    <row r="51" spans="3:27" ht="20.100000000000001" customHeight="1" x14ac:dyDescent="0.2">
      <c r="C51" s="234"/>
      <c r="D51" s="358" t="s">
        <v>80</v>
      </c>
      <c r="E51" s="313"/>
      <c r="F51" s="314"/>
      <c r="G51" s="314"/>
      <c r="H51" s="314"/>
      <c r="I51" s="314"/>
      <c r="J51" s="314"/>
      <c r="K51" s="314"/>
      <c r="L51" s="314"/>
      <c r="M51" s="314"/>
      <c r="N51" s="314"/>
      <c r="O51" s="314"/>
      <c r="P51" s="314"/>
      <c r="Q51" s="314"/>
      <c r="R51" s="314"/>
      <c r="S51" s="314"/>
      <c r="T51" s="314"/>
      <c r="U51" s="314"/>
      <c r="V51" s="314"/>
      <c r="W51" s="314"/>
      <c r="X51" s="315"/>
      <c r="Y51" s="316"/>
      <c r="Z51" s="315"/>
      <c r="AA51" s="382">
        <f t="shared" si="6"/>
        <v>0</v>
      </c>
    </row>
    <row r="52" spans="3:27" ht="20.100000000000001" customHeight="1" x14ac:dyDescent="0.2">
      <c r="C52" s="234"/>
      <c r="D52" s="358" t="s">
        <v>80</v>
      </c>
      <c r="E52" s="313"/>
      <c r="F52" s="314"/>
      <c r="G52" s="314"/>
      <c r="H52" s="314"/>
      <c r="I52" s="314"/>
      <c r="J52" s="314"/>
      <c r="K52" s="314"/>
      <c r="L52" s="314"/>
      <c r="M52" s="314"/>
      <c r="N52" s="314"/>
      <c r="O52" s="314"/>
      <c r="P52" s="314"/>
      <c r="Q52" s="314"/>
      <c r="R52" s="314"/>
      <c r="S52" s="314"/>
      <c r="T52" s="314"/>
      <c r="U52" s="314"/>
      <c r="V52" s="314"/>
      <c r="W52" s="314"/>
      <c r="X52" s="315"/>
      <c r="Y52" s="316"/>
      <c r="Z52" s="315"/>
      <c r="AA52" s="382">
        <f t="shared" si="6"/>
        <v>0</v>
      </c>
    </row>
    <row r="53" spans="3:27" ht="20.100000000000001" customHeight="1" x14ac:dyDescent="0.2">
      <c r="C53" s="234"/>
      <c r="D53" s="358" t="s">
        <v>80</v>
      </c>
      <c r="E53" s="313"/>
      <c r="F53" s="314"/>
      <c r="G53" s="314"/>
      <c r="H53" s="314"/>
      <c r="I53" s="314"/>
      <c r="J53" s="314"/>
      <c r="K53" s="314"/>
      <c r="L53" s="314"/>
      <c r="M53" s="314"/>
      <c r="N53" s="314"/>
      <c r="O53" s="314"/>
      <c r="P53" s="314"/>
      <c r="Q53" s="314"/>
      <c r="R53" s="314"/>
      <c r="S53" s="314"/>
      <c r="T53" s="314"/>
      <c r="U53" s="314"/>
      <c r="V53" s="314"/>
      <c r="W53" s="314"/>
      <c r="X53" s="315"/>
      <c r="Y53" s="316"/>
      <c r="Z53" s="315"/>
      <c r="AA53" s="382">
        <f t="shared" si="6"/>
        <v>0</v>
      </c>
    </row>
    <row r="54" spans="3:27" ht="20.100000000000001" customHeight="1" x14ac:dyDescent="0.2">
      <c r="C54" s="234"/>
      <c r="D54" s="358" t="s">
        <v>80</v>
      </c>
      <c r="E54" s="313"/>
      <c r="F54" s="314"/>
      <c r="G54" s="314"/>
      <c r="H54" s="314"/>
      <c r="I54" s="314"/>
      <c r="J54" s="314"/>
      <c r="K54" s="314"/>
      <c r="L54" s="314"/>
      <c r="M54" s="314"/>
      <c r="N54" s="314"/>
      <c r="O54" s="314"/>
      <c r="P54" s="314"/>
      <c r="Q54" s="314"/>
      <c r="R54" s="314"/>
      <c r="S54" s="314"/>
      <c r="T54" s="314"/>
      <c r="U54" s="314"/>
      <c r="V54" s="314"/>
      <c r="W54" s="314"/>
      <c r="X54" s="315"/>
      <c r="Y54" s="316"/>
      <c r="Z54" s="315"/>
      <c r="AA54" s="382">
        <f t="shared" si="6"/>
        <v>0</v>
      </c>
    </row>
    <row r="55" spans="3:27" ht="20.100000000000001" customHeight="1" x14ac:dyDescent="0.2">
      <c r="C55" s="234"/>
      <c r="D55" s="358" t="s">
        <v>80</v>
      </c>
      <c r="E55" s="313"/>
      <c r="F55" s="314"/>
      <c r="G55" s="314"/>
      <c r="H55" s="314"/>
      <c r="I55" s="314"/>
      <c r="J55" s="314"/>
      <c r="K55" s="314"/>
      <c r="L55" s="314"/>
      <c r="M55" s="314"/>
      <c r="N55" s="314"/>
      <c r="O55" s="314"/>
      <c r="P55" s="314"/>
      <c r="Q55" s="314"/>
      <c r="R55" s="314"/>
      <c r="S55" s="314"/>
      <c r="T55" s="314"/>
      <c r="U55" s="314"/>
      <c r="V55" s="314"/>
      <c r="W55" s="314"/>
      <c r="X55" s="315"/>
      <c r="Y55" s="316"/>
      <c r="Z55" s="315"/>
      <c r="AA55" s="382">
        <f t="shared" si="6"/>
        <v>0</v>
      </c>
    </row>
    <row r="56" spans="3:27" ht="20.100000000000001" customHeight="1" x14ac:dyDescent="0.2">
      <c r="C56" s="234"/>
      <c r="D56" s="358" t="s">
        <v>80</v>
      </c>
      <c r="E56" s="313"/>
      <c r="F56" s="314"/>
      <c r="G56" s="314"/>
      <c r="H56" s="314"/>
      <c r="I56" s="314"/>
      <c r="J56" s="314"/>
      <c r="K56" s="314"/>
      <c r="L56" s="314"/>
      <c r="M56" s="314"/>
      <c r="N56" s="314"/>
      <c r="O56" s="314"/>
      <c r="P56" s="314"/>
      <c r="Q56" s="314"/>
      <c r="R56" s="314"/>
      <c r="S56" s="314"/>
      <c r="T56" s="314"/>
      <c r="U56" s="314"/>
      <c r="V56" s="314"/>
      <c r="W56" s="314"/>
      <c r="X56" s="315"/>
      <c r="Y56" s="316"/>
      <c r="Z56" s="315"/>
      <c r="AA56" s="382">
        <f t="shared" si="6"/>
        <v>0</v>
      </c>
    </row>
    <row r="57" spans="3:27" ht="20.100000000000001" customHeight="1" x14ac:dyDescent="0.2">
      <c r="C57" s="234"/>
      <c r="D57" s="358" t="s">
        <v>80</v>
      </c>
      <c r="E57" s="313"/>
      <c r="F57" s="314"/>
      <c r="G57" s="314"/>
      <c r="H57" s="314"/>
      <c r="I57" s="314"/>
      <c r="J57" s="314"/>
      <c r="K57" s="314"/>
      <c r="L57" s="314"/>
      <c r="M57" s="314"/>
      <c r="N57" s="314"/>
      <c r="O57" s="314"/>
      <c r="P57" s="314"/>
      <c r="Q57" s="314"/>
      <c r="R57" s="314"/>
      <c r="S57" s="314"/>
      <c r="T57" s="314"/>
      <c r="U57" s="314"/>
      <c r="V57" s="314"/>
      <c r="W57" s="314"/>
      <c r="X57" s="315"/>
      <c r="Y57" s="316"/>
      <c r="Z57" s="315"/>
      <c r="AA57" s="382">
        <f t="shared" si="6"/>
        <v>0</v>
      </c>
    </row>
    <row r="58" spans="3:27" ht="20.100000000000001" customHeight="1" x14ac:dyDescent="0.2">
      <c r="C58" s="234"/>
      <c r="D58" s="358" t="s">
        <v>80</v>
      </c>
      <c r="E58" s="313"/>
      <c r="F58" s="314"/>
      <c r="G58" s="314"/>
      <c r="H58" s="314"/>
      <c r="I58" s="314"/>
      <c r="J58" s="314"/>
      <c r="K58" s="314"/>
      <c r="L58" s="314"/>
      <c r="M58" s="314"/>
      <c r="N58" s="314"/>
      <c r="O58" s="314"/>
      <c r="P58" s="314"/>
      <c r="Q58" s="314"/>
      <c r="R58" s="314"/>
      <c r="S58" s="314"/>
      <c r="T58" s="314"/>
      <c r="U58" s="314"/>
      <c r="V58" s="314"/>
      <c r="W58" s="314"/>
      <c r="X58" s="315"/>
      <c r="Y58" s="316"/>
      <c r="Z58" s="315"/>
      <c r="AA58" s="382">
        <f t="shared" si="6"/>
        <v>0</v>
      </c>
    </row>
    <row r="59" spans="3:27" ht="20.100000000000001" customHeight="1" thickBot="1" x14ac:dyDescent="0.25">
      <c r="C59" s="234"/>
      <c r="D59" s="362" t="s">
        <v>80</v>
      </c>
      <c r="E59" s="363"/>
      <c r="F59" s="364"/>
      <c r="G59" s="364"/>
      <c r="H59" s="364"/>
      <c r="I59" s="364"/>
      <c r="J59" s="364"/>
      <c r="K59" s="364"/>
      <c r="L59" s="364"/>
      <c r="M59" s="364"/>
      <c r="N59" s="364"/>
      <c r="O59" s="364"/>
      <c r="P59" s="364"/>
      <c r="Q59" s="364"/>
      <c r="R59" s="364"/>
      <c r="S59" s="364"/>
      <c r="T59" s="364"/>
      <c r="U59" s="364"/>
      <c r="V59" s="364"/>
      <c r="W59" s="364"/>
      <c r="X59" s="365"/>
      <c r="Y59" s="366"/>
      <c r="Z59" s="365"/>
      <c r="AA59" s="382">
        <f t="shared" si="6"/>
        <v>0</v>
      </c>
    </row>
    <row r="60" spans="3:27" x14ac:dyDescent="0.2">
      <c r="AA60" s="321"/>
    </row>
    <row r="63" spans="3:27" ht="18" x14ac:dyDescent="0.25">
      <c r="E63" s="230"/>
    </row>
    <row r="65" spans="4:27" ht="13.5" thickBot="1" x14ac:dyDescent="0.25"/>
    <row r="66" spans="4:27" ht="16.5" customHeight="1" thickBot="1" x14ac:dyDescent="0.25">
      <c r="D66" s="235" t="s">
        <v>79</v>
      </c>
      <c r="E66" s="429" t="s">
        <v>101</v>
      </c>
      <c r="F66" s="430"/>
      <c r="G66" s="430"/>
      <c r="H66" s="430"/>
      <c r="I66" s="430"/>
      <c r="J66" s="430"/>
      <c r="K66" s="430"/>
      <c r="L66" s="430"/>
      <c r="M66" s="430"/>
      <c r="N66" s="430"/>
      <c r="O66" s="430"/>
      <c r="P66" s="430"/>
      <c r="Q66" s="430"/>
      <c r="R66" s="430"/>
      <c r="S66" s="430"/>
      <c r="T66" s="430"/>
      <c r="U66" s="430"/>
      <c r="V66" s="430"/>
      <c r="W66" s="430"/>
      <c r="X66" s="430"/>
      <c r="Y66" s="430"/>
      <c r="Z66" s="431"/>
      <c r="AA66" s="381" t="s">
        <v>7</v>
      </c>
    </row>
    <row r="67" spans="4:27" ht="42" customHeight="1" thickBot="1" x14ac:dyDescent="0.25">
      <c r="D67" s="359" t="s">
        <v>81</v>
      </c>
      <c r="E67" s="455" t="s">
        <v>69</v>
      </c>
      <c r="F67" s="399" t="s">
        <v>99</v>
      </c>
      <c r="G67" s="395" t="s">
        <v>70</v>
      </c>
      <c r="H67" s="456" t="s">
        <v>71</v>
      </c>
      <c r="I67" s="457" t="s">
        <v>72</v>
      </c>
      <c r="J67" s="458" t="s">
        <v>73</v>
      </c>
      <c r="K67" s="459" t="s">
        <v>74</v>
      </c>
      <c r="L67" s="398" t="s">
        <v>75</v>
      </c>
      <c r="M67" s="460" t="s">
        <v>76</v>
      </c>
      <c r="N67" s="461" t="s">
        <v>77</v>
      </c>
      <c r="O67" s="400" t="s">
        <v>105</v>
      </c>
      <c r="P67" s="462" t="s">
        <v>106</v>
      </c>
      <c r="Q67" s="396" t="s">
        <v>107</v>
      </c>
      <c r="R67" s="463" t="s">
        <v>108</v>
      </c>
      <c r="S67" s="464" t="s">
        <v>109</v>
      </c>
      <c r="T67" s="465" t="s">
        <v>110</v>
      </c>
      <c r="U67" s="466" t="s">
        <v>111</v>
      </c>
      <c r="V67" s="397" t="s">
        <v>112</v>
      </c>
      <c r="W67" s="467" t="s">
        <v>113</v>
      </c>
      <c r="X67" s="468" t="s">
        <v>114</v>
      </c>
      <c r="Y67" s="471" t="s">
        <v>3</v>
      </c>
      <c r="Z67" s="472" t="s">
        <v>4</v>
      </c>
      <c r="AA67" s="388" t="s">
        <v>103</v>
      </c>
    </row>
    <row r="68" spans="4:27" ht="20.100000000000001" customHeight="1" x14ac:dyDescent="0.2">
      <c r="D68" s="244" t="s">
        <v>80</v>
      </c>
      <c r="E68" s="237"/>
      <c r="F68" s="238"/>
      <c r="G68" s="238"/>
      <c r="H68" s="238"/>
      <c r="I68" s="238"/>
      <c r="J68" s="238"/>
      <c r="K68" s="238"/>
      <c r="L68" s="238"/>
      <c r="M68" s="238"/>
      <c r="N68" s="238"/>
      <c r="O68" s="238"/>
      <c r="P68" s="238"/>
      <c r="Q68" s="238"/>
      <c r="R68" s="238"/>
      <c r="S68" s="238"/>
      <c r="T68" s="238"/>
      <c r="U68" s="238"/>
      <c r="V68" s="238"/>
      <c r="W68" s="238"/>
      <c r="X68" s="239"/>
      <c r="Y68" s="240"/>
      <c r="Z68" s="239"/>
      <c r="AA68" s="385">
        <f t="shared" ref="AA68:AA72" si="7">SUM(E68:Z68)</f>
        <v>0</v>
      </c>
    </row>
    <row r="69" spans="4:27" ht="20.100000000000001" customHeight="1" x14ac:dyDescent="0.2">
      <c r="D69" s="242" t="s">
        <v>80</v>
      </c>
      <c r="E69" s="179"/>
      <c r="F69" s="180"/>
      <c r="G69" s="180"/>
      <c r="H69" s="180"/>
      <c r="I69" s="180"/>
      <c r="J69" s="180"/>
      <c r="K69" s="180"/>
      <c r="L69" s="180"/>
      <c r="M69" s="180"/>
      <c r="N69" s="180"/>
      <c r="O69" s="180"/>
      <c r="P69" s="180"/>
      <c r="Q69" s="180"/>
      <c r="R69" s="180"/>
      <c r="S69" s="180"/>
      <c r="T69" s="180"/>
      <c r="U69" s="180"/>
      <c r="V69" s="180"/>
      <c r="W69" s="180"/>
      <c r="X69" s="181"/>
      <c r="Y69" s="182"/>
      <c r="Z69" s="181"/>
      <c r="AA69" s="311">
        <f t="shared" si="7"/>
        <v>0</v>
      </c>
    </row>
    <row r="70" spans="4:27" ht="20.100000000000001" customHeight="1" x14ac:dyDescent="0.2">
      <c r="D70" s="242" t="s">
        <v>80</v>
      </c>
      <c r="E70" s="179"/>
      <c r="F70" s="180"/>
      <c r="G70" s="180"/>
      <c r="H70" s="180"/>
      <c r="I70" s="180"/>
      <c r="J70" s="180"/>
      <c r="K70" s="180"/>
      <c r="L70" s="180"/>
      <c r="M70" s="180"/>
      <c r="N70" s="180"/>
      <c r="O70" s="180"/>
      <c r="P70" s="180"/>
      <c r="Q70" s="180"/>
      <c r="R70" s="180"/>
      <c r="S70" s="180"/>
      <c r="T70" s="180"/>
      <c r="U70" s="180"/>
      <c r="V70" s="180"/>
      <c r="W70" s="180"/>
      <c r="X70" s="181"/>
      <c r="Y70" s="182"/>
      <c r="Z70" s="181"/>
      <c r="AA70" s="311">
        <f t="shared" si="7"/>
        <v>0</v>
      </c>
    </row>
    <row r="71" spans="4:27" ht="20.100000000000001" customHeight="1" x14ac:dyDescent="0.2">
      <c r="D71" s="242" t="s">
        <v>80</v>
      </c>
      <c r="E71" s="179"/>
      <c r="F71" s="180"/>
      <c r="G71" s="180"/>
      <c r="H71" s="180"/>
      <c r="I71" s="180"/>
      <c r="J71" s="180"/>
      <c r="K71" s="180"/>
      <c r="L71" s="180"/>
      <c r="M71" s="180"/>
      <c r="N71" s="180"/>
      <c r="O71" s="180"/>
      <c r="P71" s="180"/>
      <c r="Q71" s="180"/>
      <c r="R71" s="180"/>
      <c r="S71" s="180"/>
      <c r="T71" s="180"/>
      <c r="U71" s="180"/>
      <c r="V71" s="180"/>
      <c r="W71" s="180"/>
      <c r="X71" s="181"/>
      <c r="Y71" s="182"/>
      <c r="Z71" s="181"/>
      <c r="AA71" s="311">
        <f t="shared" si="7"/>
        <v>0</v>
      </c>
    </row>
    <row r="72" spans="4:27" ht="20.100000000000001" customHeight="1" thickBot="1" x14ac:dyDescent="0.25">
      <c r="D72" s="243" t="s">
        <v>80</v>
      </c>
      <c r="E72" s="183"/>
      <c r="F72" s="184"/>
      <c r="G72" s="184"/>
      <c r="H72" s="184"/>
      <c r="I72" s="184"/>
      <c r="J72" s="184"/>
      <c r="K72" s="184"/>
      <c r="L72" s="184"/>
      <c r="M72" s="184"/>
      <c r="N72" s="184"/>
      <c r="O72" s="184"/>
      <c r="P72" s="184"/>
      <c r="Q72" s="184"/>
      <c r="R72" s="184"/>
      <c r="S72" s="184"/>
      <c r="T72" s="184"/>
      <c r="U72" s="184"/>
      <c r="V72" s="184"/>
      <c r="W72" s="184"/>
      <c r="X72" s="185"/>
      <c r="Y72" s="186"/>
      <c r="Z72" s="185"/>
      <c r="AA72" s="386">
        <f t="shared" si="7"/>
        <v>0</v>
      </c>
    </row>
    <row r="73" spans="4:27" ht="20.100000000000001" customHeight="1" x14ac:dyDescent="0.2">
      <c r="D73" s="236"/>
      <c r="E73" s="234"/>
      <c r="F73" s="234"/>
      <c r="G73" s="234"/>
      <c r="H73" s="234"/>
      <c r="I73" s="234"/>
      <c r="J73" s="234"/>
      <c r="K73" s="234"/>
      <c r="L73" s="234"/>
      <c r="M73" s="234"/>
      <c r="N73" s="234"/>
      <c r="O73" s="234"/>
      <c r="P73" s="234"/>
      <c r="Q73" s="234"/>
      <c r="R73" s="234"/>
      <c r="S73" s="234"/>
      <c r="T73" s="234"/>
      <c r="U73" s="234"/>
      <c r="V73" s="234"/>
      <c r="W73" s="234"/>
      <c r="X73" s="234"/>
      <c r="Y73" s="234"/>
      <c r="Z73" s="234"/>
    </row>
    <row r="74" spans="4:27" ht="20.100000000000001" customHeight="1" x14ac:dyDescent="0.2">
      <c r="D74" s="236"/>
      <c r="E74" s="234"/>
      <c r="F74" s="234"/>
      <c r="G74" s="234"/>
      <c r="H74" s="234"/>
      <c r="I74" s="234"/>
      <c r="J74" s="234"/>
      <c r="K74" s="234"/>
      <c r="L74" s="234"/>
      <c r="M74" s="234"/>
      <c r="N74" s="234"/>
      <c r="O74" s="234"/>
      <c r="P74" s="234"/>
      <c r="Q74" s="234"/>
      <c r="R74" s="234"/>
      <c r="S74" s="234"/>
      <c r="T74" s="234"/>
      <c r="U74" s="234"/>
      <c r="V74" s="234"/>
      <c r="W74" s="234"/>
      <c r="X74" s="234"/>
      <c r="Y74" s="234"/>
      <c r="Z74" s="234"/>
    </row>
    <row r="75" spans="4:27" ht="20.100000000000001" customHeight="1" thickBot="1" x14ac:dyDescent="0.25">
      <c r="D75" s="236"/>
      <c r="E75" s="234"/>
      <c r="F75" s="234"/>
      <c r="G75" s="234"/>
      <c r="H75" s="234"/>
      <c r="I75" s="234"/>
      <c r="J75" s="234"/>
      <c r="K75" s="234"/>
      <c r="L75" s="234"/>
      <c r="M75" s="234"/>
      <c r="N75" s="234"/>
      <c r="O75" s="234"/>
      <c r="P75" s="234"/>
      <c r="Q75" s="234"/>
      <c r="R75" s="234"/>
      <c r="S75" s="234"/>
      <c r="T75" s="234"/>
      <c r="U75" s="234"/>
      <c r="V75" s="234"/>
      <c r="W75" s="234"/>
      <c r="X75" s="234"/>
      <c r="Y75" s="234"/>
      <c r="Z75" s="234"/>
    </row>
    <row r="76" spans="4:27" ht="20.100000000000001" customHeight="1" thickBot="1" x14ac:dyDescent="0.25">
      <c r="D76" s="235" t="s">
        <v>83</v>
      </c>
      <c r="E76" s="429" t="s">
        <v>100</v>
      </c>
      <c r="F76" s="430"/>
      <c r="G76" s="430"/>
      <c r="H76" s="430"/>
      <c r="I76" s="430"/>
      <c r="J76" s="430"/>
      <c r="K76" s="430"/>
      <c r="L76" s="430"/>
      <c r="M76" s="430"/>
      <c r="N76" s="430"/>
      <c r="O76" s="430"/>
      <c r="P76" s="430"/>
      <c r="Q76" s="430"/>
      <c r="R76" s="430"/>
      <c r="S76" s="430"/>
      <c r="T76" s="430"/>
      <c r="U76" s="430"/>
      <c r="V76" s="430"/>
      <c r="W76" s="430"/>
      <c r="X76" s="430"/>
      <c r="Y76" s="430"/>
      <c r="Z76" s="431"/>
      <c r="AA76" s="387" t="s">
        <v>7</v>
      </c>
    </row>
    <row r="77" spans="4:27" ht="39.75" customHeight="1" thickBot="1" x14ac:dyDescent="0.25">
      <c r="D77" s="359" t="s">
        <v>81</v>
      </c>
      <c r="E77" s="455" t="s">
        <v>69</v>
      </c>
      <c r="F77" s="399" t="s">
        <v>99</v>
      </c>
      <c r="G77" s="395" t="s">
        <v>70</v>
      </c>
      <c r="H77" s="456" t="s">
        <v>71</v>
      </c>
      <c r="I77" s="457" t="s">
        <v>72</v>
      </c>
      <c r="J77" s="458" t="s">
        <v>73</v>
      </c>
      <c r="K77" s="459" t="s">
        <v>74</v>
      </c>
      <c r="L77" s="398" t="s">
        <v>75</v>
      </c>
      <c r="M77" s="460" t="s">
        <v>76</v>
      </c>
      <c r="N77" s="461" t="s">
        <v>77</v>
      </c>
      <c r="O77" s="400" t="s">
        <v>105</v>
      </c>
      <c r="P77" s="462" t="s">
        <v>106</v>
      </c>
      <c r="Q77" s="396" t="s">
        <v>107</v>
      </c>
      <c r="R77" s="463" t="s">
        <v>108</v>
      </c>
      <c r="S77" s="464" t="s">
        <v>109</v>
      </c>
      <c r="T77" s="465" t="s">
        <v>110</v>
      </c>
      <c r="U77" s="466" t="s">
        <v>111</v>
      </c>
      <c r="V77" s="397" t="s">
        <v>112</v>
      </c>
      <c r="W77" s="467" t="s">
        <v>113</v>
      </c>
      <c r="X77" s="468" t="s">
        <v>114</v>
      </c>
      <c r="Y77" s="471" t="s">
        <v>3</v>
      </c>
      <c r="Z77" s="472" t="s">
        <v>4</v>
      </c>
      <c r="AA77" s="384" t="s">
        <v>103</v>
      </c>
    </row>
    <row r="78" spans="4:27" ht="20.100000000000001" customHeight="1" x14ac:dyDescent="0.2">
      <c r="D78" s="244" t="s">
        <v>80</v>
      </c>
      <c r="E78" s="237"/>
      <c r="F78" s="238"/>
      <c r="G78" s="238"/>
      <c r="H78" s="238"/>
      <c r="I78" s="238"/>
      <c r="J78" s="238"/>
      <c r="K78" s="238"/>
      <c r="L78" s="238"/>
      <c r="M78" s="238"/>
      <c r="N78" s="238"/>
      <c r="O78" s="238"/>
      <c r="P78" s="238"/>
      <c r="Q78" s="238"/>
      <c r="R78" s="238"/>
      <c r="S78" s="238"/>
      <c r="T78" s="238"/>
      <c r="U78" s="238"/>
      <c r="V78" s="238"/>
      <c r="W78" s="238"/>
      <c r="X78" s="239"/>
      <c r="Y78" s="240"/>
      <c r="Z78" s="239"/>
      <c r="AA78" s="385">
        <f t="shared" ref="AA78:AA80" si="8">SUM(E78:Z78)</f>
        <v>0</v>
      </c>
    </row>
    <row r="79" spans="4:27" ht="20.100000000000001" customHeight="1" x14ac:dyDescent="0.2">
      <c r="D79" s="242" t="s">
        <v>80</v>
      </c>
      <c r="E79" s="179"/>
      <c r="F79" s="180"/>
      <c r="G79" s="180"/>
      <c r="H79" s="180"/>
      <c r="I79" s="180"/>
      <c r="J79" s="180"/>
      <c r="K79" s="180"/>
      <c r="L79" s="180"/>
      <c r="M79" s="180"/>
      <c r="N79" s="180"/>
      <c r="O79" s="180"/>
      <c r="P79" s="180"/>
      <c r="Q79" s="180"/>
      <c r="R79" s="180"/>
      <c r="S79" s="180"/>
      <c r="T79" s="180"/>
      <c r="U79" s="180"/>
      <c r="V79" s="180"/>
      <c r="W79" s="180"/>
      <c r="X79" s="181"/>
      <c r="Y79" s="182"/>
      <c r="Z79" s="181"/>
      <c r="AA79" s="311">
        <f t="shared" si="8"/>
        <v>0</v>
      </c>
    </row>
    <row r="80" spans="4:27" ht="20.100000000000001" customHeight="1" thickBot="1" x14ac:dyDescent="0.25">
      <c r="D80" s="243" t="s">
        <v>80</v>
      </c>
      <c r="E80" s="183"/>
      <c r="F80" s="184"/>
      <c r="G80" s="184"/>
      <c r="H80" s="184"/>
      <c r="I80" s="184"/>
      <c r="J80" s="184"/>
      <c r="K80" s="184"/>
      <c r="L80" s="184"/>
      <c r="M80" s="184"/>
      <c r="N80" s="184"/>
      <c r="O80" s="184"/>
      <c r="P80" s="184"/>
      <c r="Q80" s="184"/>
      <c r="R80" s="184"/>
      <c r="S80" s="184"/>
      <c r="T80" s="184"/>
      <c r="U80" s="184"/>
      <c r="V80" s="184"/>
      <c r="W80" s="184"/>
      <c r="X80" s="185"/>
      <c r="Y80" s="186"/>
      <c r="Z80" s="185"/>
      <c r="AA80" s="386">
        <f t="shared" si="8"/>
        <v>0</v>
      </c>
    </row>
    <row r="81" spans="4:27" ht="20.100000000000001" customHeight="1" x14ac:dyDescent="0.2">
      <c r="D81" s="236"/>
      <c r="E81" s="234"/>
      <c r="F81" s="234"/>
      <c r="G81" s="234"/>
      <c r="H81" s="234"/>
      <c r="I81" s="234"/>
      <c r="J81" s="234"/>
      <c r="K81" s="234"/>
      <c r="L81" s="234"/>
      <c r="M81" s="234"/>
      <c r="N81" s="234"/>
      <c r="O81" s="234"/>
      <c r="P81" s="234"/>
      <c r="Q81" s="234"/>
      <c r="R81" s="234"/>
      <c r="S81" s="234"/>
      <c r="T81" s="234"/>
      <c r="U81" s="234"/>
      <c r="V81" s="234"/>
      <c r="W81" s="234"/>
      <c r="X81" s="234"/>
      <c r="Y81" s="234"/>
      <c r="Z81" s="234"/>
      <c r="AA81" s="241"/>
    </row>
    <row r="82" spans="4:27" ht="20.100000000000001" customHeight="1" x14ac:dyDescent="0.2">
      <c r="D82" s="236"/>
      <c r="E82" s="234"/>
      <c r="F82" s="234"/>
      <c r="G82" s="234"/>
      <c r="H82" s="234"/>
      <c r="I82" s="234"/>
      <c r="J82" s="234"/>
      <c r="K82" s="234"/>
      <c r="L82" s="234"/>
      <c r="M82" s="234"/>
      <c r="N82" s="234"/>
      <c r="O82" s="234"/>
      <c r="P82" s="234"/>
      <c r="Q82" s="234"/>
      <c r="R82" s="234"/>
      <c r="S82" s="234"/>
      <c r="T82" s="234"/>
      <c r="U82" s="234"/>
      <c r="V82" s="234"/>
      <c r="W82" s="234"/>
      <c r="X82" s="234"/>
      <c r="Y82" s="234"/>
      <c r="Z82" s="234"/>
      <c r="AA82" s="241"/>
    </row>
  </sheetData>
  <sheetProtection algorithmName="SHA-512" hashValue="VQANOsZ4HmBmkcNREMY6kW5QgCE5xHKIgNkvW96ybGbatbkmeGBTuc1R4cVieJ0q+q6M/1oVwpJLRQxqYGFG3A==" saltValue="zQRQS+BLQluW9H5puGeNLw==" spinCount="100000" sheet="1" objects="1" scenarios="1"/>
  <mergeCells count="7">
    <mergeCell ref="E76:Z76"/>
    <mergeCell ref="E1:Z1"/>
    <mergeCell ref="A10:B11"/>
    <mergeCell ref="A12:B14"/>
    <mergeCell ref="A15:B18"/>
    <mergeCell ref="E48:Z48"/>
    <mergeCell ref="E66:Z66"/>
  </mergeCells>
  <conditionalFormatting sqref="B8">
    <cfRule type="cellIs" dxfId="30" priority="5" operator="notEqual">
      <formula>$B$7</formula>
    </cfRule>
  </conditionalFormatting>
  <conditionalFormatting sqref="E3:AA12">
    <cfRule type="cellIs" dxfId="29" priority="4" operator="notBetween">
      <formula>0</formula>
      <formula>100</formula>
    </cfRule>
  </conditionalFormatting>
  <conditionalFormatting sqref="E3:AA14">
    <cfRule type="cellIs" dxfId="28" priority="7" operator="lessThan">
      <formula>0</formula>
    </cfRule>
  </conditionalFormatting>
  <conditionalFormatting sqref="E14:AA14">
    <cfRule type="cellIs" dxfId="27" priority="10" operator="greaterThan">
      <formula>1</formula>
    </cfRule>
  </conditionalFormatting>
  <conditionalFormatting sqref="AA3:AA13">
    <cfRule type="cellIs" dxfId="26" priority="8" operator="equal">
      <formula>0</formula>
    </cfRule>
  </conditionalFormatting>
  <conditionalFormatting sqref="AA13">
    <cfRule type="cellIs" dxfId="25" priority="12" operator="equal">
      <formula>$B$7</formula>
    </cfRule>
  </conditionalFormatting>
  <conditionalFormatting sqref="AA14">
    <cfRule type="cellIs" dxfId="24" priority="9" operator="equal">
      <formula>1</formula>
    </cfRule>
    <cfRule type="cellIs" dxfId="23" priority="11" operator="lessThan">
      <formula>1</formula>
    </cfRule>
  </conditionalFormatting>
  <conditionalFormatting sqref="AG4:AG15">
    <cfRule type="expression" dxfId="22" priority="13">
      <formula>AND($AG4&lt;$AG3, NOT(ISBLANK($AG4)))</formula>
    </cfRule>
    <cfRule type="cellIs" dxfId="21" priority="14" operator="greaterThan">
      <formula>$B$6</formula>
    </cfRule>
  </conditionalFormatting>
  <conditionalFormatting sqref="AH4:AH15">
    <cfRule type="cellIs" dxfId="20" priority="6" operator="greaterThan">
      <formula>1</formula>
    </cfRule>
  </conditionalFormatting>
  <conditionalFormatting sqref="D68:D72 D50:D59 D78:D80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3:Z12">
    <cfRule type="expression" dxfId="19" priority="15">
      <formula>($D3&lt;=$K$23)</formula>
    </cfRule>
  </conditionalFormatting>
  <conditionalFormatting sqref="AA3:AA12">
    <cfRule type="expression" dxfId="18" priority="16">
      <formula>AND($D3=$K$23, AA3=$J$24)</formula>
    </cfRule>
    <cfRule type="expression" dxfId="17" priority="17">
      <formula>AND($D3=$K$23, MOD(AA3,100)&gt;$J$24)</formula>
    </cfRule>
    <cfRule type="cellIs" dxfId="16" priority="18" operator="equal">
      <formula>100</formula>
    </cfRule>
  </conditionalFormatting>
  <conditionalFormatting sqref="D3:Z12">
    <cfRule type="expression" dxfId="15" priority="22">
      <formula>($D3&gt;$K$23)</formula>
    </cfRule>
  </conditionalFormatting>
  <conditionalFormatting sqref="AA50 AA68:AA72 AA78:AA80">
    <cfRule type="cellIs" dxfId="14" priority="23" operator="lessThan">
      <formula>0</formula>
    </cfRule>
    <cfRule type="cellIs" dxfId="13" priority="24" operator="equal">
      <formula>0</formula>
    </cfRule>
    <cfRule type="expression" dxfId="12" priority="25">
      <formula>OR(MOD($AA50,100)=0,AND($D50=$K$23,MOD($AA50,100)=$J$24))</formula>
    </cfRule>
  </conditionalFormatting>
  <conditionalFormatting sqref="E50:Z59">
    <cfRule type="expression" dxfId="11" priority="2">
      <formula>AND(E50&lt;MAX(E$50:E50), NOT(ISBLANK(E50)), NOT(E50=0))</formula>
    </cfRule>
  </conditionalFormatting>
  <conditionalFormatting sqref="AA52:AA59">
    <cfRule type="cellIs" dxfId="10" priority="27" operator="lessThan">
      <formula>0</formula>
    </cfRule>
    <cfRule type="cellIs" dxfId="9" priority="28" operator="equal">
      <formula>0</formula>
    </cfRule>
    <cfRule type="expression" dxfId="8" priority="29">
      <formula>OR(MOD($AA52,100)=0,AND($D52=$K$23,MOD($AA52,100)=$J$24))</formula>
    </cfRule>
  </conditionalFormatting>
  <conditionalFormatting sqref="AA51">
    <cfRule type="cellIs" dxfId="7" priority="30" operator="lessThan">
      <formula>0</formula>
    </cfRule>
    <cfRule type="cellIs" dxfId="6" priority="31" operator="equal">
      <formula>0</formula>
    </cfRule>
    <cfRule type="expression" dxfId="5" priority="32">
      <formula>OR(MOD($AA51,100)=0,AND($D50=$K$23,MOD($AA51,100)=$J$24))</formula>
    </cfRule>
  </conditionalFormatting>
  <conditionalFormatting sqref="E50:Z59 E68:Z72 E78:Z80">
    <cfRule type="cellIs" dxfId="4" priority="19" operator="notBetween">
      <formula>0</formula>
      <formula>$B$7</formula>
    </cfRule>
    <cfRule type="expression" dxfId="3" priority="20">
      <formula>($D50&lt;=$K$23)</formula>
    </cfRule>
    <cfRule type="expression" dxfId="2" priority="21">
      <formula>($D50&gt;$K$23)</formula>
    </cfRule>
  </conditionalFormatting>
  <conditionalFormatting sqref="E68:Z72">
    <cfRule type="expression" dxfId="1" priority="1">
      <formula>AND(E68&lt;MAX(E$68:E68), NOT(ISBLANK(E68)), NOT(E68=0))</formula>
    </cfRule>
  </conditionalFormatting>
  <conditionalFormatting sqref="E78:Z80">
    <cfRule type="expression" dxfId="0" priority="26">
      <formula>AND(E78&lt;MAX(E$78:E78), NOT(ISBLANK(E78)), NOT(E78=0))</formula>
    </cfRule>
  </conditionalFormatting>
  <dataValidations count="2">
    <dataValidation type="list" allowBlank="1" showInputMessage="1" showErrorMessage="1" sqref="D68:D72 D78:D82 D50:D59" xr:uid="{713712EC-F735-4A8F-A834-B8722B0C9118}">
      <formula1>$D$3:$D$12</formula1>
    </dataValidation>
    <dataValidation type="list" allowBlank="1" showInputMessage="1" showErrorMessage="1" sqref="C50:C59" xr:uid="{1AE5E662-C0C6-48FE-A2A1-B150B40947E8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706643-F7E9-4CF7-B131-5D2E84B119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16</vt:i4>
      </vt:variant>
      <vt:variant>
        <vt:lpstr>Plages nommées</vt:lpstr>
      </vt:variant>
      <vt:variant>
        <vt:i4>42</vt:i4>
      </vt:variant>
    </vt:vector>
  </HeadingPairs>
  <TitlesOfParts>
    <vt:vector size="58" baseType="lpstr">
      <vt:lpstr>Synthèse</vt:lpstr>
      <vt:lpstr>Participation horaire</vt:lpstr>
      <vt:lpstr>Exemple</vt:lpstr>
      <vt:lpstr>Bureau 0</vt:lpstr>
      <vt:lpstr>Bureau 1</vt:lpstr>
      <vt:lpstr>Bureau 2</vt:lpstr>
      <vt:lpstr>Bureau 3</vt:lpstr>
      <vt:lpstr>Bureau 4</vt:lpstr>
      <vt:lpstr>Bureau 5</vt:lpstr>
      <vt:lpstr>Bureau 6</vt:lpstr>
      <vt:lpstr>Bureau 7</vt:lpstr>
      <vt:lpstr>Bureau 8</vt:lpstr>
      <vt:lpstr>Bureau 9</vt:lpstr>
      <vt:lpstr>Bureau 10</vt:lpstr>
      <vt:lpstr>Bureau 11</vt:lpstr>
      <vt:lpstr>Bureau 12</vt:lpstr>
      <vt:lpstr>'Bureau 1'!Table1</vt:lpstr>
      <vt:lpstr>'Bureau 10'!Table1</vt:lpstr>
      <vt:lpstr>'Bureau 11'!Table1</vt:lpstr>
      <vt:lpstr>'Bureau 12'!Table1</vt:lpstr>
      <vt:lpstr>'Bureau 2'!Table1</vt:lpstr>
      <vt:lpstr>'Bureau 3'!Table1</vt:lpstr>
      <vt:lpstr>'Bureau 4'!Table1</vt:lpstr>
      <vt:lpstr>'Bureau 5'!Table1</vt:lpstr>
      <vt:lpstr>'Bureau 6'!Table1</vt:lpstr>
      <vt:lpstr>'Bureau 7'!Table1</vt:lpstr>
      <vt:lpstr>'Bureau 8'!Table1</vt:lpstr>
      <vt:lpstr>'Bureau 9'!Table1</vt:lpstr>
      <vt:lpstr>Exemple!Table1</vt:lpstr>
      <vt:lpstr>Table1</vt:lpstr>
      <vt:lpstr>'Bureau 1'!Table2</vt:lpstr>
      <vt:lpstr>'Bureau 10'!Table2</vt:lpstr>
      <vt:lpstr>'Bureau 11'!Table2</vt:lpstr>
      <vt:lpstr>'Bureau 12'!Table2</vt:lpstr>
      <vt:lpstr>'Bureau 2'!Table2</vt:lpstr>
      <vt:lpstr>'Bureau 3'!Table2</vt:lpstr>
      <vt:lpstr>'Bureau 4'!Table2</vt:lpstr>
      <vt:lpstr>'Bureau 5'!Table2</vt:lpstr>
      <vt:lpstr>'Bureau 6'!Table2</vt:lpstr>
      <vt:lpstr>'Bureau 7'!Table2</vt:lpstr>
      <vt:lpstr>'Bureau 8'!Table2</vt:lpstr>
      <vt:lpstr>'Bureau 9'!Table2</vt:lpstr>
      <vt:lpstr>Exemple!Table2</vt:lpstr>
      <vt:lpstr>Table2</vt:lpstr>
      <vt:lpstr>'Bureau 1'!Table3</vt:lpstr>
      <vt:lpstr>'Bureau 10'!Table3</vt:lpstr>
      <vt:lpstr>'Bureau 11'!Table3</vt:lpstr>
      <vt:lpstr>'Bureau 12'!Table3</vt:lpstr>
      <vt:lpstr>'Bureau 2'!Table3</vt:lpstr>
      <vt:lpstr>'Bureau 3'!Table3</vt:lpstr>
      <vt:lpstr>'Bureau 4'!Table3</vt:lpstr>
      <vt:lpstr>'Bureau 5'!Table3</vt:lpstr>
      <vt:lpstr>'Bureau 6'!Table3</vt:lpstr>
      <vt:lpstr>'Bureau 7'!Table3</vt:lpstr>
      <vt:lpstr>'Bureau 8'!Table3</vt:lpstr>
      <vt:lpstr>'Bureau 9'!Table3</vt:lpstr>
      <vt:lpstr>Exemple!Table3</vt:lpstr>
      <vt:lpstr>Table3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Remi Barbero</dc:creator>
  <cp:lastModifiedBy>Rémi Barbero</cp:lastModifiedBy>
  <cp:lastPrinted>2025-04-24T12:11:21Z</cp:lastPrinted>
  <dcterms:created xsi:type="dcterms:W3CDTF">2025-03-13T09:37:21Z</dcterms:created>
  <dcterms:modified xsi:type="dcterms:W3CDTF">2025-12-12T13:32:43Z</dcterms:modified>
</cp:coreProperties>
</file>