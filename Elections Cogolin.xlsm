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3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19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33696" documentId="8_{3D8CA70B-F25C-47DC-8201-55A6B902040C}" xr6:coauthVersionLast="47" xr6:coauthVersionMax="47" xr10:uidLastSave="{BA479EDA-EB2A-474D-BA68-70EA4DD8A4C2}"/>
  <bookViews>
    <workbookView xWindow="-120" yWindow="-120" windowWidth="30960" windowHeight="16800" tabRatio="885" xr2:uid="{28D96937-7F1A-4454-97EC-737EE8B96C21}"/>
  </bookViews>
  <sheets>
    <sheet name="Synthèse" sheetId="1" r:id="rId1"/>
    <sheet name="Participation horaire" sheetId="3" r:id="rId2"/>
    <sheet name="Sièges" sheetId="1182" r:id="rId3"/>
    <sheet name="Feuille décompte" sheetId="952" r:id="rId4"/>
    <sheet name="Projection" sheetId="757" r:id="rId5"/>
    <sheet name="Exemple" sheetId="578" r:id="rId6"/>
    <sheet name="Bureau 0" sheetId="207" r:id="rId7"/>
    <sheet name="Bureau 1" sheetId="1267" r:id="rId8"/>
    <sheet name="Bureau 2" sheetId="1268" r:id="rId9"/>
    <sheet name="Bureau 3" sheetId="1269" r:id="rId10"/>
    <sheet name="Bureau 4" sheetId="1270" r:id="rId11"/>
    <sheet name="Bureau 5" sheetId="1271" r:id="rId12"/>
    <sheet name="Bureau 6" sheetId="1272" r:id="rId13"/>
    <sheet name="Bureau 7" sheetId="1273" r:id="rId14"/>
    <sheet name="Bureau 8" sheetId="1274" r:id="rId15"/>
    <sheet name="Bureau 9" sheetId="1275" r:id="rId16"/>
    <sheet name="Bureau 10" sheetId="1276" r:id="rId17"/>
    <sheet name="Bureau 11" sheetId="1277" r:id="rId18"/>
    <sheet name="Bureau 12" sheetId="1278" r:id="rId19"/>
  </sheets>
  <functionGroups builtInGroupCount="19"/>
  <definedNames>
    <definedName name="_xleta.COUNT" hidden="1" xlm="1">#NAME?</definedName>
    <definedName name="_xleta.NA" hidden="1" xlm="1">#NAME?</definedName>
    <definedName name="_xleta.NOT" hidden="1" xlm="1">#NAME?</definedName>
    <definedName name="_xleta.ROW" hidden="1" xlm="1">#NAME?</definedName>
    <definedName name="_xleta.T" hidden="1" xlm="1">#NAME?</definedName>
    <definedName name="_xleta.TEXTJOIN" hidden="1" xlm="1">#NAME?</definedName>
    <definedName name="_xleta.TODAY" hidden="1" xlm="1">#NAME?</definedName>
    <definedName name="_xlpm.c" hidden="1" xlm="1">#NAME?</definedName>
    <definedName name="_xlpm.candidats" hidden="1" xlm="1">#NAME?</definedName>
    <definedName name="_xlpm.leaders" hidden="1" xlm="1">#NAME?</definedName>
    <definedName name="_xlpm.maxs" hidden="1" xlm="1">#NAME?</definedName>
    <definedName name="_xlpm.maxv" hidden="1" xlm="1">#NAME?</definedName>
    <definedName name="_xlpm.nb" hidden="1" xlm="1">#NAME?</definedName>
    <definedName name="_xlpm.p" hidden="1" xlm="1">#NAME?</definedName>
    <definedName name="_xlpm.pct" hidden="1" xlm="1">#NAME?</definedName>
    <definedName name="_xlpm.s" hidden="1" xlm="1">#NAME?</definedName>
    <definedName name="_xlpm.scores" hidden="1" xlm="1">#NAME?</definedName>
    <definedName name="_xlpm.total" hidden="1" xlm="1">#NAME?</definedName>
    <definedName name="_xlpm.v" hidden="1" xlm="1">#NAME?</definedName>
    <definedName name="_xlpm.voix" hidden="1" xlm="1">#NAME?</definedName>
    <definedName name="CalculSieges">Sièges!$E$1:$O$3</definedName>
    <definedName name="exTable3">#REF!</definedName>
    <definedName name="PfmCC">Sièges!$G$20</definedName>
    <definedName name="PfmCM">Sièges!$G$19</definedName>
    <definedName name="PmCC">Sièges!$F$20</definedName>
    <definedName name="PmCM">Sièges!$F$19</definedName>
    <definedName name="Table1" localSheetId="7">'Bureau 1'!$D$49:$H$59</definedName>
    <definedName name="Table1" localSheetId="16">'Bureau 10'!$D$49:$H$59</definedName>
    <definedName name="Table1" localSheetId="17">'Bureau 11'!$D$49:$H$59</definedName>
    <definedName name="Table1" localSheetId="18">'Bureau 12'!$D$49:$H$59</definedName>
    <definedName name="Table1" localSheetId="8">'Bureau 2'!$D$49:$H$59</definedName>
    <definedName name="Table1" localSheetId="9">'Bureau 3'!$D$49:$H$59</definedName>
    <definedName name="Table1" localSheetId="10">'Bureau 4'!$D$49:$H$59</definedName>
    <definedName name="Table1" localSheetId="11">'Bureau 5'!$D$49:$H$59</definedName>
    <definedName name="Table1" localSheetId="12">'Bureau 6'!$D$49:$H$59</definedName>
    <definedName name="Table1" localSheetId="13">'Bureau 7'!$D$49:$H$59</definedName>
    <definedName name="Table1" localSheetId="14">'Bureau 8'!$D$49:$H$59</definedName>
    <definedName name="Table1" localSheetId="15">'Bureau 9'!$D$49:$H$59</definedName>
    <definedName name="Table1" localSheetId="5">Exemple!$D$49:$P$59</definedName>
    <definedName name="Table1" localSheetId="3">'Feuille décompte'!$A$6:$E$15</definedName>
    <definedName name="Table1">'Bureau 0'!$D$49:$H$59</definedName>
    <definedName name="Table1bis">'Feuille décompte'!$A$24:$E$28</definedName>
    <definedName name="Table2" localSheetId="7">'Bureau 1'!$D$67:$H$72</definedName>
    <definedName name="Table2" localSheetId="16">'Bureau 10'!$D$67:$H$72</definedName>
    <definedName name="Table2" localSheetId="17">'Bureau 11'!$D$67:$H$72</definedName>
    <definedName name="Table2" localSheetId="18">'Bureau 12'!$D$67:$H$72</definedName>
    <definedName name="Table2" localSheetId="8">'Bureau 2'!$D$67:$H$72</definedName>
    <definedName name="Table2" localSheetId="9">'Bureau 3'!$D$67:$H$72</definedName>
    <definedName name="Table2" localSheetId="10">'Bureau 4'!$D$67:$H$72</definedName>
    <definedName name="Table2" localSheetId="11">'Bureau 5'!$D$67:$H$72</definedName>
    <definedName name="Table2" localSheetId="12">'Bureau 6'!$D$67:$H$72</definedName>
    <definedName name="Table2" localSheetId="13">'Bureau 7'!$D$67:$H$72</definedName>
    <definedName name="Table2" localSheetId="14">'Bureau 8'!$D$67:$H$72</definedName>
    <definedName name="Table2" localSheetId="15">'Bureau 9'!$D$67:$H$72</definedName>
    <definedName name="Table2" localSheetId="5">Exemple!$D$67:$P$72</definedName>
    <definedName name="Table2" localSheetId="3">'Feuille décompte'!#REF!</definedName>
    <definedName name="Table2">'Bureau 0'!$D$67:$H$72</definedName>
    <definedName name="Table3" localSheetId="7">'Bureau 1'!$D$78:$H$80</definedName>
    <definedName name="Table3" localSheetId="16">'Bureau 10'!$D$78:$H$80</definedName>
    <definedName name="Table3" localSheetId="17">'Bureau 11'!$D$78:$H$80</definedName>
    <definedName name="Table3" localSheetId="18">'Bureau 12'!$D$78:$H$80</definedName>
    <definedName name="Table3" localSheetId="8">'Bureau 2'!$D$78:$H$80</definedName>
    <definedName name="Table3" localSheetId="9">'Bureau 3'!$D$78:$H$80</definedName>
    <definedName name="Table3" localSheetId="10">'Bureau 4'!$D$78:$H$80</definedName>
    <definedName name="Table3" localSheetId="11">'Bureau 5'!$D$78:$H$80</definedName>
    <definedName name="Table3" localSheetId="12">'Bureau 6'!$D$78:$H$80</definedName>
    <definedName name="Table3" localSheetId="13">'Bureau 7'!$D$78:$H$80</definedName>
    <definedName name="Table3" localSheetId="14">'Bureau 8'!$D$78:$H$80</definedName>
    <definedName name="Table3" localSheetId="15">'Bureau 9'!$D$78:$H$80</definedName>
    <definedName name="Table3" localSheetId="5">Exemple!$D$78:$P$80</definedName>
    <definedName name="Table3" localSheetId="3">'Feuille décompte'!#REF!</definedName>
    <definedName name="Table3">'Bureau 0'!$D$78:$H$80</definedName>
    <definedName name="TableauAges">Sièges!$Y$3:$AD$38</definedName>
    <definedName name="TableDepouillement1">#REF!</definedName>
    <definedName name="TableDepouillement1bis">#REF!</definedName>
    <definedName name="VoixEligibles">Sièges!$F$14:$F$15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278" l="1"/>
  <c r="G13" i="1278"/>
  <c r="F13" i="1278"/>
  <c r="E13" i="1278"/>
  <c r="H13" i="1277"/>
  <c r="G13" i="1277"/>
  <c r="F13" i="1277"/>
  <c r="E13" i="1277"/>
  <c r="H13" i="1276"/>
  <c r="G13" i="1276"/>
  <c r="F13" i="1276"/>
  <c r="E13" i="1276"/>
  <c r="H13" i="1275"/>
  <c r="G13" i="1275"/>
  <c r="F13" i="1275"/>
  <c r="E13" i="1275"/>
  <c r="H13" i="1274"/>
  <c r="G13" i="1274"/>
  <c r="F13" i="1274"/>
  <c r="E13" i="1274"/>
  <c r="H13" i="1273"/>
  <c r="G13" i="1273"/>
  <c r="F13" i="1273"/>
  <c r="E13" i="1273"/>
  <c r="H13" i="1272"/>
  <c r="G13" i="1272"/>
  <c r="F13" i="1272"/>
  <c r="E13" i="1272"/>
  <c r="H13" i="1271"/>
  <c r="G13" i="1271"/>
  <c r="F13" i="1271"/>
  <c r="E13" i="1271"/>
  <c r="H13" i="1270"/>
  <c r="G13" i="1270"/>
  <c r="F13" i="1270"/>
  <c r="E13" i="1270"/>
  <c r="H13" i="1269"/>
  <c r="G13" i="1269"/>
  <c r="F13" i="1269"/>
  <c r="E13" i="1269"/>
  <c r="H13" i="1268"/>
  <c r="G13" i="1268"/>
  <c r="F13" i="1268"/>
  <c r="E13" i="1268"/>
  <c r="H13" i="1267"/>
  <c r="G13" i="1267"/>
  <c r="F13" i="1267"/>
  <c r="E13" i="1267"/>
  <c r="B7" i="1278"/>
  <c r="E25" i="1278" s="1"/>
  <c r="B6" i="1278"/>
  <c r="I80" i="1278"/>
  <c r="I79" i="1278"/>
  <c r="I78" i="1278"/>
  <c r="I72" i="1278"/>
  <c r="I71" i="1278"/>
  <c r="I70" i="1278"/>
  <c r="I69" i="1278"/>
  <c r="I68" i="1278"/>
  <c r="I59" i="1278"/>
  <c r="I58" i="1278"/>
  <c r="I57" i="1278"/>
  <c r="I56" i="1278"/>
  <c r="I55" i="1278"/>
  <c r="I54" i="1278"/>
  <c r="I53" i="1278"/>
  <c r="I52" i="1278"/>
  <c r="I51" i="1278"/>
  <c r="I50" i="1278"/>
  <c r="D24" i="1278"/>
  <c r="P15" i="1278"/>
  <c r="M15" i="1278"/>
  <c r="P14" i="1278"/>
  <c r="M14" i="1278"/>
  <c r="P13" i="1278"/>
  <c r="M13" i="1278"/>
  <c r="P12" i="1278"/>
  <c r="M12" i="1278"/>
  <c r="P11" i="1278"/>
  <c r="M11" i="1278"/>
  <c r="P10" i="1278"/>
  <c r="M10" i="1278"/>
  <c r="P9" i="1278"/>
  <c r="M9" i="1278"/>
  <c r="P8" i="1278"/>
  <c r="M8" i="1278"/>
  <c r="B8" i="1278"/>
  <c r="D25" i="1278" s="1"/>
  <c r="P7" i="1278"/>
  <c r="M7" i="1278"/>
  <c r="P6" i="1278"/>
  <c r="M6" i="1278"/>
  <c r="P5" i="1278"/>
  <c r="M5" i="1278"/>
  <c r="P4" i="1278"/>
  <c r="M4" i="1278"/>
  <c r="B4" i="1278"/>
  <c r="A4" i="1278"/>
  <c r="M3" i="1278"/>
  <c r="B3" i="1278"/>
  <c r="A3" i="1278"/>
  <c r="F2" i="1278"/>
  <c r="F67" i="1278" s="1"/>
  <c r="E2" i="1278"/>
  <c r="E67" i="1278" s="1"/>
  <c r="B2" i="1278"/>
  <c r="A2" i="1278"/>
  <c r="B1" i="1278"/>
  <c r="A1" i="1278"/>
  <c r="B7" i="1277"/>
  <c r="B6" i="1277"/>
  <c r="I80" i="1277"/>
  <c r="I79" i="1277"/>
  <c r="I78" i="1277"/>
  <c r="I72" i="1277"/>
  <c r="I71" i="1277"/>
  <c r="I70" i="1277"/>
  <c r="I69" i="1277"/>
  <c r="I68" i="1277"/>
  <c r="I59" i="1277"/>
  <c r="I58" i="1277"/>
  <c r="I57" i="1277"/>
  <c r="I56" i="1277"/>
  <c r="I55" i="1277"/>
  <c r="I54" i="1277"/>
  <c r="I53" i="1277"/>
  <c r="I52" i="1277"/>
  <c r="I51" i="1277"/>
  <c r="I50" i="1277"/>
  <c r="E25" i="1277"/>
  <c r="D22" i="1277" s="1"/>
  <c r="D24" i="1277"/>
  <c r="D21" i="1277"/>
  <c r="D20" i="1277"/>
  <c r="P15" i="1277"/>
  <c r="M15" i="1277"/>
  <c r="P14" i="1277"/>
  <c r="M14" i="1277"/>
  <c r="P13" i="1277"/>
  <c r="M13" i="1277"/>
  <c r="P12" i="1277"/>
  <c r="M12" i="1277"/>
  <c r="P11" i="1277"/>
  <c r="M11" i="1277"/>
  <c r="P10" i="1277"/>
  <c r="M10" i="1277"/>
  <c r="P9" i="1277"/>
  <c r="M9" i="1277"/>
  <c r="P8" i="1277"/>
  <c r="M8" i="1277"/>
  <c r="B8" i="1277"/>
  <c r="D25" i="1277" s="1"/>
  <c r="P7" i="1277"/>
  <c r="M7" i="1277"/>
  <c r="P6" i="1277"/>
  <c r="M6" i="1277"/>
  <c r="P5" i="1277"/>
  <c r="M5" i="1277"/>
  <c r="P4" i="1277"/>
  <c r="M4" i="1277"/>
  <c r="B4" i="1277"/>
  <c r="A4" i="1277"/>
  <c r="M3" i="1277"/>
  <c r="B3" i="1277"/>
  <c r="A3" i="1277"/>
  <c r="F2" i="1277"/>
  <c r="F67" i="1277" s="1"/>
  <c r="E2" i="1277"/>
  <c r="E67" i="1277" s="1"/>
  <c r="B2" i="1277"/>
  <c r="A2" i="1277"/>
  <c r="B1" i="1277"/>
  <c r="A1" i="1277"/>
  <c r="B7" i="1276"/>
  <c r="B6" i="1276"/>
  <c r="I80" i="1276"/>
  <c r="I79" i="1276"/>
  <c r="I78" i="1276"/>
  <c r="I72" i="1276"/>
  <c r="I71" i="1276"/>
  <c r="I70" i="1276"/>
  <c r="I69" i="1276"/>
  <c r="I68" i="1276"/>
  <c r="I59" i="1276"/>
  <c r="I58" i="1276"/>
  <c r="I57" i="1276"/>
  <c r="I56" i="1276"/>
  <c r="I55" i="1276"/>
  <c r="I54" i="1276"/>
  <c r="I53" i="1276"/>
  <c r="I52" i="1276"/>
  <c r="I51" i="1276"/>
  <c r="I50" i="1276"/>
  <c r="E25" i="1276"/>
  <c r="D22" i="1276" s="1"/>
  <c r="D24" i="1276"/>
  <c r="D21" i="1276"/>
  <c r="P15" i="1276"/>
  <c r="M15" i="1276"/>
  <c r="P14" i="1276"/>
  <c r="M14" i="1276"/>
  <c r="P13" i="1276"/>
  <c r="M13" i="1276"/>
  <c r="P12" i="1276"/>
  <c r="M12" i="1276"/>
  <c r="P11" i="1276"/>
  <c r="M11" i="1276"/>
  <c r="P10" i="1276"/>
  <c r="M10" i="1276"/>
  <c r="P9" i="1276"/>
  <c r="M9" i="1276"/>
  <c r="P8" i="1276"/>
  <c r="M8" i="1276"/>
  <c r="B8" i="1276"/>
  <c r="D25" i="1276" s="1"/>
  <c r="P7" i="1276"/>
  <c r="M7" i="1276"/>
  <c r="P6" i="1276"/>
  <c r="M6" i="1276"/>
  <c r="P5" i="1276"/>
  <c r="M5" i="1276"/>
  <c r="P4" i="1276"/>
  <c r="M4" i="1276"/>
  <c r="B4" i="1276"/>
  <c r="A4" i="1276"/>
  <c r="M3" i="1276"/>
  <c r="B3" i="1276"/>
  <c r="A3" i="1276"/>
  <c r="F2" i="1276"/>
  <c r="F67" i="1276" s="1"/>
  <c r="E2" i="1276"/>
  <c r="E67" i="1276" s="1"/>
  <c r="B2" i="1276"/>
  <c r="A2" i="1276"/>
  <c r="B1" i="1276"/>
  <c r="A1" i="1276"/>
  <c r="B7" i="1275"/>
  <c r="B6" i="1275"/>
  <c r="I80" i="1275"/>
  <c r="I79" i="1275"/>
  <c r="I78" i="1275"/>
  <c r="I72" i="1275"/>
  <c r="I71" i="1275"/>
  <c r="I70" i="1275"/>
  <c r="I69" i="1275"/>
  <c r="I68" i="1275"/>
  <c r="I59" i="1275"/>
  <c r="I58" i="1275"/>
  <c r="I57" i="1275"/>
  <c r="I56" i="1275"/>
  <c r="I55" i="1275"/>
  <c r="I54" i="1275"/>
  <c r="I53" i="1275"/>
  <c r="I52" i="1275"/>
  <c r="I51" i="1275"/>
  <c r="I50" i="1275"/>
  <c r="E25" i="1275"/>
  <c r="D22" i="1275" s="1"/>
  <c r="D24" i="1275"/>
  <c r="D20" i="1275"/>
  <c r="D19" i="1275"/>
  <c r="P15" i="1275"/>
  <c r="M15" i="1275"/>
  <c r="P14" i="1275"/>
  <c r="M14" i="1275"/>
  <c r="P13" i="1275"/>
  <c r="M13" i="1275"/>
  <c r="P12" i="1275"/>
  <c r="M12" i="1275"/>
  <c r="P11" i="1275"/>
  <c r="M11" i="1275"/>
  <c r="P10" i="1275"/>
  <c r="M10" i="1275"/>
  <c r="P9" i="1275"/>
  <c r="M9" i="1275"/>
  <c r="P8" i="1275"/>
  <c r="M8" i="1275"/>
  <c r="B8" i="1275"/>
  <c r="D25" i="1275" s="1"/>
  <c r="P7" i="1275"/>
  <c r="M7" i="1275"/>
  <c r="P6" i="1275"/>
  <c r="M6" i="1275"/>
  <c r="P5" i="1275"/>
  <c r="M5" i="1275"/>
  <c r="P4" i="1275"/>
  <c r="M4" i="1275"/>
  <c r="B4" i="1275"/>
  <c r="A4" i="1275"/>
  <c r="M3" i="1275"/>
  <c r="B3" i="1275"/>
  <c r="A3" i="1275"/>
  <c r="F2" i="1275"/>
  <c r="F67" i="1275" s="1"/>
  <c r="E2" i="1275"/>
  <c r="E67" i="1275" s="1"/>
  <c r="B2" i="1275"/>
  <c r="A2" i="1275"/>
  <c r="B1" i="1275"/>
  <c r="A1" i="1275"/>
  <c r="B7" i="1274"/>
  <c r="B6" i="1274"/>
  <c r="I80" i="1274"/>
  <c r="I79" i="1274"/>
  <c r="I78" i="1274"/>
  <c r="I72" i="1274"/>
  <c r="I71" i="1274"/>
  <c r="I70" i="1274"/>
  <c r="I69" i="1274"/>
  <c r="I68" i="1274"/>
  <c r="I59" i="1274"/>
  <c r="I58" i="1274"/>
  <c r="I57" i="1274"/>
  <c r="I56" i="1274"/>
  <c r="I55" i="1274"/>
  <c r="I54" i="1274"/>
  <c r="I53" i="1274"/>
  <c r="I52" i="1274"/>
  <c r="I51" i="1274"/>
  <c r="I50" i="1274"/>
  <c r="E49" i="1274"/>
  <c r="E25" i="1274"/>
  <c r="D22" i="1274" s="1"/>
  <c r="D24" i="1274"/>
  <c r="P15" i="1274"/>
  <c r="M15" i="1274"/>
  <c r="P14" i="1274"/>
  <c r="M14" i="1274"/>
  <c r="P13" i="1274"/>
  <c r="M13" i="1274"/>
  <c r="P12" i="1274"/>
  <c r="M12" i="1274"/>
  <c r="P11" i="1274"/>
  <c r="M11" i="1274"/>
  <c r="P10" i="1274"/>
  <c r="M10" i="1274"/>
  <c r="P9" i="1274"/>
  <c r="M9" i="1274"/>
  <c r="P8" i="1274"/>
  <c r="M8" i="1274"/>
  <c r="B8" i="1274"/>
  <c r="D25" i="1274" s="1"/>
  <c r="P7" i="1274"/>
  <c r="M7" i="1274"/>
  <c r="P6" i="1274"/>
  <c r="M6" i="1274"/>
  <c r="P5" i="1274"/>
  <c r="M5" i="1274"/>
  <c r="P4" i="1274"/>
  <c r="M4" i="1274"/>
  <c r="B4" i="1274"/>
  <c r="A4" i="1274"/>
  <c r="M3" i="1274"/>
  <c r="B3" i="1274"/>
  <c r="A3" i="1274"/>
  <c r="F2" i="1274"/>
  <c r="F67" i="1274" s="1"/>
  <c r="E2" i="1274"/>
  <c r="E67" i="1274" s="1"/>
  <c r="B2" i="1274"/>
  <c r="A2" i="1274"/>
  <c r="B1" i="1274"/>
  <c r="A1" i="1274"/>
  <c r="B7" i="1273"/>
  <c r="B6" i="1273"/>
  <c r="I80" i="1273"/>
  <c r="I79" i="1273"/>
  <c r="I78" i="1273"/>
  <c r="I72" i="1273"/>
  <c r="I71" i="1273"/>
  <c r="I70" i="1273"/>
  <c r="I69" i="1273"/>
  <c r="I68" i="1273"/>
  <c r="I59" i="1273"/>
  <c r="I58" i="1273"/>
  <c r="I57" i="1273"/>
  <c r="I56" i="1273"/>
  <c r="I55" i="1273"/>
  <c r="I54" i="1273"/>
  <c r="I53" i="1273"/>
  <c r="I52" i="1273"/>
  <c r="I51" i="1273"/>
  <c r="I50" i="1273"/>
  <c r="E25" i="1273"/>
  <c r="D22" i="1273" s="1"/>
  <c r="D24" i="1273"/>
  <c r="D21" i="1273"/>
  <c r="D20" i="1273"/>
  <c r="P15" i="1273"/>
  <c r="M15" i="1273"/>
  <c r="P14" i="1273"/>
  <c r="M14" i="1273"/>
  <c r="P13" i="1273"/>
  <c r="M13" i="1273"/>
  <c r="P12" i="1273"/>
  <c r="M12" i="1273"/>
  <c r="P11" i="1273"/>
  <c r="M11" i="1273"/>
  <c r="P10" i="1273"/>
  <c r="M10" i="1273"/>
  <c r="P9" i="1273"/>
  <c r="M9" i="1273"/>
  <c r="P8" i="1273"/>
  <c r="M8" i="1273"/>
  <c r="B8" i="1273"/>
  <c r="D25" i="1273" s="1"/>
  <c r="P7" i="1273"/>
  <c r="M7" i="1273"/>
  <c r="P6" i="1273"/>
  <c r="M6" i="1273"/>
  <c r="P5" i="1273"/>
  <c r="M5" i="1273"/>
  <c r="P4" i="1273"/>
  <c r="M4" i="1273"/>
  <c r="B4" i="1273"/>
  <c r="A4" i="1273"/>
  <c r="M3" i="1273"/>
  <c r="B3" i="1273"/>
  <c r="A3" i="1273"/>
  <c r="F2" i="1273"/>
  <c r="F67" i="1273" s="1"/>
  <c r="E2" i="1273"/>
  <c r="E67" i="1273" s="1"/>
  <c r="B2" i="1273"/>
  <c r="A2" i="1273"/>
  <c r="B1" i="1273"/>
  <c r="A1" i="1273"/>
  <c r="B7" i="1272"/>
  <c r="E25" i="1272" s="1"/>
  <c r="B6" i="1272"/>
  <c r="I80" i="1272"/>
  <c r="I79" i="1272"/>
  <c r="I78" i="1272"/>
  <c r="I72" i="1272"/>
  <c r="I71" i="1272"/>
  <c r="I70" i="1272"/>
  <c r="I69" i="1272"/>
  <c r="I68" i="1272"/>
  <c r="I59" i="1272"/>
  <c r="I58" i="1272"/>
  <c r="I57" i="1272"/>
  <c r="I56" i="1272"/>
  <c r="I55" i="1272"/>
  <c r="I54" i="1272"/>
  <c r="I53" i="1272"/>
  <c r="I52" i="1272"/>
  <c r="I51" i="1272"/>
  <c r="I50" i="1272"/>
  <c r="E49" i="1272"/>
  <c r="D24" i="1272"/>
  <c r="P15" i="1272"/>
  <c r="M15" i="1272"/>
  <c r="P14" i="1272"/>
  <c r="M14" i="1272"/>
  <c r="P13" i="1272"/>
  <c r="M13" i="1272"/>
  <c r="P12" i="1272"/>
  <c r="M12" i="1272"/>
  <c r="P11" i="1272"/>
  <c r="M11" i="1272"/>
  <c r="P10" i="1272"/>
  <c r="M10" i="1272"/>
  <c r="P9" i="1272"/>
  <c r="M9" i="1272"/>
  <c r="P8" i="1272"/>
  <c r="M8" i="1272"/>
  <c r="B8" i="1272"/>
  <c r="D25" i="1272" s="1"/>
  <c r="P7" i="1272"/>
  <c r="M7" i="1272"/>
  <c r="P6" i="1272"/>
  <c r="M6" i="1272"/>
  <c r="P5" i="1272"/>
  <c r="M5" i="1272"/>
  <c r="P4" i="1272"/>
  <c r="M4" i="1272"/>
  <c r="B4" i="1272"/>
  <c r="A4" i="1272"/>
  <c r="M3" i="1272"/>
  <c r="B3" i="1272"/>
  <c r="A3" i="1272"/>
  <c r="F2" i="1272"/>
  <c r="F67" i="1272" s="1"/>
  <c r="E2" i="1272"/>
  <c r="E67" i="1272" s="1"/>
  <c r="B2" i="1272"/>
  <c r="A2" i="1272"/>
  <c r="B1" i="1272"/>
  <c r="A1" i="1272"/>
  <c r="B7" i="1271"/>
  <c r="B6" i="1271"/>
  <c r="I80" i="1271"/>
  <c r="I79" i="1271"/>
  <c r="I78" i="1271"/>
  <c r="I72" i="1271"/>
  <c r="I71" i="1271"/>
  <c r="I70" i="1271"/>
  <c r="I69" i="1271"/>
  <c r="I68" i="1271"/>
  <c r="I59" i="1271"/>
  <c r="I58" i="1271"/>
  <c r="I57" i="1271"/>
  <c r="I56" i="1271"/>
  <c r="I55" i="1271"/>
  <c r="I54" i="1271"/>
  <c r="I53" i="1271"/>
  <c r="I52" i="1271"/>
  <c r="I51" i="1271"/>
  <c r="I50" i="1271"/>
  <c r="E25" i="1271"/>
  <c r="D22" i="1271" s="1"/>
  <c r="D24" i="1271"/>
  <c r="P15" i="1271"/>
  <c r="M15" i="1271"/>
  <c r="P14" i="1271"/>
  <c r="M14" i="1271"/>
  <c r="P13" i="1271"/>
  <c r="M13" i="1271"/>
  <c r="P12" i="1271"/>
  <c r="M12" i="1271"/>
  <c r="P11" i="1271"/>
  <c r="M11" i="1271"/>
  <c r="P10" i="1271"/>
  <c r="M10" i="1271"/>
  <c r="P9" i="1271"/>
  <c r="M9" i="1271"/>
  <c r="P8" i="1271"/>
  <c r="M8" i="1271"/>
  <c r="B8" i="1271"/>
  <c r="D25" i="1271" s="1"/>
  <c r="P7" i="1271"/>
  <c r="M7" i="1271"/>
  <c r="P6" i="1271"/>
  <c r="M6" i="1271"/>
  <c r="P5" i="1271"/>
  <c r="M5" i="1271"/>
  <c r="P4" i="1271"/>
  <c r="M4" i="1271"/>
  <c r="B4" i="1271"/>
  <c r="A4" i="1271"/>
  <c r="M3" i="1271"/>
  <c r="B3" i="1271"/>
  <c r="A3" i="1271"/>
  <c r="F2" i="1271"/>
  <c r="F67" i="1271" s="1"/>
  <c r="E2" i="1271"/>
  <c r="E67" i="1271" s="1"/>
  <c r="B2" i="1271"/>
  <c r="A2" i="1271"/>
  <c r="B1" i="1271"/>
  <c r="A1" i="1271"/>
  <c r="B7" i="1270"/>
  <c r="B6" i="1270"/>
  <c r="I80" i="1270"/>
  <c r="I79" i="1270"/>
  <c r="I78" i="1270"/>
  <c r="I72" i="1270"/>
  <c r="I71" i="1270"/>
  <c r="I70" i="1270"/>
  <c r="I69" i="1270"/>
  <c r="I68" i="1270"/>
  <c r="I59" i="1270"/>
  <c r="I58" i="1270"/>
  <c r="I57" i="1270"/>
  <c r="I56" i="1270"/>
  <c r="I55" i="1270"/>
  <c r="I54" i="1270"/>
  <c r="I53" i="1270"/>
  <c r="I52" i="1270"/>
  <c r="I51" i="1270"/>
  <c r="I50" i="1270"/>
  <c r="E25" i="1270"/>
  <c r="D22" i="1270" s="1"/>
  <c r="D24" i="1270"/>
  <c r="D21" i="1270"/>
  <c r="D20" i="1270"/>
  <c r="P15" i="1270"/>
  <c r="M15" i="1270"/>
  <c r="P14" i="1270"/>
  <c r="M14" i="1270"/>
  <c r="P13" i="1270"/>
  <c r="M13" i="1270"/>
  <c r="P12" i="1270"/>
  <c r="M12" i="1270"/>
  <c r="P11" i="1270"/>
  <c r="M11" i="1270"/>
  <c r="P10" i="1270"/>
  <c r="M10" i="1270"/>
  <c r="P9" i="1270"/>
  <c r="M9" i="1270"/>
  <c r="P8" i="1270"/>
  <c r="M8" i="1270"/>
  <c r="B8" i="1270"/>
  <c r="D25" i="1270" s="1"/>
  <c r="P7" i="1270"/>
  <c r="M7" i="1270"/>
  <c r="P6" i="1270"/>
  <c r="M6" i="1270"/>
  <c r="P5" i="1270"/>
  <c r="M5" i="1270"/>
  <c r="P4" i="1270"/>
  <c r="M4" i="1270"/>
  <c r="B4" i="1270"/>
  <c r="A4" i="1270"/>
  <c r="M3" i="1270"/>
  <c r="B3" i="1270"/>
  <c r="A3" i="1270"/>
  <c r="F2" i="1270"/>
  <c r="F67" i="1270" s="1"/>
  <c r="E2" i="1270"/>
  <c r="E67" i="1270" s="1"/>
  <c r="B2" i="1270"/>
  <c r="A2" i="1270"/>
  <c r="B1" i="1270"/>
  <c r="A1" i="1270"/>
  <c r="B7" i="1269"/>
  <c r="B6" i="1269"/>
  <c r="I80" i="1269"/>
  <c r="I79" i="1269"/>
  <c r="I78" i="1269"/>
  <c r="I72" i="1269"/>
  <c r="I71" i="1269"/>
  <c r="I70" i="1269"/>
  <c r="I69" i="1269"/>
  <c r="I68" i="1269"/>
  <c r="I59" i="1269"/>
  <c r="I58" i="1269"/>
  <c r="I57" i="1269"/>
  <c r="I56" i="1269"/>
  <c r="I55" i="1269"/>
  <c r="I54" i="1269"/>
  <c r="I53" i="1269"/>
  <c r="I52" i="1269"/>
  <c r="I51" i="1269"/>
  <c r="I50" i="1269"/>
  <c r="E25" i="1269"/>
  <c r="D22" i="1269" s="1"/>
  <c r="D24" i="1269"/>
  <c r="P15" i="1269"/>
  <c r="M15" i="1269"/>
  <c r="P14" i="1269"/>
  <c r="M14" i="1269"/>
  <c r="P13" i="1269"/>
  <c r="M13" i="1269"/>
  <c r="P12" i="1269"/>
  <c r="M12" i="1269"/>
  <c r="P11" i="1269"/>
  <c r="M11" i="1269"/>
  <c r="P10" i="1269"/>
  <c r="M10" i="1269"/>
  <c r="P9" i="1269"/>
  <c r="M9" i="1269"/>
  <c r="P8" i="1269"/>
  <c r="M8" i="1269"/>
  <c r="B8" i="1269"/>
  <c r="D25" i="1269" s="1"/>
  <c r="P7" i="1269"/>
  <c r="M7" i="1269"/>
  <c r="P6" i="1269"/>
  <c r="M6" i="1269"/>
  <c r="P5" i="1269"/>
  <c r="M5" i="1269"/>
  <c r="P4" i="1269"/>
  <c r="M4" i="1269"/>
  <c r="B4" i="1269"/>
  <c r="A4" i="1269"/>
  <c r="M3" i="1269"/>
  <c r="B3" i="1269"/>
  <c r="A3" i="1269"/>
  <c r="F2" i="1269"/>
  <c r="F67" i="1269" s="1"/>
  <c r="E2" i="1269"/>
  <c r="E67" i="1269" s="1"/>
  <c r="B2" i="1269"/>
  <c r="A2" i="1269"/>
  <c r="B1" i="1269"/>
  <c r="A1" i="1269"/>
  <c r="B7" i="1268"/>
  <c r="B6" i="1268"/>
  <c r="I80" i="1268"/>
  <c r="I79" i="1268"/>
  <c r="I78" i="1268"/>
  <c r="I72" i="1268"/>
  <c r="I71" i="1268"/>
  <c r="I70" i="1268"/>
  <c r="I69" i="1268"/>
  <c r="I68" i="1268"/>
  <c r="I59" i="1268"/>
  <c r="I58" i="1268"/>
  <c r="I57" i="1268"/>
  <c r="I56" i="1268"/>
  <c r="I55" i="1268"/>
  <c r="I54" i="1268"/>
  <c r="I53" i="1268"/>
  <c r="I52" i="1268"/>
  <c r="I51" i="1268"/>
  <c r="I50" i="1268"/>
  <c r="E25" i="1268"/>
  <c r="D22" i="1268" s="1"/>
  <c r="D24" i="1268"/>
  <c r="P15" i="1268"/>
  <c r="M15" i="1268"/>
  <c r="P14" i="1268"/>
  <c r="M14" i="1268"/>
  <c r="P13" i="1268"/>
  <c r="M13" i="1268"/>
  <c r="P12" i="1268"/>
  <c r="M12" i="1268"/>
  <c r="P11" i="1268"/>
  <c r="M11" i="1268"/>
  <c r="P10" i="1268"/>
  <c r="M10" i="1268"/>
  <c r="P9" i="1268"/>
  <c r="M9" i="1268"/>
  <c r="P8" i="1268"/>
  <c r="M8" i="1268"/>
  <c r="B8" i="1268"/>
  <c r="D25" i="1268" s="1"/>
  <c r="P7" i="1268"/>
  <c r="M7" i="1268"/>
  <c r="P6" i="1268"/>
  <c r="M6" i="1268"/>
  <c r="P5" i="1268"/>
  <c r="M5" i="1268"/>
  <c r="P4" i="1268"/>
  <c r="M4" i="1268"/>
  <c r="B4" i="1268"/>
  <c r="A4" i="1268"/>
  <c r="M3" i="1268"/>
  <c r="B3" i="1268"/>
  <c r="A3" i="1268"/>
  <c r="F2" i="1268"/>
  <c r="F67" i="1268" s="1"/>
  <c r="E2" i="1268"/>
  <c r="E67" i="1268" s="1"/>
  <c r="B2" i="1268"/>
  <c r="A2" i="1268"/>
  <c r="B1" i="1268"/>
  <c r="A1" i="1268"/>
  <c r="B7" i="1267"/>
  <c r="B6" i="1267"/>
  <c r="I80" i="1267"/>
  <c r="I79" i="1267"/>
  <c r="I78" i="1267"/>
  <c r="I72" i="1267"/>
  <c r="I71" i="1267"/>
  <c r="I70" i="1267"/>
  <c r="I69" i="1267"/>
  <c r="I68" i="1267"/>
  <c r="I59" i="1267"/>
  <c r="I58" i="1267"/>
  <c r="I57" i="1267"/>
  <c r="I56" i="1267"/>
  <c r="I55" i="1267"/>
  <c r="I54" i="1267"/>
  <c r="I53" i="1267"/>
  <c r="I52" i="1267"/>
  <c r="I51" i="1267"/>
  <c r="I50" i="1267"/>
  <c r="E25" i="1267"/>
  <c r="D22" i="1267" s="1"/>
  <c r="D24" i="1267"/>
  <c r="D21" i="1267"/>
  <c r="D20" i="1267"/>
  <c r="P15" i="1267"/>
  <c r="M15" i="1267"/>
  <c r="P14" i="1267"/>
  <c r="M14" i="1267"/>
  <c r="P13" i="1267"/>
  <c r="M13" i="1267"/>
  <c r="P12" i="1267"/>
  <c r="M12" i="1267"/>
  <c r="P11" i="1267"/>
  <c r="M11" i="1267"/>
  <c r="P10" i="1267"/>
  <c r="M10" i="1267"/>
  <c r="P9" i="1267"/>
  <c r="M9" i="1267"/>
  <c r="P8" i="1267"/>
  <c r="M8" i="1267"/>
  <c r="B8" i="1267"/>
  <c r="D25" i="1267" s="1"/>
  <c r="P7" i="1267"/>
  <c r="M7" i="1267"/>
  <c r="P6" i="1267"/>
  <c r="M6" i="1267"/>
  <c r="P5" i="1267"/>
  <c r="M5" i="1267"/>
  <c r="P4" i="1267"/>
  <c r="M4" i="1267"/>
  <c r="B4" i="1267"/>
  <c r="A4" i="1267"/>
  <c r="M3" i="1267"/>
  <c r="B3" i="1267"/>
  <c r="A3" i="1267"/>
  <c r="F2" i="1267"/>
  <c r="F77" i="1267" s="1"/>
  <c r="E2" i="1267"/>
  <c r="E67" i="1267" s="1"/>
  <c r="B2" i="1267"/>
  <c r="A2" i="1267"/>
  <c r="B1" i="1267"/>
  <c r="A1" i="1267"/>
  <c r="E24" i="952"/>
  <c r="D24" i="952"/>
  <c r="E6" i="952"/>
  <c r="D6" i="952"/>
  <c r="B24" i="952"/>
  <c r="C24" i="952"/>
  <c r="B10" i="1272" l="1"/>
  <c r="B10" i="1274"/>
  <c r="D22" i="1278"/>
  <c r="D21" i="1278"/>
  <c r="B10" i="1278"/>
  <c r="D19" i="1278"/>
  <c r="E49" i="1278"/>
  <c r="D20" i="1278"/>
  <c r="F49" i="1278"/>
  <c r="E77" i="1278"/>
  <c r="F77" i="1278"/>
  <c r="E24" i="1278"/>
  <c r="B10" i="1277"/>
  <c r="D19" i="1277"/>
  <c r="E49" i="1277"/>
  <c r="F49" i="1277"/>
  <c r="E77" i="1277"/>
  <c r="F77" i="1277"/>
  <c r="E24" i="1277"/>
  <c r="B10" i="1276"/>
  <c r="D19" i="1276"/>
  <c r="E49" i="1276"/>
  <c r="D20" i="1276"/>
  <c r="F49" i="1276"/>
  <c r="E77" i="1276"/>
  <c r="F77" i="1276"/>
  <c r="E24" i="1276"/>
  <c r="B10" i="1275"/>
  <c r="E49" i="1275"/>
  <c r="F49" i="1275"/>
  <c r="D21" i="1275"/>
  <c r="E77" i="1275"/>
  <c r="F77" i="1275"/>
  <c r="E24" i="1275"/>
  <c r="D19" i="1274"/>
  <c r="D20" i="1274"/>
  <c r="F49" i="1274"/>
  <c r="D21" i="1274"/>
  <c r="E77" i="1274"/>
  <c r="F77" i="1274"/>
  <c r="E24" i="1274"/>
  <c r="B10" i="1273"/>
  <c r="D19" i="1273"/>
  <c r="E49" i="1273"/>
  <c r="F49" i="1273"/>
  <c r="E77" i="1273"/>
  <c r="F77" i="1273"/>
  <c r="E24" i="1273"/>
  <c r="D22" i="1272"/>
  <c r="D20" i="1272"/>
  <c r="D21" i="1272"/>
  <c r="D19" i="1272"/>
  <c r="F49" i="1272"/>
  <c r="E77" i="1272"/>
  <c r="F77" i="1272"/>
  <c r="E24" i="1272"/>
  <c r="B10" i="1271"/>
  <c r="D19" i="1271"/>
  <c r="E49" i="1271"/>
  <c r="D20" i="1271"/>
  <c r="F49" i="1271"/>
  <c r="D21" i="1271"/>
  <c r="E77" i="1271"/>
  <c r="F77" i="1271"/>
  <c r="E24" i="1271"/>
  <c r="B10" i="1270"/>
  <c r="D19" i="1270"/>
  <c r="E49" i="1270"/>
  <c r="F49" i="1270"/>
  <c r="E77" i="1270"/>
  <c r="F77" i="1270"/>
  <c r="E24" i="1270"/>
  <c r="B10" i="1269"/>
  <c r="D19" i="1269"/>
  <c r="E49" i="1269"/>
  <c r="D20" i="1269"/>
  <c r="F49" i="1269"/>
  <c r="D21" i="1269"/>
  <c r="E77" i="1269"/>
  <c r="F77" i="1269"/>
  <c r="E24" i="1269"/>
  <c r="B10" i="1268"/>
  <c r="D19" i="1268"/>
  <c r="E49" i="1268"/>
  <c r="D20" i="1268"/>
  <c r="F49" i="1268"/>
  <c r="D21" i="1268"/>
  <c r="E77" i="1268"/>
  <c r="F77" i="1268"/>
  <c r="E24" i="1268"/>
  <c r="D19" i="1267"/>
  <c r="F49" i="1267"/>
  <c r="F67" i="1267"/>
  <c r="B10" i="1267"/>
  <c r="E49" i="1267"/>
  <c r="E77" i="1267"/>
  <c r="E24" i="1267"/>
  <c r="B35" i="952"/>
  <c r="A35" i="952"/>
  <c r="B34" i="952"/>
  <c r="A34" i="952"/>
  <c r="B33" i="952"/>
  <c r="A33" i="952"/>
  <c r="B32" i="952"/>
  <c r="A32" i="952"/>
  <c r="F20" i="1182"/>
  <c r="F19" i="1182"/>
  <c r="AC10" i="1182"/>
  <c r="AC11" i="1182"/>
  <c r="AC12" i="1182"/>
  <c r="AC13" i="1182"/>
  <c r="AC14" i="1182"/>
  <c r="AC15" i="1182"/>
  <c r="AC16" i="1182"/>
  <c r="AC17" i="1182"/>
  <c r="AC18" i="1182"/>
  <c r="AC19" i="1182"/>
  <c r="AC20" i="1182"/>
  <c r="AC21" i="1182"/>
  <c r="AC22" i="1182"/>
  <c r="AC23" i="1182"/>
  <c r="AC24" i="1182"/>
  <c r="AC25" i="1182"/>
  <c r="AC26" i="1182"/>
  <c r="AC27" i="1182"/>
  <c r="AC28" i="1182"/>
  <c r="AC29" i="1182"/>
  <c r="AC30" i="1182"/>
  <c r="AC31" i="1182"/>
  <c r="AC32" i="1182"/>
  <c r="AC33" i="1182"/>
  <c r="AC34" i="1182"/>
  <c r="AC35" i="1182"/>
  <c r="AC36" i="1182"/>
  <c r="AC37" i="1182"/>
  <c r="AC38" i="1182"/>
  <c r="AC39" i="1182"/>
  <c r="AC40" i="1182"/>
  <c r="AA11" i="1182"/>
  <c r="AA12" i="1182"/>
  <c r="AA13" i="1182"/>
  <c r="AA14" i="1182"/>
  <c r="AA15" i="1182"/>
  <c r="AA16" i="1182"/>
  <c r="AA17" i="1182"/>
  <c r="AA18" i="1182"/>
  <c r="AA19" i="1182"/>
  <c r="AA20" i="1182"/>
  <c r="AA21" i="1182"/>
  <c r="AA22" i="1182"/>
  <c r="AA23" i="1182"/>
  <c r="AA24" i="1182"/>
  <c r="AA25" i="1182"/>
  <c r="AA26" i="1182"/>
  <c r="AA27" i="1182"/>
  <c r="AA28" i="1182"/>
  <c r="AA29" i="1182"/>
  <c r="AA30" i="1182"/>
  <c r="AA31" i="1182"/>
  <c r="AA32" i="1182"/>
  <c r="AA33" i="1182"/>
  <c r="AA34" i="1182"/>
  <c r="AA35" i="1182"/>
  <c r="AA36" i="1182"/>
  <c r="AA37" i="1182"/>
  <c r="AA38" i="1182"/>
  <c r="AA39" i="1182"/>
  <c r="AA40" i="1182"/>
  <c r="N25" i="757"/>
  <c r="N24" i="757"/>
  <c r="N23" i="757"/>
  <c r="N22" i="757"/>
  <c r="Z3" i="1182"/>
  <c r="D4" i="1278" l="1" a="1"/>
  <c r="D4" i="1278" s="1"/>
  <c r="D11" i="1278" a="1"/>
  <c r="D11" i="1278" s="1"/>
  <c r="D8" i="1278" a="1"/>
  <c r="D8" i="1278" s="1"/>
  <c r="D5" i="1278" a="1"/>
  <c r="D5" i="1278" s="1"/>
  <c r="D12" i="1278" a="1"/>
  <c r="D12" i="1278" s="1"/>
  <c r="D9" i="1278" a="1"/>
  <c r="D9" i="1278" s="1"/>
  <c r="D6" i="1278" a="1"/>
  <c r="D6" i="1278" s="1"/>
  <c r="D10" i="1278" a="1"/>
  <c r="D10" i="1278" s="1"/>
  <c r="D3" i="1278" a="1"/>
  <c r="D3" i="1278" s="1"/>
  <c r="D7" i="1278" a="1"/>
  <c r="D7" i="1278" s="1"/>
  <c r="D4" i="1277" a="1"/>
  <c r="D4" i="1277" s="1"/>
  <c r="D11" i="1277" a="1"/>
  <c r="D11" i="1277" s="1"/>
  <c r="D8" i="1277" a="1"/>
  <c r="D8" i="1277" s="1"/>
  <c r="D5" i="1277" a="1"/>
  <c r="D5" i="1277" s="1"/>
  <c r="D12" i="1277" a="1"/>
  <c r="D12" i="1277" s="1"/>
  <c r="D9" i="1277" a="1"/>
  <c r="D9" i="1277" s="1"/>
  <c r="D6" i="1277" a="1"/>
  <c r="D6" i="1277" s="1"/>
  <c r="D10" i="1277" a="1"/>
  <c r="D10" i="1277" s="1"/>
  <c r="D3" i="1277" a="1"/>
  <c r="D3" i="1277" s="1"/>
  <c r="D7" i="1277" a="1"/>
  <c r="D7" i="1277" s="1"/>
  <c r="D4" i="1276" a="1"/>
  <c r="D4" i="1276" s="1"/>
  <c r="D11" i="1276" a="1"/>
  <c r="D11" i="1276" s="1"/>
  <c r="D8" i="1276" a="1"/>
  <c r="D8" i="1276" s="1"/>
  <c r="D5" i="1276" a="1"/>
  <c r="D5" i="1276" s="1"/>
  <c r="D12" i="1276" a="1"/>
  <c r="D12" i="1276" s="1"/>
  <c r="D9" i="1276" a="1"/>
  <c r="D9" i="1276" s="1"/>
  <c r="D6" i="1276" a="1"/>
  <c r="D6" i="1276" s="1"/>
  <c r="D10" i="1276" a="1"/>
  <c r="D10" i="1276" s="1"/>
  <c r="D3" i="1276" a="1"/>
  <c r="D3" i="1276" s="1"/>
  <c r="D7" i="1276" a="1"/>
  <c r="D7" i="1276" s="1"/>
  <c r="D4" i="1275" a="1"/>
  <c r="D4" i="1275" s="1"/>
  <c r="D11" i="1275" a="1"/>
  <c r="D11" i="1275" s="1"/>
  <c r="D8" i="1275" a="1"/>
  <c r="D8" i="1275" s="1"/>
  <c r="D5" i="1275" a="1"/>
  <c r="D5" i="1275" s="1"/>
  <c r="D12" i="1275" a="1"/>
  <c r="D12" i="1275" s="1"/>
  <c r="D9" i="1275" a="1"/>
  <c r="D9" i="1275" s="1"/>
  <c r="D6" i="1275" a="1"/>
  <c r="D6" i="1275" s="1"/>
  <c r="D10" i="1275" a="1"/>
  <c r="D10" i="1275" s="1"/>
  <c r="D3" i="1275" a="1"/>
  <c r="D3" i="1275" s="1"/>
  <c r="D7" i="1275" a="1"/>
  <c r="D7" i="1275" s="1"/>
  <c r="D4" i="1274" a="1"/>
  <c r="D4" i="1274" s="1"/>
  <c r="D11" i="1274" a="1"/>
  <c r="D11" i="1274" s="1"/>
  <c r="D8" i="1274" a="1"/>
  <c r="D8" i="1274" s="1"/>
  <c r="D5" i="1274" a="1"/>
  <c r="D5" i="1274" s="1"/>
  <c r="D12" i="1274" a="1"/>
  <c r="D12" i="1274" s="1"/>
  <c r="D9" i="1274" a="1"/>
  <c r="D9" i="1274" s="1"/>
  <c r="D6" i="1274" a="1"/>
  <c r="D6" i="1274" s="1"/>
  <c r="D7" i="1274" a="1"/>
  <c r="D7" i="1274" s="1"/>
  <c r="D10" i="1274" a="1"/>
  <c r="D10" i="1274" s="1"/>
  <c r="D3" i="1274" a="1"/>
  <c r="D3" i="1274" s="1"/>
  <c r="D4" i="1273" a="1"/>
  <c r="D4" i="1273" s="1"/>
  <c r="D11" i="1273" a="1"/>
  <c r="D11" i="1273" s="1"/>
  <c r="D8" i="1273" a="1"/>
  <c r="D8" i="1273" s="1"/>
  <c r="D5" i="1273" a="1"/>
  <c r="D5" i="1273" s="1"/>
  <c r="D12" i="1273" a="1"/>
  <c r="D12" i="1273" s="1"/>
  <c r="D9" i="1273" a="1"/>
  <c r="D9" i="1273" s="1"/>
  <c r="D6" i="1273" a="1"/>
  <c r="D6" i="1273" s="1"/>
  <c r="D10" i="1273" a="1"/>
  <c r="D10" i="1273" s="1"/>
  <c r="D3" i="1273" a="1"/>
  <c r="D3" i="1273" s="1"/>
  <c r="D7" i="1273" a="1"/>
  <c r="D7" i="1273" s="1"/>
  <c r="D4" i="1272" a="1"/>
  <c r="D4" i="1272" s="1"/>
  <c r="D5" i="1272" a="1"/>
  <c r="D5" i="1272" s="1"/>
  <c r="D11" i="1272" a="1"/>
  <c r="D11" i="1272" s="1"/>
  <c r="D8" i="1272" a="1"/>
  <c r="D8" i="1272" s="1"/>
  <c r="D12" i="1272" a="1"/>
  <c r="D12" i="1272" s="1"/>
  <c r="D9" i="1272" a="1"/>
  <c r="D9" i="1272" s="1"/>
  <c r="D6" i="1272" a="1"/>
  <c r="D6" i="1272" s="1"/>
  <c r="D10" i="1272" a="1"/>
  <c r="D10" i="1272" s="1"/>
  <c r="D3" i="1272" a="1"/>
  <c r="D3" i="1272" s="1"/>
  <c r="D7" i="1272" a="1"/>
  <c r="D7" i="1272" s="1"/>
  <c r="D4" i="1271" a="1"/>
  <c r="D4" i="1271" s="1"/>
  <c r="D11" i="1271" a="1"/>
  <c r="D11" i="1271" s="1"/>
  <c r="D8" i="1271" a="1"/>
  <c r="D8" i="1271" s="1"/>
  <c r="D5" i="1271" a="1"/>
  <c r="D5" i="1271" s="1"/>
  <c r="D12" i="1271" a="1"/>
  <c r="D12" i="1271" s="1"/>
  <c r="D9" i="1271" a="1"/>
  <c r="D9" i="1271" s="1"/>
  <c r="D6" i="1271" a="1"/>
  <c r="D6" i="1271" s="1"/>
  <c r="D10" i="1271" a="1"/>
  <c r="D10" i="1271" s="1"/>
  <c r="D3" i="1271" a="1"/>
  <c r="D3" i="1271" s="1"/>
  <c r="D7" i="1271" a="1"/>
  <c r="D7" i="1271" s="1"/>
  <c r="D4" i="1270" a="1"/>
  <c r="D4" i="1270" s="1"/>
  <c r="D3" i="1270" a="1"/>
  <c r="D3" i="1270" s="1"/>
  <c r="D11" i="1270" a="1"/>
  <c r="D11" i="1270" s="1"/>
  <c r="D8" i="1270" a="1"/>
  <c r="D8" i="1270" s="1"/>
  <c r="D5" i="1270" a="1"/>
  <c r="D5" i="1270" s="1"/>
  <c r="D12" i="1270" a="1"/>
  <c r="D12" i="1270" s="1"/>
  <c r="D9" i="1270" a="1"/>
  <c r="D9" i="1270" s="1"/>
  <c r="D6" i="1270" a="1"/>
  <c r="D6" i="1270" s="1"/>
  <c r="D10" i="1270" a="1"/>
  <c r="D10" i="1270" s="1"/>
  <c r="D7" i="1270" a="1"/>
  <c r="D7" i="1270" s="1"/>
  <c r="D4" i="1269" a="1"/>
  <c r="D4" i="1269" s="1"/>
  <c r="D11" i="1269" a="1"/>
  <c r="D11" i="1269" s="1"/>
  <c r="D8" i="1269" a="1"/>
  <c r="D8" i="1269" s="1"/>
  <c r="D5" i="1269" a="1"/>
  <c r="D5" i="1269" s="1"/>
  <c r="D12" i="1269" a="1"/>
  <c r="D12" i="1269" s="1"/>
  <c r="D9" i="1269" a="1"/>
  <c r="D9" i="1269" s="1"/>
  <c r="D6" i="1269" a="1"/>
  <c r="D6" i="1269" s="1"/>
  <c r="D3" i="1269" a="1"/>
  <c r="D3" i="1269" s="1"/>
  <c r="D10" i="1269" a="1"/>
  <c r="D10" i="1269" s="1"/>
  <c r="D7" i="1269" a="1"/>
  <c r="D7" i="1269" s="1"/>
  <c r="D4" i="1268" a="1"/>
  <c r="D4" i="1268" s="1"/>
  <c r="D11" i="1268" a="1"/>
  <c r="D11" i="1268" s="1"/>
  <c r="D8" i="1268" a="1"/>
  <c r="D8" i="1268" s="1"/>
  <c r="D5" i="1268" a="1"/>
  <c r="D5" i="1268" s="1"/>
  <c r="D12" i="1268" a="1"/>
  <c r="D12" i="1268" s="1"/>
  <c r="D9" i="1268" a="1"/>
  <c r="D9" i="1268" s="1"/>
  <c r="D6" i="1268" a="1"/>
  <c r="D6" i="1268" s="1"/>
  <c r="D3" i="1268" a="1"/>
  <c r="D3" i="1268" s="1"/>
  <c r="D10" i="1268" a="1"/>
  <c r="D10" i="1268" s="1"/>
  <c r="D7" i="1268" a="1"/>
  <c r="D7" i="1268" s="1"/>
  <c r="D4" i="1267" a="1"/>
  <c r="D4" i="1267" s="1"/>
  <c r="D11" i="1267" a="1"/>
  <c r="D11" i="1267" s="1"/>
  <c r="D5" i="1267" a="1"/>
  <c r="D5" i="1267" s="1"/>
  <c r="D8" i="1267" a="1"/>
  <c r="D8" i="1267" s="1"/>
  <c r="D12" i="1267" a="1"/>
  <c r="D12" i="1267" s="1"/>
  <c r="D9" i="1267" a="1"/>
  <c r="D9" i="1267" s="1"/>
  <c r="D6" i="1267" a="1"/>
  <c r="D6" i="1267" s="1"/>
  <c r="D3" i="1267" a="1"/>
  <c r="D3" i="1267" s="1"/>
  <c r="D7" i="1267" a="1"/>
  <c r="D7" i="1267" s="1"/>
  <c r="D10" i="1267" a="1"/>
  <c r="D10" i="1267" s="1"/>
  <c r="AA10" i="1182"/>
  <c r="AA7" i="1182"/>
  <c r="AB3" i="1182"/>
  <c r="E13" i="1182"/>
  <c r="E3" i="1182"/>
  <c r="E15" i="1182" s="1"/>
  <c r="E2" i="1182"/>
  <c r="E14" i="1182" s="1"/>
  <c r="B4" i="1182"/>
  <c r="A4" i="1182"/>
  <c r="B3" i="1182"/>
  <c r="A3" i="1182"/>
  <c r="B2" i="1182"/>
  <c r="A2" i="1182"/>
  <c r="B1" i="1182"/>
  <c r="AB1" i="1182" s="1"/>
  <c r="AA6" i="1182" s="1"/>
  <c r="A1" i="1182"/>
  <c r="B2" i="207"/>
  <c r="B4" i="207"/>
  <c r="A4" i="207"/>
  <c r="B3" i="207"/>
  <c r="A3" i="207"/>
  <c r="A2" i="207"/>
  <c r="B1" i="207"/>
  <c r="A1" i="207"/>
  <c r="X25" i="757"/>
  <c r="W25" i="757"/>
  <c r="X24" i="757"/>
  <c r="W24" i="757"/>
  <c r="X23" i="757"/>
  <c r="W23" i="757"/>
  <c r="X22" i="757"/>
  <c r="W22" i="757"/>
  <c r="M25" i="757"/>
  <c r="M24" i="757"/>
  <c r="M23" i="757"/>
  <c r="M22" i="757"/>
  <c r="B18" i="3"/>
  <c r="B17" i="3"/>
  <c r="A18" i="3"/>
  <c r="A17" i="3"/>
  <c r="A16" i="3"/>
  <c r="A15" i="3"/>
  <c r="B15" i="3"/>
  <c r="B16" i="3"/>
  <c r="E8" i="1" a="1"/>
  <c r="E5" i="1" a="1"/>
  <c r="E4" i="1" a="1"/>
  <c r="D3" i="1" a="1"/>
  <c r="D8" i="1" a="1"/>
  <c r="E14" i="1" a="1"/>
  <c r="E3" i="1" a="1"/>
  <c r="D12" i="1" a="1"/>
  <c r="E7" i="1" a="1"/>
  <c r="E12" i="1" a="1"/>
  <c r="E6" i="1" a="1"/>
  <c r="E9" i="1" a="1"/>
  <c r="E11" i="1" a="1"/>
  <c r="D7" i="1" a="1"/>
  <c r="E13" i="1" a="1"/>
  <c r="D13" i="1" a="1"/>
  <c r="D9" i="1" a="1"/>
  <c r="D10" i="1" a="1"/>
  <c r="D6" i="1" a="1"/>
  <c r="E10" i="1" a="1"/>
  <c r="D5" i="1" a="1"/>
  <c r="D11" i="1" a="1"/>
  <c r="D4" i="1" a="1"/>
  <c r="D14" i="1" a="1"/>
  <c r="G10" i="1278" l="1" a="1"/>
  <c r="G10" i="1278" s="1"/>
  <c r="F10" i="1278" a="1"/>
  <c r="F10" i="1278" s="1"/>
  <c r="E10" i="1278" a="1"/>
  <c r="E10" i="1278" s="1"/>
  <c r="H10" i="1278" a="1"/>
  <c r="H10" i="1278" s="1"/>
  <c r="F6" i="1278" a="1"/>
  <c r="F6" i="1278" s="1"/>
  <c r="E6" i="1278" a="1"/>
  <c r="E6" i="1278" s="1"/>
  <c r="H6" i="1278" a="1"/>
  <c r="H6" i="1278" s="1"/>
  <c r="G6" i="1278" a="1"/>
  <c r="G6" i="1278" s="1"/>
  <c r="F9" i="1278" a="1"/>
  <c r="F9" i="1278" s="1"/>
  <c r="E9" i="1278" a="1"/>
  <c r="E9" i="1278" s="1"/>
  <c r="H9" i="1278" a="1"/>
  <c r="H9" i="1278" s="1"/>
  <c r="G9" i="1278" a="1"/>
  <c r="G9" i="1278" s="1"/>
  <c r="F12" i="1278" a="1"/>
  <c r="F12" i="1278" s="1"/>
  <c r="E12" i="1278" a="1"/>
  <c r="E12" i="1278" s="1"/>
  <c r="H12" i="1278" a="1"/>
  <c r="H12" i="1278" s="1"/>
  <c r="G12" i="1278" a="1"/>
  <c r="G12" i="1278" s="1"/>
  <c r="E5" i="1278" a="1"/>
  <c r="E5" i="1278" s="1"/>
  <c r="H5" i="1278" a="1"/>
  <c r="H5" i="1278" s="1"/>
  <c r="G5" i="1278" a="1"/>
  <c r="G5" i="1278" s="1"/>
  <c r="F5" i="1278" a="1"/>
  <c r="F5" i="1278" s="1"/>
  <c r="H8" i="1278" a="1"/>
  <c r="H8" i="1278" s="1"/>
  <c r="G8" i="1278" a="1"/>
  <c r="G8" i="1278" s="1"/>
  <c r="F8" i="1278" a="1"/>
  <c r="F8" i="1278" s="1"/>
  <c r="E8" i="1278" a="1"/>
  <c r="E8" i="1278" s="1"/>
  <c r="G7" i="1278" a="1"/>
  <c r="G7" i="1278" s="1"/>
  <c r="F7" i="1278" a="1"/>
  <c r="F7" i="1278" s="1"/>
  <c r="E7" i="1278" a="1"/>
  <c r="E7" i="1278" s="1"/>
  <c r="H7" i="1278" a="1"/>
  <c r="H7" i="1278" s="1"/>
  <c r="H11" i="1278" a="1"/>
  <c r="H11" i="1278" s="1"/>
  <c r="G11" i="1278" a="1"/>
  <c r="G11" i="1278" s="1"/>
  <c r="F11" i="1278" a="1"/>
  <c r="F11" i="1278" s="1"/>
  <c r="E11" i="1278" a="1"/>
  <c r="E11" i="1278" s="1"/>
  <c r="G3" i="1278" a="1"/>
  <c r="G3" i="1278" s="1"/>
  <c r="F3" i="1278" a="1"/>
  <c r="F3" i="1278" s="1"/>
  <c r="E3" i="1278" a="1"/>
  <c r="E3" i="1278" s="1"/>
  <c r="H3" i="1278" a="1"/>
  <c r="H3" i="1278" s="1"/>
  <c r="H4" i="1278" a="1"/>
  <c r="H4" i="1278" s="1"/>
  <c r="G4" i="1278" a="1"/>
  <c r="G4" i="1278" s="1"/>
  <c r="F4" i="1278" a="1"/>
  <c r="F4" i="1278" s="1"/>
  <c r="E4" i="1278" a="1"/>
  <c r="E4" i="1278" s="1"/>
  <c r="H11" i="1277" a="1"/>
  <c r="H11" i="1277" s="1"/>
  <c r="G11" i="1277" a="1"/>
  <c r="G11" i="1277" s="1"/>
  <c r="F11" i="1277" a="1"/>
  <c r="F11" i="1277" s="1"/>
  <c r="E11" i="1277" a="1"/>
  <c r="E11" i="1277" s="1"/>
  <c r="G3" i="1277" a="1"/>
  <c r="G3" i="1277" s="1"/>
  <c r="F3" i="1277" a="1"/>
  <c r="F3" i="1277" s="1"/>
  <c r="E3" i="1277" a="1"/>
  <c r="E3" i="1277" s="1"/>
  <c r="H3" i="1277" a="1"/>
  <c r="H3" i="1277" s="1"/>
  <c r="G10" i="1277" a="1"/>
  <c r="G10" i="1277" s="1"/>
  <c r="F10" i="1277" a="1"/>
  <c r="F10" i="1277" s="1"/>
  <c r="E10" i="1277" a="1"/>
  <c r="E10" i="1277" s="1"/>
  <c r="H10" i="1277" a="1"/>
  <c r="H10" i="1277" s="1"/>
  <c r="F6" i="1277" a="1"/>
  <c r="F6" i="1277" s="1"/>
  <c r="E6" i="1277" a="1"/>
  <c r="E6" i="1277" s="1"/>
  <c r="H6" i="1277" a="1"/>
  <c r="H6" i="1277" s="1"/>
  <c r="G6" i="1277" a="1"/>
  <c r="G6" i="1277" s="1"/>
  <c r="F12" i="1277" a="1"/>
  <c r="F12" i="1277" s="1"/>
  <c r="E12" i="1277" a="1"/>
  <c r="E12" i="1277" s="1"/>
  <c r="H12" i="1277" a="1"/>
  <c r="H12" i="1277" s="1"/>
  <c r="G12" i="1277" a="1"/>
  <c r="G12" i="1277" s="1"/>
  <c r="F9" i="1277" a="1"/>
  <c r="F9" i="1277" s="1"/>
  <c r="E9" i="1277" a="1"/>
  <c r="E9" i="1277" s="1"/>
  <c r="H9" i="1277" a="1"/>
  <c r="H9" i="1277" s="1"/>
  <c r="G9" i="1277" a="1"/>
  <c r="G9" i="1277" s="1"/>
  <c r="E5" i="1277" a="1"/>
  <c r="E5" i="1277" s="1"/>
  <c r="H5" i="1277" a="1"/>
  <c r="H5" i="1277" s="1"/>
  <c r="G5" i="1277" a="1"/>
  <c r="G5" i="1277" s="1"/>
  <c r="F5" i="1277" a="1"/>
  <c r="F5" i="1277" s="1"/>
  <c r="H8" i="1277" a="1"/>
  <c r="H8" i="1277" s="1"/>
  <c r="G8" i="1277" a="1"/>
  <c r="G8" i="1277" s="1"/>
  <c r="F8" i="1277" a="1"/>
  <c r="F8" i="1277" s="1"/>
  <c r="E8" i="1277" a="1"/>
  <c r="E8" i="1277" s="1"/>
  <c r="G7" i="1277" a="1"/>
  <c r="G7" i="1277" s="1"/>
  <c r="F7" i="1277" a="1"/>
  <c r="F7" i="1277" s="1"/>
  <c r="E7" i="1277" a="1"/>
  <c r="E7" i="1277" s="1"/>
  <c r="H7" i="1277" a="1"/>
  <c r="H7" i="1277" s="1"/>
  <c r="H4" i="1277" a="1"/>
  <c r="H4" i="1277" s="1"/>
  <c r="G4" i="1277" a="1"/>
  <c r="G4" i="1277" s="1"/>
  <c r="F4" i="1277" a="1"/>
  <c r="F4" i="1277" s="1"/>
  <c r="E4" i="1277" a="1"/>
  <c r="E4" i="1277" s="1"/>
  <c r="G3" i="1276" a="1"/>
  <c r="G3" i="1276" s="1"/>
  <c r="F3" i="1276" a="1"/>
  <c r="F3" i="1276" s="1"/>
  <c r="E3" i="1276" a="1"/>
  <c r="E3" i="1276" s="1"/>
  <c r="H3" i="1276" a="1"/>
  <c r="H3" i="1276" s="1"/>
  <c r="G10" i="1276" a="1"/>
  <c r="G10" i="1276" s="1"/>
  <c r="F10" i="1276" a="1"/>
  <c r="F10" i="1276" s="1"/>
  <c r="E10" i="1276" a="1"/>
  <c r="E10" i="1276" s="1"/>
  <c r="H10" i="1276" a="1"/>
  <c r="H10" i="1276" s="1"/>
  <c r="F6" i="1276" a="1"/>
  <c r="F6" i="1276" s="1"/>
  <c r="E6" i="1276" a="1"/>
  <c r="E6" i="1276" s="1"/>
  <c r="H6" i="1276" a="1"/>
  <c r="H6" i="1276" s="1"/>
  <c r="G6" i="1276" a="1"/>
  <c r="G6" i="1276" s="1"/>
  <c r="F9" i="1276" a="1"/>
  <c r="F9" i="1276" s="1"/>
  <c r="E9" i="1276" a="1"/>
  <c r="E9" i="1276" s="1"/>
  <c r="H9" i="1276" a="1"/>
  <c r="H9" i="1276" s="1"/>
  <c r="G9" i="1276" a="1"/>
  <c r="G9" i="1276" s="1"/>
  <c r="F12" i="1276" a="1"/>
  <c r="F12" i="1276" s="1"/>
  <c r="E12" i="1276" a="1"/>
  <c r="E12" i="1276" s="1"/>
  <c r="H12" i="1276" a="1"/>
  <c r="H12" i="1276" s="1"/>
  <c r="G12" i="1276" a="1"/>
  <c r="G12" i="1276" s="1"/>
  <c r="E5" i="1276" a="1"/>
  <c r="E5" i="1276" s="1"/>
  <c r="H5" i="1276" a="1"/>
  <c r="H5" i="1276" s="1"/>
  <c r="G5" i="1276" a="1"/>
  <c r="G5" i="1276" s="1"/>
  <c r="F5" i="1276" a="1"/>
  <c r="F5" i="1276" s="1"/>
  <c r="H8" i="1276" a="1"/>
  <c r="H8" i="1276" s="1"/>
  <c r="G8" i="1276" a="1"/>
  <c r="G8" i="1276" s="1"/>
  <c r="F8" i="1276" a="1"/>
  <c r="F8" i="1276" s="1"/>
  <c r="E8" i="1276" a="1"/>
  <c r="E8" i="1276" s="1"/>
  <c r="H11" i="1276" a="1"/>
  <c r="H11" i="1276" s="1"/>
  <c r="G11" i="1276" a="1"/>
  <c r="G11" i="1276" s="1"/>
  <c r="F11" i="1276" a="1"/>
  <c r="F11" i="1276" s="1"/>
  <c r="E11" i="1276" a="1"/>
  <c r="E11" i="1276" s="1"/>
  <c r="G7" i="1276" a="1"/>
  <c r="G7" i="1276" s="1"/>
  <c r="F7" i="1276" a="1"/>
  <c r="F7" i="1276" s="1"/>
  <c r="E7" i="1276" a="1"/>
  <c r="E7" i="1276" s="1"/>
  <c r="H7" i="1276" a="1"/>
  <c r="H7" i="1276" s="1"/>
  <c r="H4" i="1276" a="1"/>
  <c r="H4" i="1276" s="1"/>
  <c r="G4" i="1276" a="1"/>
  <c r="G4" i="1276" s="1"/>
  <c r="F4" i="1276" a="1"/>
  <c r="F4" i="1276" s="1"/>
  <c r="E4" i="1276" a="1"/>
  <c r="E4" i="1276" s="1"/>
  <c r="G10" i="1275" a="1"/>
  <c r="G10" i="1275" s="1"/>
  <c r="F10" i="1275" a="1"/>
  <c r="F10" i="1275" s="1"/>
  <c r="E10" i="1275" a="1"/>
  <c r="E10" i="1275" s="1"/>
  <c r="H10" i="1275" a="1"/>
  <c r="H10" i="1275" s="1"/>
  <c r="F6" i="1275" a="1"/>
  <c r="F6" i="1275" s="1"/>
  <c r="E6" i="1275" a="1"/>
  <c r="E6" i="1275" s="1"/>
  <c r="H6" i="1275" a="1"/>
  <c r="H6" i="1275" s="1"/>
  <c r="G6" i="1275" a="1"/>
  <c r="G6" i="1275" s="1"/>
  <c r="F9" i="1275" a="1"/>
  <c r="F9" i="1275" s="1"/>
  <c r="E9" i="1275" a="1"/>
  <c r="E9" i="1275" s="1"/>
  <c r="H9" i="1275" a="1"/>
  <c r="H9" i="1275" s="1"/>
  <c r="G9" i="1275" a="1"/>
  <c r="G9" i="1275" s="1"/>
  <c r="F12" i="1275" a="1"/>
  <c r="F12" i="1275" s="1"/>
  <c r="E12" i="1275" a="1"/>
  <c r="E12" i="1275" s="1"/>
  <c r="H12" i="1275" a="1"/>
  <c r="H12" i="1275" s="1"/>
  <c r="G12" i="1275" a="1"/>
  <c r="G12" i="1275" s="1"/>
  <c r="E5" i="1275" a="1"/>
  <c r="E5" i="1275" s="1"/>
  <c r="H5" i="1275" a="1"/>
  <c r="H5" i="1275" s="1"/>
  <c r="G5" i="1275" a="1"/>
  <c r="G5" i="1275" s="1"/>
  <c r="F5" i="1275" a="1"/>
  <c r="F5" i="1275" s="1"/>
  <c r="H8" i="1275" a="1"/>
  <c r="H8" i="1275" s="1"/>
  <c r="G8" i="1275" a="1"/>
  <c r="G8" i="1275" s="1"/>
  <c r="F8" i="1275" a="1"/>
  <c r="F8" i="1275" s="1"/>
  <c r="E8" i="1275" a="1"/>
  <c r="E8" i="1275" s="1"/>
  <c r="H11" i="1275" a="1"/>
  <c r="H11" i="1275" s="1"/>
  <c r="G11" i="1275" a="1"/>
  <c r="G11" i="1275" s="1"/>
  <c r="F11" i="1275" a="1"/>
  <c r="F11" i="1275" s="1"/>
  <c r="E11" i="1275" a="1"/>
  <c r="E11" i="1275" s="1"/>
  <c r="G7" i="1275" a="1"/>
  <c r="G7" i="1275" s="1"/>
  <c r="F7" i="1275" a="1"/>
  <c r="F7" i="1275" s="1"/>
  <c r="E7" i="1275" a="1"/>
  <c r="E7" i="1275" s="1"/>
  <c r="H7" i="1275" a="1"/>
  <c r="H7" i="1275" s="1"/>
  <c r="G3" i="1275" a="1"/>
  <c r="G3" i="1275" s="1"/>
  <c r="F3" i="1275" a="1"/>
  <c r="F3" i="1275" s="1"/>
  <c r="E3" i="1275" a="1"/>
  <c r="E3" i="1275" s="1"/>
  <c r="H3" i="1275" a="1"/>
  <c r="H3" i="1275" s="1"/>
  <c r="H4" i="1275" a="1"/>
  <c r="H4" i="1275" s="1"/>
  <c r="G4" i="1275" a="1"/>
  <c r="G4" i="1275" s="1"/>
  <c r="F4" i="1275" a="1"/>
  <c r="F4" i="1275" s="1"/>
  <c r="E4" i="1275" a="1"/>
  <c r="E4" i="1275" s="1"/>
  <c r="G7" i="1274" a="1"/>
  <c r="G7" i="1274" s="1"/>
  <c r="F7" i="1274" a="1"/>
  <c r="F7" i="1274" s="1"/>
  <c r="E7" i="1274" a="1"/>
  <c r="E7" i="1274" s="1"/>
  <c r="H7" i="1274" a="1"/>
  <c r="H7" i="1274" s="1"/>
  <c r="F6" i="1274" a="1"/>
  <c r="F6" i="1274" s="1"/>
  <c r="E6" i="1274" a="1"/>
  <c r="E6" i="1274" s="1"/>
  <c r="H6" i="1274" a="1"/>
  <c r="H6" i="1274" s="1"/>
  <c r="G6" i="1274" a="1"/>
  <c r="G6" i="1274" s="1"/>
  <c r="E5" i="1274" a="1"/>
  <c r="E5" i="1274" s="1"/>
  <c r="H5" i="1274" a="1"/>
  <c r="H5" i="1274" s="1"/>
  <c r="G5" i="1274" a="1"/>
  <c r="G5" i="1274" s="1"/>
  <c r="F5" i="1274" a="1"/>
  <c r="F5" i="1274" s="1"/>
  <c r="H8" i="1274" a="1"/>
  <c r="H8" i="1274" s="1"/>
  <c r="G8" i="1274" a="1"/>
  <c r="G8" i="1274" s="1"/>
  <c r="F8" i="1274" a="1"/>
  <c r="F8" i="1274" s="1"/>
  <c r="E8" i="1274" a="1"/>
  <c r="E8" i="1274" s="1"/>
  <c r="F9" i="1274" a="1"/>
  <c r="F9" i="1274" s="1"/>
  <c r="E9" i="1274" a="1"/>
  <c r="E9" i="1274" s="1"/>
  <c r="H9" i="1274" a="1"/>
  <c r="H9" i="1274" s="1"/>
  <c r="G9" i="1274" a="1"/>
  <c r="G9" i="1274" s="1"/>
  <c r="F12" i="1274" a="1"/>
  <c r="F12" i="1274" s="1"/>
  <c r="E12" i="1274" a="1"/>
  <c r="E12" i="1274" s="1"/>
  <c r="H12" i="1274" a="1"/>
  <c r="H12" i="1274" s="1"/>
  <c r="G12" i="1274" a="1"/>
  <c r="G12" i="1274" s="1"/>
  <c r="G3" i="1274" a="1"/>
  <c r="G3" i="1274" s="1"/>
  <c r="F3" i="1274" a="1"/>
  <c r="F3" i="1274" s="1"/>
  <c r="E3" i="1274" a="1"/>
  <c r="E3" i="1274" s="1"/>
  <c r="H3" i="1274" a="1"/>
  <c r="H3" i="1274" s="1"/>
  <c r="H11" i="1274" a="1"/>
  <c r="H11" i="1274" s="1"/>
  <c r="E11" i="1274" a="1"/>
  <c r="E11" i="1274" s="1"/>
  <c r="G11" i="1274" a="1"/>
  <c r="G11" i="1274" s="1"/>
  <c r="F11" i="1274" a="1"/>
  <c r="F11" i="1274" s="1"/>
  <c r="G10" i="1274" a="1"/>
  <c r="G10" i="1274" s="1"/>
  <c r="F10" i="1274" a="1"/>
  <c r="F10" i="1274" s="1"/>
  <c r="E10" i="1274" a="1"/>
  <c r="E10" i="1274" s="1"/>
  <c r="H10" i="1274" a="1"/>
  <c r="H10" i="1274" s="1"/>
  <c r="H4" i="1274" a="1"/>
  <c r="H4" i="1274" s="1"/>
  <c r="G4" i="1274" a="1"/>
  <c r="G4" i="1274" s="1"/>
  <c r="F4" i="1274" a="1"/>
  <c r="F4" i="1274" s="1"/>
  <c r="E4" i="1274" a="1"/>
  <c r="E4" i="1274" s="1"/>
  <c r="G7" i="1273" a="1"/>
  <c r="G7" i="1273" s="1"/>
  <c r="F7" i="1273" a="1"/>
  <c r="F7" i="1273" s="1"/>
  <c r="E7" i="1273" a="1"/>
  <c r="E7" i="1273" s="1"/>
  <c r="H7" i="1273" a="1"/>
  <c r="H7" i="1273" s="1"/>
  <c r="H11" i="1273" a="1"/>
  <c r="H11" i="1273" s="1"/>
  <c r="G11" i="1273" a="1"/>
  <c r="G11" i="1273" s="1"/>
  <c r="F11" i="1273" a="1"/>
  <c r="F11" i="1273" s="1"/>
  <c r="E11" i="1273" a="1"/>
  <c r="E11" i="1273" s="1"/>
  <c r="G3" i="1273" a="1"/>
  <c r="G3" i="1273" s="1"/>
  <c r="F3" i="1273" a="1"/>
  <c r="F3" i="1273" s="1"/>
  <c r="E3" i="1273" a="1"/>
  <c r="E3" i="1273" s="1"/>
  <c r="H3" i="1273" a="1"/>
  <c r="H3" i="1273" s="1"/>
  <c r="H4" i="1273" a="1"/>
  <c r="H4" i="1273" s="1"/>
  <c r="G4" i="1273" a="1"/>
  <c r="G4" i="1273" s="1"/>
  <c r="F4" i="1273" a="1"/>
  <c r="F4" i="1273" s="1"/>
  <c r="E4" i="1273" a="1"/>
  <c r="E4" i="1273" s="1"/>
  <c r="G10" i="1273" a="1"/>
  <c r="G10" i="1273" s="1"/>
  <c r="F10" i="1273" a="1"/>
  <c r="F10" i="1273" s="1"/>
  <c r="E10" i="1273" a="1"/>
  <c r="E10" i="1273" s="1"/>
  <c r="H10" i="1273" a="1"/>
  <c r="H10" i="1273" s="1"/>
  <c r="F6" i="1273" a="1"/>
  <c r="F6" i="1273" s="1"/>
  <c r="E6" i="1273" a="1"/>
  <c r="E6" i="1273" s="1"/>
  <c r="H6" i="1273" a="1"/>
  <c r="H6" i="1273" s="1"/>
  <c r="G6" i="1273" a="1"/>
  <c r="G6" i="1273" s="1"/>
  <c r="F9" i="1273" a="1"/>
  <c r="F9" i="1273" s="1"/>
  <c r="E9" i="1273" a="1"/>
  <c r="E9" i="1273" s="1"/>
  <c r="H9" i="1273" a="1"/>
  <c r="H9" i="1273" s="1"/>
  <c r="G9" i="1273" a="1"/>
  <c r="G9" i="1273" s="1"/>
  <c r="F12" i="1273" a="1"/>
  <c r="F12" i="1273" s="1"/>
  <c r="E12" i="1273" a="1"/>
  <c r="E12" i="1273" s="1"/>
  <c r="H12" i="1273" a="1"/>
  <c r="H12" i="1273" s="1"/>
  <c r="G12" i="1273" a="1"/>
  <c r="G12" i="1273" s="1"/>
  <c r="E5" i="1273" a="1"/>
  <c r="E5" i="1273" s="1"/>
  <c r="H5" i="1273" a="1"/>
  <c r="H5" i="1273" s="1"/>
  <c r="G5" i="1273" a="1"/>
  <c r="G5" i="1273" s="1"/>
  <c r="F5" i="1273" a="1"/>
  <c r="F5" i="1273" s="1"/>
  <c r="H8" i="1273" a="1"/>
  <c r="H8" i="1273" s="1"/>
  <c r="G8" i="1273" a="1"/>
  <c r="G8" i="1273" s="1"/>
  <c r="F8" i="1273" a="1"/>
  <c r="F8" i="1273" s="1"/>
  <c r="E8" i="1273" a="1"/>
  <c r="E8" i="1273" s="1"/>
  <c r="G10" i="1272" a="1"/>
  <c r="G10" i="1272" s="1"/>
  <c r="F10" i="1272" a="1"/>
  <c r="F10" i="1272" s="1"/>
  <c r="E10" i="1272" a="1"/>
  <c r="E10" i="1272" s="1"/>
  <c r="H10" i="1272" a="1"/>
  <c r="H10" i="1272" s="1"/>
  <c r="F6" i="1272" a="1"/>
  <c r="F6" i="1272" s="1"/>
  <c r="E6" i="1272" a="1"/>
  <c r="E6" i="1272" s="1"/>
  <c r="H6" i="1272" a="1"/>
  <c r="H6" i="1272" s="1"/>
  <c r="G6" i="1272" a="1"/>
  <c r="G6" i="1272" s="1"/>
  <c r="F9" i="1272" a="1"/>
  <c r="F9" i="1272" s="1"/>
  <c r="E9" i="1272" a="1"/>
  <c r="E9" i="1272" s="1"/>
  <c r="H9" i="1272" a="1"/>
  <c r="H9" i="1272" s="1"/>
  <c r="G9" i="1272" a="1"/>
  <c r="G9" i="1272" s="1"/>
  <c r="F12" i="1272" a="1"/>
  <c r="F12" i="1272" s="1"/>
  <c r="E12" i="1272" a="1"/>
  <c r="E12" i="1272" s="1"/>
  <c r="H12" i="1272" a="1"/>
  <c r="H12" i="1272" s="1"/>
  <c r="G12" i="1272" a="1"/>
  <c r="G12" i="1272" s="1"/>
  <c r="H8" i="1272" a="1"/>
  <c r="H8" i="1272" s="1"/>
  <c r="G8" i="1272" a="1"/>
  <c r="G8" i="1272" s="1"/>
  <c r="F8" i="1272" a="1"/>
  <c r="F8" i="1272" s="1"/>
  <c r="E8" i="1272" a="1"/>
  <c r="E8" i="1272" s="1"/>
  <c r="H11" i="1272" a="1"/>
  <c r="H11" i="1272" s="1"/>
  <c r="F11" i="1272" a="1"/>
  <c r="F11" i="1272" s="1"/>
  <c r="G11" i="1272" a="1"/>
  <c r="G11" i="1272" s="1"/>
  <c r="E11" i="1272" a="1"/>
  <c r="E11" i="1272" s="1"/>
  <c r="G7" i="1272" a="1"/>
  <c r="G7" i="1272" s="1"/>
  <c r="F7" i="1272" a="1"/>
  <c r="F7" i="1272" s="1"/>
  <c r="H7" i="1272" a="1"/>
  <c r="H7" i="1272" s="1"/>
  <c r="E7" i="1272" a="1"/>
  <c r="E7" i="1272" s="1"/>
  <c r="E5" i="1272" a="1"/>
  <c r="E5" i="1272" s="1"/>
  <c r="H5" i="1272" a="1"/>
  <c r="H5" i="1272" s="1"/>
  <c r="F5" i="1272" a="1"/>
  <c r="F5" i="1272" s="1"/>
  <c r="G5" i="1272" a="1"/>
  <c r="G5" i="1272" s="1"/>
  <c r="G3" i="1272" a="1"/>
  <c r="G3" i="1272" s="1"/>
  <c r="F3" i="1272" a="1"/>
  <c r="F3" i="1272" s="1"/>
  <c r="E3" i="1272" a="1"/>
  <c r="E3" i="1272" s="1"/>
  <c r="H3" i="1272" a="1"/>
  <c r="H3" i="1272" s="1"/>
  <c r="H4" i="1272" a="1"/>
  <c r="H4" i="1272" s="1"/>
  <c r="G4" i="1272" a="1"/>
  <c r="G4" i="1272" s="1"/>
  <c r="F4" i="1272" a="1"/>
  <c r="F4" i="1272" s="1"/>
  <c r="E4" i="1272" a="1"/>
  <c r="E4" i="1272" s="1"/>
  <c r="G7" i="1271" a="1"/>
  <c r="G7" i="1271" s="1"/>
  <c r="F7" i="1271" a="1"/>
  <c r="F7" i="1271" s="1"/>
  <c r="E7" i="1271" a="1"/>
  <c r="E7" i="1271" s="1"/>
  <c r="H7" i="1271" a="1"/>
  <c r="H7" i="1271" s="1"/>
  <c r="G3" i="1271" a="1"/>
  <c r="G3" i="1271" s="1"/>
  <c r="F3" i="1271" a="1"/>
  <c r="F3" i="1271" s="1"/>
  <c r="E3" i="1271" a="1"/>
  <c r="E3" i="1271" s="1"/>
  <c r="H3" i="1271" a="1"/>
  <c r="H3" i="1271" s="1"/>
  <c r="H4" i="1271" a="1"/>
  <c r="H4" i="1271" s="1"/>
  <c r="G4" i="1271" a="1"/>
  <c r="G4" i="1271" s="1"/>
  <c r="F4" i="1271" a="1"/>
  <c r="F4" i="1271" s="1"/>
  <c r="E4" i="1271" a="1"/>
  <c r="E4" i="1271" s="1"/>
  <c r="G10" i="1271" a="1"/>
  <c r="G10" i="1271" s="1"/>
  <c r="F10" i="1271" a="1"/>
  <c r="F10" i="1271" s="1"/>
  <c r="E10" i="1271" a="1"/>
  <c r="E10" i="1271" s="1"/>
  <c r="H10" i="1271" a="1"/>
  <c r="H10" i="1271" s="1"/>
  <c r="F9" i="1271" a="1"/>
  <c r="F9" i="1271" s="1"/>
  <c r="E9" i="1271" a="1"/>
  <c r="E9" i="1271" s="1"/>
  <c r="H9" i="1271" a="1"/>
  <c r="H9" i="1271" s="1"/>
  <c r="G9" i="1271" a="1"/>
  <c r="G9" i="1271" s="1"/>
  <c r="F6" i="1271" a="1"/>
  <c r="F6" i="1271" s="1"/>
  <c r="E6" i="1271" a="1"/>
  <c r="E6" i="1271" s="1"/>
  <c r="H6" i="1271" a="1"/>
  <c r="H6" i="1271" s="1"/>
  <c r="G6" i="1271" a="1"/>
  <c r="G6" i="1271" s="1"/>
  <c r="F12" i="1271" a="1"/>
  <c r="F12" i="1271" s="1"/>
  <c r="E12" i="1271" a="1"/>
  <c r="E12" i="1271" s="1"/>
  <c r="H12" i="1271" a="1"/>
  <c r="H12" i="1271" s="1"/>
  <c r="G12" i="1271" a="1"/>
  <c r="G12" i="1271" s="1"/>
  <c r="E5" i="1271" a="1"/>
  <c r="E5" i="1271" s="1"/>
  <c r="H5" i="1271" a="1"/>
  <c r="H5" i="1271" s="1"/>
  <c r="G5" i="1271" a="1"/>
  <c r="G5" i="1271" s="1"/>
  <c r="F5" i="1271" a="1"/>
  <c r="F5" i="1271" s="1"/>
  <c r="H11" i="1271" a="1"/>
  <c r="H11" i="1271" s="1"/>
  <c r="G11" i="1271" a="1"/>
  <c r="G11" i="1271" s="1"/>
  <c r="F11" i="1271" a="1"/>
  <c r="F11" i="1271" s="1"/>
  <c r="E11" i="1271" a="1"/>
  <c r="E11" i="1271" s="1"/>
  <c r="H8" i="1271" a="1"/>
  <c r="H8" i="1271" s="1"/>
  <c r="G8" i="1271" a="1"/>
  <c r="G8" i="1271" s="1"/>
  <c r="F8" i="1271" a="1"/>
  <c r="F8" i="1271" s="1"/>
  <c r="E8" i="1271" a="1"/>
  <c r="E8" i="1271" s="1"/>
  <c r="G3" i="1270" a="1"/>
  <c r="G3" i="1270" s="1"/>
  <c r="F3" i="1270" a="1"/>
  <c r="F3" i="1270" s="1"/>
  <c r="E3" i="1270" a="1"/>
  <c r="E3" i="1270" s="1"/>
  <c r="H3" i="1270" a="1"/>
  <c r="H3" i="1270" s="1"/>
  <c r="F6" i="1270" a="1"/>
  <c r="F6" i="1270" s="1"/>
  <c r="E6" i="1270" a="1"/>
  <c r="E6" i="1270" s="1"/>
  <c r="H6" i="1270" a="1"/>
  <c r="H6" i="1270" s="1"/>
  <c r="G6" i="1270" a="1"/>
  <c r="G6" i="1270" s="1"/>
  <c r="F9" i="1270" a="1"/>
  <c r="F9" i="1270" s="1"/>
  <c r="E9" i="1270" a="1"/>
  <c r="E9" i="1270" s="1"/>
  <c r="H9" i="1270" a="1"/>
  <c r="H9" i="1270" s="1"/>
  <c r="G9" i="1270" a="1"/>
  <c r="G9" i="1270" s="1"/>
  <c r="E5" i="1270" a="1"/>
  <c r="E5" i="1270" s="1"/>
  <c r="H5" i="1270" a="1"/>
  <c r="H5" i="1270" s="1"/>
  <c r="G5" i="1270" a="1"/>
  <c r="G5" i="1270" s="1"/>
  <c r="F5" i="1270" a="1"/>
  <c r="F5" i="1270" s="1"/>
  <c r="F12" i="1270" a="1"/>
  <c r="F12" i="1270" s="1"/>
  <c r="E12" i="1270" a="1"/>
  <c r="E12" i="1270" s="1"/>
  <c r="H12" i="1270" a="1"/>
  <c r="H12" i="1270" s="1"/>
  <c r="G12" i="1270" a="1"/>
  <c r="G12" i="1270" s="1"/>
  <c r="G8" i="1270" a="1"/>
  <c r="G8" i="1270" s="1"/>
  <c r="F8" i="1270" a="1"/>
  <c r="F8" i="1270" s="1"/>
  <c r="E8" i="1270" a="1"/>
  <c r="E8" i="1270" s="1"/>
  <c r="H8" i="1270" a="1"/>
  <c r="H8" i="1270" s="1"/>
  <c r="G11" i="1270" a="1"/>
  <c r="G11" i="1270" s="1"/>
  <c r="F11" i="1270" a="1"/>
  <c r="F11" i="1270" s="1"/>
  <c r="E11" i="1270" a="1"/>
  <c r="E11" i="1270" s="1"/>
  <c r="H11" i="1270" a="1"/>
  <c r="H11" i="1270" s="1"/>
  <c r="F7" i="1270" a="1"/>
  <c r="F7" i="1270" s="1"/>
  <c r="E7" i="1270" a="1"/>
  <c r="E7" i="1270" s="1"/>
  <c r="H7" i="1270" a="1"/>
  <c r="H7" i="1270" s="1"/>
  <c r="G7" i="1270" a="1"/>
  <c r="G7" i="1270" s="1"/>
  <c r="G10" i="1270" a="1"/>
  <c r="G10" i="1270" s="1"/>
  <c r="F10" i="1270" a="1"/>
  <c r="F10" i="1270" s="1"/>
  <c r="E10" i="1270" a="1"/>
  <c r="E10" i="1270" s="1"/>
  <c r="H10" i="1270" a="1"/>
  <c r="H10" i="1270" s="1"/>
  <c r="H4" i="1270" a="1"/>
  <c r="H4" i="1270" s="1"/>
  <c r="G4" i="1270" a="1"/>
  <c r="G4" i="1270" s="1"/>
  <c r="F4" i="1270" a="1"/>
  <c r="F4" i="1270" s="1"/>
  <c r="E4" i="1270" a="1"/>
  <c r="E4" i="1270" s="1"/>
  <c r="G3" i="1269" a="1"/>
  <c r="G3" i="1269" s="1"/>
  <c r="F3" i="1269" a="1"/>
  <c r="F3" i="1269" s="1"/>
  <c r="E3" i="1269" a="1"/>
  <c r="E3" i="1269" s="1"/>
  <c r="H3" i="1269" a="1"/>
  <c r="H3" i="1269" s="1"/>
  <c r="F9" i="1269" a="1"/>
  <c r="F9" i="1269" s="1"/>
  <c r="E9" i="1269" a="1"/>
  <c r="E9" i="1269" s="1"/>
  <c r="H9" i="1269" a="1"/>
  <c r="H9" i="1269" s="1"/>
  <c r="G9" i="1269" a="1"/>
  <c r="G9" i="1269" s="1"/>
  <c r="F12" i="1269" a="1"/>
  <c r="F12" i="1269" s="1"/>
  <c r="E12" i="1269" a="1"/>
  <c r="E12" i="1269" s="1"/>
  <c r="H12" i="1269" a="1"/>
  <c r="H12" i="1269" s="1"/>
  <c r="G12" i="1269" a="1"/>
  <c r="G12" i="1269" s="1"/>
  <c r="F6" i="1269" a="1"/>
  <c r="F6" i="1269" s="1"/>
  <c r="E6" i="1269" a="1"/>
  <c r="E6" i="1269" s="1"/>
  <c r="H6" i="1269" a="1"/>
  <c r="H6" i="1269" s="1"/>
  <c r="G6" i="1269" a="1"/>
  <c r="G6" i="1269" s="1"/>
  <c r="E5" i="1269" a="1"/>
  <c r="E5" i="1269" s="1"/>
  <c r="H5" i="1269" a="1"/>
  <c r="H5" i="1269" s="1"/>
  <c r="G5" i="1269" a="1"/>
  <c r="G5" i="1269" s="1"/>
  <c r="F5" i="1269" a="1"/>
  <c r="F5" i="1269" s="1"/>
  <c r="H8" i="1269" a="1"/>
  <c r="H8" i="1269" s="1"/>
  <c r="G8" i="1269" a="1"/>
  <c r="G8" i="1269" s="1"/>
  <c r="F8" i="1269" a="1"/>
  <c r="F8" i="1269" s="1"/>
  <c r="E8" i="1269" a="1"/>
  <c r="E8" i="1269" s="1"/>
  <c r="G7" i="1269" a="1"/>
  <c r="G7" i="1269" s="1"/>
  <c r="F7" i="1269" a="1"/>
  <c r="F7" i="1269" s="1"/>
  <c r="E7" i="1269" a="1"/>
  <c r="E7" i="1269" s="1"/>
  <c r="H7" i="1269" a="1"/>
  <c r="H7" i="1269" s="1"/>
  <c r="H11" i="1269" a="1"/>
  <c r="H11" i="1269" s="1"/>
  <c r="G11" i="1269" a="1"/>
  <c r="G11" i="1269" s="1"/>
  <c r="F11" i="1269" a="1"/>
  <c r="F11" i="1269" s="1"/>
  <c r="E11" i="1269" a="1"/>
  <c r="E11" i="1269" s="1"/>
  <c r="G10" i="1269" a="1"/>
  <c r="G10" i="1269" s="1"/>
  <c r="F10" i="1269" a="1"/>
  <c r="F10" i="1269" s="1"/>
  <c r="E10" i="1269" a="1"/>
  <c r="E10" i="1269" s="1"/>
  <c r="H10" i="1269" a="1"/>
  <c r="H10" i="1269" s="1"/>
  <c r="H4" i="1269" a="1"/>
  <c r="H4" i="1269" s="1"/>
  <c r="G4" i="1269" a="1"/>
  <c r="G4" i="1269" s="1"/>
  <c r="F4" i="1269" a="1"/>
  <c r="F4" i="1269" s="1"/>
  <c r="E4" i="1269" a="1"/>
  <c r="E4" i="1269" s="1"/>
  <c r="G3" i="1268" a="1"/>
  <c r="G3" i="1268" s="1"/>
  <c r="F3" i="1268" a="1"/>
  <c r="F3" i="1268" s="1"/>
  <c r="E3" i="1268" a="1"/>
  <c r="E3" i="1268" s="1"/>
  <c r="H3" i="1268" a="1"/>
  <c r="H3" i="1268" s="1"/>
  <c r="F9" i="1268" a="1"/>
  <c r="F9" i="1268" s="1"/>
  <c r="E9" i="1268" a="1"/>
  <c r="E9" i="1268" s="1"/>
  <c r="H9" i="1268" a="1"/>
  <c r="H9" i="1268" s="1"/>
  <c r="G9" i="1268" a="1"/>
  <c r="G9" i="1268" s="1"/>
  <c r="F12" i="1268" a="1"/>
  <c r="F12" i="1268" s="1"/>
  <c r="E12" i="1268" a="1"/>
  <c r="E12" i="1268" s="1"/>
  <c r="H12" i="1268" a="1"/>
  <c r="H12" i="1268" s="1"/>
  <c r="G12" i="1268" a="1"/>
  <c r="G12" i="1268" s="1"/>
  <c r="E5" i="1268" a="1"/>
  <c r="E5" i="1268" s="1"/>
  <c r="H5" i="1268" a="1"/>
  <c r="H5" i="1268" s="1"/>
  <c r="G5" i="1268" a="1"/>
  <c r="G5" i="1268" s="1"/>
  <c r="F5" i="1268" a="1"/>
  <c r="F5" i="1268" s="1"/>
  <c r="F6" i="1268" a="1"/>
  <c r="F6" i="1268" s="1"/>
  <c r="E6" i="1268" a="1"/>
  <c r="E6" i="1268" s="1"/>
  <c r="H6" i="1268" a="1"/>
  <c r="H6" i="1268" s="1"/>
  <c r="G6" i="1268" a="1"/>
  <c r="G6" i="1268" s="1"/>
  <c r="H8" i="1268" a="1"/>
  <c r="H8" i="1268" s="1"/>
  <c r="G8" i="1268" a="1"/>
  <c r="G8" i="1268" s="1"/>
  <c r="F8" i="1268" a="1"/>
  <c r="F8" i="1268" s="1"/>
  <c r="E8" i="1268" a="1"/>
  <c r="E8" i="1268" s="1"/>
  <c r="G7" i="1268" a="1"/>
  <c r="G7" i="1268" s="1"/>
  <c r="F7" i="1268" a="1"/>
  <c r="F7" i="1268" s="1"/>
  <c r="E7" i="1268" a="1"/>
  <c r="E7" i="1268" s="1"/>
  <c r="H7" i="1268" a="1"/>
  <c r="H7" i="1268" s="1"/>
  <c r="H11" i="1268" a="1"/>
  <c r="H11" i="1268" s="1"/>
  <c r="G11" i="1268" a="1"/>
  <c r="G11" i="1268" s="1"/>
  <c r="F11" i="1268" a="1"/>
  <c r="F11" i="1268" s="1"/>
  <c r="E11" i="1268" a="1"/>
  <c r="E11" i="1268" s="1"/>
  <c r="G10" i="1268" a="1"/>
  <c r="G10" i="1268" s="1"/>
  <c r="F10" i="1268" a="1"/>
  <c r="F10" i="1268" s="1"/>
  <c r="E10" i="1268" a="1"/>
  <c r="E10" i="1268" s="1"/>
  <c r="H10" i="1268" a="1"/>
  <c r="H10" i="1268" s="1"/>
  <c r="H4" i="1268" a="1"/>
  <c r="H4" i="1268" s="1"/>
  <c r="G4" i="1268" a="1"/>
  <c r="G4" i="1268" s="1"/>
  <c r="F4" i="1268" a="1"/>
  <c r="F4" i="1268" s="1"/>
  <c r="E4" i="1268" a="1"/>
  <c r="E4" i="1268" s="1"/>
  <c r="F6" i="1267" a="1"/>
  <c r="F6" i="1267" s="1"/>
  <c r="H6" i="1267" a="1"/>
  <c r="H6" i="1267" s="1"/>
  <c r="G6" i="1267" a="1"/>
  <c r="G6" i="1267" s="1"/>
  <c r="E6" i="1267" a="1"/>
  <c r="E6" i="1267" s="1"/>
  <c r="F9" i="1267" a="1"/>
  <c r="F9" i="1267" s="1"/>
  <c r="E9" i="1267" a="1"/>
  <c r="E9" i="1267" s="1"/>
  <c r="H9" i="1267" a="1"/>
  <c r="H9" i="1267" s="1"/>
  <c r="G9" i="1267" a="1"/>
  <c r="G9" i="1267" s="1"/>
  <c r="F12" i="1267" a="1"/>
  <c r="F12" i="1267" s="1"/>
  <c r="E12" i="1267" a="1"/>
  <c r="E12" i="1267" s="1"/>
  <c r="H12" i="1267" a="1"/>
  <c r="H12" i="1267" s="1"/>
  <c r="G12" i="1267" a="1"/>
  <c r="G12" i="1267" s="1"/>
  <c r="G8" i="1267" a="1"/>
  <c r="G8" i="1267" s="1"/>
  <c r="H8" i="1267" a="1"/>
  <c r="H8" i="1267" s="1"/>
  <c r="F8" i="1267" a="1"/>
  <c r="F8" i="1267" s="1"/>
  <c r="E8" i="1267" a="1"/>
  <c r="E8" i="1267" s="1"/>
  <c r="G3" i="1267" a="1"/>
  <c r="G3" i="1267" s="1"/>
  <c r="E3" i="1267" a="1"/>
  <c r="E3" i="1267" s="1"/>
  <c r="H3" i="1267" a="1"/>
  <c r="H3" i="1267" s="1"/>
  <c r="F3" i="1267" a="1"/>
  <c r="F3" i="1267" s="1"/>
  <c r="H5" i="1267" a="1"/>
  <c r="H5" i="1267" s="1"/>
  <c r="F5" i="1267" a="1"/>
  <c r="F5" i="1267" s="1"/>
  <c r="E5" i="1267" a="1"/>
  <c r="E5" i="1267" s="1"/>
  <c r="G5" i="1267" a="1"/>
  <c r="G5" i="1267" s="1"/>
  <c r="G10" i="1267" a="1"/>
  <c r="G10" i="1267" s="1"/>
  <c r="E10" i="1267" a="1"/>
  <c r="E10" i="1267" s="1"/>
  <c r="H10" i="1267" a="1"/>
  <c r="H10" i="1267" s="1"/>
  <c r="F10" i="1267" a="1"/>
  <c r="F10" i="1267" s="1"/>
  <c r="H11" i="1267" a="1"/>
  <c r="H11" i="1267" s="1"/>
  <c r="G11" i="1267" a="1"/>
  <c r="G11" i="1267" s="1"/>
  <c r="F11" i="1267" a="1"/>
  <c r="F11" i="1267" s="1"/>
  <c r="E11" i="1267" a="1"/>
  <c r="E11" i="1267" s="1"/>
  <c r="F7" i="1267" a="1"/>
  <c r="F7" i="1267" s="1"/>
  <c r="E7" i="1267" a="1"/>
  <c r="E7" i="1267" s="1"/>
  <c r="G7" i="1267" a="1"/>
  <c r="G7" i="1267" s="1"/>
  <c r="H7" i="1267" a="1"/>
  <c r="H7" i="1267" s="1"/>
  <c r="H4" i="1267" a="1"/>
  <c r="H4" i="1267" s="1"/>
  <c r="F4" i="1267" a="1"/>
  <c r="F4" i="1267" s="1"/>
  <c r="G4" i="1267" a="1"/>
  <c r="G4" i="1267" s="1"/>
  <c r="E4" i="1267" a="1"/>
  <c r="E4" i="1267" s="1"/>
  <c r="AA8" i="1182"/>
  <c r="AA9" i="1182"/>
  <c r="AC6" i="1182"/>
  <c r="AC7" i="1182"/>
  <c r="AC8" i="1182"/>
  <c r="AC9" i="1182"/>
  <c r="M2" i="1182"/>
  <c r="M3" i="1182"/>
  <c r="E11" i="1"/>
  <c r="E7" i="1"/>
  <c r="E14" i="1"/>
  <c r="E10" i="1"/>
  <c r="E6" i="1"/>
  <c r="E13" i="1"/>
  <c r="E9" i="1"/>
  <c r="E5" i="1"/>
  <c r="E12" i="1"/>
  <c r="E8" i="1"/>
  <c r="E4" i="1"/>
  <c r="D12" i="1"/>
  <c r="D8" i="1"/>
  <c r="D4" i="1"/>
  <c r="D11" i="1"/>
  <c r="D7" i="1"/>
  <c r="D10" i="1"/>
  <c r="D14" i="1"/>
  <c r="D6" i="1"/>
  <c r="D13" i="1"/>
  <c r="D9" i="1"/>
  <c r="D5" i="1"/>
  <c r="E3" i="1"/>
  <c r="D3" i="1"/>
  <c r="D5" i="757"/>
  <c r="D6" i="757"/>
  <c r="D7" i="757"/>
  <c r="D8" i="757"/>
  <c r="D9" i="757"/>
  <c r="D10" i="757"/>
  <c r="D11" i="757"/>
  <c r="D12" i="757"/>
  <c r="D13" i="757"/>
  <c r="D14" i="757"/>
  <c r="D15" i="757"/>
  <c r="D4" i="757"/>
  <c r="H14" i="1274" l="1"/>
  <c r="H14" i="1278"/>
  <c r="H14" i="1267"/>
  <c r="F14" i="1269"/>
  <c r="F14" i="1273"/>
  <c r="F14" i="1274"/>
  <c r="G14" i="1267"/>
  <c r="G14" i="1270"/>
  <c r="G14" i="1272"/>
  <c r="G14" i="1276"/>
  <c r="F14" i="1271"/>
  <c r="F14" i="1277"/>
  <c r="G14" i="1277"/>
  <c r="F14" i="1267"/>
  <c r="H14" i="1272"/>
  <c r="H14" i="1275"/>
  <c r="F14" i="1275"/>
  <c r="G14" i="1268"/>
  <c r="G14" i="1278"/>
  <c r="I6" i="1278"/>
  <c r="I12" i="1278"/>
  <c r="F14" i="1278"/>
  <c r="I9" i="1278"/>
  <c r="I4" i="1278"/>
  <c r="I11" i="1278"/>
  <c r="I8" i="1278"/>
  <c r="I3" i="1278"/>
  <c r="I7" i="1278"/>
  <c r="I10" i="1278"/>
  <c r="I5" i="1278"/>
  <c r="I6" i="1277"/>
  <c r="I10" i="1277"/>
  <c r="I9" i="1277"/>
  <c r="I4" i="1277"/>
  <c r="I8" i="1277"/>
  <c r="H14" i="1277"/>
  <c r="I3" i="1277"/>
  <c r="I11" i="1277"/>
  <c r="I7" i="1277"/>
  <c r="I12" i="1277"/>
  <c r="I5" i="1277"/>
  <c r="I6" i="1276"/>
  <c r="I9" i="1276"/>
  <c r="I12" i="1276"/>
  <c r="I4" i="1275"/>
  <c r="I4" i="1276"/>
  <c r="I11" i="1276"/>
  <c r="I10" i="1276"/>
  <c r="I5" i="1276"/>
  <c r="I8" i="1276"/>
  <c r="H14" i="1276"/>
  <c r="I7" i="1276"/>
  <c r="I3" i="1276"/>
  <c r="F14" i="1276"/>
  <c r="I8" i="1275"/>
  <c r="I10" i="1275"/>
  <c r="I7" i="1275"/>
  <c r="I6" i="1274"/>
  <c r="I12" i="1275"/>
  <c r="I6" i="1275"/>
  <c r="I11" i="1275"/>
  <c r="I3" i="1275"/>
  <c r="I9" i="1275"/>
  <c r="G14" i="1275"/>
  <c r="I5" i="1275"/>
  <c r="I11" i="1274"/>
  <c r="I12" i="1274"/>
  <c r="I4" i="1274"/>
  <c r="I8" i="1274"/>
  <c r="I10" i="1274"/>
  <c r="I3" i="1274"/>
  <c r="I7" i="1274"/>
  <c r="I9" i="1274"/>
  <c r="G14" i="1274"/>
  <c r="I5" i="1274"/>
  <c r="I7" i="1273"/>
  <c r="I10" i="1273"/>
  <c r="I12" i="1273"/>
  <c r="I4" i="1272"/>
  <c r="I11" i="1272"/>
  <c r="I8" i="1273"/>
  <c r="I4" i="1273"/>
  <c r="I11" i="1273"/>
  <c r="I6" i="1273"/>
  <c r="H14" i="1273"/>
  <c r="I3" i="1273"/>
  <c r="I9" i="1273"/>
  <c r="I5" i="1273"/>
  <c r="G14" i="1273"/>
  <c r="I7" i="1272"/>
  <c r="I8" i="1272"/>
  <c r="I12" i="1272"/>
  <c r="I6" i="1272"/>
  <c r="I5" i="1272"/>
  <c r="I3" i="1272"/>
  <c r="I10" i="1272"/>
  <c r="F14" i="1272"/>
  <c r="I9" i="1272"/>
  <c r="I6" i="1271"/>
  <c r="I12" i="1271"/>
  <c r="I8" i="1271"/>
  <c r="H14" i="1271"/>
  <c r="I10" i="1271"/>
  <c r="I3" i="1271"/>
  <c r="I5" i="1271"/>
  <c r="G14" i="1271"/>
  <c r="I11" i="1271"/>
  <c r="I4" i="1271"/>
  <c r="I7" i="1271"/>
  <c r="I9" i="1271"/>
  <c r="I6" i="1270"/>
  <c r="I12" i="1270"/>
  <c r="I9" i="1270"/>
  <c r="I4" i="1270"/>
  <c r="I8" i="1270"/>
  <c r="I7" i="1270"/>
  <c r="I5" i="1270"/>
  <c r="H14" i="1270"/>
  <c r="I10" i="1270"/>
  <c r="I11" i="1270"/>
  <c r="I3" i="1270"/>
  <c r="F14" i="1270"/>
  <c r="I6" i="1269"/>
  <c r="I9" i="1269"/>
  <c r="I10" i="1269"/>
  <c r="I12" i="1269"/>
  <c r="I5" i="1269"/>
  <c r="G14" i="1269"/>
  <c r="I4" i="1269"/>
  <c r="I11" i="1269"/>
  <c r="I8" i="1269"/>
  <c r="H14" i="1269"/>
  <c r="I7" i="1269"/>
  <c r="I3" i="1269"/>
  <c r="I7" i="1268"/>
  <c r="I10" i="1268"/>
  <c r="I4" i="1267"/>
  <c r="I11" i="1267"/>
  <c r="I8" i="1267"/>
  <c r="I4" i="1268"/>
  <c r="I11" i="1268"/>
  <c r="I8" i="1268"/>
  <c r="I9" i="1268"/>
  <c r="I5" i="1268"/>
  <c r="H14" i="1268"/>
  <c r="I3" i="1268"/>
  <c r="I6" i="1268"/>
  <c r="I12" i="1268"/>
  <c r="F14" i="1268"/>
  <c r="I5" i="1267"/>
  <c r="I9" i="1267"/>
  <c r="I6" i="1267"/>
  <c r="I7" i="1267"/>
  <c r="I10" i="1267"/>
  <c r="I3" i="1267"/>
  <c r="I12" i="1267"/>
  <c r="G3" i="757"/>
  <c r="C6" i="952"/>
  <c r="F2" i="207"/>
  <c r="F49" i="207" s="1"/>
  <c r="E14" i="1278" l="1"/>
  <c r="I13" i="1278"/>
  <c r="I14" i="1278" s="1"/>
  <c r="E14" i="1277"/>
  <c r="I13" i="1277"/>
  <c r="I14" i="1277" s="1"/>
  <c r="E14" i="1276"/>
  <c r="I13" i="1276"/>
  <c r="I14" i="1276" s="1"/>
  <c r="E14" i="1275"/>
  <c r="I13" i="1275"/>
  <c r="I14" i="1275" s="1"/>
  <c r="E14" i="1274"/>
  <c r="I13" i="1274"/>
  <c r="I14" i="1274" s="1"/>
  <c r="E14" i="1273"/>
  <c r="I13" i="1273"/>
  <c r="I14" i="1273" s="1"/>
  <c r="E14" i="1272"/>
  <c r="I13" i="1272"/>
  <c r="I14" i="1272" s="1"/>
  <c r="E14" i="1271"/>
  <c r="I13" i="1271"/>
  <c r="I14" i="1271" s="1"/>
  <c r="E14" i="1270"/>
  <c r="I13" i="1270"/>
  <c r="I14" i="1270" s="1"/>
  <c r="E14" i="1269"/>
  <c r="I13" i="1269"/>
  <c r="I14" i="1269" s="1"/>
  <c r="E14" i="1268"/>
  <c r="I13" i="1268"/>
  <c r="I14" i="1268" s="1"/>
  <c r="E14" i="1267"/>
  <c r="I13" i="1267"/>
  <c r="I14" i="1267" s="1"/>
  <c r="F77" i="207"/>
  <c r="F67" i="207"/>
  <c r="G41" i="1"/>
  <c r="G40" i="1"/>
  <c r="I65" i="3"/>
  <c r="G58" i="3"/>
  <c r="G55" i="3"/>
  <c r="AC6" i="3"/>
  <c r="G65" i="3"/>
  <c r="R63" i="3"/>
  <c r="AA4" i="3"/>
  <c r="R55" i="3"/>
  <c r="O61" i="3"/>
  <c r="H62" i="3"/>
  <c r="G62" i="3"/>
  <c r="P64" i="3"/>
  <c r="H56" i="3"/>
  <c r="K64" i="3"/>
  <c r="J65" i="3"/>
  <c r="H58" i="3"/>
  <c r="I57" i="3"/>
  <c r="I54" i="3"/>
  <c r="L60" i="3"/>
  <c r="N58" i="3"/>
  <c r="Q62" i="3"/>
  <c r="N61" i="3"/>
  <c r="N63" i="3"/>
  <c r="AA12" i="3"/>
  <c r="H64" i="3"/>
  <c r="R56" i="3"/>
  <c r="H60" i="3"/>
  <c r="R60" i="3"/>
  <c r="AA7" i="3"/>
  <c r="O64" i="3"/>
  <c r="L56" i="3"/>
  <c r="AA11" i="3"/>
  <c r="O62" i="3"/>
  <c r="AA5" i="3"/>
  <c r="O59" i="3"/>
  <c r="K57" i="3"/>
  <c r="R64" i="3"/>
  <c r="AC8" i="3"/>
  <c r="AC11" i="3"/>
  <c r="I56" i="3"/>
  <c r="I62" i="3"/>
  <c r="H54" i="3"/>
  <c r="G56" i="3"/>
  <c r="O58" i="3"/>
  <c r="H65" i="3"/>
  <c r="Q59" i="3"/>
  <c r="P62" i="3"/>
  <c r="AA10" i="3"/>
  <c r="J61" i="3"/>
  <c r="J57" i="3"/>
  <c r="I55" i="3"/>
  <c r="L59" i="3"/>
  <c r="AA13" i="3"/>
  <c r="Q58" i="3"/>
  <c r="AC9" i="3"/>
  <c r="N57" i="3"/>
  <c r="G59" i="3"/>
  <c r="AA6" i="3"/>
  <c r="P63" i="3"/>
  <c r="L58" i="3"/>
  <c r="P59" i="3"/>
  <c r="J55" i="3"/>
  <c r="P54" i="3"/>
  <c r="R54" i="3"/>
  <c r="R57" i="3"/>
  <c r="M63" i="3"/>
  <c r="K63" i="3"/>
  <c r="R59" i="3"/>
  <c r="Q56" i="3"/>
  <c r="N64" i="3"/>
  <c r="K55" i="3"/>
  <c r="L54" i="3"/>
  <c r="I63" i="3"/>
  <c r="N59" i="3"/>
  <c r="K56" i="3"/>
  <c r="N54" i="3"/>
  <c r="Q63" i="3"/>
  <c r="Q55" i="3"/>
  <c r="G57" i="3"/>
  <c r="AC7" i="3"/>
  <c r="G63" i="3"/>
  <c r="M56" i="3"/>
  <c r="G61" i="3"/>
  <c r="L57" i="3"/>
  <c r="M64" i="3"/>
  <c r="Q54" i="3"/>
  <c r="Q64" i="3"/>
  <c r="AA9" i="3"/>
  <c r="L63" i="3"/>
  <c r="L55" i="3"/>
  <c r="J62" i="3"/>
  <c r="P57" i="3"/>
  <c r="P61" i="3"/>
  <c r="Q61" i="3"/>
  <c r="Y10" i="3"/>
  <c r="K54" i="3"/>
  <c r="K62" i="3"/>
  <c r="G60" i="3"/>
  <c r="M59" i="3"/>
  <c r="L65" i="3"/>
  <c r="J56" i="3"/>
  <c r="P65" i="3"/>
  <c r="O57" i="3"/>
  <c r="N60" i="3"/>
  <c r="AA3" i="3"/>
  <c r="O60" i="3"/>
  <c r="N65" i="3"/>
  <c r="I61" i="3"/>
  <c r="H61" i="3"/>
  <c r="M55" i="3"/>
  <c r="K59" i="3"/>
  <c r="J54" i="3"/>
  <c r="AA2" i="3"/>
  <c r="J58" i="3"/>
  <c r="Y7" i="3"/>
  <c r="K60" i="3"/>
  <c r="M57" i="3"/>
  <c r="I59" i="3"/>
  <c r="L62" i="3"/>
  <c r="Q60" i="3"/>
  <c r="H63" i="3"/>
  <c r="G64" i="3"/>
  <c r="M62" i="3"/>
  <c r="AC2" i="3"/>
  <c r="N62" i="3"/>
  <c r="P55" i="3"/>
  <c r="L64" i="3"/>
  <c r="P58" i="3"/>
  <c r="Y12" i="3"/>
  <c r="H57" i="3"/>
  <c r="AC4" i="3"/>
  <c r="I58" i="3"/>
  <c r="M61" i="3"/>
  <c r="O55" i="3"/>
  <c r="R65" i="3"/>
  <c r="AC3" i="3"/>
  <c r="G54" i="3"/>
  <c r="O54" i="3"/>
  <c r="P56" i="3"/>
  <c r="Q65" i="3"/>
  <c r="N56" i="3"/>
  <c r="M60" i="3"/>
  <c r="AC12" i="3"/>
  <c r="H59" i="3"/>
  <c r="J63" i="3"/>
  <c r="K65" i="3"/>
  <c r="I64" i="3"/>
  <c r="N55" i="3"/>
  <c r="M58" i="3"/>
  <c r="I60" i="3"/>
  <c r="Q57" i="3"/>
  <c r="P60" i="3"/>
  <c r="J64" i="3"/>
  <c r="K58" i="3"/>
  <c r="R58" i="3"/>
  <c r="J59" i="3"/>
  <c r="L61" i="3"/>
  <c r="K61" i="3"/>
  <c r="O65" i="3"/>
  <c r="R62" i="3"/>
  <c r="AC5" i="3"/>
  <c r="O56" i="3"/>
  <c r="AC13" i="3"/>
  <c r="AC10" i="3"/>
  <c r="AA8" i="3"/>
  <c r="J60" i="3"/>
  <c r="M54" i="3"/>
  <c r="O63" i="3"/>
  <c r="R61" i="3"/>
  <c r="M65" i="3"/>
  <c r="H55" i="3"/>
  <c r="S58" i="3" l="1"/>
  <c r="S61" i="3"/>
  <c r="S59" i="3"/>
  <c r="S62" i="3"/>
  <c r="S65" i="3"/>
  <c r="S57" i="3"/>
  <c r="S56" i="3"/>
  <c r="S64" i="3"/>
  <c r="S60" i="3"/>
  <c r="S63" i="3"/>
  <c r="S55" i="3"/>
  <c r="S54" i="3"/>
  <c r="B6" i="952"/>
  <c r="Y5" i="3"/>
  <c r="Y3" i="3"/>
  <c r="Y6" i="3"/>
  <c r="Y13" i="3"/>
  <c r="Y9" i="3"/>
  <c r="Y2" i="3"/>
  <c r="Y4" i="3"/>
  <c r="Y11" i="3"/>
  <c r="Y8" i="3"/>
  <c r="W29" i="757" l="1"/>
  <c r="L29" i="757"/>
  <c r="F3" i="3"/>
  <c r="F4" i="3"/>
  <c r="F5" i="3"/>
  <c r="F6" i="3"/>
  <c r="F7" i="3"/>
  <c r="F8" i="3"/>
  <c r="F9" i="3"/>
  <c r="F10" i="3"/>
  <c r="F11" i="3"/>
  <c r="F12" i="3"/>
  <c r="F13" i="3"/>
  <c r="F2" i="3"/>
  <c r="G49" i="3" a="1"/>
  <c r="G49" i="3" s="1"/>
  <c r="H49" i="3" a="1"/>
  <c r="H49" i="3" s="1"/>
  <c r="I49" i="3" a="1"/>
  <c r="I49" i="3" s="1"/>
  <c r="J49" i="3" a="1"/>
  <c r="J49" i="3" s="1"/>
  <c r="K49" i="3" a="1"/>
  <c r="K49" i="3" s="1"/>
  <c r="L49" i="3" a="1"/>
  <c r="L49" i="3" s="1"/>
  <c r="M49" i="3" a="1"/>
  <c r="M49" i="3" s="1"/>
  <c r="N49" i="3" a="1"/>
  <c r="N49" i="3" s="1"/>
  <c r="O49" i="3" a="1"/>
  <c r="O49" i="3" s="1"/>
  <c r="P49" i="3" a="1"/>
  <c r="P49" i="3" s="1"/>
  <c r="Q49" i="3" a="1"/>
  <c r="Q49" i="3" s="1"/>
  <c r="R49" i="3" a="1"/>
  <c r="R49" i="3" s="1"/>
  <c r="S49" i="3" a="1"/>
  <c r="S49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M50" i="3" a="1"/>
  <c r="M50" i="3" s="1"/>
  <c r="N50" i="3" a="1"/>
  <c r="N50" i="3" s="1"/>
  <c r="O50" i="3" a="1"/>
  <c r="O50" i="3" s="1"/>
  <c r="P50" i="3" a="1"/>
  <c r="P50" i="3" s="1"/>
  <c r="Q50" i="3" a="1"/>
  <c r="Q50" i="3" s="1"/>
  <c r="R50" i="3" a="1"/>
  <c r="R50" i="3" s="1"/>
  <c r="S50" i="3" a="1"/>
  <c r="S50" i="3" s="1"/>
  <c r="L7" i="1" a="1"/>
  <c r="S9" i="3"/>
  <c r="I8" i="3"/>
  <c r="K8" i="3"/>
  <c r="I7" i="3"/>
  <c r="S12" i="3"/>
  <c r="W12" i="3"/>
  <c r="Q5" i="3"/>
  <c r="G12" i="3"/>
  <c r="S10" i="3"/>
  <c r="Q7" i="3"/>
  <c r="M5" i="3"/>
  <c r="K4" i="3"/>
  <c r="W2" i="3"/>
  <c r="M3" i="3"/>
  <c r="K10" i="3"/>
  <c r="M12" i="3"/>
  <c r="G7" i="3"/>
  <c r="S13" i="3"/>
  <c r="G10" i="3"/>
  <c r="O6" i="3"/>
  <c r="M10" i="3"/>
  <c r="I4" i="3"/>
  <c r="O12" i="3"/>
  <c r="O2" i="3"/>
  <c r="I11" i="3"/>
  <c r="O10" i="3"/>
  <c r="G5" i="3"/>
  <c r="Q11" i="3"/>
  <c r="I6" i="3"/>
  <c r="W9" i="3"/>
  <c r="S8" i="3"/>
  <c r="W5" i="3"/>
  <c r="I10" i="3"/>
  <c r="O3" i="3"/>
  <c r="M8" i="3"/>
  <c r="I13" i="3"/>
  <c r="K12" i="3"/>
  <c r="G8" i="3"/>
  <c r="O4" i="3"/>
  <c r="G11" i="3"/>
  <c r="I2" i="3"/>
  <c r="M13" i="3"/>
  <c r="O9" i="3"/>
  <c r="O7" i="3"/>
  <c r="G13" i="3"/>
  <c r="S11" i="3"/>
  <c r="G9" i="3"/>
  <c r="W13" i="3"/>
  <c r="U10" i="3"/>
  <c r="G2" i="3"/>
  <c r="U4" i="3"/>
  <c r="K6" i="3"/>
  <c r="Q9" i="3"/>
  <c r="S3" i="3"/>
  <c r="Q12" i="3"/>
  <c r="Q3" i="3"/>
  <c r="M2" i="3"/>
  <c r="U7" i="3"/>
  <c r="W8" i="3"/>
  <c r="K5" i="3"/>
  <c r="K3" i="3"/>
  <c r="K11" i="3"/>
  <c r="U11" i="3"/>
  <c r="S7" i="3"/>
  <c r="S2" i="3"/>
  <c r="U2" i="3"/>
  <c r="U5" i="3"/>
  <c r="G4" i="3"/>
  <c r="W10" i="3"/>
  <c r="U8" i="3"/>
  <c r="U13" i="3"/>
  <c r="S5" i="3"/>
  <c r="M7" i="1" a="1"/>
  <c r="M4" i="3"/>
  <c r="Q2" i="3"/>
  <c r="W11" i="3"/>
  <c r="G6" i="3"/>
  <c r="Q6" i="3"/>
  <c r="Q10" i="3"/>
  <c r="W3" i="3"/>
  <c r="O11" i="3"/>
  <c r="I3" i="3"/>
  <c r="G3" i="3"/>
  <c r="K7" i="3"/>
  <c r="M11" i="3"/>
  <c r="O5" i="3"/>
  <c r="U9" i="3"/>
  <c r="U6" i="3"/>
  <c r="W7" i="3"/>
  <c r="S4" i="3"/>
  <c r="I12" i="3"/>
  <c r="O8" i="3"/>
  <c r="I9" i="3"/>
  <c r="K9" i="3"/>
  <c r="S6" i="3"/>
  <c r="M9" i="3"/>
  <c r="W6" i="3"/>
  <c r="Q4" i="3"/>
  <c r="Q8" i="3"/>
  <c r="M6" i="3"/>
  <c r="Q13" i="3"/>
  <c r="W4" i="3"/>
  <c r="U3" i="3"/>
  <c r="U12" i="3"/>
  <c r="K2" i="3"/>
  <c r="O13" i="3"/>
  <c r="I5" i="3"/>
  <c r="K13" i="3"/>
  <c r="M7" i="3"/>
  <c r="M7" i="1" l="1"/>
  <c r="G8" i="757" s="1"/>
  <c r="L7" i="1"/>
  <c r="F3" i="757"/>
  <c r="B3" i="3"/>
  <c r="B4" i="3"/>
  <c r="B5" i="3"/>
  <c r="B6" i="3"/>
  <c r="B7" i="3"/>
  <c r="B8" i="3"/>
  <c r="B9" i="3"/>
  <c r="B10" i="3"/>
  <c r="B11" i="3"/>
  <c r="B12" i="3"/>
  <c r="B13" i="3"/>
  <c r="B2" i="3"/>
  <c r="W5" i="757"/>
  <c r="W6" i="757"/>
  <c r="W7" i="757"/>
  <c r="W8" i="757"/>
  <c r="W9" i="757"/>
  <c r="W10" i="757"/>
  <c r="W11" i="757"/>
  <c r="W12" i="757"/>
  <c r="W13" i="757"/>
  <c r="W14" i="757"/>
  <c r="W15" i="757"/>
  <c r="W4" i="757"/>
  <c r="V5" i="757"/>
  <c r="V6" i="757"/>
  <c r="V7" i="757"/>
  <c r="V8" i="757"/>
  <c r="V9" i="757"/>
  <c r="V10" i="757"/>
  <c r="V11" i="757"/>
  <c r="V12" i="757"/>
  <c r="V13" i="757"/>
  <c r="V14" i="757"/>
  <c r="V15" i="757"/>
  <c r="V4" i="757"/>
  <c r="B3" i="578"/>
  <c r="B2" i="578"/>
  <c r="B1" i="578"/>
  <c r="B6" i="207" a="1"/>
  <c r="B6" i="207" s="1"/>
  <c r="C11" i="757" a="1"/>
  <c r="M11" i="1" a="1"/>
  <c r="M4" i="1" a="1"/>
  <c r="C4" i="757" a="1"/>
  <c r="C5" i="757" a="1"/>
  <c r="M8" i="1" a="1"/>
  <c r="M3" i="1" a="1"/>
  <c r="L12" i="1" a="1"/>
  <c r="L11" i="1" a="1"/>
  <c r="M9" i="1" a="1"/>
  <c r="L4" i="1" a="1"/>
  <c r="C12" i="757" a="1"/>
  <c r="C8" i="757" a="1"/>
  <c r="L5" i="1" a="1"/>
  <c r="L14" i="1" a="1"/>
  <c r="L3" i="1" a="1"/>
  <c r="L13" i="1" a="1"/>
  <c r="M13" i="1" a="1"/>
  <c r="C6" i="757" a="1"/>
  <c r="C14" i="757" a="1"/>
  <c r="C9" i="757" a="1"/>
  <c r="L9" i="1" a="1"/>
  <c r="L6" i="1" a="1"/>
  <c r="L8" i="1" a="1"/>
  <c r="L10" i="1" a="1"/>
  <c r="M5" i="1" a="1"/>
  <c r="C15" i="757" a="1"/>
  <c r="C7" i="757" a="1"/>
  <c r="C10" i="757" a="1"/>
  <c r="M14" i="1" a="1"/>
  <c r="C13" i="757" a="1"/>
  <c r="M10" i="1" a="1"/>
  <c r="M12" i="1" a="1"/>
  <c r="M6" i="1" a="1"/>
  <c r="M3" i="1" l="1"/>
  <c r="G4" i="757" s="1"/>
  <c r="L3" i="1"/>
  <c r="M11" i="1"/>
  <c r="G12" i="757" s="1"/>
  <c r="L11" i="1"/>
  <c r="L14" i="1"/>
  <c r="M14" i="1"/>
  <c r="G15" i="757" s="1"/>
  <c r="L13" i="1"/>
  <c r="M13" i="1"/>
  <c r="G14" i="757" s="1"/>
  <c r="M12" i="1"/>
  <c r="G13" i="757" s="1"/>
  <c r="L12" i="1"/>
  <c r="M10" i="1"/>
  <c r="G11" i="757" s="1"/>
  <c r="L10" i="1"/>
  <c r="M9" i="1"/>
  <c r="G10" i="757" s="1"/>
  <c r="L9" i="1"/>
  <c r="M8" i="1"/>
  <c r="G9" i="757" s="1"/>
  <c r="L8" i="1"/>
  <c r="L6" i="1"/>
  <c r="M6" i="1"/>
  <c r="G7" i="757" s="1"/>
  <c r="M5" i="1"/>
  <c r="G6" i="757" s="1"/>
  <c r="L5" i="1"/>
  <c r="L4" i="1"/>
  <c r="M4" i="1"/>
  <c r="G5" i="757" s="1"/>
  <c r="C8" i="757"/>
  <c r="C7" i="757"/>
  <c r="C6" i="757"/>
  <c r="C12" i="757"/>
  <c r="C15" i="757"/>
  <c r="C11" i="757"/>
  <c r="C14" i="757"/>
  <c r="C10" i="757"/>
  <c r="C13" i="757"/>
  <c r="C9" i="757"/>
  <c r="C5" i="757"/>
  <c r="C4" i="757"/>
  <c r="M15" i="1" l="1" a="1"/>
  <c r="M15" i="1" s="1"/>
  <c r="M14" i="3"/>
  <c r="G16" i="757" l="1"/>
  <c r="F3" i="1182"/>
  <c r="F14" i="3"/>
  <c r="AD12" i="3" l="1"/>
  <c r="L7" i="3"/>
  <c r="L41" i="3" s="1" a="1"/>
  <c r="L41" i="3" s="1"/>
  <c r="R13" i="3"/>
  <c r="R44" i="3" s="1" a="1"/>
  <c r="R44" i="3" s="1"/>
  <c r="X12" i="3"/>
  <c r="Q47" i="3" s="1" a="1"/>
  <c r="Q47" i="3" s="1"/>
  <c r="AD11" i="3"/>
  <c r="N11" i="3"/>
  <c r="P42" i="3" s="1" a="1"/>
  <c r="P42" i="3" s="1"/>
  <c r="T10" i="3"/>
  <c r="O45" i="3" s="1" a="1"/>
  <c r="O45" i="3" s="1"/>
  <c r="Z9" i="3"/>
  <c r="N48" i="3" s="1" a="1"/>
  <c r="N48" i="3" s="1"/>
  <c r="J9" i="3"/>
  <c r="N40" i="3" s="1" a="1"/>
  <c r="N40" i="3" s="1"/>
  <c r="P8" i="3"/>
  <c r="M43" i="3" s="1" a="1"/>
  <c r="M43" i="3" s="1"/>
  <c r="V7" i="3"/>
  <c r="L46" i="3" s="1" a="1"/>
  <c r="L46" i="3" s="1"/>
  <c r="AB6" i="3"/>
  <c r="L6" i="3"/>
  <c r="K41" i="3" s="1" a="1"/>
  <c r="K41" i="3" s="1"/>
  <c r="R5" i="3"/>
  <c r="J44" i="3" s="1" a="1"/>
  <c r="J44" i="3" s="1"/>
  <c r="X4" i="3"/>
  <c r="I47" i="3" s="1" a="1"/>
  <c r="I47" i="3" s="1"/>
  <c r="AD3" i="3"/>
  <c r="N3" i="3"/>
  <c r="H42" i="3" s="1" a="1"/>
  <c r="H42" i="3" s="1"/>
  <c r="P9" i="3"/>
  <c r="N43" i="3" s="1" a="1"/>
  <c r="N43" i="3" s="1"/>
  <c r="R6" i="3"/>
  <c r="K44" i="3" s="1" a="1"/>
  <c r="K44" i="3" s="1"/>
  <c r="AD4" i="3"/>
  <c r="AB13" i="3"/>
  <c r="L13" i="3"/>
  <c r="R41" i="3" s="1" a="1"/>
  <c r="R41" i="3" s="1"/>
  <c r="R12" i="3"/>
  <c r="Q44" i="3" s="1" a="1"/>
  <c r="Q44" i="3" s="1"/>
  <c r="X11" i="3"/>
  <c r="P47" i="3" s="1" a="1"/>
  <c r="P47" i="3" s="1"/>
  <c r="AD10" i="3"/>
  <c r="N10" i="3"/>
  <c r="O42" i="3" s="1" a="1"/>
  <c r="O42" i="3" s="1"/>
  <c r="T9" i="3"/>
  <c r="N45" i="3" s="1" a="1"/>
  <c r="N45" i="3" s="1"/>
  <c r="Z8" i="3"/>
  <c r="M48" i="3" s="1" a="1"/>
  <c r="M48" i="3" s="1"/>
  <c r="J8" i="3"/>
  <c r="M40" i="3" s="1" a="1"/>
  <c r="M40" i="3" s="1"/>
  <c r="P7" i="3"/>
  <c r="L43" i="3" s="1" a="1"/>
  <c r="L43" i="3" s="1"/>
  <c r="V6" i="3"/>
  <c r="K46" i="3" s="1" a="1"/>
  <c r="K46" i="3" s="1"/>
  <c r="AB5" i="3"/>
  <c r="L5" i="3"/>
  <c r="J41" i="3" s="1" a="1"/>
  <c r="J41" i="3" s="1"/>
  <c r="R4" i="3"/>
  <c r="I44" i="3" s="1" a="1"/>
  <c r="I44" i="3" s="1"/>
  <c r="X3" i="3"/>
  <c r="H47" i="3" s="1" a="1"/>
  <c r="H47" i="3" s="1"/>
  <c r="N12" i="3"/>
  <c r="Q42" i="3" s="1" a="1"/>
  <c r="Q42" i="3" s="1"/>
  <c r="T3" i="3"/>
  <c r="H45" i="3" s="1" a="1"/>
  <c r="H45" i="3" s="1"/>
  <c r="V13" i="3"/>
  <c r="R46" i="3" s="1" a="1"/>
  <c r="R46" i="3" s="1"/>
  <c r="AB12" i="3"/>
  <c r="L12" i="3"/>
  <c r="Q41" i="3" s="1" a="1"/>
  <c r="Q41" i="3" s="1"/>
  <c r="R11" i="3"/>
  <c r="P44" i="3" s="1" a="1"/>
  <c r="P44" i="3" s="1"/>
  <c r="X10" i="3"/>
  <c r="O47" i="3" s="1" a="1"/>
  <c r="O47" i="3" s="1"/>
  <c r="AD9" i="3"/>
  <c r="N9" i="3"/>
  <c r="N42" i="3" s="1" a="1"/>
  <c r="N42" i="3" s="1"/>
  <c r="T8" i="3"/>
  <c r="M45" i="3" s="1" a="1"/>
  <c r="M45" i="3" s="1"/>
  <c r="Z7" i="3"/>
  <c r="L48" i="3" s="1" a="1"/>
  <c r="L48" i="3" s="1"/>
  <c r="J7" i="3"/>
  <c r="L40" i="3" s="1" a="1"/>
  <c r="L40" i="3" s="1"/>
  <c r="P6" i="3"/>
  <c r="K43" i="3" s="1" a="1"/>
  <c r="K43" i="3" s="1"/>
  <c r="V5" i="3"/>
  <c r="J46" i="3" s="1" a="1"/>
  <c r="J46" i="3" s="1"/>
  <c r="AB4" i="3"/>
  <c r="L4" i="3"/>
  <c r="I41" i="3" s="1" a="1"/>
  <c r="I41" i="3" s="1"/>
  <c r="R3" i="3"/>
  <c r="H44" i="3" s="1" a="1"/>
  <c r="H44" i="3" s="1"/>
  <c r="N13" i="3"/>
  <c r="R42" i="3" s="1" a="1"/>
  <c r="R42" i="3" s="1"/>
  <c r="P13" i="3"/>
  <c r="R43" i="3" s="1" a="1"/>
  <c r="R43" i="3" s="1"/>
  <c r="V12" i="3"/>
  <c r="Q46" i="3" s="1" a="1"/>
  <c r="Q46" i="3" s="1"/>
  <c r="AB11" i="3"/>
  <c r="L11" i="3"/>
  <c r="P41" i="3" s="1" a="1"/>
  <c r="P41" i="3" s="1"/>
  <c r="R10" i="3"/>
  <c r="O44" i="3" s="1" a="1"/>
  <c r="O44" i="3" s="1"/>
  <c r="X9" i="3"/>
  <c r="N47" i="3" s="1" a="1"/>
  <c r="N47" i="3" s="1"/>
  <c r="AD8" i="3"/>
  <c r="N8" i="3"/>
  <c r="M42" i="3" s="1" a="1"/>
  <c r="M42" i="3" s="1"/>
  <c r="T7" i="3"/>
  <c r="L45" i="3" s="1" a="1"/>
  <c r="L45" i="3" s="1"/>
  <c r="Z6" i="3"/>
  <c r="K48" i="3" s="1" a="1"/>
  <c r="K48" i="3" s="1"/>
  <c r="J6" i="3"/>
  <c r="K40" i="3" s="1" a="1"/>
  <c r="K40" i="3" s="1"/>
  <c r="P5" i="3"/>
  <c r="J43" i="3" s="1" a="1"/>
  <c r="J43" i="3" s="1"/>
  <c r="V4" i="3"/>
  <c r="I46" i="3" s="1" a="1"/>
  <c r="I46" i="3" s="1"/>
  <c r="AB3" i="3"/>
  <c r="T12" i="3"/>
  <c r="Q45" i="3" s="1" a="1"/>
  <c r="Q45" i="3" s="1"/>
  <c r="Z10" i="3"/>
  <c r="O48" i="3" s="1" a="1"/>
  <c r="O48" i="3" s="1"/>
  <c r="AB7" i="3"/>
  <c r="N4" i="3"/>
  <c r="I42" i="3" s="1" a="1"/>
  <c r="I42" i="3" s="1"/>
  <c r="Z13" i="3"/>
  <c r="R48" i="3" s="1" a="1"/>
  <c r="R48" i="3" s="1"/>
  <c r="J13" i="3"/>
  <c r="R40" i="3" s="1" a="1"/>
  <c r="R40" i="3" s="1"/>
  <c r="P12" i="3"/>
  <c r="Q43" i="3" s="1" a="1"/>
  <c r="Q43" i="3" s="1"/>
  <c r="V11" i="3"/>
  <c r="P46" i="3" s="1" a="1"/>
  <c r="P46" i="3" s="1"/>
  <c r="AB10" i="3"/>
  <c r="L10" i="3"/>
  <c r="O41" i="3" s="1" a="1"/>
  <c r="O41" i="3" s="1"/>
  <c r="R9" i="3"/>
  <c r="N44" i="3" s="1" a="1"/>
  <c r="N44" i="3" s="1"/>
  <c r="X8" i="3"/>
  <c r="M47" i="3" s="1" a="1"/>
  <c r="M47" i="3" s="1"/>
  <c r="AD7" i="3"/>
  <c r="N7" i="3"/>
  <c r="L42" i="3" s="1" a="1"/>
  <c r="L42" i="3" s="1"/>
  <c r="T6" i="3"/>
  <c r="K45" i="3" s="1" a="1"/>
  <c r="K45" i="3" s="1"/>
  <c r="Z5" i="3"/>
  <c r="J48" i="3" s="1" a="1"/>
  <c r="J48" i="3" s="1"/>
  <c r="J5" i="3"/>
  <c r="J40" i="3" s="1" a="1"/>
  <c r="J40" i="3" s="1"/>
  <c r="P4" i="3"/>
  <c r="I43" i="3" s="1" a="1"/>
  <c r="I43" i="3" s="1"/>
  <c r="V3" i="3"/>
  <c r="H46" i="3" s="1" a="1"/>
  <c r="H46" i="3" s="1"/>
  <c r="X13" i="3"/>
  <c r="R47" i="3" s="1" a="1"/>
  <c r="R47" i="3" s="1"/>
  <c r="T11" i="3"/>
  <c r="P45" i="3" s="1" a="1"/>
  <c r="P45" i="3" s="1"/>
  <c r="J10" i="3"/>
  <c r="O40" i="3" s="1" a="1"/>
  <c r="O40" i="3" s="1"/>
  <c r="V8" i="3"/>
  <c r="M46" i="3" s="1" a="1"/>
  <c r="M46" i="3" s="1"/>
  <c r="X5" i="3"/>
  <c r="J47" i="3" s="1" a="1"/>
  <c r="J47" i="3" s="1"/>
  <c r="T13" i="3"/>
  <c r="R45" i="3" s="1" a="1"/>
  <c r="R45" i="3" s="1"/>
  <c r="Z12" i="3"/>
  <c r="Q48" i="3" s="1" a="1"/>
  <c r="Q48" i="3" s="1"/>
  <c r="J12" i="3"/>
  <c r="Q40" i="3" s="1" a="1"/>
  <c r="Q40" i="3" s="1"/>
  <c r="P11" i="3"/>
  <c r="P43" i="3" s="1" a="1"/>
  <c r="P43" i="3" s="1"/>
  <c r="V10" i="3"/>
  <c r="O46" i="3" s="1" a="1"/>
  <c r="O46" i="3" s="1"/>
  <c r="AB9" i="3"/>
  <c r="L9" i="3"/>
  <c r="N41" i="3" s="1" a="1"/>
  <c r="N41" i="3" s="1"/>
  <c r="R8" i="3"/>
  <c r="M44" i="3" s="1" a="1"/>
  <c r="M44" i="3" s="1"/>
  <c r="X7" i="3"/>
  <c r="L47" i="3" s="1" a="1"/>
  <c r="L47" i="3" s="1"/>
  <c r="AD6" i="3"/>
  <c r="N6" i="3"/>
  <c r="K42" i="3" s="1" a="1"/>
  <c r="K42" i="3" s="1"/>
  <c r="T5" i="3"/>
  <c r="J45" i="3" s="1" a="1"/>
  <c r="J45" i="3" s="1"/>
  <c r="Z4" i="3"/>
  <c r="I48" i="3" s="1" a="1"/>
  <c r="I48" i="3" s="1"/>
  <c r="J4" i="3"/>
  <c r="I40" i="3" s="1" a="1"/>
  <c r="I40" i="3" s="1"/>
  <c r="P3" i="3"/>
  <c r="H43" i="3" s="1" a="1"/>
  <c r="H43" i="3" s="1"/>
  <c r="AD13" i="3"/>
  <c r="Z11" i="3"/>
  <c r="P48" i="3" s="1" a="1"/>
  <c r="P48" i="3" s="1"/>
  <c r="J11" i="3"/>
  <c r="P40" i="3" s="1" a="1"/>
  <c r="P40" i="3" s="1"/>
  <c r="P10" i="3"/>
  <c r="O43" i="3" s="1" a="1"/>
  <c r="O43" i="3" s="1"/>
  <c r="V9" i="3"/>
  <c r="N46" i="3" s="1" a="1"/>
  <c r="N46" i="3" s="1"/>
  <c r="AB8" i="3"/>
  <c r="L8" i="3"/>
  <c r="M41" i="3" s="1" a="1"/>
  <c r="M41" i="3" s="1"/>
  <c r="R7" i="3"/>
  <c r="L44" i="3" s="1" a="1"/>
  <c r="L44" i="3" s="1"/>
  <c r="X6" i="3"/>
  <c r="K47" i="3" s="1" a="1"/>
  <c r="K47" i="3" s="1"/>
  <c r="AD5" i="3"/>
  <c r="N5" i="3"/>
  <c r="J42" i="3" s="1" a="1"/>
  <c r="J42" i="3" s="1"/>
  <c r="T4" i="3"/>
  <c r="I45" i="3" s="1" a="1"/>
  <c r="I45" i="3" s="1"/>
  <c r="Z3" i="3"/>
  <c r="H48" i="3" s="1" a="1"/>
  <c r="H48" i="3" s="1"/>
  <c r="L3" i="3" l="1"/>
  <c r="H41" i="3" s="1" a="1"/>
  <c r="H41" i="3" s="1"/>
  <c r="J3" i="3"/>
  <c r="H40" i="3" s="1" a="1"/>
  <c r="H40" i="3" s="1"/>
  <c r="H7" i="3"/>
  <c r="L39" i="3" s="1" a="1"/>
  <c r="L39" i="3" s="1"/>
  <c r="C7" i="3"/>
  <c r="D7" i="3" s="1"/>
  <c r="E7" i="3" s="1"/>
  <c r="J2" i="3"/>
  <c r="G40" i="3" s="1" a="1"/>
  <c r="G40" i="3" s="1"/>
  <c r="I14" i="3"/>
  <c r="J14" i="3" s="1"/>
  <c r="S40" i="3" s="1" a="1"/>
  <c r="S40" i="3" s="1"/>
  <c r="Z2" i="3"/>
  <c r="G48" i="3" s="1" a="1"/>
  <c r="G48" i="3" s="1"/>
  <c r="Y14" i="3"/>
  <c r="Z14" i="3" s="1"/>
  <c r="S48" i="3" s="1" a="1"/>
  <c r="S48" i="3" s="1"/>
  <c r="H11" i="3"/>
  <c r="P39" i="3" s="1" a="1"/>
  <c r="P39" i="3" s="1"/>
  <c r="C11" i="3"/>
  <c r="D11" i="3" s="1"/>
  <c r="E11" i="3" s="1"/>
  <c r="N14" i="3"/>
  <c r="S42" i="3" s="1" a="1"/>
  <c r="S42" i="3" s="1"/>
  <c r="N2" i="3"/>
  <c r="G42" i="3" s="1" a="1"/>
  <c r="G42" i="3" s="1"/>
  <c r="X2" i="3"/>
  <c r="G47" i="3" s="1" a="1"/>
  <c r="G47" i="3" s="1"/>
  <c r="W14" i="3"/>
  <c r="X14" i="3" s="1"/>
  <c r="S47" i="3" s="1" a="1"/>
  <c r="S47" i="3" s="1"/>
  <c r="K14" i="3"/>
  <c r="L14" i="3" s="1"/>
  <c r="S41" i="3" s="1" a="1"/>
  <c r="S41" i="3" s="1"/>
  <c r="L2" i="3"/>
  <c r="G41" i="3" s="1" a="1"/>
  <c r="G41" i="3" s="1"/>
  <c r="O14" i="3"/>
  <c r="P14" i="3" s="1"/>
  <c r="S43" i="3" s="1" a="1"/>
  <c r="S43" i="3" s="1"/>
  <c r="P2" i="3"/>
  <c r="G43" i="3" s="1" a="1"/>
  <c r="G43" i="3" s="1"/>
  <c r="T2" i="3"/>
  <c r="G45" i="3" s="1" a="1"/>
  <c r="G45" i="3" s="1"/>
  <c r="S14" i="3"/>
  <c r="T14" i="3" s="1"/>
  <c r="S45" i="3" s="1" a="1"/>
  <c r="S45" i="3" s="1"/>
  <c r="U14" i="3"/>
  <c r="V14" i="3" s="1"/>
  <c r="S46" i="3" s="1" a="1"/>
  <c r="S46" i="3" s="1"/>
  <c r="V2" i="3"/>
  <c r="G46" i="3" s="1" a="1"/>
  <c r="G46" i="3" s="1"/>
  <c r="C4" i="3"/>
  <c r="D4" i="3" s="1"/>
  <c r="E4" i="3" s="1"/>
  <c r="H4" i="3"/>
  <c r="I39" i="3" s="1" a="1"/>
  <c r="I39" i="3" s="1"/>
  <c r="H2" i="3"/>
  <c r="G39" i="3" s="1" a="1"/>
  <c r="G39" i="3" s="1"/>
  <c r="C2" i="3"/>
  <c r="G14" i="3"/>
  <c r="H14" i="3" s="1"/>
  <c r="S39" i="3" s="1" a="1"/>
  <c r="S39" i="3" s="1"/>
  <c r="C5" i="3"/>
  <c r="D5" i="3" s="1"/>
  <c r="E5" i="3" s="1"/>
  <c r="H5" i="3"/>
  <c r="J39" i="3" s="1" a="1"/>
  <c r="J39" i="3" s="1"/>
  <c r="AC14" i="3"/>
  <c r="AD14" i="3" s="1"/>
  <c r="AD2" i="3"/>
  <c r="C8" i="3"/>
  <c r="D8" i="3" s="1"/>
  <c r="E8" i="3" s="1"/>
  <c r="H8" i="3"/>
  <c r="M39" i="3" s="1" a="1"/>
  <c r="M39" i="3" s="1"/>
  <c r="H6" i="3"/>
  <c r="K39" i="3" s="1" a="1"/>
  <c r="K39" i="3" s="1"/>
  <c r="C6" i="3"/>
  <c r="D6" i="3" s="1"/>
  <c r="E6" i="3" s="1"/>
  <c r="AA14" i="3"/>
  <c r="AB14" i="3" s="1"/>
  <c r="AB2" i="3"/>
  <c r="C9" i="3"/>
  <c r="D9" i="3" s="1"/>
  <c r="E9" i="3" s="1"/>
  <c r="H9" i="3"/>
  <c r="N39" i="3" s="1" a="1"/>
  <c r="N39" i="3" s="1"/>
  <c r="C12" i="3"/>
  <c r="D12" i="3" s="1"/>
  <c r="E12" i="3" s="1"/>
  <c r="H12" i="3"/>
  <c r="Q39" i="3" s="1" a="1"/>
  <c r="Q39" i="3" s="1"/>
  <c r="H3" i="3"/>
  <c r="H39" i="3" s="1" a="1"/>
  <c r="H39" i="3" s="1"/>
  <c r="C3" i="3"/>
  <c r="D3" i="3" s="1"/>
  <c r="E3" i="3" s="1"/>
  <c r="C10" i="3"/>
  <c r="D10" i="3" s="1"/>
  <c r="E10" i="3" s="1"/>
  <c r="H10" i="3"/>
  <c r="O39" i="3" s="1" a="1"/>
  <c r="O39" i="3" s="1"/>
  <c r="C13" i="3"/>
  <c r="D13" i="3" s="1"/>
  <c r="E13" i="3" s="1"/>
  <c r="H13" i="3"/>
  <c r="R39" i="3" s="1" a="1"/>
  <c r="R39" i="3" s="1"/>
  <c r="Q14" i="3"/>
  <c r="R14" i="3" s="1"/>
  <c r="S44" i="3" s="1" a="1"/>
  <c r="S44" i="3" s="1"/>
  <c r="R2" i="3"/>
  <c r="G44" i="3" s="1" a="1"/>
  <c r="G44" i="3" s="1"/>
  <c r="D2" i="3" l="1"/>
  <c r="E2" i="3" s="1"/>
  <c r="C14" i="3"/>
  <c r="D14" i="3" s="1"/>
  <c r="E14" i="3" s="1"/>
  <c r="Q80" i="578" l="1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E2" i="207"/>
  <c r="E49" i="207" l="1"/>
  <c r="E67" i="207"/>
  <c r="E77" i="207"/>
  <c r="X13" i="578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C15" i="1" a="1"/>
  <c r="C15" i="1" s="1"/>
  <c r="D16" i="757" s="1"/>
  <c r="W16" i="757" l="1"/>
  <c r="H27" i="578"/>
  <c r="H26" i="578"/>
  <c r="H25" i="578"/>
  <c r="B8" i="578"/>
  <c r="J24" i="578"/>
  <c r="K23" i="578"/>
  <c r="B9" i="578"/>
  <c r="D7" i="578" l="1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P8" i="578" l="1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Q3" i="578"/>
  <c r="Q12" i="578"/>
  <c r="Q11" i="578"/>
  <c r="Q6" i="578"/>
  <c r="Q7" i="578"/>
  <c r="P13" i="578"/>
  <c r="P14" i="578" s="1"/>
  <c r="Q9" i="578"/>
  <c r="E14" i="578" l="1"/>
  <c r="Q13" i="578"/>
  <c r="Q14" i="578" s="1"/>
  <c r="I80" i="207"/>
  <c r="I79" i="207"/>
  <c r="I78" i="207"/>
  <c r="I72" i="207"/>
  <c r="I71" i="207"/>
  <c r="I70" i="207"/>
  <c r="I69" i="207"/>
  <c r="I68" i="207"/>
  <c r="I59" i="207"/>
  <c r="I58" i="207"/>
  <c r="I57" i="207"/>
  <c r="I56" i="207"/>
  <c r="I55" i="207"/>
  <c r="I54" i="207"/>
  <c r="I53" i="207"/>
  <c r="I52" i="207"/>
  <c r="I51" i="207"/>
  <c r="I50" i="207"/>
  <c r="P4" i="207" l="1"/>
  <c r="P5" i="207"/>
  <c r="P6" i="207"/>
  <c r="P7" i="207"/>
  <c r="P8" i="207"/>
  <c r="P9" i="207"/>
  <c r="P10" i="207"/>
  <c r="P11" i="207"/>
  <c r="P12" i="207"/>
  <c r="P13" i="207"/>
  <c r="M6" i="207"/>
  <c r="M7" i="207"/>
  <c r="M8" i="207"/>
  <c r="M9" i="207"/>
  <c r="M11" i="207"/>
  <c r="P15" i="207"/>
  <c r="P14" i="207"/>
  <c r="M15" i="207"/>
  <c r="M14" i="207"/>
  <c r="E25" i="207" l="1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8" i="207"/>
  <c r="E24" i="207" s="1"/>
  <c r="E9" i="757" l="1"/>
  <c r="E11" i="757"/>
  <c r="E15" i="757"/>
  <c r="E6" i="757"/>
  <c r="E13" i="757"/>
  <c r="E5" i="757"/>
  <c r="E14" i="757"/>
  <c r="E10" i="757"/>
  <c r="E7" i="757"/>
  <c r="E12" i="757"/>
  <c r="E8" i="757"/>
  <c r="E4" i="757"/>
  <c r="X9" i="757"/>
  <c r="Y9" i="757" s="1"/>
  <c r="X11" i="757"/>
  <c r="Z11" i="757" s="1"/>
  <c r="X15" i="757"/>
  <c r="Z15" i="757" s="1"/>
  <c r="X8" i="757"/>
  <c r="Y8" i="757" s="1"/>
  <c r="X6" i="757"/>
  <c r="Z6" i="757" s="1"/>
  <c r="X13" i="757"/>
  <c r="Z13" i="757" s="1"/>
  <c r="X5" i="757"/>
  <c r="Y5" i="757" s="1"/>
  <c r="X14" i="757"/>
  <c r="Z14" i="757" s="1"/>
  <c r="X10" i="757"/>
  <c r="Z10" i="757" s="1"/>
  <c r="X7" i="757"/>
  <c r="Y7" i="757" s="1"/>
  <c r="X12" i="757"/>
  <c r="Z12" i="757" s="1"/>
  <c r="X4" i="757"/>
  <c r="Z4" i="757" s="1"/>
  <c r="D8" i="207" a="1"/>
  <c r="D8" i="207" s="1"/>
  <c r="D7" i="207" a="1"/>
  <c r="D7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9" i="207" a="1"/>
  <c r="D9" i="207" s="1"/>
  <c r="D22" i="207"/>
  <c r="D21" i="207"/>
  <c r="D20" i="207"/>
  <c r="D19" i="207"/>
  <c r="M12" i="207"/>
  <c r="M10" i="207"/>
  <c r="M5" i="207"/>
  <c r="M13" i="207"/>
  <c r="D24" i="207"/>
  <c r="M4" i="207"/>
  <c r="M3" i="207"/>
  <c r="D25" i="207"/>
  <c r="B10" i="207"/>
  <c r="F4" i="207" l="1" a="1"/>
  <c r="F4" i="207" s="1"/>
  <c r="F3" i="207" a="1"/>
  <c r="F3" i="207" s="1"/>
  <c r="Y13" i="757"/>
  <c r="Z8" i="757"/>
  <c r="Y14" i="757"/>
  <c r="Y12" i="757"/>
  <c r="Y15" i="757"/>
  <c r="Z7" i="757"/>
  <c r="Z5" i="757"/>
  <c r="Y11" i="757"/>
  <c r="F11" i="207" a="1"/>
  <c r="F11" i="207" s="1"/>
  <c r="F7" i="207" a="1"/>
  <c r="F7" i="207" s="1"/>
  <c r="F9" i="207" a="1"/>
  <c r="F9" i="207" s="1"/>
  <c r="F10" i="207" a="1"/>
  <c r="F10" i="207" s="1"/>
  <c r="F12" i="207" a="1"/>
  <c r="F12" i="207" s="1"/>
  <c r="F5" i="207" a="1"/>
  <c r="F5" i="207" s="1"/>
  <c r="F6" i="207" a="1"/>
  <c r="F6" i="207" s="1"/>
  <c r="F8" i="207" a="1"/>
  <c r="F8" i="207" s="1"/>
  <c r="E4" i="207" a="1"/>
  <c r="E4" i="207" s="1"/>
  <c r="E5" i="207" a="1"/>
  <c r="E5" i="207" s="1"/>
  <c r="E6" i="207" a="1"/>
  <c r="E6" i="207" s="1"/>
  <c r="E9" i="207" a="1"/>
  <c r="E9" i="207" s="1"/>
  <c r="E10" i="207" a="1"/>
  <c r="E10" i="207" s="1"/>
  <c r="E12" i="207" a="1"/>
  <c r="E12" i="207" s="1"/>
  <c r="E7" i="207" a="1"/>
  <c r="E7" i="207" s="1"/>
  <c r="E11" i="207" a="1"/>
  <c r="E11" i="207" s="1"/>
  <c r="E8" i="207" a="1"/>
  <c r="E8" i="207" s="1"/>
  <c r="Y4" i="757"/>
  <c r="Z9" i="757"/>
  <c r="Y10" i="757"/>
  <c r="Y6" i="757"/>
  <c r="E3" i="207" a="1"/>
  <c r="E3" i="207" s="1"/>
  <c r="G4" i="207" a="1"/>
  <c r="G4" i="207" s="1"/>
  <c r="H4" i="207" a="1"/>
  <c r="H4" i="207" s="1"/>
  <c r="H12" i="207" a="1"/>
  <c r="H12" i="207" s="1"/>
  <c r="G12" i="207" a="1"/>
  <c r="G12" i="207" s="1"/>
  <c r="G11" i="207" a="1"/>
  <c r="G11" i="207" s="1"/>
  <c r="H11" i="207" a="1"/>
  <c r="H11" i="207" s="1"/>
  <c r="H5" i="207" a="1"/>
  <c r="H5" i="207" s="1"/>
  <c r="G5" i="207" a="1"/>
  <c r="G5" i="207" s="1"/>
  <c r="H6" i="207" a="1"/>
  <c r="H6" i="207" s="1"/>
  <c r="G6" i="207" a="1"/>
  <c r="G6" i="207" s="1"/>
  <c r="H3" i="207" a="1"/>
  <c r="H3" i="207" s="1"/>
  <c r="G3" i="207" a="1"/>
  <c r="G3" i="207" s="1"/>
  <c r="G8" i="207" a="1"/>
  <c r="G8" i="207" s="1"/>
  <c r="H8" i="207" a="1"/>
  <c r="H8" i="207" s="1"/>
  <c r="G9" i="207" a="1"/>
  <c r="G9" i="207" s="1"/>
  <c r="H9" i="207" a="1"/>
  <c r="H9" i="207" s="1"/>
  <c r="G10" i="207" a="1"/>
  <c r="G10" i="207" s="1"/>
  <c r="H10" i="207" a="1"/>
  <c r="H10" i="207" s="1"/>
  <c r="H7" i="207" a="1"/>
  <c r="H7" i="207" s="1"/>
  <c r="G7" i="207" a="1"/>
  <c r="G7" i="207" s="1"/>
  <c r="F13" i="207" l="1"/>
  <c r="F14" i="207" s="1"/>
  <c r="E13" i="207"/>
  <c r="G13" i="207"/>
  <c r="G14" i="207" s="1"/>
  <c r="H13" i="207"/>
  <c r="H14" i="207" s="1"/>
  <c r="I7" i="207"/>
  <c r="I9" i="207"/>
  <c r="I3" i="207"/>
  <c r="I12" i="207"/>
  <c r="I10" i="207"/>
  <c r="I8" i="207"/>
  <c r="I6" i="207"/>
  <c r="I5" i="207"/>
  <c r="I11" i="207"/>
  <c r="I4" i="207"/>
  <c r="E14" i="207" l="1"/>
  <c r="I13" i="207"/>
  <c r="I14" i="207" s="1"/>
  <c r="D15" i="1" l="1" a="1"/>
  <c r="D15" i="1" s="1"/>
  <c r="E15" i="1" a="1"/>
  <c r="E15" i="1" s="1"/>
  <c r="J7" i="1"/>
  <c r="F7" i="1"/>
  <c r="J5" i="1"/>
  <c r="F5" i="1"/>
  <c r="J9" i="1"/>
  <c r="F9" i="1"/>
  <c r="J13" i="1"/>
  <c r="F13" i="1"/>
  <c r="F6" i="1"/>
  <c r="J6" i="1"/>
  <c r="F4" i="1"/>
  <c r="J4" i="1"/>
  <c r="F14" i="1"/>
  <c r="J14" i="1"/>
  <c r="F8" i="1"/>
  <c r="J8" i="1"/>
  <c r="F10" i="1"/>
  <c r="J10" i="1"/>
  <c r="F12" i="1"/>
  <c r="J12" i="1"/>
  <c r="J11" i="1"/>
  <c r="F11" i="1"/>
  <c r="F3" i="1"/>
  <c r="J3" i="1"/>
  <c r="J15" i="1" l="1"/>
  <c r="J16" i="1" s="1"/>
  <c r="X16" i="757"/>
  <c r="Y16" i="757" s="1"/>
  <c r="E16" i="757"/>
  <c r="E17" i="757" s="1"/>
  <c r="F15" i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K3" i="1"/>
  <c r="K15" i="1" a="1"/>
  <c r="K15" i="1" s="1"/>
  <c r="E16" i="1"/>
  <c r="D16" i="1"/>
  <c r="Z16" i="757" l="1"/>
  <c r="K16" i="1"/>
  <c r="F5" i="757" l="1"/>
  <c r="N4" i="1" l="1" a="1"/>
  <c r="N4" i="1" s="1"/>
  <c r="H4" i="1"/>
  <c r="I5" i="757" l="1"/>
  <c r="G4" i="1"/>
  <c r="H5" i="757" l="1"/>
  <c r="J5" i="757" s="1" a="1"/>
  <c r="J5" i="757" s="1"/>
  <c r="I4" i="1"/>
  <c r="N3" i="1" l="1" a="1"/>
  <c r="N3" i="1" s="1"/>
  <c r="F4" i="757"/>
  <c r="G3" i="1"/>
  <c r="H4" i="757" l="1"/>
  <c r="H3" i="1"/>
  <c r="I3" i="1" l="1"/>
  <c r="I4" i="757"/>
  <c r="J4" i="757" s="1" a="1"/>
  <c r="J4" i="757" s="1"/>
  <c r="H5" i="1"/>
  <c r="F6" i="757" l="1"/>
  <c r="I6" i="757"/>
  <c r="N5" i="1" a="1"/>
  <c r="N5" i="1" s="1"/>
  <c r="G5" i="1"/>
  <c r="I5" i="1" l="1"/>
  <c r="H6" i="757"/>
  <c r="J6" i="757" s="1" a="1"/>
  <c r="J6" i="757" s="1"/>
  <c r="H14" i="1"/>
  <c r="I15" i="757" l="1"/>
  <c r="N14" i="1" l="1" a="1"/>
  <c r="N14" i="1" s="1"/>
  <c r="F15" i="757"/>
  <c r="G14" i="1"/>
  <c r="I14" i="1" l="1"/>
  <c r="H15" i="757"/>
  <c r="J15" i="757" s="1" a="1"/>
  <c r="J15" i="757" s="1"/>
  <c r="H13" i="1"/>
  <c r="F14" i="757" l="1"/>
  <c r="I14" i="757"/>
  <c r="G13" i="1"/>
  <c r="I13" i="1" l="1"/>
  <c r="H14" i="757"/>
  <c r="J14" i="757" s="1" a="1"/>
  <c r="J14" i="757" s="1"/>
  <c r="N13" i="1" l="1" a="1"/>
  <c r="N13" i="1" s="1"/>
  <c r="H12" i="1"/>
  <c r="I13" i="757" l="1"/>
  <c r="G12" i="1"/>
  <c r="F13" i="757" l="1"/>
  <c r="I12" i="1"/>
  <c r="H13" i="757"/>
  <c r="J13" i="757" l="1" a="1"/>
  <c r="J13" i="757" s="1"/>
  <c r="N12" i="1" a="1"/>
  <c r="N12" i="1" s="1"/>
  <c r="F12" i="757" l="1"/>
  <c r="N11" i="1" l="1" a="1"/>
  <c r="N11" i="1" s="1"/>
  <c r="H11" i="1"/>
  <c r="I12" i="757" l="1"/>
  <c r="G11" i="1"/>
  <c r="I11" i="1" l="1"/>
  <c r="H12" i="757"/>
  <c r="J12" i="757" s="1" a="1"/>
  <c r="J12" i="757" s="1"/>
  <c r="H10" i="1"/>
  <c r="I11" i="757" l="1"/>
  <c r="F11" i="757" l="1"/>
  <c r="N10" i="1" a="1"/>
  <c r="N10" i="1" s="1"/>
  <c r="G10" i="1"/>
  <c r="I10" i="1" l="1"/>
  <c r="H11" i="757"/>
  <c r="J11" i="757" s="1" a="1"/>
  <c r="J11" i="757" s="1"/>
  <c r="H9" i="1"/>
  <c r="I10" i="757" l="1"/>
  <c r="F10" i="757" l="1"/>
  <c r="N9" i="1" l="1" a="1"/>
  <c r="N9" i="1" s="1"/>
  <c r="G9" i="1"/>
  <c r="I9" i="1" l="1"/>
  <c r="H10" i="757"/>
  <c r="J10" i="757" s="1" a="1"/>
  <c r="J10" i="757" s="1"/>
  <c r="G8" i="1"/>
  <c r="H9" i="757" l="1"/>
  <c r="F9" i="757"/>
  <c r="N8" i="1" a="1"/>
  <c r="N8" i="1" s="1"/>
  <c r="H8" i="1"/>
  <c r="I8" i="1" l="1"/>
  <c r="I9" i="757"/>
  <c r="J9" i="757" s="1" a="1"/>
  <c r="J9" i="757" s="1"/>
  <c r="G7" i="1"/>
  <c r="F8" i="757" l="1"/>
  <c r="H8" i="757"/>
  <c r="N7" i="1" l="1" a="1"/>
  <c r="N7" i="1" s="1"/>
  <c r="H7" i="1"/>
  <c r="I8" i="757" l="1"/>
  <c r="J8" i="757" s="1" a="1"/>
  <c r="J8" i="757" s="1"/>
  <c r="I7" i="1"/>
  <c r="G6" i="1"/>
  <c r="G15" i="1" l="1" a="1"/>
  <c r="G15" i="1" s="1"/>
  <c r="H7" i="757"/>
  <c r="H16" i="757" l="1"/>
  <c r="G16" i="1"/>
  <c r="H17" i="757" s="1"/>
  <c r="H6" i="1"/>
  <c r="H15" i="1" l="1" a="1"/>
  <c r="H15" i="1" s="1"/>
  <c r="I6" i="1"/>
  <c r="I15" i="1" s="1" a="1"/>
  <c r="I15" i="1" s="1"/>
  <c r="I7" i="757"/>
  <c r="M16" i="1" l="1"/>
  <c r="F7" i="757"/>
  <c r="J7" i="757" s="1" a="1"/>
  <c r="J7" i="757" s="1"/>
  <c r="I16" i="1"/>
  <c r="L15" i="1" a="1"/>
  <c r="L15" i="1" s="1"/>
  <c r="L16" i="1" s="1"/>
  <c r="H16" i="1"/>
  <c r="I17" i="757" s="1"/>
  <c r="I16" i="757"/>
  <c r="F2" i="1182" l="1"/>
  <c r="F7" i="1182" s="1"/>
  <c r="G17" i="757"/>
  <c r="G3" i="1182"/>
  <c r="N6" i="1" a="1"/>
  <c r="N6" i="1" s="1"/>
  <c r="N15" i="1" s="1" a="1"/>
  <c r="N15" i="1" s="1"/>
  <c r="N16" i="1" s="1"/>
  <c r="F16" i="757"/>
  <c r="E9" i="1182" l="1"/>
  <c r="H3" i="1182"/>
  <c r="E7" i="1182" a="1"/>
  <c r="E7" i="1182" s="1"/>
  <c r="F17" i="757"/>
  <c r="L17" i="757" s="1"/>
  <c r="G2" i="1182"/>
  <c r="J16" i="757" a="1"/>
  <c r="J16" i="757" s="1"/>
  <c r="L12" i="757" s="1"/>
  <c r="L14" i="757" l="1" a="1"/>
  <c r="L14" i="757" s="1"/>
  <c r="J17" i="757"/>
  <c r="F15" i="1182"/>
  <c r="H2" i="1182"/>
  <c r="G7" i="1182"/>
  <c r="G15" i="1182" l="1"/>
  <c r="O15" i="1182"/>
  <c r="H15" i="1182"/>
  <c r="P15" i="1182"/>
  <c r="I15" i="1182"/>
  <c r="K15" i="1182"/>
  <c r="S15" i="1182"/>
  <c r="L15" i="1182"/>
  <c r="T15" i="1182"/>
  <c r="M15" i="1182"/>
  <c r="U15" i="1182"/>
  <c r="N15" i="1182"/>
  <c r="V15" i="1182"/>
  <c r="Q15" i="1182"/>
  <c r="J15" i="1182"/>
  <c r="R15" i="1182"/>
  <c r="I3" i="1182"/>
  <c r="J3" i="1182"/>
  <c r="F14" i="1182"/>
  <c r="H14" i="1182" l="1"/>
  <c r="P14" i="1182"/>
  <c r="U14" i="1182"/>
  <c r="I14" i="1182"/>
  <c r="Q14" i="1182"/>
  <c r="M14" i="1182"/>
  <c r="J14" i="1182"/>
  <c r="R14" i="1182"/>
  <c r="K14" i="1182"/>
  <c r="S14" i="1182"/>
  <c r="T14" i="1182"/>
  <c r="L14" i="1182"/>
  <c r="N14" i="1182"/>
  <c r="V14" i="1182"/>
  <c r="O14" i="1182"/>
  <c r="J2" i="1182"/>
  <c r="J4" i="1182" s="1"/>
  <c r="G14" i="1182"/>
  <c r="I2" i="1182"/>
  <c r="I4" i="1182" s="1"/>
  <c r="F16" i="1182"/>
  <c r="G20" i="1182" s="1"/>
  <c r="L2" i="1182" l="1"/>
  <c r="G19" i="1182"/>
  <c r="K3" i="1182" s="1"/>
  <c r="L3" i="1182"/>
  <c r="K2" i="1182" l="1"/>
  <c r="N3" i="1182"/>
  <c r="N2" i="1182" l="1"/>
  <c r="F19" i="757" s="1"/>
  <c r="K4" i="1182"/>
  <c r="G19" i="757"/>
  <c r="O3" i="1182"/>
  <c r="G20" i="757" l="1"/>
  <c r="N4" i="1182"/>
  <c r="H19" i="757" s="1"/>
  <c r="O2" i="1182"/>
  <c r="F20" i="757" s="1"/>
  <c r="L4" i="1182"/>
  <c r="O4" i="1182" l="1"/>
  <c r="H20" i="75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<sst xmlns="http://schemas.openxmlformats.org/spreadsheetml/2006/main" count="1586" uniqueCount="184">
  <si>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</si>
  <si>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</si>
  <si>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</si>
  <si>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</si>
  <si>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</si>
  <si>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</si>
  <si>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</si>
  <si>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</si>
  <si>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</si>
  <si>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</si>
  <si>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</si>
  <si>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</si>
  <si>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</si>
  <si>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</si>
  <si>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</si>
  <si>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</si>
  <si>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</si>
  <si>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</si>
  <si>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</si>
  <si>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</si>
  <si>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</si>
  <si>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</si>
  <si>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</si>
  <si>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</si>
  <si>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</si>
  <si>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</si>
  <si>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</si>
  <si>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</si>
  <si>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</si>
  <si>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</si>
  <si>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</si>
  <si>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</si>
  <si>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</si>
  <si>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</si>
  <si>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</si>
  <si>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</si>
  <si>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</si>
  <si>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</si>
  <si>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</si>
  <si>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</si>
  <si>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</si>
  <si>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</si>
  <si>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</si>
  <si>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</si>
  <si>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</si>
  <si>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</si>
  <si>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</si>
  <si>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</si>
  <si>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</si>
  <si>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</si>
  <si>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</si>
  <si>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</si>
  <si>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</si>
  <si>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</si>
  <si>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</si>
  <si>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</si>
  <si>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</si>
  <si>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</si>
  <si>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</si>
  <si>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</si>
  <si>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</si>
  <si>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</si>
  <si>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</si>
  <si>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</si>
  <si>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</si>
  <si>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</si>
  <si>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</si>
  <si>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</si>
  <si>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</si>
  <si>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</si>
  <si>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</si>
  <si>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</si>
  <si>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</si>
  <si>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</si>
  <si>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</si>
  <si>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</si>
  <si>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</si>
  <si>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</si>
  <si>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</si>
  <si>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</si>
  <si>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</si>
  <si>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</si>
  <si>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</si>
  <si>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</si>
  <si>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</si>
  <si>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</si>
  <si>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</si>
  <si>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</si>
  <si>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</si>
  <si>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</si>
  <si>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</si>
  <si>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</si>
  <si>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</si>
  <si>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</si>
  <si>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</si>
  <si>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</si>
  <si>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</si>
  <si>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</si>
  <si>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</si>
  <si>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</si>
  <si>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</si>
  <si>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</si>
  <si>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</si>
  <si>
    <t>Ecole Chabaud</t>
  </si>
  <si>
    <t>Total dépouillé</t>
  </si>
  <si>
    <t>Ctrl + F1</t>
  </si>
  <si>
    <t>Masquer le ruban</t>
  </si>
  <si>
    <t>Affichage / Quadrillage</t>
  </si>
  <si>
    <t>Affichage / Barre de formule</t>
  </si>
  <si>
    <t>Affichage / En-têtes</t>
  </si>
  <si>
    <t>Révision / Protéger la feuille</t>
  </si>
  <si>
    <t>Affichage / Nouvelle fenêtre : Feuille Projection sur écran du public</t>
  </si>
  <si>
    <t>Agrandir la barre de défilement horizontal au max à gauche pour masquer les onglets</t>
  </si>
  <si>
    <t>Sélectionner une case en dehors de l'affichage afin de ne pas voir la cellule sélectionnée entourée en vert</t>
  </si>
  <si>
    <t>Dernière mise à jour :</t>
  </si>
  <si>
    <t>Résultats cumulatifs de chaque centaine dépouillée par la table 1</t>
  </si>
  <si>
    <t>Résultats cumulatifs de chaque centaine dépouillée par la table 2</t>
  </si>
  <si>
    <t>Résultats cumulatifs de chaque centaine dépouillée par la table 3</t>
  </si>
  <si>
    <t>Résultats relatifs aux centaines dépouillées</t>
  </si>
  <si>
    <t>Seuil 1</t>
  </si>
  <si>
    <t>Seuil 2</t>
  </si>
  <si>
    <t>Seuil 0</t>
  </si>
  <si>
    <t>Seuil 3</t>
  </si>
  <si>
    <t>Nb Bureaux</t>
  </si>
  <si>
    <t>Nb Candidats</t>
  </si>
  <si>
    <t xml:space="preserve">               / 100</t>
  </si>
  <si>
    <t xml:space="preserve">              / 200</t>
  </si>
  <si>
    <t xml:space="preserve">               / 300</t>
  </si>
  <si>
    <t xml:space="preserve">               / 400</t>
  </si>
  <si>
    <t xml:space="preserve">               / 500</t>
  </si>
  <si>
    <t xml:space="preserve">Calculs des résultats de chaque centaine dépouillée par la table </t>
  </si>
  <si>
    <t xml:space="preserve">Bureau n°          </t>
  </si>
  <si>
    <t xml:space="preserve">Table n°          </t>
  </si>
  <si>
    <t>Feuille de calcul des résultats par centaines</t>
  </si>
  <si>
    <t xml:space="preserve">Ligne blanche </t>
  </si>
  <si>
    <t xml:space="preserve">Ligne bleue </t>
  </si>
  <si>
    <t xml:space="preserve">Récapitulatif </t>
  </si>
  <si>
    <t>M. Pierre-Yves 
TIERCE</t>
  </si>
  <si>
    <t>Mme Isabelle 
FARNET RISSO</t>
  </si>
  <si>
    <t>top 1</t>
  </si>
  <si>
    <t xml:space="preserve">       -             =        </t>
  </si>
  <si>
    <t>Le nombre de voix tel que lu directement sur la feuille de dépouillement.</t>
  </si>
  <si>
    <t>Recopier ce score calculé dans le tableau Récapitulatif ci-dessous (et envoyer au bureau centralisateur)</t>
  </si>
  <si>
    <t>105  -  55   =  50</t>
  </si>
  <si>
    <t xml:space="preserve"> 9   -    4    =   5</t>
  </si>
  <si>
    <t>Récapitulatif  - Exemple</t>
  </si>
  <si>
    <t>84  -  40  =  44</t>
  </si>
  <si>
    <t>2    -   1   =   1</t>
  </si>
  <si>
    <r>
      <t xml:space="preserve">    </t>
    </r>
    <r>
      <rPr>
        <sz val="28"/>
        <color theme="1"/>
        <rFont val="Segoe Print"/>
      </rPr>
      <t>100</t>
    </r>
    <r>
      <rPr>
        <i/>
        <sz val="28"/>
        <color rgb="FF666666"/>
        <rFont val="Calibri"/>
        <family val="2"/>
      </rPr>
      <t xml:space="preserve">  / 100</t>
    </r>
  </si>
  <si>
    <r>
      <t xml:space="preserve">   </t>
    </r>
    <r>
      <rPr>
        <sz val="28"/>
        <color theme="1"/>
        <rFont val="Segoe Print"/>
      </rPr>
      <t>200</t>
    </r>
    <r>
      <rPr>
        <i/>
        <sz val="28"/>
        <color rgb="FF666666"/>
        <rFont val="Calibri"/>
        <family val="2"/>
      </rPr>
      <t xml:space="preserve">  / 100</t>
    </r>
  </si>
  <si>
    <t>Tour</t>
  </si>
  <si>
    <t>Seules les cases bleu clair sont 
à remplir</t>
  </si>
  <si>
    <t>Listes</t>
  </si>
  <si>
    <t>Voix</t>
  </si>
  <si>
    <t>Prime majoritaire</t>
  </si>
  <si>
    <t>Sièges à distribuer aux conseils</t>
  </si>
  <si>
    <t>En tête</t>
  </si>
  <si>
    <t>Sièges au conseil 
municipal</t>
  </si>
  <si>
    <t>Sièges au conseil 
communautaire</t>
  </si>
  <si>
    <t>Egalité ?</t>
  </si>
  <si>
    <t>Conseil</t>
  </si>
  <si>
    <t>Restant PFM</t>
  </si>
  <si>
    <t>Éligible 
&gt;=5%</t>
  </si>
  <si>
    <t>Prime majoritaire CM</t>
  </si>
  <si>
    <t>Date de naissance</t>
  </si>
  <si>
    <t>Membre de la liste</t>
  </si>
  <si>
    <t>Sièges
PFM
CM</t>
  </si>
  <si>
    <t>Sièges
PFM
CC</t>
  </si>
  <si>
    <t>Prime
majoritaire
CC</t>
  </si>
  <si>
    <t>Sièges aux
conseils</t>
  </si>
  <si>
    <t>municipal</t>
  </si>
  <si>
    <t>communautaire</t>
  </si>
  <si>
    <t>Voix éligibles
(&gt;=5%)</t>
  </si>
  <si>
    <t>Moyenne d'âge</t>
  </si>
  <si>
    <t>Participation à</t>
  </si>
  <si>
    <t>Quotients - Méthode de la plus forte moyenne</t>
  </si>
  <si>
    <t>Mairie</t>
  </si>
  <si>
    <t>Com. Com.</t>
  </si>
  <si>
    <t>Référence pour calcul de l'âge</t>
  </si>
  <si>
    <t>Âge</t>
  </si>
  <si>
    <t>Calcul de la moyenne d'âge en fonction des dates de naissance ici</t>
  </si>
  <si>
    <t>Municipale</t>
  </si>
  <si>
    <r>
      <t xml:space="preserve">Aucun calcul nécessaire ici. C'est tout simplement </t>
    </r>
    <r>
      <rPr>
        <b/>
        <sz val="20"/>
        <color rgb="FF000000"/>
        <rFont val="Arial"/>
        <family val="2"/>
        <scheme val="minor"/>
      </rPr>
      <t>le nombre de batonnets.</t>
    </r>
  </si>
  <si>
    <r>
      <t xml:space="preserve">Calcul à faire : </t>
    </r>
    <r>
      <rPr>
        <b/>
        <sz val="20"/>
        <color rgb="FF000000"/>
        <rFont val="Arial"/>
        <family val="2"/>
        <scheme val="minor"/>
      </rPr>
      <t xml:space="preserve">Nb voix actuel - Nb voix précédent = Score du candidat </t>
    </r>
    <r>
      <rPr>
        <b/>
        <i/>
        <sz val="20"/>
        <color rgb="FF000000"/>
        <rFont val="Arial"/>
        <family val="2"/>
        <scheme val="minor"/>
      </rPr>
      <t>dans cette centaine là.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</si>
</sst>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 mmmm\ yyyy"/>
    <numFmt numFmtId="165" formatCode="[$-F400]h:mm:ss\ AM/PM"/>
    <numFmt numFmtId="166" formatCode="0.0%"/>
    <numFmt numFmtId="167" formatCode="hh&quot;h&quot;"/>
    <numFmt numFmtId="168" formatCode="h:mm;@"/>
    <numFmt numFmtId="169" formatCode="0\ %"/>
    <numFmt numFmtId="170" formatCode="0.000"/>
  </numFmts>
  <fonts count="130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sz val="10"/>
      <color rgb="FF000000"/>
      <name val="Arial"/>
      <family val="2"/>
    </font>
    <font>
      <sz val="12"/>
      <color rgb="FF000000"/>
      <name val="Arial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i/>
      <sz val="14"/>
      <color theme="0" tint="-0.499984740745262"/>
      <name val="Calibri"/>
      <family val="2"/>
    </font>
    <font>
      <sz val="14"/>
      <name val="Arial"/>
      <family val="2"/>
    </font>
    <font>
      <b/>
      <sz val="14"/>
      <name val="Calibri"/>
      <family val="2"/>
    </font>
    <font>
      <b/>
      <sz val="14"/>
      <name val="Arial"/>
      <family val="2"/>
      <scheme val="minor"/>
    </font>
    <font>
      <b/>
      <sz val="12"/>
      <name val="Arial"/>
      <family val="2"/>
      <scheme val="minor"/>
    </font>
    <font>
      <b/>
      <sz val="14"/>
      <name val="Arial"/>
      <family val="2"/>
    </font>
    <font>
      <i/>
      <sz val="16"/>
      <color rgb="FF666666"/>
      <name val="Calibri"/>
      <family val="2"/>
    </font>
    <font>
      <b/>
      <sz val="36"/>
      <color rgb="FF000000"/>
      <name val="Arial"/>
      <family val="2"/>
      <scheme val="minor"/>
    </font>
    <font>
      <b/>
      <sz val="20"/>
      <color rgb="FF000000"/>
      <name val="Arial"/>
      <family val="2"/>
      <scheme val="minor"/>
    </font>
    <font>
      <sz val="10"/>
      <color theme="1" tint="0.249977111117893"/>
      <name val="Arial"/>
      <family val="2"/>
      <scheme val="minor"/>
    </font>
    <font>
      <sz val="12"/>
      <color rgb="FF000000"/>
      <name val="Arial"/>
      <family val="2"/>
      <scheme val="minor"/>
    </font>
    <font>
      <sz val="14"/>
      <name val="Arial"/>
      <family val="2"/>
      <scheme val="minor"/>
    </font>
    <font>
      <sz val="11"/>
      <name val="Calibri"/>
      <family val="2"/>
    </font>
    <font>
      <i/>
      <sz val="14"/>
      <color rgb="FF666666"/>
      <name val="Calibri"/>
      <family val="2"/>
    </font>
    <font>
      <b/>
      <i/>
      <sz val="14"/>
      <color theme="0" tint="-0.499984740745262"/>
      <name val="Calibri"/>
      <family val="2"/>
    </font>
    <font>
      <sz val="16"/>
      <color theme="1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theme="1"/>
      <name val="Arial"/>
      <family val="2"/>
      <scheme val="minor"/>
    </font>
    <font>
      <sz val="12"/>
      <color theme="0" tint="-0.34998626667073579"/>
      <name val="Calibri"/>
      <family val="2"/>
    </font>
    <font>
      <sz val="12"/>
      <color theme="0" tint="-0.34998626667073579"/>
      <name val="Arial"/>
      <family val="2"/>
      <scheme val="minor"/>
    </font>
    <font>
      <b/>
      <sz val="20"/>
      <name val="Arial"/>
      <family val="2"/>
      <scheme val="minor"/>
    </font>
    <font>
      <sz val="20"/>
      <name val="Arial"/>
      <family val="2"/>
      <scheme val="minor"/>
    </font>
    <font>
      <b/>
      <sz val="18"/>
      <name val="Calibri"/>
      <family val="2"/>
    </font>
    <font>
      <sz val="10"/>
      <color rgb="FF000000"/>
      <name val="Marianne"/>
      <family val="3"/>
    </font>
    <font>
      <b/>
      <sz val="10"/>
      <color theme="1"/>
      <name val="Marianne"/>
      <family val="3"/>
    </font>
    <font>
      <sz val="16"/>
      <color rgb="FF000000"/>
      <name val="Marianne"/>
      <family val="3"/>
    </font>
    <font>
      <b/>
      <sz val="10"/>
      <color rgb="FF666666"/>
      <name val="Marianne"/>
      <family val="3"/>
    </font>
    <font>
      <b/>
      <sz val="16"/>
      <name val="Marianne"/>
      <family val="3"/>
    </font>
    <font>
      <sz val="18"/>
      <color rgb="FF000000"/>
      <name val="Marianne"/>
      <family val="3"/>
    </font>
    <font>
      <sz val="18"/>
      <name val="Marianne"/>
      <family val="3"/>
    </font>
    <font>
      <sz val="16"/>
      <color theme="1"/>
      <name val="Marianne"/>
      <family val="3"/>
    </font>
    <font>
      <i/>
      <sz val="16"/>
      <color theme="0" tint="-0.499984740745262"/>
      <name val="Marianne"/>
      <family val="3"/>
    </font>
    <font>
      <sz val="10"/>
      <color rgb="FF718C00"/>
      <name val="Marianne"/>
      <family val="3"/>
    </font>
    <font>
      <i/>
      <sz val="16"/>
      <color rgb="FF666666"/>
      <name val="Marianne"/>
      <family val="3"/>
    </font>
    <font>
      <sz val="24"/>
      <color rgb="FF000000"/>
      <name val="Marianne"/>
      <family val="3"/>
    </font>
    <font>
      <sz val="36"/>
      <color rgb="FF000000"/>
      <name val="Marianne"/>
      <family val="3"/>
    </font>
    <font>
      <b/>
      <sz val="24"/>
      <color theme="1"/>
      <name val="Marianne"/>
      <family val="3"/>
    </font>
    <font>
      <i/>
      <sz val="24"/>
      <color rgb="FF666666"/>
      <name val="Marianne"/>
      <family val="3"/>
    </font>
    <font>
      <b/>
      <sz val="22"/>
      <color rgb="FF000000"/>
      <name val="Marianne"/>
      <family val="3"/>
    </font>
    <font>
      <b/>
      <sz val="20"/>
      <color rgb="FF000000"/>
      <name val="Marianne"/>
      <family val="3"/>
    </font>
    <font>
      <i/>
      <sz val="28"/>
      <color rgb="FF666666"/>
      <name val="Calibri"/>
      <family val="2"/>
    </font>
    <font>
      <sz val="20"/>
      <color rgb="FF000000"/>
      <name val="Arial"/>
      <family val="2"/>
      <scheme val="minor"/>
    </font>
    <font>
      <u/>
      <sz val="48"/>
      <color rgb="FF000000"/>
      <name val="Arial"/>
      <family val="2"/>
      <scheme val="minor"/>
    </font>
    <font>
      <sz val="28"/>
      <name val="Segoe Print"/>
    </font>
    <font>
      <sz val="28"/>
      <color theme="1"/>
      <name val="Segoe Print"/>
    </font>
    <font>
      <b/>
      <i/>
      <sz val="24"/>
      <color theme="1"/>
      <name val="Marianne"/>
      <family val="3"/>
    </font>
    <font>
      <i/>
      <sz val="18"/>
      <color theme="1" tint="0.14999847407452621"/>
      <name val="Marianne"/>
      <family val="3"/>
    </font>
    <font>
      <sz val="48"/>
      <color rgb="FF000000"/>
      <name val="Marianne"/>
      <family val="3"/>
    </font>
    <font>
      <i/>
      <sz val="22"/>
      <color rgb="FF000000"/>
      <name val="Marianne"/>
      <family val="3"/>
    </font>
    <font>
      <sz val="22"/>
      <color rgb="FF000000"/>
      <name val="Marianne"/>
      <family val="3"/>
    </font>
    <font>
      <sz val="18"/>
      <color theme="1"/>
      <name val="Marianne"/>
      <family val="3"/>
    </font>
    <font>
      <b/>
      <i/>
      <sz val="14"/>
      <color theme="1"/>
      <name val="Calibri"/>
      <family val="2"/>
    </font>
    <font>
      <sz val="11"/>
      <color rgb="FF000000"/>
      <name val="Calibri"/>
      <family val="2"/>
      <charset val="1"/>
    </font>
    <font>
      <b/>
      <sz val="24"/>
      <color rgb="FF000000"/>
      <name val="Marianne"/>
      <family val="3"/>
    </font>
    <font>
      <i/>
      <sz val="10"/>
      <color theme="0" tint="-0.499984740745262"/>
      <name val="Arial"/>
      <family val="2"/>
      <scheme val="minor"/>
    </font>
    <font>
      <b/>
      <sz val="24"/>
      <name val="Marianne"/>
      <family val="3"/>
    </font>
    <font>
      <i/>
      <sz val="12"/>
      <color theme="0" tint="-0.499984740745262"/>
      <name val="Arial"/>
      <family val="2"/>
      <scheme val="minor"/>
    </font>
    <font>
      <sz val="26"/>
      <color rgb="FF000000"/>
      <name val="Marianne"/>
      <family val="3"/>
    </font>
    <font>
      <sz val="72"/>
      <color rgb="FF000000"/>
      <name val="Marianne"/>
      <family val="3"/>
    </font>
    <font>
      <b/>
      <sz val="24"/>
      <color theme="0" tint="-0.499984740745262"/>
      <name val="Marianne"/>
      <family val="3"/>
    </font>
    <font>
      <i/>
      <sz val="12"/>
      <color theme="4" tint="0.39997558519241921"/>
      <name val="Arial"/>
      <family val="2"/>
      <scheme val="minor"/>
    </font>
    <font>
      <sz val="20"/>
      <color theme="1"/>
      <name val="Calibri"/>
      <family val="2"/>
    </font>
    <font>
      <b/>
      <sz val="24"/>
      <color rgb="FF000000"/>
      <name val="Arial"/>
      <family val="2"/>
      <scheme val="minor"/>
    </font>
    <font>
      <b/>
      <i/>
      <sz val="20"/>
      <color rgb="FF000000"/>
      <name val="Arial"/>
      <family val="2"/>
      <scheme val="minor"/>
    </font>
    <font>
      <b/>
      <sz val="22"/>
      <name val="Calibri"/>
      <family val="2"/>
    </font>
    <font>
      <sz val="18"/>
      <name val="Arial"/>
      <family val="2"/>
      <scheme val="minor"/>
    </font>
    <font>
      <i/>
      <sz val="18"/>
      <color rgb="FF666666"/>
      <name val="Calibri"/>
      <family val="2"/>
    </font>
    <font>
      <i/>
      <sz val="20"/>
      <color rgb="FF666666"/>
      <name val="Calibri"/>
      <family val="2"/>
    </font>
  </fonts>
  <fills count="71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FCE5CD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7FD"/>
        <bgColor indexed="64"/>
      </patternFill>
    </fill>
    <fill>
      <patternFill patternType="solid">
        <fgColor rgb="FFBFBFBF"/>
        <bgColor rgb="FFD9D9D9"/>
      </patternFill>
    </fill>
    <fill>
      <patternFill patternType="solid">
        <fgColor rgb="FFBFBFBF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D9EAD3"/>
      </patternFill>
    </fill>
    <fill>
      <patternFill patternType="solid">
        <fgColor theme="7" tint="0.79998168889431442"/>
        <bgColor rgb="FFD9EAD3"/>
      </patternFill>
    </fill>
    <fill>
      <patternFill patternType="solid">
        <fgColor theme="0" tint="-0.249977111117893"/>
        <bgColor rgb="FFD9EAD3"/>
      </patternFill>
    </fill>
    <fill>
      <patternFill patternType="solid">
        <fgColor theme="0" tint="-0.14999847407452621"/>
        <bgColor rgb="FFD5A6BD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rgb="FFF4CCCC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indexed="64"/>
      </patternFill>
    </fill>
    <fill>
      <patternFill patternType="solid">
        <fgColor rgb="FFE6EEEE"/>
        <bgColor indexed="64"/>
      </patternFill>
    </fill>
    <fill>
      <patternFill patternType="solid">
        <fgColor rgb="FFD1F1DA"/>
        <bgColor indexed="64"/>
      </patternFill>
    </fill>
    <fill>
      <patternFill patternType="solid">
        <fgColor rgb="FFFEF2CD"/>
        <bgColor indexed="64"/>
      </patternFill>
    </fill>
    <fill>
      <patternFill patternType="solid">
        <fgColor theme="5" tint="0.59999389629810485"/>
        <bgColor indexed="64"/>
      </patternFill>
    </fill>
  </fills>
  <borders count="26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theme="0" tint="-0.499984740745262"/>
      </right>
      <top/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 tint="-0.499984740745262"/>
      </left>
      <right/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/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indexed="64"/>
      </right>
      <top style="thin">
        <color indexed="64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 tint="-0.499984740745262"/>
      </bottom>
      <diagonal/>
    </border>
    <border>
      <left style="thin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0" tint="-0.499984740745262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0000"/>
      </top>
      <bottom style="thin">
        <color theme="4" tint="0.39997558519241921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</borders>
  <cellStyleXfs count="5">
    <xf numFmtId="0" fontId="0" fillId="0" borderId="0"/>
    <xf numFmtId="9" fontId="25" fillId="0" borderId="0" applyFont="0" applyFill="0" applyBorder="0" applyAlignment="0" applyProtection="0"/>
    <xf numFmtId="0" fontId="25" fillId="0" borderId="0"/>
    <xf numFmtId="0" fontId="114" fillId="0" borderId="0"/>
    <xf numFmtId="169" fontId="114" fillId="0" borderId="0" applyBorder="0" applyProtection="0"/>
  </cellStyleXfs>
  <cellXfs count="935">
    <xf numFmtId="0" fontId="0" fillId="0" borderId="0" xfId="0"/>
    <xf numFmtId="0" fontId="6" fillId="0" borderId="0" xfId="0" applyFont="1"/>
    <xf numFmtId="0" fontId="10" fillId="0" borderId="0" xfId="0" applyFont="1"/>
    <xf numFmtId="10" fontId="16" fillId="0" borderId="0" xfId="0" applyNumberFormat="1" applyFont="1"/>
    <xf numFmtId="0" fontId="6" fillId="0" borderId="0" xfId="0" applyFont="1" applyAlignment="1">
      <alignment horizontal="center"/>
    </xf>
    <xf numFmtId="0" fontId="17" fillId="0" borderId="0" xfId="0" applyFont="1"/>
    <xf numFmtId="10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21" fillId="5" borderId="31" xfId="0" applyFont="1" applyFill="1" applyBorder="1" applyAlignment="1">
      <alignment horizontal="right"/>
    </xf>
    <xf numFmtId="10" fontId="20" fillId="5" borderId="32" xfId="0" applyNumberFormat="1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right"/>
    </xf>
    <xf numFmtId="0" fontId="23" fillId="0" borderId="0" xfId="0" applyFont="1"/>
    <xf numFmtId="0" fontId="10" fillId="5" borderId="0" xfId="0" applyFont="1" applyFill="1"/>
    <xf numFmtId="0" fontId="16" fillId="5" borderId="0" xfId="0" applyFont="1" applyFill="1"/>
    <xf numFmtId="10" fontId="3" fillId="8" borderId="39" xfId="0" applyNumberFormat="1" applyFont="1" applyFill="1" applyBorder="1" applyAlignment="1">
      <alignment horizontal="center" vertical="center"/>
    </xf>
    <xf numFmtId="10" fontId="3" fillId="8" borderId="18" xfId="0" applyNumberFormat="1" applyFont="1" applyFill="1" applyBorder="1" applyAlignment="1">
      <alignment horizontal="center" vertical="center"/>
    </xf>
    <xf numFmtId="10" fontId="3" fillId="8" borderId="40" xfId="0" applyNumberFormat="1" applyFont="1" applyFill="1" applyBorder="1" applyAlignment="1">
      <alignment horizontal="center" vertical="center"/>
    </xf>
    <xf numFmtId="9" fontId="19" fillId="2" borderId="36" xfId="1" applyFont="1" applyFill="1" applyBorder="1"/>
    <xf numFmtId="9" fontId="19" fillId="2" borderId="37" xfId="1" applyFont="1" applyFill="1" applyBorder="1"/>
    <xf numFmtId="3" fontId="9" fillId="3" borderId="43" xfId="0" applyNumberFormat="1" applyFont="1" applyFill="1" applyBorder="1" applyAlignment="1">
      <alignment horizontal="right"/>
    </xf>
    <xf numFmtId="10" fontId="9" fillId="7" borderId="44" xfId="0" applyNumberFormat="1" applyFont="1" applyFill="1" applyBorder="1" applyAlignment="1">
      <alignment horizontal="right"/>
    </xf>
    <xf numFmtId="9" fontId="6" fillId="0" borderId="0" xfId="0" applyNumberFormat="1" applyFont="1"/>
    <xf numFmtId="0" fontId="24" fillId="0" borderId="0" xfId="0" applyFont="1"/>
    <xf numFmtId="0" fontId="28" fillId="14" borderId="0" xfId="0" applyFont="1" applyFill="1"/>
    <xf numFmtId="0" fontId="6" fillId="14" borderId="0" xfId="0" applyFont="1" applyFill="1" applyAlignment="1">
      <alignment horizontal="right"/>
    </xf>
    <xf numFmtId="0" fontId="10" fillId="12" borderId="0" xfId="0" applyFont="1" applyFill="1"/>
    <xf numFmtId="0" fontId="6" fillId="13" borderId="0" xfId="0" applyFont="1" applyFill="1" applyAlignment="1">
      <alignment horizontal="right"/>
    </xf>
    <xf numFmtId="0" fontId="16" fillId="12" borderId="0" xfId="0" applyFont="1" applyFill="1"/>
    <xf numFmtId="0" fontId="3" fillId="16" borderId="8" xfId="0" applyFont="1" applyFill="1" applyBorder="1" applyAlignment="1">
      <alignment horizontal="center"/>
    </xf>
    <xf numFmtId="0" fontId="3" fillId="16" borderId="6" xfId="0" applyFont="1" applyFill="1" applyBorder="1" applyAlignment="1">
      <alignment horizontal="center"/>
    </xf>
    <xf numFmtId="0" fontId="3" fillId="16" borderId="5" xfId="0" applyFont="1" applyFill="1" applyBorder="1" applyAlignment="1">
      <alignment horizontal="center"/>
    </xf>
    <xf numFmtId="10" fontId="9" fillId="12" borderId="50" xfId="0" applyNumberFormat="1" applyFont="1" applyFill="1" applyBorder="1"/>
    <xf numFmtId="10" fontId="9" fillId="12" borderId="57" xfId="0" applyNumberFormat="1" applyFont="1" applyFill="1" applyBorder="1"/>
    <xf numFmtId="10" fontId="9" fillId="12" borderId="51" xfId="0" applyNumberFormat="1" applyFont="1" applyFill="1" applyBorder="1"/>
    <xf numFmtId="0" fontId="8" fillId="2" borderId="68" xfId="0" applyFont="1" applyFill="1" applyBorder="1" applyAlignment="1">
      <alignment horizontal="center"/>
    </xf>
    <xf numFmtId="10" fontId="3" fillId="8" borderId="11" xfId="0" applyNumberFormat="1" applyFont="1" applyFill="1" applyBorder="1" applyAlignment="1">
      <alignment horizontal="center" vertical="center"/>
    </xf>
    <xf numFmtId="10" fontId="3" fillId="8" borderId="15" xfId="0" applyNumberFormat="1" applyFont="1" applyFill="1" applyBorder="1" applyAlignment="1">
      <alignment horizontal="center" vertical="center"/>
    </xf>
    <xf numFmtId="10" fontId="3" fillId="8" borderId="14" xfId="0" applyNumberFormat="1" applyFont="1" applyFill="1" applyBorder="1" applyAlignment="1">
      <alignment horizontal="center" vertical="center"/>
    </xf>
    <xf numFmtId="10" fontId="3" fillId="8" borderId="9" xfId="0" applyNumberFormat="1" applyFont="1" applyFill="1" applyBorder="1" applyAlignment="1">
      <alignment horizontal="center" vertical="center"/>
    </xf>
    <xf numFmtId="10" fontId="3" fillId="8" borderId="29" xfId="0" applyNumberFormat="1" applyFont="1" applyFill="1" applyBorder="1" applyAlignment="1">
      <alignment horizontal="center" vertical="center"/>
    </xf>
    <xf numFmtId="10" fontId="3" fillId="8" borderId="19" xfId="0" applyNumberFormat="1" applyFont="1" applyFill="1" applyBorder="1" applyAlignment="1">
      <alignment horizontal="center" vertical="center"/>
    </xf>
    <xf numFmtId="10" fontId="20" fillId="24" borderId="26" xfId="0" applyNumberFormat="1" applyFont="1" applyFill="1" applyBorder="1" applyAlignment="1">
      <alignment horizontal="center" vertical="center"/>
    </xf>
    <xf numFmtId="10" fontId="20" fillId="24" borderId="28" xfId="0" applyNumberFormat="1" applyFont="1" applyFill="1" applyBorder="1" applyAlignment="1">
      <alignment horizontal="center" vertical="center"/>
    </xf>
    <xf numFmtId="10" fontId="20" fillId="24" borderId="30" xfId="0" applyNumberFormat="1" applyFont="1" applyFill="1" applyBorder="1" applyAlignment="1">
      <alignment horizontal="center" vertical="center"/>
    </xf>
    <xf numFmtId="0" fontId="1" fillId="26" borderId="82" xfId="0" applyFont="1" applyFill="1" applyBorder="1" applyAlignment="1">
      <alignment horizontal="center" vertical="center"/>
    </xf>
    <xf numFmtId="9" fontId="19" fillId="2" borderId="75" xfId="1" applyFont="1" applyFill="1" applyBorder="1"/>
    <xf numFmtId="9" fontId="19" fillId="2" borderId="38" xfId="1" applyFont="1" applyFill="1" applyBorder="1"/>
    <xf numFmtId="10" fontId="3" fillId="8" borderId="83" xfId="0" applyNumberFormat="1" applyFont="1" applyFill="1" applyBorder="1" applyAlignment="1">
      <alignment horizontal="center" vertical="center"/>
    </xf>
    <xf numFmtId="10" fontId="3" fillId="8" borderId="84" xfId="0" applyNumberFormat="1" applyFont="1" applyFill="1" applyBorder="1" applyAlignment="1">
      <alignment horizontal="center" vertical="center"/>
    </xf>
    <xf numFmtId="10" fontId="3" fillId="8" borderId="85" xfId="0" applyNumberFormat="1" applyFont="1" applyFill="1" applyBorder="1" applyAlignment="1">
      <alignment horizontal="center" vertical="center"/>
    </xf>
    <xf numFmtId="10" fontId="3" fillId="8" borderId="86" xfId="0" applyNumberFormat="1" applyFont="1" applyFill="1" applyBorder="1" applyAlignment="1">
      <alignment horizontal="center" vertical="center"/>
    </xf>
    <xf numFmtId="3" fontId="14" fillId="25" borderId="43" xfId="0" applyNumberFormat="1" applyFont="1" applyFill="1" applyBorder="1" applyAlignment="1">
      <alignment horizontal="right"/>
    </xf>
    <xf numFmtId="10" fontId="3" fillId="25" borderId="44" xfId="0" applyNumberFormat="1" applyFont="1" applyFill="1" applyBorder="1" applyAlignment="1">
      <alignment horizontal="center" vertical="center"/>
    </xf>
    <xf numFmtId="3" fontId="14" fillId="25" borderId="87" xfId="0" applyNumberFormat="1" applyFont="1" applyFill="1" applyBorder="1" applyAlignment="1">
      <alignment horizontal="right"/>
    </xf>
    <xf numFmtId="10" fontId="3" fillId="25" borderId="88" xfId="0" applyNumberFormat="1" applyFont="1" applyFill="1" applyBorder="1" applyAlignment="1">
      <alignment horizontal="center" vertical="center"/>
    </xf>
    <xf numFmtId="0" fontId="14" fillId="25" borderId="87" xfId="0" applyFont="1" applyFill="1" applyBorder="1" applyAlignment="1">
      <alignment horizontal="right"/>
    </xf>
    <xf numFmtId="10" fontId="3" fillId="25" borderId="89" xfId="0" applyNumberFormat="1" applyFont="1" applyFill="1" applyBorder="1" applyAlignment="1">
      <alignment horizontal="center" vertical="center"/>
    </xf>
    <xf numFmtId="10" fontId="3" fillId="25" borderId="90" xfId="0" applyNumberFormat="1" applyFont="1" applyFill="1" applyBorder="1" applyAlignment="1">
      <alignment horizontal="center" vertical="center"/>
    </xf>
    <xf numFmtId="0" fontId="28" fillId="0" borderId="0" xfId="0" applyFont="1"/>
    <xf numFmtId="10" fontId="8" fillId="2" borderId="67" xfId="0" applyNumberFormat="1" applyFont="1" applyFill="1" applyBorder="1" applyAlignment="1">
      <alignment horizontal="center"/>
    </xf>
    <xf numFmtId="10" fontId="3" fillId="8" borderId="6" xfId="0" applyNumberFormat="1" applyFont="1" applyFill="1" applyBorder="1" applyAlignment="1">
      <alignment horizontal="center" vertical="center"/>
    </xf>
    <xf numFmtId="10" fontId="3" fillId="8" borderId="103" xfId="0" applyNumberFormat="1" applyFont="1" applyFill="1" applyBorder="1" applyAlignment="1">
      <alignment horizontal="center" vertical="center"/>
    </xf>
    <xf numFmtId="10" fontId="3" fillId="8" borderId="104" xfId="0" applyNumberFormat="1" applyFont="1" applyFill="1" applyBorder="1" applyAlignment="1">
      <alignment horizontal="center" vertical="center"/>
    </xf>
    <xf numFmtId="0" fontId="14" fillId="25" borderId="43" xfId="0" applyFont="1" applyFill="1" applyBorder="1" applyAlignment="1">
      <alignment horizontal="right"/>
    </xf>
    <xf numFmtId="0" fontId="28" fillId="11" borderId="46" xfId="0" applyFont="1" applyFill="1" applyBorder="1"/>
    <xf numFmtId="0" fontId="28" fillId="11" borderId="48" xfId="0" applyFont="1" applyFill="1" applyBorder="1"/>
    <xf numFmtId="0" fontId="28" fillId="11" borderId="50" xfId="0" applyFont="1" applyFill="1" applyBorder="1"/>
    <xf numFmtId="10" fontId="20" fillId="5" borderId="26" xfId="0" applyNumberFormat="1" applyFont="1" applyFill="1" applyBorder="1" applyAlignment="1">
      <alignment horizontal="center" vertical="center"/>
    </xf>
    <xf numFmtId="10" fontId="20" fillId="5" borderId="28" xfId="0" applyNumberFormat="1" applyFont="1" applyFill="1" applyBorder="1" applyAlignment="1">
      <alignment horizontal="center" vertical="center"/>
    </xf>
    <xf numFmtId="10" fontId="20" fillId="5" borderId="30" xfId="0" applyNumberFormat="1" applyFont="1" applyFill="1" applyBorder="1" applyAlignment="1">
      <alignment horizontal="center" vertical="center"/>
    </xf>
    <xf numFmtId="10" fontId="35" fillId="9" borderId="113" xfId="1" applyNumberFormat="1" applyFont="1" applyFill="1" applyBorder="1" applyAlignment="1">
      <alignment horizontal="center"/>
    </xf>
    <xf numFmtId="10" fontId="35" fillId="9" borderId="92" xfId="1" applyNumberFormat="1" applyFont="1" applyFill="1" applyBorder="1" applyAlignment="1">
      <alignment horizontal="center"/>
    </xf>
    <xf numFmtId="0" fontId="35" fillId="11" borderId="114" xfId="0" applyFont="1" applyFill="1" applyBorder="1" applyAlignment="1">
      <alignment horizontal="center"/>
    </xf>
    <xf numFmtId="0" fontId="35" fillId="11" borderId="118" xfId="0" applyFont="1" applyFill="1" applyBorder="1" applyAlignment="1">
      <alignment horizontal="center"/>
    </xf>
    <xf numFmtId="10" fontId="35" fillId="9" borderId="119" xfId="1" applyNumberFormat="1" applyFont="1" applyFill="1" applyBorder="1" applyAlignment="1">
      <alignment horizontal="center"/>
    </xf>
    <xf numFmtId="10" fontId="35" fillId="9" borderId="120" xfId="1" applyNumberFormat="1" applyFont="1" applyFill="1" applyBorder="1" applyAlignment="1">
      <alignment horizontal="center"/>
    </xf>
    <xf numFmtId="10" fontId="36" fillId="11" borderId="123" xfId="1" applyNumberFormat="1" applyFont="1" applyFill="1" applyBorder="1" applyAlignment="1">
      <alignment horizontal="right"/>
    </xf>
    <xf numFmtId="10" fontId="36" fillId="11" borderId="124" xfId="1" applyNumberFormat="1" applyFont="1" applyFill="1" applyBorder="1" applyAlignment="1">
      <alignment horizontal="right"/>
    </xf>
    <xf numFmtId="0" fontId="20" fillId="23" borderId="25" xfId="0" applyFont="1" applyFill="1" applyBorder="1" applyAlignment="1">
      <alignment horizontal="center" vertical="center"/>
    </xf>
    <xf numFmtId="0" fontId="20" fillId="23" borderId="27" xfId="0" applyFont="1" applyFill="1" applyBorder="1" applyAlignment="1">
      <alignment horizontal="center" vertical="center"/>
    </xf>
    <xf numFmtId="0" fontId="35" fillId="11" borderId="115" xfId="0" applyFont="1" applyFill="1" applyBorder="1" applyAlignment="1">
      <alignment horizontal="center"/>
    </xf>
    <xf numFmtId="0" fontId="35" fillId="11" borderId="69" xfId="0" applyFont="1" applyFill="1" applyBorder="1" applyAlignment="1">
      <alignment horizontal="center"/>
    </xf>
    <xf numFmtId="0" fontId="35" fillId="11" borderId="107" xfId="0" applyFont="1" applyFill="1" applyBorder="1" applyAlignment="1">
      <alignment horizontal="center"/>
    </xf>
    <xf numFmtId="0" fontId="35" fillId="11" borderId="108" xfId="0" applyFont="1" applyFill="1" applyBorder="1" applyAlignment="1">
      <alignment horizontal="center"/>
    </xf>
    <xf numFmtId="0" fontId="35" fillId="30" borderId="116" xfId="0" applyFont="1" applyFill="1" applyBorder="1" applyAlignment="1">
      <alignment horizontal="center"/>
    </xf>
    <xf numFmtId="10" fontId="35" fillId="9" borderId="65" xfId="1" applyNumberFormat="1" applyFont="1" applyFill="1" applyBorder="1" applyAlignment="1">
      <alignment horizontal="center"/>
    </xf>
    <xf numFmtId="10" fontId="35" fillId="9" borderId="106" xfId="1" applyNumberFormat="1" applyFont="1" applyFill="1" applyBorder="1" applyAlignment="1">
      <alignment horizontal="center"/>
    </xf>
    <xf numFmtId="10" fontId="35" fillId="9" borderId="91" xfId="1" applyNumberFormat="1" applyFont="1" applyFill="1" applyBorder="1" applyAlignment="1">
      <alignment horizontal="center"/>
    </xf>
    <xf numFmtId="10" fontId="35" fillId="9" borderId="48" xfId="1" applyNumberFormat="1" applyFont="1" applyFill="1" applyBorder="1" applyAlignment="1">
      <alignment horizontal="center"/>
    </xf>
    <xf numFmtId="10" fontId="35" fillId="9" borderId="34" xfId="1" applyNumberFormat="1" applyFont="1" applyFill="1" applyBorder="1" applyAlignment="1">
      <alignment horizontal="center"/>
    </xf>
    <xf numFmtId="10" fontId="35" fillId="9" borderId="49" xfId="1" applyNumberFormat="1" applyFont="1" applyFill="1" applyBorder="1" applyAlignment="1">
      <alignment horizontal="center"/>
    </xf>
    <xf numFmtId="0" fontId="35" fillId="30" borderId="117" xfId="0" applyFont="1" applyFill="1" applyBorder="1" applyAlignment="1">
      <alignment horizontal="center"/>
    </xf>
    <xf numFmtId="10" fontId="35" fillId="9" borderId="80" xfId="1" applyNumberFormat="1" applyFont="1" applyFill="1" applyBorder="1" applyAlignment="1">
      <alignment horizontal="center"/>
    </xf>
    <xf numFmtId="10" fontId="35" fillId="9" borderId="96" xfId="1" applyNumberFormat="1" applyFont="1" applyFill="1" applyBorder="1" applyAlignment="1">
      <alignment horizontal="center"/>
    </xf>
    <xf numFmtId="10" fontId="35" fillId="9" borderId="54" xfId="1" applyNumberFormat="1" applyFont="1" applyFill="1" applyBorder="1" applyAlignment="1">
      <alignment horizontal="center"/>
    </xf>
    <xf numFmtId="0" fontId="36" fillId="11" borderId="121" xfId="0" applyFont="1" applyFill="1" applyBorder="1" applyAlignment="1">
      <alignment horizontal="right"/>
    </xf>
    <xf numFmtId="10" fontId="36" fillId="11" borderId="122" xfId="1" applyNumberFormat="1" applyFont="1" applyFill="1" applyBorder="1" applyAlignment="1">
      <alignment horizontal="right"/>
    </xf>
    <xf numFmtId="10" fontId="36" fillId="11" borderId="111" xfId="1" applyNumberFormat="1" applyFont="1" applyFill="1" applyBorder="1" applyAlignment="1">
      <alignment horizontal="right"/>
    </xf>
    <xf numFmtId="10" fontId="36" fillId="11" borderId="112" xfId="1" applyNumberFormat="1" applyFont="1" applyFill="1" applyBorder="1" applyAlignment="1">
      <alignment horizontal="right"/>
    </xf>
    <xf numFmtId="0" fontId="0" fillId="11" borderId="0" xfId="0" applyFill="1"/>
    <xf numFmtId="0" fontId="37" fillId="0" borderId="0" xfId="0" applyFont="1" applyAlignment="1">
      <alignment vertical="center"/>
    </xf>
    <xf numFmtId="0" fontId="6" fillId="29" borderId="137" xfId="0" applyFont="1" applyFill="1" applyBorder="1"/>
    <xf numFmtId="0" fontId="6" fillId="29" borderId="0" xfId="0" applyFont="1" applyFill="1"/>
    <xf numFmtId="0" fontId="6" fillId="29" borderId="93" xfId="0" applyFont="1" applyFill="1" applyBorder="1"/>
    <xf numFmtId="0" fontId="0" fillId="29" borderId="137" xfId="0" applyFill="1" applyBorder="1"/>
    <xf numFmtId="0" fontId="0" fillId="29" borderId="0" xfId="0" applyFill="1"/>
    <xf numFmtId="0" fontId="0" fillId="29" borderId="93" xfId="0" applyFill="1" applyBorder="1"/>
    <xf numFmtId="0" fontId="0" fillId="11" borderId="137" xfId="0" applyFill="1" applyBorder="1"/>
    <xf numFmtId="0" fontId="0" fillId="11" borderId="93" xfId="0" applyFill="1" applyBorder="1"/>
    <xf numFmtId="0" fontId="0" fillId="11" borderId="67" xfId="0" applyFill="1" applyBorder="1"/>
    <xf numFmtId="0" fontId="0" fillId="11" borderId="78" xfId="0" applyFill="1" applyBorder="1"/>
    <xf numFmtId="0" fontId="0" fillId="11" borderId="75" xfId="0" applyFill="1" applyBorder="1"/>
    <xf numFmtId="0" fontId="29" fillId="14" borderId="60" xfId="0" applyFont="1" applyFill="1" applyBorder="1" applyAlignment="1" applyProtection="1">
      <alignment horizontal="center" vertical="center"/>
      <protection locked="0"/>
    </xf>
    <xf numFmtId="0" fontId="29" fillId="14" borderId="64" xfId="0" applyFont="1" applyFill="1" applyBorder="1" applyAlignment="1" applyProtection="1">
      <alignment horizontal="center" vertical="center"/>
      <protection locked="0"/>
    </xf>
    <xf numFmtId="3" fontId="29" fillId="14" borderId="48" xfId="0" applyNumberFormat="1" applyFont="1" applyFill="1" applyBorder="1" applyAlignment="1" applyProtection="1">
      <alignment horizontal="center" vertical="center"/>
      <protection locked="0"/>
    </xf>
    <xf numFmtId="3" fontId="29" fillId="14" borderId="49" xfId="0" applyNumberFormat="1" applyFont="1" applyFill="1" applyBorder="1" applyAlignment="1" applyProtection="1">
      <alignment horizontal="center" vertical="center"/>
      <protection locked="0"/>
    </xf>
    <xf numFmtId="3" fontId="29" fillId="14" borderId="80" xfId="0" applyNumberFormat="1" applyFont="1" applyFill="1" applyBorder="1" applyAlignment="1" applyProtection="1">
      <alignment horizontal="center" vertical="center"/>
      <protection locked="0"/>
    </xf>
    <xf numFmtId="3" fontId="29" fillId="14" borderId="54" xfId="0" applyNumberFormat="1" applyFont="1" applyFill="1" applyBorder="1" applyAlignment="1" applyProtection="1">
      <alignment horizontal="center" vertical="center"/>
      <protection locked="0"/>
    </xf>
    <xf numFmtId="0" fontId="11" fillId="12" borderId="46" xfId="0" applyFont="1" applyFill="1" applyBorder="1" applyAlignment="1" applyProtection="1">
      <alignment horizontal="right"/>
      <protection locked="0"/>
    </xf>
    <xf numFmtId="0" fontId="11" fillId="12" borderId="56" xfId="0" applyFont="1" applyFill="1" applyBorder="1" applyAlignment="1" applyProtection="1">
      <alignment horizontal="right"/>
      <protection locked="0"/>
    </xf>
    <xf numFmtId="3" fontId="27" fillId="12" borderId="46" xfId="0" applyNumberFormat="1" applyFont="1" applyFill="1" applyBorder="1" applyAlignment="1" applyProtection="1">
      <alignment horizontal="right"/>
      <protection locked="0"/>
    </xf>
    <xf numFmtId="3" fontId="27" fillId="12" borderId="47" xfId="0" applyNumberFormat="1" applyFont="1" applyFill="1" applyBorder="1" applyAlignment="1" applyProtection="1">
      <alignment horizontal="right"/>
      <protection locked="0"/>
    </xf>
    <xf numFmtId="3" fontId="42" fillId="11" borderId="49" xfId="0" applyNumberFormat="1" applyFont="1" applyFill="1" applyBorder="1" applyAlignment="1">
      <alignment horizontal="center" vertical="center"/>
    </xf>
    <xf numFmtId="3" fontId="42" fillId="18" borderId="49" xfId="0" applyNumberFormat="1" applyFont="1" applyFill="1" applyBorder="1" applyAlignment="1" applyProtection="1">
      <alignment horizontal="center" vertical="center"/>
      <protection locked="0"/>
    </xf>
    <xf numFmtId="3" fontId="42" fillId="11" borderId="51" xfId="0" applyNumberFormat="1" applyFont="1" applyFill="1" applyBorder="1" applyAlignment="1">
      <alignment horizontal="center" vertical="center"/>
    </xf>
    <xf numFmtId="0" fontId="25" fillId="0" borderId="0" xfId="0" applyFont="1"/>
    <xf numFmtId="0" fontId="29" fillId="14" borderId="138" xfId="0" applyFont="1" applyFill="1" applyBorder="1" applyAlignment="1" applyProtection="1">
      <alignment horizontal="center" vertical="center"/>
      <protection locked="0"/>
    </xf>
    <xf numFmtId="0" fontId="29" fillId="14" borderId="46" xfId="0" applyFont="1" applyFill="1" applyBorder="1" applyAlignment="1" applyProtection="1">
      <alignment horizontal="center" vertical="center"/>
      <protection locked="0"/>
    </xf>
    <xf numFmtId="0" fontId="29" fillId="14" borderId="79" xfId="0" applyFont="1" applyFill="1" applyBorder="1" applyAlignment="1" applyProtection="1">
      <alignment horizontal="center" vertical="center"/>
      <protection locked="0"/>
    </xf>
    <xf numFmtId="0" fontId="29" fillId="14" borderId="48" xfId="0" applyFont="1" applyFill="1" applyBorder="1" applyAlignment="1" applyProtection="1">
      <alignment horizontal="center" vertical="center"/>
      <protection locked="0"/>
    </xf>
    <xf numFmtId="0" fontId="29" fillId="14" borderId="94" xfId="0" applyFont="1" applyFill="1" applyBorder="1" applyAlignment="1" applyProtection="1">
      <alignment horizontal="center" vertical="center"/>
      <protection locked="0"/>
    </xf>
    <xf numFmtId="3" fontId="29" fillId="14" borderId="50" xfId="0" applyNumberFormat="1" applyFont="1" applyFill="1" applyBorder="1" applyAlignment="1" applyProtection="1">
      <alignment horizontal="center" vertical="center"/>
      <protection locked="0"/>
    </xf>
    <xf numFmtId="3" fontId="29" fillId="14" borderId="51" xfId="0" applyNumberFormat="1" applyFont="1" applyFill="1" applyBorder="1" applyAlignment="1" applyProtection="1">
      <alignment horizontal="center" vertical="center"/>
      <protection locked="0"/>
    </xf>
    <xf numFmtId="0" fontId="25" fillId="0" borderId="34" xfId="0" applyFont="1" applyBorder="1"/>
    <xf numFmtId="0" fontId="0" fillId="0" borderId="34" xfId="0" applyBorder="1"/>
    <xf numFmtId="0" fontId="0" fillId="14" borderId="64" xfId="0" applyFill="1" applyBorder="1" applyAlignment="1" applyProtection="1">
      <alignment horizontal="center" vertical="center"/>
      <protection locked="0"/>
    </xf>
    <xf numFmtId="0" fontId="0" fillId="14" borderId="34" xfId="0" applyFill="1" applyBorder="1" applyAlignment="1" applyProtection="1">
      <alignment horizontal="center" vertical="center"/>
      <protection locked="0"/>
    </xf>
    <xf numFmtId="0" fontId="0" fillId="14" borderId="49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0" fillId="14" borderId="61" xfId="0" applyFill="1" applyBorder="1" applyAlignment="1" applyProtection="1">
      <alignment horizontal="center" vertical="center"/>
      <protection locked="0"/>
    </xf>
    <xf numFmtId="0" fontId="0" fillId="14" borderId="57" xfId="0" applyFill="1" applyBorder="1" applyAlignment="1" applyProtection="1">
      <alignment horizontal="center" vertical="center"/>
      <protection locked="0"/>
    </xf>
    <xf numFmtId="0" fontId="0" fillId="14" borderId="51" xfId="0" applyFill="1" applyBorder="1" applyAlignment="1" applyProtection="1">
      <alignment horizontal="center" vertical="center"/>
      <protection locked="0"/>
    </xf>
    <xf numFmtId="0" fontId="0" fillId="14" borderId="50" xfId="0" applyFill="1" applyBorder="1" applyAlignment="1" applyProtection="1">
      <alignment horizontal="center" vertical="center"/>
      <protection locked="0"/>
    </xf>
    <xf numFmtId="0" fontId="42" fillId="11" borderId="49" xfId="0" applyFont="1" applyFill="1" applyBorder="1" applyAlignment="1">
      <alignment horizontal="center" vertical="center"/>
    </xf>
    <xf numFmtId="0" fontId="6" fillId="0" borderId="0" xfId="0" applyFont="1" applyProtection="1">
      <protection hidden="1"/>
    </xf>
    <xf numFmtId="0" fontId="6" fillId="0" borderId="136" xfId="0" applyFont="1" applyBorder="1" applyProtection="1">
      <protection hidden="1"/>
    </xf>
    <xf numFmtId="0" fontId="6" fillId="6" borderId="35" xfId="0" applyFont="1" applyFill="1" applyBorder="1" applyProtection="1">
      <protection hidden="1"/>
    </xf>
    <xf numFmtId="0" fontId="38" fillId="31" borderId="129" xfId="0" applyFont="1" applyFill="1" applyBorder="1" applyProtection="1">
      <protection hidden="1"/>
    </xf>
    <xf numFmtId="0" fontId="38" fillId="32" borderId="130" xfId="0" applyFont="1" applyFill="1" applyBorder="1" applyProtection="1">
      <protection hidden="1"/>
    </xf>
    <xf numFmtId="0" fontId="38" fillId="33" borderId="130" xfId="0" applyFont="1" applyFill="1" applyBorder="1" applyProtection="1">
      <protection hidden="1"/>
    </xf>
    <xf numFmtId="0" fontId="38" fillId="34" borderId="130" xfId="0" applyFont="1" applyFill="1" applyBorder="1" applyProtection="1">
      <protection hidden="1"/>
    </xf>
    <xf numFmtId="0" fontId="38" fillId="35" borderId="130" xfId="0" applyFont="1" applyFill="1" applyBorder="1" applyProtection="1">
      <protection hidden="1"/>
    </xf>
    <xf numFmtId="0" fontId="38" fillId="36" borderId="130" xfId="0" applyFont="1" applyFill="1" applyBorder="1" applyProtection="1">
      <protection hidden="1"/>
    </xf>
    <xf numFmtId="0" fontId="38" fillId="31" borderId="130" xfId="0" applyFont="1" applyFill="1" applyBorder="1" applyProtection="1">
      <protection hidden="1"/>
    </xf>
    <xf numFmtId="0" fontId="40" fillId="37" borderId="89" xfId="0" applyFont="1" applyFill="1" applyBorder="1" applyProtection="1">
      <protection hidden="1"/>
    </xf>
    <xf numFmtId="0" fontId="6" fillId="6" borderId="131" xfId="0" applyFont="1" applyFill="1" applyBorder="1" applyProtection="1">
      <protection hidden="1"/>
    </xf>
    <xf numFmtId="0" fontId="38" fillId="38" borderId="129" xfId="0" applyFont="1" applyFill="1" applyBorder="1" applyProtection="1">
      <protection hidden="1"/>
    </xf>
    <xf numFmtId="0" fontId="38" fillId="39" borderId="130" xfId="0" applyFont="1" applyFill="1" applyBorder="1" applyProtection="1">
      <protection hidden="1"/>
    </xf>
    <xf numFmtId="0" fontId="38" fillId="40" borderId="130" xfId="0" applyFont="1" applyFill="1" applyBorder="1" applyProtection="1">
      <protection hidden="1"/>
    </xf>
    <xf numFmtId="0" fontId="38" fillId="41" borderId="130" xfId="0" applyFont="1" applyFill="1" applyBorder="1" applyProtection="1">
      <protection hidden="1"/>
    </xf>
    <xf numFmtId="0" fontId="38" fillId="42" borderId="130" xfId="0" applyFont="1" applyFill="1" applyBorder="1" applyProtection="1">
      <protection hidden="1"/>
    </xf>
    <xf numFmtId="0" fontId="38" fillId="43" borderId="130" xfId="0" applyFont="1" applyFill="1" applyBorder="1" applyProtection="1">
      <protection hidden="1"/>
    </xf>
    <xf numFmtId="0" fontId="38" fillId="38" borderId="130" xfId="0" applyFont="1" applyFill="1" applyBorder="1" applyProtection="1">
      <protection hidden="1"/>
    </xf>
    <xf numFmtId="0" fontId="40" fillId="44" borderId="89" xfId="0" applyFont="1" applyFill="1" applyBorder="1" applyProtection="1">
      <protection hidden="1"/>
    </xf>
    <xf numFmtId="0" fontId="28" fillId="6" borderId="128" xfId="0" applyFont="1" applyFill="1" applyBorder="1" applyProtection="1">
      <protection hidden="1"/>
    </xf>
    <xf numFmtId="0" fontId="6" fillId="6" borderId="7" xfId="0" applyFont="1" applyFill="1" applyBorder="1" applyProtection="1">
      <protection hidden="1"/>
    </xf>
    <xf numFmtId="0" fontId="6" fillId="6" borderId="125" xfId="0" applyFont="1" applyFill="1" applyBorder="1" applyProtection="1">
      <protection hidden="1"/>
    </xf>
    <xf numFmtId="0" fontId="6" fillId="6" borderId="15" xfId="0" applyFont="1" applyFill="1" applyBorder="1" applyProtection="1">
      <protection hidden="1"/>
    </xf>
    <xf numFmtId="0" fontId="28" fillId="6" borderId="133" xfId="0" applyFont="1" applyFill="1" applyBorder="1" applyProtection="1">
      <protection hidden="1"/>
    </xf>
    <xf numFmtId="0" fontId="28" fillId="6" borderId="62" xfId="0" applyFont="1" applyFill="1" applyBorder="1" applyProtection="1">
      <protection hidden="1"/>
    </xf>
    <xf numFmtId="10" fontId="6" fillId="6" borderId="17" xfId="0" applyNumberFormat="1" applyFont="1" applyFill="1" applyBorder="1" applyProtection="1">
      <protection hidden="1"/>
    </xf>
    <xf numFmtId="10" fontId="6" fillId="6" borderId="16" xfId="0" applyNumberFormat="1" applyFont="1" applyFill="1" applyBorder="1" applyProtection="1">
      <protection hidden="1"/>
    </xf>
    <xf numFmtId="10" fontId="6" fillId="6" borderId="9" xfId="0" applyNumberFormat="1" applyFont="1" applyFill="1" applyBorder="1" applyProtection="1">
      <protection hidden="1"/>
    </xf>
    <xf numFmtId="0" fontId="28" fillId="6" borderId="134" xfId="0" applyFont="1" applyFill="1" applyBorder="1" applyProtection="1">
      <protection hidden="1"/>
    </xf>
    <xf numFmtId="0" fontId="41" fillId="6" borderId="62" xfId="0" applyFont="1" applyFill="1" applyBorder="1" applyProtection="1">
      <protection hidden="1"/>
    </xf>
    <xf numFmtId="10" fontId="41" fillId="6" borderId="17" xfId="0" applyNumberFormat="1" applyFont="1" applyFill="1" applyBorder="1" applyProtection="1">
      <protection hidden="1"/>
    </xf>
    <xf numFmtId="10" fontId="41" fillId="6" borderId="16" xfId="0" applyNumberFormat="1" applyFont="1" applyFill="1" applyBorder="1" applyProtection="1">
      <protection hidden="1"/>
    </xf>
    <xf numFmtId="10" fontId="41" fillId="6" borderId="9" xfId="0" applyNumberFormat="1" applyFont="1" applyFill="1" applyBorder="1" applyProtection="1">
      <protection hidden="1"/>
    </xf>
    <xf numFmtId="0" fontId="41" fillId="6" borderId="134" xfId="0" applyFont="1" applyFill="1" applyBorder="1" applyProtection="1">
      <protection hidden="1"/>
    </xf>
    <xf numFmtId="0" fontId="41" fillId="6" borderId="127" xfId="0" applyFont="1" applyFill="1" applyBorder="1" applyProtection="1">
      <protection hidden="1"/>
    </xf>
    <xf numFmtId="10" fontId="41" fillId="6" borderId="97" xfId="0" applyNumberFormat="1" applyFont="1" applyFill="1" applyBorder="1" applyProtection="1">
      <protection hidden="1"/>
    </xf>
    <xf numFmtId="10" fontId="41" fillId="6" borderId="126" xfId="0" applyNumberFormat="1" applyFont="1" applyFill="1" applyBorder="1" applyProtection="1">
      <protection hidden="1"/>
    </xf>
    <xf numFmtId="10" fontId="41" fillId="6" borderId="132" xfId="0" applyNumberFormat="1" applyFont="1" applyFill="1" applyBorder="1" applyProtection="1">
      <protection hidden="1"/>
    </xf>
    <xf numFmtId="0" fontId="41" fillId="6" borderId="135" xfId="0" applyFont="1" applyFill="1" applyBorder="1" applyProtection="1">
      <protection hidden="1"/>
    </xf>
    <xf numFmtId="0" fontId="46" fillId="0" borderId="0" xfId="0" applyFont="1"/>
    <xf numFmtId="0" fontId="47" fillId="0" borderId="93" xfId="0" applyFont="1" applyBorder="1" applyAlignment="1">
      <alignment vertical="top" wrapText="1"/>
    </xf>
    <xf numFmtId="0" fontId="25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5" fillId="11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60" xfId="0" applyFill="1" applyBorder="1" applyAlignment="1" applyProtection="1">
      <alignment horizontal="center" vertical="center"/>
      <protection locked="0"/>
    </xf>
    <xf numFmtId="0" fontId="0" fillId="14" borderId="56" xfId="0" applyFill="1" applyBorder="1" applyAlignment="1" applyProtection="1">
      <alignment horizontal="center" vertical="center"/>
      <protection locked="0"/>
    </xf>
    <xf numFmtId="0" fontId="0" fillId="14" borderId="47" xfId="0" applyFill="1" applyBorder="1" applyAlignment="1" applyProtection="1">
      <alignment horizontal="center" vertical="center"/>
      <protection locked="0"/>
    </xf>
    <xf numFmtId="0" fontId="0" fillId="14" borderId="46" xfId="0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0" fillId="49" borderId="37" xfId="0" applyFill="1" applyBorder="1" applyAlignment="1" applyProtection="1">
      <alignment horizontal="center" vertical="center"/>
      <protection locked="0"/>
    </xf>
    <xf numFmtId="0" fontId="0" fillId="49" borderId="38" xfId="0" applyFill="1" applyBorder="1" applyAlignment="1" applyProtection="1">
      <alignment horizontal="center" vertical="center"/>
      <protection locked="0"/>
    </xf>
    <xf numFmtId="0" fontId="0" fillId="49" borderId="36" xfId="0" applyFill="1" applyBorder="1" applyAlignment="1" applyProtection="1">
      <alignment horizontal="center" vertical="center"/>
      <protection locked="0"/>
    </xf>
    <xf numFmtId="0" fontId="28" fillId="11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1" fillId="46" borderId="143" xfId="0" applyFont="1" applyFill="1" applyBorder="1" applyAlignment="1">
      <alignment horizontal="center"/>
    </xf>
    <xf numFmtId="0" fontId="52" fillId="46" borderId="144" xfId="0" applyFont="1" applyFill="1" applyBorder="1" applyAlignment="1">
      <alignment horizontal="center" vertical="center"/>
    </xf>
    <xf numFmtId="0" fontId="52" fillId="46" borderId="95" xfId="0" applyFont="1" applyFill="1" applyBorder="1" applyAlignment="1">
      <alignment horizontal="center" vertical="center"/>
    </xf>
    <xf numFmtId="0" fontId="52" fillId="46" borderId="145" xfId="0" applyFont="1" applyFill="1" applyBorder="1" applyAlignment="1">
      <alignment horizontal="center" vertical="center"/>
    </xf>
    <xf numFmtId="3" fontId="6" fillId="9" borderId="72" xfId="0" applyNumberFormat="1" applyFont="1" applyFill="1" applyBorder="1" applyAlignment="1">
      <alignment horizontal="center"/>
    </xf>
    <xf numFmtId="3" fontId="6" fillId="9" borderId="145" xfId="0" applyNumberFormat="1" applyFont="1" applyFill="1" applyBorder="1" applyAlignment="1">
      <alignment horizontal="center"/>
    </xf>
    <xf numFmtId="3" fontId="6" fillId="12" borderId="145" xfId="0" applyNumberFormat="1" applyFont="1" applyFill="1" applyBorder="1" applyAlignment="1">
      <alignment horizontal="center"/>
    </xf>
    <xf numFmtId="10" fontId="6" fillId="12" borderId="72" xfId="0" applyNumberFormat="1" applyFont="1" applyFill="1" applyBorder="1" applyAlignment="1">
      <alignment horizontal="center"/>
    </xf>
    <xf numFmtId="10" fontId="6" fillId="12" borderId="146" xfId="1" applyNumberFormat="1" applyFont="1" applyFill="1" applyBorder="1" applyAlignment="1">
      <alignment horizontal="center"/>
    </xf>
    <xf numFmtId="3" fontId="6" fillId="9" borderId="105" xfId="0" applyNumberFormat="1" applyFont="1" applyFill="1" applyBorder="1" applyAlignment="1">
      <alignment horizontal="center"/>
    </xf>
    <xf numFmtId="3" fontId="6" fillId="9" borderId="140" xfId="0" applyNumberFormat="1" applyFont="1" applyFill="1" applyBorder="1" applyAlignment="1">
      <alignment horizontal="center"/>
    </xf>
    <xf numFmtId="3" fontId="6" fillId="12" borderId="140" xfId="0" applyNumberFormat="1" applyFont="1" applyFill="1" applyBorder="1" applyAlignment="1">
      <alignment horizontal="center"/>
    </xf>
    <xf numFmtId="10" fontId="6" fillId="12" borderId="105" xfId="0" applyNumberFormat="1" applyFont="1" applyFill="1" applyBorder="1" applyAlignment="1">
      <alignment horizontal="center"/>
    </xf>
    <xf numFmtId="10" fontId="6" fillId="12" borderId="148" xfId="1" applyNumberFormat="1" applyFont="1" applyFill="1" applyBorder="1" applyAlignment="1">
      <alignment horizontal="center"/>
    </xf>
    <xf numFmtId="3" fontId="6" fillId="9" borderId="53" xfId="0" applyNumberFormat="1" applyFont="1" applyFill="1" applyBorder="1" applyAlignment="1">
      <alignment horizontal="center"/>
    </xf>
    <xf numFmtId="3" fontId="6" fillId="9" borderId="59" xfId="0" applyNumberFormat="1" applyFont="1" applyFill="1" applyBorder="1" applyAlignment="1">
      <alignment horizontal="center"/>
    </xf>
    <xf numFmtId="3" fontId="6" fillId="12" borderId="59" xfId="0" applyNumberFormat="1" applyFont="1" applyFill="1" applyBorder="1" applyAlignment="1">
      <alignment horizontal="center"/>
    </xf>
    <xf numFmtId="10" fontId="6" fillId="12" borderId="53" xfId="0" applyNumberFormat="1" applyFont="1" applyFill="1" applyBorder="1" applyAlignment="1">
      <alignment horizontal="center"/>
    </xf>
    <xf numFmtId="10" fontId="6" fillId="12" borderId="142" xfId="1" applyNumberFormat="1" applyFont="1" applyFill="1" applyBorder="1" applyAlignment="1">
      <alignment horizontal="center"/>
    </xf>
    <xf numFmtId="0" fontId="51" fillId="11" borderId="145" xfId="0" applyFont="1" applyFill="1" applyBorder="1" applyAlignment="1">
      <alignment horizontal="center" vertical="center"/>
    </xf>
    <xf numFmtId="0" fontId="51" fillId="11" borderId="141" xfId="0" applyFont="1" applyFill="1" applyBorder="1" applyAlignment="1">
      <alignment horizontal="center" vertical="center"/>
    </xf>
    <xf numFmtId="0" fontId="6" fillId="13" borderId="153" xfId="0" applyFont="1" applyFill="1" applyBorder="1" applyAlignment="1">
      <alignment horizontal="center"/>
    </xf>
    <xf numFmtId="0" fontId="6" fillId="13" borderId="154" xfId="0" applyFont="1" applyFill="1" applyBorder="1" applyAlignment="1">
      <alignment horizontal="center"/>
    </xf>
    <xf numFmtId="0" fontId="6" fillId="13" borderId="155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4" borderId="156" xfId="0" applyFont="1" applyFill="1" applyBorder="1" applyAlignment="1">
      <alignment horizontal="center" vertical="center"/>
    </xf>
    <xf numFmtId="0" fontId="12" fillId="4" borderId="158" xfId="0" applyFont="1" applyFill="1" applyBorder="1" applyAlignment="1">
      <alignment horizontal="right"/>
    </xf>
    <xf numFmtId="0" fontId="54" fillId="14" borderId="64" xfId="0" applyFont="1" applyFill="1" applyBorder="1" applyAlignment="1" applyProtection="1">
      <alignment horizontal="center" vertical="center"/>
      <protection locked="0"/>
    </xf>
    <xf numFmtId="0" fontId="54" fillId="14" borderId="34" xfId="0" applyFont="1" applyFill="1" applyBorder="1" applyAlignment="1" applyProtection="1">
      <alignment horizontal="center" vertical="center"/>
      <protection locked="0"/>
    </xf>
    <xf numFmtId="0" fontId="54" fillId="14" borderId="49" xfId="0" applyFont="1" applyFill="1" applyBorder="1" applyAlignment="1" applyProtection="1">
      <alignment horizontal="center" vertical="center"/>
      <protection locked="0"/>
    </xf>
    <xf numFmtId="0" fontId="54" fillId="14" borderId="48" xfId="0" applyFont="1" applyFill="1" applyBorder="1" applyAlignment="1" applyProtection="1">
      <alignment horizontal="center" vertical="center"/>
      <protection locked="0"/>
    </xf>
    <xf numFmtId="165" fontId="32" fillId="21" borderId="81" xfId="0" applyNumberFormat="1" applyFont="1" applyFill="1" applyBorder="1" applyAlignment="1">
      <alignment horizontal="center" vertical="center"/>
    </xf>
    <xf numFmtId="165" fontId="0" fillId="9" borderId="70" xfId="0" applyNumberFormat="1" applyFill="1" applyBorder="1" applyAlignment="1">
      <alignment horizontal="center" vertical="center"/>
    </xf>
    <xf numFmtId="165" fontId="0" fillId="9" borderId="52" xfId="0" applyNumberFormat="1" applyFill="1" applyBorder="1" applyAlignment="1">
      <alignment horizontal="center" vertical="center"/>
    </xf>
    <xf numFmtId="165" fontId="0" fillId="9" borderId="53" xfId="0" applyNumberFormat="1" applyFill="1" applyBorder="1" applyAlignment="1">
      <alignment horizontal="center" vertical="center"/>
    </xf>
    <xf numFmtId="0" fontId="0" fillId="0" borderId="159" xfId="0" applyBorder="1"/>
    <xf numFmtId="10" fontId="56" fillId="12" borderId="157" xfId="0" applyNumberFormat="1" applyFont="1" applyFill="1" applyBorder="1"/>
    <xf numFmtId="0" fontId="54" fillId="9" borderId="63" xfId="0" applyFont="1" applyFill="1" applyBorder="1" applyAlignment="1">
      <alignment horizontal="center" vertical="center" wrapText="1"/>
    </xf>
    <xf numFmtId="0" fontId="4" fillId="2" borderId="160" xfId="0" applyFont="1" applyFill="1" applyBorder="1" applyAlignment="1">
      <alignment horizontal="center"/>
    </xf>
    <xf numFmtId="0" fontId="6" fillId="46" borderId="8" xfId="0" applyFont="1" applyFill="1" applyBorder="1" applyAlignment="1">
      <alignment vertical="center"/>
    </xf>
    <xf numFmtId="0" fontId="6" fillId="46" borderId="10" xfId="0" applyFont="1" applyFill="1" applyBorder="1" applyAlignment="1">
      <alignment vertical="center"/>
    </xf>
    <xf numFmtId="0" fontId="6" fillId="46" borderId="12" xfId="0" applyFont="1" applyFill="1" applyBorder="1" applyAlignment="1">
      <alignment vertical="center"/>
    </xf>
    <xf numFmtId="164" fontId="15" fillId="15" borderId="71" xfId="0" applyNumberFormat="1" applyFont="1" applyFill="1" applyBorder="1" applyAlignment="1" applyProtection="1">
      <alignment horizontal="center" vertical="center"/>
      <protection locked="0"/>
    </xf>
    <xf numFmtId="0" fontId="13" fillId="15" borderId="14" xfId="0" applyFont="1" applyFill="1" applyBorder="1" applyAlignment="1" applyProtection="1">
      <alignment horizontal="center" vertical="center"/>
      <protection locked="0"/>
    </xf>
    <xf numFmtId="0" fontId="15" fillId="15" borderId="13" xfId="0" applyFont="1" applyFill="1" applyBorder="1" applyAlignment="1" applyProtection="1">
      <alignment horizontal="center" vertical="center"/>
      <protection locked="0"/>
    </xf>
    <xf numFmtId="0" fontId="51" fillId="11" borderId="72" xfId="0" applyFont="1" applyFill="1" applyBorder="1" applyAlignment="1">
      <alignment horizontal="center" vertical="center"/>
    </xf>
    <xf numFmtId="0" fontId="6" fillId="46" borderId="72" xfId="0" applyFont="1" applyFill="1" applyBorder="1" applyAlignment="1">
      <alignment horizontal="center"/>
    </xf>
    <xf numFmtId="0" fontId="6" fillId="46" borderId="147" xfId="0" applyFont="1" applyFill="1" applyBorder="1" applyAlignment="1">
      <alignment horizontal="center"/>
    </xf>
    <xf numFmtId="0" fontId="6" fillId="46" borderId="162" xfId="0" applyFont="1" applyFill="1" applyBorder="1" applyAlignment="1">
      <alignment horizontal="center"/>
    </xf>
    <xf numFmtId="165" fontId="6" fillId="21" borderId="72" xfId="0" applyNumberFormat="1" applyFont="1" applyFill="1" applyBorder="1" applyAlignment="1">
      <alignment horizontal="center" vertical="center"/>
    </xf>
    <xf numFmtId="0" fontId="6" fillId="21" borderId="72" xfId="0" applyFont="1" applyFill="1" applyBorder="1" applyAlignment="1">
      <alignment horizontal="center" vertical="center"/>
    </xf>
    <xf numFmtId="10" fontId="22" fillId="9" borderId="112" xfId="1" applyNumberFormat="1" applyFont="1" applyFill="1" applyBorder="1" applyAlignment="1">
      <alignment horizontal="center" vertical="center"/>
    </xf>
    <xf numFmtId="165" fontId="6" fillId="21" borderId="105" xfId="0" applyNumberFormat="1" applyFont="1" applyFill="1" applyBorder="1" applyAlignment="1">
      <alignment horizontal="center" vertical="center"/>
    </xf>
    <xf numFmtId="0" fontId="6" fillId="20" borderId="105" xfId="0" applyFont="1" applyFill="1" applyBorder="1" applyAlignment="1">
      <alignment horizontal="center" vertical="center"/>
    </xf>
    <xf numFmtId="10" fontId="22" fillId="9" borderId="54" xfId="1" applyNumberFormat="1" applyFont="1" applyFill="1" applyBorder="1" applyAlignment="1">
      <alignment horizontal="center" vertical="center"/>
    </xf>
    <xf numFmtId="0" fontId="32" fillId="22" borderId="163" xfId="0" applyFont="1" applyFill="1" applyBorder="1" applyAlignment="1">
      <alignment horizontal="center" vertical="center"/>
    </xf>
    <xf numFmtId="10" fontId="33" fillId="9" borderId="164" xfId="1" applyNumberFormat="1" applyFont="1" applyFill="1" applyBorder="1" applyAlignment="1">
      <alignment horizontal="center" vertical="center"/>
    </xf>
    <xf numFmtId="0" fontId="32" fillId="22" borderId="165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2" borderId="38" xfId="0" applyFont="1" applyFill="1" applyBorder="1" applyAlignment="1">
      <alignment horizontal="center" vertical="center"/>
    </xf>
    <xf numFmtId="0" fontId="29" fillId="19" borderId="35" xfId="0" applyFont="1" applyFill="1" applyBorder="1" applyAlignment="1">
      <alignment horizontal="center" vertical="center" wrapText="1"/>
    </xf>
    <xf numFmtId="0" fontId="52" fillId="2" borderId="69" xfId="0" applyFont="1" applyFill="1" applyBorder="1" applyAlignment="1">
      <alignment horizontal="center" vertical="center"/>
    </xf>
    <xf numFmtId="0" fontId="52" fillId="2" borderId="108" xfId="0" applyFont="1" applyFill="1" applyBorder="1" applyAlignment="1">
      <alignment horizontal="center" vertical="center"/>
    </xf>
    <xf numFmtId="0" fontId="54" fillId="49" borderId="37" xfId="0" applyFont="1" applyFill="1" applyBorder="1" applyAlignment="1" applyProtection="1">
      <alignment horizontal="center" vertical="center"/>
      <protection locked="0"/>
    </xf>
    <xf numFmtId="0" fontId="54" fillId="9" borderId="35" xfId="0" applyFont="1" applyFill="1" applyBorder="1" applyAlignment="1">
      <alignment horizontal="center" vertical="center"/>
    </xf>
    <xf numFmtId="0" fontId="55" fillId="9" borderId="108" xfId="0" applyFont="1" applyFill="1" applyBorder="1" applyAlignment="1">
      <alignment horizontal="center" vertical="center" wrapText="1"/>
    </xf>
    <xf numFmtId="0" fontId="55" fillId="9" borderId="69" xfId="0" applyFont="1" applyFill="1" applyBorder="1" applyAlignment="1">
      <alignment horizontal="center" vertical="center" wrapText="1"/>
    </xf>
    <xf numFmtId="0" fontId="54" fillId="49" borderId="38" xfId="0" applyFont="1" applyFill="1" applyBorder="1" applyAlignment="1" applyProtection="1">
      <alignment horizontal="center" vertical="center"/>
      <protection locked="0"/>
    </xf>
    <xf numFmtId="0" fontId="54" fillId="14" borderId="61" xfId="0" applyFont="1" applyFill="1" applyBorder="1" applyAlignment="1" applyProtection="1">
      <alignment horizontal="center" vertical="center"/>
      <protection locked="0"/>
    </xf>
    <xf numFmtId="0" fontId="54" fillId="14" borderId="57" xfId="0" applyFont="1" applyFill="1" applyBorder="1" applyAlignment="1" applyProtection="1">
      <alignment horizontal="center" vertical="center"/>
      <protection locked="0"/>
    </xf>
    <xf numFmtId="0" fontId="54" fillId="14" borderId="51" xfId="0" applyFont="1" applyFill="1" applyBorder="1" applyAlignment="1" applyProtection="1">
      <alignment horizontal="center" vertical="center"/>
      <protection locked="0"/>
    </xf>
    <xf numFmtId="0" fontId="54" fillId="14" borderId="50" xfId="0" applyFont="1" applyFill="1" applyBorder="1" applyAlignment="1" applyProtection="1">
      <alignment horizontal="center" vertical="center"/>
      <protection locked="0"/>
    </xf>
    <xf numFmtId="0" fontId="52" fillId="21" borderId="72" xfId="0" applyFont="1" applyFill="1" applyBorder="1" applyAlignment="1">
      <alignment horizontal="center" vertical="center"/>
    </xf>
    <xf numFmtId="0" fontId="52" fillId="21" borderId="72" xfId="0" applyFont="1" applyFill="1" applyBorder="1" applyAlignment="1">
      <alignment horizontal="center" vertical="center" wrapText="1"/>
    </xf>
    <xf numFmtId="0" fontId="55" fillId="9" borderId="55" xfId="0" applyFont="1" applyFill="1" applyBorder="1" applyAlignment="1">
      <alignment horizontal="center" vertical="center"/>
    </xf>
    <xf numFmtId="0" fontId="55" fillId="9" borderId="55" xfId="0" applyFont="1" applyFill="1" applyBorder="1" applyAlignment="1">
      <alignment horizontal="center" vertical="center" wrapText="1"/>
    </xf>
    <xf numFmtId="0" fontId="0" fillId="9" borderId="47" xfId="0" applyFill="1" applyBorder="1" applyAlignment="1">
      <alignment horizontal="center" vertical="center"/>
    </xf>
    <xf numFmtId="0" fontId="0" fillId="9" borderId="49" xfId="0" applyFill="1" applyBorder="1" applyAlignment="1">
      <alignment horizontal="center" vertical="center"/>
    </xf>
    <xf numFmtId="0" fontId="0" fillId="9" borderId="51" xfId="0" applyFill="1" applyBorder="1" applyAlignment="1">
      <alignment horizontal="center" vertical="center"/>
    </xf>
    <xf numFmtId="0" fontId="33" fillId="9" borderId="167" xfId="0" applyFont="1" applyFill="1" applyBorder="1" applyAlignment="1">
      <alignment horizontal="center" vertical="center"/>
    </xf>
    <xf numFmtId="0" fontId="0" fillId="0" borderId="166" xfId="0" applyBorder="1"/>
    <xf numFmtId="10" fontId="33" fillId="9" borderId="168" xfId="1" applyNumberFormat="1" applyFont="1" applyFill="1" applyBorder="1" applyAlignment="1">
      <alignment horizontal="center" vertical="center"/>
    </xf>
    <xf numFmtId="165" fontId="32" fillId="21" borderId="169" xfId="0" applyNumberFormat="1" applyFont="1" applyFill="1" applyBorder="1" applyAlignment="1">
      <alignment horizontal="center" vertical="center"/>
    </xf>
    <xf numFmtId="0" fontId="33" fillId="9" borderId="170" xfId="0" applyFont="1" applyFill="1" applyBorder="1" applyAlignment="1">
      <alignment horizontal="center" vertical="center"/>
    </xf>
    <xf numFmtId="165" fontId="33" fillId="9" borderId="171" xfId="0" applyNumberFormat="1" applyFont="1" applyFill="1" applyBorder="1" applyAlignment="1">
      <alignment horizontal="center" vertical="center"/>
    </xf>
    <xf numFmtId="165" fontId="33" fillId="9" borderId="172" xfId="0" applyNumberFormat="1" applyFont="1" applyFill="1" applyBorder="1" applyAlignment="1">
      <alignment horizontal="center" vertical="center"/>
    </xf>
    <xf numFmtId="0" fontId="7" fillId="2" borderId="173" xfId="0" applyFont="1" applyFill="1" applyBorder="1" applyAlignment="1">
      <alignment horizontal="center"/>
    </xf>
    <xf numFmtId="0" fontId="7" fillId="4" borderId="174" xfId="0" applyFont="1" applyFill="1" applyBorder="1" applyAlignment="1">
      <alignment horizontal="center" vertical="center"/>
    </xf>
    <xf numFmtId="0" fontId="48" fillId="2" borderId="173" xfId="0" applyFont="1" applyFill="1" applyBorder="1" applyAlignment="1">
      <alignment horizontal="center" vertical="center" wrapText="1"/>
    </xf>
    <xf numFmtId="0" fontId="48" fillId="2" borderId="156" xfId="0" applyFont="1" applyFill="1" applyBorder="1" applyAlignment="1">
      <alignment horizontal="center" vertical="center" wrapText="1"/>
    </xf>
    <xf numFmtId="0" fontId="7" fillId="4" borderId="175" xfId="0" applyFont="1" applyFill="1" applyBorder="1" applyAlignment="1">
      <alignment horizontal="center" vertical="center"/>
    </xf>
    <xf numFmtId="0" fontId="7" fillId="4" borderId="176" xfId="0" applyFont="1" applyFill="1" applyBorder="1" applyAlignment="1">
      <alignment horizontal="center" vertical="center"/>
    </xf>
    <xf numFmtId="0" fontId="7" fillId="2" borderId="177" xfId="0" applyFont="1" applyFill="1" applyBorder="1" applyAlignment="1">
      <alignment horizontal="center"/>
    </xf>
    <xf numFmtId="0" fontId="48" fillId="2" borderId="175" xfId="0" applyFont="1" applyFill="1" applyBorder="1" applyAlignment="1">
      <alignment horizontal="center" vertical="center" wrapText="1"/>
    </xf>
    <xf numFmtId="3" fontId="9" fillId="51" borderId="4" xfId="0" applyNumberFormat="1" applyFont="1" applyFill="1" applyBorder="1" applyAlignment="1">
      <alignment horizontal="right"/>
    </xf>
    <xf numFmtId="0" fontId="48" fillId="2" borderId="178" xfId="0" applyFont="1" applyFill="1" applyBorder="1" applyAlignment="1">
      <alignment horizontal="center" vertical="center" wrapText="1"/>
    </xf>
    <xf numFmtId="0" fontId="7" fillId="2" borderId="179" xfId="0" applyFont="1" applyFill="1" applyBorder="1" applyAlignment="1">
      <alignment horizontal="center"/>
    </xf>
    <xf numFmtId="0" fontId="7" fillId="2" borderId="180" xfId="0" applyFont="1" applyFill="1" applyBorder="1" applyAlignment="1">
      <alignment horizontal="center"/>
    </xf>
    <xf numFmtId="0" fontId="52" fillId="54" borderId="139" xfId="0" applyFont="1" applyFill="1" applyBorder="1" applyAlignment="1">
      <alignment horizontal="center" vertical="center" wrapText="1"/>
    </xf>
    <xf numFmtId="0" fontId="55" fillId="56" borderId="69" xfId="0" applyFont="1" applyFill="1" applyBorder="1" applyAlignment="1">
      <alignment horizontal="center" vertical="center" wrapText="1"/>
    </xf>
    <xf numFmtId="0" fontId="55" fillId="56" borderId="108" xfId="0" applyFont="1" applyFill="1" applyBorder="1" applyAlignment="1">
      <alignment horizontal="center" vertical="center" wrapText="1"/>
    </xf>
    <xf numFmtId="0" fontId="52" fillId="50" borderId="139" xfId="0" applyFont="1" applyFill="1" applyBorder="1" applyAlignment="1">
      <alignment horizontal="center" vertical="center" wrapText="1"/>
    </xf>
    <xf numFmtId="0" fontId="52" fillId="18" borderId="139" xfId="0" applyFont="1" applyFill="1" applyBorder="1" applyAlignment="1">
      <alignment horizontal="center" vertical="center" wrapText="1"/>
    </xf>
    <xf numFmtId="0" fontId="52" fillId="52" borderId="139" xfId="0" applyFont="1" applyFill="1" applyBorder="1" applyAlignment="1">
      <alignment horizontal="center" vertical="center" wrapText="1"/>
    </xf>
    <xf numFmtId="0" fontId="52" fillId="53" borderId="139" xfId="0" applyFont="1" applyFill="1" applyBorder="1" applyAlignment="1">
      <alignment horizontal="center" vertical="center" wrapText="1"/>
    </xf>
    <xf numFmtId="0" fontId="52" fillId="48" borderId="139" xfId="0" applyFont="1" applyFill="1" applyBorder="1" applyAlignment="1">
      <alignment horizontal="center" vertical="center" wrapText="1"/>
    </xf>
    <xf numFmtId="0" fontId="52" fillId="57" borderId="139" xfId="0" applyFont="1" applyFill="1" applyBorder="1" applyAlignment="1">
      <alignment horizontal="center" vertical="center" wrapText="1"/>
    </xf>
    <xf numFmtId="0" fontId="52" fillId="49" borderId="139" xfId="0" applyFont="1" applyFill="1" applyBorder="1" applyAlignment="1">
      <alignment horizontal="center" vertical="center" wrapText="1"/>
    </xf>
    <xf numFmtId="0" fontId="52" fillId="58" borderId="139" xfId="0" applyFont="1" applyFill="1" applyBorder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3" fontId="3" fillId="9" borderId="36" xfId="0" applyNumberFormat="1" applyFont="1" applyFill="1" applyBorder="1" applyAlignment="1">
      <alignment horizontal="center" vertical="center" wrapText="1"/>
    </xf>
    <xf numFmtId="3" fontId="3" fillId="10" borderId="83" xfId="0" applyNumberFormat="1" applyFont="1" applyFill="1" applyBorder="1" applyAlignment="1">
      <alignment horizontal="center"/>
    </xf>
    <xf numFmtId="3" fontId="3" fillId="9" borderId="17" xfId="0" applyNumberFormat="1" applyFont="1" applyFill="1" applyBorder="1" applyAlignment="1">
      <alignment horizontal="center" vertical="center"/>
    </xf>
    <xf numFmtId="3" fontId="3" fillId="9" borderId="16" xfId="0" applyNumberFormat="1" applyFont="1" applyFill="1" applyBorder="1" applyAlignment="1">
      <alignment horizontal="center" vertical="center"/>
    </xf>
    <xf numFmtId="0" fontId="3" fillId="9" borderId="46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101" xfId="0" applyFont="1" applyFill="1" applyBorder="1" applyAlignment="1">
      <alignment horizontal="center" vertical="center"/>
    </xf>
    <xf numFmtId="0" fontId="3" fillId="9" borderId="98" xfId="0" applyFont="1" applyFill="1" applyBorder="1" applyAlignment="1">
      <alignment horizontal="center" vertical="center"/>
    </xf>
    <xf numFmtId="3" fontId="3" fillId="9" borderId="37" xfId="0" applyNumberFormat="1" applyFont="1" applyFill="1" applyBorder="1" applyAlignment="1">
      <alignment horizontal="center" vertical="center" wrapText="1"/>
    </xf>
    <xf numFmtId="3" fontId="3" fillId="10" borderId="73" xfId="0" applyNumberFormat="1" applyFont="1" applyFill="1" applyBorder="1" applyAlignment="1">
      <alignment horizontal="center"/>
    </xf>
    <xf numFmtId="0" fontId="3" fillId="9" borderId="48" xfId="0" applyFont="1" applyFill="1" applyBorder="1" applyAlignment="1">
      <alignment horizontal="center" vertical="center"/>
    </xf>
    <xf numFmtId="0" fontId="3" fillId="9" borderId="99" xfId="0" applyFont="1" applyFill="1" applyBorder="1" applyAlignment="1">
      <alignment horizontal="center" vertical="center"/>
    </xf>
    <xf numFmtId="3" fontId="3" fillId="9" borderId="42" xfId="0" applyNumberFormat="1" applyFont="1" applyFill="1" applyBorder="1" applyAlignment="1">
      <alignment horizontal="center" vertical="center" wrapText="1"/>
    </xf>
    <xf numFmtId="3" fontId="3" fillId="10" borderId="75" xfId="0" applyNumberFormat="1" applyFont="1" applyFill="1" applyBorder="1" applyAlignment="1">
      <alignment horizontal="center"/>
    </xf>
    <xf numFmtId="0" fontId="3" fillId="9" borderId="74" xfId="0" applyFont="1" applyFill="1" applyBorder="1" applyAlignment="1">
      <alignment horizontal="center" vertical="center"/>
    </xf>
    <xf numFmtId="0" fontId="3" fillId="9" borderId="80" xfId="0" applyFont="1" applyFill="1" applyBorder="1" applyAlignment="1">
      <alignment horizontal="center" vertical="center"/>
    </xf>
    <xf numFmtId="0" fontId="3" fillId="9" borderId="100" xfId="0" applyFont="1" applyFill="1" applyBorder="1" applyAlignment="1">
      <alignment horizontal="center" vertical="center"/>
    </xf>
    <xf numFmtId="0" fontId="25" fillId="11" borderId="34" xfId="0" applyFont="1" applyFill="1" applyBorder="1"/>
    <xf numFmtId="0" fontId="0" fillId="11" borderId="34" xfId="0" applyFill="1" applyBorder="1"/>
    <xf numFmtId="0" fontId="6" fillId="46" borderId="98" xfId="0" applyFont="1" applyFill="1" applyBorder="1" applyAlignment="1">
      <alignment vertical="center"/>
    </xf>
    <xf numFmtId="0" fontId="6" fillId="46" borderId="99" xfId="0" applyFont="1" applyFill="1" applyBorder="1" applyAlignment="1">
      <alignment vertical="center"/>
    </xf>
    <xf numFmtId="0" fontId="6" fillId="46" borderId="186" xfId="0" applyFont="1" applyFill="1" applyBorder="1" applyAlignment="1">
      <alignment vertical="center"/>
    </xf>
    <xf numFmtId="164" fontId="15" fillId="19" borderId="103" xfId="0" applyNumberFormat="1" applyFont="1" applyFill="1" applyBorder="1" applyAlignment="1">
      <alignment horizontal="center" vertical="center"/>
    </xf>
    <xf numFmtId="0" fontId="13" fillId="19" borderId="104" xfId="0" applyFont="1" applyFill="1" applyBorder="1" applyAlignment="1">
      <alignment horizontal="center" vertical="center"/>
    </xf>
    <xf numFmtId="164" fontId="15" fillId="46" borderId="103" xfId="0" applyNumberFormat="1" applyFont="1" applyFill="1" applyBorder="1" applyAlignment="1">
      <alignment horizontal="center" vertical="center"/>
    </xf>
    <xf numFmtId="0" fontId="13" fillId="46" borderId="104" xfId="0" applyFont="1" applyFill="1" applyBorder="1" applyAlignment="1">
      <alignment horizontal="center" vertical="center"/>
    </xf>
    <xf numFmtId="0" fontId="15" fillId="46" borderId="187" xfId="0" applyFont="1" applyFill="1" applyBorder="1" applyAlignment="1">
      <alignment horizontal="center" vertical="center"/>
    </xf>
    <xf numFmtId="0" fontId="0" fillId="0" borderId="189" xfId="0" applyBorder="1"/>
    <xf numFmtId="0" fontId="0" fillId="0" borderId="190" xfId="0" applyBorder="1"/>
    <xf numFmtId="0" fontId="47" fillId="0" borderId="190" xfId="0" applyFont="1" applyBorder="1" applyAlignment="1">
      <alignment vertical="top" wrapText="1"/>
    </xf>
    <xf numFmtId="0" fontId="0" fillId="0" borderId="192" xfId="0" applyBorder="1"/>
    <xf numFmtId="0" fontId="43" fillId="9" borderId="47" xfId="0" applyFont="1" applyFill="1" applyBorder="1" applyAlignment="1">
      <alignment horizontal="center" vertical="center"/>
    </xf>
    <xf numFmtId="0" fontId="44" fillId="9" borderId="49" xfId="0" applyFont="1" applyFill="1" applyBorder="1" applyAlignment="1">
      <alignment horizontal="center" vertical="center"/>
    </xf>
    <xf numFmtId="0" fontId="25" fillId="0" borderId="189" xfId="0" applyFont="1" applyBorder="1"/>
    <xf numFmtId="0" fontId="7" fillId="4" borderId="197" xfId="0" applyFont="1" applyFill="1" applyBorder="1" applyAlignment="1">
      <alignment horizontal="center"/>
    </xf>
    <xf numFmtId="10" fontId="35" fillId="6" borderId="9" xfId="0" applyNumberFormat="1" applyFont="1" applyFill="1" applyBorder="1" applyProtection="1">
      <protection hidden="1"/>
    </xf>
    <xf numFmtId="0" fontId="0" fillId="52" borderId="34" xfId="0" applyFill="1" applyBorder="1"/>
    <xf numFmtId="0" fontId="25" fillId="53" borderId="34" xfId="0" applyFont="1" applyFill="1" applyBorder="1"/>
    <xf numFmtId="0" fontId="25" fillId="58" borderId="34" xfId="0" applyFont="1" applyFill="1" applyBorder="1"/>
    <xf numFmtId="0" fontId="45" fillId="63" borderId="34" xfId="0" applyFont="1" applyFill="1" applyBorder="1"/>
    <xf numFmtId="3" fontId="59" fillId="17" borderId="65" xfId="0" applyNumberFormat="1" applyFont="1" applyFill="1" applyBorder="1" applyAlignment="1">
      <alignment horizontal="right"/>
    </xf>
    <xf numFmtId="3" fontId="59" fillId="27" borderId="66" xfId="0" applyNumberFormat="1" applyFont="1" applyFill="1" applyBorder="1" applyAlignment="1">
      <alignment horizontal="right"/>
    </xf>
    <xf numFmtId="3" fontId="60" fillId="27" borderId="65" xfId="0" applyNumberFormat="1" applyFont="1" applyFill="1" applyBorder="1" applyAlignment="1">
      <alignment horizontal="right"/>
    </xf>
    <xf numFmtId="3" fontId="60" fillId="27" borderId="66" xfId="0" applyNumberFormat="1" applyFont="1" applyFill="1" applyBorder="1" applyAlignment="1">
      <alignment horizontal="right"/>
    </xf>
    <xf numFmtId="0" fontId="61" fillId="5" borderId="161" xfId="0" applyFont="1" applyFill="1" applyBorder="1" applyAlignment="1">
      <alignment horizontal="right"/>
    </xf>
    <xf numFmtId="10" fontId="59" fillId="12" borderId="50" xfId="0" applyNumberFormat="1" applyFont="1" applyFill="1" applyBorder="1"/>
    <xf numFmtId="10" fontId="59" fillId="28" borderId="59" xfId="0" applyNumberFormat="1" applyFont="1" applyFill="1" applyBorder="1"/>
    <xf numFmtId="10" fontId="60" fillId="28" borderId="50" xfId="0" applyNumberFormat="1" applyFont="1" applyFill="1" applyBorder="1"/>
    <xf numFmtId="10" fontId="60" fillId="62" borderId="59" xfId="0" applyNumberFormat="1" applyFont="1" applyFill="1" applyBorder="1"/>
    <xf numFmtId="3" fontId="60" fillId="27" borderId="6" xfId="0" applyNumberFormat="1" applyFont="1" applyFill="1" applyBorder="1" applyAlignment="1">
      <alignment horizontal="right"/>
    </xf>
    <xf numFmtId="10" fontId="60" fillId="47" borderId="77" xfId="0" applyNumberFormat="1" applyFont="1" applyFill="1" applyBorder="1"/>
    <xf numFmtId="0" fontId="25" fillId="0" borderId="0" xfId="2"/>
    <xf numFmtId="0" fontId="7" fillId="0" borderId="0" xfId="2" applyFont="1" applyAlignment="1">
      <alignment horizontal="center" vertical="center"/>
    </xf>
    <xf numFmtId="0" fontId="25" fillId="0" borderId="0" xfId="2" applyAlignment="1" applyProtection="1">
      <alignment horizontal="center" vertical="center"/>
      <protection locked="0"/>
    </xf>
    <xf numFmtId="0" fontId="64" fillId="14" borderId="46" xfId="2" applyFont="1" applyFill="1" applyBorder="1" applyAlignment="1" applyProtection="1">
      <alignment horizontal="center" vertical="center"/>
      <protection locked="0"/>
    </xf>
    <xf numFmtId="0" fontId="64" fillId="14" borderId="56" xfId="2" applyFont="1" applyFill="1" applyBorder="1" applyAlignment="1" applyProtection="1">
      <alignment horizontal="center" vertical="center"/>
      <protection locked="0"/>
    </xf>
    <xf numFmtId="0" fontId="54" fillId="66" borderId="112" xfId="2" applyFont="1" applyFill="1" applyBorder="1" applyAlignment="1" applyProtection="1">
      <alignment horizontal="center" vertical="center"/>
      <protection locked="0"/>
    </xf>
    <xf numFmtId="0" fontId="54" fillId="66" borderId="122" xfId="2" applyFont="1" applyFill="1" applyBorder="1" applyAlignment="1" applyProtection="1">
      <alignment horizontal="center" vertical="center"/>
      <protection locked="0"/>
    </xf>
    <xf numFmtId="0" fontId="54" fillId="66" borderId="199" xfId="2" applyFont="1" applyFill="1" applyBorder="1" applyAlignment="1" applyProtection="1">
      <alignment horizontal="center" vertical="center"/>
      <protection locked="0"/>
    </xf>
    <xf numFmtId="0" fontId="5" fillId="2" borderId="182" xfId="0" applyFont="1" applyFill="1" applyBorder="1" applyAlignment="1">
      <alignment horizontal="center" vertical="center"/>
    </xf>
    <xf numFmtId="0" fontId="7" fillId="4" borderId="201" xfId="0" applyFont="1" applyFill="1" applyBorder="1" applyAlignment="1">
      <alignment horizontal="center"/>
    </xf>
    <xf numFmtId="0" fontId="7" fillId="4" borderId="202" xfId="0" applyFont="1" applyFill="1" applyBorder="1" applyAlignment="1">
      <alignment horizontal="center"/>
    </xf>
    <xf numFmtId="10" fontId="61" fillId="5" borderId="157" xfId="0" applyNumberFormat="1" applyFont="1" applyFill="1" applyBorder="1"/>
    <xf numFmtId="0" fontId="60" fillId="46" borderId="68" xfId="0" applyFont="1" applyFill="1" applyBorder="1"/>
    <xf numFmtId="10" fontId="60" fillId="46" borderId="67" xfId="0" applyNumberFormat="1" applyFont="1" applyFill="1" applyBorder="1"/>
    <xf numFmtId="0" fontId="66" fillId="11" borderId="73" xfId="0" applyFont="1" applyFill="1" applyBorder="1" applyAlignment="1">
      <alignment horizontal="center" vertical="center"/>
    </xf>
    <xf numFmtId="0" fontId="25" fillId="11" borderId="46" xfId="0" applyFont="1" applyFill="1" applyBorder="1"/>
    <xf numFmtId="0" fontId="25" fillId="11" borderId="50" xfId="0" applyFont="1" applyFill="1" applyBorder="1"/>
    <xf numFmtId="0" fontId="1" fillId="46" borderId="203" xfId="0" applyFont="1" applyFill="1" applyBorder="1" applyAlignment="1">
      <alignment horizontal="center"/>
    </xf>
    <xf numFmtId="0" fontId="63" fillId="5" borderId="116" xfId="0" applyFont="1" applyFill="1" applyBorder="1" applyAlignment="1">
      <alignment horizontal="right"/>
    </xf>
    <xf numFmtId="10" fontId="63" fillId="5" borderId="205" xfId="0" applyNumberFormat="1" applyFont="1" applyFill="1" applyBorder="1"/>
    <xf numFmtId="0" fontId="64" fillId="14" borderId="60" xfId="2" applyFont="1" applyFill="1" applyBorder="1" applyAlignment="1" applyProtection="1">
      <alignment horizontal="center" vertical="center"/>
      <protection locked="0"/>
    </xf>
    <xf numFmtId="0" fontId="62" fillId="11" borderId="75" xfId="0" applyFont="1" applyFill="1" applyBorder="1" applyAlignment="1">
      <alignment horizontal="center" vertical="center"/>
    </xf>
    <xf numFmtId="0" fontId="0" fillId="9" borderId="47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6" fillId="13" borderId="112" xfId="0" applyFont="1" applyFill="1" applyBorder="1" applyAlignment="1">
      <alignment horizontal="center"/>
    </xf>
    <xf numFmtId="0" fontId="6" fillId="13" borderId="208" xfId="0" applyFont="1" applyFill="1" applyBorder="1" applyAlignment="1">
      <alignment horizontal="center"/>
    </xf>
    <xf numFmtId="0" fontId="6" fillId="13" borderId="209" xfId="0" applyFont="1" applyFill="1" applyBorder="1" applyAlignment="1">
      <alignment horizontal="center"/>
    </xf>
    <xf numFmtId="0" fontId="63" fillId="5" borderId="210" xfId="0" applyFont="1" applyFill="1" applyBorder="1" applyAlignment="1">
      <alignment horizontal="right"/>
    </xf>
    <xf numFmtId="10" fontId="63" fillId="5" borderId="211" xfId="0" applyNumberFormat="1" applyFont="1" applyFill="1" applyBorder="1"/>
    <xf numFmtId="0" fontId="52" fillId="46" borderId="102" xfId="0" applyFont="1" applyFill="1" applyBorder="1" applyAlignment="1">
      <alignment horizontal="center" vertical="center"/>
    </xf>
    <xf numFmtId="0" fontId="52" fillId="46" borderId="212" xfId="0" applyFont="1" applyFill="1" applyBorder="1" applyAlignment="1">
      <alignment horizontal="center" vertical="center"/>
    </xf>
    <xf numFmtId="0" fontId="64" fillId="14" borderId="34" xfId="2" applyFont="1" applyFill="1" applyBorder="1" applyAlignment="1" applyProtection="1">
      <alignment horizontal="center" vertical="center"/>
      <protection locked="0"/>
    </xf>
    <xf numFmtId="0" fontId="64" fillId="14" borderId="48" xfId="2" applyFont="1" applyFill="1" applyBorder="1" applyAlignment="1" applyProtection="1">
      <alignment horizontal="center" vertical="center"/>
      <protection locked="0"/>
    </xf>
    <xf numFmtId="0" fontId="54" fillId="67" borderId="35" xfId="2" applyFont="1" applyFill="1" applyBorder="1" applyAlignment="1" applyProtection="1">
      <alignment horizontal="center" vertical="center"/>
      <protection locked="0"/>
    </xf>
    <xf numFmtId="0" fontId="64" fillId="14" borderId="64" xfId="2" applyFont="1" applyFill="1" applyBorder="1" applyAlignment="1" applyProtection="1">
      <alignment horizontal="center" vertical="center"/>
      <protection locked="0"/>
    </xf>
    <xf numFmtId="0" fontId="54" fillId="67" borderId="36" xfId="2" applyFont="1" applyFill="1" applyBorder="1" applyAlignment="1" applyProtection="1">
      <alignment horizontal="center" vertical="center"/>
      <protection locked="0"/>
    </xf>
    <xf numFmtId="0" fontId="54" fillId="67" borderId="37" xfId="2" applyFont="1" applyFill="1" applyBorder="1" applyAlignment="1" applyProtection="1">
      <alignment horizontal="center" vertical="center"/>
      <protection locked="0"/>
    </xf>
    <xf numFmtId="0" fontId="39" fillId="0" borderId="75" xfId="2" applyFont="1" applyBorder="1" applyAlignment="1">
      <alignment horizontal="center" vertical="center"/>
    </xf>
    <xf numFmtId="0" fontId="68" fillId="0" borderId="0" xfId="2" applyFont="1" applyAlignment="1">
      <alignment vertical="center"/>
    </xf>
    <xf numFmtId="0" fontId="6" fillId="6" borderId="102" xfId="0" applyFont="1" applyFill="1" applyBorder="1" applyProtection="1">
      <protection hidden="1"/>
    </xf>
    <xf numFmtId="0" fontId="0" fillId="11" borderId="48" xfId="0" applyFill="1" applyBorder="1"/>
    <xf numFmtId="0" fontId="0" fillId="11" borderId="49" xfId="0" applyFill="1" applyBorder="1"/>
    <xf numFmtId="0" fontId="0" fillId="11" borderId="50" xfId="0" applyFill="1" applyBorder="1"/>
    <xf numFmtId="0" fontId="0" fillId="11" borderId="57" xfId="0" applyFill="1" applyBorder="1"/>
    <xf numFmtId="0" fontId="0" fillId="11" borderId="51" xfId="0" applyFill="1" applyBorder="1"/>
    <xf numFmtId="165" fontId="0" fillId="11" borderId="70" xfId="0" applyNumberFormat="1" applyFill="1" applyBorder="1" applyAlignment="1">
      <alignment horizontal="center" vertical="center"/>
    </xf>
    <xf numFmtId="165" fontId="0" fillId="11" borderId="52" xfId="0" applyNumberFormat="1" applyFill="1" applyBorder="1" applyAlignment="1">
      <alignment horizontal="center" vertical="center"/>
    </xf>
    <xf numFmtId="165" fontId="0" fillId="11" borderId="53" xfId="0" applyNumberFormat="1" applyFill="1" applyBorder="1" applyAlignment="1">
      <alignment horizontal="center" vertical="center"/>
    </xf>
    <xf numFmtId="0" fontId="0" fillId="11" borderId="64" xfId="0" applyFill="1" applyBorder="1"/>
    <xf numFmtId="0" fontId="0" fillId="11" borderId="46" xfId="0" applyFill="1" applyBorder="1"/>
    <xf numFmtId="0" fontId="0" fillId="11" borderId="60" xfId="0" applyFill="1" applyBorder="1"/>
    <xf numFmtId="0" fontId="0" fillId="11" borderId="56" xfId="0" applyFill="1" applyBorder="1"/>
    <xf numFmtId="0" fontId="0" fillId="11" borderId="47" xfId="0" applyFill="1" applyBorder="1"/>
    <xf numFmtId="0" fontId="0" fillId="11" borderId="61" xfId="0" applyFill="1" applyBorder="1"/>
    <xf numFmtId="0" fontId="38" fillId="31" borderId="214" xfId="0" applyFont="1" applyFill="1" applyBorder="1" applyProtection="1">
      <protection hidden="1"/>
    </xf>
    <xf numFmtId="0" fontId="38" fillId="32" borderId="215" xfId="0" applyFont="1" applyFill="1" applyBorder="1" applyProtection="1">
      <protection hidden="1"/>
    </xf>
    <xf numFmtId="0" fontId="38" fillId="33" borderId="215" xfId="0" applyFont="1" applyFill="1" applyBorder="1" applyProtection="1">
      <protection hidden="1"/>
    </xf>
    <xf numFmtId="0" fontId="38" fillId="34" borderId="215" xfId="0" applyFont="1" applyFill="1" applyBorder="1" applyProtection="1">
      <protection hidden="1"/>
    </xf>
    <xf numFmtId="0" fontId="38" fillId="35" borderId="215" xfId="0" applyFont="1" applyFill="1" applyBorder="1" applyProtection="1">
      <protection hidden="1"/>
    </xf>
    <xf numFmtId="0" fontId="38" fillId="36" borderId="215" xfId="0" applyFont="1" applyFill="1" applyBorder="1" applyProtection="1">
      <protection hidden="1"/>
    </xf>
    <xf numFmtId="0" fontId="38" fillId="31" borderId="215" xfId="0" applyFont="1" applyFill="1" applyBorder="1" applyProtection="1">
      <protection hidden="1"/>
    </xf>
    <xf numFmtId="0" fontId="40" fillId="37" borderId="213" xfId="0" applyFont="1" applyFill="1" applyBorder="1" applyProtection="1">
      <protection hidden="1"/>
    </xf>
    <xf numFmtId="165" fontId="70" fillId="11" borderId="216" xfId="0" applyNumberFormat="1" applyFont="1" applyFill="1" applyBorder="1" applyAlignment="1">
      <alignment horizontal="center" vertical="center"/>
    </xf>
    <xf numFmtId="165" fontId="70" fillId="11" borderId="217" xfId="0" applyNumberFormat="1" applyFont="1" applyFill="1" applyBorder="1" applyAlignment="1">
      <alignment horizontal="center" vertical="center"/>
    </xf>
    <xf numFmtId="0" fontId="70" fillId="11" borderId="218" xfId="0" applyFont="1" applyFill="1" applyBorder="1"/>
    <xf numFmtId="0" fontId="70" fillId="11" borderId="219" xfId="0" applyFont="1" applyFill="1" applyBorder="1"/>
    <xf numFmtId="0" fontId="70" fillId="11" borderId="220" xfId="0" applyFont="1" applyFill="1" applyBorder="1"/>
    <xf numFmtId="0" fontId="70" fillId="11" borderId="221" xfId="0" applyFont="1" applyFill="1" applyBorder="1"/>
    <xf numFmtId="0" fontId="70" fillId="11" borderId="106" xfId="0" applyFont="1" applyFill="1" applyBorder="1"/>
    <xf numFmtId="0" fontId="70" fillId="11" borderId="222" xfId="0" applyFont="1" applyFill="1" applyBorder="1"/>
    <xf numFmtId="0" fontId="29" fillId="14" borderId="49" xfId="0" applyFont="1" applyFill="1" applyBorder="1" applyAlignment="1" applyProtection="1">
      <alignment horizontal="center" vertical="center"/>
      <protection locked="0"/>
    </xf>
    <xf numFmtId="0" fontId="29" fillId="14" borderId="47" xfId="0" applyFont="1" applyFill="1" applyBorder="1" applyAlignment="1" applyProtection="1">
      <alignment horizontal="center" vertical="center"/>
      <protection locked="0"/>
    </xf>
    <xf numFmtId="0" fontId="11" fillId="46" borderId="98" xfId="0" applyFont="1" applyFill="1" applyBorder="1" applyAlignment="1">
      <alignment vertical="center"/>
    </xf>
    <xf numFmtId="0" fontId="11" fillId="46" borderId="99" xfId="0" applyFont="1" applyFill="1" applyBorder="1" applyAlignment="1">
      <alignment vertical="center"/>
    </xf>
    <xf numFmtId="0" fontId="11" fillId="11" borderId="46" xfId="0" applyFont="1" applyFill="1" applyBorder="1"/>
    <xf numFmtId="0" fontId="11" fillId="11" borderId="48" xfId="0" applyFont="1" applyFill="1" applyBorder="1"/>
    <xf numFmtId="0" fontId="11" fillId="11" borderId="50" xfId="0" applyFont="1" applyFill="1" applyBorder="1"/>
    <xf numFmtId="0" fontId="73" fillId="19" borderId="35" xfId="0" applyFont="1" applyFill="1" applyBorder="1" applyAlignment="1">
      <alignment horizontal="center" vertical="center" wrapText="1"/>
    </xf>
    <xf numFmtId="0" fontId="60" fillId="2" borderId="68" xfId="0" applyFont="1" applyFill="1" applyBorder="1" applyAlignment="1">
      <alignment horizontal="center"/>
    </xf>
    <xf numFmtId="0" fontId="74" fillId="4" borderId="226" xfId="0" applyFont="1" applyFill="1" applyBorder="1" applyAlignment="1">
      <alignment horizontal="right"/>
    </xf>
    <xf numFmtId="10" fontId="60" fillId="2" borderId="67" xfId="0" applyNumberFormat="1" applyFont="1" applyFill="1" applyBorder="1" applyAlignment="1">
      <alignment horizontal="center"/>
    </xf>
    <xf numFmtId="10" fontId="75" fillId="12" borderId="182" xfId="0" applyNumberFormat="1" applyFont="1" applyFill="1" applyBorder="1"/>
    <xf numFmtId="0" fontId="76" fillId="12" borderId="46" xfId="0" applyFont="1" applyFill="1" applyBorder="1" applyAlignment="1" applyProtection="1">
      <alignment horizontal="right"/>
      <protection locked="0"/>
    </xf>
    <xf numFmtId="0" fontId="76" fillId="12" borderId="60" xfId="0" applyFont="1" applyFill="1" applyBorder="1" applyAlignment="1" applyProtection="1">
      <alignment horizontal="right"/>
      <protection locked="0"/>
    </xf>
    <xf numFmtId="3" fontId="77" fillId="12" borderId="65" xfId="0" applyNumberFormat="1" applyFont="1" applyFill="1" applyBorder="1" applyAlignment="1" applyProtection="1">
      <alignment horizontal="right"/>
      <protection locked="0"/>
    </xf>
    <xf numFmtId="3" fontId="77" fillId="12" borderId="91" xfId="0" applyNumberFormat="1" applyFont="1" applyFill="1" applyBorder="1" applyAlignment="1" applyProtection="1">
      <alignment horizontal="right"/>
      <protection locked="0"/>
    </xf>
    <xf numFmtId="10" fontId="78" fillId="12" borderId="50" xfId="0" applyNumberFormat="1" applyFont="1" applyFill="1" applyBorder="1"/>
    <xf numFmtId="10" fontId="78" fillId="12" borderId="61" xfId="0" applyNumberFormat="1" applyFont="1" applyFill="1" applyBorder="1"/>
    <xf numFmtId="10" fontId="78" fillId="12" borderId="51" xfId="0" applyNumberFormat="1" applyFont="1" applyFill="1" applyBorder="1"/>
    <xf numFmtId="165" fontId="11" fillId="21" borderId="76" xfId="0" applyNumberFormat="1" applyFont="1" applyFill="1" applyBorder="1" applyAlignment="1">
      <alignment horizontal="center" vertical="center"/>
    </xf>
    <xf numFmtId="0" fontId="11" fillId="21" borderId="72" xfId="0" applyFont="1" applyFill="1" applyBorder="1" applyAlignment="1">
      <alignment horizontal="center" vertical="center"/>
    </xf>
    <xf numFmtId="10" fontId="79" fillId="9" borderId="112" xfId="1" applyNumberFormat="1" applyFont="1" applyFill="1" applyBorder="1" applyAlignment="1">
      <alignment horizontal="center" vertical="center"/>
    </xf>
    <xf numFmtId="0" fontId="71" fillId="0" borderId="0" xfId="0" applyFont="1"/>
    <xf numFmtId="165" fontId="11" fillId="21" borderId="185" xfId="0" applyNumberFormat="1" applyFont="1" applyFill="1" applyBorder="1" applyAlignment="1">
      <alignment horizontal="center" vertical="center"/>
    </xf>
    <xf numFmtId="0" fontId="11" fillId="20" borderId="105" xfId="0" applyFont="1" applyFill="1" applyBorder="1" applyAlignment="1" applyProtection="1">
      <alignment horizontal="center" vertical="center"/>
      <protection locked="0"/>
    </xf>
    <xf numFmtId="10" fontId="79" fillId="9" borderId="54" xfId="1" applyNumberFormat="1" applyFont="1" applyFill="1" applyBorder="1" applyAlignment="1">
      <alignment horizontal="center" vertical="center"/>
    </xf>
    <xf numFmtId="165" fontId="71" fillId="9" borderId="70" xfId="0" applyNumberFormat="1" applyFont="1" applyFill="1" applyBorder="1" applyAlignment="1">
      <alignment horizontal="center" vertical="center"/>
    </xf>
    <xf numFmtId="0" fontId="71" fillId="9" borderId="47" xfId="0" applyFont="1" applyFill="1" applyBorder="1" applyAlignment="1">
      <alignment horizontal="center" vertical="center"/>
    </xf>
    <xf numFmtId="165" fontId="71" fillId="9" borderId="52" xfId="0" applyNumberFormat="1" applyFont="1" applyFill="1" applyBorder="1" applyAlignment="1">
      <alignment horizontal="center" vertical="center"/>
    </xf>
    <xf numFmtId="0" fontId="71" fillId="9" borderId="49" xfId="0" applyFont="1" applyFill="1" applyBorder="1" applyAlignment="1">
      <alignment horizontal="center" vertical="center"/>
    </xf>
    <xf numFmtId="165" fontId="71" fillId="9" borderId="53" xfId="0" applyNumberFormat="1" applyFont="1" applyFill="1" applyBorder="1" applyAlignment="1">
      <alignment horizontal="center" vertical="center"/>
    </xf>
    <xf numFmtId="0" fontId="71" fillId="9" borderId="51" xfId="0" applyFont="1" applyFill="1" applyBorder="1" applyAlignment="1">
      <alignment horizontal="center" vertical="center"/>
    </xf>
    <xf numFmtId="165" fontId="80" fillId="21" borderId="191" xfId="0" applyNumberFormat="1" applyFont="1" applyFill="1" applyBorder="1" applyAlignment="1">
      <alignment horizontal="center" vertical="center"/>
    </xf>
    <xf numFmtId="0" fontId="80" fillId="22" borderId="163" xfId="0" applyFont="1" applyFill="1" applyBorder="1" applyAlignment="1" applyProtection="1">
      <alignment horizontal="center" vertical="center"/>
      <protection locked="0"/>
    </xf>
    <xf numFmtId="10" fontId="81" fillId="9" borderId="164" xfId="1" applyNumberFormat="1" applyFont="1" applyFill="1" applyBorder="1" applyAlignment="1">
      <alignment horizontal="center" vertical="center"/>
    </xf>
    <xf numFmtId="0" fontId="71" fillId="0" borderId="166" xfId="0" applyFont="1" applyBorder="1"/>
    <xf numFmtId="165" fontId="81" fillId="9" borderId="171" xfId="0" applyNumberFormat="1" applyFont="1" applyFill="1" applyBorder="1" applyAlignment="1">
      <alignment horizontal="center" vertical="center"/>
    </xf>
    <xf numFmtId="0" fontId="81" fillId="9" borderId="167" xfId="0" applyFont="1" applyFill="1" applyBorder="1" applyAlignment="1">
      <alignment horizontal="center" vertical="center"/>
    </xf>
    <xf numFmtId="165" fontId="80" fillId="21" borderId="182" xfId="0" applyNumberFormat="1" applyFont="1" applyFill="1" applyBorder="1" applyAlignment="1">
      <alignment horizontal="center" vertical="center"/>
    </xf>
    <xf numFmtId="0" fontId="80" fillId="22" borderId="165" xfId="0" applyFont="1" applyFill="1" applyBorder="1" applyAlignment="1" applyProtection="1">
      <alignment horizontal="center" vertical="center"/>
      <protection locked="0"/>
    </xf>
    <xf numFmtId="10" fontId="81" fillId="9" borderId="168" xfId="1" applyNumberFormat="1" applyFont="1" applyFill="1" applyBorder="1" applyAlignment="1">
      <alignment horizontal="center" vertical="center"/>
    </xf>
    <xf numFmtId="165" fontId="81" fillId="9" borderId="172" xfId="0" applyNumberFormat="1" applyFont="1" applyFill="1" applyBorder="1" applyAlignment="1">
      <alignment horizontal="center" vertical="center"/>
    </xf>
    <xf numFmtId="0" fontId="81" fillId="9" borderId="170" xfId="0" applyFont="1" applyFill="1" applyBorder="1" applyAlignment="1">
      <alignment horizontal="center" vertical="center"/>
    </xf>
    <xf numFmtId="0" fontId="31" fillId="21" borderId="76" xfId="0" applyFont="1" applyFill="1" applyBorder="1" applyAlignment="1">
      <alignment horizontal="center" vertical="center"/>
    </xf>
    <xf numFmtId="0" fontId="31" fillId="21" borderId="72" xfId="0" applyFont="1" applyFill="1" applyBorder="1" applyAlignment="1">
      <alignment horizontal="center" vertical="center" wrapText="1"/>
    </xf>
    <xf numFmtId="0" fontId="65" fillId="9" borderId="55" xfId="0" applyFont="1" applyFill="1" applyBorder="1" applyAlignment="1">
      <alignment horizontal="center" vertical="center"/>
    </xf>
    <xf numFmtId="0" fontId="52" fillId="46" borderId="76" xfId="0" applyFont="1" applyFill="1" applyBorder="1" applyAlignment="1">
      <alignment horizontal="center" vertical="center"/>
    </xf>
    <xf numFmtId="3" fontId="6" fillId="12" borderId="76" xfId="0" applyNumberFormat="1" applyFont="1" applyFill="1" applyBorder="1" applyAlignment="1">
      <alignment horizontal="center" vertical="center"/>
    </xf>
    <xf numFmtId="3" fontId="6" fillId="12" borderId="40" xfId="0" applyNumberFormat="1" applyFont="1" applyFill="1" applyBorder="1" applyAlignment="1">
      <alignment horizontal="center" vertical="center"/>
    </xf>
    <xf numFmtId="3" fontId="6" fillId="12" borderId="227" xfId="0" applyNumberFormat="1" applyFont="1" applyFill="1" applyBorder="1" applyAlignment="1">
      <alignment horizontal="center" vertical="center"/>
    </xf>
    <xf numFmtId="3" fontId="60" fillId="17" borderId="138" xfId="0" applyNumberFormat="1" applyFont="1" applyFill="1" applyBorder="1" applyAlignment="1">
      <alignment horizontal="right"/>
    </xf>
    <xf numFmtId="10" fontId="60" fillId="12" borderId="224" xfId="0" applyNumberFormat="1" applyFont="1" applyFill="1" applyBorder="1"/>
    <xf numFmtId="3" fontId="6" fillId="9" borderId="48" xfId="0" applyNumberFormat="1" applyFont="1" applyFill="1" applyBorder="1" applyAlignment="1">
      <alignment horizontal="center"/>
    </xf>
    <xf numFmtId="3" fontId="6" fillId="9" borderId="49" xfId="0" applyNumberFormat="1" applyFont="1" applyFill="1" applyBorder="1" applyAlignment="1">
      <alignment horizontal="center"/>
    </xf>
    <xf numFmtId="10" fontId="59" fillId="12" borderId="51" xfId="0" applyNumberFormat="1" applyFont="1" applyFill="1" applyBorder="1"/>
    <xf numFmtId="0" fontId="52" fillId="46" borderId="122" xfId="0" applyFont="1" applyFill="1" applyBorder="1" applyAlignment="1">
      <alignment horizontal="center" vertical="center"/>
    </xf>
    <xf numFmtId="0" fontId="52" fillId="46" borderId="112" xfId="0" applyFont="1" applyFill="1" applyBorder="1" applyAlignment="1">
      <alignment horizontal="center" vertical="center"/>
    </xf>
    <xf numFmtId="3" fontId="59" fillId="17" borderId="91" xfId="0" applyNumberFormat="1" applyFont="1" applyFill="1" applyBorder="1" applyAlignment="1">
      <alignment horizontal="right"/>
    </xf>
    <xf numFmtId="3" fontId="6" fillId="9" borderId="46" xfId="0" applyNumberFormat="1" applyFont="1" applyFill="1" applyBorder="1" applyAlignment="1">
      <alignment horizontal="center"/>
    </xf>
    <xf numFmtId="3" fontId="6" fillId="9" borderId="47" xfId="0" applyNumberFormat="1" applyFont="1" applyFill="1" applyBorder="1" applyAlignment="1">
      <alignment horizontal="center"/>
    </xf>
    <xf numFmtId="3" fontId="6" fillId="9" borderId="50" xfId="0" applyNumberFormat="1" applyFont="1" applyFill="1" applyBorder="1" applyAlignment="1">
      <alignment horizontal="center"/>
    </xf>
    <xf numFmtId="3" fontId="6" fillId="9" borderId="51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52" fillId="53" borderId="228" xfId="0" applyFont="1" applyFill="1" applyBorder="1" applyAlignment="1">
      <alignment horizontal="center" vertical="center" wrapText="1"/>
    </xf>
    <xf numFmtId="0" fontId="64" fillId="23" borderId="69" xfId="2" applyFont="1" applyFill="1" applyBorder="1" applyAlignment="1">
      <alignment horizontal="center" vertical="center" wrapText="1"/>
    </xf>
    <xf numFmtId="0" fontId="64" fillId="23" borderId="108" xfId="2" applyFont="1" applyFill="1" applyBorder="1" applyAlignment="1">
      <alignment horizontal="center" vertical="center" wrapText="1"/>
    </xf>
    <xf numFmtId="0" fontId="64" fillId="23" borderId="122" xfId="2" applyFont="1" applyFill="1" applyBorder="1" applyAlignment="1">
      <alignment horizontal="center" vertical="center" wrapText="1"/>
    </xf>
    <xf numFmtId="0" fontId="64" fillId="23" borderId="112" xfId="2" applyFont="1" applyFill="1" applyBorder="1" applyAlignment="1">
      <alignment horizontal="center" vertical="center" wrapText="1"/>
    </xf>
    <xf numFmtId="0" fontId="82" fillId="14" borderId="70" xfId="2" applyFont="1" applyFill="1" applyBorder="1" applyAlignment="1" applyProtection="1">
      <alignment horizontal="center" vertical="center"/>
      <protection locked="0"/>
    </xf>
    <xf numFmtId="0" fontId="82" fillId="14" borderId="56" xfId="2" applyFont="1" applyFill="1" applyBorder="1" applyAlignment="1" applyProtection="1">
      <alignment horizontal="center" vertical="center"/>
      <protection locked="0"/>
    </xf>
    <xf numFmtId="0" fontId="82" fillId="14" borderId="46" xfId="2" applyFont="1" applyFill="1" applyBorder="1" applyAlignment="1" applyProtection="1">
      <alignment horizontal="center" vertical="center"/>
      <protection locked="0"/>
    </xf>
    <xf numFmtId="0" fontId="82" fillId="14" borderId="47" xfId="2" applyFont="1" applyFill="1" applyBorder="1" applyAlignment="1" applyProtection="1">
      <alignment horizontal="center" vertical="center"/>
      <protection locked="0"/>
    </xf>
    <xf numFmtId="0" fontId="83" fillId="66" borderId="80" xfId="2" applyFont="1" applyFill="1" applyBorder="1" applyAlignment="1" applyProtection="1">
      <alignment horizontal="center" vertical="center"/>
      <protection locked="0"/>
    </xf>
    <xf numFmtId="0" fontId="83" fillId="66" borderId="207" xfId="2" applyFont="1" applyFill="1" applyBorder="1" applyAlignment="1" applyProtection="1">
      <alignment horizontal="center" vertical="center"/>
      <protection locked="0"/>
    </xf>
    <xf numFmtId="0" fontId="83" fillId="66" borderId="54" xfId="2" applyFont="1" applyFill="1" applyBorder="1" applyAlignment="1" applyProtection="1">
      <alignment horizontal="center" vertical="center"/>
      <protection locked="0"/>
    </xf>
    <xf numFmtId="0" fontId="83" fillId="66" borderId="50" xfId="2" applyFont="1" applyFill="1" applyBorder="1" applyAlignment="1" applyProtection="1">
      <alignment horizontal="center" vertical="center"/>
      <protection locked="0"/>
    </xf>
    <xf numFmtId="0" fontId="83" fillId="66" borderId="61" xfId="2" applyFont="1" applyFill="1" applyBorder="1" applyAlignment="1" applyProtection="1">
      <alignment horizontal="center" vertical="center"/>
      <protection locked="0"/>
    </xf>
    <xf numFmtId="0" fontId="83" fillId="66" borderId="51" xfId="2" applyFont="1" applyFill="1" applyBorder="1" applyAlignment="1" applyProtection="1">
      <alignment horizontal="center" vertical="center"/>
      <protection locked="0"/>
    </xf>
    <xf numFmtId="0" fontId="84" fillId="53" borderId="228" xfId="0" applyFont="1" applyFill="1" applyBorder="1" applyAlignment="1">
      <alignment horizontal="center" vertical="center" wrapText="1"/>
    </xf>
    <xf numFmtId="0" fontId="72" fillId="9" borderId="55" xfId="2" applyFont="1" applyFill="1" applyBorder="1" applyAlignment="1">
      <alignment horizontal="center" vertical="center"/>
    </xf>
    <xf numFmtId="0" fontId="72" fillId="9" borderId="35" xfId="2" applyFont="1" applyFill="1" applyBorder="1" applyAlignment="1">
      <alignment horizontal="center" vertical="center"/>
    </xf>
    <xf numFmtId="0" fontId="67" fillId="19" borderId="173" xfId="2" applyFont="1" applyFill="1" applyBorder="1" applyAlignment="1">
      <alignment horizontal="center" vertical="center"/>
    </xf>
    <xf numFmtId="0" fontId="67" fillId="19" borderId="198" xfId="2" applyFont="1" applyFill="1" applyBorder="1" applyAlignment="1">
      <alignment horizontal="center" vertical="center" wrapText="1"/>
    </xf>
    <xf numFmtId="0" fontId="67" fillId="2" borderId="173" xfId="2" applyFont="1" applyFill="1" applyBorder="1" applyAlignment="1">
      <alignment horizontal="center" vertical="center"/>
    </xf>
    <xf numFmtId="0" fontId="67" fillId="2" borderId="198" xfId="2" applyFont="1" applyFill="1" applyBorder="1" applyAlignment="1">
      <alignment horizontal="center" vertical="center" wrapText="1"/>
    </xf>
    <xf numFmtId="0" fontId="54" fillId="67" borderId="63" xfId="2" applyFont="1" applyFill="1" applyBorder="1" applyAlignment="1" applyProtection="1">
      <alignment horizontal="center" vertical="center"/>
      <protection locked="0"/>
    </xf>
    <xf numFmtId="0" fontId="64" fillId="14" borderId="234" xfId="2" applyFont="1" applyFill="1" applyBorder="1" applyAlignment="1" applyProtection="1">
      <alignment horizontal="center" vertical="center"/>
      <protection locked="0"/>
    </xf>
    <xf numFmtId="0" fontId="64" fillId="14" borderId="206" xfId="2" applyFont="1" applyFill="1" applyBorder="1" applyAlignment="1" applyProtection="1">
      <alignment horizontal="center" vertical="center"/>
      <protection locked="0"/>
    </xf>
    <xf numFmtId="0" fontId="64" fillId="14" borderId="235" xfId="2" applyFont="1" applyFill="1" applyBorder="1" applyAlignment="1" applyProtection="1">
      <alignment horizontal="center" vertical="center"/>
      <protection locked="0"/>
    </xf>
    <xf numFmtId="0" fontId="68" fillId="0" borderId="0" xfId="2" applyFont="1" applyAlignment="1">
      <alignment horizontal="center" vertical="center"/>
    </xf>
    <xf numFmtId="0" fontId="85" fillId="0" borderId="0" xfId="0" applyFont="1"/>
    <xf numFmtId="164" fontId="86" fillId="0" borderId="0" xfId="0" applyNumberFormat="1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 vertical="center"/>
      <protection locked="0"/>
    </xf>
    <xf numFmtId="0" fontId="88" fillId="0" borderId="0" xfId="0" applyFont="1" applyAlignment="1">
      <alignment horizontal="center"/>
    </xf>
    <xf numFmtId="0" fontId="87" fillId="26" borderId="102" xfId="0" applyFont="1" applyFill="1" applyBorder="1" applyAlignment="1">
      <alignment horizontal="center" vertical="center"/>
    </xf>
    <xf numFmtId="0" fontId="87" fillId="26" borderId="108" xfId="0" applyFont="1" applyFill="1" applyBorder="1" applyAlignment="1">
      <alignment horizontal="center" vertical="center"/>
    </xf>
    <xf numFmtId="0" fontId="90" fillId="26" borderId="110" xfId="0" applyFont="1" applyFill="1" applyBorder="1" applyAlignment="1">
      <alignment horizontal="center" vertical="center"/>
    </xf>
    <xf numFmtId="0" fontId="87" fillId="16" borderId="188" xfId="0" applyFont="1" applyFill="1" applyBorder="1" applyAlignment="1">
      <alignment horizontal="center"/>
    </xf>
    <xf numFmtId="0" fontId="87" fillId="16" borderId="47" xfId="0" applyFont="1" applyFill="1" applyBorder="1" applyAlignment="1">
      <alignment horizontal="center"/>
    </xf>
    <xf numFmtId="3" fontId="87" fillId="16" borderId="138" xfId="0" applyNumberFormat="1" applyFont="1" applyFill="1" applyBorder="1" applyAlignment="1">
      <alignment horizontal="center"/>
    </xf>
    <xf numFmtId="3" fontId="87" fillId="16" borderId="58" xfId="0" applyNumberFormat="1" applyFont="1" applyFill="1" applyBorder="1" applyAlignment="1">
      <alignment horizontal="center"/>
    </xf>
    <xf numFmtId="0" fontId="92" fillId="13" borderId="137" xfId="0" applyFont="1" applyFill="1" applyBorder="1" applyAlignment="1">
      <alignment horizontal="center"/>
    </xf>
    <xf numFmtId="0" fontId="92" fillId="13" borderId="213" xfId="0" applyFont="1" applyFill="1" applyBorder="1" applyAlignment="1">
      <alignment horizontal="center"/>
    </xf>
    <xf numFmtId="3" fontId="93" fillId="10" borderId="229" xfId="0" applyNumberFormat="1" applyFont="1" applyFill="1" applyBorder="1" applyAlignment="1">
      <alignment horizontal="center"/>
    </xf>
    <xf numFmtId="3" fontId="93" fillId="10" borderId="232" xfId="0" applyNumberFormat="1" applyFont="1" applyFill="1" applyBorder="1" applyAlignment="1">
      <alignment horizontal="center"/>
    </xf>
    <xf numFmtId="0" fontId="93" fillId="10" borderId="194" xfId="0" applyFont="1" applyFill="1" applyBorder="1" applyAlignment="1">
      <alignment horizontal="center"/>
    </xf>
    <xf numFmtId="0" fontId="87" fillId="30" borderId="8" xfId="0" applyFont="1" applyFill="1" applyBorder="1" applyAlignment="1">
      <alignment horizontal="center"/>
    </xf>
    <xf numFmtId="0" fontId="87" fillId="30" borderId="6" xfId="0" applyFont="1" applyFill="1" applyBorder="1" applyAlignment="1">
      <alignment horizontal="center"/>
    </xf>
    <xf numFmtId="3" fontId="87" fillId="11" borderId="183" xfId="0" applyNumberFormat="1" applyFont="1" applyFill="1" applyBorder="1" applyAlignment="1">
      <alignment horizontal="center" vertical="center" wrapText="1"/>
    </xf>
    <xf numFmtId="3" fontId="92" fillId="9" borderId="46" xfId="0" applyNumberFormat="1" applyFont="1" applyFill="1" applyBorder="1" applyAlignment="1">
      <alignment horizontal="center"/>
    </xf>
    <xf numFmtId="166" fontId="92" fillId="9" borderId="47" xfId="1" applyNumberFormat="1" applyFont="1" applyFill="1" applyBorder="1" applyAlignment="1">
      <alignment horizontal="center"/>
    </xf>
    <xf numFmtId="9" fontId="94" fillId="19" borderId="183" xfId="1" applyFont="1" applyFill="1" applyBorder="1"/>
    <xf numFmtId="0" fontId="87" fillId="16" borderId="68" xfId="0" applyFont="1" applyFill="1" applyBorder="1" applyAlignment="1">
      <alignment horizontal="center"/>
    </xf>
    <xf numFmtId="0" fontId="87" fillId="16" borderId="49" xfId="0" applyFont="1" applyFill="1" applyBorder="1" applyAlignment="1">
      <alignment horizontal="center"/>
    </xf>
    <xf numFmtId="0" fontId="87" fillId="16" borderId="223" xfId="0" applyFont="1" applyFill="1" applyBorder="1" applyAlignment="1">
      <alignment horizontal="center"/>
    </xf>
    <xf numFmtId="0" fontId="87" fillId="16" borderId="200" xfId="0" applyFont="1" applyFill="1" applyBorder="1" applyAlignment="1">
      <alignment horizontal="center"/>
    </xf>
    <xf numFmtId="0" fontId="92" fillId="13" borderId="147" xfId="0" applyFont="1" applyFill="1" applyBorder="1" applyAlignment="1">
      <alignment horizontal="center"/>
    </xf>
    <xf numFmtId="0" fontId="92" fillId="13" borderId="208" xfId="0" applyFont="1" applyFill="1" applyBorder="1" applyAlignment="1">
      <alignment horizontal="center"/>
    </xf>
    <xf numFmtId="0" fontId="95" fillId="10" borderId="230" xfId="0" applyFont="1" applyFill="1" applyBorder="1" applyAlignment="1">
      <alignment horizontal="center"/>
    </xf>
    <xf numFmtId="0" fontId="95" fillId="10" borderId="195" xfId="0" applyFont="1" applyFill="1" applyBorder="1" applyAlignment="1">
      <alignment horizontal="center"/>
    </xf>
    <xf numFmtId="3" fontId="87" fillId="11" borderId="37" xfId="0" applyNumberFormat="1" applyFont="1" applyFill="1" applyBorder="1" applyAlignment="1">
      <alignment horizontal="center" vertical="center" wrapText="1"/>
    </xf>
    <xf numFmtId="3" fontId="92" fillId="9" borderId="48" xfId="0" applyNumberFormat="1" applyFont="1" applyFill="1" applyBorder="1" applyAlignment="1">
      <alignment horizontal="center"/>
    </xf>
    <xf numFmtId="166" fontId="92" fillId="9" borderId="49" xfId="1" applyNumberFormat="1" applyFont="1" applyFill="1" applyBorder="1" applyAlignment="1">
      <alignment horizontal="center"/>
    </xf>
    <xf numFmtId="0" fontId="87" fillId="16" borderId="67" xfId="0" applyFont="1" applyFill="1" applyBorder="1" applyAlignment="1">
      <alignment horizontal="center"/>
    </xf>
    <xf numFmtId="0" fontId="87" fillId="16" borderId="51" xfId="0" applyFont="1" applyFill="1" applyBorder="1" applyAlignment="1">
      <alignment horizontal="center"/>
    </xf>
    <xf numFmtId="0" fontId="87" fillId="16" borderId="224" xfId="0" applyFont="1" applyFill="1" applyBorder="1" applyAlignment="1">
      <alignment horizontal="center"/>
    </xf>
    <xf numFmtId="0" fontId="87" fillId="16" borderId="59" xfId="0" applyFont="1" applyFill="1" applyBorder="1" applyAlignment="1">
      <alignment horizontal="center"/>
    </xf>
    <xf numFmtId="0" fontId="95" fillId="10" borderId="231" xfId="0" applyFont="1" applyFill="1" applyBorder="1" applyAlignment="1">
      <alignment horizontal="center"/>
    </xf>
    <xf numFmtId="0" fontId="95" fillId="10" borderId="196" xfId="0" applyFont="1" applyFill="1" applyBorder="1" applyAlignment="1">
      <alignment horizontal="center"/>
    </xf>
    <xf numFmtId="3" fontId="87" fillId="11" borderId="42" xfId="0" applyNumberFormat="1" applyFont="1" applyFill="1" applyBorder="1" applyAlignment="1">
      <alignment horizontal="center" vertical="center" wrapText="1"/>
    </xf>
    <xf numFmtId="3" fontId="92" fillId="9" borderId="50" xfId="0" applyNumberFormat="1" applyFont="1" applyFill="1" applyBorder="1" applyAlignment="1">
      <alignment horizontal="center"/>
    </xf>
    <xf numFmtId="166" fontId="92" fillId="9" borderId="51" xfId="1" applyNumberFormat="1" applyFont="1" applyFill="1" applyBorder="1" applyAlignment="1">
      <alignment horizontal="center"/>
    </xf>
    <xf numFmtId="9" fontId="94" fillId="19" borderId="233" xfId="1" applyFont="1" applyFill="1" applyBorder="1"/>
    <xf numFmtId="3" fontId="96" fillId="16" borderId="60" xfId="0" applyNumberFormat="1" applyFont="1" applyFill="1" applyBorder="1" applyAlignment="1">
      <alignment horizontal="center" vertical="center"/>
    </xf>
    <xf numFmtId="3" fontId="96" fillId="16" borderId="58" xfId="0" applyNumberFormat="1" applyFont="1" applyFill="1" applyBorder="1" applyAlignment="1">
      <alignment horizontal="center" vertical="center"/>
    </xf>
    <xf numFmtId="0" fontId="98" fillId="13" borderId="70" xfId="0" applyFont="1" applyFill="1" applyBorder="1" applyAlignment="1">
      <alignment horizontal="center" vertical="center"/>
    </xf>
    <xf numFmtId="0" fontId="98" fillId="13" borderId="47" xfId="0" applyFont="1" applyFill="1" applyBorder="1" applyAlignment="1">
      <alignment horizontal="center" vertical="center"/>
    </xf>
    <xf numFmtId="3" fontId="100" fillId="61" borderId="43" xfId="0" applyNumberFormat="1" applyFont="1" applyFill="1" applyBorder="1" applyAlignment="1">
      <alignment horizontal="center" vertical="center"/>
    </xf>
    <xf numFmtId="3" fontId="100" fillId="60" borderId="102" xfId="0" applyNumberFormat="1" applyFont="1" applyFill="1" applyBorder="1" applyAlignment="1">
      <alignment horizontal="center" vertical="center"/>
    </xf>
    <xf numFmtId="10" fontId="100" fillId="59" borderId="35" xfId="1" applyNumberFormat="1" applyFont="1" applyFill="1" applyBorder="1" applyAlignment="1">
      <alignment horizontal="center" vertical="center"/>
    </xf>
    <xf numFmtId="9" fontId="94" fillId="19" borderId="35" xfId="1" applyFont="1" applyFill="1" applyBorder="1"/>
    <xf numFmtId="10" fontId="96" fillId="16" borderId="236" xfId="1" applyNumberFormat="1" applyFont="1" applyFill="1" applyBorder="1" applyAlignment="1">
      <alignment horizontal="center" vertical="center"/>
    </xf>
    <xf numFmtId="10" fontId="98" fillId="13" borderId="235" xfId="1" applyNumberFormat="1" applyFont="1" applyFill="1" applyBorder="1" applyAlignment="1">
      <alignment horizontal="center" vertical="center"/>
    </xf>
    <xf numFmtId="10" fontId="98" fillId="13" borderId="211" xfId="1" applyNumberFormat="1" applyFont="1" applyFill="1" applyBorder="1" applyAlignment="1">
      <alignment horizontal="center" vertical="center"/>
    </xf>
    <xf numFmtId="0" fontId="85" fillId="0" borderId="0" xfId="0" applyFont="1" applyFill="1"/>
    <xf numFmtId="0" fontId="100" fillId="0" borderId="0" xfId="0" applyFont="1" applyFill="1" applyBorder="1" applyAlignment="1">
      <alignment horizontal="center" vertical="center"/>
    </xf>
    <xf numFmtId="3" fontId="100" fillId="0" borderId="0" xfId="0" applyNumberFormat="1" applyFont="1" applyFill="1" applyBorder="1" applyAlignment="1">
      <alignment horizontal="center" vertical="center"/>
    </xf>
    <xf numFmtId="10" fontId="100" fillId="0" borderId="0" xfId="1" applyNumberFormat="1" applyFont="1" applyFill="1" applyBorder="1" applyAlignment="1">
      <alignment horizontal="center" vertical="center"/>
    </xf>
    <xf numFmtId="9" fontId="94" fillId="0" borderId="0" xfId="1" applyFont="1" applyFill="1" applyBorder="1"/>
    <xf numFmtId="167" fontId="97" fillId="0" borderId="0" xfId="0" applyNumberFormat="1" applyFont="1" applyFill="1" applyAlignment="1">
      <alignment horizontal="center" vertical="center"/>
    </xf>
    <xf numFmtId="167" fontId="97" fillId="0" borderId="0" xfId="0" applyNumberFormat="1" applyFont="1" applyAlignment="1">
      <alignment horizontal="center" vertical="center"/>
    </xf>
    <xf numFmtId="0" fontId="87" fillId="0" borderId="0" xfId="0" applyFont="1"/>
    <xf numFmtId="10" fontId="85" fillId="0" borderId="0" xfId="0" applyNumberFormat="1" applyFont="1"/>
    <xf numFmtId="0" fontId="89" fillId="68" borderId="108" xfId="0" applyFont="1" applyFill="1" applyBorder="1" applyAlignment="1">
      <alignment horizontal="center" vertical="center" wrapText="1"/>
    </xf>
    <xf numFmtId="0" fontId="31" fillId="68" borderId="139" xfId="0" applyFont="1" applyFill="1" applyBorder="1" applyAlignment="1" applyProtection="1">
      <alignment horizontal="center" vertical="center" wrapText="1"/>
      <protection locked="0"/>
    </xf>
    <xf numFmtId="0" fontId="31" fillId="68" borderId="139" xfId="0" applyFont="1" applyFill="1" applyBorder="1" applyAlignment="1">
      <alignment horizontal="center" vertical="center" wrapText="1"/>
    </xf>
    <xf numFmtId="3" fontId="87" fillId="16" borderId="235" xfId="0" applyNumberFormat="1" applyFont="1" applyFill="1" applyBorder="1" applyAlignment="1">
      <alignment horizontal="center" vertical="center"/>
    </xf>
    <xf numFmtId="0" fontId="64" fillId="14" borderId="58" xfId="2" applyFont="1" applyFill="1" applyBorder="1" applyAlignment="1" applyProtection="1">
      <alignment horizontal="center" vertical="center"/>
      <protection locked="0"/>
    </xf>
    <xf numFmtId="0" fontId="64" fillId="14" borderId="200" xfId="2" applyFont="1" applyFill="1" applyBorder="1" applyAlignment="1" applyProtection="1">
      <alignment horizontal="center" vertical="center"/>
      <protection locked="0"/>
    </xf>
    <xf numFmtId="0" fontId="64" fillId="14" borderId="236" xfId="2" applyFont="1" applyFill="1" applyBorder="1" applyAlignment="1" applyProtection="1">
      <alignment horizontal="center" vertical="center"/>
      <protection locked="0"/>
    </xf>
    <xf numFmtId="0" fontId="25" fillId="0" borderId="78" xfId="2" applyBorder="1"/>
    <xf numFmtId="0" fontId="102" fillId="65" borderId="198" xfId="2" applyFont="1" applyFill="1" applyBorder="1" applyAlignment="1">
      <alignment horizontal="center" vertical="center"/>
    </xf>
    <xf numFmtId="0" fontId="102" fillId="64" borderId="160" xfId="2" applyFont="1" applyFill="1" applyBorder="1" applyAlignment="1">
      <alignment horizontal="center" vertical="center"/>
    </xf>
    <xf numFmtId="0" fontId="102" fillId="65" borderId="174" xfId="2" applyFont="1" applyFill="1" applyBorder="1" applyAlignment="1">
      <alignment horizontal="center" vertical="center"/>
    </xf>
    <xf numFmtId="0" fontId="102" fillId="64" borderId="243" xfId="2" applyFont="1" applyFill="1" applyBorder="1" applyAlignment="1">
      <alignment horizontal="center" vertical="center"/>
    </xf>
    <xf numFmtId="0" fontId="102" fillId="65" borderId="244" xfId="2" applyFont="1" applyFill="1" applyBorder="1" applyAlignment="1">
      <alignment horizontal="center" vertical="center"/>
    </xf>
    <xf numFmtId="0" fontId="102" fillId="64" borderId="178" xfId="2" applyFont="1" applyFill="1" applyBorder="1" applyAlignment="1">
      <alignment horizontal="center" vertical="center"/>
    </xf>
    <xf numFmtId="0" fontId="102" fillId="64" borderId="198" xfId="2" applyFont="1" applyFill="1" applyBorder="1" applyAlignment="1">
      <alignment horizontal="center" vertical="center"/>
    </xf>
    <xf numFmtId="0" fontId="102" fillId="64" borderId="245" xfId="2" applyFont="1" applyFill="1" applyBorder="1" applyAlignment="1">
      <alignment horizontal="center" vertical="center"/>
    </xf>
    <xf numFmtId="0" fontId="102" fillId="64" borderId="244" xfId="2" applyFont="1" applyFill="1" applyBorder="1" applyAlignment="1">
      <alignment horizontal="center" vertical="center"/>
    </xf>
    <xf numFmtId="0" fontId="102" fillId="64" borderId="246" xfId="2" applyFont="1" applyFill="1" applyBorder="1" applyAlignment="1">
      <alignment horizontal="center" vertical="center"/>
    </xf>
    <xf numFmtId="0" fontId="25" fillId="0" borderId="0" xfId="2" applyBorder="1"/>
    <xf numFmtId="0" fontId="105" fillId="67" borderId="35" xfId="2" applyFont="1" applyFill="1" applyBorder="1" applyAlignment="1" applyProtection="1">
      <alignment horizontal="center" vertical="center"/>
      <protection locked="0"/>
    </xf>
    <xf numFmtId="0" fontId="105" fillId="66" borderId="199" xfId="2" applyFont="1" applyFill="1" applyBorder="1" applyAlignment="1" applyProtection="1">
      <alignment horizontal="center" vertical="center"/>
      <protection locked="0"/>
    </xf>
    <xf numFmtId="0" fontId="105" fillId="66" borderId="122" xfId="2" applyFont="1" applyFill="1" applyBorder="1" applyAlignment="1" applyProtection="1">
      <alignment horizontal="center" vertical="center"/>
      <protection locked="0"/>
    </xf>
    <xf numFmtId="0" fontId="105" fillId="66" borderId="112" xfId="2" applyFont="1" applyFill="1" applyBorder="1" applyAlignment="1" applyProtection="1">
      <alignment horizontal="center" vertical="center"/>
      <protection locked="0"/>
    </xf>
    <xf numFmtId="0" fontId="105" fillId="14" borderId="70" xfId="2" applyFont="1" applyFill="1" applyBorder="1" applyAlignment="1" applyProtection="1">
      <alignment horizontal="center" vertical="center"/>
      <protection locked="0"/>
    </xf>
    <xf numFmtId="0" fontId="105" fillId="14" borderId="56" xfId="2" applyFont="1" applyFill="1" applyBorder="1" applyAlignment="1" applyProtection="1">
      <alignment horizontal="center" vertical="center"/>
      <protection locked="0"/>
    </xf>
    <xf numFmtId="0" fontId="105" fillId="14" borderId="46" xfId="2" applyFont="1" applyFill="1" applyBorder="1" applyAlignment="1" applyProtection="1">
      <alignment horizontal="center" vertical="center"/>
      <protection locked="0"/>
    </xf>
    <xf numFmtId="0" fontId="105" fillId="14" borderId="47" xfId="2" applyFont="1" applyFill="1" applyBorder="1" applyAlignment="1" applyProtection="1">
      <alignment horizontal="center" vertical="center"/>
      <protection locked="0"/>
    </xf>
    <xf numFmtId="0" fontId="105" fillId="66" borderId="50" xfId="2" applyFont="1" applyFill="1" applyBorder="1" applyAlignment="1" applyProtection="1">
      <alignment horizontal="center" vertical="center"/>
      <protection locked="0"/>
    </xf>
    <xf numFmtId="0" fontId="105" fillId="66" borderId="61" xfId="2" applyFont="1" applyFill="1" applyBorder="1" applyAlignment="1" applyProtection="1">
      <alignment horizontal="center" vertical="center"/>
      <protection locked="0"/>
    </xf>
    <xf numFmtId="0" fontId="105" fillId="66" borderId="51" xfId="2" applyFont="1" applyFill="1" applyBorder="1" applyAlignment="1" applyProtection="1">
      <alignment horizontal="center" vertical="center"/>
      <protection locked="0"/>
    </xf>
    <xf numFmtId="0" fontId="105" fillId="67" borderId="36" xfId="2" applyFont="1" applyFill="1" applyBorder="1" applyAlignment="1" applyProtection="1">
      <alignment horizontal="center" vertical="center"/>
      <protection locked="0"/>
    </xf>
    <xf numFmtId="0" fontId="105" fillId="14" borderId="60" xfId="2" applyFont="1" applyFill="1" applyBorder="1" applyAlignment="1" applyProtection="1">
      <alignment horizontal="center" vertical="center"/>
      <protection locked="0"/>
    </xf>
    <xf numFmtId="0" fontId="105" fillId="14" borderId="58" xfId="2" applyFont="1" applyFill="1" applyBorder="1" applyAlignment="1" applyProtection="1">
      <alignment horizontal="center" vertical="center"/>
      <protection locked="0"/>
    </xf>
    <xf numFmtId="0" fontId="105" fillId="67" borderId="38" xfId="2" applyFont="1" applyFill="1" applyBorder="1" applyAlignment="1" applyProtection="1">
      <alignment horizontal="center" vertical="center"/>
      <protection locked="0"/>
    </xf>
    <xf numFmtId="0" fontId="105" fillId="14" borderId="61" xfId="2" applyFont="1" applyFill="1" applyBorder="1" applyAlignment="1" applyProtection="1">
      <alignment horizontal="center" vertical="center"/>
      <protection locked="0"/>
    </xf>
    <xf numFmtId="0" fontId="105" fillId="14" borderId="57" xfId="2" applyFont="1" applyFill="1" applyBorder="1" applyAlignment="1" applyProtection="1">
      <alignment horizontal="center" vertical="center"/>
      <protection locked="0"/>
    </xf>
    <xf numFmtId="0" fontId="105" fillId="14" borderId="50" xfId="2" applyFont="1" applyFill="1" applyBorder="1" applyAlignment="1" applyProtection="1">
      <alignment horizontal="center" vertical="center"/>
      <protection locked="0"/>
    </xf>
    <xf numFmtId="0" fontId="105" fillId="14" borderId="59" xfId="2" applyFont="1" applyFill="1" applyBorder="1" applyAlignment="1" applyProtection="1">
      <alignment horizontal="center" vertical="center"/>
      <protection locked="0"/>
    </xf>
    <xf numFmtId="0" fontId="52" fillId="50" borderId="95" xfId="0" applyFont="1" applyFill="1" applyBorder="1" applyAlignment="1">
      <alignment horizontal="center" vertical="center" wrapText="1"/>
    </xf>
    <xf numFmtId="0" fontId="89" fillId="69" borderId="102" xfId="0" applyFont="1" applyFill="1" applyBorder="1" applyAlignment="1">
      <alignment horizontal="center" vertical="center" wrapText="1"/>
    </xf>
    <xf numFmtId="0" fontId="31" fillId="69" borderId="139" xfId="0" applyFont="1" applyFill="1" applyBorder="1" applyAlignment="1" applyProtection="1">
      <alignment horizontal="center" vertical="center" wrapText="1"/>
      <protection locked="0"/>
    </xf>
    <xf numFmtId="0" fontId="31" fillId="69" borderId="139" xfId="0" applyFont="1" applyFill="1" applyBorder="1" applyAlignment="1">
      <alignment horizontal="center" vertical="center" wrapText="1"/>
    </xf>
    <xf numFmtId="0" fontId="84" fillId="50" borderId="95" xfId="0" applyFont="1" applyFill="1" applyBorder="1" applyAlignment="1">
      <alignment horizontal="center" vertical="center" wrapText="1"/>
    </xf>
    <xf numFmtId="0" fontId="99" fillId="10" borderId="247" xfId="0" applyFont="1" applyFill="1" applyBorder="1" applyAlignment="1">
      <alignment horizontal="center" vertical="center"/>
    </xf>
    <xf numFmtId="0" fontId="108" fillId="55" borderId="193" xfId="0" applyFont="1" applyFill="1" applyBorder="1" applyAlignment="1">
      <alignment horizontal="center" vertical="center"/>
    </xf>
    <xf numFmtId="0" fontId="108" fillId="46" borderId="193" xfId="0" applyFont="1" applyFill="1" applyBorder="1" applyAlignment="1">
      <alignment horizontal="center" vertical="center" wrapText="1"/>
    </xf>
    <xf numFmtId="0" fontId="87" fillId="30" borderId="249" xfId="0" applyFont="1" applyFill="1" applyBorder="1" applyAlignment="1">
      <alignment horizontal="center"/>
    </xf>
    <xf numFmtId="0" fontId="101" fillId="0" borderId="0" xfId="0" applyFont="1" applyBorder="1" applyAlignment="1">
      <alignment vertical="center"/>
    </xf>
    <xf numFmtId="10" fontId="101" fillId="0" borderId="0" xfId="0" applyNumberFormat="1" applyFont="1" applyBorder="1" applyAlignment="1">
      <alignment vertical="center"/>
    </xf>
    <xf numFmtId="0" fontId="87" fillId="30" borderId="0" xfId="0" applyFont="1" applyFill="1" applyBorder="1" applyAlignment="1">
      <alignment horizontal="center"/>
    </xf>
    <xf numFmtId="0" fontId="99" fillId="10" borderId="250" xfId="0" applyFont="1" applyFill="1" applyBorder="1" applyAlignment="1">
      <alignment horizontal="center" vertical="center"/>
    </xf>
    <xf numFmtId="0" fontId="99" fillId="10" borderId="194" xfId="0" applyFont="1" applyFill="1" applyBorder="1" applyAlignment="1">
      <alignment horizontal="center" vertical="center"/>
    </xf>
    <xf numFmtId="10" fontId="99" fillId="10" borderId="251" xfId="1" applyNumberFormat="1" applyFont="1" applyFill="1" applyBorder="1" applyAlignment="1">
      <alignment horizontal="center" vertical="center"/>
    </xf>
    <xf numFmtId="10" fontId="99" fillId="10" borderId="81" xfId="1" applyNumberFormat="1" applyFont="1" applyFill="1" applyBorder="1" applyAlignment="1">
      <alignment horizontal="center" vertical="center"/>
    </xf>
    <xf numFmtId="0" fontId="97" fillId="0" borderId="0" xfId="0" applyFont="1" applyAlignment="1">
      <alignment horizontal="center" vertical="center"/>
    </xf>
    <xf numFmtId="0" fontId="85" fillId="0" borderId="0" xfId="0" applyFont="1" applyFill="1" applyBorder="1"/>
    <xf numFmtId="0" fontId="87" fillId="0" borderId="0" xfId="0" applyFont="1" applyFill="1" applyBorder="1" applyAlignment="1">
      <alignment horizontal="center"/>
    </xf>
    <xf numFmtId="0" fontId="88" fillId="0" borderId="0" xfId="0" applyFont="1" applyFill="1" applyBorder="1" applyAlignment="1">
      <alignment horizontal="center"/>
    </xf>
    <xf numFmtId="0" fontId="108" fillId="55" borderId="173" xfId="0" applyFont="1" applyFill="1" applyBorder="1" applyAlignment="1">
      <alignment horizontal="center" vertical="center"/>
    </xf>
    <xf numFmtId="0" fontId="6" fillId="46" borderId="252" xfId="0" applyFont="1" applyFill="1" applyBorder="1" applyAlignment="1">
      <alignment vertical="center"/>
    </xf>
    <xf numFmtId="0" fontId="37" fillId="15" borderId="29" xfId="0" applyFont="1" applyFill="1" applyBorder="1" applyAlignment="1" applyProtection="1">
      <alignment horizontal="center" vertical="center"/>
      <protection locked="0"/>
    </xf>
    <xf numFmtId="0" fontId="6" fillId="46" borderId="181" xfId="0" applyFont="1" applyFill="1" applyBorder="1" applyAlignment="1">
      <alignment vertical="center"/>
    </xf>
    <xf numFmtId="0" fontId="15" fillId="19" borderId="254" xfId="0" applyFont="1" applyFill="1" applyBorder="1" applyAlignment="1">
      <alignment horizontal="center" vertical="center"/>
    </xf>
    <xf numFmtId="0" fontId="6" fillId="46" borderId="255" xfId="0" applyFont="1" applyFill="1" applyBorder="1" applyAlignment="1">
      <alignment vertical="center"/>
    </xf>
    <xf numFmtId="0" fontId="15" fillId="19" borderId="256" xfId="0" applyFont="1" applyFill="1" applyBorder="1" applyAlignment="1">
      <alignment horizontal="center" vertical="center"/>
    </xf>
    <xf numFmtId="0" fontId="11" fillId="46" borderId="255" xfId="0" applyFont="1" applyFill="1" applyBorder="1" applyAlignment="1">
      <alignment vertical="center"/>
    </xf>
    <xf numFmtId="0" fontId="11" fillId="46" borderId="181" xfId="0" applyFont="1" applyFill="1" applyBorder="1" applyAlignment="1">
      <alignment vertical="center"/>
    </xf>
    <xf numFmtId="164" fontId="11" fillId="19" borderId="103" xfId="0" applyNumberFormat="1" applyFont="1" applyFill="1" applyBorder="1" applyAlignment="1">
      <alignment horizontal="center" vertical="center"/>
    </xf>
    <xf numFmtId="0" fontId="11" fillId="19" borderId="104" xfId="0" applyFont="1" applyFill="1" applyBorder="1" applyAlignment="1">
      <alignment horizontal="center" vertical="center"/>
    </xf>
    <xf numFmtId="0" fontId="11" fillId="19" borderId="256" xfId="0" applyFont="1" applyFill="1" applyBorder="1" applyAlignment="1">
      <alignment horizontal="center" vertical="center"/>
    </xf>
    <xf numFmtId="0" fontId="11" fillId="19" borderId="254" xfId="0" applyFont="1" applyFill="1" applyBorder="1" applyAlignment="1">
      <alignment horizontal="center" vertical="center"/>
    </xf>
    <xf numFmtId="167" fontId="109" fillId="0" borderId="0" xfId="0" applyNumberFormat="1" applyFont="1" applyAlignment="1">
      <alignment vertical="center"/>
    </xf>
    <xf numFmtId="0" fontId="31" fillId="55" borderId="122" xfId="0" applyFont="1" applyFill="1" applyBorder="1" applyAlignment="1">
      <alignment horizontal="center" vertical="center"/>
    </xf>
    <xf numFmtId="0" fontId="31" fillId="55" borderId="112" xfId="0" applyFont="1" applyFill="1" applyBorder="1" applyAlignment="1">
      <alignment horizontal="center" vertical="center"/>
    </xf>
    <xf numFmtId="0" fontId="7" fillId="2" borderId="225" xfId="0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5" fillId="0" borderId="0" xfId="0" applyFont="1" applyAlignment="1"/>
    <xf numFmtId="1" fontId="85" fillId="0" borderId="0" xfId="0" applyNumberFormat="1" applyFont="1"/>
    <xf numFmtId="0" fontId="2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117" fillId="9" borderId="60" xfId="1" applyNumberFormat="1" applyFont="1" applyFill="1" applyBorder="1" applyAlignment="1">
      <alignment horizontal="center" vertical="center"/>
    </xf>
    <xf numFmtId="1" fontId="117" fillId="9" borderId="47" xfId="1" applyNumberFormat="1" applyFont="1" applyFill="1" applyBorder="1" applyAlignment="1">
      <alignment horizontal="center" vertical="center"/>
    </xf>
    <xf numFmtId="1" fontId="115" fillId="9" borderId="61" xfId="0" applyNumberFormat="1" applyFont="1" applyFill="1" applyBorder="1" applyAlignment="1">
      <alignment horizontal="center" vertical="center"/>
    </xf>
    <xf numFmtId="1" fontId="115" fillId="9" borderId="51" xfId="0" applyNumberFormat="1" applyFont="1" applyFill="1" applyBorder="1" applyAlignment="1">
      <alignment horizontal="center" vertical="center"/>
    </xf>
    <xf numFmtId="0" fontId="25" fillId="50" borderId="183" xfId="0" applyFont="1" applyFill="1" applyBorder="1" applyAlignment="1">
      <alignment horizontal="center" vertical="center" wrapText="1"/>
    </xf>
    <xf numFmtId="0" fontId="0" fillId="50" borderId="46" xfId="0" applyFill="1" applyBorder="1" applyAlignment="1">
      <alignment horizontal="center" vertical="center" wrapText="1"/>
    </xf>
    <xf numFmtId="0" fontId="25" fillId="53" borderId="38" xfId="0" applyFont="1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25" fillId="9" borderId="139" xfId="0" applyFont="1" applyFill="1" applyBorder="1" applyAlignment="1">
      <alignment horizontal="center" vertical="center" wrapText="1"/>
    </xf>
    <xf numFmtId="0" fontId="25" fillId="9" borderId="259" xfId="0" applyFont="1" applyFill="1" applyBorder="1" applyAlignment="1">
      <alignment horizontal="center" vertical="center" wrapText="1"/>
    </xf>
    <xf numFmtId="0" fontId="25" fillId="9" borderId="69" xfId="0" applyFont="1" applyFill="1" applyBorder="1" applyAlignment="1">
      <alignment horizontal="center" vertical="center" wrapText="1"/>
    </xf>
    <xf numFmtId="0" fontId="25" fillId="9" borderId="108" xfId="0" applyFont="1" applyFill="1" applyBorder="1" applyAlignment="1">
      <alignment horizontal="center" vertical="center" wrapText="1"/>
    </xf>
    <xf numFmtId="0" fontId="25" fillId="9" borderId="110" xfId="0" applyFont="1" applyFill="1" applyBorder="1" applyAlignment="1">
      <alignment horizontal="center" vertical="center" wrapText="1"/>
    </xf>
    <xf numFmtId="0" fontId="0" fillId="9" borderId="69" xfId="0" applyFill="1" applyBorder="1" applyAlignment="1">
      <alignment horizontal="center" vertical="center"/>
    </xf>
    <xf numFmtId="0" fontId="25" fillId="9" borderId="139" xfId="0" applyFont="1" applyFill="1" applyBorder="1" applyAlignment="1">
      <alignment horizontal="center" vertical="center"/>
    </xf>
    <xf numFmtId="0" fontId="25" fillId="9" borderId="107" xfId="0" applyFont="1" applyFill="1" applyBorder="1" applyAlignment="1">
      <alignment horizontal="center" vertical="center"/>
    </xf>
    <xf numFmtId="0" fontId="25" fillId="9" borderId="108" xfId="0" applyFont="1" applyFill="1" applyBorder="1" applyAlignment="1">
      <alignment horizontal="center" vertical="center"/>
    </xf>
    <xf numFmtId="0" fontId="25" fillId="9" borderId="47" xfId="0" applyFont="1" applyFill="1" applyBorder="1" applyAlignment="1">
      <alignment horizontal="center" vertical="center"/>
    </xf>
    <xf numFmtId="0" fontId="25" fillId="9" borderId="51" xfId="0" applyFont="1" applyFill="1" applyBorder="1" applyAlignment="1">
      <alignment horizontal="center" vertical="center"/>
    </xf>
    <xf numFmtId="0" fontId="0" fillId="23" borderId="47" xfId="0" applyFill="1" applyBorder="1" applyAlignment="1">
      <alignment horizontal="center" vertical="center" wrapText="1"/>
    </xf>
    <xf numFmtId="2" fontId="0" fillId="23" borderId="60" xfId="0" applyNumberFormat="1" applyFill="1" applyBorder="1" applyAlignment="1">
      <alignment horizontal="center" vertical="center"/>
    </xf>
    <xf numFmtId="2" fontId="0" fillId="23" borderId="56" xfId="0" applyNumberFormat="1" applyFill="1" applyBorder="1" applyAlignment="1">
      <alignment horizontal="center" vertical="center"/>
    </xf>
    <xf numFmtId="2" fontId="0" fillId="23" borderId="47" xfId="0" applyNumberFormat="1" applyFill="1" applyBorder="1" applyAlignment="1">
      <alignment horizontal="center" vertical="center"/>
    </xf>
    <xf numFmtId="0" fontId="0" fillId="23" borderId="51" xfId="0" applyFill="1" applyBorder="1" applyAlignment="1">
      <alignment horizontal="center" vertical="center" wrapText="1"/>
    </xf>
    <xf numFmtId="2" fontId="0" fillId="23" borderId="61" xfId="0" applyNumberFormat="1" applyFill="1" applyBorder="1" applyAlignment="1">
      <alignment horizontal="center" vertical="center"/>
    </xf>
    <xf numFmtId="2" fontId="0" fillId="23" borderId="57" xfId="0" applyNumberFormat="1" applyFill="1" applyBorder="1" applyAlignment="1">
      <alignment horizontal="center" vertical="center"/>
    </xf>
    <xf numFmtId="2" fontId="0" fillId="23" borderId="51" xfId="0" applyNumberFormat="1" applyFill="1" applyBorder="1" applyAlignment="1">
      <alignment horizontal="center" vertical="center"/>
    </xf>
    <xf numFmtId="0" fontId="0" fillId="23" borderId="46" xfId="0" applyFill="1" applyBorder="1" applyAlignment="1">
      <alignment horizontal="center" vertical="center"/>
    </xf>
    <xf numFmtId="0" fontId="25" fillId="23" borderId="47" xfId="0" applyFont="1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23" borderId="51" xfId="0" applyFill="1" applyBorder="1" applyAlignment="1">
      <alignment horizontal="center" vertical="center"/>
    </xf>
    <xf numFmtId="0" fontId="0" fillId="23" borderId="101" xfId="0" applyFill="1" applyBorder="1" applyAlignment="1">
      <alignment horizontal="center" vertical="center" wrapText="1"/>
    </xf>
    <xf numFmtId="10" fontId="0" fillId="23" borderId="66" xfId="0" applyNumberFormat="1" applyFill="1" applyBorder="1" applyAlignment="1">
      <alignment horizontal="center" vertical="center" wrapText="1"/>
    </xf>
    <xf numFmtId="0" fontId="0" fillId="23" borderId="183" xfId="0" applyFill="1" applyBorder="1" applyAlignment="1">
      <alignment horizontal="center" vertical="center" wrapText="1"/>
    </xf>
    <xf numFmtId="0" fontId="0" fillId="23" borderId="61" xfId="0" applyFill="1" applyBorder="1" applyAlignment="1">
      <alignment horizontal="center" vertical="center" wrapText="1"/>
    </xf>
    <xf numFmtId="10" fontId="0" fillId="23" borderId="59" xfId="0" applyNumberFormat="1" applyFill="1" applyBorder="1" applyAlignment="1">
      <alignment horizontal="center" vertical="center" wrapText="1"/>
    </xf>
    <xf numFmtId="0" fontId="0" fillId="23" borderId="38" xfId="0" applyFill="1" applyBorder="1" applyAlignment="1">
      <alignment horizontal="center" vertical="center" wrapText="1"/>
    </xf>
    <xf numFmtId="0" fontId="0" fillId="23" borderId="50" xfId="0" applyFill="1" applyBorder="1" applyAlignment="1">
      <alignment horizontal="center" vertical="center" wrapText="1"/>
    </xf>
    <xf numFmtId="2" fontId="0" fillId="23" borderId="91" xfId="0" applyNumberForma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0" fillId="9" borderId="102" xfId="0" applyFill="1" applyBorder="1" applyAlignment="1">
      <alignment horizontal="center" vertical="center" wrapText="1"/>
    </xf>
    <xf numFmtId="0" fontId="0" fillId="23" borderId="36" xfId="0" applyFill="1" applyBorder="1" applyAlignment="1">
      <alignment horizontal="center" vertical="center"/>
    </xf>
    <xf numFmtId="0" fontId="0" fillId="23" borderId="37" xfId="0" applyFill="1" applyBorder="1" applyAlignment="1">
      <alignment horizontal="center" vertical="center"/>
    </xf>
    <xf numFmtId="0" fontId="0" fillId="23" borderId="38" xfId="0" applyFill="1" applyBorder="1" applyAlignment="1">
      <alignment horizontal="center" vertical="center"/>
    </xf>
    <xf numFmtId="0" fontId="118" fillId="9" borderId="264" xfId="0" applyFont="1" applyFill="1" applyBorder="1" applyAlignment="1">
      <alignment horizontal="center" vertical="center"/>
    </xf>
    <xf numFmtId="0" fontId="0" fillId="23" borderId="46" xfId="0" applyFill="1" applyBorder="1" applyAlignment="1">
      <alignment horizontal="center" vertical="center" wrapText="1"/>
    </xf>
    <xf numFmtId="0" fontId="118" fillId="70" borderId="262" xfId="0" applyFont="1" applyFill="1" applyBorder="1" applyAlignment="1">
      <alignment horizontal="center" vertical="center"/>
    </xf>
    <xf numFmtId="0" fontId="118" fillId="70" borderId="261" xfId="0" applyFont="1" applyFill="1" applyBorder="1" applyAlignment="1">
      <alignment horizontal="center" vertical="center"/>
    </xf>
    <xf numFmtId="0" fontId="118" fillId="70" borderId="260" xfId="0" applyFont="1" applyFill="1" applyBorder="1" applyAlignment="1">
      <alignment horizontal="center" vertical="center"/>
    </xf>
    <xf numFmtId="0" fontId="118" fillId="70" borderId="263" xfId="0" applyFont="1" applyFill="1" applyBorder="1" applyAlignment="1">
      <alignment horizontal="center" vertical="center"/>
    </xf>
    <xf numFmtId="9" fontId="107" fillId="65" borderId="193" xfId="1" applyNumberFormat="1" applyFont="1" applyFill="1" applyBorder="1" applyAlignment="1">
      <alignment horizontal="center" vertical="center"/>
    </xf>
    <xf numFmtId="0" fontId="112" fillId="46" borderId="188" xfId="0" applyFont="1" applyFill="1" applyBorder="1" applyAlignment="1">
      <alignment horizontal="center" vertical="center"/>
    </xf>
    <xf numFmtId="0" fontId="112" fillId="46" borderId="248" xfId="0" applyFont="1" applyFill="1" applyBorder="1" applyAlignment="1">
      <alignment horizontal="center" vertical="center"/>
    </xf>
    <xf numFmtId="0" fontId="112" fillId="46" borderId="257" xfId="0" applyFont="1" applyFill="1" applyBorder="1" applyAlignment="1">
      <alignment horizontal="center" vertical="center"/>
    </xf>
    <xf numFmtId="0" fontId="112" fillId="46" borderId="67" xfId="0" applyFont="1" applyFill="1" applyBorder="1" applyAlignment="1">
      <alignment horizontal="center" vertical="center"/>
    </xf>
    <xf numFmtId="167" fontId="109" fillId="0" borderId="0" xfId="0" applyNumberFormat="1" applyFont="1" applyBorder="1" applyAlignment="1">
      <alignment vertical="center"/>
    </xf>
    <xf numFmtId="0" fontId="25" fillId="9" borderId="69" xfId="0" applyFont="1" applyFill="1" applyBorder="1" applyAlignment="1">
      <alignment horizontal="center" vertical="center"/>
    </xf>
    <xf numFmtId="0" fontId="0" fillId="23" borderId="108" xfId="0" applyFill="1" applyBorder="1" applyAlignment="1">
      <alignment horizontal="center" vertical="center"/>
    </xf>
    <xf numFmtId="0" fontId="44" fillId="23" borderId="46" xfId="0" applyFont="1" applyFill="1" applyBorder="1" applyAlignment="1">
      <alignment horizontal="center" vertical="center"/>
    </xf>
    <xf numFmtId="0" fontId="44" fillId="23" borderId="47" xfId="0" applyFont="1" applyFill="1" applyBorder="1" applyAlignment="1">
      <alignment horizontal="center" vertical="center"/>
    </xf>
    <xf numFmtId="0" fontId="44" fillId="23" borderId="50" xfId="0" applyFont="1" applyFill="1" applyBorder="1" applyAlignment="1">
      <alignment horizontal="center" vertical="center"/>
    </xf>
    <xf numFmtId="0" fontId="44" fillId="23" borderId="51" xfId="0" applyFont="1" applyFill="1" applyBorder="1" applyAlignment="1">
      <alignment horizontal="center" vertical="center"/>
    </xf>
    <xf numFmtId="0" fontId="112" fillId="46" borderId="265" xfId="0" applyFont="1" applyFill="1" applyBorder="1" applyAlignment="1">
      <alignment horizontal="center" vertical="center"/>
    </xf>
    <xf numFmtId="0" fontId="112" fillId="46" borderId="62" xfId="0" applyFont="1" applyFill="1" applyBorder="1" applyAlignment="1">
      <alignment horizontal="center" vertical="center"/>
    </xf>
    <xf numFmtId="0" fontId="112" fillId="46" borderId="253" xfId="0" applyFont="1" applyFill="1" applyBorder="1" applyAlignment="1">
      <alignment horizontal="center" vertical="center"/>
    </xf>
    <xf numFmtId="0" fontId="112" fillId="46" borderId="63" xfId="0" applyFont="1" applyFill="1" applyBorder="1" applyAlignment="1">
      <alignment horizontal="center" vertical="center"/>
    </xf>
    <xf numFmtId="1" fontId="121" fillId="11" borderId="47" xfId="1" applyNumberFormat="1" applyFont="1" applyFill="1" applyBorder="1" applyAlignment="1">
      <alignment horizontal="center" vertical="center"/>
    </xf>
    <xf numFmtId="1" fontId="121" fillId="11" borderId="51" xfId="0" applyNumberFormat="1" applyFont="1" applyFill="1" applyBorder="1" applyAlignment="1">
      <alignment horizontal="center" vertical="center"/>
    </xf>
    <xf numFmtId="0" fontId="11" fillId="46" borderId="98" xfId="0" applyFont="1" applyFill="1" applyBorder="1" applyAlignment="1">
      <alignment horizontal="center" vertical="center"/>
    </xf>
    <xf numFmtId="0" fontId="11" fillId="46" borderId="99" xfId="0" applyFont="1" applyFill="1" applyBorder="1" applyAlignment="1">
      <alignment horizontal="center" vertical="center"/>
    </xf>
    <xf numFmtId="0" fontId="11" fillId="46" borderId="255" xfId="0" applyFont="1" applyFill="1" applyBorder="1" applyAlignment="1">
      <alignment horizontal="center" vertical="center"/>
    </xf>
    <xf numFmtId="0" fontId="11" fillId="46" borderId="181" xfId="0" applyFont="1" applyFill="1" applyBorder="1" applyAlignment="1">
      <alignment horizontal="center" vertical="center"/>
    </xf>
    <xf numFmtId="0" fontId="71" fillId="9" borderId="70" xfId="0" applyFont="1" applyFill="1" applyBorder="1" applyAlignment="1">
      <alignment horizontal="center" vertical="center"/>
    </xf>
    <xf numFmtId="0" fontId="71" fillId="9" borderId="36" xfId="0" applyFont="1" applyFill="1" applyBorder="1" applyAlignment="1">
      <alignment horizontal="center" vertical="center"/>
    </xf>
    <xf numFmtId="2" fontId="0" fillId="23" borderId="49" xfId="0" applyNumberFormat="1" applyFill="1" applyBorder="1" applyAlignment="1">
      <alignment horizontal="center" vertical="center"/>
    </xf>
    <xf numFmtId="0" fontId="0" fillId="23" borderId="183" xfId="0" applyFill="1" applyBorder="1" applyAlignment="1">
      <alignment horizontal="center" vertical="center"/>
    </xf>
    <xf numFmtId="0" fontId="25" fillId="9" borderId="112" xfId="0" applyFont="1" applyFill="1" applyBorder="1" applyAlignment="1">
      <alignment horizontal="center" vertical="center"/>
    </xf>
    <xf numFmtId="0" fontId="25" fillId="9" borderId="122" xfId="0" applyFont="1" applyFill="1" applyBorder="1" applyAlignment="1">
      <alignment horizontal="center" vertical="center" wrapText="1"/>
    </xf>
    <xf numFmtId="170" fontId="0" fillId="0" borderId="138" xfId="0" applyNumberFormat="1" applyBorder="1" applyAlignment="1">
      <alignment horizontal="center" vertical="center"/>
    </xf>
    <xf numFmtId="170" fontId="0" fillId="0" borderId="224" xfId="0" applyNumberFormat="1" applyBorder="1" applyAlignment="1">
      <alignment horizontal="center" vertical="center"/>
    </xf>
    <xf numFmtId="14" fontId="0" fillId="9" borderId="108" xfId="0" applyNumberFormat="1" applyFill="1" applyBorder="1" applyAlignment="1">
      <alignment horizontal="center" vertical="center"/>
    </xf>
    <xf numFmtId="0" fontId="69" fillId="14" borderId="53" xfId="0" applyFont="1" applyFill="1" applyBorder="1" applyAlignment="1" applyProtection="1">
      <alignment horizontal="center" vertical="center"/>
      <protection locked="0"/>
    </xf>
    <xf numFmtId="0" fontId="69" fillId="14" borderId="38" xfId="0" applyFont="1" applyFill="1" applyBorder="1" applyAlignment="1" applyProtection="1">
      <alignment horizontal="center" vertical="center"/>
      <protection locked="0"/>
    </xf>
    <xf numFmtId="14" fontId="0" fillId="14" borderId="46" xfId="0" applyNumberFormat="1" applyFill="1" applyBorder="1" applyAlignment="1" applyProtection="1">
      <alignment horizontal="center" vertical="center"/>
      <protection locked="0"/>
    </xf>
    <xf numFmtId="14" fontId="0" fillId="14" borderId="48" xfId="0" applyNumberFormat="1" applyFill="1" applyBorder="1" applyAlignment="1" applyProtection="1">
      <alignment horizontal="center" vertical="center"/>
      <protection locked="0"/>
    </xf>
    <xf numFmtId="14" fontId="0" fillId="14" borderId="137" xfId="0" applyNumberFormat="1" applyFill="1" applyBorder="1" applyAlignment="1" applyProtection="1">
      <alignment horizontal="center" vertical="center"/>
      <protection locked="0"/>
    </xf>
    <xf numFmtId="14" fontId="0" fillId="14" borderId="65" xfId="0" applyNumberFormat="1" applyFill="1" applyBorder="1" applyAlignment="1" applyProtection="1">
      <alignment horizontal="center" vertical="center"/>
      <protection locked="0"/>
    </xf>
    <xf numFmtId="14" fontId="0" fillId="14" borderId="50" xfId="0" applyNumberFormat="1" applyFill="1" applyBorder="1" applyAlignment="1" applyProtection="1">
      <alignment horizontal="center" vertical="center"/>
      <protection locked="0"/>
    </xf>
    <xf numFmtId="14" fontId="0" fillId="14" borderId="60" xfId="0" applyNumberFormat="1" applyFill="1" applyBorder="1" applyAlignment="1" applyProtection="1">
      <alignment horizontal="center" vertical="center"/>
      <protection locked="0"/>
    </xf>
    <xf numFmtId="14" fontId="0" fillId="14" borderId="64" xfId="0" applyNumberFormat="1" applyFill="1" applyBorder="1" applyAlignment="1" applyProtection="1">
      <alignment horizontal="center" vertical="center"/>
      <protection locked="0"/>
    </xf>
    <xf numFmtId="0" fontId="0" fillId="14" borderId="101" xfId="0" applyFill="1" applyBorder="1" applyAlignment="1" applyProtection="1">
      <alignment horizontal="center" vertical="center"/>
      <protection locked="0"/>
    </xf>
    <xf numFmtId="0" fontId="0" fillId="53" borderId="80" xfId="0" applyFill="1" applyBorder="1" applyAlignment="1">
      <alignment horizontal="center" vertical="center" wrapText="1"/>
    </xf>
    <xf numFmtId="0" fontId="0" fillId="23" borderId="54" xfId="0" applyFill="1" applyBorder="1" applyAlignment="1">
      <alignment horizontal="center" vertical="center" wrapText="1"/>
    </xf>
    <xf numFmtId="0" fontId="116" fillId="9" borderId="69" xfId="0" applyFont="1" applyFill="1" applyBorder="1" applyAlignment="1">
      <alignment horizontal="center" vertical="center"/>
    </xf>
    <xf numFmtId="0" fontId="116" fillId="23" borderId="108" xfId="0" applyFont="1" applyFill="1" applyBorder="1" applyAlignment="1">
      <alignment horizontal="center" vertical="center"/>
    </xf>
    <xf numFmtId="0" fontId="6" fillId="15" borderId="95" xfId="0" applyFont="1" applyFill="1" applyBorder="1" applyAlignment="1" applyProtection="1">
      <alignment horizontal="center"/>
      <protection locked="0"/>
    </xf>
    <xf numFmtId="3" fontId="6" fillId="45" borderId="149" xfId="0" applyNumberFormat="1" applyFont="1" applyFill="1" applyBorder="1" applyAlignment="1" applyProtection="1">
      <alignment horizontal="center" vertical="center"/>
      <protection locked="0"/>
    </xf>
    <xf numFmtId="0" fontId="6" fillId="15" borderId="19" xfId="0" applyFont="1" applyFill="1" applyBorder="1" applyAlignment="1" applyProtection="1">
      <alignment horizontal="center"/>
      <protection locked="0"/>
    </xf>
    <xf numFmtId="3" fontId="6" fillId="45" borderId="150" xfId="0" applyNumberFormat="1" applyFont="1" applyFill="1" applyBorder="1" applyAlignment="1" applyProtection="1">
      <alignment horizontal="center" vertical="center"/>
      <protection locked="0"/>
    </xf>
    <xf numFmtId="0" fontId="6" fillId="15" borderId="151" xfId="0" applyFont="1" applyFill="1" applyBorder="1" applyAlignment="1" applyProtection="1">
      <alignment horizontal="center"/>
      <protection locked="0"/>
    </xf>
    <xf numFmtId="3" fontId="6" fillId="45" borderId="152" xfId="0" applyNumberFormat="1" applyFont="1" applyFill="1" applyBorder="1" applyAlignment="1" applyProtection="1">
      <alignment horizontal="center" vertical="center"/>
      <protection locked="0"/>
    </xf>
    <xf numFmtId="0" fontId="123" fillId="46" borderId="98" xfId="0" applyFont="1" applyFill="1" applyBorder="1" applyAlignment="1">
      <alignment horizontal="center" vertical="center"/>
    </xf>
    <xf numFmtId="164" fontId="123" fillId="19" borderId="103" xfId="0" applyNumberFormat="1" applyFont="1" applyFill="1" applyBorder="1" applyAlignment="1">
      <alignment horizontal="center" vertical="center"/>
    </xf>
    <xf numFmtId="0" fontId="123" fillId="46" borderId="99" xfId="0" applyFont="1" applyFill="1" applyBorder="1" applyAlignment="1">
      <alignment horizontal="center" vertical="center"/>
    </xf>
    <xf numFmtId="0" fontId="123" fillId="19" borderId="104" xfId="0" applyFont="1" applyFill="1" applyBorder="1" applyAlignment="1">
      <alignment horizontal="center" vertical="center"/>
    </xf>
    <xf numFmtId="0" fontId="123" fillId="46" borderId="255" xfId="0" applyFont="1" applyFill="1" applyBorder="1" applyAlignment="1">
      <alignment horizontal="center" vertical="center"/>
    </xf>
    <xf numFmtId="0" fontId="123" fillId="19" borderId="256" xfId="0" applyFont="1" applyFill="1" applyBorder="1" applyAlignment="1">
      <alignment horizontal="center" vertical="center"/>
    </xf>
    <xf numFmtId="0" fontId="123" fillId="46" borderId="181" xfId="0" applyFont="1" applyFill="1" applyBorder="1" applyAlignment="1">
      <alignment horizontal="center" vertical="center"/>
    </xf>
    <xf numFmtId="0" fontId="123" fillId="19" borderId="254" xfId="0" applyFont="1" applyFill="1" applyBorder="1" applyAlignment="1">
      <alignment horizontal="center" vertical="center"/>
    </xf>
    <xf numFmtId="10" fontId="0" fillId="14" borderId="34" xfId="0" applyNumberFormat="1" applyFill="1" applyBorder="1" applyAlignment="1" applyProtection="1">
      <alignment horizontal="center"/>
      <protection locked="0"/>
    </xf>
    <xf numFmtId="10" fontId="25" fillId="14" borderId="34" xfId="0" applyNumberFormat="1" applyFont="1" applyFill="1" applyBorder="1" applyAlignment="1" applyProtection="1">
      <alignment horizontal="center"/>
      <protection locked="0"/>
    </xf>
    <xf numFmtId="0" fontId="83" fillId="23" borderId="69" xfId="2" applyFont="1" applyFill="1" applyBorder="1" applyAlignment="1">
      <alignment horizontal="center" vertical="center" wrapText="1"/>
    </xf>
    <xf numFmtId="0" fontId="83" fillId="23" borderId="108" xfId="2" applyFont="1" applyFill="1" applyBorder="1" applyAlignment="1">
      <alignment horizontal="center" vertical="center" wrapText="1"/>
    </xf>
    <xf numFmtId="0" fontId="126" fillId="50" borderId="95" xfId="0" applyFont="1" applyFill="1" applyBorder="1" applyAlignment="1">
      <alignment horizontal="center" vertical="center" wrapText="1"/>
    </xf>
    <xf numFmtId="0" fontId="126" fillId="53" borderId="228" xfId="0" applyFont="1" applyFill="1" applyBorder="1" applyAlignment="1">
      <alignment horizontal="center" vertical="center" wrapText="1"/>
    </xf>
    <xf numFmtId="0" fontId="127" fillId="9" borderId="35" xfId="2" applyFont="1" applyFill="1" applyBorder="1" applyAlignment="1">
      <alignment horizontal="center" vertical="center" wrapText="1"/>
    </xf>
    <xf numFmtId="0" fontId="128" fillId="19" borderId="173" xfId="2" applyFont="1" applyFill="1" applyBorder="1" applyAlignment="1">
      <alignment horizontal="center" vertical="center"/>
    </xf>
    <xf numFmtId="0" fontId="129" fillId="2" borderId="173" xfId="2" applyFont="1" applyFill="1" applyBorder="1" applyAlignment="1">
      <alignment horizontal="center" vertical="center"/>
    </xf>
    <xf numFmtId="0" fontId="129" fillId="2" borderId="198" xfId="2" applyFont="1" applyFill="1" applyBorder="1" applyAlignment="1">
      <alignment horizontal="center" vertical="center" wrapText="1"/>
    </xf>
    <xf numFmtId="0" fontId="129" fillId="19" borderId="198" xfId="2" applyFont="1" applyFill="1" applyBorder="1" applyAlignment="1">
      <alignment horizontal="center" vertical="center" wrapText="1"/>
    </xf>
    <xf numFmtId="0" fontId="1" fillId="26" borderId="1" xfId="0" applyFont="1" applyFill="1" applyBorder="1" applyAlignment="1">
      <alignment horizontal="center" vertical="center"/>
    </xf>
    <xf numFmtId="0" fontId="2" fillId="11" borderId="3" xfId="0" applyFont="1" applyFill="1" applyBorder="1"/>
    <xf numFmtId="0" fontId="1" fillId="26" borderId="20" xfId="0" applyFont="1" applyFill="1" applyBorder="1" applyAlignment="1">
      <alignment horizontal="center" vertical="center"/>
    </xf>
    <xf numFmtId="0" fontId="2" fillId="11" borderId="21" xfId="0" applyFont="1" applyFill="1" applyBorder="1"/>
    <xf numFmtId="0" fontId="30" fillId="29" borderId="102" xfId="0" applyFont="1" applyFill="1" applyBorder="1" applyAlignment="1" applyProtection="1">
      <alignment horizontal="center"/>
      <protection hidden="1"/>
    </xf>
    <xf numFmtId="0" fontId="30" fillId="29" borderId="110" xfId="0" applyFont="1" applyFill="1" applyBorder="1" applyAlignment="1" applyProtection="1">
      <alignment horizontal="center"/>
      <protection hidden="1"/>
    </xf>
    <xf numFmtId="0" fontId="30" fillId="29" borderId="239" xfId="0" applyFont="1" applyFill="1" applyBorder="1" applyAlignment="1" applyProtection="1">
      <alignment horizontal="center"/>
      <protection hidden="1"/>
    </xf>
    <xf numFmtId="0" fontId="30" fillId="29" borderId="45" xfId="0" applyFont="1" applyFill="1" applyBorder="1" applyAlignment="1" applyProtection="1">
      <alignment horizontal="center"/>
      <protection hidden="1"/>
    </xf>
    <xf numFmtId="0" fontId="1" fillId="2" borderId="20" xfId="0" applyFont="1" applyFill="1" applyBorder="1" applyAlignment="1">
      <alignment horizontal="center"/>
    </xf>
    <xf numFmtId="0" fontId="2" fillId="0" borderId="41" xfId="0" applyFont="1" applyBorder="1"/>
    <xf numFmtId="0" fontId="2" fillId="11" borderId="2" xfId="0" applyFont="1" applyFill="1" applyBorder="1"/>
    <xf numFmtId="0" fontId="1" fillId="26" borderId="102" xfId="0" applyFont="1" applyFill="1" applyBorder="1" applyAlignment="1">
      <alignment horizontal="center" vertical="center"/>
    </xf>
    <xf numFmtId="0" fontId="2" fillId="11" borderId="45" xfId="0" applyFont="1" applyFill="1" applyBorder="1"/>
    <xf numFmtId="0" fontId="1" fillId="26" borderId="2" xfId="0" applyFont="1" applyFill="1" applyBorder="1" applyAlignment="1">
      <alignment horizontal="center" vertical="center"/>
    </xf>
    <xf numFmtId="0" fontId="13" fillId="29" borderId="102" xfId="0" applyFont="1" applyFill="1" applyBorder="1" applyAlignment="1" applyProtection="1">
      <alignment horizontal="center"/>
      <protection hidden="1"/>
    </xf>
    <xf numFmtId="0" fontId="30" fillId="29" borderId="115" xfId="0" applyFont="1" applyFill="1" applyBorder="1" applyAlignment="1" applyProtection="1">
      <alignment horizontal="center"/>
      <protection hidden="1"/>
    </xf>
    <xf numFmtId="0" fontId="31" fillId="29" borderId="102" xfId="0" applyFont="1" applyFill="1" applyBorder="1" applyAlignment="1">
      <alignment horizontal="center"/>
    </xf>
    <xf numFmtId="0" fontId="31" fillId="29" borderId="110" xfId="0" applyFont="1" applyFill="1" applyBorder="1" applyAlignment="1">
      <alignment horizontal="center"/>
    </xf>
    <xf numFmtId="0" fontId="31" fillId="29" borderId="45" xfId="0" applyFont="1" applyFill="1" applyBorder="1" applyAlignment="1">
      <alignment horizontal="center"/>
    </xf>
    <xf numFmtId="0" fontId="18" fillId="25" borderId="22" xfId="0" applyFont="1" applyFill="1" applyBorder="1" applyAlignment="1">
      <alignment horizontal="center" vertical="center"/>
    </xf>
    <xf numFmtId="0" fontId="2" fillId="11" borderId="23" xfId="0" applyFont="1" applyFill="1" applyBorder="1"/>
    <xf numFmtId="0" fontId="18" fillId="25" borderId="24" xfId="0" applyFont="1" applyFill="1" applyBorder="1" applyAlignment="1">
      <alignment horizontal="center" vertical="center"/>
    </xf>
    <xf numFmtId="0" fontId="2" fillId="11" borderId="109" xfId="0" applyFont="1" applyFill="1" applyBorder="1"/>
    <xf numFmtId="0" fontId="37" fillId="11" borderId="102" xfId="0" applyFont="1" applyFill="1" applyBorder="1" applyAlignment="1">
      <alignment horizontal="center" vertical="center"/>
    </xf>
    <xf numFmtId="0" fontId="37" fillId="11" borderId="45" xfId="0" applyFont="1" applyFill="1" applyBorder="1" applyAlignment="1">
      <alignment horizontal="center" vertical="center"/>
    </xf>
    <xf numFmtId="0" fontId="39" fillId="11" borderId="102" xfId="0" applyFont="1" applyFill="1" applyBorder="1" applyAlignment="1">
      <alignment horizontal="center" vertical="center"/>
    </xf>
    <xf numFmtId="0" fontId="39" fillId="11" borderId="110" xfId="0" applyFont="1" applyFill="1" applyBorder="1" applyAlignment="1">
      <alignment horizontal="center" vertical="center"/>
    </xf>
    <xf numFmtId="0" fontId="0" fillId="53" borderId="72" xfId="0" applyFill="1" applyBorder="1" applyAlignment="1">
      <alignment horizontal="center" vertical="center" wrapText="1"/>
    </xf>
    <xf numFmtId="0" fontId="0" fillId="53" borderId="204" xfId="0" applyFill="1" applyBorder="1" applyAlignment="1">
      <alignment horizontal="center" vertical="center" wrapText="1"/>
    </xf>
    <xf numFmtId="0" fontId="0" fillId="53" borderId="67" xfId="0" applyFill="1" applyBorder="1" applyAlignment="1">
      <alignment horizontal="center" vertical="center" wrapText="1"/>
    </xf>
    <xf numFmtId="0" fontId="0" fillId="53" borderId="75" xfId="0" applyFill="1" applyBorder="1" applyAlignment="1">
      <alignment horizontal="center" vertical="center" wrapText="1"/>
    </xf>
    <xf numFmtId="0" fontId="0" fillId="50" borderId="72" xfId="0" applyFill="1" applyBorder="1" applyAlignment="1">
      <alignment horizontal="center" vertical="center" wrapText="1"/>
    </xf>
    <xf numFmtId="0" fontId="0" fillId="50" borderId="204" xfId="0" applyFill="1" applyBorder="1" applyAlignment="1">
      <alignment horizontal="center" vertical="center" wrapText="1"/>
    </xf>
    <xf numFmtId="0" fontId="0" fillId="50" borderId="137" xfId="0" applyFill="1" applyBorder="1" applyAlignment="1">
      <alignment horizontal="center" vertical="center" wrapText="1"/>
    </xf>
    <xf numFmtId="0" fontId="0" fillId="50" borderId="93" xfId="0" applyFill="1" applyBorder="1" applyAlignment="1">
      <alignment horizontal="center" vertical="center" wrapText="1"/>
    </xf>
    <xf numFmtId="0" fontId="25" fillId="9" borderId="46" xfId="0" applyFont="1" applyFill="1" applyBorder="1" applyAlignment="1">
      <alignment horizontal="center" vertical="center"/>
    </xf>
    <xf numFmtId="0" fontId="25" fillId="9" borderId="80" xfId="0" applyFont="1" applyFill="1" applyBorder="1" applyAlignment="1">
      <alignment horizontal="center" vertical="center"/>
    </xf>
    <xf numFmtId="0" fontId="25" fillId="11" borderId="46" xfId="0" applyFont="1" applyFill="1" applyBorder="1" applyAlignment="1">
      <alignment horizontal="center" vertical="center"/>
    </xf>
    <xf numFmtId="0" fontId="25" fillId="11" borderId="50" xfId="0" applyFont="1" applyFill="1" applyBorder="1" applyAlignment="1">
      <alignment horizontal="center" vertical="center"/>
    </xf>
    <xf numFmtId="0" fontId="25" fillId="11" borderId="102" xfId="0" applyFont="1" applyFill="1" applyBorder="1" applyAlignment="1">
      <alignment horizontal="center" vertical="center"/>
    </xf>
    <xf numFmtId="0" fontId="25" fillId="11" borderId="110" xfId="0" applyFont="1" applyFill="1" applyBorder="1" applyAlignment="1">
      <alignment horizontal="center" vertical="center"/>
    </xf>
    <xf numFmtId="0" fontId="25" fillId="11" borderId="45" xfId="0" applyFont="1" applyFill="1" applyBorder="1" applyAlignment="1">
      <alignment horizontal="center" vertical="center"/>
    </xf>
    <xf numFmtId="0" fontId="45" fillId="23" borderId="112" xfId="0" applyFont="1" applyFill="1" applyBorder="1" applyAlignment="1">
      <alignment horizontal="center" vertical="center" wrapText="1"/>
    </xf>
    <xf numFmtId="0" fontId="45" fillId="23" borderId="211" xfId="0" applyFont="1" applyFill="1" applyBorder="1" applyAlignment="1">
      <alignment horizontal="center" vertical="center" wrapText="1"/>
    </xf>
    <xf numFmtId="0" fontId="71" fillId="11" borderId="122" xfId="0" applyFont="1" applyFill="1" applyBorder="1" applyAlignment="1">
      <alignment horizontal="center" vertical="center"/>
    </xf>
    <xf numFmtId="0" fontId="71" fillId="11" borderId="112" xfId="0" applyFont="1" applyFill="1" applyBorder="1" applyAlignment="1">
      <alignment horizontal="center" vertical="center"/>
    </xf>
    <xf numFmtId="0" fontId="25" fillId="11" borderId="69" xfId="0" applyFont="1" applyFill="1" applyBorder="1" applyAlignment="1">
      <alignment horizontal="center" vertical="center"/>
    </xf>
    <xf numFmtId="0" fontId="25" fillId="11" borderId="107" xfId="0" applyFont="1" applyFill="1" applyBorder="1" applyAlignment="1">
      <alignment horizontal="center" vertical="center"/>
    </xf>
    <xf numFmtId="0" fontId="122" fillId="0" borderId="0" xfId="0" applyFont="1" applyAlignment="1">
      <alignment horizontal="center" vertical="center" wrapText="1"/>
    </xf>
    <xf numFmtId="0" fontId="45" fillId="23" borderId="122" xfId="0" applyFont="1" applyFill="1" applyBorder="1" applyAlignment="1">
      <alignment horizontal="center" vertical="center"/>
    </xf>
    <xf numFmtId="0" fontId="45" fillId="23" borderId="235" xfId="0" applyFont="1" applyFill="1" applyBorder="1" applyAlignment="1">
      <alignment horizontal="center" vertical="center"/>
    </xf>
    <xf numFmtId="10" fontId="45" fillId="23" borderId="112" xfId="1" applyNumberFormat="1" applyFont="1" applyFill="1" applyBorder="1" applyAlignment="1">
      <alignment horizontal="center" vertical="center"/>
    </xf>
    <xf numFmtId="10" fontId="45" fillId="23" borderId="211" xfId="1" applyNumberFormat="1" applyFont="1" applyFill="1" applyBorder="1" applyAlignment="1">
      <alignment horizontal="center" vertical="center"/>
    </xf>
    <xf numFmtId="0" fontId="124" fillId="9" borderId="102" xfId="2" applyFont="1" applyFill="1" applyBorder="1" applyAlignment="1">
      <alignment horizontal="center" vertical="center"/>
    </xf>
    <xf numFmtId="0" fontId="124" fillId="9" borderId="110" xfId="2" applyFont="1" applyFill="1" applyBorder="1" applyAlignment="1">
      <alignment horizontal="center" vertical="center"/>
    </xf>
    <xf numFmtId="0" fontId="124" fillId="9" borderId="45" xfId="2" applyFont="1" applyFill="1" applyBorder="1" applyAlignment="1">
      <alignment horizontal="center" vertical="center"/>
    </xf>
    <xf numFmtId="0" fontId="105" fillId="67" borderId="72" xfId="2" applyFont="1" applyFill="1" applyBorder="1" applyAlignment="1" applyProtection="1">
      <alignment horizontal="center" vertical="center"/>
      <protection locked="0"/>
    </xf>
    <xf numFmtId="0" fontId="105" fillId="67" borderId="67" xfId="2" applyFont="1" applyFill="1" applyBorder="1" applyAlignment="1" applyProtection="1">
      <alignment horizontal="center" vertical="center"/>
      <protection locked="0"/>
    </xf>
    <xf numFmtId="0" fontId="69" fillId="9" borderId="102" xfId="2" applyFont="1" applyFill="1" applyBorder="1" applyAlignment="1">
      <alignment horizontal="center" vertical="center"/>
    </xf>
    <xf numFmtId="0" fontId="69" fillId="9" borderId="110" xfId="2" applyFont="1" applyFill="1" applyBorder="1" applyAlignment="1">
      <alignment horizontal="center" vertical="center"/>
    </xf>
    <xf numFmtId="0" fontId="69" fillId="9" borderId="45" xfId="2" applyFont="1" applyFill="1" applyBorder="1" applyAlignment="1">
      <alignment horizontal="center" vertical="center"/>
    </xf>
    <xf numFmtId="0" fontId="54" fillId="67" borderId="137" xfId="2" applyFont="1" applyFill="1" applyBorder="1" applyAlignment="1" applyProtection="1">
      <alignment horizontal="center" vertical="center"/>
      <protection locked="0"/>
    </xf>
    <xf numFmtId="0" fontId="54" fillId="67" borderId="72" xfId="2" applyFont="1" applyFill="1" applyBorder="1" applyAlignment="1" applyProtection="1">
      <alignment horizontal="center" vertical="center"/>
      <protection locked="0"/>
    </xf>
    <xf numFmtId="0" fontId="54" fillId="67" borderId="67" xfId="2" applyFont="1" applyFill="1" applyBorder="1" applyAlignment="1" applyProtection="1">
      <alignment horizontal="center" vertical="center"/>
      <protection locked="0"/>
    </xf>
    <xf numFmtId="0" fontId="103" fillId="0" borderId="140" xfId="2" applyFont="1" applyBorder="1" applyAlignment="1">
      <alignment horizontal="center" vertical="center"/>
    </xf>
    <xf numFmtId="0" fontId="103" fillId="0" borderId="66" xfId="2" applyFont="1" applyBorder="1" applyAlignment="1">
      <alignment horizontal="center" vertical="center"/>
    </xf>
    <xf numFmtId="0" fontId="103" fillId="0" borderId="140" xfId="2" applyFont="1" applyBorder="1" applyAlignment="1">
      <alignment horizontal="left" vertical="center"/>
    </xf>
    <xf numFmtId="0" fontId="103" fillId="0" borderId="185" xfId="2" applyFont="1" applyBorder="1" applyAlignment="1">
      <alignment horizontal="left" vertical="center"/>
    </xf>
    <xf numFmtId="0" fontId="103" fillId="0" borderId="207" xfId="2" applyFont="1" applyBorder="1" applyAlignment="1">
      <alignment horizontal="left" vertical="center"/>
    </xf>
    <xf numFmtId="0" fontId="103" fillId="0" borderId="242" xfId="2" applyFont="1" applyBorder="1" applyAlignment="1">
      <alignment horizontal="left" vertical="center"/>
    </xf>
    <xf numFmtId="0" fontId="103" fillId="0" borderId="0" xfId="2" applyFont="1" applyBorder="1" applyAlignment="1">
      <alignment horizontal="left" vertical="center"/>
    </xf>
    <xf numFmtId="0" fontId="103" fillId="0" borderId="241" xfId="2" applyFont="1" applyBorder="1" applyAlignment="1">
      <alignment horizontal="left" vertical="center"/>
    </xf>
    <xf numFmtId="0" fontId="103" fillId="14" borderId="140" xfId="2" applyFont="1" applyFill="1" applyBorder="1" applyAlignment="1">
      <alignment horizontal="left" vertical="center"/>
    </xf>
    <xf numFmtId="0" fontId="103" fillId="14" borderId="185" xfId="2" applyFont="1" applyFill="1" applyBorder="1" applyAlignment="1">
      <alignment horizontal="left" vertical="center"/>
    </xf>
    <xf numFmtId="0" fontId="103" fillId="14" borderId="207" xfId="2" applyFont="1" applyFill="1" applyBorder="1" applyAlignment="1">
      <alignment horizontal="left" vertical="center"/>
    </xf>
    <xf numFmtId="0" fontId="104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103" fillId="14" borderId="200" xfId="2" applyFont="1" applyFill="1" applyBorder="1" applyAlignment="1">
      <alignment horizontal="center" vertical="center"/>
    </xf>
    <xf numFmtId="0" fontId="103" fillId="14" borderId="66" xfId="2" applyFont="1" applyFill="1" applyBorder="1" applyAlignment="1">
      <alignment horizontal="left" vertical="center"/>
    </xf>
    <xf numFmtId="0" fontId="103" fillId="14" borderId="240" xfId="2" applyFont="1" applyFill="1" applyBorder="1" applyAlignment="1">
      <alignment horizontal="left" vertical="center"/>
    </xf>
    <xf numFmtId="0" fontId="103" fillId="14" borderId="101" xfId="2" applyFont="1" applyFill="1" applyBorder="1" applyAlignment="1">
      <alignment horizontal="left" vertical="center"/>
    </xf>
    <xf numFmtId="0" fontId="112" fillId="19" borderId="53" xfId="0" applyFont="1" applyFill="1" applyBorder="1" applyAlignment="1">
      <alignment horizontal="center" vertical="center"/>
    </xf>
    <xf numFmtId="0" fontId="112" fillId="19" borderId="224" xfId="0" applyFont="1" applyFill="1" applyBorder="1" applyAlignment="1">
      <alignment horizontal="center" vertical="center"/>
    </xf>
    <xf numFmtId="0" fontId="112" fillId="19" borderId="258" xfId="0" applyFont="1" applyFill="1" applyBorder="1" applyAlignment="1">
      <alignment horizontal="center" vertical="center"/>
    </xf>
    <xf numFmtId="167" fontId="109" fillId="0" borderId="0" xfId="0" applyNumberFormat="1" applyFont="1" applyAlignment="1">
      <alignment horizontal="center" vertical="center"/>
    </xf>
    <xf numFmtId="0" fontId="119" fillId="0" borderId="0" xfId="0" applyFont="1" applyAlignment="1">
      <alignment horizontal="center"/>
    </xf>
    <xf numFmtId="168" fontId="120" fillId="0" borderId="0" xfId="0" applyNumberFormat="1" applyFont="1" applyAlignment="1">
      <alignment horizontal="center" vertical="center"/>
    </xf>
    <xf numFmtId="0" fontId="96" fillId="16" borderId="67" xfId="0" applyFont="1" applyFill="1" applyBorder="1" applyAlignment="1">
      <alignment horizontal="center" vertical="center"/>
    </xf>
    <xf numFmtId="0" fontId="96" fillId="16" borderId="78" xfId="0" applyFont="1" applyFill="1" applyBorder="1" applyAlignment="1">
      <alignment horizontal="center" vertical="center"/>
    </xf>
    <xf numFmtId="164" fontId="112" fillId="19" borderId="46" xfId="0" applyNumberFormat="1" applyFont="1" applyFill="1" applyBorder="1" applyAlignment="1">
      <alignment horizontal="center" vertical="center"/>
    </xf>
    <xf numFmtId="164" fontId="112" fillId="19" borderId="47" xfId="0" applyNumberFormat="1" applyFont="1" applyFill="1" applyBorder="1" applyAlignment="1">
      <alignment horizontal="center" vertical="center"/>
    </xf>
    <xf numFmtId="0" fontId="112" fillId="19" borderId="48" xfId="0" applyFont="1" applyFill="1" applyBorder="1" applyAlignment="1">
      <alignment horizontal="center" vertical="center"/>
    </xf>
    <xf numFmtId="0" fontId="112" fillId="19" borderId="49" xfId="0" applyFont="1" applyFill="1" applyBorder="1" applyAlignment="1">
      <alignment horizontal="center" vertical="center"/>
    </xf>
    <xf numFmtId="0" fontId="112" fillId="19" borderId="52" xfId="0" applyFont="1" applyFill="1" applyBorder="1" applyAlignment="1">
      <alignment horizontal="center" vertical="center"/>
    </xf>
    <xf numFmtId="0" fontId="112" fillId="19" borderId="94" xfId="0" applyFont="1" applyFill="1" applyBorder="1" applyAlignment="1">
      <alignment horizontal="center" vertical="center"/>
    </xf>
    <xf numFmtId="0" fontId="100" fillId="11" borderId="46" xfId="0" applyFont="1" applyFill="1" applyBorder="1" applyAlignment="1">
      <alignment horizontal="center" vertical="center" wrapText="1"/>
    </xf>
    <xf numFmtId="0" fontId="100" fillId="11" borderId="56" xfId="0" applyFont="1" applyFill="1" applyBorder="1" applyAlignment="1">
      <alignment horizontal="center" vertical="center"/>
    </xf>
    <xf numFmtId="0" fontId="100" fillId="11" borderId="50" xfId="0" applyFont="1" applyFill="1" applyBorder="1" applyAlignment="1">
      <alignment horizontal="center" vertical="center"/>
    </xf>
    <xf numFmtId="0" fontId="100" fillId="11" borderId="57" xfId="0" applyFont="1" applyFill="1" applyBorder="1" applyAlignment="1">
      <alignment horizontal="center" vertical="center"/>
    </xf>
    <xf numFmtId="0" fontId="100" fillId="11" borderId="47" xfId="0" applyFont="1" applyFill="1" applyBorder="1" applyAlignment="1">
      <alignment horizontal="center" vertical="center"/>
    </xf>
    <xf numFmtId="0" fontId="100" fillId="11" borderId="51" xfId="0" applyFont="1" applyFill="1" applyBorder="1" applyAlignment="1">
      <alignment horizontal="center" vertical="center"/>
    </xf>
    <xf numFmtId="0" fontId="97" fillId="0" borderId="0" xfId="0" applyFont="1" applyAlignment="1">
      <alignment horizontal="center" vertical="center"/>
    </xf>
    <xf numFmtId="10" fontId="111" fillId="0" borderId="50" xfId="0" applyNumberFormat="1" applyFont="1" applyBorder="1" applyAlignment="1">
      <alignment horizontal="center" vertical="center"/>
    </xf>
    <xf numFmtId="10" fontId="111" fillId="0" borderId="57" xfId="0" applyNumberFormat="1" applyFont="1" applyBorder="1" applyAlignment="1">
      <alignment horizontal="center" vertical="center"/>
    </xf>
    <xf numFmtId="10" fontId="111" fillId="0" borderId="51" xfId="0" applyNumberFormat="1" applyFont="1" applyBorder="1" applyAlignment="1">
      <alignment horizontal="center" vertical="center"/>
    </xf>
    <xf numFmtId="164" fontId="112" fillId="19" borderId="70" xfId="0" applyNumberFormat="1" applyFont="1" applyFill="1" applyBorder="1" applyAlignment="1">
      <alignment horizontal="center" vertical="center"/>
    </xf>
    <xf numFmtId="164" fontId="112" fillId="19" borderId="138" xfId="0" applyNumberFormat="1" applyFont="1" applyFill="1" applyBorder="1" applyAlignment="1">
      <alignment horizontal="center" vertical="center"/>
    </xf>
    <xf numFmtId="164" fontId="112" fillId="19" borderId="79" xfId="0" applyNumberFormat="1" applyFont="1" applyFill="1" applyBorder="1" applyAlignment="1">
      <alignment horizontal="center" vertical="center"/>
    </xf>
    <xf numFmtId="0" fontId="112" fillId="19" borderId="223" xfId="0" applyFont="1" applyFill="1" applyBorder="1" applyAlignment="1">
      <alignment horizontal="center" vertical="center"/>
    </xf>
    <xf numFmtId="0" fontId="90" fillId="26" borderId="102" xfId="0" applyFont="1" applyFill="1" applyBorder="1" applyAlignment="1">
      <alignment horizontal="center" vertical="center"/>
    </xf>
    <xf numFmtId="0" fontId="91" fillId="11" borderId="184" xfId="0" applyFont="1" applyFill="1" applyBorder="1"/>
    <xf numFmtId="0" fontId="91" fillId="46" borderId="102" xfId="0" applyFont="1" applyFill="1" applyBorder="1" applyAlignment="1">
      <alignment horizontal="center" vertical="center"/>
    </xf>
    <xf numFmtId="0" fontId="91" fillId="46" borderId="110" xfId="0" applyFont="1" applyFill="1" applyBorder="1" applyAlignment="1">
      <alignment horizontal="center" vertical="center"/>
    </xf>
    <xf numFmtId="0" fontId="91" fillId="46" borderId="45" xfId="0" applyFont="1" applyFill="1" applyBorder="1" applyAlignment="1">
      <alignment horizontal="center" vertical="center"/>
    </xf>
    <xf numFmtId="0" fontId="87" fillId="26" borderId="72" xfId="0" applyFont="1" applyFill="1" applyBorder="1" applyAlignment="1">
      <alignment horizontal="center" vertical="center"/>
    </xf>
    <xf numFmtId="0" fontId="87" fillId="26" borderId="204" xfId="0" applyFont="1" applyFill="1" applyBorder="1" applyAlignment="1">
      <alignment horizontal="center" vertical="center"/>
    </xf>
    <xf numFmtId="0" fontId="96" fillId="16" borderId="237" xfId="0" applyFont="1" applyFill="1" applyBorder="1" applyAlignment="1">
      <alignment horizontal="center" vertical="center"/>
    </xf>
    <xf numFmtId="0" fontId="96" fillId="16" borderId="238" xfId="0" applyFont="1" applyFill="1" applyBorder="1" applyAlignment="1">
      <alignment horizontal="center" vertical="center"/>
    </xf>
    <xf numFmtId="0" fontId="100" fillId="11" borderId="102" xfId="0" applyFont="1" applyFill="1" applyBorder="1" applyAlignment="1">
      <alignment horizontal="center" vertical="center"/>
    </xf>
    <xf numFmtId="0" fontId="100" fillId="11" borderId="45" xfId="0" applyFont="1" applyFill="1" applyBorder="1" applyAlignment="1">
      <alignment horizontal="center" vertical="center"/>
    </xf>
    <xf numFmtId="0" fontId="110" fillId="0" borderId="46" xfId="0" applyFont="1" applyBorder="1" applyAlignment="1">
      <alignment horizontal="center" vertical="center"/>
    </xf>
    <xf numFmtId="0" fontId="110" fillId="0" borderId="56" xfId="0" applyFont="1" applyBorder="1" applyAlignment="1">
      <alignment horizontal="center" vertical="center"/>
    </xf>
    <xf numFmtId="0" fontId="110" fillId="0" borderId="47" xfId="0" applyFont="1" applyBorder="1" applyAlignment="1">
      <alignment horizontal="center" vertical="center"/>
    </xf>
    <xf numFmtId="0" fontId="110" fillId="0" borderId="48" xfId="0" applyFont="1" applyBorder="1" applyAlignment="1">
      <alignment horizontal="center" vertical="center"/>
    </xf>
    <xf numFmtId="0" fontId="110" fillId="0" borderId="34" xfId="0" applyFont="1" applyBorder="1" applyAlignment="1">
      <alignment horizontal="center" vertical="center"/>
    </xf>
    <xf numFmtId="0" fontId="110" fillId="0" borderId="49" xfId="0" applyFont="1" applyBorder="1" applyAlignment="1">
      <alignment horizontal="center" vertical="center"/>
    </xf>
    <xf numFmtId="0" fontId="100" fillId="0" borderId="48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 wrapText="1"/>
    </xf>
    <xf numFmtId="0" fontId="100" fillId="0" borderId="49" xfId="0" applyFont="1" applyBorder="1" applyAlignment="1">
      <alignment horizontal="center" vertical="center" wrapText="1"/>
    </xf>
    <xf numFmtId="0" fontId="45" fillId="9" borderId="102" xfId="0" applyFont="1" applyFill="1" applyBorder="1" applyAlignment="1">
      <alignment horizontal="center" vertical="center"/>
    </xf>
    <xf numFmtId="0" fontId="45" fillId="9" borderId="110" xfId="0" applyFont="1" applyFill="1" applyBorder="1" applyAlignment="1">
      <alignment horizontal="center" vertical="center"/>
    </xf>
    <xf numFmtId="0" fontId="45" fillId="9" borderId="45" xfId="0" applyFont="1" applyFill="1" applyBorder="1" applyAlignment="1">
      <alignment horizontal="center" vertical="center"/>
    </xf>
    <xf numFmtId="0" fontId="37" fillId="9" borderId="102" xfId="0" applyFont="1" applyFill="1" applyBorder="1" applyAlignment="1">
      <alignment horizontal="center" vertical="center"/>
    </xf>
    <xf numFmtId="0" fontId="37" fillId="9" borderId="110" xfId="0" applyFont="1" applyFill="1" applyBorder="1" applyAlignment="1">
      <alignment horizontal="center" vertical="center"/>
    </xf>
    <xf numFmtId="0" fontId="37" fillId="9" borderId="45" xfId="0" applyFont="1" applyFill="1" applyBorder="1" applyAlignment="1">
      <alignment horizontal="center" vertical="center"/>
    </xf>
    <xf numFmtId="0" fontId="34" fillId="14" borderId="76" xfId="0" applyFont="1" applyFill="1" applyBorder="1" applyAlignment="1">
      <alignment horizontal="center" vertical="center" wrapText="1"/>
    </xf>
    <xf numFmtId="0" fontId="34" fillId="14" borderId="0" xfId="0" applyFont="1" applyFill="1" applyAlignment="1">
      <alignment horizontal="center" vertical="center" wrapText="1"/>
    </xf>
    <xf numFmtId="0" fontId="34" fillId="12" borderId="0" xfId="0" applyFont="1" applyFill="1" applyAlignment="1">
      <alignment horizontal="center" vertical="center" wrapText="1"/>
    </xf>
    <xf numFmtId="0" fontId="49" fillId="48" borderId="0" xfId="0" applyFont="1" applyFill="1" applyAlignment="1">
      <alignment horizontal="center" vertical="center" wrapText="1"/>
    </xf>
    <xf numFmtId="0" fontId="113" fillId="14" borderId="76" xfId="0" applyFont="1" applyFill="1" applyBorder="1" applyAlignment="1">
      <alignment horizontal="center" vertical="center" wrapText="1"/>
    </xf>
    <xf numFmtId="0" fontId="113" fillId="14" borderId="0" xfId="0" applyFont="1" applyFill="1" applyBorder="1" applyAlignment="1">
      <alignment horizontal="center" vertical="center" wrapText="1"/>
    </xf>
    <xf numFmtId="0" fontId="49" fillId="50" borderId="0" xfId="0" applyFont="1" applyFill="1" applyAlignment="1">
      <alignment horizontal="center" vertical="center" wrapText="1"/>
    </xf>
    <xf numFmtId="0" fontId="65" fillId="9" borderId="55" xfId="0" applyFont="1" applyFill="1" applyBorder="1" applyAlignment="1">
      <alignment horizontal="center" vertical="center" wrapText="1"/>
    </xf>
    <xf numFmtId="0" fontId="65" fillId="9" borderId="63" xfId="0" applyFont="1" applyFill="1" applyBorder="1" applyAlignment="1">
      <alignment horizontal="center" vertical="center" wrapText="1"/>
    </xf>
    <xf numFmtId="0" fontId="37" fillId="9" borderId="76" xfId="0" applyFont="1" applyFill="1" applyBorder="1" applyAlignment="1">
      <alignment horizontal="center" vertical="center"/>
    </xf>
    <xf numFmtId="0" fontId="37" fillId="9" borderId="204" xfId="0" applyFont="1" applyFill="1" applyBorder="1" applyAlignment="1">
      <alignment horizontal="center" vertical="center"/>
    </xf>
  </cellXfs>
  <cellStyles count="5">
    <cellStyle name="Normal" xfId="0" builtinId="0"/>
    <cellStyle name="Normal 2" xfId="2" xr:uid="{F2D815EC-0B5C-4DB7-994B-E332FD4A4F0F}"/>
    <cellStyle name="Normal 3" xfId="3" xr:uid="{0EE214B6-5317-475D-A6F6-DB0EF38A7103}"/>
    <cellStyle name="Pourcentage" xfId="1" builtinId="5"/>
    <cellStyle name="Pourcentage 2" xfId="4" xr:uid="{6258632B-52B5-4567-B37C-933BDD7E69F2}"/>
  </cellStyles>
  <dxfs count="482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solid">
          <bgColor theme="0" tint="-4.9989318521683403E-2"/>
        </patternFill>
      </fill>
    </dxf>
    <dxf>
      <font>
        <color theme="5" tint="-0.499984740745262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ont>
        <b val="0"/>
        <i val="0"/>
      </font>
      <fill>
        <patternFill>
          <bgColor theme="7" tint="0.79998168889431442"/>
        </patternFill>
      </fill>
    </dxf>
    <dxf>
      <font>
        <b val="0"/>
        <i val="0"/>
      </font>
      <fill>
        <patternFill>
          <bgColor theme="7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 val="0"/>
        <i val="0"/>
      </font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66FF33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theme="0" tint="-0.14996795556505021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C4D7EE"/>
      <color rgb="FF333333"/>
      <color rgb="FFE6EEEE"/>
      <color rgb="FFFFCCFF"/>
      <color rgb="FFE1C1D1"/>
      <color rgb="FFFFFFFF"/>
      <color rgb="FFCCD6E6"/>
      <color rgb="FFE6EAF0"/>
      <color rgb="FF66FF33"/>
      <color rgb="FFDAF1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F7B4AE"/>
              </a:solidFill>
              <a:ln cmpd="sng">
                <a:solidFill>
                  <a:srgbClr val="F7B4A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AC5C-4A2A-BFCA-CB41D856AAFC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C514-4C24-B867-D570729FAC98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514-4C24-B867-D570729FAC98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C514-4C24-B867-D570729FAC98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514-4C24-B867-D570729FAC98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C514-4C24-B867-D570729FAC98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514-4C24-B867-D570729FAC98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C514-4C24-B867-D570729FAC98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514-4C24-B867-D570729FAC98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C514-4C24-B867-D570729FA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Synthèse!$L$2:$M$2</c:f>
              <c:strCache>
                <c:ptCount val="2"/>
                <c:pt idx="0">
                  <c:v>M. Pierre-Yves 
TIERCE</c:v>
                </c:pt>
                <c:pt idx="1">
                  <c:v>Mme Isabelle 
FARNET RISSO</c:v>
                </c:pt>
              </c:strCache>
            </c:strRef>
          </c:cat>
          <c:val>
            <c:numRef>
              <c:f>Synthèse!$L$16:$M$16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sz="1800" b="0">
                <a:solidFill>
                  <a:srgbClr val="757575"/>
                </a:solidFill>
                <a:latin typeface="+mn-lt"/>
              </a:rPr>
              <a:t>Taux de participation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E6-465A-A140-56AAFC05372E}"/>
            </c:ext>
          </c:extLst>
        </c:ser>
        <c:ser>
          <c:idx val="11"/>
          <c:order val="1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4E6-465A-A140-56AAFC05372E}"/>
            </c:ext>
          </c:extLst>
        </c:ser>
        <c:ser>
          <c:idx val="10"/>
          <c:order val="2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4E6-465A-A140-56AAFC05372E}"/>
            </c:ext>
          </c:extLst>
        </c:ser>
        <c:ser>
          <c:idx val="9"/>
          <c:order val="3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E6-465A-A140-56AAFC05372E}"/>
            </c:ext>
          </c:extLst>
        </c:ser>
        <c:ser>
          <c:idx val="8"/>
          <c:order val="4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4E6-465A-A140-56AAFC05372E}"/>
            </c:ext>
          </c:extLst>
        </c:ser>
        <c:ser>
          <c:idx val="7"/>
          <c:order val="5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4E6-465A-A140-56AAFC05372E}"/>
            </c:ext>
          </c:extLst>
        </c:ser>
        <c:ser>
          <c:idx val="6"/>
          <c:order val="6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4E6-465A-A140-56AAFC05372E}"/>
            </c:ext>
          </c:extLst>
        </c:ser>
        <c:ser>
          <c:idx val="5"/>
          <c:order val="7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E6-465A-A140-56AAFC05372E}"/>
            </c:ext>
          </c:extLst>
        </c:ser>
        <c:ser>
          <c:idx val="4"/>
          <c:order val="8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E6-465A-A140-56AAFC05372E}"/>
            </c:ext>
          </c:extLst>
        </c:ser>
        <c:ser>
          <c:idx val="3"/>
          <c:order val="9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E6-465A-A140-56AAFC05372E}"/>
            </c:ext>
          </c:extLst>
        </c:ser>
        <c:ser>
          <c:idx val="2"/>
          <c:order val="10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E6-465A-A140-56AAFC05372E}"/>
            </c:ext>
          </c:extLst>
        </c:ser>
        <c:ser>
          <c:idx val="1"/>
          <c:order val="11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E6-465A-A140-56AAFC05372E}"/>
            </c:ext>
          </c:extLst>
        </c:ser>
        <c:ser>
          <c:idx val="0"/>
          <c:order val="12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E6-465A-A140-56AAFC05372E}"/>
            </c:ext>
          </c:extLst>
        </c:ser>
        <c:ser>
          <c:idx val="13"/>
          <c:order val="13"/>
          <c:tx>
            <c:v>Total - 1er tour</c:v>
          </c:tx>
          <c:spPr>
            <a:ln w="31750" cap="rnd" cmpd="sng" algn="ctr">
              <a:solidFill>
                <a:srgbClr val="40404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chemeClr val="bg1">
                  <a:lumMod val="50000"/>
                  <a:alpha val="80000"/>
                </a:schemeClr>
              </a:solidFill>
              <a:ln w="31750" cap="rnd" cmpd="sng" algn="ctr">
                <a:solidFill>
                  <a:srgbClr val="404040">
                    <a:alpha val="50000"/>
                  </a:srgbClr>
                </a:solidFill>
                <a:prstDash val="dash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horaire'!$T$38:$T$50</c15:sqref>
                  </c15:fullRef>
                </c:ext>
              </c:extLst>
              <c:f>'Participation horaire'!$T$38:$T$48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horaire'!$AG$38:$AG$50</c15:sqref>
                  </c15:fullRef>
                </c:ext>
              </c:extLst>
              <c:f>'Participation horaire'!$AG$38:$AG$48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4.8272482234746387E-2</c:v>
                </c:pt>
                <c:pt idx="2">
                  <c:v>0.11455525606469003</c:v>
                </c:pt>
                <c:pt idx="3">
                  <c:v>0.20779220779220781</c:v>
                </c:pt>
                <c:pt idx="4">
                  <c:v>0.30531732418524871</c:v>
                </c:pt>
                <c:pt idx="5">
                  <c:v>0.36535162950257288</c:v>
                </c:pt>
                <c:pt idx="6">
                  <c:v>0.4164420485175202</c:v>
                </c:pt>
                <c:pt idx="7">
                  <c:v>0.47096299926488605</c:v>
                </c:pt>
                <c:pt idx="8">
                  <c:v>0.5204606714040676</c:v>
                </c:pt>
                <c:pt idx="9">
                  <c:v>0.54949767213918155</c:v>
                </c:pt>
                <c:pt idx="10">
                  <c:v>0.57363391325655477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381-4D9C-87CD-6FB0CF0F0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Affluence horaire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barChart>
        <c:barDir val="col"/>
        <c:grouping val="clustered"/>
        <c:varyColors val="1"/>
        <c:ser>
          <c:idx val="12"/>
          <c:order val="1"/>
          <c:tx>
            <c:strRef>
              <c:f>'Participation horaire'!$G$53</c:f>
              <c:strCache>
                <c:ptCount val="1"/>
                <c:pt idx="0">
                  <c:v>Bureau 1</c:v>
                </c:pt>
              </c:strCache>
            </c:strRef>
          </c:tx>
          <c:spPr>
            <a:solidFill>
              <a:schemeClr val="accent1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horaire'!$G$54:$G$63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1-47A9-AAA9-4D8BFF0DF9E1}"/>
            </c:ext>
          </c:extLst>
        </c:ser>
        <c:ser>
          <c:idx val="11"/>
          <c:order val="2"/>
          <c:tx>
            <c:strRef>
              <c:f>'Participation horaire'!$H$53</c:f>
              <c:strCache>
                <c:ptCount val="1"/>
                <c:pt idx="0">
                  <c:v>Bureau 2</c:v>
                </c:pt>
              </c:strCache>
            </c:strRef>
          </c:tx>
          <c:spPr>
            <a:solidFill>
              <a:schemeClr val="accent2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horaire'!$H$54:$H$63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71-47A9-AAA9-4D8BFF0DF9E1}"/>
            </c:ext>
          </c:extLst>
        </c:ser>
        <c:ser>
          <c:idx val="10"/>
          <c:order val="3"/>
          <c:tx>
            <c:strRef>
              <c:f>'Participation horaire'!$I$53</c:f>
              <c:strCache>
                <c:ptCount val="1"/>
                <c:pt idx="0">
                  <c:v>Bureau 3</c:v>
                </c:pt>
              </c:strCache>
            </c:strRef>
          </c:tx>
          <c:spPr>
            <a:solidFill>
              <a:schemeClr val="accent3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horaire'!$I$54:$I$63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71-47A9-AAA9-4D8BFF0DF9E1}"/>
            </c:ext>
          </c:extLst>
        </c:ser>
        <c:ser>
          <c:idx val="9"/>
          <c:order val="4"/>
          <c:tx>
            <c:strRef>
              <c:f>'Participation horaire'!$J$53</c:f>
              <c:strCache>
                <c:ptCount val="1"/>
                <c:pt idx="0">
                  <c:v>Bureau 4</c:v>
                </c:pt>
              </c:strCache>
            </c:strRef>
          </c:tx>
          <c:spPr>
            <a:solidFill>
              <a:schemeClr val="accent4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horaire'!$J$54:$J$63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71-47A9-AAA9-4D8BFF0DF9E1}"/>
            </c:ext>
          </c:extLst>
        </c:ser>
        <c:ser>
          <c:idx val="8"/>
          <c:order val="5"/>
          <c:tx>
            <c:strRef>
              <c:f>'Participation horaire'!$K$53</c:f>
              <c:strCache>
                <c:ptCount val="1"/>
                <c:pt idx="0">
                  <c:v>Bureau 5</c:v>
                </c:pt>
              </c:strCache>
            </c:strRef>
          </c:tx>
          <c:spPr>
            <a:solidFill>
              <a:schemeClr val="accent5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horaire'!$K$54:$K$63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71-47A9-AAA9-4D8BFF0DF9E1}"/>
            </c:ext>
          </c:extLst>
        </c:ser>
        <c:ser>
          <c:idx val="7"/>
          <c:order val="6"/>
          <c:tx>
            <c:strRef>
              <c:f>'Participation horaire'!$L$53</c:f>
              <c:strCache>
                <c:ptCount val="1"/>
                <c:pt idx="0">
                  <c:v>Bureau 6</c:v>
                </c:pt>
              </c:strCache>
            </c:strRef>
          </c:tx>
          <c:spPr>
            <a:solidFill>
              <a:schemeClr val="accent6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horaire'!$L$54:$L$63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71-47A9-AAA9-4D8BFF0DF9E1}"/>
            </c:ext>
          </c:extLst>
        </c:ser>
        <c:ser>
          <c:idx val="6"/>
          <c:order val="7"/>
          <c:tx>
            <c:strRef>
              <c:f>'Participation horaire'!$M$53</c:f>
              <c:strCache>
                <c:ptCount val="1"/>
                <c:pt idx="0">
                  <c:v>Bureau 7</c:v>
                </c:pt>
              </c:strCache>
            </c:strRef>
          </c:tx>
          <c:spPr>
            <a:solidFill>
              <a:schemeClr val="accent1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horaire'!$M$54:$M$63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71-47A9-AAA9-4D8BFF0DF9E1}"/>
            </c:ext>
          </c:extLst>
        </c:ser>
        <c:ser>
          <c:idx val="5"/>
          <c:order val="8"/>
          <c:tx>
            <c:strRef>
              <c:f>'Participation horaire'!$N$53</c:f>
              <c:strCache>
                <c:ptCount val="1"/>
                <c:pt idx="0">
                  <c:v>Bureau 8</c:v>
                </c:pt>
              </c:strCache>
            </c:strRef>
          </c:tx>
          <c:spPr>
            <a:solidFill>
              <a:schemeClr val="accent2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horaire'!$N$54:$N$63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71-47A9-AAA9-4D8BFF0DF9E1}"/>
            </c:ext>
          </c:extLst>
        </c:ser>
        <c:ser>
          <c:idx val="4"/>
          <c:order val="9"/>
          <c:tx>
            <c:strRef>
              <c:f>'Participation horaire'!$O$53</c:f>
              <c:strCache>
                <c:ptCount val="1"/>
                <c:pt idx="0">
                  <c:v>Bureau 9</c:v>
                </c:pt>
              </c:strCache>
            </c:strRef>
          </c:tx>
          <c:spPr>
            <a:solidFill>
              <a:schemeClr val="accent3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horaire'!$O$54:$O$63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71-47A9-AAA9-4D8BFF0DF9E1}"/>
            </c:ext>
          </c:extLst>
        </c:ser>
        <c:ser>
          <c:idx val="3"/>
          <c:order val="10"/>
          <c:tx>
            <c:strRef>
              <c:f>'Participation horaire'!$P$53</c:f>
              <c:strCache>
                <c:ptCount val="1"/>
                <c:pt idx="0">
                  <c:v>Bureau 10</c:v>
                </c:pt>
              </c:strCache>
            </c:strRef>
          </c:tx>
          <c:spPr>
            <a:solidFill>
              <a:schemeClr val="accent4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horaire'!$P$54:$P$63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71-47A9-AAA9-4D8BFF0DF9E1}"/>
            </c:ext>
          </c:extLst>
        </c:ser>
        <c:ser>
          <c:idx val="2"/>
          <c:order val="11"/>
          <c:tx>
            <c:strRef>
              <c:f>'Participation horaire'!$Q$53</c:f>
              <c:strCache>
                <c:ptCount val="1"/>
                <c:pt idx="0">
                  <c:v>Bureau 11</c:v>
                </c:pt>
              </c:strCache>
            </c:strRef>
          </c:tx>
          <c:spPr>
            <a:solidFill>
              <a:schemeClr val="accent5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horaire'!$Q$54:$Q$63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71-47A9-AAA9-4D8BFF0DF9E1}"/>
            </c:ext>
          </c:extLst>
        </c:ser>
        <c:ser>
          <c:idx val="1"/>
          <c:order val="12"/>
          <c:tx>
            <c:strRef>
              <c:f>'Participation horaire'!$R$53</c:f>
              <c:strCache>
                <c:ptCount val="1"/>
                <c:pt idx="0">
                  <c:v>Bureau 12</c:v>
                </c:pt>
              </c:strCache>
            </c:strRef>
          </c:tx>
          <c:spPr>
            <a:solidFill>
              <a:schemeClr val="accent6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horaire'!$R$54:$R$63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71-47A9-AAA9-4D8BFF0DF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lineChart>
        <c:grouping val="standard"/>
        <c:varyColors val="1"/>
        <c:ser>
          <c:idx val="0"/>
          <c:order val="0"/>
          <c:tx>
            <c:strRef>
              <c:f>'Participation horaire'!$S$53</c:f>
              <c:strCache>
                <c:ptCount val="1"/>
                <c:pt idx="0">
                  <c:v>Total</c:v>
                </c:pt>
              </c:strCache>
            </c:strRef>
          </c:tx>
          <c:spPr>
            <a:ln w="444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horaire'!$S$54:$S$63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C71-47A9-AAA9-4D8BFF0DF9E1}"/>
            </c:ext>
          </c:extLst>
        </c:ser>
        <c:ser>
          <c:idx val="13"/>
          <c:order val="13"/>
          <c:tx>
            <c:v>1er tour</c:v>
          </c:tx>
          <c:spPr>
            <a:ln w="31750"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dPt>
            <c:idx val="9"/>
            <c:bubble3D val="0"/>
            <c:spPr>
              <a:ln w="31750">
                <a:solidFill>
                  <a:schemeClr val="bg1">
                    <a:lumMod val="50000"/>
                    <a:alpha val="60000"/>
                  </a:schemeClr>
                </a:solidFill>
                <a:prstDash val="dash"/>
              </a:ln>
            </c:spPr>
            <c:extLst>
              <c:ext xmlns:c16="http://schemas.microsoft.com/office/drawing/2014/chart" uri="{C3380CC4-5D6E-409C-BE32-E72D297353CC}">
                <c16:uniqueId val="{00000001-4409-4024-A379-ED44EFC990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>
                        <a:alpha val="60000"/>
                      </a:schemeClr>
                    </a:solidFill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horaire'!$AG$54:$AG$63</c:f>
              <c:numCache>
                <c:formatCode>General</c:formatCode>
                <c:ptCount val="10"/>
                <c:pt idx="0">
                  <c:v>394</c:v>
                </c:pt>
                <c:pt idx="1">
                  <c:v>545</c:v>
                </c:pt>
                <c:pt idx="2">
                  <c:v>757</c:v>
                </c:pt>
                <c:pt idx="3">
                  <c:v>796</c:v>
                </c:pt>
                <c:pt idx="4">
                  <c:v>470</c:v>
                </c:pt>
                <c:pt idx="5">
                  <c:v>437</c:v>
                </c:pt>
                <c:pt idx="6">
                  <c:v>445</c:v>
                </c:pt>
                <c:pt idx="7">
                  <c:v>404</c:v>
                </c:pt>
                <c:pt idx="8">
                  <c:v>237</c:v>
                </c:pt>
                <c:pt idx="9">
                  <c:v>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9-4024-A379-ED44EFC99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7557040"/>
        <c:axId val="1797558000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  <c:valAx>
        <c:axId val="17975580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/>
        </c:spPr>
        <c:crossAx val="1797557040"/>
        <c:crosses val="max"/>
        <c:crossBetween val="between"/>
      </c:valAx>
      <c:catAx>
        <c:axId val="1797557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97558000"/>
        <c:crosses val="autoZero"/>
        <c:auto val="1"/>
        <c:lblAlgn val="ctr"/>
        <c:lblOffset val="100"/>
        <c:noMultiLvlLbl val="0"/>
      </c:catAx>
    </c:plotArea>
    <c:legend>
      <c:legendPos val="r"/>
      <c:overlay val="0"/>
      <c:spPr>
        <a:ln>
          <a:solidFill>
            <a:srgbClr val="000000">
              <a:alpha val="50000"/>
            </a:srgbClr>
          </a:solidFill>
        </a:ln>
      </c:spPr>
    </c:legend>
    <c:plotVisOnly val="1"/>
    <c:dispBlanksAs val="zero"/>
    <c:showDLblsOverMax val="1"/>
    <c:extLst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035751863304763E-2"/>
          <c:y val="7.3892983912780222E-2"/>
          <c:w val="0.89628611385083534"/>
          <c:h val="0.6569614923005953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w="25400" cmpd="sng">
              <a:solidFill>
                <a:schemeClr val="accent3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FEF2CD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67F-4B32-9431-FF4402D00F1A}"/>
              </c:ext>
            </c:extLst>
          </c:dPt>
          <c:dPt>
            <c:idx val="1"/>
            <c:invertIfNegative val="1"/>
            <c:bubble3D val="0"/>
            <c:spPr>
              <a:solidFill>
                <a:srgbClr val="D1F1DA"/>
              </a:solidFill>
              <a:ln w="25400" cmpd="sng">
                <a:solidFill>
                  <a:schemeClr val="accent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67F-4B32-9431-FF4402D00F1A}"/>
              </c:ext>
            </c:extLst>
          </c:dPt>
          <c:dPt>
            <c:idx val="2"/>
            <c:invertIfNegative val="1"/>
            <c:bubble3D val="0"/>
            <c:spPr>
              <a:solidFill>
                <a:srgbClr val="D1F1DA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67F-4B32-9431-FF4402D00F1A}"/>
              </c:ext>
            </c:extLst>
          </c:dPt>
          <c:dPt>
            <c:idx val="3"/>
            <c:invertIfNegative val="1"/>
            <c:bubble3D val="0"/>
            <c:spPr>
              <a:solidFill>
                <a:srgbClr val="D1F1DA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67F-4B32-9431-FF4402D00F1A}"/>
              </c:ext>
            </c:extLst>
          </c:dPt>
          <c:dPt>
            <c:idx val="4"/>
            <c:invertIfNegative val="1"/>
            <c:bubble3D val="0"/>
            <c:spPr>
              <a:solidFill>
                <a:srgbClr val="FFE1CC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67F-4B32-9431-FF4402D00F1A}"/>
              </c:ext>
            </c:extLst>
          </c:dPt>
          <c:dPt>
            <c:idx val="5"/>
            <c:invertIfNegative val="1"/>
            <c:bubble3D val="0"/>
            <c:spPr>
              <a:solidFill>
                <a:srgbClr val="B3CEFB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67F-4B32-9431-FF4402D00F1A}"/>
              </c:ext>
            </c:extLst>
          </c:dPt>
          <c:dPt>
            <c:idx val="6"/>
            <c:invertIfNegative val="1"/>
            <c:bubble3D val="0"/>
            <c:spPr>
              <a:solidFill>
                <a:srgbClr val="F7B4AE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D67F-4B32-9431-FF4402D00F1A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D67F-4B32-9431-FF4402D00F1A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D67F-4B32-9431-FF4402D00F1A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D67F-4B32-9431-FF4402D00F1A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D67F-4B32-9431-FF4402D00F1A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67F-4B32-9431-FF4402D00F1A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67F-4B32-9431-FF4402D00F1A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67F-4B32-9431-FF4402D00F1A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67F-4B32-9431-FF4402D00F1A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67F-4B32-9431-FF4402D00F1A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67F-4B32-9431-FF4402D00F1A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67F-4B32-9431-FF4402D00F1A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67F-4B32-9431-FF4402D00F1A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67F-4B32-9431-FF4402D00F1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Synthèse!$L$2:$M$2</c:f>
              <c:strCache>
                <c:ptCount val="2"/>
                <c:pt idx="0">
                  <c:v>M. Pierre-Yves 
TIERCE</c:v>
                </c:pt>
                <c:pt idx="1">
                  <c:v>Mme Isabelle 
FARNET RISSO</c:v>
                </c:pt>
              </c:strCache>
            </c:strRef>
          </c:cat>
          <c:val>
            <c:numRef>
              <c:f>Synthèse!$L$16:$M$16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 cmpd="sng">
                    <a:solidFill>
                      <a:schemeClr val="accent3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28-D67F-4B32-9431-FF4402D00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/>
        </c:spPr>
        <c:crossAx val="2046569049"/>
        <c:crosses val="autoZero"/>
        <c:crossBetween val="between"/>
        <c:majorUnit val="0.2"/>
      </c:valAx>
    </c:plotArea>
    <c:plotVisOnly val="1"/>
    <c:dispBlanksAs val="zero"/>
    <c:showDLblsOverMax val="1"/>
  </c:chart>
  <c:spPr>
    <a:solidFill>
      <a:srgbClr val="EFEFEF"/>
    </a:solidFill>
  </c:spPr>
  <c:txPr>
    <a:bodyPr/>
    <a:lstStyle/>
    <a:p>
      <a:pPr>
        <a:defRPr sz="1600"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/>
            </a:pPr>
            <a:r>
              <a:rPr lang="fr-FR" sz="3200" b="0"/>
              <a:t>Taux de participation</a:t>
            </a:r>
          </a:p>
        </c:rich>
      </c:tx>
      <c:layout>
        <c:manualLayout>
          <c:xMode val="edge"/>
          <c:yMode val="edge"/>
          <c:x val="0.1130242309248333"/>
          <c:y val="0.1527344729650480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283462952000748E-2"/>
          <c:y val="0.10097475533105395"/>
          <c:w val="0.80704549791809832"/>
          <c:h val="0.80777299530896007"/>
        </c:manualLayout>
      </c:layout>
      <c:lineChart>
        <c:grouping val="standard"/>
        <c:varyColors val="1"/>
        <c:ser>
          <c:idx val="13"/>
          <c:order val="0"/>
          <c:tx>
            <c:v>1er tour</c:v>
          </c:tx>
          <c:spPr>
            <a:ln w="50800">
              <a:solidFill>
                <a:schemeClr val="bg1">
                  <a:lumMod val="50000"/>
                  <a:alpha val="60000"/>
                </a:schemeClr>
              </a:solidFill>
              <a:prstDash val="sysDash"/>
            </a:ln>
          </c:spPr>
          <c:marker>
            <c:symbol val="none"/>
          </c:marker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0-523E-436C-8C91-65034AF5583F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horaire'!$T$38:$T$50</c15:sqref>
                  </c15:fullRef>
                </c:ext>
              </c:extLst>
              <c:f>'Participation horaire'!$T$38:$T$48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('Participation horaire'!$AG$38,'Participation horaire'!$AF$14:$AO$14)</c15:sqref>
                  </c15:fullRef>
                </c:ext>
              </c:extLst>
              <c:f>('Participation horaire'!$AG$38,'Participation horaire'!$AF$14:$AO$14)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4.8272482234746387E-2</c:v>
                </c:pt>
                <c:pt idx="2">
                  <c:v>0.11455525606469003</c:v>
                </c:pt>
                <c:pt idx="3">
                  <c:v>0.20779220779220781</c:v>
                </c:pt>
                <c:pt idx="4">
                  <c:v>0.30531732418524871</c:v>
                </c:pt>
                <c:pt idx="5">
                  <c:v>0.36535162950257288</c:v>
                </c:pt>
                <c:pt idx="6">
                  <c:v>0.4164420485175202</c:v>
                </c:pt>
                <c:pt idx="7">
                  <c:v>0.47096299926488605</c:v>
                </c:pt>
                <c:pt idx="8">
                  <c:v>0.5204606714040676</c:v>
                </c:pt>
                <c:pt idx="9">
                  <c:v>0.54949767213918155</c:v>
                </c:pt>
                <c:pt idx="10">
                  <c:v>0.57363391325655477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B-4423-BC19-CF5D8FEBECA2}"/>
            </c:ext>
          </c:extLst>
        </c:ser>
        <c:ser>
          <c:idx val="12"/>
          <c:order val="1"/>
          <c:tx>
            <c:v>2nd tour</c:v>
          </c:tx>
          <c:spPr>
            <a:ln w="381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 vert="horz" wrap="square" lIns="38100" tIns="19050" rIns="38100" bIns="108000" anchor="t" anchorCtr="0">
                <a:spAutoFit/>
              </a:bodyPr>
              <a:lstStyle/>
              <a:p>
                <a:pPr>
                  <a:defRPr sz="2400" b="1">
                    <a:ln>
                      <a:noFill/>
                    </a:ln>
                    <a:effectLst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horaire'!$T$38:$T$50</c15:sqref>
                  </c15:fullRef>
                </c:ext>
              </c:extLst>
              <c:f>'Participation horaire'!$T$38:$T$48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f>'Participation horaire'!$S$38:$S$50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3-453C-8FEA-EA6F406B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55108"/>
        <c:axId val="555101647"/>
        <c:extLst>
          <c:ext xmlns:c15="http://schemas.microsoft.com/office/drawing/2012/chart" uri="{02D57815-91ED-43cb-92C2-25804820EDAC}">
            <c15:filteredLineSeries>
              <c15:ser>
                <c:idx val="11"/>
                <c:order val="2"/>
                <c:tx>
                  <c:v>Bureau 12</c:v>
                </c:tx>
                <c:spPr>
                  <a:ln w="19050" cap="rnd" cmpd="sng" algn="ctr">
                    <a:solidFill>
                      <a:srgbClr val="46BDC6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'Participation horaire'!$R$38:$R$50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F53-453C-8FEA-EA6F406B7B39}"/>
                  </c:ext>
                </c:extLst>
              </c15:ser>
            </c15:filteredLineSeries>
            <c15:filteredLineSeries>
              <c15:ser>
                <c:idx val="10"/>
                <c:order val="3"/>
                <c:tx>
                  <c:v>Bureau 11</c:v>
                </c:tx>
                <c:spPr>
                  <a:ln w="19050" cap="rnd" cmpd="sng" algn="ctr">
                    <a:solidFill>
                      <a:srgbClr val="FF6D01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horaire'!$Q$38:$Q$50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F53-453C-8FEA-EA6F406B7B39}"/>
                  </c:ext>
                </c:extLst>
              </c15:ser>
            </c15:filteredLineSeries>
            <c15:filteredLineSeries>
              <c15:ser>
                <c:idx val="9"/>
                <c:order val="4"/>
                <c:tx>
                  <c:v>Bureau 10</c:v>
                </c:tx>
                <c:spPr>
                  <a:ln w="19050" cap="rnd" cmpd="sng" algn="ctr">
                    <a:solidFill>
                      <a:srgbClr val="34A853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horaire'!$P$38:$P$50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F53-453C-8FEA-EA6F406B7B39}"/>
                  </c:ext>
                </c:extLst>
              </c15:ser>
            </c15:filteredLineSeries>
            <c15:filteredLineSeries>
              <c15:ser>
                <c:idx val="8"/>
                <c:order val="5"/>
                <c:tx>
                  <c:v>Bureau 9</c:v>
                </c:tx>
                <c:spPr>
                  <a:ln w="19050" cap="rnd" cmpd="sng" algn="ctr">
                    <a:solidFill>
                      <a:srgbClr val="FBBC04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horaire'!$O$38:$O$50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F53-453C-8FEA-EA6F406B7B39}"/>
                  </c:ext>
                </c:extLst>
              </c15:ser>
            </c15:filteredLineSeries>
            <c15:filteredLineSeries>
              <c15:ser>
                <c:idx val="7"/>
                <c:order val="6"/>
                <c:tx>
                  <c:v>Bureau 8</c:v>
                </c:tx>
                <c:spPr>
                  <a:ln w="19050" cap="rnd" cmpd="sng" algn="ctr">
                    <a:solidFill>
                      <a:srgbClr val="EA4335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horaire'!$N$38:$N$50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F53-453C-8FEA-EA6F406B7B39}"/>
                  </c:ext>
                </c:extLst>
              </c15:ser>
            </c15:filteredLineSeries>
            <c15:filteredLineSeries>
              <c15:ser>
                <c:idx val="6"/>
                <c:order val="7"/>
                <c:tx>
                  <c:v>Bureau 7</c:v>
                </c:tx>
                <c:spPr>
                  <a:ln w="19050" cap="rnd" cmpd="sng" algn="ctr">
                    <a:solidFill>
                      <a:srgbClr val="4285F4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horaire'!$M$38:$M$50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F53-453C-8FEA-EA6F406B7B39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v>Bureau 6</c:v>
                </c:tx>
                <c:spPr>
                  <a:ln w="19050" cap="rnd" cmpd="sng" algn="ctr">
                    <a:solidFill>
                      <a:srgbClr val="46BDC6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horaire'!$L$38:$L$50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F53-453C-8FEA-EA6F406B7B39}"/>
                  </c:ext>
                </c:extLst>
              </c15:ser>
            </c15:filteredLineSeries>
            <c15:filteredLineSeries>
              <c15:ser>
                <c:idx val="4"/>
                <c:order val="9"/>
                <c:tx>
                  <c:v>Bureau 5</c:v>
                </c:tx>
                <c:spPr>
                  <a:ln w="19050" cap="rnd" cmpd="sng" algn="ctr">
                    <a:solidFill>
                      <a:srgbClr val="FF6D01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horaire'!$K$38:$K$50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F53-453C-8FEA-EA6F406B7B39}"/>
                  </c:ext>
                </c:extLst>
              </c15:ser>
            </c15:filteredLineSeries>
            <c15:filteredLineSeries>
              <c15:ser>
                <c:idx val="3"/>
                <c:order val="10"/>
                <c:tx>
                  <c:v>Bureau 4</c:v>
                </c:tx>
                <c:spPr>
                  <a:ln w="19050" cap="rnd" cmpd="sng" algn="ctr">
                    <a:solidFill>
                      <a:srgbClr val="34A853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horaire'!$J$38:$J$50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F53-453C-8FEA-EA6F406B7B39}"/>
                  </c:ext>
                </c:extLst>
              </c15:ser>
            </c15:filteredLineSeries>
            <c15:filteredLineSeries>
              <c15:ser>
                <c:idx val="2"/>
                <c:order val="11"/>
                <c:tx>
                  <c:v>Bureau 3</c:v>
                </c:tx>
                <c:spPr>
                  <a:ln w="19050" cap="rnd" cmpd="sng" algn="ctr">
                    <a:solidFill>
                      <a:srgbClr val="FBBC04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horaire'!$I$38:$I$50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F53-453C-8FEA-EA6F406B7B39}"/>
                  </c:ext>
                </c:extLst>
              </c15:ser>
            </c15:filteredLineSeries>
            <c15:filteredLineSeries>
              <c15:ser>
                <c:idx val="1"/>
                <c:order val="12"/>
                <c:tx>
                  <c:v>Bureau 2</c:v>
                </c:tx>
                <c:spPr>
                  <a:ln w="19050" cap="rnd" cmpd="sng" algn="ctr">
                    <a:solidFill>
                      <a:srgbClr val="EA4335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horaire'!$H$38:$H$50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F53-453C-8FEA-EA6F406B7B39}"/>
                  </c:ext>
                </c:extLst>
              </c15:ser>
            </c15:filteredLineSeries>
            <c15:filteredLineSeries>
              <c15:ser>
                <c:idx val="0"/>
                <c:order val="13"/>
                <c:tx>
                  <c:v>Bureau 1</c:v>
                </c:tx>
                <c:spPr>
                  <a:ln w="19050" cap="rnd" cmpd="sng" algn="ctr">
                    <a:solidFill>
                      <a:srgbClr val="4285F4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horaire'!$T$38:$T$50</c15:sqref>
                        </c15:fullRef>
                        <c15:formulaRef>
                          <c15:sqref>'Participation horaire'!$T$38:$T$48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'Participation horaire'!$G$38:$G$50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F53-453C-8FEA-EA6F406B7B39}"/>
                  </c:ext>
                </c:extLst>
              </c15:ser>
            </c15:filteredLineSeries>
          </c:ext>
        </c:extLst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>
              <a:defRPr sz="1400"/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86043241208745"/>
          <c:y val="0.19633307980311124"/>
          <c:w val="9.8626204680958757E-2"/>
          <c:h val="0.51978527988629364"/>
        </c:manualLayout>
      </c:layout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zero"/>
    <c:showDLblsOverMax val="1"/>
    <c:extLst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 b="0"/>
            </a:pPr>
            <a:r>
              <a:rPr lang="fr-FR" sz="3200" b="0"/>
              <a:t>Affluence horaire</a:t>
            </a:r>
          </a:p>
        </c:rich>
      </c:tx>
      <c:layout>
        <c:manualLayout>
          <c:xMode val="edge"/>
          <c:yMode val="edge"/>
          <c:x val="0.55577018097969311"/>
          <c:y val="3.9768972121728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2737188678757822E-2"/>
          <c:y val="3.7805991968525417E-2"/>
          <c:w val="0.82225874218467421"/>
          <c:h val="0.81129976590763997"/>
        </c:manualLayout>
      </c:layout>
      <c:barChart>
        <c:barDir val="col"/>
        <c:grouping val="clustered"/>
        <c:varyColors val="1"/>
        <c:ser>
          <c:idx val="13"/>
          <c:order val="0"/>
          <c:tx>
            <c:v>1er tour</c:v>
          </c:tx>
          <c:spPr>
            <a:pattFill prst="wdDnDiag">
              <a:fgClr>
                <a:schemeClr val="bg1">
                  <a:lumMod val="75000"/>
                </a:schemeClr>
              </a:fgClr>
              <a:bgClr>
                <a:schemeClr val="bg1">
                  <a:lumMod val="95000"/>
                </a:schemeClr>
              </a:bgClr>
            </a:pattFill>
            <a:ln w="31750">
              <a:solidFill>
                <a:schemeClr val="bg1">
                  <a:lumMod val="50000"/>
                  <a:alpha val="70000"/>
                </a:schemeClr>
              </a:solidFill>
              <a:prstDash val="dash"/>
            </a:ln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C8C7-4860-B0AE-D11CE030E8A2}"/>
              </c:ext>
            </c:extLst>
          </c:dPt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horaire'!$AG$54:$AG$63</c:f>
              <c:numCache>
                <c:formatCode>General</c:formatCode>
                <c:ptCount val="10"/>
                <c:pt idx="0">
                  <c:v>394</c:v>
                </c:pt>
                <c:pt idx="1">
                  <c:v>545</c:v>
                </c:pt>
                <c:pt idx="2">
                  <c:v>757</c:v>
                </c:pt>
                <c:pt idx="3">
                  <c:v>796</c:v>
                </c:pt>
                <c:pt idx="4">
                  <c:v>470</c:v>
                </c:pt>
                <c:pt idx="5">
                  <c:v>437</c:v>
                </c:pt>
                <c:pt idx="6">
                  <c:v>445</c:v>
                </c:pt>
                <c:pt idx="7">
                  <c:v>404</c:v>
                </c:pt>
                <c:pt idx="8">
                  <c:v>237</c:v>
                </c:pt>
                <c:pt idx="9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8C7-4860-B0AE-D11CE030E8A2}"/>
            </c:ext>
          </c:extLst>
        </c:ser>
        <c:ser>
          <c:idx val="0"/>
          <c:order val="1"/>
          <c:tx>
            <c:v>2nd tour</c:v>
          </c:tx>
          <c:spPr>
            <a:solidFill>
              <a:schemeClr val="tx1"/>
            </a:solidFill>
            <a:ln w="4445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horaire'!$S$54:$S$63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8C7-4860-B0AE-D11CE030E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anchor="ctr" anchorCtr="0"/>
          <a:lstStyle/>
          <a:p>
            <a:pPr>
              <a:defRPr sz="2000"/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ln>
            <a:solidFill/>
          </a:ln>
        </c:spPr>
        <c:crossAx val="16001551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12457568028317"/>
          <c:y val="0.22300559409847615"/>
          <c:w val="8.7157242619829392E-2"/>
          <c:h val="0.57135638951275025"/>
        </c:manualLayout>
      </c:layout>
      <c:overlay val="0"/>
      <c:spPr>
        <a:ln>
          <a:noFill/>
        </a:ln>
      </c:spPr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txPr>
    <a:bodyPr/>
    <a:lstStyle/>
    <a:p>
      <a:pPr>
        <a:defRPr sz="1400"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Dépouillement du bureau 0 - Nom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7F28-46AE-ADEF-48D8DE29FE6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F28-46AE-ADEF-48D8DE29FE6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7F28-46AE-ADEF-48D8DE29FE6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F28-46AE-ADEF-48D8DE29FE6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7F28-46AE-ADEF-48D8DE29FE6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F28-46AE-ADEF-48D8DE29FE6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7F28-46AE-ADEF-48D8DE29FE6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F28-46AE-ADEF-48D8DE29FE6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BA71-47B0-8E86-A4D5A495B1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A71-47B0-8E86-A4D5A495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0'!$E$14:$H$14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0 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0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1 - Ecole Chabaud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1AFC-4F81-9125-0D58C036154F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FC-4F81-9125-0D58C036154F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1AFC-4F81-9125-0D58C036154F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1AFC-4F81-9125-0D58C036154F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1AFC-4F81-9125-0D58C036154F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1AFC-4F81-9125-0D58C036154F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1AFC-4F81-9125-0D58C036154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1AFC-4F81-9125-0D58C036154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1AFC-4F81-9125-0D58C036154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1AFC-4F81-9125-0D58C036154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1AFC-4F81-9125-0D58C036154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1AFC-4F81-9125-0D58C036154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1AFC-4F81-9125-0D58C036154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1AFC-4F81-9125-0D58C036154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1AFC-4F81-9125-0D58C036154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1AFC-4F81-9125-0D58C036154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1AFC-4F81-9125-0D58C036154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1AFC-4F81-9125-0D58C036154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1AFC-4F81-9125-0D58C036154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1AFC-4F81-9125-0D58C036154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1AFC-4F81-9125-0D58C036154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1AFC-4F81-9125-0D58C03615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1'!$E$14:$H$14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AFC-4F81-9125-0D58C0361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A6F-40B1-B46D-153A1EC9B72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A6F-40B1-B46D-153A1EC9B72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A6F-40B1-B46D-153A1EC9B720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A6F-40B1-B46D-153A1EC9B720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A6F-40B1-B46D-153A1EC9B720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A6F-40B1-B46D-153A1EC9B720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A6F-40B1-B46D-153A1EC9B720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A6F-40B1-B46D-153A1EC9B720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A6F-40B1-B46D-153A1EC9B720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A6F-40B1-B46D-153A1EC9B720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A6F-40B1-B46D-153A1EC9B720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A6F-40B1-B46D-153A1EC9B720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A6F-40B1-B46D-153A1EC9B72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A6F-40B1-B46D-153A1EC9B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FD7-4EE2-BE8B-2436733D0A2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FD7-4EE2-BE8B-2436733D0A2D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FD7-4EE2-BE8B-2436733D0A2D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FD7-4EE2-BE8B-2436733D0A2D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FD7-4EE2-BE8B-2436733D0A2D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FD7-4EE2-BE8B-2436733D0A2D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FD7-4EE2-BE8B-2436733D0A2D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FD7-4EE2-BE8B-2436733D0A2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FD7-4EE2-BE8B-2436733D0A2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FD7-4EE2-BE8B-2436733D0A2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FD7-4EE2-BE8B-2436733D0A2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FD7-4EE2-BE8B-2436733D0A2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FD7-4EE2-BE8B-2436733D0A2D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FD7-4EE2-BE8B-2436733D0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2 -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084-4500-879F-1B6A61FC0593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84-4500-879F-1B6A61FC0593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084-4500-879F-1B6A61FC0593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084-4500-879F-1B6A61FC0593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084-4500-879F-1B6A61FC0593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084-4500-879F-1B6A61FC0593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084-4500-879F-1B6A61FC0593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084-4500-879F-1B6A61FC0593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084-4500-879F-1B6A61FC0593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084-4500-879F-1B6A61FC0593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084-4500-879F-1B6A61FC0593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084-4500-879F-1B6A61FC0593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E084-4500-879F-1B6A61FC0593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084-4500-879F-1B6A61FC0593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E084-4500-879F-1B6A61FC0593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E084-4500-879F-1B6A61FC0593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E084-4500-879F-1B6A61FC0593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E084-4500-879F-1B6A61FC0593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E084-4500-879F-1B6A61FC0593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E084-4500-879F-1B6A61FC0593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E084-4500-879F-1B6A61FC0593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E084-4500-879F-1B6A61FC05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2'!$E$14:$H$14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084-4500-879F-1B6A61FC0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2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C25-4982-8A22-297DFDB0B47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C25-4982-8A22-297DFDB0B47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C25-4982-8A22-297DFDB0B47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C25-4982-8A22-297DFDB0B47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C25-4982-8A22-297DFDB0B47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C25-4982-8A22-297DFDB0B47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C25-4982-8A22-297DFDB0B47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C25-4982-8A22-297DFDB0B47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C25-4982-8A22-297DFDB0B47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C25-4982-8A22-297DFDB0B47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C25-4982-8A22-297DFDB0B47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C25-4982-8A22-297DFDB0B47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C25-4982-8A22-297DFDB0B47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25-4982-8A22-297DFDB0B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254-4B99-B93E-9CEEFD392EA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254-4B99-B93E-9CEEFD392EA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254-4B99-B93E-9CEEFD392EA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4-4B99-B93E-9CEEFD392EA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254-4B99-B93E-9CEEFD392EA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254-4B99-B93E-9CEEFD392EA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254-4B99-B93E-9CEEFD392EA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254-4B99-B93E-9CEEFD392EA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254-4B99-B93E-9CEEFD392EA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254-4B99-B93E-9CEEFD392EA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254-4B99-B93E-9CEEFD392EA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254-4B99-B93E-9CEEFD392EA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254-4B99-B93E-9CEEFD392EA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254-4B99-B93E-9CEEFD392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3 -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7E-4953-89EF-C8F509D50A53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7E-4953-89EF-C8F509D50A53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7E-4953-89EF-C8F509D50A53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F7E-4953-89EF-C8F509D50A53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F7E-4953-89EF-C8F509D50A53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F7E-4953-89EF-C8F509D50A53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F7E-4953-89EF-C8F509D50A53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F7E-4953-89EF-C8F509D50A53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F7E-4953-89EF-C8F509D50A53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F7E-4953-89EF-C8F509D50A53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F7E-4953-89EF-C8F509D50A53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F7E-4953-89EF-C8F509D50A53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F7E-4953-89EF-C8F509D50A53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F7E-4953-89EF-C8F509D50A53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F7E-4953-89EF-C8F509D50A53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F7E-4953-89EF-C8F509D50A53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F7E-4953-89EF-C8F509D50A53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F7E-4953-89EF-C8F509D50A53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F7E-4953-89EF-C8F509D50A53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F7E-4953-89EF-C8F509D50A53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F7E-4953-89EF-C8F509D50A53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F7E-4953-89EF-C8F509D50A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3'!$E$14:$H$14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F7E-4953-89EF-C8F509D50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3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0C-40DA-BBF4-E4935CA93561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20C-40DA-BBF4-E4935CA93561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20C-40DA-BBF4-E4935CA93561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20C-40DA-BBF4-E4935CA93561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20C-40DA-BBF4-E4935CA93561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0C-40DA-BBF4-E4935CA93561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20C-40DA-BBF4-E4935CA93561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20C-40DA-BBF4-E4935CA93561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20C-40DA-BBF4-E4935CA93561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20C-40DA-BBF4-E4935CA93561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20C-40DA-BBF4-E4935CA93561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20C-40DA-BBF4-E4935CA93561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20C-40DA-BBF4-E4935CA93561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20C-40DA-BBF4-E4935CA93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3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ABA-4F67-A7A7-310A5D22B1E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ABA-4F67-A7A7-310A5D22B1E1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ABA-4F67-A7A7-310A5D22B1E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ABA-4F67-A7A7-310A5D22B1E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ABA-4F67-A7A7-310A5D22B1E1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ABA-4F67-A7A7-310A5D22B1E1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ABA-4F67-A7A7-310A5D22B1E1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ABA-4F67-A7A7-310A5D22B1E1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ABA-4F67-A7A7-310A5D22B1E1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ABA-4F67-A7A7-310A5D22B1E1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ABA-4F67-A7A7-310A5D22B1E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ABA-4F67-A7A7-310A5D22B1E1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ABA-4F67-A7A7-310A5D22B1E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BA-4F67-A7A7-310A5D22B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4 -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00-4346-9F77-D47253546CE1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00-4346-9F77-D47253546CE1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00-4346-9F77-D47253546CE1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00-4346-9F77-D47253546CE1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00-4346-9F77-D47253546CE1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00-4346-9F77-D47253546CE1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B00-4346-9F77-D47253546CE1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B00-4346-9F77-D47253546CE1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B00-4346-9F77-D47253546CE1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B00-4346-9F77-D47253546CE1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B00-4346-9F77-D47253546CE1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B00-4346-9F77-D47253546CE1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2B00-4346-9F77-D47253546CE1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2B00-4346-9F77-D47253546CE1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2B00-4346-9F77-D47253546CE1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2B00-4346-9F77-D47253546CE1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2B00-4346-9F77-D47253546CE1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2B00-4346-9F77-D47253546CE1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2B00-4346-9F77-D47253546CE1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2B00-4346-9F77-D47253546CE1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2B00-4346-9F77-D47253546CE1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2B00-4346-9F77-D47253546C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4'!$E$14:$H$14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B00-4346-9F77-D4725354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4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6A4-480C-8391-EA07F033020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6A4-480C-8391-EA07F033020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6A4-480C-8391-EA07F033020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6A4-480C-8391-EA07F033020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6A4-480C-8391-EA07F033020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6A4-480C-8391-EA07F033020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6A4-480C-8391-EA07F033020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6A4-480C-8391-EA07F033020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6A4-480C-8391-EA07F033020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6A4-480C-8391-EA07F033020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6A4-480C-8391-EA07F033020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6A4-480C-8391-EA07F033020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6A4-480C-8391-EA07F033020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A4-480C-8391-EA07F0330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4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2EC-4CAE-BFD9-4792AA95C9F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2EC-4CAE-BFD9-4792AA95C9F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2EC-4CAE-BFD9-4792AA95C9F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2EC-4CAE-BFD9-4792AA95C9F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2EC-4CAE-BFD9-4792AA95C9F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2EC-4CAE-BFD9-4792AA95C9F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2EC-4CAE-BFD9-4792AA95C9F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2EC-4CAE-BFD9-4792AA95C9F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2EC-4CAE-BFD9-4792AA95C9F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2EC-4CAE-BFD9-4792AA95C9F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2EC-4CAE-BFD9-4792AA95C9F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2EC-4CAE-BFD9-4792AA95C9F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2EC-4CAE-BFD9-4792AA95C9F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EC-4CAE-BFD9-4792AA95C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5 -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2D-48FF-ADC7-579F0BBE0A6A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2D-48FF-ADC7-579F0BBE0A6A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2D-48FF-ADC7-579F0BBE0A6A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2D-48FF-ADC7-579F0BBE0A6A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2D-48FF-ADC7-579F0BBE0A6A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2D-48FF-ADC7-579F0BBE0A6A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2D-48FF-ADC7-579F0BBE0A6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2D-48FF-ADC7-579F0BBE0A6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2D-48FF-ADC7-579F0BBE0A6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2D-48FF-ADC7-579F0BBE0A6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2D-48FF-ADC7-579F0BBE0A6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2D-48FF-ADC7-579F0BBE0A6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E32D-48FF-ADC7-579F0BBE0A6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32D-48FF-ADC7-579F0BBE0A6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E32D-48FF-ADC7-579F0BBE0A6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E32D-48FF-ADC7-579F0BBE0A6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E32D-48FF-ADC7-579F0BBE0A6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E32D-48FF-ADC7-579F0BBE0A6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E32D-48FF-ADC7-579F0BBE0A6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E32D-48FF-ADC7-579F0BBE0A6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E32D-48FF-ADC7-579F0BBE0A6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E32D-48FF-ADC7-579F0BBE0A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5'!$E$14:$H$14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32D-48FF-ADC7-579F0BBE0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5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DA1-4C84-8E0B-589D8BC191B7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DA1-4C84-8E0B-589D8BC191B7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DA1-4C84-8E0B-589D8BC191B7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DA1-4C84-8E0B-589D8BC191B7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DA1-4C84-8E0B-589D8BC191B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DA1-4C84-8E0B-589D8BC191B7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DA1-4C84-8E0B-589D8BC191B7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DA1-4C84-8E0B-589D8BC191B7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DA1-4C84-8E0B-589D8BC191B7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DA1-4C84-8E0B-589D8BC191B7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DA1-4C84-8E0B-589D8BC191B7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DA1-4C84-8E0B-589D8BC191B7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DA1-4C84-8E0B-589D8BC191B7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DA1-4C84-8E0B-589D8BC19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5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F5B-4678-875C-E27907803C5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F5B-4678-875C-E27907803C5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F5B-4678-875C-E27907803C5A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F5B-4678-875C-E27907803C5A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F5B-4678-875C-E27907803C5A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F5B-4678-875C-E27907803C5A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F5B-4678-875C-E27907803C5A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5B-4678-875C-E27907803C5A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F5B-4678-875C-E27907803C5A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F5B-4678-875C-E27907803C5A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F5B-4678-875C-E27907803C5A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F5B-4678-875C-E27907803C5A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F5B-4678-875C-E27907803C5A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F5B-4678-875C-E27907803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6 -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77-42AD-883E-3833985ADD8F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C77-42AD-883E-3833985ADD8F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C77-42AD-883E-3833985ADD8F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C77-42AD-883E-3833985ADD8F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C77-42AD-883E-3833985ADD8F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C77-42AD-883E-3833985ADD8F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C77-42AD-883E-3833985ADD8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C77-42AD-883E-3833985ADD8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C77-42AD-883E-3833985ADD8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C77-42AD-883E-3833985ADD8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C77-42AD-883E-3833985ADD8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C77-42AD-883E-3833985ADD8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4C77-42AD-883E-3833985ADD8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4C77-42AD-883E-3833985ADD8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4C77-42AD-883E-3833985ADD8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4C77-42AD-883E-3833985ADD8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4C77-42AD-883E-3833985ADD8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4C77-42AD-883E-3833985ADD8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4C77-42AD-883E-3833985ADD8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4C77-42AD-883E-3833985ADD8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4C77-42AD-883E-3833985ADD8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4C77-42AD-883E-3833985ADD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6'!$E$14:$H$14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C77-42AD-883E-3833985AD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6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45C-45A0-8F04-93B73EA454CE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5C-45A0-8F04-93B73EA454CE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45C-45A0-8F04-93B73EA454CE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45C-45A0-8F04-93B73EA454CE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45C-45A0-8F04-93B73EA454CE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45C-45A0-8F04-93B73EA454CE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45C-45A0-8F04-93B73EA454CE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5C-45A0-8F04-93B73EA454CE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45C-45A0-8F04-93B73EA454CE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45C-45A0-8F04-93B73EA454CE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45C-45A0-8F04-93B73EA454CE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45C-45A0-8F04-93B73EA454CE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45C-45A0-8F04-93B73EA454C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45C-45A0-8F04-93B73EA45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DAC-414E-A0D3-3DE7A9451EA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DAC-414E-A0D3-3DE7A9451EAD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DAC-414E-A0D3-3DE7A9451EAD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DAC-414E-A0D3-3DE7A9451EAD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DAC-414E-A0D3-3DE7A9451EAD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DAC-414E-A0D3-3DE7A9451EAD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DAC-414E-A0D3-3DE7A9451EAD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DAC-414E-A0D3-3DE7A9451EA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DAC-414E-A0D3-3DE7A9451EA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DAC-414E-A0D3-3DE7A9451EA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DAC-414E-A0D3-3DE7A9451EA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DAC-414E-A0D3-3DE7A9451EA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DAC-414E-A0D3-3DE7A9451EAD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DAC-414E-A0D3-3DE7A9451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7 -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C1-4289-AA81-FEC46DFE8C42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C1-4289-AA81-FEC46DFE8C42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EC1-4289-AA81-FEC46DFE8C42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5EC1-4289-AA81-FEC46DFE8C42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5EC1-4289-AA81-FEC46DFE8C42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5EC1-4289-AA81-FEC46DFE8C42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5EC1-4289-AA81-FEC46DFE8C42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5EC1-4289-AA81-FEC46DFE8C42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5EC1-4289-AA81-FEC46DFE8C42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5EC1-4289-AA81-FEC46DFE8C42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5EC1-4289-AA81-FEC46DFE8C42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5EC1-4289-AA81-FEC46DFE8C42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5EC1-4289-AA81-FEC46DFE8C42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5EC1-4289-AA81-FEC46DFE8C42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5EC1-4289-AA81-FEC46DFE8C42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5EC1-4289-AA81-FEC46DFE8C42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5EC1-4289-AA81-FEC46DFE8C42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5EC1-4289-AA81-FEC46DFE8C42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5EC1-4289-AA81-FEC46DFE8C42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5EC1-4289-AA81-FEC46DFE8C42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5EC1-4289-AA81-FEC46DFE8C42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5EC1-4289-AA81-FEC46DFE8C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7'!$E$14:$H$14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EC1-4289-AA81-FEC46DFE8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7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6D5-46A7-BCB7-5252833A1FE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6D5-46A7-BCB7-5252833A1FE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6D5-46A7-BCB7-5252833A1FE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6D5-46A7-BCB7-5252833A1FE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6D5-46A7-BCB7-5252833A1FE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6D5-46A7-BCB7-5252833A1FE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6D5-46A7-BCB7-5252833A1FE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6D5-46A7-BCB7-5252833A1FE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6D5-46A7-BCB7-5252833A1FE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6D5-46A7-BCB7-5252833A1FE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6D5-46A7-BCB7-5252833A1FE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6D5-46A7-BCB7-5252833A1FE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6D5-46A7-BCB7-5252833A1FE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6D5-46A7-BCB7-5252833A1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7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759-41BA-83D6-9902A9FB1ED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59-41BA-83D6-9902A9FB1ED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759-41BA-83D6-9902A9FB1ED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759-41BA-83D6-9902A9FB1ED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759-41BA-83D6-9902A9FB1ED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759-41BA-83D6-9902A9FB1ED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759-41BA-83D6-9902A9FB1ED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759-41BA-83D6-9902A9FB1ED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759-41BA-83D6-9902A9FB1ED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759-41BA-83D6-9902A9FB1ED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759-41BA-83D6-9902A9FB1ED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759-41BA-83D6-9902A9FB1ED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759-41BA-83D6-9902A9FB1ED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759-41BA-83D6-9902A9FB1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8 -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1D-4175-8301-B7F6D534AC84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1D-4175-8301-B7F6D534AC84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41D-4175-8301-B7F6D534AC84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41D-4175-8301-B7F6D534AC84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41D-4175-8301-B7F6D534AC84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41D-4175-8301-B7F6D534AC84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41D-4175-8301-B7F6D534AC84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41D-4175-8301-B7F6D534AC84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41D-4175-8301-B7F6D534AC84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41D-4175-8301-B7F6D534AC84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41D-4175-8301-B7F6D534AC84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41D-4175-8301-B7F6D534AC84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F41D-4175-8301-B7F6D534AC84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F41D-4175-8301-B7F6D534AC84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F41D-4175-8301-B7F6D534AC84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F41D-4175-8301-B7F6D534AC84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F41D-4175-8301-B7F6D534AC84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F41D-4175-8301-B7F6D534AC84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F41D-4175-8301-B7F6D534AC84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F41D-4175-8301-B7F6D534AC84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F41D-4175-8301-B7F6D534AC84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F41D-4175-8301-B7F6D534AC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8'!$E$14:$H$14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41D-4175-8301-B7F6D534A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8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B4-4A31-A593-3A30EEBFF7A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B4-4A31-A593-3A30EEBFF7A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B4-4A31-A593-3A30EEBFF7A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5B4-4A31-A593-3A30EEBFF7A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B4-4A31-A593-3A30EEBFF7A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5B4-4A31-A593-3A30EEBFF7A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5B4-4A31-A593-3A30EEBFF7A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5B4-4A31-A593-3A30EEBFF7A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5B4-4A31-A593-3A30EEBFF7A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5B4-4A31-A593-3A30EEBFF7A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5B4-4A31-A593-3A30EEBFF7A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5B4-4A31-A593-3A30EEBFF7A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5B4-4A31-A593-3A30EEBFF7A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5B4-4A31-A593-3A30EEBFF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8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E68-41C9-9746-2C6678276AE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68-41C9-9746-2C6678276AE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68-41C9-9746-2C6678276AE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68-41C9-9746-2C6678276AE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E68-41C9-9746-2C6678276AE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E68-41C9-9746-2C6678276AE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E68-41C9-9746-2C6678276AE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E68-41C9-9746-2C6678276AE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E68-41C9-9746-2C6678276AE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E68-41C9-9746-2C6678276AE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E68-41C9-9746-2C6678276AE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E68-41C9-9746-2C6678276AE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E68-41C9-9746-2C6678276AE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68-41C9-9746-2C6678276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9 -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B0-444E-9A56-7FC14AAAD548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B0-444E-9A56-7FC14AAAD548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B0-444E-9A56-7FC14AAAD548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B0-444E-9A56-7FC14AAAD548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B0-444E-9A56-7FC14AAAD548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B0-444E-9A56-7FC14AAAD548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B0-444E-9A56-7FC14AAAD548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B0-444E-9A56-7FC14AAAD548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18B0-444E-9A56-7FC14AAAD548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18B0-444E-9A56-7FC14AAAD548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18B0-444E-9A56-7FC14AAAD548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18B0-444E-9A56-7FC14AAAD548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18B0-444E-9A56-7FC14AAAD548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18B0-444E-9A56-7FC14AAAD548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18B0-444E-9A56-7FC14AAAD548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18B0-444E-9A56-7FC14AAAD548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18B0-444E-9A56-7FC14AAAD548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18B0-444E-9A56-7FC14AAAD548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18B0-444E-9A56-7FC14AAAD548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18B0-444E-9A56-7FC14AAAD548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18B0-444E-9A56-7FC14AAAD548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18B0-444E-9A56-7FC14AAA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9'!$E$14:$H$14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8B0-444E-9A56-7FC14AAA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9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BE3D-4623-8C8E-A8070967A54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E3D-4623-8C8E-A8070967A54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E3D-4623-8C8E-A8070967A54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E3D-4623-8C8E-A8070967A54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E3D-4623-8C8E-A8070967A54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E3D-4623-8C8E-A8070967A54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E3D-4623-8C8E-A8070967A54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E3D-4623-8C8E-A8070967A54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E3D-4623-8C8E-A8070967A54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E3D-4623-8C8E-A8070967A54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E3D-4623-8C8E-A8070967A54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E3D-4623-8C8E-A8070967A54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BE3D-4623-8C8E-A8070967A54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E3D-4623-8C8E-A8070967A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9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780-4FF4-801C-8391F19AC8C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780-4FF4-801C-8391F19AC8C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780-4FF4-801C-8391F19AC8CA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780-4FF4-801C-8391F19AC8CA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780-4FF4-801C-8391F19AC8CA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780-4FF4-801C-8391F19AC8CA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780-4FF4-801C-8391F19AC8CA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780-4FF4-801C-8391F19AC8CA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780-4FF4-801C-8391F19AC8CA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780-4FF4-801C-8391F19AC8CA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780-4FF4-801C-8391F19AC8CA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780-4FF4-801C-8391F19AC8CA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780-4FF4-801C-8391F19AC8CA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80-4FF4-801C-8391F19AC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10 -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BB-4647-92C6-9952197D7D6A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BB-4647-92C6-9952197D7D6A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BB-4647-92C6-9952197D7D6A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CBB-4647-92C6-9952197D7D6A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CBB-4647-92C6-9952197D7D6A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CBB-4647-92C6-9952197D7D6A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CBB-4647-92C6-9952197D7D6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CBB-4647-92C6-9952197D7D6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CBB-4647-92C6-9952197D7D6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CBB-4647-92C6-9952197D7D6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CBB-4647-92C6-9952197D7D6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CBB-4647-92C6-9952197D7D6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ECBB-4647-92C6-9952197D7D6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CBB-4647-92C6-9952197D7D6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ECBB-4647-92C6-9952197D7D6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ECBB-4647-92C6-9952197D7D6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ECBB-4647-92C6-9952197D7D6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ECBB-4647-92C6-9952197D7D6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ECBB-4647-92C6-9952197D7D6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ECBB-4647-92C6-9952197D7D6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ECBB-4647-92C6-9952197D7D6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ECBB-4647-92C6-9952197D7D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10'!$E$14:$H$14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CBB-4647-92C6-9952197D7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10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DC6-433B-A4E5-FBBBEE7CFE1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C6-433B-A4E5-FBBBEE7CFE1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DC6-433B-A4E5-FBBBEE7CFE1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DC6-433B-A4E5-FBBBEE7CFE1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DC6-433B-A4E5-FBBBEE7CFE1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DC6-433B-A4E5-FBBBEE7CFE1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DC6-433B-A4E5-FBBBEE7CFE1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DC6-433B-A4E5-FBBBEE7CFE1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DC6-433B-A4E5-FBBBEE7CFE1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DC6-433B-A4E5-FBBBEE7CFE1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DC6-433B-A4E5-FBBBEE7CFE1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DC6-433B-A4E5-FBBBEE7CFE1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DC6-433B-A4E5-FBBBEE7CFE1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DC6-433B-A4E5-FBBBEE7CF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10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45C-49A9-96B2-D8CF7E2DC1B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45C-49A9-96B2-D8CF7E2DC1B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45C-49A9-96B2-D8CF7E2DC1B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5C-49A9-96B2-D8CF7E2DC1B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45C-49A9-96B2-D8CF7E2DC1B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5C-49A9-96B2-D8CF7E2DC1B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45C-49A9-96B2-D8CF7E2DC1B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5C-49A9-96B2-D8CF7E2DC1B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45C-49A9-96B2-D8CF7E2DC1B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45C-49A9-96B2-D8CF7E2DC1B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45C-49A9-96B2-D8CF7E2DC1B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45C-49A9-96B2-D8CF7E2DC1B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45C-49A9-96B2-D8CF7E2DC1B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45C-49A9-96B2-D8CF7E2DC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11 -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25-449B-BD7D-271DC5EFD559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25-449B-BD7D-271DC5EFD559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25-449B-BD7D-271DC5EFD559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25-449B-BD7D-271DC5EFD559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25-449B-BD7D-271DC5EFD559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0125-449B-BD7D-271DC5EFD559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0125-449B-BD7D-271DC5EFD559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0125-449B-BD7D-271DC5EFD559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25-449B-BD7D-271DC5EFD559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25-449B-BD7D-271DC5EFD559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0125-449B-BD7D-271DC5EFD559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0125-449B-BD7D-271DC5EFD559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0125-449B-BD7D-271DC5EFD559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0125-449B-BD7D-271DC5EFD559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0125-449B-BD7D-271DC5EFD559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0125-449B-BD7D-271DC5EFD559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0125-449B-BD7D-271DC5EFD559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0125-449B-BD7D-271DC5EFD559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0125-449B-BD7D-271DC5EFD559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0125-449B-BD7D-271DC5EFD559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0125-449B-BD7D-271DC5EFD559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0125-449B-BD7D-271DC5EFD5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11'!$E$14:$H$14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125-449B-BD7D-271DC5EFD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11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0D2-426A-AAEF-BFE50428C32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0D2-426A-AAEF-BFE50428C32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0D2-426A-AAEF-BFE50428C320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0D2-426A-AAEF-BFE50428C320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0D2-426A-AAEF-BFE50428C320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0D2-426A-AAEF-BFE50428C320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0D2-426A-AAEF-BFE50428C320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0D2-426A-AAEF-BFE50428C320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0D2-426A-AAEF-BFE50428C320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0D2-426A-AAEF-BFE50428C320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0D2-426A-AAEF-BFE50428C320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0D2-426A-AAEF-BFE50428C320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0D2-426A-AAEF-BFE50428C32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0D2-426A-AAEF-BFE50428C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11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E3A-4F70-A9FA-281594E6897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3A-4F70-A9FA-281594E6897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3A-4F70-A9FA-281594E6897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3A-4F70-A9FA-281594E6897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E3A-4F70-A9FA-281594E6897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E3A-4F70-A9FA-281594E6897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E3A-4F70-A9FA-281594E6897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E3A-4F70-A9FA-281594E6897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E3A-4F70-A9FA-281594E6897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E3A-4F70-A9FA-281594E6897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E3A-4F70-A9FA-281594E6897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E3A-4F70-A9FA-281594E6897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E3A-4F70-A9FA-281594E6897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3A-4F70-A9FA-281594E68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12 - Base nautique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93F-457A-BCFD-16522D8060B6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D93F-457A-BCFD-16522D8060B6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93F-457A-BCFD-16522D8060B6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93F-457A-BCFD-16522D8060B6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93F-457A-BCFD-16522D8060B6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93F-457A-BCFD-16522D8060B6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D93F-457A-BCFD-16522D8060B6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D93F-457A-BCFD-16522D8060B6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D93F-457A-BCFD-16522D8060B6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D93F-457A-BCFD-16522D8060B6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D93F-457A-BCFD-16522D8060B6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D93F-457A-BCFD-16522D8060B6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93F-457A-BCFD-16522D8060B6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93F-457A-BCFD-16522D8060B6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93F-457A-BCFD-16522D8060B6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93F-457A-BCFD-16522D8060B6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93F-457A-BCFD-16522D8060B6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93F-457A-BCFD-16522D8060B6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93F-457A-BCFD-16522D8060B6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93F-457A-BCFD-16522D8060B6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D93F-457A-BCFD-16522D8060B6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D93F-457A-BCFD-16522D806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12'!$E$14:$H$14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93F-457A-BCFD-16522D806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12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A34-4816-8C04-A1EE796583F7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A34-4816-8C04-A1EE796583F7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A34-4816-8C04-A1EE796583F7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A34-4816-8C04-A1EE796583F7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A34-4816-8C04-A1EE796583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A34-4816-8C04-A1EE796583F7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A34-4816-8C04-A1EE796583F7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A34-4816-8C04-A1EE796583F7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A34-4816-8C04-A1EE796583F7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A34-4816-8C04-A1EE796583F7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A34-4816-8C04-A1EE796583F7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A34-4816-8C04-A1EE796583F7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A34-4816-8C04-A1EE796583F7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A34-4816-8C04-A1EE79658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12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220-449B-AA12-9471E4E004D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20-449B-AA12-9471E4E004D2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220-449B-AA12-9471E4E004D2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220-449B-AA12-9471E4E004D2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220-449B-AA12-9471E4E004D2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220-449B-AA12-9471E4E004D2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220-449B-AA12-9471E4E004D2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220-449B-AA12-9471E4E004D2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220-449B-AA12-9471E4E004D2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220-449B-AA12-9471E4E004D2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220-449B-AA12-9471E4E004D2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220-449B-AA12-9471E4E004D2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220-449B-AA12-9471E4E004D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220-449B-AA12-9471E4E00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285750</xdr:colOff>
      <xdr:row>16</xdr:row>
      <xdr:rowOff>108617</xdr:rowOff>
    </xdr:from>
    <xdr:ext cx="10105160" cy="3155859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142875</xdr:colOff>
          <xdr:row>2</xdr:row>
          <xdr:rowOff>152400</xdr:rowOff>
        </xdr:from>
        <xdr:to>
          <xdr:col>17</xdr:col>
          <xdr:colOff>495300</xdr:colOff>
          <xdr:row>5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Simuler dépouillement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6</xdr:row>
          <xdr:rowOff>28575</xdr:rowOff>
        </xdr:from>
        <xdr:to>
          <xdr:col>17</xdr:col>
          <xdr:colOff>504825</xdr:colOff>
          <xdr:row>8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Réinitialiser dépouillement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619125</xdr:colOff>
          <xdr:row>10</xdr:row>
          <xdr:rowOff>57150</xdr:rowOff>
        </xdr:from>
        <xdr:to>
          <xdr:col>17</xdr:col>
          <xdr:colOff>828675</xdr:colOff>
          <xdr:row>14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336929</xdr:colOff>
      <xdr:row>15</xdr:row>
      <xdr:rowOff>145788</xdr:rowOff>
    </xdr:from>
    <xdr:ext cx="14754905" cy="604264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904875</xdr:colOff>
          <xdr:row>54</xdr:row>
          <xdr:rowOff>9525</xdr:rowOff>
        </xdr:from>
        <xdr:to>
          <xdr:col>35</xdr:col>
          <xdr:colOff>866775</xdr:colOff>
          <xdr:row>56</xdr:row>
          <xdr:rowOff>104775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Simuler participation journée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57</xdr:row>
          <xdr:rowOff>38100</xdr:rowOff>
        </xdr:from>
        <xdr:to>
          <xdr:col>35</xdr:col>
          <xdr:colOff>885825</xdr:colOff>
          <xdr:row>59</xdr:row>
          <xdr:rowOff>76200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Réinitialiser participation horaire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380414</xdr:colOff>
      <xdr:row>50</xdr:row>
      <xdr:rowOff>163078</xdr:rowOff>
    </xdr:from>
    <xdr:ext cx="14754905" cy="6021473"/>
    <xdr:graphicFrame macro="">
      <xdr:nvGraphicFramePr>
        <xdr:cNvPr id="33" name="GraphAffluence" title="Graphique">
          <a:extLst>
            <a:ext uri="{FF2B5EF4-FFF2-40B4-BE49-F238E27FC236}">
              <a16:creationId xmlns:a16="http://schemas.microsoft.com/office/drawing/2014/main" id="{74DF2783-1E83-4097-AFA3-C9E5994D9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6</xdr:row>
      <xdr:rowOff>0</xdr:rowOff>
    </xdr:from>
    <xdr:to>
      <xdr:col>17</xdr:col>
      <xdr:colOff>228600</xdr:colOff>
      <xdr:row>6</xdr:row>
      <xdr:rowOff>9525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111884A-5A26-C04D-AAB3-39280A822080}"/>
            </a:ext>
          </a:extLst>
        </xdr:cNvPr>
        <xdr:cNvCxnSpPr/>
      </xdr:nvCxnSpPr>
      <xdr:spPr>
        <a:xfrm flipV="1">
          <a:off x="13896975" y="2409825"/>
          <a:ext cx="3267075" cy="9525"/>
        </a:xfrm>
        <a:prstGeom prst="straightConnector1">
          <a:avLst/>
        </a:prstGeom>
        <a:ln w="57150">
          <a:solidFill>
            <a:schemeClr val="accent1">
              <a:lumMod val="40000"/>
              <a:lumOff val="6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1773442</xdr:colOff>
      <xdr:row>41</xdr:row>
      <xdr:rowOff>35882</xdr:rowOff>
    </xdr:from>
    <xdr:ext cx="12240232" cy="3616696"/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F3E5AC01-23BE-DDCD-0E8F-B40812D3DA19}"/>
            </a:ext>
          </a:extLst>
        </xdr:cNvPr>
        <xdr:cNvSpPr txBox="1"/>
      </xdr:nvSpPr>
      <xdr:spPr>
        <a:xfrm rot="20826026">
          <a:off x="2834799" y="22147489"/>
          <a:ext cx="12240232" cy="36166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23900" i="1" kern="1200">
              <a:solidFill>
                <a:srgbClr val="333333">
                  <a:alpha val="20000"/>
                </a:srgbClr>
              </a:solidFill>
            </a:rPr>
            <a:t>Exemple</a:t>
          </a:r>
          <a:endParaRPr lang="fr-FR" sz="16600" i="1" kern="1200">
            <a:solidFill>
              <a:srgbClr val="333333">
                <a:alpha val="20000"/>
              </a:srgbClr>
            </a:solidFill>
          </a:endParaRPr>
        </a:p>
      </xdr:txBody>
    </xdr:sp>
    <xdr:clientData/>
  </xdr:oneCellAnchor>
  <xdr:twoCellAnchor editAs="oneCell">
    <xdr:from>
      <xdr:col>0</xdr:col>
      <xdr:colOff>100163</xdr:colOff>
      <xdr:row>17</xdr:row>
      <xdr:rowOff>62935</xdr:rowOff>
    </xdr:from>
    <xdr:to>
      <xdr:col>0</xdr:col>
      <xdr:colOff>1014563</xdr:colOff>
      <xdr:row>18</xdr:row>
      <xdr:rowOff>458901</xdr:rowOff>
    </xdr:to>
    <xdr:pic>
      <xdr:nvPicPr>
        <xdr:cNvPr id="6" name="Graphique 2" descr="Informations contour">
          <a:extLst>
            <a:ext uri="{FF2B5EF4-FFF2-40B4-BE49-F238E27FC236}">
              <a16:creationId xmlns:a16="http://schemas.microsoft.com/office/drawing/2014/main" id="{9868C194-4EC3-C3A6-4EDB-8AA00FE6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4127" y="11016685"/>
          <a:ext cx="914400" cy="900792"/>
        </a:xfrm>
        <a:prstGeom prst="rect">
          <a:avLst/>
        </a:prstGeom>
      </xdr:spPr>
    </xdr:pic>
    <xdr:clientData/>
  </xdr:twoCellAnchor>
  <xdr:twoCellAnchor>
    <xdr:from>
      <xdr:col>5</xdr:col>
      <xdr:colOff>1415144</xdr:colOff>
      <xdr:row>40</xdr:row>
      <xdr:rowOff>435433</xdr:rowOff>
    </xdr:from>
    <xdr:to>
      <xdr:col>7</xdr:col>
      <xdr:colOff>244929</xdr:colOff>
      <xdr:row>50</xdr:row>
      <xdr:rowOff>163291</xdr:rowOff>
    </xdr:to>
    <xdr:sp macro="" textlink="">
      <xdr:nvSpPr>
        <xdr:cNvPr id="31" name="Flèche : en arc 30">
          <a:extLst>
            <a:ext uri="{FF2B5EF4-FFF2-40B4-BE49-F238E27FC236}">
              <a16:creationId xmlns:a16="http://schemas.microsoft.com/office/drawing/2014/main" id="{D8B21D7F-184E-4C23-8238-F422A16E0F42}"/>
            </a:ext>
          </a:extLst>
        </xdr:cNvPr>
        <xdr:cNvSpPr/>
      </xdr:nvSpPr>
      <xdr:spPr>
        <a:xfrm rot="5400000">
          <a:off x="16757197" y="23193380"/>
          <a:ext cx="4177394" cy="1959428"/>
        </a:xfrm>
        <a:prstGeom prst="circularArrow">
          <a:avLst>
            <a:gd name="adj1" fmla="val 5748"/>
            <a:gd name="adj2" fmla="val 911249"/>
            <a:gd name="adj3" fmla="val 20622878"/>
            <a:gd name="adj4" fmla="val 10868399"/>
            <a:gd name="adj5" fmla="val 21302"/>
          </a:avLst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2979964</xdr:colOff>
      <xdr:row>42</xdr:row>
      <xdr:rowOff>54429</xdr:rowOff>
    </xdr:from>
    <xdr:to>
      <xdr:col>2</xdr:col>
      <xdr:colOff>0</xdr:colOff>
      <xdr:row>42</xdr:row>
      <xdr:rowOff>530679</xdr:rowOff>
    </xdr:to>
    <xdr:sp macro="" textlink="">
      <xdr:nvSpPr>
        <xdr:cNvPr id="33" name="Rectangle : coins arrondis 32">
          <a:extLst>
            <a:ext uri="{FF2B5EF4-FFF2-40B4-BE49-F238E27FC236}">
              <a16:creationId xmlns:a16="http://schemas.microsoft.com/office/drawing/2014/main" id="{1EEB6DE6-2C14-4DAD-95A4-304823A499A5}"/>
            </a:ext>
          </a:extLst>
        </xdr:cNvPr>
        <xdr:cNvSpPr/>
      </xdr:nvSpPr>
      <xdr:spPr>
        <a:xfrm>
          <a:off x="4041321" y="22751143"/>
          <a:ext cx="693965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2789466</xdr:colOff>
      <xdr:row>42</xdr:row>
      <xdr:rowOff>54429</xdr:rowOff>
    </xdr:from>
    <xdr:to>
      <xdr:col>2</xdr:col>
      <xdr:colOff>3483431</xdr:colOff>
      <xdr:row>42</xdr:row>
      <xdr:rowOff>530679</xdr:rowOff>
    </xdr:to>
    <xdr:sp macro="" textlink="">
      <xdr:nvSpPr>
        <xdr:cNvPr id="34" name="Rectangle : coins arrondis 33">
          <a:extLst>
            <a:ext uri="{FF2B5EF4-FFF2-40B4-BE49-F238E27FC236}">
              <a16:creationId xmlns:a16="http://schemas.microsoft.com/office/drawing/2014/main" id="{504BDBA0-1A6F-45D6-89EE-DE014E14CF68}"/>
            </a:ext>
          </a:extLst>
        </xdr:cNvPr>
        <xdr:cNvSpPr/>
      </xdr:nvSpPr>
      <xdr:spPr>
        <a:xfrm>
          <a:off x="7524752" y="22751143"/>
          <a:ext cx="693965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</xdr:col>
      <xdr:colOff>2982685</xdr:colOff>
      <xdr:row>42</xdr:row>
      <xdr:rowOff>57151</xdr:rowOff>
    </xdr:from>
    <xdr:to>
      <xdr:col>4</xdr:col>
      <xdr:colOff>2721</xdr:colOff>
      <xdr:row>42</xdr:row>
      <xdr:rowOff>533401</xdr:rowOff>
    </xdr:to>
    <xdr:sp macro="" textlink="">
      <xdr:nvSpPr>
        <xdr:cNvPr id="35" name="Rectangle : coins arrondis 34">
          <a:extLst>
            <a:ext uri="{FF2B5EF4-FFF2-40B4-BE49-F238E27FC236}">
              <a16:creationId xmlns:a16="http://schemas.microsoft.com/office/drawing/2014/main" id="{9B4B172C-5C36-45E2-AAF1-4B5BEF0C7517}"/>
            </a:ext>
          </a:extLst>
        </xdr:cNvPr>
        <xdr:cNvSpPr/>
      </xdr:nvSpPr>
      <xdr:spPr>
        <a:xfrm>
          <a:off x="11391899" y="22753865"/>
          <a:ext cx="693965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4</xdr:col>
      <xdr:colOff>2887437</xdr:colOff>
      <xdr:row>42</xdr:row>
      <xdr:rowOff>57151</xdr:rowOff>
    </xdr:from>
    <xdr:to>
      <xdr:col>4</xdr:col>
      <xdr:colOff>3581402</xdr:colOff>
      <xdr:row>42</xdr:row>
      <xdr:rowOff>533401</xdr:rowOff>
    </xdr:to>
    <xdr:sp macro="" textlink="">
      <xdr:nvSpPr>
        <xdr:cNvPr id="36" name="Rectangle : coins arrondis 35">
          <a:extLst>
            <a:ext uri="{FF2B5EF4-FFF2-40B4-BE49-F238E27FC236}">
              <a16:creationId xmlns:a16="http://schemas.microsoft.com/office/drawing/2014/main" id="{34DB6653-F9C5-4000-9ECE-92162A36F8CA}"/>
            </a:ext>
          </a:extLst>
        </xdr:cNvPr>
        <xdr:cNvSpPr/>
      </xdr:nvSpPr>
      <xdr:spPr>
        <a:xfrm>
          <a:off x="14970580" y="22753865"/>
          <a:ext cx="693965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</xdr:col>
      <xdr:colOff>1445078</xdr:colOff>
      <xdr:row>41</xdr:row>
      <xdr:rowOff>57151</xdr:rowOff>
    </xdr:from>
    <xdr:to>
      <xdr:col>1</xdr:col>
      <xdr:colOff>2275115</xdr:colOff>
      <xdr:row>41</xdr:row>
      <xdr:rowOff>533401</xdr:rowOff>
    </xdr:to>
    <xdr:sp macro="" textlink="">
      <xdr:nvSpPr>
        <xdr:cNvPr id="37" name="Rectangle : coins arrondis 36">
          <a:extLst>
            <a:ext uri="{FF2B5EF4-FFF2-40B4-BE49-F238E27FC236}">
              <a16:creationId xmlns:a16="http://schemas.microsoft.com/office/drawing/2014/main" id="{D017A9AB-C992-462B-B11A-A87799808D24}"/>
            </a:ext>
          </a:extLst>
        </xdr:cNvPr>
        <xdr:cNvSpPr/>
      </xdr:nvSpPr>
      <xdr:spPr>
        <a:xfrm>
          <a:off x="2506435" y="22168758"/>
          <a:ext cx="830037" cy="476250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1404257</xdr:colOff>
      <xdr:row>41</xdr:row>
      <xdr:rowOff>57151</xdr:rowOff>
    </xdr:from>
    <xdr:to>
      <xdr:col>2</xdr:col>
      <xdr:colOff>2234294</xdr:colOff>
      <xdr:row>41</xdr:row>
      <xdr:rowOff>533401</xdr:rowOff>
    </xdr:to>
    <xdr:sp macro="" textlink="">
      <xdr:nvSpPr>
        <xdr:cNvPr id="38" name="Rectangle : coins arrondis 37">
          <a:extLst>
            <a:ext uri="{FF2B5EF4-FFF2-40B4-BE49-F238E27FC236}">
              <a16:creationId xmlns:a16="http://schemas.microsoft.com/office/drawing/2014/main" id="{563CD1F8-6EE0-42AA-B660-D93AA35BC987}"/>
            </a:ext>
          </a:extLst>
        </xdr:cNvPr>
        <xdr:cNvSpPr/>
      </xdr:nvSpPr>
      <xdr:spPr>
        <a:xfrm>
          <a:off x="6139543" y="22168758"/>
          <a:ext cx="830037" cy="476250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</xdr:col>
      <xdr:colOff>1488620</xdr:colOff>
      <xdr:row>41</xdr:row>
      <xdr:rowOff>59873</xdr:rowOff>
    </xdr:from>
    <xdr:to>
      <xdr:col>3</xdr:col>
      <xdr:colOff>2318657</xdr:colOff>
      <xdr:row>41</xdr:row>
      <xdr:rowOff>536123</xdr:rowOff>
    </xdr:to>
    <xdr:sp macro="" textlink="">
      <xdr:nvSpPr>
        <xdr:cNvPr id="39" name="Rectangle : coins arrondis 38">
          <a:extLst>
            <a:ext uri="{FF2B5EF4-FFF2-40B4-BE49-F238E27FC236}">
              <a16:creationId xmlns:a16="http://schemas.microsoft.com/office/drawing/2014/main" id="{8843BF1F-6F60-49BA-B21A-7C648CD4161C}"/>
            </a:ext>
          </a:extLst>
        </xdr:cNvPr>
        <xdr:cNvSpPr/>
      </xdr:nvSpPr>
      <xdr:spPr>
        <a:xfrm>
          <a:off x="9897834" y="22171480"/>
          <a:ext cx="830037" cy="476250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4</xdr:col>
      <xdr:colOff>1420586</xdr:colOff>
      <xdr:row>41</xdr:row>
      <xdr:rowOff>59873</xdr:rowOff>
    </xdr:from>
    <xdr:to>
      <xdr:col>4</xdr:col>
      <xdr:colOff>2250623</xdr:colOff>
      <xdr:row>41</xdr:row>
      <xdr:rowOff>536123</xdr:rowOff>
    </xdr:to>
    <xdr:sp macro="" textlink="">
      <xdr:nvSpPr>
        <xdr:cNvPr id="40" name="Rectangle : coins arrondis 39">
          <a:extLst>
            <a:ext uri="{FF2B5EF4-FFF2-40B4-BE49-F238E27FC236}">
              <a16:creationId xmlns:a16="http://schemas.microsoft.com/office/drawing/2014/main" id="{2C0CD70C-9DCA-4C29-B0EE-05B3CBA819B0}"/>
            </a:ext>
          </a:extLst>
        </xdr:cNvPr>
        <xdr:cNvSpPr/>
      </xdr:nvSpPr>
      <xdr:spPr>
        <a:xfrm>
          <a:off x="14197693" y="22266730"/>
          <a:ext cx="830037" cy="476250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</xdr:col>
      <xdr:colOff>1461406</xdr:colOff>
      <xdr:row>49</xdr:row>
      <xdr:rowOff>59872</xdr:rowOff>
    </xdr:from>
    <xdr:to>
      <xdr:col>1</xdr:col>
      <xdr:colOff>2291443</xdr:colOff>
      <xdr:row>49</xdr:row>
      <xdr:rowOff>536122</xdr:rowOff>
    </xdr:to>
    <xdr:sp macro="" textlink="">
      <xdr:nvSpPr>
        <xdr:cNvPr id="41" name="Rectangle : coins arrondis 40">
          <a:extLst>
            <a:ext uri="{FF2B5EF4-FFF2-40B4-BE49-F238E27FC236}">
              <a16:creationId xmlns:a16="http://schemas.microsoft.com/office/drawing/2014/main" id="{8B71DB3A-A5DC-448C-A6FF-6ABADA825BC6}"/>
            </a:ext>
          </a:extLst>
        </xdr:cNvPr>
        <xdr:cNvSpPr/>
      </xdr:nvSpPr>
      <xdr:spPr>
        <a:xfrm>
          <a:off x="3216727" y="25627693"/>
          <a:ext cx="830037" cy="476250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1434192</xdr:colOff>
      <xdr:row>49</xdr:row>
      <xdr:rowOff>59872</xdr:rowOff>
    </xdr:from>
    <xdr:to>
      <xdr:col>2</xdr:col>
      <xdr:colOff>2264229</xdr:colOff>
      <xdr:row>49</xdr:row>
      <xdr:rowOff>536122</xdr:rowOff>
    </xdr:to>
    <xdr:sp macro="" textlink="">
      <xdr:nvSpPr>
        <xdr:cNvPr id="42" name="Rectangle : coins arrondis 41">
          <a:extLst>
            <a:ext uri="{FF2B5EF4-FFF2-40B4-BE49-F238E27FC236}">
              <a16:creationId xmlns:a16="http://schemas.microsoft.com/office/drawing/2014/main" id="{7217EC82-9D8B-433D-84A1-6E8058238E37}"/>
            </a:ext>
          </a:extLst>
        </xdr:cNvPr>
        <xdr:cNvSpPr/>
      </xdr:nvSpPr>
      <xdr:spPr>
        <a:xfrm>
          <a:off x="6863442" y="25627693"/>
          <a:ext cx="830037" cy="476250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</xdr:col>
      <xdr:colOff>1423306</xdr:colOff>
      <xdr:row>49</xdr:row>
      <xdr:rowOff>62594</xdr:rowOff>
    </xdr:from>
    <xdr:to>
      <xdr:col>3</xdr:col>
      <xdr:colOff>2253343</xdr:colOff>
      <xdr:row>49</xdr:row>
      <xdr:rowOff>538844</xdr:rowOff>
    </xdr:to>
    <xdr:sp macro="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0D278C06-6ECC-4EBC-9D9E-801EC672BB37}"/>
            </a:ext>
          </a:extLst>
        </xdr:cNvPr>
        <xdr:cNvSpPr/>
      </xdr:nvSpPr>
      <xdr:spPr>
        <a:xfrm>
          <a:off x="10526485" y="25630415"/>
          <a:ext cx="830037" cy="476250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4</xdr:col>
      <xdr:colOff>1450521</xdr:colOff>
      <xdr:row>49</xdr:row>
      <xdr:rowOff>62594</xdr:rowOff>
    </xdr:from>
    <xdr:to>
      <xdr:col>4</xdr:col>
      <xdr:colOff>2280558</xdr:colOff>
      <xdr:row>49</xdr:row>
      <xdr:rowOff>538844</xdr:rowOff>
    </xdr:to>
    <xdr:sp macro="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0DFEF93F-56DC-4717-A56B-6DE2F3BD338D}"/>
            </a:ext>
          </a:extLst>
        </xdr:cNvPr>
        <xdr:cNvSpPr/>
      </xdr:nvSpPr>
      <xdr:spPr>
        <a:xfrm>
          <a:off x="14227628" y="25630415"/>
          <a:ext cx="830037" cy="476250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</xdr:col>
      <xdr:colOff>1450520</xdr:colOff>
      <xdr:row>50</xdr:row>
      <xdr:rowOff>48986</xdr:rowOff>
    </xdr:from>
    <xdr:to>
      <xdr:col>1</xdr:col>
      <xdr:colOff>2280557</xdr:colOff>
      <xdr:row>50</xdr:row>
      <xdr:rowOff>525236</xdr:rowOff>
    </xdr:to>
    <xdr:sp macro="" textlink="">
      <xdr:nvSpPr>
        <xdr:cNvPr id="45" name="Rectangle : coins arrondis 44">
          <a:extLst>
            <a:ext uri="{FF2B5EF4-FFF2-40B4-BE49-F238E27FC236}">
              <a16:creationId xmlns:a16="http://schemas.microsoft.com/office/drawing/2014/main" id="{7089C070-CEC2-4626-98C7-12D69EDFA15E}"/>
            </a:ext>
          </a:extLst>
        </xdr:cNvPr>
        <xdr:cNvSpPr/>
      </xdr:nvSpPr>
      <xdr:spPr>
        <a:xfrm>
          <a:off x="3205841" y="26201915"/>
          <a:ext cx="830037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1423306</xdr:colOff>
      <xdr:row>50</xdr:row>
      <xdr:rowOff>48986</xdr:rowOff>
    </xdr:from>
    <xdr:to>
      <xdr:col>2</xdr:col>
      <xdr:colOff>2253343</xdr:colOff>
      <xdr:row>50</xdr:row>
      <xdr:rowOff>525236</xdr:rowOff>
    </xdr:to>
    <xdr:sp macro="" textlink="">
      <xdr:nvSpPr>
        <xdr:cNvPr id="46" name="Rectangle : coins arrondis 45">
          <a:extLst>
            <a:ext uri="{FF2B5EF4-FFF2-40B4-BE49-F238E27FC236}">
              <a16:creationId xmlns:a16="http://schemas.microsoft.com/office/drawing/2014/main" id="{7B56E10C-A9BB-4B8A-9FD5-5E93E712A2BB}"/>
            </a:ext>
          </a:extLst>
        </xdr:cNvPr>
        <xdr:cNvSpPr/>
      </xdr:nvSpPr>
      <xdr:spPr>
        <a:xfrm>
          <a:off x="6852556" y="26201915"/>
          <a:ext cx="830037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</xdr:col>
      <xdr:colOff>1412420</xdr:colOff>
      <xdr:row>50</xdr:row>
      <xdr:rowOff>51708</xdr:rowOff>
    </xdr:from>
    <xdr:to>
      <xdr:col>3</xdr:col>
      <xdr:colOff>2242457</xdr:colOff>
      <xdr:row>50</xdr:row>
      <xdr:rowOff>527958</xdr:rowOff>
    </xdr:to>
    <xdr:sp macro="" textlink="">
      <xdr:nvSpPr>
        <xdr:cNvPr id="47" name="Rectangle : coins arrondis 46">
          <a:extLst>
            <a:ext uri="{FF2B5EF4-FFF2-40B4-BE49-F238E27FC236}">
              <a16:creationId xmlns:a16="http://schemas.microsoft.com/office/drawing/2014/main" id="{19BB00A3-7D78-4DED-BB7D-D9C754193A74}"/>
            </a:ext>
          </a:extLst>
        </xdr:cNvPr>
        <xdr:cNvSpPr/>
      </xdr:nvSpPr>
      <xdr:spPr>
        <a:xfrm>
          <a:off x="10515599" y="26204637"/>
          <a:ext cx="830037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4</xdr:col>
      <xdr:colOff>1439635</xdr:colOff>
      <xdr:row>50</xdr:row>
      <xdr:rowOff>51708</xdr:rowOff>
    </xdr:from>
    <xdr:to>
      <xdr:col>4</xdr:col>
      <xdr:colOff>2269672</xdr:colOff>
      <xdr:row>50</xdr:row>
      <xdr:rowOff>527958</xdr:rowOff>
    </xdr:to>
    <xdr:sp macro="" textlink="">
      <xdr:nvSpPr>
        <xdr:cNvPr id="48" name="Rectangle : coins arrondis 47">
          <a:extLst>
            <a:ext uri="{FF2B5EF4-FFF2-40B4-BE49-F238E27FC236}">
              <a16:creationId xmlns:a16="http://schemas.microsoft.com/office/drawing/2014/main" id="{103A6D3A-9058-4C5C-8E35-B1CA95C3EE82}"/>
            </a:ext>
          </a:extLst>
        </xdr:cNvPr>
        <xdr:cNvSpPr/>
      </xdr:nvSpPr>
      <xdr:spPr>
        <a:xfrm>
          <a:off x="14216742" y="26204637"/>
          <a:ext cx="830037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480580</xdr:colOff>
      <xdr:row>0</xdr:row>
      <xdr:rowOff>116415</xdr:rowOff>
    </xdr:from>
    <xdr:to>
      <xdr:col>41</xdr:col>
      <xdr:colOff>486055</xdr:colOff>
      <xdr:row>33</xdr:row>
      <xdr:rowOff>101580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9CC07E-7B9F-B902-3E3E-A4649B223492}"/>
            </a:ext>
          </a:extLst>
        </xdr:cNvPr>
        <xdr:cNvSpPr>
          <a:spLocks noChangeAspect="1"/>
        </xdr:cNvSpPr>
      </xdr:nvSpPr>
      <xdr:spPr>
        <a:xfrm>
          <a:off x="24102580" y="116415"/>
          <a:ext cx="22341600" cy="12499200"/>
        </a:xfrm>
        <a:prstGeom prst="rect">
          <a:avLst/>
        </a:prstGeom>
        <a:noFill/>
        <a:ln w="76200">
          <a:prstDash val="sys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oneCellAnchor>
    <xdr:from>
      <xdr:col>1</xdr:col>
      <xdr:colOff>27213</xdr:colOff>
      <xdr:row>21</xdr:row>
      <xdr:rowOff>13607</xdr:rowOff>
    </xdr:from>
    <xdr:ext cx="14001751" cy="402771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C06C0DAA-701A-4012-9D82-F9C1F8FFC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26</xdr:col>
      <xdr:colOff>259307</xdr:colOff>
      <xdr:row>1</xdr:row>
      <xdr:rowOff>284993</xdr:rowOff>
    </xdr:from>
    <xdr:ext cx="12345444" cy="5255382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74882AA-B210-4925-9253-A7D5D1047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twoCellAnchor editAs="oneCell">
    <xdr:from>
      <xdr:col>13</xdr:col>
      <xdr:colOff>285751</xdr:colOff>
      <xdr:row>2</xdr:row>
      <xdr:rowOff>645584</xdr:rowOff>
    </xdr:from>
    <xdr:to>
      <xdr:col>15</xdr:col>
      <xdr:colOff>127000</xdr:colOff>
      <xdr:row>9</xdr:row>
      <xdr:rowOff>7560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A2374987-1987-F10F-3F26-B20F4C304E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7303751" y="1169459"/>
          <a:ext cx="1571624" cy="1965476"/>
        </a:xfrm>
        <a:prstGeom prst="rect">
          <a:avLst/>
        </a:prstGeom>
      </xdr:spPr>
    </xdr:pic>
    <xdr:clientData/>
  </xdr:twoCellAnchor>
  <xdr:twoCellAnchor editAs="oneCell">
    <xdr:from>
      <xdr:col>20</xdr:col>
      <xdr:colOff>417361</xdr:colOff>
      <xdr:row>20</xdr:row>
      <xdr:rowOff>53370</xdr:rowOff>
    </xdr:from>
    <xdr:to>
      <xdr:col>21</xdr:col>
      <xdr:colOff>1174750</xdr:colOff>
      <xdr:row>25</xdr:row>
      <xdr:rowOff>100932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E26C7D7-D4B6-4B96-9BC2-B8EED56B3F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24769611" y="7720995"/>
          <a:ext cx="1519389" cy="1873187"/>
        </a:xfrm>
        <a:prstGeom prst="rect">
          <a:avLst/>
        </a:prstGeom>
      </xdr:spPr>
    </xdr:pic>
    <xdr:clientData/>
  </xdr:twoCellAnchor>
  <xdr:oneCellAnchor>
    <xdr:from>
      <xdr:col>26</xdr:col>
      <xdr:colOff>259307</xdr:colOff>
      <xdr:row>16</xdr:row>
      <xdr:rowOff>285750</xdr:rowOff>
    </xdr:from>
    <xdr:ext cx="12385920" cy="5873750"/>
    <xdr:graphicFrame macro="">
      <xdr:nvGraphicFramePr>
        <xdr:cNvPr id="4" name="GraphAffluence" title="Graphique">
          <a:extLst>
            <a:ext uri="{FF2B5EF4-FFF2-40B4-BE49-F238E27FC236}">
              <a16:creationId xmlns:a16="http://schemas.microsoft.com/office/drawing/2014/main" id="{D6DAC9D6-E5D6-4F58-848D-ED88BAE7F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twoCellAnchor editAs="oneCell">
    <xdr:from>
      <xdr:col>0</xdr:col>
      <xdr:colOff>0</xdr:colOff>
      <xdr:row>0</xdr:row>
      <xdr:rowOff>95634</xdr:rowOff>
    </xdr:from>
    <xdr:to>
      <xdr:col>18</xdr:col>
      <xdr:colOff>234373</xdr:colOff>
      <xdr:row>33</xdr:row>
      <xdr:rowOff>82335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A8827E-67E8-4059-8F35-D0FB9E0A0E90}"/>
            </a:ext>
          </a:extLst>
        </xdr:cNvPr>
        <xdr:cNvSpPr>
          <a:spLocks noChangeAspect="1"/>
        </xdr:cNvSpPr>
      </xdr:nvSpPr>
      <xdr:spPr>
        <a:xfrm>
          <a:off x="146626" y="95634"/>
          <a:ext cx="23062623" cy="12500736"/>
        </a:xfrm>
        <a:prstGeom prst="rect">
          <a:avLst/>
        </a:prstGeom>
        <a:noFill/>
        <a:ln w="76200">
          <a:prstDash val="sys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20</xdr:col>
      <xdr:colOff>95250</xdr:colOff>
      <xdr:row>15</xdr:row>
      <xdr:rowOff>134938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20</xdr:col>
      <xdr:colOff>62821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19653" y="1088572"/>
          <a:ext cx="1885635" cy="1883914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20303" y="4076010"/>
          <a:ext cx="10631503" cy="492341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395207" y="13176482"/>
          <a:ext cx="9530844" cy="463044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81450</xdr:rowOff>
    </xdr:from>
    <xdr:to>
      <xdr:col>19</xdr:col>
      <xdr:colOff>292100</xdr:colOff>
      <xdr:row>47</xdr:row>
      <xdr:rowOff>141553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20324" y="4123139"/>
          <a:ext cx="3691067" cy="54919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80088" y="12705190"/>
          <a:ext cx="12864266" cy="481351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866775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6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4EE7DAB-EC9F-461E-B40A-BEF75CDF0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5DE94356-D4F8-4E36-909C-5D450FBE24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0FDC2839-0A6B-4B7D-859D-CF9606B48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6220E10-3C80-4D6E-ABC0-575D62C58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7738AAB3-E242-4039-B306-FE5D99F11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B7B783E-C922-4CFA-8C26-A76BF1A56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8F392535-C06F-4450-9AA0-B3BDFD4E9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71F40F2D-D407-48B5-BE75-EA348CF05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43D564C8-9904-48CC-9418-8A3438A3A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900FC93F-A6FC-4E86-9311-A358A11422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C002B46D-801A-40BB-A4CA-68BB9C368F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E17E3E26-4C12-4D44-9F89-EB1E4C01B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F19573F9-FF3A-465B-BF5E-F1E8F2C1F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59A93596-AAEB-4C9C-B418-BAF2B30BE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7829529-BBD6-43C1-8660-4DCE1DDFA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B112A3B1-F215-45F1-83D2-45A07F997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38D95D75-2E87-4EB9-BDA9-D5C19E32C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C8371409-0279-4A59-B80F-1B4A26831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F920149E-6463-4767-BA76-0DCFF587F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18438F67-6D1D-4D2D-B427-1AC9FB158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7D1BBCAF-022B-475B-83D2-6806C52D0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13232287-9B6A-4195-A39A-00B2BAFF1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4E3CD16E-7F23-41BB-B975-B4DEB963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677B369-6228-411A-A2C7-DE9D6548BC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259D9487-AF29-4B07-BB21-7CF74299E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75D8741E-0A32-4653-95D0-B8DD760A29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F5819EC6-9799-4907-A18E-61A009E8A1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866A06C0-1DFC-4B20-98E8-15FE21D0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9F5116A9-DA34-4DDF-90F4-7049AE7ACB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96745FA7-4093-4757-8DD8-7D59C37E4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3D001E1-2D79-49DA-A47C-D66E19F95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F1746E91-88C3-41FB-A294-6853DAB54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1055B31-8F80-441B-A220-E9B5826DA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419A8658-975D-4F01-9077-72D862FFB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8987D6FB-EC48-45BC-A918-80C6467E8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C6AF224-360B-4E9E-8740-9B6922A0F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N41"/>
  <sheetViews>
    <sheetView tabSelected="1" zoomScale="110" zoomScaleNormal="11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15" sqref="N15"/>
    </sheetView>
  </sheetViews>
  <sheetFormatPr baseColWidth="10" defaultColWidth="12.5703125" defaultRowHeight="15.75" customHeight="1" x14ac:dyDescent="0.2"/>
  <cols>
    <col min="1" max="1" width="7.42578125" customWidth="1"/>
    <col min="2" max="2" width="20.42578125" customWidth="1"/>
    <col min="3" max="3" width="10" customWidth="1"/>
    <col min="4" max="4" width="14.140625" customWidth="1"/>
    <col min="5" max="5" width="11.140625" customWidth="1"/>
    <col min="6" max="6" width="13.140625" customWidth="1"/>
    <col min="7" max="7" width="8.8554687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13" width="18.42578125" customWidth="1"/>
  </cols>
  <sheetData>
    <row r="1" spans="1:14" ht="13.5" thickBot="1" x14ac:dyDescent="0.25">
      <c r="A1" s="494"/>
      <c r="B1" s="495"/>
      <c r="C1" s="494"/>
      <c r="D1" s="494"/>
      <c r="E1" s="494"/>
      <c r="F1" s="494"/>
      <c r="G1" s="494"/>
      <c r="H1" s="494"/>
      <c r="I1" s="494"/>
      <c r="J1" s="494"/>
      <c r="K1" s="494"/>
      <c r="L1" s="200">
        <v>1</v>
      </c>
      <c r="M1" s="379">
        <v>2</v>
      </c>
      <c r="N1" s="238" t="s">
        <v>7</v>
      </c>
    </row>
    <row r="2" spans="1:14" ht="32.25" customHeight="1" thickBot="1" x14ac:dyDescent="0.25">
      <c r="A2" s="245" t="s">
        <v>95</v>
      </c>
      <c r="B2" s="219" t="s">
        <v>23</v>
      </c>
      <c r="C2" s="220" t="s">
        <v>0</v>
      </c>
      <c r="D2" s="201" t="s">
        <v>1</v>
      </c>
      <c r="E2" s="202" t="s">
        <v>2</v>
      </c>
      <c r="F2" s="203" t="s">
        <v>17</v>
      </c>
      <c r="G2" s="487" t="s">
        <v>4</v>
      </c>
      <c r="H2" s="488" t="s">
        <v>3</v>
      </c>
      <c r="I2" s="478" t="s">
        <v>5</v>
      </c>
      <c r="J2" s="391" t="s">
        <v>6</v>
      </c>
      <c r="K2" s="392" t="s">
        <v>96</v>
      </c>
      <c r="L2" s="624" t="s">
        <v>137</v>
      </c>
      <c r="M2" s="496" t="s">
        <v>138</v>
      </c>
      <c r="N2" s="370" t="s">
        <v>8</v>
      </c>
    </row>
    <row r="3" spans="1:14" ht="12.75" x14ac:dyDescent="0.2">
      <c r="A3" s="246">
        <v>1</v>
      </c>
      <c r="B3" s="764" t="s">
        <v>103</v>
      </c>
      <c r="C3" s="765">
        <v>553</v>
      </c>
      <c r="D3" s="204" cm="1">
        <f t="array" aca="1" ref="D3" ca="1">INDIRECT("'Bureau " &amp; ROW()-2 &amp; "'!$B$9")</f>
        <v>0</v>
      </c>
      <c r="E3" s="205" cm="1">
        <f t="array" aca="1" ref="E3" ca="1">INDIRECT("'Bureau " &amp; ROW()-2 &amp; "'!$B$8")</f>
        <v>0</v>
      </c>
      <c r="F3" s="206">
        <f t="shared" ref="F3:F14" ca="1" si="0">C3-E3</f>
        <v>553</v>
      </c>
      <c r="G3" s="490">
        <f ca="1">INDEX(INDIRECT("'Bureau "&amp;(ROW()-2)&amp;"'!13:13"),1,MATCH("Nuls",INDIRECT("'Bureau "&amp;(ROW()-2)&amp;"'!2:2"),0))</f>
        <v>0</v>
      </c>
      <c r="H3" s="491">
        <f ca="1">INDEX(INDIRECT("'Bureau "&amp;(ROW()-2)&amp;"'!13:13"),1,MATCH("Blancs",INDIRECT("'Bureau "&amp;(ROW()-2)&amp;"'!2:2"),0))</f>
        <v>0</v>
      </c>
      <c r="I3" s="479">
        <f t="shared" ref="I3:I14" ca="1" si="1">E3-H3-G3</f>
        <v>0</v>
      </c>
      <c r="J3" s="207">
        <f t="shared" ref="J3:J14" ca="1" si="2">E3/C3</f>
        <v>0</v>
      </c>
      <c r="K3" s="208">
        <f t="shared" ref="K3:K14" ca="1" si="3">F3/C3</f>
        <v>1</v>
      </c>
      <c r="L3" s="221" cm="1">
        <f t="array" aca="1" ref="L3" ca="1">INDIRECT("'Bureau " &amp; ROW()-2 &amp; "'!" &amp; ADDRESS(13,COLUMN()-7,4))</f>
        <v>0</v>
      </c>
      <c r="M3" s="386" cm="1">
        <f t="array" aca="1" ref="M3" ca="1">INDIRECT("'Bureau " &amp; ROW()-2 &amp; "'!" &amp; ADDRESS(13,COLUMN()-7,4))</f>
        <v>0</v>
      </c>
      <c r="N3" s="345" cm="1">
        <f t="array" aca="1" ref="N3" ca="1">SUM(IFERROR(L3:M3,0))</f>
        <v>0</v>
      </c>
    </row>
    <row r="4" spans="1:14" ht="12.75" x14ac:dyDescent="0.2">
      <c r="A4" s="247">
        <v>2</v>
      </c>
      <c r="B4" s="766" t="s">
        <v>26</v>
      </c>
      <c r="C4" s="767">
        <v>740</v>
      </c>
      <c r="D4" s="209" cm="1">
        <f t="array" aca="1" ref="D4" ca="1">INDIRECT("'Bureau " &amp; ROW()-2 &amp; "'!$B$9")</f>
        <v>0</v>
      </c>
      <c r="E4" s="210" cm="1">
        <f t="array" aca="1" ref="E4" ca="1">INDIRECT("'Bureau " &amp; ROW()-2 &amp; "'!$B$8")</f>
        <v>0</v>
      </c>
      <c r="F4" s="211">
        <f t="shared" ca="1" si="0"/>
        <v>740</v>
      </c>
      <c r="G4" s="484">
        <f t="shared" ref="G4:G14" ca="1" si="4">INDEX(INDIRECT("'Bureau "&amp;(ROW()-2)&amp;"'!13:13"),1,MATCH("Nuls",INDIRECT("'Bureau "&amp;(ROW()-2)&amp;"'!2:2"),0))</f>
        <v>0</v>
      </c>
      <c r="H4" s="485">
        <f ca="1">INDEX(INDIRECT("'Bureau "&amp;(ROW()-2)&amp;"'!13:13"),1,MATCH("Blancs",INDIRECT("'Bureau "&amp;(ROW()-2)&amp;"'!2:2"),0))</f>
        <v>0</v>
      </c>
      <c r="I4" s="480">
        <f t="shared" ca="1" si="1"/>
        <v>0</v>
      </c>
      <c r="J4" s="212">
        <f t="shared" ca="1" si="2"/>
        <v>0</v>
      </c>
      <c r="K4" s="213">
        <f t="shared" ca="1" si="3"/>
        <v>1</v>
      </c>
      <c r="L4" s="222" cm="1">
        <f t="array" aca="1" ref="L4" ca="1">INDIRECT("'Bureau " &amp; ROW()-2 &amp; "'!" &amp; ADDRESS(13,COLUMN()-7,4))</f>
        <v>0</v>
      </c>
      <c r="M4" s="387" cm="1">
        <f t="array" aca="1" ref="M4" ca="1">INDIRECT("'Bureau " &amp; ROW()-2 &amp; "'!" &amp; ADDRESS(13,COLUMN()-7,4))</f>
        <v>0</v>
      </c>
      <c r="N4" s="371" cm="1">
        <f t="array" aca="1" ref="N4" ca="1">SUM(IFERROR(L4:M4,0))</f>
        <v>0</v>
      </c>
    </row>
    <row r="5" spans="1:14" ht="12.75" x14ac:dyDescent="0.2">
      <c r="A5" s="247">
        <v>3</v>
      </c>
      <c r="B5" s="766" t="s">
        <v>26</v>
      </c>
      <c r="C5" s="767">
        <v>714</v>
      </c>
      <c r="D5" s="209" cm="1">
        <f t="array" aca="1" ref="D5" ca="1">INDIRECT("'Bureau " &amp; ROW()-2 &amp; "'!$B$9")</f>
        <v>0</v>
      </c>
      <c r="E5" s="210" cm="1">
        <f t="array" aca="1" ref="E5" ca="1">INDIRECT("'Bureau " &amp; ROW()-2 &amp; "'!$B$8")</f>
        <v>0</v>
      </c>
      <c r="F5" s="211">
        <f t="shared" ca="1" si="0"/>
        <v>714</v>
      </c>
      <c r="G5" s="484">
        <f t="shared" ca="1" si="4"/>
        <v>0</v>
      </c>
      <c r="H5" s="485">
        <f t="shared" ref="H5:H14" ca="1" si="5">INDEX(INDIRECT("'Bureau "&amp;(ROW()-2)&amp;"'!13:13"),1,MATCH("Blancs",INDIRECT("'Bureau "&amp;(ROW()-2)&amp;"'!2:2"),0))</f>
        <v>0</v>
      </c>
      <c r="I5" s="480">
        <f t="shared" ca="1" si="1"/>
        <v>0</v>
      </c>
      <c r="J5" s="212">
        <f t="shared" ca="1" si="2"/>
        <v>0</v>
      </c>
      <c r="K5" s="213">
        <f t="shared" ca="1" si="3"/>
        <v>1</v>
      </c>
      <c r="L5" s="222" cm="1">
        <f t="array" aca="1" ref="L5" ca="1">INDIRECT("'Bureau " &amp; ROW()-2 &amp; "'!" &amp; ADDRESS(13,COLUMN()-7,4))</f>
        <v>0</v>
      </c>
      <c r="M5" s="387" cm="1">
        <f t="array" aca="1" ref="M5" ca="1">INDIRECT("'Bureau " &amp; ROW()-2 &amp; "'!" &amp; ADDRESS(13,COLUMN()-7,4))</f>
        <v>0</v>
      </c>
      <c r="N5" s="371" cm="1">
        <f t="array" aca="1" ref="N5" ca="1">SUM(IFERROR(L5:M5,0))</f>
        <v>0</v>
      </c>
    </row>
    <row r="6" spans="1:14" ht="12.75" x14ac:dyDescent="0.2">
      <c r="A6" s="247">
        <v>4</v>
      </c>
      <c r="B6" s="766" t="s">
        <v>26</v>
      </c>
      <c r="C6" s="767">
        <v>679</v>
      </c>
      <c r="D6" s="209" cm="1">
        <f t="array" aca="1" ref="D6" ca="1">INDIRECT("'Bureau " &amp; ROW()-2 &amp; "'!$B$9")</f>
        <v>0</v>
      </c>
      <c r="E6" s="210" cm="1">
        <f t="array" aca="1" ref="E6" ca="1">INDIRECT("'Bureau " &amp; ROW()-2 &amp; "'!$B$8")</f>
        <v>0</v>
      </c>
      <c r="F6" s="211">
        <f t="shared" ca="1" si="0"/>
        <v>679</v>
      </c>
      <c r="G6" s="484">
        <f t="shared" ca="1" si="4"/>
        <v>0</v>
      </c>
      <c r="H6" s="485">
        <f t="shared" ca="1" si="5"/>
        <v>0</v>
      </c>
      <c r="I6" s="480">
        <f t="shared" ca="1" si="1"/>
        <v>0</v>
      </c>
      <c r="J6" s="212">
        <f t="shared" ca="1" si="2"/>
        <v>0</v>
      </c>
      <c r="K6" s="213">
        <f t="shared" ca="1" si="3"/>
        <v>1</v>
      </c>
      <c r="L6" s="222" cm="1">
        <f t="array" aca="1" ref="L6" ca="1">INDIRECT("'Bureau " &amp; ROW()-2 &amp; "'!" &amp; ADDRESS(13,COLUMN()-7,4))</f>
        <v>0</v>
      </c>
      <c r="M6" s="387" cm="1">
        <f t="array" aca="1" ref="M6" ca="1">INDIRECT("'Bureau " &amp; ROW()-2 &amp; "'!" &amp; ADDRESS(13,COLUMN()-7,4))</f>
        <v>0</v>
      </c>
      <c r="N6" s="371" cm="1">
        <f t="array" aca="1" ref="N6" ca="1">SUM(IFERROR(L6:M6,0))</f>
        <v>0</v>
      </c>
    </row>
    <row r="7" spans="1:14" ht="12.75" x14ac:dyDescent="0.2">
      <c r="A7" s="247">
        <v>5</v>
      </c>
      <c r="B7" s="766" t="s">
        <v>27</v>
      </c>
      <c r="C7" s="767">
        <v>701</v>
      </c>
      <c r="D7" s="209" cm="1">
        <f t="array" aca="1" ref="D7" ca="1">INDIRECT("'Bureau " &amp; ROW()-2 &amp; "'!$B$9")</f>
        <v>0</v>
      </c>
      <c r="E7" s="210" cm="1">
        <f t="array" aca="1" ref="E7" ca="1">INDIRECT("'Bureau " &amp; ROW()-2 &amp; "'!$B$8")</f>
        <v>0</v>
      </c>
      <c r="F7" s="211">
        <f t="shared" ca="1" si="0"/>
        <v>701</v>
      </c>
      <c r="G7" s="484">
        <f t="shared" ca="1" si="4"/>
        <v>0</v>
      </c>
      <c r="H7" s="485">
        <f t="shared" ca="1" si="5"/>
        <v>0</v>
      </c>
      <c r="I7" s="480">
        <f t="shared" ca="1" si="1"/>
        <v>0</v>
      </c>
      <c r="J7" s="212">
        <f t="shared" ca="1" si="2"/>
        <v>0</v>
      </c>
      <c r="K7" s="213">
        <f t="shared" ca="1" si="3"/>
        <v>1</v>
      </c>
      <c r="L7" s="222" cm="1">
        <f t="array" aca="1" ref="L7" ca="1">INDIRECT("'Bureau " &amp; ROW()-2 &amp; "'!" &amp; ADDRESS(13,COLUMN()-7,4))</f>
        <v>0</v>
      </c>
      <c r="M7" s="387" cm="1">
        <f t="array" aca="1" ref="M7" ca="1">INDIRECT("'Bureau " &amp; ROW()-2 &amp; "'!" &amp; ADDRESS(13,COLUMN()-7,4))</f>
        <v>0</v>
      </c>
      <c r="N7" s="371" cm="1">
        <f t="array" aca="1" ref="N7" ca="1">SUM(IFERROR(L7:M7,0))</f>
        <v>0</v>
      </c>
    </row>
    <row r="8" spans="1:14" ht="12.75" x14ac:dyDescent="0.2">
      <c r="A8" s="247">
        <v>6</v>
      </c>
      <c r="B8" s="766" t="s">
        <v>27</v>
      </c>
      <c r="C8" s="767">
        <v>710</v>
      </c>
      <c r="D8" s="209" cm="1">
        <f t="array" aca="1" ref="D8" ca="1">INDIRECT("'Bureau " &amp; ROW()-2 &amp; "'!$B$9")</f>
        <v>0</v>
      </c>
      <c r="E8" s="210" cm="1">
        <f t="array" aca="1" ref="E8" ca="1">INDIRECT("'Bureau " &amp; ROW()-2 &amp; "'!$B$8")</f>
        <v>0</v>
      </c>
      <c r="F8" s="211">
        <f t="shared" ca="1" si="0"/>
        <v>710</v>
      </c>
      <c r="G8" s="484">
        <f t="shared" ca="1" si="4"/>
        <v>0</v>
      </c>
      <c r="H8" s="485">
        <f t="shared" ca="1" si="5"/>
        <v>0</v>
      </c>
      <c r="I8" s="480">
        <f t="shared" ca="1" si="1"/>
        <v>0</v>
      </c>
      <c r="J8" s="212">
        <f t="shared" ca="1" si="2"/>
        <v>0</v>
      </c>
      <c r="K8" s="213">
        <f t="shared" ca="1" si="3"/>
        <v>1</v>
      </c>
      <c r="L8" s="222" cm="1">
        <f t="array" aca="1" ref="L8" ca="1">INDIRECT("'Bureau " &amp; ROW()-2 &amp; "'!" &amp; ADDRESS(13,COLUMN()-7,4))</f>
        <v>0</v>
      </c>
      <c r="M8" s="387" cm="1">
        <f t="array" aca="1" ref="M8" ca="1">INDIRECT("'Bureau " &amp; ROW()-2 &amp; "'!" &amp; ADDRESS(13,COLUMN()-7,4))</f>
        <v>0</v>
      </c>
      <c r="N8" s="371" cm="1">
        <f t="array" aca="1" ref="N8" ca="1">SUM(IFERROR(L8:M8,0))</f>
        <v>0</v>
      </c>
    </row>
    <row r="9" spans="1:14" ht="12.75" x14ac:dyDescent="0.2">
      <c r="A9" s="247">
        <v>7</v>
      </c>
      <c r="B9" s="766" t="s">
        <v>27</v>
      </c>
      <c r="C9" s="767">
        <v>731</v>
      </c>
      <c r="D9" s="209" cm="1">
        <f t="array" aca="1" ref="D9" ca="1">INDIRECT("'Bureau " &amp; ROW()-2 &amp; "'!$B$9")</f>
        <v>0</v>
      </c>
      <c r="E9" s="210" cm="1">
        <f t="array" aca="1" ref="E9" ca="1">INDIRECT("'Bureau " &amp; ROW()-2 &amp; "'!$B$8")</f>
        <v>0</v>
      </c>
      <c r="F9" s="211">
        <f t="shared" ca="1" si="0"/>
        <v>731</v>
      </c>
      <c r="G9" s="484">
        <f t="shared" ca="1" si="4"/>
        <v>0</v>
      </c>
      <c r="H9" s="485">
        <f t="shared" ca="1" si="5"/>
        <v>0</v>
      </c>
      <c r="I9" s="480">
        <f t="shared" ca="1" si="1"/>
        <v>0</v>
      </c>
      <c r="J9" s="212">
        <f t="shared" ca="1" si="2"/>
        <v>0</v>
      </c>
      <c r="K9" s="213">
        <f t="shared" ca="1" si="3"/>
        <v>1</v>
      </c>
      <c r="L9" s="222" cm="1">
        <f t="array" aca="1" ref="L9" ca="1">INDIRECT("'Bureau " &amp; ROW()-2 &amp; "'!" &amp; ADDRESS(13,COLUMN()-7,4))</f>
        <v>0</v>
      </c>
      <c r="M9" s="387" cm="1">
        <f t="array" aca="1" ref="M9" ca="1">INDIRECT("'Bureau " &amp; ROW()-2 &amp; "'!" &amp; ADDRESS(13,COLUMN()-7,4))</f>
        <v>0</v>
      </c>
      <c r="N9" s="371" cm="1">
        <f t="array" aca="1" ref="N9" ca="1">SUM(IFERROR(L9:M9,0))</f>
        <v>0</v>
      </c>
    </row>
    <row r="10" spans="1:14" ht="12.75" x14ac:dyDescent="0.2">
      <c r="A10" s="247">
        <v>8</v>
      </c>
      <c r="B10" s="766" t="s">
        <v>27</v>
      </c>
      <c r="C10" s="767">
        <v>646</v>
      </c>
      <c r="D10" s="209" cm="1">
        <f t="array" aca="1" ref="D10" ca="1">INDIRECT("'Bureau " &amp; ROW()-2 &amp; "'!$B$9")</f>
        <v>0</v>
      </c>
      <c r="E10" s="210" cm="1">
        <f t="array" aca="1" ref="E10" ca="1">INDIRECT("'Bureau " &amp; ROW()-2 &amp; "'!$B$8")</f>
        <v>0</v>
      </c>
      <c r="F10" s="211">
        <f t="shared" ca="1" si="0"/>
        <v>646</v>
      </c>
      <c r="G10" s="484">
        <f t="shared" ca="1" si="4"/>
        <v>0</v>
      </c>
      <c r="H10" s="485">
        <f t="shared" ca="1" si="5"/>
        <v>0</v>
      </c>
      <c r="I10" s="480">
        <f t="shared" ca="1" si="1"/>
        <v>0</v>
      </c>
      <c r="J10" s="212">
        <f t="shared" ca="1" si="2"/>
        <v>0</v>
      </c>
      <c r="K10" s="213">
        <f t="shared" ca="1" si="3"/>
        <v>1</v>
      </c>
      <c r="L10" s="222" cm="1">
        <f t="array" aca="1" ref="L10" ca="1">INDIRECT("'Bureau " &amp; ROW()-2 &amp; "'!" &amp; ADDRESS(13,COLUMN()-7,4))</f>
        <v>0</v>
      </c>
      <c r="M10" s="387" cm="1">
        <f t="array" aca="1" ref="M10" ca="1">INDIRECT("'Bureau " &amp; ROW()-2 &amp; "'!" &amp; ADDRESS(13,COLUMN()-7,4))</f>
        <v>0</v>
      </c>
      <c r="N10" s="371" cm="1">
        <f t="array" aca="1" ref="N10" ca="1">SUM(IFERROR(L10:M10,0))</f>
        <v>0</v>
      </c>
    </row>
    <row r="11" spans="1:14" ht="12.75" x14ac:dyDescent="0.2">
      <c r="A11" s="247">
        <v>9</v>
      </c>
      <c r="B11" s="766" t="s">
        <v>28</v>
      </c>
      <c r="C11" s="767">
        <v>710</v>
      </c>
      <c r="D11" s="209" cm="1">
        <f t="array" aca="1" ref="D11" ca="1">INDIRECT("'Bureau " &amp; ROW()-2 &amp; "'!$B$9")</f>
        <v>0</v>
      </c>
      <c r="E11" s="210" cm="1">
        <f t="array" aca="1" ref="E11" ca="1">INDIRECT("'Bureau " &amp; ROW()-2 &amp; "'!$B$8")</f>
        <v>0</v>
      </c>
      <c r="F11" s="211">
        <f t="shared" ca="1" si="0"/>
        <v>710</v>
      </c>
      <c r="G11" s="484">
        <f t="shared" ca="1" si="4"/>
        <v>0</v>
      </c>
      <c r="H11" s="485">
        <f t="shared" ca="1" si="5"/>
        <v>0</v>
      </c>
      <c r="I11" s="480">
        <f t="shared" ca="1" si="1"/>
        <v>0</v>
      </c>
      <c r="J11" s="212">
        <f t="shared" ca="1" si="2"/>
        <v>0</v>
      </c>
      <c r="K11" s="213">
        <f t="shared" ca="1" si="3"/>
        <v>1</v>
      </c>
      <c r="L11" s="222" cm="1">
        <f t="array" aca="1" ref="L11" ca="1">INDIRECT("'Bureau " &amp; ROW()-2 &amp; "'!" &amp; ADDRESS(13,COLUMN()-7,4))</f>
        <v>0</v>
      </c>
      <c r="M11" s="387" cm="1">
        <f t="array" aca="1" ref="M11" ca="1">INDIRECT("'Bureau " &amp; ROW()-2 &amp; "'!" &amp; ADDRESS(13,COLUMN()-7,4))</f>
        <v>0</v>
      </c>
      <c r="N11" s="371" cm="1">
        <f t="array" aca="1" ref="N11" ca="1">SUM(IFERROR(L11:M11,0))</f>
        <v>0</v>
      </c>
    </row>
    <row r="12" spans="1:14" ht="12.75" x14ac:dyDescent="0.2">
      <c r="A12" s="247">
        <v>10</v>
      </c>
      <c r="B12" s="766" t="s">
        <v>28</v>
      </c>
      <c r="C12" s="767">
        <v>609</v>
      </c>
      <c r="D12" s="209" cm="1">
        <f t="array" aca="1" ref="D12" ca="1">INDIRECT("'Bureau " &amp; ROW()-2 &amp; "'!$B$9")</f>
        <v>0</v>
      </c>
      <c r="E12" s="210" cm="1">
        <f t="array" aca="1" ref="E12" ca="1">INDIRECT("'Bureau " &amp; ROW()-2 &amp; "'!$B$8")</f>
        <v>0</v>
      </c>
      <c r="F12" s="211">
        <f t="shared" ca="1" si="0"/>
        <v>609</v>
      </c>
      <c r="G12" s="484">
        <f t="shared" ca="1" si="4"/>
        <v>0</v>
      </c>
      <c r="H12" s="485">
        <f t="shared" ca="1" si="5"/>
        <v>0</v>
      </c>
      <c r="I12" s="480">
        <f t="shared" ca="1" si="1"/>
        <v>0</v>
      </c>
      <c r="J12" s="212">
        <f t="shared" ca="1" si="2"/>
        <v>0</v>
      </c>
      <c r="K12" s="213">
        <f t="shared" ca="1" si="3"/>
        <v>1</v>
      </c>
      <c r="L12" s="222" cm="1">
        <f t="array" aca="1" ref="L12" ca="1">INDIRECT("'Bureau " &amp; ROW()-2 &amp; "'!" &amp; ADDRESS(13,COLUMN()-7,4))</f>
        <v>0</v>
      </c>
      <c r="M12" s="387" cm="1">
        <f t="array" aca="1" ref="M12" ca="1">INDIRECT("'Bureau " &amp; ROW()-2 &amp; "'!" &amp; ADDRESS(13,COLUMN()-7,4))</f>
        <v>0</v>
      </c>
      <c r="N12" s="371" cm="1">
        <f t="array" aca="1" ref="N12" ca="1">SUM(IFERROR(L12:M12,0))</f>
        <v>0</v>
      </c>
    </row>
    <row r="13" spans="1:14" ht="12.75" x14ac:dyDescent="0.2">
      <c r="A13" s="247">
        <v>11</v>
      </c>
      <c r="B13" s="766" t="s">
        <v>28</v>
      </c>
      <c r="C13" s="767">
        <v>691</v>
      </c>
      <c r="D13" s="209" cm="1">
        <f t="array" aca="1" ref="D13" ca="1">INDIRECT("'Bureau " &amp; ROW()-2 &amp; "'!$B$9")</f>
        <v>0</v>
      </c>
      <c r="E13" s="210" cm="1">
        <f t="array" aca="1" ref="E13" ca="1">INDIRECT("'Bureau " &amp; ROW()-2 &amp; "'!$B$8")</f>
        <v>0</v>
      </c>
      <c r="F13" s="211">
        <f t="shared" ca="1" si="0"/>
        <v>691</v>
      </c>
      <c r="G13" s="484">
        <f t="shared" ca="1" si="4"/>
        <v>0</v>
      </c>
      <c r="H13" s="485">
        <f t="shared" ca="1" si="5"/>
        <v>0</v>
      </c>
      <c r="I13" s="480">
        <f t="shared" ca="1" si="1"/>
        <v>0</v>
      </c>
      <c r="J13" s="212">
        <f t="shared" ca="1" si="2"/>
        <v>0</v>
      </c>
      <c r="K13" s="213">
        <f t="shared" ca="1" si="3"/>
        <v>1</v>
      </c>
      <c r="L13" s="222" cm="1">
        <f t="array" aca="1" ref="L13" ca="1">INDIRECT("'Bureau " &amp; ROW()-2 &amp; "'!" &amp; ADDRESS(13,COLUMN()-7,4))</f>
        <v>0</v>
      </c>
      <c r="M13" s="387" cm="1">
        <f t="array" aca="1" ref="M13" ca="1">INDIRECT("'Bureau " &amp; ROW()-2 &amp; "'!" &amp; ADDRESS(13,COLUMN()-7,4))</f>
        <v>0</v>
      </c>
      <c r="N13" s="371" cm="1">
        <f t="array" aca="1" ref="N13" ca="1">SUM(IFERROR(L13:M13,0))</f>
        <v>0</v>
      </c>
    </row>
    <row r="14" spans="1:14" ht="13.5" thickBot="1" x14ac:dyDescent="0.25">
      <c r="A14" s="248">
        <v>12</v>
      </c>
      <c r="B14" s="768" t="s">
        <v>29</v>
      </c>
      <c r="C14" s="769">
        <v>681</v>
      </c>
      <c r="D14" s="214" cm="1">
        <f t="array" aca="1" ref="D14" ca="1">INDIRECT("'Bureau " &amp; ROW()-2 &amp; "'!$B$9")</f>
        <v>0</v>
      </c>
      <c r="E14" s="215" cm="1">
        <f t="array" aca="1" ref="E14" ca="1">INDIRECT("'Bureau " &amp; ROW()-2 &amp; "'!$B$8")</f>
        <v>0</v>
      </c>
      <c r="F14" s="216">
        <f t="shared" ca="1" si="0"/>
        <v>681</v>
      </c>
      <c r="G14" s="492">
        <f t="shared" ca="1" si="4"/>
        <v>0</v>
      </c>
      <c r="H14" s="493">
        <f t="shared" ca="1" si="5"/>
        <v>0</v>
      </c>
      <c r="I14" s="481">
        <f t="shared" ca="1" si="1"/>
        <v>0</v>
      </c>
      <c r="J14" s="217">
        <f t="shared" ca="1" si="2"/>
        <v>0</v>
      </c>
      <c r="K14" s="218">
        <f t="shared" ca="1" si="3"/>
        <v>1</v>
      </c>
      <c r="L14" s="223" cm="1">
        <f t="array" aca="1" ref="L14" ca="1">INDIRECT("'Bureau " &amp; ROW()-2 &amp; "'!" &amp; ADDRESS(13,COLUMN()-7,4))</f>
        <v>0</v>
      </c>
      <c r="M14" s="388" cm="1">
        <f t="array" aca="1" ref="M14" ca="1">INDIRECT("'Bureau " &amp; ROW()-2 &amp; "'!" &amp; ADDRESS(13,COLUMN()-7,4))</f>
        <v>0</v>
      </c>
      <c r="N14" s="372" cm="1">
        <f t="array" aca="1" ref="N14" ca="1">SUM(IFERROR(L14:M14,0))</f>
        <v>0</v>
      </c>
    </row>
    <row r="15" spans="1:14" ht="18.75" x14ac:dyDescent="0.3">
      <c r="A15" s="374"/>
      <c r="B15" s="376" t="s">
        <v>9</v>
      </c>
      <c r="C15" s="360" cm="1">
        <f t="array" ref="C15">SUM(IFERROR(C3:C14,0))</f>
        <v>8165</v>
      </c>
      <c r="D15" s="351" cm="1">
        <f t="array" aca="1" ref="D15" ca="1">SUM(IFERROR(D3:D14,0))</f>
        <v>0</v>
      </c>
      <c r="E15" s="352" cm="1">
        <f t="array" aca="1" ref="E15" ca="1">SUM(IFERROR(E3:E14,0))</f>
        <v>0</v>
      </c>
      <c r="F15" s="352" cm="1">
        <f t="array" aca="1" ref="F15" ca="1">SUM(IFERROR(F3:F14,0))</f>
        <v>8165</v>
      </c>
      <c r="G15" s="351" cm="1">
        <f t="array" aca="1" ref="G15" ca="1">SUM(IFERROR(G3:G14,0))</f>
        <v>0</v>
      </c>
      <c r="H15" s="489" cm="1">
        <f t="array" aca="1" ref="H15" ca="1">SUM(IFERROR(H3:H14,0))</f>
        <v>0</v>
      </c>
      <c r="I15" s="482" cm="1">
        <f t="array" aca="1" ref="I15" ca="1">SUM(IFERROR(I3:I14,0))</f>
        <v>0</v>
      </c>
      <c r="J15" s="353">
        <f ca="1">E15</f>
        <v>0</v>
      </c>
      <c r="K15" s="354" cm="1">
        <f t="array" aca="1" ref="K15" ca="1">SUM(IFERROR(F3:F14,0))</f>
        <v>8165</v>
      </c>
      <c r="L15" s="380" cm="1">
        <f t="array" aca="1" ref="L15" ca="1">SUM(IFERROR(L3:L14,0))</f>
        <v>0</v>
      </c>
      <c r="M15" s="389" cm="1">
        <f t="array" aca="1" ref="M15" ca="1">SUM(IFERROR(M3:M14,0))</f>
        <v>0</v>
      </c>
      <c r="N15" s="355" cm="1">
        <f t="array" aca="1" ref="N15" ca="1">SUM(IFERROR(N3:N14,0))</f>
        <v>0</v>
      </c>
    </row>
    <row r="16" spans="1:14" ht="19.5" thickBot="1" x14ac:dyDescent="0.35">
      <c r="A16" s="375"/>
      <c r="B16" s="383" t="s">
        <v>10</v>
      </c>
      <c r="C16" s="361"/>
      <c r="D16" s="356">
        <f t="shared" ref="D16:K16" ca="1" si="6">D15/$C15</f>
        <v>0</v>
      </c>
      <c r="E16" s="357">
        <f t="shared" ca="1" si="6"/>
        <v>0</v>
      </c>
      <c r="F16" s="357">
        <f t="shared" ca="1" si="6"/>
        <v>1</v>
      </c>
      <c r="G16" s="356">
        <f ca="1">G15/$C15</f>
        <v>0</v>
      </c>
      <c r="H16" s="486">
        <f ca="1">H15/$C15</f>
        <v>0</v>
      </c>
      <c r="I16" s="483">
        <f t="shared" ca="1" si="6"/>
        <v>0</v>
      </c>
      <c r="J16" s="358">
        <f t="shared" ca="1" si="6"/>
        <v>0</v>
      </c>
      <c r="K16" s="359">
        <f t="shared" ca="1" si="6"/>
        <v>1</v>
      </c>
      <c r="L16" s="381">
        <f ca="1">IFERROR(L15/$I15,0)</f>
        <v>0</v>
      </c>
      <c r="M16" s="390">
        <f t="shared" ref="L16:M16" ca="1" si="7">IFERROR(M15/$I15,0)</f>
        <v>0</v>
      </c>
      <c r="N16" s="373">
        <f t="shared" ref="N16" ca="1" si="8">IFERROR(N15/$I15,0)</f>
        <v>0</v>
      </c>
    </row>
    <row r="17" spans="1:14" ht="20.25" customHeight="1" x14ac:dyDescent="0.2">
      <c r="A17" s="239" t="s">
        <v>11</v>
      </c>
      <c r="B17" s="242">
        <v>46103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ht="20.25" customHeight="1" x14ac:dyDescent="0.2">
      <c r="A18" s="240" t="s">
        <v>12</v>
      </c>
      <c r="B18" s="243" t="s">
        <v>181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t="20.25" customHeight="1" x14ac:dyDescent="0.2">
      <c r="A19" s="645" t="s">
        <v>150</v>
      </c>
      <c r="B19" s="646">
        <v>2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21" customHeight="1" thickBot="1" x14ac:dyDescent="0.25">
      <c r="A20" s="241" t="s">
        <v>13</v>
      </c>
      <c r="B20" s="244" t="s">
        <v>14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12.75" x14ac:dyDescent="0.2">
      <c r="A21" s="1"/>
      <c r="B21" s="1"/>
      <c r="C21" s="4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12.75" customHeight="1" x14ac:dyDescent="0.2">
      <c r="A22" s="1"/>
      <c r="B22" s="1"/>
      <c r="C22" s="3"/>
      <c r="E22" s="2"/>
      <c r="F22" s="2"/>
      <c r="G22" s="1"/>
      <c r="H22" s="1"/>
      <c r="I22" s="1"/>
      <c r="J22" s="1"/>
      <c r="K22" s="1"/>
      <c r="L22" s="1"/>
      <c r="M22" s="1"/>
      <c r="N22" s="1"/>
    </row>
    <row r="23" spans="1:14" ht="12.75" x14ac:dyDescent="0.2">
      <c r="A23" s="1"/>
      <c r="B23" s="1"/>
      <c r="C23" s="4"/>
      <c r="E23" s="5"/>
      <c r="F23" s="5"/>
      <c r="G23" s="1"/>
      <c r="H23" s="1"/>
      <c r="I23" s="1"/>
      <c r="J23" s="1"/>
      <c r="K23" s="1"/>
      <c r="L23" s="1"/>
      <c r="M23" s="1"/>
      <c r="N23" s="1"/>
    </row>
    <row r="24" spans="1:14" ht="12.75" x14ac:dyDescent="0.2">
      <c r="A24" s="1"/>
      <c r="B24" s="1"/>
      <c r="C24" s="6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12.75" x14ac:dyDescent="0.2">
      <c r="A25" s="23" t="s">
        <v>24</v>
      </c>
      <c r="B25" s="24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12.75" x14ac:dyDescent="0.2">
      <c r="A26" s="23" t="s">
        <v>25</v>
      </c>
      <c r="B26" s="24"/>
      <c r="C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12.75" x14ac:dyDescent="0.2">
      <c r="A27" s="1"/>
      <c r="B27" s="7"/>
      <c r="C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12.75" x14ac:dyDescent="0.2">
      <c r="A28" s="1"/>
      <c r="B28" s="7"/>
      <c r="C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12.75" x14ac:dyDescent="0.2">
      <c r="A29" s="1"/>
      <c r="B29" s="7"/>
      <c r="C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t="12.75" x14ac:dyDescent="0.2">
      <c r="A30" s="1"/>
      <c r="B30" s="7"/>
      <c r="C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t="12.75" x14ac:dyDescent="0.2">
      <c r="A31" s="25" t="s">
        <v>18</v>
      </c>
      <c r="B31" s="26"/>
      <c r="C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ht="12.75" x14ac:dyDescent="0.2">
      <c r="A32" s="27" t="s">
        <v>19</v>
      </c>
      <c r="B32" s="26"/>
      <c r="C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ht="12.75" x14ac:dyDescent="0.2">
      <c r="A33" s="25" t="s">
        <v>20</v>
      </c>
      <c r="B33" s="26"/>
      <c r="C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5" spans="1:14" ht="15.75" customHeight="1" x14ac:dyDescent="0.2">
      <c r="F35" s="347" t="s">
        <v>121</v>
      </c>
      <c r="G35" s="778">
        <v>0.5</v>
      </c>
    </row>
    <row r="36" spans="1:14" ht="15.75" customHeight="1" x14ac:dyDescent="0.2">
      <c r="F36" s="348" t="s">
        <v>119</v>
      </c>
      <c r="G36" s="778"/>
    </row>
    <row r="37" spans="1:14" ht="15.75" customHeight="1" x14ac:dyDescent="0.2">
      <c r="F37" s="349" t="s">
        <v>120</v>
      </c>
      <c r="G37" s="778"/>
    </row>
    <row r="38" spans="1:14" ht="15.75" customHeight="1" x14ac:dyDescent="0.2">
      <c r="F38" s="350" t="s">
        <v>122</v>
      </c>
      <c r="G38" s="779" t="s">
        <v>139</v>
      </c>
    </row>
    <row r="39" spans="1:14" ht="15.75" customHeight="1" thickBot="1" x14ac:dyDescent="0.25"/>
    <row r="40" spans="1:14" ht="15.75" customHeight="1" x14ac:dyDescent="0.2">
      <c r="F40" s="377" t="s">
        <v>124</v>
      </c>
      <c r="G40" s="384">
        <f>MATCH("Total exprimé",2:2,0)-12</f>
        <v>2</v>
      </c>
    </row>
    <row r="41" spans="1:14" ht="15.75" customHeight="1" thickBot="1" x14ac:dyDescent="0.25">
      <c r="F41" s="378" t="s">
        <v>123</v>
      </c>
      <c r="G41" s="385">
        <f>MATCH("TOTAL",B:B,0)-3</f>
        <v>12</v>
      </c>
    </row>
  </sheetData>
  <sheetProtection algorithmName="SHA-512" hashValue="BCXaaZ6mCfI78bnLrJd/Zo+rhrb+HX9w/DI2ep3D/skOba93njV5/EJAu3PqZImxjDFgc4mbsB8kFnE6UHyvUA==" saltValue="YM3vPf89kZX6V6oq5+xYZw==" spinCount="100000" sheet="1" objects="1" scenarios="1"/>
  <phoneticPr fontId="26" type="noConversion"/>
  <conditionalFormatting sqref="N16 D16:K16">
    <cfRule type="cellIs" dxfId="481" priority="32" operator="notBetween">
      <formula>0</formula>
      <formula>1</formula>
    </cfRule>
  </conditionalFormatting>
  <conditionalFormatting sqref="J3:J14">
    <cfRule type="cellIs" dxfId="480" priority="38" operator="notBetween">
      <formula>0</formula>
      <formula>"100%"</formula>
    </cfRule>
  </conditionalFormatting>
  <conditionalFormatting sqref="N3:N14">
    <cfRule type="cellIs" dxfId="479" priority="18" operator="equal">
      <formula>I3</formula>
    </cfRule>
  </conditionalFormatting>
  <conditionalFormatting sqref="N3:N16 L15:M16">
    <cfRule type="cellIs" dxfId="478" priority="3" operator="equal">
      <formula>0</formula>
    </cfRule>
  </conditionalFormatting>
  <conditionalFormatting sqref="N15">
    <cfRule type="cellIs" dxfId="477" priority="15" operator="lessThan">
      <formula>I15</formula>
    </cfRule>
    <cfRule type="cellIs" dxfId="476" priority="17" operator="equal">
      <formula>$I$15</formula>
    </cfRule>
  </conditionalFormatting>
  <conditionalFormatting sqref="N16">
    <cfRule type="cellIs" dxfId="475" priority="31" operator="equal">
      <formula>1</formula>
    </cfRule>
    <cfRule type="cellIs" dxfId="474" priority="36" operator="lessThan">
      <formula>1</formula>
    </cfRule>
  </conditionalFormatting>
  <conditionalFormatting sqref="L16:M16">
    <cfRule type="cellIs" dxfId="473" priority="9" operator="greaterThan">
      <formula>"100%"</formula>
    </cfRule>
  </conditionalFormatting>
  <conditionalFormatting sqref="C15:F16 D3:F14 G3:N16">
    <cfRule type="cellIs" dxfId="472" priority="4" operator="lessThan">
      <formula>0</formula>
    </cfRule>
  </conditionalFormatting>
  <conditionalFormatting sqref="J16">
    <cfRule type="cellIs" dxfId="471" priority="2" operator="greaterThan">
      <formula>0.25</formula>
    </cfRule>
  </conditionalFormatting>
  <conditionalFormatting sqref="J15">
    <cfRule type="cellIs" dxfId="470" priority="1" operator="greaterThan">
      <formula>0.25*$C$15</formula>
    </cfRule>
  </conditionalFormatting>
  <conditionalFormatting sqref="L16:M16">
    <cfRule type="top10" dxfId="469" priority="607" rank="1"/>
    <cfRule type="cellIs" dxfId="468" priority="608" operator="lessThanOrEqual">
      <formula>$G$35</formula>
    </cfRule>
    <cfRule type="cellIs" dxfId="467" priority="609" operator="greaterThan">
      <formula>$G$37</formula>
    </cfRule>
    <cfRule type="cellIs" dxfId="466" priority="610" operator="greaterThan">
      <formula>$G$36</formula>
    </cfRule>
  </conditionalFormatting>
  <conditionalFormatting sqref="L15:M15">
    <cfRule type="top10" dxfId="465" priority="617" rank="1"/>
    <cfRule type="cellIs" dxfId="464" priority="618" operator="lessThanOrEqual">
      <formula>$I$15*$G$35</formula>
    </cfRule>
    <cfRule type="cellIs" dxfId="463" priority="619" operator="greaterThan">
      <formula>$I$15*$G$37</formula>
    </cfRule>
    <cfRule type="cellIs" dxfId="462" priority="620" operator="greaterThan">
      <formula>$I$15*$G$36</formula>
    </cfRule>
  </conditionalFormatting>
  <pageMargins left="0.25" right="0.25" top="0.75" bottom="0.75" header="0.3" footer="0.3"/>
  <pageSetup paperSize="9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imulationDepouillement">
                <anchor moveWithCells="1">
                  <from>
                    <xdr:col>16</xdr:col>
                    <xdr:colOff>142875</xdr:colOff>
                    <xdr:row>2</xdr:row>
                    <xdr:rowOff>152400</xdr:rowOff>
                  </from>
                  <to>
                    <xdr:col>17</xdr:col>
                    <xdr:colOff>495300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initialiserDepouillement">
                <anchor moveWithCells="1">
                  <from>
                    <xdr:col>16</xdr:col>
                    <xdr:colOff>152400</xdr:colOff>
                    <xdr:row>6</xdr:row>
                    <xdr:rowOff>28575</xdr:rowOff>
                  </from>
                  <to>
                    <xdr:col>17</xdr:col>
                    <xdr:colOff>504825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niformiserCouleursDepouillement_parPoint">
                <anchor moveWithCells="1" sizeWithCells="1">
                  <from>
                    <xdr:col>15</xdr:col>
                    <xdr:colOff>619125</xdr:colOff>
                    <xdr:row>10</xdr:row>
                    <xdr:rowOff>57150</xdr:rowOff>
                  </from>
                  <to>
                    <xdr:col>17</xdr:col>
                    <xdr:colOff>828675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65"/>
  <sheetViews>
    <sheetView topLeftCell="A21" zoomScale="90" zoomScaleNormal="90" workbookViewId="0">
      <selection activeCell="AH53" sqref="AH53"/>
    </sheetView>
  </sheetViews>
  <sheetFormatPr baseColWidth="10" defaultColWidth="13.7109375" defaultRowHeight="15.75" customHeight="1" x14ac:dyDescent="0.2"/>
  <cols>
    <col min="1" max="1" width="8.140625" bestFit="1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7" width="8.7109375" bestFit="1" customWidth="1"/>
    <col min="8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791" t="s">
        <v>15</v>
      </c>
      <c r="B1" s="792"/>
      <c r="C1" s="802" t="s">
        <v>2</v>
      </c>
      <c r="D1" s="799"/>
      <c r="E1" s="790"/>
      <c r="F1" s="44" t="s">
        <v>0</v>
      </c>
      <c r="G1" s="791" t="s">
        <v>32</v>
      </c>
      <c r="H1" s="792"/>
      <c r="I1" s="791" t="s">
        <v>33</v>
      </c>
      <c r="J1" s="792"/>
      <c r="K1" s="791" t="s">
        <v>34</v>
      </c>
      <c r="L1" s="792"/>
      <c r="M1" s="789" t="s">
        <v>35</v>
      </c>
      <c r="N1" s="790"/>
      <c r="O1" s="791" t="s">
        <v>36</v>
      </c>
      <c r="P1" s="792"/>
      <c r="Q1" s="789" t="s">
        <v>37</v>
      </c>
      <c r="R1" s="799"/>
      <c r="S1" s="800" t="s">
        <v>38</v>
      </c>
      <c r="T1" s="801"/>
      <c r="U1" s="802" t="s">
        <v>39</v>
      </c>
      <c r="V1" s="790"/>
      <c r="W1" s="791" t="s">
        <v>40</v>
      </c>
      <c r="X1" s="792"/>
      <c r="Y1" s="789" t="s">
        <v>41</v>
      </c>
      <c r="Z1" s="790"/>
      <c r="AA1" s="808" t="s">
        <v>42</v>
      </c>
      <c r="AB1" s="809"/>
      <c r="AC1" s="810" t="s">
        <v>43</v>
      </c>
      <c r="AD1" s="811"/>
      <c r="AE1" s="80" t="s">
        <v>15</v>
      </c>
      <c r="AF1" s="81" t="s">
        <v>32</v>
      </c>
      <c r="AG1" s="82" t="s">
        <v>33</v>
      </c>
      <c r="AH1" s="82" t="s">
        <v>34</v>
      </c>
      <c r="AI1" s="82" t="s">
        <v>35</v>
      </c>
      <c r="AJ1" s="82" t="s">
        <v>36</v>
      </c>
      <c r="AK1" s="82" t="s">
        <v>37</v>
      </c>
      <c r="AL1" s="82" t="s">
        <v>38</v>
      </c>
      <c r="AM1" s="82" t="s">
        <v>39</v>
      </c>
      <c r="AN1" s="82" t="s">
        <v>40</v>
      </c>
      <c r="AO1" s="83" t="s">
        <v>41</v>
      </c>
      <c r="AP1" s="73" t="s">
        <v>42</v>
      </c>
      <c r="AQ1" s="72" t="s">
        <v>43</v>
      </c>
    </row>
    <row r="2" spans="1:43" ht="15.75" customHeight="1" x14ac:dyDescent="0.2">
      <c r="A2" s="28">
        <v>1</v>
      </c>
      <c r="B2" s="29" t="str">
        <f>Synthèse!B3</f>
        <v>Ecole Chabaud</v>
      </c>
      <c r="C2" s="311">
        <f ca="1">MAX(G2,I2,K2,M2,O2,Q2,S2,U2,W2,Y2,AA2,AC2)</f>
        <v>0</v>
      </c>
      <c r="D2" s="14">
        <f t="shared" ref="D2:D14" ca="1" si="0">C2/$F2</f>
        <v>0</v>
      </c>
      <c r="E2" s="17">
        <f ca="1">D2</f>
        <v>0</v>
      </c>
      <c r="F2" s="312">
        <f>Synthèse!C3</f>
        <v>553</v>
      </c>
      <c r="G2" s="313">
        <f ca="1">INDIRECT("'Bureau " &amp; ROW()-1 &amp; "'!" &amp; ADDRESS(4,Synthèse!$G$40+10,4))</f>
        <v>0</v>
      </c>
      <c r="H2" s="35">
        <f t="shared" ref="H2:H13" ca="1" si="1">G2/$F2</f>
        <v>0</v>
      </c>
      <c r="I2" s="314">
        <f ca="1">INDIRECT("'Bureau " &amp; ROW()-1 &amp; "'!" &amp; ADDRESS(5,Synthèse!$G$40+10,4))</f>
        <v>0</v>
      </c>
      <c r="J2" s="35">
        <f ca="1">I2/$F2</f>
        <v>0</v>
      </c>
      <c r="K2" s="314">
        <f ca="1">INDIRECT("'Bureau " &amp; ROW()-1 &amp; "'!" &amp; ADDRESS(6,Synthèse!$G$40+10,4))</f>
        <v>0</v>
      </c>
      <c r="L2" s="36">
        <f ca="1">K2/$F2</f>
        <v>0</v>
      </c>
      <c r="M2" s="315">
        <f ca="1">INDIRECT("'Bureau " &amp; ROW()-1 &amp; "'!" &amp; ADDRESS(7,Synthèse!$G$40+10,4))</f>
        <v>0</v>
      </c>
      <c r="N2" s="47">
        <f ca="1">M2/$F2</f>
        <v>0</v>
      </c>
      <c r="O2" s="316">
        <f ca="1">INDIRECT("'Bureau " &amp; ROW()-1 &amp; "'!" &amp; ADDRESS(8,Synthèse!$G$40+10,4))</f>
        <v>0</v>
      </c>
      <c r="P2" s="36">
        <f ca="1">O2/$F2</f>
        <v>0</v>
      </c>
      <c r="Q2" s="315">
        <f ca="1">INDIRECT("'Bureau " &amp; ROW()-1 &amp; "'!" &amp; ADDRESS(9,Synthèse!$G$40+10,4))</f>
        <v>0</v>
      </c>
      <c r="R2" s="47">
        <f ca="1">Q2/$F2</f>
        <v>0</v>
      </c>
      <c r="S2" s="317">
        <f ca="1">INDIRECT("'Bureau " &amp; ROW()-1 &amp; "'!" &amp; ADDRESS(10,Synthèse!$G$40+10,4))</f>
        <v>0</v>
      </c>
      <c r="T2" s="60">
        <f ca="1">S2/$F2</f>
        <v>0</v>
      </c>
      <c r="U2" s="315">
        <f ca="1">INDIRECT("'Bureau " &amp; ROW()-1 &amp; "'!" &amp; ADDRESS(11,Synthèse!$G$40+10,4))</f>
        <v>0</v>
      </c>
      <c r="V2" s="47">
        <f ca="1">U2/$F2</f>
        <v>0</v>
      </c>
      <c r="W2" s="316">
        <f ca="1">INDIRECT("'Bureau " &amp; ROW()-1 &amp; "'!" &amp; ADDRESS(12,Synthèse!$G$40+10,4))</f>
        <v>0</v>
      </c>
      <c r="X2" s="36">
        <f ca="1">W2/$F2</f>
        <v>0</v>
      </c>
      <c r="Y2" s="318">
        <f ca="1">INDIRECT("'Bureau " &amp; ROW()-1 &amp; "'!" &amp; ADDRESS(13,Synthèse!$G$40+10,4))</f>
        <v>0</v>
      </c>
      <c r="Z2" s="61">
        <f ca="1">Y2/$F2</f>
        <v>0</v>
      </c>
      <c r="AA2" s="78">
        <f ca="1">INDIRECT("'Bureau " &amp; ROW()-1 &amp; "'!" &amp; ADDRESS(14,Synthèse!$G$40+10,4))</f>
        <v>0</v>
      </c>
      <c r="AB2" s="41">
        <f ca="1">AA2/$F2</f>
        <v>0</v>
      </c>
      <c r="AC2" s="79">
        <f ca="1">INDIRECT("'Bureau " &amp; ROW()-1 &amp; "'!" &amp; ADDRESS(15,Synthèse!$G$40+10,4))</f>
        <v>0</v>
      </c>
      <c r="AD2" s="67">
        <f ca="1">AC2/$F2</f>
        <v>0</v>
      </c>
      <c r="AE2" s="84">
        <v>1</v>
      </c>
      <c r="AF2" s="85">
        <v>5.9674502712477394E-2</v>
      </c>
      <c r="AG2" s="86">
        <v>0.1410488245931284</v>
      </c>
      <c r="AH2" s="86">
        <v>0.23508137432188064</v>
      </c>
      <c r="AI2" s="86">
        <v>0.33634719710669075</v>
      </c>
      <c r="AJ2" s="86">
        <v>0.37793851717902349</v>
      </c>
      <c r="AK2" s="86">
        <v>0.42495479204339964</v>
      </c>
      <c r="AL2" s="86">
        <v>0.46292947558770342</v>
      </c>
      <c r="AM2" s="86">
        <v>0.50994575045207957</v>
      </c>
      <c r="AN2" s="86">
        <v>0.54792043399638335</v>
      </c>
      <c r="AO2" s="87">
        <v>0.58408679927667273</v>
      </c>
      <c r="AP2" s="74">
        <v>0</v>
      </c>
      <c r="AQ2" s="71">
        <v>0</v>
      </c>
    </row>
    <row r="3" spans="1:43" ht="15.75" customHeight="1" x14ac:dyDescent="0.2">
      <c r="A3" s="28">
        <v>2</v>
      </c>
      <c r="B3" s="29" t="str">
        <f>Synthèse!B4</f>
        <v>Gymnase B</v>
      </c>
      <c r="C3" s="319">
        <f t="shared" ref="C3:C13" ca="1" si="2">MAX(G3,I3,K3,M3,O3,Q3,S3,U3,W3,Y3,AA3,AC3)</f>
        <v>0</v>
      </c>
      <c r="D3" s="15">
        <f t="shared" ca="1" si="0"/>
        <v>0</v>
      </c>
      <c r="E3" s="18">
        <f t="shared" ref="E3:E14" ca="1" si="3">D3</f>
        <v>0</v>
      </c>
      <c r="F3" s="320">
        <f>Synthèse!C4</f>
        <v>740</v>
      </c>
      <c r="G3" s="313">
        <f ca="1">INDIRECT("'Bureau " &amp; ROW()-1 &amp; "'!" &amp; ADDRESS(4,Synthèse!$G$40+10,4))</f>
        <v>0</v>
      </c>
      <c r="H3" s="37">
        <f t="shared" ca="1" si="1"/>
        <v>0</v>
      </c>
      <c r="I3" s="314">
        <f ca="1">INDIRECT("'Bureau " &amp; ROW()-1 &amp; "'!" &amp; ADDRESS(5,Synthèse!$G$40+10,4))</f>
        <v>0</v>
      </c>
      <c r="J3" s="37">
        <f t="shared" ref="J3:J13" ca="1" si="4">I3/$F3</f>
        <v>0</v>
      </c>
      <c r="K3" s="314">
        <f ca="1">INDIRECT("'Bureau " &amp; ROW()-1 &amp; "'!" &amp; ADDRESS(6,Synthèse!$G$40+10,4))</f>
        <v>0</v>
      </c>
      <c r="L3" s="38">
        <f t="shared" ref="L3:L13" ca="1" si="5">K3/$F3</f>
        <v>0</v>
      </c>
      <c r="M3" s="321">
        <f ca="1">INDIRECT("'Bureau " &amp; ROW()-1 &amp; "'!" &amp; ADDRESS(7,Synthèse!$G$40+10,4))</f>
        <v>0</v>
      </c>
      <c r="N3" s="48">
        <f t="shared" ref="N3:N13" ca="1" si="6">M3/$F3</f>
        <v>0</v>
      </c>
      <c r="O3" s="316">
        <f ca="1">INDIRECT("'Bureau " &amp; ROW()-1 &amp; "'!" &amp; ADDRESS(8,Synthèse!$G$40+10,4))</f>
        <v>0</v>
      </c>
      <c r="P3" s="38">
        <f t="shared" ref="P3:P13" ca="1" si="7">O3/$F3</f>
        <v>0</v>
      </c>
      <c r="Q3" s="321">
        <f ca="1">INDIRECT("'Bureau " &amp; ROW()-1 &amp; "'!" &amp; ADDRESS(9,Synthèse!$G$40+10,4))</f>
        <v>0</v>
      </c>
      <c r="R3" s="48">
        <f t="shared" ref="R3:R13" ca="1" si="8">Q3/$F3</f>
        <v>0</v>
      </c>
      <c r="S3" s="317">
        <f ca="1">INDIRECT("'Bureau " &amp; ROW()-1 &amp; "'!" &amp; ADDRESS(10,Synthèse!$G$40+10,4))</f>
        <v>0</v>
      </c>
      <c r="T3" s="15">
        <f t="shared" ref="T3:T13" ca="1" si="9">S3/$F3</f>
        <v>0</v>
      </c>
      <c r="U3" s="321">
        <f ca="1">INDIRECT("'Bureau " &amp; ROW()-1 &amp; "'!" &amp; ADDRESS(11,Synthèse!$G$40+10,4))</f>
        <v>0</v>
      </c>
      <c r="V3" s="48">
        <f t="shared" ref="V3:V13" ca="1" si="10">U3/$F3</f>
        <v>0</v>
      </c>
      <c r="W3" s="316">
        <f ca="1">INDIRECT("'Bureau " &amp; ROW()-1 &amp; "'!" &amp; ADDRESS(12,Synthèse!$G$40+10,4))</f>
        <v>0</v>
      </c>
      <c r="X3" s="38">
        <f t="shared" ref="X3:X13" ca="1" si="11">W3/$F3</f>
        <v>0</v>
      </c>
      <c r="Y3" s="322">
        <f ca="1">INDIRECT("'Bureau " &amp; ROW()-1 &amp; "'!" &amp; ADDRESS(13,Synthèse!$G$40+10,4))</f>
        <v>0</v>
      </c>
      <c r="Z3" s="62">
        <f t="shared" ref="Z3:Z13" ca="1" si="12">Y3/$F3</f>
        <v>0</v>
      </c>
      <c r="AA3" s="78">
        <f ca="1">INDIRECT("'Bureau " &amp; ROW()-1 &amp; "'!" &amp; ADDRESS(14,Synthèse!$G$40+10,4))</f>
        <v>0</v>
      </c>
      <c r="AB3" s="42">
        <f t="shared" ref="AB3:AB13" ca="1" si="13">AA3/$F3</f>
        <v>0</v>
      </c>
      <c r="AC3" s="79">
        <f ca="1">INDIRECT("'Bureau " &amp; ROW()-1 &amp; "'!" &amp; ADDRESS(15,Synthèse!$G$40+10,4))</f>
        <v>0</v>
      </c>
      <c r="AD3" s="68">
        <f t="shared" ref="AD3:AD13" ca="1" si="14">AC3/$F3</f>
        <v>0</v>
      </c>
      <c r="AE3" s="84">
        <v>2</v>
      </c>
      <c r="AF3" s="88">
        <v>6.0810810810810814E-2</v>
      </c>
      <c r="AG3" s="89">
        <v>0.10810810810810811</v>
      </c>
      <c r="AH3" s="89">
        <v>0.1891891891891892</v>
      </c>
      <c r="AI3" s="89">
        <v>0.3108108108108108</v>
      </c>
      <c r="AJ3" s="89">
        <v>0.38918918918918921</v>
      </c>
      <c r="AK3" s="89">
        <v>0.41891891891891891</v>
      </c>
      <c r="AL3" s="89">
        <v>0.48648648648648651</v>
      </c>
      <c r="AM3" s="89">
        <v>0.52702702702702697</v>
      </c>
      <c r="AN3" s="89">
        <v>0.56081081081081086</v>
      </c>
      <c r="AO3" s="90">
        <v>0.59864864864864864</v>
      </c>
      <c r="AP3" s="75">
        <v>0</v>
      </c>
      <c r="AQ3" s="70">
        <v>0</v>
      </c>
    </row>
    <row r="4" spans="1:43" ht="15.75" customHeight="1" x14ac:dyDescent="0.2">
      <c r="A4" s="28">
        <v>3</v>
      </c>
      <c r="B4" s="29" t="str">
        <f>Synthèse!B5</f>
        <v>Gymnase B</v>
      </c>
      <c r="C4" s="319">
        <f t="shared" ca="1" si="2"/>
        <v>0</v>
      </c>
      <c r="D4" s="15">
        <f t="shared" ca="1" si="0"/>
        <v>0</v>
      </c>
      <c r="E4" s="18">
        <f t="shared" ca="1" si="3"/>
        <v>0</v>
      </c>
      <c r="F4" s="320">
        <f>Synthèse!C5</f>
        <v>714</v>
      </c>
      <c r="G4" s="313">
        <f ca="1">INDIRECT("'Bureau " &amp; ROW()-1 &amp; "'!" &amp; ADDRESS(4,Synthèse!$G$40+10,4))</f>
        <v>0</v>
      </c>
      <c r="H4" s="37">
        <f t="shared" ca="1" si="1"/>
        <v>0</v>
      </c>
      <c r="I4" s="314">
        <f ca="1">INDIRECT("'Bureau " &amp; ROW()-1 &amp; "'!" &amp; ADDRESS(5,Synthèse!$G$40+10,4))</f>
        <v>0</v>
      </c>
      <c r="J4" s="37">
        <f t="shared" ca="1" si="4"/>
        <v>0</v>
      </c>
      <c r="K4" s="314">
        <f ca="1">INDIRECT("'Bureau " &amp; ROW()-1 &amp; "'!" &amp; ADDRESS(6,Synthèse!$G$40+10,4))</f>
        <v>0</v>
      </c>
      <c r="L4" s="38">
        <f t="shared" ca="1" si="5"/>
        <v>0</v>
      </c>
      <c r="M4" s="321">
        <f ca="1">INDIRECT("'Bureau " &amp; ROW()-1 &amp; "'!" &amp; ADDRESS(7,Synthèse!$G$40+10,4))</f>
        <v>0</v>
      </c>
      <c r="N4" s="48">
        <f t="shared" ca="1" si="6"/>
        <v>0</v>
      </c>
      <c r="O4" s="316">
        <f ca="1">INDIRECT("'Bureau " &amp; ROW()-1 &amp; "'!" &amp; ADDRESS(8,Synthèse!$G$40+10,4))</f>
        <v>0</v>
      </c>
      <c r="P4" s="38">
        <f t="shared" ca="1" si="7"/>
        <v>0</v>
      </c>
      <c r="Q4" s="321">
        <f ca="1">INDIRECT("'Bureau " &amp; ROW()-1 &amp; "'!" &amp; ADDRESS(9,Synthèse!$G$40+10,4))</f>
        <v>0</v>
      </c>
      <c r="R4" s="48">
        <f t="shared" ca="1" si="8"/>
        <v>0</v>
      </c>
      <c r="S4" s="317">
        <f ca="1">INDIRECT("'Bureau " &amp; ROW()-1 &amp; "'!" &amp; ADDRESS(10,Synthèse!$G$40+10,4))</f>
        <v>0</v>
      </c>
      <c r="T4" s="15">
        <f t="shared" ca="1" si="9"/>
        <v>0</v>
      </c>
      <c r="U4" s="321">
        <f ca="1">INDIRECT("'Bureau " &amp; ROW()-1 &amp; "'!" &amp; ADDRESS(11,Synthèse!$G$40+10,4))</f>
        <v>0</v>
      </c>
      <c r="V4" s="48">
        <f t="shared" ca="1" si="10"/>
        <v>0</v>
      </c>
      <c r="W4" s="316">
        <f ca="1">INDIRECT("'Bureau " &amp; ROW()-1 &amp; "'!" &amp; ADDRESS(12,Synthèse!$G$40+10,4))</f>
        <v>0</v>
      </c>
      <c r="X4" s="38">
        <f t="shared" ca="1" si="11"/>
        <v>0</v>
      </c>
      <c r="Y4" s="322">
        <f ca="1">INDIRECT("'Bureau " &amp; ROW()-1 &amp; "'!" &amp; ADDRESS(13,Synthèse!$G$40+10,4))</f>
        <v>0</v>
      </c>
      <c r="Z4" s="62">
        <f t="shared" ca="1" si="12"/>
        <v>0</v>
      </c>
      <c r="AA4" s="78">
        <f ca="1">INDIRECT("'Bureau " &amp; ROW()-1 &amp; "'!" &amp; ADDRESS(14,Synthèse!$G$40+10,4))</f>
        <v>0</v>
      </c>
      <c r="AB4" s="42">
        <f t="shared" ca="1" si="13"/>
        <v>0</v>
      </c>
      <c r="AC4" s="79">
        <f ca="1">INDIRECT("'Bureau " &amp; ROW()-1 &amp; "'!" &amp; ADDRESS(15,Synthèse!$G$40+10,4))</f>
        <v>0</v>
      </c>
      <c r="AD4" s="68">
        <f t="shared" ca="1" si="14"/>
        <v>0</v>
      </c>
      <c r="AE4" s="84">
        <v>3</v>
      </c>
      <c r="AF4" s="88">
        <v>5.6100981767180924E-2</v>
      </c>
      <c r="AG4" s="89">
        <v>0.15427769985974754</v>
      </c>
      <c r="AH4" s="89">
        <v>0.26647966339410939</v>
      </c>
      <c r="AI4" s="89">
        <v>0.37868162692847124</v>
      </c>
      <c r="AJ4" s="89">
        <v>0.43478260869565216</v>
      </c>
      <c r="AK4" s="89">
        <v>0.50490883590462832</v>
      </c>
      <c r="AL4" s="89">
        <v>0.57503506311360453</v>
      </c>
      <c r="AM4" s="89">
        <v>0.61711079943899017</v>
      </c>
      <c r="AN4" s="89">
        <v>0.65918653576437591</v>
      </c>
      <c r="AO4" s="90">
        <v>0.67882187938288918</v>
      </c>
      <c r="AP4" s="75">
        <v>0</v>
      </c>
      <c r="AQ4" s="70">
        <v>0</v>
      </c>
    </row>
    <row r="5" spans="1:43" ht="15.75" customHeight="1" x14ac:dyDescent="0.2">
      <c r="A5" s="28">
        <v>4</v>
      </c>
      <c r="B5" s="29" t="str">
        <f>Synthèse!B6</f>
        <v>Gymnase B</v>
      </c>
      <c r="C5" s="319">
        <f t="shared" ca="1" si="2"/>
        <v>0</v>
      </c>
      <c r="D5" s="15">
        <f t="shared" ca="1" si="0"/>
        <v>0</v>
      </c>
      <c r="E5" s="18">
        <f t="shared" ca="1" si="3"/>
        <v>0</v>
      </c>
      <c r="F5" s="320">
        <f>Synthèse!C6</f>
        <v>679</v>
      </c>
      <c r="G5" s="313">
        <f ca="1">INDIRECT("'Bureau " &amp; ROW()-1 &amp; "'!" &amp; ADDRESS(4,Synthèse!$G$40+10,4))</f>
        <v>0</v>
      </c>
      <c r="H5" s="37">
        <f t="shared" ca="1" si="1"/>
        <v>0</v>
      </c>
      <c r="I5" s="314">
        <f ca="1">INDIRECT("'Bureau " &amp; ROW()-1 &amp; "'!" &amp; ADDRESS(5,Synthèse!$G$40+10,4))</f>
        <v>0</v>
      </c>
      <c r="J5" s="37">
        <f t="shared" ca="1" si="4"/>
        <v>0</v>
      </c>
      <c r="K5" s="314">
        <f ca="1">INDIRECT("'Bureau " &amp; ROW()-1 &amp; "'!" &amp; ADDRESS(6,Synthèse!$G$40+10,4))</f>
        <v>0</v>
      </c>
      <c r="L5" s="38">
        <f t="shared" ca="1" si="5"/>
        <v>0</v>
      </c>
      <c r="M5" s="321">
        <f ca="1">INDIRECT("'Bureau " &amp; ROW()-1 &amp; "'!" &amp; ADDRESS(7,Synthèse!$G$40+10,4))</f>
        <v>0</v>
      </c>
      <c r="N5" s="48">
        <f t="shared" ca="1" si="6"/>
        <v>0</v>
      </c>
      <c r="O5" s="316">
        <f ca="1">INDIRECT("'Bureau " &amp; ROW()-1 &amp; "'!" &amp; ADDRESS(8,Synthèse!$G$40+10,4))</f>
        <v>0</v>
      </c>
      <c r="P5" s="38">
        <f t="shared" ca="1" si="7"/>
        <v>0</v>
      </c>
      <c r="Q5" s="321">
        <f ca="1">INDIRECT("'Bureau " &amp; ROW()-1 &amp; "'!" &amp; ADDRESS(9,Synthèse!$G$40+10,4))</f>
        <v>0</v>
      </c>
      <c r="R5" s="48">
        <f t="shared" ca="1" si="8"/>
        <v>0</v>
      </c>
      <c r="S5" s="317">
        <f ca="1">INDIRECT("'Bureau " &amp; ROW()-1 &amp; "'!" &amp; ADDRESS(10,Synthèse!$G$40+10,4))</f>
        <v>0</v>
      </c>
      <c r="T5" s="15">
        <f t="shared" ca="1" si="9"/>
        <v>0</v>
      </c>
      <c r="U5" s="321">
        <f ca="1">INDIRECT("'Bureau " &amp; ROW()-1 &amp; "'!" &amp; ADDRESS(11,Synthèse!$G$40+10,4))</f>
        <v>0</v>
      </c>
      <c r="V5" s="48">
        <f t="shared" ca="1" si="10"/>
        <v>0</v>
      </c>
      <c r="W5" s="316">
        <f ca="1">INDIRECT("'Bureau " &amp; ROW()-1 &amp; "'!" &amp; ADDRESS(12,Synthèse!$G$40+10,4))</f>
        <v>0</v>
      </c>
      <c r="X5" s="38">
        <f t="shared" ca="1" si="11"/>
        <v>0</v>
      </c>
      <c r="Y5" s="322">
        <f ca="1">INDIRECT("'Bureau " &amp; ROW()-1 &amp; "'!" &amp; ADDRESS(13,Synthèse!$G$40+10,4))</f>
        <v>0</v>
      </c>
      <c r="Z5" s="62">
        <f t="shared" ca="1" si="12"/>
        <v>0</v>
      </c>
      <c r="AA5" s="78">
        <f ca="1">INDIRECT("'Bureau " &amp; ROW()-1 &amp; "'!" &amp; ADDRESS(14,Synthèse!$G$40+10,4))</f>
        <v>0</v>
      </c>
      <c r="AB5" s="42">
        <f t="shared" ca="1" si="13"/>
        <v>0</v>
      </c>
      <c r="AC5" s="79">
        <f ca="1">INDIRECT("'Bureau " &amp; ROW()-1 &amp; "'!" &amp; ADDRESS(15,Synthèse!$G$40+10,4))</f>
        <v>0</v>
      </c>
      <c r="AD5" s="68">
        <f t="shared" ca="1" si="14"/>
        <v>0</v>
      </c>
      <c r="AE5" s="84">
        <v>4</v>
      </c>
      <c r="AF5" s="88">
        <v>4.8600883652430045E-2</v>
      </c>
      <c r="AG5" s="89">
        <v>0.10014727540500737</v>
      </c>
      <c r="AH5" s="89">
        <v>0.203240058910162</v>
      </c>
      <c r="AI5" s="89">
        <v>0.2768777614138439</v>
      </c>
      <c r="AJ5" s="89">
        <v>0.3328424153166421</v>
      </c>
      <c r="AK5" s="89">
        <v>0.39175257731958762</v>
      </c>
      <c r="AL5" s="89">
        <v>0.45066273932253315</v>
      </c>
      <c r="AM5" s="89">
        <v>0.49484536082474229</v>
      </c>
      <c r="AN5" s="89">
        <v>0.51693667157584688</v>
      </c>
      <c r="AO5" s="90">
        <v>0.53460972017673047</v>
      </c>
      <c r="AP5" s="75">
        <v>0</v>
      </c>
      <c r="AQ5" s="70">
        <v>0</v>
      </c>
    </row>
    <row r="6" spans="1:43" ht="15.75" customHeight="1" x14ac:dyDescent="0.2">
      <c r="A6" s="28">
        <v>5</v>
      </c>
      <c r="B6" s="29" t="str">
        <f>Synthèse!B7</f>
        <v>COSEC</v>
      </c>
      <c r="C6" s="319">
        <f t="shared" ca="1" si="2"/>
        <v>0</v>
      </c>
      <c r="D6" s="15">
        <f t="shared" ca="1" si="0"/>
        <v>0</v>
      </c>
      <c r="E6" s="18">
        <f t="shared" ca="1" si="3"/>
        <v>0</v>
      </c>
      <c r="F6" s="320">
        <f>Synthèse!C7</f>
        <v>701</v>
      </c>
      <c r="G6" s="313">
        <f ca="1">INDIRECT("'Bureau " &amp; ROW()-1 &amp; "'!" &amp; ADDRESS(4,Synthèse!$G$40+10,4))</f>
        <v>0</v>
      </c>
      <c r="H6" s="37">
        <f t="shared" ca="1" si="1"/>
        <v>0</v>
      </c>
      <c r="I6" s="314">
        <f ca="1">INDIRECT("'Bureau " &amp; ROW()-1 &amp; "'!" &amp; ADDRESS(5,Synthèse!$G$40+10,4))</f>
        <v>0</v>
      </c>
      <c r="J6" s="37">
        <f t="shared" ca="1" si="4"/>
        <v>0</v>
      </c>
      <c r="K6" s="314">
        <f ca="1">INDIRECT("'Bureau " &amp; ROW()-1 &amp; "'!" &amp; ADDRESS(6,Synthèse!$G$40+10,4))</f>
        <v>0</v>
      </c>
      <c r="L6" s="38">
        <f t="shared" ca="1" si="5"/>
        <v>0</v>
      </c>
      <c r="M6" s="321">
        <f ca="1">INDIRECT("'Bureau " &amp; ROW()-1 &amp; "'!" &amp; ADDRESS(7,Synthèse!$G$40+10,4))</f>
        <v>0</v>
      </c>
      <c r="N6" s="48">
        <f t="shared" ca="1" si="6"/>
        <v>0</v>
      </c>
      <c r="O6" s="316">
        <f ca="1">INDIRECT("'Bureau " &amp; ROW()-1 &amp; "'!" &amp; ADDRESS(8,Synthèse!$G$40+10,4))</f>
        <v>0</v>
      </c>
      <c r="P6" s="38">
        <f t="shared" ca="1" si="7"/>
        <v>0</v>
      </c>
      <c r="Q6" s="321">
        <f ca="1">INDIRECT("'Bureau " &amp; ROW()-1 &amp; "'!" &amp; ADDRESS(9,Synthèse!$G$40+10,4))</f>
        <v>0</v>
      </c>
      <c r="R6" s="48">
        <f t="shared" ca="1" si="8"/>
        <v>0</v>
      </c>
      <c r="S6" s="317">
        <f ca="1">INDIRECT("'Bureau " &amp; ROW()-1 &amp; "'!" &amp; ADDRESS(10,Synthèse!$G$40+10,4))</f>
        <v>0</v>
      </c>
      <c r="T6" s="15">
        <f t="shared" ca="1" si="9"/>
        <v>0</v>
      </c>
      <c r="U6" s="321">
        <f ca="1">INDIRECT("'Bureau " &amp; ROW()-1 &amp; "'!" &amp; ADDRESS(11,Synthèse!$G$40+10,4))</f>
        <v>0</v>
      </c>
      <c r="V6" s="48">
        <f t="shared" ca="1" si="10"/>
        <v>0</v>
      </c>
      <c r="W6" s="316">
        <f ca="1">INDIRECT("'Bureau " &amp; ROW()-1 &amp; "'!" &amp; ADDRESS(12,Synthèse!$G$40+10,4))</f>
        <v>0</v>
      </c>
      <c r="X6" s="38">
        <f t="shared" ca="1" si="11"/>
        <v>0</v>
      </c>
      <c r="Y6" s="322">
        <f ca="1">INDIRECT("'Bureau " &amp; ROW()-1 &amp; "'!" &amp; ADDRESS(13,Synthèse!$G$40+10,4))</f>
        <v>0</v>
      </c>
      <c r="Z6" s="62">
        <f t="shared" ca="1" si="12"/>
        <v>0</v>
      </c>
      <c r="AA6" s="78">
        <f ca="1">INDIRECT("'Bureau " &amp; ROW()-1 &amp; "'!" &amp; ADDRESS(14,Synthèse!$G$40+10,4))</f>
        <v>0</v>
      </c>
      <c r="AB6" s="42">
        <f t="shared" ca="1" si="13"/>
        <v>0</v>
      </c>
      <c r="AC6" s="79">
        <f ca="1">INDIRECT("'Bureau " &amp; ROW()-1 &amp; "'!" &amp; ADDRESS(15,Synthèse!$G$40+10,4))</f>
        <v>0</v>
      </c>
      <c r="AD6" s="68">
        <f t="shared" ca="1" si="14"/>
        <v>0</v>
      </c>
      <c r="AE6" s="84">
        <v>5</v>
      </c>
      <c r="AF6" s="88">
        <v>5.2781740370898715E-2</v>
      </c>
      <c r="AG6" s="89">
        <v>0.13266761768901569</v>
      </c>
      <c r="AH6" s="89">
        <v>0.22824536376604851</v>
      </c>
      <c r="AI6" s="89">
        <v>0.34236804564907275</v>
      </c>
      <c r="AJ6" s="89">
        <v>0.4136947218259629</v>
      </c>
      <c r="AK6" s="89">
        <v>0.46362339514978601</v>
      </c>
      <c r="AL6" s="89">
        <v>0.53495007132667616</v>
      </c>
      <c r="AM6" s="89">
        <v>0.59914407988587737</v>
      </c>
      <c r="AN6" s="89">
        <v>0.6205420827389444</v>
      </c>
      <c r="AO6" s="90">
        <v>0.64479315263908699</v>
      </c>
      <c r="AP6" s="75">
        <v>0</v>
      </c>
      <c r="AQ6" s="70">
        <v>0</v>
      </c>
    </row>
    <row r="7" spans="1:43" ht="15.75" customHeight="1" x14ac:dyDescent="0.2">
      <c r="A7" s="28">
        <v>6</v>
      </c>
      <c r="B7" s="29" t="str">
        <f>Synthèse!B8</f>
        <v>COSEC</v>
      </c>
      <c r="C7" s="319">
        <f t="shared" ca="1" si="2"/>
        <v>0</v>
      </c>
      <c r="D7" s="15">
        <f t="shared" ca="1" si="0"/>
        <v>0</v>
      </c>
      <c r="E7" s="18">
        <f t="shared" ca="1" si="3"/>
        <v>0</v>
      </c>
      <c r="F7" s="320">
        <f>Synthèse!C8</f>
        <v>710</v>
      </c>
      <c r="G7" s="313">
        <f ca="1">INDIRECT("'Bureau " &amp; ROW()-1 &amp; "'!" &amp; ADDRESS(4,Synthèse!$G$40+10,4))</f>
        <v>0</v>
      </c>
      <c r="H7" s="37">
        <f t="shared" ca="1" si="1"/>
        <v>0</v>
      </c>
      <c r="I7" s="314">
        <f ca="1">INDIRECT("'Bureau " &amp; ROW()-1 &amp; "'!" &amp; ADDRESS(5,Synthèse!$G$40+10,4))</f>
        <v>0</v>
      </c>
      <c r="J7" s="37">
        <f t="shared" ca="1" si="4"/>
        <v>0</v>
      </c>
      <c r="K7" s="314">
        <f ca="1">INDIRECT("'Bureau " &amp; ROW()-1 &amp; "'!" &amp; ADDRESS(6,Synthèse!$G$40+10,4))</f>
        <v>0</v>
      </c>
      <c r="L7" s="38">
        <f t="shared" ca="1" si="5"/>
        <v>0</v>
      </c>
      <c r="M7" s="321">
        <f ca="1">INDIRECT("'Bureau " &amp; ROW()-1 &amp; "'!" &amp; ADDRESS(7,Synthèse!$G$40+10,4))</f>
        <v>0</v>
      </c>
      <c r="N7" s="48">
        <f t="shared" ca="1" si="6"/>
        <v>0</v>
      </c>
      <c r="O7" s="316">
        <f ca="1">INDIRECT("'Bureau " &amp; ROW()-1 &amp; "'!" &amp; ADDRESS(8,Synthèse!$G$40+10,4))</f>
        <v>0</v>
      </c>
      <c r="P7" s="38">
        <f t="shared" ca="1" si="7"/>
        <v>0</v>
      </c>
      <c r="Q7" s="321">
        <f ca="1">INDIRECT("'Bureau " &amp; ROW()-1 &amp; "'!" &amp; ADDRESS(9,Synthèse!$G$40+10,4))</f>
        <v>0</v>
      </c>
      <c r="R7" s="48">
        <f t="shared" ca="1" si="8"/>
        <v>0</v>
      </c>
      <c r="S7" s="317">
        <f ca="1">INDIRECT("'Bureau " &amp; ROW()-1 &amp; "'!" &amp; ADDRESS(10,Synthèse!$G$40+10,4))</f>
        <v>0</v>
      </c>
      <c r="T7" s="15">
        <f t="shared" ca="1" si="9"/>
        <v>0</v>
      </c>
      <c r="U7" s="321">
        <f ca="1">INDIRECT("'Bureau " &amp; ROW()-1 &amp; "'!" &amp; ADDRESS(11,Synthèse!$G$40+10,4))</f>
        <v>0</v>
      </c>
      <c r="V7" s="48">
        <f t="shared" ca="1" si="10"/>
        <v>0</v>
      </c>
      <c r="W7" s="316">
        <f ca="1">INDIRECT("'Bureau " &amp; ROW()-1 &amp; "'!" &amp; ADDRESS(12,Synthèse!$G$40+10,4))</f>
        <v>0</v>
      </c>
      <c r="X7" s="38">
        <f t="shared" ca="1" si="11"/>
        <v>0</v>
      </c>
      <c r="Y7" s="322">
        <f ca="1">INDIRECT("'Bureau " &amp; ROW()-1 &amp; "'!" &amp; ADDRESS(13,Synthèse!$G$40+10,4))</f>
        <v>0</v>
      </c>
      <c r="Z7" s="62">
        <f t="shared" ca="1" si="12"/>
        <v>0</v>
      </c>
      <c r="AA7" s="78">
        <f ca="1">INDIRECT("'Bureau " &amp; ROW()-1 &amp; "'!" &amp; ADDRESS(14,Synthèse!$G$40+10,4))</f>
        <v>0</v>
      </c>
      <c r="AB7" s="42">
        <f t="shared" ca="1" si="13"/>
        <v>0</v>
      </c>
      <c r="AC7" s="79">
        <f ca="1">INDIRECT("'Bureau " &amp; ROW()-1 &amp; "'!" &amp; ADDRESS(15,Synthèse!$G$40+10,4))</f>
        <v>0</v>
      </c>
      <c r="AD7" s="68">
        <f t="shared" ca="1" si="14"/>
        <v>0</v>
      </c>
      <c r="AE7" s="84">
        <v>6</v>
      </c>
      <c r="AF7" s="88">
        <v>4.2253521126760563E-2</v>
      </c>
      <c r="AG7" s="89">
        <v>0.11971830985915492</v>
      </c>
      <c r="AH7" s="89">
        <v>0.19718309859154928</v>
      </c>
      <c r="AI7" s="89">
        <v>0.26760563380281688</v>
      </c>
      <c r="AJ7" s="89">
        <v>0.33380281690140845</v>
      </c>
      <c r="AK7" s="89">
        <v>0.38732394366197181</v>
      </c>
      <c r="AL7" s="89">
        <v>0.42957746478873238</v>
      </c>
      <c r="AM7" s="89">
        <v>0.47323943661971829</v>
      </c>
      <c r="AN7" s="89">
        <v>0.5</v>
      </c>
      <c r="AO7" s="90">
        <v>0.5169014084507042</v>
      </c>
      <c r="AP7" s="75">
        <v>0</v>
      </c>
      <c r="AQ7" s="70">
        <v>0</v>
      </c>
    </row>
    <row r="8" spans="1:43" ht="15.75" customHeight="1" x14ac:dyDescent="0.2">
      <c r="A8" s="28">
        <v>7</v>
      </c>
      <c r="B8" s="29" t="str">
        <f>Synthèse!B9</f>
        <v>COSEC</v>
      </c>
      <c r="C8" s="319">
        <f t="shared" ca="1" si="2"/>
        <v>0</v>
      </c>
      <c r="D8" s="15">
        <f t="shared" ca="1" si="0"/>
        <v>0</v>
      </c>
      <c r="E8" s="18">
        <f t="shared" ca="1" si="3"/>
        <v>0</v>
      </c>
      <c r="F8" s="320">
        <f>Synthèse!C9</f>
        <v>731</v>
      </c>
      <c r="G8" s="313">
        <f ca="1">INDIRECT("'Bureau " &amp; ROW()-1 &amp; "'!" &amp; ADDRESS(4,Synthèse!$G$40+10,4))</f>
        <v>0</v>
      </c>
      <c r="H8" s="37">
        <f t="shared" ca="1" si="1"/>
        <v>0</v>
      </c>
      <c r="I8" s="314">
        <f ca="1">INDIRECT("'Bureau " &amp; ROW()-1 &amp; "'!" &amp; ADDRESS(5,Synthèse!$G$40+10,4))</f>
        <v>0</v>
      </c>
      <c r="J8" s="37">
        <f t="shared" ca="1" si="4"/>
        <v>0</v>
      </c>
      <c r="K8" s="314">
        <f ca="1">INDIRECT("'Bureau " &amp; ROW()-1 &amp; "'!" &amp; ADDRESS(6,Synthèse!$G$40+10,4))</f>
        <v>0</v>
      </c>
      <c r="L8" s="38">
        <f t="shared" ca="1" si="5"/>
        <v>0</v>
      </c>
      <c r="M8" s="321">
        <f ca="1">INDIRECT("'Bureau " &amp; ROW()-1 &amp; "'!" &amp; ADDRESS(7,Synthèse!$G$40+10,4))</f>
        <v>0</v>
      </c>
      <c r="N8" s="48">
        <f t="shared" ca="1" si="6"/>
        <v>0</v>
      </c>
      <c r="O8" s="316">
        <f ca="1">INDIRECT("'Bureau " &amp; ROW()-1 &amp; "'!" &amp; ADDRESS(8,Synthèse!$G$40+10,4))</f>
        <v>0</v>
      </c>
      <c r="P8" s="38">
        <f t="shared" ca="1" si="7"/>
        <v>0</v>
      </c>
      <c r="Q8" s="321">
        <f ca="1">INDIRECT("'Bureau " &amp; ROW()-1 &amp; "'!" &amp; ADDRESS(9,Synthèse!$G$40+10,4))</f>
        <v>0</v>
      </c>
      <c r="R8" s="48">
        <f t="shared" ca="1" si="8"/>
        <v>0</v>
      </c>
      <c r="S8" s="317">
        <f ca="1">INDIRECT("'Bureau " &amp; ROW()-1 &amp; "'!" &amp; ADDRESS(10,Synthèse!$G$40+10,4))</f>
        <v>0</v>
      </c>
      <c r="T8" s="15">
        <f t="shared" ca="1" si="9"/>
        <v>0</v>
      </c>
      <c r="U8" s="321">
        <f ca="1">INDIRECT("'Bureau " &amp; ROW()-1 &amp; "'!" &amp; ADDRESS(11,Synthèse!$G$40+10,4))</f>
        <v>0</v>
      </c>
      <c r="V8" s="48">
        <f t="shared" ca="1" si="10"/>
        <v>0</v>
      </c>
      <c r="W8" s="316">
        <f ca="1">INDIRECT("'Bureau " &amp; ROW()-1 &amp; "'!" &amp; ADDRESS(12,Synthèse!$G$40+10,4))</f>
        <v>0</v>
      </c>
      <c r="X8" s="38">
        <f t="shared" ca="1" si="11"/>
        <v>0</v>
      </c>
      <c r="Y8" s="322">
        <f ca="1">INDIRECT("'Bureau " &amp; ROW()-1 &amp; "'!" &amp; ADDRESS(13,Synthèse!$G$40+10,4))</f>
        <v>0</v>
      </c>
      <c r="Z8" s="62">
        <f t="shared" ca="1" si="12"/>
        <v>0</v>
      </c>
      <c r="AA8" s="78">
        <f ca="1">INDIRECT("'Bureau " &amp; ROW()-1 &amp; "'!" &amp; ADDRESS(14,Synthèse!$G$40+10,4))</f>
        <v>0</v>
      </c>
      <c r="AB8" s="42">
        <f t="shared" ca="1" si="13"/>
        <v>0</v>
      </c>
      <c r="AC8" s="79">
        <f ca="1">INDIRECT("'Bureau " &amp; ROW()-1 &amp; "'!" &amp; ADDRESS(15,Synthèse!$G$40+10,4))</f>
        <v>0</v>
      </c>
      <c r="AD8" s="68">
        <f t="shared" ca="1" si="14"/>
        <v>0</v>
      </c>
      <c r="AE8" s="84">
        <v>7</v>
      </c>
      <c r="AF8" s="88">
        <v>2.7359781121751026E-2</v>
      </c>
      <c r="AG8" s="89">
        <v>0.10259917920656635</v>
      </c>
      <c r="AH8" s="89">
        <v>0.20519835841313269</v>
      </c>
      <c r="AI8" s="89">
        <v>0.33105335157318744</v>
      </c>
      <c r="AJ8" s="89">
        <v>0.38850889192886456</v>
      </c>
      <c r="AK8" s="89">
        <v>0.42407660738714092</v>
      </c>
      <c r="AL8" s="89">
        <v>0.48426812585499318</v>
      </c>
      <c r="AM8" s="89">
        <v>0.54993160054719559</v>
      </c>
      <c r="AN8" s="89">
        <v>0.57455540355677159</v>
      </c>
      <c r="AO8" s="90">
        <v>0.60054719562243497</v>
      </c>
      <c r="AP8" s="75">
        <v>0</v>
      </c>
      <c r="AQ8" s="70">
        <v>0</v>
      </c>
    </row>
    <row r="9" spans="1:43" ht="15.75" customHeight="1" x14ac:dyDescent="0.2">
      <c r="A9" s="28">
        <v>8</v>
      </c>
      <c r="B9" s="29" t="str">
        <f>Synthèse!B10</f>
        <v>COSEC</v>
      </c>
      <c r="C9" s="319">
        <f t="shared" ca="1" si="2"/>
        <v>0</v>
      </c>
      <c r="D9" s="15">
        <f t="shared" ca="1" si="0"/>
        <v>0</v>
      </c>
      <c r="E9" s="18">
        <f t="shared" ca="1" si="3"/>
        <v>0</v>
      </c>
      <c r="F9" s="320">
        <f>Synthèse!C10</f>
        <v>646</v>
      </c>
      <c r="G9" s="313">
        <f ca="1">INDIRECT("'Bureau " &amp; ROW()-1 &amp; "'!" &amp; ADDRESS(4,Synthèse!$G$40+10,4))</f>
        <v>0</v>
      </c>
      <c r="H9" s="37">
        <f t="shared" ca="1" si="1"/>
        <v>0</v>
      </c>
      <c r="I9" s="314">
        <f ca="1">INDIRECT("'Bureau " &amp; ROW()-1 &amp; "'!" &amp; ADDRESS(5,Synthèse!$G$40+10,4))</f>
        <v>0</v>
      </c>
      <c r="J9" s="37">
        <f t="shared" ca="1" si="4"/>
        <v>0</v>
      </c>
      <c r="K9" s="314">
        <f ca="1">INDIRECT("'Bureau " &amp; ROW()-1 &amp; "'!" &amp; ADDRESS(6,Synthèse!$G$40+10,4))</f>
        <v>0</v>
      </c>
      <c r="L9" s="38">
        <f t="shared" ca="1" si="5"/>
        <v>0</v>
      </c>
      <c r="M9" s="321">
        <f ca="1">INDIRECT("'Bureau " &amp; ROW()-1 &amp; "'!" &amp; ADDRESS(7,Synthèse!$G$40+10,4))</f>
        <v>0</v>
      </c>
      <c r="N9" s="48">
        <f t="shared" ca="1" si="6"/>
        <v>0</v>
      </c>
      <c r="O9" s="316">
        <f ca="1">INDIRECT("'Bureau " &amp; ROW()-1 &amp; "'!" &amp; ADDRESS(8,Synthèse!$G$40+10,4))</f>
        <v>0</v>
      </c>
      <c r="P9" s="38">
        <f t="shared" ca="1" si="7"/>
        <v>0</v>
      </c>
      <c r="Q9" s="321">
        <f ca="1">INDIRECT("'Bureau " &amp; ROW()-1 &amp; "'!" &amp; ADDRESS(9,Synthèse!$G$40+10,4))</f>
        <v>0</v>
      </c>
      <c r="R9" s="48">
        <f t="shared" ca="1" si="8"/>
        <v>0</v>
      </c>
      <c r="S9" s="317">
        <f ca="1">INDIRECT("'Bureau " &amp; ROW()-1 &amp; "'!" &amp; ADDRESS(10,Synthèse!$G$40+10,4))</f>
        <v>0</v>
      </c>
      <c r="T9" s="15">
        <f t="shared" ca="1" si="9"/>
        <v>0</v>
      </c>
      <c r="U9" s="321">
        <f ca="1">INDIRECT("'Bureau " &amp; ROW()-1 &amp; "'!" &amp; ADDRESS(11,Synthèse!$G$40+10,4))</f>
        <v>0</v>
      </c>
      <c r="V9" s="48">
        <f t="shared" ca="1" si="10"/>
        <v>0</v>
      </c>
      <c r="W9" s="316">
        <f ca="1">INDIRECT("'Bureau " &amp; ROW()-1 &amp; "'!" &amp; ADDRESS(12,Synthèse!$G$40+10,4))</f>
        <v>0</v>
      </c>
      <c r="X9" s="38">
        <f t="shared" ca="1" si="11"/>
        <v>0</v>
      </c>
      <c r="Y9" s="322">
        <f ca="1">INDIRECT("'Bureau " &amp; ROW()-1 &amp; "'!" &amp; ADDRESS(13,Synthèse!$G$40+10,4))</f>
        <v>0</v>
      </c>
      <c r="Z9" s="62">
        <f t="shared" ca="1" si="12"/>
        <v>0</v>
      </c>
      <c r="AA9" s="78">
        <f ca="1">INDIRECT("'Bureau " &amp; ROW()-1 &amp; "'!" &amp; ADDRESS(14,Synthèse!$G$40+10,4))</f>
        <v>0</v>
      </c>
      <c r="AB9" s="42">
        <f t="shared" ca="1" si="13"/>
        <v>0</v>
      </c>
      <c r="AC9" s="79">
        <f ca="1">INDIRECT("'Bureau " &amp; ROW()-1 &amp; "'!" &amp; ADDRESS(15,Synthèse!$G$40+10,4))</f>
        <v>0</v>
      </c>
      <c r="AD9" s="68">
        <f t="shared" ca="1" si="14"/>
        <v>0</v>
      </c>
      <c r="AE9" s="84">
        <v>8</v>
      </c>
      <c r="AF9" s="88">
        <v>5.5727554179566562E-2</v>
      </c>
      <c r="AG9" s="89">
        <v>0.11145510835913312</v>
      </c>
      <c r="AH9" s="89">
        <v>0.23065015479876161</v>
      </c>
      <c r="AI9" s="89">
        <v>0.32972136222910214</v>
      </c>
      <c r="AJ9" s="89">
        <v>0.4024767801857585</v>
      </c>
      <c r="AK9" s="89">
        <v>0.46439628482972134</v>
      </c>
      <c r="AL9" s="89">
        <v>0.50309597523219818</v>
      </c>
      <c r="AM9" s="89">
        <v>0.54179566563467496</v>
      </c>
      <c r="AN9" s="89">
        <v>0.55882352941176472</v>
      </c>
      <c r="AO9" s="90">
        <v>0.58668730650154799</v>
      </c>
      <c r="AP9" s="75">
        <v>0</v>
      </c>
      <c r="AQ9" s="70">
        <v>0</v>
      </c>
    </row>
    <row r="10" spans="1:43" ht="15.75" customHeight="1" x14ac:dyDescent="0.2">
      <c r="A10" s="28">
        <v>9</v>
      </c>
      <c r="B10" s="29" t="str">
        <f>Synthèse!B11</f>
        <v>CMM</v>
      </c>
      <c r="C10" s="319">
        <f t="shared" ca="1" si="2"/>
        <v>0</v>
      </c>
      <c r="D10" s="15">
        <f t="shared" ca="1" si="0"/>
        <v>0</v>
      </c>
      <c r="E10" s="18">
        <f t="shared" ca="1" si="3"/>
        <v>0</v>
      </c>
      <c r="F10" s="320">
        <f>Synthèse!C11</f>
        <v>710</v>
      </c>
      <c r="G10" s="313">
        <f ca="1">INDIRECT("'Bureau " &amp; ROW()-1 &amp; "'!" &amp; ADDRESS(4,Synthèse!$G$40+10,4))</f>
        <v>0</v>
      </c>
      <c r="H10" s="37">
        <f t="shared" ca="1" si="1"/>
        <v>0</v>
      </c>
      <c r="I10" s="314">
        <f ca="1">INDIRECT("'Bureau " &amp; ROW()-1 &amp; "'!" &amp; ADDRESS(5,Synthèse!$G$40+10,4))</f>
        <v>0</v>
      </c>
      <c r="J10" s="37">
        <f t="shared" ca="1" si="4"/>
        <v>0</v>
      </c>
      <c r="K10" s="314">
        <f ca="1">INDIRECT("'Bureau " &amp; ROW()-1 &amp; "'!" &amp; ADDRESS(6,Synthèse!$G$40+10,4))</f>
        <v>0</v>
      </c>
      <c r="L10" s="38">
        <f t="shared" ca="1" si="5"/>
        <v>0</v>
      </c>
      <c r="M10" s="321">
        <f ca="1">INDIRECT("'Bureau " &amp; ROW()-1 &amp; "'!" &amp; ADDRESS(7,Synthèse!$G$40+10,4))</f>
        <v>0</v>
      </c>
      <c r="N10" s="48">
        <f t="shared" ca="1" si="6"/>
        <v>0</v>
      </c>
      <c r="O10" s="316">
        <f ca="1">INDIRECT("'Bureau " &amp; ROW()-1 &amp; "'!" &amp; ADDRESS(8,Synthèse!$G$40+10,4))</f>
        <v>0</v>
      </c>
      <c r="P10" s="38">
        <f t="shared" ca="1" si="7"/>
        <v>0</v>
      </c>
      <c r="Q10" s="321">
        <f ca="1">INDIRECT("'Bureau " &amp; ROW()-1 &amp; "'!" &amp; ADDRESS(9,Synthèse!$G$40+10,4))</f>
        <v>0</v>
      </c>
      <c r="R10" s="48">
        <f t="shared" ca="1" si="8"/>
        <v>0</v>
      </c>
      <c r="S10" s="317">
        <f ca="1">INDIRECT("'Bureau " &amp; ROW()-1 &amp; "'!" &amp; ADDRESS(10,Synthèse!$G$40+10,4))</f>
        <v>0</v>
      </c>
      <c r="T10" s="15">
        <f t="shared" ca="1" si="9"/>
        <v>0</v>
      </c>
      <c r="U10" s="321">
        <f ca="1">INDIRECT("'Bureau " &amp; ROW()-1 &amp; "'!" &amp; ADDRESS(11,Synthèse!$G$40+10,4))</f>
        <v>0</v>
      </c>
      <c r="V10" s="48">
        <f t="shared" ca="1" si="10"/>
        <v>0</v>
      </c>
      <c r="W10" s="316">
        <f ca="1">INDIRECT("'Bureau " &amp; ROW()-1 &amp; "'!" &amp; ADDRESS(12,Synthèse!$G$40+10,4))</f>
        <v>0</v>
      </c>
      <c r="X10" s="38">
        <f t="shared" ca="1" si="11"/>
        <v>0</v>
      </c>
      <c r="Y10" s="322">
        <f ca="1">INDIRECT("'Bureau " &amp; ROW()-1 &amp; "'!" &amp; ADDRESS(13,Synthèse!$G$40+10,4))</f>
        <v>0</v>
      </c>
      <c r="Z10" s="62">
        <f t="shared" ca="1" si="12"/>
        <v>0</v>
      </c>
      <c r="AA10" s="78">
        <f ca="1">INDIRECT("'Bureau " &amp; ROW()-1 &amp; "'!" &amp; ADDRESS(14,Synthèse!$G$40+10,4))</f>
        <v>0</v>
      </c>
      <c r="AB10" s="42">
        <f t="shared" ca="1" si="13"/>
        <v>0</v>
      </c>
      <c r="AC10" s="79">
        <f ca="1">INDIRECT("'Bureau " &amp; ROW()-1 &amp; "'!" &amp; ADDRESS(15,Synthèse!$G$40+10,4))</f>
        <v>0</v>
      </c>
      <c r="AD10" s="68">
        <f t="shared" ca="1" si="14"/>
        <v>0</v>
      </c>
      <c r="AE10" s="84">
        <v>9</v>
      </c>
      <c r="AF10" s="88">
        <v>3.1029619181946404E-2</v>
      </c>
      <c r="AG10" s="89">
        <v>8.3215796897038077E-2</v>
      </c>
      <c r="AH10" s="89">
        <v>0.14809590973201692</v>
      </c>
      <c r="AI10" s="89">
        <v>0.23272214386459802</v>
      </c>
      <c r="AJ10" s="89">
        <v>0.27080394922425954</v>
      </c>
      <c r="AK10" s="89">
        <v>0.32440056417489421</v>
      </c>
      <c r="AL10" s="89">
        <v>0.38081805359661497</v>
      </c>
      <c r="AM10" s="89">
        <v>0.4132581100141044</v>
      </c>
      <c r="AN10" s="89">
        <v>0.4400564174894217</v>
      </c>
      <c r="AO10" s="90">
        <v>0.4696755994358251</v>
      </c>
      <c r="AP10" s="75">
        <v>0</v>
      </c>
      <c r="AQ10" s="70">
        <v>0</v>
      </c>
    </row>
    <row r="11" spans="1:43" ht="15.75" customHeight="1" x14ac:dyDescent="0.2">
      <c r="A11" s="28">
        <v>10</v>
      </c>
      <c r="B11" s="29" t="str">
        <f>Synthèse!B12</f>
        <v>CMM</v>
      </c>
      <c r="C11" s="319">
        <f t="shared" ca="1" si="2"/>
        <v>0</v>
      </c>
      <c r="D11" s="15">
        <f t="shared" ca="1" si="0"/>
        <v>0</v>
      </c>
      <c r="E11" s="18">
        <f t="shared" ca="1" si="3"/>
        <v>0</v>
      </c>
      <c r="F11" s="320">
        <f>Synthèse!C12</f>
        <v>609</v>
      </c>
      <c r="G11" s="313">
        <f ca="1">INDIRECT("'Bureau " &amp; ROW()-1 &amp; "'!" &amp; ADDRESS(4,Synthèse!$G$40+10,4))</f>
        <v>0</v>
      </c>
      <c r="H11" s="37">
        <f t="shared" ca="1" si="1"/>
        <v>0</v>
      </c>
      <c r="I11" s="314">
        <f ca="1">INDIRECT("'Bureau " &amp; ROW()-1 &amp; "'!" &amp; ADDRESS(5,Synthèse!$G$40+10,4))</f>
        <v>0</v>
      </c>
      <c r="J11" s="37">
        <f t="shared" ca="1" si="4"/>
        <v>0</v>
      </c>
      <c r="K11" s="314">
        <f ca="1">INDIRECT("'Bureau " &amp; ROW()-1 &amp; "'!" &amp; ADDRESS(6,Synthèse!$G$40+10,4))</f>
        <v>0</v>
      </c>
      <c r="L11" s="38">
        <f t="shared" ca="1" si="5"/>
        <v>0</v>
      </c>
      <c r="M11" s="321">
        <f ca="1">INDIRECT("'Bureau " &amp; ROW()-1 &amp; "'!" &amp; ADDRESS(7,Synthèse!$G$40+10,4))</f>
        <v>0</v>
      </c>
      <c r="N11" s="48">
        <f t="shared" ca="1" si="6"/>
        <v>0</v>
      </c>
      <c r="O11" s="316">
        <f ca="1">INDIRECT("'Bureau " &amp; ROW()-1 &amp; "'!" &amp; ADDRESS(8,Synthèse!$G$40+10,4))</f>
        <v>0</v>
      </c>
      <c r="P11" s="38">
        <f t="shared" ca="1" si="7"/>
        <v>0</v>
      </c>
      <c r="Q11" s="321">
        <f ca="1">INDIRECT("'Bureau " &amp; ROW()-1 &amp; "'!" &amp; ADDRESS(9,Synthèse!$G$40+10,4))</f>
        <v>0</v>
      </c>
      <c r="R11" s="48">
        <f t="shared" ca="1" si="8"/>
        <v>0</v>
      </c>
      <c r="S11" s="317">
        <f ca="1">INDIRECT("'Bureau " &amp; ROW()-1 &amp; "'!" &amp; ADDRESS(10,Synthèse!$G$40+10,4))</f>
        <v>0</v>
      </c>
      <c r="T11" s="15">
        <f t="shared" ca="1" si="9"/>
        <v>0</v>
      </c>
      <c r="U11" s="321">
        <f ca="1">INDIRECT("'Bureau " &amp; ROW()-1 &amp; "'!" &amp; ADDRESS(11,Synthèse!$G$40+10,4))</f>
        <v>0</v>
      </c>
      <c r="V11" s="48">
        <f t="shared" ca="1" si="10"/>
        <v>0</v>
      </c>
      <c r="W11" s="316">
        <f ca="1">INDIRECT("'Bureau " &amp; ROW()-1 &amp; "'!" &amp; ADDRESS(12,Synthèse!$G$40+10,4))</f>
        <v>0</v>
      </c>
      <c r="X11" s="38">
        <f t="shared" ca="1" si="11"/>
        <v>0</v>
      </c>
      <c r="Y11" s="322">
        <f ca="1">INDIRECT("'Bureau " &amp; ROW()-1 &amp; "'!" &amp; ADDRESS(13,Synthèse!$G$40+10,4))</f>
        <v>0</v>
      </c>
      <c r="Z11" s="62">
        <f t="shared" ca="1" si="12"/>
        <v>0</v>
      </c>
      <c r="AA11" s="78">
        <f ca="1">INDIRECT("'Bureau " &amp; ROW()-1 &amp; "'!" &amp; ADDRESS(14,Synthèse!$G$40+10,4))</f>
        <v>0</v>
      </c>
      <c r="AB11" s="42">
        <f t="shared" ca="1" si="13"/>
        <v>0</v>
      </c>
      <c r="AC11" s="79">
        <f ca="1">INDIRECT("'Bureau " &amp; ROW()-1 &amp; "'!" &amp; ADDRESS(15,Synthèse!$G$40+10,4))</f>
        <v>0</v>
      </c>
      <c r="AD11" s="68">
        <f t="shared" ca="1" si="14"/>
        <v>0</v>
      </c>
      <c r="AE11" s="84">
        <v>10</v>
      </c>
      <c r="AF11" s="88">
        <v>4.4334975369458129E-2</v>
      </c>
      <c r="AG11" s="89">
        <v>0.11494252873563218</v>
      </c>
      <c r="AH11" s="89">
        <v>0.22988505747126436</v>
      </c>
      <c r="AI11" s="89">
        <v>0.34482758620689657</v>
      </c>
      <c r="AJ11" s="89">
        <v>0.39408866995073893</v>
      </c>
      <c r="AK11" s="89">
        <v>0.44663382594417078</v>
      </c>
      <c r="AL11" s="89">
        <v>0.49261083743842365</v>
      </c>
      <c r="AM11" s="89">
        <v>0.54187192118226601</v>
      </c>
      <c r="AN11" s="89">
        <v>0.56486042692939242</v>
      </c>
      <c r="AO11" s="90">
        <v>0.58620689655172409</v>
      </c>
      <c r="AP11" s="75">
        <v>0</v>
      </c>
      <c r="AQ11" s="70">
        <v>0</v>
      </c>
    </row>
    <row r="12" spans="1:43" ht="15.75" customHeight="1" x14ac:dyDescent="0.2">
      <c r="A12" s="28">
        <v>11</v>
      </c>
      <c r="B12" s="29" t="str">
        <f>Synthèse!B13</f>
        <v>CMM</v>
      </c>
      <c r="C12" s="319">
        <f t="shared" ca="1" si="2"/>
        <v>0</v>
      </c>
      <c r="D12" s="15">
        <f t="shared" ca="1" si="0"/>
        <v>0</v>
      </c>
      <c r="E12" s="18">
        <f t="shared" ca="1" si="3"/>
        <v>0</v>
      </c>
      <c r="F12" s="320">
        <f>Synthèse!C13</f>
        <v>691</v>
      </c>
      <c r="G12" s="313">
        <f ca="1">INDIRECT("'Bureau " &amp; ROW()-1 &amp; "'!" &amp; ADDRESS(4,Synthèse!$G$40+10,4))</f>
        <v>0</v>
      </c>
      <c r="H12" s="37">
        <f t="shared" ca="1" si="1"/>
        <v>0</v>
      </c>
      <c r="I12" s="314">
        <f ca="1">INDIRECT("'Bureau " &amp; ROW()-1 &amp; "'!" &amp; ADDRESS(5,Synthèse!$G$40+10,4))</f>
        <v>0</v>
      </c>
      <c r="J12" s="37">
        <f t="shared" ca="1" si="4"/>
        <v>0</v>
      </c>
      <c r="K12" s="314">
        <f ca="1">INDIRECT("'Bureau " &amp; ROW()-1 &amp; "'!" &amp; ADDRESS(6,Synthèse!$G$40+10,4))</f>
        <v>0</v>
      </c>
      <c r="L12" s="38">
        <f t="shared" ca="1" si="5"/>
        <v>0</v>
      </c>
      <c r="M12" s="321">
        <f ca="1">INDIRECT("'Bureau " &amp; ROW()-1 &amp; "'!" &amp; ADDRESS(7,Synthèse!$G$40+10,4))</f>
        <v>0</v>
      </c>
      <c r="N12" s="48">
        <f t="shared" ca="1" si="6"/>
        <v>0</v>
      </c>
      <c r="O12" s="316">
        <f ca="1">INDIRECT("'Bureau " &amp; ROW()-1 &amp; "'!" &amp; ADDRESS(8,Synthèse!$G$40+10,4))</f>
        <v>0</v>
      </c>
      <c r="P12" s="38">
        <f t="shared" ca="1" si="7"/>
        <v>0</v>
      </c>
      <c r="Q12" s="321">
        <f ca="1">INDIRECT("'Bureau " &amp; ROW()-1 &amp; "'!" &amp; ADDRESS(9,Synthèse!$G$40+10,4))</f>
        <v>0</v>
      </c>
      <c r="R12" s="48">
        <f t="shared" ca="1" si="8"/>
        <v>0</v>
      </c>
      <c r="S12" s="317">
        <f ca="1">INDIRECT("'Bureau " &amp; ROW()-1 &amp; "'!" &amp; ADDRESS(10,Synthèse!$G$40+10,4))</f>
        <v>0</v>
      </c>
      <c r="T12" s="15">
        <f t="shared" ca="1" si="9"/>
        <v>0</v>
      </c>
      <c r="U12" s="321">
        <f ca="1">INDIRECT("'Bureau " &amp; ROW()-1 &amp; "'!" &amp; ADDRESS(11,Synthèse!$G$40+10,4))</f>
        <v>0</v>
      </c>
      <c r="V12" s="48">
        <f t="shared" ca="1" si="10"/>
        <v>0</v>
      </c>
      <c r="W12" s="316">
        <f ca="1">INDIRECT("'Bureau " &amp; ROW()-1 &amp; "'!" &amp; ADDRESS(12,Synthèse!$G$40+10,4))</f>
        <v>0</v>
      </c>
      <c r="X12" s="38">
        <f t="shared" ca="1" si="11"/>
        <v>0</v>
      </c>
      <c r="Y12" s="322">
        <f ca="1">INDIRECT("'Bureau " &amp; ROW()-1 &amp; "'!" &amp; ADDRESS(13,Synthèse!$G$40+10,4))</f>
        <v>0</v>
      </c>
      <c r="Z12" s="62">
        <f t="shared" ca="1" si="12"/>
        <v>0</v>
      </c>
      <c r="AA12" s="78">
        <f ca="1">INDIRECT("'Bureau " &amp; ROW()-1 &amp; "'!" &amp; ADDRESS(14,Synthèse!$G$40+10,4))</f>
        <v>0</v>
      </c>
      <c r="AB12" s="42">
        <f t="shared" ca="1" si="13"/>
        <v>0</v>
      </c>
      <c r="AC12" s="79">
        <f ca="1">INDIRECT("'Bureau " &amp; ROW()-1 &amp; "'!" &amp; ADDRESS(15,Synthèse!$G$40+10,4))</f>
        <v>0</v>
      </c>
      <c r="AD12" s="68">
        <f t="shared" ca="1" si="14"/>
        <v>0</v>
      </c>
      <c r="AE12" s="84">
        <v>11</v>
      </c>
      <c r="AF12" s="88">
        <v>6.8017366136034735E-2</v>
      </c>
      <c r="AG12" s="89">
        <v>0.13892908827785819</v>
      </c>
      <c r="AH12" s="89">
        <v>0.22865412445730826</v>
      </c>
      <c r="AI12" s="89">
        <v>0.31114327062228653</v>
      </c>
      <c r="AJ12" s="89">
        <v>0.38205499276410998</v>
      </c>
      <c r="AK12" s="89">
        <v>0.43270622286541244</v>
      </c>
      <c r="AL12" s="89">
        <v>0.48046309696092621</v>
      </c>
      <c r="AM12" s="89">
        <v>0.55282199710564395</v>
      </c>
      <c r="AN12" s="89">
        <v>0.57597684515195369</v>
      </c>
      <c r="AO12" s="90">
        <v>0.60202604920405212</v>
      </c>
      <c r="AP12" s="75">
        <v>0</v>
      </c>
      <c r="AQ12" s="70">
        <v>0</v>
      </c>
    </row>
    <row r="13" spans="1:43" ht="15.75" customHeight="1" thickBot="1" x14ac:dyDescent="0.25">
      <c r="A13" s="30">
        <v>12</v>
      </c>
      <c r="B13" s="29" t="str">
        <f>Synthèse!B14</f>
        <v>Base nautique</v>
      </c>
      <c r="C13" s="323">
        <f t="shared" ca="1" si="2"/>
        <v>0</v>
      </c>
      <c r="D13" s="16">
        <f t="shared" ca="1" si="0"/>
        <v>0</v>
      </c>
      <c r="E13" s="46">
        <f t="shared" ca="1" si="3"/>
        <v>0</v>
      </c>
      <c r="F13" s="324">
        <f>Synthèse!C14</f>
        <v>681</v>
      </c>
      <c r="G13" s="313">
        <f ca="1">INDIRECT("'Bureau " &amp; ROW()-1 &amp; "'!" &amp; ADDRESS(4,Synthèse!$G$40+10,4))</f>
        <v>0</v>
      </c>
      <c r="H13" s="39">
        <f t="shared" ca="1" si="1"/>
        <v>0</v>
      </c>
      <c r="I13" s="314">
        <f ca="1">INDIRECT("'Bureau " &amp; ROW()-1 &amp; "'!" &amp; ADDRESS(5,Synthèse!$G$40+10,4))</f>
        <v>0</v>
      </c>
      <c r="J13" s="39">
        <f t="shared" ca="1" si="4"/>
        <v>0</v>
      </c>
      <c r="K13" s="314">
        <f ca="1">INDIRECT("'Bureau " &amp; ROW()-1 &amp; "'!" &amp; ADDRESS(6,Synthèse!$G$40+10,4))</f>
        <v>0</v>
      </c>
      <c r="L13" s="40">
        <f t="shared" ca="1" si="5"/>
        <v>0</v>
      </c>
      <c r="M13" s="325">
        <f ca="1">INDIRECT("'Bureau " &amp; ROW()-1 &amp; "'!" &amp; ADDRESS(7,Synthèse!$G$40+10,4))</f>
        <v>0</v>
      </c>
      <c r="N13" s="49">
        <f t="shared" ca="1" si="6"/>
        <v>0</v>
      </c>
      <c r="O13" s="316">
        <f ca="1">INDIRECT("'Bureau " &amp; ROW()-1 &amp; "'!" &amp; ADDRESS(8,Synthèse!$G$40+10,4))</f>
        <v>0</v>
      </c>
      <c r="P13" s="40">
        <f t="shared" ca="1" si="7"/>
        <v>0</v>
      </c>
      <c r="Q13" s="326">
        <f ca="1">INDIRECT("'Bureau " &amp; ROW()-1 &amp; "'!" &amp; ADDRESS(9,Synthèse!$G$40+10,4))</f>
        <v>0</v>
      </c>
      <c r="R13" s="50">
        <f t="shared" ca="1" si="8"/>
        <v>0</v>
      </c>
      <c r="S13" s="317">
        <f ca="1">INDIRECT("'Bureau " &amp; ROW()-1 &amp; "'!" &amp; ADDRESS(10,Synthèse!$G$40+10,4))</f>
        <v>0</v>
      </c>
      <c r="T13" s="16">
        <f t="shared" ca="1" si="9"/>
        <v>0</v>
      </c>
      <c r="U13" s="325">
        <f ca="1">INDIRECT("'Bureau " &amp; ROW()-1 &amp; "'!" &amp; ADDRESS(11,Synthèse!$G$40+10,4))</f>
        <v>0</v>
      </c>
      <c r="V13" s="49">
        <f t="shared" ca="1" si="10"/>
        <v>0</v>
      </c>
      <c r="W13" s="316">
        <f ca="1">INDIRECT("'Bureau " &amp; ROW()-1 &amp; "'!" &amp; ADDRESS(12,Synthèse!$G$40+10,4))</f>
        <v>0</v>
      </c>
      <c r="X13" s="40">
        <f t="shared" ca="1" si="11"/>
        <v>0</v>
      </c>
      <c r="Y13" s="327">
        <f ca="1">INDIRECT("'Bureau " &amp; ROW()-1 &amp; "'!" &amp; ADDRESS(13,Synthèse!$G$40+10,4))</f>
        <v>0</v>
      </c>
      <c r="Z13" s="49">
        <f t="shared" ca="1" si="12"/>
        <v>0</v>
      </c>
      <c r="AA13" s="78">
        <f ca="1">INDIRECT("'Bureau " &amp; ROW()-1 &amp; "'!" &amp; ADDRESS(14,Synthèse!$G$40+10,4))</f>
        <v>0</v>
      </c>
      <c r="AB13" s="43">
        <f t="shared" ca="1" si="13"/>
        <v>0</v>
      </c>
      <c r="AC13" s="79">
        <f ca="1">INDIRECT("'Bureau " &amp; ROW()-1 &amp; "'!" &amp; ADDRESS(15,Synthèse!$G$40+10,4))</f>
        <v>0</v>
      </c>
      <c r="AD13" s="69">
        <f t="shared" ca="1" si="14"/>
        <v>0</v>
      </c>
      <c r="AE13" s="91">
        <v>12</v>
      </c>
      <c r="AF13" s="92">
        <v>3.5294117647058823E-2</v>
      </c>
      <c r="AG13" s="93">
        <v>7.2058823529411759E-2</v>
      </c>
      <c r="AH13" s="93">
        <v>0.14117647058823529</v>
      </c>
      <c r="AI13" s="93">
        <v>0.21029411764705883</v>
      </c>
      <c r="AJ13" s="93">
        <v>0.2676470588235294</v>
      </c>
      <c r="AK13" s="93">
        <v>0.31911764705882351</v>
      </c>
      <c r="AL13" s="93">
        <v>0.36911764705882355</v>
      </c>
      <c r="AM13" s="93">
        <v>0.42205882352941176</v>
      </c>
      <c r="AN13" s="93">
        <v>0.47205882352941175</v>
      </c>
      <c r="AO13" s="94">
        <v>0.47941176470588237</v>
      </c>
      <c r="AP13" s="75">
        <v>0</v>
      </c>
      <c r="AQ13" s="70">
        <v>0</v>
      </c>
    </row>
    <row r="14" spans="1:43" ht="15.75" customHeight="1" thickBot="1" x14ac:dyDescent="0.3">
      <c r="A14" s="797" t="s">
        <v>9</v>
      </c>
      <c r="B14" s="798"/>
      <c r="C14" s="19">
        <f ca="1">SUM(C2:C13)</f>
        <v>0</v>
      </c>
      <c r="D14" s="20">
        <f t="shared" ca="1" si="0"/>
        <v>0</v>
      </c>
      <c r="E14" s="45">
        <f t="shared" ca="1" si="3"/>
        <v>0</v>
      </c>
      <c r="F14" s="295">
        <f>SUM(F2:F13)</f>
        <v>8165</v>
      </c>
      <c r="G14" s="51">
        <f ca="1">SUM(G2:G13)</f>
        <v>0</v>
      </c>
      <c r="H14" s="52">
        <f ca="1">G14/$F14</f>
        <v>0</v>
      </c>
      <c r="I14" s="53">
        <f ca="1">SUM(I2:I13)</f>
        <v>0</v>
      </c>
      <c r="J14" s="52">
        <f ca="1">I14/$F14</f>
        <v>0</v>
      </c>
      <c r="K14" s="53">
        <f ca="1">SUM(K2:K13)</f>
        <v>0</v>
      </c>
      <c r="L14" s="54">
        <f ca="1">K14/$F14</f>
        <v>0</v>
      </c>
      <c r="M14" s="55">
        <f ca="1">SUM(M2:M13)</f>
        <v>0</v>
      </c>
      <c r="N14" s="54">
        <f ca="1">M14/$F14</f>
        <v>0</v>
      </c>
      <c r="O14" s="55">
        <f ca="1">SUM(O2:O13)</f>
        <v>0</v>
      </c>
      <c r="P14" s="54">
        <f ca="1">O14/$F14</f>
        <v>0</v>
      </c>
      <c r="Q14" s="55">
        <f ca="1">SUM(Q2:Q13)</f>
        <v>0</v>
      </c>
      <c r="R14" s="54">
        <f ca="1">Q14/$F14</f>
        <v>0</v>
      </c>
      <c r="S14" s="55">
        <f ca="1">SUM(S2:S13)</f>
        <v>0</v>
      </c>
      <c r="T14" s="54">
        <f ca="1">S14/$F14</f>
        <v>0</v>
      </c>
      <c r="U14" s="55">
        <f ca="1">SUM(U2:U13)</f>
        <v>0</v>
      </c>
      <c r="V14" s="54">
        <f ca="1">U14/$F14</f>
        <v>0</v>
      </c>
      <c r="W14" s="55">
        <f ca="1">SUM(W2:W13)</f>
        <v>0</v>
      </c>
      <c r="X14" s="56">
        <f ca="1">W14/$F14</f>
        <v>0</v>
      </c>
      <c r="Y14" s="63">
        <f ca="1">SUM(Y2:Y13)</f>
        <v>0</v>
      </c>
      <c r="Z14" s="57">
        <f ca="1">Y14/$F14</f>
        <v>0</v>
      </c>
      <c r="AA14" s="8">
        <f ca="1">SUM(AA2:AA13)</f>
        <v>0</v>
      </c>
      <c r="AB14" s="9">
        <f ca="1">AA14/$F14</f>
        <v>0</v>
      </c>
      <c r="AC14" s="10">
        <f ca="1">SUM(AC2:AC13)</f>
        <v>0</v>
      </c>
      <c r="AD14" s="9">
        <f ca="1">AC14/$F14</f>
        <v>0</v>
      </c>
      <c r="AE14" s="95" t="s">
        <v>16</v>
      </c>
      <c r="AF14" s="96">
        <v>4.8272482234746387E-2</v>
      </c>
      <c r="AG14" s="97">
        <v>0.11455525606469003</v>
      </c>
      <c r="AH14" s="97">
        <v>0.20779220779220781</v>
      </c>
      <c r="AI14" s="97">
        <v>0.30531732418524871</v>
      </c>
      <c r="AJ14" s="97">
        <v>0.36535162950257288</v>
      </c>
      <c r="AK14" s="97">
        <v>0.4164420485175202</v>
      </c>
      <c r="AL14" s="97">
        <v>0.47096299926488605</v>
      </c>
      <c r="AM14" s="97">
        <v>0.5204606714040676</v>
      </c>
      <c r="AN14" s="97">
        <v>0.54949767213918155</v>
      </c>
      <c r="AO14" s="98">
        <v>0.57363391325655477</v>
      </c>
      <c r="AP14" s="76">
        <v>0</v>
      </c>
      <c r="AQ14" s="77">
        <v>0</v>
      </c>
    </row>
    <row r="15" spans="1:43" ht="16.5" thickBot="1" x14ac:dyDescent="0.3">
      <c r="A15" s="330" t="str">
        <f>Synthèse!$A$17</f>
        <v>Date</v>
      </c>
      <c r="B15" s="333">
        <f>Synthèse!$B$17</f>
        <v>46103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1"/>
      <c r="AB15" s="11"/>
      <c r="AC15" s="11"/>
      <c r="AD15" s="11"/>
      <c r="AE15" s="805" t="s">
        <v>64</v>
      </c>
      <c r="AF15" s="806"/>
      <c r="AG15" s="806"/>
      <c r="AH15" s="806"/>
      <c r="AI15" s="806"/>
      <c r="AJ15" s="806"/>
      <c r="AK15" s="806"/>
      <c r="AL15" s="806"/>
      <c r="AM15" s="806"/>
      <c r="AN15" s="806"/>
      <c r="AO15" s="806"/>
      <c r="AP15" s="806"/>
      <c r="AQ15" s="807"/>
    </row>
    <row r="16" spans="1:43" ht="15" customHeight="1" x14ac:dyDescent="0.2">
      <c r="A16" s="331" t="str">
        <f>Synthèse!$A$18</f>
        <v>Election</v>
      </c>
      <c r="B16" s="334" t="str">
        <f>Synthèse!$B$18</f>
        <v>Municipale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1"/>
      <c r="AB16" s="11"/>
      <c r="AC16" s="11"/>
      <c r="AD16" s="1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x14ac:dyDescent="0.2">
      <c r="A17" s="649" t="str">
        <f>Synthèse!$A$19</f>
        <v>Tour</v>
      </c>
      <c r="B17" s="650">
        <f>Synthèse!$B$19</f>
        <v>2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1"/>
      <c r="AC17" s="11"/>
      <c r="AD17" s="1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8.75" customHeight="1" thickBot="1" x14ac:dyDescent="0.25">
      <c r="A18" s="647" t="str">
        <f>Synthèse!$A$20</f>
        <v>Ville</v>
      </c>
      <c r="B18" s="648" t="str">
        <f>Synthèse!$B$20</f>
        <v>Cogolin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1"/>
      <c r="AB18" s="11"/>
      <c r="AC18" s="11"/>
      <c r="AD18" s="1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1"/>
      <c r="AB19" s="11"/>
      <c r="AC19" s="11"/>
      <c r="AD19" s="1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1"/>
      <c r="AB20" s="11"/>
      <c r="AC20" s="11"/>
      <c r="AD20" s="1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1"/>
      <c r="AB21" s="11"/>
      <c r="AC21" s="11"/>
      <c r="AD21" s="11"/>
      <c r="AE21" s="1"/>
      <c r="AF21" s="1"/>
      <c r="AG21" s="1"/>
      <c r="AH21" s="814" t="s">
        <v>61</v>
      </c>
      <c r="AI21" s="815"/>
      <c r="AJ21" s="812" t="s">
        <v>62</v>
      </c>
      <c r="AK21" s="813"/>
      <c r="AL21" s="100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1"/>
      <c r="AB22" s="11"/>
      <c r="AC22" s="11"/>
      <c r="AD22" s="11"/>
      <c r="AE22" s="1"/>
      <c r="AF22" s="1"/>
      <c r="AG22" s="1"/>
      <c r="AH22" s="101"/>
      <c r="AI22" s="102"/>
      <c r="AJ22" s="101"/>
      <c r="AK22" s="103"/>
      <c r="AL22" s="1"/>
      <c r="AO22" s="1"/>
      <c r="AP22" s="1"/>
      <c r="AQ22" s="1"/>
    </row>
    <row r="23" spans="1:43" ht="12.75" x14ac:dyDescent="0.2">
      <c r="A23" s="1"/>
      <c r="B23" s="58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1"/>
      <c r="AB23" s="11"/>
      <c r="AC23" s="11"/>
      <c r="AD23" s="11"/>
      <c r="AE23" s="1"/>
      <c r="AF23" s="1"/>
      <c r="AG23" s="1"/>
      <c r="AH23" s="101"/>
      <c r="AI23" s="102"/>
      <c r="AJ23" s="101"/>
      <c r="AK23" s="103"/>
      <c r="AL23" s="1"/>
      <c r="AO23" s="1"/>
      <c r="AP23" s="1"/>
      <c r="AQ23" s="1"/>
    </row>
    <row r="24" spans="1:43" ht="12.75" x14ac:dyDescent="0.2">
      <c r="A24" s="1"/>
      <c r="B24" s="58"/>
      <c r="C24" s="21"/>
      <c r="D24" s="2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1"/>
      <c r="AB24" s="11"/>
      <c r="AC24" s="11"/>
      <c r="AD24" s="11"/>
      <c r="AE24" s="1"/>
      <c r="AF24" s="1"/>
      <c r="AG24" s="1"/>
      <c r="AH24" s="101"/>
      <c r="AI24" s="102"/>
      <c r="AJ24" s="101"/>
      <c r="AK24" s="103"/>
      <c r="AL24" s="1"/>
      <c r="AO24" s="1"/>
      <c r="AP24" s="1"/>
      <c r="AQ24" s="1"/>
    </row>
    <row r="25" spans="1:43" ht="12.75" x14ac:dyDescent="0.2">
      <c r="A25" s="1"/>
      <c r="B25" s="1"/>
      <c r="C25" s="21"/>
      <c r="D25" s="2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1"/>
      <c r="AB25" s="11"/>
      <c r="AC25" s="11"/>
      <c r="AD25" s="11"/>
      <c r="AE25" s="1"/>
      <c r="AF25" s="1"/>
      <c r="AG25" s="1"/>
      <c r="AH25" s="101"/>
      <c r="AI25" s="102"/>
      <c r="AJ25" s="101"/>
      <c r="AK25" s="103"/>
      <c r="AL25" s="1"/>
      <c r="AO25" s="1"/>
      <c r="AP25" s="1"/>
      <c r="AQ25" s="1"/>
    </row>
    <row r="26" spans="1:43" ht="12.75" x14ac:dyDescent="0.2">
      <c r="A26" s="1"/>
      <c r="B26" s="1"/>
      <c r="C26" s="21"/>
      <c r="D26" s="2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1"/>
      <c r="AB26" s="11"/>
      <c r="AC26" s="11"/>
      <c r="AD26" s="11"/>
      <c r="AE26" s="1"/>
      <c r="AF26" s="1"/>
      <c r="AG26" s="1"/>
      <c r="AH26" s="101"/>
      <c r="AI26" s="102"/>
      <c r="AJ26" s="101"/>
      <c r="AK26" s="103"/>
      <c r="AL26" s="1"/>
      <c r="AO26" s="1"/>
      <c r="AP26" s="1"/>
      <c r="AQ26" s="1"/>
    </row>
    <row r="27" spans="1:43" ht="12.75" x14ac:dyDescent="0.2">
      <c r="A27" s="1"/>
      <c r="B27" s="1"/>
      <c r="C27" s="21"/>
      <c r="D27" s="2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1"/>
      <c r="AB27" s="11"/>
      <c r="AC27" s="11"/>
      <c r="AD27" s="11"/>
      <c r="AE27" s="1"/>
      <c r="AF27" s="1"/>
      <c r="AG27" s="1"/>
      <c r="AH27" s="101"/>
      <c r="AI27" s="102"/>
      <c r="AJ27" s="101"/>
      <c r="AK27" s="103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1"/>
      <c r="AB28" s="11"/>
      <c r="AC28" s="11"/>
      <c r="AD28" s="11"/>
      <c r="AE28" s="1"/>
      <c r="AF28" s="1"/>
      <c r="AG28" s="1"/>
      <c r="AH28" s="101"/>
      <c r="AI28" s="102"/>
      <c r="AJ28" s="101"/>
      <c r="AK28" s="103"/>
      <c r="AL28" s="1"/>
      <c r="AO28" s="1"/>
      <c r="AP28" s="1"/>
      <c r="AQ28" s="1"/>
    </row>
    <row r="29" spans="1:43" ht="12.75" x14ac:dyDescent="0.2">
      <c r="A29" s="1"/>
      <c r="B29" s="12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1"/>
      <c r="AB29" s="11"/>
      <c r="AC29" s="11"/>
      <c r="AD29" s="11"/>
      <c r="AE29" s="1"/>
      <c r="AF29" s="1"/>
      <c r="AG29" s="1"/>
      <c r="AH29" s="101"/>
      <c r="AI29" s="102"/>
      <c r="AJ29" s="101"/>
      <c r="AK29" s="103"/>
      <c r="AL29" s="1"/>
      <c r="AO29" s="1"/>
      <c r="AP29" s="1"/>
      <c r="AQ29" s="1"/>
    </row>
    <row r="30" spans="1:43" ht="12.75" x14ac:dyDescent="0.2">
      <c r="A30" s="1"/>
      <c r="B30" s="13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1"/>
      <c r="AB30" s="11"/>
      <c r="AC30" s="11"/>
      <c r="AD30" s="11"/>
      <c r="AE30" s="1"/>
      <c r="AF30" s="1"/>
      <c r="AG30" s="1"/>
      <c r="AH30" s="101"/>
      <c r="AI30" s="102"/>
      <c r="AJ30" s="101"/>
      <c r="AK30" s="103"/>
      <c r="AL30" s="1"/>
      <c r="AO30" s="1"/>
      <c r="AP30" s="1"/>
      <c r="AQ30" s="1"/>
    </row>
    <row r="31" spans="1:43" ht="12.75" x14ac:dyDescent="0.2">
      <c r="A31" s="1"/>
      <c r="B31" s="12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1"/>
      <c r="AB31" s="11"/>
      <c r="AC31" s="11"/>
      <c r="AD31" s="11"/>
      <c r="AE31" s="1"/>
      <c r="AF31" s="1"/>
      <c r="AG31" s="1"/>
      <c r="AH31" s="101"/>
      <c r="AI31" s="102"/>
      <c r="AJ31" s="101"/>
      <c r="AK31" s="103"/>
      <c r="AL31" s="1"/>
      <c r="AO31" s="1"/>
      <c r="AP31" s="1"/>
      <c r="AQ31" s="1"/>
    </row>
    <row r="32" spans="1:43" ht="15.75" customHeight="1" x14ac:dyDescent="0.2">
      <c r="AH32" s="104"/>
      <c r="AI32" s="105"/>
      <c r="AJ32" s="104"/>
      <c r="AK32" s="106"/>
    </row>
    <row r="33" spans="6:37" ht="15.75" customHeight="1" x14ac:dyDescent="0.2">
      <c r="AH33" s="104"/>
      <c r="AI33" s="105"/>
      <c r="AJ33" s="104"/>
      <c r="AK33" s="106"/>
    </row>
    <row r="34" spans="6:37" ht="15.75" customHeight="1" x14ac:dyDescent="0.2">
      <c r="AH34" s="104"/>
      <c r="AI34" s="105"/>
      <c r="AJ34" s="104"/>
      <c r="AK34" s="106"/>
    </row>
    <row r="35" spans="6:37" ht="15.75" customHeight="1" thickBot="1" x14ac:dyDescent="0.25">
      <c r="AH35" s="104"/>
      <c r="AI35" s="105"/>
      <c r="AJ35" s="104"/>
      <c r="AK35" s="106"/>
    </row>
    <row r="36" spans="6:37" ht="13.5" thickBot="1" x14ac:dyDescent="0.25">
      <c r="F36" s="144"/>
      <c r="G36" s="793" t="s">
        <v>61</v>
      </c>
      <c r="H36" s="794"/>
      <c r="I36" s="794"/>
      <c r="J36" s="794"/>
      <c r="K36" s="794"/>
      <c r="L36" s="794"/>
      <c r="M36" s="794"/>
      <c r="N36" s="794"/>
      <c r="O36" s="794"/>
      <c r="P36" s="794"/>
      <c r="Q36" s="794"/>
      <c r="R36" s="794"/>
      <c r="S36" s="795"/>
      <c r="T36" s="145"/>
      <c r="U36" s="804" t="s">
        <v>62</v>
      </c>
      <c r="V36" s="794"/>
      <c r="W36" s="794"/>
      <c r="X36" s="794"/>
      <c r="Y36" s="794"/>
      <c r="Z36" s="794"/>
      <c r="AA36" s="794"/>
      <c r="AB36" s="794"/>
      <c r="AC36" s="794"/>
      <c r="AD36" s="794"/>
      <c r="AE36" s="794"/>
      <c r="AF36" s="794"/>
      <c r="AG36" s="796"/>
      <c r="AH36" s="104"/>
      <c r="AI36" s="105"/>
      <c r="AJ36" s="104"/>
      <c r="AK36" s="106"/>
    </row>
    <row r="37" spans="6:37" ht="13.5" thickBot="1" x14ac:dyDescent="0.25">
      <c r="F37" s="146" t="s">
        <v>21</v>
      </c>
      <c r="G37" s="147" t="s">
        <v>82</v>
      </c>
      <c r="H37" s="148" t="s">
        <v>83</v>
      </c>
      <c r="I37" s="149" t="s">
        <v>84</v>
      </c>
      <c r="J37" s="150" t="s">
        <v>85</v>
      </c>
      <c r="K37" s="151" t="s">
        <v>86</v>
      </c>
      <c r="L37" s="152" t="s">
        <v>87</v>
      </c>
      <c r="M37" s="153" t="s">
        <v>88</v>
      </c>
      <c r="N37" s="148" t="s">
        <v>89</v>
      </c>
      <c r="O37" s="149" t="s">
        <v>90</v>
      </c>
      <c r="P37" s="150" t="s">
        <v>91</v>
      </c>
      <c r="Q37" s="151" t="s">
        <v>92</v>
      </c>
      <c r="R37" s="152" t="s">
        <v>93</v>
      </c>
      <c r="S37" s="154" t="s">
        <v>16</v>
      </c>
      <c r="T37" s="155" t="s">
        <v>21</v>
      </c>
      <c r="U37" s="156" t="s">
        <v>82</v>
      </c>
      <c r="V37" s="157" t="s">
        <v>83</v>
      </c>
      <c r="W37" s="158" t="s">
        <v>84</v>
      </c>
      <c r="X37" s="159" t="s">
        <v>85</v>
      </c>
      <c r="Y37" s="160" t="s">
        <v>86</v>
      </c>
      <c r="Z37" s="161" t="s">
        <v>87</v>
      </c>
      <c r="AA37" s="162" t="s">
        <v>88</v>
      </c>
      <c r="AB37" s="157" t="s">
        <v>89</v>
      </c>
      <c r="AC37" s="158" t="s">
        <v>90</v>
      </c>
      <c r="AD37" s="159" t="s">
        <v>91</v>
      </c>
      <c r="AE37" s="160" t="s">
        <v>92</v>
      </c>
      <c r="AF37" s="161" t="s">
        <v>93</v>
      </c>
      <c r="AG37" s="163" t="s">
        <v>16</v>
      </c>
      <c r="AH37" s="104"/>
      <c r="AI37" s="105"/>
      <c r="AJ37" s="104"/>
      <c r="AK37" s="106"/>
    </row>
    <row r="38" spans="6:37" ht="12.75" x14ac:dyDescent="0.2">
      <c r="F38" s="164" t="s">
        <v>31</v>
      </c>
      <c r="G38" s="165">
        <v>0</v>
      </c>
      <c r="H38" s="166">
        <v>0</v>
      </c>
      <c r="I38" s="166">
        <v>0</v>
      </c>
      <c r="J38" s="166">
        <v>0</v>
      </c>
      <c r="K38" s="166">
        <v>0</v>
      </c>
      <c r="L38" s="166">
        <v>0</v>
      </c>
      <c r="M38" s="166">
        <v>0</v>
      </c>
      <c r="N38" s="166">
        <v>0</v>
      </c>
      <c r="O38" s="166">
        <v>0</v>
      </c>
      <c r="P38" s="166">
        <v>0</v>
      </c>
      <c r="Q38" s="166">
        <v>0</v>
      </c>
      <c r="R38" s="166">
        <v>0</v>
      </c>
      <c r="S38" s="167">
        <v>0</v>
      </c>
      <c r="T38" s="168" t="s">
        <v>31</v>
      </c>
      <c r="U38" s="165">
        <v>0</v>
      </c>
      <c r="V38" s="166">
        <v>0</v>
      </c>
      <c r="W38" s="166">
        <v>0</v>
      </c>
      <c r="X38" s="166">
        <v>0</v>
      </c>
      <c r="Y38" s="166">
        <v>0</v>
      </c>
      <c r="Z38" s="166">
        <v>0</v>
      </c>
      <c r="AA38" s="166">
        <v>0</v>
      </c>
      <c r="AB38" s="166">
        <v>0</v>
      </c>
      <c r="AC38" s="166">
        <v>0</v>
      </c>
      <c r="AD38" s="166">
        <v>0</v>
      </c>
      <c r="AE38" s="166">
        <v>0</v>
      </c>
      <c r="AF38" s="166">
        <v>0</v>
      </c>
      <c r="AG38" s="167">
        <v>0</v>
      </c>
      <c r="AH38" s="104"/>
      <c r="AI38" s="105"/>
      <c r="AJ38" s="104"/>
      <c r="AK38" s="106"/>
    </row>
    <row r="39" spans="6:37" ht="12.75" x14ac:dyDescent="0.2">
      <c r="F39" s="169" t="s">
        <v>32</v>
      </c>
      <c r="G39" s="170" t="e" cm="1">
        <f t="array" aca="1" ref="G39" ca="1">IF(
   INDEX($H$2:$Z$14, COLUMN(A1), 2*ROW(A1)-1)&gt;0,
   INDEX($H$2:$Z$14, COLUMN(A1), 2*ROW(A1)-1),
   NA()
)</f>
        <v>#N/A</v>
      </c>
      <c r="H39" s="171" t="e" cm="1">
        <f t="array" aca="1" ref="H39" ca="1">IF(
   INDEX($H$2:$Z$14, COLUMN(B1), 2*ROW(B1)-1)&gt;0,
   INDEX($H$2:$Z$14, COLUMN(B1), 2*ROW(B1)-1),
   NA()
)</f>
        <v>#N/A</v>
      </c>
      <c r="I39" s="171" t="e" cm="1">
        <f t="array" aca="1" ref="I39" ca="1">IF(
   INDEX($H$2:$Z$14, COLUMN(C1), 2*ROW(C1)-1)&gt;0,
   INDEX($H$2:$Z$14, COLUMN(C1), 2*ROW(C1)-1),
   NA()
)</f>
        <v>#N/A</v>
      </c>
      <c r="J39" s="171" t="e" cm="1">
        <f t="array" aca="1" ref="J39" ca="1">IF(
   INDEX($H$2:$Z$14, COLUMN(D1), 2*ROW(D1)-1)&gt;0,
   INDEX($H$2:$Z$14, COLUMN(D1), 2*ROW(D1)-1),
   NA()
)</f>
        <v>#N/A</v>
      </c>
      <c r="K39" s="171" t="e" cm="1">
        <f t="array" aca="1" ref="K39" ca="1">IF(
   INDEX($H$2:$Z$14, COLUMN(E1), 2*ROW(E1)-1)&gt;0,
   INDEX($H$2:$Z$14, COLUMN(E1), 2*ROW(E1)-1),
   NA()
)</f>
        <v>#N/A</v>
      </c>
      <c r="L39" s="171" t="e" cm="1">
        <f t="array" aca="1" ref="L39" ca="1">IF(
   INDEX($H$2:$Z$14, COLUMN(F1), 2*ROW(F1)-1)&gt;0,
   INDEX($H$2:$Z$14, COLUMN(F1), 2*ROW(F1)-1),
   NA()
)</f>
        <v>#N/A</v>
      </c>
      <c r="M39" s="171" t="e" cm="1">
        <f t="array" aca="1" ref="M39" ca="1">IF(
   INDEX($H$2:$Z$14, COLUMN(G1), 2*ROW(G1)-1)&gt;0,
   INDEX($H$2:$Z$14, COLUMN(G1), 2*ROW(G1)-1),
   NA()
)</f>
        <v>#N/A</v>
      </c>
      <c r="N39" s="171" t="e" cm="1">
        <f t="array" aca="1" ref="N39" ca="1">IF(
   INDEX($H$2:$Z$14, COLUMN(H1), 2*ROW(H1)-1)&gt;0,
   INDEX($H$2:$Z$14, COLUMN(H1), 2*ROW(H1)-1),
   NA()
)</f>
        <v>#N/A</v>
      </c>
      <c r="O39" s="171" t="e" cm="1">
        <f t="array" aca="1" ref="O39" ca="1">IF(
   INDEX($H$2:$Z$14, COLUMN(I1), 2*ROW(I1)-1)&gt;0,
   INDEX($H$2:$Z$14, COLUMN(I1), 2*ROW(I1)-1),
   NA()
)</f>
        <v>#N/A</v>
      </c>
      <c r="P39" s="171" t="e" cm="1">
        <f t="array" aca="1" ref="P39" ca="1">IF(
   INDEX($H$2:$Z$14, COLUMN(J1), 2*ROW(J1)-1)&gt;0,
   INDEX($H$2:$Z$14, COLUMN(J1), 2*ROW(J1)-1),
   NA()
)</f>
        <v>#N/A</v>
      </c>
      <c r="Q39" s="171" t="e" cm="1">
        <f t="array" aca="1" ref="Q39" ca="1">IF(
   INDEX($H$2:$Z$14, COLUMN(K1), 2*ROW(K1)-1)&gt;0,
   INDEX($H$2:$Z$14, COLUMN(K1), 2*ROW(K1)-1),
   NA()
)</f>
        <v>#N/A</v>
      </c>
      <c r="R39" s="171" t="e" cm="1">
        <f t="array" aca="1" ref="R39" ca="1">IF(
   INDEX($H$2:$Z$14, COLUMN(L1), 2*ROW(L1)-1)&gt;0,
   INDEX($H$2:$Z$14, COLUMN(L1), 2*ROW(L1)-1),
   NA()
)</f>
        <v>#N/A</v>
      </c>
      <c r="S39" s="172" t="e" cm="1">
        <f t="array" aca="1" ref="S39" ca="1">IF(
   INDEX($H$2:$Z$14, COLUMN(M1), 2*ROW(M1)-1)&gt;0,
   INDEX($H$2:$Z$14, COLUMN(M1), 2*ROW(M1)-1),
   NA()
)</f>
        <v>#N/A</v>
      </c>
      <c r="T39" s="173" t="s">
        <v>32</v>
      </c>
      <c r="U39" s="170">
        <f>AF2</f>
        <v>5.9674502712477394E-2</v>
      </c>
      <c r="V39" s="171">
        <f>AF3</f>
        <v>6.0810810810810814E-2</v>
      </c>
      <c r="W39" s="171">
        <f>AF4</f>
        <v>5.6100981767180924E-2</v>
      </c>
      <c r="X39" s="171">
        <f>AF5</f>
        <v>4.8600883652430045E-2</v>
      </c>
      <c r="Y39" s="171">
        <f>AF6</f>
        <v>5.2781740370898715E-2</v>
      </c>
      <c r="Z39" s="171">
        <f>AF7</f>
        <v>4.2253521126760563E-2</v>
      </c>
      <c r="AA39" s="171">
        <f>AF8</f>
        <v>2.7359781121751026E-2</v>
      </c>
      <c r="AB39" s="171">
        <f>AF9</f>
        <v>5.5727554179566562E-2</v>
      </c>
      <c r="AC39" s="171">
        <f>AF10</f>
        <v>3.1029619181946404E-2</v>
      </c>
      <c r="AD39" s="171">
        <f>AF11</f>
        <v>4.4334975369458129E-2</v>
      </c>
      <c r="AE39" s="171">
        <f>AF12</f>
        <v>6.8017366136034735E-2</v>
      </c>
      <c r="AF39" s="171">
        <f>AF13</f>
        <v>3.5294117647058823E-2</v>
      </c>
      <c r="AG39" s="172">
        <f>AF14</f>
        <v>4.8272482234746387E-2</v>
      </c>
      <c r="AH39" s="104"/>
      <c r="AI39" s="105"/>
      <c r="AJ39" s="104"/>
      <c r="AK39" s="106"/>
    </row>
    <row r="40" spans="6:37" ht="12.75" x14ac:dyDescent="0.2">
      <c r="F40" s="169" t="s">
        <v>33</v>
      </c>
      <c r="G40" s="170" t="e" cm="1">
        <f t="array" aca="1" ref="G40" ca="1">IF(
   INDEX($H$2:$Z$14, COLUMN(A2), 2*ROW(A2)-1)&gt;0,
   INDEX($H$2:$Z$14, COLUMN(A2), 2*ROW(A2)-1),
   NA()
)</f>
        <v>#N/A</v>
      </c>
      <c r="H40" s="171" t="e" cm="1">
        <f t="array" aca="1" ref="H40" ca="1">IF(
   INDEX($H$2:$Z$14, COLUMN(B2), 2*ROW(B2)-1)&gt;0,
   INDEX($H$2:$Z$14, COLUMN(B2), 2*ROW(B2)-1),
   NA()
)</f>
        <v>#N/A</v>
      </c>
      <c r="I40" s="171" t="e" cm="1">
        <f t="array" aca="1" ref="I40" ca="1">IF(
   INDEX($H$2:$Z$14, COLUMN(C2), 2*ROW(C2)-1)&gt;0,
   INDEX($H$2:$Z$14, COLUMN(C2), 2*ROW(C2)-1),
   NA()
)</f>
        <v>#N/A</v>
      </c>
      <c r="J40" s="171" t="e" cm="1">
        <f t="array" aca="1" ref="J40" ca="1">IF(
   INDEX($H$2:$Z$14, COLUMN(D2), 2*ROW(D2)-1)&gt;0,
   INDEX($H$2:$Z$14, COLUMN(D2), 2*ROW(D2)-1),
   NA()
)</f>
        <v>#N/A</v>
      </c>
      <c r="K40" s="171" t="e" cm="1">
        <f t="array" aca="1" ref="K40" ca="1">IF(
   INDEX($H$2:$Z$14, COLUMN(E2), 2*ROW(E2)-1)&gt;0,
   INDEX($H$2:$Z$14, COLUMN(E2), 2*ROW(E2)-1),
   NA()
)</f>
        <v>#N/A</v>
      </c>
      <c r="L40" s="171" t="e" cm="1">
        <f t="array" aca="1" ref="L40" ca="1">IF(
   INDEX($H$2:$Z$14, COLUMN(F2), 2*ROW(F2)-1)&gt;0,
   INDEX($H$2:$Z$14, COLUMN(F2), 2*ROW(F2)-1),
   NA()
)</f>
        <v>#N/A</v>
      </c>
      <c r="M40" s="171" t="e" cm="1">
        <f t="array" aca="1" ref="M40" ca="1">IF(
   INDEX($H$2:$Z$14, COLUMN(G2), 2*ROW(G2)-1)&gt;0,
   INDEX($H$2:$Z$14, COLUMN(G2), 2*ROW(G2)-1),
   NA()
)</f>
        <v>#N/A</v>
      </c>
      <c r="N40" s="171" t="e" cm="1">
        <f t="array" aca="1" ref="N40" ca="1">IF(
   INDEX($H$2:$Z$14, COLUMN(H2), 2*ROW(H2)-1)&gt;0,
   INDEX($H$2:$Z$14, COLUMN(H2), 2*ROW(H2)-1),
   NA()
)</f>
        <v>#N/A</v>
      </c>
      <c r="O40" s="171" t="e" cm="1">
        <f t="array" aca="1" ref="O40" ca="1">IF(
   INDEX($H$2:$Z$14, COLUMN(I2), 2*ROW(I2)-1)&gt;0,
   INDEX($H$2:$Z$14, COLUMN(I2), 2*ROW(I2)-1),
   NA()
)</f>
        <v>#N/A</v>
      </c>
      <c r="P40" s="171" t="e" cm="1">
        <f t="array" aca="1" ref="P40" ca="1">IF(
   INDEX($H$2:$Z$14, COLUMN(J2), 2*ROW(J2)-1)&gt;0,
   INDEX($H$2:$Z$14, COLUMN(J2), 2*ROW(J2)-1),
   NA()
)</f>
        <v>#N/A</v>
      </c>
      <c r="Q40" s="171" t="e" cm="1">
        <f t="array" aca="1" ref="Q40" ca="1">IF(
   INDEX($H$2:$Z$14, COLUMN(K2), 2*ROW(K2)-1)&gt;0,
   INDEX($H$2:$Z$14, COLUMN(K2), 2*ROW(K2)-1),
   NA()
)</f>
        <v>#N/A</v>
      </c>
      <c r="R40" s="171" t="e" cm="1">
        <f t="array" aca="1" ref="R40" ca="1">IF(
   INDEX($H$2:$Z$14, COLUMN(L2), 2*ROW(L2)-1)&gt;0,
   INDEX($H$2:$Z$14, COLUMN(L2), 2*ROW(L2)-1),
   NA()
)</f>
        <v>#N/A</v>
      </c>
      <c r="S40" s="172" t="e" cm="1">
        <f t="array" aca="1" ref="S40" ca="1">IF(
   INDEX($H$2:$Z$14, COLUMN(M2), 2*ROW(M2)-1)&gt;0,
   INDEX($H$2:$Z$14, COLUMN(M2), 2*ROW(M2)-1),
   NA()
)</f>
        <v>#N/A</v>
      </c>
      <c r="T40" s="173" t="s">
        <v>33</v>
      </c>
      <c r="U40" s="170">
        <f>AG2</f>
        <v>0.1410488245931284</v>
      </c>
      <c r="V40" s="171">
        <f>AG3</f>
        <v>0.10810810810810811</v>
      </c>
      <c r="W40" s="171">
        <f>AG4</f>
        <v>0.15427769985974754</v>
      </c>
      <c r="X40" s="171">
        <f>AG5</f>
        <v>0.10014727540500737</v>
      </c>
      <c r="Y40" s="171">
        <f>AG6</f>
        <v>0.13266761768901569</v>
      </c>
      <c r="Z40" s="171">
        <f>AG7</f>
        <v>0.11971830985915492</v>
      </c>
      <c r="AA40" s="171">
        <f>AG8</f>
        <v>0.10259917920656635</v>
      </c>
      <c r="AB40" s="171">
        <f>AG9</f>
        <v>0.11145510835913312</v>
      </c>
      <c r="AC40" s="171">
        <f>AG10</f>
        <v>8.3215796897038077E-2</v>
      </c>
      <c r="AD40" s="171">
        <f>AG11</f>
        <v>0.11494252873563218</v>
      </c>
      <c r="AE40" s="171">
        <f>AG12</f>
        <v>0.13892908827785819</v>
      </c>
      <c r="AF40" s="171">
        <f>AG13</f>
        <v>7.2058823529411759E-2</v>
      </c>
      <c r="AG40" s="172">
        <f>AG14</f>
        <v>0.11455525606469003</v>
      </c>
      <c r="AH40" s="104"/>
      <c r="AI40" s="105"/>
      <c r="AJ40" s="104"/>
      <c r="AK40" s="106"/>
    </row>
    <row r="41" spans="6:37" ht="12.75" x14ac:dyDescent="0.2">
      <c r="F41" s="169" t="s">
        <v>34</v>
      </c>
      <c r="G41" s="170" t="e" cm="1">
        <f t="array" aca="1" ref="G41" ca="1">IF(
   INDEX($H$2:$Z$14, COLUMN(A3), 2*ROW(A3)-1)&gt;0,
   INDEX($H$2:$Z$14, COLUMN(A3), 2*ROW(A3)-1),
   NA()
)</f>
        <v>#N/A</v>
      </c>
      <c r="H41" s="171" t="e" cm="1">
        <f t="array" aca="1" ref="H41" ca="1">IF(
   INDEX($H$2:$Z$14, COLUMN(B3), 2*ROW(B3)-1)&gt;0,
   INDEX($H$2:$Z$14, COLUMN(B3), 2*ROW(B3)-1),
   NA()
)</f>
        <v>#N/A</v>
      </c>
      <c r="I41" s="171" t="e" cm="1">
        <f t="array" aca="1" ref="I41" ca="1">IF(
   INDEX($H$2:$Z$14, COLUMN(C3), 2*ROW(C3)-1)&gt;0,
   INDEX($H$2:$Z$14, COLUMN(C3), 2*ROW(C3)-1),
   NA()
)</f>
        <v>#N/A</v>
      </c>
      <c r="J41" s="171" t="e" cm="1">
        <f t="array" aca="1" ref="J41" ca="1">IF(
   INDEX($H$2:$Z$14, COLUMN(D3), 2*ROW(D3)-1)&gt;0,
   INDEX($H$2:$Z$14, COLUMN(D3), 2*ROW(D3)-1),
   NA()
)</f>
        <v>#N/A</v>
      </c>
      <c r="K41" s="171" t="e" cm="1">
        <f t="array" aca="1" ref="K41" ca="1">IF(
   INDEX($H$2:$Z$14, COLUMN(E3), 2*ROW(E3)-1)&gt;0,
   INDEX($H$2:$Z$14, COLUMN(E3), 2*ROW(E3)-1),
   NA()
)</f>
        <v>#N/A</v>
      </c>
      <c r="L41" s="171" t="e" cm="1">
        <f t="array" aca="1" ref="L41" ca="1">IF(
   INDEX($H$2:$Z$14, COLUMN(F3), 2*ROW(F3)-1)&gt;0,
   INDEX($H$2:$Z$14, COLUMN(F3), 2*ROW(F3)-1),
   NA()
)</f>
        <v>#N/A</v>
      </c>
      <c r="M41" s="171" t="e" cm="1">
        <f t="array" aca="1" ref="M41" ca="1">IF(
   INDEX($H$2:$Z$14, COLUMN(G3), 2*ROW(G3)-1)&gt;0,
   INDEX($H$2:$Z$14, COLUMN(G3), 2*ROW(G3)-1),
   NA()
)</f>
        <v>#N/A</v>
      </c>
      <c r="N41" s="171" t="e" cm="1">
        <f t="array" aca="1" ref="N41" ca="1">IF(
   INDEX($H$2:$Z$14, COLUMN(H3), 2*ROW(H3)-1)&gt;0,
   INDEX($H$2:$Z$14, COLUMN(H3), 2*ROW(H3)-1),
   NA()
)</f>
        <v>#N/A</v>
      </c>
      <c r="O41" s="171" t="e" cm="1">
        <f t="array" aca="1" ref="O41" ca="1">IF(
   INDEX($H$2:$Z$14, COLUMN(I3), 2*ROW(I3)-1)&gt;0,
   INDEX($H$2:$Z$14, COLUMN(I3), 2*ROW(I3)-1),
   NA()
)</f>
        <v>#N/A</v>
      </c>
      <c r="P41" s="171" t="e" cm="1">
        <f t="array" aca="1" ref="P41" ca="1">IF(
   INDEX($H$2:$Z$14, COLUMN(J3), 2*ROW(J3)-1)&gt;0,
   INDEX($H$2:$Z$14, COLUMN(J3), 2*ROW(J3)-1),
   NA()
)</f>
        <v>#N/A</v>
      </c>
      <c r="Q41" s="171" t="e" cm="1">
        <f t="array" aca="1" ref="Q41" ca="1">IF(
   INDEX($H$2:$Z$14, COLUMN(K3), 2*ROW(K3)-1)&gt;0,
   INDEX($H$2:$Z$14, COLUMN(K3), 2*ROW(K3)-1),
   NA()
)</f>
        <v>#N/A</v>
      </c>
      <c r="R41" s="171" t="e" cm="1">
        <f t="array" aca="1" ref="R41" ca="1">IF(
   INDEX($H$2:$Z$14, COLUMN(L3), 2*ROW(L3)-1)&gt;0,
   INDEX($H$2:$Z$14, COLUMN(L3), 2*ROW(L3)-1),
   NA()
)</f>
        <v>#N/A</v>
      </c>
      <c r="S41" s="172" t="e" cm="1">
        <f t="array" aca="1" ref="S41" ca="1">IF(
   INDEX($H$2:$Z$14, COLUMN(M3), 2*ROW(M3)-1)&gt;0,
   INDEX($H$2:$Z$14, COLUMN(M3), 2*ROW(M3)-1),
   NA()
)</f>
        <v>#N/A</v>
      </c>
      <c r="T41" s="173" t="s">
        <v>34</v>
      </c>
      <c r="U41" s="170">
        <f>AH2</f>
        <v>0.23508137432188064</v>
      </c>
      <c r="V41" s="171">
        <f>AH3</f>
        <v>0.1891891891891892</v>
      </c>
      <c r="W41" s="171">
        <f>AH4</f>
        <v>0.26647966339410939</v>
      </c>
      <c r="X41" s="171">
        <f>AH5</f>
        <v>0.203240058910162</v>
      </c>
      <c r="Y41" s="171">
        <f>AH6</f>
        <v>0.22824536376604851</v>
      </c>
      <c r="Z41" s="171">
        <f>AH7</f>
        <v>0.19718309859154928</v>
      </c>
      <c r="AA41" s="171">
        <f>AH8</f>
        <v>0.20519835841313269</v>
      </c>
      <c r="AB41" s="171">
        <f>AH9</f>
        <v>0.23065015479876161</v>
      </c>
      <c r="AC41" s="171">
        <f>AH10</f>
        <v>0.14809590973201692</v>
      </c>
      <c r="AD41" s="171">
        <f>AH11</f>
        <v>0.22988505747126436</v>
      </c>
      <c r="AE41" s="171">
        <f>AH12</f>
        <v>0.22865412445730826</v>
      </c>
      <c r="AF41" s="171">
        <f>AH13</f>
        <v>0.14117647058823529</v>
      </c>
      <c r="AG41" s="172">
        <f>AH14</f>
        <v>0.20779220779220781</v>
      </c>
      <c r="AH41" s="104"/>
      <c r="AI41" s="105"/>
      <c r="AJ41" s="104"/>
      <c r="AK41" s="106"/>
    </row>
    <row r="42" spans="6:37" ht="12.75" x14ac:dyDescent="0.2">
      <c r="F42" s="169" t="s">
        <v>35</v>
      </c>
      <c r="G42" s="170" t="e" cm="1">
        <f t="array" aca="1" ref="G42" ca="1">IF(
   INDEX($H$2:$Z$14, COLUMN(A4), 2*ROW(A4)-1)&gt;0,
   INDEX($H$2:$Z$14, COLUMN(A4), 2*ROW(A4)-1),
   NA()
)</f>
        <v>#N/A</v>
      </c>
      <c r="H42" s="171" t="e" cm="1">
        <f t="array" aca="1" ref="H42" ca="1">IF(
   INDEX($H$2:$Z$14, COLUMN(B4), 2*ROW(B4)-1)&gt;0,
   INDEX($H$2:$Z$14, COLUMN(B4), 2*ROW(B4)-1),
   NA()
)</f>
        <v>#N/A</v>
      </c>
      <c r="I42" s="171" t="e" cm="1">
        <f t="array" aca="1" ref="I42" ca="1">IF(
   INDEX($H$2:$Z$14, COLUMN(C4), 2*ROW(C4)-1)&gt;0,
   INDEX($H$2:$Z$14, COLUMN(C4), 2*ROW(C4)-1),
   NA()
)</f>
        <v>#N/A</v>
      </c>
      <c r="J42" s="171" t="e" cm="1">
        <f t="array" aca="1" ref="J42" ca="1">IF(
   INDEX($H$2:$Z$14, COLUMN(D4), 2*ROW(D4)-1)&gt;0,
   INDEX($H$2:$Z$14, COLUMN(D4), 2*ROW(D4)-1),
   NA()
)</f>
        <v>#N/A</v>
      </c>
      <c r="K42" s="171" t="e" cm="1">
        <f t="array" aca="1" ref="K42" ca="1">IF(
   INDEX($H$2:$Z$14, COLUMN(E4), 2*ROW(E4)-1)&gt;0,
   INDEX($H$2:$Z$14, COLUMN(E4), 2*ROW(E4)-1),
   NA()
)</f>
        <v>#N/A</v>
      </c>
      <c r="L42" s="171" t="e" cm="1">
        <f t="array" aca="1" ref="L42" ca="1">IF(
   INDEX($H$2:$Z$14, COLUMN(F4), 2*ROW(F4)-1)&gt;0,
   INDEX($H$2:$Z$14, COLUMN(F4), 2*ROW(F4)-1),
   NA()
)</f>
        <v>#N/A</v>
      </c>
      <c r="M42" s="171" t="e" cm="1">
        <f t="array" aca="1" ref="M42" ca="1">IF(
   INDEX($H$2:$Z$14, COLUMN(G4), 2*ROW(G4)-1)&gt;0,
   INDEX($H$2:$Z$14, COLUMN(G4), 2*ROW(G4)-1),
   NA()
)</f>
        <v>#N/A</v>
      </c>
      <c r="N42" s="171" t="e" cm="1">
        <f t="array" aca="1" ref="N42" ca="1">IF(
   INDEX($H$2:$Z$14, COLUMN(H4), 2*ROW(H4)-1)&gt;0,
   INDEX($H$2:$Z$14, COLUMN(H4), 2*ROW(H4)-1),
   NA()
)</f>
        <v>#N/A</v>
      </c>
      <c r="O42" s="171" t="e" cm="1">
        <f t="array" aca="1" ref="O42" ca="1">IF(
   INDEX($H$2:$Z$14, COLUMN(I4), 2*ROW(I4)-1)&gt;0,
   INDEX($H$2:$Z$14, COLUMN(I4), 2*ROW(I4)-1),
   NA()
)</f>
        <v>#N/A</v>
      </c>
      <c r="P42" s="171" t="e" cm="1">
        <f t="array" aca="1" ref="P42" ca="1">IF(
   INDEX($H$2:$Z$14, COLUMN(J4), 2*ROW(J4)-1)&gt;0,
   INDEX($H$2:$Z$14, COLUMN(J4), 2*ROW(J4)-1),
   NA()
)</f>
        <v>#N/A</v>
      </c>
      <c r="Q42" s="171" t="e" cm="1">
        <f t="array" aca="1" ref="Q42" ca="1">IF(
   INDEX($H$2:$Z$14, COLUMN(K4), 2*ROW(K4)-1)&gt;0,
   INDEX($H$2:$Z$14, COLUMN(K4), 2*ROW(K4)-1),
   NA()
)</f>
        <v>#N/A</v>
      </c>
      <c r="R42" s="171" t="e" cm="1">
        <f t="array" aca="1" ref="R42" ca="1">IF(
   INDEX($H$2:$Z$14, COLUMN(L4), 2*ROW(L4)-1)&gt;0,
   INDEX($H$2:$Z$14, COLUMN(L4), 2*ROW(L4)-1),
   NA()
)</f>
        <v>#N/A</v>
      </c>
      <c r="S42" s="172" t="e" cm="1">
        <f t="array" aca="1" ref="S42" ca="1">IF(
   INDEX($H$2:$Z$14, COLUMN(M4), 2*ROW(M4)-1)&gt;0,
   INDEX($H$2:$Z$14, COLUMN(M4), 2*ROW(M4)-1),
   NA()
)</f>
        <v>#N/A</v>
      </c>
      <c r="T42" s="173" t="s">
        <v>35</v>
      </c>
      <c r="U42" s="170">
        <f>AI2</f>
        <v>0.33634719710669075</v>
      </c>
      <c r="V42" s="171">
        <f>AI3</f>
        <v>0.3108108108108108</v>
      </c>
      <c r="W42" s="171">
        <f>AI4</f>
        <v>0.37868162692847124</v>
      </c>
      <c r="X42" s="171">
        <f>AI5</f>
        <v>0.2768777614138439</v>
      </c>
      <c r="Y42" s="171">
        <f>AI6</f>
        <v>0.34236804564907275</v>
      </c>
      <c r="Z42" s="171">
        <f>AI7</f>
        <v>0.26760563380281688</v>
      </c>
      <c r="AA42" s="171">
        <f>AI8</f>
        <v>0.33105335157318744</v>
      </c>
      <c r="AB42" s="171">
        <f>AI9</f>
        <v>0.32972136222910214</v>
      </c>
      <c r="AC42" s="171">
        <f>AI10</f>
        <v>0.23272214386459802</v>
      </c>
      <c r="AD42" s="171">
        <f>AI11</f>
        <v>0.34482758620689657</v>
      </c>
      <c r="AE42" s="171">
        <f>AI12</f>
        <v>0.31114327062228653</v>
      </c>
      <c r="AF42" s="171">
        <f>AI13</f>
        <v>0.21029411764705883</v>
      </c>
      <c r="AG42" s="172">
        <f>AI14</f>
        <v>0.30531732418524871</v>
      </c>
      <c r="AH42" s="104"/>
      <c r="AI42" s="105"/>
      <c r="AJ42" s="104"/>
      <c r="AK42" s="106"/>
    </row>
    <row r="43" spans="6:37" ht="12.75" x14ac:dyDescent="0.2">
      <c r="F43" s="169" t="s">
        <v>36</v>
      </c>
      <c r="G43" s="170" t="e" cm="1">
        <f t="array" aca="1" ref="G43" ca="1">IF(
   INDEX($H$2:$Z$14, COLUMN(A5), 2*ROW(A5)-1)&gt;0,
   INDEX($H$2:$Z$14, COLUMN(A5), 2*ROW(A5)-1),
   NA()
)</f>
        <v>#N/A</v>
      </c>
      <c r="H43" s="171" t="e" cm="1">
        <f t="array" aca="1" ref="H43" ca="1">IF(
   INDEX($H$2:$Z$14, COLUMN(B5), 2*ROW(B5)-1)&gt;0,
   INDEX($H$2:$Z$14, COLUMN(B5), 2*ROW(B5)-1),
   NA()
)</f>
        <v>#N/A</v>
      </c>
      <c r="I43" s="171" t="e" cm="1">
        <f t="array" aca="1" ref="I43" ca="1">IF(
   INDEX($H$2:$Z$14, COLUMN(C5), 2*ROW(C5)-1)&gt;0,
   INDEX($H$2:$Z$14, COLUMN(C5), 2*ROW(C5)-1),
   NA()
)</f>
        <v>#N/A</v>
      </c>
      <c r="J43" s="171" t="e" cm="1">
        <f t="array" aca="1" ref="J43" ca="1">IF(
   INDEX($H$2:$Z$14, COLUMN(D5), 2*ROW(D5)-1)&gt;0,
   INDEX($H$2:$Z$14, COLUMN(D5), 2*ROW(D5)-1),
   NA()
)</f>
        <v>#N/A</v>
      </c>
      <c r="K43" s="171" t="e" cm="1">
        <f t="array" aca="1" ref="K43" ca="1">IF(
   INDEX($H$2:$Z$14, COLUMN(E5), 2*ROW(E5)-1)&gt;0,
   INDEX($H$2:$Z$14, COLUMN(E5), 2*ROW(E5)-1),
   NA()
)</f>
        <v>#N/A</v>
      </c>
      <c r="L43" s="171" t="e" cm="1">
        <f t="array" aca="1" ref="L43" ca="1">IF(
   INDEX($H$2:$Z$14, COLUMN(F5), 2*ROW(F5)-1)&gt;0,
   INDEX($H$2:$Z$14, COLUMN(F5), 2*ROW(F5)-1),
   NA()
)</f>
        <v>#N/A</v>
      </c>
      <c r="M43" s="171" t="e" cm="1">
        <f t="array" aca="1" ref="M43" ca="1">IF(
   INDEX($H$2:$Z$14, COLUMN(G5), 2*ROW(G5)-1)&gt;0,
   INDEX($H$2:$Z$14, COLUMN(G5), 2*ROW(G5)-1),
   NA()
)</f>
        <v>#N/A</v>
      </c>
      <c r="N43" s="171" t="e" cm="1">
        <f t="array" aca="1" ref="N43" ca="1">IF(
   INDEX($H$2:$Z$14, COLUMN(H5), 2*ROW(H5)-1)&gt;0,
   INDEX($H$2:$Z$14, COLUMN(H5), 2*ROW(H5)-1),
   NA()
)</f>
        <v>#N/A</v>
      </c>
      <c r="O43" s="171" t="e" cm="1">
        <f t="array" aca="1" ref="O43" ca="1">IF(
   INDEX($H$2:$Z$14, COLUMN(I5), 2*ROW(I5)-1)&gt;0,
   INDEX($H$2:$Z$14, COLUMN(I5), 2*ROW(I5)-1),
   NA()
)</f>
        <v>#N/A</v>
      </c>
      <c r="P43" s="171" t="e" cm="1">
        <f t="array" aca="1" ref="P43" ca="1">IF(
   INDEX($H$2:$Z$14, COLUMN(J5), 2*ROW(J5)-1)&gt;0,
   INDEX($H$2:$Z$14, COLUMN(J5), 2*ROW(J5)-1),
   NA()
)</f>
        <v>#N/A</v>
      </c>
      <c r="Q43" s="171" t="e" cm="1">
        <f t="array" aca="1" ref="Q43" ca="1">IF(
   INDEX($H$2:$Z$14, COLUMN(K5), 2*ROW(K5)-1)&gt;0,
   INDEX($H$2:$Z$14, COLUMN(K5), 2*ROW(K5)-1),
   NA()
)</f>
        <v>#N/A</v>
      </c>
      <c r="R43" s="171" t="e" cm="1">
        <f t="array" aca="1" ref="R43" ca="1">IF(
   INDEX($H$2:$Z$14, COLUMN(L5), 2*ROW(L5)-1)&gt;0,
   INDEX($H$2:$Z$14, COLUMN(L5), 2*ROW(L5)-1),
   NA()
)</f>
        <v>#N/A</v>
      </c>
      <c r="S43" s="172" t="e" cm="1">
        <f t="array" aca="1" ref="S43" ca="1">IF(
   INDEX($H$2:$Z$14, COLUMN(M5), 2*ROW(M5)-1)&gt;0,
   INDEX($H$2:$Z$14, COLUMN(M5), 2*ROW(M5)-1),
   NA()
)</f>
        <v>#N/A</v>
      </c>
      <c r="T43" s="173" t="s">
        <v>36</v>
      </c>
      <c r="U43" s="170">
        <f>AJ2</f>
        <v>0.37793851717902349</v>
      </c>
      <c r="V43" s="171">
        <f>AJ3</f>
        <v>0.38918918918918921</v>
      </c>
      <c r="W43" s="171">
        <f>AJ4</f>
        <v>0.43478260869565216</v>
      </c>
      <c r="X43" s="171">
        <f>AJ5</f>
        <v>0.3328424153166421</v>
      </c>
      <c r="Y43" s="171">
        <f>AJ6</f>
        <v>0.4136947218259629</v>
      </c>
      <c r="Z43" s="171">
        <f>AJ7</f>
        <v>0.33380281690140845</v>
      </c>
      <c r="AA43" s="171">
        <f>AJ8</f>
        <v>0.38850889192886456</v>
      </c>
      <c r="AB43" s="171">
        <f>AJ9</f>
        <v>0.4024767801857585</v>
      </c>
      <c r="AC43" s="171">
        <f>AJ10</f>
        <v>0.27080394922425954</v>
      </c>
      <c r="AD43" s="171">
        <f>AJ11</f>
        <v>0.39408866995073893</v>
      </c>
      <c r="AE43" s="171">
        <f>AJ12</f>
        <v>0.38205499276410998</v>
      </c>
      <c r="AF43" s="171">
        <f>AJ13</f>
        <v>0.2676470588235294</v>
      </c>
      <c r="AG43" s="172">
        <f>AJ14</f>
        <v>0.36535162950257288</v>
      </c>
      <c r="AH43" s="104"/>
      <c r="AI43" s="105"/>
      <c r="AJ43" s="104"/>
      <c r="AK43" s="106"/>
    </row>
    <row r="44" spans="6:37" ht="12.75" x14ac:dyDescent="0.2">
      <c r="F44" s="169" t="s">
        <v>37</v>
      </c>
      <c r="G44" s="170" t="e" cm="1">
        <f t="array" aca="1" ref="G44" ca="1">IF(
   INDEX($H$2:$Z$14, COLUMN(A6), 2*ROW(A6)-1)&gt;0,
   INDEX($H$2:$Z$14, COLUMN(A6), 2*ROW(A6)-1),
   NA()
)</f>
        <v>#N/A</v>
      </c>
      <c r="H44" s="171" t="e" cm="1">
        <f t="array" aca="1" ref="H44" ca="1">IF(
   INDEX($H$2:$Z$14, COLUMN(B6), 2*ROW(B6)-1)&gt;0,
   INDEX($H$2:$Z$14, COLUMN(B6), 2*ROW(B6)-1),
   NA()
)</f>
        <v>#N/A</v>
      </c>
      <c r="I44" s="171" t="e" cm="1">
        <f t="array" aca="1" ref="I44" ca="1">IF(
   INDEX($H$2:$Z$14, COLUMN(C6), 2*ROW(C6)-1)&gt;0,
   INDEX($H$2:$Z$14, COLUMN(C6), 2*ROW(C6)-1),
   NA()
)</f>
        <v>#N/A</v>
      </c>
      <c r="J44" s="171" t="e" cm="1">
        <f t="array" aca="1" ref="J44" ca="1">IF(
   INDEX($H$2:$Z$14, COLUMN(D6), 2*ROW(D6)-1)&gt;0,
   INDEX($H$2:$Z$14, COLUMN(D6), 2*ROW(D6)-1),
   NA()
)</f>
        <v>#N/A</v>
      </c>
      <c r="K44" s="171" t="e" cm="1">
        <f t="array" aca="1" ref="K44" ca="1">IF(
   INDEX($H$2:$Z$14, COLUMN(E6), 2*ROW(E6)-1)&gt;0,
   INDEX($H$2:$Z$14, COLUMN(E6), 2*ROW(E6)-1),
   NA()
)</f>
        <v>#N/A</v>
      </c>
      <c r="L44" s="171" t="e" cm="1">
        <f t="array" aca="1" ref="L44" ca="1">IF(
   INDEX($H$2:$Z$14, COLUMN(F6), 2*ROW(F6)-1)&gt;0,
   INDEX($H$2:$Z$14, COLUMN(F6), 2*ROW(F6)-1),
   NA()
)</f>
        <v>#N/A</v>
      </c>
      <c r="M44" s="171" t="e" cm="1">
        <f t="array" aca="1" ref="M44" ca="1">IF(
   INDEX($H$2:$Z$14, COLUMN(G6), 2*ROW(G6)-1)&gt;0,
   INDEX($H$2:$Z$14, COLUMN(G6), 2*ROW(G6)-1),
   NA()
)</f>
        <v>#N/A</v>
      </c>
      <c r="N44" s="171" t="e" cm="1">
        <f t="array" aca="1" ref="N44" ca="1">IF(
   INDEX($H$2:$Z$14, COLUMN(H6), 2*ROW(H6)-1)&gt;0,
   INDEX($H$2:$Z$14, COLUMN(H6), 2*ROW(H6)-1),
   NA()
)</f>
        <v>#N/A</v>
      </c>
      <c r="O44" s="171" t="e" cm="1">
        <f t="array" aca="1" ref="O44" ca="1">IF(
   INDEX($H$2:$Z$14, COLUMN(I6), 2*ROW(I6)-1)&gt;0,
   INDEX($H$2:$Z$14, COLUMN(I6), 2*ROW(I6)-1),
   NA()
)</f>
        <v>#N/A</v>
      </c>
      <c r="P44" s="171" t="e" cm="1">
        <f t="array" aca="1" ref="P44" ca="1">IF(
   INDEX($H$2:$Z$14, COLUMN(J6), 2*ROW(J6)-1)&gt;0,
   INDEX($H$2:$Z$14, COLUMN(J6), 2*ROW(J6)-1),
   NA()
)</f>
        <v>#N/A</v>
      </c>
      <c r="Q44" s="171" t="e" cm="1">
        <f t="array" aca="1" ref="Q44" ca="1">IF(
   INDEX($H$2:$Z$14, COLUMN(K6), 2*ROW(K6)-1)&gt;0,
   INDEX($H$2:$Z$14, COLUMN(K6), 2*ROW(K6)-1),
   NA()
)</f>
        <v>#N/A</v>
      </c>
      <c r="R44" s="171" t="e" cm="1">
        <f t="array" aca="1" ref="R44" ca="1">IF(
   INDEX($H$2:$Z$14, COLUMN(L6), 2*ROW(L6)-1)&gt;0,
   INDEX($H$2:$Z$14, COLUMN(L6), 2*ROW(L6)-1),
   NA()
)</f>
        <v>#N/A</v>
      </c>
      <c r="S44" s="172" t="e" cm="1">
        <f t="array" aca="1" ref="S44" ca="1">IF(
   INDEX($H$2:$Z$14, COLUMN(M6), 2*ROW(M6)-1)&gt;0,
   INDEX($H$2:$Z$14, COLUMN(M6), 2*ROW(M6)-1),
   NA()
)</f>
        <v>#N/A</v>
      </c>
      <c r="T44" s="173" t="s">
        <v>37</v>
      </c>
      <c r="U44" s="170">
        <f>AK2</f>
        <v>0.42495479204339964</v>
      </c>
      <c r="V44" s="171">
        <f>AK3</f>
        <v>0.41891891891891891</v>
      </c>
      <c r="W44" s="171">
        <f>AK4</f>
        <v>0.50490883590462832</v>
      </c>
      <c r="X44" s="171">
        <f>AK5</f>
        <v>0.39175257731958762</v>
      </c>
      <c r="Y44" s="171">
        <f>AK6</f>
        <v>0.46362339514978601</v>
      </c>
      <c r="Z44" s="171">
        <f>AK7</f>
        <v>0.38732394366197181</v>
      </c>
      <c r="AA44" s="171">
        <f>AK8</f>
        <v>0.42407660738714092</v>
      </c>
      <c r="AB44" s="171">
        <f>AK9</f>
        <v>0.46439628482972134</v>
      </c>
      <c r="AC44" s="171">
        <f>AK10</f>
        <v>0.32440056417489421</v>
      </c>
      <c r="AD44" s="171">
        <f>AK11</f>
        <v>0.44663382594417078</v>
      </c>
      <c r="AE44" s="171">
        <f>AK12</f>
        <v>0.43270622286541244</v>
      </c>
      <c r="AF44" s="171">
        <f>AK13</f>
        <v>0.31911764705882351</v>
      </c>
      <c r="AG44" s="172">
        <f>AK14</f>
        <v>0.4164420485175202</v>
      </c>
      <c r="AH44" s="104"/>
      <c r="AI44" s="105"/>
      <c r="AJ44" s="104"/>
      <c r="AK44" s="106"/>
    </row>
    <row r="45" spans="6:37" ht="12.75" x14ac:dyDescent="0.2">
      <c r="F45" s="169" t="s">
        <v>38</v>
      </c>
      <c r="G45" s="170" t="e" cm="1">
        <f t="array" aca="1" ref="G45" ca="1">IF(
   INDEX($H$2:$Z$14, COLUMN(A7), 2*ROW(A7)-1)&gt;0,
   INDEX($H$2:$Z$14, COLUMN(A7), 2*ROW(A7)-1),
   NA()
)</f>
        <v>#N/A</v>
      </c>
      <c r="H45" s="171" t="e" cm="1">
        <f t="array" aca="1" ref="H45" ca="1">IF(
   INDEX($H$2:$Z$14, COLUMN(B7), 2*ROW(B7)-1)&gt;0,
   INDEX($H$2:$Z$14, COLUMN(B7), 2*ROW(B7)-1),
   NA()
)</f>
        <v>#N/A</v>
      </c>
      <c r="I45" s="171" t="e" cm="1">
        <f t="array" aca="1" ref="I45" ca="1">IF(
   INDEX($H$2:$Z$14, COLUMN(C7), 2*ROW(C7)-1)&gt;0,
   INDEX($H$2:$Z$14, COLUMN(C7), 2*ROW(C7)-1),
   NA()
)</f>
        <v>#N/A</v>
      </c>
      <c r="J45" s="171" t="e" cm="1">
        <f t="array" aca="1" ref="J45" ca="1">IF(
   INDEX($H$2:$Z$14, COLUMN(D7), 2*ROW(D7)-1)&gt;0,
   INDEX($H$2:$Z$14, COLUMN(D7), 2*ROW(D7)-1),
   NA()
)</f>
        <v>#N/A</v>
      </c>
      <c r="K45" s="171" t="e" cm="1">
        <f t="array" aca="1" ref="K45" ca="1">IF(
   INDEX($H$2:$Z$14, COLUMN(E7), 2*ROW(E7)-1)&gt;0,
   INDEX($H$2:$Z$14, COLUMN(E7), 2*ROW(E7)-1),
   NA()
)</f>
        <v>#N/A</v>
      </c>
      <c r="L45" s="171" t="e" cm="1">
        <f t="array" aca="1" ref="L45" ca="1">IF(
   INDEX($H$2:$Z$14, COLUMN(F7), 2*ROW(F7)-1)&gt;0,
   INDEX($H$2:$Z$14, COLUMN(F7), 2*ROW(F7)-1),
   NA()
)</f>
        <v>#N/A</v>
      </c>
      <c r="M45" s="171" t="e" cm="1">
        <f t="array" aca="1" ref="M45" ca="1">IF(
   INDEX($H$2:$Z$14, COLUMN(G7), 2*ROW(G7)-1)&gt;0,
   INDEX($H$2:$Z$14, COLUMN(G7), 2*ROW(G7)-1),
   NA()
)</f>
        <v>#N/A</v>
      </c>
      <c r="N45" s="171" t="e" cm="1">
        <f t="array" aca="1" ref="N45" ca="1">IF(
   INDEX($H$2:$Z$14, COLUMN(H7), 2*ROW(H7)-1)&gt;0,
   INDEX($H$2:$Z$14, COLUMN(H7), 2*ROW(H7)-1),
   NA()
)</f>
        <v>#N/A</v>
      </c>
      <c r="O45" s="171" t="e" cm="1">
        <f t="array" aca="1" ref="O45" ca="1">IF(
   INDEX($H$2:$Z$14, COLUMN(I7), 2*ROW(I7)-1)&gt;0,
   INDEX($H$2:$Z$14, COLUMN(I7), 2*ROW(I7)-1),
   NA()
)</f>
        <v>#N/A</v>
      </c>
      <c r="P45" s="171" t="e" cm="1">
        <f t="array" aca="1" ref="P45" ca="1">IF(
   INDEX($H$2:$Z$14, COLUMN(J7), 2*ROW(J7)-1)&gt;0,
   INDEX($H$2:$Z$14, COLUMN(J7), 2*ROW(J7)-1),
   NA()
)</f>
        <v>#N/A</v>
      </c>
      <c r="Q45" s="171" t="e" cm="1">
        <f t="array" aca="1" ref="Q45" ca="1">IF(
   INDEX($H$2:$Z$14, COLUMN(K7), 2*ROW(K7)-1)&gt;0,
   INDEX($H$2:$Z$14, COLUMN(K7), 2*ROW(K7)-1),
   NA()
)</f>
        <v>#N/A</v>
      </c>
      <c r="R45" s="171" t="e" cm="1">
        <f t="array" aca="1" ref="R45" ca="1">IF(
   INDEX($H$2:$Z$14, COLUMN(L7), 2*ROW(L7)-1)&gt;0,
   INDEX($H$2:$Z$14, COLUMN(L7), 2*ROW(L7)-1),
   NA()
)</f>
        <v>#N/A</v>
      </c>
      <c r="S45" s="172" t="e" cm="1">
        <f t="array" aca="1" ref="S45" ca="1">IF(
   INDEX($H$2:$Z$14, COLUMN(M7), 2*ROW(M7)-1)&gt;0,
   INDEX($H$2:$Z$14, COLUMN(M7), 2*ROW(M7)-1),
   NA()
)</f>
        <v>#N/A</v>
      </c>
      <c r="T45" s="173" t="s">
        <v>38</v>
      </c>
      <c r="U45" s="170">
        <f>AL2</f>
        <v>0.46292947558770342</v>
      </c>
      <c r="V45" s="171">
        <f>AL3</f>
        <v>0.48648648648648651</v>
      </c>
      <c r="W45" s="171">
        <f>AL4</f>
        <v>0.57503506311360453</v>
      </c>
      <c r="X45" s="171">
        <f>AL5</f>
        <v>0.45066273932253315</v>
      </c>
      <c r="Y45" s="171">
        <f>AL6</f>
        <v>0.53495007132667616</v>
      </c>
      <c r="Z45" s="171">
        <f>AL7</f>
        <v>0.42957746478873238</v>
      </c>
      <c r="AA45" s="171">
        <f>AL8</f>
        <v>0.48426812585499318</v>
      </c>
      <c r="AB45" s="171">
        <f>AL9</f>
        <v>0.50309597523219818</v>
      </c>
      <c r="AC45" s="171">
        <f>AL10</f>
        <v>0.38081805359661497</v>
      </c>
      <c r="AD45" s="171">
        <f>AL11</f>
        <v>0.49261083743842365</v>
      </c>
      <c r="AE45" s="171">
        <f>AL12</f>
        <v>0.48046309696092621</v>
      </c>
      <c r="AF45" s="171">
        <f>AL13</f>
        <v>0.36911764705882355</v>
      </c>
      <c r="AG45" s="172">
        <f>AL14</f>
        <v>0.47096299926488605</v>
      </c>
      <c r="AH45" s="104"/>
      <c r="AI45" s="105"/>
      <c r="AJ45" s="104"/>
      <c r="AK45" s="106"/>
    </row>
    <row r="46" spans="6:37" ht="12.75" x14ac:dyDescent="0.2">
      <c r="F46" s="169" t="s">
        <v>39</v>
      </c>
      <c r="G46" s="170" t="e" cm="1">
        <f t="array" aca="1" ref="G46" ca="1">IF(
   INDEX($H$2:$Z$14, COLUMN(A8), 2*ROW(A8)-1)&gt;0,
   INDEX($H$2:$Z$14, COLUMN(A8), 2*ROW(A8)-1),
   NA()
)</f>
        <v>#N/A</v>
      </c>
      <c r="H46" s="171" t="e" cm="1">
        <f t="array" aca="1" ref="H46" ca="1">IF(
   INDEX($H$2:$Z$14, COLUMN(B8), 2*ROW(B8)-1)&gt;0,
   INDEX($H$2:$Z$14, COLUMN(B8), 2*ROW(B8)-1),
   NA()
)</f>
        <v>#N/A</v>
      </c>
      <c r="I46" s="171" t="e" cm="1">
        <f t="array" aca="1" ref="I46" ca="1">IF(
   INDEX($H$2:$Z$14, COLUMN(C8), 2*ROW(C8)-1)&gt;0,
   INDEX($H$2:$Z$14, COLUMN(C8), 2*ROW(C8)-1),
   NA()
)</f>
        <v>#N/A</v>
      </c>
      <c r="J46" s="171" t="e" cm="1">
        <f t="array" aca="1" ref="J46" ca="1">IF(
   INDEX($H$2:$Z$14, COLUMN(D8), 2*ROW(D8)-1)&gt;0,
   INDEX($H$2:$Z$14, COLUMN(D8), 2*ROW(D8)-1),
   NA()
)</f>
        <v>#N/A</v>
      </c>
      <c r="K46" s="171" t="e" cm="1">
        <f t="array" aca="1" ref="K46" ca="1">IF(
   INDEX($H$2:$Z$14, COLUMN(E8), 2*ROW(E8)-1)&gt;0,
   INDEX($H$2:$Z$14, COLUMN(E8), 2*ROW(E8)-1),
   NA()
)</f>
        <v>#N/A</v>
      </c>
      <c r="L46" s="171" t="e" cm="1">
        <f t="array" aca="1" ref="L46" ca="1">IF(
   INDEX($H$2:$Z$14, COLUMN(F8), 2*ROW(F8)-1)&gt;0,
   INDEX($H$2:$Z$14, COLUMN(F8), 2*ROW(F8)-1),
   NA()
)</f>
        <v>#N/A</v>
      </c>
      <c r="M46" s="171" t="e" cm="1">
        <f t="array" aca="1" ref="M46" ca="1">IF(
   INDEX($H$2:$Z$14, COLUMN(G8), 2*ROW(G8)-1)&gt;0,
   INDEX($H$2:$Z$14, COLUMN(G8), 2*ROW(G8)-1),
   NA()
)</f>
        <v>#N/A</v>
      </c>
      <c r="N46" s="171" t="e" cm="1">
        <f t="array" aca="1" ref="N46" ca="1">IF(
   INDEX($H$2:$Z$14, COLUMN(H8), 2*ROW(H8)-1)&gt;0,
   INDEX($H$2:$Z$14, COLUMN(H8), 2*ROW(H8)-1),
   NA()
)</f>
        <v>#N/A</v>
      </c>
      <c r="O46" s="171" t="e" cm="1">
        <f t="array" aca="1" ref="O46" ca="1">IF(
   INDEX($H$2:$Z$14, COLUMN(I8), 2*ROW(I8)-1)&gt;0,
   INDEX($H$2:$Z$14, COLUMN(I8), 2*ROW(I8)-1),
   NA()
)</f>
        <v>#N/A</v>
      </c>
      <c r="P46" s="171" t="e" cm="1">
        <f t="array" aca="1" ref="P46" ca="1">IF(
   INDEX($H$2:$Z$14, COLUMN(J8), 2*ROW(J8)-1)&gt;0,
   INDEX($H$2:$Z$14, COLUMN(J8), 2*ROW(J8)-1),
   NA()
)</f>
        <v>#N/A</v>
      </c>
      <c r="Q46" s="171" t="e" cm="1">
        <f t="array" aca="1" ref="Q46" ca="1">IF(
   INDEX($H$2:$Z$14, COLUMN(K8), 2*ROW(K8)-1)&gt;0,
   INDEX($H$2:$Z$14, COLUMN(K8), 2*ROW(K8)-1),
   NA()
)</f>
        <v>#N/A</v>
      </c>
      <c r="R46" s="171" t="e" cm="1">
        <f t="array" aca="1" ref="R46" ca="1">IF(
   INDEX($H$2:$Z$14, COLUMN(L8), 2*ROW(L8)-1)&gt;0,
   INDEX($H$2:$Z$14, COLUMN(L8), 2*ROW(L8)-1),
   NA()
)</f>
        <v>#N/A</v>
      </c>
      <c r="S46" s="172" t="e" cm="1">
        <f t="array" aca="1" ref="S46" ca="1">IF(
   INDEX($H$2:$Z$14, COLUMN(M8), 2*ROW(M8)-1)&gt;0,
   INDEX($H$2:$Z$14, COLUMN(M8), 2*ROW(M8)-1),
   NA()
)</f>
        <v>#N/A</v>
      </c>
      <c r="T46" s="173" t="s">
        <v>39</v>
      </c>
      <c r="U46" s="170">
        <f>AM2</f>
        <v>0.50994575045207957</v>
      </c>
      <c r="V46" s="171">
        <f>AM3</f>
        <v>0.52702702702702697</v>
      </c>
      <c r="W46" s="171">
        <f>AM4</f>
        <v>0.61711079943899017</v>
      </c>
      <c r="X46" s="171">
        <f>AM5</f>
        <v>0.49484536082474229</v>
      </c>
      <c r="Y46" s="171">
        <f>AM6</f>
        <v>0.59914407988587737</v>
      </c>
      <c r="Z46" s="171">
        <f>AM7</f>
        <v>0.47323943661971829</v>
      </c>
      <c r="AA46" s="171">
        <f>AM8</f>
        <v>0.54993160054719559</v>
      </c>
      <c r="AB46" s="171">
        <f>AM9</f>
        <v>0.54179566563467496</v>
      </c>
      <c r="AC46" s="171">
        <f>AM10</f>
        <v>0.4132581100141044</v>
      </c>
      <c r="AD46" s="171">
        <f>AM11</f>
        <v>0.54187192118226601</v>
      </c>
      <c r="AE46" s="171">
        <f>AM12</f>
        <v>0.55282199710564395</v>
      </c>
      <c r="AF46" s="171">
        <f>AM13</f>
        <v>0.42205882352941176</v>
      </c>
      <c r="AG46" s="172">
        <f>AM14</f>
        <v>0.5204606714040676</v>
      </c>
      <c r="AH46" s="104"/>
      <c r="AI46" s="105"/>
      <c r="AJ46" s="104"/>
      <c r="AK46" s="106"/>
    </row>
    <row r="47" spans="6:37" ht="12.75" x14ac:dyDescent="0.2">
      <c r="F47" s="169" t="s">
        <v>40</v>
      </c>
      <c r="G47" s="170" t="e" cm="1">
        <f t="array" aca="1" ref="G47" ca="1">IF(
   INDEX($H$2:$Z$14, COLUMN(A9), 2*ROW(A9)-1)&gt;0,
   INDEX($H$2:$Z$14, COLUMN(A9), 2*ROW(A9)-1),
   NA()
)</f>
        <v>#N/A</v>
      </c>
      <c r="H47" s="171" t="e" cm="1">
        <f t="array" aca="1" ref="H47" ca="1">IF(
   INDEX($H$2:$Z$14, COLUMN(B9), 2*ROW(B9)-1)&gt;0,
   INDEX($H$2:$Z$14, COLUMN(B9), 2*ROW(B9)-1),
   NA()
)</f>
        <v>#N/A</v>
      </c>
      <c r="I47" s="171" t="e" cm="1">
        <f t="array" aca="1" ref="I47" ca="1">IF(
   INDEX($H$2:$Z$14, COLUMN(C9), 2*ROW(C9)-1)&gt;0,
   INDEX($H$2:$Z$14, COLUMN(C9), 2*ROW(C9)-1),
   NA()
)</f>
        <v>#N/A</v>
      </c>
      <c r="J47" s="171" t="e" cm="1">
        <f t="array" aca="1" ref="J47" ca="1">IF(
   INDEX($H$2:$Z$14, COLUMN(D9), 2*ROW(D9)-1)&gt;0,
   INDEX($H$2:$Z$14, COLUMN(D9), 2*ROW(D9)-1),
   NA()
)</f>
        <v>#N/A</v>
      </c>
      <c r="K47" s="171" t="e" cm="1">
        <f t="array" aca="1" ref="K47" ca="1">IF(
   INDEX($H$2:$Z$14, COLUMN(E9), 2*ROW(E9)-1)&gt;0,
   INDEX($H$2:$Z$14, COLUMN(E9), 2*ROW(E9)-1),
   NA()
)</f>
        <v>#N/A</v>
      </c>
      <c r="L47" s="171" t="e" cm="1">
        <f t="array" aca="1" ref="L47" ca="1">IF(
   INDEX($H$2:$Z$14, COLUMN(F9), 2*ROW(F9)-1)&gt;0,
   INDEX($H$2:$Z$14, COLUMN(F9), 2*ROW(F9)-1),
   NA()
)</f>
        <v>#N/A</v>
      </c>
      <c r="M47" s="171" t="e" cm="1">
        <f t="array" aca="1" ref="M47" ca="1">IF(
   INDEX($H$2:$Z$14, COLUMN(G9), 2*ROW(G9)-1)&gt;0,
   INDEX($H$2:$Z$14, COLUMN(G9), 2*ROW(G9)-1),
   NA()
)</f>
        <v>#N/A</v>
      </c>
      <c r="N47" s="171" t="e" cm="1">
        <f t="array" aca="1" ref="N47" ca="1">IF(
   INDEX($H$2:$Z$14, COLUMN(H9), 2*ROW(H9)-1)&gt;0,
   INDEX($H$2:$Z$14, COLUMN(H9), 2*ROW(H9)-1),
   NA()
)</f>
        <v>#N/A</v>
      </c>
      <c r="O47" s="171" t="e" cm="1">
        <f t="array" aca="1" ref="O47" ca="1">IF(
   INDEX($H$2:$Z$14, COLUMN(I9), 2*ROW(I9)-1)&gt;0,
   INDEX($H$2:$Z$14, COLUMN(I9), 2*ROW(I9)-1),
   NA()
)</f>
        <v>#N/A</v>
      </c>
      <c r="P47" s="171" t="e" cm="1">
        <f t="array" aca="1" ref="P47" ca="1">IF(
   INDEX($H$2:$Z$14, COLUMN(J9), 2*ROW(J9)-1)&gt;0,
   INDEX($H$2:$Z$14, COLUMN(J9), 2*ROW(J9)-1),
   NA()
)</f>
        <v>#N/A</v>
      </c>
      <c r="Q47" s="171" t="e" cm="1">
        <f t="array" aca="1" ref="Q47" ca="1">IF(
   INDEX($H$2:$Z$14, COLUMN(K9), 2*ROW(K9)-1)&gt;0,
   INDEX($H$2:$Z$14, COLUMN(K9), 2*ROW(K9)-1),
   NA()
)</f>
        <v>#N/A</v>
      </c>
      <c r="R47" s="171" t="e" cm="1">
        <f t="array" aca="1" ref="R47" ca="1">IF(
   INDEX($H$2:$Z$14, COLUMN(L9), 2*ROW(L9)-1)&gt;0,
   INDEX($H$2:$Z$14, COLUMN(L9), 2*ROW(L9)-1),
   NA()
)</f>
        <v>#N/A</v>
      </c>
      <c r="S47" s="172" t="e" cm="1">
        <f t="array" aca="1" ref="S47" ca="1">IF(
   INDEX($H$2:$Z$14, COLUMN(M9), 2*ROW(M9)-1)&gt;0,
   INDEX($H$2:$Z$14, COLUMN(M9), 2*ROW(M9)-1),
   NA()
)</f>
        <v>#N/A</v>
      </c>
      <c r="T47" s="173" t="s">
        <v>40</v>
      </c>
      <c r="U47" s="170">
        <f>AN2</f>
        <v>0.54792043399638335</v>
      </c>
      <c r="V47" s="171">
        <f>AN3</f>
        <v>0.56081081081081086</v>
      </c>
      <c r="W47" s="171">
        <f>AN4</f>
        <v>0.65918653576437591</v>
      </c>
      <c r="X47" s="171">
        <f>AN5</f>
        <v>0.51693667157584688</v>
      </c>
      <c r="Y47" s="171">
        <f>AN6</f>
        <v>0.6205420827389444</v>
      </c>
      <c r="Z47" s="171">
        <f>AN7</f>
        <v>0.5</v>
      </c>
      <c r="AA47" s="171">
        <f>AN8</f>
        <v>0.57455540355677159</v>
      </c>
      <c r="AB47" s="171">
        <f>AN9</f>
        <v>0.55882352941176472</v>
      </c>
      <c r="AC47" s="171">
        <f>AN10</f>
        <v>0.4400564174894217</v>
      </c>
      <c r="AD47" s="171">
        <f>AN11</f>
        <v>0.56486042692939242</v>
      </c>
      <c r="AE47" s="171">
        <f>AN12</f>
        <v>0.57597684515195369</v>
      </c>
      <c r="AF47" s="171">
        <f>AN13</f>
        <v>0.47205882352941175</v>
      </c>
      <c r="AG47" s="172">
        <f>AN14</f>
        <v>0.54949767213918155</v>
      </c>
      <c r="AH47" s="107"/>
      <c r="AI47" s="99"/>
      <c r="AJ47" s="107"/>
      <c r="AK47" s="108"/>
    </row>
    <row r="48" spans="6:37" ht="12.75" x14ac:dyDescent="0.2">
      <c r="F48" s="169" t="s">
        <v>41</v>
      </c>
      <c r="G48" s="170" t="e" cm="1">
        <f t="array" aca="1" ref="G48" ca="1">IF(
   INDEX($H$2:$Z$14, COLUMN(A10), 2*ROW(A10)-1)&gt;0,
   INDEX($H$2:$Z$14, COLUMN(A10), 2*ROW(A10)-1),
   NA()
)</f>
        <v>#N/A</v>
      </c>
      <c r="H48" s="171" t="e" cm="1">
        <f t="array" aca="1" ref="H48" ca="1">IF(
   INDEX($H$2:$Z$14, COLUMN(B10), 2*ROW(B10)-1)&gt;0,
   INDEX($H$2:$Z$14, COLUMN(B10), 2*ROW(B10)-1),
   NA()
)</f>
        <v>#N/A</v>
      </c>
      <c r="I48" s="171" t="e" cm="1">
        <f t="array" aca="1" ref="I48" ca="1">IF(
   INDEX($H$2:$Z$14, COLUMN(C10), 2*ROW(C10)-1)&gt;0,
   INDEX($H$2:$Z$14, COLUMN(C10), 2*ROW(C10)-1),
   NA()
)</f>
        <v>#N/A</v>
      </c>
      <c r="J48" s="171" t="e" cm="1">
        <f t="array" aca="1" ref="J48" ca="1">IF(
   INDEX($H$2:$Z$14, COLUMN(D10), 2*ROW(D10)-1)&gt;0,
   INDEX($H$2:$Z$14, COLUMN(D10), 2*ROW(D10)-1),
   NA()
)</f>
        <v>#N/A</v>
      </c>
      <c r="K48" s="171" t="e" cm="1">
        <f t="array" aca="1" ref="K48" ca="1">IF(
   INDEX($H$2:$Z$14, COLUMN(E10), 2*ROW(E10)-1)&gt;0,
   INDEX($H$2:$Z$14, COLUMN(E10), 2*ROW(E10)-1),
   NA()
)</f>
        <v>#N/A</v>
      </c>
      <c r="L48" s="171" t="e" cm="1">
        <f t="array" aca="1" ref="L48" ca="1">IF(
   INDEX($H$2:$Z$14, COLUMN(F10), 2*ROW(F10)-1)&gt;0,
   INDEX($H$2:$Z$14, COLUMN(F10), 2*ROW(F10)-1),
   NA()
)</f>
        <v>#N/A</v>
      </c>
      <c r="M48" s="171" t="e" cm="1">
        <f t="array" aca="1" ref="M48" ca="1">IF(
   INDEX($H$2:$Z$14, COLUMN(G10), 2*ROW(G10)-1)&gt;0,
   INDEX($H$2:$Z$14, COLUMN(G10), 2*ROW(G10)-1),
   NA()
)</f>
        <v>#N/A</v>
      </c>
      <c r="N48" s="171" t="e" cm="1">
        <f t="array" aca="1" ref="N48" ca="1">IF(
   INDEX($H$2:$Z$14, COLUMN(H10), 2*ROW(H10)-1)&gt;0,
   INDEX($H$2:$Z$14, COLUMN(H10), 2*ROW(H10)-1),
   NA()
)</f>
        <v>#N/A</v>
      </c>
      <c r="O48" s="171" t="e" cm="1">
        <f t="array" aca="1" ref="O48" ca="1">IF(
   INDEX($H$2:$Z$14, COLUMN(I10), 2*ROW(I10)-1)&gt;0,
   INDEX($H$2:$Z$14, COLUMN(I10), 2*ROW(I10)-1),
   NA()
)</f>
        <v>#N/A</v>
      </c>
      <c r="P48" s="171" t="e" cm="1">
        <f t="array" aca="1" ref="P48" ca="1">IF(
   INDEX($H$2:$Z$14, COLUMN(J10), 2*ROW(J10)-1)&gt;0,
   INDEX($H$2:$Z$14, COLUMN(J10), 2*ROW(J10)-1),
   NA()
)</f>
        <v>#N/A</v>
      </c>
      <c r="Q48" s="171" t="e" cm="1">
        <f t="array" aca="1" ref="Q48" ca="1">IF(
   INDEX($H$2:$Z$14, COLUMN(K10), 2*ROW(K10)-1)&gt;0,
   INDEX($H$2:$Z$14, COLUMN(K10), 2*ROW(K10)-1),
   NA()
)</f>
        <v>#N/A</v>
      </c>
      <c r="R48" s="171" t="e" cm="1">
        <f t="array" aca="1" ref="R48" ca="1">IF(
   INDEX($H$2:$Z$14, COLUMN(L10), 2*ROW(L10)-1)&gt;0,
   INDEX($H$2:$Z$14, COLUMN(L10), 2*ROW(L10)-1),
   NA()
)</f>
        <v>#N/A</v>
      </c>
      <c r="S48" s="172" t="e" cm="1">
        <f t="array" aca="1" ref="S48" ca="1">IF(
   INDEX($H$2:$Z$14, COLUMN(M10), 2*ROW(M10)-1)&gt;0,
   INDEX($H$2:$Z$14, COLUMN(M10), 2*ROW(M10)-1),
   NA()
)</f>
        <v>#N/A</v>
      </c>
      <c r="T48" s="173" t="s">
        <v>41</v>
      </c>
      <c r="U48" s="170">
        <f>AO2</f>
        <v>0.58408679927667273</v>
      </c>
      <c r="V48" s="171">
        <f>AO3</f>
        <v>0.59864864864864864</v>
      </c>
      <c r="W48" s="171">
        <f>AO4</f>
        <v>0.67882187938288918</v>
      </c>
      <c r="X48" s="171">
        <f>AO5</f>
        <v>0.53460972017673047</v>
      </c>
      <c r="Y48" s="171">
        <f>AO6</f>
        <v>0.64479315263908699</v>
      </c>
      <c r="Z48" s="171">
        <f>AO7</f>
        <v>0.5169014084507042</v>
      </c>
      <c r="AA48" s="171">
        <f>AO8</f>
        <v>0.60054719562243497</v>
      </c>
      <c r="AB48" s="171">
        <f>AO9</f>
        <v>0.58668730650154799</v>
      </c>
      <c r="AC48" s="171">
        <f>AO10</f>
        <v>0.4696755994358251</v>
      </c>
      <c r="AD48" s="171">
        <f>AO11</f>
        <v>0.58620689655172409</v>
      </c>
      <c r="AE48" s="171">
        <f>AO12</f>
        <v>0.60202604920405212</v>
      </c>
      <c r="AF48" s="171">
        <f>AO13</f>
        <v>0.47941176470588237</v>
      </c>
      <c r="AG48" s="172">
        <f>AO14</f>
        <v>0.57363391325655477</v>
      </c>
      <c r="AH48" s="107"/>
      <c r="AI48" s="99"/>
      <c r="AJ48" s="107"/>
      <c r="AK48" s="108"/>
    </row>
    <row r="49" spans="6:37" ht="12.75" x14ac:dyDescent="0.2">
      <c r="F49" s="174" t="s">
        <v>42</v>
      </c>
      <c r="G49" s="175" t="e" cm="1">
        <f t="array" ref="G49">IF(
   INDEX($H$2:$Z$14, COLUMN(A11), 2*ROW(A11)-1)&gt;0,
   INDEX($H$2:$Z$14, COLUMN(A11), 2*ROW(A11)-1),
   NA()
)</f>
        <v>#REF!</v>
      </c>
      <c r="H49" s="176" t="e" cm="1">
        <f t="array" ref="H49">IF(
   INDEX($H$2:$Z$14, COLUMN(B11), 2*ROW(B11)-1)&gt;0,
   INDEX($H$2:$Z$14, COLUMN(B11), 2*ROW(B11)-1),
   NA()
)</f>
        <v>#REF!</v>
      </c>
      <c r="I49" s="176" t="e" cm="1">
        <f t="array" ref="I49">IF(
   INDEX($H$2:$Z$14, COLUMN(C11), 2*ROW(C11)-1)&gt;0,
   INDEX($H$2:$Z$14, COLUMN(C11), 2*ROW(C11)-1),
   NA()
)</f>
        <v>#REF!</v>
      </c>
      <c r="J49" s="176" t="e" cm="1">
        <f t="array" ref="J49">IF(
   INDEX($H$2:$Z$14, COLUMN(D11), 2*ROW(D11)-1)&gt;0,
   INDEX($H$2:$Z$14, COLUMN(D11), 2*ROW(D11)-1),
   NA()
)</f>
        <v>#REF!</v>
      </c>
      <c r="K49" s="176" t="e" cm="1">
        <f t="array" ref="K49">IF(
   INDEX($H$2:$Z$14, COLUMN(E11), 2*ROW(E11)-1)&gt;0,
   INDEX($H$2:$Z$14, COLUMN(E11), 2*ROW(E11)-1),
   NA()
)</f>
        <v>#REF!</v>
      </c>
      <c r="L49" s="176" t="e" cm="1">
        <f t="array" ref="L49">IF(
   INDEX($H$2:$Z$14, COLUMN(F11), 2*ROW(F11)-1)&gt;0,
   INDEX($H$2:$Z$14, COLUMN(F11), 2*ROW(F11)-1),
   NA()
)</f>
        <v>#REF!</v>
      </c>
      <c r="M49" s="176" t="e" cm="1">
        <f t="array" ref="M49">IF(
   INDEX($H$2:$Z$14, COLUMN(G11), 2*ROW(G11)-1)&gt;0,
   INDEX($H$2:$Z$14, COLUMN(G11), 2*ROW(G11)-1),
   NA()
)</f>
        <v>#REF!</v>
      </c>
      <c r="N49" s="176" t="e" cm="1">
        <f t="array" ref="N49">IF(
   INDEX($H$2:$Z$14, COLUMN(H11), 2*ROW(H11)-1)&gt;0,
   INDEX($H$2:$Z$14, COLUMN(H11), 2*ROW(H11)-1),
   NA()
)</f>
        <v>#REF!</v>
      </c>
      <c r="O49" s="176" t="e" cm="1">
        <f t="array" ref="O49">IF(
   INDEX($H$2:$Z$14, COLUMN(I11), 2*ROW(I11)-1)&gt;0,
   INDEX($H$2:$Z$14, COLUMN(I11), 2*ROW(I11)-1),
   NA()
)</f>
        <v>#REF!</v>
      </c>
      <c r="P49" s="176" t="e" cm="1">
        <f t="array" ref="P49">IF(
   INDEX($H$2:$Z$14, COLUMN(J11), 2*ROW(J11)-1)&gt;0,
   INDEX($H$2:$Z$14, COLUMN(J11), 2*ROW(J11)-1),
   NA()
)</f>
        <v>#REF!</v>
      </c>
      <c r="Q49" s="176" t="e" cm="1">
        <f t="array" ref="Q49">IF(
   INDEX($H$2:$Z$14, COLUMN(K11), 2*ROW(K11)-1)&gt;0,
   INDEX($H$2:$Z$14, COLUMN(K11), 2*ROW(K11)-1),
   NA()
)</f>
        <v>#REF!</v>
      </c>
      <c r="R49" s="176" t="e" cm="1">
        <f t="array" ref="R49">IF(
   INDEX($H$2:$Z$14, COLUMN(L11), 2*ROW(L11)-1)&gt;0,
   INDEX($H$2:$Z$14, COLUMN(L11), 2*ROW(L11)-1),
   NA()
)</f>
        <v>#REF!</v>
      </c>
      <c r="S49" s="346" t="e" cm="1">
        <f t="array" ref="S49">IF(
   INDEX($H$2:$Z$14, COLUMN(M11), 2*ROW(M11)-1)&gt;0,
   INDEX($H$2:$Z$14, COLUMN(M11), 2*ROW(M11)-1),
   NA()
)</f>
        <v>#REF!</v>
      </c>
      <c r="T49" s="178" t="s">
        <v>42</v>
      </c>
      <c r="U49" s="175">
        <f>AP2</f>
        <v>0</v>
      </c>
      <c r="V49" s="176">
        <f>AP3</f>
        <v>0</v>
      </c>
      <c r="W49" s="176">
        <f>AP4</f>
        <v>0</v>
      </c>
      <c r="X49" s="176">
        <f>AP5</f>
        <v>0</v>
      </c>
      <c r="Y49" s="176">
        <f>AP6</f>
        <v>0</v>
      </c>
      <c r="Z49" s="176">
        <f>AP7</f>
        <v>0</v>
      </c>
      <c r="AA49" s="176">
        <f>AP8</f>
        <v>0</v>
      </c>
      <c r="AB49" s="176">
        <f>AP9</f>
        <v>0</v>
      </c>
      <c r="AC49" s="176">
        <f>AP10</f>
        <v>0</v>
      </c>
      <c r="AD49" s="176">
        <f>AP11</f>
        <v>0</v>
      </c>
      <c r="AE49" s="176">
        <f>AP12</f>
        <v>0</v>
      </c>
      <c r="AF49" s="176">
        <f>AP13</f>
        <v>0</v>
      </c>
      <c r="AG49" s="177">
        <f>AP14</f>
        <v>0</v>
      </c>
      <c r="AH49" s="107"/>
      <c r="AI49" s="99"/>
      <c r="AJ49" s="107"/>
      <c r="AK49" s="108"/>
    </row>
    <row r="50" spans="6:37" ht="13.5" thickBot="1" x14ac:dyDescent="0.25">
      <c r="F50" s="179" t="s">
        <v>43</v>
      </c>
      <c r="G50" s="180" t="e" cm="1">
        <f t="array" ref="G50">IF(
   INDEX($H$2:$Z$14, COLUMN(A12), 2*ROW(A12)-1)&gt;0,
   INDEX($H$2:$Z$14, COLUMN(A12), 2*ROW(A12)-1),
   NA()
)</f>
        <v>#REF!</v>
      </c>
      <c r="H50" s="181" t="e" cm="1">
        <f t="array" ref="H50">IF(
   INDEX($H$2:$Z$14, COLUMN(B12), 2*ROW(B12)-1)&gt;0,
   INDEX($H$2:$Z$14, COLUMN(B12), 2*ROW(B12)-1),
   NA()
)</f>
        <v>#REF!</v>
      </c>
      <c r="I50" s="181" t="e" cm="1">
        <f t="array" ref="I50">IF(
   INDEX($H$2:$Z$14, COLUMN(C12), 2*ROW(C12)-1)&gt;0,
   INDEX($H$2:$Z$14, COLUMN(C12), 2*ROW(C12)-1),
   NA()
)</f>
        <v>#REF!</v>
      </c>
      <c r="J50" s="181" t="e" cm="1">
        <f t="array" ref="J50">IF(
   INDEX($H$2:$Z$14, COLUMN(D12), 2*ROW(D12)-1)&gt;0,
   INDEX($H$2:$Z$14, COLUMN(D12), 2*ROW(D12)-1),
   NA()
)</f>
        <v>#REF!</v>
      </c>
      <c r="K50" s="181" t="e" cm="1">
        <f t="array" ref="K50">IF(
   INDEX($H$2:$Z$14, COLUMN(E12), 2*ROW(E12)-1)&gt;0,
   INDEX($H$2:$Z$14, COLUMN(E12), 2*ROW(E12)-1),
   NA()
)</f>
        <v>#REF!</v>
      </c>
      <c r="L50" s="181" t="e" cm="1">
        <f t="array" ref="L50">IF(
   INDEX($H$2:$Z$14, COLUMN(F12), 2*ROW(F12)-1)&gt;0,
   INDEX($H$2:$Z$14, COLUMN(F12), 2*ROW(F12)-1),
   NA()
)</f>
        <v>#REF!</v>
      </c>
      <c r="M50" s="181" t="e" cm="1">
        <f t="array" ref="M50">IF(
   INDEX($H$2:$Z$14, COLUMN(G12), 2*ROW(G12)-1)&gt;0,
   INDEX($H$2:$Z$14, COLUMN(G12), 2*ROW(G12)-1),
   NA()
)</f>
        <v>#REF!</v>
      </c>
      <c r="N50" s="181" t="e" cm="1">
        <f t="array" ref="N50">IF(
   INDEX($H$2:$Z$14, COLUMN(H12), 2*ROW(H12)-1)&gt;0,
   INDEX($H$2:$Z$14, COLUMN(H12), 2*ROW(H12)-1),
   NA()
)</f>
        <v>#REF!</v>
      </c>
      <c r="O50" s="181" t="e" cm="1">
        <f t="array" ref="O50">IF(
   INDEX($H$2:$Z$14, COLUMN(I12), 2*ROW(I12)-1)&gt;0,
   INDEX($H$2:$Z$14, COLUMN(I12), 2*ROW(I12)-1),
   NA()
)</f>
        <v>#REF!</v>
      </c>
      <c r="P50" s="181" t="e" cm="1">
        <f t="array" ref="P50">IF(
   INDEX($H$2:$Z$14, COLUMN(J12), 2*ROW(J12)-1)&gt;0,
   INDEX($H$2:$Z$14, COLUMN(J12), 2*ROW(J12)-1),
   NA()
)</f>
        <v>#REF!</v>
      </c>
      <c r="Q50" s="181" t="e" cm="1">
        <f t="array" ref="Q50">IF(
   INDEX($H$2:$Z$14, COLUMN(K12), 2*ROW(K12)-1)&gt;0,
   INDEX($H$2:$Z$14, COLUMN(K12), 2*ROW(K12)-1),
   NA()
)</f>
        <v>#REF!</v>
      </c>
      <c r="R50" s="181" t="e" cm="1">
        <f t="array" ref="R50">IF(
   INDEX($H$2:$Z$14, COLUMN(L12), 2*ROW(L12)-1)&gt;0,
   INDEX($H$2:$Z$14, COLUMN(L12), 2*ROW(L12)-1),
   NA()
)</f>
        <v>#REF!</v>
      </c>
      <c r="S50" s="346" t="e" cm="1">
        <f t="array" ref="S50">IF(
   INDEX($H$2:$Z$14, COLUMN(M12), 2*ROW(M12)-1)&gt;0,
   INDEX($H$2:$Z$14, COLUMN(M12), 2*ROW(M12)-1),
   NA()
)</f>
        <v>#REF!</v>
      </c>
      <c r="T50" s="183" t="s">
        <v>43</v>
      </c>
      <c r="U50" s="180">
        <f>AQ2</f>
        <v>0</v>
      </c>
      <c r="V50" s="181">
        <f>AQ3</f>
        <v>0</v>
      </c>
      <c r="W50" s="181">
        <f>AQ4</f>
        <v>0</v>
      </c>
      <c r="X50" s="181">
        <f>AQ5</f>
        <v>0</v>
      </c>
      <c r="Y50" s="181">
        <f>AQ6</f>
        <v>0</v>
      </c>
      <c r="Z50" s="181">
        <f>AQ7</f>
        <v>0</v>
      </c>
      <c r="AA50" s="181">
        <f>AQ8</f>
        <v>0</v>
      </c>
      <c r="AB50" s="181">
        <f>AQ9</f>
        <v>0</v>
      </c>
      <c r="AC50" s="181">
        <f>AQ10</f>
        <v>0</v>
      </c>
      <c r="AD50" s="181">
        <f>AQ11</f>
        <v>0</v>
      </c>
      <c r="AE50" s="181">
        <f>AQ12</f>
        <v>0</v>
      </c>
      <c r="AF50" s="181">
        <f>AQ13</f>
        <v>0</v>
      </c>
      <c r="AG50" s="182">
        <f>AQ14</f>
        <v>0</v>
      </c>
      <c r="AH50" s="109"/>
      <c r="AI50" s="110"/>
      <c r="AJ50" s="109"/>
      <c r="AK50" s="111"/>
    </row>
    <row r="51" spans="6:37" ht="15.75" customHeight="1" thickBot="1" x14ac:dyDescent="0.25"/>
    <row r="52" spans="6:37" ht="15.75" customHeight="1" thickBot="1" x14ac:dyDescent="0.25">
      <c r="F52" s="144"/>
      <c r="G52" s="793" t="s">
        <v>61</v>
      </c>
      <c r="H52" s="794"/>
      <c r="I52" s="794"/>
      <c r="J52" s="794"/>
      <c r="K52" s="794"/>
      <c r="L52" s="794"/>
      <c r="M52" s="794"/>
      <c r="N52" s="794"/>
      <c r="O52" s="794"/>
      <c r="P52" s="794"/>
      <c r="Q52" s="794"/>
      <c r="R52" s="794"/>
      <c r="S52" s="796"/>
      <c r="U52" s="803" t="s">
        <v>62</v>
      </c>
      <c r="V52" s="794"/>
      <c r="W52" s="794"/>
      <c r="X52" s="794"/>
      <c r="Y52" s="794"/>
      <c r="Z52" s="794"/>
      <c r="AA52" s="794"/>
      <c r="AB52" s="794"/>
      <c r="AC52" s="794"/>
      <c r="AD52" s="794"/>
      <c r="AE52" s="794"/>
      <c r="AF52" s="794"/>
      <c r="AG52" s="796"/>
    </row>
    <row r="53" spans="6:37" ht="15.75" customHeight="1" thickBot="1" x14ac:dyDescent="0.25">
      <c r="F53" s="401" t="s">
        <v>21</v>
      </c>
      <c r="G53" s="416" t="s">
        <v>82</v>
      </c>
      <c r="H53" s="417" t="s">
        <v>83</v>
      </c>
      <c r="I53" s="418" t="s">
        <v>84</v>
      </c>
      <c r="J53" s="419" t="s">
        <v>85</v>
      </c>
      <c r="K53" s="420" t="s">
        <v>86</v>
      </c>
      <c r="L53" s="421" t="s">
        <v>87</v>
      </c>
      <c r="M53" s="422" t="s">
        <v>88</v>
      </c>
      <c r="N53" s="417" t="s">
        <v>89</v>
      </c>
      <c r="O53" s="418" t="s">
        <v>90</v>
      </c>
      <c r="P53" s="419" t="s">
        <v>91</v>
      </c>
      <c r="Q53" s="420" t="s">
        <v>92</v>
      </c>
      <c r="R53" s="421" t="s">
        <v>93</v>
      </c>
      <c r="S53" s="423" t="s">
        <v>16</v>
      </c>
      <c r="T53" s="401" t="s">
        <v>21</v>
      </c>
      <c r="U53" s="416" t="s">
        <v>82</v>
      </c>
      <c r="V53" s="417" t="s">
        <v>83</v>
      </c>
      <c r="W53" s="418" t="s">
        <v>84</v>
      </c>
      <c r="X53" s="419" t="s">
        <v>85</v>
      </c>
      <c r="Y53" s="420" t="s">
        <v>86</v>
      </c>
      <c r="Z53" s="421" t="s">
        <v>87</v>
      </c>
      <c r="AA53" s="422" t="s">
        <v>88</v>
      </c>
      <c r="AB53" s="417" t="s">
        <v>89</v>
      </c>
      <c r="AC53" s="418" t="s">
        <v>90</v>
      </c>
      <c r="AD53" s="419" t="s">
        <v>91</v>
      </c>
      <c r="AE53" s="420" t="s">
        <v>92</v>
      </c>
      <c r="AF53" s="421" t="s">
        <v>93</v>
      </c>
      <c r="AG53" s="423" t="s">
        <v>16</v>
      </c>
    </row>
    <row r="54" spans="6:37" ht="15.75" customHeight="1" x14ac:dyDescent="0.2">
      <c r="F54" s="407" t="s">
        <v>44</v>
      </c>
      <c r="G54" s="411" t="e">
        <f ca="1">INDIRECT("'Bureau 1'!" &amp; ADDRESS(ROW()-50,Synthèse!$G$40+14,4))</f>
        <v>#N/A</v>
      </c>
      <c r="H54" s="412" t="e">
        <f ca="1">INDIRECT("'Bureau 2'!" &amp; ADDRESS(ROW()-50,Synthèse!$G$40+14,4))</f>
        <v>#N/A</v>
      </c>
      <c r="I54" s="413" t="e">
        <f ca="1">INDIRECT("'Bureau 3'!" &amp; ADDRESS(ROW()-50,Synthèse!$G$40+14,4))</f>
        <v>#N/A</v>
      </c>
      <c r="J54" s="413" t="e">
        <f ca="1">INDIRECT("'Bureau 4'!" &amp; ADDRESS(ROW()-50,Synthèse!$G$40+14,4))</f>
        <v>#N/A</v>
      </c>
      <c r="K54" s="413" t="e">
        <f ca="1">INDIRECT("'Bureau 5'!" &amp; ADDRESS(ROW()-50,Synthèse!$G$40+14,4))</f>
        <v>#N/A</v>
      </c>
      <c r="L54" s="413" t="e">
        <f ca="1">INDIRECT("'Bureau 6'!" &amp; ADDRESS(ROW()-50,Synthèse!$G$40+14,4))</f>
        <v>#N/A</v>
      </c>
      <c r="M54" s="413" t="e">
        <f ca="1">INDIRECT("'Bureau 7'!" &amp; ADDRESS(ROW()-50,Synthèse!$G$40+14,4))</f>
        <v>#N/A</v>
      </c>
      <c r="N54" s="413" t="e">
        <f ca="1">INDIRECT("'Bureau 8'!" &amp; ADDRESS(ROW()-50,Synthèse!$G$40+14,4))</f>
        <v>#N/A</v>
      </c>
      <c r="O54" s="413" t="e">
        <f ca="1">INDIRECT("'Bureau 9'!" &amp; ADDRESS(ROW()-50,Synthèse!$G$40+14,4))</f>
        <v>#N/A</v>
      </c>
      <c r="P54" s="413" t="e">
        <f ca="1">INDIRECT("'Bureau 10'!" &amp; ADDRESS(ROW()-50,Synthèse!$G$40+14,4))</f>
        <v>#N/A</v>
      </c>
      <c r="Q54" s="413" t="e">
        <f ca="1">INDIRECT("'Bureau 11'!" &amp; ADDRESS(ROW()-50,Synthèse!$G$40+14,4))</f>
        <v>#N/A</v>
      </c>
      <c r="R54" s="413" t="e">
        <f ca="1">INDIRECT("'Bureau 12'!" &amp; ADDRESS(ROW()-50,Synthèse!$G$40+14,4))</f>
        <v>#N/A</v>
      </c>
      <c r="S54" s="414">
        <f ca="1">SUMIF(G54:R54, "&lt;&gt;#N/A")</f>
        <v>0</v>
      </c>
      <c r="T54" s="407" t="s">
        <v>44</v>
      </c>
      <c r="U54" s="411">
        <v>33</v>
      </c>
      <c r="V54" s="412">
        <v>45</v>
      </c>
      <c r="W54" s="413">
        <v>40</v>
      </c>
      <c r="X54" s="413">
        <v>33</v>
      </c>
      <c r="Y54" s="413">
        <v>37</v>
      </c>
      <c r="Z54" s="413">
        <v>30</v>
      </c>
      <c r="AA54" s="413">
        <v>20</v>
      </c>
      <c r="AB54" s="413">
        <v>36</v>
      </c>
      <c r="AC54" s="413">
        <v>22</v>
      </c>
      <c r="AD54" s="413">
        <v>27</v>
      </c>
      <c r="AE54" s="413">
        <v>47</v>
      </c>
      <c r="AF54" s="413">
        <v>24</v>
      </c>
      <c r="AG54" s="414">
        <v>394</v>
      </c>
    </row>
    <row r="55" spans="6:37" ht="15.75" customHeight="1" x14ac:dyDescent="0.2">
      <c r="F55" s="408" t="s">
        <v>45</v>
      </c>
      <c r="G55" s="402" t="e">
        <f ca="1">INDIRECT("'Bureau 1'!" &amp; ADDRESS(ROW()-50,Synthèse!$G$40+14,4))</f>
        <v>#N/A</v>
      </c>
      <c r="H55" s="410" t="e">
        <f ca="1">INDIRECT("'Bureau 2'!" &amp; ADDRESS(ROW()-50,Synthèse!$G$40+14,4))</f>
        <v>#N/A</v>
      </c>
      <c r="I55" s="329" t="e">
        <f ca="1">INDIRECT("'Bureau 3'!" &amp; ADDRESS(ROW()-50,Synthèse!$G$40+14,4))</f>
        <v>#N/A</v>
      </c>
      <c r="J55" s="329" t="e">
        <f ca="1">INDIRECT("'Bureau 4'!" &amp; ADDRESS(ROW()-50,Synthèse!$G$40+14,4))</f>
        <v>#N/A</v>
      </c>
      <c r="K55" s="329" t="e">
        <f ca="1">INDIRECT("'Bureau 5'!" &amp; ADDRESS(ROW()-50,Synthèse!$G$40+14,4))</f>
        <v>#N/A</v>
      </c>
      <c r="L55" s="329" t="e">
        <f ca="1">INDIRECT("'Bureau 6'!" &amp; ADDRESS(ROW()-50,Synthèse!$G$40+14,4))</f>
        <v>#N/A</v>
      </c>
      <c r="M55" s="329" t="e">
        <f ca="1">INDIRECT("'Bureau 7'!" &amp; ADDRESS(ROW()-50,Synthèse!$G$40+14,4))</f>
        <v>#N/A</v>
      </c>
      <c r="N55" s="329" t="e">
        <f ca="1">INDIRECT("'Bureau 8'!" &amp; ADDRESS(ROW()-50,Synthèse!$G$40+14,4))</f>
        <v>#N/A</v>
      </c>
      <c r="O55" s="329" t="e">
        <f ca="1">INDIRECT("'Bureau 9'!" &amp; ADDRESS(ROW()-50,Synthèse!$G$40+14,4))</f>
        <v>#N/A</v>
      </c>
      <c r="P55" s="329" t="e">
        <f ca="1">INDIRECT("'Bureau 10'!" &amp; ADDRESS(ROW()-50,Synthèse!$G$40+14,4))</f>
        <v>#N/A</v>
      </c>
      <c r="Q55" s="329" t="e">
        <f ca="1">INDIRECT("'Bureau 11'!" &amp; ADDRESS(ROW()-50,Synthèse!$G$40+14,4))</f>
        <v>#N/A</v>
      </c>
      <c r="R55" s="329" t="e">
        <f ca="1">INDIRECT("'Bureau 12'!" &amp; ADDRESS(ROW()-50,Synthèse!$G$40+14,4))</f>
        <v>#N/A</v>
      </c>
      <c r="S55" s="403">
        <f t="shared" ref="S55:S65" ca="1" si="15">SUMIF(G55:R55, "&lt;&gt;#N/A")</f>
        <v>0</v>
      </c>
      <c r="T55" s="408" t="s">
        <v>45</v>
      </c>
      <c r="U55" s="402">
        <v>45</v>
      </c>
      <c r="V55" s="410">
        <v>35</v>
      </c>
      <c r="W55" s="329">
        <v>70</v>
      </c>
      <c r="X55" s="329">
        <v>35</v>
      </c>
      <c r="Y55" s="329">
        <v>56</v>
      </c>
      <c r="Z55" s="329">
        <v>59</v>
      </c>
      <c r="AA55" s="329">
        <v>55</v>
      </c>
      <c r="AB55" s="329">
        <v>36</v>
      </c>
      <c r="AC55" s="329">
        <v>37</v>
      </c>
      <c r="AD55" s="329">
        <v>43</v>
      </c>
      <c r="AE55" s="329">
        <v>49</v>
      </c>
      <c r="AF55" s="329">
        <v>25</v>
      </c>
      <c r="AG55" s="403">
        <v>545</v>
      </c>
    </row>
    <row r="56" spans="6:37" ht="15.75" customHeight="1" x14ac:dyDescent="0.2">
      <c r="F56" s="408" t="s">
        <v>46</v>
      </c>
      <c r="G56" s="402" t="e">
        <f ca="1">INDIRECT("'Bureau 1'!" &amp; ADDRESS(ROW()-50,Synthèse!$G$40+14,4))</f>
        <v>#N/A</v>
      </c>
      <c r="H56" s="410" t="e">
        <f ca="1">INDIRECT("'Bureau 2'!" &amp; ADDRESS(ROW()-50,Synthèse!$G$40+14,4))</f>
        <v>#N/A</v>
      </c>
      <c r="I56" s="329" t="e">
        <f ca="1">INDIRECT("'Bureau 3'!" &amp; ADDRESS(ROW()-50,Synthèse!$G$40+14,4))</f>
        <v>#N/A</v>
      </c>
      <c r="J56" s="329" t="e">
        <f ca="1">INDIRECT("'Bureau 4'!" &amp; ADDRESS(ROW()-50,Synthèse!$G$40+14,4))</f>
        <v>#N/A</v>
      </c>
      <c r="K56" s="329" t="e">
        <f ca="1">INDIRECT("'Bureau 5'!" &amp; ADDRESS(ROW()-50,Synthèse!$G$40+14,4))</f>
        <v>#N/A</v>
      </c>
      <c r="L56" s="329" t="e">
        <f ca="1">INDIRECT("'Bureau 6'!" &amp; ADDRESS(ROW()-50,Synthèse!$G$40+14,4))</f>
        <v>#N/A</v>
      </c>
      <c r="M56" s="329" t="e">
        <f ca="1">INDIRECT("'Bureau 7'!" &amp; ADDRESS(ROW()-50,Synthèse!$G$40+14,4))</f>
        <v>#N/A</v>
      </c>
      <c r="N56" s="329" t="e">
        <f ca="1">INDIRECT("'Bureau 8'!" &amp; ADDRESS(ROW()-50,Synthèse!$G$40+14,4))</f>
        <v>#N/A</v>
      </c>
      <c r="O56" s="329" t="e">
        <f ca="1">INDIRECT("'Bureau 9'!" &amp; ADDRESS(ROW()-50,Synthèse!$G$40+14,4))</f>
        <v>#N/A</v>
      </c>
      <c r="P56" s="329" t="e">
        <f ca="1">INDIRECT("'Bureau 10'!" &amp; ADDRESS(ROW()-50,Synthèse!$G$40+14,4))</f>
        <v>#N/A</v>
      </c>
      <c r="Q56" s="329" t="e">
        <f ca="1">INDIRECT("'Bureau 11'!" &amp; ADDRESS(ROW()-50,Synthèse!$G$40+14,4))</f>
        <v>#N/A</v>
      </c>
      <c r="R56" s="329" t="e">
        <f ca="1">INDIRECT("'Bureau 12'!" &amp; ADDRESS(ROW()-50,Synthèse!$G$40+14,4))</f>
        <v>#N/A</v>
      </c>
      <c r="S56" s="403">
        <f t="shared" ca="1" si="15"/>
        <v>0</v>
      </c>
      <c r="T56" s="408" t="s">
        <v>46</v>
      </c>
      <c r="U56" s="402">
        <v>52</v>
      </c>
      <c r="V56" s="410">
        <v>60</v>
      </c>
      <c r="W56" s="329">
        <v>80</v>
      </c>
      <c r="X56" s="329">
        <v>70</v>
      </c>
      <c r="Y56" s="329">
        <v>67</v>
      </c>
      <c r="Z56" s="329">
        <v>51</v>
      </c>
      <c r="AA56" s="329">
        <v>75</v>
      </c>
      <c r="AB56" s="329">
        <v>77</v>
      </c>
      <c r="AC56" s="329">
        <v>46</v>
      </c>
      <c r="AD56" s="329">
        <v>70</v>
      </c>
      <c r="AE56" s="329">
        <v>62</v>
      </c>
      <c r="AF56" s="329">
        <v>47</v>
      </c>
      <c r="AG56" s="403">
        <v>757</v>
      </c>
    </row>
    <row r="57" spans="6:37" ht="15.75" customHeight="1" x14ac:dyDescent="0.2">
      <c r="F57" s="408" t="s">
        <v>53</v>
      </c>
      <c r="G57" s="402" t="e">
        <f ca="1">INDIRECT("'Bureau 1'!" &amp; ADDRESS(ROW()-50,Synthèse!$G$40+14,4))</f>
        <v>#N/A</v>
      </c>
      <c r="H57" s="410" t="e">
        <f ca="1">INDIRECT("'Bureau 2'!" &amp; ADDRESS(ROW()-50,Synthèse!$G$40+14,4))</f>
        <v>#N/A</v>
      </c>
      <c r="I57" s="329" t="e">
        <f ca="1">INDIRECT("'Bureau 3'!" &amp; ADDRESS(ROW()-50,Synthèse!$G$40+14,4))</f>
        <v>#N/A</v>
      </c>
      <c r="J57" s="329" t="e">
        <f ca="1">INDIRECT("'Bureau 4'!" &amp; ADDRESS(ROW()-50,Synthèse!$G$40+14,4))</f>
        <v>#N/A</v>
      </c>
      <c r="K57" s="329" t="e">
        <f ca="1">INDIRECT("'Bureau 5'!" &amp; ADDRESS(ROW()-50,Synthèse!$G$40+14,4))</f>
        <v>#N/A</v>
      </c>
      <c r="L57" s="329" t="e">
        <f ca="1">INDIRECT("'Bureau 6'!" &amp; ADDRESS(ROW()-50,Synthèse!$G$40+14,4))</f>
        <v>#N/A</v>
      </c>
      <c r="M57" s="329" t="e">
        <f ca="1">INDIRECT("'Bureau 7'!" &amp; ADDRESS(ROW()-50,Synthèse!$G$40+14,4))</f>
        <v>#N/A</v>
      </c>
      <c r="N57" s="329" t="e">
        <f ca="1">INDIRECT("'Bureau 8'!" &amp; ADDRESS(ROW()-50,Synthèse!$G$40+14,4))</f>
        <v>#N/A</v>
      </c>
      <c r="O57" s="329" t="e">
        <f ca="1">INDIRECT("'Bureau 9'!" &amp; ADDRESS(ROW()-50,Synthèse!$G$40+14,4))</f>
        <v>#N/A</v>
      </c>
      <c r="P57" s="329" t="e">
        <f ca="1">INDIRECT("'Bureau 10'!" &amp; ADDRESS(ROW()-50,Synthèse!$G$40+14,4))</f>
        <v>#N/A</v>
      </c>
      <c r="Q57" s="329" t="e">
        <f ca="1">INDIRECT("'Bureau 11'!" &amp; ADDRESS(ROW()-50,Synthèse!$G$40+14,4))</f>
        <v>#N/A</v>
      </c>
      <c r="R57" s="329" t="e">
        <f ca="1">INDIRECT("'Bureau 12'!" &amp; ADDRESS(ROW()-50,Synthèse!$G$40+14,4))</f>
        <v>#N/A</v>
      </c>
      <c r="S57" s="403">
        <f t="shared" ca="1" si="15"/>
        <v>0</v>
      </c>
      <c r="T57" s="408" t="s">
        <v>53</v>
      </c>
      <c r="U57" s="402">
        <v>56</v>
      </c>
      <c r="V57" s="410">
        <v>90</v>
      </c>
      <c r="W57" s="329">
        <v>80</v>
      </c>
      <c r="X57" s="329">
        <v>50</v>
      </c>
      <c r="Y57" s="329">
        <v>80</v>
      </c>
      <c r="Z57" s="329">
        <v>50</v>
      </c>
      <c r="AA57" s="329">
        <v>92</v>
      </c>
      <c r="AB57" s="329">
        <v>64</v>
      </c>
      <c r="AC57" s="329">
        <v>60</v>
      </c>
      <c r="AD57" s="329">
        <v>70</v>
      </c>
      <c r="AE57" s="329">
        <v>57</v>
      </c>
      <c r="AF57" s="329">
        <v>47</v>
      </c>
      <c r="AG57" s="403">
        <v>796</v>
      </c>
    </row>
    <row r="58" spans="6:37" ht="15.75" customHeight="1" x14ac:dyDescent="0.2">
      <c r="F58" s="408" t="s">
        <v>47</v>
      </c>
      <c r="G58" s="402" t="e">
        <f ca="1">INDIRECT("'Bureau 1'!" &amp; ADDRESS(ROW()-50,Synthèse!$G$40+14,4))</f>
        <v>#N/A</v>
      </c>
      <c r="H58" s="410" t="e">
        <f ca="1">INDIRECT("'Bureau 2'!" &amp; ADDRESS(ROW()-50,Synthèse!$G$40+14,4))</f>
        <v>#N/A</v>
      </c>
      <c r="I58" s="329" t="e">
        <f ca="1">INDIRECT("'Bureau 3'!" &amp; ADDRESS(ROW()-50,Synthèse!$G$40+14,4))</f>
        <v>#N/A</v>
      </c>
      <c r="J58" s="329" t="e">
        <f ca="1">INDIRECT("'Bureau 4'!" &amp; ADDRESS(ROW()-50,Synthèse!$G$40+14,4))</f>
        <v>#N/A</v>
      </c>
      <c r="K58" s="329" t="e">
        <f ca="1">INDIRECT("'Bureau 5'!" &amp; ADDRESS(ROW()-50,Synthèse!$G$40+14,4))</f>
        <v>#N/A</v>
      </c>
      <c r="L58" s="329" t="e">
        <f ca="1">INDIRECT("'Bureau 6'!" &amp; ADDRESS(ROW()-50,Synthèse!$G$40+14,4))</f>
        <v>#N/A</v>
      </c>
      <c r="M58" s="329" t="e">
        <f ca="1">INDIRECT("'Bureau 7'!" &amp; ADDRESS(ROW()-50,Synthèse!$G$40+14,4))</f>
        <v>#N/A</v>
      </c>
      <c r="N58" s="329" t="e">
        <f ca="1">INDIRECT("'Bureau 8'!" &amp; ADDRESS(ROW()-50,Synthèse!$G$40+14,4))</f>
        <v>#N/A</v>
      </c>
      <c r="O58" s="329" t="e">
        <f ca="1">INDIRECT("'Bureau 9'!" &amp; ADDRESS(ROW()-50,Synthèse!$G$40+14,4))</f>
        <v>#N/A</v>
      </c>
      <c r="P58" s="329" t="e">
        <f ca="1">INDIRECT("'Bureau 10'!" &amp; ADDRESS(ROW()-50,Synthèse!$G$40+14,4))</f>
        <v>#N/A</v>
      </c>
      <c r="Q58" s="329" t="e">
        <f ca="1">INDIRECT("'Bureau 11'!" &amp; ADDRESS(ROW()-50,Synthèse!$G$40+14,4))</f>
        <v>#N/A</v>
      </c>
      <c r="R58" s="329" t="e">
        <f ca="1">INDIRECT("'Bureau 12'!" &amp; ADDRESS(ROW()-50,Synthèse!$G$40+14,4))</f>
        <v>#N/A</v>
      </c>
      <c r="S58" s="403">
        <f t="shared" ca="1" si="15"/>
        <v>0</v>
      </c>
      <c r="T58" s="408" t="s">
        <v>47</v>
      </c>
      <c r="U58" s="402">
        <v>23</v>
      </c>
      <c r="V58" s="410">
        <v>38</v>
      </c>
      <c r="W58" s="329">
        <v>40</v>
      </c>
      <c r="X58" s="329">
        <v>38</v>
      </c>
      <c r="Y58" s="329">
        <v>50</v>
      </c>
      <c r="Z58" s="329">
        <v>47</v>
      </c>
      <c r="AA58" s="329">
        <v>42</v>
      </c>
      <c r="AB58" s="329">
        <v>47</v>
      </c>
      <c r="AC58" s="329">
        <v>27</v>
      </c>
      <c r="AD58" s="329">
        <v>30</v>
      </c>
      <c r="AE58" s="329">
        <v>49</v>
      </c>
      <c r="AF58" s="329">
        <v>39</v>
      </c>
      <c r="AG58" s="403">
        <v>470</v>
      </c>
    </row>
    <row r="59" spans="6:37" ht="15.75" customHeight="1" x14ac:dyDescent="0.2">
      <c r="F59" s="408" t="s">
        <v>48</v>
      </c>
      <c r="G59" s="402" t="e">
        <f ca="1">INDIRECT("'Bureau 1'!" &amp; ADDRESS(ROW()-50,Synthèse!$G$40+14,4))</f>
        <v>#N/A</v>
      </c>
      <c r="H59" s="410" t="e">
        <f ca="1">INDIRECT("'Bureau 2'!" &amp; ADDRESS(ROW()-50,Synthèse!$G$40+14,4))</f>
        <v>#N/A</v>
      </c>
      <c r="I59" s="329" t="e">
        <f ca="1">INDIRECT("'Bureau 3'!" &amp; ADDRESS(ROW()-50,Synthèse!$G$40+14,4))</f>
        <v>#N/A</v>
      </c>
      <c r="J59" s="329" t="e">
        <f ca="1">INDIRECT("'Bureau 4'!" &amp; ADDRESS(ROW()-50,Synthèse!$G$40+14,4))</f>
        <v>#N/A</v>
      </c>
      <c r="K59" s="329" t="e">
        <f ca="1">INDIRECT("'Bureau 5'!" &amp; ADDRESS(ROW()-50,Synthèse!$G$40+14,4))</f>
        <v>#N/A</v>
      </c>
      <c r="L59" s="329" t="e">
        <f ca="1">INDIRECT("'Bureau 6'!" &amp; ADDRESS(ROW()-50,Synthèse!$G$40+14,4))</f>
        <v>#N/A</v>
      </c>
      <c r="M59" s="329" t="e">
        <f ca="1">INDIRECT("'Bureau 7'!" &amp; ADDRESS(ROW()-50,Synthèse!$G$40+14,4))</f>
        <v>#N/A</v>
      </c>
      <c r="N59" s="329" t="e">
        <f ca="1">INDIRECT("'Bureau 8'!" &amp; ADDRESS(ROW()-50,Synthèse!$G$40+14,4))</f>
        <v>#N/A</v>
      </c>
      <c r="O59" s="329" t="e">
        <f ca="1">INDIRECT("'Bureau 9'!" &amp; ADDRESS(ROW()-50,Synthèse!$G$40+14,4))</f>
        <v>#N/A</v>
      </c>
      <c r="P59" s="329" t="e">
        <f ca="1">INDIRECT("'Bureau 10'!" &amp; ADDRESS(ROW()-50,Synthèse!$G$40+14,4))</f>
        <v>#N/A</v>
      </c>
      <c r="Q59" s="329" t="e">
        <f ca="1">INDIRECT("'Bureau 11'!" &amp; ADDRESS(ROW()-50,Synthèse!$G$40+14,4))</f>
        <v>#N/A</v>
      </c>
      <c r="R59" s="329" t="e">
        <f ca="1">INDIRECT("'Bureau 12'!" &amp; ADDRESS(ROW()-50,Synthèse!$G$40+14,4))</f>
        <v>#N/A</v>
      </c>
      <c r="S59" s="403">
        <f t="shared" ca="1" si="15"/>
        <v>0</v>
      </c>
      <c r="T59" s="408" t="s">
        <v>48</v>
      </c>
      <c r="U59" s="402">
        <v>26</v>
      </c>
      <c r="V59" s="410">
        <v>42</v>
      </c>
      <c r="W59" s="329">
        <v>50</v>
      </c>
      <c r="X59" s="329">
        <v>40</v>
      </c>
      <c r="Y59" s="329">
        <v>35</v>
      </c>
      <c r="Z59" s="329">
        <v>38</v>
      </c>
      <c r="AA59" s="329">
        <v>26</v>
      </c>
      <c r="AB59" s="329">
        <v>40</v>
      </c>
      <c r="AC59" s="329">
        <v>38</v>
      </c>
      <c r="AD59" s="329">
        <v>32</v>
      </c>
      <c r="AE59" s="329">
        <v>35</v>
      </c>
      <c r="AF59" s="329">
        <v>35</v>
      </c>
      <c r="AG59" s="403">
        <v>437</v>
      </c>
    </row>
    <row r="60" spans="6:37" ht="15.75" customHeight="1" x14ac:dyDescent="0.2">
      <c r="F60" s="408" t="s">
        <v>49</v>
      </c>
      <c r="G60" s="402" t="e">
        <f ca="1">INDIRECT("'Bureau 1'!" &amp; ADDRESS(ROW()-50,Synthèse!$G$40+14,4))</f>
        <v>#N/A</v>
      </c>
      <c r="H60" s="410" t="e">
        <f ca="1">INDIRECT("'Bureau 2'!" &amp; ADDRESS(ROW()-50,Synthèse!$G$40+14,4))</f>
        <v>#N/A</v>
      </c>
      <c r="I60" s="329" t="e">
        <f ca="1">INDIRECT("'Bureau 3'!" &amp; ADDRESS(ROW()-50,Synthèse!$G$40+14,4))</f>
        <v>#N/A</v>
      </c>
      <c r="J60" s="329" t="e">
        <f ca="1">INDIRECT("'Bureau 4'!" &amp; ADDRESS(ROW()-50,Synthèse!$G$40+14,4))</f>
        <v>#N/A</v>
      </c>
      <c r="K60" s="329" t="e">
        <f ca="1">INDIRECT("'Bureau 5'!" &amp; ADDRESS(ROW()-50,Synthèse!$G$40+14,4))</f>
        <v>#N/A</v>
      </c>
      <c r="L60" s="329" t="e">
        <f ca="1">INDIRECT("'Bureau 6'!" &amp; ADDRESS(ROW()-50,Synthèse!$G$40+14,4))</f>
        <v>#N/A</v>
      </c>
      <c r="M60" s="329" t="e">
        <f ca="1">INDIRECT("'Bureau 7'!" &amp; ADDRESS(ROW()-50,Synthèse!$G$40+14,4))</f>
        <v>#N/A</v>
      </c>
      <c r="N60" s="329" t="e">
        <f ca="1">INDIRECT("'Bureau 8'!" &amp; ADDRESS(ROW()-50,Synthèse!$G$40+14,4))</f>
        <v>#N/A</v>
      </c>
      <c r="O60" s="329" t="e">
        <f ca="1">INDIRECT("'Bureau 9'!" &amp; ADDRESS(ROW()-50,Synthèse!$G$40+14,4))</f>
        <v>#N/A</v>
      </c>
      <c r="P60" s="329" t="e">
        <f ca="1">INDIRECT("'Bureau 10'!" &amp; ADDRESS(ROW()-50,Synthèse!$G$40+14,4))</f>
        <v>#N/A</v>
      </c>
      <c r="Q60" s="329" t="e">
        <f ca="1">INDIRECT("'Bureau 11'!" &amp; ADDRESS(ROW()-50,Synthèse!$G$40+14,4))</f>
        <v>#N/A</v>
      </c>
      <c r="R60" s="329" t="e">
        <f ca="1">INDIRECT("'Bureau 12'!" &amp; ADDRESS(ROW()-50,Synthèse!$G$40+14,4))</f>
        <v>#N/A</v>
      </c>
      <c r="S60" s="403">
        <f t="shared" ca="1" si="15"/>
        <v>0</v>
      </c>
      <c r="T60" s="408" t="s">
        <v>49</v>
      </c>
      <c r="U60" s="402">
        <v>21</v>
      </c>
      <c r="V60" s="410">
        <v>50</v>
      </c>
      <c r="W60" s="329">
        <v>50</v>
      </c>
      <c r="X60" s="329">
        <v>40</v>
      </c>
      <c r="Y60" s="329">
        <v>50</v>
      </c>
      <c r="Z60" s="329">
        <v>30</v>
      </c>
      <c r="AA60" s="329">
        <v>44</v>
      </c>
      <c r="AB60" s="329">
        <v>25</v>
      </c>
      <c r="AC60" s="329">
        <v>40</v>
      </c>
      <c r="AD60" s="329">
        <v>28</v>
      </c>
      <c r="AE60" s="329">
        <v>33</v>
      </c>
      <c r="AF60" s="329">
        <v>34</v>
      </c>
      <c r="AG60" s="403">
        <v>445</v>
      </c>
    </row>
    <row r="61" spans="6:37" ht="15.75" customHeight="1" x14ac:dyDescent="0.2">
      <c r="F61" s="408" t="s">
        <v>50</v>
      </c>
      <c r="G61" s="402" t="e">
        <f ca="1">INDIRECT("'Bureau 1'!" &amp; ADDRESS(ROW()-50,Synthèse!$G$40+14,4))</f>
        <v>#N/A</v>
      </c>
      <c r="H61" s="410" t="e">
        <f ca="1">INDIRECT("'Bureau 2'!" &amp; ADDRESS(ROW()-50,Synthèse!$G$40+14,4))</f>
        <v>#N/A</v>
      </c>
      <c r="I61" s="329" t="e">
        <f ca="1">INDIRECT("'Bureau 3'!" &amp; ADDRESS(ROW()-50,Synthèse!$G$40+14,4))</f>
        <v>#N/A</v>
      </c>
      <c r="J61" s="329" t="e">
        <f ca="1">INDIRECT("'Bureau 4'!" &amp; ADDRESS(ROW()-50,Synthèse!$G$40+14,4))</f>
        <v>#N/A</v>
      </c>
      <c r="K61" s="329" t="e">
        <f ca="1">INDIRECT("'Bureau 5'!" &amp; ADDRESS(ROW()-50,Synthèse!$G$40+14,4))</f>
        <v>#N/A</v>
      </c>
      <c r="L61" s="329" t="e">
        <f ca="1">INDIRECT("'Bureau 6'!" &amp; ADDRESS(ROW()-50,Synthèse!$G$40+14,4))</f>
        <v>#N/A</v>
      </c>
      <c r="M61" s="329" t="e">
        <f ca="1">INDIRECT("'Bureau 7'!" &amp; ADDRESS(ROW()-50,Synthèse!$G$40+14,4))</f>
        <v>#N/A</v>
      </c>
      <c r="N61" s="329" t="e">
        <f ca="1">INDIRECT("'Bureau 8'!" &amp; ADDRESS(ROW()-50,Synthèse!$G$40+14,4))</f>
        <v>#N/A</v>
      </c>
      <c r="O61" s="329" t="e">
        <f ca="1">INDIRECT("'Bureau 9'!" &amp; ADDRESS(ROW()-50,Synthèse!$G$40+14,4))</f>
        <v>#N/A</v>
      </c>
      <c r="P61" s="329" t="e">
        <f ca="1">INDIRECT("'Bureau 10'!" &amp; ADDRESS(ROW()-50,Synthèse!$G$40+14,4))</f>
        <v>#N/A</v>
      </c>
      <c r="Q61" s="329" t="e">
        <f ca="1">INDIRECT("'Bureau 11'!" &amp; ADDRESS(ROW()-50,Synthèse!$G$40+14,4))</f>
        <v>#N/A</v>
      </c>
      <c r="R61" s="329" t="e">
        <f ca="1">INDIRECT("'Bureau 12'!" &amp; ADDRESS(ROW()-50,Synthèse!$G$40+14,4))</f>
        <v>#N/A</v>
      </c>
      <c r="S61" s="403">
        <f t="shared" ca="1" si="15"/>
        <v>0</v>
      </c>
      <c r="T61" s="408" t="s">
        <v>50</v>
      </c>
      <c r="U61" s="402">
        <v>26</v>
      </c>
      <c r="V61" s="410">
        <v>30</v>
      </c>
      <c r="W61" s="329">
        <v>30</v>
      </c>
      <c r="X61" s="329">
        <v>30</v>
      </c>
      <c r="Y61" s="329">
        <v>45</v>
      </c>
      <c r="Z61" s="329">
        <v>31</v>
      </c>
      <c r="AA61" s="329">
        <v>48</v>
      </c>
      <c r="AB61" s="329">
        <v>25</v>
      </c>
      <c r="AC61" s="329">
        <v>23</v>
      </c>
      <c r="AD61" s="329">
        <v>30</v>
      </c>
      <c r="AE61" s="329">
        <v>50</v>
      </c>
      <c r="AF61" s="329">
        <v>36</v>
      </c>
      <c r="AG61" s="403">
        <v>404</v>
      </c>
    </row>
    <row r="62" spans="6:37" ht="15.75" customHeight="1" x14ac:dyDescent="0.2">
      <c r="F62" s="408" t="s">
        <v>51</v>
      </c>
      <c r="G62" s="402" t="e">
        <f ca="1">INDIRECT("'Bureau 1'!" &amp; ADDRESS(ROW()-50,Synthèse!$G$40+14,4))</f>
        <v>#N/A</v>
      </c>
      <c r="H62" s="410" t="e">
        <f ca="1">INDIRECT("'Bureau 2'!" &amp; ADDRESS(ROW()-50,Synthèse!$G$40+14,4))</f>
        <v>#N/A</v>
      </c>
      <c r="I62" s="329" t="e">
        <f ca="1">INDIRECT("'Bureau 3'!" &amp; ADDRESS(ROW()-50,Synthèse!$G$40+14,4))</f>
        <v>#N/A</v>
      </c>
      <c r="J62" s="329" t="e">
        <f ca="1">INDIRECT("'Bureau 4'!" &amp; ADDRESS(ROW()-50,Synthèse!$G$40+14,4))</f>
        <v>#N/A</v>
      </c>
      <c r="K62" s="329" t="e">
        <f ca="1">INDIRECT("'Bureau 5'!" &amp; ADDRESS(ROW()-50,Synthèse!$G$40+14,4))</f>
        <v>#N/A</v>
      </c>
      <c r="L62" s="329" t="e">
        <f ca="1">INDIRECT("'Bureau 6'!" &amp; ADDRESS(ROW()-50,Synthèse!$G$40+14,4))</f>
        <v>#N/A</v>
      </c>
      <c r="M62" s="329" t="e">
        <f ca="1">INDIRECT("'Bureau 7'!" &amp; ADDRESS(ROW()-50,Synthèse!$G$40+14,4))</f>
        <v>#N/A</v>
      </c>
      <c r="N62" s="329" t="e">
        <f ca="1">INDIRECT("'Bureau 8'!" &amp; ADDRESS(ROW()-50,Synthèse!$G$40+14,4))</f>
        <v>#N/A</v>
      </c>
      <c r="O62" s="329" t="e">
        <f ca="1">INDIRECT("'Bureau 9'!" &amp; ADDRESS(ROW()-50,Synthèse!$G$40+14,4))</f>
        <v>#N/A</v>
      </c>
      <c r="P62" s="329" t="e">
        <f ca="1">INDIRECT("'Bureau 10'!" &amp; ADDRESS(ROW()-50,Synthèse!$G$40+14,4))</f>
        <v>#N/A</v>
      </c>
      <c r="Q62" s="329" t="e">
        <f ca="1">INDIRECT("'Bureau 11'!" &amp; ADDRESS(ROW()-50,Synthèse!$G$40+14,4))</f>
        <v>#N/A</v>
      </c>
      <c r="R62" s="329" t="e">
        <f ca="1">INDIRECT("'Bureau 12'!" &amp; ADDRESS(ROW()-50,Synthèse!$G$40+14,4))</f>
        <v>#N/A</v>
      </c>
      <c r="S62" s="403">
        <f t="shared" ca="1" si="15"/>
        <v>0</v>
      </c>
      <c r="T62" s="408" t="s">
        <v>51</v>
      </c>
      <c r="U62" s="402">
        <v>21</v>
      </c>
      <c r="V62" s="410">
        <v>25</v>
      </c>
      <c r="W62" s="329">
        <v>30</v>
      </c>
      <c r="X62" s="329">
        <v>15</v>
      </c>
      <c r="Y62" s="329">
        <v>15</v>
      </c>
      <c r="Z62" s="329">
        <v>19</v>
      </c>
      <c r="AA62" s="329">
        <v>18</v>
      </c>
      <c r="AB62" s="329">
        <v>11</v>
      </c>
      <c r="AC62" s="329">
        <v>19</v>
      </c>
      <c r="AD62" s="329">
        <v>14</v>
      </c>
      <c r="AE62" s="329">
        <v>16</v>
      </c>
      <c r="AF62" s="329">
        <v>34</v>
      </c>
      <c r="AG62" s="403">
        <v>237</v>
      </c>
    </row>
    <row r="63" spans="6:37" ht="15.75" customHeight="1" thickBot="1" x14ac:dyDescent="0.25">
      <c r="F63" s="409" t="s">
        <v>52</v>
      </c>
      <c r="G63" s="404" t="e">
        <f ca="1">INDIRECT("'Bureau 1'!" &amp; ADDRESS(ROW()-50,Synthèse!$G$40+14,4))</f>
        <v>#N/A</v>
      </c>
      <c r="H63" s="415" t="e">
        <f ca="1">INDIRECT("'Bureau 2'!" &amp; ADDRESS(ROW()-50,Synthèse!$G$40+14,4))</f>
        <v>#N/A</v>
      </c>
      <c r="I63" s="405" t="e">
        <f ca="1">INDIRECT("'Bureau 3'!" &amp; ADDRESS(ROW()-50,Synthèse!$G$40+14,4))</f>
        <v>#N/A</v>
      </c>
      <c r="J63" s="405" t="e">
        <f ca="1">INDIRECT("'Bureau 4'!" &amp; ADDRESS(ROW()-50,Synthèse!$G$40+14,4))</f>
        <v>#N/A</v>
      </c>
      <c r="K63" s="405" t="e">
        <f ca="1">INDIRECT("'Bureau 5'!" &amp; ADDRESS(ROW()-50,Synthèse!$G$40+14,4))</f>
        <v>#N/A</v>
      </c>
      <c r="L63" s="405" t="e">
        <f ca="1">INDIRECT("'Bureau 6'!" &amp; ADDRESS(ROW()-50,Synthèse!$G$40+14,4))</f>
        <v>#N/A</v>
      </c>
      <c r="M63" s="405" t="e">
        <f ca="1">INDIRECT("'Bureau 7'!" &amp; ADDRESS(ROW()-50,Synthèse!$G$40+14,4))</f>
        <v>#N/A</v>
      </c>
      <c r="N63" s="405" t="e">
        <f ca="1">INDIRECT("'Bureau 8'!" &amp; ADDRESS(ROW()-50,Synthèse!$G$40+14,4))</f>
        <v>#N/A</v>
      </c>
      <c r="O63" s="405" t="e">
        <f ca="1">INDIRECT("'Bureau 9'!" &amp; ADDRESS(ROW()-50,Synthèse!$G$40+14,4))</f>
        <v>#N/A</v>
      </c>
      <c r="P63" s="405" t="e">
        <f ca="1">INDIRECT("'Bureau 10'!" &amp; ADDRESS(ROW()-50,Synthèse!$G$40+14,4))</f>
        <v>#N/A</v>
      </c>
      <c r="Q63" s="405" t="e">
        <f ca="1">INDIRECT("'Bureau 11'!" &amp; ADDRESS(ROW()-50,Synthèse!$G$40+14,4))</f>
        <v>#N/A</v>
      </c>
      <c r="R63" s="405" t="e">
        <f ca="1">INDIRECT("'Bureau 12'!" &amp; ADDRESS(ROW()-50,Synthèse!$G$40+14,4))</f>
        <v>#N/A</v>
      </c>
      <c r="S63" s="406">
        <f t="shared" ca="1" si="15"/>
        <v>0</v>
      </c>
      <c r="T63" s="409" t="s">
        <v>52</v>
      </c>
      <c r="U63" s="404">
        <v>20</v>
      </c>
      <c r="V63" s="415">
        <v>28</v>
      </c>
      <c r="W63" s="405">
        <v>15</v>
      </c>
      <c r="X63" s="405">
        <v>12</v>
      </c>
      <c r="Y63" s="405">
        <v>17</v>
      </c>
      <c r="Z63" s="405">
        <v>12</v>
      </c>
      <c r="AA63" s="405">
        <v>19</v>
      </c>
      <c r="AB63" s="405">
        <v>18</v>
      </c>
      <c r="AC63" s="405">
        <v>21</v>
      </c>
      <c r="AD63" s="405">
        <v>13</v>
      </c>
      <c r="AE63" s="405">
        <v>18</v>
      </c>
      <c r="AF63" s="405">
        <v>5</v>
      </c>
      <c r="AG63" s="406">
        <v>198</v>
      </c>
    </row>
    <row r="64" spans="6:37" ht="15.75" customHeight="1" x14ac:dyDescent="0.2">
      <c r="F64" s="424" t="s">
        <v>54</v>
      </c>
      <c r="G64" s="429" t="e">
        <f ca="1">INDIRECT("'Bureau 1'!" &amp; ADDRESS(ROW()-50,Synthèse!$G$40+14,4))</f>
        <v>#N/A</v>
      </c>
      <c r="H64" s="430" t="e">
        <f ca="1">INDIRECT("'Bureau 2'!" &amp; ADDRESS(ROW()-50,Synthèse!$G$40+14,4))</f>
        <v>#N/A</v>
      </c>
      <c r="I64" s="430" t="e">
        <f ca="1">INDIRECT("'Bureau 3'!" &amp; ADDRESS(ROW()-50,Synthèse!$G$40+14,4))</f>
        <v>#N/A</v>
      </c>
      <c r="J64" s="430" t="e">
        <f ca="1">INDIRECT("'Bureau 4'!" &amp; ADDRESS(ROW()-50,Synthèse!$G$40+14,4))</f>
        <v>#N/A</v>
      </c>
      <c r="K64" s="430" t="e">
        <f ca="1">INDIRECT("'Bureau 5'!" &amp; ADDRESS(ROW()-50,Synthèse!$G$40+14,4))</f>
        <v>#N/A</v>
      </c>
      <c r="L64" s="430" t="e">
        <f ca="1">INDIRECT("'Bureau 6'!" &amp; ADDRESS(ROW()-50,Synthèse!$G$40+14,4))</f>
        <v>#N/A</v>
      </c>
      <c r="M64" s="430" t="e">
        <f ca="1">INDIRECT("'Bureau 7'!" &amp; ADDRESS(ROW()-50,Synthèse!$G$40+14,4))</f>
        <v>#N/A</v>
      </c>
      <c r="N64" s="430" t="e">
        <f ca="1">INDIRECT("'Bureau 8'!" &amp; ADDRESS(ROW()-50,Synthèse!$G$40+14,4))</f>
        <v>#N/A</v>
      </c>
      <c r="O64" s="430" t="e">
        <f ca="1">INDIRECT("'Bureau 9'!" &amp; ADDRESS(ROW()-50,Synthèse!$G$40+14,4))</f>
        <v>#N/A</v>
      </c>
      <c r="P64" s="430" t="e">
        <f ca="1">INDIRECT("'Bureau 10'!" &amp; ADDRESS(ROW()-50,Synthèse!$G$40+14,4))</f>
        <v>#N/A</v>
      </c>
      <c r="Q64" s="430" t="e">
        <f ca="1">INDIRECT("'Bureau 11'!" &amp; ADDRESS(ROW()-50,Synthèse!$G$40+14,4))</f>
        <v>#N/A</v>
      </c>
      <c r="R64" s="430" t="e">
        <f ca="1">INDIRECT("'Bureau 12'!" &amp; ADDRESS(ROW()-50,Synthèse!$G$40+14,4))</f>
        <v>#N/A</v>
      </c>
      <c r="S64" s="431">
        <f t="shared" ca="1" si="15"/>
        <v>0</v>
      </c>
      <c r="T64" s="424" t="s">
        <v>54</v>
      </c>
      <c r="U64" s="429" t="e">
        <v>#N/A</v>
      </c>
      <c r="V64" s="430" t="e">
        <v>#N/A</v>
      </c>
      <c r="W64" s="430" t="e">
        <v>#N/A</v>
      </c>
      <c r="X64" s="430" t="e">
        <v>#N/A</v>
      </c>
      <c r="Y64" s="430" t="e">
        <v>#N/A</v>
      </c>
      <c r="Z64" s="430" t="e">
        <v>#N/A</v>
      </c>
      <c r="AA64" s="430" t="e">
        <v>#N/A</v>
      </c>
      <c r="AB64" s="430" t="e">
        <v>#N/A</v>
      </c>
      <c r="AC64" s="430" t="e">
        <v>#N/A</v>
      </c>
      <c r="AD64" s="430" t="e">
        <v>#N/A</v>
      </c>
      <c r="AE64" s="430" t="e">
        <v>#N/A</v>
      </c>
      <c r="AF64" s="430" t="e">
        <v>#N/A</v>
      </c>
      <c r="AG64" s="431" t="e">
        <v>#N/A</v>
      </c>
    </row>
    <row r="65" spans="6:33" ht="15.75" customHeight="1" thickBot="1" x14ac:dyDescent="0.25">
      <c r="F65" s="425" t="s">
        <v>55</v>
      </c>
      <c r="G65" s="426" t="e">
        <f ca="1">INDIRECT("'Bureau 1'!" &amp; ADDRESS(ROW()-50,Synthèse!$G$40+14,4))</f>
        <v>#N/A</v>
      </c>
      <c r="H65" s="427" t="e">
        <f ca="1">INDIRECT("'Bureau 2'!" &amp; ADDRESS(ROW()-50,Synthèse!$G$40+14,4))</f>
        <v>#N/A</v>
      </c>
      <c r="I65" s="427" t="e">
        <f ca="1">INDIRECT("'Bureau 3'!" &amp; ADDRESS(ROW()-50,Synthèse!$G$40+14,4))</f>
        <v>#N/A</v>
      </c>
      <c r="J65" s="427" t="e">
        <f ca="1">INDIRECT("'Bureau 4'!" &amp; ADDRESS(ROW()-50,Synthèse!$G$40+14,4))</f>
        <v>#N/A</v>
      </c>
      <c r="K65" s="427" t="e">
        <f ca="1">INDIRECT("'Bureau 5'!" &amp; ADDRESS(ROW()-50,Synthèse!$G$40+14,4))</f>
        <v>#N/A</v>
      </c>
      <c r="L65" s="427" t="e">
        <f ca="1">INDIRECT("'Bureau 6'!" &amp; ADDRESS(ROW()-50,Synthèse!$G$40+14,4))</f>
        <v>#N/A</v>
      </c>
      <c r="M65" s="427" t="e">
        <f ca="1">INDIRECT("'Bureau 7'!" &amp; ADDRESS(ROW()-50,Synthèse!$G$40+14,4))</f>
        <v>#N/A</v>
      </c>
      <c r="N65" s="427" t="e">
        <f ca="1">INDIRECT("'Bureau 8'!" &amp; ADDRESS(ROW()-50,Synthèse!$G$40+14,4))</f>
        <v>#N/A</v>
      </c>
      <c r="O65" s="427" t="e">
        <f ca="1">INDIRECT("'Bureau 9'!" &amp; ADDRESS(ROW()-50,Synthèse!$G$40+14,4))</f>
        <v>#N/A</v>
      </c>
      <c r="P65" s="427" t="e">
        <f ca="1">INDIRECT("'Bureau 10'!" &amp; ADDRESS(ROW()-50,Synthèse!$G$40+14,4))</f>
        <v>#N/A</v>
      </c>
      <c r="Q65" s="427" t="e">
        <f ca="1">INDIRECT("'Bureau 11'!" &amp; ADDRESS(ROW()-50,Synthèse!$G$40+14,4))</f>
        <v>#N/A</v>
      </c>
      <c r="R65" s="427" t="e">
        <f ca="1">INDIRECT("'Bureau 12'!" &amp; ADDRESS(ROW()-50,Synthèse!$G$40+14,4))</f>
        <v>#N/A</v>
      </c>
      <c r="S65" s="428">
        <f t="shared" ca="1" si="15"/>
        <v>0</v>
      </c>
      <c r="T65" s="425" t="s">
        <v>55</v>
      </c>
      <c r="U65" s="426" t="e">
        <v>#N/A</v>
      </c>
      <c r="V65" s="427" t="e">
        <v>#N/A</v>
      </c>
      <c r="W65" s="427" t="e">
        <v>#N/A</v>
      </c>
      <c r="X65" s="427" t="e">
        <v>#N/A</v>
      </c>
      <c r="Y65" s="427" t="e">
        <v>#N/A</v>
      </c>
      <c r="Z65" s="427" t="e">
        <v>#N/A</v>
      </c>
      <c r="AA65" s="427" t="e">
        <v>#N/A</v>
      </c>
      <c r="AB65" s="427" t="e">
        <v>#N/A</v>
      </c>
      <c r="AC65" s="427" t="e">
        <v>#N/A</v>
      </c>
      <c r="AD65" s="427" t="e">
        <v>#N/A</v>
      </c>
      <c r="AE65" s="427" t="e">
        <v>#N/A</v>
      </c>
      <c r="AF65" s="427" t="e">
        <v>#N/A</v>
      </c>
      <c r="AG65" s="428" t="e">
        <v>#N/A</v>
      </c>
    </row>
  </sheetData>
  <sheetProtection algorithmName="SHA-512" hashValue="p8uXGj+CvrtCHxUD0Vq0tjgxG7V13o3S9adD0rEpQ2LYeRCNw+1ZuK2lMVxKV6M8rtX25OAuFvC/mpENFP6DlQ==" saltValue="89XMQZJ2+C0z6eyd/d4sRw==" spinCount="100000" sheet="1" objects="1" scenarios="1"/>
  <mergeCells count="22">
    <mergeCell ref="U52:AG52"/>
    <mergeCell ref="U36:AG36"/>
    <mergeCell ref="Y1:Z1"/>
    <mergeCell ref="AE15:AQ15"/>
    <mergeCell ref="AA1:AB1"/>
    <mergeCell ref="AC1:AD1"/>
    <mergeCell ref="AJ21:AK21"/>
    <mergeCell ref="AH21:AI21"/>
    <mergeCell ref="W1:X1"/>
    <mergeCell ref="U1:V1"/>
    <mergeCell ref="M1:N1"/>
    <mergeCell ref="O1:P1"/>
    <mergeCell ref="G36:S36"/>
    <mergeCell ref="G52:S52"/>
    <mergeCell ref="A14:B14"/>
    <mergeCell ref="Q1:R1"/>
    <mergeCell ref="S1:T1"/>
    <mergeCell ref="A1:B1"/>
    <mergeCell ref="C1:E1"/>
    <mergeCell ref="G1:H1"/>
    <mergeCell ref="I1:J1"/>
    <mergeCell ref="K1:L1"/>
  </mergeCells>
  <phoneticPr fontId="26" type="noConversion"/>
  <conditionalFormatting sqref="D2:D14 H2:H14 J2:J14 L2:L14 N2:N14 P2:P14 R2:R14 T2:T14 V2:V14 X2:X14 Z2:Z14 AB2:AB14 AD2:AD14">
    <cfRule type="cellIs" dxfId="461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{84D3F3E1-8834-421C-A089-43980EF9F072}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{A0DA79B3-DFA2-4623-83EE-7EAEB6D5939E}</x14:id>
        </ext>
      </extLst>
    </cfRule>
  </conditionalFormatting>
  <conditionalFormatting sqref="I2:AD14">
    <cfRule type="expression" dxfId="460" priority="4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6" name="Button 183">
              <controlPr defaultSize="0" print="0" autoFill="0" autoPict="0" macro="[0]!SimulationJourneeParticipation">
                <anchor moveWithCells="1">
                  <from>
                    <xdr:col>33</xdr:col>
                    <xdr:colOff>904875</xdr:colOff>
                    <xdr:row>54</xdr:row>
                    <xdr:rowOff>9525</xdr:rowOff>
                  </from>
                  <to>
                    <xdr:col>35</xdr:col>
                    <xdr:colOff>866775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7" name="Button 184">
              <controlPr defaultSize="0" print="0" autoFill="0" autoPict="0" macro="[0]!ReinitialiserParticipation">
                <anchor moveWithCells="1">
                  <from>
                    <xdr:col>34</xdr:col>
                    <xdr:colOff>9525</xdr:colOff>
                    <xdr:row>57</xdr:row>
                    <xdr:rowOff>38100</xdr:rowOff>
                  </from>
                  <to>
                    <xdr:col>35</xdr:col>
                    <xdr:colOff>885825</xdr:colOff>
                    <xdr:row>59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3F3E1-8834-421C-A089-43980EF9F072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0DA79B3-DFA2-4623-83EE-7EAEB6D5939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6498A-C5AD-456C-B4A9-C287401D3099}">
  <sheetPr codeName="Feuil5">
    <tabColor theme="9" tint="0.79998168889431442"/>
  </sheetPr>
  <dimension ref="A1:AJ40"/>
  <sheetViews>
    <sheetView zoomScaleNormal="100" workbookViewId="0">
      <selection activeCell="J10" sqref="J10"/>
    </sheetView>
  </sheetViews>
  <sheetFormatPr baseColWidth="10" defaultRowHeight="12.75" x14ac:dyDescent="0.2"/>
  <cols>
    <col min="1" max="1" width="17.85546875" customWidth="1"/>
    <col min="2" max="2" width="20.28515625" customWidth="1"/>
    <col min="3" max="3" width="4.85546875" customWidth="1"/>
    <col min="4" max="4" width="9.7109375" customWidth="1"/>
    <col min="5" max="5" width="24" customWidth="1"/>
    <col min="6" max="6" width="12.5703125" customWidth="1"/>
    <col min="7" max="7" width="12" bestFit="1" customWidth="1"/>
    <col min="8" max="9" width="11.5703125" customWidth="1"/>
    <col min="10" max="11" width="15.7109375" customWidth="1"/>
    <col min="13" max="13" width="19.5703125" customWidth="1"/>
    <col min="14" max="14" width="20.28515625" customWidth="1"/>
    <col min="15" max="15" width="19.5703125" customWidth="1"/>
    <col min="17" max="18" width="17.5703125" customWidth="1"/>
    <col min="19" max="19" width="14.140625" customWidth="1"/>
    <col min="20" max="23" width="7.85546875" customWidth="1"/>
    <col min="24" max="24" width="10.140625" bestFit="1" customWidth="1"/>
    <col min="25" max="25" width="9.7109375" customWidth="1"/>
    <col min="26" max="26" width="11.28515625" customWidth="1"/>
    <col min="27" max="27" width="10.140625" bestFit="1" customWidth="1"/>
    <col min="28" max="28" width="11.85546875" customWidth="1"/>
    <col min="29" max="34" width="7.85546875" customWidth="1"/>
    <col min="36" max="36" width="9" bestFit="1" customWidth="1"/>
    <col min="37" max="38" width="10.140625" bestFit="1" customWidth="1"/>
    <col min="39" max="39" width="9" bestFit="1" customWidth="1"/>
    <col min="40" max="41" width="10.140625" bestFit="1" customWidth="1"/>
  </cols>
  <sheetData>
    <row r="1" spans="1:36" ht="41.25" customHeight="1" thickBot="1" x14ac:dyDescent="0.25">
      <c r="A1" s="737" t="str">
        <f>Synthèse!$A$17</f>
        <v>Date</v>
      </c>
      <c r="B1" s="653">
        <f>Synthèse!$B$17</f>
        <v>46103</v>
      </c>
      <c r="E1" s="674" t="s">
        <v>152</v>
      </c>
      <c r="F1" s="675" t="s">
        <v>153</v>
      </c>
      <c r="G1" s="676" t="s">
        <v>10</v>
      </c>
      <c r="H1" s="674" t="s">
        <v>162</v>
      </c>
      <c r="I1" s="677" t="s">
        <v>163</v>
      </c>
      <c r="J1" s="678" t="s">
        <v>168</v>
      </c>
      <c r="K1" s="677" t="s">
        <v>166</v>
      </c>
      <c r="L1" s="678" t="s">
        <v>167</v>
      </c>
      <c r="M1" s="679" t="s">
        <v>173</v>
      </c>
      <c r="N1" s="677" t="s">
        <v>157</v>
      </c>
      <c r="O1" s="678" t="s">
        <v>158</v>
      </c>
      <c r="Y1" s="835" t="s">
        <v>178</v>
      </c>
      <c r="Z1" s="836"/>
      <c r="AA1" s="836"/>
      <c r="AB1" s="749">
        <f>B1</f>
        <v>46103</v>
      </c>
    </row>
    <row r="2" spans="1:36" ht="30" customHeight="1" thickBot="1" x14ac:dyDescent="0.25">
      <c r="A2" s="738" t="str">
        <f>Synthèse!$A$18</f>
        <v>Election</v>
      </c>
      <c r="B2" s="654" t="str">
        <f>Synthèse!$B$18</f>
        <v>Municipale</v>
      </c>
      <c r="E2" s="671" t="str">
        <f>Synthèse!L2</f>
        <v>M. Pierre-Yves 
TIERCE</v>
      </c>
      <c r="F2" s="698">
        <f ca="1">Synthèse!L15</f>
        <v>0</v>
      </c>
      <c r="G2" s="699">
        <f ca="1">Synthèse!L16</f>
        <v>0</v>
      </c>
      <c r="H2" s="700" t="b">
        <f ca="1">IF(G2&gt;=5%,TRUE,FALSE)</f>
        <v>0</v>
      </c>
      <c r="I2" s="714">
        <f ca="1">IF($F$7=0,0,
   IF($F14=$F$7,
      IF($E$9,
         IF($M2=_xlfn.MAXIFS($M$2:$M$3,$F$2:$F$3,$F$7),$F$19,0),
         $F$19
      ),
   0)
)</f>
        <v>0</v>
      </c>
      <c r="J2" s="686">
        <f ca="1">IF($F$7=0,0,
   IF($F14=$F$7,
      IF($E$9,
         IF($M2=_xlfn.MAXIFS($M$2:$M$3,$F$2:$F$3,$F$7),$F$20,0),
         $F$20
      ),
   0)
)</f>
        <v>0</v>
      </c>
      <c r="K2" s="714">
        <f ca="1">COUNTIF(G14:V14,"&gt;="&amp;LARGE($G$14:$V$15,$G$19))</f>
        <v>0</v>
      </c>
      <c r="L2" s="686">
        <f ca="1">COUNTIF(G14:V14,"&gt;="&amp;LARGE($G$14:$V$15,$G$20))</f>
        <v>0</v>
      </c>
      <c r="M2" s="747">
        <f>AVERAGE(AA6:AA38)</f>
        <v>48.738124572210815</v>
      </c>
      <c r="N2" s="727">
        <f ca="1">I2+K2</f>
        <v>0</v>
      </c>
      <c r="O2" s="728">
        <f ca="1">J2+L2</f>
        <v>0</v>
      </c>
      <c r="AD2" s="706"/>
      <c r="AE2" s="706"/>
      <c r="AJ2" s="662"/>
    </row>
    <row r="3" spans="1:36" ht="38.25" customHeight="1" thickBot="1" x14ac:dyDescent="0.25">
      <c r="A3" s="739" t="str">
        <f>Synthèse!$A$19</f>
        <v>Tour</v>
      </c>
      <c r="B3" s="655">
        <f>Synthèse!$B$19</f>
        <v>2</v>
      </c>
      <c r="E3" s="673" t="str">
        <f>Synthèse!M2</f>
        <v>Mme Isabelle 
FARNET RISSO</v>
      </c>
      <c r="F3" s="701">
        <f ca="1">Synthèse!M15</f>
        <v>0</v>
      </c>
      <c r="G3" s="702">
        <f ca="1">Synthèse!M16</f>
        <v>0</v>
      </c>
      <c r="H3" s="703" t="b">
        <f ca="1">IF(G3&gt;=5%,TRUE,FALSE)</f>
        <v>0</v>
      </c>
      <c r="I3" s="704">
        <f ca="1">IF($F$7=0,0,
   IF($F15=$F$7,
      IF($E$9,
         IF($M3=_xlfn.MAXIFS($M$2:$M$3,$F$2:$F$3,$F$7),$F$19,0),
         $F$19
      ),
   0)
)</f>
        <v>0</v>
      </c>
      <c r="J3" s="690">
        <f ca="1">IF($F$7=0,0,
   IF($F15=$F$7,
      IF($E$9,
         IF($M3=_xlfn.MAXIFS($M$2:$M$3,$F$2:$F$3,$F$7),$F$20,0),
         $F$20
      ),
   0)
)</f>
        <v>0</v>
      </c>
      <c r="K3" s="704">
        <f ca="1">COUNTIF(G15:V15,"&gt;="&amp;LARGE($G$14:$V$15,$G$19))</f>
        <v>0</v>
      </c>
      <c r="L3" s="690">
        <f ca="1">COUNTIF(G15:V15,"&gt;="&amp;LARGE($G$14:$V$15,$G$20))</f>
        <v>0</v>
      </c>
      <c r="M3" s="748">
        <f>AVERAGE(AC6:AC38)</f>
        <v>48.134839151266256</v>
      </c>
      <c r="N3" s="729">
        <f ca="1">I3+K3</f>
        <v>0</v>
      </c>
      <c r="O3" s="730">
        <f ca="1">J3+L3</f>
        <v>0</v>
      </c>
      <c r="X3" s="706"/>
      <c r="Y3" s="707"/>
      <c r="Z3" s="820" t="str">
        <f>Synthèse!L2</f>
        <v>M. Pierre-Yves 
TIERCE</v>
      </c>
      <c r="AA3" s="821"/>
      <c r="AB3" s="816" t="str">
        <f>Synthèse!M2</f>
        <v>Mme Isabelle 
FARNET RISSO</v>
      </c>
      <c r="AC3" s="817"/>
      <c r="AD3" s="708"/>
      <c r="AE3" s="706"/>
    </row>
    <row r="4" spans="1:36" ht="22.5" customHeight="1" thickBot="1" x14ac:dyDescent="0.25">
      <c r="A4" s="740" t="str">
        <f>Synthèse!$A$20</f>
        <v>Ville</v>
      </c>
      <c r="B4" s="656" t="str">
        <f>Synthèse!$B$20</f>
        <v>Cogolin</v>
      </c>
      <c r="I4" s="717">
        <f t="shared" ref="I4:K4" ca="1" si="0">SUM(I2:I3)</f>
        <v>0</v>
      </c>
      <c r="J4" s="716">
        <f t="shared" ca="1" si="0"/>
        <v>0</v>
      </c>
      <c r="K4" s="715">
        <f t="shared" ca="1" si="0"/>
        <v>0</v>
      </c>
      <c r="L4" s="718">
        <f ca="1">SUM(L2:L3)</f>
        <v>0</v>
      </c>
      <c r="M4" s="713" t="s">
        <v>16</v>
      </c>
      <c r="N4" s="715">
        <f ca="1">SUM(N2:N3)</f>
        <v>0</v>
      </c>
      <c r="O4" s="716">
        <f ca="1">SUM(O2:O3)</f>
        <v>0</v>
      </c>
      <c r="X4" s="706"/>
      <c r="Y4" s="707"/>
      <c r="Z4" s="822"/>
      <c r="AA4" s="823"/>
      <c r="AB4" s="818"/>
      <c r="AC4" s="819"/>
      <c r="AD4" s="708"/>
      <c r="AE4" s="706"/>
    </row>
    <row r="5" spans="1:36" ht="32.25" customHeight="1" thickBot="1" x14ac:dyDescent="0.25">
      <c r="N5" s="189"/>
      <c r="O5" s="189"/>
      <c r="Y5" s="709" t="s">
        <v>165</v>
      </c>
      <c r="Z5" s="746" t="s">
        <v>164</v>
      </c>
      <c r="AA5" s="745" t="s">
        <v>179</v>
      </c>
      <c r="AB5" s="677" t="s">
        <v>164</v>
      </c>
      <c r="AC5" s="683" t="s">
        <v>179</v>
      </c>
      <c r="AD5" s="706"/>
      <c r="AE5" s="706"/>
    </row>
    <row r="6" spans="1:36" ht="25.5" customHeight="1" thickBot="1" x14ac:dyDescent="0.25">
      <c r="A6" s="833" t="s">
        <v>155</v>
      </c>
      <c r="B6" s="834"/>
      <c r="M6" s="837" t="s">
        <v>180</v>
      </c>
      <c r="N6" s="837"/>
      <c r="Y6" s="710">
        <v>1</v>
      </c>
      <c r="Z6" s="752">
        <v>25569</v>
      </c>
      <c r="AA6" s="689">
        <f>IF(ISBLANK(Z6),"",($AB$1-Z6)/365.25)</f>
        <v>56.219028062970565</v>
      </c>
      <c r="AB6" s="757">
        <v>20455</v>
      </c>
      <c r="AC6" s="689">
        <f>IF(ISBLANK(AB6),"",($AB$1-AB6)/365.25)</f>
        <v>70.220396988364129</v>
      </c>
    </row>
    <row r="7" spans="1:36" ht="31.5" customHeight="1" x14ac:dyDescent="0.2">
      <c r="A7" s="741" t="s">
        <v>170</v>
      </c>
      <c r="B7" s="742" t="s">
        <v>171</v>
      </c>
      <c r="D7" s="824" t="s">
        <v>156</v>
      </c>
      <c r="E7" s="831" t="str" cm="1">
        <f t="array" aca="1" ref="E7" ca="1">_xlfn.LET(
_xlpm.leaders,_xlfn._xlws.FILTER(E2:E3,F2:F3=F7),
_xlpm.nb,COUNTIF(F2:F3,F7),
IF(_xlpm.nb=1,
_xlfn.TEXTJOIN("",TRUE,_xlpm.leaders),
_xlfn.TEXTJOIN(" et ",TRUE,_xlpm.leaders)&amp;" à égalité"
))</f>
        <v>M. Pierre-Yves 
TIERCE et Mme Isabelle 
FARNET RISSO à égalité</v>
      </c>
      <c r="F7" s="838">
        <f ca="1">MAX(F2:F3)</f>
        <v>0</v>
      </c>
      <c r="G7" s="840">
        <f ca="1">MAX(G2:G3)</f>
        <v>0</v>
      </c>
      <c r="M7" s="837"/>
      <c r="N7" s="837"/>
      <c r="Y7" s="711">
        <v>2</v>
      </c>
      <c r="Z7" s="753">
        <v>32509</v>
      </c>
      <c r="AA7" s="743">
        <f t="shared" ref="AA7:AA40" si="1">IF(ISBLANK(Z7),"",($AB$1-Z7)/365.25)</f>
        <v>37.218343600273784</v>
      </c>
      <c r="AB7" s="758">
        <v>21916</v>
      </c>
      <c r="AC7" s="705">
        <f t="shared" ref="AC7:AC40" si="2">IF(ISBLANK(AB7),"",($AB$1-AB7)/365.25)</f>
        <v>66.220396988364129</v>
      </c>
    </row>
    <row r="8" spans="1:36" ht="34.5" customHeight="1" thickBot="1" x14ac:dyDescent="0.25">
      <c r="A8" s="750">
        <v>33</v>
      </c>
      <c r="B8" s="751">
        <v>9</v>
      </c>
      <c r="D8" s="825"/>
      <c r="E8" s="832"/>
      <c r="F8" s="839"/>
      <c r="G8" s="841"/>
      <c r="Y8" s="711">
        <v>3</v>
      </c>
      <c r="Z8" s="754">
        <v>34641</v>
      </c>
      <c r="AA8" s="743">
        <f t="shared" si="1"/>
        <v>31.381245722108144</v>
      </c>
      <c r="AB8" s="758">
        <v>35726</v>
      </c>
      <c r="AC8" s="705">
        <f t="shared" si="2"/>
        <v>28.410677618069816</v>
      </c>
    </row>
    <row r="9" spans="1:36" ht="23.25" customHeight="1" thickBot="1" x14ac:dyDescent="0.25">
      <c r="D9" s="725" t="s">
        <v>159</v>
      </c>
      <c r="E9" s="726" t="b">
        <f ca="1">IF(COUNTIF(F2:F3,F7)&gt;1,TRUE,FALSE)</f>
        <v>1</v>
      </c>
      <c r="Y9" s="711">
        <v>4</v>
      </c>
      <c r="Z9" s="753">
        <v>32840</v>
      </c>
      <c r="AA9" s="743">
        <f t="shared" si="1"/>
        <v>36.312114989733061</v>
      </c>
      <c r="AB9" s="758">
        <v>35990</v>
      </c>
      <c r="AC9" s="705">
        <f t="shared" si="2"/>
        <v>27.687885010266939</v>
      </c>
    </row>
    <row r="10" spans="1:36" ht="23.25" customHeight="1" x14ac:dyDescent="0.2">
      <c r="N10" s="663"/>
      <c r="O10" s="663"/>
      <c r="Y10" s="711">
        <v>5</v>
      </c>
      <c r="Z10" s="753">
        <v>15948</v>
      </c>
      <c r="AA10" s="743">
        <f t="shared" si="1"/>
        <v>82.559890485968509</v>
      </c>
      <c r="AB10" s="135"/>
      <c r="AC10" s="705" t="str">
        <f t="shared" si="2"/>
        <v/>
      </c>
    </row>
    <row r="11" spans="1:36" ht="24" customHeight="1" thickBot="1" x14ac:dyDescent="0.25">
      <c r="N11" s="661"/>
      <c r="O11" s="189"/>
      <c r="Y11" s="711">
        <v>6</v>
      </c>
      <c r="Z11" s="753"/>
      <c r="AA11" s="743" t="str">
        <f t="shared" si="1"/>
        <v/>
      </c>
      <c r="AB11" s="135"/>
      <c r="AC11" s="705" t="str">
        <f t="shared" si="2"/>
        <v/>
      </c>
    </row>
    <row r="12" spans="1:36" ht="22.5" customHeight="1" thickBot="1" x14ac:dyDescent="0.25">
      <c r="G12" s="828" t="s">
        <v>175</v>
      </c>
      <c r="H12" s="829"/>
      <c r="I12" s="829"/>
      <c r="J12" s="829"/>
      <c r="K12" s="829"/>
      <c r="L12" s="829"/>
      <c r="M12" s="829"/>
      <c r="N12" s="829"/>
      <c r="O12" s="829"/>
      <c r="P12" s="829"/>
      <c r="Q12" s="829"/>
      <c r="R12" s="829"/>
      <c r="S12" s="829"/>
      <c r="T12" s="829"/>
      <c r="U12" s="829"/>
      <c r="V12" s="830"/>
      <c r="Y12" s="711">
        <v>7</v>
      </c>
      <c r="Z12" s="753"/>
      <c r="AA12" s="743" t="str">
        <f t="shared" si="1"/>
        <v/>
      </c>
      <c r="AB12" s="135"/>
      <c r="AC12" s="705" t="str">
        <f t="shared" si="2"/>
        <v/>
      </c>
    </row>
    <row r="13" spans="1:36" ht="36" customHeight="1" thickBot="1" x14ac:dyDescent="0.25">
      <c r="E13" s="680" t="str">
        <f>E1</f>
        <v>Listes</v>
      </c>
      <c r="F13" s="678" t="s">
        <v>172</v>
      </c>
      <c r="G13" s="681">
        <v>1</v>
      </c>
      <c r="H13" s="682">
        <v>2</v>
      </c>
      <c r="I13" s="682">
        <v>3</v>
      </c>
      <c r="J13" s="682">
        <v>4</v>
      </c>
      <c r="K13" s="682">
        <v>5</v>
      </c>
      <c r="L13" s="682">
        <v>6</v>
      </c>
      <c r="M13" s="682">
        <v>7</v>
      </c>
      <c r="N13" s="682">
        <v>8</v>
      </c>
      <c r="O13" s="682">
        <v>9</v>
      </c>
      <c r="P13" s="682">
        <v>10</v>
      </c>
      <c r="Q13" s="682">
        <v>11</v>
      </c>
      <c r="R13" s="682">
        <v>12</v>
      </c>
      <c r="S13" s="682">
        <v>13</v>
      </c>
      <c r="T13" s="682">
        <v>14</v>
      </c>
      <c r="U13" s="682">
        <v>15</v>
      </c>
      <c r="V13" s="683">
        <v>16</v>
      </c>
      <c r="Y13" s="711">
        <v>8</v>
      </c>
      <c r="Z13" s="753"/>
      <c r="AA13" s="743" t="str">
        <f t="shared" si="1"/>
        <v/>
      </c>
      <c r="AB13" s="135"/>
      <c r="AC13" s="705" t="str">
        <f t="shared" si="2"/>
        <v/>
      </c>
    </row>
    <row r="14" spans="1:36" ht="30" customHeight="1" x14ac:dyDescent="0.2">
      <c r="E14" s="672" t="str">
        <f>E2</f>
        <v>M. Pierre-Yves 
TIERCE</v>
      </c>
      <c r="F14" s="686">
        <f ca="1">IF(H2,F2,0)</f>
        <v>0</v>
      </c>
      <c r="G14" s="687">
        <f ca="1">$F14/G$13+($F14/1000000)</f>
        <v>0</v>
      </c>
      <c r="H14" s="688">
        <f t="shared" ref="H14:V15" ca="1" si="3">$F14/H$13+($F14/1000000)</f>
        <v>0</v>
      </c>
      <c r="I14" s="688">
        <f t="shared" ca="1" si="3"/>
        <v>0</v>
      </c>
      <c r="J14" s="688">
        <f t="shared" ca="1" si="3"/>
        <v>0</v>
      </c>
      <c r="K14" s="688">
        <f t="shared" ca="1" si="3"/>
        <v>0</v>
      </c>
      <c r="L14" s="688">
        <f t="shared" ca="1" si="3"/>
        <v>0</v>
      </c>
      <c r="M14" s="688">
        <f t="shared" ca="1" si="3"/>
        <v>0</v>
      </c>
      <c r="N14" s="688">
        <f t="shared" ca="1" si="3"/>
        <v>0</v>
      </c>
      <c r="O14" s="688">
        <f t="shared" ca="1" si="3"/>
        <v>0</v>
      </c>
      <c r="P14" s="688">
        <f t="shared" ca="1" si="3"/>
        <v>0</v>
      </c>
      <c r="Q14" s="688">
        <f t="shared" ca="1" si="3"/>
        <v>0</v>
      </c>
      <c r="R14" s="688">
        <f t="shared" ca="1" si="3"/>
        <v>0</v>
      </c>
      <c r="S14" s="688">
        <f t="shared" ca="1" si="3"/>
        <v>0</v>
      </c>
      <c r="T14" s="688">
        <f t="shared" ca="1" si="3"/>
        <v>0</v>
      </c>
      <c r="U14" s="688">
        <f t="shared" ca="1" si="3"/>
        <v>0</v>
      </c>
      <c r="V14" s="689">
        <f t="shared" ca="1" si="3"/>
        <v>0</v>
      </c>
      <c r="Y14" s="711">
        <v>9</v>
      </c>
      <c r="Z14" s="753"/>
      <c r="AA14" s="743" t="str">
        <f t="shared" si="1"/>
        <v/>
      </c>
      <c r="AB14" s="135"/>
      <c r="AC14" s="705" t="str">
        <f t="shared" si="2"/>
        <v/>
      </c>
    </row>
    <row r="15" spans="1:36" ht="30.75" customHeight="1" thickBot="1" x14ac:dyDescent="0.25">
      <c r="E15" s="760" t="str">
        <f>E3</f>
        <v>Mme Isabelle 
FARNET RISSO</v>
      </c>
      <c r="F15" s="761">
        <f ca="1">IF(H3,F3,0)</f>
        <v>0</v>
      </c>
      <c r="G15" s="691">
        <f ca="1">$F15/G$13+($F15/1000000)</f>
        <v>0</v>
      </c>
      <c r="H15" s="692">
        <f t="shared" ca="1" si="3"/>
        <v>0</v>
      </c>
      <c r="I15" s="692">
        <f t="shared" ca="1" si="3"/>
        <v>0</v>
      </c>
      <c r="J15" s="692">
        <f t="shared" ca="1" si="3"/>
        <v>0</v>
      </c>
      <c r="K15" s="692">
        <f t="shared" ca="1" si="3"/>
        <v>0</v>
      </c>
      <c r="L15" s="692">
        <f t="shared" ca="1" si="3"/>
        <v>0</v>
      </c>
      <c r="M15" s="692">
        <f t="shared" ca="1" si="3"/>
        <v>0</v>
      </c>
      <c r="N15" s="692">
        <f t="shared" ca="1" si="3"/>
        <v>0</v>
      </c>
      <c r="O15" s="692">
        <f t="shared" ca="1" si="3"/>
        <v>0</v>
      </c>
      <c r="P15" s="692">
        <f t="shared" ca="1" si="3"/>
        <v>0</v>
      </c>
      <c r="Q15" s="692">
        <f t="shared" ca="1" si="3"/>
        <v>0</v>
      </c>
      <c r="R15" s="692">
        <f t="shared" ca="1" si="3"/>
        <v>0</v>
      </c>
      <c r="S15" s="692">
        <f t="shared" ca="1" si="3"/>
        <v>0</v>
      </c>
      <c r="T15" s="692">
        <f t="shared" ca="1" si="3"/>
        <v>0</v>
      </c>
      <c r="U15" s="692">
        <f t="shared" ca="1" si="3"/>
        <v>0</v>
      </c>
      <c r="V15" s="693">
        <f t="shared" ca="1" si="3"/>
        <v>0</v>
      </c>
      <c r="Y15" s="711">
        <v>10</v>
      </c>
      <c r="Z15" s="753"/>
      <c r="AA15" s="743" t="str">
        <f t="shared" si="1"/>
        <v/>
      </c>
      <c r="AB15" s="135"/>
      <c r="AC15" s="705" t="str">
        <f t="shared" si="2"/>
        <v/>
      </c>
    </row>
    <row r="16" spans="1:36" ht="18" customHeight="1" thickBot="1" x14ac:dyDescent="0.25">
      <c r="E16" s="762" t="s">
        <v>16</v>
      </c>
      <c r="F16" s="763">
        <f ca="1">SUM(F14:F15)</f>
        <v>0</v>
      </c>
      <c r="Y16" s="711">
        <v>11</v>
      </c>
      <c r="Z16" s="753"/>
      <c r="AA16" s="743" t="str">
        <f t="shared" si="1"/>
        <v/>
      </c>
      <c r="AB16" s="135"/>
      <c r="AC16" s="705" t="str">
        <f t="shared" si="2"/>
        <v/>
      </c>
    </row>
    <row r="17" spans="4:29" ht="13.5" thickBot="1" x14ac:dyDescent="0.25">
      <c r="E17" s="665"/>
      <c r="F17" s="666"/>
      <c r="Y17" s="711">
        <v>12</v>
      </c>
      <c r="Z17" s="753"/>
      <c r="AA17" s="743" t="str">
        <f t="shared" si="1"/>
        <v/>
      </c>
      <c r="AB17" s="135"/>
      <c r="AC17" s="705" t="str">
        <f t="shared" si="2"/>
        <v/>
      </c>
    </row>
    <row r="18" spans="4:29" ht="33.75" customHeight="1" thickBot="1" x14ac:dyDescent="0.25">
      <c r="E18" s="189"/>
      <c r="F18" s="677" t="s">
        <v>154</v>
      </c>
      <c r="G18" s="678" t="s">
        <v>161</v>
      </c>
      <c r="Y18" s="711">
        <v>13</v>
      </c>
      <c r="Z18" s="753"/>
      <c r="AA18" s="743" t="str">
        <f t="shared" si="1"/>
        <v/>
      </c>
      <c r="AB18" s="135"/>
      <c r="AC18" s="705" t="str">
        <f t="shared" si="2"/>
        <v/>
      </c>
    </row>
    <row r="19" spans="4:29" ht="18.75" customHeight="1" x14ac:dyDescent="0.2">
      <c r="D19" s="826" t="s">
        <v>160</v>
      </c>
      <c r="E19" s="684" t="s">
        <v>170</v>
      </c>
      <c r="F19" s="694">
        <f>IF($A$8&gt;4,ROUNDUP($A$8/2,0),ROUNDDOWN($A$8/2,0))</f>
        <v>17</v>
      </c>
      <c r="G19" s="695">
        <f ca="1">IF($F$16&gt;0,ROUNDDOWN($A$8/2,0),0)</f>
        <v>0</v>
      </c>
      <c r="Y19" s="711">
        <v>14</v>
      </c>
      <c r="Z19" s="753"/>
      <c r="AA19" s="743" t="str">
        <f t="shared" si="1"/>
        <v/>
      </c>
      <c r="AB19" s="135"/>
      <c r="AC19" s="705" t="str">
        <f t="shared" si="2"/>
        <v/>
      </c>
    </row>
    <row r="20" spans="4:29" ht="19.5" customHeight="1" thickBot="1" x14ac:dyDescent="0.25">
      <c r="D20" s="827"/>
      <c r="E20" s="685" t="s">
        <v>171</v>
      </c>
      <c r="F20" s="696">
        <f>IF($B$8&gt;4,ROUNDUP($B$8/2,0),ROUNDDOWN($B$8/2,0))</f>
        <v>5</v>
      </c>
      <c r="G20" s="697">
        <f ca="1">IF($F$16&gt;0,ROUNDDOWN($B$8/2,0),0)</f>
        <v>0</v>
      </c>
      <c r="Y20" s="711">
        <v>15</v>
      </c>
      <c r="Z20" s="753"/>
      <c r="AA20" s="743" t="str">
        <f t="shared" si="1"/>
        <v/>
      </c>
      <c r="AB20" s="135"/>
      <c r="AC20" s="705" t="str">
        <f t="shared" si="2"/>
        <v/>
      </c>
    </row>
    <row r="21" spans="4:29" x14ac:dyDescent="0.2">
      <c r="Y21" s="711">
        <v>16</v>
      </c>
      <c r="Z21" s="753"/>
      <c r="AA21" s="743" t="str">
        <f t="shared" si="1"/>
        <v/>
      </c>
      <c r="AB21" s="135"/>
      <c r="AC21" s="705" t="str">
        <f t="shared" si="2"/>
        <v/>
      </c>
    </row>
    <row r="22" spans="4:29" ht="32.25" customHeight="1" x14ac:dyDescent="0.2">
      <c r="Y22" s="711">
        <v>17</v>
      </c>
      <c r="Z22" s="753"/>
      <c r="AA22" s="743" t="str">
        <f t="shared" si="1"/>
        <v/>
      </c>
      <c r="AB22" s="135"/>
      <c r="AC22" s="705" t="str">
        <f t="shared" si="2"/>
        <v/>
      </c>
    </row>
    <row r="23" spans="4:29" x14ac:dyDescent="0.2">
      <c r="Y23" s="711">
        <v>18</v>
      </c>
      <c r="Z23" s="753"/>
      <c r="AA23" s="743" t="str">
        <f t="shared" si="1"/>
        <v/>
      </c>
      <c r="AB23" s="135"/>
      <c r="AC23" s="705" t="str">
        <f t="shared" si="2"/>
        <v/>
      </c>
    </row>
    <row r="24" spans="4:29" x14ac:dyDescent="0.2">
      <c r="Y24" s="711">
        <v>19</v>
      </c>
      <c r="Z24" s="753"/>
      <c r="AA24" s="743" t="str">
        <f t="shared" si="1"/>
        <v/>
      </c>
      <c r="AB24" s="135"/>
      <c r="AC24" s="705" t="str">
        <f t="shared" si="2"/>
        <v/>
      </c>
    </row>
    <row r="25" spans="4:29" x14ac:dyDescent="0.2">
      <c r="Y25" s="711">
        <v>20</v>
      </c>
      <c r="Z25" s="753"/>
      <c r="AA25" s="743" t="str">
        <f t="shared" si="1"/>
        <v/>
      </c>
      <c r="AB25" s="135"/>
      <c r="AC25" s="705" t="str">
        <f t="shared" si="2"/>
        <v/>
      </c>
    </row>
    <row r="26" spans="4:29" x14ac:dyDescent="0.2">
      <c r="Y26" s="711">
        <v>21</v>
      </c>
      <c r="Z26" s="753"/>
      <c r="AA26" s="743" t="str">
        <f t="shared" si="1"/>
        <v/>
      </c>
      <c r="AB26" s="135"/>
      <c r="AC26" s="705" t="str">
        <f t="shared" si="2"/>
        <v/>
      </c>
    </row>
    <row r="27" spans="4:29" x14ac:dyDescent="0.2">
      <c r="Y27" s="711">
        <v>22</v>
      </c>
      <c r="Z27" s="753"/>
      <c r="AA27" s="743" t="str">
        <f t="shared" si="1"/>
        <v/>
      </c>
      <c r="AB27" s="135"/>
      <c r="AC27" s="705" t="str">
        <f t="shared" si="2"/>
        <v/>
      </c>
    </row>
    <row r="28" spans="4:29" x14ac:dyDescent="0.2">
      <c r="Y28" s="711">
        <v>23</v>
      </c>
      <c r="Z28" s="753"/>
      <c r="AA28" s="743" t="str">
        <f t="shared" si="1"/>
        <v/>
      </c>
      <c r="AB28" s="135"/>
      <c r="AC28" s="705" t="str">
        <f t="shared" si="2"/>
        <v/>
      </c>
    </row>
    <row r="29" spans="4:29" x14ac:dyDescent="0.2">
      <c r="Y29" s="711">
        <v>24</v>
      </c>
      <c r="Z29" s="753"/>
      <c r="AA29" s="743" t="str">
        <f t="shared" si="1"/>
        <v/>
      </c>
      <c r="AB29" s="135"/>
      <c r="AC29" s="705" t="str">
        <f t="shared" si="2"/>
        <v/>
      </c>
    </row>
    <row r="30" spans="4:29" x14ac:dyDescent="0.2">
      <c r="Y30" s="711">
        <v>25</v>
      </c>
      <c r="Z30" s="753"/>
      <c r="AA30" s="743" t="str">
        <f t="shared" si="1"/>
        <v/>
      </c>
      <c r="AB30" s="135"/>
      <c r="AC30" s="705" t="str">
        <f t="shared" si="2"/>
        <v/>
      </c>
    </row>
    <row r="31" spans="4:29" x14ac:dyDescent="0.2">
      <c r="Y31" s="711">
        <v>26</v>
      </c>
      <c r="Z31" s="753"/>
      <c r="AA31" s="743" t="str">
        <f t="shared" si="1"/>
        <v/>
      </c>
      <c r="AB31" s="135"/>
      <c r="AC31" s="705" t="str">
        <f t="shared" si="2"/>
        <v/>
      </c>
    </row>
    <row r="32" spans="4:29" x14ac:dyDescent="0.2">
      <c r="Y32" s="711">
        <v>27</v>
      </c>
      <c r="Z32" s="753"/>
      <c r="AA32" s="743" t="str">
        <f t="shared" si="1"/>
        <v/>
      </c>
      <c r="AB32" s="135"/>
      <c r="AC32" s="705" t="str">
        <f t="shared" si="2"/>
        <v/>
      </c>
    </row>
    <row r="33" spans="25:29" x14ac:dyDescent="0.2">
      <c r="Y33" s="711">
        <v>28</v>
      </c>
      <c r="Z33" s="753"/>
      <c r="AA33" s="743" t="str">
        <f t="shared" si="1"/>
        <v/>
      </c>
      <c r="AB33" s="135"/>
      <c r="AC33" s="705" t="str">
        <f t="shared" si="2"/>
        <v/>
      </c>
    </row>
    <row r="34" spans="25:29" x14ac:dyDescent="0.2">
      <c r="Y34" s="711">
        <v>29</v>
      </c>
      <c r="Z34" s="753"/>
      <c r="AA34" s="743" t="str">
        <f t="shared" si="1"/>
        <v/>
      </c>
      <c r="AB34" s="135"/>
      <c r="AC34" s="705" t="str">
        <f t="shared" si="2"/>
        <v/>
      </c>
    </row>
    <row r="35" spans="25:29" x14ac:dyDescent="0.2">
      <c r="Y35" s="711">
        <v>30</v>
      </c>
      <c r="Z35" s="753"/>
      <c r="AA35" s="743" t="str">
        <f t="shared" si="1"/>
        <v/>
      </c>
      <c r="AB35" s="135"/>
      <c r="AC35" s="705" t="str">
        <f t="shared" si="2"/>
        <v/>
      </c>
    </row>
    <row r="36" spans="25:29" x14ac:dyDescent="0.2">
      <c r="Y36" s="711">
        <v>31</v>
      </c>
      <c r="Z36" s="753"/>
      <c r="AA36" s="743" t="str">
        <f t="shared" si="1"/>
        <v/>
      </c>
      <c r="AB36" s="135"/>
      <c r="AC36" s="705" t="str">
        <f t="shared" si="2"/>
        <v/>
      </c>
    </row>
    <row r="37" spans="25:29" x14ac:dyDescent="0.2">
      <c r="Y37" s="711">
        <v>32</v>
      </c>
      <c r="Z37" s="753"/>
      <c r="AA37" s="743" t="str">
        <f t="shared" si="1"/>
        <v/>
      </c>
      <c r="AB37" s="135"/>
      <c r="AC37" s="743" t="str">
        <f t="shared" si="2"/>
        <v/>
      </c>
    </row>
    <row r="38" spans="25:29" x14ac:dyDescent="0.2">
      <c r="Y38" s="744">
        <v>33</v>
      </c>
      <c r="Z38" s="755"/>
      <c r="AA38" s="743" t="str">
        <f t="shared" si="1"/>
        <v/>
      </c>
      <c r="AB38" s="759"/>
      <c r="AC38" s="705" t="str">
        <f t="shared" si="2"/>
        <v/>
      </c>
    </row>
    <row r="39" spans="25:29" x14ac:dyDescent="0.2">
      <c r="Y39" s="711">
        <v>34</v>
      </c>
      <c r="Z39" s="753"/>
      <c r="AA39" s="743" t="str">
        <f t="shared" si="1"/>
        <v/>
      </c>
      <c r="AB39" s="135"/>
      <c r="AC39" s="743" t="str">
        <f t="shared" si="2"/>
        <v/>
      </c>
    </row>
    <row r="40" spans="25:29" ht="13.5" thickBot="1" x14ac:dyDescent="0.25">
      <c r="Y40" s="712">
        <v>35</v>
      </c>
      <c r="Z40" s="756"/>
      <c r="AA40" s="693" t="str">
        <f t="shared" si="1"/>
        <v/>
      </c>
      <c r="AB40" s="139"/>
      <c r="AC40" s="693" t="str">
        <f t="shared" si="2"/>
        <v/>
      </c>
    </row>
  </sheetData>
  <sheetProtection algorithmName="SHA-512" hashValue="4ukeb14aZYF1oxqanGZVtcprw16041OkhazcgJTAbFQxXh3hVOcXggFICuQek2hPsv39yT8KK9yFyQIZUSSEfA==" saltValue="XbJYq97Bbm+Fbg1fo5x5DA==" spinCount="100000" sheet="1" objects="1" scenarios="1"/>
  <mergeCells count="11">
    <mergeCell ref="A6:B6"/>
    <mergeCell ref="Y1:AA1"/>
    <mergeCell ref="M6:N7"/>
    <mergeCell ref="F7:F8"/>
    <mergeCell ref="G7:G8"/>
    <mergeCell ref="AB3:AC4"/>
    <mergeCell ref="Z3:AA4"/>
    <mergeCell ref="D7:D8"/>
    <mergeCell ref="D19:D20"/>
    <mergeCell ref="G12:V12"/>
    <mergeCell ref="E7:E8"/>
  </mergeCells>
  <conditionalFormatting sqref="G2:G3">
    <cfRule type="cellIs" dxfId="459" priority="11" operator="lessThan">
      <formula>0.05</formula>
    </cfRule>
    <cfRule type="cellIs" dxfId="458" priority="12" operator="notBetween">
      <formula>0</formula>
      <formula>1</formula>
    </cfRule>
  </conditionalFormatting>
  <conditionalFormatting sqref="H2:H3">
    <cfRule type="cellIs" dxfId="457" priority="10" operator="equal">
      <formula>FALSE</formula>
    </cfRule>
  </conditionalFormatting>
  <conditionalFormatting sqref="E9">
    <cfRule type="expression" dxfId="456" priority="5">
      <formula>$E$9</formula>
    </cfRule>
  </conditionalFormatting>
  <conditionalFormatting sqref="M2:M3">
    <cfRule type="colorScale" priority="709">
      <colorScale>
        <cfvo type="min"/>
        <cfvo type="max"/>
        <color theme="6" tint="0.59999389629810485"/>
        <color theme="8" tint="0.59999389629810485"/>
      </colorScale>
    </cfRule>
  </conditionalFormatting>
  <conditionalFormatting sqref="I4">
    <cfRule type="cellIs" dxfId="455" priority="4" operator="equal">
      <formula>$F$19</formula>
    </cfRule>
  </conditionalFormatting>
  <conditionalFormatting sqref="J4">
    <cfRule type="cellIs" dxfId="454" priority="3" operator="equal">
      <formula>$F$20</formula>
    </cfRule>
  </conditionalFormatting>
  <conditionalFormatting sqref="K4">
    <cfRule type="cellIs" dxfId="453" priority="2" operator="equal">
      <formula>$G$19</formula>
    </cfRule>
  </conditionalFormatting>
  <conditionalFormatting sqref="L4">
    <cfRule type="cellIs" dxfId="452" priority="1" operator="equal">
      <formula>$G$20</formula>
    </cfRule>
  </conditionalFormatting>
  <conditionalFormatting sqref="N4:O4">
    <cfRule type="cellIs" dxfId="451" priority="710" operator="equal">
      <formula>A$8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CF433-48E5-4BF9-BDC4-A966BB467084}">
  <sheetPr codeName="Feuil4">
    <tabColor theme="7" tint="0.79998168889431442"/>
    <pageSetUpPr fitToPage="1"/>
  </sheetPr>
  <dimension ref="A1:N80"/>
  <sheetViews>
    <sheetView zoomScale="60" zoomScaleNormal="60" zoomScaleSheetLayoutView="41" zoomScalePageLayoutView="30" workbookViewId="0">
      <selection activeCell="H24" sqref="H24"/>
    </sheetView>
  </sheetViews>
  <sheetFormatPr baseColWidth="10" defaultColWidth="11.42578125" defaultRowHeight="12.75" x14ac:dyDescent="0.2"/>
  <cols>
    <col min="1" max="1" width="16" style="362" customWidth="1"/>
    <col min="2" max="5" width="55" style="362" customWidth="1"/>
    <col min="6" max="6" width="35.42578125" style="362" customWidth="1"/>
    <col min="7" max="7" width="11.42578125" style="362" customWidth="1"/>
    <col min="8" max="8" width="99.140625" style="362" customWidth="1"/>
    <col min="9" max="9" width="10.42578125" style="362" customWidth="1"/>
    <col min="10" max="10" width="15.42578125" style="362" customWidth="1"/>
    <col min="11" max="11" width="16.140625" style="362" customWidth="1"/>
    <col min="12" max="12" width="12" style="362" customWidth="1"/>
    <col min="13" max="13" width="30.140625" style="362" customWidth="1"/>
    <col min="14" max="14" width="13.28515625" style="362" customWidth="1"/>
    <col min="15" max="15" width="14.42578125" style="362" customWidth="1"/>
    <col min="16" max="16384" width="11.42578125" style="362"/>
  </cols>
  <sheetData>
    <row r="1" spans="1:6" ht="59.25" x14ac:dyDescent="0.2">
      <c r="B1" s="864" t="s">
        <v>133</v>
      </c>
      <c r="C1" s="864"/>
      <c r="D1" s="864"/>
      <c r="E1" s="864"/>
    </row>
    <row r="2" spans="1:6" ht="24" customHeight="1" x14ac:dyDescent="0.2"/>
    <row r="3" spans="1:6" ht="45" x14ac:dyDescent="0.2">
      <c r="B3" s="522" t="s">
        <v>131</v>
      </c>
      <c r="C3" s="400"/>
      <c r="D3" s="865" t="s">
        <v>132</v>
      </c>
      <c r="E3" s="865"/>
    </row>
    <row r="4" spans="1:6" ht="30.75" customHeight="1" thickBot="1" x14ac:dyDescent="0.25"/>
    <row r="5" spans="1:6" ht="45" customHeight="1" thickBot="1" x14ac:dyDescent="0.25">
      <c r="A5" s="399"/>
      <c r="B5" s="847" t="s">
        <v>130</v>
      </c>
      <c r="C5" s="848"/>
      <c r="D5" s="848"/>
      <c r="E5" s="849"/>
      <c r="F5" s="785" t="s">
        <v>7</v>
      </c>
    </row>
    <row r="6" spans="1:6" ht="68.25" customHeight="1" thickBot="1" x14ac:dyDescent="0.25">
      <c r="A6" s="784" t="s">
        <v>79</v>
      </c>
      <c r="B6" s="782" t="str">
        <f>Synthèse!L2</f>
        <v>M. Pierre-Yves 
TIERCE</v>
      </c>
      <c r="C6" s="783" t="str">
        <f>Synthèse!M2</f>
        <v>Mme Isabelle 
FARNET RISSO</v>
      </c>
      <c r="D6" s="780" t="str">
        <f>Synthèse!G2</f>
        <v>Nuls</v>
      </c>
      <c r="E6" s="781" t="str">
        <f>Synthèse!H2</f>
        <v>Blancs</v>
      </c>
      <c r="F6" s="788" t="s">
        <v>101</v>
      </c>
    </row>
    <row r="7" spans="1:6" ht="81" customHeight="1" thickBot="1" x14ac:dyDescent="0.25">
      <c r="A7" s="395"/>
      <c r="B7" s="369"/>
      <c r="C7" s="369"/>
      <c r="D7" s="368"/>
      <c r="E7" s="367"/>
      <c r="F7" s="594" t="s">
        <v>125</v>
      </c>
    </row>
    <row r="8" spans="1:6" ht="65.099999999999994" customHeight="1" x14ac:dyDescent="0.2">
      <c r="A8" s="850"/>
      <c r="B8" s="501" t="s">
        <v>140</v>
      </c>
      <c r="C8" s="502" t="s">
        <v>140</v>
      </c>
      <c r="D8" s="503" t="s">
        <v>140</v>
      </c>
      <c r="E8" s="504" t="s">
        <v>140</v>
      </c>
      <c r="F8" s="595" t="s">
        <v>125</v>
      </c>
    </row>
    <row r="9" spans="1:6" ht="65.099999999999994" customHeight="1" thickBot="1" x14ac:dyDescent="0.25">
      <c r="A9" s="850"/>
      <c r="B9" s="505"/>
      <c r="C9" s="506"/>
      <c r="D9" s="505"/>
      <c r="E9" s="507"/>
      <c r="F9" s="598" t="s">
        <v>126</v>
      </c>
    </row>
    <row r="10" spans="1:6" ht="65.099999999999994" customHeight="1" x14ac:dyDescent="0.2">
      <c r="A10" s="851"/>
      <c r="B10" s="501" t="s">
        <v>140</v>
      </c>
      <c r="C10" s="502" t="s">
        <v>140</v>
      </c>
      <c r="D10" s="503" t="s">
        <v>140</v>
      </c>
      <c r="E10" s="504" t="s">
        <v>140</v>
      </c>
      <c r="F10" s="603" t="s">
        <v>125</v>
      </c>
    </row>
    <row r="11" spans="1:6" ht="65.099999999999994" customHeight="1" thickBot="1" x14ac:dyDescent="0.25">
      <c r="A11" s="852"/>
      <c r="B11" s="508"/>
      <c r="C11" s="509"/>
      <c r="D11" s="508"/>
      <c r="E11" s="510"/>
      <c r="F11" s="598" t="s">
        <v>127</v>
      </c>
    </row>
    <row r="12" spans="1:6" ht="65.099999999999994" customHeight="1" x14ac:dyDescent="0.2">
      <c r="A12" s="850" t="s">
        <v>78</v>
      </c>
      <c r="B12" s="501" t="s">
        <v>140</v>
      </c>
      <c r="C12" s="502" t="s">
        <v>140</v>
      </c>
      <c r="D12" s="503" t="s">
        <v>140</v>
      </c>
      <c r="E12" s="504" t="s">
        <v>140</v>
      </c>
      <c r="F12" s="603" t="s">
        <v>125</v>
      </c>
    </row>
    <row r="13" spans="1:6" ht="65.099999999999994" customHeight="1" thickBot="1" x14ac:dyDescent="0.25">
      <c r="A13" s="850"/>
      <c r="B13" s="505"/>
      <c r="C13" s="506"/>
      <c r="D13" s="505"/>
      <c r="E13" s="507"/>
      <c r="F13" s="596" t="s">
        <v>128</v>
      </c>
    </row>
    <row r="14" spans="1:6" ht="65.099999999999994" customHeight="1" x14ac:dyDescent="0.2">
      <c r="A14" s="851" t="s">
        <v>78</v>
      </c>
      <c r="B14" s="501" t="s">
        <v>140</v>
      </c>
      <c r="C14" s="502" t="s">
        <v>140</v>
      </c>
      <c r="D14" s="503" t="s">
        <v>140</v>
      </c>
      <c r="E14" s="504" t="s">
        <v>140</v>
      </c>
      <c r="F14" s="595" t="s">
        <v>125</v>
      </c>
    </row>
    <row r="15" spans="1:6" ht="65.099999999999994" customHeight="1" thickBot="1" x14ac:dyDescent="0.25">
      <c r="A15" s="852"/>
      <c r="B15" s="508"/>
      <c r="C15" s="509"/>
      <c r="D15" s="508"/>
      <c r="E15" s="510"/>
      <c r="F15" s="598" t="s">
        <v>129</v>
      </c>
    </row>
    <row r="16" spans="1:6" ht="20.100000000000001" customHeight="1" x14ac:dyDescent="0.2"/>
    <row r="17" spans="1:6" ht="39.950000000000003" customHeight="1" x14ac:dyDescent="0.2">
      <c r="B17" s="853" t="s">
        <v>134</v>
      </c>
      <c r="C17" s="855" t="s">
        <v>141</v>
      </c>
      <c r="D17" s="856"/>
      <c r="E17" s="856"/>
      <c r="F17" s="857"/>
    </row>
    <row r="18" spans="1:6" ht="39.950000000000003" customHeight="1" x14ac:dyDescent="0.2">
      <c r="B18" s="854"/>
      <c r="C18" s="858" t="s">
        <v>182</v>
      </c>
      <c r="D18" s="859"/>
      <c r="E18" s="859"/>
      <c r="F18" s="860"/>
    </row>
    <row r="19" spans="1:6" ht="39.950000000000003" customHeight="1" x14ac:dyDescent="0.2">
      <c r="B19" s="866" t="s">
        <v>135</v>
      </c>
      <c r="C19" s="861" t="s">
        <v>183</v>
      </c>
      <c r="D19" s="862"/>
      <c r="E19" s="862"/>
      <c r="F19" s="863"/>
    </row>
    <row r="20" spans="1:6" ht="39.950000000000003" customHeight="1" x14ac:dyDescent="0.2">
      <c r="B20" s="866"/>
      <c r="C20" s="867" t="s">
        <v>142</v>
      </c>
      <c r="D20" s="868"/>
      <c r="E20" s="868"/>
      <c r="F20" s="869"/>
    </row>
    <row r="21" spans="1:6" ht="18" customHeight="1" x14ac:dyDescent="0.2"/>
    <row r="22" spans="1:6" ht="26.25" customHeight="1" thickBot="1" x14ac:dyDescent="0.25"/>
    <row r="23" spans="1:6" ht="36.75" customHeight="1" thickBot="1" x14ac:dyDescent="0.25">
      <c r="A23" s="399"/>
      <c r="B23" s="847" t="s">
        <v>136</v>
      </c>
      <c r="C23" s="848"/>
      <c r="D23" s="848"/>
      <c r="E23" s="849"/>
      <c r="F23" s="786" t="s">
        <v>7</v>
      </c>
    </row>
    <row r="24" spans="1:6" ht="72.75" customHeight="1" thickBot="1" x14ac:dyDescent="0.25">
      <c r="A24" s="784" t="s">
        <v>79</v>
      </c>
      <c r="B24" s="782" t="str">
        <f>Synthèse!L2</f>
        <v>M. Pierre-Yves 
TIERCE</v>
      </c>
      <c r="C24" s="783" t="str">
        <f>Synthèse!M2</f>
        <v>Mme Isabelle 
FARNET RISSO</v>
      </c>
      <c r="D24" s="780" t="str">
        <f>Synthèse!G2</f>
        <v>Nuls</v>
      </c>
      <c r="E24" s="781" t="str">
        <f>Synthèse!H2</f>
        <v>Blancs</v>
      </c>
      <c r="F24" s="787" t="s">
        <v>101</v>
      </c>
    </row>
    <row r="25" spans="1:6" ht="77.25" customHeight="1" x14ac:dyDescent="0.2">
      <c r="A25" s="397"/>
      <c r="B25" s="382"/>
      <c r="C25" s="366"/>
      <c r="D25" s="365"/>
      <c r="E25" s="590"/>
      <c r="F25" s="600" t="s">
        <v>125</v>
      </c>
    </row>
    <row r="26" spans="1:6" ht="77.25" customHeight="1" x14ac:dyDescent="0.2">
      <c r="A26" s="398"/>
      <c r="B26" s="396"/>
      <c r="C26" s="393"/>
      <c r="D26" s="394"/>
      <c r="E26" s="591"/>
      <c r="F26" s="601" t="s">
        <v>125</v>
      </c>
    </row>
    <row r="27" spans="1:6" ht="77.25" customHeight="1" x14ac:dyDescent="0.2">
      <c r="A27" s="398" t="s">
        <v>78</v>
      </c>
      <c r="B27" s="396"/>
      <c r="C27" s="393"/>
      <c r="D27" s="394"/>
      <c r="E27" s="591"/>
      <c r="F27" s="601" t="s">
        <v>125</v>
      </c>
    </row>
    <row r="28" spans="1:6" ht="77.25" customHeight="1" x14ac:dyDescent="0.2">
      <c r="A28" s="398" t="s">
        <v>78</v>
      </c>
      <c r="B28" s="396"/>
      <c r="C28" s="393"/>
      <c r="D28" s="394"/>
      <c r="E28" s="591"/>
      <c r="F28" s="597" t="s">
        <v>125</v>
      </c>
    </row>
    <row r="29" spans="1:6" ht="77.25" customHeight="1" thickBot="1" x14ac:dyDescent="0.25">
      <c r="A29" s="518" t="s">
        <v>78</v>
      </c>
      <c r="B29" s="519"/>
      <c r="C29" s="520"/>
      <c r="D29" s="521"/>
      <c r="E29" s="592"/>
      <c r="F29" s="599" t="s">
        <v>125</v>
      </c>
    </row>
    <row r="31" spans="1:6" ht="13.5" thickBot="1" x14ac:dyDescent="0.25"/>
    <row r="32" spans="1:6" ht="28.5" customHeight="1" x14ac:dyDescent="0.2">
      <c r="A32" s="770" t="str">
        <f>Synthèse!$A$17</f>
        <v>Date</v>
      </c>
      <c r="B32" s="771">
        <f>Synthèse!$B$17</f>
        <v>46103</v>
      </c>
    </row>
    <row r="33" spans="1:14" ht="28.5" customHeight="1" x14ac:dyDescent="0.2">
      <c r="A33" s="772" t="str">
        <f>Synthèse!$A$18</f>
        <v>Election</v>
      </c>
      <c r="B33" s="773" t="str">
        <f>Synthèse!$B$18</f>
        <v>Municipale</v>
      </c>
    </row>
    <row r="34" spans="1:14" ht="28.5" customHeight="1" x14ac:dyDescent="0.2">
      <c r="A34" s="774" t="str">
        <f>Synthèse!$A$19</f>
        <v>Tour</v>
      </c>
      <c r="B34" s="775">
        <f>Synthèse!$B$19</f>
        <v>2</v>
      </c>
    </row>
    <row r="35" spans="1:14" ht="36.75" customHeight="1" thickBot="1" x14ac:dyDescent="0.25">
      <c r="A35" s="776" t="str">
        <f>Synthèse!$A$20</f>
        <v>Ville</v>
      </c>
      <c r="B35" s="777" t="str">
        <f>Synthèse!$B$20</f>
        <v>Cogolin</v>
      </c>
    </row>
    <row r="37" spans="1:14" ht="13.5" thickBot="1" x14ac:dyDescent="0.25">
      <c r="A37" s="593"/>
      <c r="B37" s="593"/>
      <c r="C37" s="593"/>
      <c r="D37" s="593"/>
      <c r="E37" s="593"/>
      <c r="F37" s="593"/>
      <c r="G37" s="593"/>
      <c r="H37" s="604"/>
      <c r="I37" s="604"/>
      <c r="J37" s="604"/>
      <c r="K37" s="604"/>
      <c r="L37" s="604"/>
      <c r="M37" s="604"/>
      <c r="N37" s="604"/>
    </row>
    <row r="39" spans="1:14" ht="13.5" thickBot="1" x14ac:dyDescent="0.25"/>
    <row r="40" spans="1:14" ht="36.75" customHeight="1" thickBot="1" x14ac:dyDescent="0.25">
      <c r="A40" s="399"/>
      <c r="B40" s="842" t="s">
        <v>94</v>
      </c>
      <c r="C40" s="843"/>
      <c r="D40" s="843"/>
      <c r="E40" s="844"/>
      <c r="F40" s="514" t="s">
        <v>7</v>
      </c>
    </row>
    <row r="41" spans="1:14" ht="42.75" thickBot="1" x14ac:dyDescent="0.25">
      <c r="A41" s="513" t="s">
        <v>79</v>
      </c>
      <c r="B41" s="628" t="s">
        <v>67</v>
      </c>
      <c r="C41" s="511" t="s">
        <v>97</v>
      </c>
      <c r="D41" s="497" t="s">
        <v>3</v>
      </c>
      <c r="E41" s="498" t="s">
        <v>4</v>
      </c>
      <c r="F41" s="515" t="s">
        <v>101</v>
      </c>
    </row>
    <row r="42" spans="1:14" ht="46.5" customHeight="1" thickBot="1" x14ac:dyDescent="0.25">
      <c r="A42" s="605">
        <v>1</v>
      </c>
      <c r="B42" s="606">
        <v>55</v>
      </c>
      <c r="C42" s="606">
        <v>40</v>
      </c>
      <c r="D42" s="607">
        <v>4</v>
      </c>
      <c r="E42" s="608">
        <v>1</v>
      </c>
      <c r="F42" s="594" t="s">
        <v>148</v>
      </c>
    </row>
    <row r="43" spans="1:14" ht="46.5" customHeight="1" x14ac:dyDescent="0.2">
      <c r="A43" s="845">
        <v>3</v>
      </c>
      <c r="B43" s="609" t="s">
        <v>143</v>
      </c>
      <c r="C43" s="610" t="s">
        <v>146</v>
      </c>
      <c r="D43" s="611" t="s">
        <v>144</v>
      </c>
      <c r="E43" s="612" t="s">
        <v>147</v>
      </c>
      <c r="F43" s="600" t="s">
        <v>148</v>
      </c>
    </row>
    <row r="44" spans="1:14" ht="46.5" customHeight="1" thickBot="1" x14ac:dyDescent="0.25">
      <c r="A44" s="846"/>
      <c r="B44" s="613">
        <v>105</v>
      </c>
      <c r="C44" s="614">
        <v>84</v>
      </c>
      <c r="D44" s="613">
        <v>9</v>
      </c>
      <c r="E44" s="615">
        <v>2</v>
      </c>
      <c r="F44" s="598" t="s">
        <v>149</v>
      </c>
    </row>
    <row r="47" spans="1:14" ht="15" customHeight="1" thickBot="1" x14ac:dyDescent="0.25"/>
    <row r="48" spans="1:14" ht="42.75" customHeight="1" thickBot="1" x14ac:dyDescent="0.25">
      <c r="A48" s="399"/>
      <c r="B48" s="847" t="s">
        <v>145</v>
      </c>
      <c r="C48" s="848"/>
      <c r="D48" s="848"/>
      <c r="E48" s="849"/>
      <c r="F48" s="516" t="s">
        <v>7</v>
      </c>
    </row>
    <row r="49" spans="1:6" ht="42.75" customHeight="1" thickBot="1" x14ac:dyDescent="0.25">
      <c r="A49" s="512" t="s">
        <v>79</v>
      </c>
      <c r="B49" s="628" t="s">
        <v>67</v>
      </c>
      <c r="C49" s="511" t="s">
        <v>97</v>
      </c>
      <c r="D49" s="499" t="s">
        <v>3</v>
      </c>
      <c r="E49" s="500" t="s">
        <v>4</v>
      </c>
      <c r="F49" s="517" t="s">
        <v>101</v>
      </c>
    </row>
    <row r="50" spans="1:6" ht="45.75" customHeight="1" x14ac:dyDescent="0.2">
      <c r="A50" s="616">
        <v>1</v>
      </c>
      <c r="B50" s="617">
        <v>55</v>
      </c>
      <c r="C50" s="610">
        <v>40</v>
      </c>
      <c r="D50" s="611">
        <v>4</v>
      </c>
      <c r="E50" s="618">
        <v>1</v>
      </c>
      <c r="F50" s="600" t="s">
        <v>148</v>
      </c>
    </row>
    <row r="51" spans="1:6" ht="45.75" customHeight="1" thickBot="1" x14ac:dyDescent="0.25">
      <c r="A51" s="619">
        <v>3</v>
      </c>
      <c r="B51" s="620">
        <v>50</v>
      </c>
      <c r="C51" s="621">
        <v>44</v>
      </c>
      <c r="D51" s="622">
        <v>5</v>
      </c>
      <c r="E51" s="623">
        <v>1</v>
      </c>
      <c r="F51" s="602" t="s">
        <v>148</v>
      </c>
    </row>
    <row r="52" spans="1:6" ht="15" customHeight="1" x14ac:dyDescent="0.2">
      <c r="B52" s="364"/>
      <c r="C52" s="364"/>
    </row>
    <row r="53" spans="1:6" ht="15" customHeight="1" x14ac:dyDescent="0.2">
      <c r="B53" s="364"/>
      <c r="C53" s="364"/>
    </row>
    <row r="54" spans="1:6" ht="15" customHeight="1" x14ac:dyDescent="0.2">
      <c r="B54" s="364"/>
      <c r="C54" s="364"/>
    </row>
    <row r="55" spans="1:6" ht="15" customHeight="1" x14ac:dyDescent="0.2">
      <c r="B55" s="364"/>
      <c r="C55" s="364"/>
    </row>
    <row r="56" spans="1:6" ht="15" customHeight="1" x14ac:dyDescent="0.2">
      <c r="B56" s="364"/>
      <c r="C56" s="364"/>
    </row>
    <row r="57" spans="1:6" ht="15" customHeight="1" x14ac:dyDescent="0.2">
      <c r="B57" s="364"/>
      <c r="C57" s="364"/>
    </row>
    <row r="58" spans="1:6" ht="15" customHeight="1" x14ac:dyDescent="0.2"/>
    <row r="59" spans="1:6" ht="15" customHeight="1" x14ac:dyDescent="0.2"/>
    <row r="60" spans="1:6" ht="15" customHeight="1" x14ac:dyDescent="0.2"/>
    <row r="61" spans="1:6" ht="15" customHeight="1" x14ac:dyDescent="0.2"/>
    <row r="62" spans="1:6" ht="15" customHeight="1" x14ac:dyDescent="0.2"/>
    <row r="63" spans="1:6" ht="15" customHeight="1" x14ac:dyDescent="0.2"/>
    <row r="64" spans="1:6" ht="15" customHeight="1" x14ac:dyDescent="0.2"/>
    <row r="65" spans="4:9" ht="15" customHeight="1" x14ac:dyDescent="0.2"/>
    <row r="66" spans="4:9" ht="15" customHeight="1" x14ac:dyDescent="0.2"/>
    <row r="67" spans="4:9" ht="15" customHeight="1" x14ac:dyDescent="0.2"/>
    <row r="68" spans="4:9" ht="15" customHeight="1" x14ac:dyDescent="0.2"/>
    <row r="69" spans="4:9" ht="15" customHeight="1" x14ac:dyDescent="0.2"/>
    <row r="70" spans="4:9" ht="15" customHeight="1" x14ac:dyDescent="0.2"/>
    <row r="71" spans="4:9" ht="15" customHeight="1" x14ac:dyDescent="0.2"/>
    <row r="72" spans="4:9" ht="15" customHeight="1" x14ac:dyDescent="0.2"/>
    <row r="73" spans="4:9" ht="15" customHeight="1" x14ac:dyDescent="0.2"/>
    <row r="74" spans="4:9" ht="15" customHeight="1" x14ac:dyDescent="0.2"/>
    <row r="75" spans="4:9" ht="15" customHeight="1" x14ac:dyDescent="0.2"/>
    <row r="76" spans="4:9" ht="15" customHeight="1" x14ac:dyDescent="0.2"/>
    <row r="77" spans="4:9" ht="15" customHeight="1" x14ac:dyDescent="0.2"/>
    <row r="78" spans="4:9" ht="15" customHeight="1" x14ac:dyDescent="0.2"/>
    <row r="79" spans="4:9" ht="15" customHeight="1" x14ac:dyDescent="0.2"/>
    <row r="80" spans="4:9" ht="15" customHeight="1" x14ac:dyDescent="0.2">
      <c r="D80" s="364"/>
      <c r="E80" s="364"/>
      <c r="F80" s="364"/>
      <c r="G80" s="364"/>
      <c r="H80" s="363"/>
      <c r="I80" s="604"/>
    </row>
  </sheetData>
  <sheetProtection algorithmName="SHA-512" hashValue="Grh3T/h1jwtNGD1v7UeuxYQOARXKe4o48c/djv2fQgBPhIiAJlnGHAZCipEqK4EhgyhHE+uICeX5pz1s0KvTug==" saltValue="RrYf3gHQd2Z87418Kjq+zw==" spinCount="100000" sheet="1" objects="1" scenarios="1"/>
  <mergeCells count="17">
    <mergeCell ref="B1:E1"/>
    <mergeCell ref="D3:E3"/>
    <mergeCell ref="B23:E23"/>
    <mergeCell ref="B5:E5"/>
    <mergeCell ref="B19:B20"/>
    <mergeCell ref="C20:F20"/>
    <mergeCell ref="B40:E40"/>
    <mergeCell ref="A43:A44"/>
    <mergeCell ref="B48:E48"/>
    <mergeCell ref="A8:A9"/>
    <mergeCell ref="A10:A11"/>
    <mergeCell ref="A12:A13"/>
    <mergeCell ref="A14:A15"/>
    <mergeCell ref="B17:B18"/>
    <mergeCell ref="C17:F17"/>
    <mergeCell ref="C18:F18"/>
    <mergeCell ref="C19:F19"/>
  </mergeCells>
  <phoneticPr fontId="26" type="noConversion"/>
  <conditionalFormatting sqref="K7:K18">
    <cfRule type="expression" dxfId="450" priority="4">
      <formula>AND($K7&lt;$K6, NOT(ISBLANK($K7)))</formula>
    </cfRule>
    <cfRule type="cellIs" dxfId="449" priority="5" operator="greaterThan">
      <formula>#REF!</formula>
    </cfRule>
  </conditionalFormatting>
  <conditionalFormatting sqref="L7:L19">
    <cfRule type="cellIs" dxfId="448" priority="2" operator="greaterThan">
      <formula>1</formula>
    </cfRule>
  </conditionalFormatting>
  <conditionalFormatting sqref="K19">
    <cfRule type="expression" dxfId="447" priority="674">
      <formula>AND($K19&lt;$K17, NOT(ISBLANK($K19)))</formula>
    </cfRule>
    <cfRule type="cellIs" dxfId="446" priority="675" operator="greaterThan">
      <formula>#REF!</formula>
    </cfRule>
  </conditionalFormatting>
  <dataValidations disablePrompts="1" count="1">
    <dataValidation type="list" allowBlank="1" showInputMessage="1" showErrorMessage="1" sqref="B52:C57" xr:uid="{EFFF5907-3868-4AF4-BAC2-19BC74A1B961}">
      <formula1>#REF!</formula1>
    </dataValidation>
  </dataValidations>
  <pageMargins left="0.25" right="0.25" top="0.75" bottom="0.75" header="0.3" footer="0.3"/>
  <pageSetup paperSize="9" scale="35" fitToHeight="0"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F87B-92E3-4351-B77E-891CFFB443E4}">
  <sheetPr codeName="Feuil2">
    <tabColor theme="6" tint="0.79998168889431442"/>
  </sheetPr>
  <dimension ref="A1:AD63"/>
  <sheetViews>
    <sheetView zoomScale="60" zoomScaleNormal="60" workbookViewId="0">
      <selection activeCell="R44" sqref="R4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.75" x14ac:dyDescent="0.3"/>
  <cols>
    <col min="1" max="1" width="7.5703125" style="523" customWidth="1"/>
    <col min="2" max="2" width="8.140625" style="523" customWidth="1"/>
    <col min="3" max="3" width="26.5703125" style="523" customWidth="1"/>
    <col min="4" max="4" width="21" style="523" customWidth="1"/>
    <col min="5" max="5" width="20.28515625" style="523" customWidth="1"/>
    <col min="6" max="6" width="35.7109375" style="523" customWidth="1"/>
    <col min="7" max="7" width="37.28515625" style="523" customWidth="1"/>
    <col min="8" max="8" width="21.28515625" style="523" bestFit="1" customWidth="1"/>
    <col min="9" max="9" width="20.42578125" style="523" customWidth="1"/>
    <col min="10" max="10" width="39.28515625" style="523" customWidth="1"/>
    <col min="11" max="11" width="8.28515625" style="523" customWidth="1"/>
    <col min="12" max="12" width="12.28515625" style="523" customWidth="1"/>
    <col min="13" max="13" width="21" style="523" customWidth="1"/>
    <col min="14" max="14" width="12.85546875" style="523" customWidth="1"/>
    <col min="15" max="15" width="13.140625" style="523" customWidth="1"/>
    <col min="16" max="16" width="11.42578125" style="523"/>
    <col min="17" max="17" width="12.140625" style="523" customWidth="1"/>
    <col min="18" max="18" width="13.5703125" style="523" customWidth="1"/>
    <col min="19" max="19" width="28.140625" style="523" customWidth="1"/>
    <col min="20" max="20" width="15.140625" style="523" customWidth="1"/>
    <col min="21" max="21" width="11.42578125" style="523"/>
    <col min="22" max="22" width="24.7109375" style="523" customWidth="1"/>
    <col min="23" max="23" width="17" style="523" customWidth="1"/>
    <col min="24" max="24" width="16.7109375" style="523" customWidth="1"/>
    <col min="25" max="25" width="20.42578125" style="523" customWidth="1"/>
    <col min="26" max="26" width="37.5703125" style="523" customWidth="1"/>
    <col min="27" max="27" width="4" style="523" customWidth="1"/>
    <col min="28" max="28" width="4.85546875" style="523" customWidth="1"/>
    <col min="29" max="29" width="14.28515625" style="523" customWidth="1"/>
    <col min="30" max="30" width="34.28515625" style="523" customWidth="1"/>
    <col min="31" max="31" width="20.28515625" style="523" customWidth="1"/>
    <col min="32" max="32" width="11.42578125" style="523" customWidth="1"/>
    <col min="33" max="16384" width="11.42578125" style="523"/>
  </cols>
  <sheetData>
    <row r="1" spans="1:26" x14ac:dyDescent="0.3">
      <c r="A1" s="524"/>
    </row>
    <row r="2" spans="1:26" ht="25.5" thickBot="1" x14ac:dyDescent="0.5">
      <c r="A2" s="525"/>
      <c r="E2" s="641"/>
      <c r="F2" s="642"/>
      <c r="G2" s="642"/>
      <c r="H2" s="643"/>
      <c r="I2" s="526"/>
      <c r="J2" s="526"/>
    </row>
    <row r="3" spans="1:26" ht="56.1" customHeight="1" thickBot="1" x14ac:dyDescent="0.55000000000000004">
      <c r="A3" s="525"/>
      <c r="B3" s="903" t="s">
        <v>15</v>
      </c>
      <c r="C3" s="904"/>
      <c r="D3" s="527" t="s">
        <v>0</v>
      </c>
      <c r="E3" s="528" t="s">
        <v>2</v>
      </c>
      <c r="F3" s="625" t="str">
        <f>Synthèse!L$2</f>
        <v>M. Pierre-Yves 
TIERCE</v>
      </c>
      <c r="G3" s="586" t="str">
        <f>Synthèse!M$2</f>
        <v>Mme Isabelle 
FARNET RISSO</v>
      </c>
      <c r="H3" s="644" t="s">
        <v>4</v>
      </c>
      <c r="I3" s="630" t="s">
        <v>3</v>
      </c>
      <c r="J3" s="631" t="s">
        <v>104</v>
      </c>
      <c r="U3" s="898" t="s">
        <v>15</v>
      </c>
      <c r="V3" s="899"/>
      <c r="W3" s="529" t="s">
        <v>0</v>
      </c>
      <c r="X3" s="900" t="s">
        <v>2</v>
      </c>
      <c r="Y3" s="901"/>
      <c r="Z3" s="902"/>
    </row>
    <row r="4" spans="1:26" ht="24.75" x14ac:dyDescent="0.45">
      <c r="B4" s="530">
        <v>1</v>
      </c>
      <c r="C4" s="531" t="str" cm="1">
        <f t="array" aca="1" ref="C4" ca="1">INDIRECT("'Synthèse'!$B" &amp; ROW()-1)</f>
        <v>Ecole Chabaud</v>
      </c>
      <c r="D4" s="532">
        <f>Synthèse!C3</f>
        <v>553</v>
      </c>
      <c r="E4" s="533">
        <f ca="1">Synthèse!E3</f>
        <v>0</v>
      </c>
      <c r="F4" s="534">
        <f ca="1">Synthèse!L3</f>
        <v>0</v>
      </c>
      <c r="G4" s="535">
        <f ca="1">Synthèse!M3</f>
        <v>0</v>
      </c>
      <c r="H4" s="536">
        <f ca="1">Synthèse!G3</f>
        <v>0</v>
      </c>
      <c r="I4" s="537">
        <f ca="1">Synthèse!H3</f>
        <v>0</v>
      </c>
      <c r="J4" s="538" cm="1">
        <f t="array" aca="1" ref="J4" ca="1">SUM(IFERROR(F4:I4,0))</f>
        <v>0</v>
      </c>
      <c r="U4" s="539">
        <v>1</v>
      </c>
      <c r="V4" s="540" t="str">
        <f>Synthèse!$B3</f>
        <v>Ecole Chabaud</v>
      </c>
      <c r="W4" s="541">
        <f>Synthèse!$C3</f>
        <v>553</v>
      </c>
      <c r="X4" s="542">
        <f ca="1">Synthèse!$E3</f>
        <v>0</v>
      </c>
      <c r="Y4" s="543">
        <f t="shared" ref="Y4:Z16" ca="1" si="0">$X4/$W4</f>
        <v>0</v>
      </c>
      <c r="Z4" s="544">
        <f t="shared" ca="1" si="0"/>
        <v>0</v>
      </c>
    </row>
    <row r="5" spans="1:26" ht="24.75" x14ac:dyDescent="0.45">
      <c r="B5" s="545">
        <v>2</v>
      </c>
      <c r="C5" s="546" t="str" cm="1">
        <f t="array" aca="1" ref="C5" ca="1">INDIRECT("'Synthèse'!$B" &amp; ROW()-1)</f>
        <v>Gymnase B</v>
      </c>
      <c r="D5" s="547">
        <f>Synthèse!C4</f>
        <v>740</v>
      </c>
      <c r="E5" s="548">
        <f ca="1">Synthèse!E4</f>
        <v>0</v>
      </c>
      <c r="F5" s="549">
        <f ca="1">Synthèse!L4</f>
        <v>0</v>
      </c>
      <c r="G5" s="550">
        <f ca="1">Synthèse!M4</f>
        <v>0</v>
      </c>
      <c r="H5" s="551">
        <f ca="1">Synthèse!G4</f>
        <v>0</v>
      </c>
      <c r="I5" s="552">
        <f ca="1">Synthèse!H4</f>
        <v>0</v>
      </c>
      <c r="J5" s="552" cm="1">
        <f t="array" aca="1" ref="J5" ca="1">SUM(IFERROR(F5:I5,0))</f>
        <v>0</v>
      </c>
      <c r="U5" s="539">
        <v>2</v>
      </c>
      <c r="V5" s="540" t="str">
        <f>Synthèse!$B4</f>
        <v>Gymnase B</v>
      </c>
      <c r="W5" s="553">
        <f>Synthèse!$C4</f>
        <v>740</v>
      </c>
      <c r="X5" s="554">
        <f ca="1">Synthèse!$E4</f>
        <v>0</v>
      </c>
      <c r="Y5" s="555">
        <f t="shared" ca="1" si="0"/>
        <v>0</v>
      </c>
      <c r="Z5" s="544">
        <f t="shared" ca="1" si="0"/>
        <v>0</v>
      </c>
    </row>
    <row r="6" spans="1:26" ht="24.75" x14ac:dyDescent="0.45">
      <c r="B6" s="545">
        <v>3</v>
      </c>
      <c r="C6" s="546" t="str" cm="1">
        <f t="array" aca="1" ref="C6" ca="1">INDIRECT("'Synthèse'!$B" &amp; ROW()-1)</f>
        <v>Gymnase B</v>
      </c>
      <c r="D6" s="547">
        <f>Synthèse!C5</f>
        <v>714</v>
      </c>
      <c r="E6" s="548">
        <f ca="1">Synthèse!E5</f>
        <v>0</v>
      </c>
      <c r="F6" s="549">
        <f ca="1">Synthèse!L5</f>
        <v>0</v>
      </c>
      <c r="G6" s="550">
        <f ca="1">Synthèse!M5</f>
        <v>0</v>
      </c>
      <c r="H6" s="551">
        <f ca="1">Synthèse!G5</f>
        <v>0</v>
      </c>
      <c r="I6" s="552">
        <f ca="1">Synthèse!H5</f>
        <v>0</v>
      </c>
      <c r="J6" s="552" cm="1">
        <f t="array" aca="1" ref="J6" ca="1">SUM(IFERROR(F6:I6,0))</f>
        <v>0</v>
      </c>
      <c r="U6" s="539">
        <v>3</v>
      </c>
      <c r="V6" s="540" t="str">
        <f>Synthèse!$B5</f>
        <v>Gymnase B</v>
      </c>
      <c r="W6" s="553">
        <f>Synthèse!$C5</f>
        <v>714</v>
      </c>
      <c r="X6" s="554">
        <f ca="1">Synthèse!$E5</f>
        <v>0</v>
      </c>
      <c r="Y6" s="555">
        <f t="shared" ca="1" si="0"/>
        <v>0</v>
      </c>
      <c r="Z6" s="544">
        <f t="shared" ca="1" si="0"/>
        <v>0</v>
      </c>
    </row>
    <row r="7" spans="1:26" ht="24.75" x14ac:dyDescent="0.45">
      <c r="B7" s="545">
        <v>4</v>
      </c>
      <c r="C7" s="546" t="str" cm="1">
        <f t="array" aca="1" ref="C7" ca="1">INDIRECT("'Synthèse'!$B" &amp; ROW()-1)</f>
        <v>Gymnase B</v>
      </c>
      <c r="D7" s="547">
        <f>Synthèse!C6</f>
        <v>679</v>
      </c>
      <c r="E7" s="548">
        <f ca="1">Synthèse!E6</f>
        <v>0</v>
      </c>
      <c r="F7" s="549">
        <f ca="1">Synthèse!L6</f>
        <v>0</v>
      </c>
      <c r="G7" s="550">
        <f ca="1">Synthèse!M6</f>
        <v>0</v>
      </c>
      <c r="H7" s="551">
        <f ca="1">Synthèse!G6</f>
        <v>0</v>
      </c>
      <c r="I7" s="552">
        <f ca="1">Synthèse!H6</f>
        <v>0</v>
      </c>
      <c r="J7" s="552" cm="1">
        <f t="array" aca="1" ref="J7" ca="1">SUM(IFERROR(F7:I7,0))</f>
        <v>0</v>
      </c>
      <c r="U7" s="539">
        <v>4</v>
      </c>
      <c r="V7" s="540" t="str">
        <f>Synthèse!$B6</f>
        <v>Gymnase B</v>
      </c>
      <c r="W7" s="553">
        <f>Synthèse!$C6</f>
        <v>679</v>
      </c>
      <c r="X7" s="554">
        <f ca="1">Synthèse!$E6</f>
        <v>0</v>
      </c>
      <c r="Y7" s="555">
        <f t="shared" ca="1" si="0"/>
        <v>0</v>
      </c>
      <c r="Z7" s="544">
        <f t="shared" ca="1" si="0"/>
        <v>0</v>
      </c>
    </row>
    <row r="8" spans="1:26" ht="24.75" x14ac:dyDescent="0.45">
      <c r="B8" s="545">
        <v>5</v>
      </c>
      <c r="C8" s="546" t="str" cm="1">
        <f t="array" aca="1" ref="C8" ca="1">INDIRECT("'Synthèse'!$B" &amp; ROW()-1)</f>
        <v>COSEC</v>
      </c>
      <c r="D8" s="547">
        <f>Synthèse!C7</f>
        <v>701</v>
      </c>
      <c r="E8" s="548">
        <f ca="1">Synthèse!E7</f>
        <v>0</v>
      </c>
      <c r="F8" s="549">
        <f ca="1">Synthèse!L7</f>
        <v>0</v>
      </c>
      <c r="G8" s="550">
        <f ca="1">Synthèse!M7</f>
        <v>0</v>
      </c>
      <c r="H8" s="551">
        <f ca="1">Synthèse!G7</f>
        <v>0</v>
      </c>
      <c r="I8" s="552">
        <f ca="1">Synthèse!H7</f>
        <v>0</v>
      </c>
      <c r="J8" s="552" cm="1">
        <f t="array" aca="1" ref="J8" ca="1">SUM(IFERROR(F8:I8,0))</f>
        <v>0</v>
      </c>
      <c r="U8" s="539">
        <v>5</v>
      </c>
      <c r="V8" s="540" t="str">
        <f>Synthèse!$B7</f>
        <v>COSEC</v>
      </c>
      <c r="W8" s="553">
        <f>Synthèse!$C7</f>
        <v>701</v>
      </c>
      <c r="X8" s="554">
        <f ca="1">Synthèse!$E7</f>
        <v>0</v>
      </c>
      <c r="Y8" s="555">
        <f t="shared" ca="1" si="0"/>
        <v>0</v>
      </c>
      <c r="Z8" s="544">
        <f t="shared" ca="1" si="0"/>
        <v>0</v>
      </c>
    </row>
    <row r="9" spans="1:26" ht="24.75" x14ac:dyDescent="0.45">
      <c r="B9" s="545">
        <v>6</v>
      </c>
      <c r="C9" s="546" t="str" cm="1">
        <f t="array" aca="1" ref="C9" ca="1">INDIRECT("'Synthèse'!$B" &amp; ROW()-1)</f>
        <v>COSEC</v>
      </c>
      <c r="D9" s="547">
        <f>Synthèse!C8</f>
        <v>710</v>
      </c>
      <c r="E9" s="548">
        <f ca="1">Synthèse!E8</f>
        <v>0</v>
      </c>
      <c r="F9" s="549">
        <f ca="1">Synthèse!L8</f>
        <v>0</v>
      </c>
      <c r="G9" s="550">
        <f ca="1">Synthèse!M8</f>
        <v>0</v>
      </c>
      <c r="H9" s="551">
        <f ca="1">Synthèse!G8</f>
        <v>0</v>
      </c>
      <c r="I9" s="552">
        <f ca="1">Synthèse!H8</f>
        <v>0</v>
      </c>
      <c r="J9" s="552" cm="1">
        <f t="array" aca="1" ref="J9" ca="1">SUM(IFERROR(F9:I9,0))</f>
        <v>0</v>
      </c>
      <c r="U9" s="539">
        <v>6</v>
      </c>
      <c r="V9" s="540" t="str">
        <f>Synthèse!$B8</f>
        <v>COSEC</v>
      </c>
      <c r="W9" s="553">
        <f>Synthèse!$C8</f>
        <v>710</v>
      </c>
      <c r="X9" s="554">
        <f ca="1">Synthèse!$E8</f>
        <v>0</v>
      </c>
      <c r="Y9" s="555">
        <f t="shared" ca="1" si="0"/>
        <v>0</v>
      </c>
      <c r="Z9" s="544">
        <f t="shared" ca="1" si="0"/>
        <v>0</v>
      </c>
    </row>
    <row r="10" spans="1:26" ht="24.75" x14ac:dyDescent="0.45">
      <c r="B10" s="545">
        <v>7</v>
      </c>
      <c r="C10" s="546" t="str" cm="1">
        <f t="array" aca="1" ref="C10" ca="1">INDIRECT("'Synthèse'!$B" &amp; ROW()-1)</f>
        <v>COSEC</v>
      </c>
      <c r="D10" s="547">
        <f>Synthèse!C9</f>
        <v>731</v>
      </c>
      <c r="E10" s="548">
        <f ca="1">Synthèse!E9</f>
        <v>0</v>
      </c>
      <c r="F10" s="549">
        <f ca="1">Synthèse!L9</f>
        <v>0</v>
      </c>
      <c r="G10" s="550">
        <f ca="1">Synthèse!M9</f>
        <v>0</v>
      </c>
      <c r="H10" s="551">
        <f ca="1">Synthèse!G9</f>
        <v>0</v>
      </c>
      <c r="I10" s="552">
        <f ca="1">Synthèse!H9</f>
        <v>0</v>
      </c>
      <c r="J10" s="552" cm="1">
        <f t="array" aca="1" ref="J10" ca="1">SUM(IFERROR(F10:I10,0))</f>
        <v>0</v>
      </c>
      <c r="U10" s="539">
        <v>7</v>
      </c>
      <c r="V10" s="540" t="str">
        <f>Synthèse!$B9</f>
        <v>COSEC</v>
      </c>
      <c r="W10" s="553">
        <f>Synthèse!$C9</f>
        <v>731</v>
      </c>
      <c r="X10" s="554">
        <f ca="1">Synthèse!$E9</f>
        <v>0</v>
      </c>
      <c r="Y10" s="555">
        <f t="shared" ca="1" si="0"/>
        <v>0</v>
      </c>
      <c r="Z10" s="544">
        <f t="shared" ca="1" si="0"/>
        <v>0</v>
      </c>
    </row>
    <row r="11" spans="1:26" ht="25.5" thickBot="1" x14ac:dyDescent="0.5">
      <c r="B11" s="545">
        <v>8</v>
      </c>
      <c r="C11" s="546" t="str" cm="1">
        <f t="array" aca="1" ref="C11" ca="1">INDIRECT("'Synthèse'!$B" &amp; ROW()-1)</f>
        <v>COSEC</v>
      </c>
      <c r="D11" s="547">
        <f>Synthèse!C10</f>
        <v>646</v>
      </c>
      <c r="E11" s="548">
        <f ca="1">Synthèse!E10</f>
        <v>0</v>
      </c>
      <c r="F11" s="549">
        <f ca="1">Synthèse!L10</f>
        <v>0</v>
      </c>
      <c r="G11" s="550">
        <f ca="1">Synthèse!M10</f>
        <v>0</v>
      </c>
      <c r="H11" s="551">
        <f ca="1">Synthèse!G10</f>
        <v>0</v>
      </c>
      <c r="I11" s="552">
        <f ca="1">Synthèse!H10</f>
        <v>0</v>
      </c>
      <c r="J11" s="552" cm="1">
        <f t="array" aca="1" ref="J11" ca="1">SUM(IFERROR(F11:I11,0))</f>
        <v>0</v>
      </c>
      <c r="U11" s="539">
        <v>8</v>
      </c>
      <c r="V11" s="540" t="str">
        <f>Synthèse!$B10</f>
        <v>COSEC</v>
      </c>
      <c r="W11" s="553">
        <f>Synthèse!$C10</f>
        <v>646</v>
      </c>
      <c r="X11" s="554">
        <f ca="1">Synthèse!$E10</f>
        <v>0</v>
      </c>
      <c r="Y11" s="555">
        <f t="shared" ca="1" si="0"/>
        <v>0</v>
      </c>
      <c r="Z11" s="544">
        <f t="shared" ca="1" si="0"/>
        <v>0</v>
      </c>
    </row>
    <row r="12" spans="1:26" ht="24.75" customHeight="1" x14ac:dyDescent="0.45">
      <c r="B12" s="545">
        <v>9</v>
      </c>
      <c r="C12" s="546" t="str" cm="1">
        <f t="array" aca="1" ref="C12" ca="1">INDIRECT("'Synthèse'!$B" &amp; ROW()-1)</f>
        <v>CMM</v>
      </c>
      <c r="D12" s="547">
        <f>Synthèse!C11</f>
        <v>710</v>
      </c>
      <c r="E12" s="548">
        <f ca="1">Synthèse!E11</f>
        <v>0</v>
      </c>
      <c r="F12" s="549">
        <f ca="1">Synthèse!L11</f>
        <v>0</v>
      </c>
      <c r="G12" s="550">
        <f ca="1">Synthèse!M11</f>
        <v>0</v>
      </c>
      <c r="H12" s="551">
        <f ca="1">Synthèse!G11</f>
        <v>0</v>
      </c>
      <c r="I12" s="552">
        <f ca="1">Synthèse!H11</f>
        <v>0</v>
      </c>
      <c r="J12" s="552" cm="1">
        <f t="array" aca="1" ref="J12" ca="1">SUM(IFERROR(F12:I12,0))</f>
        <v>0</v>
      </c>
      <c r="L12" s="909" t="str">
        <f ca="1">IF(J16=0,"Attente",IF(J16=E16,"Dépouillement terminé","Actuellement en tête : "))</f>
        <v>Attente</v>
      </c>
      <c r="M12" s="910"/>
      <c r="N12" s="910"/>
      <c r="O12" s="910"/>
      <c r="P12" s="910"/>
      <c r="Q12" s="910"/>
      <c r="R12" s="911"/>
      <c r="U12" s="539">
        <v>9</v>
      </c>
      <c r="V12" s="540" t="str">
        <f>Synthèse!$B11</f>
        <v>CMM</v>
      </c>
      <c r="W12" s="553">
        <f>Synthèse!$C11</f>
        <v>710</v>
      </c>
      <c r="X12" s="554">
        <f ca="1">Synthèse!$E11</f>
        <v>0</v>
      </c>
      <c r="Y12" s="555">
        <f t="shared" ca="1" si="0"/>
        <v>0</v>
      </c>
      <c r="Z12" s="544">
        <f t="shared" ca="1" si="0"/>
        <v>0</v>
      </c>
    </row>
    <row r="13" spans="1:26" ht="24.75" customHeight="1" x14ac:dyDescent="0.45">
      <c r="B13" s="545">
        <v>10</v>
      </c>
      <c r="C13" s="546" t="str" cm="1">
        <f t="array" aca="1" ref="C13" ca="1">INDIRECT("'Synthèse'!$B" &amp; ROW()-1)</f>
        <v>CMM</v>
      </c>
      <c r="D13" s="547">
        <f>Synthèse!C12</f>
        <v>609</v>
      </c>
      <c r="E13" s="548">
        <f ca="1">Synthèse!E12</f>
        <v>0</v>
      </c>
      <c r="F13" s="549">
        <f ca="1">Synthèse!L12</f>
        <v>0</v>
      </c>
      <c r="G13" s="550">
        <f ca="1">Synthèse!M12</f>
        <v>0</v>
      </c>
      <c r="H13" s="551">
        <f ca="1">Synthèse!G12</f>
        <v>0</v>
      </c>
      <c r="I13" s="552">
        <f ca="1">Synthèse!H12</f>
        <v>0</v>
      </c>
      <c r="J13" s="552" cm="1">
        <f t="array" aca="1" ref="J13" ca="1">SUM(IFERROR(F13:I13,0))</f>
        <v>0</v>
      </c>
      <c r="L13" s="912"/>
      <c r="M13" s="913"/>
      <c r="N13" s="913"/>
      <c r="O13" s="913"/>
      <c r="P13" s="913"/>
      <c r="Q13" s="913"/>
      <c r="R13" s="914"/>
      <c r="U13" s="539">
        <v>10</v>
      </c>
      <c r="V13" s="540" t="str">
        <f>Synthèse!$B12</f>
        <v>CMM</v>
      </c>
      <c r="W13" s="553">
        <f>Synthèse!$C12</f>
        <v>609</v>
      </c>
      <c r="X13" s="554">
        <f ca="1">Synthèse!$E12</f>
        <v>0</v>
      </c>
      <c r="Y13" s="555">
        <f t="shared" ca="1" si="0"/>
        <v>0</v>
      </c>
      <c r="Z13" s="544">
        <f t="shared" ca="1" si="0"/>
        <v>0</v>
      </c>
    </row>
    <row r="14" spans="1:26" ht="24.75" customHeight="1" x14ac:dyDescent="0.45">
      <c r="B14" s="545">
        <v>11</v>
      </c>
      <c r="C14" s="546" t="str" cm="1">
        <f t="array" aca="1" ref="C14" ca="1">INDIRECT("'Synthèse'!$B" &amp; ROW()-1)</f>
        <v>CMM</v>
      </c>
      <c r="D14" s="547">
        <f>Synthèse!C13</f>
        <v>691</v>
      </c>
      <c r="E14" s="548">
        <f ca="1">Synthèse!E13</f>
        <v>0</v>
      </c>
      <c r="F14" s="549">
        <f ca="1">Synthèse!L13</f>
        <v>0</v>
      </c>
      <c r="G14" s="550">
        <f ca="1">Synthèse!M13</f>
        <v>0</v>
      </c>
      <c r="H14" s="551">
        <f ca="1">Synthèse!G13</f>
        <v>0</v>
      </c>
      <c r="I14" s="552">
        <f ca="1">Synthèse!H13</f>
        <v>0</v>
      </c>
      <c r="J14" s="552" cm="1">
        <f t="array" aca="1" ref="J14" ca="1">SUM(IFERROR(F14:I14,0))</f>
        <v>0</v>
      </c>
      <c r="L14" s="915" t="str" cm="1">
        <f t="array" aca="1" ref="L14" ca="1">IF(J16=0,
   "Les premiers résultats ne sont pas encore arrivés",
   _xlfn.LET(
      _xlpm.leaders,_xlfn._xlws.FILTER(F3:G3,F16:G16=MAX(F16:G16)),
      _xlpm.nb,COUNTIF(F16:G16,MAX(F16:G16)),
      IF(_xlpm.nb=1,
         _xlfn.TEXTJOIN("",TRUE,_xlpm.leaders),
         _xlfn.TEXTJOIN(" et ",TRUE,_xlpm.leaders)&amp;" à égalité"
      )
   )
)</f>
        <v>Les premiers résultats ne sont pas encore arrivés</v>
      </c>
      <c r="M14" s="916"/>
      <c r="N14" s="916"/>
      <c r="O14" s="916"/>
      <c r="P14" s="916"/>
      <c r="Q14" s="916"/>
      <c r="R14" s="917"/>
      <c r="U14" s="539">
        <v>11</v>
      </c>
      <c r="V14" s="540" t="str">
        <f>Synthèse!$B13</f>
        <v>CMM</v>
      </c>
      <c r="W14" s="553">
        <f>Synthèse!$C13</f>
        <v>691</v>
      </c>
      <c r="X14" s="554">
        <f ca="1">Synthèse!$E13</f>
        <v>0</v>
      </c>
      <c r="Y14" s="555">
        <f t="shared" ca="1" si="0"/>
        <v>0</v>
      </c>
      <c r="Z14" s="544">
        <f t="shared" ca="1" si="0"/>
        <v>0</v>
      </c>
    </row>
    <row r="15" spans="1:26" ht="28.5" customHeight="1" thickBot="1" x14ac:dyDescent="0.5">
      <c r="B15" s="556">
        <v>12</v>
      </c>
      <c r="C15" s="557" t="str" cm="1">
        <f t="array" aca="1" ref="C15" ca="1">INDIRECT("'Synthèse'!$B" &amp; ROW()-1)</f>
        <v>Base nautique</v>
      </c>
      <c r="D15" s="558">
        <f>Synthèse!C14</f>
        <v>681</v>
      </c>
      <c r="E15" s="559">
        <f ca="1">Synthèse!E14</f>
        <v>0</v>
      </c>
      <c r="F15" s="549">
        <f ca="1">Synthèse!L14</f>
        <v>0</v>
      </c>
      <c r="G15" s="550">
        <f ca="1">Synthèse!M14</f>
        <v>0</v>
      </c>
      <c r="H15" s="560">
        <f ca="1">Synthèse!G14</f>
        <v>0</v>
      </c>
      <c r="I15" s="561">
        <f ca="1">Synthèse!H14</f>
        <v>0</v>
      </c>
      <c r="J15" s="561" cm="1">
        <f t="array" aca="1" ref="J15" ca="1">SUM(IFERROR(F15:I15,0))</f>
        <v>0</v>
      </c>
      <c r="L15" s="915"/>
      <c r="M15" s="916"/>
      <c r="N15" s="916"/>
      <c r="O15" s="916"/>
      <c r="P15" s="916"/>
      <c r="Q15" s="916"/>
      <c r="R15" s="917"/>
      <c r="U15" s="632">
        <v>12</v>
      </c>
      <c r="V15" s="635" t="str">
        <f>Synthèse!$B14</f>
        <v>Base nautique</v>
      </c>
      <c r="W15" s="562">
        <f>Synthèse!$C14</f>
        <v>681</v>
      </c>
      <c r="X15" s="563">
        <f ca="1">Synthèse!$E14</f>
        <v>0</v>
      </c>
      <c r="Y15" s="564">
        <f t="shared" ca="1" si="0"/>
        <v>0</v>
      </c>
      <c r="Z15" s="565">
        <f t="shared" ca="1" si="0"/>
        <v>0</v>
      </c>
    </row>
    <row r="16" spans="1:26" ht="52.5" customHeight="1" thickBot="1" x14ac:dyDescent="0.35">
      <c r="B16" s="905" t="s">
        <v>16</v>
      </c>
      <c r="C16" s="906"/>
      <c r="D16" s="566">
        <f>Synthèse!C15</f>
        <v>8165</v>
      </c>
      <c r="E16" s="567">
        <f ca="1">Synthèse!E15</f>
        <v>0</v>
      </c>
      <c r="F16" s="568">
        <f ca="1">Synthèse!L15</f>
        <v>0</v>
      </c>
      <c r="G16" s="569">
        <f ca="1">Synthèse!M15</f>
        <v>0</v>
      </c>
      <c r="H16" s="636">
        <f ca="1">Synthèse!G15</f>
        <v>0</v>
      </c>
      <c r="I16" s="637">
        <f ca="1">Synthèse!H15</f>
        <v>0</v>
      </c>
      <c r="J16" s="629" cm="1">
        <f t="array" aca="1" ref="J16" ca="1">SUM(IFERROR(F16:I16,0))</f>
        <v>0</v>
      </c>
      <c r="L16" s="915"/>
      <c r="M16" s="916"/>
      <c r="N16" s="916"/>
      <c r="O16" s="916"/>
      <c r="P16" s="916"/>
      <c r="Q16" s="916"/>
      <c r="R16" s="917"/>
      <c r="S16" s="633"/>
      <c r="T16" s="633"/>
      <c r="U16" s="907" t="s">
        <v>16</v>
      </c>
      <c r="V16" s="908"/>
      <c r="W16" s="570">
        <f>Synthèse!$C15</f>
        <v>8165</v>
      </c>
      <c r="X16" s="571">
        <f ca="1">Synthèse!$E15</f>
        <v>0</v>
      </c>
      <c r="Y16" s="572">
        <f t="shared" ca="1" si="0"/>
        <v>0</v>
      </c>
      <c r="Z16" s="573">
        <f t="shared" ca="1" si="0"/>
        <v>0</v>
      </c>
    </row>
    <row r="17" spans="2:30" ht="52.5" customHeight="1" thickBot="1" x14ac:dyDescent="0.35">
      <c r="B17" s="876" t="s">
        <v>10</v>
      </c>
      <c r="C17" s="877"/>
      <c r="D17" s="589" t="s">
        <v>6</v>
      </c>
      <c r="E17" s="574">
        <f ca="1">E16/D16</f>
        <v>0</v>
      </c>
      <c r="F17" s="575">
        <f ca="1">Synthèse!L16</f>
        <v>0</v>
      </c>
      <c r="G17" s="576">
        <f ca="1">Synthèse!M16</f>
        <v>0</v>
      </c>
      <c r="H17" s="638">
        <f ca="1">Synthèse!G16</f>
        <v>0</v>
      </c>
      <c r="I17" s="639">
        <f ca="1">Synthèse!H16</f>
        <v>0</v>
      </c>
      <c r="J17" s="719">
        <f ca="1">IFERROR(J16/E16,0)</f>
        <v>0</v>
      </c>
      <c r="L17" s="891" t="str">
        <f ca="1">"avec " &amp; MAX(F16:G16) &amp; " voix" &amp; " (" &amp; TEXT(MAX(F17:G17),"0,00%") &amp; " S.E.)"</f>
        <v>avec 0 voix (0,00% S.E.)</v>
      </c>
      <c r="M17" s="892"/>
      <c r="N17" s="892"/>
      <c r="O17" s="892"/>
      <c r="P17" s="892"/>
      <c r="Q17" s="892"/>
      <c r="R17" s="893"/>
      <c r="S17" s="634"/>
      <c r="T17" s="634"/>
      <c r="U17" s="634"/>
      <c r="V17" s="578"/>
      <c r="W17" s="579"/>
      <c r="X17" s="579"/>
      <c r="Y17" s="580"/>
      <c r="Z17" s="581"/>
      <c r="AA17" s="577"/>
      <c r="AB17" s="577"/>
      <c r="AC17" s="582"/>
      <c r="AD17" s="583"/>
    </row>
    <row r="18" spans="2:30" ht="16.5" thickBot="1" x14ac:dyDescent="0.35"/>
    <row r="19" spans="2:30" ht="39" customHeight="1" x14ac:dyDescent="0.3">
      <c r="B19" s="884" t="s">
        <v>169</v>
      </c>
      <c r="C19" s="885"/>
      <c r="D19" s="885" t="s">
        <v>176</v>
      </c>
      <c r="E19" s="888"/>
      <c r="F19" s="667">
        <f ca="1">Sièges!N2</f>
        <v>0</v>
      </c>
      <c r="G19" s="668">
        <f ca="1">Sièges!N3</f>
        <v>0</v>
      </c>
      <c r="H19" s="735" t="str">
        <f ca="1">Sièges!N4 &amp; "/" &amp; Sièges!A8</f>
        <v>0/33</v>
      </c>
      <c r="J19" s="664"/>
    </row>
    <row r="20" spans="2:30" ht="44.25" customHeight="1" thickBot="1" x14ac:dyDescent="0.35">
      <c r="B20" s="886"/>
      <c r="C20" s="887"/>
      <c r="D20" s="887" t="s">
        <v>177</v>
      </c>
      <c r="E20" s="889"/>
      <c r="F20" s="669">
        <f ca="1">Sièges!O2</f>
        <v>0</v>
      </c>
      <c r="G20" s="670">
        <f ca="1">Sièges!O3</f>
        <v>0</v>
      </c>
      <c r="H20" s="736" t="str">
        <f ca="1">Sièges!O4 &amp; "/" &amp; Sièges!B8</f>
        <v>0/9</v>
      </c>
      <c r="J20" s="664"/>
      <c r="O20" s="640"/>
      <c r="P20" s="640"/>
      <c r="Q20" s="640"/>
      <c r="R20" s="640"/>
      <c r="S20" s="640"/>
    </row>
    <row r="21" spans="2:30" ht="24" customHeight="1" thickBot="1" x14ac:dyDescent="0.35"/>
    <row r="22" spans="2:30" ht="30" customHeight="1" x14ac:dyDescent="0.3">
      <c r="M22" s="731" t="str">
        <f>Synthèse!$A$17</f>
        <v>Date</v>
      </c>
      <c r="N22" s="894">
        <f>Synthèse!$B$17</f>
        <v>46103</v>
      </c>
      <c r="O22" s="895"/>
      <c r="P22" s="895"/>
      <c r="Q22" s="896"/>
      <c r="W22" s="720" t="str">
        <f>Synthèse!$A$17</f>
        <v>Date</v>
      </c>
      <c r="X22" s="878">
        <f>Synthèse!$B$17</f>
        <v>46103</v>
      </c>
      <c r="Y22" s="879"/>
    </row>
    <row r="23" spans="2:30" ht="30" customHeight="1" x14ac:dyDescent="0.3">
      <c r="M23" s="732" t="str">
        <f>Synthèse!$A$18</f>
        <v>Election</v>
      </c>
      <c r="N23" s="882" t="str">
        <f>Synthèse!$B$18</f>
        <v>Municipale</v>
      </c>
      <c r="O23" s="897"/>
      <c r="P23" s="897"/>
      <c r="Q23" s="883"/>
      <c r="W23" s="721" t="str">
        <f>Synthèse!$A$18</f>
        <v>Election</v>
      </c>
      <c r="X23" s="880" t="str">
        <f>Synthèse!$B$18</f>
        <v>Municipale</v>
      </c>
      <c r="Y23" s="881"/>
    </row>
    <row r="24" spans="2:30" ht="30" customHeight="1" x14ac:dyDescent="0.3">
      <c r="M24" s="733" t="str">
        <f>Synthèse!$A$19</f>
        <v>Tour</v>
      </c>
      <c r="N24" s="882">
        <f>Synthèse!$B$19</f>
        <v>2</v>
      </c>
      <c r="O24" s="897"/>
      <c r="P24" s="897"/>
      <c r="Q24" s="883"/>
      <c r="W24" s="722" t="str">
        <f>Synthèse!$A$19</f>
        <v>Tour</v>
      </c>
      <c r="X24" s="882">
        <f>Synthèse!$B$19</f>
        <v>2</v>
      </c>
      <c r="Y24" s="883"/>
    </row>
    <row r="25" spans="2:30" ht="30" customHeight="1" thickBot="1" x14ac:dyDescent="0.35">
      <c r="M25" s="734" t="str">
        <f>Synthèse!$A$20</f>
        <v>Ville</v>
      </c>
      <c r="N25" s="870" t="str">
        <f>Synthèse!$B$20</f>
        <v>Cogolin</v>
      </c>
      <c r="O25" s="871"/>
      <c r="P25" s="871"/>
      <c r="Q25" s="872"/>
      <c r="W25" s="723" t="str">
        <f>Synthèse!$A$20</f>
        <v>Ville</v>
      </c>
      <c r="X25" s="870" t="str">
        <f>Synthèse!$B$20</f>
        <v>Cogolin</v>
      </c>
      <c r="Y25" s="872"/>
    </row>
    <row r="27" spans="2:30" ht="15.75" customHeight="1" x14ac:dyDescent="0.3">
      <c r="L27" s="874" t="s">
        <v>114</v>
      </c>
      <c r="M27" s="874"/>
      <c r="N27" s="874"/>
      <c r="O27" s="874"/>
      <c r="P27" s="874"/>
      <c r="Q27" s="874"/>
      <c r="R27" s="874"/>
      <c r="W27" s="890" t="s">
        <v>174</v>
      </c>
      <c r="X27" s="890"/>
      <c r="Y27" s="890"/>
    </row>
    <row r="28" spans="2:30" ht="27.75" customHeight="1" x14ac:dyDescent="0.3">
      <c r="L28" s="874"/>
      <c r="M28" s="874"/>
      <c r="N28" s="874"/>
      <c r="O28" s="874"/>
      <c r="P28" s="874"/>
      <c r="Q28" s="874"/>
      <c r="R28" s="874"/>
      <c r="W28" s="890"/>
      <c r="X28" s="890"/>
      <c r="Y28" s="890"/>
    </row>
    <row r="29" spans="2:30" ht="109.5" x14ac:dyDescent="0.3">
      <c r="L29" s="875">
        <f ca="1">NOW()</f>
        <v>46100.507522800923</v>
      </c>
      <c r="M29" s="875"/>
      <c r="N29" s="875"/>
      <c r="O29" s="875"/>
      <c r="P29" s="875"/>
      <c r="Q29" s="875"/>
      <c r="R29" s="875"/>
      <c r="W29" s="873">
        <f ca="1">NOW()</f>
        <v>46100.507522800923</v>
      </c>
      <c r="X29" s="873"/>
      <c r="Y29" s="873"/>
    </row>
    <row r="30" spans="2:30" ht="15.75" customHeight="1" x14ac:dyDescent="0.3">
      <c r="W30" s="657"/>
      <c r="X30" s="657"/>
      <c r="Y30" s="657"/>
    </row>
    <row r="31" spans="2:30" ht="16.5" customHeight="1" x14ac:dyDescent="0.3">
      <c r="W31" s="724"/>
      <c r="X31" s="724"/>
      <c r="Y31" s="724"/>
    </row>
    <row r="37" spans="4:4" x14ac:dyDescent="0.3">
      <c r="D37" s="585"/>
    </row>
    <row r="44" spans="4:4" ht="36.6" customHeight="1" x14ac:dyDescent="0.3"/>
    <row r="53" spans="1:6" ht="24.75" x14ac:dyDescent="0.45">
      <c r="A53" s="584"/>
      <c r="B53" s="584"/>
      <c r="C53" s="584"/>
      <c r="D53" s="584"/>
      <c r="E53" s="584"/>
      <c r="F53" s="584"/>
    </row>
    <row r="54" spans="1:6" ht="24.75" x14ac:dyDescent="0.45">
      <c r="A54" s="584"/>
      <c r="B54" s="584"/>
      <c r="C54" s="584"/>
      <c r="D54" s="584"/>
      <c r="E54" s="584"/>
      <c r="F54" s="584"/>
    </row>
    <row r="55" spans="1:6" ht="24.75" x14ac:dyDescent="0.45">
      <c r="A55" s="584"/>
      <c r="B55" s="584"/>
      <c r="C55" s="584" t="s">
        <v>111</v>
      </c>
      <c r="D55" s="584"/>
      <c r="E55" s="584"/>
      <c r="F55" s="584"/>
    </row>
    <row r="56" spans="1:6" ht="24.75" x14ac:dyDescent="0.45">
      <c r="A56" s="584"/>
      <c r="B56" s="584"/>
      <c r="C56" s="584" t="s">
        <v>105</v>
      </c>
      <c r="D56" s="584"/>
      <c r="E56" s="584" t="s">
        <v>106</v>
      </c>
      <c r="F56" s="584"/>
    </row>
    <row r="57" spans="1:6" ht="24.75" x14ac:dyDescent="0.45">
      <c r="A57" s="584"/>
      <c r="B57" s="584"/>
      <c r="C57" s="584" t="s">
        <v>107</v>
      </c>
      <c r="D57" s="584"/>
      <c r="E57" s="584"/>
      <c r="F57" s="584"/>
    </row>
    <row r="58" spans="1:6" ht="24.75" x14ac:dyDescent="0.45">
      <c r="A58" s="584"/>
      <c r="B58" s="584"/>
      <c r="C58" s="584" t="s">
        <v>108</v>
      </c>
      <c r="D58" s="584"/>
      <c r="E58" s="584"/>
      <c r="F58" s="584"/>
    </row>
    <row r="59" spans="1:6" ht="24.75" x14ac:dyDescent="0.45">
      <c r="A59" s="584"/>
      <c r="B59" s="584"/>
      <c r="C59" s="584" t="s">
        <v>109</v>
      </c>
      <c r="D59" s="584"/>
      <c r="E59" s="584"/>
      <c r="F59" s="584"/>
    </row>
    <row r="60" spans="1:6" ht="24.75" x14ac:dyDescent="0.45">
      <c r="A60" s="584"/>
      <c r="B60" s="584"/>
      <c r="C60" s="584" t="s">
        <v>110</v>
      </c>
      <c r="D60" s="584"/>
      <c r="E60" s="584"/>
      <c r="F60" s="584"/>
    </row>
    <row r="61" spans="1:6" ht="24.75" x14ac:dyDescent="0.45">
      <c r="A61" s="584"/>
      <c r="B61" s="584"/>
      <c r="C61" s="584" t="s">
        <v>112</v>
      </c>
      <c r="D61" s="584"/>
      <c r="E61" s="584"/>
      <c r="F61" s="584"/>
    </row>
    <row r="62" spans="1:6" ht="24.75" x14ac:dyDescent="0.45">
      <c r="A62" s="584"/>
      <c r="B62" s="584"/>
      <c r="C62" s="584" t="s">
        <v>113</v>
      </c>
      <c r="D62" s="584"/>
      <c r="E62" s="584"/>
      <c r="F62" s="584"/>
    </row>
    <row r="63" spans="1:6" ht="24.75" x14ac:dyDescent="0.45">
      <c r="A63" s="584"/>
      <c r="B63" s="584"/>
      <c r="C63" s="584"/>
      <c r="D63" s="584"/>
      <c r="E63" s="584"/>
      <c r="F63" s="584"/>
    </row>
  </sheetData>
  <sheetProtection algorithmName="SHA-512" hashValue="3WWOV0Ve0u+7c8lUsJ4nJexXmkoj4oosuz+K7MUTS2WFzpMXQXIj08Y2jRb3NeY+dwOSxcRXoHu0dgZVA03CBg==" saltValue="ou7ef+XoK8s+EmXB4Zju/Q==" spinCount="100000" sheet="1" objects="1" scenarios="1"/>
  <mergeCells count="24">
    <mergeCell ref="N24:Q24"/>
    <mergeCell ref="U3:V3"/>
    <mergeCell ref="X3:Z3"/>
    <mergeCell ref="B3:C3"/>
    <mergeCell ref="B16:C16"/>
    <mergeCell ref="U16:V16"/>
    <mergeCell ref="L12:R13"/>
    <mergeCell ref="L14:R16"/>
    <mergeCell ref="N25:Q25"/>
    <mergeCell ref="W29:Y29"/>
    <mergeCell ref="L27:R28"/>
    <mergeCell ref="L29:R29"/>
    <mergeCell ref="B17:C17"/>
    <mergeCell ref="X22:Y22"/>
    <mergeCell ref="X23:Y23"/>
    <mergeCell ref="X24:Y24"/>
    <mergeCell ref="B19:C20"/>
    <mergeCell ref="X25:Y25"/>
    <mergeCell ref="D19:E19"/>
    <mergeCell ref="D20:E20"/>
    <mergeCell ref="W27:Y28"/>
    <mergeCell ref="L17:R17"/>
    <mergeCell ref="N22:Q22"/>
    <mergeCell ref="N23:Q23"/>
  </mergeCells>
  <conditionalFormatting sqref="F4:J17">
    <cfRule type="cellIs" dxfId="445" priority="23" operator="lessThan">
      <formula>0</formula>
    </cfRule>
  </conditionalFormatting>
  <conditionalFormatting sqref="Z4:Z15">
    <cfRule type="dataBar" priority="19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{59EB3AB6-2D14-453F-AA52-A2563E1D2441}</x14:id>
        </ext>
      </extLst>
    </cfRule>
  </conditionalFormatting>
  <conditionalFormatting sqref="Z16:Z17">
    <cfRule type="dataBar" priority="20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{FF1F790B-82C7-4213-8230-EE830E6EB4BF}</x14:id>
        </ext>
      </extLst>
    </cfRule>
  </conditionalFormatting>
  <conditionalFormatting sqref="E17:J17">
    <cfRule type="cellIs" dxfId="444" priority="10" operator="equal">
      <formula>1</formula>
    </cfRule>
    <cfRule type="cellIs" dxfId="443" priority="14" operator="greaterThan">
      <formula>1</formula>
    </cfRule>
  </conditionalFormatting>
  <conditionalFormatting sqref="J4:J16">
    <cfRule type="cellIs" dxfId="442" priority="9" operator="equal">
      <formula>$E4</formula>
    </cfRule>
    <cfRule type="cellIs" dxfId="441" priority="13" operator="greaterThan">
      <formula>$E4</formula>
    </cfRule>
  </conditionalFormatting>
  <conditionalFormatting sqref="J17">
    <cfRule type="dataBar" priority="7">
      <dataBar>
        <cfvo type="num" val="0"/>
        <cfvo type="num" val="1"/>
        <color rgb="FFC4D7EE"/>
      </dataBar>
      <extLst>
        <ext xmlns:x14="http://schemas.microsoft.com/office/spreadsheetml/2009/9/main" uri="{B025F937-C7B1-47D3-B67F-A62EFF666E3E}">
          <x14:id>{AB3B3196-224A-48FB-B2F0-B9FB819CDEE9}</x14:id>
        </ext>
      </extLst>
    </cfRule>
  </conditionalFormatting>
  <conditionalFormatting sqref="E4:J16">
    <cfRule type="cellIs" dxfId="440" priority="8" operator="equal">
      <formula>0</formula>
    </cfRule>
  </conditionalFormatting>
  <conditionalFormatting sqref="Y4:Y16">
    <cfRule type="cellIs" dxfId="439" priority="4" operator="greaterThan">
      <formula>1</formula>
    </cfRule>
  </conditionalFormatting>
  <conditionalFormatting sqref="X4:X16">
    <cfRule type="cellIs" dxfId="438" priority="3" operator="greaterThan">
      <formula>$W4</formula>
    </cfRule>
  </conditionalFormatting>
  <conditionalFormatting sqref="F17:G17">
    <cfRule type="cellIs" dxfId="437" priority="2" operator="lessThan">
      <formula>0.05</formula>
    </cfRule>
  </conditionalFormatting>
  <conditionalFormatting sqref="D19:G20">
    <cfRule type="cellIs" dxfId="436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EB3AB6-2D14-453F-AA52-A2563E1D244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Z4:Z15</xm:sqref>
        </x14:conditionalFormatting>
        <x14:conditionalFormatting xmlns:xm="http://schemas.microsoft.com/office/excel/2006/main">
          <x14:cfRule type="dataBar" id="{FF1F790B-82C7-4213-8230-EE830E6EB4B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Z16:Z17</xm:sqref>
        </x14:conditionalFormatting>
        <x14:conditionalFormatting xmlns:xm="http://schemas.microsoft.com/office/excel/2006/main">
          <x14:cfRule type="dataBar" id="{AB3B3196-224A-48FB-B2F0-B9FB819CDE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J17</xm:sqref>
        </x14:conditionalFormatting>
        <x14:conditionalFormatting xmlns:xm="http://schemas.microsoft.com/office/excel/2006/main">
          <x14:cfRule type="expression" priority="717" id="{356FAF7C-971A-4128-B82E-353FA0EDFA9F}">
            <xm:f>Sièges!$N$4&lt;&gt;Sièges!$A$8</xm:f>
            <x14:dxf>
              <fill>
                <patternFill>
                  <bgColor theme="5" tint="0.79998168889431442"/>
                </patternFill>
              </fill>
            </x14:dxf>
          </x14:cfRule>
          <xm:sqref>F19:H19</xm:sqref>
        </x14:conditionalFormatting>
        <x14:conditionalFormatting xmlns:xm="http://schemas.microsoft.com/office/excel/2006/main">
          <x14:cfRule type="expression" priority="718" id="{6B7593B4-4637-4548-BDB7-1DB5752DCB6F}">
            <xm:f>Sièges!$O$4&lt;&gt;Sièges!$B$8</xm:f>
            <x14:dxf>
              <fill>
                <patternFill>
                  <bgColor theme="5" tint="0.79998168889431442"/>
                </patternFill>
              </fill>
            </x14:dxf>
          </x14:cfRule>
          <xm:sqref>F20:H20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E1C1D1"/>
  </sheetPr>
  <dimension ref="A1:AB84"/>
  <sheetViews>
    <sheetView topLeftCell="B10" zoomScale="74" workbookViewId="0">
      <selection activeCell="Q16" sqref="Q16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30" t="s">
        <v>11</v>
      </c>
      <c r="B1" s="335">
        <f>Synthèse!$B$17</f>
        <v>46103</v>
      </c>
      <c r="D1" s="224"/>
      <c r="E1" s="921" t="s">
        <v>65</v>
      </c>
      <c r="F1" s="922"/>
      <c r="G1" s="922"/>
      <c r="H1" s="922"/>
      <c r="I1" s="922"/>
      <c r="J1" s="922"/>
      <c r="K1" s="922"/>
      <c r="L1" s="922"/>
      <c r="M1" s="922"/>
      <c r="N1" s="922"/>
      <c r="O1" s="922"/>
      <c r="P1" s="923"/>
      <c r="Q1" s="298" t="s">
        <v>7</v>
      </c>
      <c r="T1" s="339"/>
    </row>
    <row r="2" spans="1:28" ht="39.75" customHeight="1" thickBot="1" x14ac:dyDescent="0.25">
      <c r="A2" s="331" t="s">
        <v>12</v>
      </c>
      <c r="B2" s="336" t="str">
        <f>Synthèse!$B$18</f>
        <v>Municipale</v>
      </c>
      <c r="D2" s="261" t="s">
        <v>80</v>
      </c>
      <c r="E2" s="303" t="s">
        <v>67</v>
      </c>
      <c r="F2" s="307" t="s">
        <v>97</v>
      </c>
      <c r="G2" s="302" t="s">
        <v>68</v>
      </c>
      <c r="H2" s="305" t="s">
        <v>69</v>
      </c>
      <c r="I2" s="306" t="s">
        <v>70</v>
      </c>
      <c r="J2" s="304" t="s">
        <v>71</v>
      </c>
      <c r="K2" s="308" t="s">
        <v>72</v>
      </c>
      <c r="L2" s="299" t="s">
        <v>73</v>
      </c>
      <c r="M2" s="302" t="s">
        <v>74</v>
      </c>
      <c r="N2" s="309" t="s">
        <v>75</v>
      </c>
      <c r="O2" s="262" t="s">
        <v>3</v>
      </c>
      <c r="P2" s="263" t="s">
        <v>4</v>
      </c>
      <c r="Q2" s="296" t="s">
        <v>102</v>
      </c>
      <c r="T2" s="339"/>
      <c r="V2" s="273" t="s">
        <v>21</v>
      </c>
      <c r="W2" s="274" t="s">
        <v>56</v>
      </c>
      <c r="X2" s="275" t="s">
        <v>30</v>
      </c>
      <c r="Z2" s="276" t="s">
        <v>58</v>
      </c>
      <c r="AA2" s="276" t="s">
        <v>57</v>
      </c>
    </row>
    <row r="3" spans="1:28" ht="20.100000000000001" customHeight="1" thickBot="1" x14ac:dyDescent="0.25">
      <c r="A3" s="332" t="s">
        <v>13</v>
      </c>
      <c r="B3" s="337" t="str">
        <f>Synthèse!$B$20</f>
        <v>Cogolin</v>
      </c>
      <c r="D3" s="258" cm="1">
        <f t="array" ref="D3">IF(ROW(1:1)&lt;=$K$23, (ROW(1:1)), "")</f>
        <v>1</v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12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12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12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12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12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12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12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26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27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28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225">
        <f t="shared" ref="Q3:Q13" si="0">SUM(E3:P3)</f>
        <v>100</v>
      </c>
      <c r="T3" s="339"/>
      <c r="V3" s="249" t="s">
        <v>31</v>
      </c>
      <c r="W3" s="250">
        <v>0</v>
      </c>
      <c r="X3" s="251">
        <f>W3/$B$6</f>
        <v>0</v>
      </c>
      <c r="Z3" s="237"/>
      <c r="AA3" s="237"/>
    </row>
    <row r="4" spans="1:28" ht="20.100000000000001" customHeight="1" x14ac:dyDescent="0.2">
      <c r="A4" s="64" t="s">
        <v>22</v>
      </c>
      <c r="B4" s="342">
        <v>0</v>
      </c>
      <c r="D4" s="259" cm="1">
        <f t="array" ref="D4">IF(ROW(2:2)&lt;=$K$23, (ROW(2:2)), "")</f>
        <v>2</v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13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13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13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13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13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13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13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13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14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15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225">
        <f t="shared" si="0"/>
        <v>100</v>
      </c>
      <c r="T4" s="339"/>
      <c r="V4" s="252" t="s">
        <v>32</v>
      </c>
      <c r="W4" s="253">
        <v>60</v>
      </c>
      <c r="X4" s="254">
        <f t="shared" ref="X4:X12" si="1">IF(OR(W4=0, W4=""), NA(), W4/$B$6)</f>
        <v>0.11857707509881422</v>
      </c>
      <c r="Z4" s="232" t="s">
        <v>44</v>
      </c>
      <c r="AA4" s="277">
        <f t="shared" ref="AA4:AA13" si="2">IF(W4&lt;&gt;0,W4-W3,NA())</f>
        <v>60</v>
      </c>
    </row>
    <row r="5" spans="1:28" ht="20.100000000000001" customHeight="1" x14ac:dyDescent="0.2">
      <c r="A5" s="65" t="s">
        <v>23</v>
      </c>
      <c r="B5" s="343" t="s">
        <v>94</v>
      </c>
      <c r="D5" s="259" cm="1">
        <f t="array" ref="D5">IF(ROW(3:3)&lt;=$K$23, (ROW(3:3)), "")</f>
        <v>3</v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13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13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13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13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13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13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13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13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29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30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225">
        <f t="shared" si="0"/>
        <v>100</v>
      </c>
      <c r="T5" s="340"/>
      <c r="U5" s="185"/>
      <c r="V5" s="252" t="s">
        <v>33</v>
      </c>
      <c r="W5" s="253">
        <v>118</v>
      </c>
      <c r="X5" s="254">
        <f t="shared" si="1"/>
        <v>0.233201581027668</v>
      </c>
      <c r="Z5" s="233" t="s">
        <v>45</v>
      </c>
      <c r="AA5" s="278">
        <f t="shared" si="2"/>
        <v>58</v>
      </c>
    </row>
    <row r="6" spans="1:28" ht="20.100000000000001" customHeight="1" x14ac:dyDescent="0.2">
      <c r="A6" s="65" t="s">
        <v>0</v>
      </c>
      <c r="B6" s="143">
        <v>506</v>
      </c>
      <c r="D6" s="259" cm="1">
        <f t="array" ref="D6">IF(ROW(4:4)&lt;=$K$23, (ROW(4:4)), "")</f>
        <v>4</v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13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13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13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13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13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13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13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13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29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30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225">
        <f t="shared" si="0"/>
        <v>100</v>
      </c>
      <c r="T6" s="340"/>
      <c r="U6" s="185"/>
      <c r="V6" s="252" t="s">
        <v>34</v>
      </c>
      <c r="W6" s="253">
        <v>179</v>
      </c>
      <c r="X6" s="254">
        <f t="shared" si="1"/>
        <v>0.35375494071146246</v>
      </c>
      <c r="Z6" s="233" t="s">
        <v>46</v>
      </c>
      <c r="AA6" s="278">
        <f t="shared" si="2"/>
        <v>61</v>
      </c>
    </row>
    <row r="7" spans="1:28" ht="20.100000000000001" customHeight="1" x14ac:dyDescent="0.2">
      <c r="A7" s="65" t="s">
        <v>2</v>
      </c>
      <c r="B7" s="122">
        <f>MAX(W4:W15)</f>
        <v>440</v>
      </c>
      <c r="D7" s="259" cm="1">
        <f t="array" ref="D7">IF(ROW(5:5)&lt;=$K$23, (ROW(5:5)), "")</f>
        <v>5</v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13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13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13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13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13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13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13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13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14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15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225">
        <f t="shared" si="0"/>
        <v>40</v>
      </c>
      <c r="T7" s="340"/>
      <c r="U7" s="185"/>
      <c r="V7" s="252" t="s">
        <v>35</v>
      </c>
      <c r="W7" s="253">
        <v>235</v>
      </c>
      <c r="X7" s="254">
        <f t="shared" si="1"/>
        <v>0.46442687747035571</v>
      </c>
      <c r="Z7" s="233" t="s">
        <v>53</v>
      </c>
      <c r="AA7" s="278">
        <f t="shared" si="2"/>
        <v>56</v>
      </c>
    </row>
    <row r="8" spans="1:28" ht="20.100000000000001" customHeight="1" x14ac:dyDescent="0.2">
      <c r="A8" s="65" t="s">
        <v>1</v>
      </c>
      <c r="B8" s="123">
        <f>B7</f>
        <v>440</v>
      </c>
      <c r="D8" s="259" t="str" cm="1">
        <f t="array" ref="D8">IF(ROW(6:6)&lt;=$K$23,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3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3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3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3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3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3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3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13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14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15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225">
        <f t="shared" si="0"/>
        <v>0</v>
      </c>
      <c r="T8" s="340"/>
      <c r="U8" s="185"/>
      <c r="V8" s="252" t="s">
        <v>36</v>
      </c>
      <c r="W8" s="253">
        <v>283</v>
      </c>
      <c r="X8" s="254">
        <f t="shared" si="1"/>
        <v>0.55928853754940711</v>
      </c>
      <c r="Z8" s="233" t="s">
        <v>47</v>
      </c>
      <c r="AA8" s="278">
        <f t="shared" si="2"/>
        <v>48</v>
      </c>
    </row>
    <row r="9" spans="1:28" ht="20.100000000000001" customHeight="1" thickBot="1" x14ac:dyDescent="0.25">
      <c r="A9" s="66" t="s">
        <v>17</v>
      </c>
      <c r="B9" s="124">
        <f>B6-B7</f>
        <v>66</v>
      </c>
      <c r="D9" s="259" t="str" cm="1">
        <f t="array" ref="D9">IF(ROW(7:7)&lt;=$K$23,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3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3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3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3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3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3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13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1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17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225">
        <f t="shared" si="0"/>
        <v>0</v>
      </c>
      <c r="T9" s="340"/>
      <c r="U9" s="185"/>
      <c r="V9" s="252" t="s">
        <v>37</v>
      </c>
      <c r="W9" s="253">
        <v>319</v>
      </c>
      <c r="X9" s="254">
        <f t="shared" si="1"/>
        <v>0.63043478260869568</v>
      </c>
      <c r="Z9" s="233" t="s">
        <v>48</v>
      </c>
      <c r="AA9" s="278">
        <f t="shared" si="2"/>
        <v>36</v>
      </c>
    </row>
    <row r="10" spans="1:28" ht="20.100000000000001" customHeight="1" x14ac:dyDescent="0.2">
      <c r="A10" s="924" t="s">
        <v>59</v>
      </c>
      <c r="B10" s="924"/>
      <c r="D10" s="259" t="str" cm="1">
        <f t="array" ref="D10">IF(ROW(8:8)&lt;=$K$23,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3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3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3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3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3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3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13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1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17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225">
        <f t="shared" si="0"/>
        <v>0</v>
      </c>
      <c r="T10" s="340"/>
      <c r="U10" s="185"/>
      <c r="V10" s="252" t="s">
        <v>38</v>
      </c>
      <c r="W10" s="253">
        <v>350</v>
      </c>
      <c r="X10" s="254">
        <f t="shared" si="1"/>
        <v>0.69169960474308301</v>
      </c>
      <c r="Z10" s="233" t="s">
        <v>49</v>
      </c>
      <c r="AA10" s="278">
        <f t="shared" si="2"/>
        <v>31</v>
      </c>
    </row>
    <row r="11" spans="1:28" ht="20.100000000000001" customHeight="1" x14ac:dyDescent="0.2">
      <c r="A11" s="925"/>
      <c r="B11" s="925"/>
      <c r="D11" s="259" t="str" cm="1">
        <f t="array" ref="D11">IF(ROW(9:9)&lt;=$K$23,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3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3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3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3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3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3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13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1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17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225">
        <f t="shared" si="0"/>
        <v>0</v>
      </c>
      <c r="T11" s="340"/>
      <c r="U11" s="185"/>
      <c r="V11" s="252" t="s">
        <v>39</v>
      </c>
      <c r="W11" s="253">
        <v>380</v>
      </c>
      <c r="X11" s="254">
        <f t="shared" si="1"/>
        <v>0.75098814229249011</v>
      </c>
      <c r="Z11" s="233" t="s">
        <v>50</v>
      </c>
      <c r="AA11" s="278">
        <f t="shared" si="2"/>
        <v>30</v>
      </c>
    </row>
    <row r="12" spans="1:28" ht="20.100000000000001" customHeight="1" thickBot="1" x14ac:dyDescent="0.25">
      <c r="A12" s="926" t="s">
        <v>60</v>
      </c>
      <c r="B12" s="926"/>
      <c r="D12" s="260" t="str" cm="1">
        <f t="array" ref="D12">IF(ROW(10:10)&lt;=$K$23,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3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3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3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3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3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13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1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13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31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32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225">
        <f t="shared" si="0"/>
        <v>0</v>
      </c>
      <c r="T12" s="340"/>
      <c r="U12" s="185"/>
      <c r="V12" s="252" t="s">
        <v>40</v>
      </c>
      <c r="W12" s="253">
        <v>399</v>
      </c>
      <c r="X12" s="254">
        <f t="shared" si="1"/>
        <v>0.78853754940711462</v>
      </c>
      <c r="Z12" s="233" t="s">
        <v>51</v>
      </c>
      <c r="AA12" s="278">
        <f t="shared" si="2"/>
        <v>19</v>
      </c>
    </row>
    <row r="13" spans="1:28" ht="20.100000000000001" customHeight="1" thickBot="1" x14ac:dyDescent="0.3">
      <c r="A13" s="926"/>
      <c r="B13" s="926"/>
      <c r="D13" s="34" t="s">
        <v>9</v>
      </c>
      <c r="E13" s="118">
        <f t="shared" ref="E13:P13" si="3">SUM(E3:E12)</f>
        <v>3</v>
      </c>
      <c r="F13" s="119">
        <f t="shared" si="3"/>
        <v>11</v>
      </c>
      <c r="G13" s="119">
        <f t="shared" si="3"/>
        <v>135</v>
      </c>
      <c r="H13" s="119">
        <f t="shared" si="3"/>
        <v>166</v>
      </c>
      <c r="I13" s="119">
        <f t="shared" si="3"/>
        <v>9</v>
      </c>
      <c r="J13" s="119">
        <f t="shared" si="3"/>
        <v>27</v>
      </c>
      <c r="K13" s="119">
        <f t="shared" si="3"/>
        <v>37</v>
      </c>
      <c r="L13" s="119">
        <f t="shared" si="3"/>
        <v>15</v>
      </c>
      <c r="M13" s="119">
        <f t="shared" si="3"/>
        <v>13</v>
      </c>
      <c r="N13" s="119">
        <f t="shared" si="3"/>
        <v>13</v>
      </c>
      <c r="O13" s="120">
        <f t="shared" si="3"/>
        <v>8</v>
      </c>
      <c r="P13" s="121">
        <f t="shared" si="3"/>
        <v>3</v>
      </c>
      <c r="Q13" s="226">
        <f t="shared" si="0"/>
        <v>440</v>
      </c>
      <c r="T13" s="340"/>
      <c r="U13" s="185"/>
      <c r="V13" s="252" t="s">
        <v>41</v>
      </c>
      <c r="W13" s="253">
        <v>440</v>
      </c>
      <c r="X13" s="254">
        <f>IF(OR(W13=0, W13=""), NA(), W13/$B$6)</f>
        <v>0.86956521739130432</v>
      </c>
      <c r="Z13" s="234" t="s">
        <v>52</v>
      </c>
      <c r="AA13" s="279">
        <f t="shared" si="2"/>
        <v>41</v>
      </c>
    </row>
    <row r="14" spans="1:28" ht="20.100000000000001" customHeight="1" thickBot="1" x14ac:dyDescent="0.3">
      <c r="A14" s="926"/>
      <c r="B14" s="926"/>
      <c r="D14" s="59" t="s">
        <v>10</v>
      </c>
      <c r="E14" s="31">
        <f t="shared" ref="E14:Q14" si="4">IFERROR(E13/$B$7,0)</f>
        <v>6.8181818181818179E-3</v>
      </c>
      <c r="F14" s="32">
        <f t="shared" si="4"/>
        <v>2.5000000000000001E-2</v>
      </c>
      <c r="G14" s="32">
        <f t="shared" si="4"/>
        <v>0.30681818181818182</v>
      </c>
      <c r="H14" s="32">
        <f t="shared" si="4"/>
        <v>0.37727272727272726</v>
      </c>
      <c r="I14" s="32">
        <f t="shared" si="4"/>
        <v>2.0454545454545454E-2</v>
      </c>
      <c r="J14" s="32">
        <f t="shared" si="4"/>
        <v>6.1363636363636363E-2</v>
      </c>
      <c r="K14" s="32">
        <f t="shared" si="4"/>
        <v>8.4090909090909091E-2</v>
      </c>
      <c r="L14" s="32">
        <f t="shared" si="4"/>
        <v>3.4090909090909088E-2</v>
      </c>
      <c r="M14" s="32">
        <f t="shared" si="4"/>
        <v>2.9545454545454545E-2</v>
      </c>
      <c r="N14" s="32">
        <f t="shared" si="4"/>
        <v>2.9545454545454545E-2</v>
      </c>
      <c r="O14" s="31">
        <f t="shared" si="4"/>
        <v>1.8181818181818181E-2</v>
      </c>
      <c r="P14" s="33">
        <f t="shared" si="4"/>
        <v>6.8181818181818179E-3</v>
      </c>
      <c r="Q14" s="236">
        <f t="shared" si="4"/>
        <v>1</v>
      </c>
      <c r="T14" s="339"/>
      <c r="V14" s="283" t="s">
        <v>42</v>
      </c>
      <c r="W14" s="255"/>
      <c r="X14" s="256" t="e">
        <f>IF(OR(W14=0, W14=""), NA(), W14/$B$6)</f>
        <v>#N/A</v>
      </c>
      <c r="Y14" s="281"/>
      <c r="Z14" s="285" t="s">
        <v>54</v>
      </c>
      <c r="AA14" s="280" t="e">
        <f>IF(W14&lt;&gt;0,W14-W13,NA())</f>
        <v>#N/A</v>
      </c>
      <c r="AB14" s="281"/>
    </row>
    <row r="15" spans="1:28" ht="18" customHeight="1" thickBot="1" x14ac:dyDescent="0.25">
      <c r="A15" s="927" t="s">
        <v>66</v>
      </c>
      <c r="B15" s="927"/>
      <c r="C15" s="1"/>
      <c r="D15" s="1"/>
      <c r="Q15" s="235"/>
      <c r="T15" s="339"/>
      <c r="V15" s="231" t="s">
        <v>43</v>
      </c>
      <c r="W15" s="257"/>
      <c r="X15" s="282" t="e">
        <f>IF(OR(W15=0, W15=""), NA(), W15/$B$6)</f>
        <v>#N/A</v>
      </c>
      <c r="Z15" s="286" t="s">
        <v>55</v>
      </c>
      <c r="AA15" s="284" t="e">
        <f>IF(W15&lt;&gt;0,W15-W14,NA())</f>
        <v>#N/A</v>
      </c>
      <c r="AB15" s="281"/>
    </row>
    <row r="16" spans="1:28" ht="12.75" customHeight="1" x14ac:dyDescent="0.2">
      <c r="A16" s="927"/>
      <c r="B16" s="927"/>
      <c r="T16" s="339"/>
      <c r="V16" s="235"/>
      <c r="W16" s="235"/>
      <c r="X16" s="235"/>
      <c r="AA16" s="235"/>
    </row>
    <row r="17" spans="1:20" ht="18" customHeight="1" x14ac:dyDescent="0.25">
      <c r="A17" s="927"/>
      <c r="B17" s="927"/>
      <c r="E17" s="184"/>
      <c r="T17" s="339"/>
    </row>
    <row r="18" spans="1:20" ht="26.25" customHeight="1" x14ac:dyDescent="0.2">
      <c r="A18" s="927"/>
      <c r="B18" s="927"/>
      <c r="T18" s="339"/>
    </row>
    <row r="19" spans="1:20" x14ac:dyDescent="0.2">
      <c r="T19" s="339"/>
    </row>
    <row r="20" spans="1:20" x14ac:dyDescent="0.2">
      <c r="T20" s="339"/>
    </row>
    <row r="21" spans="1:20" x14ac:dyDescent="0.2">
      <c r="T21" s="339"/>
    </row>
    <row r="22" spans="1:20" x14ac:dyDescent="0.2">
      <c r="T22" s="339"/>
    </row>
    <row r="23" spans="1:20" x14ac:dyDescent="0.2">
      <c r="H23" s="133" t="s">
        <v>63</v>
      </c>
      <c r="J23" s="198">
        <f>CEILING($B$6, 100)/100</f>
        <v>6</v>
      </c>
      <c r="K23" s="198">
        <f>CEILING($B$7,100)/100</f>
        <v>5</v>
      </c>
      <c r="T23" s="339"/>
    </row>
    <row r="24" spans="1:20" x14ac:dyDescent="0.2">
      <c r="H24" s="134">
        <f>IF((ROW()-23)&lt;=$K$24,(ROW()-23),"Choisir")</f>
        <v>1</v>
      </c>
      <c r="J24" s="198">
        <f>MOD($B$7,100)</f>
        <v>40</v>
      </c>
      <c r="K24" s="199">
        <f>CEILING($B$6/300,1)</f>
        <v>2</v>
      </c>
      <c r="T24" s="339"/>
    </row>
    <row r="25" spans="1:20" x14ac:dyDescent="0.2">
      <c r="H25" s="134">
        <f>IF((ROW()-23)&lt;=$K$24,(ROW()-23),"Choisir")</f>
        <v>2</v>
      </c>
      <c r="T25" s="339"/>
    </row>
    <row r="26" spans="1:20" x14ac:dyDescent="0.2">
      <c r="H26" s="134" t="str">
        <f>IF((ROW()-23)&lt;=$K$24,(ROW()-23),"Choisir")</f>
        <v>Choisir</v>
      </c>
      <c r="T26" s="339"/>
    </row>
    <row r="27" spans="1:20" x14ac:dyDescent="0.2">
      <c r="H27" s="134" t="str">
        <f>IF((ROW()-23)&lt;=$K$24,(ROW()-23),"Choisir")</f>
        <v>Choisir</v>
      </c>
      <c r="T27" s="339"/>
    </row>
    <row r="28" spans="1:20" x14ac:dyDescent="0.2">
      <c r="T28" s="339"/>
    </row>
    <row r="29" spans="1:20" x14ac:dyDescent="0.2">
      <c r="T29" s="339"/>
    </row>
    <row r="30" spans="1:20" x14ac:dyDescent="0.2">
      <c r="T30" s="339"/>
    </row>
    <row r="31" spans="1:20" x14ac:dyDescent="0.2">
      <c r="T31" s="339"/>
    </row>
    <row r="32" spans="1:20" x14ac:dyDescent="0.2">
      <c r="T32" s="339"/>
    </row>
    <row r="33" spans="1:20" x14ac:dyDescent="0.2">
      <c r="T33" s="339"/>
    </row>
    <row r="34" spans="1:20" x14ac:dyDescent="0.2">
      <c r="T34" s="339"/>
    </row>
    <row r="35" spans="1:20" x14ac:dyDescent="0.2">
      <c r="T35" s="339"/>
    </row>
    <row r="36" spans="1:20" x14ac:dyDescent="0.2">
      <c r="T36" s="339"/>
    </row>
    <row r="37" spans="1:20" x14ac:dyDescent="0.2">
      <c r="T37" s="339"/>
    </row>
    <row r="38" spans="1:20" x14ac:dyDescent="0.2">
      <c r="T38" s="339"/>
    </row>
    <row r="39" spans="1:20" x14ac:dyDescent="0.2">
      <c r="T39" s="339"/>
    </row>
    <row r="40" spans="1:20" x14ac:dyDescent="0.2">
      <c r="T40" s="339"/>
    </row>
    <row r="41" spans="1:20" x14ac:dyDescent="0.2">
      <c r="T41" s="339"/>
    </row>
    <row r="42" spans="1:20" x14ac:dyDescent="0.2">
      <c r="T42" s="339"/>
    </row>
    <row r="43" spans="1:20" x14ac:dyDescent="0.2">
      <c r="T43" s="339"/>
    </row>
    <row r="44" spans="1:20" x14ac:dyDescent="0.2">
      <c r="T44" s="339"/>
    </row>
    <row r="45" spans="1:20" x14ac:dyDescent="0.2">
      <c r="T45" s="339"/>
    </row>
    <row r="46" spans="1:20" ht="13.5" thickBot="1" x14ac:dyDescent="0.25">
      <c r="A46" s="338"/>
      <c r="B46" s="338"/>
      <c r="C46" s="338"/>
      <c r="D46" s="338"/>
      <c r="E46" s="344"/>
      <c r="F46" s="338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41"/>
    </row>
    <row r="47" spans="1:20" ht="14.25" thickTop="1" thickBot="1" x14ac:dyDescent="0.25">
      <c r="E47" s="125"/>
      <c r="T47" s="339"/>
    </row>
    <row r="48" spans="1:20" ht="20.100000000000001" customHeight="1" thickBot="1" x14ac:dyDescent="0.25">
      <c r="D48" s="188" t="s">
        <v>76</v>
      </c>
      <c r="E48" s="918" t="s">
        <v>100</v>
      </c>
      <c r="F48" s="919"/>
      <c r="G48" s="919"/>
      <c r="H48" s="919"/>
      <c r="I48" s="919"/>
      <c r="J48" s="919"/>
      <c r="K48" s="919"/>
      <c r="L48" s="919"/>
      <c r="M48" s="919"/>
      <c r="N48" s="919"/>
      <c r="O48" s="919"/>
      <c r="P48" s="920"/>
      <c r="Q48" s="287" t="s">
        <v>7</v>
      </c>
      <c r="T48" s="339"/>
    </row>
    <row r="49" spans="3:20" ht="36.75" thickBot="1" x14ac:dyDescent="0.25">
      <c r="C49" s="186"/>
      <c r="D49" s="265" t="s">
        <v>79</v>
      </c>
      <c r="E49" s="303" t="s">
        <v>67</v>
      </c>
      <c r="F49" s="307" t="s">
        <v>97</v>
      </c>
      <c r="G49" s="302" t="s">
        <v>68</v>
      </c>
      <c r="H49" s="305" t="s">
        <v>69</v>
      </c>
      <c r="I49" s="306" t="s">
        <v>70</v>
      </c>
      <c r="J49" s="304" t="s">
        <v>71</v>
      </c>
      <c r="K49" s="308" t="s">
        <v>72</v>
      </c>
      <c r="L49" s="299" t="s">
        <v>73</v>
      </c>
      <c r="M49" s="302" t="s">
        <v>74</v>
      </c>
      <c r="N49" s="309" t="s">
        <v>75</v>
      </c>
      <c r="O49" s="267" t="s">
        <v>3</v>
      </c>
      <c r="P49" s="266" t="s">
        <v>4</v>
      </c>
      <c r="Q49" s="289" t="s">
        <v>101</v>
      </c>
      <c r="T49" s="339"/>
    </row>
    <row r="50" spans="3:20" ht="19.5" customHeight="1" x14ac:dyDescent="0.2">
      <c r="C50" s="187"/>
      <c r="D50" s="264">
        <v>1</v>
      </c>
      <c r="E50" s="227">
        <v>1</v>
      </c>
      <c r="F50" s="228">
        <v>3</v>
      </c>
      <c r="G50" s="228">
        <v>23</v>
      </c>
      <c r="H50" s="228">
        <v>46</v>
      </c>
      <c r="I50" s="228">
        <v>2</v>
      </c>
      <c r="J50" s="228">
        <v>5</v>
      </c>
      <c r="K50" s="228">
        <v>9</v>
      </c>
      <c r="L50" s="228">
        <v>6</v>
      </c>
      <c r="M50" s="228"/>
      <c r="N50" s="229">
        <v>5</v>
      </c>
      <c r="O50" s="230"/>
      <c r="P50" s="229"/>
      <c r="Q50" s="288">
        <f t="shared" ref="Q50:Q59" si="5">SUM(E50:P50)</f>
        <v>100</v>
      </c>
      <c r="T50" s="339"/>
    </row>
    <row r="51" spans="3:20" ht="20.100000000000001" customHeight="1" x14ac:dyDescent="0.2">
      <c r="C51" s="187"/>
      <c r="D51" s="264">
        <v>3</v>
      </c>
      <c r="E51" s="227">
        <v>1</v>
      </c>
      <c r="F51" s="228">
        <v>6</v>
      </c>
      <c r="G51" s="228">
        <v>63</v>
      </c>
      <c r="H51" s="228">
        <v>76</v>
      </c>
      <c r="I51" s="228">
        <v>3</v>
      </c>
      <c r="J51" s="228">
        <v>13</v>
      </c>
      <c r="K51" s="228">
        <v>15</v>
      </c>
      <c r="L51" s="228">
        <v>6</v>
      </c>
      <c r="M51" s="228">
        <v>5</v>
      </c>
      <c r="N51" s="229">
        <v>10</v>
      </c>
      <c r="O51" s="230">
        <v>2</v>
      </c>
      <c r="P51" s="229"/>
      <c r="Q51" s="288">
        <f t="shared" si="5"/>
        <v>200</v>
      </c>
      <c r="T51" s="339"/>
    </row>
    <row r="52" spans="3:20" ht="20.100000000000001" customHeight="1" x14ac:dyDescent="0.2">
      <c r="C52" s="187"/>
      <c r="D52" s="264">
        <v>4</v>
      </c>
      <c r="E52" s="227">
        <v>3</v>
      </c>
      <c r="F52" s="228">
        <v>8</v>
      </c>
      <c r="G52" s="228">
        <v>99</v>
      </c>
      <c r="H52" s="228">
        <v>95</v>
      </c>
      <c r="I52" s="228">
        <v>5</v>
      </c>
      <c r="J52" s="228">
        <v>21</v>
      </c>
      <c r="K52" s="228">
        <v>27</v>
      </c>
      <c r="L52" s="228">
        <v>10</v>
      </c>
      <c r="M52" s="228">
        <v>12</v>
      </c>
      <c r="N52" s="229">
        <v>13</v>
      </c>
      <c r="O52" s="230">
        <v>5</v>
      </c>
      <c r="P52" s="229">
        <v>2</v>
      </c>
      <c r="Q52" s="288">
        <f t="shared" si="5"/>
        <v>300</v>
      </c>
      <c r="T52" s="339"/>
    </row>
    <row r="53" spans="3:20" ht="20.100000000000001" customHeight="1" x14ac:dyDescent="0.2">
      <c r="C53" s="187"/>
      <c r="D53" s="264" t="s">
        <v>78</v>
      </c>
      <c r="E53" s="227"/>
      <c r="F53" s="228"/>
      <c r="G53" s="228"/>
      <c r="H53" s="228"/>
      <c r="I53" s="228"/>
      <c r="J53" s="228"/>
      <c r="K53" s="228"/>
      <c r="L53" s="228"/>
      <c r="M53" s="228"/>
      <c r="N53" s="229"/>
      <c r="O53" s="230"/>
      <c r="P53" s="229"/>
      <c r="Q53" s="288">
        <f t="shared" si="5"/>
        <v>0</v>
      </c>
      <c r="T53" s="339"/>
    </row>
    <row r="54" spans="3:20" ht="20.100000000000001" customHeight="1" x14ac:dyDescent="0.2">
      <c r="C54" s="187"/>
      <c r="D54" s="264" t="s">
        <v>78</v>
      </c>
      <c r="E54" s="227"/>
      <c r="F54" s="228"/>
      <c r="G54" s="228"/>
      <c r="H54" s="228"/>
      <c r="I54" s="228"/>
      <c r="J54" s="228"/>
      <c r="K54" s="228"/>
      <c r="L54" s="228"/>
      <c r="M54" s="228"/>
      <c r="N54" s="229"/>
      <c r="O54" s="230"/>
      <c r="P54" s="229"/>
      <c r="Q54" s="288">
        <f t="shared" si="5"/>
        <v>0</v>
      </c>
      <c r="T54" s="339"/>
    </row>
    <row r="55" spans="3:20" ht="20.100000000000001" customHeight="1" x14ac:dyDescent="0.2">
      <c r="C55" s="187"/>
      <c r="D55" s="264" t="s">
        <v>78</v>
      </c>
      <c r="E55" s="227"/>
      <c r="F55" s="228"/>
      <c r="G55" s="228"/>
      <c r="H55" s="228"/>
      <c r="I55" s="228"/>
      <c r="J55" s="228"/>
      <c r="K55" s="228"/>
      <c r="L55" s="228"/>
      <c r="M55" s="228"/>
      <c r="N55" s="229"/>
      <c r="O55" s="230"/>
      <c r="P55" s="229"/>
      <c r="Q55" s="288">
        <f t="shared" si="5"/>
        <v>0</v>
      </c>
      <c r="T55" s="339"/>
    </row>
    <row r="56" spans="3:20" ht="20.100000000000001" customHeight="1" x14ac:dyDescent="0.2">
      <c r="C56" s="187"/>
      <c r="D56" s="264" t="s">
        <v>78</v>
      </c>
      <c r="E56" s="227"/>
      <c r="F56" s="228"/>
      <c r="G56" s="228"/>
      <c r="H56" s="228"/>
      <c r="I56" s="228"/>
      <c r="J56" s="228"/>
      <c r="K56" s="228"/>
      <c r="L56" s="228"/>
      <c r="M56" s="228"/>
      <c r="N56" s="229"/>
      <c r="O56" s="230"/>
      <c r="P56" s="229"/>
      <c r="Q56" s="288">
        <f t="shared" si="5"/>
        <v>0</v>
      </c>
      <c r="T56" s="339"/>
    </row>
    <row r="57" spans="3:20" ht="20.100000000000001" customHeight="1" x14ac:dyDescent="0.2">
      <c r="C57" s="187"/>
      <c r="D57" s="264" t="s">
        <v>78</v>
      </c>
      <c r="E57" s="227"/>
      <c r="F57" s="228"/>
      <c r="G57" s="228"/>
      <c r="H57" s="228"/>
      <c r="I57" s="228"/>
      <c r="J57" s="228"/>
      <c r="K57" s="228"/>
      <c r="L57" s="228"/>
      <c r="M57" s="228"/>
      <c r="N57" s="229"/>
      <c r="O57" s="230"/>
      <c r="P57" s="229"/>
      <c r="Q57" s="288">
        <f t="shared" si="5"/>
        <v>0</v>
      </c>
      <c r="T57" s="339"/>
    </row>
    <row r="58" spans="3:20" ht="20.100000000000001" customHeight="1" x14ac:dyDescent="0.2">
      <c r="C58" s="187"/>
      <c r="D58" s="264" t="s">
        <v>78</v>
      </c>
      <c r="E58" s="227"/>
      <c r="F58" s="228"/>
      <c r="G58" s="228"/>
      <c r="H58" s="228"/>
      <c r="I58" s="228"/>
      <c r="J58" s="228"/>
      <c r="K58" s="228"/>
      <c r="L58" s="228"/>
      <c r="M58" s="228"/>
      <c r="N58" s="229"/>
      <c r="O58" s="230"/>
      <c r="P58" s="229"/>
      <c r="Q58" s="288">
        <f t="shared" si="5"/>
        <v>0</v>
      </c>
      <c r="T58" s="339"/>
    </row>
    <row r="59" spans="3:20" ht="20.100000000000001" customHeight="1" thickBot="1" x14ac:dyDescent="0.25">
      <c r="C59" s="187"/>
      <c r="D59" s="268" t="s">
        <v>78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1"/>
      <c r="O59" s="272"/>
      <c r="P59" s="271"/>
      <c r="Q59" s="288">
        <f t="shared" si="5"/>
        <v>0</v>
      </c>
      <c r="T59" s="339"/>
    </row>
    <row r="60" spans="3:20" x14ac:dyDescent="0.2">
      <c r="Q60" s="235"/>
      <c r="T60" s="339"/>
    </row>
    <row r="61" spans="3:20" x14ac:dyDescent="0.2">
      <c r="T61" s="339"/>
    </row>
    <row r="62" spans="3:20" x14ac:dyDescent="0.2">
      <c r="T62" s="339"/>
    </row>
    <row r="63" spans="3:20" ht="18" x14ac:dyDescent="0.25">
      <c r="E63" s="184"/>
      <c r="T63" s="339"/>
    </row>
    <row r="64" spans="3:20" x14ac:dyDescent="0.2">
      <c r="T64" s="339"/>
    </row>
    <row r="65" spans="4:20" ht="13.5" thickBot="1" x14ac:dyDescent="0.25">
      <c r="T65" s="339"/>
    </row>
    <row r="66" spans="4:20" ht="16.5" customHeight="1" thickBot="1" x14ac:dyDescent="0.25">
      <c r="D66" s="188" t="s">
        <v>77</v>
      </c>
      <c r="E66" s="918" t="s">
        <v>99</v>
      </c>
      <c r="F66" s="919"/>
      <c r="G66" s="919"/>
      <c r="H66" s="919"/>
      <c r="I66" s="919"/>
      <c r="J66" s="919"/>
      <c r="K66" s="919"/>
      <c r="L66" s="919"/>
      <c r="M66" s="919"/>
      <c r="N66" s="919"/>
      <c r="O66" s="919"/>
      <c r="P66" s="920"/>
      <c r="Q66" s="287" t="s">
        <v>7</v>
      </c>
      <c r="T66" s="339"/>
    </row>
    <row r="67" spans="4:20" ht="36.75" thickBot="1" x14ac:dyDescent="0.25">
      <c r="D67" s="265" t="s">
        <v>79</v>
      </c>
      <c r="E67" s="303" t="s">
        <v>67</v>
      </c>
      <c r="F67" s="307" t="s">
        <v>97</v>
      </c>
      <c r="G67" s="302" t="s">
        <v>68</v>
      </c>
      <c r="H67" s="305" t="s">
        <v>69</v>
      </c>
      <c r="I67" s="306" t="s">
        <v>70</v>
      </c>
      <c r="J67" s="304" t="s">
        <v>71</v>
      </c>
      <c r="K67" s="308" t="s">
        <v>72</v>
      </c>
      <c r="L67" s="299" t="s">
        <v>73</v>
      </c>
      <c r="M67" s="302" t="s">
        <v>74</v>
      </c>
      <c r="N67" s="309" t="s">
        <v>75</v>
      </c>
      <c r="O67" s="267" t="s">
        <v>3</v>
      </c>
      <c r="P67" s="266" t="s">
        <v>4</v>
      </c>
      <c r="Q67" s="294" t="s">
        <v>101</v>
      </c>
      <c r="T67" s="339"/>
    </row>
    <row r="68" spans="4:20" ht="20.100000000000001" customHeight="1" x14ac:dyDescent="0.2">
      <c r="D68" s="197">
        <v>2</v>
      </c>
      <c r="E68" s="190"/>
      <c r="F68" s="191">
        <v>2</v>
      </c>
      <c r="G68" s="191">
        <v>17</v>
      </c>
      <c r="H68" s="191">
        <v>59</v>
      </c>
      <c r="I68" s="191">
        <v>3</v>
      </c>
      <c r="J68" s="191">
        <v>5</v>
      </c>
      <c r="K68" s="191">
        <v>9</v>
      </c>
      <c r="L68" s="191">
        <v>2</v>
      </c>
      <c r="M68" s="191">
        <v>1</v>
      </c>
      <c r="N68" s="192"/>
      <c r="O68" s="193">
        <v>1</v>
      </c>
      <c r="P68" s="192">
        <v>1</v>
      </c>
      <c r="Q68" s="291">
        <f>SUM(E68:P68)</f>
        <v>100</v>
      </c>
      <c r="T68" s="339"/>
    </row>
    <row r="69" spans="4:20" ht="20.100000000000001" customHeight="1" x14ac:dyDescent="0.2">
      <c r="D69" s="195">
        <v>5</v>
      </c>
      <c r="E69" s="135"/>
      <c r="F69" s="136">
        <v>3</v>
      </c>
      <c r="G69" s="136">
        <v>36</v>
      </c>
      <c r="H69" s="136">
        <v>71</v>
      </c>
      <c r="I69" s="136">
        <v>4</v>
      </c>
      <c r="J69" s="136">
        <v>6</v>
      </c>
      <c r="K69" s="136">
        <v>10</v>
      </c>
      <c r="L69" s="136">
        <v>5</v>
      </c>
      <c r="M69" s="136">
        <v>1</v>
      </c>
      <c r="N69" s="137"/>
      <c r="O69" s="138">
        <v>3</v>
      </c>
      <c r="P69" s="137">
        <v>1</v>
      </c>
      <c r="Q69" s="225">
        <f>SUM(E69:P69)</f>
        <v>140</v>
      </c>
      <c r="T69" s="339"/>
    </row>
    <row r="70" spans="4:20" ht="20.100000000000001" customHeight="1" x14ac:dyDescent="0.2">
      <c r="D70" s="195" t="s">
        <v>78</v>
      </c>
      <c r="E70" s="135"/>
      <c r="F70" s="136"/>
      <c r="G70" s="136"/>
      <c r="H70" s="136"/>
      <c r="I70" s="136"/>
      <c r="J70" s="136"/>
      <c r="K70" s="136"/>
      <c r="L70" s="136"/>
      <c r="M70" s="136"/>
      <c r="N70" s="137"/>
      <c r="O70" s="138"/>
      <c r="P70" s="137"/>
      <c r="Q70" s="225">
        <f>SUM(E70:P70)</f>
        <v>0</v>
      </c>
      <c r="T70" s="339"/>
    </row>
    <row r="71" spans="4:20" ht="20.100000000000001" customHeight="1" x14ac:dyDescent="0.2">
      <c r="D71" s="195" t="s">
        <v>78</v>
      </c>
      <c r="E71" s="135"/>
      <c r="F71" s="136"/>
      <c r="G71" s="136"/>
      <c r="H71" s="136"/>
      <c r="I71" s="136"/>
      <c r="J71" s="136"/>
      <c r="K71" s="136"/>
      <c r="L71" s="136"/>
      <c r="M71" s="136"/>
      <c r="N71" s="137"/>
      <c r="O71" s="138"/>
      <c r="P71" s="137"/>
      <c r="Q71" s="225">
        <f>SUM(E71:P71)</f>
        <v>0</v>
      </c>
      <c r="T71" s="339"/>
    </row>
    <row r="72" spans="4:20" ht="20.100000000000001" customHeight="1" thickBot="1" x14ac:dyDescent="0.25">
      <c r="D72" s="196" t="s">
        <v>78</v>
      </c>
      <c r="E72" s="139"/>
      <c r="F72" s="140"/>
      <c r="G72" s="140"/>
      <c r="H72" s="140"/>
      <c r="I72" s="140"/>
      <c r="J72" s="140"/>
      <c r="K72" s="140"/>
      <c r="L72" s="140"/>
      <c r="M72" s="140"/>
      <c r="N72" s="141"/>
      <c r="O72" s="142"/>
      <c r="P72" s="141"/>
      <c r="Q72" s="292">
        <f>SUM(E72:P72)</f>
        <v>0</v>
      </c>
      <c r="T72" s="339"/>
    </row>
    <row r="73" spans="4:20" ht="20.100000000000001" customHeight="1" x14ac:dyDescent="0.2">
      <c r="D73" s="189"/>
      <c r="E73" s="187"/>
      <c r="F73" s="187"/>
      <c r="G73" s="187"/>
      <c r="H73" s="187"/>
      <c r="I73" s="187"/>
      <c r="J73" s="187"/>
      <c r="K73" s="187"/>
      <c r="L73" s="187"/>
      <c r="M73" s="187"/>
      <c r="N73" s="187"/>
      <c r="O73" s="187"/>
      <c r="P73" s="187"/>
      <c r="T73" s="339"/>
    </row>
    <row r="74" spans="4:20" ht="20.100000000000001" customHeight="1" x14ac:dyDescent="0.2">
      <c r="D74" s="189"/>
      <c r="E74" s="187"/>
      <c r="F74" s="187"/>
      <c r="G74" s="187"/>
      <c r="H74" s="187"/>
      <c r="I74" s="187"/>
      <c r="J74" s="187"/>
      <c r="K74" s="187"/>
      <c r="L74" s="187"/>
      <c r="M74" s="187"/>
      <c r="N74" s="187"/>
      <c r="O74" s="187"/>
      <c r="P74" s="187"/>
      <c r="T74" s="339"/>
    </row>
    <row r="75" spans="4:20" ht="20.100000000000001" customHeight="1" thickBot="1" x14ac:dyDescent="0.25">
      <c r="D75" s="189"/>
      <c r="E75" s="187"/>
      <c r="F75" s="187"/>
      <c r="G75" s="187"/>
      <c r="H75" s="187"/>
      <c r="I75" s="187"/>
      <c r="J75" s="187"/>
      <c r="K75" s="187"/>
      <c r="L75" s="187"/>
      <c r="M75" s="187"/>
      <c r="N75" s="187"/>
      <c r="O75" s="187"/>
      <c r="P75" s="187"/>
      <c r="T75" s="339"/>
    </row>
    <row r="76" spans="4:20" ht="20.100000000000001" customHeight="1" thickBot="1" x14ac:dyDescent="0.25">
      <c r="D76" s="188" t="s">
        <v>81</v>
      </c>
      <c r="E76" s="918" t="s">
        <v>98</v>
      </c>
      <c r="F76" s="919"/>
      <c r="G76" s="919"/>
      <c r="H76" s="919"/>
      <c r="I76" s="919"/>
      <c r="J76" s="919"/>
      <c r="K76" s="919"/>
      <c r="L76" s="919"/>
      <c r="M76" s="919"/>
      <c r="N76" s="919"/>
      <c r="O76" s="919"/>
      <c r="P76" s="920"/>
      <c r="Q76" s="293" t="s">
        <v>7</v>
      </c>
      <c r="T76" s="339"/>
    </row>
    <row r="77" spans="4:20" ht="36.75" thickBot="1" x14ac:dyDescent="0.25">
      <c r="D77" s="265" t="s">
        <v>79</v>
      </c>
      <c r="E77" s="303" t="s">
        <v>67</v>
      </c>
      <c r="F77" s="307" t="s">
        <v>97</v>
      </c>
      <c r="G77" s="302" t="s">
        <v>68</v>
      </c>
      <c r="H77" s="305" t="s">
        <v>69</v>
      </c>
      <c r="I77" s="306" t="s">
        <v>70</v>
      </c>
      <c r="J77" s="304" t="s">
        <v>71</v>
      </c>
      <c r="K77" s="308" t="s">
        <v>72</v>
      </c>
      <c r="L77" s="299" t="s">
        <v>73</v>
      </c>
      <c r="M77" s="302" t="s">
        <v>74</v>
      </c>
      <c r="N77" s="309" t="s">
        <v>75</v>
      </c>
      <c r="O77" s="267" t="s">
        <v>3</v>
      </c>
      <c r="P77" s="266" t="s">
        <v>4</v>
      </c>
      <c r="Q77" s="290" t="s">
        <v>101</v>
      </c>
      <c r="T77" s="339"/>
    </row>
    <row r="78" spans="4:20" ht="20.100000000000001" customHeight="1" x14ac:dyDescent="0.2">
      <c r="D78" s="197" t="s">
        <v>78</v>
      </c>
      <c r="E78" s="190"/>
      <c r="F78" s="191"/>
      <c r="G78" s="191"/>
      <c r="H78" s="191"/>
      <c r="I78" s="191"/>
      <c r="J78" s="191"/>
      <c r="K78" s="191"/>
      <c r="L78" s="191"/>
      <c r="M78" s="191"/>
      <c r="N78" s="192"/>
      <c r="O78" s="193"/>
      <c r="P78" s="192"/>
      <c r="Q78" s="291">
        <f>SUM(E78:P78)</f>
        <v>0</v>
      </c>
      <c r="T78" s="339"/>
    </row>
    <row r="79" spans="4:20" ht="20.100000000000001" customHeight="1" x14ac:dyDescent="0.2">
      <c r="D79" s="195" t="s">
        <v>78</v>
      </c>
      <c r="E79" s="135"/>
      <c r="F79" s="136"/>
      <c r="G79" s="136"/>
      <c r="H79" s="136"/>
      <c r="I79" s="136"/>
      <c r="J79" s="136"/>
      <c r="K79" s="136"/>
      <c r="L79" s="136"/>
      <c r="M79" s="136"/>
      <c r="N79" s="137"/>
      <c r="O79" s="138"/>
      <c r="P79" s="137"/>
      <c r="Q79" s="225">
        <f>SUM(E79:P79)</f>
        <v>0</v>
      </c>
      <c r="T79" s="339"/>
    </row>
    <row r="80" spans="4:20" ht="20.100000000000001" customHeight="1" thickBot="1" x14ac:dyDescent="0.25">
      <c r="D80" s="196" t="s">
        <v>78</v>
      </c>
      <c r="E80" s="139"/>
      <c r="F80" s="140"/>
      <c r="G80" s="140"/>
      <c r="H80" s="140"/>
      <c r="I80" s="140"/>
      <c r="J80" s="140"/>
      <c r="K80" s="140"/>
      <c r="L80" s="140"/>
      <c r="M80" s="140"/>
      <c r="N80" s="141"/>
      <c r="O80" s="142"/>
      <c r="P80" s="141"/>
      <c r="Q80" s="292">
        <f>SUM(E80:P80)</f>
        <v>0</v>
      </c>
      <c r="T80" s="339"/>
    </row>
    <row r="81" spans="4:20" ht="20.100000000000001" customHeight="1" x14ac:dyDescent="0.2">
      <c r="D81" s="189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94"/>
      <c r="T81" s="339"/>
    </row>
    <row r="82" spans="4:20" ht="20.100000000000001" customHeight="1" x14ac:dyDescent="0.2">
      <c r="D82" s="189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94"/>
      <c r="T82" s="339"/>
    </row>
    <row r="83" spans="4:20" x14ac:dyDescent="0.2">
      <c r="T83" s="339"/>
    </row>
    <row r="84" spans="4:20" x14ac:dyDescent="0.2">
      <c r="T84" s="339"/>
    </row>
  </sheetData>
  <sheetProtection algorithmName="SHA-512" hashValue="mPnqU1se9ONIlPa88PixD9eLrRMRXKDKilqENnjRxFypUojfqOelnzDHqp9ugoYXdLKfI2H0oxv+o1xBKrBsJQ==" saltValue="pNiTzVeJJN3vATWQ6zcvyA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phoneticPr fontId="26" type="noConversion"/>
  <conditionalFormatting sqref="E3:Q12">
    <cfRule type="cellIs" dxfId="433" priority="16" operator="notBetween">
      <formula>0</formula>
      <formula>100</formula>
    </cfRule>
  </conditionalFormatting>
  <conditionalFormatting sqref="E3:Q14">
    <cfRule type="cellIs" dxfId="432" priority="19" operator="lessThan">
      <formula>0</formula>
    </cfRule>
  </conditionalFormatting>
  <conditionalFormatting sqref="E14:Q14">
    <cfRule type="cellIs" dxfId="431" priority="22" operator="greaterThan">
      <formula>1</formula>
    </cfRule>
  </conditionalFormatting>
  <conditionalFormatting sqref="Q3:Q13">
    <cfRule type="cellIs" dxfId="430" priority="20" operator="equal">
      <formula>0</formula>
    </cfRule>
  </conditionalFormatting>
  <conditionalFormatting sqref="Q13">
    <cfRule type="cellIs" dxfId="429" priority="24" operator="equal">
      <formula>$B$7</formula>
    </cfRule>
  </conditionalFormatting>
  <conditionalFormatting sqref="Q14">
    <cfRule type="cellIs" dxfId="428" priority="21" operator="equal">
      <formula>1</formula>
    </cfRule>
    <cfRule type="cellIs" dxfId="427" priority="23" operator="lessThan">
      <formula>1</formula>
    </cfRule>
  </conditionalFormatting>
  <conditionalFormatting sqref="W4:W15">
    <cfRule type="expression" dxfId="426" priority="25">
      <formula>AND($W4&lt;$W3, NOT(ISBLANK($W4)))</formula>
    </cfRule>
    <cfRule type="cellIs" dxfId="425" priority="26" operator="greaterThan">
      <formula>$B$6</formula>
    </cfRule>
  </conditionalFormatting>
  <conditionalFormatting sqref="X4:X15">
    <cfRule type="cellIs" dxfId="424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423" priority="27">
      <formula>($D3&lt;=$K$23)</formula>
    </cfRule>
  </conditionalFormatting>
  <conditionalFormatting sqref="Q3:Q12">
    <cfRule type="expression" dxfId="422" priority="28">
      <formula>AND($D3=$K$23, Q3=$J$24)</formula>
    </cfRule>
    <cfRule type="expression" dxfId="421" priority="29">
      <formula>AND($D3=$K$23, MOD(Q3,100)&gt;$J$24)</formula>
    </cfRule>
    <cfRule type="cellIs" dxfId="420" priority="30" operator="equal">
      <formula>100</formula>
    </cfRule>
  </conditionalFormatting>
  <conditionalFormatting sqref="D3:P12">
    <cfRule type="expression" dxfId="419" priority="34">
      <formula>($D3&gt;$K$23)</formula>
    </cfRule>
  </conditionalFormatting>
  <conditionalFormatting sqref="E50:P59 E68:P72 E78:P80">
    <cfRule type="cellIs" dxfId="418" priority="31" operator="notBetween">
      <formula>0</formula>
      <formula>$B$7</formula>
    </cfRule>
    <cfRule type="expression" dxfId="417" priority="32">
      <formula>($D50&lt;=$K$23)</formula>
    </cfRule>
    <cfRule type="expression" dxfId="416" priority="33">
      <formula>($D50&gt;$K$23)</formula>
    </cfRule>
  </conditionalFormatting>
  <conditionalFormatting sqref="B8">
    <cfRule type="cellIs" dxfId="415" priority="12" operator="notEqual">
      <formula>$B$7</formula>
    </cfRule>
  </conditionalFormatting>
  <conditionalFormatting sqref="E50:P59">
    <cfRule type="expression" dxfId="414" priority="10">
      <formula>AND(E51&lt;MAX(E$50:E51), NOT(ISBLANK(E51)), NOT(E51=0))</formula>
    </cfRule>
  </conditionalFormatting>
  <conditionalFormatting sqref="E68:P72">
    <cfRule type="expression" dxfId="413" priority="11">
      <formula>AND(E69&lt;MAX(E$68:E69), NOT(ISBLANK(E69)), NOT(E69=0))</formula>
    </cfRule>
  </conditionalFormatting>
  <conditionalFormatting sqref="E78:P80">
    <cfRule type="expression" dxfId="412" priority="15">
      <formula>AND(E79&lt;MAX(E$78:E79), NOT(ISBLANK(E79)), NOT(E79=0))</formula>
    </cfRule>
  </conditionalFormatting>
  <conditionalFormatting sqref="Q50">
    <cfRule type="cellIs" dxfId="411" priority="1" operator="lessThan">
      <formula>0</formula>
    </cfRule>
    <cfRule type="cellIs" dxfId="410" priority="2" operator="equal">
      <formula>0</formula>
    </cfRule>
    <cfRule type="expression" dxfId="409" priority="3">
      <formula>OR(MOD($Q50,100)=0,AND($D50=$K$23,MOD($Q50,100)=$J$24))</formula>
    </cfRule>
  </conditionalFormatting>
  <conditionalFormatting sqref="Q52:Q59 Q68:Q72 Q78:Q80">
    <cfRule type="cellIs" dxfId="408" priority="4" operator="lessThan">
      <formula>0</formula>
    </cfRule>
    <cfRule type="cellIs" dxfId="407" priority="5" operator="equal">
      <formula>0</formula>
    </cfRule>
    <cfRule type="expression" dxfId="406" priority="6">
      <formula>OR(MOD($Q52,100)=0,AND($D52=$K$23,MOD($Q52,100)=$J$24))</formula>
    </cfRule>
  </conditionalFormatting>
  <conditionalFormatting sqref="Q51">
    <cfRule type="cellIs" dxfId="405" priority="7" operator="lessThan">
      <formula>0</formula>
    </cfRule>
    <cfRule type="cellIs" dxfId="404" priority="8" operator="equal">
      <formula>0</formula>
    </cfRule>
    <cfRule type="expression" dxfId="403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0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 cm="1">
        <f t="array" ref="B6">INDEX(Synthèse!B:B,B5+2)</f>
        <v>Nom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v>200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200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 t="shared" ref="F13" si="3"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2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4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5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5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5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5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5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5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5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5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5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5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6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7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PL2X+iFYDLWqU1HgIJ9e9Wi6ojiDFOyyMZu3eRnMP3RL91xZ0bXx7TUDUQcsCK8irWyAmk3vyycV2gSFuNWT7w==" saltValue="VRWJ/unWyo4jz0IlulaoEg==" spinCount="100000" sheet="1" objects="1" scenarios="1"/>
  <mergeCells count="9">
    <mergeCell ref="E66:H66"/>
    <mergeCell ref="E1:H1"/>
    <mergeCell ref="E48:H48"/>
    <mergeCell ref="E76:H76"/>
    <mergeCell ref="A11:B12"/>
    <mergeCell ref="A13:B15"/>
    <mergeCell ref="A16:B19"/>
    <mergeCell ref="O2:O3"/>
    <mergeCell ref="P2:P3"/>
  </mergeCells>
  <phoneticPr fontId="53" type="noConversion"/>
  <conditionalFormatting sqref="B9">
    <cfRule type="cellIs" dxfId="402" priority="1" operator="equal">
      <formula>0</formula>
    </cfRule>
    <cfRule type="cellIs" dxfId="401" priority="45" operator="notEqual">
      <formula>$B$8</formula>
    </cfRule>
  </conditionalFormatting>
  <conditionalFormatting sqref="E3:I12">
    <cfRule type="cellIs" dxfId="400" priority="44" operator="notBetween">
      <formula>0</formula>
      <formula>100</formula>
    </cfRule>
  </conditionalFormatting>
  <conditionalFormatting sqref="E3:I14">
    <cfRule type="cellIs" dxfId="399" priority="47" operator="lessThan">
      <formula>0</formula>
    </cfRule>
  </conditionalFormatting>
  <conditionalFormatting sqref="E14:I14">
    <cfRule type="cellIs" dxfId="398" priority="54" operator="greaterThan">
      <formula>1</formula>
    </cfRule>
  </conditionalFormatting>
  <conditionalFormatting sqref="I3:I13">
    <cfRule type="cellIs" dxfId="397" priority="52" operator="equal">
      <formula>0</formula>
    </cfRule>
  </conditionalFormatting>
  <conditionalFormatting sqref="I14">
    <cfRule type="cellIs" dxfId="396" priority="53" operator="equal">
      <formula>1</formula>
    </cfRule>
    <cfRule type="cellIs" dxfId="395" priority="55" operator="lessThan">
      <formula>1</formula>
    </cfRule>
  </conditionalFormatting>
  <conditionalFormatting sqref="M4:M15">
    <cfRule type="cellIs" dxfId="394" priority="46" operator="greaterThan">
      <formula>1</formula>
    </cfRule>
  </conditionalFormatting>
  <conditionalFormatting sqref="D68:D72 D50:D59 D78:D80">
    <cfRule type="colorScale" priority="33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393" priority="4">
      <formula>AND(E50&lt;MAX(E$50:E50), NOT(ISBLANK(E50)), NOT(E50=0))</formula>
    </cfRule>
  </conditionalFormatting>
  <conditionalFormatting sqref="E68:H72">
    <cfRule type="expression" dxfId="392" priority="3">
      <formula>AND(E68&lt;MAX(E$68:E68), NOT(ISBLANK(E68)), NOT(E68=0))</formula>
    </cfRule>
  </conditionalFormatting>
  <conditionalFormatting sqref="E78:H80">
    <cfRule type="expression" dxfId="391" priority="148">
      <formula>AND(E78&lt;MAX(E$78:E78), NOT(ISBLANK(E78)), NOT(E78=0))</formula>
    </cfRule>
  </conditionalFormatting>
  <conditionalFormatting sqref="I3:I12">
    <cfRule type="expression" dxfId="390" priority="266">
      <formula>AND($D3=$E$24, I3=$D$25)</formula>
    </cfRule>
    <cfRule type="expression" dxfId="389" priority="267">
      <formula>AND($D3=$E$24, MOD(I3,100)&gt;$D$25)</formula>
    </cfRule>
    <cfRule type="cellIs" dxfId="388" priority="268" operator="equal">
      <formula>100</formula>
    </cfRule>
  </conditionalFormatting>
  <conditionalFormatting sqref="H3:H12 E3:F12">
    <cfRule type="expression" dxfId="387" priority="269">
      <formula>($D3&lt;=$E$24)</formula>
    </cfRule>
  </conditionalFormatting>
  <conditionalFormatting sqref="H3:H12 D3:F12">
    <cfRule type="expression" dxfId="386" priority="270">
      <formula>($D3&gt;$E$24)</formula>
    </cfRule>
  </conditionalFormatting>
  <conditionalFormatting sqref="G3:G12">
    <cfRule type="expression" dxfId="385" priority="400">
      <formula>($D3&lt;=$E$24)</formula>
    </cfRule>
  </conditionalFormatting>
  <conditionalFormatting sqref="G3:G12">
    <cfRule type="expression" dxfId="384" priority="402">
      <formula>($D3&gt;$E$24)</formula>
    </cfRule>
  </conditionalFormatting>
  <conditionalFormatting sqref="I50 I68:I72 I78:I80 I52:I59">
    <cfRule type="cellIs" dxfId="383" priority="655" operator="lessThan">
      <formula>0</formula>
    </cfRule>
    <cfRule type="cellIs" dxfId="382" priority="656" operator="equal">
      <formula>0</formula>
    </cfRule>
    <cfRule type="expression" dxfId="381" priority="657">
      <formula>OR(MOD($I50,100)=0,AND($D50=$E$24,MOD($I50,100)=$D$25))</formula>
    </cfRule>
  </conditionalFormatting>
  <conditionalFormatting sqref="I13">
    <cfRule type="cellIs" dxfId="380" priority="676" operator="equal">
      <formula>$B$8</formula>
    </cfRule>
  </conditionalFormatting>
  <conditionalFormatting sqref="E50:H59 E68:H72 E78:H80">
    <cfRule type="cellIs" dxfId="379" priority="677" operator="notBetween">
      <formula>0</formula>
      <formula>$B$8</formula>
    </cfRule>
    <cfRule type="expression" dxfId="378" priority="678">
      <formula>($D50&lt;=$E$24)</formula>
    </cfRule>
    <cfRule type="expression" dxfId="377" priority="679">
      <formula>($D50&gt;$E$24)</formula>
    </cfRule>
  </conditionalFormatting>
  <conditionalFormatting sqref="I51">
    <cfRule type="cellIs" dxfId="376" priority="686" operator="notBetween">
      <formula>0</formula>
      <formula>$B$8</formula>
    </cfRule>
    <cfRule type="cellIs" dxfId="375" priority="687" operator="equal">
      <formula>0</formula>
    </cfRule>
    <cfRule type="expression" dxfId="374" priority="688">
      <formula>OR(MOD($I51,100)=0,AND($D51=$E$24,MOD($I51,100)=$D$25))</formula>
    </cfRule>
  </conditionalFormatting>
  <conditionalFormatting sqref="L4:L15">
    <cfRule type="expression" dxfId="373" priority="689">
      <formula>AND($L4&lt;$L3, NOT(ISBLANK($L4)))</formula>
    </cfRule>
    <cfRule type="cellIs" dxfId="372" priority="690" operator="greaterThan">
      <formula>$B$7</formula>
    </cfRule>
  </conditionalFormatting>
  <dataValidations count="2">
    <dataValidation type="list" allowBlank="1" showInputMessage="1" showErrorMessage="1" sqref="D68:D72 D78:D82 D50:D59" xr:uid="{16BE8E6D-019E-4446-BDFE-0DD1503C603A}">
      <formula1>$D$3:$D$12</formula1>
    </dataValidation>
    <dataValidation type="list" allowBlank="1" showInputMessage="1" showErrorMessage="1" sqref="C50:C59" xr:uid="{26E6ADDE-67A2-40F5-90D2-78EBD3B4767D}">
      <formula1>$D$19:$D$21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866775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5016B-3904-4DE0-B36D-6A4E72F8D05D}">
  <sheetPr codeName="Feuil42">
    <tabColor rgb="FFB4A7D6"/>
  </sheetPr>
  <dimension ref="A1:Q82"/>
  <sheetViews>
    <sheetView zoomScale="90" zoomScaleNormal="90" workbookViewId="0">
      <selection activeCell="H13" sqref="H13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1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Ecole Chabaud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553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553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6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2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Lv5MnPwvicbZ40ZgibjjYjGQVakBvL0Q/YVuQtBU0o178fzrnOQPO+m06gaIr2XHKnI1BgZ3oJriPqdFPpRJpA==" saltValue="3oHZFrsA9azi91CqLX0FeA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371" priority="1" operator="equal">
      <formula>0</formula>
    </cfRule>
    <cfRule type="cellIs" dxfId="370" priority="6" operator="notEqual">
      <formula>$B$8</formula>
    </cfRule>
  </conditionalFormatting>
  <conditionalFormatting sqref="E3:I12">
    <cfRule type="cellIs" dxfId="369" priority="5" operator="notBetween">
      <formula>0</formula>
      <formula>100</formula>
    </cfRule>
  </conditionalFormatting>
  <conditionalFormatting sqref="E3:I14">
    <cfRule type="cellIs" dxfId="368" priority="8" operator="lessThan">
      <formula>0</formula>
    </cfRule>
  </conditionalFormatting>
  <conditionalFormatting sqref="E14:I14">
    <cfRule type="cellIs" dxfId="367" priority="11" operator="greaterThan">
      <formula>1</formula>
    </cfRule>
  </conditionalFormatting>
  <conditionalFormatting sqref="I3:I13">
    <cfRule type="cellIs" dxfId="366" priority="9" operator="equal">
      <formula>0</formula>
    </cfRule>
  </conditionalFormatting>
  <conditionalFormatting sqref="I14">
    <cfRule type="cellIs" dxfId="365" priority="10" operator="equal">
      <formula>1</formula>
    </cfRule>
    <cfRule type="cellIs" dxfId="364" priority="12" operator="lessThan">
      <formula>1</formula>
    </cfRule>
  </conditionalFormatting>
  <conditionalFormatting sqref="M4:M15">
    <cfRule type="cellIs" dxfId="363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362" priority="3">
      <formula>AND(E50&lt;MAX(E$50:E50), NOT(ISBLANK(E50)), NOT(E50=0))</formula>
    </cfRule>
  </conditionalFormatting>
  <conditionalFormatting sqref="E68:H72">
    <cfRule type="expression" dxfId="361" priority="2">
      <formula>AND(E68&lt;MAX(E$68:E68), NOT(ISBLANK(E68)), NOT(E68=0))</formula>
    </cfRule>
  </conditionalFormatting>
  <conditionalFormatting sqref="E78:H80">
    <cfRule type="expression" dxfId="360" priority="13">
      <formula>AND(E78&lt;MAX(E$78:E78), NOT(ISBLANK(E78)), NOT(E78=0))</formula>
    </cfRule>
  </conditionalFormatting>
  <conditionalFormatting sqref="I3:I12">
    <cfRule type="expression" dxfId="359" priority="14">
      <formula>AND($D3=$E$24, I3=$D$25)</formula>
    </cfRule>
    <cfRule type="expression" dxfId="358" priority="15">
      <formula>AND($D3=$E$24, MOD(I3,100)&gt;$D$25)</formula>
    </cfRule>
    <cfRule type="cellIs" dxfId="357" priority="16" operator="equal">
      <formula>100</formula>
    </cfRule>
  </conditionalFormatting>
  <conditionalFormatting sqref="H3:H12 E3:F12">
    <cfRule type="expression" dxfId="356" priority="17">
      <formula>($D3&lt;=$E$24)</formula>
    </cfRule>
  </conditionalFormatting>
  <conditionalFormatting sqref="H3:H12 D3:F12">
    <cfRule type="expression" dxfId="355" priority="18">
      <formula>($D3&gt;$E$24)</formula>
    </cfRule>
  </conditionalFormatting>
  <conditionalFormatting sqref="G3:G12">
    <cfRule type="expression" dxfId="354" priority="19">
      <formula>($D3&lt;=$E$24)</formula>
    </cfRule>
  </conditionalFormatting>
  <conditionalFormatting sqref="G3:G12">
    <cfRule type="expression" dxfId="353" priority="20">
      <formula>($D3&gt;$E$24)</formula>
    </cfRule>
  </conditionalFormatting>
  <conditionalFormatting sqref="I50 I68:I72 I78:I80 I52:I59">
    <cfRule type="cellIs" dxfId="352" priority="21" operator="lessThan">
      <formula>0</formula>
    </cfRule>
    <cfRule type="cellIs" dxfId="351" priority="22" operator="equal">
      <formula>0</formula>
    </cfRule>
    <cfRule type="expression" dxfId="350" priority="23">
      <formula>OR(MOD($I50,100)=0,AND($D50=$E$24,MOD($I50,100)=$D$25))</formula>
    </cfRule>
  </conditionalFormatting>
  <conditionalFormatting sqref="I13">
    <cfRule type="cellIs" dxfId="349" priority="24" operator="equal">
      <formula>$B$8</formula>
    </cfRule>
  </conditionalFormatting>
  <conditionalFormatting sqref="E50:H59 E68:H72 E78:H80">
    <cfRule type="cellIs" dxfId="348" priority="25" operator="notBetween">
      <formula>0</formula>
      <formula>$B$8</formula>
    </cfRule>
    <cfRule type="expression" dxfId="347" priority="26">
      <formula>($D50&lt;=$E$24)</formula>
    </cfRule>
    <cfRule type="expression" dxfId="346" priority="27">
      <formula>($D50&gt;$E$24)</formula>
    </cfRule>
  </conditionalFormatting>
  <conditionalFormatting sqref="I51">
    <cfRule type="cellIs" dxfId="345" priority="28" operator="notBetween">
      <formula>0</formula>
      <formula>$B$8</formula>
    </cfRule>
    <cfRule type="cellIs" dxfId="344" priority="29" operator="equal">
      <formula>0</formula>
    </cfRule>
    <cfRule type="expression" dxfId="343" priority="30">
      <formula>OR(MOD($I51,100)=0,AND($D51=$E$24,MOD($I51,100)=$D$25))</formula>
    </cfRule>
  </conditionalFormatting>
  <conditionalFormatting sqref="L4:L15">
    <cfRule type="expression" dxfId="342" priority="31">
      <formula>AND($L4&lt;$L3, NOT(ISBLANK($L4)))</formula>
    </cfRule>
    <cfRule type="cellIs" dxfId="341" priority="32" operator="greaterThan">
      <formula>$B$7</formula>
    </cfRule>
  </conditionalFormatting>
  <dataValidations count="2">
    <dataValidation type="list" allowBlank="1" showInputMessage="1" showErrorMessage="1" sqref="C50:C59" xr:uid="{DD06265C-2C98-4B99-8445-66AD4938C3E7}">
      <formula1>$D$19:$D$21</formula1>
    </dataValidation>
    <dataValidation type="list" allowBlank="1" showInputMessage="1" showErrorMessage="1" sqref="D68:D72 D78:D82 D50:D59" xr:uid="{AF7D18AB-C206-4D2D-8761-A1778E68C194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DEFC-E03C-4AA8-AA6A-A45028F93F2A}">
  <sheetPr codeName="Feuil44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2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Gymnase B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740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740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8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Fv898AABd+3XPrOd2zH7wtZmWAhA6aLEdLvED9XZYa5VJr6J7Glm1FOlSjnQnBd8XiujRdlBo+9kEnXw3L0u2A==" saltValue="N+Clx2F12g5mcWByEK7ihA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340" priority="1" operator="equal">
      <formula>0</formula>
    </cfRule>
    <cfRule type="cellIs" dxfId="339" priority="6" operator="notEqual">
      <formula>$B$8</formula>
    </cfRule>
  </conditionalFormatting>
  <conditionalFormatting sqref="E3:I12">
    <cfRule type="cellIs" dxfId="338" priority="5" operator="notBetween">
      <formula>0</formula>
      <formula>100</formula>
    </cfRule>
  </conditionalFormatting>
  <conditionalFormatting sqref="E3:I14">
    <cfRule type="cellIs" dxfId="337" priority="8" operator="lessThan">
      <formula>0</formula>
    </cfRule>
  </conditionalFormatting>
  <conditionalFormatting sqref="E14:I14">
    <cfRule type="cellIs" dxfId="336" priority="11" operator="greaterThan">
      <formula>1</formula>
    </cfRule>
  </conditionalFormatting>
  <conditionalFormatting sqref="I3:I13">
    <cfRule type="cellIs" dxfId="335" priority="9" operator="equal">
      <formula>0</formula>
    </cfRule>
  </conditionalFormatting>
  <conditionalFormatting sqref="I14">
    <cfRule type="cellIs" dxfId="334" priority="10" operator="equal">
      <formula>1</formula>
    </cfRule>
    <cfRule type="cellIs" dxfId="333" priority="12" operator="lessThan">
      <formula>1</formula>
    </cfRule>
  </conditionalFormatting>
  <conditionalFormatting sqref="M4:M15">
    <cfRule type="cellIs" dxfId="332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331" priority="3">
      <formula>AND(E50&lt;MAX(E$50:E50), NOT(ISBLANK(E50)), NOT(E50=0))</formula>
    </cfRule>
  </conditionalFormatting>
  <conditionalFormatting sqref="E68:H72">
    <cfRule type="expression" dxfId="330" priority="2">
      <formula>AND(E68&lt;MAX(E$68:E68), NOT(ISBLANK(E68)), NOT(E68=0))</formula>
    </cfRule>
  </conditionalFormatting>
  <conditionalFormatting sqref="E78:H80">
    <cfRule type="expression" dxfId="329" priority="13">
      <formula>AND(E78&lt;MAX(E$78:E78), NOT(ISBLANK(E78)), NOT(E78=0))</formula>
    </cfRule>
  </conditionalFormatting>
  <conditionalFormatting sqref="I3:I12">
    <cfRule type="expression" dxfId="328" priority="14">
      <formula>AND($D3=$E$24, I3=$D$25)</formula>
    </cfRule>
    <cfRule type="expression" dxfId="327" priority="15">
      <formula>AND($D3=$E$24, MOD(I3,100)&gt;$D$25)</formula>
    </cfRule>
    <cfRule type="cellIs" dxfId="326" priority="16" operator="equal">
      <formula>100</formula>
    </cfRule>
  </conditionalFormatting>
  <conditionalFormatting sqref="H3:H12 E3:F12">
    <cfRule type="expression" dxfId="325" priority="17">
      <formula>($D3&lt;=$E$24)</formula>
    </cfRule>
  </conditionalFormatting>
  <conditionalFormatting sqref="H3:H12 D3:F12">
    <cfRule type="expression" dxfId="324" priority="18">
      <formula>($D3&gt;$E$24)</formula>
    </cfRule>
  </conditionalFormatting>
  <conditionalFormatting sqref="G3:G12">
    <cfRule type="expression" dxfId="323" priority="19">
      <formula>($D3&lt;=$E$24)</formula>
    </cfRule>
  </conditionalFormatting>
  <conditionalFormatting sqref="G3:G12">
    <cfRule type="expression" dxfId="322" priority="20">
      <formula>($D3&gt;$E$24)</formula>
    </cfRule>
  </conditionalFormatting>
  <conditionalFormatting sqref="I50 I68:I72 I78:I80 I52:I59">
    <cfRule type="cellIs" dxfId="321" priority="21" operator="lessThan">
      <formula>0</formula>
    </cfRule>
    <cfRule type="cellIs" dxfId="320" priority="22" operator="equal">
      <formula>0</formula>
    </cfRule>
    <cfRule type="expression" dxfId="319" priority="23">
      <formula>OR(MOD($I50,100)=0,AND($D50=$E$24,MOD($I50,100)=$D$25))</formula>
    </cfRule>
  </conditionalFormatting>
  <conditionalFormatting sqref="I13">
    <cfRule type="cellIs" dxfId="318" priority="24" operator="equal">
      <formula>$B$8</formula>
    </cfRule>
  </conditionalFormatting>
  <conditionalFormatting sqref="E50:H59 E68:H72 E78:H80">
    <cfRule type="cellIs" dxfId="317" priority="25" operator="notBetween">
      <formula>0</formula>
      <formula>$B$8</formula>
    </cfRule>
    <cfRule type="expression" dxfId="316" priority="26">
      <formula>($D50&lt;=$E$24)</formula>
    </cfRule>
    <cfRule type="expression" dxfId="315" priority="27">
      <formula>($D50&gt;$E$24)</formula>
    </cfRule>
  </conditionalFormatting>
  <conditionalFormatting sqref="I51">
    <cfRule type="cellIs" dxfId="314" priority="28" operator="notBetween">
      <formula>0</formula>
      <formula>$B$8</formula>
    </cfRule>
    <cfRule type="cellIs" dxfId="313" priority="29" operator="equal">
      <formula>0</formula>
    </cfRule>
    <cfRule type="expression" dxfId="312" priority="30">
      <formula>OR(MOD($I51,100)=0,AND($D51=$E$24,MOD($I51,100)=$D$25))</formula>
    </cfRule>
  </conditionalFormatting>
  <conditionalFormatting sqref="L4:L15">
    <cfRule type="expression" dxfId="311" priority="31">
      <formula>AND($L4&lt;$L3, NOT(ISBLANK($L4)))</formula>
    </cfRule>
    <cfRule type="cellIs" dxfId="310" priority="32" operator="greaterThan">
      <formula>$B$7</formula>
    </cfRule>
  </conditionalFormatting>
  <dataValidations count="2">
    <dataValidation type="list" allowBlank="1" showInputMessage="1" showErrorMessage="1" sqref="C50:C59" xr:uid="{514D863D-4F36-45AD-BD1C-BAF92F647E47}">
      <formula1>$D$19:$D$21</formula1>
    </dataValidation>
    <dataValidation type="list" allowBlank="1" showInputMessage="1" showErrorMessage="1" sqref="D68:D72 D78:D82 D50:D59" xr:uid="{7EBC63C7-68DC-44A8-B003-C80FF3E24F12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D72B6-7AF3-4C14-BC06-5D6D44F78AB2}">
  <sheetPr codeName="Feuil45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3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Gymnase B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714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714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8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rzyVinmovbnMIZzgeRlys3nWhCUpILw+qsWeLvni9xkfScjQlINi+Pdjg6GFSAPAP+c7ZXLHRX7/H+t2ozUNFw==" saltValue="AVUtAKBSheZd7XAerGdMuA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309" priority="1" operator="equal">
      <formula>0</formula>
    </cfRule>
    <cfRule type="cellIs" dxfId="308" priority="6" operator="notEqual">
      <formula>$B$8</formula>
    </cfRule>
  </conditionalFormatting>
  <conditionalFormatting sqref="E3:I12">
    <cfRule type="cellIs" dxfId="307" priority="5" operator="notBetween">
      <formula>0</formula>
      <formula>100</formula>
    </cfRule>
  </conditionalFormatting>
  <conditionalFormatting sqref="E3:I14">
    <cfRule type="cellIs" dxfId="306" priority="8" operator="lessThan">
      <formula>0</formula>
    </cfRule>
  </conditionalFormatting>
  <conditionalFormatting sqref="E14:I14">
    <cfRule type="cellIs" dxfId="305" priority="11" operator="greaterThan">
      <formula>1</formula>
    </cfRule>
  </conditionalFormatting>
  <conditionalFormatting sqref="I3:I13">
    <cfRule type="cellIs" dxfId="304" priority="9" operator="equal">
      <formula>0</formula>
    </cfRule>
  </conditionalFormatting>
  <conditionalFormatting sqref="I14">
    <cfRule type="cellIs" dxfId="303" priority="10" operator="equal">
      <formula>1</formula>
    </cfRule>
    <cfRule type="cellIs" dxfId="302" priority="12" operator="lessThan">
      <formula>1</formula>
    </cfRule>
  </conditionalFormatting>
  <conditionalFormatting sqref="M4:M15">
    <cfRule type="cellIs" dxfId="301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300" priority="3">
      <formula>AND(E50&lt;MAX(E$50:E50), NOT(ISBLANK(E50)), NOT(E50=0))</formula>
    </cfRule>
  </conditionalFormatting>
  <conditionalFormatting sqref="E68:H72">
    <cfRule type="expression" dxfId="299" priority="2">
      <formula>AND(E68&lt;MAX(E$68:E68), NOT(ISBLANK(E68)), NOT(E68=0))</formula>
    </cfRule>
  </conditionalFormatting>
  <conditionalFormatting sqref="E78:H80">
    <cfRule type="expression" dxfId="298" priority="13">
      <formula>AND(E78&lt;MAX(E$78:E78), NOT(ISBLANK(E78)), NOT(E78=0))</formula>
    </cfRule>
  </conditionalFormatting>
  <conditionalFormatting sqref="I3:I12">
    <cfRule type="expression" dxfId="297" priority="14">
      <formula>AND($D3=$E$24, I3=$D$25)</formula>
    </cfRule>
    <cfRule type="expression" dxfId="296" priority="15">
      <formula>AND($D3=$E$24, MOD(I3,100)&gt;$D$25)</formula>
    </cfRule>
    <cfRule type="cellIs" dxfId="295" priority="16" operator="equal">
      <formula>100</formula>
    </cfRule>
  </conditionalFormatting>
  <conditionalFormatting sqref="H3:H12 E3:F12">
    <cfRule type="expression" dxfId="294" priority="17">
      <formula>($D3&lt;=$E$24)</formula>
    </cfRule>
  </conditionalFormatting>
  <conditionalFormatting sqref="H3:H12 D3:F12">
    <cfRule type="expression" dxfId="293" priority="18">
      <formula>($D3&gt;$E$24)</formula>
    </cfRule>
  </conditionalFormatting>
  <conditionalFormatting sqref="G3:G12">
    <cfRule type="expression" dxfId="292" priority="19">
      <formula>($D3&lt;=$E$24)</formula>
    </cfRule>
  </conditionalFormatting>
  <conditionalFormatting sqref="G3:G12">
    <cfRule type="expression" dxfId="291" priority="20">
      <formula>($D3&gt;$E$24)</formula>
    </cfRule>
  </conditionalFormatting>
  <conditionalFormatting sqref="I50 I68:I72 I78:I80 I52:I59">
    <cfRule type="cellIs" dxfId="290" priority="21" operator="lessThan">
      <formula>0</formula>
    </cfRule>
    <cfRule type="cellIs" dxfId="289" priority="22" operator="equal">
      <formula>0</formula>
    </cfRule>
    <cfRule type="expression" dxfId="288" priority="23">
      <formula>OR(MOD($I50,100)=0,AND($D50=$E$24,MOD($I50,100)=$D$25))</formula>
    </cfRule>
  </conditionalFormatting>
  <conditionalFormatting sqref="I13">
    <cfRule type="cellIs" dxfId="287" priority="24" operator="equal">
      <formula>$B$8</formula>
    </cfRule>
  </conditionalFormatting>
  <conditionalFormatting sqref="E50:H59 E68:H72 E78:H80">
    <cfRule type="cellIs" dxfId="286" priority="25" operator="notBetween">
      <formula>0</formula>
      <formula>$B$8</formula>
    </cfRule>
    <cfRule type="expression" dxfId="285" priority="26">
      <formula>($D50&lt;=$E$24)</formula>
    </cfRule>
    <cfRule type="expression" dxfId="284" priority="27">
      <formula>($D50&gt;$E$24)</formula>
    </cfRule>
  </conditionalFormatting>
  <conditionalFormatting sqref="I51">
    <cfRule type="cellIs" dxfId="283" priority="28" operator="notBetween">
      <formula>0</formula>
      <formula>$B$8</formula>
    </cfRule>
    <cfRule type="cellIs" dxfId="282" priority="29" operator="equal">
      <formula>0</formula>
    </cfRule>
    <cfRule type="expression" dxfId="281" priority="30">
      <formula>OR(MOD($I51,100)=0,AND($D51=$E$24,MOD($I51,100)=$D$25))</formula>
    </cfRule>
  </conditionalFormatting>
  <conditionalFormatting sqref="L4:L15">
    <cfRule type="expression" dxfId="280" priority="31">
      <formula>AND($L4&lt;$L3, NOT(ISBLANK($L4)))</formula>
    </cfRule>
    <cfRule type="cellIs" dxfId="279" priority="32" operator="greaterThan">
      <formula>$B$7</formula>
    </cfRule>
  </conditionalFormatting>
  <dataValidations count="2">
    <dataValidation type="list" allowBlank="1" showInputMessage="1" showErrorMessage="1" sqref="C50:C59" xr:uid="{4740411E-8DB2-42A6-A039-5B848F22D454}">
      <formula1>$D$19:$D$21</formula1>
    </dataValidation>
    <dataValidation type="list" allowBlank="1" showInputMessage="1" showErrorMessage="1" sqref="D68:D72 D78:D82 D50:D59" xr:uid="{CA53E31E-C5BC-4986-BD93-087F1FDAE92D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7C2F-DDEC-4723-A591-765EDD4E7567}">
  <sheetPr codeName="Feuil46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4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Gymnase B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679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679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7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f4wPB7wY7flzpCJVcbGXAo2Uf94lAVuno+woFkL7LfPPQwpXyYDg9Vjefp0DC8Wl2c67V1dYeYCZ933PRiUpOQ==" saltValue="D7dPeyzzTvI62vZJ9GnFTw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278" priority="1" operator="equal">
      <formula>0</formula>
    </cfRule>
    <cfRule type="cellIs" dxfId="277" priority="6" operator="notEqual">
      <formula>$B$8</formula>
    </cfRule>
  </conditionalFormatting>
  <conditionalFormatting sqref="E3:I12">
    <cfRule type="cellIs" dxfId="276" priority="5" operator="notBetween">
      <formula>0</formula>
      <formula>100</formula>
    </cfRule>
  </conditionalFormatting>
  <conditionalFormatting sqref="E3:I14">
    <cfRule type="cellIs" dxfId="275" priority="8" operator="lessThan">
      <formula>0</formula>
    </cfRule>
  </conditionalFormatting>
  <conditionalFormatting sqref="E14:I14">
    <cfRule type="cellIs" dxfId="274" priority="11" operator="greaterThan">
      <formula>1</formula>
    </cfRule>
  </conditionalFormatting>
  <conditionalFormatting sqref="I3:I13">
    <cfRule type="cellIs" dxfId="273" priority="9" operator="equal">
      <formula>0</formula>
    </cfRule>
  </conditionalFormatting>
  <conditionalFormatting sqref="I14">
    <cfRule type="cellIs" dxfId="272" priority="10" operator="equal">
      <formula>1</formula>
    </cfRule>
    <cfRule type="cellIs" dxfId="271" priority="12" operator="lessThan">
      <formula>1</formula>
    </cfRule>
  </conditionalFormatting>
  <conditionalFormatting sqref="M4:M15">
    <cfRule type="cellIs" dxfId="270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269" priority="3">
      <formula>AND(E50&lt;MAX(E$50:E50), NOT(ISBLANK(E50)), NOT(E50=0))</formula>
    </cfRule>
  </conditionalFormatting>
  <conditionalFormatting sqref="E68:H72">
    <cfRule type="expression" dxfId="268" priority="2">
      <formula>AND(E68&lt;MAX(E$68:E68), NOT(ISBLANK(E68)), NOT(E68=0))</formula>
    </cfRule>
  </conditionalFormatting>
  <conditionalFormatting sqref="E78:H80">
    <cfRule type="expression" dxfId="267" priority="13">
      <formula>AND(E78&lt;MAX(E$78:E78), NOT(ISBLANK(E78)), NOT(E78=0))</formula>
    </cfRule>
  </conditionalFormatting>
  <conditionalFormatting sqref="I3:I12">
    <cfRule type="expression" dxfId="266" priority="14">
      <formula>AND($D3=$E$24, I3=$D$25)</formula>
    </cfRule>
    <cfRule type="expression" dxfId="265" priority="15">
      <formula>AND($D3=$E$24, MOD(I3,100)&gt;$D$25)</formula>
    </cfRule>
    <cfRule type="cellIs" dxfId="264" priority="16" operator="equal">
      <formula>100</formula>
    </cfRule>
  </conditionalFormatting>
  <conditionalFormatting sqref="H3:H12 E3:F12">
    <cfRule type="expression" dxfId="263" priority="17">
      <formula>($D3&lt;=$E$24)</formula>
    </cfRule>
  </conditionalFormatting>
  <conditionalFormatting sqref="H3:H12 D3:F12">
    <cfRule type="expression" dxfId="262" priority="18">
      <formula>($D3&gt;$E$24)</formula>
    </cfRule>
  </conditionalFormatting>
  <conditionalFormatting sqref="G3:G12">
    <cfRule type="expression" dxfId="261" priority="19">
      <formula>($D3&lt;=$E$24)</formula>
    </cfRule>
  </conditionalFormatting>
  <conditionalFormatting sqref="G3:G12">
    <cfRule type="expression" dxfId="260" priority="20">
      <formula>($D3&gt;$E$24)</formula>
    </cfRule>
  </conditionalFormatting>
  <conditionalFormatting sqref="I50 I68:I72 I78:I80 I52:I59">
    <cfRule type="cellIs" dxfId="259" priority="21" operator="lessThan">
      <formula>0</formula>
    </cfRule>
    <cfRule type="cellIs" dxfId="258" priority="22" operator="equal">
      <formula>0</formula>
    </cfRule>
    <cfRule type="expression" dxfId="257" priority="23">
      <formula>OR(MOD($I50,100)=0,AND($D50=$E$24,MOD($I50,100)=$D$25))</formula>
    </cfRule>
  </conditionalFormatting>
  <conditionalFormatting sqref="I13">
    <cfRule type="cellIs" dxfId="256" priority="24" operator="equal">
      <formula>$B$8</formula>
    </cfRule>
  </conditionalFormatting>
  <conditionalFormatting sqref="E50:H59 E68:H72 E78:H80">
    <cfRule type="cellIs" dxfId="255" priority="25" operator="notBetween">
      <formula>0</formula>
      <formula>$B$8</formula>
    </cfRule>
    <cfRule type="expression" dxfId="254" priority="26">
      <formula>($D50&lt;=$E$24)</formula>
    </cfRule>
    <cfRule type="expression" dxfId="253" priority="27">
      <formula>($D50&gt;$E$24)</formula>
    </cfRule>
  </conditionalFormatting>
  <conditionalFormatting sqref="I51">
    <cfRule type="cellIs" dxfId="252" priority="28" operator="notBetween">
      <formula>0</formula>
      <formula>$B$8</formula>
    </cfRule>
    <cfRule type="cellIs" dxfId="251" priority="29" operator="equal">
      <formula>0</formula>
    </cfRule>
    <cfRule type="expression" dxfId="250" priority="30">
      <formula>OR(MOD($I51,100)=0,AND($D51=$E$24,MOD($I51,100)=$D$25))</formula>
    </cfRule>
  </conditionalFormatting>
  <conditionalFormatting sqref="L4:L15">
    <cfRule type="expression" dxfId="249" priority="31">
      <formula>AND($L4&lt;$L3, NOT(ISBLANK($L4)))</formula>
    </cfRule>
    <cfRule type="cellIs" dxfId="248" priority="32" operator="greaterThan">
      <formula>$B$7</formula>
    </cfRule>
  </conditionalFormatting>
  <dataValidations count="2">
    <dataValidation type="list" allowBlank="1" showInputMessage="1" showErrorMessage="1" sqref="C50:C59" xr:uid="{305513D6-EEB1-4891-8926-A417F746CBE8}">
      <formula1>$D$19:$D$21</formula1>
    </dataValidation>
    <dataValidation type="list" allowBlank="1" showInputMessage="1" showErrorMessage="1" sqref="D68:D72 D78:D82 D50:D59" xr:uid="{F8842CF9-9BB5-48CA-AB28-0CE7C0E72F41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1BACA-6E21-41BB-AF1D-9B7945BF06A2}">
  <sheetPr codeName="Feuil47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5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COSEC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701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701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8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Sre+USv5Sq0lV2sXV/QPZUSDF1nXPHUpX1sku9MfDnnTI/5oH37/0YQKL3kyk7zqaiYCvPSm6FguEGz53oLQnA==" saltValue="Zf9PgHOz47bxI4khlqZ2Bw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247" priority="1" operator="equal">
      <formula>0</formula>
    </cfRule>
    <cfRule type="cellIs" dxfId="246" priority="6" operator="notEqual">
      <formula>$B$8</formula>
    </cfRule>
  </conditionalFormatting>
  <conditionalFormatting sqref="E3:I12">
    <cfRule type="cellIs" dxfId="245" priority="5" operator="notBetween">
      <formula>0</formula>
      <formula>100</formula>
    </cfRule>
  </conditionalFormatting>
  <conditionalFormatting sqref="E3:I14">
    <cfRule type="cellIs" dxfId="244" priority="8" operator="lessThan">
      <formula>0</formula>
    </cfRule>
  </conditionalFormatting>
  <conditionalFormatting sqref="E14:I14">
    <cfRule type="cellIs" dxfId="243" priority="11" operator="greaterThan">
      <formula>1</formula>
    </cfRule>
  </conditionalFormatting>
  <conditionalFormatting sqref="I3:I13">
    <cfRule type="cellIs" dxfId="242" priority="9" operator="equal">
      <formula>0</formula>
    </cfRule>
  </conditionalFormatting>
  <conditionalFormatting sqref="I14">
    <cfRule type="cellIs" dxfId="241" priority="10" operator="equal">
      <formula>1</formula>
    </cfRule>
    <cfRule type="cellIs" dxfId="240" priority="12" operator="lessThan">
      <formula>1</formula>
    </cfRule>
  </conditionalFormatting>
  <conditionalFormatting sqref="M4:M15">
    <cfRule type="cellIs" dxfId="23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238" priority="3">
      <formula>AND(E50&lt;MAX(E$50:E50), NOT(ISBLANK(E50)), NOT(E50=0))</formula>
    </cfRule>
  </conditionalFormatting>
  <conditionalFormatting sqref="E68:H72">
    <cfRule type="expression" dxfId="237" priority="2">
      <formula>AND(E68&lt;MAX(E$68:E68), NOT(ISBLANK(E68)), NOT(E68=0))</formula>
    </cfRule>
  </conditionalFormatting>
  <conditionalFormatting sqref="E78:H80">
    <cfRule type="expression" dxfId="236" priority="13">
      <formula>AND(E78&lt;MAX(E$78:E78), NOT(ISBLANK(E78)), NOT(E78=0))</formula>
    </cfRule>
  </conditionalFormatting>
  <conditionalFormatting sqref="I3:I12">
    <cfRule type="expression" dxfId="235" priority="14">
      <formula>AND($D3=$E$24, I3=$D$25)</formula>
    </cfRule>
    <cfRule type="expression" dxfId="234" priority="15">
      <formula>AND($D3=$E$24, MOD(I3,100)&gt;$D$25)</formula>
    </cfRule>
    <cfRule type="cellIs" dxfId="233" priority="16" operator="equal">
      <formula>100</formula>
    </cfRule>
  </conditionalFormatting>
  <conditionalFormatting sqref="H3:H12 E3:F12">
    <cfRule type="expression" dxfId="232" priority="17">
      <formula>($D3&lt;=$E$24)</formula>
    </cfRule>
  </conditionalFormatting>
  <conditionalFormatting sqref="H3:H12 D3:F12">
    <cfRule type="expression" dxfId="231" priority="18">
      <formula>($D3&gt;$E$24)</formula>
    </cfRule>
  </conditionalFormatting>
  <conditionalFormatting sqref="G3:G12">
    <cfRule type="expression" dxfId="230" priority="19">
      <formula>($D3&lt;=$E$24)</formula>
    </cfRule>
  </conditionalFormatting>
  <conditionalFormatting sqref="G3:G12">
    <cfRule type="expression" dxfId="229" priority="20">
      <formula>($D3&gt;$E$24)</formula>
    </cfRule>
  </conditionalFormatting>
  <conditionalFormatting sqref="I50 I68:I72 I78:I80 I52:I59">
    <cfRule type="cellIs" dxfId="228" priority="21" operator="lessThan">
      <formula>0</formula>
    </cfRule>
    <cfRule type="cellIs" dxfId="227" priority="22" operator="equal">
      <formula>0</formula>
    </cfRule>
    <cfRule type="expression" dxfId="226" priority="23">
      <formula>OR(MOD($I50,100)=0,AND($D50=$E$24,MOD($I50,100)=$D$25))</formula>
    </cfRule>
  </conditionalFormatting>
  <conditionalFormatting sqref="I13">
    <cfRule type="cellIs" dxfId="225" priority="24" operator="equal">
      <formula>$B$8</formula>
    </cfRule>
  </conditionalFormatting>
  <conditionalFormatting sqref="E50:H59 E68:H72 E78:H80">
    <cfRule type="cellIs" dxfId="224" priority="25" operator="notBetween">
      <formula>0</formula>
      <formula>$B$8</formula>
    </cfRule>
    <cfRule type="expression" dxfId="223" priority="26">
      <formula>($D50&lt;=$E$24)</formula>
    </cfRule>
    <cfRule type="expression" dxfId="222" priority="27">
      <formula>($D50&gt;$E$24)</formula>
    </cfRule>
  </conditionalFormatting>
  <conditionalFormatting sqref="I51">
    <cfRule type="cellIs" dxfId="221" priority="28" operator="notBetween">
      <formula>0</formula>
      <formula>$B$8</formula>
    </cfRule>
    <cfRule type="cellIs" dxfId="220" priority="29" operator="equal">
      <formula>0</formula>
    </cfRule>
    <cfRule type="expression" dxfId="219" priority="30">
      <formula>OR(MOD($I51,100)=0,AND($D51=$E$24,MOD($I51,100)=$D$25))</formula>
    </cfRule>
  </conditionalFormatting>
  <conditionalFormatting sqref="L4:L15">
    <cfRule type="expression" dxfId="218" priority="31">
      <formula>AND($L4&lt;$L3, NOT(ISBLANK($L4)))</formula>
    </cfRule>
    <cfRule type="cellIs" dxfId="217" priority="32" operator="greaterThan">
      <formula>$B$7</formula>
    </cfRule>
  </conditionalFormatting>
  <dataValidations count="2">
    <dataValidation type="list" allowBlank="1" showInputMessage="1" showErrorMessage="1" sqref="C50:C59" xr:uid="{90F7AB86-6122-450A-9BBA-E15ACF1C4A53}">
      <formula1>$D$19:$D$21</formula1>
    </dataValidation>
    <dataValidation type="list" allowBlank="1" showInputMessage="1" showErrorMessage="1" sqref="D68:D72 D78:D82 D50:D59" xr:uid="{A3F1BEC1-8F42-40C0-AB18-F795915F8D73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B14F-8F93-474F-9DB1-6AE8F4BA0264}">
  <sheetPr codeName="Feuil48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6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COSEC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710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710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8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8hus8xpyS8oVJiIWJ+0MoInS1H4scLt6YuwLkiIKpU//7W0VLcnCYVQGwHhRzanUunXHwDRrJ766uvBrjx9sGQ==" saltValue="X2JcM2OCztM2zD+WkbedbA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216" priority="1" operator="equal">
      <formula>0</formula>
    </cfRule>
    <cfRule type="cellIs" dxfId="215" priority="6" operator="notEqual">
      <formula>$B$8</formula>
    </cfRule>
  </conditionalFormatting>
  <conditionalFormatting sqref="E3:I12">
    <cfRule type="cellIs" dxfId="214" priority="5" operator="notBetween">
      <formula>0</formula>
      <formula>100</formula>
    </cfRule>
  </conditionalFormatting>
  <conditionalFormatting sqref="E3:I14">
    <cfRule type="cellIs" dxfId="213" priority="8" operator="lessThan">
      <formula>0</formula>
    </cfRule>
  </conditionalFormatting>
  <conditionalFormatting sqref="E14:I14">
    <cfRule type="cellIs" dxfId="212" priority="11" operator="greaterThan">
      <formula>1</formula>
    </cfRule>
  </conditionalFormatting>
  <conditionalFormatting sqref="I3:I13">
    <cfRule type="cellIs" dxfId="211" priority="9" operator="equal">
      <formula>0</formula>
    </cfRule>
  </conditionalFormatting>
  <conditionalFormatting sqref="I14">
    <cfRule type="cellIs" dxfId="210" priority="10" operator="equal">
      <formula>1</formula>
    </cfRule>
    <cfRule type="cellIs" dxfId="209" priority="12" operator="lessThan">
      <formula>1</formula>
    </cfRule>
  </conditionalFormatting>
  <conditionalFormatting sqref="M4:M15">
    <cfRule type="cellIs" dxfId="20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207" priority="3">
      <formula>AND(E50&lt;MAX(E$50:E50), NOT(ISBLANK(E50)), NOT(E50=0))</formula>
    </cfRule>
  </conditionalFormatting>
  <conditionalFormatting sqref="E68:H72">
    <cfRule type="expression" dxfId="206" priority="2">
      <formula>AND(E68&lt;MAX(E$68:E68), NOT(ISBLANK(E68)), NOT(E68=0))</formula>
    </cfRule>
  </conditionalFormatting>
  <conditionalFormatting sqref="E78:H80">
    <cfRule type="expression" dxfId="205" priority="13">
      <formula>AND(E78&lt;MAX(E$78:E78), NOT(ISBLANK(E78)), NOT(E78=0))</formula>
    </cfRule>
  </conditionalFormatting>
  <conditionalFormatting sqref="I3:I12">
    <cfRule type="expression" dxfId="204" priority="14">
      <formula>AND($D3=$E$24, I3=$D$25)</formula>
    </cfRule>
    <cfRule type="expression" dxfId="203" priority="15">
      <formula>AND($D3=$E$24, MOD(I3,100)&gt;$D$25)</formula>
    </cfRule>
    <cfRule type="cellIs" dxfId="202" priority="16" operator="equal">
      <formula>100</formula>
    </cfRule>
  </conditionalFormatting>
  <conditionalFormatting sqref="H3:H12 E3:F12">
    <cfRule type="expression" dxfId="201" priority="17">
      <formula>($D3&lt;=$E$24)</formula>
    </cfRule>
  </conditionalFormatting>
  <conditionalFormatting sqref="H3:H12 D3:F12">
    <cfRule type="expression" dxfId="200" priority="18">
      <formula>($D3&gt;$E$24)</formula>
    </cfRule>
  </conditionalFormatting>
  <conditionalFormatting sqref="G3:G12">
    <cfRule type="expression" dxfId="199" priority="19">
      <formula>($D3&lt;=$E$24)</formula>
    </cfRule>
  </conditionalFormatting>
  <conditionalFormatting sqref="G3:G12">
    <cfRule type="expression" dxfId="198" priority="20">
      <formula>($D3&gt;$E$24)</formula>
    </cfRule>
  </conditionalFormatting>
  <conditionalFormatting sqref="I50 I68:I72 I78:I80 I52:I59">
    <cfRule type="cellIs" dxfId="197" priority="21" operator="lessThan">
      <formula>0</formula>
    </cfRule>
    <cfRule type="cellIs" dxfId="196" priority="22" operator="equal">
      <formula>0</formula>
    </cfRule>
    <cfRule type="expression" dxfId="195" priority="23">
      <formula>OR(MOD($I50,100)=0,AND($D50=$E$24,MOD($I50,100)=$D$25))</formula>
    </cfRule>
  </conditionalFormatting>
  <conditionalFormatting sqref="I13">
    <cfRule type="cellIs" dxfId="194" priority="24" operator="equal">
      <formula>$B$8</formula>
    </cfRule>
  </conditionalFormatting>
  <conditionalFormatting sqref="E50:H59 E68:H72 E78:H80">
    <cfRule type="cellIs" dxfId="193" priority="25" operator="notBetween">
      <formula>0</formula>
      <formula>$B$8</formula>
    </cfRule>
    <cfRule type="expression" dxfId="192" priority="26">
      <formula>($D50&lt;=$E$24)</formula>
    </cfRule>
    <cfRule type="expression" dxfId="191" priority="27">
      <formula>($D50&gt;$E$24)</formula>
    </cfRule>
  </conditionalFormatting>
  <conditionalFormatting sqref="I51">
    <cfRule type="cellIs" dxfId="190" priority="28" operator="notBetween">
      <formula>0</formula>
      <formula>$B$8</formula>
    </cfRule>
    <cfRule type="cellIs" dxfId="189" priority="29" operator="equal">
      <formula>0</formula>
    </cfRule>
    <cfRule type="expression" dxfId="188" priority="30">
      <formula>OR(MOD($I51,100)=0,AND($D51=$E$24,MOD($I51,100)=$D$25))</formula>
    </cfRule>
  </conditionalFormatting>
  <conditionalFormatting sqref="L4:L15">
    <cfRule type="expression" dxfId="187" priority="31">
      <formula>AND($L4&lt;$L3, NOT(ISBLANK($L4)))</formula>
    </cfRule>
    <cfRule type="cellIs" dxfId="186" priority="32" operator="greaterThan">
      <formula>$B$7</formula>
    </cfRule>
  </conditionalFormatting>
  <dataValidations count="2">
    <dataValidation type="list" allowBlank="1" showInputMessage="1" showErrorMessage="1" sqref="C50:C59" xr:uid="{F4BEAAE9-A53F-4BEA-9A27-87555DAC07FD}">
      <formula1>$D$19:$D$21</formula1>
    </dataValidation>
    <dataValidation type="list" allowBlank="1" showInputMessage="1" showErrorMessage="1" sqref="D68:D72 D78:D82 D50:D59" xr:uid="{CE41B277-C9AB-4285-91BA-F35F815B81CD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A0D9-9413-41DA-B859-34FAE1D5B442}">
  <sheetPr codeName="Feuil49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7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COSEC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731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731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8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O7dXPZ+S+ik6iVT96dxYs/tv5ZH8jr2TB8rei63PfA79mG5nLN5BrkozqHT9fRTO70laZxEdcdRL/q6tr3kUQQ==" saltValue="d8csVQ+zxCt7f8w9BYK4Jw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185" priority="1" operator="equal">
      <formula>0</formula>
    </cfRule>
    <cfRule type="cellIs" dxfId="184" priority="6" operator="notEqual">
      <formula>$B$8</formula>
    </cfRule>
  </conditionalFormatting>
  <conditionalFormatting sqref="E3:I12">
    <cfRule type="cellIs" dxfId="183" priority="5" operator="notBetween">
      <formula>0</formula>
      <formula>100</formula>
    </cfRule>
  </conditionalFormatting>
  <conditionalFormatting sqref="E3:I14">
    <cfRule type="cellIs" dxfId="182" priority="8" operator="lessThan">
      <formula>0</formula>
    </cfRule>
  </conditionalFormatting>
  <conditionalFormatting sqref="E14:I14">
    <cfRule type="cellIs" dxfId="181" priority="11" operator="greaterThan">
      <formula>1</formula>
    </cfRule>
  </conditionalFormatting>
  <conditionalFormatting sqref="I3:I13">
    <cfRule type="cellIs" dxfId="180" priority="9" operator="equal">
      <formula>0</formula>
    </cfRule>
  </conditionalFormatting>
  <conditionalFormatting sqref="I14">
    <cfRule type="cellIs" dxfId="179" priority="10" operator="equal">
      <formula>1</formula>
    </cfRule>
    <cfRule type="cellIs" dxfId="178" priority="12" operator="lessThan">
      <formula>1</formula>
    </cfRule>
  </conditionalFormatting>
  <conditionalFormatting sqref="M4:M15">
    <cfRule type="cellIs" dxfId="177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176" priority="3">
      <formula>AND(E50&lt;MAX(E$50:E50), NOT(ISBLANK(E50)), NOT(E50=0))</formula>
    </cfRule>
  </conditionalFormatting>
  <conditionalFormatting sqref="E68:H72">
    <cfRule type="expression" dxfId="175" priority="2">
      <formula>AND(E68&lt;MAX(E$68:E68), NOT(ISBLANK(E68)), NOT(E68=0))</formula>
    </cfRule>
  </conditionalFormatting>
  <conditionalFormatting sqref="E78:H80">
    <cfRule type="expression" dxfId="174" priority="13">
      <formula>AND(E78&lt;MAX(E$78:E78), NOT(ISBLANK(E78)), NOT(E78=0))</formula>
    </cfRule>
  </conditionalFormatting>
  <conditionalFormatting sqref="I3:I12">
    <cfRule type="expression" dxfId="173" priority="14">
      <formula>AND($D3=$E$24, I3=$D$25)</formula>
    </cfRule>
    <cfRule type="expression" dxfId="172" priority="15">
      <formula>AND($D3=$E$24, MOD(I3,100)&gt;$D$25)</formula>
    </cfRule>
    <cfRule type="cellIs" dxfId="171" priority="16" operator="equal">
      <formula>100</formula>
    </cfRule>
  </conditionalFormatting>
  <conditionalFormatting sqref="H3:H12 E3:F12">
    <cfRule type="expression" dxfId="170" priority="17">
      <formula>($D3&lt;=$E$24)</formula>
    </cfRule>
  </conditionalFormatting>
  <conditionalFormatting sqref="H3:H12 D3:F12">
    <cfRule type="expression" dxfId="169" priority="18">
      <formula>($D3&gt;$E$24)</formula>
    </cfRule>
  </conditionalFormatting>
  <conditionalFormatting sqref="G3:G12">
    <cfRule type="expression" dxfId="168" priority="19">
      <formula>($D3&lt;=$E$24)</formula>
    </cfRule>
  </conditionalFormatting>
  <conditionalFormatting sqref="G3:G12">
    <cfRule type="expression" dxfId="167" priority="20">
      <formula>($D3&gt;$E$24)</formula>
    </cfRule>
  </conditionalFormatting>
  <conditionalFormatting sqref="I50 I68:I72 I78:I80 I52:I59">
    <cfRule type="cellIs" dxfId="166" priority="21" operator="lessThan">
      <formula>0</formula>
    </cfRule>
    <cfRule type="cellIs" dxfId="165" priority="22" operator="equal">
      <formula>0</formula>
    </cfRule>
    <cfRule type="expression" dxfId="164" priority="23">
      <formula>OR(MOD($I50,100)=0,AND($D50=$E$24,MOD($I50,100)=$D$25))</formula>
    </cfRule>
  </conditionalFormatting>
  <conditionalFormatting sqref="I13">
    <cfRule type="cellIs" dxfId="163" priority="24" operator="equal">
      <formula>$B$8</formula>
    </cfRule>
  </conditionalFormatting>
  <conditionalFormatting sqref="E50:H59 E68:H72 E78:H80">
    <cfRule type="cellIs" dxfId="162" priority="25" operator="notBetween">
      <formula>0</formula>
      <formula>$B$8</formula>
    </cfRule>
    <cfRule type="expression" dxfId="161" priority="26">
      <formula>($D50&lt;=$E$24)</formula>
    </cfRule>
    <cfRule type="expression" dxfId="160" priority="27">
      <formula>($D50&gt;$E$24)</formula>
    </cfRule>
  </conditionalFormatting>
  <conditionalFormatting sqref="I51">
    <cfRule type="cellIs" dxfId="159" priority="28" operator="notBetween">
      <formula>0</formula>
      <formula>$B$8</formula>
    </cfRule>
    <cfRule type="cellIs" dxfId="158" priority="29" operator="equal">
      <formula>0</formula>
    </cfRule>
    <cfRule type="expression" dxfId="157" priority="30">
      <formula>OR(MOD($I51,100)=0,AND($D51=$E$24,MOD($I51,100)=$D$25))</formula>
    </cfRule>
  </conditionalFormatting>
  <conditionalFormatting sqref="L4:L15">
    <cfRule type="expression" dxfId="156" priority="31">
      <formula>AND($L4&lt;$L3, NOT(ISBLANK($L4)))</formula>
    </cfRule>
    <cfRule type="cellIs" dxfId="155" priority="32" operator="greaterThan">
      <formula>$B$7</formula>
    </cfRule>
  </conditionalFormatting>
  <dataValidations count="2">
    <dataValidation type="list" allowBlank="1" showInputMessage="1" showErrorMessage="1" sqref="C50:C59" xr:uid="{07677C34-10CD-448A-8A76-26E13CAFCBBD}">
      <formula1>$D$19:$D$21</formula1>
    </dataValidation>
    <dataValidation type="list" allowBlank="1" showInputMessage="1" showErrorMessage="1" sqref="D68:D72 D78:D82 D50:D59" xr:uid="{23F9307E-D2B1-4A99-8B96-4DD05B5BEC59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CA6C-8B5B-46B9-A83E-AE88565C0B5C}">
  <sheetPr codeName="Feuil50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8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COSEC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646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646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7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qkABRDsryI9uSD0r3FaGg9uptEJacSgTchqOVHrLUv+/5xA+3kS3xccZtggSe/7NPjbmNFwemjQhyVzm3nT51Q==" saltValue="ofp4PPZkal63TSGznTXNEQ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154" priority="1" operator="equal">
      <formula>0</formula>
    </cfRule>
    <cfRule type="cellIs" dxfId="153" priority="6" operator="notEqual">
      <formula>$B$8</formula>
    </cfRule>
  </conditionalFormatting>
  <conditionalFormatting sqref="E3:I12">
    <cfRule type="cellIs" dxfId="152" priority="5" operator="notBetween">
      <formula>0</formula>
      <formula>100</formula>
    </cfRule>
  </conditionalFormatting>
  <conditionalFormatting sqref="E3:I14">
    <cfRule type="cellIs" dxfId="151" priority="8" operator="lessThan">
      <formula>0</formula>
    </cfRule>
  </conditionalFormatting>
  <conditionalFormatting sqref="E14:I14">
    <cfRule type="cellIs" dxfId="150" priority="11" operator="greaterThan">
      <formula>1</formula>
    </cfRule>
  </conditionalFormatting>
  <conditionalFormatting sqref="I3:I13">
    <cfRule type="cellIs" dxfId="149" priority="9" operator="equal">
      <formula>0</formula>
    </cfRule>
  </conditionalFormatting>
  <conditionalFormatting sqref="I14">
    <cfRule type="cellIs" dxfId="148" priority="10" operator="equal">
      <formula>1</formula>
    </cfRule>
    <cfRule type="cellIs" dxfId="147" priority="12" operator="lessThan">
      <formula>1</formula>
    </cfRule>
  </conditionalFormatting>
  <conditionalFormatting sqref="M4:M15">
    <cfRule type="cellIs" dxfId="146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145" priority="3">
      <formula>AND(E50&lt;MAX(E$50:E50), NOT(ISBLANK(E50)), NOT(E50=0))</formula>
    </cfRule>
  </conditionalFormatting>
  <conditionalFormatting sqref="E68:H72">
    <cfRule type="expression" dxfId="144" priority="2">
      <formula>AND(E68&lt;MAX(E$68:E68), NOT(ISBLANK(E68)), NOT(E68=0))</formula>
    </cfRule>
  </conditionalFormatting>
  <conditionalFormatting sqref="E78:H80">
    <cfRule type="expression" dxfId="143" priority="13">
      <formula>AND(E78&lt;MAX(E$78:E78), NOT(ISBLANK(E78)), NOT(E78=0))</formula>
    </cfRule>
  </conditionalFormatting>
  <conditionalFormatting sqref="I3:I12">
    <cfRule type="expression" dxfId="142" priority="14">
      <formula>AND($D3=$E$24, I3=$D$25)</formula>
    </cfRule>
    <cfRule type="expression" dxfId="141" priority="15">
      <formula>AND($D3=$E$24, MOD(I3,100)&gt;$D$25)</formula>
    </cfRule>
    <cfRule type="cellIs" dxfId="140" priority="16" operator="equal">
      <formula>100</formula>
    </cfRule>
  </conditionalFormatting>
  <conditionalFormatting sqref="H3:H12 E3:F12">
    <cfRule type="expression" dxfId="139" priority="17">
      <formula>($D3&lt;=$E$24)</formula>
    </cfRule>
  </conditionalFormatting>
  <conditionalFormatting sqref="H3:H12 D3:F12">
    <cfRule type="expression" dxfId="138" priority="18">
      <formula>($D3&gt;$E$24)</formula>
    </cfRule>
  </conditionalFormatting>
  <conditionalFormatting sqref="G3:G12">
    <cfRule type="expression" dxfId="137" priority="19">
      <formula>($D3&lt;=$E$24)</formula>
    </cfRule>
  </conditionalFormatting>
  <conditionalFormatting sqref="G3:G12">
    <cfRule type="expression" dxfId="136" priority="20">
      <formula>($D3&gt;$E$24)</formula>
    </cfRule>
  </conditionalFormatting>
  <conditionalFormatting sqref="I50 I68:I72 I78:I80 I52:I59">
    <cfRule type="cellIs" dxfId="135" priority="21" operator="lessThan">
      <formula>0</formula>
    </cfRule>
    <cfRule type="cellIs" dxfId="134" priority="22" operator="equal">
      <formula>0</formula>
    </cfRule>
    <cfRule type="expression" dxfId="133" priority="23">
      <formula>OR(MOD($I50,100)=0,AND($D50=$E$24,MOD($I50,100)=$D$25))</formula>
    </cfRule>
  </conditionalFormatting>
  <conditionalFormatting sqref="I13">
    <cfRule type="cellIs" dxfId="132" priority="24" operator="equal">
      <formula>$B$8</formula>
    </cfRule>
  </conditionalFormatting>
  <conditionalFormatting sqref="E50:H59 E68:H72 E78:H80">
    <cfRule type="cellIs" dxfId="131" priority="25" operator="notBetween">
      <formula>0</formula>
      <formula>$B$8</formula>
    </cfRule>
    <cfRule type="expression" dxfId="130" priority="26">
      <formula>($D50&lt;=$E$24)</formula>
    </cfRule>
    <cfRule type="expression" dxfId="129" priority="27">
      <formula>($D50&gt;$E$24)</formula>
    </cfRule>
  </conditionalFormatting>
  <conditionalFormatting sqref="I51">
    <cfRule type="cellIs" dxfId="128" priority="28" operator="notBetween">
      <formula>0</formula>
      <formula>$B$8</formula>
    </cfRule>
    <cfRule type="cellIs" dxfId="127" priority="29" operator="equal">
      <formula>0</formula>
    </cfRule>
    <cfRule type="expression" dxfId="126" priority="30">
      <formula>OR(MOD($I51,100)=0,AND($D51=$E$24,MOD($I51,100)=$D$25))</formula>
    </cfRule>
  </conditionalFormatting>
  <conditionalFormatting sqref="L4:L15">
    <cfRule type="expression" dxfId="125" priority="31">
      <formula>AND($L4&lt;$L3, NOT(ISBLANK($L4)))</formula>
    </cfRule>
    <cfRule type="cellIs" dxfId="124" priority="32" operator="greaterThan">
      <formula>$B$7</formula>
    </cfRule>
  </conditionalFormatting>
  <dataValidations count="2">
    <dataValidation type="list" allowBlank="1" showInputMessage="1" showErrorMessage="1" sqref="C50:C59" xr:uid="{3E406EA1-CF50-457A-9F92-985B3CAF9D97}">
      <formula1>$D$19:$D$21</formula1>
    </dataValidation>
    <dataValidation type="list" allowBlank="1" showInputMessage="1" showErrorMessage="1" sqref="D68:D72 D78:D82 D50:D59" xr:uid="{49961397-E259-40DC-A7E1-BE7EE89E5A8C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263-BDA5-44D2-9C9A-39CB97A1CDC9}">
  <sheetPr codeName="Feuil51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9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CMM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710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710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8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cAGkipUOX98ahY0pnKl5oY472vmAUu8GB0de24FgEkD0pBLDRCst/U6Fm40JgzwpVyXHcI1KFizr9HoVLfnprg==" saltValue="Oz1D0q0Pe0dCohlrhZsOWg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123" priority="1" operator="equal">
      <formula>0</formula>
    </cfRule>
    <cfRule type="cellIs" dxfId="122" priority="6" operator="notEqual">
      <formula>$B$8</formula>
    </cfRule>
  </conditionalFormatting>
  <conditionalFormatting sqref="E3:I12">
    <cfRule type="cellIs" dxfId="121" priority="5" operator="notBetween">
      <formula>0</formula>
      <formula>100</formula>
    </cfRule>
  </conditionalFormatting>
  <conditionalFormatting sqref="E3:I14">
    <cfRule type="cellIs" dxfId="120" priority="8" operator="lessThan">
      <formula>0</formula>
    </cfRule>
  </conditionalFormatting>
  <conditionalFormatting sqref="E14:I14">
    <cfRule type="cellIs" dxfId="119" priority="11" operator="greaterThan">
      <formula>1</formula>
    </cfRule>
  </conditionalFormatting>
  <conditionalFormatting sqref="I3:I13">
    <cfRule type="cellIs" dxfId="118" priority="9" operator="equal">
      <formula>0</formula>
    </cfRule>
  </conditionalFormatting>
  <conditionalFormatting sqref="I14">
    <cfRule type="cellIs" dxfId="117" priority="10" operator="equal">
      <formula>1</formula>
    </cfRule>
    <cfRule type="cellIs" dxfId="116" priority="12" operator="lessThan">
      <formula>1</formula>
    </cfRule>
  </conditionalFormatting>
  <conditionalFormatting sqref="M4:M15">
    <cfRule type="cellIs" dxfId="115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114" priority="3">
      <formula>AND(E50&lt;MAX(E$50:E50), NOT(ISBLANK(E50)), NOT(E50=0))</formula>
    </cfRule>
  </conditionalFormatting>
  <conditionalFormatting sqref="E68:H72">
    <cfRule type="expression" dxfId="113" priority="2">
      <formula>AND(E68&lt;MAX(E$68:E68), NOT(ISBLANK(E68)), NOT(E68=0))</formula>
    </cfRule>
  </conditionalFormatting>
  <conditionalFormatting sqref="E78:H80">
    <cfRule type="expression" dxfId="112" priority="13">
      <formula>AND(E78&lt;MAX(E$78:E78), NOT(ISBLANK(E78)), NOT(E78=0))</formula>
    </cfRule>
  </conditionalFormatting>
  <conditionalFormatting sqref="I3:I12">
    <cfRule type="expression" dxfId="111" priority="14">
      <formula>AND($D3=$E$24, I3=$D$25)</formula>
    </cfRule>
    <cfRule type="expression" dxfId="110" priority="15">
      <formula>AND($D3=$E$24, MOD(I3,100)&gt;$D$25)</formula>
    </cfRule>
    <cfRule type="cellIs" dxfId="109" priority="16" operator="equal">
      <formula>100</formula>
    </cfRule>
  </conditionalFormatting>
  <conditionalFormatting sqref="H3:H12 E3:F12">
    <cfRule type="expression" dxfId="108" priority="17">
      <formula>($D3&lt;=$E$24)</formula>
    </cfRule>
  </conditionalFormatting>
  <conditionalFormatting sqref="H3:H12 D3:F12">
    <cfRule type="expression" dxfId="107" priority="18">
      <formula>($D3&gt;$E$24)</formula>
    </cfRule>
  </conditionalFormatting>
  <conditionalFormatting sqref="G3:G12">
    <cfRule type="expression" dxfId="106" priority="19">
      <formula>($D3&lt;=$E$24)</formula>
    </cfRule>
  </conditionalFormatting>
  <conditionalFormatting sqref="G3:G12">
    <cfRule type="expression" dxfId="105" priority="20">
      <formula>($D3&gt;$E$24)</formula>
    </cfRule>
  </conditionalFormatting>
  <conditionalFormatting sqref="I50 I68:I72 I78:I80 I52:I59">
    <cfRule type="cellIs" dxfId="104" priority="21" operator="lessThan">
      <formula>0</formula>
    </cfRule>
    <cfRule type="cellIs" dxfId="103" priority="22" operator="equal">
      <formula>0</formula>
    </cfRule>
    <cfRule type="expression" dxfId="102" priority="23">
      <formula>OR(MOD($I50,100)=0,AND($D50=$E$24,MOD($I50,100)=$D$25))</formula>
    </cfRule>
  </conditionalFormatting>
  <conditionalFormatting sqref="I13">
    <cfRule type="cellIs" dxfId="101" priority="24" operator="equal">
      <formula>$B$8</formula>
    </cfRule>
  </conditionalFormatting>
  <conditionalFormatting sqref="E50:H59 E68:H72 E78:H80">
    <cfRule type="cellIs" dxfId="100" priority="25" operator="notBetween">
      <formula>0</formula>
      <formula>$B$8</formula>
    </cfRule>
    <cfRule type="expression" dxfId="99" priority="26">
      <formula>($D50&lt;=$E$24)</formula>
    </cfRule>
    <cfRule type="expression" dxfId="98" priority="27">
      <formula>($D50&gt;$E$24)</formula>
    </cfRule>
  </conditionalFormatting>
  <conditionalFormatting sqref="I51">
    <cfRule type="cellIs" dxfId="97" priority="28" operator="notBetween">
      <formula>0</formula>
      <formula>$B$8</formula>
    </cfRule>
    <cfRule type="cellIs" dxfId="96" priority="29" operator="equal">
      <formula>0</formula>
    </cfRule>
    <cfRule type="expression" dxfId="95" priority="30">
      <formula>OR(MOD($I51,100)=0,AND($D51=$E$24,MOD($I51,100)=$D$25))</formula>
    </cfRule>
  </conditionalFormatting>
  <conditionalFormatting sqref="L4:L15">
    <cfRule type="expression" dxfId="94" priority="31">
      <formula>AND($L4&lt;$L3, NOT(ISBLANK($L4)))</formula>
    </cfRule>
    <cfRule type="cellIs" dxfId="93" priority="32" operator="greaterThan">
      <formula>$B$7</formula>
    </cfRule>
  </conditionalFormatting>
  <dataValidations count="2">
    <dataValidation type="list" allowBlank="1" showInputMessage="1" showErrorMessage="1" sqref="C50:C59" xr:uid="{8592EFF6-7C93-4375-A150-7816463F3884}">
      <formula1>$D$19:$D$21</formula1>
    </dataValidation>
    <dataValidation type="list" allowBlank="1" showInputMessage="1" showErrorMessage="1" sqref="D68:D72 D78:D82 D50:D59" xr:uid="{DD3ACAB9-F563-4D62-95C8-634DF94686FA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16DD5-2C09-498F-8778-A46EDD6C18C3}">
  <sheetPr codeName="Feuil52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10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CMM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609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609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7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KOcCEpbO+RlHnQ3/eGsfisixbQVhuoojXeIYwRZSI5cexJWIhB/vQcYp15JrJI3irJGZvxntkT1TheMO9oS5wA==" saltValue="FKQrntc03glFh3FzzPoKxg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92" priority="1" operator="equal">
      <formula>0</formula>
    </cfRule>
    <cfRule type="cellIs" dxfId="91" priority="6" operator="notEqual">
      <formula>$B$8</formula>
    </cfRule>
  </conditionalFormatting>
  <conditionalFormatting sqref="E3:I12">
    <cfRule type="cellIs" dxfId="90" priority="5" operator="notBetween">
      <formula>0</formula>
      <formula>100</formula>
    </cfRule>
  </conditionalFormatting>
  <conditionalFormatting sqref="E3:I14">
    <cfRule type="cellIs" dxfId="89" priority="8" operator="lessThan">
      <formula>0</formula>
    </cfRule>
  </conditionalFormatting>
  <conditionalFormatting sqref="E14:I14">
    <cfRule type="cellIs" dxfId="88" priority="11" operator="greaterThan">
      <formula>1</formula>
    </cfRule>
  </conditionalFormatting>
  <conditionalFormatting sqref="I3:I13">
    <cfRule type="cellIs" dxfId="87" priority="9" operator="equal">
      <formula>0</formula>
    </cfRule>
  </conditionalFormatting>
  <conditionalFormatting sqref="I14">
    <cfRule type="cellIs" dxfId="86" priority="10" operator="equal">
      <formula>1</formula>
    </cfRule>
    <cfRule type="cellIs" dxfId="85" priority="12" operator="lessThan">
      <formula>1</formula>
    </cfRule>
  </conditionalFormatting>
  <conditionalFormatting sqref="M4:M15">
    <cfRule type="cellIs" dxfId="84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83" priority="3">
      <formula>AND(E50&lt;MAX(E$50:E50), NOT(ISBLANK(E50)), NOT(E50=0))</formula>
    </cfRule>
  </conditionalFormatting>
  <conditionalFormatting sqref="E68:H72">
    <cfRule type="expression" dxfId="82" priority="2">
      <formula>AND(E68&lt;MAX(E$68:E68), NOT(ISBLANK(E68)), NOT(E68=0))</formula>
    </cfRule>
  </conditionalFormatting>
  <conditionalFormatting sqref="E78:H80">
    <cfRule type="expression" dxfId="81" priority="13">
      <formula>AND(E78&lt;MAX(E$78:E78), NOT(ISBLANK(E78)), NOT(E78=0))</formula>
    </cfRule>
  </conditionalFormatting>
  <conditionalFormatting sqref="I3:I12">
    <cfRule type="expression" dxfId="80" priority="14">
      <formula>AND($D3=$E$24, I3=$D$25)</formula>
    </cfRule>
    <cfRule type="expression" dxfId="79" priority="15">
      <formula>AND($D3=$E$24, MOD(I3,100)&gt;$D$25)</formula>
    </cfRule>
    <cfRule type="cellIs" dxfId="78" priority="16" operator="equal">
      <formula>100</formula>
    </cfRule>
  </conditionalFormatting>
  <conditionalFormatting sqref="H3:H12 E3:F12">
    <cfRule type="expression" dxfId="77" priority="17">
      <formula>($D3&lt;=$E$24)</formula>
    </cfRule>
  </conditionalFormatting>
  <conditionalFormatting sqref="H3:H12 D3:F12">
    <cfRule type="expression" dxfId="76" priority="18">
      <formula>($D3&gt;$E$24)</formula>
    </cfRule>
  </conditionalFormatting>
  <conditionalFormatting sqref="G3:G12">
    <cfRule type="expression" dxfId="75" priority="19">
      <formula>($D3&lt;=$E$24)</formula>
    </cfRule>
  </conditionalFormatting>
  <conditionalFormatting sqref="G3:G12">
    <cfRule type="expression" dxfId="74" priority="20">
      <formula>($D3&gt;$E$24)</formula>
    </cfRule>
  </conditionalFormatting>
  <conditionalFormatting sqref="I50 I68:I72 I78:I80 I52:I59">
    <cfRule type="cellIs" dxfId="73" priority="21" operator="lessThan">
      <formula>0</formula>
    </cfRule>
    <cfRule type="cellIs" dxfId="72" priority="22" operator="equal">
      <formula>0</formula>
    </cfRule>
    <cfRule type="expression" dxfId="71" priority="23">
      <formula>OR(MOD($I50,100)=0,AND($D50=$E$24,MOD($I50,100)=$D$25))</formula>
    </cfRule>
  </conditionalFormatting>
  <conditionalFormatting sqref="I13">
    <cfRule type="cellIs" dxfId="70" priority="24" operator="equal">
      <formula>$B$8</formula>
    </cfRule>
  </conditionalFormatting>
  <conditionalFormatting sqref="E50:H59 E68:H72 E78:H80">
    <cfRule type="cellIs" dxfId="69" priority="25" operator="notBetween">
      <formula>0</formula>
      <formula>$B$8</formula>
    </cfRule>
    <cfRule type="expression" dxfId="68" priority="26">
      <formula>($D50&lt;=$E$24)</formula>
    </cfRule>
    <cfRule type="expression" dxfId="67" priority="27">
      <formula>($D50&gt;$E$24)</formula>
    </cfRule>
  </conditionalFormatting>
  <conditionalFormatting sqref="I51">
    <cfRule type="cellIs" dxfId="66" priority="28" operator="notBetween">
      <formula>0</formula>
      <formula>$B$8</formula>
    </cfRule>
    <cfRule type="cellIs" dxfId="65" priority="29" operator="equal">
      <formula>0</formula>
    </cfRule>
    <cfRule type="expression" dxfId="64" priority="30">
      <formula>OR(MOD($I51,100)=0,AND($D51=$E$24,MOD($I51,100)=$D$25))</formula>
    </cfRule>
  </conditionalFormatting>
  <conditionalFormatting sqref="L4:L15">
    <cfRule type="expression" dxfId="63" priority="31">
      <formula>AND($L4&lt;$L3, NOT(ISBLANK($L4)))</formula>
    </cfRule>
    <cfRule type="cellIs" dxfId="62" priority="32" operator="greaterThan">
      <formula>$B$7</formula>
    </cfRule>
  </conditionalFormatting>
  <dataValidations count="2">
    <dataValidation type="list" allowBlank="1" showInputMessage="1" showErrorMessage="1" sqref="C50:C59" xr:uid="{E3C92FAC-EF90-42F2-80E6-2639CCD030FB}">
      <formula1>$D$19:$D$21</formula1>
    </dataValidation>
    <dataValidation type="list" allowBlank="1" showInputMessage="1" showErrorMessage="1" sqref="D68:D72 D78:D82 D50:D59" xr:uid="{81DA66F4-1959-4729-B0B0-0298689C3D0C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86891-936D-46A4-AA3A-E3AD0D3F41BB}">
  <sheetPr codeName="Feuil53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11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CMM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691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691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7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wuD9Jz6h4m+Il9qSeo/8WWbji9j22tY6lkVoI3ujy8s8/oJHS3TDMo84lOAbSLr0h4aYrFcmWHG0fDTUnRyTqg==" saltValue="uD8142ffK772/3Bmj1nRsg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61" priority="1" operator="equal">
      <formula>0</formula>
    </cfRule>
    <cfRule type="cellIs" dxfId="60" priority="6" operator="notEqual">
      <formula>$B$8</formula>
    </cfRule>
  </conditionalFormatting>
  <conditionalFormatting sqref="E3:I12">
    <cfRule type="cellIs" dxfId="59" priority="5" operator="notBetween">
      <formula>0</formula>
      <formula>100</formula>
    </cfRule>
  </conditionalFormatting>
  <conditionalFormatting sqref="E3:I14">
    <cfRule type="cellIs" dxfId="58" priority="8" operator="lessThan">
      <formula>0</formula>
    </cfRule>
  </conditionalFormatting>
  <conditionalFormatting sqref="E14:I14">
    <cfRule type="cellIs" dxfId="57" priority="11" operator="greaterThan">
      <formula>1</formula>
    </cfRule>
  </conditionalFormatting>
  <conditionalFormatting sqref="I3:I13">
    <cfRule type="cellIs" dxfId="56" priority="9" operator="equal">
      <formula>0</formula>
    </cfRule>
  </conditionalFormatting>
  <conditionalFormatting sqref="I14">
    <cfRule type="cellIs" dxfId="55" priority="10" operator="equal">
      <formula>1</formula>
    </cfRule>
    <cfRule type="cellIs" dxfId="54" priority="12" operator="lessThan">
      <formula>1</formula>
    </cfRule>
  </conditionalFormatting>
  <conditionalFormatting sqref="M4:M15">
    <cfRule type="cellIs" dxfId="53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52" priority="3">
      <formula>AND(E50&lt;MAX(E$50:E50), NOT(ISBLANK(E50)), NOT(E50=0))</formula>
    </cfRule>
  </conditionalFormatting>
  <conditionalFormatting sqref="E68:H72">
    <cfRule type="expression" dxfId="51" priority="2">
      <formula>AND(E68&lt;MAX(E$68:E68), NOT(ISBLANK(E68)), NOT(E68=0))</formula>
    </cfRule>
  </conditionalFormatting>
  <conditionalFormatting sqref="E78:H80">
    <cfRule type="expression" dxfId="50" priority="13">
      <formula>AND(E78&lt;MAX(E$78:E78), NOT(ISBLANK(E78)), NOT(E78=0))</formula>
    </cfRule>
  </conditionalFormatting>
  <conditionalFormatting sqref="I3:I12">
    <cfRule type="expression" dxfId="49" priority="14">
      <formula>AND($D3=$E$24, I3=$D$25)</formula>
    </cfRule>
    <cfRule type="expression" dxfId="48" priority="15">
      <formula>AND($D3=$E$24, MOD(I3,100)&gt;$D$25)</formula>
    </cfRule>
    <cfRule type="cellIs" dxfId="47" priority="16" operator="equal">
      <formula>100</formula>
    </cfRule>
  </conditionalFormatting>
  <conditionalFormatting sqref="H3:H12 E3:F12">
    <cfRule type="expression" dxfId="46" priority="17">
      <formula>($D3&lt;=$E$24)</formula>
    </cfRule>
  </conditionalFormatting>
  <conditionalFormatting sqref="H3:H12 D3:F12">
    <cfRule type="expression" dxfId="45" priority="18">
      <formula>($D3&gt;$E$24)</formula>
    </cfRule>
  </conditionalFormatting>
  <conditionalFormatting sqref="G3:G12">
    <cfRule type="expression" dxfId="44" priority="19">
      <formula>($D3&lt;=$E$24)</formula>
    </cfRule>
  </conditionalFormatting>
  <conditionalFormatting sqref="G3:G12">
    <cfRule type="expression" dxfId="43" priority="20">
      <formula>($D3&gt;$E$24)</formula>
    </cfRule>
  </conditionalFormatting>
  <conditionalFormatting sqref="I50 I68:I72 I78:I80 I52:I59">
    <cfRule type="cellIs" dxfId="42" priority="21" operator="lessThan">
      <formula>0</formula>
    </cfRule>
    <cfRule type="cellIs" dxfId="41" priority="22" operator="equal">
      <formula>0</formula>
    </cfRule>
    <cfRule type="expression" dxfId="40" priority="23">
      <formula>OR(MOD($I50,100)=0,AND($D50=$E$24,MOD($I50,100)=$D$25))</formula>
    </cfRule>
  </conditionalFormatting>
  <conditionalFormatting sqref="I13">
    <cfRule type="cellIs" dxfId="39" priority="24" operator="equal">
      <formula>$B$8</formula>
    </cfRule>
  </conditionalFormatting>
  <conditionalFormatting sqref="E50:H59 E68:H72 E78:H80">
    <cfRule type="cellIs" dxfId="38" priority="25" operator="notBetween">
      <formula>0</formula>
      <formula>$B$8</formula>
    </cfRule>
    <cfRule type="expression" dxfId="37" priority="26">
      <formula>($D50&lt;=$E$24)</formula>
    </cfRule>
    <cfRule type="expression" dxfId="36" priority="27">
      <formula>($D50&gt;$E$24)</formula>
    </cfRule>
  </conditionalFormatting>
  <conditionalFormatting sqref="I51">
    <cfRule type="cellIs" dxfId="35" priority="28" operator="notBetween">
      <formula>0</formula>
      <formula>$B$8</formula>
    </cfRule>
    <cfRule type="cellIs" dxfId="34" priority="29" operator="equal">
      <formula>0</formula>
    </cfRule>
    <cfRule type="expression" dxfId="33" priority="30">
      <formula>OR(MOD($I51,100)=0,AND($D51=$E$24,MOD($I51,100)=$D$25))</formula>
    </cfRule>
  </conditionalFormatting>
  <conditionalFormatting sqref="L4:L15">
    <cfRule type="expression" dxfId="32" priority="31">
      <formula>AND($L4&lt;$L3, NOT(ISBLANK($L4)))</formula>
    </cfRule>
    <cfRule type="cellIs" dxfId="31" priority="32" operator="greaterThan">
      <formula>$B$7</formula>
    </cfRule>
  </conditionalFormatting>
  <dataValidations count="2">
    <dataValidation type="list" allowBlank="1" showInputMessage="1" showErrorMessage="1" sqref="C50:C59" xr:uid="{1390BDCB-5E5F-40CE-9E33-A2FF853DC65B}">
      <formula1>$D$19:$D$21</formula1>
    </dataValidation>
    <dataValidation type="list" allowBlank="1" showInputMessage="1" showErrorMessage="1" sqref="D68:D72 D78:D82 D50:D59" xr:uid="{E4AD0829-C36C-44AC-9638-5A0F842AAA39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62A28-B097-4F44-9183-CD907103B49D}">
  <sheetPr codeName="Feuil54">
    <tabColor rgb="FFB4A7D6"/>
  </sheetPr>
  <dimension ref="A1:Q82"/>
  <sheetViews>
    <sheetView zoomScale="90" zoomScaleNormal="90" workbookViewId="0">
      <selection activeCell="B28" sqref="B28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34" t="str">
        <f>Synthèse!$A$17</f>
        <v>Date</v>
      </c>
      <c r="B1" s="653">
        <f>Synthèse!$B$17</f>
        <v>46103</v>
      </c>
      <c r="D1" s="224"/>
      <c r="E1" s="921" t="s">
        <v>118</v>
      </c>
      <c r="F1" s="922"/>
      <c r="G1" s="933"/>
      <c r="H1" s="934"/>
      <c r="I1" s="297" t="s">
        <v>7</v>
      </c>
      <c r="J1" s="339"/>
    </row>
    <row r="2" spans="1:17" ht="45" customHeight="1" thickBot="1" x14ac:dyDescent="0.25">
      <c r="A2" s="435" t="str">
        <f>Synthèse!$A$18</f>
        <v>Election</v>
      </c>
      <c r="B2" s="654" t="str">
        <f>Synthèse!$B$18</f>
        <v>Municipale</v>
      </c>
      <c r="D2" s="439" t="s">
        <v>80</v>
      </c>
      <c r="E2" s="626" t="str">
        <f>Synthèse!L2</f>
        <v>M. Pierre-Yves 
TIERCE</v>
      </c>
      <c r="F2" s="587" t="str">
        <f>Synthèse!M2</f>
        <v>Mme Isabelle 
FARNET RISSO</v>
      </c>
      <c r="G2" s="658" t="s">
        <v>4</v>
      </c>
      <c r="H2" s="659" t="s">
        <v>3</v>
      </c>
      <c r="I2" s="660" t="s">
        <v>102</v>
      </c>
      <c r="J2" s="339"/>
      <c r="K2" s="475" t="s">
        <v>21</v>
      </c>
      <c r="L2" s="476" t="s">
        <v>56</v>
      </c>
      <c r="M2" s="477" t="s">
        <v>30</v>
      </c>
      <c r="N2" s="454"/>
      <c r="O2" s="931" t="s">
        <v>58</v>
      </c>
      <c r="P2" s="931" t="s">
        <v>57</v>
      </c>
    </row>
    <row r="3" spans="1:17" ht="20.100000000000001" customHeight="1" thickBot="1" x14ac:dyDescent="0.25">
      <c r="A3" s="651" t="str">
        <f>Synthèse!$A$19</f>
        <v>Tour</v>
      </c>
      <c r="B3" s="655">
        <f>Synthèse!$B$19</f>
        <v>2</v>
      </c>
      <c r="D3" s="258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25">
        <f t="shared" ref="I3:I13" si="0">SUM(E3:H3)</f>
        <v>0</v>
      </c>
      <c r="J3" s="339"/>
      <c r="K3" s="451" t="s">
        <v>31</v>
      </c>
      <c r="L3" s="452">
        <v>0</v>
      </c>
      <c r="M3" s="453">
        <f>L3/$B$7</f>
        <v>0</v>
      </c>
      <c r="N3" s="454"/>
      <c r="O3" s="932"/>
      <c r="P3" s="932"/>
    </row>
    <row r="4" spans="1:17" ht="20.100000000000001" customHeight="1" thickBot="1" x14ac:dyDescent="0.25">
      <c r="A4" s="652" t="str">
        <f>Synthèse!$A$20</f>
        <v>Ville</v>
      </c>
      <c r="B4" s="656" t="str">
        <f>Synthèse!$B$20</f>
        <v>Cogolin</v>
      </c>
      <c r="D4" s="259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25">
        <f t="shared" si="0"/>
        <v>0</v>
      </c>
      <c r="J4" s="339"/>
      <c r="K4" s="455" t="s">
        <v>32</v>
      </c>
      <c r="L4" s="456"/>
      <c r="M4" s="457" t="e">
        <f t="shared" ref="M4:M15" si="1">IF(OR(L4=0, L4=""), NA(), L4/$B$7)</f>
        <v>#N/A</v>
      </c>
      <c r="N4" s="454"/>
      <c r="O4" s="458" t="s">
        <v>44</v>
      </c>
      <c r="P4" s="459" t="e">
        <f t="shared" ref="P4:P13" si="2">IF(L4&lt;&gt;0,L4-L3,NA())</f>
        <v>#N/A</v>
      </c>
    </row>
    <row r="5" spans="1:17" ht="20.100000000000001" customHeight="1" x14ac:dyDescent="0.25">
      <c r="A5" s="436" t="s">
        <v>22</v>
      </c>
      <c r="B5" s="342">
        <v>12</v>
      </c>
      <c r="D5" s="259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2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25">
        <f t="shared" si="0"/>
        <v>0</v>
      </c>
      <c r="J5" s="340"/>
      <c r="K5" s="455" t="s">
        <v>33</v>
      </c>
      <c r="L5" s="456"/>
      <c r="M5" s="457" t="e">
        <f t="shared" si="1"/>
        <v>#N/A</v>
      </c>
      <c r="N5" s="454"/>
      <c r="O5" s="460" t="s">
        <v>45</v>
      </c>
      <c r="P5" s="461" t="e">
        <f t="shared" si="2"/>
        <v>#N/A</v>
      </c>
    </row>
    <row r="6" spans="1:17" ht="20.100000000000001" customHeight="1" x14ac:dyDescent="0.25">
      <c r="A6" s="437" t="s">
        <v>23</v>
      </c>
      <c r="B6" s="343" t="str">
        <f>INDEX(Synthèse!B:B,B5+2)</f>
        <v>Base nautique</v>
      </c>
      <c r="D6" s="259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2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25">
        <f t="shared" si="0"/>
        <v>0</v>
      </c>
      <c r="J6" s="340"/>
      <c r="K6" s="455" t="s">
        <v>34</v>
      </c>
      <c r="L6" s="456"/>
      <c r="M6" s="457" t="e">
        <f t="shared" si="1"/>
        <v>#N/A</v>
      </c>
      <c r="N6" s="454"/>
      <c r="O6" s="460" t="s">
        <v>46</v>
      </c>
      <c r="P6" s="461" t="e">
        <f t="shared" si="2"/>
        <v>#N/A</v>
      </c>
    </row>
    <row r="7" spans="1:17" ht="20.100000000000001" customHeight="1" x14ac:dyDescent="0.25">
      <c r="A7" s="437" t="s">
        <v>0</v>
      </c>
      <c r="B7" s="143">
        <f>INDEX(Synthèse!C:C,B5+2)</f>
        <v>681</v>
      </c>
      <c r="D7" s="259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25">
        <f t="shared" si="0"/>
        <v>0</v>
      </c>
      <c r="J7" s="340"/>
      <c r="K7" s="455" t="s">
        <v>35</v>
      </c>
      <c r="L7" s="456"/>
      <c r="M7" s="457" t="e">
        <f t="shared" si="1"/>
        <v>#N/A</v>
      </c>
      <c r="N7" s="454"/>
      <c r="O7" s="460" t="s">
        <v>53</v>
      </c>
      <c r="P7" s="461" t="e">
        <f t="shared" si="2"/>
        <v>#N/A</v>
      </c>
    </row>
    <row r="8" spans="1:17" ht="20.100000000000001" customHeight="1" x14ac:dyDescent="0.25">
      <c r="A8" s="437" t="s">
        <v>2</v>
      </c>
      <c r="B8" s="122">
        <f>MAX(L4:L15)</f>
        <v>0</v>
      </c>
      <c r="D8" s="259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25">
        <f t="shared" si="0"/>
        <v>0</v>
      </c>
      <c r="J8" s="340"/>
      <c r="K8" s="455" t="s">
        <v>36</v>
      </c>
      <c r="L8" s="456"/>
      <c r="M8" s="457" t="e">
        <f t="shared" si="1"/>
        <v>#N/A</v>
      </c>
      <c r="N8" s="454"/>
      <c r="O8" s="460" t="s">
        <v>47</v>
      </c>
      <c r="P8" s="461" t="e">
        <f t="shared" si="2"/>
        <v>#N/A</v>
      </c>
    </row>
    <row r="9" spans="1:17" ht="20.100000000000001" customHeight="1" x14ac:dyDescent="0.25">
      <c r="A9" s="437" t="s">
        <v>1</v>
      </c>
      <c r="B9" s="123"/>
      <c r="D9" s="259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25">
        <f t="shared" si="0"/>
        <v>0</v>
      </c>
      <c r="J9" s="340"/>
      <c r="K9" s="455" t="s">
        <v>37</v>
      </c>
      <c r="L9" s="456"/>
      <c r="M9" s="457" t="e">
        <f t="shared" si="1"/>
        <v>#N/A</v>
      </c>
      <c r="N9" s="454"/>
      <c r="O9" s="460" t="s">
        <v>48</v>
      </c>
      <c r="P9" s="461" t="e">
        <f t="shared" si="2"/>
        <v>#N/A</v>
      </c>
    </row>
    <row r="10" spans="1:17" ht="20.100000000000001" customHeight="1" thickBot="1" x14ac:dyDescent="0.3">
      <c r="A10" s="438" t="s">
        <v>17</v>
      </c>
      <c r="B10" s="124">
        <f>B7-B8</f>
        <v>681</v>
      </c>
      <c r="D10" s="259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25">
        <f t="shared" si="0"/>
        <v>0</v>
      </c>
      <c r="J10" s="340"/>
      <c r="K10" s="455" t="s">
        <v>38</v>
      </c>
      <c r="L10" s="456"/>
      <c r="M10" s="457" t="e">
        <f t="shared" si="1"/>
        <v>#N/A</v>
      </c>
      <c r="N10" s="454"/>
      <c r="O10" s="460" t="s">
        <v>49</v>
      </c>
      <c r="P10" s="461" t="e">
        <f t="shared" si="2"/>
        <v>#N/A</v>
      </c>
    </row>
    <row r="11" spans="1:17" ht="20.100000000000001" customHeight="1" x14ac:dyDescent="0.2">
      <c r="A11" s="928" t="s">
        <v>151</v>
      </c>
      <c r="B11" s="928"/>
      <c r="D11" s="259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25">
        <f t="shared" si="0"/>
        <v>0</v>
      </c>
      <c r="J11" s="340"/>
      <c r="K11" s="455" t="s">
        <v>39</v>
      </c>
      <c r="L11" s="456"/>
      <c r="M11" s="457" t="e">
        <f t="shared" si="1"/>
        <v>#N/A</v>
      </c>
      <c r="N11" s="454"/>
      <c r="O11" s="460" t="s">
        <v>50</v>
      </c>
      <c r="P11" s="461" t="e">
        <f t="shared" si="2"/>
        <v>#N/A</v>
      </c>
    </row>
    <row r="12" spans="1:17" ht="20.100000000000001" customHeight="1" thickBot="1" x14ac:dyDescent="0.25">
      <c r="A12" s="929"/>
      <c r="B12" s="929"/>
      <c r="D12" s="260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25">
        <f t="shared" si="0"/>
        <v>0</v>
      </c>
      <c r="J12" s="340"/>
      <c r="K12" s="455" t="s">
        <v>40</v>
      </c>
      <c r="L12" s="456"/>
      <c r="M12" s="457" t="e">
        <f t="shared" si="1"/>
        <v>#N/A</v>
      </c>
      <c r="N12" s="454"/>
      <c r="O12" s="460" t="s">
        <v>51</v>
      </c>
      <c r="P12" s="461" t="e">
        <f t="shared" si="2"/>
        <v>#N/A</v>
      </c>
    </row>
    <row r="13" spans="1:17" ht="24.95" customHeight="1" thickBot="1" x14ac:dyDescent="0.4">
      <c r="A13" s="926" t="s">
        <v>60</v>
      </c>
      <c r="B13" s="926"/>
      <c r="D13" s="440" t="s">
        <v>9</v>
      </c>
      <c r="E13" s="444">
        <f>SUM(E3:E12)</f>
        <v>0</v>
      </c>
      <c r="F13" s="445">
        <f>SUM(F3:F12)</f>
        <v>0</v>
      </c>
      <c r="G13" s="446">
        <f>SUM(G3:G12)</f>
        <v>0</v>
      </c>
      <c r="H13" s="447">
        <f>SUM(H3:H12)</f>
        <v>0</v>
      </c>
      <c r="I13" s="441">
        <f t="shared" si="0"/>
        <v>0</v>
      </c>
      <c r="J13" s="340"/>
      <c r="K13" s="455" t="s">
        <v>41</v>
      </c>
      <c r="L13" s="456"/>
      <c r="M13" s="457" t="e">
        <f t="shared" si="1"/>
        <v>#N/A</v>
      </c>
      <c r="N13" s="454"/>
      <c r="O13" s="462" t="s">
        <v>52</v>
      </c>
      <c r="P13" s="463" t="e">
        <f t="shared" si="2"/>
        <v>#N/A</v>
      </c>
    </row>
    <row r="14" spans="1:17" ht="26.45" customHeight="1" thickBot="1" x14ac:dyDescent="0.4">
      <c r="A14" s="926"/>
      <c r="B14" s="926"/>
      <c r="D14" s="442" t="s">
        <v>10</v>
      </c>
      <c r="E14" s="448">
        <f>IFERROR(E13/$B$8,0)</f>
        <v>0</v>
      </c>
      <c r="F14" s="449">
        <f>IFERROR(F13/$B$8,0)</f>
        <v>0</v>
      </c>
      <c r="G14" s="448">
        <f>IFERROR(G13/$B$8,0)</f>
        <v>0</v>
      </c>
      <c r="H14" s="450">
        <f>IFERROR(H13/$B$8,0)</f>
        <v>0</v>
      </c>
      <c r="I14" s="443">
        <f>IFERROR(I13/$B$8,0)</f>
        <v>0</v>
      </c>
      <c r="J14" s="339"/>
      <c r="K14" s="464" t="s">
        <v>42</v>
      </c>
      <c r="L14" s="465"/>
      <c r="M14" s="466" t="e">
        <f t="shared" si="1"/>
        <v>#N/A</v>
      </c>
      <c r="N14" s="467"/>
      <c r="O14" s="468" t="s">
        <v>54</v>
      </c>
      <c r="P14" s="469" t="e">
        <f>IF(L14&lt;&gt;0,L14-L13,NA())</f>
        <v>#N/A</v>
      </c>
      <c r="Q14" s="281"/>
    </row>
    <row r="15" spans="1:17" ht="18" customHeight="1" thickBot="1" x14ac:dyDescent="0.25">
      <c r="A15" s="926"/>
      <c r="B15" s="926"/>
      <c r="C15" s="1"/>
      <c r="D15" s="1"/>
      <c r="I15" s="235"/>
      <c r="J15" s="339"/>
      <c r="K15" s="470" t="s">
        <v>43</v>
      </c>
      <c r="L15" s="471"/>
      <c r="M15" s="472" t="e">
        <f t="shared" si="1"/>
        <v>#N/A</v>
      </c>
      <c r="N15" s="454"/>
      <c r="O15" s="473" t="s">
        <v>55</v>
      </c>
      <c r="P15" s="474" t="e">
        <f>IF(L15&lt;&gt;0,L15-L14,NA())</f>
        <v>#N/A</v>
      </c>
      <c r="Q15" s="281"/>
    </row>
    <row r="16" spans="1:17" ht="12.75" customHeight="1" x14ac:dyDescent="0.2">
      <c r="A16" s="930" t="s">
        <v>66</v>
      </c>
      <c r="B16" s="930"/>
      <c r="J16" s="339"/>
      <c r="K16" s="235"/>
      <c r="L16" s="235"/>
      <c r="M16" s="235"/>
      <c r="P16" s="235"/>
    </row>
    <row r="17" spans="1:10" ht="18" customHeight="1" x14ac:dyDescent="0.25">
      <c r="A17" s="930"/>
      <c r="B17" s="930"/>
      <c r="E17" s="184"/>
      <c r="F17" s="184"/>
      <c r="J17" s="339"/>
    </row>
    <row r="18" spans="1:10" ht="26.25" customHeight="1" x14ac:dyDescent="0.2">
      <c r="A18" s="930"/>
      <c r="B18" s="930"/>
      <c r="D18" s="328" t="s">
        <v>63</v>
      </c>
      <c r="J18" s="339"/>
    </row>
    <row r="19" spans="1:10" ht="18.75" customHeight="1" x14ac:dyDescent="0.2">
      <c r="A19" s="930"/>
      <c r="B19" s="930"/>
      <c r="D19" s="329">
        <f>IF((ROW()-23)&lt;=$E$25,(ROW()-23),"Choisir")</f>
        <v>-4</v>
      </c>
      <c r="J19" s="339"/>
    </row>
    <row r="20" spans="1:10" x14ac:dyDescent="0.2">
      <c r="D20" s="329">
        <f>IF((ROW()-23)&lt;=$E$25,(ROW()-23),"Choisir")</f>
        <v>-3</v>
      </c>
      <c r="J20" s="339"/>
    </row>
    <row r="21" spans="1:10" x14ac:dyDescent="0.2">
      <c r="D21" s="329">
        <f>IF((ROW()-23)&lt;=$E$25,(ROW()-23),"Choisir")</f>
        <v>-2</v>
      </c>
      <c r="J21" s="339"/>
    </row>
    <row r="22" spans="1:10" x14ac:dyDescent="0.2">
      <c r="D22" s="329">
        <f>IF((ROW()-23)&lt;=$E$25,(ROW()-23),"Choisir")</f>
        <v>-1</v>
      </c>
      <c r="J22" s="339"/>
    </row>
    <row r="23" spans="1:10" x14ac:dyDescent="0.2">
      <c r="J23" s="339"/>
    </row>
    <row r="24" spans="1:10" x14ac:dyDescent="0.2">
      <c r="D24" s="198">
        <f>CEILING($B$7, 100)/100</f>
        <v>7</v>
      </c>
      <c r="E24" s="310">
        <f>CEILING($B$8,100)/100</f>
        <v>0</v>
      </c>
      <c r="F24" s="310"/>
      <c r="J24" s="339"/>
    </row>
    <row r="25" spans="1:10" x14ac:dyDescent="0.2">
      <c r="D25" s="198">
        <f>MOD($B$8,100)</f>
        <v>0</v>
      </c>
      <c r="E25" s="199">
        <f>CEILING($B$7/300,1)</f>
        <v>3</v>
      </c>
      <c r="F25" s="199"/>
      <c r="J25" s="339"/>
    </row>
    <row r="26" spans="1:10" x14ac:dyDescent="0.2">
      <c r="J26" s="339"/>
    </row>
    <row r="27" spans="1:10" x14ac:dyDescent="0.2">
      <c r="J27" s="339"/>
    </row>
    <row r="28" spans="1:10" x14ac:dyDescent="0.2">
      <c r="J28" s="339"/>
    </row>
    <row r="29" spans="1:10" x14ac:dyDescent="0.2">
      <c r="J29" s="339"/>
    </row>
    <row r="30" spans="1:10" x14ac:dyDescent="0.2">
      <c r="J30" s="339"/>
    </row>
    <row r="31" spans="1:10" x14ac:dyDescent="0.2">
      <c r="J31" s="339"/>
    </row>
    <row r="32" spans="1:10" x14ac:dyDescent="0.2">
      <c r="J32" s="339"/>
    </row>
    <row r="33" spans="1:10" x14ac:dyDescent="0.2">
      <c r="J33" s="339"/>
    </row>
    <row r="34" spans="1:10" x14ac:dyDescent="0.2">
      <c r="J34" s="339"/>
    </row>
    <row r="35" spans="1:10" x14ac:dyDescent="0.2">
      <c r="J35" s="339"/>
    </row>
    <row r="36" spans="1:10" x14ac:dyDescent="0.2">
      <c r="J36" s="339"/>
    </row>
    <row r="37" spans="1:10" x14ac:dyDescent="0.2">
      <c r="J37" s="339"/>
    </row>
    <row r="38" spans="1:10" x14ac:dyDescent="0.2">
      <c r="J38" s="339"/>
    </row>
    <row r="39" spans="1:10" x14ac:dyDescent="0.2">
      <c r="J39" s="339"/>
    </row>
    <row r="40" spans="1:10" x14ac:dyDescent="0.2">
      <c r="J40" s="339"/>
    </row>
    <row r="41" spans="1:10" x14ac:dyDescent="0.2">
      <c r="J41" s="339"/>
    </row>
    <row r="42" spans="1:10" x14ac:dyDescent="0.2">
      <c r="J42" s="339"/>
    </row>
    <row r="43" spans="1:10" ht="13.5" thickBot="1" x14ac:dyDescent="0.25">
      <c r="A43" s="338"/>
      <c r="B43" s="338"/>
      <c r="C43" s="338"/>
      <c r="D43" s="338"/>
      <c r="E43" s="338"/>
      <c r="F43" s="338"/>
      <c r="G43" s="338"/>
      <c r="H43" s="338"/>
      <c r="I43" s="338"/>
      <c r="J43" s="341"/>
    </row>
    <row r="44" spans="1:10" ht="13.5" thickTop="1" x14ac:dyDescent="0.2">
      <c r="J44" s="339"/>
    </row>
    <row r="45" spans="1:10" x14ac:dyDescent="0.2">
      <c r="J45" s="339"/>
    </row>
    <row r="46" spans="1:10" x14ac:dyDescent="0.2">
      <c r="E46" s="125"/>
      <c r="F46" s="125"/>
      <c r="J46" s="339"/>
    </row>
    <row r="47" spans="1:10" ht="13.5" thickBot="1" x14ac:dyDescent="0.25">
      <c r="E47" s="125"/>
      <c r="F47" s="125"/>
      <c r="J47" s="339"/>
    </row>
    <row r="48" spans="1:10" ht="20.100000000000001" customHeight="1" thickBot="1" x14ac:dyDescent="0.25">
      <c r="D48" s="188" t="s">
        <v>76</v>
      </c>
      <c r="E48" s="918" t="s">
        <v>115</v>
      </c>
      <c r="F48" s="919"/>
      <c r="G48" s="919"/>
      <c r="H48" s="920"/>
      <c r="I48" s="287" t="s">
        <v>7</v>
      </c>
      <c r="J48" s="339"/>
    </row>
    <row r="49" spans="3:10" ht="47.25" customHeight="1" thickBot="1" x14ac:dyDescent="0.25">
      <c r="C49" s="186"/>
      <c r="D49" s="265" t="s">
        <v>79</v>
      </c>
      <c r="E49" s="627" t="str">
        <f>E2</f>
        <v>M. Pierre-Yves 
TIERCE</v>
      </c>
      <c r="F49" s="588" t="str">
        <f t="shared" ref="F49" si="3">F2</f>
        <v>Mme Isabelle 
FARNET RISSO</v>
      </c>
      <c r="G49" s="300" t="s">
        <v>3</v>
      </c>
      <c r="H49" s="301" t="s">
        <v>4</v>
      </c>
      <c r="I49" s="289" t="s">
        <v>101</v>
      </c>
      <c r="J49" s="339"/>
    </row>
    <row r="50" spans="3:10" ht="19.5" customHeight="1" x14ac:dyDescent="0.2">
      <c r="C50" s="187"/>
      <c r="D50" s="264" t="s">
        <v>78</v>
      </c>
      <c r="E50" s="227"/>
      <c r="F50" s="227"/>
      <c r="G50" s="230"/>
      <c r="H50" s="229"/>
      <c r="I50" s="288">
        <f t="shared" ref="I50:I59" si="4">SUM(E50:H50)</f>
        <v>0</v>
      </c>
      <c r="J50" s="339"/>
    </row>
    <row r="51" spans="3:10" ht="20.100000000000001" customHeight="1" x14ac:dyDescent="0.2">
      <c r="C51" s="187"/>
      <c r="D51" s="264" t="s">
        <v>78</v>
      </c>
      <c r="E51" s="227"/>
      <c r="F51" s="227"/>
      <c r="G51" s="230"/>
      <c r="H51" s="229"/>
      <c r="I51" s="288">
        <f t="shared" si="4"/>
        <v>0</v>
      </c>
      <c r="J51" s="339"/>
    </row>
    <row r="52" spans="3:10" ht="20.100000000000001" customHeight="1" x14ac:dyDescent="0.2">
      <c r="C52" s="187"/>
      <c r="D52" s="264" t="s">
        <v>78</v>
      </c>
      <c r="E52" s="227"/>
      <c r="F52" s="227"/>
      <c r="G52" s="230"/>
      <c r="H52" s="229"/>
      <c r="I52" s="288">
        <f t="shared" si="4"/>
        <v>0</v>
      </c>
      <c r="J52" s="339"/>
    </row>
    <row r="53" spans="3:10" ht="20.100000000000001" customHeight="1" x14ac:dyDescent="0.2">
      <c r="C53" s="187"/>
      <c r="D53" s="264" t="s">
        <v>78</v>
      </c>
      <c r="E53" s="227"/>
      <c r="F53" s="227"/>
      <c r="G53" s="230"/>
      <c r="H53" s="229"/>
      <c r="I53" s="288">
        <f t="shared" si="4"/>
        <v>0</v>
      </c>
      <c r="J53" s="339"/>
    </row>
    <row r="54" spans="3:10" ht="20.100000000000001" customHeight="1" x14ac:dyDescent="0.2">
      <c r="C54" s="187"/>
      <c r="D54" s="264" t="s">
        <v>78</v>
      </c>
      <c r="E54" s="227"/>
      <c r="F54" s="227"/>
      <c r="G54" s="230"/>
      <c r="H54" s="229"/>
      <c r="I54" s="288">
        <f t="shared" si="4"/>
        <v>0</v>
      </c>
      <c r="J54" s="339"/>
    </row>
    <row r="55" spans="3:10" ht="20.100000000000001" customHeight="1" x14ac:dyDescent="0.2">
      <c r="C55" s="187"/>
      <c r="D55" s="264" t="s">
        <v>78</v>
      </c>
      <c r="E55" s="227"/>
      <c r="F55" s="227"/>
      <c r="G55" s="230"/>
      <c r="H55" s="229"/>
      <c r="I55" s="288">
        <f t="shared" si="4"/>
        <v>0</v>
      </c>
      <c r="J55" s="339"/>
    </row>
    <row r="56" spans="3:10" ht="20.100000000000001" customHeight="1" x14ac:dyDescent="0.2">
      <c r="C56" s="187"/>
      <c r="D56" s="264" t="s">
        <v>78</v>
      </c>
      <c r="E56" s="227"/>
      <c r="F56" s="227"/>
      <c r="G56" s="230"/>
      <c r="H56" s="229"/>
      <c r="I56" s="288">
        <f t="shared" si="4"/>
        <v>0</v>
      </c>
      <c r="J56" s="339"/>
    </row>
    <row r="57" spans="3:10" ht="20.100000000000001" customHeight="1" x14ac:dyDescent="0.2">
      <c r="C57" s="187"/>
      <c r="D57" s="264" t="s">
        <v>78</v>
      </c>
      <c r="E57" s="227"/>
      <c r="F57" s="227"/>
      <c r="G57" s="230"/>
      <c r="H57" s="229"/>
      <c r="I57" s="288">
        <f t="shared" si="4"/>
        <v>0</v>
      </c>
      <c r="J57" s="339"/>
    </row>
    <row r="58" spans="3:10" ht="20.100000000000001" customHeight="1" x14ac:dyDescent="0.2">
      <c r="C58" s="187"/>
      <c r="D58" s="264" t="s">
        <v>78</v>
      </c>
      <c r="E58" s="227"/>
      <c r="F58" s="227"/>
      <c r="G58" s="230"/>
      <c r="H58" s="229"/>
      <c r="I58" s="288">
        <f t="shared" si="4"/>
        <v>0</v>
      </c>
      <c r="J58" s="339"/>
    </row>
    <row r="59" spans="3:10" ht="20.100000000000001" customHeight="1" thickBot="1" x14ac:dyDescent="0.25">
      <c r="C59" s="187"/>
      <c r="D59" s="268" t="s">
        <v>78</v>
      </c>
      <c r="E59" s="269"/>
      <c r="F59" s="269"/>
      <c r="G59" s="272"/>
      <c r="H59" s="271"/>
      <c r="I59" s="288">
        <f t="shared" si="4"/>
        <v>0</v>
      </c>
      <c r="J59" s="339"/>
    </row>
    <row r="60" spans="3:10" x14ac:dyDescent="0.2">
      <c r="I60" s="235"/>
      <c r="J60" s="339"/>
    </row>
    <row r="61" spans="3:10" x14ac:dyDescent="0.2">
      <c r="J61" s="339"/>
    </row>
    <row r="62" spans="3:10" x14ac:dyDescent="0.2">
      <c r="J62" s="339"/>
    </row>
    <row r="63" spans="3:10" ht="18" x14ac:dyDescent="0.25">
      <c r="E63" s="184"/>
      <c r="F63" s="184"/>
      <c r="J63" s="339"/>
    </row>
    <row r="64" spans="3:10" x14ac:dyDescent="0.2">
      <c r="J64" s="339"/>
    </row>
    <row r="65" spans="4:10" ht="13.5" thickBot="1" x14ac:dyDescent="0.25">
      <c r="J65" s="339"/>
    </row>
    <row r="66" spans="4:10" ht="16.5" customHeight="1" thickBot="1" x14ac:dyDescent="0.25">
      <c r="D66" s="188" t="s">
        <v>77</v>
      </c>
      <c r="E66" s="918" t="s">
        <v>116</v>
      </c>
      <c r="F66" s="919"/>
      <c r="G66" s="919"/>
      <c r="H66" s="920"/>
      <c r="I66" s="287" t="s">
        <v>7</v>
      </c>
      <c r="J66" s="339"/>
    </row>
    <row r="67" spans="4:10" ht="42" customHeight="1" thickBot="1" x14ac:dyDescent="0.25">
      <c r="D67" s="265" t="s">
        <v>79</v>
      </c>
      <c r="E67" s="627" t="str">
        <f>E2</f>
        <v>M. Pierre-Yves 
TIERCE</v>
      </c>
      <c r="F67" s="588" t="str">
        <f t="shared" ref="F67" si="5">F2</f>
        <v>Mme Isabelle 
FARNET RISSO</v>
      </c>
      <c r="G67" s="300" t="s">
        <v>3</v>
      </c>
      <c r="H67" s="301" t="s">
        <v>4</v>
      </c>
      <c r="I67" s="294" t="s">
        <v>101</v>
      </c>
      <c r="J67" s="339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1">
        <f>SUM(E68:H68)</f>
        <v>0</v>
      </c>
      <c r="J68" s="339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25">
        <f>SUM(E69:H69)</f>
        <v>0</v>
      </c>
      <c r="J69" s="339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25">
        <f>SUM(E70:H70)</f>
        <v>0</v>
      </c>
      <c r="J70" s="339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25">
        <f>SUM(E71:H71)</f>
        <v>0</v>
      </c>
      <c r="J71" s="339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2">
        <f>SUM(E72:H72)</f>
        <v>0</v>
      </c>
      <c r="J72" s="339"/>
    </row>
    <row r="73" spans="4:10" ht="20.100000000000001" customHeight="1" x14ac:dyDescent="0.2">
      <c r="D73" s="189"/>
      <c r="E73" s="187"/>
      <c r="F73" s="187"/>
      <c r="G73" s="187"/>
      <c r="H73" s="187"/>
      <c r="J73" s="339"/>
    </row>
    <row r="74" spans="4:10" ht="20.100000000000001" customHeight="1" x14ac:dyDescent="0.2">
      <c r="D74" s="189"/>
      <c r="E74" s="187"/>
      <c r="F74" s="187"/>
      <c r="G74" s="187"/>
      <c r="H74" s="187"/>
      <c r="J74" s="339"/>
    </row>
    <row r="75" spans="4:10" ht="20.100000000000001" customHeight="1" thickBot="1" x14ac:dyDescent="0.25">
      <c r="D75" s="189"/>
      <c r="E75" s="187"/>
      <c r="F75" s="187"/>
      <c r="G75" s="187"/>
      <c r="H75" s="187"/>
      <c r="J75" s="339"/>
    </row>
    <row r="76" spans="4:10" ht="20.100000000000001" customHeight="1" thickBot="1" x14ac:dyDescent="0.25">
      <c r="D76" s="188" t="s">
        <v>81</v>
      </c>
      <c r="E76" s="918" t="s">
        <v>117</v>
      </c>
      <c r="F76" s="919"/>
      <c r="G76" s="919"/>
      <c r="H76" s="920"/>
      <c r="I76" s="293" t="s">
        <v>7</v>
      </c>
      <c r="J76" s="339"/>
    </row>
    <row r="77" spans="4:10" ht="39.75" customHeight="1" thickBot="1" x14ac:dyDescent="0.25">
      <c r="D77" s="265" t="s">
        <v>79</v>
      </c>
      <c r="E77" s="627" t="str">
        <f>E2</f>
        <v>M. Pierre-Yves 
TIERCE</v>
      </c>
      <c r="F77" s="588" t="str">
        <f t="shared" ref="F77" si="6">F2</f>
        <v>Mme Isabelle 
FARNET RISSO</v>
      </c>
      <c r="G77" s="300" t="s">
        <v>3</v>
      </c>
      <c r="H77" s="301" t="s">
        <v>4</v>
      </c>
      <c r="I77" s="290" t="s">
        <v>101</v>
      </c>
      <c r="J77" s="339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1">
        <f>SUM(E78:H78)</f>
        <v>0</v>
      </c>
      <c r="J78" s="339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25">
        <f>SUM(E79:H79)</f>
        <v>0</v>
      </c>
      <c r="J79" s="339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2">
        <f>SUM(E80:H80)</f>
        <v>0</v>
      </c>
      <c r="J80" s="339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39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39"/>
    </row>
  </sheetData>
  <sheetProtection algorithmName="SHA-512" hashValue="ayGIBVsex089nXUSe2J+0dgCsehe11dAwXf95+rWMBsvxdF3BKxbRYChZffmwtT4L8qRLgPGVmUQLMe6QPAvbQ==" saltValue="ve9q4NRmHT5gJq2TwBUCeQ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30" priority="1" operator="equal">
      <formula>0</formula>
    </cfRule>
    <cfRule type="cellIs" dxfId="29" priority="6" operator="notEqual">
      <formula>$B$8</formula>
    </cfRule>
  </conditionalFormatting>
  <conditionalFormatting sqref="E3:I12">
    <cfRule type="cellIs" dxfId="28" priority="5" operator="notBetween">
      <formula>0</formula>
      <formula>100</formula>
    </cfRule>
  </conditionalFormatting>
  <conditionalFormatting sqref="E3:I14">
    <cfRule type="cellIs" dxfId="27" priority="8" operator="lessThan">
      <formula>0</formula>
    </cfRule>
  </conditionalFormatting>
  <conditionalFormatting sqref="E14:I14">
    <cfRule type="cellIs" dxfId="26" priority="11" operator="greaterThan">
      <formula>1</formula>
    </cfRule>
  </conditionalFormatting>
  <conditionalFormatting sqref="I3:I13">
    <cfRule type="cellIs" dxfId="25" priority="9" operator="equal">
      <formula>0</formula>
    </cfRule>
  </conditionalFormatting>
  <conditionalFormatting sqref="I14">
    <cfRule type="cellIs" dxfId="24" priority="10" operator="equal">
      <formula>1</formula>
    </cfRule>
    <cfRule type="cellIs" dxfId="23" priority="12" operator="lessThan">
      <formula>1</formula>
    </cfRule>
  </conditionalFormatting>
  <conditionalFormatting sqref="M4:M15">
    <cfRule type="cellIs" dxfId="22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21" priority="3">
      <formula>AND(E50&lt;MAX(E$50:E50), NOT(ISBLANK(E50)), NOT(E50=0))</formula>
    </cfRule>
  </conditionalFormatting>
  <conditionalFormatting sqref="E68:H72">
    <cfRule type="expression" dxfId="20" priority="2">
      <formula>AND(E68&lt;MAX(E$68:E68), NOT(ISBLANK(E68)), NOT(E68=0))</formula>
    </cfRule>
  </conditionalFormatting>
  <conditionalFormatting sqref="E78:H80">
    <cfRule type="expression" dxfId="19" priority="13">
      <formula>AND(E78&lt;MAX(E$78:E78), NOT(ISBLANK(E78)), NOT(E78=0))</formula>
    </cfRule>
  </conditionalFormatting>
  <conditionalFormatting sqref="I3:I12">
    <cfRule type="expression" dxfId="18" priority="14">
      <formula>AND($D3=$E$24, I3=$D$25)</formula>
    </cfRule>
    <cfRule type="expression" dxfId="17" priority="15">
      <formula>AND($D3=$E$24, MOD(I3,100)&gt;$D$25)</formula>
    </cfRule>
    <cfRule type="cellIs" dxfId="16" priority="16" operator="equal">
      <formula>100</formula>
    </cfRule>
  </conditionalFormatting>
  <conditionalFormatting sqref="H3:H12 E3:F12">
    <cfRule type="expression" dxfId="15" priority="17">
      <formula>($D3&lt;=$E$24)</formula>
    </cfRule>
  </conditionalFormatting>
  <conditionalFormatting sqref="H3:H12 D3:F12">
    <cfRule type="expression" dxfId="14" priority="18">
      <formula>($D3&gt;$E$24)</formula>
    </cfRule>
  </conditionalFormatting>
  <conditionalFormatting sqref="G3:G12">
    <cfRule type="expression" dxfId="13" priority="19">
      <formula>($D3&lt;=$E$24)</formula>
    </cfRule>
  </conditionalFormatting>
  <conditionalFormatting sqref="G3:G12">
    <cfRule type="expression" dxfId="12" priority="20">
      <formula>($D3&gt;$E$24)</formula>
    </cfRule>
  </conditionalFormatting>
  <conditionalFormatting sqref="I50 I68:I72 I78:I80 I52:I59">
    <cfRule type="cellIs" dxfId="11" priority="21" operator="lessThan">
      <formula>0</formula>
    </cfRule>
    <cfRule type="cellIs" dxfId="10" priority="22" operator="equal">
      <formula>0</formula>
    </cfRule>
    <cfRule type="expression" dxfId="9" priority="23">
      <formula>OR(MOD($I50,100)=0,AND($D50=$E$24,MOD($I50,100)=$D$25))</formula>
    </cfRule>
  </conditionalFormatting>
  <conditionalFormatting sqref="I13">
    <cfRule type="cellIs" dxfId="8" priority="24" operator="equal">
      <formula>$B$8</formula>
    </cfRule>
  </conditionalFormatting>
  <conditionalFormatting sqref="E50:H59 E68:H72 E78:H80">
    <cfRule type="cellIs" dxfId="7" priority="25" operator="notBetween">
      <formula>0</formula>
      <formula>$B$8</formula>
    </cfRule>
    <cfRule type="expression" dxfId="6" priority="26">
      <formula>($D50&lt;=$E$24)</formula>
    </cfRule>
    <cfRule type="expression" dxfId="5" priority="27">
      <formula>($D50&gt;$E$24)</formula>
    </cfRule>
  </conditionalFormatting>
  <conditionalFormatting sqref="I51">
    <cfRule type="cellIs" dxfId="4" priority="28" operator="notBetween">
      <formula>0</formula>
      <formula>$B$8</formula>
    </cfRule>
    <cfRule type="cellIs" dxfId="3" priority="29" operator="equal">
      <formula>0</formula>
    </cfRule>
    <cfRule type="expression" dxfId="2" priority="30">
      <formula>OR(MOD($I51,100)=0,AND($D51=$E$24,MOD($I51,100)=$D$25))</formula>
    </cfRule>
  </conditionalFormatting>
  <conditionalFormatting sqref="L4:L15">
    <cfRule type="expression" dxfId="1" priority="31">
      <formula>AND($L4&lt;$L3, NOT(ISBLANK($L4)))</formula>
    </cfRule>
    <cfRule type="cellIs" dxfId="0" priority="32" operator="greaterThan">
      <formula>$B$7</formula>
    </cfRule>
  </conditionalFormatting>
  <dataValidations count="2">
    <dataValidation type="list" allowBlank="1" showInputMessage="1" showErrorMessage="1" sqref="C50:C59" xr:uid="{F56507AA-BE69-48C1-9C12-9898B0CF29CC}">
      <formula1>$D$19:$D$21</formula1>
    </dataValidation>
    <dataValidation type="list" allowBlank="1" showInputMessage="1" showErrorMessage="1" sqref="D68:D72 D78:D82 D50:D59" xr:uid="{85CE892A-3C44-4416-893D-A800FCBD0240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51</vt:i4>
      </vt:variant>
    </vt:vector>
  </HeadingPairs>
  <TitlesOfParts>
    <vt:vector size="70" baseType="lpstr">
      <vt:lpstr>Synthèse</vt:lpstr>
      <vt:lpstr>Participation horaire</vt:lpstr>
      <vt:lpstr>Sièges</vt:lpstr>
      <vt:lpstr>Feuille décompte</vt:lpstr>
      <vt:lpstr>Projection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CalculSieges</vt:lpstr>
      <vt:lpstr>PfmCC</vt:lpstr>
      <vt:lpstr>PfmCM</vt:lpstr>
      <vt:lpstr>PmCC</vt:lpstr>
      <vt:lpstr>PmCM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'Feuille décompte'!Table1</vt:lpstr>
      <vt:lpstr>Table1</vt:lpstr>
      <vt:lpstr>Table1bis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  <vt:lpstr>TableauAges</vt:lpstr>
      <vt:lpstr>VoixEligibles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2026-03-17T09:01:57Z</cp:lastPrinted>
  <dcterms:created xsi:type="dcterms:W3CDTF">2025-03-13T09:37:21Z</dcterms:created>
  <dcterms:modified xsi:type="dcterms:W3CDTF">2026-03-19T11:10:50Z</dcterms:modified>
</cp:coreProperties>
</file>