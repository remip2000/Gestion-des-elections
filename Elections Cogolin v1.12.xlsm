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enacfr-my.sharepoint.com/personal/remi_barbero_alumni_enac_fr/Documents/Echange/Elections/"/>
    </mc:Choice>
  </mc:AlternateContent>
  <xr:revisionPtr revIDLastSave="2618" documentId="8_{17E41732-0D52-49DA-B761-A3B7477086D5}" xr6:coauthVersionLast="47" xr6:coauthVersionMax="47" xr10:uidLastSave="{1314C491-D4EE-4639-BB46-17D9F0AC581E}"/>
  <bookViews>
    <workbookView xWindow="-120" yWindow="-120" windowWidth="30960" windowHeight="16920" tabRatio="851" activeTab="2" xr2:uid="{00000000-000D-0000-FFFF-FFFF00000000}"/>
  </bookViews>
  <sheets>
    <sheet name="Synthèse" sheetId="1" r:id="rId1"/>
    <sheet name="Participation horaire" sheetId="3" r:id="rId2"/>
    <sheet name="Exemple" sheetId="536" r:id="rId3"/>
    <sheet name="Bureau 0" sheetId="207" r:id="rId4"/>
    <sheet name="Bureau 1" sheetId="549" r:id="rId5"/>
    <sheet name="Bureau 2" sheetId="550" r:id="rId6"/>
    <sheet name="Bureau 3" sheetId="551" r:id="rId7"/>
    <sheet name="Bureau 4" sheetId="552" r:id="rId8"/>
    <sheet name="Bureau 5" sheetId="553" r:id="rId9"/>
    <sheet name="Bureau 6" sheetId="554" r:id="rId10"/>
    <sheet name="Bureau 7" sheetId="555" r:id="rId11"/>
    <sheet name="Bureau 8" sheetId="556" r:id="rId12"/>
    <sheet name="Bureau 9" sheetId="557" r:id="rId13"/>
    <sheet name="Bureau 10" sheetId="558" r:id="rId14"/>
    <sheet name="Bureau 11" sheetId="559" r:id="rId15"/>
    <sheet name="Bureau 12" sheetId="560" r:id="rId16"/>
  </sheets>
  <functionGroups builtInGroupCount="19"/>
  <definedNames>
    <definedName name="_xleta.NA" hidden="1" xlm="1">#NAME?</definedName>
    <definedName name="_xleta.SUM" hidden="1" xlm="1">#NAME?</definedName>
    <definedName name="Table1" localSheetId="4">'Bureau 1'!$D$49:$P$59</definedName>
    <definedName name="Table1" localSheetId="13">'Bureau 10'!$D$49:$P$59</definedName>
    <definedName name="Table1" localSheetId="14">'Bureau 11'!$D$49:$P$59</definedName>
    <definedName name="Table1" localSheetId="15">'Bureau 12'!$D$49:$P$59</definedName>
    <definedName name="Table1" localSheetId="5">'Bureau 2'!$D$49:$P$59</definedName>
    <definedName name="Table1" localSheetId="6">'Bureau 3'!$D$49:$P$59</definedName>
    <definedName name="Table1" localSheetId="7">'Bureau 4'!$D$49:$P$59</definedName>
    <definedName name="Table1" localSheetId="8">'Bureau 5'!$D$49:$P$59</definedName>
    <definedName name="Table1" localSheetId="9">'Bureau 6'!$D$49:$P$59</definedName>
    <definedName name="Table1" localSheetId="10">'Bureau 7'!$D$49:$P$59</definedName>
    <definedName name="Table1" localSheetId="11">'Bureau 8'!$D$49:$P$59</definedName>
    <definedName name="Table1" localSheetId="12">'Bureau 9'!$D$49:$P$59</definedName>
    <definedName name="Table1" localSheetId="2">Exemple!$D$49:$P$59</definedName>
    <definedName name="Table1">'Bureau 0'!$D$49:$P$59</definedName>
    <definedName name="Table2" localSheetId="4">'Bureau 1'!$D$67:$P$72</definedName>
    <definedName name="Table2" localSheetId="13">'Bureau 10'!$D$67:$P$72</definedName>
    <definedName name="Table2" localSheetId="14">'Bureau 11'!$D$67:$P$72</definedName>
    <definedName name="Table2" localSheetId="15">'Bureau 12'!$D$67:$P$72</definedName>
    <definedName name="Table2" localSheetId="5">'Bureau 2'!$D$67:$P$72</definedName>
    <definedName name="Table2" localSheetId="6">'Bureau 3'!$D$67:$P$72</definedName>
    <definedName name="Table2" localSheetId="7">'Bureau 4'!$D$67:$P$72</definedName>
    <definedName name="Table2" localSheetId="8">'Bureau 5'!$D$67:$P$72</definedName>
    <definedName name="Table2" localSheetId="9">'Bureau 6'!$D$67:$P$72</definedName>
    <definedName name="Table2" localSheetId="10">'Bureau 7'!$D$67:$P$72</definedName>
    <definedName name="Table2" localSheetId="11">'Bureau 8'!$D$67:$P$72</definedName>
    <definedName name="Table2" localSheetId="12">'Bureau 9'!$D$67:$P$72</definedName>
    <definedName name="Table2" localSheetId="2">Exemple!$D$67:$P$72</definedName>
    <definedName name="Table2">'Bureau 0'!$D$67:$P$72</definedName>
    <definedName name="Table3" localSheetId="4">'Bureau 1'!$D$78:$P$80</definedName>
    <definedName name="Table3" localSheetId="13">'Bureau 10'!$D$78:$P$80</definedName>
    <definedName name="Table3" localSheetId="14">'Bureau 11'!$D$78:$P$80</definedName>
    <definedName name="Table3" localSheetId="15">'Bureau 12'!$D$78:$P$80</definedName>
    <definedName name="Table3" localSheetId="5">'Bureau 2'!$D$78:$P$80</definedName>
    <definedName name="Table3" localSheetId="6">'Bureau 3'!$D$78:$P$80</definedName>
    <definedName name="Table3" localSheetId="7">'Bureau 4'!$D$78:$P$80</definedName>
    <definedName name="Table3" localSheetId="8">'Bureau 5'!$D$78:$P$80</definedName>
    <definedName name="Table3" localSheetId="9">'Bureau 6'!$D$78:$P$80</definedName>
    <definedName name="Table3" localSheetId="10">'Bureau 7'!$D$78:$P$80</definedName>
    <definedName name="Table3" localSheetId="11">'Bureau 8'!$D$78:$P$80</definedName>
    <definedName name="Table3" localSheetId="12">'Bureau 9'!$D$78:$P$80</definedName>
    <definedName name="Table3" localSheetId="2">Exemple!$D$78:$P$80</definedName>
    <definedName name="Table3">'Bureau 0'!$D$78:$P$80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0" i="560" l="1"/>
  <c r="Q79" i="560"/>
  <c r="Q78" i="560"/>
  <c r="Q72" i="560"/>
  <c r="Q71" i="560"/>
  <c r="Q70" i="560"/>
  <c r="Q69" i="560"/>
  <c r="Q68" i="560"/>
  <c r="Q59" i="560"/>
  <c r="Q58" i="560"/>
  <c r="Q57" i="560"/>
  <c r="Q56" i="560"/>
  <c r="Q55" i="560"/>
  <c r="Q54" i="560"/>
  <c r="Q53" i="560"/>
  <c r="Q52" i="560"/>
  <c r="Q51" i="560"/>
  <c r="Q50" i="560"/>
  <c r="N49" i="560"/>
  <c r="M49" i="560"/>
  <c r="L49" i="560"/>
  <c r="K49" i="560"/>
  <c r="J49" i="560"/>
  <c r="I49" i="560"/>
  <c r="H49" i="560"/>
  <c r="G49" i="560"/>
  <c r="F49" i="560"/>
  <c r="E49" i="560"/>
  <c r="AA15" i="560"/>
  <c r="X15" i="560"/>
  <c r="AA14" i="560"/>
  <c r="X14" i="560"/>
  <c r="AA13" i="560"/>
  <c r="X13" i="560"/>
  <c r="AA12" i="560"/>
  <c r="X12" i="560"/>
  <c r="AA11" i="560"/>
  <c r="X11" i="560"/>
  <c r="AA10" i="560"/>
  <c r="X10" i="560"/>
  <c r="AA9" i="560"/>
  <c r="X9" i="560"/>
  <c r="AA8" i="560"/>
  <c r="X8" i="560"/>
  <c r="D8" i="560" a="1"/>
  <c r="D8" i="560" s="1"/>
  <c r="B8" i="560"/>
  <c r="AA7" i="560"/>
  <c r="X7" i="560"/>
  <c r="B7" i="560"/>
  <c r="AA6" i="560"/>
  <c r="X6" i="560"/>
  <c r="D6" i="560" a="1"/>
  <c r="D6" i="560" s="1"/>
  <c r="AA5" i="560"/>
  <c r="X5" i="560"/>
  <c r="AA4" i="560"/>
  <c r="X4" i="560"/>
  <c r="B3" i="560"/>
  <c r="R2" i="560"/>
  <c r="B2" i="560"/>
  <c r="S1" i="560"/>
  <c r="D11" i="560" s="1" a="1"/>
  <c r="D11" i="560" s="1"/>
  <c r="N1" i="560"/>
  <c r="M1" i="560"/>
  <c r="L1" i="560"/>
  <c r="K1" i="560"/>
  <c r="J1" i="560"/>
  <c r="I1" i="560"/>
  <c r="H1" i="560"/>
  <c r="G1" i="560"/>
  <c r="F1" i="560"/>
  <c r="E1" i="560"/>
  <c r="B1" i="560"/>
  <c r="Q80" i="559"/>
  <c r="Q79" i="559"/>
  <c r="Q78" i="559"/>
  <c r="Q72" i="559"/>
  <c r="Q71" i="559"/>
  <c r="Q70" i="559"/>
  <c r="Q69" i="559"/>
  <c r="Q68" i="559"/>
  <c r="Q59" i="559"/>
  <c r="Q58" i="559"/>
  <c r="Q57" i="559"/>
  <c r="Q56" i="559"/>
  <c r="Q55" i="559"/>
  <c r="Q54" i="559"/>
  <c r="Q53" i="559"/>
  <c r="Q52" i="559"/>
  <c r="Q51" i="559"/>
  <c r="Q50" i="559"/>
  <c r="N49" i="559"/>
  <c r="M49" i="559"/>
  <c r="L49" i="559"/>
  <c r="K49" i="559"/>
  <c r="J49" i="559"/>
  <c r="I49" i="559"/>
  <c r="H49" i="559"/>
  <c r="G49" i="559"/>
  <c r="F49" i="559"/>
  <c r="E49" i="559"/>
  <c r="AA15" i="559"/>
  <c r="X15" i="559"/>
  <c r="AA14" i="559"/>
  <c r="X14" i="559"/>
  <c r="AA13" i="559"/>
  <c r="X13" i="559"/>
  <c r="AA12" i="559"/>
  <c r="X12" i="559"/>
  <c r="AA11" i="559"/>
  <c r="X11" i="559"/>
  <c r="AA10" i="559"/>
  <c r="X10" i="559"/>
  <c r="AA9" i="559"/>
  <c r="X9" i="559"/>
  <c r="AA8" i="559"/>
  <c r="X8" i="559"/>
  <c r="D8" i="559" a="1"/>
  <c r="D8" i="559" s="1"/>
  <c r="B8" i="559"/>
  <c r="AA7" i="559"/>
  <c r="X7" i="559"/>
  <c r="B7" i="559"/>
  <c r="AA6" i="559"/>
  <c r="X6" i="559"/>
  <c r="D6" i="559" a="1"/>
  <c r="D6" i="559" s="1"/>
  <c r="AA5" i="559"/>
  <c r="X5" i="559"/>
  <c r="AA4" i="559"/>
  <c r="X4" i="559"/>
  <c r="B3" i="559"/>
  <c r="R2" i="559"/>
  <c r="B2" i="559"/>
  <c r="S1" i="559"/>
  <c r="D11" i="559" s="1" a="1"/>
  <c r="D11" i="559" s="1"/>
  <c r="N1" i="559"/>
  <c r="M1" i="559"/>
  <c r="L1" i="559"/>
  <c r="K1" i="559"/>
  <c r="J1" i="559"/>
  <c r="I1" i="559"/>
  <c r="H1" i="559"/>
  <c r="G1" i="559"/>
  <c r="F1" i="559"/>
  <c r="E1" i="559"/>
  <c r="B1" i="559"/>
  <c r="Q80" i="558"/>
  <c r="Q79" i="558"/>
  <c r="Q78" i="558"/>
  <c r="Q72" i="558"/>
  <c r="Q71" i="558"/>
  <c r="Q70" i="558"/>
  <c r="Q69" i="558"/>
  <c r="Q68" i="558"/>
  <c r="Q59" i="558"/>
  <c r="Q58" i="558"/>
  <c r="Q57" i="558"/>
  <c r="Q56" i="558"/>
  <c r="Q55" i="558"/>
  <c r="Q54" i="558"/>
  <c r="Q53" i="558"/>
  <c r="Q52" i="558"/>
  <c r="Q51" i="558"/>
  <c r="Q50" i="558"/>
  <c r="N49" i="558"/>
  <c r="M49" i="558"/>
  <c r="L49" i="558"/>
  <c r="K49" i="558"/>
  <c r="J49" i="558"/>
  <c r="I49" i="558"/>
  <c r="H49" i="558"/>
  <c r="G49" i="558"/>
  <c r="F49" i="558"/>
  <c r="E49" i="558"/>
  <c r="AA15" i="558"/>
  <c r="X15" i="558"/>
  <c r="AA14" i="558"/>
  <c r="X14" i="558"/>
  <c r="AA13" i="558"/>
  <c r="X13" i="558"/>
  <c r="AA12" i="558"/>
  <c r="X12" i="558"/>
  <c r="AA11" i="558"/>
  <c r="X11" i="558"/>
  <c r="AA10" i="558"/>
  <c r="X10" i="558"/>
  <c r="D10" i="558" a="1"/>
  <c r="D10" i="558" s="1"/>
  <c r="AA9" i="558"/>
  <c r="X9" i="558"/>
  <c r="AA8" i="558"/>
  <c r="X8" i="558"/>
  <c r="AA7" i="558"/>
  <c r="X7" i="558"/>
  <c r="B7" i="558"/>
  <c r="B8" i="558" s="1"/>
  <c r="AA6" i="558"/>
  <c r="X6" i="558"/>
  <c r="AA5" i="558"/>
  <c r="X5" i="558"/>
  <c r="AA4" i="558"/>
  <c r="X4" i="558"/>
  <c r="D4" i="558" a="1"/>
  <c r="D4" i="558" s="1"/>
  <c r="D3" i="558"/>
  <c r="O3" i="558" s="1" a="1"/>
  <c r="O3" i="558" s="1"/>
  <c r="D3" i="558" a="1"/>
  <c r="B3" i="558"/>
  <c r="R2" i="558"/>
  <c r="B2" i="558"/>
  <c r="S1" i="558"/>
  <c r="D11" i="558" s="1" a="1"/>
  <c r="D11" i="558" s="1"/>
  <c r="N1" i="558"/>
  <c r="M1" i="558"/>
  <c r="L1" i="558"/>
  <c r="K1" i="558"/>
  <c r="J1" i="558"/>
  <c r="I1" i="558"/>
  <c r="H1" i="558"/>
  <c r="G1" i="558"/>
  <c r="F1" i="558"/>
  <c r="E1" i="558"/>
  <c r="B1" i="558"/>
  <c r="Q80" i="557"/>
  <c r="Q79" i="557"/>
  <c r="Q78" i="557"/>
  <c r="Q72" i="557"/>
  <c r="Q71" i="557"/>
  <c r="Q70" i="557"/>
  <c r="Q69" i="557"/>
  <c r="Q68" i="557"/>
  <c r="Q59" i="557"/>
  <c r="Q58" i="557"/>
  <c r="Q57" i="557"/>
  <c r="Q56" i="557"/>
  <c r="Q55" i="557"/>
  <c r="Q54" i="557"/>
  <c r="Q53" i="557"/>
  <c r="Q52" i="557"/>
  <c r="Q51" i="557"/>
  <c r="Q50" i="557"/>
  <c r="N49" i="557"/>
  <c r="M49" i="557"/>
  <c r="L49" i="557"/>
  <c r="K49" i="557"/>
  <c r="J49" i="557"/>
  <c r="I49" i="557"/>
  <c r="H49" i="557"/>
  <c r="G49" i="557"/>
  <c r="F49" i="557"/>
  <c r="E49" i="557"/>
  <c r="AA15" i="557"/>
  <c r="X15" i="557"/>
  <c r="AA14" i="557"/>
  <c r="X14" i="557"/>
  <c r="AA13" i="557"/>
  <c r="X13" i="557"/>
  <c r="AA12" i="557"/>
  <c r="X12" i="557"/>
  <c r="AA11" i="557"/>
  <c r="X11" i="557"/>
  <c r="AA10" i="557"/>
  <c r="X10" i="557"/>
  <c r="AA9" i="557"/>
  <c r="X9" i="557"/>
  <c r="AA8" i="557"/>
  <c r="X8" i="557"/>
  <c r="D8" i="557" a="1"/>
  <c r="D8" i="557" s="1"/>
  <c r="B8" i="557"/>
  <c r="AA7" i="557"/>
  <c r="X7" i="557"/>
  <c r="B7" i="557"/>
  <c r="AA6" i="557"/>
  <c r="X6" i="557"/>
  <c r="D6" i="557" a="1"/>
  <c r="D6" i="557" s="1"/>
  <c r="AA5" i="557"/>
  <c r="X5" i="557"/>
  <c r="AA4" i="557"/>
  <c r="X4" i="557"/>
  <c r="B3" i="557"/>
  <c r="R2" i="557"/>
  <c r="B2" i="557"/>
  <c r="S1" i="557"/>
  <c r="D11" i="557" s="1" a="1"/>
  <c r="D11" i="557" s="1"/>
  <c r="N1" i="557"/>
  <c r="M1" i="557"/>
  <c r="L1" i="557"/>
  <c r="K1" i="557"/>
  <c r="J1" i="557"/>
  <c r="I1" i="557"/>
  <c r="H1" i="557"/>
  <c r="G1" i="557"/>
  <c r="F1" i="557"/>
  <c r="E1" i="557"/>
  <c r="B1" i="557"/>
  <c r="Q80" i="556"/>
  <c r="Q79" i="556"/>
  <c r="Q78" i="556"/>
  <c r="Q72" i="556"/>
  <c r="Q71" i="556"/>
  <c r="Q70" i="556"/>
  <c r="Q69" i="556"/>
  <c r="Q68" i="556"/>
  <c r="Q59" i="556"/>
  <c r="Q58" i="556"/>
  <c r="Q57" i="556"/>
  <c r="Q56" i="556"/>
  <c r="Q55" i="556"/>
  <c r="Q54" i="556"/>
  <c r="Q53" i="556"/>
  <c r="Q52" i="556"/>
  <c r="Q51" i="556"/>
  <c r="Q50" i="556"/>
  <c r="N49" i="556"/>
  <c r="M49" i="556"/>
  <c r="L49" i="556"/>
  <c r="K49" i="556"/>
  <c r="J49" i="556"/>
  <c r="I49" i="556"/>
  <c r="H49" i="556"/>
  <c r="G49" i="556"/>
  <c r="F49" i="556"/>
  <c r="E49" i="556"/>
  <c r="AA15" i="556"/>
  <c r="X15" i="556"/>
  <c r="AA14" i="556"/>
  <c r="X14" i="556"/>
  <c r="AA13" i="556"/>
  <c r="X13" i="556"/>
  <c r="AA12" i="556"/>
  <c r="X12" i="556"/>
  <c r="AA11" i="556"/>
  <c r="X11" i="556"/>
  <c r="AA10" i="556"/>
  <c r="X10" i="556"/>
  <c r="D10" i="556" a="1"/>
  <c r="D10" i="556" s="1"/>
  <c r="AA9" i="556"/>
  <c r="X9" i="556"/>
  <c r="AA8" i="556"/>
  <c r="X8" i="556"/>
  <c r="B8" i="556"/>
  <c r="AA7" i="556"/>
  <c r="X7" i="556"/>
  <c r="B7" i="556"/>
  <c r="AA6" i="556"/>
  <c r="X6" i="556"/>
  <c r="AA5" i="556"/>
  <c r="X5" i="556"/>
  <c r="AA4" i="556"/>
  <c r="X4" i="556"/>
  <c r="D3" i="556"/>
  <c r="O3" i="556" s="1" a="1"/>
  <c r="O3" i="556" s="1"/>
  <c r="D3" i="556" a="1"/>
  <c r="B3" i="556"/>
  <c r="R2" i="556"/>
  <c r="B2" i="556"/>
  <c r="S1" i="556"/>
  <c r="D11" i="556" s="1" a="1"/>
  <c r="D11" i="556" s="1"/>
  <c r="N1" i="556"/>
  <c r="M1" i="556"/>
  <c r="L1" i="556"/>
  <c r="K1" i="556"/>
  <c r="J1" i="556"/>
  <c r="I1" i="556"/>
  <c r="H1" i="556"/>
  <c r="G1" i="556"/>
  <c r="F1" i="556"/>
  <c r="E1" i="556"/>
  <c r="B1" i="556"/>
  <c r="Q80" i="555"/>
  <c r="Q79" i="555"/>
  <c r="Q78" i="555"/>
  <c r="Q72" i="555"/>
  <c r="Q71" i="555"/>
  <c r="Q70" i="555"/>
  <c r="Q69" i="555"/>
  <c r="Q68" i="555"/>
  <c r="Q59" i="555"/>
  <c r="Q58" i="555"/>
  <c r="Q57" i="555"/>
  <c r="Q56" i="555"/>
  <c r="Q55" i="555"/>
  <c r="Q54" i="555"/>
  <c r="Q53" i="555"/>
  <c r="Q52" i="555"/>
  <c r="Q51" i="555"/>
  <c r="Q50" i="555"/>
  <c r="N49" i="555"/>
  <c r="M49" i="555"/>
  <c r="L49" i="555"/>
  <c r="K49" i="555"/>
  <c r="J49" i="555"/>
  <c r="I49" i="555"/>
  <c r="H49" i="555"/>
  <c r="G49" i="555"/>
  <c r="F49" i="555"/>
  <c r="E49" i="555"/>
  <c r="AA15" i="555"/>
  <c r="X15" i="555"/>
  <c r="AA14" i="555"/>
  <c r="X14" i="555"/>
  <c r="AA13" i="555"/>
  <c r="X13" i="555"/>
  <c r="AA12" i="555"/>
  <c r="X12" i="555"/>
  <c r="AA11" i="555"/>
  <c r="X11" i="555"/>
  <c r="AA10" i="555"/>
  <c r="X10" i="555"/>
  <c r="AA9" i="555"/>
  <c r="X9" i="555"/>
  <c r="AA8" i="555"/>
  <c r="X8" i="555"/>
  <c r="B8" i="555"/>
  <c r="AA7" i="555"/>
  <c r="X7" i="555"/>
  <c r="B7" i="555"/>
  <c r="AA6" i="555"/>
  <c r="X6" i="555"/>
  <c r="AA5" i="555"/>
  <c r="X5" i="555"/>
  <c r="AA4" i="555"/>
  <c r="X4" i="555"/>
  <c r="B3" i="555"/>
  <c r="R2" i="555"/>
  <c r="B2" i="555"/>
  <c r="S1" i="555"/>
  <c r="D11" i="555" s="1" a="1"/>
  <c r="D11" i="555" s="1"/>
  <c r="N1" i="555"/>
  <c r="M1" i="555"/>
  <c r="L1" i="555"/>
  <c r="K1" i="555"/>
  <c r="J1" i="555"/>
  <c r="I1" i="555"/>
  <c r="H1" i="555"/>
  <c r="G1" i="555"/>
  <c r="F1" i="555"/>
  <c r="E1" i="555"/>
  <c r="B1" i="555"/>
  <c r="Q80" i="554"/>
  <c r="Q79" i="554"/>
  <c r="Q78" i="554"/>
  <c r="Q72" i="554"/>
  <c r="Q71" i="554"/>
  <c r="Q70" i="554"/>
  <c r="Q69" i="554"/>
  <c r="Q68" i="554"/>
  <c r="Q59" i="554"/>
  <c r="Q58" i="554"/>
  <c r="Q57" i="554"/>
  <c r="Q56" i="554"/>
  <c r="Q55" i="554"/>
  <c r="Q54" i="554"/>
  <c r="Q53" i="554"/>
  <c r="Q52" i="554"/>
  <c r="Q51" i="554"/>
  <c r="Q50" i="554"/>
  <c r="N49" i="554"/>
  <c r="M49" i="554"/>
  <c r="L49" i="554"/>
  <c r="K49" i="554"/>
  <c r="J49" i="554"/>
  <c r="I49" i="554"/>
  <c r="H49" i="554"/>
  <c r="G49" i="554"/>
  <c r="F49" i="554"/>
  <c r="E49" i="554"/>
  <c r="AA15" i="554"/>
  <c r="X15" i="554"/>
  <c r="AA14" i="554"/>
  <c r="X14" i="554"/>
  <c r="AA13" i="554"/>
  <c r="X13" i="554"/>
  <c r="AA12" i="554"/>
  <c r="X12" i="554"/>
  <c r="AA11" i="554"/>
  <c r="X11" i="554"/>
  <c r="AA10" i="554"/>
  <c r="X10" i="554"/>
  <c r="AA9" i="554"/>
  <c r="X9" i="554"/>
  <c r="AA8" i="554"/>
  <c r="X8" i="554"/>
  <c r="B8" i="554"/>
  <c r="AA7" i="554"/>
  <c r="X7" i="554"/>
  <c r="B7" i="554"/>
  <c r="AA6" i="554"/>
  <c r="X6" i="554"/>
  <c r="AA5" i="554"/>
  <c r="X5" i="554"/>
  <c r="AA4" i="554"/>
  <c r="X4" i="554"/>
  <c r="B3" i="554"/>
  <c r="R2" i="554"/>
  <c r="B2" i="554"/>
  <c r="S1" i="554"/>
  <c r="D11" i="554" s="1" a="1"/>
  <c r="D11" i="554" s="1"/>
  <c r="N1" i="554"/>
  <c r="M1" i="554"/>
  <c r="L1" i="554"/>
  <c r="K1" i="554"/>
  <c r="J1" i="554"/>
  <c r="I1" i="554"/>
  <c r="H1" i="554"/>
  <c r="G1" i="554"/>
  <c r="F1" i="554"/>
  <c r="E1" i="554"/>
  <c r="B1" i="554"/>
  <c r="Q80" i="553"/>
  <c r="Q79" i="553"/>
  <c r="Q78" i="553"/>
  <c r="Q72" i="553"/>
  <c r="Q71" i="553"/>
  <c r="Q70" i="553"/>
  <c r="Q69" i="553"/>
  <c r="Q68" i="553"/>
  <c r="Q59" i="553"/>
  <c r="Q58" i="553"/>
  <c r="Q57" i="553"/>
  <c r="Q56" i="553"/>
  <c r="Q55" i="553"/>
  <c r="Q54" i="553"/>
  <c r="Q53" i="553"/>
  <c r="Q52" i="553"/>
  <c r="Q51" i="553"/>
  <c r="Q50" i="553"/>
  <c r="N49" i="553"/>
  <c r="M49" i="553"/>
  <c r="L49" i="553"/>
  <c r="K49" i="553"/>
  <c r="J49" i="553"/>
  <c r="I49" i="553"/>
  <c r="H49" i="553"/>
  <c r="G49" i="553"/>
  <c r="F49" i="553"/>
  <c r="E49" i="553"/>
  <c r="AA15" i="553"/>
  <c r="X15" i="553"/>
  <c r="AA14" i="553"/>
  <c r="X14" i="553"/>
  <c r="AA13" i="553"/>
  <c r="X13" i="553"/>
  <c r="AA12" i="553"/>
  <c r="X12" i="553"/>
  <c r="AA11" i="553"/>
  <c r="X11" i="553"/>
  <c r="AA10" i="553"/>
  <c r="X10" i="553"/>
  <c r="AA9" i="553"/>
  <c r="X9" i="553"/>
  <c r="AA8" i="553"/>
  <c r="X8" i="553"/>
  <c r="AA7" i="553"/>
  <c r="X7" i="553"/>
  <c r="B7" i="553"/>
  <c r="B8" i="553" s="1"/>
  <c r="AA6" i="553"/>
  <c r="X6" i="553"/>
  <c r="AA5" i="553"/>
  <c r="X5" i="553"/>
  <c r="AA4" i="553"/>
  <c r="X4" i="553"/>
  <c r="D4" i="553" a="1"/>
  <c r="D4" i="553" s="1"/>
  <c r="D3" i="553" a="1"/>
  <c r="D3" i="553" s="1"/>
  <c r="B3" i="553"/>
  <c r="R2" i="553"/>
  <c r="B2" i="553"/>
  <c r="S1" i="553"/>
  <c r="D11" i="553" s="1" a="1"/>
  <c r="D11" i="553" s="1"/>
  <c r="N1" i="553"/>
  <c r="M1" i="553"/>
  <c r="L1" i="553"/>
  <c r="K1" i="553"/>
  <c r="J1" i="553"/>
  <c r="I1" i="553"/>
  <c r="H1" i="553"/>
  <c r="G1" i="553"/>
  <c r="F1" i="553"/>
  <c r="E1" i="553"/>
  <c r="B1" i="553"/>
  <c r="Q80" i="552"/>
  <c r="Q79" i="552"/>
  <c r="Q78" i="552"/>
  <c r="Q72" i="552"/>
  <c r="Q71" i="552"/>
  <c r="Q70" i="552"/>
  <c r="Q69" i="552"/>
  <c r="Q68" i="552"/>
  <c r="Q59" i="552"/>
  <c r="Q58" i="552"/>
  <c r="Q57" i="552"/>
  <c r="Q56" i="552"/>
  <c r="Q55" i="552"/>
  <c r="Q54" i="552"/>
  <c r="Q53" i="552"/>
  <c r="Q52" i="552"/>
  <c r="Q51" i="552"/>
  <c r="Q50" i="552"/>
  <c r="N49" i="552"/>
  <c r="M49" i="552"/>
  <c r="L49" i="552"/>
  <c r="K49" i="552"/>
  <c r="J49" i="552"/>
  <c r="I49" i="552"/>
  <c r="H49" i="552"/>
  <c r="G49" i="552"/>
  <c r="F49" i="552"/>
  <c r="E49" i="552"/>
  <c r="AA15" i="552"/>
  <c r="X15" i="552"/>
  <c r="AA14" i="552"/>
  <c r="X14" i="552"/>
  <c r="AA13" i="552"/>
  <c r="X13" i="552"/>
  <c r="AA12" i="552"/>
  <c r="X12" i="552"/>
  <c r="AA11" i="552"/>
  <c r="X11" i="552"/>
  <c r="AA10" i="552"/>
  <c r="X10" i="552"/>
  <c r="AA9" i="552"/>
  <c r="X9" i="552"/>
  <c r="AA8" i="552"/>
  <c r="X8" i="552"/>
  <c r="D8" i="552" a="1"/>
  <c r="D8" i="552" s="1"/>
  <c r="B8" i="552"/>
  <c r="AA7" i="552"/>
  <c r="X7" i="552"/>
  <c r="B7" i="552"/>
  <c r="AA6" i="552"/>
  <c r="X6" i="552"/>
  <c r="D6" i="552" a="1"/>
  <c r="D6" i="552" s="1"/>
  <c r="AA5" i="552"/>
  <c r="X5" i="552"/>
  <c r="AA4" i="552"/>
  <c r="X4" i="552"/>
  <c r="B3" i="552"/>
  <c r="R2" i="552"/>
  <c r="B2" i="552"/>
  <c r="S1" i="552"/>
  <c r="D11" i="552" s="1" a="1"/>
  <c r="D11" i="552" s="1"/>
  <c r="N1" i="552"/>
  <c r="M1" i="552"/>
  <c r="L1" i="552"/>
  <c r="K1" i="552"/>
  <c r="J1" i="552"/>
  <c r="I1" i="552"/>
  <c r="H1" i="552"/>
  <c r="G1" i="552"/>
  <c r="F1" i="552"/>
  <c r="E1" i="552"/>
  <c r="B1" i="552"/>
  <c r="Q80" i="551"/>
  <c r="Q79" i="551"/>
  <c r="Q78" i="551"/>
  <c r="Q72" i="551"/>
  <c r="Q71" i="551"/>
  <c r="Q70" i="551"/>
  <c r="Q69" i="551"/>
  <c r="Q68" i="551"/>
  <c r="Q59" i="551"/>
  <c r="Q58" i="551"/>
  <c r="Q57" i="551"/>
  <c r="Q56" i="551"/>
  <c r="Q55" i="551"/>
  <c r="Q54" i="551"/>
  <c r="Q53" i="551"/>
  <c r="Q52" i="551"/>
  <c r="Q51" i="551"/>
  <c r="Q50" i="551"/>
  <c r="N49" i="551"/>
  <c r="M49" i="551"/>
  <c r="L49" i="551"/>
  <c r="K49" i="551"/>
  <c r="J49" i="551"/>
  <c r="I49" i="551"/>
  <c r="H49" i="551"/>
  <c r="G49" i="551"/>
  <c r="F49" i="551"/>
  <c r="E49" i="551"/>
  <c r="AA15" i="551"/>
  <c r="X15" i="551"/>
  <c r="AA14" i="551"/>
  <c r="X14" i="551"/>
  <c r="AA13" i="551"/>
  <c r="X13" i="551"/>
  <c r="AA12" i="551"/>
  <c r="X12" i="551"/>
  <c r="AA11" i="551"/>
  <c r="X11" i="551"/>
  <c r="AA10" i="551"/>
  <c r="X10" i="551"/>
  <c r="AA9" i="551"/>
  <c r="X9" i="551"/>
  <c r="AA8" i="551"/>
  <c r="X8" i="551"/>
  <c r="B8" i="551"/>
  <c r="AA7" i="551"/>
  <c r="X7" i="551"/>
  <c r="B7" i="551"/>
  <c r="S1" i="551" s="1"/>
  <c r="AA6" i="551"/>
  <c r="X6" i="551"/>
  <c r="AA5" i="551"/>
  <c r="X5" i="551"/>
  <c r="AA4" i="551"/>
  <c r="X4" i="551"/>
  <c r="B3" i="551"/>
  <c r="R2" i="551"/>
  <c r="B2" i="551"/>
  <c r="N1" i="551"/>
  <c r="M1" i="551"/>
  <c r="L1" i="551"/>
  <c r="K1" i="551"/>
  <c r="J1" i="551"/>
  <c r="I1" i="551"/>
  <c r="H1" i="551"/>
  <c r="G1" i="551"/>
  <c r="F1" i="551"/>
  <c r="E1" i="551"/>
  <c r="B1" i="551"/>
  <c r="Q80" i="550"/>
  <c r="Q79" i="550"/>
  <c r="Q78" i="550"/>
  <c r="Q72" i="550"/>
  <c r="Q71" i="550"/>
  <c r="Q70" i="550"/>
  <c r="Q69" i="550"/>
  <c r="Q68" i="550"/>
  <c r="Q59" i="550"/>
  <c r="Q58" i="550"/>
  <c r="Q57" i="550"/>
  <c r="Q56" i="550"/>
  <c r="Q55" i="550"/>
  <c r="Q54" i="550"/>
  <c r="Q53" i="550"/>
  <c r="Q52" i="550"/>
  <c r="Q51" i="550"/>
  <c r="Q50" i="550"/>
  <c r="N49" i="550"/>
  <c r="M49" i="550"/>
  <c r="L49" i="550"/>
  <c r="K49" i="550"/>
  <c r="J49" i="550"/>
  <c r="I49" i="550"/>
  <c r="H49" i="550"/>
  <c r="G49" i="550"/>
  <c r="F49" i="550"/>
  <c r="E49" i="550"/>
  <c r="AA15" i="550"/>
  <c r="X15" i="550"/>
  <c r="AA14" i="550"/>
  <c r="X14" i="550"/>
  <c r="AA13" i="550"/>
  <c r="X13" i="550"/>
  <c r="AA12" i="550"/>
  <c r="X12" i="550"/>
  <c r="AA11" i="550"/>
  <c r="X11" i="550"/>
  <c r="AA10" i="550"/>
  <c r="X10" i="550"/>
  <c r="AA9" i="550"/>
  <c r="X9" i="550"/>
  <c r="AA8" i="550"/>
  <c r="X8" i="550"/>
  <c r="B8" i="550"/>
  <c r="AA7" i="550"/>
  <c r="X7" i="550"/>
  <c r="B7" i="550"/>
  <c r="AA6" i="550"/>
  <c r="X6" i="550"/>
  <c r="AA5" i="550"/>
  <c r="X5" i="550"/>
  <c r="AA4" i="550"/>
  <c r="X4" i="550"/>
  <c r="D3" i="550" a="1"/>
  <c r="D3" i="550" s="1"/>
  <c r="B3" i="550"/>
  <c r="R2" i="550"/>
  <c r="B2" i="550"/>
  <c r="S1" i="550"/>
  <c r="D11" i="550" s="1" a="1"/>
  <c r="D11" i="550" s="1"/>
  <c r="N1" i="550"/>
  <c r="M1" i="550"/>
  <c r="L1" i="550"/>
  <c r="K1" i="550"/>
  <c r="J1" i="550"/>
  <c r="I1" i="550"/>
  <c r="H1" i="550"/>
  <c r="G1" i="550"/>
  <c r="F1" i="550"/>
  <c r="E1" i="550"/>
  <c r="B1" i="550"/>
  <c r="Q80" i="549"/>
  <c r="Q79" i="549"/>
  <c r="Q78" i="549"/>
  <c r="Q72" i="549"/>
  <c r="Q71" i="549"/>
  <c r="Q70" i="549"/>
  <c r="Q69" i="549"/>
  <c r="Q68" i="549"/>
  <c r="Q59" i="549"/>
  <c r="Q58" i="549"/>
  <c r="Q57" i="549"/>
  <c r="Q56" i="549"/>
  <c r="Q55" i="549"/>
  <c r="Q54" i="549"/>
  <c r="Q53" i="549"/>
  <c r="Q52" i="549"/>
  <c r="Q51" i="549"/>
  <c r="Q50" i="549"/>
  <c r="N49" i="549"/>
  <c r="M49" i="549"/>
  <c r="L49" i="549"/>
  <c r="K49" i="549"/>
  <c r="J49" i="549"/>
  <c r="I49" i="549"/>
  <c r="H49" i="549"/>
  <c r="G49" i="549"/>
  <c r="F49" i="549"/>
  <c r="E49" i="549"/>
  <c r="AA15" i="549"/>
  <c r="X15" i="549"/>
  <c r="AA14" i="549"/>
  <c r="X14" i="549"/>
  <c r="AA13" i="549"/>
  <c r="X13" i="549"/>
  <c r="AA12" i="549"/>
  <c r="X12" i="549"/>
  <c r="AA11" i="549"/>
  <c r="X11" i="549"/>
  <c r="AA10" i="549"/>
  <c r="X10" i="549"/>
  <c r="D10" i="549" a="1"/>
  <c r="D10" i="549" s="1"/>
  <c r="AA9" i="549"/>
  <c r="X9" i="549"/>
  <c r="AA8" i="549"/>
  <c r="X8" i="549"/>
  <c r="B8" i="549"/>
  <c r="AA7" i="549"/>
  <c r="X7" i="549"/>
  <c r="B7" i="549"/>
  <c r="AA6" i="549"/>
  <c r="X6" i="549"/>
  <c r="AA5" i="549"/>
  <c r="X5" i="549"/>
  <c r="AA4" i="549"/>
  <c r="X4" i="549"/>
  <c r="D4" i="549" a="1"/>
  <c r="D4" i="549" s="1"/>
  <c r="B3" i="549"/>
  <c r="R2" i="549"/>
  <c r="B2" i="549"/>
  <c r="S1" i="549"/>
  <c r="D11" i="549" s="1" a="1"/>
  <c r="D11" i="549" s="1"/>
  <c r="N1" i="549"/>
  <c r="M1" i="549"/>
  <c r="L1" i="549"/>
  <c r="K1" i="549"/>
  <c r="J1" i="549"/>
  <c r="I1" i="549"/>
  <c r="H1" i="549"/>
  <c r="G1" i="549"/>
  <c r="F1" i="549"/>
  <c r="E1" i="549"/>
  <c r="B1" i="549"/>
  <c r="S1" i="536"/>
  <c r="D10" i="536" s="1" a="1"/>
  <c r="D10" i="536" s="1"/>
  <c r="E3" i="207" a="1"/>
  <c r="E3" i="207" s="1"/>
  <c r="Q80" i="536"/>
  <c r="Q79" i="536"/>
  <c r="Q78" i="536"/>
  <c r="Q72" i="536"/>
  <c r="Q71" i="536"/>
  <c r="Q70" i="536"/>
  <c r="Q69" i="536"/>
  <c r="Q68" i="536"/>
  <c r="Q59" i="536"/>
  <c r="Q58" i="536"/>
  <c r="Q57" i="536"/>
  <c r="Q56" i="536"/>
  <c r="Q55" i="536"/>
  <c r="Q54" i="536"/>
  <c r="Q53" i="536"/>
  <c r="Q52" i="536"/>
  <c r="Q51" i="536"/>
  <c r="Q50" i="536"/>
  <c r="N49" i="536"/>
  <c r="M49" i="536"/>
  <c r="L49" i="536"/>
  <c r="K49" i="536"/>
  <c r="J49" i="536"/>
  <c r="I49" i="536"/>
  <c r="H49" i="536"/>
  <c r="G49" i="536"/>
  <c r="F49" i="536"/>
  <c r="E49" i="536"/>
  <c r="H25" i="536"/>
  <c r="AA15" i="536"/>
  <c r="X15" i="536"/>
  <c r="AA14" i="536"/>
  <c r="X14" i="536"/>
  <c r="AA13" i="536"/>
  <c r="X13" i="536"/>
  <c r="AA12" i="536"/>
  <c r="X12" i="536"/>
  <c r="AA11" i="536"/>
  <c r="X11" i="536"/>
  <c r="AA10" i="536"/>
  <c r="X10" i="536"/>
  <c r="AA9" i="536"/>
  <c r="X9" i="536"/>
  <c r="AA8" i="536"/>
  <c r="X8" i="536"/>
  <c r="B8" i="536"/>
  <c r="AA7" i="536"/>
  <c r="X7" i="536"/>
  <c r="B7" i="536"/>
  <c r="B9" i="536" s="1"/>
  <c r="AA6" i="536"/>
  <c r="X6" i="536"/>
  <c r="AA5" i="536"/>
  <c r="X5" i="536"/>
  <c r="D5" i="536" a="1"/>
  <c r="D5" i="536" s="1"/>
  <c r="M5" i="536" s="1" a="1"/>
  <c r="M5" i="536" s="1"/>
  <c r="AA4" i="536"/>
  <c r="X4" i="536"/>
  <c r="X3" i="536"/>
  <c r="D3" i="536" a="1"/>
  <c r="D3" i="536" s="1"/>
  <c r="B3" i="536"/>
  <c r="S2" i="536"/>
  <c r="H27" i="536" s="1"/>
  <c r="R2" i="536"/>
  <c r="B2" i="536"/>
  <c r="D11" i="536" a="1"/>
  <c r="D11" i="536" s="1"/>
  <c r="R1" i="536"/>
  <c r="N1" i="536"/>
  <c r="M1" i="536"/>
  <c r="L1" i="536"/>
  <c r="K1" i="536"/>
  <c r="J1" i="536"/>
  <c r="I1" i="536"/>
  <c r="H1" i="536"/>
  <c r="G1" i="536"/>
  <c r="F1" i="536"/>
  <c r="E1" i="536"/>
  <c r="B1" i="536"/>
  <c r="P8" i="560" l="1" a="1"/>
  <c r="P8" i="560" s="1"/>
  <c r="L8" i="560" a="1"/>
  <c r="L8" i="560" s="1"/>
  <c r="H8" i="560" a="1"/>
  <c r="H8" i="560" s="1"/>
  <c r="O8" i="560" a="1"/>
  <c r="O8" i="560" s="1"/>
  <c r="K8" i="560" a="1"/>
  <c r="K8" i="560" s="1"/>
  <c r="G8" i="560" a="1"/>
  <c r="G8" i="560" s="1"/>
  <c r="N8" i="560" a="1"/>
  <c r="N8" i="560" s="1"/>
  <c r="J8" i="560" a="1"/>
  <c r="J8" i="560" s="1"/>
  <c r="F8" i="560" a="1"/>
  <c r="F8" i="560" s="1"/>
  <c r="M8" i="560" a="1"/>
  <c r="M8" i="560" s="1"/>
  <c r="I8" i="560" a="1"/>
  <c r="I8" i="560" s="1"/>
  <c r="E8" i="560" a="1"/>
  <c r="E8" i="560" s="1"/>
  <c r="P11" i="560" a="1"/>
  <c r="P11" i="560" s="1"/>
  <c r="L11" i="560" a="1"/>
  <c r="L11" i="560" s="1"/>
  <c r="H11" i="560" a="1"/>
  <c r="H11" i="560" s="1"/>
  <c r="O11" i="560" a="1"/>
  <c r="O11" i="560" s="1"/>
  <c r="K11" i="560" a="1"/>
  <c r="K11" i="560" s="1"/>
  <c r="G11" i="560" a="1"/>
  <c r="G11" i="560" s="1"/>
  <c r="N11" i="560" a="1"/>
  <c r="N11" i="560" s="1"/>
  <c r="J11" i="560" a="1"/>
  <c r="J11" i="560" s="1"/>
  <c r="F11" i="560" a="1"/>
  <c r="F11" i="560" s="1"/>
  <c r="M11" i="560" a="1"/>
  <c r="M11" i="560" s="1"/>
  <c r="I11" i="560" a="1"/>
  <c r="I11" i="560" s="1"/>
  <c r="E11" i="560" a="1"/>
  <c r="E11" i="560" s="1"/>
  <c r="N6" i="560" a="1"/>
  <c r="N6" i="560" s="1"/>
  <c r="J6" i="560" a="1"/>
  <c r="J6" i="560" s="1"/>
  <c r="F6" i="560" a="1"/>
  <c r="F6" i="560" s="1"/>
  <c r="M6" i="560" a="1"/>
  <c r="M6" i="560" s="1"/>
  <c r="I6" i="560" a="1"/>
  <c r="I6" i="560" s="1"/>
  <c r="E6" i="560" a="1"/>
  <c r="E6" i="560" s="1"/>
  <c r="P6" i="560" a="1"/>
  <c r="P6" i="560" s="1"/>
  <c r="L6" i="560" a="1"/>
  <c r="L6" i="560" s="1"/>
  <c r="H6" i="560" a="1"/>
  <c r="H6" i="560" s="1"/>
  <c r="O6" i="560" a="1"/>
  <c r="O6" i="560" s="1"/>
  <c r="K6" i="560" a="1"/>
  <c r="K6" i="560" s="1"/>
  <c r="G6" i="560" a="1"/>
  <c r="G6" i="560" s="1"/>
  <c r="D3" i="560" a="1"/>
  <c r="D3" i="560" s="1"/>
  <c r="D7" i="560" a="1"/>
  <c r="D7" i="560" s="1"/>
  <c r="D10" i="560" a="1"/>
  <c r="D10" i="560" s="1"/>
  <c r="D5" i="560" a="1"/>
  <c r="D5" i="560" s="1"/>
  <c r="D12" i="560" a="1"/>
  <c r="D12" i="560" s="1"/>
  <c r="D4" i="560" a="1"/>
  <c r="D4" i="560" s="1"/>
  <c r="D9" i="560" a="1"/>
  <c r="D9" i="560" s="1"/>
  <c r="P8" i="559" a="1"/>
  <c r="P8" i="559" s="1"/>
  <c r="L8" i="559" a="1"/>
  <c r="L8" i="559" s="1"/>
  <c r="H8" i="559" a="1"/>
  <c r="H8" i="559" s="1"/>
  <c r="O8" i="559" a="1"/>
  <c r="O8" i="559" s="1"/>
  <c r="K8" i="559" a="1"/>
  <c r="K8" i="559" s="1"/>
  <c r="G8" i="559" a="1"/>
  <c r="G8" i="559" s="1"/>
  <c r="N8" i="559" a="1"/>
  <c r="N8" i="559" s="1"/>
  <c r="J8" i="559" a="1"/>
  <c r="J8" i="559" s="1"/>
  <c r="F8" i="559" a="1"/>
  <c r="F8" i="559" s="1"/>
  <c r="M8" i="559" a="1"/>
  <c r="M8" i="559" s="1"/>
  <c r="I8" i="559" a="1"/>
  <c r="I8" i="559" s="1"/>
  <c r="E8" i="559" a="1"/>
  <c r="E8" i="559" s="1"/>
  <c r="P11" i="559" a="1"/>
  <c r="P11" i="559" s="1"/>
  <c r="L11" i="559" a="1"/>
  <c r="L11" i="559" s="1"/>
  <c r="H11" i="559" a="1"/>
  <c r="H11" i="559" s="1"/>
  <c r="O11" i="559" a="1"/>
  <c r="O11" i="559" s="1"/>
  <c r="K11" i="559" a="1"/>
  <c r="K11" i="559" s="1"/>
  <c r="G11" i="559" a="1"/>
  <c r="G11" i="559" s="1"/>
  <c r="N11" i="559" a="1"/>
  <c r="N11" i="559" s="1"/>
  <c r="J11" i="559" a="1"/>
  <c r="J11" i="559" s="1"/>
  <c r="F11" i="559" a="1"/>
  <c r="F11" i="559" s="1"/>
  <c r="M11" i="559" a="1"/>
  <c r="M11" i="559" s="1"/>
  <c r="I11" i="559" a="1"/>
  <c r="I11" i="559" s="1"/>
  <c r="E11" i="559" a="1"/>
  <c r="E11" i="559" s="1"/>
  <c r="N6" i="559" a="1"/>
  <c r="N6" i="559" s="1"/>
  <c r="J6" i="559" a="1"/>
  <c r="J6" i="559" s="1"/>
  <c r="F6" i="559" a="1"/>
  <c r="F6" i="559" s="1"/>
  <c r="M6" i="559" a="1"/>
  <c r="M6" i="559" s="1"/>
  <c r="I6" i="559" a="1"/>
  <c r="I6" i="559" s="1"/>
  <c r="E6" i="559" a="1"/>
  <c r="E6" i="559" s="1"/>
  <c r="P6" i="559" a="1"/>
  <c r="P6" i="559" s="1"/>
  <c r="L6" i="559" a="1"/>
  <c r="L6" i="559" s="1"/>
  <c r="H6" i="559" a="1"/>
  <c r="H6" i="559" s="1"/>
  <c r="O6" i="559" a="1"/>
  <c r="O6" i="559" s="1"/>
  <c r="K6" i="559" a="1"/>
  <c r="K6" i="559" s="1"/>
  <c r="G6" i="559" a="1"/>
  <c r="G6" i="559" s="1"/>
  <c r="D3" i="559" a="1"/>
  <c r="D3" i="559" s="1"/>
  <c r="D7" i="559" a="1"/>
  <c r="D7" i="559" s="1"/>
  <c r="D10" i="559" a="1"/>
  <c r="D10" i="559" s="1"/>
  <c r="D5" i="559" a="1"/>
  <c r="D5" i="559" s="1"/>
  <c r="D12" i="559" a="1"/>
  <c r="D12" i="559" s="1"/>
  <c r="D4" i="559" a="1"/>
  <c r="D4" i="559" s="1"/>
  <c r="D9" i="559" a="1"/>
  <c r="D9" i="559" s="1"/>
  <c r="M4" i="558" a="1"/>
  <c r="M4" i="558" s="1"/>
  <c r="I4" i="558" a="1"/>
  <c r="I4" i="558" s="1"/>
  <c r="E4" i="558" a="1"/>
  <c r="E4" i="558" s="1"/>
  <c r="P4" i="558" a="1"/>
  <c r="P4" i="558" s="1"/>
  <c r="L4" i="558" a="1"/>
  <c r="L4" i="558" s="1"/>
  <c r="H4" i="558" a="1"/>
  <c r="H4" i="558" s="1"/>
  <c r="O4" i="558" a="1"/>
  <c r="O4" i="558" s="1"/>
  <c r="K4" i="558" a="1"/>
  <c r="K4" i="558" s="1"/>
  <c r="G4" i="558" a="1"/>
  <c r="G4" i="558" s="1"/>
  <c r="N4" i="558" a="1"/>
  <c r="N4" i="558" s="1"/>
  <c r="J4" i="558" a="1"/>
  <c r="J4" i="558" s="1"/>
  <c r="F4" i="558" a="1"/>
  <c r="F4" i="558" s="1"/>
  <c r="P11" i="558" a="1"/>
  <c r="P11" i="558" s="1"/>
  <c r="L11" i="558" a="1"/>
  <c r="L11" i="558" s="1"/>
  <c r="H11" i="558" a="1"/>
  <c r="H11" i="558" s="1"/>
  <c r="O11" i="558" a="1"/>
  <c r="O11" i="558" s="1"/>
  <c r="K11" i="558" a="1"/>
  <c r="K11" i="558" s="1"/>
  <c r="G11" i="558" a="1"/>
  <c r="G11" i="558" s="1"/>
  <c r="N11" i="558" a="1"/>
  <c r="N11" i="558" s="1"/>
  <c r="J11" i="558" a="1"/>
  <c r="J11" i="558" s="1"/>
  <c r="F11" i="558" a="1"/>
  <c r="F11" i="558" s="1"/>
  <c r="M11" i="558" a="1"/>
  <c r="M11" i="558" s="1"/>
  <c r="I11" i="558" a="1"/>
  <c r="I11" i="558" s="1"/>
  <c r="E11" i="558" a="1"/>
  <c r="E11" i="558" s="1"/>
  <c r="O10" i="558" a="1"/>
  <c r="O10" i="558" s="1"/>
  <c r="K10" i="558" a="1"/>
  <c r="K10" i="558" s="1"/>
  <c r="G10" i="558" a="1"/>
  <c r="G10" i="558" s="1"/>
  <c r="L10" i="558" a="1"/>
  <c r="L10" i="558" s="1"/>
  <c r="N10" i="558" a="1"/>
  <c r="N10" i="558" s="1"/>
  <c r="J10" i="558" a="1"/>
  <c r="J10" i="558" s="1"/>
  <c r="F10" i="558" a="1"/>
  <c r="F10" i="558" s="1"/>
  <c r="M10" i="558" a="1"/>
  <c r="M10" i="558" s="1"/>
  <c r="I10" i="558" a="1"/>
  <c r="I10" i="558" s="1"/>
  <c r="E10" i="558" a="1"/>
  <c r="E10" i="558" s="1"/>
  <c r="H10" i="558" a="1"/>
  <c r="H10" i="558" s="1"/>
  <c r="P10" i="558" a="1"/>
  <c r="P10" i="558" s="1"/>
  <c r="H3" i="558" a="1"/>
  <c r="H3" i="558" s="1"/>
  <c r="L3" i="558" a="1"/>
  <c r="L3" i="558" s="1"/>
  <c r="P3" i="558" a="1"/>
  <c r="P3" i="558" s="1"/>
  <c r="D7" i="558" a="1"/>
  <c r="D7" i="558" s="1"/>
  <c r="E3" i="558" a="1"/>
  <c r="E3" i="558" s="1"/>
  <c r="I3" i="558" a="1"/>
  <c r="I3" i="558" s="1"/>
  <c r="M3" i="558" a="1"/>
  <c r="M3" i="558" s="1"/>
  <c r="D6" i="558" a="1"/>
  <c r="D6" i="558" s="1"/>
  <c r="D5" i="558" a="1"/>
  <c r="D5" i="558" s="1"/>
  <c r="D12" i="558" a="1"/>
  <c r="D12" i="558" s="1"/>
  <c r="F3" i="558" a="1"/>
  <c r="F3" i="558" s="1"/>
  <c r="J3" i="558" a="1"/>
  <c r="J3" i="558" s="1"/>
  <c r="N3" i="558" a="1"/>
  <c r="N3" i="558" s="1"/>
  <c r="D9" i="558" a="1"/>
  <c r="D9" i="558" s="1"/>
  <c r="G3" i="558" a="1"/>
  <c r="G3" i="558" s="1"/>
  <c r="K3" i="558" a="1"/>
  <c r="K3" i="558" s="1"/>
  <c r="D8" i="558" a="1"/>
  <c r="D8" i="558" s="1"/>
  <c r="P8" i="557" a="1"/>
  <c r="P8" i="557" s="1"/>
  <c r="L8" i="557" a="1"/>
  <c r="L8" i="557" s="1"/>
  <c r="H8" i="557" a="1"/>
  <c r="H8" i="557" s="1"/>
  <c r="O8" i="557" a="1"/>
  <c r="O8" i="557" s="1"/>
  <c r="K8" i="557" a="1"/>
  <c r="K8" i="557" s="1"/>
  <c r="G8" i="557" a="1"/>
  <c r="G8" i="557" s="1"/>
  <c r="N8" i="557" a="1"/>
  <c r="N8" i="557" s="1"/>
  <c r="J8" i="557" a="1"/>
  <c r="J8" i="557" s="1"/>
  <c r="F8" i="557" a="1"/>
  <c r="F8" i="557" s="1"/>
  <c r="M8" i="557" a="1"/>
  <c r="M8" i="557" s="1"/>
  <c r="I8" i="557" a="1"/>
  <c r="I8" i="557" s="1"/>
  <c r="E8" i="557" a="1"/>
  <c r="E8" i="557" s="1"/>
  <c r="P11" i="557" a="1"/>
  <c r="P11" i="557" s="1"/>
  <c r="L11" i="557" a="1"/>
  <c r="L11" i="557" s="1"/>
  <c r="H11" i="557" a="1"/>
  <c r="H11" i="557" s="1"/>
  <c r="O11" i="557" a="1"/>
  <c r="O11" i="557" s="1"/>
  <c r="K11" i="557" a="1"/>
  <c r="K11" i="557" s="1"/>
  <c r="G11" i="557" a="1"/>
  <c r="G11" i="557" s="1"/>
  <c r="N11" i="557" a="1"/>
  <c r="N11" i="557" s="1"/>
  <c r="J11" i="557" a="1"/>
  <c r="J11" i="557" s="1"/>
  <c r="F11" i="557" a="1"/>
  <c r="F11" i="557" s="1"/>
  <c r="M11" i="557" a="1"/>
  <c r="M11" i="557" s="1"/>
  <c r="I11" i="557" a="1"/>
  <c r="I11" i="557" s="1"/>
  <c r="E11" i="557" a="1"/>
  <c r="E11" i="557" s="1"/>
  <c r="N6" i="557" a="1"/>
  <c r="N6" i="557" s="1"/>
  <c r="J6" i="557" a="1"/>
  <c r="J6" i="557" s="1"/>
  <c r="F6" i="557" a="1"/>
  <c r="F6" i="557" s="1"/>
  <c r="M6" i="557" a="1"/>
  <c r="M6" i="557" s="1"/>
  <c r="I6" i="557" a="1"/>
  <c r="I6" i="557" s="1"/>
  <c r="E6" i="557" a="1"/>
  <c r="E6" i="557" s="1"/>
  <c r="P6" i="557" a="1"/>
  <c r="P6" i="557" s="1"/>
  <c r="L6" i="557" a="1"/>
  <c r="L6" i="557" s="1"/>
  <c r="H6" i="557" a="1"/>
  <c r="H6" i="557" s="1"/>
  <c r="O6" i="557" a="1"/>
  <c r="O6" i="557" s="1"/>
  <c r="K6" i="557" a="1"/>
  <c r="K6" i="557" s="1"/>
  <c r="G6" i="557" a="1"/>
  <c r="G6" i="557" s="1"/>
  <c r="D3" i="557" a="1"/>
  <c r="D3" i="557" s="1"/>
  <c r="D7" i="557" a="1"/>
  <c r="D7" i="557" s="1"/>
  <c r="D10" i="557" a="1"/>
  <c r="D10" i="557" s="1"/>
  <c r="D5" i="557" a="1"/>
  <c r="D5" i="557" s="1"/>
  <c r="D12" i="557" a="1"/>
  <c r="D12" i="557" s="1"/>
  <c r="D4" i="557" a="1"/>
  <c r="D4" i="557" s="1"/>
  <c r="D9" i="557" a="1"/>
  <c r="D9" i="557" s="1"/>
  <c r="P11" i="556" a="1"/>
  <c r="P11" i="556" s="1"/>
  <c r="L11" i="556" a="1"/>
  <c r="L11" i="556" s="1"/>
  <c r="H11" i="556" a="1"/>
  <c r="H11" i="556" s="1"/>
  <c r="O11" i="556" a="1"/>
  <c r="O11" i="556" s="1"/>
  <c r="K11" i="556" a="1"/>
  <c r="K11" i="556" s="1"/>
  <c r="G11" i="556" a="1"/>
  <c r="G11" i="556" s="1"/>
  <c r="N11" i="556" a="1"/>
  <c r="N11" i="556" s="1"/>
  <c r="J11" i="556" a="1"/>
  <c r="J11" i="556" s="1"/>
  <c r="F11" i="556" a="1"/>
  <c r="F11" i="556" s="1"/>
  <c r="M11" i="556" a="1"/>
  <c r="M11" i="556" s="1"/>
  <c r="I11" i="556" a="1"/>
  <c r="I11" i="556" s="1"/>
  <c r="E11" i="556" a="1"/>
  <c r="E11" i="556" s="1"/>
  <c r="O10" i="556" a="1"/>
  <c r="O10" i="556" s="1"/>
  <c r="K10" i="556" a="1"/>
  <c r="K10" i="556" s="1"/>
  <c r="G10" i="556" a="1"/>
  <c r="G10" i="556" s="1"/>
  <c r="N10" i="556" a="1"/>
  <c r="N10" i="556" s="1"/>
  <c r="J10" i="556" a="1"/>
  <c r="J10" i="556" s="1"/>
  <c r="F10" i="556" a="1"/>
  <c r="F10" i="556" s="1"/>
  <c r="M10" i="556" a="1"/>
  <c r="M10" i="556" s="1"/>
  <c r="I10" i="556" a="1"/>
  <c r="I10" i="556" s="1"/>
  <c r="E10" i="556" a="1"/>
  <c r="E10" i="556" s="1"/>
  <c r="P10" i="556" a="1"/>
  <c r="P10" i="556" s="1"/>
  <c r="L10" i="556" a="1"/>
  <c r="L10" i="556" s="1"/>
  <c r="H10" i="556" a="1"/>
  <c r="H10" i="556" s="1"/>
  <c r="H3" i="556" a="1"/>
  <c r="H3" i="556" s="1"/>
  <c r="L3" i="556" a="1"/>
  <c r="L3" i="556" s="1"/>
  <c r="P3" i="556" a="1"/>
  <c r="P3" i="556" s="1"/>
  <c r="D7" i="556" a="1"/>
  <c r="D7" i="556" s="1"/>
  <c r="E3" i="556" a="1"/>
  <c r="E3" i="556" s="1"/>
  <c r="I3" i="556" a="1"/>
  <c r="I3" i="556" s="1"/>
  <c r="M3" i="556" a="1"/>
  <c r="M3" i="556" s="1"/>
  <c r="D6" i="556" a="1"/>
  <c r="D6" i="556" s="1"/>
  <c r="D5" i="556" a="1"/>
  <c r="D5" i="556" s="1"/>
  <c r="D12" i="556" a="1"/>
  <c r="D12" i="556" s="1"/>
  <c r="F3" i="556" a="1"/>
  <c r="F3" i="556" s="1"/>
  <c r="J3" i="556" a="1"/>
  <c r="J3" i="556" s="1"/>
  <c r="N3" i="556" a="1"/>
  <c r="N3" i="556" s="1"/>
  <c r="D4" i="556" a="1"/>
  <c r="D4" i="556" s="1"/>
  <c r="D9" i="556" a="1"/>
  <c r="D9" i="556" s="1"/>
  <c r="G3" i="556" a="1"/>
  <c r="G3" i="556" s="1"/>
  <c r="K3" i="556" a="1"/>
  <c r="K3" i="556" s="1"/>
  <c r="D8" i="556" a="1"/>
  <c r="D8" i="556" s="1"/>
  <c r="P11" i="555" a="1"/>
  <c r="P11" i="555" s="1"/>
  <c r="L11" i="555" a="1"/>
  <c r="L11" i="555" s="1"/>
  <c r="H11" i="555" a="1"/>
  <c r="H11" i="555" s="1"/>
  <c r="O11" i="555" a="1"/>
  <c r="O11" i="555" s="1"/>
  <c r="K11" i="555" a="1"/>
  <c r="K11" i="555" s="1"/>
  <c r="G11" i="555" a="1"/>
  <c r="G11" i="555" s="1"/>
  <c r="N11" i="555" a="1"/>
  <c r="N11" i="555" s="1"/>
  <c r="J11" i="555" a="1"/>
  <c r="J11" i="555" s="1"/>
  <c r="F11" i="555" a="1"/>
  <c r="F11" i="555" s="1"/>
  <c r="M11" i="555" a="1"/>
  <c r="M11" i="555" s="1"/>
  <c r="I11" i="555" a="1"/>
  <c r="I11" i="555" s="1"/>
  <c r="E11" i="555" a="1"/>
  <c r="E11" i="555" s="1"/>
  <c r="D3" i="555" a="1"/>
  <c r="D3" i="555" s="1"/>
  <c r="D7" i="555" a="1"/>
  <c r="D7" i="555" s="1"/>
  <c r="D10" i="555" a="1"/>
  <c r="D10" i="555" s="1"/>
  <c r="D6" i="555" a="1"/>
  <c r="D6" i="555" s="1"/>
  <c r="D5" i="555" a="1"/>
  <c r="D5" i="555" s="1"/>
  <c r="D12" i="555" a="1"/>
  <c r="D12" i="555" s="1"/>
  <c r="D4" i="555" a="1"/>
  <c r="D4" i="555" s="1"/>
  <c r="D9" i="555" a="1"/>
  <c r="D9" i="555" s="1"/>
  <c r="D8" i="555" a="1"/>
  <c r="D8" i="555" s="1"/>
  <c r="P11" i="554" a="1"/>
  <c r="P11" i="554" s="1"/>
  <c r="L11" i="554" a="1"/>
  <c r="L11" i="554" s="1"/>
  <c r="H11" i="554" a="1"/>
  <c r="H11" i="554" s="1"/>
  <c r="O11" i="554" a="1"/>
  <c r="O11" i="554" s="1"/>
  <c r="K11" i="554" a="1"/>
  <c r="K11" i="554" s="1"/>
  <c r="G11" i="554" a="1"/>
  <c r="G11" i="554" s="1"/>
  <c r="N11" i="554" a="1"/>
  <c r="N11" i="554" s="1"/>
  <c r="J11" i="554" a="1"/>
  <c r="J11" i="554" s="1"/>
  <c r="F11" i="554" a="1"/>
  <c r="F11" i="554" s="1"/>
  <c r="M11" i="554" a="1"/>
  <c r="M11" i="554" s="1"/>
  <c r="I11" i="554" a="1"/>
  <c r="I11" i="554" s="1"/>
  <c r="E11" i="554" a="1"/>
  <c r="E11" i="554" s="1"/>
  <c r="D3" i="554" a="1"/>
  <c r="D3" i="554" s="1"/>
  <c r="D7" i="554" a="1"/>
  <c r="D7" i="554" s="1"/>
  <c r="D10" i="554" a="1"/>
  <c r="D10" i="554" s="1"/>
  <c r="D6" i="554" a="1"/>
  <c r="D6" i="554" s="1"/>
  <c r="D5" i="554" a="1"/>
  <c r="D5" i="554" s="1"/>
  <c r="D12" i="554" a="1"/>
  <c r="D12" i="554" s="1"/>
  <c r="D4" i="554" a="1"/>
  <c r="D4" i="554" s="1"/>
  <c r="D9" i="554" a="1"/>
  <c r="D9" i="554" s="1"/>
  <c r="D8" i="554" a="1"/>
  <c r="D8" i="554" s="1"/>
  <c r="O3" i="553" a="1"/>
  <c r="O3" i="553" s="1"/>
  <c r="K3" i="553" a="1"/>
  <c r="K3" i="553" s="1"/>
  <c r="G3" i="553" a="1"/>
  <c r="G3" i="553" s="1"/>
  <c r="N3" i="553" a="1"/>
  <c r="N3" i="553" s="1"/>
  <c r="J3" i="553" a="1"/>
  <c r="J3" i="553" s="1"/>
  <c r="F3" i="553" a="1"/>
  <c r="F3" i="553" s="1"/>
  <c r="M3" i="553" a="1"/>
  <c r="M3" i="553" s="1"/>
  <c r="I3" i="553" a="1"/>
  <c r="I3" i="553" s="1"/>
  <c r="E3" i="553" a="1"/>
  <c r="E3" i="553" s="1"/>
  <c r="P3" i="553" a="1"/>
  <c r="P3" i="553" s="1"/>
  <c r="L3" i="553" a="1"/>
  <c r="L3" i="553" s="1"/>
  <c r="H3" i="553" a="1"/>
  <c r="H3" i="553" s="1"/>
  <c r="M4" i="553" a="1"/>
  <c r="M4" i="553" s="1"/>
  <c r="I4" i="553" a="1"/>
  <c r="I4" i="553" s="1"/>
  <c r="E4" i="553" a="1"/>
  <c r="E4" i="553" s="1"/>
  <c r="P4" i="553" a="1"/>
  <c r="P4" i="553" s="1"/>
  <c r="L4" i="553" a="1"/>
  <c r="L4" i="553" s="1"/>
  <c r="H4" i="553" a="1"/>
  <c r="H4" i="553" s="1"/>
  <c r="O4" i="553" a="1"/>
  <c r="O4" i="553" s="1"/>
  <c r="K4" i="553" a="1"/>
  <c r="K4" i="553" s="1"/>
  <c r="G4" i="553" a="1"/>
  <c r="G4" i="553" s="1"/>
  <c r="N4" i="553" a="1"/>
  <c r="N4" i="553" s="1"/>
  <c r="J4" i="553" a="1"/>
  <c r="J4" i="553" s="1"/>
  <c r="F4" i="553" a="1"/>
  <c r="F4" i="553" s="1"/>
  <c r="P11" i="553" a="1"/>
  <c r="P11" i="553" s="1"/>
  <c r="L11" i="553" a="1"/>
  <c r="L11" i="553" s="1"/>
  <c r="H11" i="553" a="1"/>
  <c r="H11" i="553" s="1"/>
  <c r="O11" i="553" a="1"/>
  <c r="O11" i="553" s="1"/>
  <c r="K11" i="553" a="1"/>
  <c r="K11" i="553" s="1"/>
  <c r="G11" i="553" a="1"/>
  <c r="G11" i="553" s="1"/>
  <c r="N11" i="553" a="1"/>
  <c r="N11" i="553" s="1"/>
  <c r="J11" i="553" a="1"/>
  <c r="J11" i="553" s="1"/>
  <c r="F11" i="553" a="1"/>
  <c r="F11" i="553" s="1"/>
  <c r="M11" i="553" a="1"/>
  <c r="M11" i="553" s="1"/>
  <c r="I11" i="553" a="1"/>
  <c r="I11" i="553" s="1"/>
  <c r="E11" i="553" a="1"/>
  <c r="E11" i="553" s="1"/>
  <c r="D7" i="553" a="1"/>
  <c r="D7" i="553" s="1"/>
  <c r="D10" i="553" a="1"/>
  <c r="D10" i="553" s="1"/>
  <c r="D6" i="553" a="1"/>
  <c r="D6" i="553" s="1"/>
  <c r="D5" i="553" a="1"/>
  <c r="D5" i="553" s="1"/>
  <c r="D12" i="553" a="1"/>
  <c r="D12" i="553" s="1"/>
  <c r="D9" i="553" a="1"/>
  <c r="D9" i="553" s="1"/>
  <c r="D8" i="553" a="1"/>
  <c r="D8" i="553" s="1"/>
  <c r="P8" i="552" a="1"/>
  <c r="P8" i="552" s="1"/>
  <c r="L8" i="552" a="1"/>
  <c r="L8" i="552" s="1"/>
  <c r="H8" i="552" a="1"/>
  <c r="H8" i="552" s="1"/>
  <c r="O8" i="552" a="1"/>
  <c r="O8" i="552" s="1"/>
  <c r="K8" i="552" a="1"/>
  <c r="K8" i="552" s="1"/>
  <c r="G8" i="552" a="1"/>
  <c r="G8" i="552" s="1"/>
  <c r="N8" i="552" a="1"/>
  <c r="N8" i="552" s="1"/>
  <c r="J8" i="552" a="1"/>
  <c r="J8" i="552" s="1"/>
  <c r="F8" i="552" a="1"/>
  <c r="F8" i="552" s="1"/>
  <c r="M8" i="552" a="1"/>
  <c r="M8" i="552" s="1"/>
  <c r="I8" i="552" a="1"/>
  <c r="I8" i="552" s="1"/>
  <c r="E8" i="552" a="1"/>
  <c r="E8" i="552" s="1"/>
  <c r="P11" i="552" a="1"/>
  <c r="P11" i="552" s="1"/>
  <c r="L11" i="552" a="1"/>
  <c r="L11" i="552" s="1"/>
  <c r="H11" i="552" a="1"/>
  <c r="H11" i="552" s="1"/>
  <c r="O11" i="552" a="1"/>
  <c r="O11" i="552" s="1"/>
  <c r="K11" i="552" a="1"/>
  <c r="K11" i="552" s="1"/>
  <c r="G11" i="552" a="1"/>
  <c r="G11" i="552" s="1"/>
  <c r="N11" i="552" a="1"/>
  <c r="N11" i="552" s="1"/>
  <c r="J11" i="552" a="1"/>
  <c r="J11" i="552" s="1"/>
  <c r="F11" i="552" a="1"/>
  <c r="F11" i="552" s="1"/>
  <c r="M11" i="552" a="1"/>
  <c r="M11" i="552" s="1"/>
  <c r="I11" i="552" a="1"/>
  <c r="I11" i="552" s="1"/>
  <c r="E11" i="552" a="1"/>
  <c r="E11" i="552" s="1"/>
  <c r="N6" i="552" a="1"/>
  <c r="N6" i="552" s="1"/>
  <c r="J6" i="552" a="1"/>
  <c r="J6" i="552" s="1"/>
  <c r="F6" i="552" a="1"/>
  <c r="F6" i="552" s="1"/>
  <c r="M6" i="552" a="1"/>
  <c r="M6" i="552" s="1"/>
  <c r="I6" i="552" a="1"/>
  <c r="I6" i="552" s="1"/>
  <c r="E6" i="552" a="1"/>
  <c r="E6" i="552" s="1"/>
  <c r="P6" i="552" a="1"/>
  <c r="P6" i="552" s="1"/>
  <c r="L6" i="552" a="1"/>
  <c r="L6" i="552" s="1"/>
  <c r="H6" i="552" a="1"/>
  <c r="H6" i="552" s="1"/>
  <c r="O6" i="552" a="1"/>
  <c r="O6" i="552" s="1"/>
  <c r="K6" i="552" a="1"/>
  <c r="K6" i="552" s="1"/>
  <c r="G6" i="552" a="1"/>
  <c r="G6" i="552" s="1"/>
  <c r="D3" i="552" a="1"/>
  <c r="D3" i="552" s="1"/>
  <c r="D7" i="552" a="1"/>
  <c r="D7" i="552" s="1"/>
  <c r="D10" i="552" a="1"/>
  <c r="D10" i="552" s="1"/>
  <c r="D5" i="552" a="1"/>
  <c r="D5" i="552" s="1"/>
  <c r="D12" i="552" a="1"/>
  <c r="D12" i="552" s="1"/>
  <c r="D4" i="552" a="1"/>
  <c r="D4" i="552" s="1"/>
  <c r="D9" i="552" a="1"/>
  <c r="D9" i="552" s="1"/>
  <c r="D11" i="551" a="1"/>
  <c r="D11" i="551" s="1"/>
  <c r="D8" i="551" a="1"/>
  <c r="D8" i="551" s="1"/>
  <c r="D9" i="551" a="1"/>
  <c r="D9" i="551" s="1"/>
  <c r="D4" i="551" a="1"/>
  <c r="D4" i="551" s="1"/>
  <c r="D12" i="551" a="1"/>
  <c r="D12" i="551" s="1"/>
  <c r="D5" i="551" a="1"/>
  <c r="D5" i="551" s="1"/>
  <c r="D6" i="551" a="1"/>
  <c r="D6" i="551" s="1"/>
  <c r="D10" i="551" a="1"/>
  <c r="D10" i="551" s="1"/>
  <c r="D7" i="551" a="1"/>
  <c r="D7" i="551" s="1"/>
  <c r="D3" i="551" a="1"/>
  <c r="D3" i="551" s="1"/>
  <c r="P11" i="550" a="1"/>
  <c r="P11" i="550" s="1"/>
  <c r="L11" i="550" a="1"/>
  <c r="L11" i="550" s="1"/>
  <c r="H11" i="550" a="1"/>
  <c r="H11" i="550" s="1"/>
  <c r="O11" i="550" a="1"/>
  <c r="O11" i="550" s="1"/>
  <c r="K11" i="550" a="1"/>
  <c r="K11" i="550" s="1"/>
  <c r="G11" i="550" a="1"/>
  <c r="G11" i="550" s="1"/>
  <c r="N11" i="550" a="1"/>
  <c r="N11" i="550" s="1"/>
  <c r="J11" i="550" a="1"/>
  <c r="J11" i="550" s="1"/>
  <c r="F11" i="550" a="1"/>
  <c r="F11" i="550" s="1"/>
  <c r="M11" i="550" a="1"/>
  <c r="M11" i="550" s="1"/>
  <c r="I11" i="550" a="1"/>
  <c r="I11" i="550" s="1"/>
  <c r="E11" i="550" a="1"/>
  <c r="E11" i="550" s="1"/>
  <c r="O3" i="550" a="1"/>
  <c r="O3" i="550" s="1"/>
  <c r="K3" i="550" a="1"/>
  <c r="K3" i="550" s="1"/>
  <c r="G3" i="550" a="1"/>
  <c r="G3" i="550" s="1"/>
  <c r="N3" i="550" a="1"/>
  <c r="N3" i="550" s="1"/>
  <c r="J3" i="550" a="1"/>
  <c r="J3" i="550" s="1"/>
  <c r="F3" i="550" a="1"/>
  <c r="F3" i="550" s="1"/>
  <c r="M3" i="550" a="1"/>
  <c r="M3" i="550" s="1"/>
  <c r="I3" i="550" a="1"/>
  <c r="I3" i="550" s="1"/>
  <c r="E3" i="550" a="1"/>
  <c r="E3" i="550" s="1"/>
  <c r="P3" i="550" a="1"/>
  <c r="P3" i="550" s="1"/>
  <c r="L3" i="550" a="1"/>
  <c r="L3" i="550" s="1"/>
  <c r="H3" i="550" a="1"/>
  <c r="H3" i="550" s="1"/>
  <c r="D7" i="550" a="1"/>
  <c r="D7" i="550" s="1"/>
  <c r="D10" i="550" a="1"/>
  <c r="D10" i="550" s="1"/>
  <c r="D6" i="550" a="1"/>
  <c r="D6" i="550" s="1"/>
  <c r="D5" i="550" a="1"/>
  <c r="D5" i="550" s="1"/>
  <c r="D12" i="550" a="1"/>
  <c r="D12" i="550" s="1"/>
  <c r="D4" i="550" a="1"/>
  <c r="D4" i="550" s="1"/>
  <c r="D9" i="550" a="1"/>
  <c r="D9" i="550" s="1"/>
  <c r="D8" i="550" a="1"/>
  <c r="D8" i="550" s="1"/>
  <c r="O10" i="549" a="1"/>
  <c r="O10" i="549" s="1"/>
  <c r="K10" i="549" a="1"/>
  <c r="K10" i="549" s="1"/>
  <c r="G10" i="549" a="1"/>
  <c r="G10" i="549" s="1"/>
  <c r="N10" i="549" a="1"/>
  <c r="N10" i="549" s="1"/>
  <c r="J10" i="549" a="1"/>
  <c r="J10" i="549" s="1"/>
  <c r="F10" i="549" a="1"/>
  <c r="F10" i="549" s="1"/>
  <c r="M10" i="549" a="1"/>
  <c r="M10" i="549" s="1"/>
  <c r="I10" i="549" a="1"/>
  <c r="I10" i="549" s="1"/>
  <c r="E10" i="549" a="1"/>
  <c r="E10" i="549" s="1"/>
  <c r="P10" i="549" a="1"/>
  <c r="P10" i="549" s="1"/>
  <c r="L10" i="549" a="1"/>
  <c r="L10" i="549" s="1"/>
  <c r="H10" i="549" a="1"/>
  <c r="H10" i="549" s="1"/>
  <c r="H4" i="549" a="1"/>
  <c r="H4" i="549" s="1"/>
  <c r="M4" i="549" a="1"/>
  <c r="M4" i="549" s="1"/>
  <c r="I4" i="549" a="1"/>
  <c r="I4" i="549" s="1"/>
  <c r="E4" i="549" a="1"/>
  <c r="E4" i="549" s="1"/>
  <c r="P4" i="549" a="1"/>
  <c r="P4" i="549" s="1"/>
  <c r="L4" i="549" a="1"/>
  <c r="L4" i="549" s="1"/>
  <c r="O4" i="549" a="1"/>
  <c r="O4" i="549" s="1"/>
  <c r="K4" i="549" a="1"/>
  <c r="K4" i="549" s="1"/>
  <c r="G4" i="549" a="1"/>
  <c r="G4" i="549" s="1"/>
  <c r="N4" i="549" a="1"/>
  <c r="N4" i="549" s="1"/>
  <c r="J4" i="549" a="1"/>
  <c r="J4" i="549" s="1"/>
  <c r="F4" i="549" a="1"/>
  <c r="F4" i="549" s="1"/>
  <c r="P11" i="549" a="1"/>
  <c r="P11" i="549" s="1"/>
  <c r="L11" i="549" a="1"/>
  <c r="L11" i="549" s="1"/>
  <c r="H11" i="549" a="1"/>
  <c r="H11" i="549" s="1"/>
  <c r="O11" i="549" a="1"/>
  <c r="O11" i="549" s="1"/>
  <c r="K11" i="549" a="1"/>
  <c r="K11" i="549" s="1"/>
  <c r="G11" i="549" a="1"/>
  <c r="G11" i="549" s="1"/>
  <c r="N11" i="549" a="1"/>
  <c r="N11" i="549" s="1"/>
  <c r="J11" i="549" a="1"/>
  <c r="J11" i="549" s="1"/>
  <c r="F11" i="549" a="1"/>
  <c r="F11" i="549" s="1"/>
  <c r="M11" i="549" a="1"/>
  <c r="M11" i="549" s="1"/>
  <c r="I11" i="549" a="1"/>
  <c r="I11" i="549" s="1"/>
  <c r="E11" i="549" a="1"/>
  <c r="E11" i="549" s="1"/>
  <c r="D3" i="549" a="1"/>
  <c r="D3" i="549" s="1"/>
  <c r="D7" i="549" a="1"/>
  <c r="D7" i="549" s="1"/>
  <c r="D6" i="549" a="1"/>
  <c r="D6" i="549" s="1"/>
  <c r="D5" i="549" a="1"/>
  <c r="D5" i="549" s="1"/>
  <c r="D12" i="549" a="1"/>
  <c r="D12" i="549" s="1"/>
  <c r="D9" i="549" a="1"/>
  <c r="D9" i="549" s="1"/>
  <c r="D8" i="549" a="1"/>
  <c r="D8" i="549" s="1"/>
  <c r="P3" i="536" a="1"/>
  <c r="P3" i="536" s="1"/>
  <c r="I3" i="536" a="1"/>
  <c r="I3" i="536" s="1"/>
  <c r="E3" i="536" a="1"/>
  <c r="E3" i="536" s="1"/>
  <c r="M3" i="536" a="1"/>
  <c r="M3" i="536" s="1"/>
  <c r="D8" i="536" a="1"/>
  <c r="D8" i="536" s="1"/>
  <c r="P8" i="536" s="1" a="1"/>
  <c r="P8" i="536" s="1"/>
  <c r="N5" i="536" a="1"/>
  <c r="N5" i="536" s="1"/>
  <c r="F5" i="536" a="1"/>
  <c r="F5" i="536" s="1"/>
  <c r="J5" i="536" a="1"/>
  <c r="J5" i="536" s="1"/>
  <c r="P11" i="536" a="1"/>
  <c r="P11" i="536" s="1"/>
  <c r="L11" i="536" a="1"/>
  <c r="L11" i="536" s="1"/>
  <c r="H11" i="536" a="1"/>
  <c r="H11" i="536" s="1"/>
  <c r="O11" i="536" a="1"/>
  <c r="O11" i="536" s="1"/>
  <c r="K11" i="536" a="1"/>
  <c r="K11" i="536" s="1"/>
  <c r="G11" i="536" a="1"/>
  <c r="G11" i="536" s="1"/>
  <c r="N11" i="536" a="1"/>
  <c r="N11" i="536" s="1"/>
  <c r="J11" i="536" a="1"/>
  <c r="J11" i="536" s="1"/>
  <c r="F11" i="536" a="1"/>
  <c r="F11" i="536" s="1"/>
  <c r="M11" i="536" a="1"/>
  <c r="M11" i="536" s="1"/>
  <c r="I11" i="536" a="1"/>
  <c r="I11" i="536" s="1"/>
  <c r="E11" i="536" a="1"/>
  <c r="E11" i="536" s="1"/>
  <c r="O10" i="536" a="1"/>
  <c r="O10" i="536" s="1"/>
  <c r="K10" i="536" a="1"/>
  <c r="K10" i="536" s="1"/>
  <c r="G10" i="536" a="1"/>
  <c r="G10" i="536" s="1"/>
  <c r="N10" i="536" a="1"/>
  <c r="N10" i="536" s="1"/>
  <c r="J10" i="536" a="1"/>
  <c r="J10" i="536" s="1"/>
  <c r="F10" i="536" a="1"/>
  <c r="F10" i="536" s="1"/>
  <c r="P10" i="536" a="1"/>
  <c r="P10" i="536" s="1"/>
  <c r="H10" i="536" a="1"/>
  <c r="H10" i="536" s="1"/>
  <c r="M10" i="536" a="1"/>
  <c r="M10" i="536" s="1"/>
  <c r="I10" i="536" a="1"/>
  <c r="I10" i="536" s="1"/>
  <c r="E10" i="536" a="1"/>
  <c r="E10" i="536" s="1"/>
  <c r="L10" i="536" a="1"/>
  <c r="L10" i="536" s="1"/>
  <c r="F3" i="536" a="1"/>
  <c r="F3" i="536" s="1"/>
  <c r="J3" i="536" a="1"/>
  <c r="J3" i="536" s="1"/>
  <c r="N3" i="536" a="1"/>
  <c r="N3" i="536" s="1"/>
  <c r="D4" i="536" a="1"/>
  <c r="D4" i="536" s="1"/>
  <c r="D7" i="536" a="1"/>
  <c r="D7" i="536" s="1"/>
  <c r="H24" i="536"/>
  <c r="G3" i="536" a="1"/>
  <c r="G3" i="536" s="1"/>
  <c r="K3" i="536" a="1"/>
  <c r="K3" i="536" s="1"/>
  <c r="O3" i="536" a="1"/>
  <c r="O3" i="536" s="1"/>
  <c r="D6" i="536" a="1"/>
  <c r="D6" i="536" s="1"/>
  <c r="H26" i="536"/>
  <c r="G5" i="536" a="1"/>
  <c r="G5" i="536" s="1"/>
  <c r="K5" i="536" a="1"/>
  <c r="K5" i="536" s="1"/>
  <c r="O5" i="536" a="1"/>
  <c r="O5" i="536" s="1"/>
  <c r="D12" i="536" a="1"/>
  <c r="D12" i="536" s="1"/>
  <c r="H3" i="536" a="1"/>
  <c r="H3" i="536" s="1"/>
  <c r="L3" i="536" a="1"/>
  <c r="L3" i="536" s="1"/>
  <c r="D9" i="536" a="1"/>
  <c r="D9" i="536" s="1"/>
  <c r="H5" i="536" a="1"/>
  <c r="H5" i="536" s="1"/>
  <c r="L5" i="536" a="1"/>
  <c r="L5" i="536" s="1"/>
  <c r="P5" i="536" a="1"/>
  <c r="P5" i="536" s="1"/>
  <c r="E5" i="536" a="1"/>
  <c r="E5" i="536" s="1"/>
  <c r="I5" i="536" a="1"/>
  <c r="I5" i="536" s="1"/>
  <c r="Q11" i="560" l="1"/>
  <c r="O7" i="560" a="1"/>
  <c r="O7" i="560" s="1"/>
  <c r="K7" i="560" a="1"/>
  <c r="K7" i="560" s="1"/>
  <c r="G7" i="560" a="1"/>
  <c r="G7" i="560" s="1"/>
  <c r="N7" i="560" a="1"/>
  <c r="N7" i="560" s="1"/>
  <c r="J7" i="560" a="1"/>
  <c r="J7" i="560" s="1"/>
  <c r="F7" i="560" a="1"/>
  <c r="F7" i="560" s="1"/>
  <c r="M7" i="560" a="1"/>
  <c r="M7" i="560" s="1"/>
  <c r="I7" i="560" a="1"/>
  <c r="I7" i="560" s="1"/>
  <c r="E7" i="560" a="1"/>
  <c r="E7" i="560" s="1"/>
  <c r="P7" i="560" a="1"/>
  <c r="P7" i="560" s="1"/>
  <c r="L7" i="560" a="1"/>
  <c r="L7" i="560" s="1"/>
  <c r="H7" i="560" a="1"/>
  <c r="H7" i="560" s="1"/>
  <c r="Q6" i="560"/>
  <c r="O3" i="560" a="1"/>
  <c r="O3" i="560" s="1"/>
  <c r="K3" i="560" a="1"/>
  <c r="K3" i="560" s="1"/>
  <c r="G3" i="560" a="1"/>
  <c r="G3" i="560" s="1"/>
  <c r="N3" i="560" a="1"/>
  <c r="N3" i="560" s="1"/>
  <c r="J3" i="560" a="1"/>
  <c r="J3" i="560" s="1"/>
  <c r="F3" i="560" a="1"/>
  <c r="F3" i="560" s="1"/>
  <c r="M3" i="560" a="1"/>
  <c r="M3" i="560" s="1"/>
  <c r="I3" i="560" a="1"/>
  <c r="I3" i="560" s="1"/>
  <c r="E3" i="560" a="1"/>
  <c r="E3" i="560" s="1"/>
  <c r="P3" i="560" a="1"/>
  <c r="P3" i="560" s="1"/>
  <c r="L3" i="560" a="1"/>
  <c r="L3" i="560" s="1"/>
  <c r="H3" i="560" a="1"/>
  <c r="H3" i="560" s="1"/>
  <c r="Q8" i="560"/>
  <c r="M9" i="560" a="1"/>
  <c r="M9" i="560" s="1"/>
  <c r="I9" i="560" a="1"/>
  <c r="I9" i="560" s="1"/>
  <c r="E9" i="560" a="1"/>
  <c r="E9" i="560" s="1"/>
  <c r="P9" i="560" a="1"/>
  <c r="P9" i="560" s="1"/>
  <c r="L9" i="560" a="1"/>
  <c r="L9" i="560" s="1"/>
  <c r="H9" i="560" a="1"/>
  <c r="H9" i="560" s="1"/>
  <c r="O9" i="560" a="1"/>
  <c r="O9" i="560" s="1"/>
  <c r="K9" i="560" a="1"/>
  <c r="K9" i="560" s="1"/>
  <c r="G9" i="560" a="1"/>
  <c r="G9" i="560" s="1"/>
  <c r="N9" i="560" a="1"/>
  <c r="N9" i="560" s="1"/>
  <c r="J9" i="560" a="1"/>
  <c r="J9" i="560" s="1"/>
  <c r="F9" i="560" a="1"/>
  <c r="F9" i="560" s="1"/>
  <c r="M4" i="560" a="1"/>
  <c r="M4" i="560" s="1"/>
  <c r="I4" i="560" a="1"/>
  <c r="I4" i="560" s="1"/>
  <c r="E4" i="560" a="1"/>
  <c r="E4" i="560" s="1"/>
  <c r="P4" i="560" a="1"/>
  <c r="P4" i="560" s="1"/>
  <c r="L4" i="560" a="1"/>
  <c r="L4" i="560" s="1"/>
  <c r="H4" i="560" a="1"/>
  <c r="H4" i="560" s="1"/>
  <c r="O4" i="560" a="1"/>
  <c r="O4" i="560" s="1"/>
  <c r="K4" i="560" a="1"/>
  <c r="K4" i="560" s="1"/>
  <c r="G4" i="560" a="1"/>
  <c r="G4" i="560" s="1"/>
  <c r="N4" i="560" a="1"/>
  <c r="N4" i="560" s="1"/>
  <c r="J4" i="560" a="1"/>
  <c r="J4" i="560" s="1"/>
  <c r="F4" i="560" a="1"/>
  <c r="F4" i="560" s="1"/>
  <c r="N12" i="560" a="1"/>
  <c r="N12" i="560" s="1"/>
  <c r="J12" i="560" a="1"/>
  <c r="J12" i="560" s="1"/>
  <c r="F12" i="560" a="1"/>
  <c r="F12" i="560" s="1"/>
  <c r="M12" i="560" a="1"/>
  <c r="M12" i="560" s="1"/>
  <c r="I12" i="560" a="1"/>
  <c r="I12" i="560" s="1"/>
  <c r="E12" i="560" a="1"/>
  <c r="E12" i="560" s="1"/>
  <c r="P12" i="560" a="1"/>
  <c r="P12" i="560" s="1"/>
  <c r="L12" i="560" a="1"/>
  <c r="L12" i="560" s="1"/>
  <c r="H12" i="560" a="1"/>
  <c r="H12" i="560" s="1"/>
  <c r="O12" i="560" a="1"/>
  <c r="O12" i="560" s="1"/>
  <c r="K12" i="560" a="1"/>
  <c r="K12" i="560" s="1"/>
  <c r="G12" i="560" a="1"/>
  <c r="G12" i="560" s="1"/>
  <c r="N5" i="560" a="1"/>
  <c r="N5" i="560" s="1"/>
  <c r="J5" i="560" a="1"/>
  <c r="J5" i="560" s="1"/>
  <c r="F5" i="560" a="1"/>
  <c r="F5" i="560" s="1"/>
  <c r="M5" i="560" a="1"/>
  <c r="M5" i="560" s="1"/>
  <c r="I5" i="560" a="1"/>
  <c r="I5" i="560" s="1"/>
  <c r="E5" i="560" a="1"/>
  <c r="E5" i="560" s="1"/>
  <c r="P5" i="560" a="1"/>
  <c r="P5" i="560" s="1"/>
  <c r="L5" i="560" a="1"/>
  <c r="L5" i="560" s="1"/>
  <c r="H5" i="560" a="1"/>
  <c r="H5" i="560" s="1"/>
  <c r="O5" i="560" a="1"/>
  <c r="O5" i="560" s="1"/>
  <c r="K5" i="560" a="1"/>
  <c r="K5" i="560" s="1"/>
  <c r="G5" i="560" a="1"/>
  <c r="G5" i="560" s="1"/>
  <c r="O10" i="560" a="1"/>
  <c r="O10" i="560" s="1"/>
  <c r="K10" i="560" a="1"/>
  <c r="K10" i="560" s="1"/>
  <c r="G10" i="560" a="1"/>
  <c r="G10" i="560" s="1"/>
  <c r="N10" i="560" a="1"/>
  <c r="N10" i="560" s="1"/>
  <c r="J10" i="560" a="1"/>
  <c r="J10" i="560" s="1"/>
  <c r="F10" i="560" a="1"/>
  <c r="F10" i="560" s="1"/>
  <c r="M10" i="560" a="1"/>
  <c r="M10" i="560" s="1"/>
  <c r="I10" i="560" a="1"/>
  <c r="I10" i="560" s="1"/>
  <c r="E10" i="560" a="1"/>
  <c r="E10" i="560" s="1"/>
  <c r="P10" i="560" a="1"/>
  <c r="P10" i="560" s="1"/>
  <c r="L10" i="560" a="1"/>
  <c r="L10" i="560" s="1"/>
  <c r="H10" i="560" a="1"/>
  <c r="H10" i="560" s="1"/>
  <c r="S2" i="560"/>
  <c r="B9" i="560"/>
  <c r="X3" i="560"/>
  <c r="R1" i="560"/>
  <c r="Q8" i="559"/>
  <c r="O7" i="559" a="1"/>
  <c r="O7" i="559" s="1"/>
  <c r="K7" i="559" a="1"/>
  <c r="K7" i="559" s="1"/>
  <c r="G7" i="559" a="1"/>
  <c r="G7" i="559" s="1"/>
  <c r="N7" i="559" a="1"/>
  <c r="N7" i="559" s="1"/>
  <c r="J7" i="559" a="1"/>
  <c r="J7" i="559" s="1"/>
  <c r="F7" i="559" a="1"/>
  <c r="F7" i="559" s="1"/>
  <c r="M7" i="559" a="1"/>
  <c r="M7" i="559" s="1"/>
  <c r="I7" i="559" a="1"/>
  <c r="I7" i="559" s="1"/>
  <c r="E7" i="559" a="1"/>
  <c r="E7" i="559" s="1"/>
  <c r="P7" i="559" a="1"/>
  <c r="P7" i="559" s="1"/>
  <c r="L7" i="559" a="1"/>
  <c r="L7" i="559" s="1"/>
  <c r="H7" i="559" a="1"/>
  <c r="H7" i="559" s="1"/>
  <c r="Q6" i="559"/>
  <c r="O3" i="559" a="1"/>
  <c r="O3" i="559" s="1"/>
  <c r="K3" i="559" a="1"/>
  <c r="K3" i="559" s="1"/>
  <c r="G3" i="559" a="1"/>
  <c r="G3" i="559" s="1"/>
  <c r="N3" i="559" a="1"/>
  <c r="N3" i="559" s="1"/>
  <c r="J3" i="559" a="1"/>
  <c r="J3" i="559" s="1"/>
  <c r="F3" i="559" a="1"/>
  <c r="F3" i="559" s="1"/>
  <c r="M3" i="559" a="1"/>
  <c r="M3" i="559" s="1"/>
  <c r="I3" i="559" a="1"/>
  <c r="I3" i="559" s="1"/>
  <c r="E3" i="559" a="1"/>
  <c r="E3" i="559" s="1"/>
  <c r="P3" i="559" a="1"/>
  <c r="P3" i="559" s="1"/>
  <c r="L3" i="559" a="1"/>
  <c r="L3" i="559" s="1"/>
  <c r="H3" i="559" a="1"/>
  <c r="H3" i="559" s="1"/>
  <c r="M9" i="559" a="1"/>
  <c r="M9" i="559" s="1"/>
  <c r="I9" i="559" a="1"/>
  <c r="I9" i="559" s="1"/>
  <c r="E9" i="559" a="1"/>
  <c r="E9" i="559" s="1"/>
  <c r="P9" i="559" a="1"/>
  <c r="P9" i="559" s="1"/>
  <c r="L9" i="559" a="1"/>
  <c r="L9" i="559" s="1"/>
  <c r="H9" i="559" a="1"/>
  <c r="H9" i="559" s="1"/>
  <c r="O9" i="559" a="1"/>
  <c r="O9" i="559" s="1"/>
  <c r="K9" i="559" a="1"/>
  <c r="K9" i="559" s="1"/>
  <c r="G9" i="559" a="1"/>
  <c r="G9" i="559" s="1"/>
  <c r="N9" i="559" a="1"/>
  <c r="N9" i="559" s="1"/>
  <c r="J9" i="559" a="1"/>
  <c r="J9" i="559" s="1"/>
  <c r="F9" i="559" a="1"/>
  <c r="F9" i="559" s="1"/>
  <c r="M4" i="559" a="1"/>
  <c r="M4" i="559" s="1"/>
  <c r="I4" i="559" a="1"/>
  <c r="I4" i="559" s="1"/>
  <c r="E4" i="559" a="1"/>
  <c r="E4" i="559" s="1"/>
  <c r="P4" i="559" a="1"/>
  <c r="P4" i="559" s="1"/>
  <c r="L4" i="559" a="1"/>
  <c r="L4" i="559" s="1"/>
  <c r="H4" i="559" a="1"/>
  <c r="H4" i="559" s="1"/>
  <c r="O4" i="559" a="1"/>
  <c r="O4" i="559" s="1"/>
  <c r="K4" i="559" a="1"/>
  <c r="K4" i="559" s="1"/>
  <c r="G4" i="559" a="1"/>
  <c r="G4" i="559" s="1"/>
  <c r="N4" i="559" a="1"/>
  <c r="N4" i="559" s="1"/>
  <c r="J4" i="559" a="1"/>
  <c r="J4" i="559" s="1"/>
  <c r="F4" i="559" a="1"/>
  <c r="F4" i="559" s="1"/>
  <c r="N12" i="559" a="1"/>
  <c r="N12" i="559" s="1"/>
  <c r="J12" i="559" a="1"/>
  <c r="J12" i="559" s="1"/>
  <c r="F12" i="559" a="1"/>
  <c r="F12" i="559" s="1"/>
  <c r="M12" i="559" a="1"/>
  <c r="M12" i="559" s="1"/>
  <c r="I12" i="559" a="1"/>
  <c r="I12" i="559" s="1"/>
  <c r="E12" i="559" a="1"/>
  <c r="E12" i="559" s="1"/>
  <c r="P12" i="559" a="1"/>
  <c r="P12" i="559" s="1"/>
  <c r="L12" i="559" a="1"/>
  <c r="L12" i="559" s="1"/>
  <c r="H12" i="559" a="1"/>
  <c r="H12" i="559" s="1"/>
  <c r="O12" i="559" a="1"/>
  <c r="O12" i="559" s="1"/>
  <c r="K12" i="559" a="1"/>
  <c r="K12" i="559" s="1"/>
  <c r="G12" i="559" a="1"/>
  <c r="G12" i="559" s="1"/>
  <c r="N5" i="559" a="1"/>
  <c r="N5" i="559" s="1"/>
  <c r="J5" i="559" a="1"/>
  <c r="J5" i="559" s="1"/>
  <c r="F5" i="559" a="1"/>
  <c r="F5" i="559" s="1"/>
  <c r="M5" i="559" a="1"/>
  <c r="M5" i="559" s="1"/>
  <c r="I5" i="559" a="1"/>
  <c r="I5" i="559" s="1"/>
  <c r="E5" i="559" a="1"/>
  <c r="E5" i="559" s="1"/>
  <c r="P5" i="559" a="1"/>
  <c r="P5" i="559" s="1"/>
  <c r="L5" i="559" a="1"/>
  <c r="L5" i="559" s="1"/>
  <c r="H5" i="559" a="1"/>
  <c r="H5" i="559" s="1"/>
  <c r="O5" i="559" a="1"/>
  <c r="O5" i="559" s="1"/>
  <c r="K5" i="559" a="1"/>
  <c r="K5" i="559" s="1"/>
  <c r="G5" i="559" a="1"/>
  <c r="G5" i="559" s="1"/>
  <c r="Q11" i="559"/>
  <c r="O10" i="559" a="1"/>
  <c r="O10" i="559" s="1"/>
  <c r="K10" i="559" a="1"/>
  <c r="K10" i="559" s="1"/>
  <c r="G10" i="559" a="1"/>
  <c r="G10" i="559" s="1"/>
  <c r="N10" i="559" a="1"/>
  <c r="N10" i="559" s="1"/>
  <c r="J10" i="559" a="1"/>
  <c r="J10" i="559" s="1"/>
  <c r="F10" i="559" a="1"/>
  <c r="F10" i="559" s="1"/>
  <c r="M10" i="559" a="1"/>
  <c r="M10" i="559" s="1"/>
  <c r="I10" i="559" a="1"/>
  <c r="I10" i="559" s="1"/>
  <c r="E10" i="559" a="1"/>
  <c r="E10" i="559" s="1"/>
  <c r="P10" i="559" a="1"/>
  <c r="P10" i="559" s="1"/>
  <c r="L10" i="559" a="1"/>
  <c r="L10" i="559" s="1"/>
  <c r="H10" i="559" a="1"/>
  <c r="H10" i="559" s="1"/>
  <c r="S2" i="559"/>
  <c r="B9" i="559"/>
  <c r="X3" i="559"/>
  <c r="R1" i="559"/>
  <c r="N6" i="558" a="1"/>
  <c r="N6" i="558" s="1"/>
  <c r="J6" i="558" a="1"/>
  <c r="J6" i="558" s="1"/>
  <c r="F6" i="558" a="1"/>
  <c r="F6" i="558" s="1"/>
  <c r="M6" i="558" a="1"/>
  <c r="M6" i="558" s="1"/>
  <c r="I6" i="558" a="1"/>
  <c r="I6" i="558" s="1"/>
  <c r="E6" i="558" a="1"/>
  <c r="E6" i="558" s="1"/>
  <c r="P6" i="558" a="1"/>
  <c r="P6" i="558" s="1"/>
  <c r="L6" i="558" a="1"/>
  <c r="L6" i="558" s="1"/>
  <c r="H6" i="558" a="1"/>
  <c r="H6" i="558" s="1"/>
  <c r="O6" i="558" a="1"/>
  <c r="O6" i="558" s="1"/>
  <c r="K6" i="558" a="1"/>
  <c r="K6" i="558" s="1"/>
  <c r="G6" i="558" a="1"/>
  <c r="G6" i="558" s="1"/>
  <c r="Q4" i="558"/>
  <c r="M9" i="558" a="1"/>
  <c r="M9" i="558" s="1"/>
  <c r="I9" i="558" a="1"/>
  <c r="I9" i="558" s="1"/>
  <c r="E9" i="558" a="1"/>
  <c r="E9" i="558" s="1"/>
  <c r="P9" i="558" a="1"/>
  <c r="P9" i="558" s="1"/>
  <c r="L9" i="558" a="1"/>
  <c r="L9" i="558" s="1"/>
  <c r="H9" i="558" a="1"/>
  <c r="H9" i="558" s="1"/>
  <c r="O9" i="558" a="1"/>
  <c r="O9" i="558" s="1"/>
  <c r="K9" i="558" a="1"/>
  <c r="K9" i="558" s="1"/>
  <c r="G9" i="558" a="1"/>
  <c r="G9" i="558" s="1"/>
  <c r="N9" i="558" a="1"/>
  <c r="N9" i="558" s="1"/>
  <c r="J9" i="558" a="1"/>
  <c r="J9" i="558" s="1"/>
  <c r="F9" i="558" a="1"/>
  <c r="F9" i="558" s="1"/>
  <c r="Q10" i="558"/>
  <c r="Q3" i="558"/>
  <c r="N5" i="558" a="1"/>
  <c r="N5" i="558" s="1"/>
  <c r="J5" i="558" a="1"/>
  <c r="J5" i="558" s="1"/>
  <c r="F5" i="558" a="1"/>
  <c r="F5" i="558" s="1"/>
  <c r="G5" i="558" a="1"/>
  <c r="G5" i="558" s="1"/>
  <c r="M5" i="558" a="1"/>
  <c r="M5" i="558" s="1"/>
  <c r="I5" i="558" a="1"/>
  <c r="I5" i="558" s="1"/>
  <c r="E5" i="558" a="1"/>
  <c r="E5" i="558" s="1"/>
  <c r="K5" i="558" a="1"/>
  <c r="K5" i="558" s="1"/>
  <c r="O5" i="558" a="1"/>
  <c r="O5" i="558" s="1"/>
  <c r="P5" i="558" a="1"/>
  <c r="P5" i="558" s="1"/>
  <c r="L5" i="558" a="1"/>
  <c r="L5" i="558" s="1"/>
  <c r="H5" i="558" a="1"/>
  <c r="H5" i="558" s="1"/>
  <c r="O7" i="558" a="1"/>
  <c r="O7" i="558" s="1"/>
  <c r="K7" i="558" a="1"/>
  <c r="K7" i="558" s="1"/>
  <c r="G7" i="558" a="1"/>
  <c r="G7" i="558" s="1"/>
  <c r="N7" i="558" a="1"/>
  <c r="N7" i="558" s="1"/>
  <c r="J7" i="558" a="1"/>
  <c r="J7" i="558" s="1"/>
  <c r="F7" i="558" a="1"/>
  <c r="F7" i="558" s="1"/>
  <c r="M7" i="558" a="1"/>
  <c r="M7" i="558" s="1"/>
  <c r="I7" i="558" a="1"/>
  <c r="I7" i="558" s="1"/>
  <c r="E7" i="558" a="1"/>
  <c r="E7" i="558" s="1"/>
  <c r="P7" i="558" a="1"/>
  <c r="P7" i="558" s="1"/>
  <c r="L7" i="558" a="1"/>
  <c r="L7" i="558" s="1"/>
  <c r="H7" i="558" a="1"/>
  <c r="H7" i="558" s="1"/>
  <c r="Q11" i="558"/>
  <c r="P8" i="558" a="1"/>
  <c r="P8" i="558" s="1"/>
  <c r="L8" i="558" a="1"/>
  <c r="L8" i="558" s="1"/>
  <c r="H8" i="558" a="1"/>
  <c r="H8" i="558" s="1"/>
  <c r="O8" i="558" a="1"/>
  <c r="O8" i="558" s="1"/>
  <c r="K8" i="558" a="1"/>
  <c r="K8" i="558" s="1"/>
  <c r="G8" i="558" a="1"/>
  <c r="G8" i="558" s="1"/>
  <c r="N8" i="558" a="1"/>
  <c r="N8" i="558" s="1"/>
  <c r="J8" i="558" a="1"/>
  <c r="J8" i="558" s="1"/>
  <c r="F8" i="558" a="1"/>
  <c r="F8" i="558" s="1"/>
  <c r="F13" i="558" s="1"/>
  <c r="F14" i="558" s="1"/>
  <c r="M8" i="558" a="1"/>
  <c r="M8" i="558" s="1"/>
  <c r="I8" i="558" a="1"/>
  <c r="I8" i="558" s="1"/>
  <c r="E8" i="558" a="1"/>
  <c r="E8" i="558" s="1"/>
  <c r="N12" i="558" a="1"/>
  <c r="N12" i="558" s="1"/>
  <c r="J12" i="558" a="1"/>
  <c r="J12" i="558" s="1"/>
  <c r="F12" i="558" a="1"/>
  <c r="F12" i="558" s="1"/>
  <c r="K12" i="558" a="1"/>
  <c r="K12" i="558" s="1"/>
  <c r="M12" i="558" a="1"/>
  <c r="M12" i="558" s="1"/>
  <c r="I12" i="558" a="1"/>
  <c r="I12" i="558" s="1"/>
  <c r="E12" i="558" a="1"/>
  <c r="E12" i="558" s="1"/>
  <c r="O12" i="558" a="1"/>
  <c r="O12" i="558" s="1"/>
  <c r="P12" i="558" a="1"/>
  <c r="P12" i="558" s="1"/>
  <c r="L12" i="558" a="1"/>
  <c r="L12" i="558" s="1"/>
  <c r="H12" i="558" a="1"/>
  <c r="H12" i="558" s="1"/>
  <c r="G12" i="558" a="1"/>
  <c r="G12" i="558" s="1"/>
  <c r="S2" i="558"/>
  <c r="B9" i="558"/>
  <c r="X3" i="558"/>
  <c r="R1" i="558"/>
  <c r="O7" i="557" a="1"/>
  <c r="O7" i="557" s="1"/>
  <c r="K7" i="557" a="1"/>
  <c r="K7" i="557" s="1"/>
  <c r="G7" i="557" a="1"/>
  <c r="G7" i="557" s="1"/>
  <c r="N7" i="557" a="1"/>
  <c r="N7" i="557" s="1"/>
  <c r="J7" i="557" a="1"/>
  <c r="J7" i="557" s="1"/>
  <c r="F7" i="557" a="1"/>
  <c r="F7" i="557" s="1"/>
  <c r="M7" i="557" a="1"/>
  <c r="M7" i="557" s="1"/>
  <c r="I7" i="557" a="1"/>
  <c r="I7" i="557" s="1"/>
  <c r="E7" i="557" a="1"/>
  <c r="E7" i="557" s="1"/>
  <c r="P7" i="557" a="1"/>
  <c r="P7" i="557" s="1"/>
  <c r="L7" i="557" a="1"/>
  <c r="L7" i="557" s="1"/>
  <c r="H7" i="557" a="1"/>
  <c r="H7" i="557" s="1"/>
  <c r="Q6" i="557"/>
  <c r="O3" i="557" a="1"/>
  <c r="O3" i="557" s="1"/>
  <c r="K3" i="557" a="1"/>
  <c r="K3" i="557" s="1"/>
  <c r="G3" i="557" a="1"/>
  <c r="G3" i="557" s="1"/>
  <c r="N3" i="557" a="1"/>
  <c r="N3" i="557" s="1"/>
  <c r="J3" i="557" a="1"/>
  <c r="J3" i="557" s="1"/>
  <c r="F3" i="557" a="1"/>
  <c r="F3" i="557" s="1"/>
  <c r="M3" i="557" a="1"/>
  <c r="M3" i="557" s="1"/>
  <c r="I3" i="557" a="1"/>
  <c r="I3" i="557" s="1"/>
  <c r="E3" i="557" a="1"/>
  <c r="E3" i="557" s="1"/>
  <c r="P3" i="557" a="1"/>
  <c r="P3" i="557" s="1"/>
  <c r="L3" i="557" a="1"/>
  <c r="L3" i="557" s="1"/>
  <c r="H3" i="557" a="1"/>
  <c r="H3" i="557" s="1"/>
  <c r="Q8" i="557"/>
  <c r="M9" i="557" a="1"/>
  <c r="M9" i="557" s="1"/>
  <c r="I9" i="557" a="1"/>
  <c r="I9" i="557" s="1"/>
  <c r="E9" i="557" a="1"/>
  <c r="E9" i="557" s="1"/>
  <c r="P9" i="557" a="1"/>
  <c r="P9" i="557" s="1"/>
  <c r="L9" i="557" a="1"/>
  <c r="L9" i="557" s="1"/>
  <c r="H9" i="557" a="1"/>
  <c r="H9" i="557" s="1"/>
  <c r="O9" i="557" a="1"/>
  <c r="O9" i="557" s="1"/>
  <c r="K9" i="557" a="1"/>
  <c r="K9" i="557" s="1"/>
  <c r="G9" i="557" a="1"/>
  <c r="G9" i="557" s="1"/>
  <c r="N9" i="557" a="1"/>
  <c r="N9" i="557" s="1"/>
  <c r="J9" i="557" a="1"/>
  <c r="J9" i="557" s="1"/>
  <c r="F9" i="557" a="1"/>
  <c r="F9" i="557" s="1"/>
  <c r="M4" i="557" a="1"/>
  <c r="M4" i="557" s="1"/>
  <c r="I4" i="557" a="1"/>
  <c r="I4" i="557" s="1"/>
  <c r="E4" i="557" a="1"/>
  <c r="E4" i="557" s="1"/>
  <c r="P4" i="557" a="1"/>
  <c r="P4" i="557" s="1"/>
  <c r="L4" i="557" a="1"/>
  <c r="L4" i="557" s="1"/>
  <c r="H4" i="557" a="1"/>
  <c r="H4" i="557" s="1"/>
  <c r="O4" i="557" a="1"/>
  <c r="O4" i="557" s="1"/>
  <c r="K4" i="557" a="1"/>
  <c r="K4" i="557" s="1"/>
  <c r="G4" i="557" a="1"/>
  <c r="G4" i="557" s="1"/>
  <c r="N4" i="557" a="1"/>
  <c r="N4" i="557" s="1"/>
  <c r="J4" i="557" a="1"/>
  <c r="J4" i="557" s="1"/>
  <c r="F4" i="557" a="1"/>
  <c r="F4" i="557" s="1"/>
  <c r="N12" i="557" a="1"/>
  <c r="N12" i="557" s="1"/>
  <c r="J12" i="557" a="1"/>
  <c r="J12" i="557" s="1"/>
  <c r="F12" i="557" a="1"/>
  <c r="F12" i="557" s="1"/>
  <c r="M12" i="557" a="1"/>
  <c r="M12" i="557" s="1"/>
  <c r="I12" i="557" a="1"/>
  <c r="I12" i="557" s="1"/>
  <c r="E12" i="557" a="1"/>
  <c r="E12" i="557" s="1"/>
  <c r="P12" i="557" a="1"/>
  <c r="P12" i="557" s="1"/>
  <c r="L12" i="557" a="1"/>
  <c r="L12" i="557" s="1"/>
  <c r="H12" i="557" a="1"/>
  <c r="H12" i="557" s="1"/>
  <c r="O12" i="557" a="1"/>
  <c r="O12" i="557" s="1"/>
  <c r="K12" i="557" a="1"/>
  <c r="K12" i="557" s="1"/>
  <c r="G12" i="557" a="1"/>
  <c r="G12" i="557" s="1"/>
  <c r="N5" i="557" a="1"/>
  <c r="N5" i="557" s="1"/>
  <c r="J5" i="557" a="1"/>
  <c r="J5" i="557" s="1"/>
  <c r="F5" i="557" a="1"/>
  <c r="F5" i="557" s="1"/>
  <c r="M5" i="557" a="1"/>
  <c r="M5" i="557" s="1"/>
  <c r="I5" i="557" a="1"/>
  <c r="I5" i="557" s="1"/>
  <c r="E5" i="557" a="1"/>
  <c r="E5" i="557" s="1"/>
  <c r="P5" i="557" a="1"/>
  <c r="P5" i="557" s="1"/>
  <c r="L5" i="557" a="1"/>
  <c r="L5" i="557" s="1"/>
  <c r="H5" i="557" a="1"/>
  <c r="H5" i="557" s="1"/>
  <c r="O5" i="557" a="1"/>
  <c r="O5" i="557" s="1"/>
  <c r="K5" i="557" a="1"/>
  <c r="K5" i="557" s="1"/>
  <c r="G5" i="557" a="1"/>
  <c r="G5" i="557" s="1"/>
  <c r="Q11" i="557"/>
  <c r="O10" i="557" a="1"/>
  <c r="O10" i="557" s="1"/>
  <c r="K10" i="557" a="1"/>
  <c r="K10" i="557" s="1"/>
  <c r="G10" i="557" a="1"/>
  <c r="G10" i="557" s="1"/>
  <c r="N10" i="557" a="1"/>
  <c r="N10" i="557" s="1"/>
  <c r="J10" i="557" a="1"/>
  <c r="J10" i="557" s="1"/>
  <c r="F10" i="557" a="1"/>
  <c r="F10" i="557" s="1"/>
  <c r="M10" i="557" a="1"/>
  <c r="M10" i="557" s="1"/>
  <c r="I10" i="557" a="1"/>
  <c r="I10" i="557" s="1"/>
  <c r="E10" i="557" a="1"/>
  <c r="E10" i="557" s="1"/>
  <c r="P10" i="557" a="1"/>
  <c r="P10" i="557" s="1"/>
  <c r="L10" i="557" a="1"/>
  <c r="L10" i="557" s="1"/>
  <c r="H10" i="557" a="1"/>
  <c r="H10" i="557" s="1"/>
  <c r="S2" i="557"/>
  <c r="B9" i="557"/>
  <c r="X3" i="557"/>
  <c r="R1" i="557"/>
  <c r="Q11" i="556"/>
  <c r="Q3" i="556"/>
  <c r="Q10" i="556"/>
  <c r="O7" i="556" a="1"/>
  <c r="O7" i="556" s="1"/>
  <c r="K7" i="556" a="1"/>
  <c r="K7" i="556" s="1"/>
  <c r="G7" i="556" a="1"/>
  <c r="G7" i="556" s="1"/>
  <c r="N7" i="556" a="1"/>
  <c r="N7" i="556" s="1"/>
  <c r="J7" i="556" a="1"/>
  <c r="J7" i="556" s="1"/>
  <c r="F7" i="556" a="1"/>
  <c r="F7" i="556" s="1"/>
  <c r="M7" i="556" a="1"/>
  <c r="M7" i="556" s="1"/>
  <c r="I7" i="556" a="1"/>
  <c r="I7" i="556" s="1"/>
  <c r="E7" i="556" a="1"/>
  <c r="E7" i="556" s="1"/>
  <c r="P7" i="556" a="1"/>
  <c r="P7" i="556" s="1"/>
  <c r="L7" i="556" a="1"/>
  <c r="L7" i="556" s="1"/>
  <c r="H7" i="556" a="1"/>
  <c r="H7" i="556" s="1"/>
  <c r="P8" i="556" a="1"/>
  <c r="P8" i="556" s="1"/>
  <c r="L8" i="556" a="1"/>
  <c r="L8" i="556" s="1"/>
  <c r="H8" i="556" a="1"/>
  <c r="H8" i="556" s="1"/>
  <c r="O8" i="556" a="1"/>
  <c r="O8" i="556" s="1"/>
  <c r="K8" i="556" a="1"/>
  <c r="K8" i="556" s="1"/>
  <c r="G8" i="556" a="1"/>
  <c r="G8" i="556" s="1"/>
  <c r="N8" i="556" a="1"/>
  <c r="N8" i="556" s="1"/>
  <c r="J8" i="556" a="1"/>
  <c r="J8" i="556" s="1"/>
  <c r="F8" i="556" a="1"/>
  <c r="F8" i="556" s="1"/>
  <c r="M8" i="556" a="1"/>
  <c r="M8" i="556" s="1"/>
  <c r="I8" i="556" a="1"/>
  <c r="I8" i="556" s="1"/>
  <c r="E8" i="556" a="1"/>
  <c r="E8" i="556" s="1"/>
  <c r="N12" i="556" a="1"/>
  <c r="N12" i="556" s="1"/>
  <c r="J12" i="556" a="1"/>
  <c r="J12" i="556" s="1"/>
  <c r="F12" i="556" a="1"/>
  <c r="F12" i="556" s="1"/>
  <c r="M12" i="556" a="1"/>
  <c r="M12" i="556" s="1"/>
  <c r="I12" i="556" a="1"/>
  <c r="I12" i="556" s="1"/>
  <c r="E12" i="556" a="1"/>
  <c r="E12" i="556" s="1"/>
  <c r="P12" i="556" a="1"/>
  <c r="P12" i="556" s="1"/>
  <c r="L12" i="556" a="1"/>
  <c r="L12" i="556" s="1"/>
  <c r="H12" i="556" a="1"/>
  <c r="H12" i="556" s="1"/>
  <c r="O12" i="556" a="1"/>
  <c r="O12" i="556" s="1"/>
  <c r="K12" i="556" a="1"/>
  <c r="K12" i="556" s="1"/>
  <c r="G12" i="556" a="1"/>
  <c r="G12" i="556" s="1"/>
  <c r="N5" i="556" a="1"/>
  <c r="N5" i="556" s="1"/>
  <c r="J5" i="556" a="1"/>
  <c r="J5" i="556" s="1"/>
  <c r="F5" i="556" a="1"/>
  <c r="F5" i="556" s="1"/>
  <c r="M5" i="556" a="1"/>
  <c r="M5" i="556" s="1"/>
  <c r="I5" i="556" a="1"/>
  <c r="I5" i="556" s="1"/>
  <c r="E5" i="556" a="1"/>
  <c r="E5" i="556" s="1"/>
  <c r="P5" i="556" a="1"/>
  <c r="P5" i="556" s="1"/>
  <c r="L5" i="556" a="1"/>
  <c r="L5" i="556" s="1"/>
  <c r="H5" i="556" a="1"/>
  <c r="H5" i="556" s="1"/>
  <c r="O5" i="556" a="1"/>
  <c r="O5" i="556" s="1"/>
  <c r="K5" i="556" a="1"/>
  <c r="K5" i="556" s="1"/>
  <c r="G5" i="556" a="1"/>
  <c r="G5" i="556" s="1"/>
  <c r="N6" i="556" a="1"/>
  <c r="N6" i="556" s="1"/>
  <c r="J6" i="556" a="1"/>
  <c r="J6" i="556" s="1"/>
  <c r="F6" i="556" a="1"/>
  <c r="F6" i="556" s="1"/>
  <c r="M6" i="556" a="1"/>
  <c r="M6" i="556" s="1"/>
  <c r="I6" i="556" a="1"/>
  <c r="I6" i="556" s="1"/>
  <c r="E6" i="556" a="1"/>
  <c r="E6" i="556" s="1"/>
  <c r="P6" i="556" a="1"/>
  <c r="P6" i="556" s="1"/>
  <c r="L6" i="556" a="1"/>
  <c r="L6" i="556" s="1"/>
  <c r="H6" i="556" a="1"/>
  <c r="H6" i="556" s="1"/>
  <c r="O6" i="556" a="1"/>
  <c r="O6" i="556" s="1"/>
  <c r="K6" i="556" a="1"/>
  <c r="K6" i="556" s="1"/>
  <c r="G6" i="556" a="1"/>
  <c r="G6" i="556" s="1"/>
  <c r="M9" i="556" a="1"/>
  <c r="M9" i="556" s="1"/>
  <c r="I9" i="556" a="1"/>
  <c r="I9" i="556" s="1"/>
  <c r="E9" i="556" a="1"/>
  <c r="E9" i="556" s="1"/>
  <c r="P9" i="556" a="1"/>
  <c r="P9" i="556" s="1"/>
  <c r="L9" i="556" a="1"/>
  <c r="L9" i="556" s="1"/>
  <c r="H9" i="556" a="1"/>
  <c r="H9" i="556" s="1"/>
  <c r="O9" i="556" a="1"/>
  <c r="O9" i="556" s="1"/>
  <c r="K9" i="556" a="1"/>
  <c r="K9" i="556" s="1"/>
  <c r="G9" i="556" a="1"/>
  <c r="G9" i="556" s="1"/>
  <c r="N9" i="556" a="1"/>
  <c r="N9" i="556" s="1"/>
  <c r="J9" i="556" a="1"/>
  <c r="J9" i="556" s="1"/>
  <c r="F9" i="556" a="1"/>
  <c r="F9" i="556" s="1"/>
  <c r="M4" i="556" a="1"/>
  <c r="M4" i="556" s="1"/>
  <c r="I4" i="556" a="1"/>
  <c r="I4" i="556" s="1"/>
  <c r="E4" i="556" a="1"/>
  <c r="E4" i="556" s="1"/>
  <c r="P4" i="556" a="1"/>
  <c r="P4" i="556" s="1"/>
  <c r="L4" i="556" a="1"/>
  <c r="L4" i="556" s="1"/>
  <c r="H4" i="556" a="1"/>
  <c r="H4" i="556" s="1"/>
  <c r="O4" i="556" a="1"/>
  <c r="O4" i="556" s="1"/>
  <c r="K4" i="556" a="1"/>
  <c r="K4" i="556" s="1"/>
  <c r="G4" i="556" a="1"/>
  <c r="G4" i="556" s="1"/>
  <c r="N4" i="556" a="1"/>
  <c r="N4" i="556" s="1"/>
  <c r="J4" i="556" a="1"/>
  <c r="J4" i="556" s="1"/>
  <c r="F4" i="556" a="1"/>
  <c r="F4" i="556" s="1"/>
  <c r="S2" i="556"/>
  <c r="B9" i="556"/>
  <c r="X3" i="556"/>
  <c r="R1" i="556"/>
  <c r="O7" i="555" a="1"/>
  <c r="O7" i="555" s="1"/>
  <c r="K7" i="555" a="1"/>
  <c r="K7" i="555" s="1"/>
  <c r="G7" i="555" a="1"/>
  <c r="G7" i="555" s="1"/>
  <c r="N7" i="555" a="1"/>
  <c r="N7" i="555" s="1"/>
  <c r="J7" i="555" a="1"/>
  <c r="J7" i="555" s="1"/>
  <c r="F7" i="555" a="1"/>
  <c r="F7" i="555" s="1"/>
  <c r="M7" i="555" a="1"/>
  <c r="M7" i="555" s="1"/>
  <c r="I7" i="555" a="1"/>
  <c r="I7" i="555" s="1"/>
  <c r="E7" i="555" a="1"/>
  <c r="E7" i="555" s="1"/>
  <c r="P7" i="555" a="1"/>
  <c r="P7" i="555" s="1"/>
  <c r="L7" i="555" a="1"/>
  <c r="L7" i="555" s="1"/>
  <c r="H7" i="555" a="1"/>
  <c r="H7" i="555" s="1"/>
  <c r="P8" i="555" a="1"/>
  <c r="P8" i="555" s="1"/>
  <c r="L8" i="555" a="1"/>
  <c r="L8" i="555" s="1"/>
  <c r="H8" i="555" a="1"/>
  <c r="H8" i="555" s="1"/>
  <c r="O8" i="555" a="1"/>
  <c r="O8" i="555" s="1"/>
  <c r="K8" i="555" a="1"/>
  <c r="K8" i="555" s="1"/>
  <c r="G8" i="555" a="1"/>
  <c r="G8" i="555" s="1"/>
  <c r="N8" i="555" a="1"/>
  <c r="N8" i="555" s="1"/>
  <c r="J8" i="555" a="1"/>
  <c r="J8" i="555" s="1"/>
  <c r="F8" i="555" a="1"/>
  <c r="F8" i="555" s="1"/>
  <c r="M8" i="555" a="1"/>
  <c r="M8" i="555" s="1"/>
  <c r="I8" i="555" a="1"/>
  <c r="I8" i="555" s="1"/>
  <c r="E8" i="555" a="1"/>
  <c r="E8" i="555" s="1"/>
  <c r="O3" i="555" a="1"/>
  <c r="O3" i="555" s="1"/>
  <c r="K3" i="555" a="1"/>
  <c r="K3" i="555" s="1"/>
  <c r="G3" i="555" a="1"/>
  <c r="G3" i="555" s="1"/>
  <c r="N3" i="555" a="1"/>
  <c r="N3" i="555" s="1"/>
  <c r="J3" i="555" a="1"/>
  <c r="J3" i="555" s="1"/>
  <c r="F3" i="555" a="1"/>
  <c r="F3" i="555" s="1"/>
  <c r="M3" i="555" a="1"/>
  <c r="M3" i="555" s="1"/>
  <c r="I3" i="555" a="1"/>
  <c r="I3" i="555" s="1"/>
  <c r="E3" i="555" a="1"/>
  <c r="E3" i="555" s="1"/>
  <c r="P3" i="555" a="1"/>
  <c r="P3" i="555" s="1"/>
  <c r="L3" i="555" a="1"/>
  <c r="L3" i="555" s="1"/>
  <c r="H3" i="555" a="1"/>
  <c r="H3" i="555" s="1"/>
  <c r="M9" i="555" a="1"/>
  <c r="M9" i="555" s="1"/>
  <c r="I9" i="555" a="1"/>
  <c r="I9" i="555" s="1"/>
  <c r="E9" i="555" a="1"/>
  <c r="E9" i="555" s="1"/>
  <c r="P9" i="555" a="1"/>
  <c r="P9" i="555" s="1"/>
  <c r="L9" i="555" a="1"/>
  <c r="L9" i="555" s="1"/>
  <c r="H9" i="555" a="1"/>
  <c r="H9" i="555" s="1"/>
  <c r="O9" i="555" a="1"/>
  <c r="O9" i="555" s="1"/>
  <c r="K9" i="555" a="1"/>
  <c r="K9" i="555" s="1"/>
  <c r="G9" i="555" a="1"/>
  <c r="G9" i="555" s="1"/>
  <c r="N9" i="555" a="1"/>
  <c r="N9" i="555" s="1"/>
  <c r="J9" i="555" a="1"/>
  <c r="J9" i="555" s="1"/>
  <c r="F9" i="555" a="1"/>
  <c r="F9" i="555" s="1"/>
  <c r="Q11" i="555"/>
  <c r="M4" i="555" a="1"/>
  <c r="M4" i="555" s="1"/>
  <c r="I4" i="555" a="1"/>
  <c r="I4" i="555" s="1"/>
  <c r="E4" i="555" a="1"/>
  <c r="E4" i="555" s="1"/>
  <c r="P4" i="555" a="1"/>
  <c r="P4" i="555" s="1"/>
  <c r="L4" i="555" a="1"/>
  <c r="L4" i="555" s="1"/>
  <c r="H4" i="555" a="1"/>
  <c r="H4" i="555" s="1"/>
  <c r="O4" i="555" a="1"/>
  <c r="O4" i="555" s="1"/>
  <c r="K4" i="555" a="1"/>
  <c r="K4" i="555" s="1"/>
  <c r="G4" i="555" a="1"/>
  <c r="G4" i="555" s="1"/>
  <c r="N4" i="555" a="1"/>
  <c r="N4" i="555" s="1"/>
  <c r="J4" i="555" a="1"/>
  <c r="J4" i="555" s="1"/>
  <c r="F4" i="555" a="1"/>
  <c r="F4" i="555" s="1"/>
  <c r="N12" i="555" a="1"/>
  <c r="N12" i="555" s="1"/>
  <c r="J12" i="555" a="1"/>
  <c r="J12" i="555" s="1"/>
  <c r="F12" i="555" a="1"/>
  <c r="F12" i="555" s="1"/>
  <c r="M12" i="555" a="1"/>
  <c r="M12" i="555" s="1"/>
  <c r="I12" i="555" a="1"/>
  <c r="I12" i="555" s="1"/>
  <c r="E12" i="555" a="1"/>
  <c r="E12" i="555" s="1"/>
  <c r="P12" i="555" a="1"/>
  <c r="P12" i="555" s="1"/>
  <c r="L12" i="555" a="1"/>
  <c r="L12" i="555" s="1"/>
  <c r="H12" i="555" a="1"/>
  <c r="H12" i="555" s="1"/>
  <c r="O12" i="555" a="1"/>
  <c r="O12" i="555" s="1"/>
  <c r="K12" i="555" a="1"/>
  <c r="K12" i="555" s="1"/>
  <c r="G12" i="555" a="1"/>
  <c r="G12" i="555" s="1"/>
  <c r="N5" i="555" a="1"/>
  <c r="N5" i="555" s="1"/>
  <c r="J5" i="555" a="1"/>
  <c r="J5" i="555" s="1"/>
  <c r="F5" i="555" a="1"/>
  <c r="F5" i="555" s="1"/>
  <c r="M5" i="555" a="1"/>
  <c r="M5" i="555" s="1"/>
  <c r="I5" i="555" a="1"/>
  <c r="I5" i="555" s="1"/>
  <c r="E5" i="555" a="1"/>
  <c r="E5" i="555" s="1"/>
  <c r="P5" i="555" a="1"/>
  <c r="P5" i="555" s="1"/>
  <c r="L5" i="555" a="1"/>
  <c r="L5" i="555" s="1"/>
  <c r="H5" i="555" a="1"/>
  <c r="H5" i="555" s="1"/>
  <c r="O5" i="555" a="1"/>
  <c r="O5" i="555" s="1"/>
  <c r="K5" i="555" a="1"/>
  <c r="K5" i="555" s="1"/>
  <c r="G5" i="555" a="1"/>
  <c r="G5" i="555" s="1"/>
  <c r="N6" i="555" a="1"/>
  <c r="N6" i="555" s="1"/>
  <c r="J6" i="555" a="1"/>
  <c r="J6" i="555" s="1"/>
  <c r="F6" i="555" a="1"/>
  <c r="F6" i="555" s="1"/>
  <c r="M6" i="555" a="1"/>
  <c r="M6" i="555" s="1"/>
  <c r="I6" i="555" a="1"/>
  <c r="I6" i="555" s="1"/>
  <c r="E6" i="555" a="1"/>
  <c r="E6" i="555" s="1"/>
  <c r="P6" i="555" a="1"/>
  <c r="P6" i="555" s="1"/>
  <c r="L6" i="555" a="1"/>
  <c r="L6" i="555" s="1"/>
  <c r="H6" i="555" a="1"/>
  <c r="H6" i="555" s="1"/>
  <c r="O6" i="555" a="1"/>
  <c r="O6" i="555" s="1"/>
  <c r="K6" i="555" a="1"/>
  <c r="K6" i="555" s="1"/>
  <c r="G6" i="555" a="1"/>
  <c r="G6" i="555" s="1"/>
  <c r="O10" i="555" a="1"/>
  <c r="O10" i="555" s="1"/>
  <c r="K10" i="555" a="1"/>
  <c r="K10" i="555" s="1"/>
  <c r="G10" i="555" a="1"/>
  <c r="G10" i="555" s="1"/>
  <c r="N10" i="555" a="1"/>
  <c r="N10" i="555" s="1"/>
  <c r="J10" i="555" a="1"/>
  <c r="J10" i="555" s="1"/>
  <c r="F10" i="555" a="1"/>
  <c r="F10" i="555" s="1"/>
  <c r="M10" i="555" a="1"/>
  <c r="M10" i="555" s="1"/>
  <c r="I10" i="555" a="1"/>
  <c r="I10" i="555" s="1"/>
  <c r="E10" i="555" a="1"/>
  <c r="E10" i="555" s="1"/>
  <c r="P10" i="555" a="1"/>
  <c r="P10" i="555" s="1"/>
  <c r="L10" i="555" a="1"/>
  <c r="L10" i="555" s="1"/>
  <c r="H10" i="555" a="1"/>
  <c r="H10" i="555" s="1"/>
  <c r="S2" i="555"/>
  <c r="B9" i="555"/>
  <c r="X3" i="555"/>
  <c r="R1" i="555"/>
  <c r="O7" i="554" a="1"/>
  <c r="O7" i="554" s="1"/>
  <c r="K7" i="554" a="1"/>
  <c r="K7" i="554" s="1"/>
  <c r="G7" i="554" a="1"/>
  <c r="G7" i="554" s="1"/>
  <c r="N7" i="554" a="1"/>
  <c r="N7" i="554" s="1"/>
  <c r="J7" i="554" a="1"/>
  <c r="J7" i="554" s="1"/>
  <c r="F7" i="554" a="1"/>
  <c r="F7" i="554" s="1"/>
  <c r="M7" i="554" a="1"/>
  <c r="M7" i="554" s="1"/>
  <c r="I7" i="554" a="1"/>
  <c r="I7" i="554" s="1"/>
  <c r="E7" i="554" a="1"/>
  <c r="E7" i="554" s="1"/>
  <c r="P7" i="554" a="1"/>
  <c r="P7" i="554" s="1"/>
  <c r="L7" i="554" a="1"/>
  <c r="L7" i="554" s="1"/>
  <c r="H7" i="554" a="1"/>
  <c r="H7" i="554" s="1"/>
  <c r="P8" i="554" a="1"/>
  <c r="P8" i="554" s="1"/>
  <c r="L8" i="554" a="1"/>
  <c r="L8" i="554" s="1"/>
  <c r="H8" i="554" a="1"/>
  <c r="H8" i="554" s="1"/>
  <c r="O8" i="554" a="1"/>
  <c r="O8" i="554" s="1"/>
  <c r="K8" i="554" a="1"/>
  <c r="K8" i="554" s="1"/>
  <c r="G8" i="554" a="1"/>
  <c r="G8" i="554" s="1"/>
  <c r="N8" i="554" a="1"/>
  <c r="N8" i="554" s="1"/>
  <c r="J8" i="554" a="1"/>
  <c r="J8" i="554" s="1"/>
  <c r="F8" i="554" a="1"/>
  <c r="F8" i="554" s="1"/>
  <c r="M8" i="554" a="1"/>
  <c r="M8" i="554" s="1"/>
  <c r="I8" i="554" a="1"/>
  <c r="I8" i="554" s="1"/>
  <c r="E8" i="554" a="1"/>
  <c r="E8" i="554" s="1"/>
  <c r="O3" i="554" a="1"/>
  <c r="O3" i="554" s="1"/>
  <c r="K3" i="554" a="1"/>
  <c r="K3" i="554" s="1"/>
  <c r="G3" i="554" a="1"/>
  <c r="G3" i="554" s="1"/>
  <c r="N3" i="554" a="1"/>
  <c r="N3" i="554" s="1"/>
  <c r="J3" i="554" a="1"/>
  <c r="J3" i="554" s="1"/>
  <c r="F3" i="554" a="1"/>
  <c r="F3" i="554" s="1"/>
  <c r="M3" i="554" a="1"/>
  <c r="M3" i="554" s="1"/>
  <c r="I3" i="554" a="1"/>
  <c r="I3" i="554" s="1"/>
  <c r="E3" i="554" a="1"/>
  <c r="E3" i="554" s="1"/>
  <c r="P3" i="554" a="1"/>
  <c r="P3" i="554" s="1"/>
  <c r="L3" i="554" a="1"/>
  <c r="L3" i="554" s="1"/>
  <c r="H3" i="554" a="1"/>
  <c r="H3" i="554" s="1"/>
  <c r="M9" i="554" a="1"/>
  <c r="M9" i="554" s="1"/>
  <c r="I9" i="554" a="1"/>
  <c r="I9" i="554" s="1"/>
  <c r="E9" i="554" a="1"/>
  <c r="E9" i="554" s="1"/>
  <c r="P9" i="554" a="1"/>
  <c r="P9" i="554" s="1"/>
  <c r="L9" i="554" a="1"/>
  <c r="L9" i="554" s="1"/>
  <c r="H9" i="554" a="1"/>
  <c r="H9" i="554" s="1"/>
  <c r="O9" i="554" a="1"/>
  <c r="O9" i="554" s="1"/>
  <c r="K9" i="554" a="1"/>
  <c r="K9" i="554" s="1"/>
  <c r="G9" i="554" a="1"/>
  <c r="G9" i="554" s="1"/>
  <c r="N9" i="554" a="1"/>
  <c r="N9" i="554" s="1"/>
  <c r="J9" i="554" a="1"/>
  <c r="J9" i="554" s="1"/>
  <c r="F9" i="554" a="1"/>
  <c r="F9" i="554" s="1"/>
  <c r="Q11" i="554"/>
  <c r="M4" i="554" a="1"/>
  <c r="M4" i="554" s="1"/>
  <c r="I4" i="554" a="1"/>
  <c r="I4" i="554" s="1"/>
  <c r="E4" i="554" a="1"/>
  <c r="E4" i="554" s="1"/>
  <c r="P4" i="554" a="1"/>
  <c r="P4" i="554" s="1"/>
  <c r="L4" i="554" a="1"/>
  <c r="L4" i="554" s="1"/>
  <c r="H4" i="554" a="1"/>
  <c r="H4" i="554" s="1"/>
  <c r="O4" i="554" a="1"/>
  <c r="O4" i="554" s="1"/>
  <c r="K4" i="554" a="1"/>
  <c r="K4" i="554" s="1"/>
  <c r="G4" i="554" a="1"/>
  <c r="G4" i="554" s="1"/>
  <c r="N4" i="554" a="1"/>
  <c r="N4" i="554" s="1"/>
  <c r="J4" i="554" a="1"/>
  <c r="J4" i="554" s="1"/>
  <c r="F4" i="554" a="1"/>
  <c r="F4" i="554" s="1"/>
  <c r="N12" i="554" a="1"/>
  <c r="N12" i="554" s="1"/>
  <c r="J12" i="554" a="1"/>
  <c r="J12" i="554" s="1"/>
  <c r="F12" i="554" a="1"/>
  <c r="F12" i="554" s="1"/>
  <c r="M12" i="554" a="1"/>
  <c r="M12" i="554" s="1"/>
  <c r="I12" i="554" a="1"/>
  <c r="I12" i="554" s="1"/>
  <c r="E12" i="554" a="1"/>
  <c r="E12" i="554" s="1"/>
  <c r="P12" i="554" a="1"/>
  <c r="P12" i="554" s="1"/>
  <c r="L12" i="554" a="1"/>
  <c r="L12" i="554" s="1"/>
  <c r="H12" i="554" a="1"/>
  <c r="H12" i="554" s="1"/>
  <c r="O12" i="554" a="1"/>
  <c r="O12" i="554" s="1"/>
  <c r="K12" i="554" a="1"/>
  <c r="K12" i="554" s="1"/>
  <c r="G12" i="554" a="1"/>
  <c r="G12" i="554" s="1"/>
  <c r="N5" i="554" a="1"/>
  <c r="N5" i="554" s="1"/>
  <c r="J5" i="554" a="1"/>
  <c r="J5" i="554" s="1"/>
  <c r="F5" i="554" a="1"/>
  <c r="F5" i="554" s="1"/>
  <c r="M5" i="554" a="1"/>
  <c r="M5" i="554" s="1"/>
  <c r="I5" i="554" a="1"/>
  <c r="I5" i="554" s="1"/>
  <c r="E5" i="554" a="1"/>
  <c r="E5" i="554" s="1"/>
  <c r="P5" i="554" a="1"/>
  <c r="P5" i="554" s="1"/>
  <c r="L5" i="554" a="1"/>
  <c r="L5" i="554" s="1"/>
  <c r="H5" i="554" a="1"/>
  <c r="H5" i="554" s="1"/>
  <c r="O5" i="554" a="1"/>
  <c r="O5" i="554" s="1"/>
  <c r="K5" i="554" a="1"/>
  <c r="K5" i="554" s="1"/>
  <c r="G5" i="554" a="1"/>
  <c r="G5" i="554" s="1"/>
  <c r="N6" i="554" a="1"/>
  <c r="N6" i="554" s="1"/>
  <c r="J6" i="554" a="1"/>
  <c r="J6" i="554" s="1"/>
  <c r="F6" i="554" a="1"/>
  <c r="F6" i="554" s="1"/>
  <c r="M6" i="554" a="1"/>
  <c r="M6" i="554" s="1"/>
  <c r="I6" i="554" a="1"/>
  <c r="I6" i="554" s="1"/>
  <c r="E6" i="554" a="1"/>
  <c r="E6" i="554" s="1"/>
  <c r="P6" i="554" a="1"/>
  <c r="P6" i="554" s="1"/>
  <c r="L6" i="554" a="1"/>
  <c r="L6" i="554" s="1"/>
  <c r="H6" i="554" a="1"/>
  <c r="H6" i="554" s="1"/>
  <c r="O6" i="554" a="1"/>
  <c r="O6" i="554" s="1"/>
  <c r="K6" i="554" a="1"/>
  <c r="K6" i="554" s="1"/>
  <c r="G6" i="554" a="1"/>
  <c r="G6" i="554" s="1"/>
  <c r="O10" i="554" a="1"/>
  <c r="O10" i="554" s="1"/>
  <c r="K10" i="554" a="1"/>
  <c r="K10" i="554" s="1"/>
  <c r="G10" i="554" a="1"/>
  <c r="G10" i="554" s="1"/>
  <c r="N10" i="554" a="1"/>
  <c r="N10" i="554" s="1"/>
  <c r="J10" i="554" a="1"/>
  <c r="J10" i="554" s="1"/>
  <c r="F10" i="554" a="1"/>
  <c r="F10" i="554" s="1"/>
  <c r="M10" i="554" a="1"/>
  <c r="M10" i="554" s="1"/>
  <c r="I10" i="554" a="1"/>
  <c r="I10" i="554" s="1"/>
  <c r="E10" i="554" a="1"/>
  <c r="E10" i="554" s="1"/>
  <c r="P10" i="554" a="1"/>
  <c r="P10" i="554" s="1"/>
  <c r="L10" i="554" a="1"/>
  <c r="L10" i="554" s="1"/>
  <c r="H10" i="554" a="1"/>
  <c r="H10" i="554" s="1"/>
  <c r="S2" i="554"/>
  <c r="B9" i="554"/>
  <c r="X3" i="554"/>
  <c r="R1" i="554"/>
  <c r="O10" i="553" a="1"/>
  <c r="O10" i="553" s="1"/>
  <c r="K10" i="553" a="1"/>
  <c r="K10" i="553" s="1"/>
  <c r="G10" i="553" a="1"/>
  <c r="G10" i="553" s="1"/>
  <c r="N10" i="553" a="1"/>
  <c r="N10" i="553" s="1"/>
  <c r="J10" i="553" a="1"/>
  <c r="J10" i="553" s="1"/>
  <c r="F10" i="553" a="1"/>
  <c r="F10" i="553" s="1"/>
  <c r="M10" i="553" a="1"/>
  <c r="M10" i="553" s="1"/>
  <c r="I10" i="553" a="1"/>
  <c r="I10" i="553" s="1"/>
  <c r="E10" i="553" a="1"/>
  <c r="E10" i="553" s="1"/>
  <c r="P10" i="553" a="1"/>
  <c r="P10" i="553" s="1"/>
  <c r="L10" i="553" a="1"/>
  <c r="L10" i="553" s="1"/>
  <c r="H10" i="553" a="1"/>
  <c r="H10" i="553" s="1"/>
  <c r="O7" i="553" a="1"/>
  <c r="O7" i="553" s="1"/>
  <c r="K7" i="553" a="1"/>
  <c r="K7" i="553" s="1"/>
  <c r="G7" i="553" a="1"/>
  <c r="G7" i="553" s="1"/>
  <c r="N7" i="553" a="1"/>
  <c r="N7" i="553" s="1"/>
  <c r="J7" i="553" a="1"/>
  <c r="J7" i="553" s="1"/>
  <c r="F7" i="553" a="1"/>
  <c r="F7" i="553" s="1"/>
  <c r="M7" i="553" a="1"/>
  <c r="M7" i="553" s="1"/>
  <c r="I7" i="553" a="1"/>
  <c r="I7" i="553" s="1"/>
  <c r="E7" i="553" a="1"/>
  <c r="E7" i="553" s="1"/>
  <c r="P7" i="553" a="1"/>
  <c r="P7" i="553" s="1"/>
  <c r="L7" i="553" a="1"/>
  <c r="L7" i="553" s="1"/>
  <c r="H7" i="553" a="1"/>
  <c r="H7" i="553" s="1"/>
  <c r="Q11" i="553"/>
  <c r="P8" i="553" a="1"/>
  <c r="P8" i="553" s="1"/>
  <c r="L8" i="553" a="1"/>
  <c r="L8" i="553" s="1"/>
  <c r="H8" i="553" a="1"/>
  <c r="H8" i="553" s="1"/>
  <c r="O8" i="553" a="1"/>
  <c r="O8" i="553" s="1"/>
  <c r="K8" i="553" a="1"/>
  <c r="K8" i="553" s="1"/>
  <c r="G8" i="553" a="1"/>
  <c r="G8" i="553" s="1"/>
  <c r="N8" i="553" a="1"/>
  <c r="N8" i="553" s="1"/>
  <c r="J8" i="553" a="1"/>
  <c r="J8" i="553" s="1"/>
  <c r="F8" i="553" a="1"/>
  <c r="F8" i="553" s="1"/>
  <c r="M8" i="553" a="1"/>
  <c r="M8" i="553" s="1"/>
  <c r="I8" i="553" a="1"/>
  <c r="I8" i="553" s="1"/>
  <c r="E8" i="553" a="1"/>
  <c r="E8" i="553" s="1"/>
  <c r="M9" i="553" a="1"/>
  <c r="M9" i="553" s="1"/>
  <c r="I9" i="553" a="1"/>
  <c r="I9" i="553" s="1"/>
  <c r="E9" i="553" a="1"/>
  <c r="E9" i="553" s="1"/>
  <c r="P9" i="553" a="1"/>
  <c r="P9" i="553" s="1"/>
  <c r="L9" i="553" a="1"/>
  <c r="L9" i="553" s="1"/>
  <c r="H9" i="553" a="1"/>
  <c r="H9" i="553" s="1"/>
  <c r="O9" i="553" a="1"/>
  <c r="O9" i="553" s="1"/>
  <c r="K9" i="553" a="1"/>
  <c r="K9" i="553" s="1"/>
  <c r="G9" i="553" a="1"/>
  <c r="G9" i="553" s="1"/>
  <c r="N9" i="553" a="1"/>
  <c r="N9" i="553" s="1"/>
  <c r="J9" i="553" a="1"/>
  <c r="J9" i="553" s="1"/>
  <c r="F9" i="553" a="1"/>
  <c r="F9" i="553" s="1"/>
  <c r="N12" i="553" a="1"/>
  <c r="N12" i="553" s="1"/>
  <c r="J12" i="553" a="1"/>
  <c r="J12" i="553" s="1"/>
  <c r="F12" i="553" a="1"/>
  <c r="F12" i="553" s="1"/>
  <c r="M12" i="553" a="1"/>
  <c r="M12" i="553" s="1"/>
  <c r="I12" i="553" a="1"/>
  <c r="I12" i="553" s="1"/>
  <c r="E12" i="553" a="1"/>
  <c r="E12" i="553" s="1"/>
  <c r="P12" i="553" a="1"/>
  <c r="P12" i="553" s="1"/>
  <c r="L12" i="553" a="1"/>
  <c r="L12" i="553" s="1"/>
  <c r="H12" i="553" a="1"/>
  <c r="H12" i="553" s="1"/>
  <c r="O12" i="553" a="1"/>
  <c r="O12" i="553" s="1"/>
  <c r="K12" i="553" a="1"/>
  <c r="K12" i="553" s="1"/>
  <c r="G12" i="553" a="1"/>
  <c r="G12" i="553" s="1"/>
  <c r="Q3" i="553"/>
  <c r="N5" i="553" a="1"/>
  <c r="N5" i="553" s="1"/>
  <c r="J5" i="553" a="1"/>
  <c r="J5" i="553" s="1"/>
  <c r="F5" i="553" a="1"/>
  <c r="F5" i="553" s="1"/>
  <c r="M5" i="553" a="1"/>
  <c r="M5" i="553" s="1"/>
  <c r="I5" i="553" a="1"/>
  <c r="I5" i="553" s="1"/>
  <c r="E5" i="553" a="1"/>
  <c r="E5" i="553" s="1"/>
  <c r="P5" i="553" a="1"/>
  <c r="P5" i="553" s="1"/>
  <c r="L5" i="553" a="1"/>
  <c r="L5" i="553" s="1"/>
  <c r="H5" i="553" a="1"/>
  <c r="H5" i="553" s="1"/>
  <c r="O5" i="553" a="1"/>
  <c r="O5" i="553" s="1"/>
  <c r="K5" i="553" a="1"/>
  <c r="K5" i="553" s="1"/>
  <c r="G5" i="553" a="1"/>
  <c r="G5" i="553" s="1"/>
  <c r="N6" i="553" a="1"/>
  <c r="N6" i="553" s="1"/>
  <c r="J6" i="553" a="1"/>
  <c r="J6" i="553" s="1"/>
  <c r="F6" i="553" a="1"/>
  <c r="F6" i="553" s="1"/>
  <c r="M6" i="553" a="1"/>
  <c r="M6" i="553" s="1"/>
  <c r="I6" i="553" a="1"/>
  <c r="I6" i="553" s="1"/>
  <c r="E6" i="553" a="1"/>
  <c r="E6" i="553" s="1"/>
  <c r="P6" i="553" a="1"/>
  <c r="P6" i="553" s="1"/>
  <c r="L6" i="553" a="1"/>
  <c r="L6" i="553" s="1"/>
  <c r="H6" i="553" a="1"/>
  <c r="H6" i="553" s="1"/>
  <c r="O6" i="553" a="1"/>
  <c r="O6" i="553" s="1"/>
  <c r="K6" i="553" a="1"/>
  <c r="K6" i="553" s="1"/>
  <c r="G6" i="553" a="1"/>
  <c r="G6" i="553" s="1"/>
  <c r="Q4" i="553"/>
  <c r="S2" i="553"/>
  <c r="B9" i="553"/>
  <c r="X3" i="553"/>
  <c r="R1" i="553"/>
  <c r="Q8" i="552"/>
  <c r="O7" i="552" a="1"/>
  <c r="O7" i="552" s="1"/>
  <c r="G7" i="552" a="1"/>
  <c r="G7" i="552" s="1"/>
  <c r="N7" i="552" a="1"/>
  <c r="N7" i="552" s="1"/>
  <c r="J7" i="552" a="1"/>
  <c r="J7" i="552" s="1"/>
  <c r="F7" i="552" a="1"/>
  <c r="F7" i="552" s="1"/>
  <c r="M7" i="552" a="1"/>
  <c r="M7" i="552" s="1"/>
  <c r="I7" i="552" a="1"/>
  <c r="I7" i="552" s="1"/>
  <c r="E7" i="552" a="1"/>
  <c r="E7" i="552" s="1"/>
  <c r="P7" i="552" a="1"/>
  <c r="P7" i="552" s="1"/>
  <c r="L7" i="552" a="1"/>
  <c r="L7" i="552" s="1"/>
  <c r="H7" i="552" a="1"/>
  <c r="H7" i="552" s="1"/>
  <c r="K7" i="552" a="1"/>
  <c r="K7" i="552" s="1"/>
  <c r="Q6" i="552"/>
  <c r="K3" i="552" a="1"/>
  <c r="K3" i="552" s="1"/>
  <c r="N3" i="552" a="1"/>
  <c r="N3" i="552" s="1"/>
  <c r="J3" i="552" a="1"/>
  <c r="J3" i="552" s="1"/>
  <c r="F3" i="552" a="1"/>
  <c r="F3" i="552" s="1"/>
  <c r="M3" i="552" a="1"/>
  <c r="M3" i="552" s="1"/>
  <c r="I3" i="552" a="1"/>
  <c r="I3" i="552" s="1"/>
  <c r="E3" i="552" a="1"/>
  <c r="E3" i="552" s="1"/>
  <c r="P3" i="552" a="1"/>
  <c r="P3" i="552" s="1"/>
  <c r="L3" i="552" a="1"/>
  <c r="L3" i="552" s="1"/>
  <c r="H3" i="552" a="1"/>
  <c r="H3" i="552" s="1"/>
  <c r="O3" i="552" a="1"/>
  <c r="O3" i="552" s="1"/>
  <c r="G3" i="552" a="1"/>
  <c r="G3" i="552" s="1"/>
  <c r="M9" i="552" a="1"/>
  <c r="M9" i="552" s="1"/>
  <c r="I9" i="552" a="1"/>
  <c r="I9" i="552" s="1"/>
  <c r="E9" i="552" a="1"/>
  <c r="E9" i="552" s="1"/>
  <c r="P9" i="552" a="1"/>
  <c r="P9" i="552" s="1"/>
  <c r="L9" i="552" a="1"/>
  <c r="L9" i="552" s="1"/>
  <c r="H9" i="552" a="1"/>
  <c r="H9" i="552" s="1"/>
  <c r="O9" i="552" a="1"/>
  <c r="O9" i="552" s="1"/>
  <c r="K9" i="552" a="1"/>
  <c r="K9" i="552" s="1"/>
  <c r="G9" i="552" a="1"/>
  <c r="G9" i="552" s="1"/>
  <c r="N9" i="552" a="1"/>
  <c r="N9" i="552" s="1"/>
  <c r="J9" i="552" a="1"/>
  <c r="J9" i="552" s="1"/>
  <c r="F9" i="552" a="1"/>
  <c r="F9" i="552" s="1"/>
  <c r="E4" i="552" a="1"/>
  <c r="E4" i="552" s="1"/>
  <c r="I4" i="552" a="1"/>
  <c r="I4" i="552" s="1"/>
  <c r="P4" i="552" a="1"/>
  <c r="P4" i="552" s="1"/>
  <c r="L4" i="552" a="1"/>
  <c r="L4" i="552" s="1"/>
  <c r="H4" i="552" a="1"/>
  <c r="H4" i="552" s="1"/>
  <c r="O4" i="552" a="1"/>
  <c r="O4" i="552" s="1"/>
  <c r="K4" i="552" a="1"/>
  <c r="K4" i="552" s="1"/>
  <c r="G4" i="552" a="1"/>
  <c r="G4" i="552" s="1"/>
  <c r="N4" i="552" a="1"/>
  <c r="N4" i="552" s="1"/>
  <c r="J4" i="552" a="1"/>
  <c r="J4" i="552" s="1"/>
  <c r="F4" i="552" a="1"/>
  <c r="F4" i="552" s="1"/>
  <c r="M4" i="552" a="1"/>
  <c r="M4" i="552" s="1"/>
  <c r="N12" i="552" a="1"/>
  <c r="N12" i="552" s="1"/>
  <c r="J12" i="552" a="1"/>
  <c r="J12" i="552" s="1"/>
  <c r="F12" i="552" a="1"/>
  <c r="F12" i="552" s="1"/>
  <c r="M12" i="552" a="1"/>
  <c r="M12" i="552" s="1"/>
  <c r="I12" i="552" a="1"/>
  <c r="I12" i="552" s="1"/>
  <c r="E12" i="552" a="1"/>
  <c r="E12" i="552" s="1"/>
  <c r="P12" i="552" a="1"/>
  <c r="P12" i="552" s="1"/>
  <c r="L12" i="552" a="1"/>
  <c r="L12" i="552" s="1"/>
  <c r="H12" i="552" a="1"/>
  <c r="H12" i="552" s="1"/>
  <c r="O12" i="552" a="1"/>
  <c r="O12" i="552" s="1"/>
  <c r="K12" i="552" a="1"/>
  <c r="K12" i="552" s="1"/>
  <c r="G12" i="552" a="1"/>
  <c r="G12" i="552" s="1"/>
  <c r="N5" i="552" a="1"/>
  <c r="N5" i="552" s="1"/>
  <c r="J5" i="552" a="1"/>
  <c r="J5" i="552" s="1"/>
  <c r="F5" i="552" a="1"/>
  <c r="F5" i="552" s="1"/>
  <c r="M5" i="552" a="1"/>
  <c r="M5" i="552" s="1"/>
  <c r="I5" i="552" a="1"/>
  <c r="I5" i="552" s="1"/>
  <c r="E5" i="552" a="1"/>
  <c r="E5" i="552" s="1"/>
  <c r="P5" i="552" a="1"/>
  <c r="P5" i="552" s="1"/>
  <c r="L5" i="552" a="1"/>
  <c r="L5" i="552" s="1"/>
  <c r="H5" i="552" a="1"/>
  <c r="H5" i="552" s="1"/>
  <c r="O5" i="552" a="1"/>
  <c r="O5" i="552" s="1"/>
  <c r="K5" i="552" a="1"/>
  <c r="K5" i="552" s="1"/>
  <c r="G5" i="552" a="1"/>
  <c r="G5" i="552" s="1"/>
  <c r="Q11" i="552"/>
  <c r="O10" i="552" a="1"/>
  <c r="O10" i="552" s="1"/>
  <c r="K10" i="552" a="1"/>
  <c r="K10" i="552" s="1"/>
  <c r="G10" i="552" a="1"/>
  <c r="G10" i="552" s="1"/>
  <c r="N10" i="552" a="1"/>
  <c r="N10" i="552" s="1"/>
  <c r="J10" i="552" a="1"/>
  <c r="J10" i="552" s="1"/>
  <c r="F10" i="552" a="1"/>
  <c r="F10" i="552" s="1"/>
  <c r="M10" i="552" a="1"/>
  <c r="M10" i="552" s="1"/>
  <c r="I10" i="552" a="1"/>
  <c r="I10" i="552" s="1"/>
  <c r="E10" i="552" a="1"/>
  <c r="E10" i="552" s="1"/>
  <c r="P10" i="552" a="1"/>
  <c r="P10" i="552" s="1"/>
  <c r="L10" i="552" a="1"/>
  <c r="L10" i="552" s="1"/>
  <c r="H10" i="552" a="1"/>
  <c r="H10" i="552" s="1"/>
  <c r="S2" i="552"/>
  <c r="B9" i="552"/>
  <c r="X3" i="552"/>
  <c r="R1" i="552"/>
  <c r="N5" i="551" a="1"/>
  <c r="N5" i="551" s="1"/>
  <c r="J5" i="551" a="1"/>
  <c r="J5" i="551" s="1"/>
  <c r="F5" i="551" a="1"/>
  <c r="F5" i="551" s="1"/>
  <c r="M5" i="551" a="1"/>
  <c r="M5" i="551" s="1"/>
  <c r="I5" i="551" a="1"/>
  <c r="I5" i="551" s="1"/>
  <c r="E5" i="551" a="1"/>
  <c r="E5" i="551" s="1"/>
  <c r="P5" i="551" a="1"/>
  <c r="P5" i="551" s="1"/>
  <c r="L5" i="551" a="1"/>
  <c r="L5" i="551" s="1"/>
  <c r="H5" i="551" a="1"/>
  <c r="H5" i="551" s="1"/>
  <c r="O5" i="551" a="1"/>
  <c r="O5" i="551" s="1"/>
  <c r="K5" i="551" a="1"/>
  <c r="K5" i="551" s="1"/>
  <c r="G5" i="551" a="1"/>
  <c r="G5" i="551" s="1"/>
  <c r="N12" i="551" a="1"/>
  <c r="N12" i="551" s="1"/>
  <c r="J12" i="551" a="1"/>
  <c r="J12" i="551" s="1"/>
  <c r="F12" i="551" a="1"/>
  <c r="F12" i="551" s="1"/>
  <c r="M12" i="551" a="1"/>
  <c r="M12" i="551" s="1"/>
  <c r="I12" i="551" a="1"/>
  <c r="I12" i="551" s="1"/>
  <c r="E12" i="551" a="1"/>
  <c r="E12" i="551" s="1"/>
  <c r="P12" i="551" a="1"/>
  <c r="P12" i="551" s="1"/>
  <c r="L12" i="551" a="1"/>
  <c r="L12" i="551" s="1"/>
  <c r="H12" i="551" a="1"/>
  <c r="H12" i="551" s="1"/>
  <c r="O12" i="551" a="1"/>
  <c r="O12" i="551" s="1"/>
  <c r="K12" i="551" a="1"/>
  <c r="K12" i="551" s="1"/>
  <c r="G12" i="551" a="1"/>
  <c r="G12" i="551" s="1"/>
  <c r="M4" i="551" a="1"/>
  <c r="M4" i="551" s="1"/>
  <c r="I4" i="551" a="1"/>
  <c r="I4" i="551" s="1"/>
  <c r="E4" i="551" a="1"/>
  <c r="E4" i="551" s="1"/>
  <c r="P4" i="551" a="1"/>
  <c r="P4" i="551" s="1"/>
  <c r="L4" i="551" a="1"/>
  <c r="L4" i="551" s="1"/>
  <c r="H4" i="551" a="1"/>
  <c r="H4" i="551" s="1"/>
  <c r="O4" i="551" a="1"/>
  <c r="O4" i="551" s="1"/>
  <c r="G4" i="551" a="1"/>
  <c r="G4" i="551" s="1"/>
  <c r="K4" i="551" a="1"/>
  <c r="K4" i="551" s="1"/>
  <c r="N4" i="551" a="1"/>
  <c r="N4" i="551" s="1"/>
  <c r="J4" i="551" a="1"/>
  <c r="J4" i="551" s="1"/>
  <c r="F4" i="551" a="1"/>
  <c r="F4" i="551" s="1"/>
  <c r="M9" i="551" a="1"/>
  <c r="M9" i="551" s="1"/>
  <c r="I9" i="551" a="1"/>
  <c r="I9" i="551" s="1"/>
  <c r="E9" i="551" a="1"/>
  <c r="E9" i="551" s="1"/>
  <c r="P9" i="551" a="1"/>
  <c r="P9" i="551" s="1"/>
  <c r="L9" i="551" a="1"/>
  <c r="L9" i="551" s="1"/>
  <c r="H9" i="551" a="1"/>
  <c r="H9" i="551" s="1"/>
  <c r="O9" i="551" a="1"/>
  <c r="O9" i="551" s="1"/>
  <c r="K9" i="551" a="1"/>
  <c r="K9" i="551" s="1"/>
  <c r="G9" i="551" a="1"/>
  <c r="G9" i="551" s="1"/>
  <c r="N9" i="551" a="1"/>
  <c r="N9" i="551" s="1"/>
  <c r="J9" i="551" a="1"/>
  <c r="J9" i="551" s="1"/>
  <c r="F9" i="551" a="1"/>
  <c r="F9" i="551" s="1"/>
  <c r="O3" i="551" a="1"/>
  <c r="O3" i="551" s="1"/>
  <c r="K3" i="551" a="1"/>
  <c r="K3" i="551" s="1"/>
  <c r="G3" i="551" a="1"/>
  <c r="G3" i="551" s="1"/>
  <c r="N3" i="551" a="1"/>
  <c r="N3" i="551" s="1"/>
  <c r="J3" i="551" a="1"/>
  <c r="J3" i="551" s="1"/>
  <c r="F3" i="551" a="1"/>
  <c r="F3" i="551" s="1"/>
  <c r="M3" i="551" a="1"/>
  <c r="M3" i="551" s="1"/>
  <c r="E3" i="551" a="1"/>
  <c r="E3" i="551" s="1"/>
  <c r="I3" i="551" a="1"/>
  <c r="I3" i="551" s="1"/>
  <c r="P3" i="551" a="1"/>
  <c r="P3" i="551" s="1"/>
  <c r="L3" i="551" a="1"/>
  <c r="L3" i="551" s="1"/>
  <c r="H3" i="551" a="1"/>
  <c r="H3" i="551" s="1"/>
  <c r="P8" i="551" a="1"/>
  <c r="P8" i="551" s="1"/>
  <c r="L8" i="551" a="1"/>
  <c r="L8" i="551" s="1"/>
  <c r="H8" i="551" a="1"/>
  <c r="H8" i="551" s="1"/>
  <c r="O8" i="551" a="1"/>
  <c r="O8" i="551" s="1"/>
  <c r="K8" i="551" a="1"/>
  <c r="K8" i="551" s="1"/>
  <c r="G8" i="551" a="1"/>
  <c r="G8" i="551" s="1"/>
  <c r="J8" i="551" a="1"/>
  <c r="J8" i="551" s="1"/>
  <c r="N8" i="551" a="1"/>
  <c r="N8" i="551" s="1"/>
  <c r="F8" i="551" a="1"/>
  <c r="F8" i="551" s="1"/>
  <c r="M8" i="551" a="1"/>
  <c r="M8" i="551" s="1"/>
  <c r="I8" i="551" a="1"/>
  <c r="I8" i="551" s="1"/>
  <c r="E8" i="551" a="1"/>
  <c r="E8" i="551" s="1"/>
  <c r="O7" i="551" a="1"/>
  <c r="O7" i="551" s="1"/>
  <c r="K7" i="551" a="1"/>
  <c r="K7" i="551" s="1"/>
  <c r="G7" i="551" a="1"/>
  <c r="G7" i="551" s="1"/>
  <c r="N7" i="551" a="1"/>
  <c r="N7" i="551" s="1"/>
  <c r="J7" i="551" a="1"/>
  <c r="J7" i="551" s="1"/>
  <c r="F7" i="551" a="1"/>
  <c r="F7" i="551" s="1"/>
  <c r="I7" i="551" a="1"/>
  <c r="I7" i="551" s="1"/>
  <c r="M7" i="551" a="1"/>
  <c r="M7" i="551" s="1"/>
  <c r="E7" i="551" a="1"/>
  <c r="E7" i="551" s="1"/>
  <c r="P7" i="551" a="1"/>
  <c r="P7" i="551" s="1"/>
  <c r="L7" i="551" a="1"/>
  <c r="L7" i="551" s="1"/>
  <c r="H7" i="551" a="1"/>
  <c r="H7" i="551" s="1"/>
  <c r="P11" i="551" a="1"/>
  <c r="P11" i="551" s="1"/>
  <c r="L11" i="551" a="1"/>
  <c r="L11" i="551" s="1"/>
  <c r="H11" i="551" a="1"/>
  <c r="H11" i="551" s="1"/>
  <c r="O11" i="551" a="1"/>
  <c r="O11" i="551" s="1"/>
  <c r="K11" i="551" a="1"/>
  <c r="K11" i="551" s="1"/>
  <c r="G11" i="551" a="1"/>
  <c r="G11" i="551" s="1"/>
  <c r="N11" i="551" a="1"/>
  <c r="N11" i="551" s="1"/>
  <c r="J11" i="551" a="1"/>
  <c r="J11" i="551" s="1"/>
  <c r="F11" i="551" a="1"/>
  <c r="F11" i="551" s="1"/>
  <c r="M11" i="551" a="1"/>
  <c r="M11" i="551" s="1"/>
  <c r="I11" i="551" a="1"/>
  <c r="I11" i="551" s="1"/>
  <c r="E11" i="551" a="1"/>
  <c r="E11" i="551" s="1"/>
  <c r="O10" i="551" a="1"/>
  <c r="O10" i="551" s="1"/>
  <c r="K10" i="551" a="1"/>
  <c r="K10" i="551" s="1"/>
  <c r="G10" i="551" a="1"/>
  <c r="G10" i="551" s="1"/>
  <c r="N10" i="551" a="1"/>
  <c r="N10" i="551" s="1"/>
  <c r="J10" i="551" a="1"/>
  <c r="J10" i="551" s="1"/>
  <c r="F10" i="551" a="1"/>
  <c r="F10" i="551" s="1"/>
  <c r="M10" i="551" a="1"/>
  <c r="M10" i="551" s="1"/>
  <c r="I10" i="551" a="1"/>
  <c r="I10" i="551" s="1"/>
  <c r="E10" i="551" a="1"/>
  <c r="E10" i="551" s="1"/>
  <c r="P10" i="551" a="1"/>
  <c r="P10" i="551" s="1"/>
  <c r="L10" i="551" a="1"/>
  <c r="L10" i="551" s="1"/>
  <c r="H10" i="551" a="1"/>
  <c r="H10" i="551" s="1"/>
  <c r="N6" i="551" a="1"/>
  <c r="N6" i="551" s="1"/>
  <c r="J6" i="551" a="1"/>
  <c r="J6" i="551" s="1"/>
  <c r="F6" i="551" a="1"/>
  <c r="F6" i="551" s="1"/>
  <c r="M6" i="551" a="1"/>
  <c r="M6" i="551" s="1"/>
  <c r="I6" i="551" a="1"/>
  <c r="I6" i="551" s="1"/>
  <c r="E6" i="551" a="1"/>
  <c r="E6" i="551" s="1"/>
  <c r="L6" i="551" a="1"/>
  <c r="L6" i="551" s="1"/>
  <c r="P6" i="551" a="1"/>
  <c r="P6" i="551" s="1"/>
  <c r="H6" i="551" a="1"/>
  <c r="H6" i="551" s="1"/>
  <c r="O6" i="551" a="1"/>
  <c r="O6" i="551" s="1"/>
  <c r="K6" i="551" a="1"/>
  <c r="K6" i="551" s="1"/>
  <c r="G6" i="551" a="1"/>
  <c r="G6" i="551" s="1"/>
  <c r="S2" i="551"/>
  <c r="B9" i="551"/>
  <c r="X3" i="551"/>
  <c r="R1" i="551"/>
  <c r="M4" i="550" a="1"/>
  <c r="M4" i="550" s="1"/>
  <c r="I4" i="550" a="1"/>
  <c r="I4" i="550" s="1"/>
  <c r="E4" i="550" a="1"/>
  <c r="E4" i="550" s="1"/>
  <c r="P4" i="550" a="1"/>
  <c r="P4" i="550" s="1"/>
  <c r="L4" i="550" a="1"/>
  <c r="L4" i="550" s="1"/>
  <c r="H4" i="550" a="1"/>
  <c r="H4" i="550" s="1"/>
  <c r="O4" i="550" a="1"/>
  <c r="O4" i="550" s="1"/>
  <c r="K4" i="550" a="1"/>
  <c r="K4" i="550" s="1"/>
  <c r="G4" i="550" a="1"/>
  <c r="G4" i="550" s="1"/>
  <c r="N4" i="550" a="1"/>
  <c r="N4" i="550" s="1"/>
  <c r="J4" i="550" a="1"/>
  <c r="J4" i="550" s="1"/>
  <c r="F4" i="550" a="1"/>
  <c r="F4" i="550" s="1"/>
  <c r="N12" i="550" a="1"/>
  <c r="N12" i="550" s="1"/>
  <c r="J12" i="550" a="1"/>
  <c r="J12" i="550" s="1"/>
  <c r="F12" i="550" a="1"/>
  <c r="F12" i="550" s="1"/>
  <c r="M12" i="550" a="1"/>
  <c r="M12" i="550" s="1"/>
  <c r="I12" i="550" a="1"/>
  <c r="I12" i="550" s="1"/>
  <c r="E12" i="550" a="1"/>
  <c r="E12" i="550" s="1"/>
  <c r="P12" i="550" a="1"/>
  <c r="P12" i="550" s="1"/>
  <c r="L12" i="550" a="1"/>
  <c r="L12" i="550" s="1"/>
  <c r="H12" i="550" a="1"/>
  <c r="H12" i="550" s="1"/>
  <c r="O12" i="550" a="1"/>
  <c r="O12" i="550" s="1"/>
  <c r="K12" i="550" a="1"/>
  <c r="K12" i="550" s="1"/>
  <c r="G12" i="550" a="1"/>
  <c r="G12" i="550" s="1"/>
  <c r="Q3" i="550"/>
  <c r="N5" i="550" a="1"/>
  <c r="N5" i="550" s="1"/>
  <c r="J5" i="550" a="1"/>
  <c r="J5" i="550" s="1"/>
  <c r="F5" i="550" a="1"/>
  <c r="F5" i="550" s="1"/>
  <c r="M5" i="550" a="1"/>
  <c r="M5" i="550" s="1"/>
  <c r="I5" i="550" a="1"/>
  <c r="I5" i="550" s="1"/>
  <c r="E5" i="550" a="1"/>
  <c r="E5" i="550" s="1"/>
  <c r="P5" i="550" a="1"/>
  <c r="P5" i="550" s="1"/>
  <c r="L5" i="550" a="1"/>
  <c r="L5" i="550" s="1"/>
  <c r="H5" i="550" a="1"/>
  <c r="H5" i="550" s="1"/>
  <c r="O5" i="550" a="1"/>
  <c r="O5" i="550" s="1"/>
  <c r="K5" i="550" a="1"/>
  <c r="K5" i="550" s="1"/>
  <c r="G5" i="550" a="1"/>
  <c r="G5" i="550" s="1"/>
  <c r="Q11" i="550"/>
  <c r="N6" i="550" a="1"/>
  <c r="N6" i="550" s="1"/>
  <c r="J6" i="550" a="1"/>
  <c r="J6" i="550" s="1"/>
  <c r="F6" i="550" a="1"/>
  <c r="F6" i="550" s="1"/>
  <c r="M6" i="550" a="1"/>
  <c r="M6" i="550" s="1"/>
  <c r="I6" i="550" a="1"/>
  <c r="I6" i="550" s="1"/>
  <c r="E6" i="550" a="1"/>
  <c r="E6" i="550" s="1"/>
  <c r="P6" i="550" a="1"/>
  <c r="P6" i="550" s="1"/>
  <c r="L6" i="550" a="1"/>
  <c r="L6" i="550" s="1"/>
  <c r="H6" i="550" a="1"/>
  <c r="H6" i="550" s="1"/>
  <c r="O6" i="550" a="1"/>
  <c r="O6" i="550" s="1"/>
  <c r="K6" i="550" a="1"/>
  <c r="K6" i="550" s="1"/>
  <c r="G6" i="550" a="1"/>
  <c r="G6" i="550" s="1"/>
  <c r="O10" i="550" a="1"/>
  <c r="O10" i="550" s="1"/>
  <c r="K10" i="550" a="1"/>
  <c r="K10" i="550" s="1"/>
  <c r="G10" i="550" a="1"/>
  <c r="G10" i="550" s="1"/>
  <c r="N10" i="550" a="1"/>
  <c r="N10" i="550" s="1"/>
  <c r="J10" i="550" a="1"/>
  <c r="J10" i="550" s="1"/>
  <c r="F10" i="550" a="1"/>
  <c r="F10" i="550" s="1"/>
  <c r="M10" i="550" a="1"/>
  <c r="M10" i="550" s="1"/>
  <c r="I10" i="550" a="1"/>
  <c r="I10" i="550" s="1"/>
  <c r="E10" i="550" a="1"/>
  <c r="E10" i="550" s="1"/>
  <c r="P10" i="550" a="1"/>
  <c r="P10" i="550" s="1"/>
  <c r="L10" i="550" a="1"/>
  <c r="L10" i="550" s="1"/>
  <c r="H10" i="550" a="1"/>
  <c r="H10" i="550" s="1"/>
  <c r="O7" i="550" a="1"/>
  <c r="O7" i="550" s="1"/>
  <c r="K7" i="550" a="1"/>
  <c r="K7" i="550" s="1"/>
  <c r="G7" i="550" a="1"/>
  <c r="G7" i="550" s="1"/>
  <c r="N7" i="550" a="1"/>
  <c r="N7" i="550" s="1"/>
  <c r="J7" i="550" a="1"/>
  <c r="J7" i="550" s="1"/>
  <c r="F7" i="550" a="1"/>
  <c r="F7" i="550" s="1"/>
  <c r="M7" i="550" a="1"/>
  <c r="M7" i="550" s="1"/>
  <c r="I7" i="550" a="1"/>
  <c r="I7" i="550" s="1"/>
  <c r="E7" i="550" a="1"/>
  <c r="E7" i="550" s="1"/>
  <c r="P7" i="550" a="1"/>
  <c r="P7" i="550" s="1"/>
  <c r="L7" i="550" a="1"/>
  <c r="L7" i="550" s="1"/>
  <c r="H7" i="550" a="1"/>
  <c r="H7" i="550" s="1"/>
  <c r="P8" i="550" a="1"/>
  <c r="P8" i="550" s="1"/>
  <c r="L8" i="550" a="1"/>
  <c r="L8" i="550" s="1"/>
  <c r="H8" i="550" a="1"/>
  <c r="H8" i="550" s="1"/>
  <c r="O8" i="550" a="1"/>
  <c r="O8" i="550" s="1"/>
  <c r="K8" i="550" a="1"/>
  <c r="K8" i="550" s="1"/>
  <c r="G8" i="550" a="1"/>
  <c r="G8" i="550" s="1"/>
  <c r="N8" i="550" a="1"/>
  <c r="N8" i="550" s="1"/>
  <c r="J8" i="550" a="1"/>
  <c r="J8" i="550" s="1"/>
  <c r="F8" i="550" a="1"/>
  <c r="F8" i="550" s="1"/>
  <c r="M8" i="550" a="1"/>
  <c r="M8" i="550" s="1"/>
  <c r="I8" i="550" a="1"/>
  <c r="I8" i="550" s="1"/>
  <c r="E8" i="550" a="1"/>
  <c r="E8" i="550" s="1"/>
  <c r="M9" i="550" a="1"/>
  <c r="M9" i="550" s="1"/>
  <c r="I9" i="550" a="1"/>
  <c r="I9" i="550" s="1"/>
  <c r="E9" i="550" a="1"/>
  <c r="E9" i="550" s="1"/>
  <c r="P9" i="550" a="1"/>
  <c r="P9" i="550" s="1"/>
  <c r="L9" i="550" a="1"/>
  <c r="L9" i="550" s="1"/>
  <c r="H9" i="550" a="1"/>
  <c r="H9" i="550" s="1"/>
  <c r="O9" i="550" a="1"/>
  <c r="O9" i="550" s="1"/>
  <c r="K9" i="550" a="1"/>
  <c r="K9" i="550" s="1"/>
  <c r="G9" i="550" a="1"/>
  <c r="G9" i="550" s="1"/>
  <c r="N9" i="550" a="1"/>
  <c r="N9" i="550" s="1"/>
  <c r="J9" i="550" a="1"/>
  <c r="J9" i="550" s="1"/>
  <c r="F9" i="550" a="1"/>
  <c r="F9" i="550" s="1"/>
  <c r="S2" i="550"/>
  <c r="B9" i="550"/>
  <c r="X3" i="550"/>
  <c r="R1" i="550"/>
  <c r="E6" i="549" a="1"/>
  <c r="E6" i="549" s="1"/>
  <c r="N6" i="549" a="1"/>
  <c r="N6" i="549" s="1"/>
  <c r="J6" i="549" a="1"/>
  <c r="J6" i="549" s="1"/>
  <c r="F6" i="549" a="1"/>
  <c r="F6" i="549" s="1"/>
  <c r="M6" i="549" a="1"/>
  <c r="M6" i="549" s="1"/>
  <c r="I6" i="549" a="1"/>
  <c r="I6" i="549" s="1"/>
  <c r="P6" i="549" a="1"/>
  <c r="P6" i="549" s="1"/>
  <c r="L6" i="549" a="1"/>
  <c r="L6" i="549" s="1"/>
  <c r="H6" i="549" a="1"/>
  <c r="H6" i="549" s="1"/>
  <c r="O6" i="549" a="1"/>
  <c r="O6" i="549" s="1"/>
  <c r="K6" i="549" a="1"/>
  <c r="K6" i="549" s="1"/>
  <c r="G6" i="549" a="1"/>
  <c r="G6" i="549" s="1"/>
  <c r="S2" i="549"/>
  <c r="B9" i="549"/>
  <c r="X3" i="549"/>
  <c r="R1" i="549"/>
  <c r="O7" i="549" a="1"/>
  <c r="O7" i="549" s="1"/>
  <c r="K7" i="549" a="1"/>
  <c r="K7" i="549" s="1"/>
  <c r="G7" i="549" a="1"/>
  <c r="G7" i="549" s="1"/>
  <c r="N7" i="549" a="1"/>
  <c r="N7" i="549" s="1"/>
  <c r="J7" i="549" a="1"/>
  <c r="J7" i="549" s="1"/>
  <c r="F7" i="549" a="1"/>
  <c r="F7" i="549" s="1"/>
  <c r="M7" i="549" a="1"/>
  <c r="M7" i="549" s="1"/>
  <c r="I7" i="549" a="1"/>
  <c r="I7" i="549" s="1"/>
  <c r="E7" i="549" a="1"/>
  <c r="E7" i="549" s="1"/>
  <c r="P7" i="549" a="1"/>
  <c r="P7" i="549" s="1"/>
  <c r="L7" i="549" a="1"/>
  <c r="L7" i="549" s="1"/>
  <c r="H7" i="549" a="1"/>
  <c r="H7" i="549" s="1"/>
  <c r="Q11" i="549"/>
  <c r="F3" i="549" a="1"/>
  <c r="F3" i="549" s="1"/>
  <c r="O3" i="549" a="1"/>
  <c r="O3" i="549" s="1"/>
  <c r="K3" i="549" a="1"/>
  <c r="K3" i="549" s="1"/>
  <c r="G3" i="549" a="1"/>
  <c r="G3" i="549" s="1"/>
  <c r="J3" i="549" a="1"/>
  <c r="J3" i="549" s="1"/>
  <c r="M3" i="549" a="1"/>
  <c r="M3" i="549" s="1"/>
  <c r="I3" i="549" a="1"/>
  <c r="I3" i="549" s="1"/>
  <c r="E3" i="549" a="1"/>
  <c r="E3" i="549" s="1"/>
  <c r="P3" i="549" a="1"/>
  <c r="P3" i="549" s="1"/>
  <c r="L3" i="549" a="1"/>
  <c r="L3" i="549" s="1"/>
  <c r="H3" i="549" a="1"/>
  <c r="H3" i="549" s="1"/>
  <c r="N3" i="549" a="1"/>
  <c r="N3" i="549" s="1"/>
  <c r="P8" i="549" a="1"/>
  <c r="P8" i="549" s="1"/>
  <c r="L8" i="549" a="1"/>
  <c r="L8" i="549" s="1"/>
  <c r="H8" i="549" a="1"/>
  <c r="H8" i="549" s="1"/>
  <c r="O8" i="549" a="1"/>
  <c r="O8" i="549" s="1"/>
  <c r="K8" i="549" a="1"/>
  <c r="K8" i="549" s="1"/>
  <c r="G8" i="549" a="1"/>
  <c r="G8" i="549" s="1"/>
  <c r="N8" i="549" a="1"/>
  <c r="N8" i="549" s="1"/>
  <c r="J8" i="549" a="1"/>
  <c r="J8" i="549" s="1"/>
  <c r="F8" i="549" a="1"/>
  <c r="F8" i="549" s="1"/>
  <c r="M8" i="549" a="1"/>
  <c r="M8" i="549" s="1"/>
  <c r="I8" i="549" a="1"/>
  <c r="I8" i="549" s="1"/>
  <c r="E8" i="549" a="1"/>
  <c r="E8" i="549" s="1"/>
  <c r="M9" i="549" a="1"/>
  <c r="M9" i="549" s="1"/>
  <c r="I9" i="549" a="1"/>
  <c r="I9" i="549" s="1"/>
  <c r="E9" i="549" a="1"/>
  <c r="E9" i="549" s="1"/>
  <c r="P9" i="549" a="1"/>
  <c r="P9" i="549" s="1"/>
  <c r="L9" i="549" a="1"/>
  <c r="L9" i="549" s="1"/>
  <c r="H9" i="549" a="1"/>
  <c r="H9" i="549" s="1"/>
  <c r="O9" i="549" a="1"/>
  <c r="O9" i="549" s="1"/>
  <c r="K9" i="549" a="1"/>
  <c r="K9" i="549" s="1"/>
  <c r="G9" i="549" a="1"/>
  <c r="G9" i="549" s="1"/>
  <c r="N9" i="549" a="1"/>
  <c r="N9" i="549" s="1"/>
  <c r="J9" i="549" a="1"/>
  <c r="J9" i="549" s="1"/>
  <c r="F9" i="549" a="1"/>
  <c r="F9" i="549" s="1"/>
  <c r="N12" i="549" a="1"/>
  <c r="N12" i="549" s="1"/>
  <c r="J12" i="549" a="1"/>
  <c r="J12" i="549" s="1"/>
  <c r="F12" i="549" a="1"/>
  <c r="F12" i="549" s="1"/>
  <c r="M12" i="549" a="1"/>
  <c r="M12" i="549" s="1"/>
  <c r="I12" i="549" a="1"/>
  <c r="I12" i="549" s="1"/>
  <c r="E12" i="549" a="1"/>
  <c r="E12" i="549" s="1"/>
  <c r="P12" i="549" a="1"/>
  <c r="P12" i="549" s="1"/>
  <c r="L12" i="549" a="1"/>
  <c r="L12" i="549" s="1"/>
  <c r="H12" i="549" a="1"/>
  <c r="H12" i="549" s="1"/>
  <c r="O12" i="549" a="1"/>
  <c r="O12" i="549" s="1"/>
  <c r="K12" i="549" a="1"/>
  <c r="K12" i="549" s="1"/>
  <c r="G12" i="549" a="1"/>
  <c r="G12" i="549" s="1"/>
  <c r="Q10" i="549"/>
  <c r="N5" i="549" a="1"/>
  <c r="N5" i="549" s="1"/>
  <c r="J5" i="549" a="1"/>
  <c r="J5" i="549" s="1"/>
  <c r="F5" i="549" a="1"/>
  <c r="F5" i="549" s="1"/>
  <c r="M5" i="549" a="1"/>
  <c r="M5" i="549" s="1"/>
  <c r="I5" i="549" a="1"/>
  <c r="I5" i="549" s="1"/>
  <c r="E5" i="549" a="1"/>
  <c r="E5" i="549" s="1"/>
  <c r="P5" i="549" a="1"/>
  <c r="P5" i="549" s="1"/>
  <c r="L5" i="549" a="1"/>
  <c r="L5" i="549" s="1"/>
  <c r="H5" i="549" a="1"/>
  <c r="H5" i="549" s="1"/>
  <c r="O5" i="549" a="1"/>
  <c r="O5" i="549" s="1"/>
  <c r="K5" i="549" a="1"/>
  <c r="K5" i="549" s="1"/>
  <c r="G5" i="549" a="1"/>
  <c r="G5" i="549" s="1"/>
  <c r="Q4" i="549"/>
  <c r="J8" i="536" a="1"/>
  <c r="J8" i="536" s="1"/>
  <c r="N8" i="536" a="1"/>
  <c r="N8" i="536" s="1"/>
  <c r="G8" i="536" a="1"/>
  <c r="G8" i="536" s="1"/>
  <c r="E8" i="536" a="1"/>
  <c r="E8" i="536" s="1"/>
  <c r="O8" i="536" a="1"/>
  <c r="O8" i="536" s="1"/>
  <c r="K8" i="536" a="1"/>
  <c r="K8" i="536" s="1"/>
  <c r="I8" i="536" a="1"/>
  <c r="I8" i="536" s="1"/>
  <c r="H8" i="536" a="1"/>
  <c r="H8" i="536" s="1"/>
  <c r="M8" i="536" a="1"/>
  <c r="M8" i="536" s="1"/>
  <c r="L8" i="536" a="1"/>
  <c r="L8" i="536" s="1"/>
  <c r="F8" i="536" a="1"/>
  <c r="F8" i="536" s="1"/>
  <c r="Q3" i="536"/>
  <c r="Q5" i="536"/>
  <c r="N12" i="536" a="1"/>
  <c r="N12" i="536" s="1"/>
  <c r="J12" i="536" a="1"/>
  <c r="J12" i="536" s="1"/>
  <c r="F12" i="536" a="1"/>
  <c r="F12" i="536" s="1"/>
  <c r="K12" i="536" a="1"/>
  <c r="K12" i="536" s="1"/>
  <c r="M12" i="536" a="1"/>
  <c r="M12" i="536" s="1"/>
  <c r="I12" i="536" a="1"/>
  <c r="I12" i="536" s="1"/>
  <c r="E12" i="536" a="1"/>
  <c r="E12" i="536" s="1"/>
  <c r="O12" i="536" a="1"/>
  <c r="O12" i="536" s="1"/>
  <c r="G12" i="536" a="1"/>
  <c r="G12" i="536" s="1"/>
  <c r="P12" i="536" a="1"/>
  <c r="P12" i="536" s="1"/>
  <c r="L12" i="536" a="1"/>
  <c r="L12" i="536" s="1"/>
  <c r="H12" i="536" a="1"/>
  <c r="H12" i="536" s="1"/>
  <c r="Q10" i="536"/>
  <c r="O7" i="536" a="1"/>
  <c r="O7" i="536" s="1"/>
  <c r="K7" i="536" a="1"/>
  <c r="K7" i="536" s="1"/>
  <c r="G7" i="536" a="1"/>
  <c r="G7" i="536" s="1"/>
  <c r="N7" i="536" a="1"/>
  <c r="N7" i="536" s="1"/>
  <c r="J7" i="536" a="1"/>
  <c r="J7" i="536" s="1"/>
  <c r="F7" i="536" a="1"/>
  <c r="F7" i="536" s="1"/>
  <c r="M7" i="536" a="1"/>
  <c r="M7" i="536" s="1"/>
  <c r="I7" i="536" a="1"/>
  <c r="I7" i="536" s="1"/>
  <c r="E7" i="536" a="1"/>
  <c r="E7" i="536" s="1"/>
  <c r="P7" i="536" a="1"/>
  <c r="P7" i="536" s="1"/>
  <c r="L7" i="536" a="1"/>
  <c r="L7" i="536" s="1"/>
  <c r="H7" i="536" a="1"/>
  <c r="H7" i="536" s="1"/>
  <c r="O4" i="536" a="1"/>
  <c r="O4" i="536" s="1"/>
  <c r="K4" i="536" a="1"/>
  <c r="K4" i="536" s="1"/>
  <c r="G4" i="536" a="1"/>
  <c r="G4" i="536" s="1"/>
  <c r="N4" i="536" a="1"/>
  <c r="N4" i="536" s="1"/>
  <c r="J4" i="536" a="1"/>
  <c r="J4" i="536" s="1"/>
  <c r="F4" i="536" a="1"/>
  <c r="F4" i="536" s="1"/>
  <c r="M4" i="536" a="1"/>
  <c r="M4" i="536" s="1"/>
  <c r="I4" i="536" a="1"/>
  <c r="I4" i="536" s="1"/>
  <c r="E4" i="536" a="1"/>
  <c r="E4" i="536" s="1"/>
  <c r="P4" i="536" a="1"/>
  <c r="P4" i="536" s="1"/>
  <c r="L4" i="536" a="1"/>
  <c r="L4" i="536" s="1"/>
  <c r="H4" i="536" a="1"/>
  <c r="H4" i="536" s="1"/>
  <c r="Q11" i="536"/>
  <c r="M9" i="536" a="1"/>
  <c r="M9" i="536" s="1"/>
  <c r="I9" i="536" a="1"/>
  <c r="I9" i="536" s="1"/>
  <c r="E9" i="536" a="1"/>
  <c r="E9" i="536" s="1"/>
  <c r="P9" i="536" a="1"/>
  <c r="P9" i="536" s="1"/>
  <c r="L9" i="536" a="1"/>
  <c r="L9" i="536" s="1"/>
  <c r="H9" i="536" a="1"/>
  <c r="H9" i="536" s="1"/>
  <c r="O9" i="536" a="1"/>
  <c r="O9" i="536" s="1"/>
  <c r="K9" i="536" a="1"/>
  <c r="K9" i="536" s="1"/>
  <c r="G9" i="536" a="1"/>
  <c r="G9" i="536" s="1"/>
  <c r="N9" i="536" a="1"/>
  <c r="N9" i="536" s="1"/>
  <c r="J9" i="536" a="1"/>
  <c r="J9" i="536" s="1"/>
  <c r="F9" i="536" a="1"/>
  <c r="F9" i="536" s="1"/>
  <c r="N6" i="536" a="1"/>
  <c r="N6" i="536" s="1"/>
  <c r="J6" i="536" a="1"/>
  <c r="J6" i="536" s="1"/>
  <c r="F6" i="536" a="1"/>
  <c r="F6" i="536" s="1"/>
  <c r="M6" i="536" a="1"/>
  <c r="M6" i="536" s="1"/>
  <c r="I6" i="536" a="1"/>
  <c r="I6" i="536" s="1"/>
  <c r="E6" i="536" a="1"/>
  <c r="E6" i="536" s="1"/>
  <c r="P6" i="536" a="1"/>
  <c r="P6" i="536" s="1"/>
  <c r="L6" i="536" a="1"/>
  <c r="L6" i="536" s="1"/>
  <c r="H6" i="536" a="1"/>
  <c r="H6" i="536" s="1"/>
  <c r="O6" i="536" a="1"/>
  <c r="O6" i="536" s="1"/>
  <c r="K6" i="536" a="1"/>
  <c r="K6" i="536" s="1"/>
  <c r="G6" i="536" a="1"/>
  <c r="G6" i="536" s="1"/>
  <c r="Q12" i="560" l="1"/>
  <c r="L13" i="560"/>
  <c r="L14" i="560" s="1"/>
  <c r="G13" i="560"/>
  <c r="G14" i="560" s="1"/>
  <c r="H27" i="560"/>
  <c r="H26" i="560"/>
  <c r="H25" i="560"/>
  <c r="H24" i="560"/>
  <c r="P13" i="560"/>
  <c r="P14" i="560" s="1"/>
  <c r="K13" i="560"/>
  <c r="K14" i="560" s="1"/>
  <c r="Q3" i="560"/>
  <c r="E13" i="560"/>
  <c r="E14" i="560" s="1"/>
  <c r="O13" i="560"/>
  <c r="O14" i="560" s="1"/>
  <c r="Q9" i="560"/>
  <c r="I13" i="560"/>
  <c r="I14" i="560" s="1"/>
  <c r="Q5" i="560"/>
  <c r="M13" i="560"/>
  <c r="M14" i="560" s="1"/>
  <c r="Q10" i="560"/>
  <c r="F13" i="560"/>
  <c r="F14" i="560" s="1"/>
  <c r="Q12" i="559"/>
  <c r="J13" i="560"/>
  <c r="J14" i="560" s="1"/>
  <c r="Q4" i="560"/>
  <c r="H13" i="560"/>
  <c r="H14" i="560" s="1"/>
  <c r="N13" i="560"/>
  <c r="N14" i="560" s="1"/>
  <c r="Q7" i="560"/>
  <c r="P13" i="559"/>
  <c r="P14" i="559" s="1"/>
  <c r="K13" i="559"/>
  <c r="K14" i="559" s="1"/>
  <c r="Q10" i="559"/>
  <c r="F13" i="559"/>
  <c r="F14" i="559" s="1"/>
  <c r="Q4" i="559"/>
  <c r="L13" i="559"/>
  <c r="L14" i="559" s="1"/>
  <c r="G13" i="559"/>
  <c r="G14" i="559" s="1"/>
  <c r="P13" i="558"/>
  <c r="P14" i="558" s="1"/>
  <c r="H27" i="559"/>
  <c r="H26" i="559"/>
  <c r="H25" i="559"/>
  <c r="H24" i="559"/>
  <c r="Q3" i="559"/>
  <c r="E13" i="559"/>
  <c r="E14" i="559" s="1"/>
  <c r="O13" i="559"/>
  <c r="O14" i="559" s="1"/>
  <c r="L13" i="556"/>
  <c r="L14" i="556" s="1"/>
  <c r="I13" i="559"/>
  <c r="I14" i="559" s="1"/>
  <c r="Q9" i="559"/>
  <c r="M13" i="559"/>
  <c r="M14" i="559" s="1"/>
  <c r="Q5" i="559"/>
  <c r="J13" i="559"/>
  <c r="J14" i="559" s="1"/>
  <c r="H13" i="559"/>
  <c r="H14" i="559" s="1"/>
  <c r="N13" i="559"/>
  <c r="N14" i="559" s="1"/>
  <c r="Q7" i="559"/>
  <c r="G13" i="558"/>
  <c r="G14" i="558" s="1"/>
  <c r="H13" i="558"/>
  <c r="H14" i="558" s="1"/>
  <c r="L13" i="558"/>
  <c r="L14" i="558" s="1"/>
  <c r="O13" i="558"/>
  <c r="O14" i="558" s="1"/>
  <c r="I13" i="558"/>
  <c r="I14" i="558" s="1"/>
  <c r="N13" i="558"/>
  <c r="N14" i="558" s="1"/>
  <c r="K13" i="558"/>
  <c r="K14" i="558" s="1"/>
  <c r="J13" i="558"/>
  <c r="J14" i="558" s="1"/>
  <c r="E13" i="558"/>
  <c r="E14" i="558" s="1"/>
  <c r="M13" i="558"/>
  <c r="M14" i="558" s="1"/>
  <c r="O13" i="553"/>
  <c r="O14" i="553" s="1"/>
  <c r="Q5" i="557"/>
  <c r="Q6" i="558"/>
  <c r="J13" i="556"/>
  <c r="J14" i="556" s="1"/>
  <c r="F13" i="556"/>
  <c r="F14" i="556" s="1"/>
  <c r="Q9" i="558"/>
  <c r="Q8" i="558"/>
  <c r="Q12" i="558"/>
  <c r="Q5" i="558"/>
  <c r="H25" i="558"/>
  <c r="H27" i="558"/>
  <c r="H26" i="558"/>
  <c r="H24" i="558"/>
  <c r="Q7" i="558"/>
  <c r="Q10" i="557"/>
  <c r="N13" i="556"/>
  <c r="N14" i="556" s="1"/>
  <c r="H27" i="557"/>
  <c r="H26" i="557"/>
  <c r="H25" i="557"/>
  <c r="H24" i="557"/>
  <c r="Q12" i="557"/>
  <c r="L13" i="557"/>
  <c r="L14" i="557" s="1"/>
  <c r="G13" i="557"/>
  <c r="G14" i="557" s="1"/>
  <c r="P13" i="557"/>
  <c r="P14" i="557" s="1"/>
  <c r="K13" i="557"/>
  <c r="K14" i="557" s="1"/>
  <c r="Q3" i="557"/>
  <c r="E13" i="557"/>
  <c r="E14" i="557" s="1"/>
  <c r="O13" i="557"/>
  <c r="O14" i="557" s="1"/>
  <c r="Q9" i="557"/>
  <c r="I13" i="557"/>
  <c r="I14" i="557" s="1"/>
  <c r="M13" i="557"/>
  <c r="M14" i="557" s="1"/>
  <c r="F13" i="557"/>
  <c r="F14" i="557" s="1"/>
  <c r="G13" i="556"/>
  <c r="G14" i="556" s="1"/>
  <c r="J13" i="557"/>
  <c r="J14" i="557" s="1"/>
  <c r="Q4" i="557"/>
  <c r="H13" i="557"/>
  <c r="H14" i="557" s="1"/>
  <c r="N13" i="557"/>
  <c r="N14" i="557" s="1"/>
  <c r="Q7" i="557"/>
  <c r="P13" i="556"/>
  <c r="P14" i="556" s="1"/>
  <c r="H13" i="556"/>
  <c r="H14" i="556" s="1"/>
  <c r="I13" i="556"/>
  <c r="I14" i="556" s="1"/>
  <c r="M13" i="556"/>
  <c r="M14" i="556" s="1"/>
  <c r="K13" i="556"/>
  <c r="K14" i="556" s="1"/>
  <c r="Q4" i="556"/>
  <c r="Q8" i="556"/>
  <c r="Q7" i="556"/>
  <c r="Q12" i="556"/>
  <c r="O13" i="556"/>
  <c r="O14" i="556" s="1"/>
  <c r="Q5" i="556"/>
  <c r="E13" i="556"/>
  <c r="E14" i="556" s="1"/>
  <c r="H27" i="556"/>
  <c r="H26" i="556"/>
  <c r="H25" i="556"/>
  <c r="H24" i="556"/>
  <c r="Q9" i="556"/>
  <c r="Q6" i="556"/>
  <c r="Q7" i="555"/>
  <c r="I13" i="555"/>
  <c r="I14" i="555" s="1"/>
  <c r="Q8" i="555"/>
  <c r="Q5" i="555"/>
  <c r="Q9" i="555"/>
  <c r="M13" i="555"/>
  <c r="M14" i="555" s="1"/>
  <c r="H27" i="555"/>
  <c r="H26" i="555"/>
  <c r="H25" i="555"/>
  <c r="H24" i="555"/>
  <c r="F13" i="555"/>
  <c r="F14" i="555" s="1"/>
  <c r="J13" i="555"/>
  <c r="J14" i="555" s="1"/>
  <c r="Q4" i="555"/>
  <c r="H13" i="555"/>
  <c r="H14" i="555" s="1"/>
  <c r="N13" i="555"/>
  <c r="N14" i="555" s="1"/>
  <c r="Q6" i="555"/>
  <c r="Q12" i="555"/>
  <c r="L13" i="555"/>
  <c r="L14" i="555" s="1"/>
  <c r="G13" i="555"/>
  <c r="G14" i="555" s="1"/>
  <c r="Q10" i="555"/>
  <c r="P13" i="555"/>
  <c r="P14" i="555" s="1"/>
  <c r="K13" i="555"/>
  <c r="K14" i="555" s="1"/>
  <c r="Q3" i="555"/>
  <c r="E13" i="555"/>
  <c r="E14" i="555" s="1"/>
  <c r="O13" i="555"/>
  <c r="O14" i="555" s="1"/>
  <c r="J13" i="554"/>
  <c r="J14" i="554" s="1"/>
  <c r="Q10" i="554"/>
  <c r="K13" i="554"/>
  <c r="K14" i="554" s="1"/>
  <c r="I13" i="554"/>
  <c r="I14" i="554" s="1"/>
  <c r="Q8" i="554"/>
  <c r="L13" i="553"/>
  <c r="L14" i="553" s="1"/>
  <c r="Q5" i="554"/>
  <c r="Q9" i="554"/>
  <c r="M13" i="554"/>
  <c r="M14" i="554" s="1"/>
  <c r="H27" i="554"/>
  <c r="H26" i="554"/>
  <c r="H25" i="554"/>
  <c r="H24" i="554"/>
  <c r="F13" i="554"/>
  <c r="F14" i="554" s="1"/>
  <c r="Q4" i="554"/>
  <c r="H13" i="554"/>
  <c r="H14" i="554" s="1"/>
  <c r="N13" i="554"/>
  <c r="N14" i="554" s="1"/>
  <c r="Q6" i="554"/>
  <c r="Q12" i="554"/>
  <c r="L13" i="554"/>
  <c r="L14" i="554" s="1"/>
  <c r="G13" i="554"/>
  <c r="G14" i="554" s="1"/>
  <c r="P13" i="554"/>
  <c r="P14" i="554" s="1"/>
  <c r="Q3" i="554"/>
  <c r="E13" i="554"/>
  <c r="E14" i="554" s="1"/>
  <c r="O13" i="554"/>
  <c r="O14" i="554" s="1"/>
  <c r="Q7" i="554"/>
  <c r="I13" i="553"/>
  <c r="I14" i="553" s="1"/>
  <c r="N13" i="553"/>
  <c r="N14" i="553" s="1"/>
  <c r="P13" i="553"/>
  <c r="P14" i="553" s="1"/>
  <c r="K13" i="553"/>
  <c r="K14" i="553" s="1"/>
  <c r="F13" i="553"/>
  <c r="F14" i="553" s="1"/>
  <c r="E13" i="553"/>
  <c r="E14" i="553" s="1"/>
  <c r="H13" i="553"/>
  <c r="H14" i="553" s="1"/>
  <c r="G13" i="553"/>
  <c r="G14" i="553" s="1"/>
  <c r="M13" i="553"/>
  <c r="M14" i="553" s="1"/>
  <c r="J13" i="553"/>
  <c r="J14" i="553" s="1"/>
  <c r="Q12" i="553"/>
  <c r="Q5" i="553"/>
  <c r="Q9" i="553"/>
  <c r="Q7" i="553"/>
  <c r="H27" i="553"/>
  <c r="H26" i="553"/>
  <c r="H25" i="553"/>
  <c r="H24" i="553"/>
  <c r="Q6" i="553"/>
  <c r="Q8" i="553"/>
  <c r="Q10" i="553"/>
  <c r="Q12" i="552"/>
  <c r="F13" i="552"/>
  <c r="F14" i="552" s="1"/>
  <c r="O13" i="552"/>
  <c r="O14" i="552" s="1"/>
  <c r="J13" i="552"/>
  <c r="J14" i="552" s="1"/>
  <c r="Q7" i="552"/>
  <c r="H27" i="552"/>
  <c r="H26" i="552"/>
  <c r="H25" i="552"/>
  <c r="H24" i="552"/>
  <c r="H13" i="552"/>
  <c r="H14" i="552" s="1"/>
  <c r="N13" i="552"/>
  <c r="N14" i="552" s="1"/>
  <c r="Q4" i="552"/>
  <c r="L13" i="552"/>
  <c r="L14" i="552" s="1"/>
  <c r="K13" i="552"/>
  <c r="K14" i="552" s="1"/>
  <c r="P13" i="552"/>
  <c r="P14" i="552" s="1"/>
  <c r="Q9" i="552"/>
  <c r="Q3" i="552"/>
  <c r="E13" i="552"/>
  <c r="E14" i="552" s="1"/>
  <c r="Q10" i="552"/>
  <c r="Q5" i="552"/>
  <c r="I13" i="552"/>
  <c r="I14" i="552" s="1"/>
  <c r="M13" i="552"/>
  <c r="M14" i="552" s="1"/>
  <c r="G13" i="552"/>
  <c r="G14" i="552" s="1"/>
  <c r="Q10" i="551"/>
  <c r="Q11" i="551"/>
  <c r="Q8" i="551"/>
  <c r="Q3" i="551"/>
  <c r="E13" i="551"/>
  <c r="E14" i="551" s="1"/>
  <c r="M13" i="551"/>
  <c r="M14" i="551" s="1"/>
  <c r="Q9" i="551"/>
  <c r="F13" i="551"/>
  <c r="F14" i="551" s="1"/>
  <c r="Q5" i="551"/>
  <c r="J13" i="551"/>
  <c r="J14" i="551" s="1"/>
  <c r="H13" i="551"/>
  <c r="H14" i="551" s="1"/>
  <c r="N13" i="551"/>
  <c r="N14" i="551" s="1"/>
  <c r="Q5" i="550"/>
  <c r="L13" i="551"/>
  <c r="L14" i="551" s="1"/>
  <c r="G13" i="551"/>
  <c r="G14" i="551" s="1"/>
  <c r="Q4" i="551"/>
  <c r="H13" i="550"/>
  <c r="H14" i="550" s="1"/>
  <c r="L13" i="550"/>
  <c r="L14" i="550" s="1"/>
  <c r="Q6" i="551"/>
  <c r="P13" i="551"/>
  <c r="P14" i="551" s="1"/>
  <c r="K13" i="551"/>
  <c r="K14" i="551" s="1"/>
  <c r="Q12" i="551"/>
  <c r="H27" i="551"/>
  <c r="H26" i="551"/>
  <c r="H25" i="551"/>
  <c r="H24" i="551"/>
  <c r="Q7" i="551"/>
  <c r="I13" i="551"/>
  <c r="I14" i="551" s="1"/>
  <c r="O13" i="551"/>
  <c r="O14" i="551" s="1"/>
  <c r="O13" i="550"/>
  <c r="O14" i="550" s="1"/>
  <c r="F13" i="550"/>
  <c r="F14" i="550" s="1"/>
  <c r="P13" i="550"/>
  <c r="P14" i="550" s="1"/>
  <c r="J13" i="550"/>
  <c r="J14" i="550" s="1"/>
  <c r="G13" i="550"/>
  <c r="G14" i="550" s="1"/>
  <c r="N13" i="550"/>
  <c r="N14" i="550" s="1"/>
  <c r="I13" i="550"/>
  <c r="I14" i="550" s="1"/>
  <c r="K13" i="550"/>
  <c r="K14" i="550" s="1"/>
  <c r="M13" i="550"/>
  <c r="M14" i="550" s="1"/>
  <c r="H27" i="550"/>
  <c r="H26" i="550"/>
  <c r="H25" i="550"/>
  <c r="H24" i="550"/>
  <c r="Q8" i="550"/>
  <c r="Q7" i="550"/>
  <c r="E13" i="550"/>
  <c r="E14" i="550" s="1"/>
  <c r="Q12" i="550"/>
  <c r="Q9" i="550"/>
  <c r="Q4" i="550"/>
  <c r="Q12" i="549"/>
  <c r="L13" i="549"/>
  <c r="L14" i="549" s="1"/>
  <c r="Q10" i="550"/>
  <c r="Q6" i="550"/>
  <c r="J13" i="549"/>
  <c r="J14" i="549" s="1"/>
  <c r="O13" i="549"/>
  <c r="O14" i="549" s="1"/>
  <c r="G13" i="549"/>
  <c r="G14" i="549" s="1"/>
  <c r="Q7" i="549"/>
  <c r="Q9" i="549"/>
  <c r="H13" i="549"/>
  <c r="H14" i="549" s="1"/>
  <c r="K13" i="549"/>
  <c r="K14" i="549" s="1"/>
  <c r="Q8" i="549"/>
  <c r="Q3" i="549"/>
  <c r="E13" i="549"/>
  <c r="E14" i="549" s="1"/>
  <c r="H27" i="549"/>
  <c r="H26" i="549"/>
  <c r="H25" i="549"/>
  <c r="H24" i="549"/>
  <c r="P13" i="549"/>
  <c r="P14" i="549" s="1"/>
  <c r="F13" i="549"/>
  <c r="F14" i="549" s="1"/>
  <c r="Q5" i="549"/>
  <c r="I13" i="549"/>
  <c r="I14" i="549" s="1"/>
  <c r="M13" i="549"/>
  <c r="M14" i="549" s="1"/>
  <c r="N13" i="549"/>
  <c r="N14" i="549" s="1"/>
  <c r="Q6" i="549"/>
  <c r="Q8" i="536"/>
  <c r="F13" i="536"/>
  <c r="F14" i="536" s="1"/>
  <c r="H13" i="536"/>
  <c r="H14" i="536" s="1"/>
  <c r="K13" i="536"/>
  <c r="K14" i="536" s="1"/>
  <c r="O13" i="536"/>
  <c r="O14" i="536" s="1"/>
  <c r="J13" i="536"/>
  <c r="J14" i="536" s="1"/>
  <c r="L13" i="536"/>
  <c r="L14" i="536" s="1"/>
  <c r="G13" i="536"/>
  <c r="G14" i="536" s="1"/>
  <c r="N13" i="536"/>
  <c r="N14" i="536" s="1"/>
  <c r="Q7" i="536"/>
  <c r="Q12" i="536"/>
  <c r="P13" i="536"/>
  <c r="P14" i="536" s="1"/>
  <c r="Q9" i="536"/>
  <c r="Q4" i="536"/>
  <c r="E13" i="536"/>
  <c r="E14" i="536" s="1"/>
  <c r="Q6" i="536"/>
  <c r="I13" i="536"/>
  <c r="I14" i="536" s="1"/>
  <c r="M13" i="536"/>
  <c r="M14" i="536" s="1"/>
  <c r="Q13" i="560" l="1"/>
  <c r="Q14" i="560" s="1"/>
  <c r="Q13" i="559"/>
  <c r="Q14" i="559" s="1"/>
  <c r="Q13" i="558"/>
  <c r="Q14" i="558" s="1"/>
  <c r="Q13" i="557"/>
  <c r="Q14" i="557" s="1"/>
  <c r="Q13" i="556"/>
  <c r="Q14" i="556" s="1"/>
  <c r="Q13" i="555"/>
  <c r="Q14" i="555" s="1"/>
  <c r="Q13" i="554"/>
  <c r="Q14" i="554" s="1"/>
  <c r="Q13" i="553"/>
  <c r="Q14" i="553" s="1"/>
  <c r="Q13" i="552"/>
  <c r="Q14" i="552" s="1"/>
  <c r="Q13" i="551"/>
  <c r="Q14" i="551" s="1"/>
  <c r="Q13" i="550"/>
  <c r="Q14" i="550" s="1"/>
  <c r="Q13" i="549"/>
  <c r="Q14" i="549" s="1"/>
  <c r="Q13" i="536"/>
  <c r="Q14" i="536" s="1"/>
  <c r="Q80" i="207" l="1"/>
  <c r="Q79" i="207"/>
  <c r="Q78" i="207"/>
  <c r="Q72" i="207"/>
  <c r="Q71" i="207"/>
  <c r="Q70" i="207"/>
  <c r="Q69" i="207"/>
  <c r="Q68" i="207"/>
  <c r="Q59" i="207"/>
  <c r="Q58" i="207"/>
  <c r="Q57" i="207"/>
  <c r="Q56" i="207"/>
  <c r="Q55" i="207"/>
  <c r="Q54" i="207"/>
  <c r="Q53" i="207"/>
  <c r="Q52" i="207"/>
  <c r="Q51" i="207"/>
  <c r="Q50" i="207"/>
  <c r="K4" i="3" a="1"/>
  <c r="E11" i="1" a="1"/>
  <c r="O9" i="3" a="1"/>
  <c r="U5" i="3" a="1"/>
  <c r="O7" i="3" a="1"/>
  <c r="K12" i="3" a="1"/>
  <c r="E6" i="1" a="1"/>
  <c r="W8" i="3" a="1"/>
  <c r="K8" i="3" a="1"/>
  <c r="AC8" i="3" a="1"/>
  <c r="Q10" i="3" a="1"/>
  <c r="W2" i="3" a="1"/>
  <c r="AC3" i="3" a="1"/>
  <c r="D10" i="1" a="1"/>
  <c r="M6" i="3" a="1"/>
  <c r="D13" i="1" a="1"/>
  <c r="U3" i="3" a="1"/>
  <c r="AC13" i="3" a="1"/>
  <c r="AC9" i="3" a="1"/>
  <c r="W4" i="3" a="1"/>
  <c r="M5" i="3" a="1"/>
  <c r="E9" i="1" a="1"/>
  <c r="W3" i="3" a="1"/>
  <c r="D12" i="1" a="1"/>
  <c r="K11" i="3" a="1"/>
  <c r="AC4" i="3" a="1"/>
  <c r="G4" i="3" a="1"/>
  <c r="W13" i="3" a="1"/>
  <c r="O4" i="3" a="1"/>
  <c r="AC11" i="3" a="1"/>
  <c r="G11" i="3" a="1"/>
  <c r="Q2" i="3" a="1"/>
  <c r="G2" i="3" a="1"/>
  <c r="M3" i="3" a="1"/>
  <c r="G7" i="3" a="1"/>
  <c r="Q3" i="3" a="1"/>
  <c r="Q4" i="3" a="1"/>
  <c r="S3" i="3" a="1"/>
  <c r="AA11" i="3" a="1"/>
  <c r="Y13" i="3" a="1"/>
  <c r="S8" i="3" a="1"/>
  <c r="I2" i="3" a="1"/>
  <c r="E7" i="1" a="1"/>
  <c r="S7" i="3" a="1"/>
  <c r="K7" i="3" a="1"/>
  <c r="AA4" i="3" a="1"/>
  <c r="O2" i="3" a="1"/>
  <c r="Y8" i="3" a="1"/>
  <c r="AC12" i="3" a="1"/>
  <c r="D14" i="1" a="1"/>
  <c r="U7" i="3" a="1"/>
  <c r="W6" i="3" a="1"/>
  <c r="K10" i="3" a="1"/>
  <c r="W9" i="3" a="1"/>
  <c r="O12" i="3" a="1"/>
  <c r="E3" i="1" a="1"/>
  <c r="I10" i="3" a="1"/>
  <c r="E13" i="1" a="1"/>
  <c r="W10" i="3" a="1"/>
  <c r="D9" i="1" a="1"/>
  <c r="I9" i="3" a="1"/>
  <c r="Y6" i="3" a="1"/>
  <c r="I5" i="3" a="1"/>
  <c r="K13" i="3" a="1"/>
  <c r="I8" i="3" a="1"/>
  <c r="AC10" i="3" a="1"/>
  <c r="Q5" i="3" a="1"/>
  <c r="W7" i="3" a="1"/>
  <c r="Q6" i="3" a="1"/>
  <c r="O13" i="3" a="1"/>
  <c r="S6" i="3" a="1"/>
  <c r="D11" i="1" a="1"/>
  <c r="M11" i="3" a="1"/>
  <c r="M7" i="3" a="1"/>
  <c r="U8" i="3" a="1"/>
  <c r="B6" i="207" a="1"/>
  <c r="K6" i="3" a="1"/>
  <c r="AA10" i="3" a="1"/>
  <c r="Q9" i="3" a="1"/>
  <c r="I13" i="3" a="1"/>
  <c r="D6" i="1" a="1"/>
  <c r="U6" i="3" a="1"/>
  <c r="AA2" i="3" a="1"/>
  <c r="Y11" i="3" a="1"/>
  <c r="I7" i="3" a="1"/>
  <c r="M2" i="3" a="1"/>
  <c r="E8" i="1" a="1"/>
  <c r="S9" i="3" a="1"/>
  <c r="W11" i="3" a="1"/>
  <c r="W5" i="3" a="1"/>
  <c r="O5" i="3" a="1"/>
  <c r="U10" i="3" a="1"/>
  <c r="S10" i="3" a="1"/>
  <c r="AA3" i="3" a="1"/>
  <c r="Y5" i="3" a="1"/>
  <c r="AC7" i="3" a="1"/>
  <c r="W12" i="3" a="1"/>
  <c r="O3" i="3" a="1"/>
  <c r="K3" i="3" a="1"/>
  <c r="G8" i="3" a="1"/>
  <c r="K2" i="3" a="1"/>
  <c r="U2" i="3" a="1"/>
  <c r="U4" i="3" a="1"/>
  <c r="O8" i="3" a="1"/>
  <c r="G13" i="3" a="1"/>
  <c r="Y7" i="3" a="1"/>
  <c r="M12" i="3" a="1"/>
  <c r="AA12" i="3" a="1"/>
  <c r="M8" i="3" a="1"/>
  <c r="I3" i="3" a="1"/>
  <c r="M10" i="3" a="1"/>
  <c r="Q12" i="3" a="1"/>
  <c r="AC2" i="3" a="1"/>
  <c r="D8" i="1" a="1"/>
  <c r="K9" i="3" a="1"/>
  <c r="E10" i="1" a="1"/>
  <c r="E12" i="1" a="1"/>
  <c r="Y12" i="3" a="1"/>
  <c r="G10" i="3" a="1"/>
  <c r="E14" i="1" a="1"/>
  <c r="Q8" i="3" a="1"/>
  <c r="M4" i="3" a="1"/>
  <c r="S4" i="3" a="1"/>
  <c r="Y10" i="3" a="1"/>
  <c r="O11" i="3" a="1"/>
  <c r="AC5" i="3" a="1"/>
  <c r="AA5" i="3" a="1"/>
  <c r="I6" i="3" a="1"/>
  <c r="U9" i="3" a="1"/>
  <c r="AA8" i="3" a="1"/>
  <c r="G6" i="3" a="1"/>
  <c r="G5" i="3" a="1"/>
  <c r="I11" i="3" a="1"/>
  <c r="D7" i="1" a="1"/>
  <c r="G9" i="3" a="1"/>
  <c r="S12" i="3" a="1"/>
  <c r="E4" i="1" a="1"/>
  <c r="Y4" i="3" a="1"/>
  <c r="AC6" i="3" a="1"/>
  <c r="AA7" i="3" a="1"/>
  <c r="D4" i="1" a="1"/>
  <c r="D5" i="1" a="1"/>
  <c r="M9" i="3" a="1"/>
  <c r="Y9" i="3" a="1"/>
  <c r="U11" i="3" a="1"/>
  <c r="Y3" i="3" a="1"/>
  <c r="S2" i="3" a="1"/>
  <c r="Q13" i="3" a="1"/>
  <c r="Q11" i="3" a="1"/>
  <c r="U12" i="3" a="1"/>
  <c r="S11" i="3" a="1"/>
  <c r="K5" i="3" a="1"/>
  <c r="AA9" i="3" a="1"/>
  <c r="U13" i="3" a="1"/>
  <c r="O10" i="3" a="1"/>
  <c r="G3" i="3" a="1"/>
  <c r="S13" i="3" a="1"/>
  <c r="Y2" i="3" a="1"/>
  <c r="S5" i="3" a="1"/>
  <c r="M13" i="3" a="1"/>
  <c r="AA6" i="3" a="1"/>
  <c r="G12" i="3" a="1"/>
  <c r="O6" i="3" a="1"/>
  <c r="AA13" i="3" a="1"/>
  <c r="I12" i="3" a="1"/>
  <c r="Q7" i="3" a="1"/>
  <c r="I4" i="3" a="1"/>
  <c r="E5" i="1" a="1"/>
  <c r="B6" i="207" l="1"/>
  <c r="R1" i="207" s="1"/>
  <c r="E4" i="1"/>
  <c r="E9" i="1"/>
  <c r="E13" i="1"/>
  <c r="D4" i="1"/>
  <c r="D5" i="1"/>
  <c r="D6" i="1"/>
  <c r="D7" i="1"/>
  <c r="D8" i="1"/>
  <c r="D9" i="1"/>
  <c r="D10" i="1"/>
  <c r="D11" i="1"/>
  <c r="D12" i="1"/>
  <c r="D13" i="1"/>
  <c r="D14" i="1"/>
  <c r="E3" i="1"/>
  <c r="E6" i="1"/>
  <c r="E8" i="1"/>
  <c r="E14" i="1"/>
  <c r="E11" i="1"/>
  <c r="E7" i="1"/>
  <c r="E5" i="1"/>
  <c r="E10" i="1"/>
  <c r="E12" i="1"/>
  <c r="Y2" i="3"/>
  <c r="W2" i="3"/>
  <c r="U2" i="3"/>
  <c r="S2" i="3"/>
  <c r="Q2" i="3"/>
  <c r="O2" i="3"/>
  <c r="M2" i="3"/>
  <c r="K2" i="3"/>
  <c r="I2" i="3"/>
  <c r="G2" i="3"/>
  <c r="O5" i="3"/>
  <c r="G12" i="3"/>
  <c r="I3" i="3"/>
  <c r="Q3" i="3"/>
  <c r="Y3" i="3"/>
  <c r="I4" i="3"/>
  <c r="Q4" i="3"/>
  <c r="Y4" i="3"/>
  <c r="I5" i="3"/>
  <c r="Q5" i="3"/>
  <c r="Y5" i="3"/>
  <c r="I6" i="3"/>
  <c r="Q6" i="3"/>
  <c r="Y6" i="3"/>
  <c r="I7" i="3"/>
  <c r="Q7" i="3"/>
  <c r="Y7" i="3"/>
  <c r="I8" i="3"/>
  <c r="Q8" i="3"/>
  <c r="Y8" i="3"/>
  <c r="I9" i="3"/>
  <c r="Q9" i="3"/>
  <c r="Y9" i="3"/>
  <c r="I10" i="3"/>
  <c r="Q10" i="3"/>
  <c r="Y10" i="3"/>
  <c r="I11" i="3"/>
  <c r="Q11" i="3"/>
  <c r="Y11" i="3"/>
  <c r="I12" i="3"/>
  <c r="Q12" i="3"/>
  <c r="Y12" i="3"/>
  <c r="I13" i="3"/>
  <c r="Q13" i="3"/>
  <c r="Y13" i="3"/>
  <c r="W4" i="3"/>
  <c r="G7" i="3"/>
  <c r="W8" i="3"/>
  <c r="O9" i="3"/>
  <c r="G11" i="3"/>
  <c r="W12" i="3"/>
  <c r="G3" i="3"/>
  <c r="G5" i="3"/>
  <c r="W6" i="3"/>
  <c r="O7" i="3"/>
  <c r="G9" i="3"/>
  <c r="W9" i="3"/>
  <c r="W10" i="3"/>
  <c r="O11" i="3"/>
  <c r="W11" i="3"/>
  <c r="G13" i="3"/>
  <c r="AA2" i="3"/>
  <c r="K3" i="3"/>
  <c r="S3" i="3"/>
  <c r="AA3" i="3"/>
  <c r="K4" i="3"/>
  <c r="S4" i="3"/>
  <c r="AA4" i="3"/>
  <c r="K5" i="3"/>
  <c r="S5" i="3"/>
  <c r="AA5" i="3"/>
  <c r="K6" i="3"/>
  <c r="S6" i="3"/>
  <c r="AA6" i="3"/>
  <c r="K7" i="3"/>
  <c r="S7" i="3"/>
  <c r="AA7" i="3"/>
  <c r="K8" i="3"/>
  <c r="S8" i="3"/>
  <c r="AA8" i="3"/>
  <c r="K9" i="3"/>
  <c r="S9" i="3"/>
  <c r="AA9" i="3"/>
  <c r="K10" i="3"/>
  <c r="S10" i="3"/>
  <c r="AA10" i="3"/>
  <c r="K11" i="3"/>
  <c r="S11" i="3"/>
  <c r="AA11" i="3"/>
  <c r="K12" i="3"/>
  <c r="S12" i="3"/>
  <c r="AA12" i="3"/>
  <c r="K13" i="3"/>
  <c r="S13" i="3"/>
  <c r="AA13" i="3"/>
  <c r="G4" i="3"/>
  <c r="G6" i="3"/>
  <c r="G8" i="3"/>
  <c r="G10" i="3"/>
  <c r="O13" i="3"/>
  <c r="O3" i="3"/>
  <c r="O4" i="3"/>
  <c r="O6" i="3"/>
  <c r="O8" i="3"/>
  <c r="O12" i="3"/>
  <c r="AC2" i="3"/>
  <c r="M3" i="3"/>
  <c r="U3" i="3"/>
  <c r="AC3" i="3"/>
  <c r="M4" i="3"/>
  <c r="U4" i="3"/>
  <c r="AC4" i="3"/>
  <c r="M5" i="3"/>
  <c r="U5" i="3"/>
  <c r="AC5" i="3"/>
  <c r="M6" i="3"/>
  <c r="U6" i="3"/>
  <c r="AC6" i="3"/>
  <c r="M7" i="3"/>
  <c r="U7" i="3"/>
  <c r="AC7" i="3"/>
  <c r="M8" i="3"/>
  <c r="U8" i="3"/>
  <c r="AC8" i="3"/>
  <c r="M9" i="3"/>
  <c r="U9" i="3"/>
  <c r="AC9" i="3"/>
  <c r="M10" i="3"/>
  <c r="U10" i="3"/>
  <c r="AC10" i="3"/>
  <c r="M11" i="3"/>
  <c r="U11" i="3"/>
  <c r="AC11" i="3"/>
  <c r="M12" i="3"/>
  <c r="U12" i="3"/>
  <c r="AC12" i="3"/>
  <c r="M13" i="3"/>
  <c r="U13" i="3"/>
  <c r="AC13" i="3"/>
  <c r="W3" i="3"/>
  <c r="W5" i="3"/>
  <c r="W7" i="3"/>
  <c r="O10" i="3"/>
  <c r="W13" i="3"/>
  <c r="B6" i="3" a="1"/>
  <c r="B10" i="3" a="1"/>
  <c r="B5" i="207" a="1"/>
  <c r="B5" i="3" a="1"/>
  <c r="B12" i="3" a="1"/>
  <c r="B2" i="3" a="1"/>
  <c r="B8" i="3" a="1"/>
  <c r="B13" i="3" a="1"/>
  <c r="B3" i="3" a="1"/>
  <c r="B11" i="3" a="1"/>
  <c r="B9" i="3" a="1"/>
  <c r="B4" i="3" a="1"/>
  <c r="D3" i="1" a="1"/>
  <c r="B7" i="3" a="1"/>
  <c r="D3" i="1" l="1"/>
  <c r="B5" i="207"/>
  <c r="B13" i="3"/>
  <c r="B12" i="3"/>
  <c r="B11" i="3"/>
  <c r="B10" i="3"/>
  <c r="B9" i="3"/>
  <c r="B8" i="3"/>
  <c r="B7" i="3"/>
  <c r="B6" i="3"/>
  <c r="B5" i="3"/>
  <c r="B4" i="3"/>
  <c r="B3" i="3"/>
  <c r="B2" i="3"/>
  <c r="AA4" i="207" l="1"/>
  <c r="AA5" i="207"/>
  <c r="AA6" i="207"/>
  <c r="AA7" i="207"/>
  <c r="AA8" i="207"/>
  <c r="AA9" i="207"/>
  <c r="AA10" i="207"/>
  <c r="AA11" i="207"/>
  <c r="AA12" i="207"/>
  <c r="AA13" i="207"/>
  <c r="X4" i="207"/>
  <c r="X5" i="207"/>
  <c r="X6" i="207"/>
  <c r="X7" i="207"/>
  <c r="X8" i="207"/>
  <c r="X9" i="207"/>
  <c r="X10" i="207"/>
  <c r="X11" i="207"/>
  <c r="X12" i="207"/>
  <c r="X13" i="207"/>
  <c r="AA15" i="207"/>
  <c r="AA14" i="207"/>
  <c r="X15" i="207"/>
  <c r="X14" i="207"/>
  <c r="N49" i="207"/>
  <c r="F49" i="207"/>
  <c r="G49" i="207"/>
  <c r="H49" i="207"/>
  <c r="I49" i="207"/>
  <c r="J49" i="207"/>
  <c r="K49" i="207"/>
  <c r="L49" i="207"/>
  <c r="M49" i="207"/>
  <c r="E49" i="207"/>
  <c r="G10" i="1"/>
  <c r="U14" i="1"/>
  <c r="O9" i="1"/>
  <c r="V14" i="1"/>
  <c r="N6" i="1"/>
  <c r="P10" i="1"/>
  <c r="P12" i="1"/>
  <c r="S14" i="1"/>
  <c r="S7" i="1"/>
  <c r="P11" i="1"/>
  <c r="Q12" i="1"/>
  <c r="N5" i="1"/>
  <c r="V4" i="1"/>
  <c r="P9" i="1"/>
  <c r="R14" i="1"/>
  <c r="O12" i="1"/>
  <c r="S5" i="1"/>
  <c r="T13" i="1"/>
  <c r="R11" i="1"/>
  <c r="H11" i="1"/>
  <c r="S10" i="1"/>
  <c r="G5" i="1"/>
  <c r="V5" i="1"/>
  <c r="M6" i="1"/>
  <c r="U8" i="1"/>
  <c r="N4" i="1"/>
  <c r="M5" i="1"/>
  <c r="R6" i="1"/>
  <c r="Q9" i="1"/>
  <c r="Q13" i="1"/>
  <c r="T12" i="1"/>
  <c r="Q14" i="1"/>
  <c r="N14" i="1"/>
  <c r="U9" i="1"/>
  <c r="Q6" i="1"/>
  <c r="N11" i="1"/>
  <c r="U7" i="1"/>
  <c r="H5" i="1"/>
  <c r="Q11" i="1"/>
  <c r="P4" i="1"/>
  <c r="H14" i="1"/>
  <c r="P7" i="1"/>
  <c r="S11" i="1"/>
  <c r="O10" i="1"/>
  <c r="H13" i="1"/>
  <c r="R7" i="1"/>
  <c r="O5" i="1"/>
  <c r="T11" i="1"/>
  <c r="O8" i="1"/>
  <c r="S8" i="1"/>
  <c r="R13" i="1"/>
  <c r="T5" i="1"/>
  <c r="O6" i="1"/>
  <c r="G9" i="1"/>
  <c r="U5" i="1"/>
  <c r="G14" i="1"/>
  <c r="N7" i="1"/>
  <c r="M13" i="1"/>
  <c r="S9" i="1"/>
  <c r="O4" i="1"/>
  <c r="V6" i="1"/>
  <c r="T9" i="1"/>
  <c r="R4" i="1"/>
  <c r="G11" i="1"/>
  <c r="G6" i="1"/>
  <c r="N8" i="1"/>
  <c r="N9" i="1"/>
  <c r="R10" i="1"/>
  <c r="G4" i="1"/>
  <c r="R5" i="1"/>
  <c r="S13" i="1"/>
  <c r="O14" i="1"/>
  <c r="V10" i="1"/>
  <c r="O7" i="1"/>
  <c r="O11" i="1"/>
  <c r="T7" i="1"/>
  <c r="P5" i="1"/>
  <c r="H10" i="1"/>
  <c r="T14" i="1"/>
  <c r="U11" i="1"/>
  <c r="Q4" i="1"/>
  <c r="N13" i="1"/>
  <c r="M9" i="1"/>
  <c r="R8" i="1"/>
  <c r="U13" i="1"/>
  <c r="M7" i="1"/>
  <c r="S12" i="1"/>
  <c r="M10" i="1"/>
  <c r="V7" i="1"/>
  <c r="P13" i="1"/>
  <c r="T6" i="1"/>
  <c r="G12" i="1"/>
  <c r="M11" i="1"/>
  <c r="M4" i="1"/>
  <c r="H4" i="1"/>
  <c r="V11" i="1"/>
  <c r="P14" i="1"/>
  <c r="P8" i="1"/>
  <c r="R12" i="1"/>
  <c r="H12" i="1"/>
  <c r="Q8" i="1"/>
  <c r="V8" i="1"/>
  <c r="G7" i="1"/>
  <c r="T4" i="1"/>
  <c r="V13" i="1"/>
  <c r="S6" i="1"/>
  <c r="N12" i="1"/>
  <c r="M12" i="1"/>
  <c r="V9" i="1"/>
  <c r="S4" i="1"/>
  <c r="M8" i="1"/>
  <c r="H8" i="1"/>
  <c r="O13" i="1"/>
  <c r="H6" i="1"/>
  <c r="Q10" i="1"/>
  <c r="H9" i="1"/>
  <c r="H7" i="1"/>
  <c r="M14" i="1"/>
  <c r="Q7" i="1"/>
  <c r="N10" i="1"/>
  <c r="T10" i="1"/>
  <c r="G8" i="1"/>
  <c r="G13" i="1"/>
  <c r="P6" i="1"/>
  <c r="V12" i="1"/>
  <c r="R9" i="1"/>
  <c r="U12" i="1"/>
  <c r="Q5" i="1"/>
  <c r="U4" i="1"/>
  <c r="T8" i="1"/>
  <c r="U10" i="1"/>
  <c r="U6" i="1"/>
  <c r="S2" i="207" l="1"/>
  <c r="AG50" i="3"/>
  <c r="AG49" i="3"/>
  <c r="AG48" i="3"/>
  <c r="AG47" i="3"/>
  <c r="AG46" i="3"/>
  <c r="AG45" i="3"/>
  <c r="AG44" i="3"/>
  <c r="AG43" i="3"/>
  <c r="AG42" i="3"/>
  <c r="AG41" i="3"/>
  <c r="AG40" i="3"/>
  <c r="AG39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50" i="3"/>
  <c r="Z49" i="3"/>
  <c r="Z48" i="3"/>
  <c r="Z47" i="3"/>
  <c r="Z46" i="3"/>
  <c r="Z45" i="3"/>
  <c r="Z44" i="3"/>
  <c r="Z43" i="3"/>
  <c r="Z42" i="3"/>
  <c r="Z41" i="3"/>
  <c r="Z40" i="3"/>
  <c r="Z39" i="3"/>
  <c r="Y50" i="3"/>
  <c r="Y49" i="3"/>
  <c r="Y48" i="3"/>
  <c r="Y47" i="3"/>
  <c r="Y46" i="3"/>
  <c r="Y45" i="3"/>
  <c r="Y44" i="3"/>
  <c r="Y43" i="3"/>
  <c r="Y42" i="3"/>
  <c r="Y41" i="3"/>
  <c r="Y40" i="3"/>
  <c r="Y39" i="3"/>
  <c r="X50" i="3"/>
  <c r="X49" i="3"/>
  <c r="X48" i="3"/>
  <c r="X47" i="3"/>
  <c r="X46" i="3"/>
  <c r="X45" i="3"/>
  <c r="X44" i="3"/>
  <c r="X43" i="3"/>
  <c r="X42" i="3"/>
  <c r="X41" i="3"/>
  <c r="X40" i="3"/>
  <c r="X39" i="3"/>
  <c r="W50" i="3"/>
  <c r="W49" i="3"/>
  <c r="W48" i="3"/>
  <c r="W47" i="3"/>
  <c r="W46" i="3"/>
  <c r="W45" i="3"/>
  <c r="W44" i="3"/>
  <c r="W43" i="3"/>
  <c r="W42" i="3"/>
  <c r="W41" i="3"/>
  <c r="W40" i="3"/>
  <c r="W39" i="3"/>
  <c r="V50" i="3"/>
  <c r="V49" i="3"/>
  <c r="V48" i="3"/>
  <c r="V47" i="3"/>
  <c r="V46" i="3"/>
  <c r="V45" i="3"/>
  <c r="V44" i="3"/>
  <c r="V43" i="3"/>
  <c r="V42" i="3"/>
  <c r="V41" i="3"/>
  <c r="V40" i="3"/>
  <c r="V39" i="3"/>
  <c r="U50" i="3"/>
  <c r="U49" i="3"/>
  <c r="U48" i="3"/>
  <c r="U47" i="3"/>
  <c r="U46" i="3"/>
  <c r="U45" i="3"/>
  <c r="U44" i="3"/>
  <c r="U43" i="3"/>
  <c r="U42" i="3"/>
  <c r="U41" i="3"/>
  <c r="U40" i="3"/>
  <c r="U39" i="3"/>
  <c r="B7" i="207"/>
  <c r="S1" i="207" s="1"/>
  <c r="X3" i="207"/>
  <c r="B3" i="207"/>
  <c r="B2" i="207"/>
  <c r="N1" i="207"/>
  <c r="M1" i="207"/>
  <c r="L1" i="207"/>
  <c r="K1" i="207"/>
  <c r="J1" i="207"/>
  <c r="I1" i="207"/>
  <c r="H1" i="207"/>
  <c r="G1" i="207"/>
  <c r="F1" i="207"/>
  <c r="E1" i="207"/>
  <c r="B1" i="207"/>
  <c r="S3" i="1"/>
  <c r="Q3" i="1"/>
  <c r="T3" i="1"/>
  <c r="P3" i="1"/>
  <c r="O3" i="1"/>
  <c r="G3" i="1"/>
  <c r="N3" i="1"/>
  <c r="R3" i="1"/>
  <c r="M3" i="1"/>
  <c r="U3" i="1"/>
  <c r="V3" i="1"/>
  <c r="H3" i="1"/>
  <c r="D7" i="207" l="1" a="1"/>
  <c r="D7" i="207" s="1"/>
  <c r="D9" i="207" a="1"/>
  <c r="D9" i="207" s="1"/>
  <c r="D6" i="207" a="1"/>
  <c r="D6" i="207" s="1"/>
  <c r="D5" i="207" a="1"/>
  <c r="D5" i="207" s="1"/>
  <c r="D12" i="207" a="1"/>
  <c r="D12" i="207" s="1"/>
  <c r="D4" i="207" a="1"/>
  <c r="D4" i="207" s="1"/>
  <c r="D11" i="207" a="1"/>
  <c r="D11" i="207" s="1"/>
  <c r="D3" i="207" a="1"/>
  <c r="D3" i="207" s="1"/>
  <c r="D10" i="207" a="1"/>
  <c r="D10" i="207" s="1"/>
  <c r="D8" i="207" a="1"/>
  <c r="D8" i="207" s="1"/>
  <c r="H25" i="207"/>
  <c r="H26" i="207"/>
  <c r="H27" i="207"/>
  <c r="H24" i="207"/>
  <c r="R2" i="207"/>
  <c r="B8" i="207"/>
  <c r="B9" i="207"/>
  <c r="E4" i="207" l="1" a="1"/>
  <c r="E4" i="207" s="1"/>
  <c r="K4" i="207" a="1"/>
  <c r="K4" i="207" s="1"/>
  <c r="G4" i="207" a="1"/>
  <c r="G4" i="207" s="1"/>
  <c r="P4" i="207" a="1"/>
  <c r="P4" i="207" s="1"/>
  <c r="L4" i="207" a="1"/>
  <c r="L4" i="207" s="1"/>
  <c r="J4" i="207" a="1"/>
  <c r="J4" i="207" s="1"/>
  <c r="O4" i="207" a="1"/>
  <c r="O4" i="207" s="1"/>
  <c r="M4" i="207" a="1"/>
  <c r="M4" i="207" s="1"/>
  <c r="F4" i="207" a="1"/>
  <c r="F4" i="207" s="1"/>
  <c r="H4" i="207" a="1"/>
  <c r="H4" i="207" s="1"/>
  <c r="I4" i="207" a="1"/>
  <c r="I4" i="207" s="1"/>
  <c r="N4" i="207" a="1"/>
  <c r="N4" i="207" s="1"/>
  <c r="E12" i="207" a="1"/>
  <c r="E12" i="207" s="1"/>
  <c r="O12" i="207" a="1"/>
  <c r="O12" i="207" s="1"/>
  <c r="H12" i="207" a="1"/>
  <c r="H12" i="207" s="1"/>
  <c r="P12" i="207" a="1"/>
  <c r="P12" i="207" s="1"/>
  <c r="K12" i="207" a="1"/>
  <c r="K12" i="207" s="1"/>
  <c r="G12" i="207" a="1"/>
  <c r="G12" i="207" s="1"/>
  <c r="L12" i="207" a="1"/>
  <c r="L12" i="207" s="1"/>
  <c r="N12" i="207" a="1"/>
  <c r="N12" i="207" s="1"/>
  <c r="J12" i="207" a="1"/>
  <c r="J12" i="207" s="1"/>
  <c r="I12" i="207" a="1"/>
  <c r="I12" i="207" s="1"/>
  <c r="F12" i="207" a="1"/>
  <c r="F12" i="207" s="1"/>
  <c r="M12" i="207" a="1"/>
  <c r="M12" i="207" s="1"/>
  <c r="E11" i="207" a="1"/>
  <c r="E11" i="207" s="1"/>
  <c r="P11" i="207" a="1"/>
  <c r="P11" i="207" s="1"/>
  <c r="N11" i="207" a="1"/>
  <c r="N11" i="207" s="1"/>
  <c r="I11" i="207" a="1"/>
  <c r="I11" i="207" s="1"/>
  <c r="J11" i="207" a="1"/>
  <c r="J11" i="207" s="1"/>
  <c r="F11" i="207" a="1"/>
  <c r="F11" i="207" s="1"/>
  <c r="L11" i="207" a="1"/>
  <c r="L11" i="207" s="1"/>
  <c r="O11" i="207" a="1"/>
  <c r="O11" i="207" s="1"/>
  <c r="H11" i="207" a="1"/>
  <c r="H11" i="207" s="1"/>
  <c r="K11" i="207" a="1"/>
  <c r="K11" i="207" s="1"/>
  <c r="G11" i="207" a="1"/>
  <c r="G11" i="207" s="1"/>
  <c r="M11" i="207" a="1"/>
  <c r="M11" i="207" s="1"/>
  <c r="I5" i="207" a="1"/>
  <c r="I5" i="207" s="1"/>
  <c r="K5" i="207" a="1"/>
  <c r="K5" i="207" s="1"/>
  <c r="F5" i="207" a="1"/>
  <c r="F5" i="207" s="1"/>
  <c r="M5" i="207" a="1"/>
  <c r="M5" i="207" s="1"/>
  <c r="E5" i="207" a="1"/>
  <c r="E5" i="207" s="1"/>
  <c r="H5" i="207" a="1"/>
  <c r="H5" i="207" s="1"/>
  <c r="N5" i="207" a="1"/>
  <c r="N5" i="207" s="1"/>
  <c r="O5" i="207" a="1"/>
  <c r="O5" i="207" s="1"/>
  <c r="P5" i="207" a="1"/>
  <c r="P5" i="207" s="1"/>
  <c r="J5" i="207" a="1"/>
  <c r="J5" i="207" s="1"/>
  <c r="G5" i="207" a="1"/>
  <c r="G5" i="207" s="1"/>
  <c r="L5" i="207" a="1"/>
  <c r="L5" i="207" s="1"/>
  <c r="E6" i="207" a="1"/>
  <c r="E6" i="207" s="1"/>
  <c r="J6" i="207" a="1"/>
  <c r="J6" i="207" s="1"/>
  <c r="O6" i="207" a="1"/>
  <c r="O6" i="207" s="1"/>
  <c r="I6" i="207" a="1"/>
  <c r="I6" i="207" s="1"/>
  <c r="F6" i="207" a="1"/>
  <c r="F6" i="207" s="1"/>
  <c r="M6" i="207" a="1"/>
  <c r="M6" i="207" s="1"/>
  <c r="P6" i="207" a="1"/>
  <c r="P6" i="207" s="1"/>
  <c r="K6" i="207" a="1"/>
  <c r="K6" i="207" s="1"/>
  <c r="L6" i="207" a="1"/>
  <c r="L6" i="207" s="1"/>
  <c r="N6" i="207" a="1"/>
  <c r="N6" i="207" s="1"/>
  <c r="G6" i="207" a="1"/>
  <c r="G6" i="207" s="1"/>
  <c r="H6" i="207" a="1"/>
  <c r="H6" i="207" s="1"/>
  <c r="J3" i="207" a="1"/>
  <c r="J3" i="207" s="1"/>
  <c r="G3" i="207" a="1"/>
  <c r="G3" i="207" s="1"/>
  <c r="L3" i="207" a="1"/>
  <c r="L3" i="207" s="1"/>
  <c r="O3" i="207" a="1"/>
  <c r="O3" i="207" s="1"/>
  <c r="N3" i="207" a="1"/>
  <c r="N3" i="207" s="1"/>
  <c r="P3" i="207" a="1"/>
  <c r="P3" i="207" s="1"/>
  <c r="F3" i="207" a="1"/>
  <c r="F3" i="207" s="1"/>
  <c r="K3" i="207" a="1"/>
  <c r="K3" i="207" s="1"/>
  <c r="H3" i="207" a="1"/>
  <c r="H3" i="207" s="1"/>
  <c r="I3" i="207" a="1"/>
  <c r="I3" i="207" s="1"/>
  <c r="M3" i="207" a="1"/>
  <c r="M3" i="207" s="1"/>
  <c r="E8" i="207" a="1"/>
  <c r="E8" i="207" s="1"/>
  <c r="L8" i="207" a="1"/>
  <c r="L8" i="207" s="1"/>
  <c r="J8" i="207" a="1"/>
  <c r="J8" i="207" s="1"/>
  <c r="G8" i="207" a="1"/>
  <c r="G8" i="207" s="1"/>
  <c r="I8" i="207" a="1"/>
  <c r="I8" i="207" s="1"/>
  <c r="N8" i="207" a="1"/>
  <c r="N8" i="207" s="1"/>
  <c r="F8" i="207" a="1"/>
  <c r="F8" i="207" s="1"/>
  <c r="K8" i="207" a="1"/>
  <c r="K8" i="207" s="1"/>
  <c r="M8" i="207" a="1"/>
  <c r="M8" i="207" s="1"/>
  <c r="P8" i="207" a="1"/>
  <c r="P8" i="207" s="1"/>
  <c r="H8" i="207" a="1"/>
  <c r="H8" i="207" s="1"/>
  <c r="O8" i="207" a="1"/>
  <c r="O8" i="207" s="1"/>
  <c r="E9" i="207" a="1"/>
  <c r="E9" i="207" s="1"/>
  <c r="F9" i="207" a="1"/>
  <c r="F9" i="207" s="1"/>
  <c r="H9" i="207" a="1"/>
  <c r="H9" i="207" s="1"/>
  <c r="K9" i="207" a="1"/>
  <c r="K9" i="207" s="1"/>
  <c r="P9" i="207" a="1"/>
  <c r="P9" i="207" s="1"/>
  <c r="J9" i="207" a="1"/>
  <c r="J9" i="207" s="1"/>
  <c r="L9" i="207" a="1"/>
  <c r="L9" i="207" s="1"/>
  <c r="O9" i="207" a="1"/>
  <c r="O9" i="207" s="1"/>
  <c r="N9" i="207" a="1"/>
  <c r="N9" i="207" s="1"/>
  <c r="G9" i="207" a="1"/>
  <c r="G9" i="207" s="1"/>
  <c r="M9" i="207" a="1"/>
  <c r="M9" i="207" s="1"/>
  <c r="I9" i="207" a="1"/>
  <c r="I9" i="207" s="1"/>
  <c r="E10" i="207" a="1"/>
  <c r="E10" i="207" s="1"/>
  <c r="G10" i="207" a="1"/>
  <c r="G10" i="207" s="1"/>
  <c r="H10" i="207" a="1"/>
  <c r="H10" i="207" s="1"/>
  <c r="I10" i="207" a="1"/>
  <c r="I10" i="207" s="1"/>
  <c r="M10" i="207" a="1"/>
  <c r="M10" i="207" s="1"/>
  <c r="K10" i="207" a="1"/>
  <c r="K10" i="207" s="1"/>
  <c r="P10" i="207" a="1"/>
  <c r="P10" i="207" s="1"/>
  <c r="N10" i="207" a="1"/>
  <c r="N10" i="207" s="1"/>
  <c r="L10" i="207" a="1"/>
  <c r="L10" i="207" s="1"/>
  <c r="J10" i="207" a="1"/>
  <c r="J10" i="207" s="1"/>
  <c r="F10" i="207" a="1"/>
  <c r="F10" i="207" s="1"/>
  <c r="O10" i="207" a="1"/>
  <c r="O10" i="207" s="1"/>
  <c r="E7" i="207" a="1"/>
  <c r="E7" i="207" s="1"/>
  <c r="K7" i="207" a="1"/>
  <c r="K7" i="207" s="1"/>
  <c r="I7" i="207" a="1"/>
  <c r="I7" i="207" s="1"/>
  <c r="F7" i="207" a="1"/>
  <c r="F7" i="207" s="1"/>
  <c r="O7" i="207" a="1"/>
  <c r="O7" i="207" s="1"/>
  <c r="M7" i="207" a="1"/>
  <c r="M7" i="207" s="1"/>
  <c r="G7" i="207" a="1"/>
  <c r="G7" i="207" s="1"/>
  <c r="H7" i="207" a="1"/>
  <c r="H7" i="207" s="1"/>
  <c r="L7" i="207" a="1"/>
  <c r="L7" i="207" s="1"/>
  <c r="J7" i="207" a="1"/>
  <c r="J7" i="207" s="1"/>
  <c r="N7" i="207" a="1"/>
  <c r="N7" i="207" s="1"/>
  <c r="P7" i="207" a="1"/>
  <c r="P7" i="207" s="1"/>
  <c r="U15" i="1" a="1"/>
  <c r="U15" i="1" s="1"/>
  <c r="T15" i="1" a="1"/>
  <c r="T15" i="1" s="1"/>
  <c r="S15" i="1" a="1"/>
  <c r="S15" i="1" s="1"/>
  <c r="R15" i="1" a="1"/>
  <c r="R15" i="1" s="1"/>
  <c r="M13" i="207" l="1"/>
  <c r="M14" i="207" s="1"/>
  <c r="O13" i="207"/>
  <c r="O14" i="207" s="1"/>
  <c r="Q7" i="207"/>
  <c r="Q9" i="207"/>
  <c r="E13" i="207"/>
  <c r="E14" i="207" s="1"/>
  <c r="Q3" i="207"/>
  <c r="J13" i="207"/>
  <c r="J14" i="207" s="1"/>
  <c r="Q12" i="207"/>
  <c r="G13" i="207"/>
  <c r="G14" i="207" s="1"/>
  <c r="K13" i="207"/>
  <c r="K14" i="207" s="1"/>
  <c r="L13" i="207"/>
  <c r="L14" i="207" s="1"/>
  <c r="H13" i="207"/>
  <c r="H14" i="207" s="1"/>
  <c r="F13" i="207"/>
  <c r="F14" i="207" s="1"/>
  <c r="P13" i="207"/>
  <c r="P14" i="207" s="1"/>
  <c r="I13" i="207"/>
  <c r="I14" i="207" s="1"/>
  <c r="Q10" i="207"/>
  <c r="Q8" i="207"/>
  <c r="N13" i="207"/>
  <c r="N14" i="207" s="1"/>
  <c r="Q6" i="207"/>
  <c r="Q5" i="207"/>
  <c r="Q11" i="207"/>
  <c r="Q4" i="207"/>
  <c r="V15" i="1" a="1"/>
  <c r="V15" i="1" s="1"/>
  <c r="W6" i="1" a="1"/>
  <c r="W6" i="1" s="1"/>
  <c r="Q13" i="207" l="1"/>
  <c r="Q14" i="207" s="1"/>
  <c r="C13" i="3"/>
  <c r="C3" i="3"/>
  <c r="C4" i="3"/>
  <c r="C5" i="3"/>
  <c r="C6" i="3"/>
  <c r="C7" i="3"/>
  <c r="C8" i="3"/>
  <c r="C9" i="3"/>
  <c r="C10" i="3"/>
  <c r="C11" i="3"/>
  <c r="C12" i="3"/>
  <c r="C2" i="3"/>
  <c r="B17" i="3"/>
  <c r="B16" i="3"/>
  <c r="B15" i="3"/>
  <c r="AC14" i="3"/>
  <c r="AA14" i="3"/>
  <c r="Y14" i="3"/>
  <c r="W14" i="3"/>
  <c r="U14" i="3"/>
  <c r="S14" i="3"/>
  <c r="Q14" i="3"/>
  <c r="O14" i="3"/>
  <c r="M14" i="3"/>
  <c r="K14" i="3"/>
  <c r="I14" i="3"/>
  <c r="G14" i="3"/>
  <c r="F2" i="3" l="1"/>
  <c r="C14" i="3"/>
  <c r="W10" i="1" l="1" a="1"/>
  <c r="W10" i="1" s="1"/>
  <c r="W11" i="1" a="1"/>
  <c r="W11" i="1" s="1"/>
  <c r="W12" i="1" a="1"/>
  <c r="W12" i="1" s="1"/>
  <c r="W8" i="1" a="1"/>
  <c r="W8" i="1" s="1"/>
  <c r="W13" i="1" a="1"/>
  <c r="W13" i="1" s="1"/>
  <c r="W14" i="1" a="1"/>
  <c r="W14" i="1" s="1"/>
  <c r="W9" i="1" a="1"/>
  <c r="W9" i="1" s="1"/>
  <c r="W7" i="1" a="1"/>
  <c r="W7" i="1" s="1"/>
  <c r="W5" i="1" a="1"/>
  <c r="W5" i="1" s="1"/>
  <c r="W4" i="1" a="1"/>
  <c r="W4" i="1" s="1"/>
  <c r="O15" i="1" a="1"/>
  <c r="O15" i="1" s="1"/>
  <c r="N15" i="1" a="1"/>
  <c r="N15" i="1" s="1"/>
  <c r="P15" i="1" a="1"/>
  <c r="P15" i="1" s="1"/>
  <c r="Q15" i="1" a="1"/>
  <c r="Q15" i="1" s="1"/>
  <c r="D15" i="1" a="1"/>
  <c r="D15" i="1" s="1"/>
  <c r="G15" i="1" a="1"/>
  <c r="G15" i="1" s="1"/>
  <c r="H15" i="1" a="1"/>
  <c r="H15" i="1" s="1"/>
  <c r="E15" i="1" a="1"/>
  <c r="E15" i="1" s="1"/>
  <c r="J15" i="1" s="1"/>
  <c r="C15" i="1" a="1"/>
  <c r="C15" i="1" s="1"/>
  <c r="J7" i="1"/>
  <c r="F7" i="1"/>
  <c r="F6" i="3"/>
  <c r="J5" i="1"/>
  <c r="F4" i="3"/>
  <c r="F5" i="1"/>
  <c r="J9" i="1"/>
  <c r="F8" i="3"/>
  <c r="F9" i="1"/>
  <c r="J13" i="1"/>
  <c r="F12" i="3"/>
  <c r="F13" i="1"/>
  <c r="F5" i="3"/>
  <c r="F6" i="1"/>
  <c r="J6" i="1"/>
  <c r="F3" i="3"/>
  <c r="F4" i="1"/>
  <c r="J4" i="1"/>
  <c r="F14" i="1"/>
  <c r="J14" i="1"/>
  <c r="F13" i="3"/>
  <c r="F7" i="3"/>
  <c r="F8" i="1"/>
  <c r="J8" i="1"/>
  <c r="F9" i="3"/>
  <c r="F10" i="1"/>
  <c r="J10" i="1"/>
  <c r="F12" i="1"/>
  <c r="F11" i="3"/>
  <c r="J12" i="1"/>
  <c r="J11" i="1"/>
  <c r="F11" i="1"/>
  <c r="F10" i="3"/>
  <c r="F3" i="1"/>
  <c r="J3" i="1"/>
  <c r="I8" i="1"/>
  <c r="I4" i="1"/>
  <c r="I10" i="1"/>
  <c r="I14" i="1"/>
  <c r="I12" i="1"/>
  <c r="I11" i="1"/>
  <c r="I7" i="1"/>
  <c r="I6" i="1"/>
  <c r="I5" i="1"/>
  <c r="I9" i="1"/>
  <c r="I13" i="1"/>
  <c r="I3" i="1"/>
  <c r="F15" i="1" l="1" a="1"/>
  <c r="F15" i="1" s="1"/>
  <c r="F16" i="1" s="1"/>
  <c r="K14" i="1"/>
  <c r="K8" i="1"/>
  <c r="K4" i="1"/>
  <c r="K7" i="1"/>
  <c r="K6" i="1"/>
  <c r="K11" i="1"/>
  <c r="K13" i="1"/>
  <c r="K9" i="1"/>
  <c r="K12" i="1"/>
  <c r="K10" i="1"/>
  <c r="K5" i="1"/>
  <c r="J16" i="1"/>
  <c r="K3" i="1"/>
  <c r="T12" i="3"/>
  <c r="Q45" i="3" s="1"/>
  <c r="N12" i="3"/>
  <c r="Q42" i="3" s="1"/>
  <c r="V12" i="3"/>
  <c r="H12" i="3"/>
  <c r="Q39" i="3" s="1"/>
  <c r="X12" i="3"/>
  <c r="J12" i="3"/>
  <c r="Q40" i="3" s="1"/>
  <c r="P12" i="3"/>
  <c r="Q43" i="3" s="1"/>
  <c r="L12" i="3"/>
  <c r="Q41" i="3" s="1"/>
  <c r="R12" i="3"/>
  <c r="Q44" i="3" s="1"/>
  <c r="H2" i="3"/>
  <c r="G39" i="3" s="1"/>
  <c r="X2" i="3"/>
  <c r="T2" i="3"/>
  <c r="G45" i="3" s="1"/>
  <c r="J2" i="3"/>
  <c r="G40" i="3" s="1"/>
  <c r="L2" i="3"/>
  <c r="G41" i="3" s="1"/>
  <c r="N2" i="3"/>
  <c r="G42" i="3" s="1"/>
  <c r="P2" i="3"/>
  <c r="G43" i="3" s="1"/>
  <c r="R2" i="3"/>
  <c r="G44" i="3" s="1"/>
  <c r="V2" i="3"/>
  <c r="P6" i="3"/>
  <c r="K43" i="3" s="1"/>
  <c r="R6" i="3"/>
  <c r="K44" i="3" s="1"/>
  <c r="T6" i="3"/>
  <c r="K45" i="3" s="1"/>
  <c r="J6" i="3"/>
  <c r="K40" i="3" s="1"/>
  <c r="V6" i="3"/>
  <c r="H6" i="3"/>
  <c r="K39" i="3" s="1"/>
  <c r="X6" i="3"/>
  <c r="L6" i="3"/>
  <c r="K41" i="3" s="1"/>
  <c r="N6" i="3"/>
  <c r="K42" i="3" s="1"/>
  <c r="H10" i="3"/>
  <c r="O39" i="3" s="1"/>
  <c r="X10" i="3"/>
  <c r="J10" i="3"/>
  <c r="O40" i="3" s="1"/>
  <c r="L10" i="3"/>
  <c r="O41" i="3" s="1"/>
  <c r="N10" i="3"/>
  <c r="O42" i="3" s="1"/>
  <c r="P10" i="3"/>
  <c r="O43" i="3" s="1"/>
  <c r="T10" i="3"/>
  <c r="O45" i="3" s="1"/>
  <c r="V10" i="3"/>
  <c r="R10" i="3"/>
  <c r="O44" i="3" s="1"/>
  <c r="J9" i="3"/>
  <c r="N40" i="3" s="1"/>
  <c r="T9" i="3"/>
  <c r="N45" i="3" s="1"/>
  <c r="V9" i="3"/>
  <c r="L9" i="3"/>
  <c r="N41" i="3" s="1"/>
  <c r="N9" i="3"/>
  <c r="N42" i="3" s="1"/>
  <c r="P9" i="3"/>
  <c r="N43" i="3" s="1"/>
  <c r="R9" i="3"/>
  <c r="N44" i="3" s="1"/>
  <c r="H9" i="3"/>
  <c r="N39" i="3" s="1"/>
  <c r="X9" i="3"/>
  <c r="V3" i="3"/>
  <c r="H3" i="3"/>
  <c r="H39" i="3" s="1"/>
  <c r="X3" i="3"/>
  <c r="J3" i="3"/>
  <c r="L3" i="3"/>
  <c r="H41" i="3" s="1"/>
  <c r="P3" i="3"/>
  <c r="H43" i="3" s="1"/>
  <c r="N3" i="3"/>
  <c r="H42" i="3" s="1"/>
  <c r="R3" i="3"/>
  <c r="H44" i="3" s="1"/>
  <c r="T3" i="3"/>
  <c r="H45" i="3" s="1"/>
  <c r="L8" i="3"/>
  <c r="M41" i="3" s="1"/>
  <c r="N8" i="3"/>
  <c r="M42" i="3" s="1"/>
  <c r="X8" i="3"/>
  <c r="P8" i="3"/>
  <c r="M43" i="3" s="1"/>
  <c r="R8" i="3"/>
  <c r="M44" i="3" s="1"/>
  <c r="H8" i="3"/>
  <c r="M39" i="3" s="1"/>
  <c r="T8" i="3"/>
  <c r="M45" i="3" s="1"/>
  <c r="V8" i="3"/>
  <c r="J8" i="3"/>
  <c r="M40" i="3" s="1"/>
  <c r="N7" i="3"/>
  <c r="L42" i="3" s="1"/>
  <c r="H7" i="3"/>
  <c r="L39" i="3" s="1"/>
  <c r="P7" i="3"/>
  <c r="L43" i="3" s="1"/>
  <c r="R7" i="3"/>
  <c r="L44" i="3" s="1"/>
  <c r="T7" i="3"/>
  <c r="L45" i="3" s="1"/>
  <c r="V7" i="3"/>
  <c r="X7" i="3"/>
  <c r="L7" i="3"/>
  <c r="L41" i="3" s="1"/>
  <c r="J7" i="3"/>
  <c r="L40" i="3" s="1"/>
  <c r="V11" i="3"/>
  <c r="P11" i="3"/>
  <c r="P43" i="3" s="1"/>
  <c r="H11" i="3"/>
  <c r="P39" i="3" s="1"/>
  <c r="X11" i="3"/>
  <c r="J11" i="3"/>
  <c r="P40" i="3" s="1"/>
  <c r="R11" i="3"/>
  <c r="P44" i="3" s="1"/>
  <c r="L11" i="3"/>
  <c r="P41" i="3" s="1"/>
  <c r="N11" i="3"/>
  <c r="P42" i="3" s="1"/>
  <c r="T11" i="3"/>
  <c r="P45" i="3" s="1"/>
  <c r="R13" i="3"/>
  <c r="R44" i="3" s="1"/>
  <c r="T13" i="3"/>
  <c r="R45" i="3" s="1"/>
  <c r="N13" i="3"/>
  <c r="R42" i="3" s="1"/>
  <c r="V13" i="3"/>
  <c r="H13" i="3"/>
  <c r="R39" i="3" s="1"/>
  <c r="X13" i="3"/>
  <c r="L13" i="3"/>
  <c r="R41" i="3" s="1"/>
  <c r="J13" i="3"/>
  <c r="R40" i="3" s="1"/>
  <c r="P13" i="3"/>
  <c r="R43" i="3" s="1"/>
  <c r="R5" i="3"/>
  <c r="J44" i="3" s="1"/>
  <c r="T5" i="3"/>
  <c r="J45" i="3" s="1"/>
  <c r="L5" i="3"/>
  <c r="J41" i="3" s="1"/>
  <c r="V5" i="3"/>
  <c r="N5" i="3"/>
  <c r="J42" i="3" s="1"/>
  <c r="H5" i="3"/>
  <c r="J39" i="3" s="1"/>
  <c r="X5" i="3"/>
  <c r="J5" i="3"/>
  <c r="J40" i="3" s="1"/>
  <c r="P5" i="3"/>
  <c r="J43" i="3" s="1"/>
  <c r="T4" i="3"/>
  <c r="I45" i="3" s="1"/>
  <c r="V4" i="3"/>
  <c r="H4" i="3"/>
  <c r="I39" i="3" s="1"/>
  <c r="X4" i="3"/>
  <c r="J4" i="3"/>
  <c r="I40" i="3" s="1"/>
  <c r="L4" i="3"/>
  <c r="I41" i="3" s="1"/>
  <c r="R4" i="3"/>
  <c r="I44" i="3" s="1"/>
  <c r="N4" i="3"/>
  <c r="I42" i="3" s="1"/>
  <c r="P4" i="3"/>
  <c r="I43" i="3" s="1"/>
  <c r="I15" i="1" a="1"/>
  <c r="I15" i="1" s="1"/>
  <c r="K15" i="1" a="1"/>
  <c r="K15" i="1" s="1"/>
  <c r="H16" i="1"/>
  <c r="G16" i="1"/>
  <c r="AD4" i="3"/>
  <c r="D4" i="3"/>
  <c r="E4" i="3" s="1"/>
  <c r="Z4" i="3"/>
  <c r="AB4" i="3"/>
  <c r="Z3" i="3"/>
  <c r="AB3" i="3"/>
  <c r="AD3" i="3"/>
  <c r="D3" i="3"/>
  <c r="E3" i="3" s="1"/>
  <c r="AD10" i="3"/>
  <c r="Z10" i="3"/>
  <c r="AB10" i="3"/>
  <c r="D10" i="3"/>
  <c r="E10" i="3" s="1"/>
  <c r="Z13" i="3"/>
  <c r="AB13" i="3"/>
  <c r="AD13" i="3"/>
  <c r="D13" i="3"/>
  <c r="E13" i="3" s="1"/>
  <c r="AD8" i="3"/>
  <c r="Z8" i="3"/>
  <c r="D8" i="3"/>
  <c r="E8" i="3" s="1"/>
  <c r="AB8" i="3"/>
  <c r="AD6" i="3"/>
  <c r="Z6" i="3"/>
  <c r="AB6" i="3"/>
  <c r="D6" i="3"/>
  <c r="E6" i="3" s="1"/>
  <c r="D12" i="3"/>
  <c r="E12" i="3" s="1"/>
  <c r="AB12" i="3"/>
  <c r="Z12" i="3"/>
  <c r="AD12" i="3"/>
  <c r="AB11" i="3"/>
  <c r="AD11" i="3"/>
  <c r="Z11" i="3"/>
  <c r="D11" i="3"/>
  <c r="E11" i="3" s="1"/>
  <c r="AB7" i="3"/>
  <c r="AD7" i="3"/>
  <c r="D7" i="3"/>
  <c r="E7" i="3" s="1"/>
  <c r="Z7" i="3"/>
  <c r="AB9" i="3"/>
  <c r="Z9" i="3"/>
  <c r="AD9" i="3"/>
  <c r="D9" i="3"/>
  <c r="E9" i="3" s="1"/>
  <c r="Z5" i="3"/>
  <c r="AD5" i="3"/>
  <c r="AB5" i="3"/>
  <c r="D5" i="3"/>
  <c r="E5" i="3" s="1"/>
  <c r="E16" i="1"/>
  <c r="D16" i="1"/>
  <c r="AB2" i="3"/>
  <c r="D2" i="3"/>
  <c r="E2" i="3" s="1"/>
  <c r="Z2" i="3"/>
  <c r="AD2" i="3"/>
  <c r="F14" i="3"/>
  <c r="H14" i="3" s="1"/>
  <c r="Q50" i="3" l="1"/>
  <c r="G49" i="3"/>
  <c r="H50" i="3"/>
  <c r="M47" i="3"/>
  <c r="K48" i="3"/>
  <c r="H48" i="3"/>
  <c r="O46" i="3"/>
  <c r="P46" i="3"/>
  <c r="R50" i="3"/>
  <c r="I49" i="3"/>
  <c r="P47" i="3"/>
  <c r="J49" i="3"/>
  <c r="J48" i="3"/>
  <c r="I50" i="3"/>
  <c r="N48" i="3"/>
  <c r="G46" i="3"/>
  <c r="L47" i="3"/>
  <c r="N49" i="3"/>
  <c r="R49" i="3"/>
  <c r="H46" i="3"/>
  <c r="R48" i="3"/>
  <c r="R46" i="3"/>
  <c r="N47" i="3"/>
  <c r="K47" i="3"/>
  <c r="Q47" i="3"/>
  <c r="Q48" i="3"/>
  <c r="Q49" i="3"/>
  <c r="K50" i="3"/>
  <c r="M49" i="3"/>
  <c r="G47" i="3"/>
  <c r="M48" i="3"/>
  <c r="M50" i="3"/>
  <c r="L46" i="3"/>
  <c r="O47" i="3"/>
  <c r="H47" i="3"/>
  <c r="N46" i="3"/>
  <c r="J47" i="3"/>
  <c r="J50" i="3"/>
  <c r="J46" i="3"/>
  <c r="N50" i="3"/>
  <c r="L48" i="3"/>
  <c r="L50" i="3"/>
  <c r="P48" i="3"/>
  <c r="O49" i="3"/>
  <c r="I47" i="3"/>
  <c r="K46" i="3"/>
  <c r="Q46" i="3"/>
  <c r="H49" i="3"/>
  <c r="K49" i="3"/>
  <c r="I48" i="3"/>
  <c r="R47" i="3"/>
  <c r="L49" i="3"/>
  <c r="P50" i="3"/>
  <c r="M46" i="3"/>
  <c r="G50" i="3"/>
  <c r="O48" i="3"/>
  <c r="G48" i="3"/>
  <c r="P49" i="3"/>
  <c r="O50" i="3"/>
  <c r="I46" i="3"/>
  <c r="K16" i="1"/>
  <c r="R16" i="1"/>
  <c r="S16" i="1"/>
  <c r="T16" i="1"/>
  <c r="U16" i="1"/>
  <c r="V16" i="1"/>
  <c r="H40" i="3"/>
  <c r="Q16" i="1"/>
  <c r="N16" i="1"/>
  <c r="P16" i="1"/>
  <c r="O16" i="1"/>
  <c r="I16" i="1"/>
  <c r="P14" i="3"/>
  <c r="S43" i="3" s="1"/>
  <c r="R14" i="3"/>
  <c r="S44" i="3" s="1"/>
  <c r="N14" i="3"/>
  <c r="S42" i="3" s="1"/>
  <c r="V14" i="3"/>
  <c r="AD14" i="3"/>
  <c r="Z14" i="3"/>
  <c r="S39" i="3"/>
  <c r="AB14" i="3"/>
  <c r="X14" i="3"/>
  <c r="D14" i="3"/>
  <c r="E14" i="3" s="1"/>
  <c r="T14" i="3"/>
  <c r="S45" i="3" s="1"/>
  <c r="J14" i="3"/>
  <c r="S40" i="3" s="1"/>
  <c r="L14" i="3"/>
  <c r="S41" i="3" s="1"/>
  <c r="S47" i="3" l="1"/>
  <c r="S48" i="3"/>
  <c r="S50" i="3"/>
  <c r="S46" i="3"/>
  <c r="S49" i="3"/>
  <c r="M15" i="1" a="1"/>
  <c r="M15" i="1" s="1"/>
  <c r="M16" i="1" s="1"/>
  <c r="W3" i="1" a="1"/>
  <c r="W3" i="1" s="1"/>
  <c r="W15" i="1" l="1" a="1"/>
  <c r="W15" i="1" s="1"/>
  <c r="W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tc={FBD70714-D0BB-4AA6-BE65-3EED5D437171}</author>
    <author>tc={BEEF2C17-5866-4F24-BA73-D4FBD2E5754A}</author>
    <author>tc={0A15DBED-F0B4-4A1F-B367-1AC56AF1364F}</author>
    <author>tc={CDA59AD5-66A8-4316-9310-A9E77F6B23A5}</author>
  </authors>
  <commentList>
    <comment ref="M2" authorId="0" shapeId="0" xr:uid="{FBD70714-D0BB-4AA6-BE65-3EED5D43717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remplir le nom des candidats</t>
      </text>
    </comment>
    <comment ref="B3" authorId="1" shapeId="0" xr:uid="{BEEF2C17-5866-4F24-BA73-D4FBD2E575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 des bureaux de vote</t>
      </text>
    </comment>
    <comment ref="C3" authorId="2" shapeId="0" xr:uid="{0A15DBED-F0B4-4A1F-B367-1AC56AF136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Modifier ici le nombre d’électeurs inscrits</t>
      </text>
    </comment>
    <comment ref="B17" authorId="3" shapeId="0" xr:uid="{CDA59AD5-66A8-4316-9310-A9E77F6B23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Initialisation : Mettre à jour la date et le type d'élection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tc={BFCB494A-5EEE-4582-8D8D-D7FC9A33F3A8}</author>
    <author>tc={949660B2-4E61-494B-8030-5A8D962E3720}</author>
  </authors>
  <commentList>
    <comment ref="C1" authorId="0" shapeId="0" xr:uid="{BFCB494A-5EEE-4582-8D8D-D7FC9A33F3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distribuées</t>
      </text>
    </comment>
    <comment ref="AA14" authorId="1" shapeId="0" xr:uid="{949660B2-4E61-494B-8030-5A8D962E37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Si la case est jaune c'est que la participation est inférieure à l'heure précédente, c'est impossible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tc={08F8DE15-E65E-405C-BD70-CD5CC9352982}</author>
    <author>tc={A15FBCB5-FD76-4826-BB4C-054DADBFA826}</author>
    <author>tc={AA638E6D-49D1-4043-9EFD-C0E3D803BB67}</author>
    <author>tc={ACF1A81E-2998-4EC0-8307-A9D926109C8A}</author>
    <author>tc={91428695-3F91-47F7-BE76-93129AF95A1B}</author>
    <author>tc={19B9FF00-A3AE-44DA-BA5F-9A4078FC5682}</author>
    <author>tc={BBD07137-23AC-4674-9BB3-E06EC3B50663}</author>
    <author>tc={5A7C730A-D4D7-4695-B11A-94FB42D672FC}</author>
    <author>tc={A08C5D88-3E60-4C52-92D0-CA1200B7F72C}</author>
    <author>tc={72041112-5565-4C53-82FA-FD1FA52941D9}</author>
  </authors>
  <commentList>
    <comment ref="R1" authorId="0" shapeId="0" xr:uid="{08F8DE15-E65E-405C-BD70-CD5CC93529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A15FBCB5-FD76-4826-BB4C-054DADBFA82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AA638E6D-49D1-4043-9EFD-C0E3D803BB6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ACF1A81E-2998-4EC0-8307-A9D926109C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91428695-3F91-47F7-BE76-93129AF95A1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19B9FF00-A3AE-44DA-BA5F-9A4078FC56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BBD07137-23AC-4674-9BB3-E06EC3B5066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5A7C730A-D4D7-4695-B11A-94FB42D672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A08C5D88-3E60-4C52-92D0-CA1200B7F72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72041112-5565-4C53-82FA-FD1FA52941D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tc={BD3C10F1-FEEF-4E9E-94C9-D4F9E0A553EB}</author>
    <author>tc={8635CE1D-3F46-42B6-AEEE-24746F82AF72}</author>
    <author>tc={2FCCA48F-2713-4355-98C8-DDE96C91DF85}</author>
    <author>tc={D1C968E7-4EBA-455E-9F8B-28FA89205B94}</author>
    <author>tc={46628604-0487-48E5-9F91-EB4DC295F616}</author>
    <author>tc={3C2CC6FF-8C99-4A54-98E3-A431EBC691A8}</author>
    <author>tc={93982A39-4621-44E5-8C69-626D3330A120}</author>
    <author>tc={E1A34A79-66F1-423A-99B8-E0FFB0DFE7CF}</author>
    <author>tc={7CCA1500-31AA-4CA5-A934-61260FF84EC0}</author>
    <author>tc={F45EA83B-F2A7-4B0E-A9DC-7FB934E46695}</author>
  </authors>
  <commentList>
    <comment ref="R1" authorId="0" shapeId="0" xr:uid="{BD3C10F1-FEEF-4E9E-94C9-D4F9E0A553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8635CE1D-3F46-42B6-AEEE-24746F82AF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2FCCA48F-2713-4355-98C8-DDE96C91DF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D1C968E7-4EBA-455E-9F8B-28FA89205B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46628604-0487-48E5-9F91-EB4DC295F61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3C2CC6FF-8C99-4A54-98E3-A431EBC691A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93982A39-4621-44E5-8C69-626D3330A1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E1A34A79-66F1-423A-99B8-E0FFB0DFE7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7CCA1500-31AA-4CA5-A934-61260FF84EC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F45EA83B-F2A7-4B0E-A9DC-7FB934E46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tc={7AD54A3B-22CA-4E9A-889A-627DDEEC5E53}</author>
    <author>tc={8A995183-6316-4381-B1A1-8E585EFCB3DE}</author>
    <author>tc={35E7004E-C69B-418C-9035-938839AA9976}</author>
    <author>tc={47C54FF9-C646-48E5-A952-F92B27140203}</author>
    <author>tc={9C9C78C1-627F-469F-9006-F6C6FCAD9C5B}</author>
    <author>tc={5797B93B-B76B-428F-8312-22EB2A6F92FC}</author>
    <author>tc={D0C2377A-D4CB-44B5-8CF4-E443DB74D845}</author>
    <author>tc={D0162388-1C2F-43E4-AA83-B4102BECAC3D}</author>
    <author>tc={D5466C37-AF04-4927-8EBB-3849EAF89ADF}</author>
    <author>tc={0AF63678-F677-4F06-B3AC-039E395B06C2}</author>
  </authors>
  <commentList>
    <comment ref="R1" authorId="0" shapeId="0" xr:uid="{7AD54A3B-22CA-4E9A-889A-627DDEEC5E5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8A995183-6316-4381-B1A1-8E585EFCB3D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35E7004E-C69B-418C-9035-938839AA99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47C54FF9-C646-48E5-A952-F92B2714020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9C9C78C1-627F-469F-9006-F6C6FCAD9C5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5797B93B-B76B-428F-8312-22EB2A6F92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0C2377A-D4CB-44B5-8CF4-E443DB74D8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D0162388-1C2F-43E4-AA83-B4102BECAC3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D5466C37-AF04-4927-8EBB-3849EAF89A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0AF63678-F677-4F06-B3AC-039E395B06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tc={E615461F-7302-4BE4-9F19-91A4F6A0ED28}</author>
    <author>tc={D3388C10-F43A-40B7-B7C8-E8BFD5237D89}</author>
    <author>tc={0690CD37-8B1D-421C-9475-E7E7B326DCC6}</author>
    <author>tc={FD6CC132-9222-468B-B63C-B7EE6B049878}</author>
    <author>tc={303EAE7E-FDB7-461F-83B1-5B4969C94944}</author>
    <author>tc={4EA14C0B-A63B-4085-998D-A0299D093092}</author>
    <author>tc={E5C1E30D-4199-4237-A803-A1F695E10A48}</author>
    <author>tc={4BB47237-113A-4C29-9D6F-0959E2135864}</author>
    <author>tc={B1544794-2AE6-4302-89D7-C5B8CEA6BAE6}</author>
    <author>tc={17F5F6DC-7DA6-4A81-AAF0-6D95C6E68F98}</author>
  </authors>
  <commentList>
    <comment ref="R1" authorId="0" shapeId="0" xr:uid="{E615461F-7302-4BE4-9F19-91A4F6A0ED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D3388C10-F43A-40B7-B7C8-E8BFD5237D8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0690CD37-8B1D-421C-9475-E7E7B326DCC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FD6CC132-9222-468B-B63C-B7EE6B04987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303EAE7E-FDB7-461F-83B1-5B4969C9494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4EA14C0B-A63B-4085-998D-A0299D09309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E5C1E30D-4199-4237-A803-A1F695E10A4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4BB47237-113A-4C29-9D6F-0959E21358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B1544794-2AE6-4302-89D7-C5B8CEA6BAE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17F5F6DC-7DA6-4A81-AAF0-6D95C6E68F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tc={D70E0B90-4CBA-450C-AACF-D80672EF7D2E}</author>
    <author>tc={B0180AE3-5653-4DF3-B474-A52F1E36DED5}</author>
    <author>tc={89CE8F25-C772-417F-982B-05AD4304EF2A}</author>
    <author>tc={1CF3E4C8-4A72-4788-9220-DB3AFCC1ED81}</author>
    <author>tc={82992547-7EFF-4A9F-9C3B-776C7CF8EDAE}</author>
    <author>tc={F7EA31A7-760B-4178-8274-25FF8453B68C}</author>
    <author>tc={2CBA34FE-9ECA-482C-8AFA-BC29CF19B086}</author>
    <author>tc={CF9D3773-959E-4664-B69A-CE9740494F65}</author>
    <author>tc={4066AD53-6E38-4259-8B20-59E71D6108C7}</author>
    <author>tc={4552CD4C-7350-47FC-BB02-E29928B861B3}</author>
  </authors>
  <commentList>
    <comment ref="R1" authorId="0" shapeId="0" xr:uid="{D70E0B90-4CBA-450C-AACF-D80672EF7D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B0180AE3-5653-4DF3-B474-A52F1E36DE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89CE8F25-C772-417F-982B-05AD4304EF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1CF3E4C8-4A72-4788-9220-DB3AFCC1ED8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82992547-7EFF-4A9F-9C3B-776C7CF8ED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F7EA31A7-760B-4178-8274-25FF8453B68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2CBA34FE-9ECA-482C-8AFA-BC29CF19B0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CF9D3773-959E-4664-B69A-CE9740494F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4066AD53-6E38-4259-8B20-59E71D6108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4552CD4C-7350-47FC-BB02-E29928B861B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tc={2C79BE45-AB64-4BDB-8084-6D650EDBB1CD}</author>
    <author>tc={B4C153CD-E333-4084-9B44-D015FC07A69B}</author>
    <author>tc={4A0C7E80-D53E-4FC9-B09E-E349BD1149B8}</author>
    <author>tc={45D6C95D-8552-4601-9DD9-EDCC61D80741}</author>
    <author>tc={41033879-06FC-4B62-BC19-64DEB3410EC2}</author>
    <author>tc={02BBF583-0CAB-4F11-ACAC-0016F19C348E}</author>
    <author>tc={83001E56-E83D-4F2B-BC60-EB86863BEC79}</author>
    <author>tc={1A0C8F16-F8DF-4636-8BCD-A24BB0B706BA}</author>
    <author>tc={A7124435-07B1-48DA-BC1E-02CE85BEFC1A}</author>
    <author>tc={2564271C-AB6F-4970-AEC1-45AACF56B93E}</author>
  </authors>
  <commentList>
    <comment ref="R1" authorId="0" shapeId="0" xr:uid="{2C79BE45-AB64-4BDB-8084-6D650EDBB1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B4C153CD-E333-4084-9B44-D015FC07A69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4A0C7E80-D53E-4FC9-B09E-E349BD1149B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45D6C95D-8552-4601-9DD9-EDCC61D807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41033879-06FC-4B62-BC19-64DEB3410E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02BBF583-0CAB-4F11-ACAC-0016F19C34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83001E56-E83D-4F2B-BC60-EB86863BEC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1A0C8F16-F8DF-4636-8BCD-A24BB0B706B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A7124435-07B1-48DA-BC1E-02CE85BEFC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2564271C-AB6F-4970-AEC1-45AACF56B9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tc={B070DE07-996A-44F6-A06A-700225FAE4BE}</author>
    <author>tc={6A61DB50-32DA-425F-9F12-4B5E35F0AB5D}</author>
    <author>tc={8CBB7B27-D384-40D0-ACD0-E348C21FBF7F}</author>
    <author>tc={8136726B-21F5-4EAF-A3CC-442F611D3928}</author>
    <author>tc={668BB6E2-853A-4E88-9242-6A3C756FEA17}</author>
    <author>tc={20E59DF4-6760-4DED-BE61-745CCEC65A95}</author>
    <author>tc={4F8C0500-492E-41F1-8200-8072196C2FBE}</author>
    <author>tc={19D8623C-601E-4B56-B79A-8FB85CE1C0BD}</author>
    <author>tc={F978975B-B773-4DEE-A5B1-B4062B43F11B}</author>
    <author>tc={3329260B-6262-4833-8C1E-9AFF2812FAF6}</author>
  </authors>
  <commentList>
    <comment ref="R1" authorId="0" shapeId="0" xr:uid="{B070DE07-996A-44F6-A06A-700225FAE4B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6A61DB50-32DA-425F-9F12-4B5E35F0AB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8CBB7B27-D384-40D0-ACD0-E348C21FBF7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8136726B-21F5-4EAF-A3CC-442F611D39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668BB6E2-853A-4E88-9242-6A3C756FE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20E59DF4-6760-4DED-BE61-745CCEC65A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4F8C0500-492E-41F1-8200-8072196C2FB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19D8623C-601E-4B56-B79A-8FB85CE1C0B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F978975B-B773-4DEE-A5B1-B4062B43F11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3329260B-6262-4833-8C1E-9AFF2812FAF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tc={0AB46C10-08C2-4A1C-9A04-14004F95B7F6}</author>
    <author>tc={87E63EF2-7DDE-4A07-88FF-1C28D839803C}</author>
    <author>tc={FDCA2852-B2FB-4267-AA65-AA486CF98905}</author>
    <author>tc={07F07DDC-A39F-4508-95F5-1272FCF2F4DD}</author>
    <author>tc={3B19D628-398B-47DB-91EF-208321BCBA8A}</author>
    <author>tc={81EB7215-B13C-495B-A9CA-2DB32F482C4F}</author>
    <author>tc={D00B2004-492E-4689-9E72-7B23519075CB}</author>
    <author>tc={DDA53682-8DA6-4E9C-B382-581B867F1695}</author>
    <author>tc={C5D6B1E1-3741-4771-98F8-B19CEDCE40B7}</author>
    <author>tc={57F4D56D-D357-4FD9-ADCC-CEC22C3AC464}</author>
  </authors>
  <commentList>
    <comment ref="R1" authorId="0" shapeId="0" xr:uid="{0AB46C10-08C2-4A1C-9A04-14004F95B7F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87E63EF2-7DDE-4A07-88FF-1C28D839803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FDCA2852-B2FB-4267-AA65-AA486CF989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07F07DDC-A39F-4508-95F5-1272FCF2F4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3B19D628-398B-47DB-91EF-208321BCBA8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81EB7215-B13C-495B-A9CA-2DB32F482C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00B2004-492E-4689-9E72-7B23519075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DDA53682-8DA6-4E9C-B382-581B867F16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C5D6B1E1-3741-4771-98F8-B19CEDCE40B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57F4D56D-D357-4FD9-ADCC-CEC22C3AC4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tc={35BDE9F3-6F64-4C48-800A-E8339E8B95E4}</author>
    <author>tc={9B29EFF9-EFA0-4C65-A7E9-7B083707AC3E}</author>
    <author>tc={5FD026EB-7201-4E99-B44F-56C5CBABAC56}</author>
    <author>tc={16D8686F-A357-4A73-A916-797C518C6856}</author>
    <author>tc={0A3CACAD-7953-4260-9466-0EB0873BBFC4}</author>
    <author>tc={55C00E30-7F58-4ACD-B9F0-E791B3632ACC}</author>
    <author>tc={D59D6A8A-126F-49D8-9B6D-B989EE99755F}</author>
    <author>tc={31497169-4B12-4303-AC6C-9453792086A3}</author>
    <author>tc={51A727B6-3DEF-45E5-80BD-7B673AB46EE9}</author>
    <author>tc={581A424D-0582-4083-B4FD-91719D917C1A}</author>
  </authors>
  <commentList>
    <comment ref="R1" authorId="0" shapeId="0" xr:uid="{35BDE9F3-6F64-4C48-800A-E8339E8B95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9B29EFF9-EFA0-4C65-A7E9-7B083707AC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5FD026EB-7201-4E99-B44F-56C5CBABAC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16D8686F-A357-4A73-A916-797C518C685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0A3CACAD-7953-4260-9466-0EB0873BBF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55C00E30-7F58-4ACD-B9F0-E791B3632A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D59D6A8A-126F-49D8-9B6D-B989EE99755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31497169-4B12-4303-AC6C-9453792086A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51A727B6-3DEF-45E5-80BD-7B673AB46E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581A424D-0582-4083-B4FD-91719D917C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tc={F30FA0A7-7DCA-4D5F-B180-6A7FD5510B52}</author>
    <author>tc={90F93E99-BE22-44E8-AB43-2919A5E428FE}</author>
    <author>tc={11344A51-8328-4F3B-8176-DFF4BC73AA1C}</author>
    <author>tc={9873FC69-4AD4-4943-B100-E02DDFA28283}</author>
    <author>tc={4AE57D78-518F-4A89-91EB-1669BA9A0A4F}</author>
    <author>tc={662685D4-5919-456D-B8A3-BE844C22B318}</author>
    <author>tc={487D21CD-A26C-446B-8296-49E0C52914E2}</author>
    <author>tc={4A3CB7FB-987E-49F6-9B6D-679D7859C796}</author>
    <author>tc={AE2C9932-072E-4E96-95FF-10EEC9454494}</author>
    <author>tc={B06AF67E-DFD7-43B7-AE22-6EFF93458B42}</author>
  </authors>
  <commentList>
    <comment ref="R1" authorId="0" shapeId="0" xr:uid="{F30FA0A7-7DCA-4D5F-B180-6A7FD5510B5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90F93E99-BE22-44E8-AB43-2919A5E428F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11344A51-8328-4F3B-8176-DFF4BC73AA1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9873FC69-4AD4-4943-B100-E02DDFA2828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4AE57D78-518F-4A89-91EB-1669BA9A0A4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662685D4-5919-456D-B8A3-BE844C22B31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487D21CD-A26C-446B-8296-49E0C52914E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4A3CB7FB-987E-49F6-9B6D-679D7859C7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AE2C9932-072E-4E96-95FF-10EEC94544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B06AF67E-DFD7-43B7-AE22-6EFF93458B4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tc={BCB11862-6CE3-41A0-A052-7E7A0C4CC179}</author>
    <author>tc={D3D148C5-32E4-4C15-8899-DB1560473B9D}</author>
    <author>tc={202DED35-5444-4C5A-ACC8-5A23C6E8E6B7}</author>
    <author>tc={3E3231E3-DCE9-4E4D-841A-B0455471D020}</author>
    <author>tc={66A11698-931D-4126-9FCD-0100E0060A95}</author>
    <author>tc={94DD9CF2-EBD9-4F1B-8E5E-312F979B8D39}</author>
    <author>tc={EB08EF8A-A21B-4B24-95A8-69C2F9D89745}</author>
    <author>tc={89BCB02E-17B9-4E32-9030-9052FCC4A8AC}</author>
    <author>tc={609847E6-66A0-4D43-A565-D9A188C0465A}</author>
    <author>tc={38BCB43E-462A-4050-B205-1B09510A3F6D}</author>
  </authors>
  <commentList>
    <comment ref="R1" authorId="0" shapeId="0" xr:uid="{BCB11862-6CE3-41A0-A052-7E7A0C4CC1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D3D148C5-32E4-4C15-8899-DB1560473B9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202DED35-5444-4C5A-ACC8-5A23C6E8E6B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3E3231E3-DCE9-4E4D-841A-B0455471D0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66A11698-931D-4126-9FCD-0100E0060A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94DD9CF2-EBD9-4F1B-8E5E-312F979B8D3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EB08EF8A-A21B-4B24-95A8-69C2F9D897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89BCB02E-17B9-4E32-9030-9052FCC4A8A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609847E6-66A0-4D43-A565-D9A188C0465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38BCB43E-462A-4050-B205-1B09510A3F6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tc={AD94CC77-44B9-4E61-ABDE-A0F1E6DDDF5F}</author>
    <author>tc={1FA4B77E-3E07-4DB0-BD74-5C6E9AB78A73}</author>
    <author>tc={000B6B49-4E57-4965-A222-A0718C438174}</author>
    <author>tc={829911AA-E091-4747-B4D3-6BD238A74499}</author>
    <author>tc={BBEFC68F-B66A-4C97-885D-9D62A323A97B}</author>
    <author>tc={F254C336-8EB7-465D-8030-304039994A35}</author>
    <author>tc={00F46DC7-1195-4ACD-8ECF-20C864B5AC8B}</author>
    <author>tc={FCE4E16E-633B-4A8C-A1B0-D6DD4E6672E9}</author>
    <author>tc={F7C56F2C-3CD5-4609-A172-36CE2417A113}</author>
    <author>tc={23949912-B3D6-4417-92A4-7648D7BC8D58}</author>
  </authors>
  <commentList>
    <comment ref="R1" authorId="0" shapeId="0" xr:uid="{AD94CC77-44B9-4E61-ABDE-A0F1E6DDDF5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1FA4B77E-3E07-4DB0-BD74-5C6E9AB78A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000B6B49-4E57-4965-A222-A0718C43817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829911AA-E091-4747-B4D3-6BD238A744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BBEFC68F-B66A-4C97-885D-9D62A323A9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F254C336-8EB7-465D-8030-304039994A3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00F46DC7-1195-4ACD-8ECF-20C864B5AC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FCE4E16E-633B-4A8C-A1B0-D6DD4E6672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F7C56F2C-3CD5-4609-A172-36CE2417A11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23949912-B3D6-4417-92A4-7648D7BC8D5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tc={EFF9262D-CA28-44F0-B9A6-0A4EC569B396}</author>
    <author>tc={9F837533-C898-4B86-B8AE-110D1A775807}</author>
    <author>tc={629418DD-6D1C-48C6-8B45-1729E7A85AC4}</author>
    <author>tc={E680D122-54B5-408B-A4B9-93EACD510E1B}</author>
    <author>tc={08F51856-0063-4D65-AD21-8CBBBADFDBF2}</author>
    <author>tc={BA48862D-F8E3-40FF-9257-0E3BBF3BFA0D}</author>
    <author>tc={001C54FC-14D0-4D49-B0F3-B1DAA28FF8C4}</author>
    <author>tc={28174E2D-BBFA-480D-92AF-642E25544D7A}</author>
    <author>tc={46CCCC98-9C04-4FC1-BFC7-13E220F94562}</author>
    <author>tc={F80C8BE8-18FD-42B0-B596-EB552FC12F8B}</author>
  </authors>
  <commentList>
    <comment ref="R1" authorId="0" shapeId="0" xr:uid="{EFF9262D-CA28-44F0-B9A6-0A4EC569B3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9F837533-C898-4B86-B8AE-110D1A7758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629418DD-6D1C-48C6-8B45-1729E7A85A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E680D122-54B5-408B-A4B9-93EACD510E1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08F51856-0063-4D65-AD21-8CBBBADFDB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BA48862D-F8E3-40FF-9257-0E3BBF3BFA0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001C54FC-14D0-4D49-B0F3-B1DAA28FF8C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28174E2D-BBFA-480D-92AF-642E25544D7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46CCCC98-9C04-4FC1-BFC7-13E220F945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F80C8BE8-18FD-42B0-B596-EB552FC12F8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tc={C0D30EE2-C73D-4085-8FE8-A5771E3CA978}</author>
    <author>tc={DEE91978-38F5-4613-8D7D-FD1279492CE9}</author>
    <author>tc={60E252F3-0DBD-4E31-8FB7-7F8DDE2250EB}</author>
    <author>tc={9F99B990-518B-4975-A643-50ED4826E60F}</author>
    <author>tc={1A677862-A720-426D-8C11-4D79E36161E1}</author>
    <author>tc={D76BDD1C-722B-40F5-9DB6-5EC15B223A74}</author>
    <author>tc={B4287D81-46FE-4007-973F-BFDB34F3B10F}</author>
    <author>tc={66B85660-CBFD-47E4-9697-5FC6AFF25934}</author>
    <author>tc={28622E92-E628-426F-9695-2CF153F835AA}</author>
    <author>tc={477A7A80-B14A-4DC3-AE60-CC19E2EF96A4}</author>
  </authors>
  <commentList>
    <comment ref="R1" authorId="0" shapeId="0" xr:uid="{C0D30EE2-C73D-4085-8FE8-A5771E3CA97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centaines d'enveloppes nécessaires pour ce bureau</t>
      </text>
    </comment>
    <comment ref="S1" authorId="1" shapeId="0" xr:uid="{DEE91978-38F5-4613-8D7D-FD1279492C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Index de la dernière centaine d'enveloppes</t>
      </text>
    </comment>
    <comment ref="R2" authorId="2" shapeId="0" xr:uid="{60E252F3-0DBD-4E31-8FB7-7F8DDE2250E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Modulo 100 de la dernière centaine d'enveloppes</t>
      </text>
    </comment>
    <comment ref="S2" authorId="3" shapeId="0" xr:uid="{9F99B990-518B-4975-A643-50ED4826E6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d’isoloirs</t>
      </text>
    </comment>
    <comment ref="W3" authorId="4" shapeId="0" xr:uid="{1A677862-A720-426D-8C11-4D79E36161E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l'ouverture du bureau il n'y a pas encore de vote</t>
      </text>
    </comment>
    <comment ref="A7" authorId="5" shapeId="0" xr:uid="{D76BDD1C-722B-40F5-9DB6-5EC15B223A7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d'enveloppes et de bulletins sans enveloppe trouvés dans l'urne</t>
      </text>
    </comment>
    <comment ref="B7" authorId="6" shapeId="0" xr:uid="{B4287D81-46FE-4007-973F-BFDB34F3B1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à la participation horaire de cloture</t>
      </text>
    </comment>
    <comment ref="A8" authorId="7" shapeId="0" xr:uid="{66B85660-CBFD-47E4-9697-5FC6AFF259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Nombre de signatures sur le registre</t>
      </text>
    </comment>
    <comment ref="B8" authorId="8" shapeId="0" xr:uid="{28622E92-E628-426F-9695-2CF153F835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normalement égal aux votants</t>
      </text>
    </comment>
    <comment ref="Q13" authorId="9" shapeId="0" xr:uid="{477A7A80-B14A-4DC3-AE60-CC19E2EF96A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Doit être égal au nombre de votants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<sst xmlns="http://schemas.openxmlformats.org/spreadsheetml/2006/main" count="1693" uniqueCount="103">
  <si>
    <t>Inscrits</t>
  </si>
  <si>
    <t>Emargements</t>
  </si>
  <si>
    <t>Votants</t>
  </si>
  <si>
    <t>Blancs</t>
  </si>
  <si>
    <t>Nuls</t>
  </si>
  <si>
    <t>Exprimés</t>
  </si>
  <si>
    <t>Participation</t>
  </si>
  <si>
    <t>Numéro</t>
  </si>
  <si>
    <t>Vérification</t>
  </si>
  <si>
    <t>Bureau</t>
  </si>
  <si>
    <t>Total exprimé</t>
  </si>
  <si>
    <t>TOTAL</t>
  </si>
  <si>
    <t>%</t>
  </si>
  <si>
    <t>Date</t>
  </si>
  <si>
    <t>Election</t>
  </si>
  <si>
    <t>Ville</t>
  </si>
  <si>
    <t>Cogolin</t>
  </si>
  <si>
    <t>Bureaux</t>
  </si>
  <si>
    <t>Total</t>
  </si>
  <si>
    <t>Abstention</t>
  </si>
  <si>
    <t xml:space="preserve">Les cases grisées sont </t>
  </si>
  <si>
    <t>calculées automatiquement</t>
  </si>
  <si>
    <t>Ne pas éditer</t>
  </si>
  <si>
    <t>Heure</t>
  </si>
  <si>
    <t>Municipales 1er tour</t>
  </si>
  <si>
    <t>Bureau n°</t>
  </si>
  <si>
    <t>Nom</t>
  </si>
  <si>
    <t>Total enveloppes</t>
  </si>
  <si>
    <t>Seules les cases bleu clair</t>
  </si>
  <si>
    <t>sont à remplir</t>
  </si>
  <si>
    <t>Gymnase B</t>
  </si>
  <si>
    <t>COSEC</t>
  </si>
  <si>
    <t>CMM</t>
  </si>
  <si>
    <t>Base nautique</t>
  </si>
  <si>
    <t>Votants %</t>
  </si>
  <si>
    <t>08h00</t>
  </si>
  <si>
    <t>09h00</t>
  </si>
  <si>
    <t>10h00</t>
  </si>
  <si>
    <t>11h00</t>
  </si>
  <si>
    <t>12h00</t>
  </si>
  <si>
    <t>13h00</t>
  </si>
  <si>
    <t>14h00</t>
  </si>
  <si>
    <t>15h00</t>
  </si>
  <si>
    <t>16h00</t>
  </si>
  <si>
    <t>17h00</t>
  </si>
  <si>
    <t>18h00</t>
  </si>
  <si>
    <t>19h00</t>
  </si>
  <si>
    <t>20h00</t>
  </si>
  <si>
    <t>8h-9h</t>
  </si>
  <si>
    <t>9h-10h</t>
  </si>
  <si>
    <t>10h-11h</t>
  </si>
  <si>
    <t>12h-13h</t>
  </si>
  <si>
    <t>13h-14h</t>
  </si>
  <si>
    <t>14h-15h</t>
  </si>
  <si>
    <t>15h-16h</t>
  </si>
  <si>
    <t>16h-17h</t>
  </si>
  <si>
    <t>17h-18h</t>
  </si>
  <si>
    <t>11h-12h</t>
  </si>
  <si>
    <t>18h-19h</t>
  </si>
  <si>
    <t>19h-20h</t>
  </si>
  <si>
    <t>Votants cumulés</t>
  </si>
  <si>
    <t>Votants sur la période</t>
  </si>
  <si>
    <t>Période horaire</t>
  </si>
  <si>
    <t>Seules les cases bleu clair sont à remplir</t>
  </si>
  <si>
    <t>Les cases grisées sont calculées automatiquement Ne pas éditer</t>
  </si>
  <si>
    <t>Tour actuel</t>
  </si>
  <si>
    <t>Tour précédent</t>
  </si>
  <si>
    <t>Table</t>
  </si>
  <si>
    <t>Valeurs du tour précédent</t>
  </si>
  <si>
    <t>Résultats relatifs par centaines dépouillées</t>
  </si>
  <si>
    <t>Hôtel de ville</t>
  </si>
  <si>
    <r>
      <t xml:space="preserve">Ce tableur </t>
    </r>
    <r>
      <rPr>
        <i/>
        <u/>
        <sz val="14"/>
        <color rgb="FF000000"/>
        <rFont val="Calibri"/>
        <family val="2"/>
      </rPr>
      <t>ne remplace pas</t>
    </r>
    <r>
      <rPr>
        <i/>
        <sz val="14"/>
        <color rgb="FF000000"/>
        <rFont val="Calibri"/>
        <family val="2"/>
      </rPr>
      <t xml:space="preserve"> les notes papier, il est un complément mais il ne fait pas foi.</t>
    </r>
  </si>
  <si>
    <t>Candidat 1</t>
  </si>
  <si>
    <t>Candidat 3</t>
  </si>
  <si>
    <t>Candidat 4</t>
  </si>
  <si>
    <t>Candidat 5</t>
  </si>
  <si>
    <t>Candidat 6</t>
  </si>
  <si>
    <t>Candidat 7</t>
  </si>
  <si>
    <t>Candidat 8</t>
  </si>
  <si>
    <t>Candidat 9</t>
  </si>
  <si>
    <t>Candidat 10</t>
  </si>
  <si>
    <t>Candidat 2 qui a un nom super long</t>
  </si>
  <si>
    <t>TABLE 1</t>
  </si>
  <si>
    <t>Résultats cumulatifs à chaque centaine dépouillée par la table</t>
  </si>
  <si>
    <t>TABLE 2</t>
  </si>
  <si>
    <t/>
  </si>
  <si>
    <t>N° Centaine</t>
  </si>
  <si>
    <t>Total enveloppes ouvertes</t>
  </si>
  <si>
    <t>Enveloppe  de centaine</t>
  </si>
  <si>
    <t>TABLE 3</t>
  </si>
  <si>
    <t>Bureau 1</t>
  </si>
  <si>
    <t>Bureau 2</t>
  </si>
  <si>
    <t>Bureau 3</t>
  </si>
  <si>
    <t>Bureau 4</t>
  </si>
  <si>
    <t>Bureau 5</t>
  </si>
  <si>
    <t>Bureau 6</t>
  </si>
  <si>
    <t>Bureau 7</t>
  </si>
  <si>
    <t>Bureau 8</t>
  </si>
  <si>
    <t>Bureau 9</t>
  </si>
  <si>
    <t>Bureau 10</t>
  </si>
  <si>
    <t>Bureau 11</t>
  </si>
  <si>
    <t>Bureau 12</t>
  </si>
  <si>
    <t>Exemple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</si>
</sst>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m\ yyyy"/>
    <numFmt numFmtId="165" formatCode="[$-F400]h:mm:ss\ AM/PM"/>
  </numFmts>
  <fonts count="59" x14ac:knownFonts="1">
    <font>
      <sz val="10"/>
      <color rgb="FF000000"/>
      <name val="Arial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rgb="FF666666"/>
      <name val="Calibri"/>
      <family val="2"/>
    </font>
    <font>
      <b/>
      <i/>
      <sz val="10"/>
      <color rgb="FF666666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i/>
      <sz val="10"/>
      <color rgb="FF666666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i/>
      <sz val="12"/>
      <color rgb="FF666666"/>
      <name val="Calibri"/>
      <family val="2"/>
    </font>
    <font>
      <b/>
      <sz val="10"/>
      <color theme="1"/>
      <name val="Calibri"/>
      <family val="2"/>
    </font>
    <font>
      <sz val="12"/>
      <color rgb="FF000000"/>
      <name val="Calibri"/>
      <family val="2"/>
    </font>
    <font>
      <b/>
      <sz val="10"/>
      <color theme="1"/>
      <name val="Calibri"/>
      <family val="2"/>
    </font>
    <font>
      <sz val="10"/>
      <color rgb="FF1F1F1F"/>
      <name val="Calibri"/>
      <family val="2"/>
    </font>
    <font>
      <sz val="10"/>
      <color theme="1"/>
      <name val="Arial"/>
      <family val="2"/>
    </font>
    <font>
      <b/>
      <sz val="10"/>
      <color rgb="FF999999"/>
      <name val="Calibri"/>
      <family val="2"/>
    </font>
    <font>
      <sz val="10"/>
      <color rgb="FF718C00"/>
      <name val="Calibri"/>
      <family val="2"/>
    </font>
    <font>
      <sz val="10"/>
      <color rgb="FF999999"/>
      <name val="Calibri"/>
      <family val="2"/>
    </font>
    <font>
      <sz val="12"/>
      <color rgb="FF999999"/>
      <name val="Calibri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999999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color rgb="FF000000"/>
      <name val="Arial"/>
      <family val="2"/>
      <scheme val="minor"/>
    </font>
    <font>
      <sz val="10"/>
      <color theme="0" tint="-0.34998626667073579"/>
      <name val="Calibri"/>
      <family val="2"/>
    </font>
    <font>
      <sz val="10"/>
      <color theme="0" tint="-0.34998626667073579"/>
      <name val="Arial"/>
      <family val="2"/>
      <scheme val="minor"/>
    </font>
    <font>
      <b/>
      <sz val="10"/>
      <color rgb="FF000000"/>
      <name val="Calibri"/>
      <family val="2"/>
    </font>
    <font>
      <i/>
      <sz val="14"/>
      <color theme="1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Calibri"/>
      <family val="2"/>
    </font>
    <font>
      <b/>
      <sz val="12"/>
      <color theme="1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</font>
    <font>
      <b/>
      <sz val="11"/>
      <color rgb="FF000000"/>
      <name val="Arial"/>
      <family val="2"/>
      <scheme val="minor"/>
    </font>
    <font>
      <sz val="10"/>
      <color theme="0"/>
      <name val="Calibri"/>
      <family val="2"/>
    </font>
    <font>
      <sz val="10"/>
      <color theme="1" tint="0.499984740745262"/>
      <name val="Calibri"/>
      <family val="2"/>
    </font>
    <font>
      <sz val="12"/>
      <color rgb="FF000000"/>
      <name val="Arial"/>
      <family val="2"/>
    </font>
    <font>
      <sz val="14"/>
      <color rgb="FF000000"/>
      <name val="Arial"/>
      <family val="2"/>
      <scheme val="minor"/>
    </font>
    <font>
      <b/>
      <sz val="18"/>
      <color theme="1"/>
      <name val="Calibri"/>
      <family val="2"/>
    </font>
    <font>
      <b/>
      <sz val="18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4"/>
      <color theme="4" tint="-0.249977111117893"/>
      <name val="Arial"/>
      <family val="2"/>
      <scheme val="minor"/>
    </font>
    <font>
      <sz val="12"/>
      <color theme="4" tint="-0.249977111117893"/>
      <name val="Arial"/>
      <family val="2"/>
      <scheme val="minor"/>
    </font>
    <font>
      <i/>
      <sz val="9"/>
      <color rgb="FF666666"/>
      <name val="Calibri"/>
      <family val="2"/>
    </font>
    <font>
      <i/>
      <sz val="14"/>
      <color rgb="FF000000"/>
      <name val="Calibri"/>
      <family val="2"/>
    </font>
    <font>
      <i/>
      <u/>
      <sz val="14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  <fill>
      <patternFill patternType="solid">
        <fgColor rgb="FFB6D7A8"/>
        <bgColor rgb="FFB6D7A8"/>
      </patternFill>
    </fill>
    <fill>
      <patternFill patternType="solid">
        <fgColor rgb="FFD5A6BD"/>
        <bgColor rgb="FFD5A6BD"/>
      </patternFill>
    </fill>
    <fill>
      <patternFill patternType="solid">
        <fgColor rgb="FFC9DAF8"/>
        <bgColor rgb="FFC9DAF8"/>
      </patternFill>
    </fill>
    <fill>
      <patternFill patternType="solid">
        <fgColor rgb="FFFCE5CD"/>
        <bgColor rgb="FFFCE5CD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4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14999847407452621"/>
        <bgColor rgb="FFEFEFE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D9D9"/>
      </patternFill>
    </fill>
    <fill>
      <patternFill patternType="solid">
        <fgColor theme="2" tint="-0.249977111117893"/>
        <bgColor rgb="FFEAD1DC"/>
      </patternFill>
    </fill>
    <fill>
      <patternFill patternType="solid">
        <fgColor theme="2" tint="-0.14999847407452621"/>
        <bgColor rgb="FFF9CB9C"/>
      </patternFill>
    </fill>
    <fill>
      <patternFill patternType="solid">
        <fgColor theme="7" tint="0.79998168889431442"/>
        <bgColor rgb="FFF9CB9C"/>
      </patternFill>
    </fill>
    <fill>
      <patternFill patternType="solid">
        <fgColor rgb="FFE1C1D1"/>
        <bgColor rgb="FFF9C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rgb="FFDAF1F3"/>
        <bgColor rgb="FFB7B7B7"/>
      </patternFill>
    </fill>
    <fill>
      <patternFill patternType="solid">
        <fgColor theme="0" tint="-0.14999847407452621"/>
        <bgColor rgb="FFB7B7B7"/>
      </patternFill>
    </fill>
    <fill>
      <patternFill patternType="solid">
        <fgColor rgb="FFE6EEEE"/>
        <bgColor rgb="FFB7B7B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249977111117893"/>
        <bgColor rgb="FFEFEFE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14999847407452621"/>
        <bgColor rgb="FFF9CB9C"/>
      </patternFill>
    </fill>
    <fill>
      <patternFill patternType="solid">
        <fgColor theme="0" tint="-0.14999847407452621"/>
        <bgColor rgb="FFB6D7A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EAD1DC"/>
      </patternFill>
    </fill>
    <fill>
      <patternFill patternType="solid">
        <fgColor theme="4"/>
        <bgColor rgb="FFB7B7B7"/>
      </patternFill>
    </fill>
    <fill>
      <patternFill patternType="solid">
        <fgColor theme="5"/>
        <bgColor rgb="FFB7B7B7"/>
      </patternFill>
    </fill>
    <fill>
      <patternFill patternType="solid">
        <fgColor theme="6"/>
        <bgColor rgb="FFB7B7B7"/>
      </patternFill>
    </fill>
    <fill>
      <patternFill patternType="solid">
        <fgColor theme="7"/>
        <bgColor rgb="FFB7B7B7"/>
      </patternFill>
    </fill>
    <fill>
      <patternFill patternType="solid">
        <fgColor theme="8"/>
        <bgColor rgb="FFB7B7B7"/>
      </patternFill>
    </fill>
    <fill>
      <patternFill patternType="solid">
        <fgColor theme="9"/>
        <bgColor rgb="FFB7B7B7"/>
      </patternFill>
    </fill>
    <fill>
      <patternFill patternType="solid">
        <fgColor theme="1"/>
        <bgColor rgb="FFB7B7B7"/>
      </patternFill>
    </fill>
    <fill>
      <patternFill patternType="solid">
        <fgColor theme="4" tint="0.39997558519241921"/>
        <bgColor rgb="FFB7B7B7"/>
      </patternFill>
    </fill>
    <fill>
      <patternFill patternType="solid">
        <fgColor theme="5" tint="0.39997558519241921"/>
        <bgColor rgb="FFB7B7B7"/>
      </patternFill>
    </fill>
    <fill>
      <patternFill patternType="solid">
        <fgColor theme="6" tint="0.39997558519241921"/>
        <bgColor rgb="FFB7B7B7"/>
      </patternFill>
    </fill>
    <fill>
      <patternFill patternType="solid">
        <fgColor theme="7" tint="0.39997558519241921"/>
        <bgColor rgb="FFB7B7B7"/>
      </patternFill>
    </fill>
    <fill>
      <patternFill patternType="solid">
        <fgColor theme="8" tint="0.39997558519241921"/>
        <bgColor rgb="FFB7B7B7"/>
      </patternFill>
    </fill>
    <fill>
      <patternFill patternType="solid">
        <fgColor theme="9" tint="0.39997558519241921"/>
        <bgColor rgb="FFB7B7B7"/>
      </patternFill>
    </fill>
    <fill>
      <patternFill patternType="solid">
        <fgColor theme="1" tint="0.249977111117893"/>
        <bgColor rgb="FFB7B7B7"/>
      </patternFill>
    </fill>
    <fill>
      <patternFill patternType="solid">
        <fgColor theme="9" tint="0.79998168889431442"/>
        <bgColor rgb="FFF4CCCC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rgb="FFB7B7B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1C1D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4CCCC"/>
      </patternFill>
    </fill>
  </fills>
  <borders count="18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 style="medium">
        <color rgb="FFCCCCCC"/>
      </top>
      <bottom style="medium">
        <color rgb="FFCCCCCC"/>
      </bottom>
      <diagonal/>
    </border>
    <border>
      <left style="medium">
        <color rgb="FFD9D9D9"/>
      </left>
      <right/>
      <top style="medium">
        <color rgb="FFCCCCCC"/>
      </top>
      <bottom style="medium">
        <color rgb="FFCCCCCC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 style="medium">
        <color rgb="FFD9D9D9"/>
      </left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EFEFEF"/>
      </left>
      <right/>
      <top style="thin">
        <color rgb="FFEFEFEF"/>
      </top>
      <bottom/>
      <diagonal/>
    </border>
    <border>
      <left/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rgb="FFEFEFEF"/>
      </left>
      <right/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thin">
        <color rgb="FFEFEFEF"/>
      </right>
      <top style="medium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9900FF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rgb="FF000000"/>
      </right>
      <top/>
      <bottom style="thin">
        <color rgb="FF000000"/>
      </bottom>
      <diagonal/>
    </border>
    <border>
      <left style="double">
        <color indexed="64"/>
      </left>
      <right style="double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thin">
        <color rgb="FF000000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double">
        <color indexed="64"/>
      </right>
      <top style="thin">
        <color rgb="FF000000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451">
    <xf numFmtId="0" fontId="0" fillId="0" borderId="0" xfId="0"/>
    <xf numFmtId="0" fontId="7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10" fontId="17" fillId="0" borderId="0" xfId="0" applyNumberFormat="1" applyFont="1"/>
    <xf numFmtId="0" fontId="7" fillId="0" borderId="0" xfId="0" applyFont="1" applyAlignment="1">
      <alignment horizontal="center"/>
    </xf>
    <xf numFmtId="0" fontId="18" fillId="0" borderId="0" xfId="0" applyFont="1"/>
    <xf numFmtId="10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22" fillId="5" borderId="39" xfId="0" applyFont="1" applyFill="1" applyBorder="1" applyAlignment="1">
      <alignment horizontal="right"/>
    </xf>
    <xf numFmtId="10" fontId="21" fillId="5" borderId="40" xfId="0" applyNumberFormat="1" applyFont="1" applyFill="1" applyBorder="1" applyAlignment="1">
      <alignment horizontal="center" vertical="center"/>
    </xf>
    <xf numFmtId="0" fontId="22" fillId="5" borderId="41" xfId="0" applyFont="1" applyFill="1" applyBorder="1" applyAlignment="1">
      <alignment horizontal="right"/>
    </xf>
    <xf numFmtId="0" fontId="23" fillId="2" borderId="18" xfId="0" applyFont="1" applyFill="1" applyBorder="1" applyAlignment="1">
      <alignment horizontal="right" vertical="center"/>
    </xf>
    <xf numFmtId="164" fontId="24" fillId="2" borderId="19" xfId="0" applyNumberFormat="1" applyFont="1" applyFill="1" applyBorder="1" applyAlignment="1">
      <alignment horizontal="right" vertical="center"/>
    </xf>
    <xf numFmtId="0" fontId="25" fillId="0" borderId="0" xfId="0" applyFont="1"/>
    <xf numFmtId="0" fontId="23" fillId="2" borderId="13" xfId="0" applyFont="1" applyFill="1" applyBorder="1" applyAlignment="1">
      <alignment horizontal="right" vertical="center"/>
    </xf>
    <xf numFmtId="0" fontId="24" fillId="2" borderId="22" xfId="0" applyFont="1" applyFill="1" applyBorder="1" applyAlignment="1">
      <alignment horizontal="right" vertical="center" wrapText="1"/>
    </xf>
    <xf numFmtId="0" fontId="23" fillId="2" borderId="20" xfId="0" applyFont="1" applyFill="1" applyBorder="1" applyAlignment="1">
      <alignment horizontal="right" vertical="center"/>
    </xf>
    <xf numFmtId="0" fontId="24" fillId="2" borderId="21" xfId="0" applyFont="1" applyFill="1" applyBorder="1" applyAlignment="1">
      <alignment horizontal="right" vertical="center"/>
    </xf>
    <xf numFmtId="0" fontId="11" fillId="5" borderId="0" xfId="0" applyFont="1" applyFill="1"/>
    <xf numFmtId="0" fontId="17" fillId="5" borderId="0" xfId="0" applyFont="1" applyFill="1"/>
    <xf numFmtId="3" fontId="29" fillId="12" borderId="44" xfId="0" applyNumberFormat="1" applyFont="1" applyFill="1" applyBorder="1" applyAlignment="1">
      <alignment horizontal="center" vertical="center" wrapText="1"/>
    </xf>
    <xf numFmtId="3" fontId="29" fillId="12" borderId="45" xfId="0" applyNumberFormat="1" applyFont="1" applyFill="1" applyBorder="1" applyAlignment="1">
      <alignment horizontal="center" vertical="center" wrapText="1"/>
    </xf>
    <xf numFmtId="10" fontId="3" fillId="11" borderId="47" xfId="0" applyNumberFormat="1" applyFont="1" applyFill="1" applyBorder="1" applyAlignment="1">
      <alignment horizontal="center" vertical="center"/>
    </xf>
    <xf numFmtId="10" fontId="3" fillId="11" borderId="26" xfId="0" applyNumberFormat="1" applyFont="1" applyFill="1" applyBorder="1" applyAlignment="1">
      <alignment horizontal="center" vertical="center"/>
    </xf>
    <xf numFmtId="10" fontId="3" fillId="11" borderId="48" xfId="0" applyNumberFormat="1" applyFont="1" applyFill="1" applyBorder="1" applyAlignment="1">
      <alignment horizontal="center" vertical="center"/>
    </xf>
    <xf numFmtId="9" fontId="20" fillId="2" borderId="44" xfId="1" applyFont="1" applyFill="1" applyBorder="1"/>
    <xf numFmtId="9" fontId="20" fillId="2" borderId="45" xfId="1" applyFont="1" applyFill="1" applyBorder="1"/>
    <xf numFmtId="3" fontId="29" fillId="12" borderId="50" xfId="0" applyNumberFormat="1" applyFont="1" applyFill="1" applyBorder="1" applyAlignment="1">
      <alignment horizontal="center" vertical="center" wrapText="1"/>
    </xf>
    <xf numFmtId="3" fontId="10" fillId="3" borderId="51" xfId="0" applyNumberFormat="1" applyFont="1" applyFill="1" applyBorder="1" applyAlignment="1">
      <alignment horizontal="right"/>
    </xf>
    <xf numFmtId="10" fontId="10" fillId="9" borderId="52" xfId="0" applyNumberFormat="1" applyFont="1" applyFill="1" applyBorder="1" applyAlignment="1">
      <alignment horizontal="right"/>
    </xf>
    <xf numFmtId="9" fontId="7" fillId="0" borderId="0" xfId="0" applyNumberFormat="1" applyFont="1"/>
    <xf numFmtId="0" fontId="26" fillId="0" borderId="0" xfId="0" applyFont="1"/>
    <xf numFmtId="0" fontId="7" fillId="14" borderId="55" xfId="0" applyFont="1" applyFill="1" applyBorder="1"/>
    <xf numFmtId="0" fontId="7" fillId="14" borderId="57" xfId="0" applyFont="1" applyFill="1" applyBorder="1"/>
    <xf numFmtId="164" fontId="31" fillId="14" borderId="56" xfId="0" applyNumberFormat="1" applyFont="1" applyFill="1" applyBorder="1" applyAlignment="1">
      <alignment horizontal="center" vertical="center"/>
    </xf>
    <xf numFmtId="0" fontId="31" fillId="14" borderId="58" xfId="0" applyFont="1" applyFill="1" applyBorder="1" applyAlignment="1">
      <alignment horizontal="center" vertical="center"/>
    </xf>
    <xf numFmtId="3" fontId="6" fillId="12" borderId="10" xfId="0" applyNumberFormat="1" applyFont="1" applyFill="1" applyBorder="1" applyAlignment="1">
      <alignment horizontal="center"/>
    </xf>
    <xf numFmtId="0" fontId="3" fillId="16" borderId="10" xfId="0" applyFont="1" applyFill="1" applyBorder="1" applyAlignment="1">
      <alignment horizontal="center"/>
    </xf>
    <xf numFmtId="0" fontId="31" fillId="17" borderId="0" xfId="0" applyFont="1" applyFill="1"/>
    <xf numFmtId="0" fontId="7" fillId="17" borderId="0" xfId="0" applyFont="1" applyFill="1" applyAlignment="1">
      <alignment horizontal="right"/>
    </xf>
    <xf numFmtId="0" fontId="11" fillId="15" borderId="0" xfId="0" applyFont="1" applyFill="1"/>
    <xf numFmtId="0" fontId="7" fillId="16" borderId="0" xfId="0" applyFont="1" applyFill="1" applyAlignment="1">
      <alignment horizontal="right"/>
    </xf>
    <xf numFmtId="0" fontId="17" fillId="15" borderId="0" xfId="0" applyFont="1" applyFill="1"/>
    <xf numFmtId="0" fontId="3" fillId="19" borderId="11" xfId="0" applyFont="1" applyFill="1" applyBorder="1" applyAlignment="1">
      <alignment horizontal="center"/>
    </xf>
    <xf numFmtId="0" fontId="3" fillId="19" borderId="9" xfId="0" applyFont="1" applyFill="1" applyBorder="1" applyAlignment="1">
      <alignment horizontal="center"/>
    </xf>
    <xf numFmtId="0" fontId="3" fillId="19" borderId="7" xfId="0" applyFont="1" applyFill="1" applyBorder="1" applyAlignment="1">
      <alignment horizontal="center"/>
    </xf>
    <xf numFmtId="3" fontId="6" fillId="12" borderId="55" xfId="0" applyNumberFormat="1" applyFont="1" applyFill="1" applyBorder="1" applyAlignment="1">
      <alignment horizontal="center"/>
    </xf>
    <xf numFmtId="3" fontId="10" fillId="20" borderId="55" xfId="0" applyNumberFormat="1" applyFont="1" applyFill="1" applyBorder="1" applyAlignment="1">
      <alignment horizontal="right"/>
    </xf>
    <xf numFmtId="3" fontId="10" fillId="20" borderId="66" xfId="0" applyNumberFormat="1" applyFont="1" applyFill="1" applyBorder="1" applyAlignment="1">
      <alignment horizontal="right"/>
    </xf>
    <xf numFmtId="10" fontId="10" fillId="15" borderId="59" xfId="0" applyNumberFormat="1" applyFont="1" applyFill="1" applyBorder="1"/>
    <xf numFmtId="10" fontId="10" fillId="15" borderId="67" xfId="0" applyNumberFormat="1" applyFont="1" applyFill="1" applyBorder="1"/>
    <xf numFmtId="10" fontId="10" fillId="15" borderId="60" xfId="0" applyNumberFormat="1" applyFont="1" applyFill="1" applyBorder="1"/>
    <xf numFmtId="10" fontId="10" fillId="8" borderId="69" xfId="0" applyNumberFormat="1" applyFont="1" applyFill="1" applyBorder="1"/>
    <xf numFmtId="10" fontId="10" fillId="15" borderId="69" xfId="0" applyNumberFormat="1" applyFont="1" applyFill="1" applyBorder="1"/>
    <xf numFmtId="0" fontId="8" fillId="4" borderId="16" xfId="0" applyFont="1" applyFill="1" applyBorder="1" applyAlignment="1">
      <alignment horizontal="center" vertical="center"/>
    </xf>
    <xf numFmtId="0" fontId="9" fillId="2" borderId="79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 vertical="center"/>
    </xf>
    <xf numFmtId="0" fontId="3" fillId="2" borderId="45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3" fontId="10" fillId="20" borderId="76" xfId="0" applyNumberFormat="1" applyFont="1" applyFill="1" applyBorder="1" applyAlignment="1">
      <alignment horizontal="right"/>
    </xf>
    <xf numFmtId="3" fontId="6" fillId="12" borderId="57" xfId="0" applyNumberFormat="1" applyFont="1" applyFill="1" applyBorder="1" applyAlignment="1">
      <alignment horizontal="center"/>
    </xf>
    <xf numFmtId="3" fontId="6" fillId="12" borderId="59" xfId="0" applyNumberFormat="1" applyFont="1" applyFill="1" applyBorder="1" applyAlignment="1">
      <alignment horizontal="center"/>
    </xf>
    <xf numFmtId="10" fontId="35" fillId="5" borderId="101" xfId="0" applyNumberFormat="1" applyFont="1" applyFill="1" applyBorder="1"/>
    <xf numFmtId="10" fontId="35" fillId="5" borderId="102" xfId="0" applyNumberFormat="1" applyFont="1" applyFill="1" applyBorder="1"/>
    <xf numFmtId="0" fontId="3" fillId="16" borderId="9" xfId="0" applyFont="1" applyFill="1" applyBorder="1" applyAlignment="1">
      <alignment horizontal="center"/>
    </xf>
    <xf numFmtId="0" fontId="13" fillId="4" borderId="105" xfId="0" applyFont="1" applyFill="1" applyBorder="1" applyAlignment="1">
      <alignment horizontal="right"/>
    </xf>
    <xf numFmtId="10" fontId="10" fillId="15" borderId="106" xfId="0" applyNumberFormat="1" applyFont="1" applyFill="1" applyBorder="1"/>
    <xf numFmtId="10" fontId="0" fillId="12" borderId="58" xfId="1" applyNumberFormat="1" applyFont="1" applyFill="1" applyBorder="1" applyAlignment="1"/>
    <xf numFmtId="10" fontId="0" fillId="12" borderId="60" xfId="1" applyNumberFormat="1" applyFont="1" applyFill="1" applyBorder="1" applyAlignment="1"/>
    <xf numFmtId="0" fontId="31" fillId="26" borderId="43" xfId="0" applyFont="1" applyFill="1" applyBorder="1" applyAlignment="1">
      <alignment horizontal="center"/>
    </xf>
    <xf numFmtId="10" fontId="38" fillId="12" borderId="116" xfId="1" applyNumberFormat="1" applyFont="1" applyFill="1" applyBorder="1" applyAlignment="1"/>
    <xf numFmtId="10" fontId="0" fillId="12" borderId="56" xfId="1" applyNumberFormat="1" applyFont="1" applyFill="1" applyBorder="1" applyAlignment="1"/>
    <xf numFmtId="10" fontId="3" fillId="11" borderId="19" xfId="0" applyNumberFormat="1" applyFont="1" applyFill="1" applyBorder="1" applyAlignment="1">
      <alignment horizontal="center" vertical="center"/>
    </xf>
    <xf numFmtId="10" fontId="3" fillId="11" borderId="23" xfId="0" applyNumberFormat="1" applyFont="1" applyFill="1" applyBorder="1" applyAlignment="1">
      <alignment horizontal="center" vertical="center"/>
    </xf>
    <xf numFmtId="10" fontId="3" fillId="11" borderId="22" xfId="0" applyNumberFormat="1" applyFont="1" applyFill="1" applyBorder="1" applyAlignment="1">
      <alignment horizontal="center" vertical="center"/>
    </xf>
    <xf numFmtId="10" fontId="3" fillId="11" borderId="12" xfId="0" applyNumberFormat="1" applyFont="1" applyFill="1" applyBorder="1" applyAlignment="1">
      <alignment horizontal="center" vertical="center"/>
    </xf>
    <xf numFmtId="10" fontId="3" fillId="11" borderId="37" xfId="0" applyNumberFormat="1" applyFont="1" applyFill="1" applyBorder="1" applyAlignment="1">
      <alignment horizontal="center" vertical="center"/>
    </xf>
    <xf numFmtId="10" fontId="3" fillId="11" borderId="27" xfId="0" applyNumberFormat="1" applyFont="1" applyFill="1" applyBorder="1" applyAlignment="1">
      <alignment horizontal="center" vertical="center"/>
    </xf>
    <xf numFmtId="10" fontId="21" fillId="29" borderId="34" xfId="0" applyNumberFormat="1" applyFont="1" applyFill="1" applyBorder="1" applyAlignment="1">
      <alignment horizontal="center" vertical="center"/>
    </xf>
    <xf numFmtId="10" fontId="21" fillId="29" borderId="36" xfId="0" applyNumberFormat="1" applyFont="1" applyFill="1" applyBorder="1" applyAlignment="1">
      <alignment horizontal="center" vertical="center"/>
    </xf>
    <xf numFmtId="10" fontId="21" fillId="29" borderId="38" xfId="0" applyNumberFormat="1" applyFont="1" applyFill="1" applyBorder="1" applyAlignment="1">
      <alignment horizontal="center" vertical="center"/>
    </xf>
    <xf numFmtId="0" fontId="1" fillId="31" borderId="117" xfId="0" applyFont="1" applyFill="1" applyBorder="1" applyAlignment="1">
      <alignment horizontal="center" vertical="center"/>
    </xf>
    <xf numFmtId="9" fontId="20" fillId="2" borderId="92" xfId="1" applyFont="1" applyFill="1" applyBorder="1"/>
    <xf numFmtId="3" fontId="6" fillId="13" borderId="118" xfId="0" applyNumberFormat="1" applyFont="1" applyFill="1" applyBorder="1" applyAlignment="1">
      <alignment horizontal="center"/>
    </xf>
    <xf numFmtId="3" fontId="6" fillId="13" borderId="88" xfId="0" applyNumberFormat="1" applyFont="1" applyFill="1" applyBorder="1" applyAlignment="1">
      <alignment horizontal="center"/>
    </xf>
    <xf numFmtId="9" fontId="20" fillId="2" borderId="46" xfId="1" applyFont="1" applyFill="1" applyBorder="1"/>
    <xf numFmtId="3" fontId="6" fillId="13" borderId="92" xfId="0" applyNumberFormat="1" applyFont="1" applyFill="1" applyBorder="1" applyAlignment="1">
      <alignment horizontal="center"/>
    </xf>
    <xf numFmtId="10" fontId="3" fillId="11" borderId="118" xfId="0" applyNumberFormat="1" applyFont="1" applyFill="1" applyBorder="1" applyAlignment="1">
      <alignment horizontal="center" vertical="center"/>
    </xf>
    <xf numFmtId="10" fontId="3" fillId="11" borderId="119" xfId="0" applyNumberFormat="1" applyFont="1" applyFill="1" applyBorder="1" applyAlignment="1">
      <alignment horizontal="center" vertical="center"/>
    </xf>
    <xf numFmtId="3" fontId="10" fillId="10" borderId="6" xfId="0" applyNumberFormat="1" applyFont="1" applyFill="1" applyBorder="1" applyAlignment="1">
      <alignment horizontal="right"/>
    </xf>
    <xf numFmtId="10" fontId="3" fillId="11" borderId="120" xfId="0" applyNumberFormat="1" applyFont="1" applyFill="1" applyBorder="1" applyAlignment="1">
      <alignment horizontal="center" vertical="center"/>
    </xf>
    <xf numFmtId="10" fontId="3" fillId="11" borderId="121" xfId="0" applyNumberFormat="1" applyFont="1" applyFill="1" applyBorder="1" applyAlignment="1">
      <alignment horizontal="center" vertical="center"/>
    </xf>
    <xf numFmtId="3" fontId="15" fillId="30" borderId="51" xfId="0" applyNumberFormat="1" applyFont="1" applyFill="1" applyBorder="1" applyAlignment="1">
      <alignment horizontal="right"/>
    </xf>
    <xf numFmtId="10" fontId="3" fillId="30" borderId="52" xfId="0" applyNumberFormat="1" applyFont="1" applyFill="1" applyBorder="1" applyAlignment="1">
      <alignment horizontal="center" vertical="center"/>
    </xf>
    <xf numFmtId="3" fontId="15" fillId="30" borderId="122" xfId="0" applyNumberFormat="1" applyFont="1" applyFill="1" applyBorder="1" applyAlignment="1">
      <alignment horizontal="right"/>
    </xf>
    <xf numFmtId="10" fontId="3" fillId="30" borderId="123" xfId="0" applyNumberFormat="1" applyFont="1" applyFill="1" applyBorder="1" applyAlignment="1">
      <alignment horizontal="center" vertical="center"/>
    </xf>
    <xf numFmtId="0" fontId="15" fillId="30" borderId="122" xfId="0" applyFont="1" applyFill="1" applyBorder="1" applyAlignment="1">
      <alignment horizontal="right"/>
    </xf>
    <xf numFmtId="10" fontId="3" fillId="30" borderId="124" xfId="0" applyNumberFormat="1" applyFont="1" applyFill="1" applyBorder="1" applyAlignment="1">
      <alignment horizontal="center" vertical="center"/>
    </xf>
    <xf numFmtId="10" fontId="3" fillId="30" borderId="125" xfId="0" applyNumberFormat="1" applyFont="1" applyFill="1" applyBorder="1" applyAlignment="1">
      <alignment horizontal="center" vertical="center"/>
    </xf>
    <xf numFmtId="0" fontId="31" fillId="0" borderId="0" xfId="0" applyFont="1"/>
    <xf numFmtId="10" fontId="0" fillId="12" borderId="127" xfId="1" applyNumberFormat="1" applyFont="1" applyFill="1" applyBorder="1" applyAlignment="1"/>
    <xf numFmtId="0" fontId="7" fillId="26" borderId="43" xfId="0" applyFont="1" applyFill="1" applyBorder="1" applyAlignment="1">
      <alignment horizontal="center"/>
    </xf>
    <xf numFmtId="0" fontId="36" fillId="12" borderId="53" xfId="0" applyFont="1" applyFill="1" applyBorder="1" applyAlignment="1">
      <alignment horizontal="center"/>
    </xf>
    <xf numFmtId="0" fontId="7" fillId="26" borderId="55" xfId="0" applyFont="1" applyFill="1" applyBorder="1"/>
    <xf numFmtId="3" fontId="10" fillId="32" borderId="77" xfId="0" applyNumberFormat="1" applyFont="1" applyFill="1" applyBorder="1" applyAlignment="1">
      <alignment horizontal="right"/>
    </xf>
    <xf numFmtId="10" fontId="10" fillId="33" borderId="69" xfId="0" applyNumberFormat="1" applyFont="1" applyFill="1" applyBorder="1"/>
    <xf numFmtId="165" fontId="7" fillId="26" borderId="44" xfId="0" applyNumberFormat="1" applyFont="1" applyFill="1" applyBorder="1" applyAlignment="1">
      <alignment horizontal="right"/>
    </xf>
    <xf numFmtId="165" fontId="7" fillId="26" borderId="126" xfId="0" applyNumberFormat="1" applyFont="1" applyFill="1" applyBorder="1" applyAlignment="1">
      <alignment horizontal="right"/>
    </xf>
    <xf numFmtId="165" fontId="7" fillId="26" borderId="45" xfId="0" applyNumberFormat="1" applyFont="1" applyFill="1" applyBorder="1" applyAlignment="1">
      <alignment horizontal="right"/>
    </xf>
    <xf numFmtId="165" fontId="7" fillId="26" borderId="46" xfId="0" applyNumberFormat="1" applyFont="1" applyFill="1" applyBorder="1" applyAlignment="1">
      <alignment horizontal="right"/>
    </xf>
    <xf numFmtId="165" fontId="37" fillId="26" borderId="114" xfId="0" applyNumberFormat="1" applyFont="1" applyFill="1" applyBorder="1" applyAlignment="1">
      <alignment horizontal="right"/>
    </xf>
    <xf numFmtId="165" fontId="37" fillId="26" borderId="113" xfId="0" applyNumberFormat="1" applyFont="1" applyFill="1" applyBorder="1" applyAlignment="1">
      <alignment horizontal="right"/>
    </xf>
    <xf numFmtId="0" fontId="0" fillId="12" borderId="44" xfId="0" applyFill="1" applyBorder="1"/>
    <xf numFmtId="0" fontId="0" fillId="12" borderId="45" xfId="0" applyFill="1" applyBorder="1"/>
    <xf numFmtId="0" fontId="0" fillId="12" borderId="46" xfId="0" applyFill="1" applyBorder="1"/>
    <xf numFmtId="0" fontId="38" fillId="12" borderId="130" xfId="0" applyFont="1" applyFill="1" applyBorder="1"/>
    <xf numFmtId="165" fontId="0" fillId="12" borderId="81" xfId="0" applyNumberFormat="1" applyFill="1" applyBorder="1" applyAlignment="1">
      <alignment horizontal="right"/>
    </xf>
    <xf numFmtId="165" fontId="0" fillId="12" borderId="61" xfId="0" applyNumberFormat="1" applyFill="1" applyBorder="1" applyAlignment="1">
      <alignment horizontal="right"/>
    </xf>
    <xf numFmtId="165" fontId="0" fillId="12" borderId="62" xfId="0" applyNumberFormat="1" applyFill="1" applyBorder="1" applyAlignment="1">
      <alignment horizontal="right"/>
    </xf>
    <xf numFmtId="165" fontId="38" fillId="12" borderId="129" xfId="0" applyNumberFormat="1" applyFont="1" applyFill="1" applyBorder="1" applyAlignment="1">
      <alignment horizontal="right"/>
    </xf>
    <xf numFmtId="165" fontId="38" fillId="12" borderId="128" xfId="0" applyNumberFormat="1" applyFont="1" applyFill="1" applyBorder="1" applyAlignment="1">
      <alignment horizontal="right"/>
    </xf>
    <xf numFmtId="10" fontId="9" fillId="2" borderId="78" xfId="0" applyNumberFormat="1" applyFont="1" applyFill="1" applyBorder="1" applyAlignment="1">
      <alignment horizontal="center"/>
    </xf>
    <xf numFmtId="0" fontId="5" fillId="2" borderId="131" xfId="0" applyFont="1" applyFill="1" applyBorder="1" applyAlignment="1">
      <alignment horizontal="center" vertical="center"/>
    </xf>
    <xf numFmtId="0" fontId="8" fillId="4" borderId="105" xfId="0" applyFont="1" applyFill="1" applyBorder="1" applyAlignment="1">
      <alignment horizontal="center"/>
    </xf>
    <xf numFmtId="0" fontId="8" fillId="4" borderId="132" xfId="0" applyFont="1" applyFill="1" applyBorder="1" applyAlignment="1">
      <alignment horizontal="center"/>
    </xf>
    <xf numFmtId="0" fontId="8" fillId="4" borderId="106" xfId="0" applyFont="1" applyFill="1" applyBorder="1" applyAlignment="1">
      <alignment horizontal="center"/>
    </xf>
    <xf numFmtId="0" fontId="12" fillId="5" borderId="88" xfId="0" applyFont="1" applyFill="1" applyBorder="1" applyAlignment="1">
      <alignment horizontal="right"/>
    </xf>
    <xf numFmtId="10" fontId="35" fillId="5" borderId="92" xfId="0" applyNumberFormat="1" applyFont="1" applyFill="1" applyBorder="1"/>
    <xf numFmtId="0" fontId="3" fillId="16" borderId="42" xfId="0" applyFont="1" applyFill="1" applyBorder="1" applyAlignment="1">
      <alignment horizontal="center"/>
    </xf>
    <xf numFmtId="0" fontId="3" fillId="16" borderId="134" xfId="0" applyFont="1" applyFill="1" applyBorder="1" applyAlignment="1">
      <alignment horizontal="center"/>
    </xf>
    <xf numFmtId="0" fontId="4" fillId="2" borderId="118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0" fontId="3" fillId="16" borderId="0" xfId="0" applyFont="1" applyFill="1" applyAlignment="1">
      <alignment horizontal="center"/>
    </xf>
    <xf numFmtId="0" fontId="34" fillId="5" borderId="97" xfId="0" applyFont="1" applyFill="1" applyBorder="1" applyAlignment="1">
      <alignment horizontal="right"/>
    </xf>
    <xf numFmtId="0" fontId="34" fillId="5" borderId="137" xfId="0" applyFont="1" applyFill="1" applyBorder="1" applyAlignment="1">
      <alignment horizontal="right"/>
    </xf>
    <xf numFmtId="0" fontId="34" fillId="5" borderId="66" xfId="0" applyFont="1" applyFill="1" applyBorder="1" applyAlignment="1">
      <alignment horizontal="right"/>
    </xf>
    <xf numFmtId="0" fontId="34" fillId="5" borderId="56" xfId="0" applyFont="1" applyFill="1" applyBorder="1" applyAlignment="1">
      <alignment horizontal="right"/>
    </xf>
    <xf numFmtId="10" fontId="10" fillId="7" borderId="59" xfId="0" applyNumberFormat="1" applyFont="1" applyFill="1" applyBorder="1"/>
    <xf numFmtId="10" fontId="35" fillId="5" borderId="67" xfId="0" applyNumberFormat="1" applyFont="1" applyFill="1" applyBorder="1"/>
    <xf numFmtId="10" fontId="35" fillId="5" borderId="60" xfId="0" applyNumberFormat="1" applyFont="1" applyFill="1" applyBorder="1"/>
    <xf numFmtId="3" fontId="3" fillId="15" borderId="9" xfId="0" applyNumberFormat="1" applyFont="1" applyFill="1" applyBorder="1" applyAlignment="1">
      <alignment horizontal="center" vertical="center"/>
    </xf>
    <xf numFmtId="3" fontId="3" fillId="15" borderId="0" xfId="0" applyNumberFormat="1" applyFont="1" applyFill="1" applyAlignment="1">
      <alignment horizontal="center" vertical="center"/>
    </xf>
    <xf numFmtId="3" fontId="10" fillId="20" borderId="68" xfId="0" applyNumberFormat="1" applyFont="1" applyFill="1" applyBorder="1" applyAlignment="1">
      <alignment horizontal="right"/>
    </xf>
    <xf numFmtId="0" fontId="3" fillId="16" borderId="97" xfId="0" applyFont="1" applyFill="1" applyBorder="1" applyAlignment="1">
      <alignment horizontal="center"/>
    </xf>
    <xf numFmtId="0" fontId="3" fillId="16" borderId="137" xfId="0" applyFont="1" applyFill="1" applyBorder="1" applyAlignment="1">
      <alignment horizontal="center"/>
    </xf>
    <xf numFmtId="0" fontId="3" fillId="16" borderId="66" xfId="0" applyFont="1" applyFill="1" applyBorder="1" applyAlignment="1">
      <alignment horizontal="center"/>
    </xf>
    <xf numFmtId="0" fontId="3" fillId="16" borderId="56" xfId="0" applyFont="1" applyFill="1" applyBorder="1" applyAlignment="1">
      <alignment horizontal="center"/>
    </xf>
    <xf numFmtId="0" fontId="3" fillId="16" borderId="58" xfId="0" applyFont="1" applyFill="1" applyBorder="1" applyAlignment="1">
      <alignment horizontal="center"/>
    </xf>
    <xf numFmtId="0" fontId="3" fillId="16" borderId="63" xfId="0" applyFont="1" applyFill="1" applyBorder="1" applyAlignment="1">
      <alignment horizontal="center"/>
    </xf>
    <xf numFmtId="3" fontId="10" fillId="21" borderId="76" xfId="0" applyNumberFormat="1" applyFont="1" applyFill="1" applyBorder="1" applyAlignment="1">
      <alignment horizontal="right"/>
    </xf>
    <xf numFmtId="3" fontId="10" fillId="22" borderId="77" xfId="0" applyNumberFormat="1" applyFont="1" applyFill="1" applyBorder="1" applyAlignment="1">
      <alignment horizontal="right"/>
    </xf>
    <xf numFmtId="10" fontId="3" fillId="15" borderId="55" xfId="0" applyNumberFormat="1" applyFont="1" applyFill="1" applyBorder="1" applyAlignment="1">
      <alignment horizontal="center"/>
    </xf>
    <xf numFmtId="10" fontId="3" fillId="15" borderId="57" xfId="0" applyNumberFormat="1" applyFont="1" applyFill="1" applyBorder="1" applyAlignment="1">
      <alignment horizontal="center"/>
    </xf>
    <xf numFmtId="10" fontId="3" fillId="15" borderId="59" xfId="0" applyNumberFormat="1" applyFont="1" applyFill="1" applyBorder="1" applyAlignment="1">
      <alignment horizontal="center"/>
    </xf>
    <xf numFmtId="3" fontId="6" fillId="12" borderId="42" xfId="0" applyNumberFormat="1" applyFont="1" applyFill="1" applyBorder="1" applyAlignment="1">
      <alignment horizontal="center"/>
    </xf>
    <xf numFmtId="3" fontId="6" fillId="12" borderId="66" xfId="0" applyNumberFormat="1" applyFont="1" applyFill="1" applyBorder="1" applyAlignment="1">
      <alignment horizontal="center"/>
    </xf>
    <xf numFmtId="3" fontId="3" fillId="15" borderId="56" xfId="0" applyNumberFormat="1" applyFont="1" applyFill="1" applyBorder="1" applyAlignment="1">
      <alignment horizontal="center"/>
    </xf>
    <xf numFmtId="3" fontId="3" fillId="15" borderId="58" xfId="0" applyNumberFormat="1" applyFont="1" applyFill="1" applyBorder="1" applyAlignment="1">
      <alignment horizontal="center"/>
    </xf>
    <xf numFmtId="3" fontId="6" fillId="12" borderId="67" xfId="0" applyNumberFormat="1" applyFont="1" applyFill="1" applyBorder="1" applyAlignment="1">
      <alignment horizontal="center"/>
    </xf>
    <xf numFmtId="3" fontId="3" fillId="15" borderId="60" xfId="0" applyNumberFormat="1" applyFont="1" applyFill="1" applyBorder="1" applyAlignment="1">
      <alignment horizontal="center"/>
    </xf>
    <xf numFmtId="10" fontId="3" fillId="11" borderId="9" xfId="0" applyNumberFormat="1" applyFont="1" applyFill="1" applyBorder="1" applyAlignment="1">
      <alignment horizontal="center" vertical="center"/>
    </xf>
    <xf numFmtId="10" fontId="3" fillId="11" borderId="146" xfId="0" applyNumberFormat="1" applyFont="1" applyFill="1" applyBorder="1" applyAlignment="1">
      <alignment horizontal="center" vertical="center"/>
    </xf>
    <xf numFmtId="10" fontId="3" fillId="11" borderId="147" xfId="0" applyNumberFormat="1" applyFont="1" applyFill="1" applyBorder="1" applyAlignment="1">
      <alignment horizontal="center" vertical="center"/>
    </xf>
    <xf numFmtId="0" fontId="15" fillId="30" borderId="51" xfId="0" applyFont="1" applyFill="1" applyBorder="1" applyAlignment="1">
      <alignment horizontal="right"/>
    </xf>
    <xf numFmtId="0" fontId="31" fillId="14" borderId="148" xfId="0" applyFont="1" applyFill="1" applyBorder="1"/>
    <xf numFmtId="0" fontId="31" fillId="14" borderId="63" xfId="0" applyFont="1" applyFill="1" applyBorder="1" applyAlignment="1">
      <alignment horizontal="center" vertical="center"/>
    </xf>
    <xf numFmtId="0" fontId="31" fillId="14" borderId="55" xfId="0" applyFont="1" applyFill="1" applyBorder="1"/>
    <xf numFmtId="0" fontId="31" fillId="14" borderId="57" xfId="0" applyFont="1" applyFill="1" applyBorder="1"/>
    <xf numFmtId="0" fontId="31" fillId="14" borderId="59" xfId="0" applyFont="1" applyFill="1" applyBorder="1"/>
    <xf numFmtId="10" fontId="3" fillId="15" borderId="68" xfId="1" applyNumberFormat="1" applyFont="1" applyFill="1" applyBorder="1" applyAlignment="1">
      <alignment horizontal="center"/>
    </xf>
    <xf numFmtId="10" fontId="3" fillId="15" borderId="104" xfId="1" applyNumberFormat="1" applyFont="1" applyFill="1" applyBorder="1" applyAlignment="1">
      <alignment horizontal="center"/>
    </xf>
    <xf numFmtId="10" fontId="3" fillId="15" borderId="69" xfId="1" applyNumberFormat="1" applyFont="1" applyFill="1" applyBorder="1" applyAlignment="1">
      <alignment horizontal="center"/>
    </xf>
    <xf numFmtId="10" fontId="21" fillId="5" borderId="34" xfId="0" applyNumberFormat="1" applyFont="1" applyFill="1" applyBorder="1" applyAlignment="1">
      <alignment horizontal="center" vertical="center"/>
    </xf>
    <xf numFmtId="10" fontId="21" fillId="5" borderId="36" xfId="0" applyNumberFormat="1" applyFont="1" applyFill="1" applyBorder="1" applyAlignment="1">
      <alignment horizontal="center" vertical="center"/>
    </xf>
    <xf numFmtId="10" fontId="21" fillId="5" borderId="38" xfId="0" applyNumberFormat="1" applyFont="1" applyFill="1" applyBorder="1" applyAlignment="1">
      <alignment horizontal="center" vertical="center"/>
    </xf>
    <xf numFmtId="10" fontId="41" fillId="12" borderId="158" xfId="1" applyNumberFormat="1" applyFont="1" applyFill="1" applyBorder="1" applyAlignment="1">
      <alignment horizontal="center"/>
    </xf>
    <xf numFmtId="10" fontId="41" fillId="12" borderId="130" xfId="1" applyNumberFormat="1" applyFont="1" applyFill="1" applyBorder="1" applyAlignment="1">
      <alignment horizontal="center"/>
    </xf>
    <xf numFmtId="0" fontId="41" fillId="14" borderId="159" xfId="0" applyFont="1" applyFill="1" applyBorder="1" applyAlignment="1">
      <alignment horizontal="center"/>
    </xf>
    <xf numFmtId="0" fontId="41" fillId="14" borderId="163" xfId="0" applyFont="1" applyFill="1" applyBorder="1" applyAlignment="1">
      <alignment horizontal="center"/>
    </xf>
    <xf numFmtId="10" fontId="41" fillId="12" borderId="164" xfId="1" applyNumberFormat="1" applyFont="1" applyFill="1" applyBorder="1" applyAlignment="1">
      <alignment horizontal="center"/>
    </xf>
    <xf numFmtId="10" fontId="41" fillId="12" borderId="165" xfId="1" applyNumberFormat="1" applyFont="1" applyFill="1" applyBorder="1" applyAlignment="1">
      <alignment horizontal="center"/>
    </xf>
    <xf numFmtId="10" fontId="42" fillId="14" borderId="168" xfId="1" applyNumberFormat="1" applyFont="1" applyFill="1" applyBorder="1" applyAlignment="1">
      <alignment horizontal="right"/>
    </xf>
    <xf numFmtId="10" fontId="42" fillId="14" borderId="169" xfId="1" applyNumberFormat="1" applyFont="1" applyFill="1" applyBorder="1" applyAlignment="1">
      <alignment horizontal="right"/>
    </xf>
    <xf numFmtId="3" fontId="6" fillId="12" borderId="25" xfId="0" applyNumberFormat="1" applyFont="1" applyFill="1" applyBorder="1" applyAlignment="1">
      <alignment horizontal="center" vertical="center"/>
    </xf>
    <xf numFmtId="3" fontId="6" fillId="12" borderId="24" xfId="0" applyNumberFormat="1" applyFont="1" applyFill="1" applyBorder="1" applyAlignment="1">
      <alignment horizontal="center" vertical="center"/>
    </xf>
    <xf numFmtId="0" fontId="6" fillId="12" borderId="55" xfId="0" applyFont="1" applyFill="1" applyBorder="1" applyAlignment="1">
      <alignment horizontal="center" vertical="center"/>
    </xf>
    <xf numFmtId="0" fontId="6" fillId="12" borderId="25" xfId="0" applyFont="1" applyFill="1" applyBorder="1" applyAlignment="1">
      <alignment horizontal="center" vertical="center"/>
    </xf>
    <xf numFmtId="0" fontId="6" fillId="12" borderId="142" xfId="0" applyFont="1" applyFill="1" applyBorder="1" applyAlignment="1">
      <alignment horizontal="center" vertical="center"/>
    </xf>
    <xf numFmtId="0" fontId="6" fillId="12" borderId="138" xfId="0" applyFont="1" applyFill="1" applyBorder="1" applyAlignment="1">
      <alignment horizontal="center" vertical="center"/>
    </xf>
    <xf numFmtId="0" fontId="21" fillId="28" borderId="33" xfId="0" applyFont="1" applyFill="1" applyBorder="1" applyAlignment="1">
      <alignment horizontal="center" vertical="center"/>
    </xf>
    <xf numFmtId="0" fontId="21" fillId="28" borderId="35" xfId="0" applyFont="1" applyFill="1" applyBorder="1" applyAlignment="1">
      <alignment horizontal="center" vertical="center"/>
    </xf>
    <xf numFmtId="0" fontId="6" fillId="12" borderId="57" xfId="0" applyFont="1" applyFill="1" applyBorder="1" applyAlignment="1">
      <alignment horizontal="center" vertical="center"/>
    </xf>
    <xf numFmtId="0" fontId="6" fillId="12" borderId="139" xfId="0" applyFont="1" applyFill="1" applyBorder="1" applyAlignment="1">
      <alignment horizontal="center" vertical="center"/>
    </xf>
    <xf numFmtId="3" fontId="6" fillId="12" borderId="72" xfId="0" applyNumberFormat="1" applyFont="1" applyFill="1" applyBorder="1" applyAlignment="1">
      <alignment horizontal="center" vertical="center"/>
    </xf>
    <xf numFmtId="0" fontId="6" fillId="12" borderId="89" xfId="0" applyFont="1" applyFill="1" applyBorder="1" applyAlignment="1">
      <alignment horizontal="center" vertical="center"/>
    </xf>
    <xf numFmtId="0" fontId="6" fillId="12" borderId="111" xfId="0" applyFont="1" applyFill="1" applyBorder="1" applyAlignment="1">
      <alignment horizontal="center" vertical="center"/>
    </xf>
    <xf numFmtId="0" fontId="6" fillId="12" borderId="140" xfId="0" applyFont="1" applyFill="1" applyBorder="1" applyAlignment="1">
      <alignment horizontal="center" vertical="center"/>
    </xf>
    <xf numFmtId="0" fontId="41" fillId="14" borderId="160" xfId="0" applyFont="1" applyFill="1" applyBorder="1" applyAlignment="1">
      <alignment horizontal="center"/>
    </xf>
    <xf numFmtId="0" fontId="41" fillId="14" borderId="80" xfId="0" applyFont="1" applyFill="1" applyBorder="1" applyAlignment="1">
      <alignment horizontal="center"/>
    </xf>
    <xf numFmtId="0" fontId="41" fillId="14" borderId="152" xfId="0" applyFont="1" applyFill="1" applyBorder="1" applyAlignment="1">
      <alignment horizontal="center"/>
    </xf>
    <xf numFmtId="0" fontId="41" fillId="14" borderId="153" xfId="0" applyFont="1" applyFill="1" applyBorder="1" applyAlignment="1">
      <alignment horizontal="center"/>
    </xf>
    <xf numFmtId="0" fontId="41" fillId="35" borderId="161" xfId="0" applyFont="1" applyFill="1" applyBorder="1" applyAlignment="1">
      <alignment horizontal="center"/>
    </xf>
    <xf numFmtId="10" fontId="41" fillId="12" borderId="76" xfId="1" applyNumberFormat="1" applyFont="1" applyFill="1" applyBorder="1" applyAlignment="1">
      <alignment horizontal="center"/>
    </xf>
    <xf numFmtId="10" fontId="41" fillId="12" borderId="151" xfId="1" applyNumberFormat="1" applyFont="1" applyFill="1" applyBorder="1" applyAlignment="1">
      <alignment horizontal="center"/>
    </xf>
    <xf numFmtId="10" fontId="41" fillId="12" borderId="127" xfId="1" applyNumberFormat="1" applyFont="1" applyFill="1" applyBorder="1" applyAlignment="1">
      <alignment horizontal="center"/>
    </xf>
    <xf numFmtId="10" fontId="41" fillId="12" borderId="57" xfId="1" applyNumberFormat="1" applyFont="1" applyFill="1" applyBorder="1" applyAlignment="1">
      <alignment horizontal="center"/>
    </xf>
    <xf numFmtId="10" fontId="41" fillId="12" borderId="42" xfId="1" applyNumberFormat="1" applyFont="1" applyFill="1" applyBorder="1" applyAlignment="1">
      <alignment horizontal="center"/>
    </xf>
    <xf numFmtId="10" fontId="41" fillId="12" borderId="58" xfId="1" applyNumberFormat="1" applyFont="1" applyFill="1" applyBorder="1" applyAlignment="1">
      <alignment horizontal="center"/>
    </xf>
    <xf numFmtId="0" fontId="41" fillId="35" borderId="162" xfId="0" applyFont="1" applyFill="1" applyBorder="1" applyAlignment="1">
      <alignment horizontal="center"/>
    </xf>
    <xf numFmtId="10" fontId="41" fillId="12" borderId="111" xfId="1" applyNumberFormat="1" applyFont="1" applyFill="1" applyBorder="1" applyAlignment="1">
      <alignment horizontal="center"/>
    </xf>
    <xf numFmtId="10" fontId="41" fillId="12" borderId="134" xfId="1" applyNumberFormat="1" applyFont="1" applyFill="1" applyBorder="1" applyAlignment="1">
      <alignment horizontal="center"/>
    </xf>
    <xf numFmtId="10" fontId="41" fillId="12" borderId="63" xfId="1" applyNumberFormat="1" applyFont="1" applyFill="1" applyBorder="1" applyAlignment="1">
      <alignment horizontal="center"/>
    </xf>
    <xf numFmtId="0" fontId="42" fillId="14" borderId="166" xfId="0" applyFont="1" applyFill="1" applyBorder="1" applyAlignment="1">
      <alignment horizontal="right"/>
    </xf>
    <xf numFmtId="10" fontId="42" fillId="14" borderId="167" xfId="1" applyNumberFormat="1" applyFont="1" applyFill="1" applyBorder="1" applyAlignment="1">
      <alignment horizontal="right"/>
    </xf>
    <xf numFmtId="10" fontId="42" fillId="14" borderId="156" xfId="1" applyNumberFormat="1" applyFont="1" applyFill="1" applyBorder="1" applyAlignment="1">
      <alignment horizontal="right"/>
    </xf>
    <xf numFmtId="10" fontId="42" fillId="14" borderId="157" xfId="1" applyNumberFormat="1" applyFont="1" applyFill="1" applyBorder="1" applyAlignment="1">
      <alignment horizontal="right"/>
    </xf>
    <xf numFmtId="0" fontId="0" fillId="14" borderId="0" xfId="0" applyFill="1"/>
    <xf numFmtId="0" fontId="43" fillId="0" borderId="0" xfId="0" applyFont="1" applyAlignment="1">
      <alignment vertical="center"/>
    </xf>
    <xf numFmtId="0" fontId="7" fillId="34" borderId="182" xfId="0" applyFont="1" applyFill="1" applyBorder="1"/>
    <xf numFmtId="0" fontId="7" fillId="34" borderId="0" xfId="0" applyFont="1" applyFill="1"/>
    <xf numFmtId="0" fontId="7" fillId="34" borderId="131" xfId="0" applyFont="1" applyFill="1" applyBorder="1"/>
    <xf numFmtId="0" fontId="0" fillId="34" borderId="182" xfId="0" applyFill="1" applyBorder="1"/>
    <xf numFmtId="0" fontId="0" fillId="34" borderId="0" xfId="0" applyFill="1"/>
    <xf numFmtId="0" fontId="0" fillId="34" borderId="131" xfId="0" applyFill="1" applyBorder="1"/>
    <xf numFmtId="0" fontId="0" fillId="14" borderId="182" xfId="0" applyFill="1" applyBorder="1"/>
    <xf numFmtId="0" fontId="0" fillId="14" borderId="131" xfId="0" applyFill="1" applyBorder="1"/>
    <xf numFmtId="0" fontId="0" fillId="14" borderId="78" xfId="0" applyFill="1" applyBorder="1"/>
    <xf numFmtId="0" fontId="0" fillId="14" borderId="102" xfId="0" applyFill="1" applyBorder="1"/>
    <xf numFmtId="0" fontId="0" fillId="14" borderId="92" xfId="0" applyFill="1" applyBorder="1"/>
    <xf numFmtId="0" fontId="7" fillId="25" borderId="76" xfId="0" applyFont="1" applyFill="1" applyBorder="1" applyProtection="1">
      <protection locked="0"/>
    </xf>
    <xf numFmtId="0" fontId="7" fillId="25" borderId="57" xfId="0" applyFont="1" applyFill="1" applyBorder="1" applyProtection="1">
      <protection locked="0"/>
    </xf>
    <xf numFmtId="0" fontId="7" fillId="25" borderId="59" xfId="0" applyFont="1" applyFill="1" applyBorder="1" applyProtection="1">
      <protection locked="0"/>
    </xf>
    <xf numFmtId="0" fontId="37" fillId="27" borderId="115" xfId="0" applyFont="1" applyFill="1" applyBorder="1" applyProtection="1">
      <protection locked="0"/>
    </xf>
    <xf numFmtId="0" fontId="37" fillId="27" borderId="112" xfId="0" applyFont="1" applyFill="1" applyBorder="1" applyProtection="1">
      <protection locked="0"/>
    </xf>
    <xf numFmtId="164" fontId="16" fillId="18" borderId="82" xfId="0" applyNumberFormat="1" applyFont="1" applyFill="1" applyBorder="1" applyAlignment="1" applyProtection="1">
      <alignment horizontal="right"/>
      <protection locked="0"/>
    </xf>
    <xf numFmtId="0" fontId="14" fillId="18" borderId="22" xfId="0" applyFont="1" applyFill="1" applyBorder="1" applyAlignment="1" applyProtection="1">
      <alignment horizontal="right"/>
      <protection locked="0"/>
    </xf>
    <xf numFmtId="0" fontId="16" fillId="18" borderId="21" xfId="0" applyFont="1" applyFill="1" applyBorder="1" applyAlignment="1" applyProtection="1">
      <alignment horizontal="right"/>
      <protection locked="0"/>
    </xf>
    <xf numFmtId="0" fontId="39" fillId="17" borderId="67" xfId="0" applyFont="1" applyFill="1" applyBorder="1" applyAlignment="1" applyProtection="1">
      <alignment horizontal="center" vertical="center" wrapText="1"/>
      <protection locked="0"/>
    </xf>
    <xf numFmtId="0" fontId="32" fillId="17" borderId="70" xfId="0" applyFont="1" applyFill="1" applyBorder="1" applyAlignment="1" applyProtection="1">
      <alignment horizontal="center" vertical="center"/>
      <protection locked="0"/>
    </xf>
    <xf numFmtId="0" fontId="32" fillId="17" borderId="75" xfId="0" applyFont="1" applyFill="1" applyBorder="1" applyAlignment="1" applyProtection="1">
      <alignment horizontal="center" vertical="center"/>
      <protection locked="0"/>
    </xf>
    <xf numFmtId="3" fontId="32" fillId="17" borderId="57" xfId="0" applyNumberFormat="1" applyFont="1" applyFill="1" applyBorder="1" applyAlignment="1" applyProtection="1">
      <alignment horizontal="center" vertical="center"/>
      <protection locked="0"/>
    </xf>
    <xf numFmtId="3" fontId="32" fillId="17" borderId="58" xfId="0" applyNumberFormat="1" applyFont="1" applyFill="1" applyBorder="1" applyAlignment="1" applyProtection="1">
      <alignment horizontal="center" vertical="center"/>
      <protection locked="0"/>
    </xf>
    <xf numFmtId="3" fontId="32" fillId="17" borderId="111" xfId="0" applyNumberFormat="1" applyFont="1" applyFill="1" applyBorder="1" applyAlignment="1" applyProtection="1">
      <alignment horizontal="center" vertical="center"/>
      <protection locked="0"/>
    </xf>
    <xf numFmtId="3" fontId="32" fillId="17" borderId="63" xfId="0" applyNumberFormat="1" applyFont="1" applyFill="1" applyBorder="1" applyAlignment="1" applyProtection="1">
      <alignment horizontal="center" vertical="center"/>
      <protection locked="0"/>
    </xf>
    <xf numFmtId="0" fontId="12" fillId="15" borderId="55" xfId="0" applyFont="1" applyFill="1" applyBorder="1" applyAlignment="1" applyProtection="1">
      <alignment horizontal="right"/>
      <protection locked="0"/>
    </xf>
    <xf numFmtId="0" fontId="12" fillId="15" borderId="66" xfId="0" applyFont="1" applyFill="1" applyBorder="1" applyAlignment="1" applyProtection="1">
      <alignment horizontal="right"/>
      <protection locked="0"/>
    </xf>
    <xf numFmtId="3" fontId="30" fillId="15" borderId="55" xfId="0" applyNumberFormat="1" applyFont="1" applyFill="1" applyBorder="1" applyAlignment="1" applyProtection="1">
      <alignment horizontal="right"/>
      <protection locked="0"/>
    </xf>
    <xf numFmtId="3" fontId="30" fillId="15" borderId="56" xfId="0" applyNumberFormat="1" applyFont="1" applyFill="1" applyBorder="1" applyAlignment="1" applyProtection="1">
      <alignment horizontal="right"/>
      <protection locked="0"/>
    </xf>
    <xf numFmtId="3" fontId="50" fillId="14" borderId="58" xfId="0" applyNumberFormat="1" applyFont="1" applyFill="1" applyBorder="1" applyAlignment="1">
      <alignment horizontal="center" vertical="center"/>
    </xf>
    <xf numFmtId="3" fontId="50" fillId="23" borderId="58" xfId="0" applyNumberFormat="1" applyFont="1" applyFill="1" applyBorder="1" applyAlignment="1" applyProtection="1">
      <alignment horizontal="center" vertical="center"/>
      <protection locked="0"/>
    </xf>
    <xf numFmtId="3" fontId="50" fillId="14" borderId="60" xfId="0" applyNumberFormat="1" applyFont="1" applyFill="1" applyBorder="1" applyAlignment="1">
      <alignment horizontal="center" vertical="center"/>
    </xf>
    <xf numFmtId="0" fontId="51" fillId="14" borderId="56" xfId="0" applyFont="1" applyFill="1" applyBorder="1" applyAlignment="1">
      <alignment horizontal="center" vertical="center"/>
    </xf>
    <xf numFmtId="0" fontId="27" fillId="0" borderId="0" xfId="0" applyFont="1"/>
    <xf numFmtId="0" fontId="32" fillId="17" borderId="183" xfId="0" applyFont="1" applyFill="1" applyBorder="1" applyAlignment="1" applyProtection="1">
      <alignment horizontal="center" vertical="center"/>
      <protection locked="0"/>
    </xf>
    <xf numFmtId="0" fontId="32" fillId="17" borderId="55" xfId="0" applyFont="1" applyFill="1" applyBorder="1" applyAlignment="1" applyProtection="1">
      <alignment horizontal="center" vertical="center"/>
      <protection locked="0"/>
    </xf>
    <xf numFmtId="0" fontId="32" fillId="17" borderId="105" xfId="0" applyFont="1" applyFill="1" applyBorder="1" applyAlignment="1" applyProtection="1">
      <alignment horizontal="center" vertical="center"/>
      <protection locked="0"/>
    </xf>
    <xf numFmtId="0" fontId="32" fillId="17" borderId="57" xfId="0" applyFont="1" applyFill="1" applyBorder="1" applyAlignment="1" applyProtection="1">
      <alignment horizontal="center" vertical="center"/>
      <protection locked="0"/>
    </xf>
    <xf numFmtId="0" fontId="32" fillId="17" borderId="132" xfId="0" applyFont="1" applyFill="1" applyBorder="1" applyAlignment="1" applyProtection="1">
      <alignment horizontal="center" vertical="center"/>
      <protection locked="0"/>
    </xf>
    <xf numFmtId="3" fontId="32" fillId="17" borderId="59" xfId="0" applyNumberFormat="1" applyFont="1" applyFill="1" applyBorder="1" applyAlignment="1" applyProtection="1">
      <alignment horizontal="center" vertical="center"/>
      <protection locked="0"/>
    </xf>
    <xf numFmtId="3" fontId="32" fillId="17" borderId="60" xfId="0" applyNumberFormat="1" applyFont="1" applyFill="1" applyBorder="1" applyAlignment="1" applyProtection="1">
      <alignment horizontal="center" vertical="center"/>
      <protection locked="0"/>
    </xf>
    <xf numFmtId="0" fontId="27" fillId="0" borderId="42" xfId="0" applyFont="1" applyBorder="1"/>
    <xf numFmtId="0" fontId="0" fillId="0" borderId="42" xfId="0" applyBorder="1"/>
    <xf numFmtId="0" fontId="0" fillId="17" borderId="142" xfId="0" applyFill="1" applyBorder="1" applyAlignment="1" applyProtection="1">
      <alignment horizontal="center" vertical="center"/>
      <protection locked="0"/>
    </xf>
    <xf numFmtId="0" fontId="0" fillId="17" borderId="151" xfId="0" applyFill="1" applyBorder="1" applyAlignment="1" applyProtection="1">
      <alignment horizontal="center" vertical="center"/>
      <protection locked="0"/>
    </xf>
    <xf numFmtId="0" fontId="0" fillId="17" borderId="127" xfId="0" applyFill="1" applyBorder="1" applyAlignment="1" applyProtection="1">
      <alignment horizontal="center" vertical="center"/>
      <protection locked="0"/>
    </xf>
    <xf numFmtId="0" fontId="0" fillId="17" borderId="76" xfId="0" applyFill="1" applyBorder="1" applyAlignment="1" applyProtection="1">
      <alignment horizontal="center" vertical="center"/>
      <protection locked="0"/>
    </xf>
    <xf numFmtId="0" fontId="0" fillId="17" borderId="75" xfId="0" applyFill="1" applyBorder="1" applyAlignment="1" applyProtection="1">
      <alignment horizontal="center" vertical="center"/>
      <protection locked="0"/>
    </xf>
    <xf numFmtId="0" fontId="0" fillId="17" borderId="42" xfId="0" applyFill="1" applyBorder="1" applyAlignment="1" applyProtection="1">
      <alignment horizontal="center" vertical="center"/>
      <protection locked="0"/>
    </xf>
    <xf numFmtId="0" fontId="0" fillId="17" borderId="58" xfId="0" applyFill="1" applyBorder="1" applyAlignment="1" applyProtection="1">
      <alignment horizontal="center" vertical="center"/>
      <protection locked="0"/>
    </xf>
    <xf numFmtId="0" fontId="0" fillId="17" borderId="57" xfId="0" applyFill="1" applyBorder="1" applyAlignment="1" applyProtection="1">
      <alignment horizontal="center" vertical="center"/>
      <protection locked="0"/>
    </xf>
    <xf numFmtId="0" fontId="0" fillId="17" borderId="71" xfId="0" applyFill="1" applyBorder="1" applyAlignment="1" applyProtection="1">
      <alignment horizontal="center" vertical="center"/>
      <protection locked="0"/>
    </xf>
    <xf numFmtId="0" fontId="0" fillId="17" borderId="67" xfId="0" applyFill="1" applyBorder="1" applyAlignment="1" applyProtection="1">
      <alignment horizontal="center" vertical="center"/>
      <protection locked="0"/>
    </xf>
    <xf numFmtId="0" fontId="0" fillId="17" borderId="60" xfId="0" applyFill="1" applyBorder="1" applyAlignment="1" applyProtection="1">
      <alignment horizontal="center" vertical="center"/>
      <protection locked="0"/>
    </xf>
    <xf numFmtId="0" fontId="0" fillId="17" borderId="59" xfId="0" applyFill="1" applyBorder="1" applyAlignment="1" applyProtection="1">
      <alignment horizontal="center" vertical="center"/>
      <protection locked="0"/>
    </xf>
    <xf numFmtId="0" fontId="52" fillId="14" borderId="58" xfId="0" applyFont="1" applyFill="1" applyBorder="1" applyAlignment="1">
      <alignment horizontal="center" vertical="center"/>
    </xf>
    <xf numFmtId="0" fontId="50" fillId="14" borderId="58" xfId="0" applyFont="1" applyFill="1" applyBorder="1" applyAlignment="1">
      <alignment horizontal="center" vertical="center"/>
    </xf>
    <xf numFmtId="0" fontId="3" fillId="18" borderId="88" xfId="0" applyFont="1" applyFill="1" applyBorder="1" applyAlignment="1" applyProtection="1">
      <alignment horizontal="center"/>
      <protection locked="0"/>
    </xf>
    <xf numFmtId="3" fontId="3" fillId="50" borderId="9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Protection="1">
      <protection hidden="1"/>
    </xf>
    <xf numFmtId="0" fontId="7" fillId="0" borderId="181" xfId="0" applyFont="1" applyBorder="1" applyProtection="1">
      <protection hidden="1"/>
    </xf>
    <xf numFmtId="0" fontId="7" fillId="6" borderId="43" xfId="0" applyFont="1" applyFill="1" applyBorder="1" applyProtection="1">
      <protection hidden="1"/>
    </xf>
    <xf numFmtId="0" fontId="45" fillId="36" borderId="174" xfId="0" applyFont="1" applyFill="1" applyBorder="1" applyProtection="1">
      <protection hidden="1"/>
    </xf>
    <xf numFmtId="0" fontId="45" fillId="37" borderId="175" xfId="0" applyFont="1" applyFill="1" applyBorder="1" applyProtection="1">
      <protection hidden="1"/>
    </xf>
    <xf numFmtId="0" fontId="45" fillId="38" borderId="175" xfId="0" applyFont="1" applyFill="1" applyBorder="1" applyProtection="1">
      <protection hidden="1"/>
    </xf>
    <xf numFmtId="0" fontId="45" fillId="39" borderId="175" xfId="0" applyFont="1" applyFill="1" applyBorder="1" applyProtection="1">
      <protection hidden="1"/>
    </xf>
    <xf numFmtId="0" fontId="45" fillId="40" borderId="175" xfId="0" applyFont="1" applyFill="1" applyBorder="1" applyProtection="1">
      <protection hidden="1"/>
    </xf>
    <xf numFmtId="0" fontId="45" fillId="41" borderId="175" xfId="0" applyFont="1" applyFill="1" applyBorder="1" applyProtection="1">
      <protection hidden="1"/>
    </xf>
    <xf numFmtId="0" fontId="45" fillId="36" borderId="175" xfId="0" applyFont="1" applyFill="1" applyBorder="1" applyProtection="1">
      <protection hidden="1"/>
    </xf>
    <xf numFmtId="0" fontId="47" fillId="42" borderId="124" xfId="0" applyFont="1" applyFill="1" applyBorder="1" applyProtection="1">
      <protection hidden="1"/>
    </xf>
    <xf numFmtId="0" fontId="7" fillId="6" borderId="176" xfId="0" applyFont="1" applyFill="1" applyBorder="1" applyProtection="1">
      <protection hidden="1"/>
    </xf>
    <xf numFmtId="0" fontId="45" fillId="43" borderId="174" xfId="0" applyFont="1" applyFill="1" applyBorder="1" applyProtection="1">
      <protection hidden="1"/>
    </xf>
    <xf numFmtId="0" fontId="45" fillId="44" borderId="175" xfId="0" applyFont="1" applyFill="1" applyBorder="1" applyProtection="1">
      <protection hidden="1"/>
    </xf>
    <xf numFmtId="0" fontId="45" fillId="45" borderId="175" xfId="0" applyFont="1" applyFill="1" applyBorder="1" applyProtection="1">
      <protection hidden="1"/>
    </xf>
    <xf numFmtId="0" fontId="45" fillId="46" borderId="175" xfId="0" applyFont="1" applyFill="1" applyBorder="1" applyProtection="1">
      <protection hidden="1"/>
    </xf>
    <xf numFmtId="0" fontId="45" fillId="47" borderId="175" xfId="0" applyFont="1" applyFill="1" applyBorder="1" applyProtection="1">
      <protection hidden="1"/>
    </xf>
    <xf numFmtId="0" fontId="45" fillId="48" borderId="175" xfId="0" applyFont="1" applyFill="1" applyBorder="1" applyProtection="1">
      <protection hidden="1"/>
    </xf>
    <xf numFmtId="0" fontId="45" fillId="43" borderId="175" xfId="0" applyFont="1" applyFill="1" applyBorder="1" applyProtection="1">
      <protection hidden="1"/>
    </xf>
    <xf numFmtId="0" fontId="47" fillId="49" borderId="124" xfId="0" applyFont="1" applyFill="1" applyBorder="1" applyProtection="1">
      <protection hidden="1"/>
    </xf>
    <xf numFmtId="0" fontId="31" fillId="6" borderId="173" xfId="0" applyFont="1" applyFill="1" applyBorder="1" applyProtection="1">
      <protection hidden="1"/>
    </xf>
    <xf numFmtId="0" fontId="7" fillId="6" borderId="10" xfId="0" applyFont="1" applyFill="1" applyBorder="1" applyProtection="1">
      <protection hidden="1"/>
    </xf>
    <xf numFmtId="0" fontId="7" fillId="6" borderId="170" xfId="0" applyFont="1" applyFill="1" applyBorder="1" applyProtection="1">
      <protection hidden="1"/>
    </xf>
    <xf numFmtId="0" fontId="7" fillId="6" borderId="23" xfId="0" applyFont="1" applyFill="1" applyBorder="1" applyProtection="1">
      <protection hidden="1"/>
    </xf>
    <xf numFmtId="0" fontId="31" fillId="6" borderId="178" xfId="0" applyFont="1" applyFill="1" applyBorder="1" applyProtection="1">
      <protection hidden="1"/>
    </xf>
    <xf numFmtId="0" fontId="31" fillId="6" borderId="73" xfId="0" applyFont="1" applyFill="1" applyBorder="1" applyProtection="1">
      <protection hidden="1"/>
    </xf>
    <xf numFmtId="10" fontId="7" fillId="6" borderId="25" xfId="0" applyNumberFormat="1" applyFont="1" applyFill="1" applyBorder="1" applyProtection="1">
      <protection hidden="1"/>
    </xf>
    <xf numFmtId="10" fontId="7" fillId="6" borderId="24" xfId="0" applyNumberFormat="1" applyFont="1" applyFill="1" applyBorder="1" applyProtection="1">
      <protection hidden="1"/>
    </xf>
    <xf numFmtId="10" fontId="7" fillId="6" borderId="12" xfId="0" applyNumberFormat="1" applyFont="1" applyFill="1" applyBorder="1" applyProtection="1">
      <protection hidden="1"/>
    </xf>
    <xf numFmtId="0" fontId="31" fillId="6" borderId="179" xfId="0" applyFont="1" applyFill="1" applyBorder="1" applyProtection="1">
      <protection hidden="1"/>
    </xf>
    <xf numFmtId="0" fontId="48" fillId="6" borderId="73" xfId="0" applyFont="1" applyFill="1" applyBorder="1" applyProtection="1">
      <protection hidden="1"/>
    </xf>
    <xf numFmtId="10" fontId="48" fillId="6" borderId="25" xfId="0" applyNumberFormat="1" applyFont="1" applyFill="1" applyBorder="1" applyProtection="1">
      <protection hidden="1"/>
    </xf>
    <xf numFmtId="10" fontId="48" fillId="6" borderId="24" xfId="0" applyNumberFormat="1" applyFont="1" applyFill="1" applyBorder="1" applyProtection="1">
      <protection hidden="1"/>
    </xf>
    <xf numFmtId="10" fontId="48" fillId="6" borderId="12" xfId="0" applyNumberFormat="1" applyFont="1" applyFill="1" applyBorder="1" applyProtection="1">
      <protection hidden="1"/>
    </xf>
    <xf numFmtId="0" fontId="48" fillId="6" borderId="179" xfId="0" applyFont="1" applyFill="1" applyBorder="1" applyProtection="1">
      <protection hidden="1"/>
    </xf>
    <xf numFmtId="0" fontId="48" fillId="6" borderId="172" xfId="0" applyFont="1" applyFill="1" applyBorder="1" applyProtection="1">
      <protection hidden="1"/>
    </xf>
    <xf numFmtId="10" fontId="48" fillId="6" borderId="135" xfId="0" applyNumberFormat="1" applyFont="1" applyFill="1" applyBorder="1" applyProtection="1">
      <protection hidden="1"/>
    </xf>
    <xf numFmtId="10" fontId="48" fillId="6" borderId="171" xfId="0" applyNumberFormat="1" applyFont="1" applyFill="1" applyBorder="1" applyProtection="1">
      <protection hidden="1"/>
    </xf>
    <xf numFmtId="10" fontId="48" fillId="6" borderId="177" xfId="0" applyNumberFormat="1" applyFont="1" applyFill="1" applyBorder="1" applyProtection="1">
      <protection hidden="1"/>
    </xf>
    <xf numFmtId="0" fontId="48" fillId="6" borderId="180" xfId="0" applyFont="1" applyFill="1" applyBorder="1" applyProtection="1">
      <protection hidden="1"/>
    </xf>
    <xf numFmtId="3" fontId="10" fillId="32" borderId="47" xfId="0" applyNumberFormat="1" applyFont="1" applyFill="1" applyBorder="1" applyAlignment="1">
      <alignment horizontal="right"/>
    </xf>
    <xf numFmtId="0" fontId="3" fillId="51" borderId="136" xfId="0" applyFont="1" applyFill="1" applyBorder="1" applyAlignment="1">
      <alignment horizontal="center"/>
    </xf>
    <xf numFmtId="0" fontId="3" fillId="51" borderId="100" xfId="0" applyFont="1" applyFill="1" applyBorder="1" applyAlignment="1">
      <alignment horizontal="center" vertical="center" wrapText="1"/>
    </xf>
    <xf numFmtId="0" fontId="1" fillId="51" borderId="97" xfId="0" applyFont="1" applyFill="1" applyBorder="1" applyAlignment="1">
      <alignment horizontal="center"/>
    </xf>
    <xf numFmtId="0" fontId="1" fillId="51" borderId="98" xfId="0" applyFont="1" applyFill="1" applyBorder="1" applyAlignment="1">
      <alignment horizontal="center"/>
    </xf>
    <xf numFmtId="0" fontId="1" fillId="51" borderId="133" xfId="0" applyFont="1" applyFill="1" applyBorder="1" applyAlignment="1">
      <alignment horizontal="center"/>
    </xf>
    <xf numFmtId="0" fontId="1" fillId="51" borderId="108" xfId="0" applyFont="1" applyFill="1" applyBorder="1" applyAlignment="1">
      <alignment horizontal="center"/>
    </xf>
    <xf numFmtId="0" fontId="3" fillId="51" borderId="87" xfId="0" applyFont="1" applyFill="1" applyBorder="1" applyAlignment="1">
      <alignment horizontal="center"/>
    </xf>
    <xf numFmtId="0" fontId="3" fillId="51" borderId="89" xfId="0" applyFont="1" applyFill="1" applyBorder="1" applyAlignment="1">
      <alignment horizontal="center"/>
    </xf>
    <xf numFmtId="0" fontId="7" fillId="51" borderId="11" xfId="0" applyFont="1" applyFill="1" applyBorder="1"/>
    <xf numFmtId="0" fontId="7" fillId="51" borderId="13" xfId="0" applyFont="1" applyFill="1" applyBorder="1"/>
    <xf numFmtId="0" fontId="7" fillId="51" borderId="20" xfId="0" applyFont="1" applyFill="1" applyBorder="1"/>
    <xf numFmtId="10" fontId="10" fillId="52" borderId="99" xfId="0" applyNumberFormat="1" applyFont="1" applyFill="1" applyBorder="1"/>
    <xf numFmtId="0" fontId="3" fillId="51" borderId="149" xfId="0" applyFont="1" applyFill="1" applyBorder="1" applyAlignment="1">
      <alignment horizontal="center"/>
    </xf>
    <xf numFmtId="0" fontId="3" fillId="51" borderId="150" xfId="0" applyFont="1" applyFill="1" applyBorder="1" applyAlignment="1">
      <alignment horizontal="center"/>
    </xf>
    <xf numFmtId="0" fontId="11" fillId="51" borderId="136" xfId="0" applyFont="1" applyFill="1" applyBorder="1" applyAlignment="1">
      <alignment horizontal="center"/>
    </xf>
    <xf numFmtId="0" fontId="14" fillId="51" borderId="100" xfId="0" applyFont="1" applyFill="1" applyBorder="1" applyAlignment="1">
      <alignment horizontal="center"/>
    </xf>
    <xf numFmtId="0" fontId="54" fillId="0" borderId="0" xfId="0" applyFont="1"/>
    <xf numFmtId="0" fontId="55" fillId="0" borderId="0" xfId="0" applyFont="1" applyAlignment="1">
      <alignment vertical="top" wrapText="1"/>
    </xf>
    <xf numFmtId="0" fontId="55" fillId="0" borderId="131" xfId="0" applyFont="1" applyBorder="1" applyAlignment="1">
      <alignment vertical="top" wrapText="1"/>
    </xf>
    <xf numFmtId="0" fontId="8" fillId="2" borderId="1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 vertical="center"/>
    </xf>
    <xf numFmtId="0" fontId="1" fillId="55" borderId="135" xfId="0" applyFont="1" applyFill="1" applyBorder="1" applyAlignment="1" applyProtection="1">
      <alignment horizontal="center" vertical="center" wrapText="1"/>
      <protection locked="0"/>
    </xf>
    <xf numFmtId="0" fontId="1" fillId="56" borderId="135" xfId="0" applyFont="1" applyFill="1" applyBorder="1" applyAlignment="1" applyProtection="1">
      <alignment horizontal="center" vertical="center" wrapText="1"/>
      <protection locked="0"/>
    </xf>
    <xf numFmtId="0" fontId="1" fillId="57" borderId="135" xfId="0" applyFont="1" applyFill="1" applyBorder="1" applyAlignment="1" applyProtection="1">
      <alignment horizontal="center" vertical="center" wrapText="1"/>
      <protection locked="0"/>
    </xf>
    <xf numFmtId="0" fontId="1" fillId="58" borderId="135" xfId="0" applyFont="1" applyFill="1" applyBorder="1" applyAlignment="1" applyProtection="1">
      <alignment horizontal="center" vertical="center" wrapText="1"/>
      <protection locked="0"/>
    </xf>
    <xf numFmtId="0" fontId="1" fillId="59" borderId="99" xfId="0" applyFont="1" applyFill="1" applyBorder="1" applyAlignment="1" applyProtection="1">
      <alignment horizontal="center" vertical="center" wrapText="1"/>
      <protection locked="0"/>
    </xf>
    <xf numFmtId="0" fontId="1" fillId="60" borderId="67" xfId="0" applyFont="1" applyFill="1" applyBorder="1" applyAlignment="1" applyProtection="1">
      <alignment horizontal="center" vertical="center" wrapText="1"/>
      <protection locked="0"/>
    </xf>
    <xf numFmtId="0" fontId="39" fillId="54" borderId="67" xfId="0" applyFont="1" applyFill="1" applyBorder="1" applyAlignment="1" applyProtection="1">
      <alignment horizontal="center" vertical="center" wrapText="1"/>
      <protection locked="0"/>
    </xf>
    <xf numFmtId="0" fontId="39" fillId="61" borderId="67" xfId="0" applyFont="1" applyFill="1" applyBorder="1" applyAlignment="1" applyProtection="1">
      <alignment horizontal="center" vertical="center" wrapText="1"/>
      <protection locked="0"/>
    </xf>
    <xf numFmtId="0" fontId="39" fillId="62" borderId="6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2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53" fillId="14" borderId="4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7" borderId="70" xfId="0" applyFill="1" applyBorder="1" applyAlignment="1" applyProtection="1">
      <alignment horizontal="center" vertical="center"/>
      <protection locked="0"/>
    </xf>
    <xf numFmtId="0" fontId="0" fillId="17" borderId="66" xfId="0" applyFill="1" applyBorder="1" applyAlignment="1" applyProtection="1">
      <alignment horizontal="center" vertical="center"/>
      <protection locked="0"/>
    </xf>
    <xf numFmtId="0" fontId="0" fillId="17" borderId="56" xfId="0" applyFill="1" applyBorder="1" applyAlignment="1" applyProtection="1">
      <alignment horizontal="center" vertical="center"/>
      <protection locked="0"/>
    </xf>
    <xf numFmtId="0" fontId="0" fillId="17" borderId="55" xfId="0" applyFill="1" applyBorder="1" applyAlignment="1" applyProtection="1">
      <alignment horizontal="center" vertical="center"/>
      <protection locked="0"/>
    </xf>
    <xf numFmtId="0" fontId="27" fillId="12" borderId="43" xfId="0" applyFont="1" applyFill="1" applyBorder="1" applyAlignment="1">
      <alignment horizontal="center" vertical="center"/>
    </xf>
    <xf numFmtId="0" fontId="27" fillId="12" borderId="184" xfId="0" applyFont="1" applyFill="1" applyBorder="1" applyAlignment="1">
      <alignment horizontal="center" vertical="center" wrapText="1"/>
    </xf>
    <xf numFmtId="0" fontId="27" fillId="12" borderId="152" xfId="0" applyFont="1" applyFill="1" applyBorder="1" applyAlignment="1">
      <alignment horizontal="center" vertical="center" wrapText="1"/>
    </xf>
    <xf numFmtId="0" fontId="27" fillId="12" borderId="153" xfId="0" applyFont="1" applyFill="1" applyBorder="1" applyAlignment="1">
      <alignment horizontal="center" vertical="center" wrapText="1"/>
    </xf>
    <xf numFmtId="0" fontId="27" fillId="12" borderId="80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/>
    </xf>
    <xf numFmtId="0" fontId="8" fillId="4" borderId="65" xfId="0" applyFont="1" applyFill="1" applyBorder="1" applyAlignment="1">
      <alignment horizontal="center" vertical="center"/>
    </xf>
    <xf numFmtId="0" fontId="8" fillId="4" borderId="185" xfId="0" applyFont="1" applyFill="1" applyBorder="1" applyAlignment="1">
      <alignment horizontal="center" vertical="center"/>
    </xf>
    <xf numFmtId="0" fontId="8" fillId="4" borderId="74" xfId="0" applyFont="1" applyFill="1" applyBorder="1" applyAlignment="1">
      <alignment horizontal="center" vertical="center"/>
    </xf>
    <xf numFmtId="0" fontId="56" fillId="2" borderId="16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0" fillId="54" borderId="126" xfId="0" applyFill="1" applyBorder="1" applyAlignment="1" applyProtection="1">
      <alignment horizontal="center" vertical="center"/>
      <protection locked="0"/>
    </xf>
    <xf numFmtId="0" fontId="0" fillId="54" borderId="45" xfId="0" applyFill="1" applyBorder="1" applyAlignment="1" applyProtection="1">
      <alignment horizontal="center" vertical="center"/>
      <protection locked="0"/>
    </xf>
    <xf numFmtId="0" fontId="0" fillId="54" borderId="46" xfId="0" applyFill="1" applyBorder="1" applyAlignment="1" applyProtection="1">
      <alignment horizontal="center" vertical="center"/>
      <protection locked="0"/>
    </xf>
    <xf numFmtId="0" fontId="0" fillId="54" borderId="44" xfId="0" applyFill="1" applyBorder="1" applyAlignment="1" applyProtection="1">
      <alignment horizontal="center" vertical="center"/>
      <protection locked="0"/>
    </xf>
    <xf numFmtId="0" fontId="31" fillId="14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27" fillId="12" borderId="0" xfId="0" applyFont="1" applyFill="1" applyBorder="1" applyAlignment="1">
      <alignment horizontal="center" vertical="center" wrapText="1"/>
    </xf>
    <xf numFmtId="0" fontId="8" fillId="63" borderId="65" xfId="0" applyFont="1" applyFill="1" applyBorder="1" applyAlignment="1">
      <alignment horizontal="center" vertical="center"/>
    </xf>
    <xf numFmtId="0" fontId="8" fillId="63" borderId="185" xfId="0" applyFont="1" applyFill="1" applyBorder="1" applyAlignment="1">
      <alignment horizontal="center" vertical="center"/>
    </xf>
    <xf numFmtId="0" fontId="8" fillId="63" borderId="74" xfId="0" applyFont="1" applyFill="1" applyBorder="1" applyAlignment="1">
      <alignment horizontal="center" vertical="center"/>
    </xf>
    <xf numFmtId="0" fontId="1" fillId="51" borderId="133" xfId="0" applyFont="1" applyFill="1" applyBorder="1" applyAlignment="1">
      <alignment horizontal="center" vertical="center"/>
    </xf>
    <xf numFmtId="0" fontId="1" fillId="51" borderId="141" xfId="0" applyFont="1" applyFill="1" applyBorder="1" applyAlignment="1">
      <alignment horizontal="center" vertical="center"/>
    </xf>
    <xf numFmtId="0" fontId="1" fillId="51" borderId="107" xfId="0" applyFont="1" applyFill="1" applyBorder="1" applyAlignment="1">
      <alignment horizontal="center" vertical="center"/>
    </xf>
    <xf numFmtId="0" fontId="2" fillId="14" borderId="109" xfId="0" applyFont="1" applyFill="1" applyBorder="1"/>
    <xf numFmtId="0" fontId="9" fillId="51" borderId="90" xfId="0" applyFont="1" applyFill="1" applyBorder="1" applyAlignment="1">
      <alignment horizontal="center"/>
    </xf>
    <xf numFmtId="0" fontId="2" fillId="14" borderId="91" xfId="0" applyFont="1" applyFill="1" applyBorder="1"/>
    <xf numFmtId="10" fontId="9" fillId="51" borderId="78" xfId="0" applyNumberFormat="1" applyFont="1" applyFill="1" applyBorder="1" applyAlignment="1">
      <alignment horizontal="center"/>
    </xf>
    <xf numFmtId="0" fontId="2" fillId="14" borderId="92" xfId="0" applyFont="1" applyFill="1" applyBorder="1"/>
    <xf numFmtId="0" fontId="1" fillId="51" borderId="83" xfId="0" applyFont="1" applyFill="1" applyBorder="1" applyAlignment="1">
      <alignment horizontal="center" vertical="center"/>
    </xf>
    <xf numFmtId="0" fontId="2" fillId="14" borderId="84" xfId="0" applyFont="1" applyFill="1" applyBorder="1"/>
    <xf numFmtId="0" fontId="2" fillId="14" borderId="85" xfId="0" applyFont="1" applyFill="1" applyBorder="1"/>
    <xf numFmtId="0" fontId="2" fillId="14" borderId="86" xfId="0" applyFont="1" applyFill="1" applyBorder="1"/>
    <xf numFmtId="0" fontId="1" fillId="51" borderId="93" xfId="0" applyFont="1" applyFill="1" applyBorder="1" applyAlignment="1">
      <alignment horizontal="center" vertical="center"/>
    </xf>
    <xf numFmtId="0" fontId="2" fillId="14" borderId="8" xfId="0" applyFont="1" applyFill="1" applyBorder="1"/>
    <xf numFmtId="0" fontId="1" fillId="51" borderId="94" xfId="0" applyFont="1" applyFill="1" applyBorder="1" applyAlignment="1">
      <alignment horizontal="center" vertical="center"/>
    </xf>
    <xf numFmtId="0" fontId="2" fillId="14" borderId="15" xfId="0" applyFont="1" applyFill="1" applyBorder="1"/>
    <xf numFmtId="0" fontId="1" fillId="51" borderId="144" xfId="0" applyFont="1" applyFill="1" applyBorder="1" applyAlignment="1">
      <alignment horizontal="center" vertical="center"/>
    </xf>
    <xf numFmtId="0" fontId="2" fillId="14" borderId="145" xfId="0" applyFont="1" applyFill="1" applyBorder="1"/>
    <xf numFmtId="0" fontId="1" fillId="51" borderId="96" xfId="0" applyFont="1" applyFill="1" applyBorder="1" applyAlignment="1">
      <alignment horizontal="center" vertical="center"/>
    </xf>
    <xf numFmtId="0" fontId="2" fillId="14" borderId="7" xfId="0" applyFont="1" applyFill="1" applyBorder="1"/>
    <xf numFmtId="0" fontId="2" fillId="14" borderId="5" xfId="0" applyFont="1" applyFill="1" applyBorder="1"/>
    <xf numFmtId="0" fontId="1" fillId="51" borderId="95" xfId="0" applyFont="1" applyFill="1" applyBorder="1" applyAlignment="1">
      <alignment horizontal="center" vertical="center"/>
    </xf>
    <xf numFmtId="0" fontId="2" fillId="14" borderId="6" xfId="0" applyFont="1" applyFill="1" applyBorder="1"/>
    <xf numFmtId="0" fontId="1" fillId="51" borderId="16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/>
    </xf>
    <xf numFmtId="0" fontId="2" fillId="0" borderId="49" xfId="0" applyFont="1" applyBorder="1"/>
    <xf numFmtId="0" fontId="1" fillId="31" borderId="1" xfId="0" applyFont="1" applyFill="1" applyBorder="1" applyAlignment="1">
      <alignment horizontal="center" vertical="center"/>
    </xf>
    <xf numFmtId="0" fontId="2" fillId="14" borderId="3" xfId="0" applyFont="1" applyFill="1" applyBorder="1"/>
    <xf numFmtId="0" fontId="1" fillId="31" borderId="143" xfId="0" applyFont="1" applyFill="1" applyBorder="1" applyAlignment="1">
      <alignment horizontal="center" vertical="center"/>
    </xf>
    <xf numFmtId="0" fontId="2" fillId="14" borderId="53" xfId="0" applyFont="1" applyFill="1" applyBorder="1"/>
    <xf numFmtId="0" fontId="1" fillId="31" borderId="3" xfId="0" applyFont="1" applyFill="1" applyBorder="1" applyAlignment="1">
      <alignment horizontal="center" vertical="center"/>
    </xf>
    <xf numFmtId="0" fontId="2" fillId="14" borderId="4" xfId="0" applyFont="1" applyFill="1" applyBorder="1"/>
    <xf numFmtId="0" fontId="1" fillId="31" borderId="28" xfId="0" applyFont="1" applyFill="1" applyBorder="1" applyAlignment="1">
      <alignment horizontal="center" vertical="center"/>
    </xf>
    <xf numFmtId="0" fontId="2" fillId="14" borderId="29" xfId="0" applyFont="1" applyFill="1" applyBorder="1"/>
    <xf numFmtId="0" fontId="33" fillId="34" borderId="143" xfId="0" applyFont="1" applyFill="1" applyBorder="1" applyAlignment="1" applyProtection="1">
      <alignment horizontal="center"/>
      <protection hidden="1"/>
    </xf>
    <xf numFmtId="0" fontId="33" fillId="34" borderId="155" xfId="0" applyFont="1" applyFill="1" applyBorder="1" applyAlignment="1" applyProtection="1">
      <alignment horizontal="center"/>
      <protection hidden="1"/>
    </xf>
    <xf numFmtId="0" fontId="35" fillId="34" borderId="143" xfId="0" applyFont="1" applyFill="1" applyBorder="1" applyAlignment="1">
      <alignment horizontal="center"/>
    </xf>
    <xf numFmtId="0" fontId="35" fillId="34" borderId="155" xfId="0" applyFont="1" applyFill="1" applyBorder="1" applyAlignment="1">
      <alignment horizontal="center"/>
    </xf>
    <xf numFmtId="0" fontId="35" fillId="34" borderId="53" xfId="0" applyFont="1" applyFill="1" applyBorder="1" applyAlignment="1">
      <alignment horizontal="center"/>
    </xf>
    <xf numFmtId="0" fontId="19" fillId="30" borderId="30" xfId="0" applyFont="1" applyFill="1" applyBorder="1" applyAlignment="1">
      <alignment horizontal="center" vertical="center"/>
    </xf>
    <xf numFmtId="0" fontId="2" fillId="14" borderId="31" xfId="0" applyFont="1" applyFill="1" applyBorder="1"/>
    <xf numFmtId="0" fontId="19" fillId="30" borderId="32" xfId="0" applyFont="1" applyFill="1" applyBorder="1" applyAlignment="1">
      <alignment horizontal="center" vertical="center"/>
    </xf>
    <xf numFmtId="0" fontId="2" fillId="14" borderId="154" xfId="0" applyFont="1" applyFill="1" applyBorder="1"/>
    <xf numFmtId="0" fontId="43" fillId="14" borderId="143" xfId="0" applyFont="1" applyFill="1" applyBorder="1" applyAlignment="1">
      <alignment horizontal="center" vertical="center"/>
    </xf>
    <xf numFmtId="0" fontId="43" fillId="14" borderId="53" xfId="0" applyFont="1" applyFill="1" applyBorder="1" applyAlignment="1">
      <alignment horizontal="center" vertical="center"/>
    </xf>
    <xf numFmtId="0" fontId="46" fillId="14" borderId="143" xfId="0" applyFont="1" applyFill="1" applyBorder="1" applyAlignment="1">
      <alignment horizontal="center" vertical="center"/>
    </xf>
    <xf numFmtId="0" fontId="46" fillId="14" borderId="155" xfId="0" applyFont="1" applyFill="1" applyBorder="1" applyAlignment="1">
      <alignment horizontal="center" vertical="center"/>
    </xf>
    <xf numFmtId="0" fontId="0" fillId="12" borderId="65" xfId="0" applyFill="1" applyBorder="1" applyAlignment="1">
      <alignment horizontal="center" wrapText="1"/>
    </xf>
    <xf numFmtId="0" fontId="0" fillId="12" borderId="74" xfId="0" applyFill="1" applyBorder="1" applyAlignment="1">
      <alignment horizontal="center" wrapText="1"/>
    </xf>
    <xf numFmtId="0" fontId="40" fillId="17" borderId="95" xfId="0" applyFont="1" applyFill="1" applyBorder="1" applyAlignment="1">
      <alignment horizontal="center" vertical="center" wrapText="1"/>
    </xf>
    <xf numFmtId="0" fontId="40" fillId="17" borderId="0" xfId="0" applyFont="1" applyFill="1" applyAlignment="1">
      <alignment horizontal="center" vertical="center" wrapText="1"/>
    </xf>
    <xf numFmtId="0" fontId="40" fillId="15" borderId="0" xfId="0" applyFont="1" applyFill="1" applyAlignment="1">
      <alignment horizontal="center" vertical="center" wrapText="1"/>
    </xf>
    <xf numFmtId="0" fontId="57" fillId="53" borderId="0" xfId="0" applyFont="1" applyFill="1" applyAlignment="1">
      <alignment horizontal="center" vertical="center" wrapText="1"/>
    </xf>
    <xf numFmtId="0" fontId="43" fillId="12" borderId="143" xfId="0" applyFont="1" applyFill="1" applyBorder="1" applyAlignment="1">
      <alignment horizontal="center" vertical="center"/>
    </xf>
    <xf numFmtId="0" fontId="43" fillId="12" borderId="155" xfId="0" applyFont="1" applyFill="1" applyBorder="1" applyAlignment="1">
      <alignment horizontal="center" vertical="center"/>
    </xf>
    <xf numFmtId="0" fontId="43" fillId="12" borderId="53" xfId="0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64" xfId="0" applyFont="1" applyFill="1" applyBorder="1" applyAlignment="1">
      <alignment horizontal="center" vertical="center" wrapText="1"/>
    </xf>
    <xf numFmtId="0" fontId="1" fillId="16" borderId="103" xfId="0" applyFont="1" applyFill="1" applyBorder="1" applyAlignment="1">
      <alignment horizontal="center" vertical="center" wrapText="1"/>
    </xf>
    <xf numFmtId="0" fontId="1" fillId="2" borderId="107" xfId="0" applyFont="1" applyFill="1" applyBorder="1" applyAlignment="1">
      <alignment horizontal="center" vertical="center"/>
    </xf>
    <xf numFmtId="0" fontId="1" fillId="2" borderId="109" xfId="0" applyFont="1" applyFill="1" applyBorder="1" applyAlignment="1">
      <alignment horizontal="center" vertical="center"/>
    </xf>
    <xf numFmtId="0" fontId="3" fillId="24" borderId="65" xfId="0" applyFont="1" applyFill="1" applyBorder="1" applyAlignment="1">
      <alignment horizontal="center" vertical="center" wrapText="1"/>
    </xf>
    <xf numFmtId="0" fontId="3" fillId="24" borderId="74" xfId="0" applyFont="1" applyFill="1" applyBorder="1" applyAlignment="1">
      <alignment horizontal="center" vertical="center" wrapText="1"/>
    </xf>
    <xf numFmtId="0" fontId="1" fillId="16" borderId="2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  <xf numFmtId="0" fontId="53" fillId="12" borderId="143" xfId="0" applyFont="1" applyFill="1" applyBorder="1" applyAlignment="1">
      <alignment horizontal="center" vertical="center"/>
    </xf>
    <xf numFmtId="0" fontId="53" fillId="12" borderId="155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1" fillId="2" borderId="108" xfId="0" applyFont="1" applyFill="1" applyBorder="1" applyAlignment="1">
      <alignment horizontal="center" vertical="center"/>
    </xf>
    <xf numFmtId="0" fontId="1" fillId="2" borderId="110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446"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lor theme="1" tint="0.499984740745262"/>
      </font>
      <fill>
        <patternFill patternType="solid">
          <fgColor rgb="FFFFF2CC"/>
          <bgColor theme="6" tint="0.79998168889431442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color theme="1" tint="0.499984740745262"/>
      </font>
      <fill>
        <patternFill patternType="solid">
          <fgColor rgb="FFFFF2CC"/>
          <bgColor rgb="FFFFF2CC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ont>
        <color theme="1" tint="0.499984740745262"/>
      </font>
      <fill>
        <patternFill>
          <bgColor theme="8" tint="0.59996337778862885"/>
        </patternFill>
      </fill>
    </dxf>
    <dxf>
      <font>
        <color theme="1" tint="0.499984740745262"/>
      </font>
      <fill>
        <patternFill>
          <bgColor theme="7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1" tint="0.499984740745262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DAF1F3"/>
        </patternFill>
      </fill>
    </dxf>
    <dxf>
      <fill>
        <patternFill>
          <bgColor theme="8" tint="0.79998168889431442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>
          <bgColor rgb="FF66FF3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theme="5" tint="0.5999633777886288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FFFF"/>
      <color rgb="FFE1C1D1"/>
      <color rgb="FFCCD6E6"/>
      <color rgb="FFC4D7EE"/>
      <color rgb="FFE6EAF0"/>
      <color rgb="FF66FF33"/>
      <color rgb="FFE6EEEE"/>
      <color rgb="FFDAF1F3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rPr lang="fr-FR" b="0">
                <a:solidFill>
                  <a:srgbClr val="000000"/>
                </a:solidFill>
                <a:latin typeface="+mn-lt"/>
              </a:rPr>
              <a:t>Votes exprimés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Synthèse!$L$16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92D050"/>
            </a:solidFill>
            <a:ln cmpd="sng">
              <a:solidFill>
                <a:srgbClr val="92D05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8CB5F9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D760-4393-B926-AF1160C079E1}"/>
              </c:ext>
            </c:extLst>
          </c:dPt>
          <c:dPt>
            <c:idx val="1"/>
            <c:invertIfNegative val="1"/>
            <c:bubble3D val="0"/>
            <c:spPr>
              <a:solidFill>
                <a:srgbClr val="E1C1D1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D760-4393-B926-AF1160C079E1}"/>
              </c:ext>
            </c:extLst>
          </c:dPt>
          <c:dPt>
            <c:idx val="2"/>
            <c:invertIfNegative val="1"/>
            <c:bubble3D val="0"/>
            <c:spPr>
              <a:solidFill>
                <a:srgbClr val="FDD868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60-4393-B926-AF1160C079E1}"/>
              </c:ext>
            </c:extLst>
          </c:dPt>
          <c:dPt>
            <c:idx val="3"/>
            <c:invertIfNegative val="1"/>
            <c:bubble3D val="0"/>
            <c:spPr>
              <a:solidFill>
                <a:srgbClr val="7AD694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D760-4393-B926-AF1160C079E1}"/>
              </c:ext>
            </c:extLst>
          </c:dPt>
          <c:dPt>
            <c:idx val="4"/>
            <c:invertIfNegative val="1"/>
            <c:bubble3D val="0"/>
            <c:spPr>
              <a:solidFill>
                <a:srgbClr val="FEA767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D760-4393-B926-AF1160C079E1}"/>
              </c:ext>
            </c:extLst>
          </c:dPt>
          <c:dPt>
            <c:idx val="5"/>
            <c:invertIfNegative val="1"/>
            <c:bubble3D val="0"/>
            <c:spPr>
              <a:solidFill>
                <a:srgbClr val="F28E86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D760-4393-B926-AF1160C079E1}"/>
              </c:ext>
            </c:extLst>
          </c:dPt>
          <c:dPt>
            <c:idx val="6"/>
            <c:invertIfNegative val="1"/>
            <c:bubble3D val="0"/>
            <c:spPr>
              <a:solidFill>
                <a:srgbClr val="B3CEFB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9D69-473A-8EC0-98BCBEC8387C}"/>
              </c:ext>
            </c:extLst>
          </c:dPt>
          <c:dPt>
            <c:idx val="7"/>
            <c:invertIfNegative val="1"/>
            <c:bubble3D val="0"/>
            <c:spPr>
              <a:solidFill>
                <a:srgbClr val="DAF1F3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9D69-473A-8EC0-98BCBEC8387C}"/>
              </c:ext>
            </c:extLst>
          </c:dPt>
          <c:dPt>
            <c:idx val="8"/>
            <c:invertIfNegative val="1"/>
            <c:bubble3D val="0"/>
            <c:spPr>
              <a:solidFill>
                <a:srgbClr val="FEF2CD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9D69-473A-8EC0-98BCBEC8387C}"/>
              </c:ext>
            </c:extLst>
          </c:dPt>
          <c:dPt>
            <c:idx val="9"/>
            <c:invertIfNegative val="1"/>
            <c:bubble3D val="0"/>
            <c:spPr>
              <a:solidFill>
                <a:srgbClr val="92D05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9D69-473A-8EC0-98BCBEC838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Synthèse!$M$2:$V$2</c:f>
              <c:strCache>
                <c:ptCount val="10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</c:strCache>
            </c:strRef>
          </c:cat>
          <c:val>
            <c:numRef>
              <c:f>Synthèse!$M$16:$V$16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92D05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C-D760-4393-B926-AF1160C07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par bureau durant la journée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6483239154321079E-2"/>
          <c:y val="6.5015479876160992E-2"/>
          <c:w val="0.83989080979742214"/>
          <c:h val="0.84373223470905145"/>
        </c:manualLayout>
      </c:layout>
      <c:lineChart>
        <c:grouping val="standard"/>
        <c:varyColors val="1"/>
        <c:ser>
          <c:idx val="4"/>
          <c:order val="0"/>
          <c:tx>
            <c:v>Bureau 1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horaire'!$G$38:$G$50</c15:sqref>
                  </c15:fullRef>
                </c:ext>
              </c:extLst>
              <c:f>'Participation horaire'!$G$38:$G$48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D-4706-AE63-019CF89C5A19}"/>
            </c:ext>
          </c:extLst>
        </c:ser>
        <c:ser>
          <c:idx val="3"/>
          <c:order val="1"/>
          <c:tx>
            <c:v>Bureau 2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horaire'!$H$38:$H$50</c15:sqref>
                  </c15:fullRef>
                </c:ext>
              </c:extLst>
              <c:f>'Participation horaire'!$H$38:$H$48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D-4706-AE63-019CF89C5A19}"/>
            </c:ext>
          </c:extLst>
        </c:ser>
        <c:ser>
          <c:idx val="12"/>
          <c:order val="2"/>
          <c:tx>
            <c:v>Bureau 10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horaire'!$P$38:$P$50</c15:sqref>
                  </c15:fullRef>
                </c:ext>
              </c:extLst>
              <c:f>'Participation horaire'!$P$38:$P$48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7A-4DD3-B3C0-3C396E2FBEB7}"/>
            </c:ext>
          </c:extLst>
        </c:ser>
        <c:ser>
          <c:idx val="11"/>
          <c:order val="3"/>
          <c:tx>
            <c:v>Bureau 9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horaire'!$O$38:$O$50</c15:sqref>
                  </c15:fullRef>
                </c:ext>
              </c:extLst>
              <c:f>'Participation horaire'!$O$38:$O$48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7A-4DD3-B3C0-3C396E2FBEB7}"/>
            </c:ext>
          </c:extLst>
        </c:ser>
        <c:ser>
          <c:idx val="10"/>
          <c:order val="4"/>
          <c:tx>
            <c:v>Bureau 8</c:v>
          </c:tx>
          <c:spPr>
            <a:ln w="25400" cap="rnd" cmpd="sng" algn="ctr">
              <a:solidFill>
                <a:srgbClr val="EA433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horaire'!$N$38:$N$50</c15:sqref>
                  </c15:fullRef>
                </c:ext>
              </c:extLst>
              <c:f>'Participation horaire'!$N$38:$N$48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7A-4DD3-B3C0-3C396E2FBEB7}"/>
            </c:ext>
          </c:extLst>
        </c:ser>
        <c:ser>
          <c:idx val="9"/>
          <c:order val="5"/>
          <c:tx>
            <c:v>Bureau 7</c:v>
          </c:tx>
          <c:spPr>
            <a:ln w="25400" cap="rnd" cmpd="sng" algn="ctr">
              <a:solidFill>
                <a:srgbClr val="4285F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horaire'!$M$38:$M$50</c15:sqref>
                  </c15:fullRef>
                </c:ext>
              </c:extLst>
              <c:f>'Participation horaire'!$M$38:$M$48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7A-4DD3-B3C0-3C396E2FBEB7}"/>
            </c:ext>
          </c:extLst>
        </c:ser>
        <c:ser>
          <c:idx val="8"/>
          <c:order val="6"/>
          <c:tx>
            <c:v>Bureau 6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horaire'!$L$38:$L$50</c15:sqref>
                  </c15:fullRef>
                </c:ext>
              </c:extLst>
              <c:f>'Participation horaire'!$L$38:$L$48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7A-4DD3-B3C0-3C396E2FBEB7}"/>
            </c:ext>
          </c:extLst>
        </c:ser>
        <c:ser>
          <c:idx val="7"/>
          <c:order val="7"/>
          <c:tx>
            <c:v>Bureau 5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horaire'!$K$38:$K$50</c15:sqref>
                  </c15:fullRef>
                </c:ext>
              </c:extLst>
              <c:f>'Participation horaire'!$K$38:$K$48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7A-4DD3-B3C0-3C396E2FBEB7}"/>
            </c:ext>
          </c:extLst>
        </c:ser>
        <c:ser>
          <c:idx val="6"/>
          <c:order val="8"/>
          <c:tx>
            <c:v>Bureau 4</c:v>
          </c:tx>
          <c:spPr>
            <a:ln w="25400" cap="rnd" cmpd="sng" algn="ctr">
              <a:solidFill>
                <a:srgbClr val="34A85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horaire'!$J$38:$J$50</c15:sqref>
                  </c15:fullRef>
                </c:ext>
              </c:extLst>
              <c:f>'Participation horaire'!$J$38:$J$48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7A-4DD3-B3C0-3C396E2FBEB7}"/>
            </c:ext>
          </c:extLst>
        </c:ser>
        <c:ser>
          <c:idx val="5"/>
          <c:order val="9"/>
          <c:tx>
            <c:v>Bureau 3</c:v>
          </c:tx>
          <c:spPr>
            <a:ln w="25400" cap="rnd" cmpd="sng" algn="ctr">
              <a:solidFill>
                <a:srgbClr val="FBBC04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horaire'!$I$38:$I$50</c15:sqref>
                  </c15:fullRef>
                </c:ext>
              </c:extLst>
              <c:f>'Participation horaire'!$I$38:$I$48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7A-4DD3-B3C0-3C396E2FBEB7}"/>
            </c:ext>
          </c:extLst>
        </c:ser>
        <c:ser>
          <c:idx val="0"/>
          <c:order val="10"/>
          <c:tx>
            <c:v>Total</c:v>
          </c:tx>
          <c:spPr>
            <a:ln w="317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7"/>
            <c:spPr>
              <a:solidFill>
                <a:srgbClr val="000000"/>
              </a:solidFill>
              <a:ln w="317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horaire'!$S$38:$S$50</c15:sqref>
                  </c15:fullRef>
                </c:ext>
              </c:extLst>
              <c:f>'Participation horaire'!$S$38:$S$48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7A-4DD3-B3C0-3C396E2FBEB7}"/>
            </c:ext>
          </c:extLst>
        </c:ser>
        <c:ser>
          <c:idx val="2"/>
          <c:order val="11"/>
          <c:tx>
            <c:v>Bureau 11</c:v>
          </c:tx>
          <c:spPr>
            <a:ln w="25400" cap="rnd" cmpd="sng" algn="ctr">
              <a:solidFill>
                <a:srgbClr val="FF6D01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horaire'!$Q$38:$Q$50</c15:sqref>
                  </c15:fullRef>
                </c:ext>
              </c:extLst>
              <c:f>'Participation horaire'!$Q$38:$Q$48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A-4DD3-B3C0-3C396E2FBEB7}"/>
            </c:ext>
          </c:extLst>
        </c:ser>
        <c:ser>
          <c:idx val="1"/>
          <c:order val="12"/>
          <c:tx>
            <c:v>Bureau 12</c:v>
          </c:tx>
          <c:spPr>
            <a:ln w="25400" cap="rnd" cmpd="sng" algn="ctr">
              <a:solidFill>
                <a:srgbClr val="46BDC6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'Participation horaire'!$F$38:$F$50</c15:sqref>
                  </c15:fullRef>
                </c:ext>
              </c:extLst>
              <c:f>'Participation horaire'!$F$38:$F$48</c:f>
              <c:strCache>
                <c:ptCount val="11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'Participation horaire'!$R$38:$R$50</c15:sqref>
                  </c15:fullRef>
                </c:ext>
              </c:extLst>
              <c:f>'Participation horaire'!$R$38:$R$48</c:f>
              <c:numCache>
                <c:formatCode>0.00%</c:formatCode>
                <c:ptCount val="1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A-4DD3-B3C0-3C396E2F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legend>
      <c:legendPos val="r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Exemple!$D$13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6F-4B45-AD52-17D2BFA0661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6F-4B45-AD52-17D2BFA0661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6F-4B45-AD52-17D2BFA0661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6F-4B45-AD52-17D2BFA0661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6F-4B45-AD52-17D2BFA06618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6F-4B45-AD52-17D2BFA06618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CD6F-4B45-AD52-17D2BFA06618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CD6F-4B45-AD52-17D2BFA06618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CD6F-4B45-AD52-17D2BFA06618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CD6F-4B45-AD52-17D2BFA0661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CD6F-4B45-AD52-17D2BFA06618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CD6F-4B45-AD52-17D2BFA066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Exemple!$E$1:$P$2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Exemple!$E$13:$P$13</c:f>
              <c:numCache>
                <c:formatCode>General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135</c:v>
                </c:pt>
                <c:pt idx="3">
                  <c:v>166</c:v>
                </c:pt>
                <c:pt idx="4">
                  <c:v>9</c:v>
                </c:pt>
                <c:pt idx="5">
                  <c:v>27</c:v>
                </c:pt>
                <c:pt idx="6">
                  <c:v>37</c:v>
                </c:pt>
                <c:pt idx="7">
                  <c:v>15</c:v>
                </c:pt>
                <c:pt idx="8">
                  <c:v>13</c:v>
                </c:pt>
                <c:pt idx="9">
                  <c:v>13</c:v>
                </c:pt>
                <c:pt idx="10" formatCode="#,##0">
                  <c:v>8</c:v>
                </c:pt>
                <c:pt idx="11" formatCode="#,##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F-4B45-AD52-17D2BFA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Exemple!$X$2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042-4696-BEB6-430C19F8A94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042-4696-BEB6-430C19F8A94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042-4696-BEB6-430C19F8A94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042-4696-BEB6-430C19F8A94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042-4696-BEB6-430C19F8A94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42-4696-BEB6-430C19F8A94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042-4696-BEB6-430C19F8A94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042-4696-BEB6-430C19F8A94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042-4696-BEB6-430C19F8A94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042-4696-BEB6-430C19F8A94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042-4696-BEB6-430C19F8A94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F042-4696-BEB6-430C19F8A94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F042-4696-BEB6-430C19F8A94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Exemple!$X$3:$X$15</c:f>
              <c:numCache>
                <c:formatCode>0.00%</c:formatCode>
                <c:ptCount val="13"/>
                <c:pt idx="0">
                  <c:v>0</c:v>
                </c:pt>
                <c:pt idx="1">
                  <c:v>0.11857707509881422</c:v>
                </c:pt>
                <c:pt idx="2">
                  <c:v>0.233201581027668</c:v>
                </c:pt>
                <c:pt idx="3">
                  <c:v>0.35375494071146246</c:v>
                </c:pt>
                <c:pt idx="4">
                  <c:v>0.46442687747035571</c:v>
                </c:pt>
                <c:pt idx="5">
                  <c:v>0.55928853754940711</c:v>
                </c:pt>
                <c:pt idx="6">
                  <c:v>0.63043478260869568</c:v>
                </c:pt>
                <c:pt idx="7">
                  <c:v>0.69169960474308301</c:v>
                </c:pt>
                <c:pt idx="8">
                  <c:v>0.75098814229249011</c:v>
                </c:pt>
                <c:pt idx="9">
                  <c:v>0.78853754940711462</c:v>
                </c:pt>
                <c:pt idx="10">
                  <c:v>0.86956521739130432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042-4696-BEB6-430C19F8A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Exemple!$AA$2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66B-4961-A915-DA10BCA8B5C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66B-4961-A915-DA10BCA8B5C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66B-4961-A915-DA10BCA8B5CB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66B-4961-A915-DA10BCA8B5CB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66B-4961-A915-DA10BCA8B5CB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66B-4961-A915-DA10BCA8B5CB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66B-4961-A915-DA10BCA8B5CB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66B-4961-A915-DA10BCA8B5CB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66B-4961-A915-DA10BCA8B5CB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66B-4961-A915-DA10BCA8B5CB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66B-4961-A915-DA10BCA8B5CB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66B-4961-A915-DA10BCA8B5CB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66B-4961-A915-DA10BCA8B5CB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Exemple!$Z$4:$Z$15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Exemple!$AA$4:$AA$15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61</c:v>
                </c:pt>
                <c:pt idx="3">
                  <c:v>56</c:v>
                </c:pt>
                <c:pt idx="4">
                  <c:v>48</c:v>
                </c:pt>
                <c:pt idx="5">
                  <c:v>36</c:v>
                </c:pt>
                <c:pt idx="6">
                  <c:v>31</c:v>
                </c:pt>
                <c:pt idx="7">
                  <c:v>30</c:v>
                </c:pt>
                <c:pt idx="8">
                  <c:v>19</c:v>
                </c:pt>
                <c:pt idx="9">
                  <c:v>41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66B-4961-A915-DA10BCA8B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8-EA70-41AD-B1C4-117C5EADDF9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A-EA70-41AD-B1C4-117C5EADDF9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C-EA70-41AD-B1C4-117C5EADDF9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6E-EA70-41AD-B1C4-117C5EADDF9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0-EA70-41AD-B1C4-117C5EADDF9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2-EA70-41AD-B1C4-117C5EADDF9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4-EA70-41AD-B1C4-117C5EADDF9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6-EA70-41AD-B1C4-117C5EADDF9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8-EA70-41AD-B1C4-117C5EADDF9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A-EA70-41AD-B1C4-117C5EADDF9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C-EA70-41AD-B1C4-117C5EADDF9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7E-EA70-41AD-B1C4-117C5EADDF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0'!$E$1:$P$2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EA70-41AD-B1C4-117C5EAD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E73-429A-9A32-59AB00AFD32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73-429A-9A32-59AB00AFD32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E73-429A-9A32-59AB00AFD32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73-429A-9A32-59AB00AFD32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E73-429A-9A32-59AB00AFD32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73-429A-9A32-59AB00AFD32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E73-429A-9A32-59AB00AFD32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E73-429A-9A32-59AB00AFD32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E73-429A-9A32-59AB00AFD32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E73-429A-9A32-59AB00AFD32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E73-429A-9A32-59AB00AFD32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E73-429A-9A32-59AB00AFD32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E73-429A-9A32-59AB00AFD32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73-429A-9A32-59AB00AF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2DE-4D37-8F9D-F3A8F583D5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2DE-4D37-8F9D-F3A8F583D5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2DE-4D37-8F9D-F3A8F583D5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2DE-4D37-8F9D-F3A8F583D5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2DE-4D37-8F9D-F3A8F583D5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2DE-4D37-8F9D-F3A8F583D5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2DE-4D37-8F9D-F3A8F583D533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2DE-4D37-8F9D-F3A8F583D53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2DE-4D37-8F9D-F3A8F583D533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2DE-4D37-8F9D-F3A8F583D533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2DE-4D37-8F9D-F3A8F583D533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2DE-4D37-8F9D-F3A8F583D533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2DE-4D37-8F9D-F3A8F583D5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DE-4D37-8F9D-F3A8F583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A4-47D3-B0C1-15F3A99CC4E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A4-47D3-B0C1-15F3A99CC4EC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A4-47D3-B0C1-15F3A99CC4EC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CA4-47D3-B0C1-15F3A99CC4E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CA4-47D3-B0C1-15F3A99CC4EC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CA4-47D3-B0C1-15F3A99CC4EC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CA4-47D3-B0C1-15F3A99CC4EC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CA4-47D3-B0C1-15F3A99CC4EC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CA4-47D3-B0C1-15F3A99CC4EC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CA4-47D3-B0C1-15F3A99CC4EC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CA4-47D3-B0C1-15F3A99CC4EC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CA4-47D3-B0C1-15F3A99CC4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CA4-47D3-B0C1-15F3A99CC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3B8-4295-9EE4-894C8A4157F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3B8-4295-9EE4-894C8A4157F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3B8-4295-9EE4-894C8A4157F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3B8-4295-9EE4-894C8A4157F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3B8-4295-9EE4-894C8A4157F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3B8-4295-9EE4-894C8A4157F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3B8-4295-9EE4-894C8A4157F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3B8-4295-9EE4-894C8A4157F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3B8-4295-9EE4-894C8A4157F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3B8-4295-9EE4-894C8A4157F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3B8-4295-9EE4-894C8A4157F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3B8-4295-9EE4-894C8A4157F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3B8-4295-9EE4-894C8A4157F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B8-4295-9EE4-894C8A415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CE0-457A-891E-5519EBE8490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CE0-457A-891E-5519EBE8490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CE0-457A-891E-5519EBE8490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E0-457A-891E-5519EBE8490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CE0-457A-891E-5519EBE8490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CE0-457A-891E-5519EBE8490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CE0-457A-891E-5519EBE84904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CE0-457A-891E-5519EBE8490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CE0-457A-891E-5519EBE8490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CE0-457A-891E-5519EBE8490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CE0-457A-891E-5519EBE84904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CE0-457A-891E-5519EBE84904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CE0-457A-891E-5519EBE84904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CE0-457A-891E-5519EBE84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9-484F-8D42-95DE882E59A3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39-484F-8D42-95DE882E59A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39-484F-8D42-95DE882E59A3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39-484F-8D42-95DE882E59A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5739-484F-8D42-95DE882E59A3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5739-484F-8D42-95DE882E59A3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5739-484F-8D42-95DE882E59A3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5739-484F-8D42-95DE882E59A3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5739-484F-8D42-95DE882E59A3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5739-484F-8D42-95DE882E59A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5739-484F-8D42-95DE882E59A3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5739-484F-8D42-95DE882E59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2'!$E$1:$P$2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739-484F-8D42-95DE882E5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D5E-4365-9E2F-ABA64BA6FC2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D5E-4365-9E2F-ABA64BA6FC2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D5E-4365-9E2F-ABA64BA6FC2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D5E-4365-9E2F-ABA64BA6FC2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D5E-4365-9E2F-ABA64BA6FC2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D5E-4365-9E2F-ABA64BA6FC2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D5E-4365-9E2F-ABA64BA6FC2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D5E-4365-9E2F-ABA64BA6FC2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D5E-4365-9E2F-ABA64BA6FC2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D5E-4365-9E2F-ABA64BA6FC2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D5E-4365-9E2F-ABA64BA6FC2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D5E-4365-9E2F-ABA64BA6FC2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D5E-4365-9E2F-ABA64BA6FC2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5E-4365-9E2F-ABA64BA6F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56F-44AF-93F6-52E09D014A6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56F-44AF-93F6-52E09D014A6F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56F-44AF-93F6-52E09D014A6F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56F-44AF-93F6-52E09D014A6F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56F-44AF-93F6-52E09D014A6F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56F-44AF-93F6-52E09D014A6F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56F-44AF-93F6-52E09D014A6F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56F-44AF-93F6-52E09D014A6F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56F-44AF-93F6-52E09D014A6F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56F-44AF-93F6-52E09D014A6F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56F-44AF-93F6-52E09D014A6F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56F-44AF-93F6-52E09D014A6F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56F-44AF-93F6-52E09D014A6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6F-44AF-93F6-52E09D014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3'!$D$13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1-486D-8B5D-FC51A50F81C1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1-486D-8B5D-FC51A50F81C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1-486D-8B5D-FC51A50F81C1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1-486D-8B5D-FC51A50F81C1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21-486D-8B5D-FC51A50F81C1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721-486D-8B5D-FC51A50F81C1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F721-486D-8B5D-FC51A50F81C1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21-486D-8B5D-FC51A50F81C1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F721-486D-8B5D-FC51A50F81C1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F721-486D-8B5D-FC51A50F81C1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F721-486D-8B5D-FC51A50F81C1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F721-486D-8B5D-FC51A50F81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3'!$E$1:$P$2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3'!$E$13:$P$13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21-486D-8B5D-FC51A50F8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3'!$X$2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C6A-4E6A-A64C-A16D0764900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C6A-4E6A-A64C-A16D0764900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C6A-4E6A-A64C-A16D0764900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C6A-4E6A-A64C-A16D0764900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C6A-4E6A-A64C-A16D0764900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C6A-4E6A-A64C-A16D0764900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C6A-4E6A-A64C-A16D0764900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C6A-4E6A-A64C-A16D0764900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C6A-4E6A-A64C-A16D0764900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C6A-4E6A-A64C-A16D0764900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C6A-4E6A-A64C-A16D0764900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C6A-4E6A-A64C-A16D0764900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C6A-4E6A-A64C-A16D0764900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3'!$X$3:$X$15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6A-4E6A-A64C-A16D07649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3'!$AA$2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37-4D82-BC02-7E2A99EB581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D37-4D82-BC02-7E2A99EB581A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D37-4D82-BC02-7E2A99EB581A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D37-4D82-BC02-7E2A99EB581A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D37-4D82-BC02-7E2A99EB581A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D37-4D82-BC02-7E2A99EB581A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D37-4D82-BC02-7E2A99EB581A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D37-4D82-BC02-7E2A99EB581A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D37-4D82-BC02-7E2A99EB581A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D37-4D82-BC02-7E2A99EB581A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D37-4D82-BC02-7E2A99EB581A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D37-4D82-BC02-7E2A99EB581A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D37-4D82-BC02-7E2A99EB581A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3'!$Z$4:$Z$15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3'!$AA$4:$AA$15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D37-4D82-BC02-7E2A99EB5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4'!$D$13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97-431E-8B02-4A544EB23E0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97-431E-8B02-4A544EB23E05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97-431E-8B02-4A544EB23E05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97-431E-8B02-4A544EB23E0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197-431E-8B02-4A544EB23E05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197-431E-8B02-4A544EB23E05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197-431E-8B02-4A544EB23E05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97-431E-8B02-4A544EB23E05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97-431E-8B02-4A544EB23E05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97-431E-8B02-4A544EB23E05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197-431E-8B02-4A544EB23E05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197-431E-8B02-4A544EB23E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4'!$E$1:$P$2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4'!$E$13:$P$13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197-431E-8B02-4A544EB23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4'!$X$2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585-495A-9832-506666D9E577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85-495A-9832-506666D9E577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585-495A-9832-506666D9E577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85-495A-9832-506666D9E577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585-495A-9832-506666D9E57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585-495A-9832-506666D9E577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585-495A-9832-506666D9E577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585-495A-9832-506666D9E577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85-495A-9832-506666D9E577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85-495A-9832-506666D9E577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85-495A-9832-506666D9E577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585-495A-9832-506666D9E577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585-495A-9832-506666D9E57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4'!$X$3:$X$15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585-495A-9832-506666D9E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4'!$AA$2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8C9-4A86-8713-3ECCDACB5AA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8C9-4A86-8713-3ECCDACB5AA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8C9-4A86-8713-3ECCDACB5AA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8C9-4A86-8713-3ECCDACB5AA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8C9-4A86-8713-3ECCDACB5AA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8C9-4A86-8713-3ECCDACB5AA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8C9-4A86-8713-3ECCDACB5AA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8C9-4A86-8713-3ECCDACB5AA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8C9-4A86-8713-3ECCDACB5AA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8C9-4A86-8713-3ECCDACB5AA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8C9-4A86-8713-3ECCDACB5AA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8C9-4A86-8713-3ECCDACB5AA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8C9-4A86-8713-3ECCDACB5AA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4'!$Z$4:$Z$15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4'!$AA$4:$AA$15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8C9-4A86-8713-3ECCDACB5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5'!$D$13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F5-43E7-8516-B961F9E003C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F5-43E7-8516-B961F9E003C2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F5-43E7-8516-B961F9E003C2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F5-43E7-8516-B961F9E003C2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E8F5-43E7-8516-B961F9E003C2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E8F5-43E7-8516-B961F9E003C2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F5-43E7-8516-B961F9E003C2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E8F5-43E7-8516-B961F9E003C2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E8F5-43E7-8516-B961F9E003C2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E8F5-43E7-8516-B961F9E003C2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E8F5-43E7-8516-B961F9E003C2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E8F5-43E7-8516-B961F9E003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5'!$E$1:$P$2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5'!$E$13:$P$13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8F5-43E7-8516-B961F9E00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5'!$X$2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B2A-4A4F-82F0-314CB046601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B2A-4A4F-82F0-314CB046601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B2A-4A4F-82F0-314CB046601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B2A-4A4F-82F0-314CB046601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B2A-4A4F-82F0-314CB046601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B2A-4A4F-82F0-314CB046601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B2A-4A4F-82F0-314CB046601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B2A-4A4F-82F0-314CB046601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B2A-4A4F-82F0-314CB046601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B2A-4A4F-82F0-314CB046601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B2A-4A4F-82F0-314CB046601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B2A-4A4F-82F0-314CB046601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B2A-4A4F-82F0-314CB046601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5'!$X$3:$X$15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2A-4A4F-82F0-314CB046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5'!$AA$2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091F-4E23-9D48-7D073CEE184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91F-4E23-9D48-7D073CEE184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091F-4E23-9D48-7D073CEE184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91F-4E23-9D48-7D073CEE184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91F-4E23-9D48-7D073CEE184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91F-4E23-9D48-7D073CEE184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91F-4E23-9D48-7D073CEE184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91F-4E23-9D48-7D073CEE184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91F-4E23-9D48-7D073CEE184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91F-4E23-9D48-7D073CEE184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091F-4E23-9D48-7D073CEE184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91F-4E23-9D48-7D073CEE184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091F-4E23-9D48-7D073CEE184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5'!$Z$4:$Z$15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5'!$AA$4:$AA$15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1F-4E23-9D48-7D073CEE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6'!$D$13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0D-4A20-B26C-C198DEABE0B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0D-4A20-B26C-C198DEABE0B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10D-4A20-B26C-C198DEABE0B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10D-4A20-B26C-C198DEABE0B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10D-4A20-B26C-C198DEABE0B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10D-4A20-B26C-C198DEABE0B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10D-4A20-B26C-C198DEABE0B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10D-4A20-B26C-C198DEABE0B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0D-4A20-B26C-C198DEABE0B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0D-4A20-B26C-C198DEABE0B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10D-4A20-B26C-C198DEABE0B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10D-4A20-B26C-C198DEABE0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6'!$E$1:$P$2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6'!$E$13:$P$13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10D-4A20-B26C-C198DEABE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6'!$X$2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640-457C-9EAB-A9312CA19FC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40-457C-9EAB-A9312CA19FCD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640-457C-9EAB-A9312CA19FCD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640-457C-9EAB-A9312CA19FCD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640-457C-9EAB-A9312CA19FCD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640-457C-9EAB-A9312CA19FCD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640-457C-9EAB-A9312CA19FCD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640-457C-9EAB-A9312CA19FCD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640-457C-9EAB-A9312CA19FCD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640-457C-9EAB-A9312CA19FCD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640-457C-9EAB-A9312CA19FCD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640-457C-9EAB-A9312CA19FCD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640-457C-9EAB-A9312CA19FC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6'!$X$3:$X$15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640-457C-9EAB-A9312CA19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6'!$AA$2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737-4068-95EE-CAD86BC4F0B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737-4068-95EE-CAD86BC4F0B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737-4068-95EE-CAD86BC4F0B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737-4068-95EE-CAD86BC4F0B7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737-4068-95EE-CAD86BC4F0B7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737-4068-95EE-CAD86BC4F0B7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737-4068-95EE-CAD86BC4F0B7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737-4068-95EE-CAD86BC4F0B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737-4068-95EE-CAD86BC4F0B7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737-4068-95EE-CAD86BC4F0B7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737-4068-95EE-CAD86BC4F0B7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737-4068-95EE-CAD86BC4F0B7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737-4068-95EE-CAD86BC4F0B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6'!$Z$4:$Z$15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6'!$AA$4:$AA$15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37-4068-95EE-CAD86BC4F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7'!$D$13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39-4662-987E-E9AF9F1D8B8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39-4662-987E-E9AF9F1D8B8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39-4662-987E-E9AF9F1D8B8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39-4662-987E-E9AF9F1D8B8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39-4662-987E-E9AF9F1D8B88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39-4662-987E-E9AF9F1D8B88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39-4662-987E-E9AF9F1D8B88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39-4662-987E-E9AF9F1D8B88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2E39-4662-987E-E9AF9F1D8B88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2E39-4662-987E-E9AF9F1D8B8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2E39-4662-987E-E9AF9F1D8B88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2E39-4662-987E-E9AF9F1D8B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7'!$E$1:$P$2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7'!$E$13:$P$13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E39-4662-987E-E9AF9F1D8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7'!$X$2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D97-43DD-B01F-F5F789D4472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D97-43DD-B01F-F5F789D4472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D97-43DD-B01F-F5F789D4472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D97-43DD-B01F-F5F789D4472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D97-43DD-B01F-F5F789D4472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D97-43DD-B01F-F5F789D4472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D97-43DD-B01F-F5F789D4472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D97-43DD-B01F-F5F789D4472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D97-43DD-B01F-F5F789D4472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D97-43DD-B01F-F5F789D4472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D97-43DD-B01F-F5F789D4472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D97-43DD-B01F-F5F789D4472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D97-43DD-B01F-F5F789D4472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7'!$X$3:$X$15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97-43DD-B01F-F5F789D44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7'!$AA$2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D137-4DFE-852A-6A82F9CF475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137-4DFE-852A-6A82F9CF475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137-4DFE-852A-6A82F9CF475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137-4DFE-852A-6A82F9CF475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137-4DFE-852A-6A82F9CF475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D137-4DFE-852A-6A82F9CF475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137-4DFE-852A-6A82F9CF475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137-4DFE-852A-6A82F9CF475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137-4DFE-852A-6A82F9CF475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137-4DFE-852A-6A82F9CF475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137-4DFE-852A-6A82F9CF475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D137-4DFE-852A-6A82F9CF475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137-4DFE-852A-6A82F9CF475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7'!$Z$4:$Z$15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7'!$AA$4:$AA$15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37-4DFE-852A-6A82F9CF4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8'!$D$13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6C-44A9-BA19-0FEE6850995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6C-44A9-BA19-0FEE6850995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6C-44A9-BA19-0FEE6850995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026C-44A9-BA19-0FEE6850995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026C-44A9-BA19-0FEE6850995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026C-44A9-BA19-0FEE6850995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026C-44A9-BA19-0FEE6850995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026C-44A9-BA19-0FEE6850995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026C-44A9-BA19-0FEE6850995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026C-44A9-BA19-0FEE6850995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026C-44A9-BA19-0FEE6850995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026C-44A9-BA19-0FEE685099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8'!$E$1:$P$2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8'!$E$13:$P$13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26C-44A9-BA19-0FEE68509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8'!$X$2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2-4773-8C6F-FCB47872A9E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2-4773-8C6F-FCB47872A9EF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2-4773-8C6F-FCB47872A9EF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22-4773-8C6F-FCB47872A9EF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522-4773-8C6F-FCB47872A9EF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522-4773-8C6F-FCB47872A9EF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522-4773-8C6F-FCB47872A9EF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522-4773-8C6F-FCB47872A9EF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8522-4773-8C6F-FCB47872A9EF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8522-4773-8C6F-FCB47872A9EF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8522-4773-8C6F-FCB47872A9EF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8522-4773-8C6F-FCB47872A9EF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8522-4773-8C6F-FCB47872A9E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8'!$X$3:$X$15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522-4773-8C6F-FCB47872A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8'!$AA$2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BB8C-49A8-9108-2D7871192C9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B8C-49A8-9108-2D7871192C9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B8C-49A8-9108-2D7871192C96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B8C-49A8-9108-2D7871192C96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B8C-49A8-9108-2D7871192C96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B8C-49A8-9108-2D7871192C96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B8C-49A8-9108-2D7871192C96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B8C-49A8-9108-2D7871192C96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B8C-49A8-9108-2D7871192C96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B8C-49A8-9108-2D7871192C96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B8C-49A8-9108-2D7871192C96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B8C-49A8-9108-2D7871192C96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BB8C-49A8-9108-2D7871192C9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8'!$Z$4:$Z$15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8'!$AA$4:$AA$15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8C-49A8-9108-2D7871192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9'!$D$13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42-4623-87E4-A0B4C0111DD7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7F42-4623-87E4-A0B4C0111DD7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F42-4623-87E4-A0B4C0111DD7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F42-4623-87E4-A0B4C0111DD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7F42-4623-87E4-A0B4C0111DD7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7F42-4623-87E4-A0B4C0111DD7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7F42-4623-87E4-A0B4C0111DD7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7F42-4623-87E4-A0B4C0111DD7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7F42-4623-87E4-A0B4C0111DD7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7F42-4623-87E4-A0B4C0111DD7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7F42-4623-87E4-A0B4C0111DD7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7F42-4623-87E4-A0B4C0111D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9'!$E$1:$P$2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9'!$E$13:$P$13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F42-4623-87E4-A0B4C0111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9'!$X$2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F47-4196-9E1F-ED95C45F37DA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47-4196-9E1F-ED95C45F37DA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F47-4196-9E1F-ED95C45F37DA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47-4196-9E1F-ED95C45F37DA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F47-4196-9E1F-ED95C45F37DA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F47-4196-9E1F-ED95C45F37DA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EF47-4196-9E1F-ED95C45F37DA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F47-4196-9E1F-ED95C45F37DA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EF47-4196-9E1F-ED95C45F37DA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EF47-4196-9E1F-ED95C45F37DA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F47-4196-9E1F-ED95C45F37DA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EF47-4196-9E1F-ED95C45F37DA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F47-4196-9E1F-ED95C45F37D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9'!$X$3:$X$15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F47-4196-9E1F-ED95C45F3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9'!$AA$2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FC2-437C-BFC7-F420802DA1A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FC2-437C-BFC7-F420802DA1A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FC2-437C-BFC7-F420802DA1AC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FC2-437C-BFC7-F420802DA1AC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FC2-437C-BFC7-F420802DA1AC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FC2-437C-BFC7-F420802DA1AC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FC2-437C-BFC7-F420802DA1AC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FC2-437C-BFC7-F420802DA1AC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FC2-437C-BFC7-F420802DA1AC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FC2-437C-BFC7-F420802DA1AC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FC2-437C-BFC7-F420802DA1A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FC2-437C-BFC7-F420802DA1AC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FC2-437C-BFC7-F420802DA1A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9'!$Z$4:$Z$15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9'!$AA$4:$AA$15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C2-437C-BFC7-F420802DA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10'!$D$13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5D-4176-A666-E2D5DE375E1A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5D-4176-A666-E2D5DE375E1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5D-4176-A666-E2D5DE375E1A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5D-4176-A666-E2D5DE375E1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5D-4176-A666-E2D5DE375E1A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5D-4176-A666-E2D5DE375E1A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5D-4176-A666-E2D5DE375E1A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5D-4176-A666-E2D5DE375E1A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405D-4176-A666-E2D5DE375E1A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405D-4176-A666-E2D5DE375E1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405D-4176-A666-E2D5DE375E1A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405D-4176-A666-E2D5DE375E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10'!$E$1:$P$2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10'!$E$13:$P$13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05D-4176-A666-E2D5DE375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10'!$X$2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720-4912-A720-2A4A1E6F99F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720-4912-A720-2A4A1E6F99F9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720-4912-A720-2A4A1E6F99F9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720-4912-A720-2A4A1E6F99F9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720-4912-A720-2A4A1E6F99F9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720-4912-A720-2A4A1E6F99F9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5720-4912-A720-2A4A1E6F99F9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720-4912-A720-2A4A1E6F99F9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720-4912-A720-2A4A1E6F99F9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5720-4912-A720-2A4A1E6F99F9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720-4912-A720-2A4A1E6F99F9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5720-4912-A720-2A4A1E6F99F9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720-4912-A720-2A4A1E6F99F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10'!$X$3:$X$15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20-4912-A720-2A4A1E6F9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10'!$AA$2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5E4-4B4C-9830-B01DA6F512B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5E4-4B4C-9830-B01DA6F512B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5E4-4B4C-9830-B01DA6F512B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5E4-4B4C-9830-B01DA6F512B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E4-4B4C-9830-B01DA6F512B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5E4-4B4C-9830-B01DA6F512B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5E4-4B4C-9830-B01DA6F512B5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5E4-4B4C-9830-B01DA6F512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A5E4-4B4C-9830-B01DA6F512B5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A5E4-4B4C-9830-B01DA6F512B5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A5E4-4B4C-9830-B01DA6F512B5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A5E4-4B4C-9830-B01DA6F512B5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A5E4-4B4C-9830-B01DA6F512B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10'!$Z$4:$Z$15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10'!$AA$4:$AA$15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E4-4B4C-9830-B01DA6F51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11'!$D$13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5F-4A54-A902-3C6BA7F3A13B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95F-4A54-A902-3C6BA7F3A13B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95F-4A54-A902-3C6BA7F3A13B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95F-4A54-A902-3C6BA7F3A13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95F-4A54-A902-3C6BA7F3A13B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95F-4A54-A902-3C6BA7F3A13B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95F-4A54-A902-3C6BA7F3A13B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95F-4A54-A902-3C6BA7F3A13B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95F-4A54-A902-3C6BA7F3A13B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95F-4A54-A902-3C6BA7F3A13B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95F-4A54-A902-3C6BA7F3A13B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95F-4A54-A902-3C6BA7F3A1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11'!$E$1:$P$2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11'!$E$13:$P$13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95F-4A54-A902-3C6BA7F3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11'!$X$2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CED-4356-993E-FDC74163D6CC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ED-4356-993E-FDC74163D6CC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CED-4356-993E-FDC74163D6CC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ED-4356-993E-FDC74163D6CC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CED-4356-993E-FDC74163D6CC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CED-4356-993E-FDC74163D6CC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CED-4356-993E-FDC74163D6CC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CED-4356-993E-FDC74163D6CC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CED-4356-993E-FDC74163D6CC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CED-4356-993E-FDC74163D6CC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CED-4356-993E-FDC74163D6CC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CED-4356-993E-FDC74163D6CC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3CED-4356-993E-FDC74163D6C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11'!$X$3:$X$15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ED-4356-993E-FDC74163D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11'!$AA$2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83-4619-A487-B9D608639F1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83-4619-A487-B9D608639F1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83-4619-A487-B9D608639F1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683-4619-A487-B9D608639F1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683-4619-A487-B9D608639F10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683-4619-A487-B9D608639F1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683-4619-A487-B9D608639F1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683-4619-A487-B9D608639F1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683-4619-A487-B9D608639F10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683-4619-A487-B9D608639F1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683-4619-A487-B9D608639F10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4683-4619-A487-B9D608639F10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4683-4619-A487-B9D608639F10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11'!$Z$4:$Z$15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11'!$AA$4:$AA$15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83-4619-A487-B9D60863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Dépouillement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219169328074967E-2"/>
          <c:y val="0.14095238095238094"/>
          <c:w val="0.94820203504283329"/>
          <c:h val="0.71593059958414285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'Bureau 12'!$D$13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 w="63500" cap="flat">
              <a:solidFill>
                <a:schemeClr val="accent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8CB5F9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0D-470D-8060-10A20FF1F0FB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1C1D1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0D-470D-8060-10A20FF1F0FB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DD86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0D-470D-8060-10A20FF1F0FB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7AD694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7-DA0D-470D-8060-10A20FF1F0F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A767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9-DA0D-470D-8060-10A20FF1F0FB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28E8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B-DA0D-470D-8060-10A20FF1F0FB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B3CEFB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D-DA0D-470D-8060-10A20FF1F0FB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DAF1F3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F-DA0D-470D-8060-10A20FF1F0FB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FEF2CD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1-DA0D-470D-8060-10A20FF1F0FB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3-DA0D-470D-8060-10A20FF1F0FB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E6E6E6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5-DA0D-470D-8060-10A20FF1F0FB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 w="63500" cap="flat" cmpd="sng" algn="ctr">
                <a:solidFill>
                  <a:srgbClr val="C8C8C8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17-DA0D-470D-8060-10A20FF1F0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'Bureau 12'!$E$1:$P$2</c:f>
              <c:strCache>
                <c:ptCount val="12"/>
                <c:pt idx="0">
                  <c:v>Candidat 1</c:v>
                </c:pt>
                <c:pt idx="1">
                  <c:v>Candidat 2 qui a un nom super long</c:v>
                </c:pt>
                <c:pt idx="2">
                  <c:v>Candidat 3</c:v>
                </c:pt>
                <c:pt idx="3">
                  <c:v>Candidat 4</c:v>
                </c:pt>
                <c:pt idx="4">
                  <c:v>Candidat 5</c:v>
                </c:pt>
                <c:pt idx="5">
                  <c:v>Candidat 6</c:v>
                </c:pt>
                <c:pt idx="6">
                  <c:v>Candidat 7</c:v>
                </c:pt>
                <c:pt idx="7">
                  <c:v>Candidat 8</c:v>
                </c:pt>
                <c:pt idx="8">
                  <c:v>Candidat 9</c:v>
                </c:pt>
                <c:pt idx="9">
                  <c:v>Candidat 10</c:v>
                </c:pt>
                <c:pt idx="10">
                  <c:v>Blancs</c:v>
                </c:pt>
                <c:pt idx="11">
                  <c:v>Nuls</c:v>
                </c:pt>
              </c:strCache>
            </c:strRef>
          </c:cat>
          <c:val>
            <c:numRef>
              <c:f>'Bureau 12'!$E$13:$P$13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#,##0">
                  <c:v>0</c:v>
                </c:pt>
                <c:pt idx="1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A0D-470D-8060-10A20FF1F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46569049"/>
        <c:axId val="2087855260"/>
      </c:barChart>
      <c:catAx>
        <c:axId val="204656904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7855260"/>
        <c:crosses val="autoZero"/>
        <c:auto val="1"/>
        <c:lblAlgn val="ctr"/>
        <c:lblOffset val="100"/>
        <c:noMultiLvlLbl val="1"/>
      </c:catAx>
      <c:valAx>
        <c:axId val="20878552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6569049"/>
        <c:crosses val="autoZero"/>
        <c:crossBetween val="between"/>
      </c:valAx>
    </c:plotArea>
    <c:plotVisOnly val="1"/>
    <c:dispBlanksAs val="zero"/>
    <c:showDLblsOverMax val="1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du bureau durant la journée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12"/>
          <c:order val="0"/>
          <c:tx>
            <c:strRef>
              <c:f>'Bureau 12'!$X$2</c:f>
              <c:strCache>
                <c:ptCount val="1"/>
                <c:pt idx="0">
                  <c:v>Votants %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cmpd="sng"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593-49B2-BA94-B202935CE722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93-49B2-BA94-B202935CE722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93-49B2-BA94-B202935CE722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93-49B2-BA94-B202935CE722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593-49B2-BA94-B202935CE722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93-49B2-BA94-B202935CE722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93-49B2-BA94-B202935CE722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593-49B2-BA94-B202935CE722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593-49B2-BA94-B202935CE722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593-49B2-BA94-B202935CE722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C593-49B2-BA94-B202935CE722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C593-49B2-BA94-B202935CE72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593-49B2-BA94-B202935CE72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12'!$V$3:$V$15</c:f>
              <c:strCache>
                <c:ptCount val="13"/>
                <c:pt idx="0">
                  <c:v>08h00</c:v>
                </c:pt>
                <c:pt idx="1">
                  <c:v>09h00</c:v>
                </c:pt>
                <c:pt idx="2">
                  <c:v>10h00</c:v>
                </c:pt>
                <c:pt idx="3">
                  <c:v>11h00</c:v>
                </c:pt>
                <c:pt idx="4">
                  <c:v>12h00</c:v>
                </c:pt>
                <c:pt idx="5">
                  <c:v>13h00</c:v>
                </c:pt>
                <c:pt idx="6">
                  <c:v>14h00</c:v>
                </c:pt>
                <c:pt idx="7">
                  <c:v>15h00</c:v>
                </c:pt>
                <c:pt idx="8">
                  <c:v>16h00</c:v>
                </c:pt>
                <c:pt idx="9">
                  <c:v>17h00</c:v>
                </c:pt>
                <c:pt idx="10">
                  <c:v>18h00</c:v>
                </c:pt>
                <c:pt idx="11">
                  <c:v>19h00</c:v>
                </c:pt>
                <c:pt idx="12">
                  <c:v>20h00</c:v>
                </c:pt>
              </c:strCache>
            </c:strRef>
          </c:cat>
          <c:val>
            <c:numRef>
              <c:f>'Bureau 12'!$X$3:$X$15</c:f>
              <c:numCache>
                <c:formatCode>0.00%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593-49B2-BA94-B202935CE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155108"/>
        <c:axId val="555101647"/>
      </c:line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tickMarkSkip val="1"/>
        <c:noMultiLvlLbl val="1"/>
      </c:catAx>
      <c:valAx>
        <c:axId val="555101647"/>
        <c:scaling>
          <c:orientation val="minMax"/>
          <c:max val="1"/>
          <c:min val="0"/>
        </c:scaling>
        <c:delete val="0"/>
        <c:axPos val="r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max"/>
        <c:crossBetween val="between"/>
      </c:valAx>
    </c:plotArea>
    <c:plotVisOnly val="1"/>
    <c:dispBlanksAs val="zero"/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fr-FR" b="0">
                <a:solidFill>
                  <a:srgbClr val="757575"/>
                </a:solidFill>
                <a:latin typeface="+mn-lt"/>
              </a:rPr>
              <a:t>Participation horaire du bureau durant la journée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'Bureau 12'!$AA$2</c:f>
              <c:strCache>
                <c:ptCount val="1"/>
                <c:pt idx="0">
                  <c:v>Votants sur la période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70C-44D0-B3E4-A90B522C278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70C-44D0-B3E4-A90B522C278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70C-44D0-B3E4-A90B522C278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70C-44D0-B3E4-A90B522C278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70C-44D0-B3E4-A90B522C278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70C-44D0-B3E4-A90B522C278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70C-44D0-B3E4-A90B522C2789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70C-44D0-B3E4-A90B522C278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427293064876954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70C-44D0-B3E4-A90B522C2789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70C-44D0-B3E4-A90B522C2789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378076062639818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70C-44D0-B3E4-A90B522C2789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670C-44D0-B3E4-A90B522C2789}"/>
                </c:ext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476510067114097E-2"/>
                      <c:h val="4.76190476190476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70C-44D0-B3E4-A90B522C278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vertOverflow="overflow" horzOverflow="overflow">
                <a:noAutofit/>
              </a:bodyPr>
              <a:lstStyle/>
              <a:p>
                <a:pPr lvl="0"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'Bureau 12'!$Z$4:$Z$15</c:f>
              <c:strCache>
                <c:ptCount val="12"/>
                <c:pt idx="0">
                  <c:v>8h-9h</c:v>
                </c:pt>
                <c:pt idx="1">
                  <c:v>9h-10h</c:v>
                </c:pt>
                <c:pt idx="2">
                  <c:v>10h-11h</c:v>
                </c:pt>
                <c:pt idx="3">
                  <c:v>11h-12h</c:v>
                </c:pt>
                <c:pt idx="4">
                  <c:v>12h-13h</c:v>
                </c:pt>
                <c:pt idx="5">
                  <c:v>13h-14h</c:v>
                </c:pt>
                <c:pt idx="6">
                  <c:v>14h-15h</c:v>
                </c:pt>
                <c:pt idx="7">
                  <c:v>15h-16h</c:v>
                </c:pt>
                <c:pt idx="8">
                  <c:v>16h-17h</c:v>
                </c:pt>
                <c:pt idx="9">
                  <c:v>17h-18h</c:v>
                </c:pt>
                <c:pt idx="10">
                  <c:v>18h-19h</c:v>
                </c:pt>
                <c:pt idx="11">
                  <c:v>19h-20h</c:v>
                </c:pt>
              </c:strCache>
            </c:strRef>
          </c:cat>
          <c:val>
            <c:numRef>
              <c:f>'Bureau 12'!$AA$4:$AA$15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70C-44D0-B3E4-A90B522C2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0155108"/>
        <c:axId val="555101647"/>
      </c:barChart>
      <c:catAx>
        <c:axId val="16001551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/>
        </c:spPr>
        <c:txPr>
          <a:bodyPr rot="-2700000" vert="horz" anchor="ctr" anchorCtr="1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555101647"/>
        <c:crosses val="autoZero"/>
        <c:auto val="1"/>
        <c:lblAlgn val="ctr"/>
        <c:lblOffset val="100"/>
        <c:noMultiLvlLbl val="1"/>
      </c:catAx>
      <c:valAx>
        <c:axId val="5551016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fr-FR"/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spPr>
          <a:ln>
            <a:solidFill/>
          </a:ln>
        </c:spPr>
        <c:txPr>
          <a:bodyPr rot="0" vert="horz"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fr-FR"/>
          </a:p>
        </c:txPr>
        <c:crossAx val="1600155108"/>
        <c:crosses val="autoZero"/>
        <c:crossBetween val="between"/>
      </c:valAx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spPr>
    <a:solidFill>
      <a:srgbClr val="EFEFEF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119273</xdr:colOff>
      <xdr:row>18</xdr:row>
      <xdr:rowOff>148809</xdr:rowOff>
    </xdr:from>
    <xdr:ext cx="10734675" cy="5562600"/>
    <xdr:graphicFrame macro="">
      <xdr:nvGraphicFramePr>
        <xdr:cNvPr id="2" name="Chart 1" titl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212480</xdr:colOff>
      <xdr:row>25</xdr:row>
      <xdr:rowOff>80596</xdr:rowOff>
    </xdr:from>
    <xdr:to>
      <xdr:col>8</xdr:col>
      <xdr:colOff>103390</xdr:colOff>
      <xdr:row>29</xdr:row>
      <xdr:rowOff>49822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9A2D36F2-33C1-4534-AC4D-48F98851114D}"/>
            </a:ext>
          </a:extLst>
        </xdr:cNvPr>
        <xdr:cNvGrpSpPr/>
      </xdr:nvGrpSpPr>
      <xdr:grpSpPr>
        <a:xfrm>
          <a:off x="1888880" y="4557346"/>
          <a:ext cx="3672335" cy="616926"/>
          <a:chOff x="1672167" y="3798518"/>
          <a:chExt cx="3685333" cy="607483"/>
        </a:xfrm>
      </xdr:grpSpPr>
      <xdr:pic>
        <xdr:nvPicPr>
          <xdr:cNvPr id="7" name="Image 6" descr="Informations avec un remplissage uni">
            <a:extLst>
              <a:ext uri="{FF2B5EF4-FFF2-40B4-BE49-F238E27FC236}">
                <a16:creationId xmlns:a16="http://schemas.microsoft.com/office/drawing/2014/main" id="{5C691DA3-E978-CDC4-AD00-2BB9290DA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8" name="Légende : encadrée 7">
            <a:extLst>
              <a:ext uri="{FF2B5EF4-FFF2-40B4-BE49-F238E27FC236}">
                <a16:creationId xmlns:a16="http://schemas.microsoft.com/office/drawing/2014/main" id="{C91F3425-09A0-BE55-5696-C6C5BFECA19A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94466"/>
              <a:gd name="adj4" fmla="val -39408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les informations de cette élection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189686</xdr:colOff>
      <xdr:row>17</xdr:row>
      <xdr:rowOff>70665</xdr:rowOff>
    </xdr:from>
    <xdr:to>
      <xdr:col>8</xdr:col>
      <xdr:colOff>109903</xdr:colOff>
      <xdr:row>21</xdr:row>
      <xdr:rowOff>32564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A1CC9D42-8847-8C35-7FB4-2318D2548E50}"/>
            </a:ext>
          </a:extLst>
        </xdr:cNvPr>
        <xdr:cNvGrpSpPr/>
      </xdr:nvGrpSpPr>
      <xdr:grpSpPr>
        <a:xfrm>
          <a:off x="1866086" y="3242490"/>
          <a:ext cx="3701642" cy="619124"/>
          <a:chOff x="1672167" y="3805767"/>
          <a:chExt cx="3714750" cy="607483"/>
        </a:xfrm>
      </xdr:grpSpPr>
      <xdr:pic>
        <xdr:nvPicPr>
          <xdr:cNvPr id="3" name="Image 2" descr="Informations avec un remplissage uni">
            <a:extLst>
              <a:ext uri="{FF2B5EF4-FFF2-40B4-BE49-F238E27FC236}">
                <a16:creationId xmlns:a16="http://schemas.microsoft.com/office/drawing/2014/main" id="{1AAF2774-CDC8-451D-83F6-CABF2686F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4" name="Légende : encadrée 3">
            <a:extLst>
              <a:ext uri="{FF2B5EF4-FFF2-40B4-BE49-F238E27FC236}">
                <a16:creationId xmlns:a16="http://schemas.microsoft.com/office/drawing/2014/main" id="{31CE0C09-39D2-4104-A158-54409C942DD9}"/>
              </a:ext>
            </a:extLst>
          </xdr:cNvPr>
          <xdr:cNvSpPr/>
        </xdr:nvSpPr>
        <xdr:spPr>
          <a:xfrm>
            <a:off x="2171700" y="3805767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45540"/>
              <a:gd name="adj4" fmla="val -809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le nombre d'inscrits de chaque bureau de vote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23</xdr:col>
      <xdr:colOff>123825</xdr:colOff>
      <xdr:row>5</xdr:row>
      <xdr:rowOff>104775</xdr:rowOff>
    </xdr:from>
    <xdr:to>
      <xdr:col>27</xdr:col>
      <xdr:colOff>443360</xdr:colOff>
      <xdr:row>9</xdr:row>
      <xdr:rowOff>74001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756F413-6096-441F-848E-26EBEA35E65F}"/>
            </a:ext>
          </a:extLst>
        </xdr:cNvPr>
        <xdr:cNvGrpSpPr/>
      </xdr:nvGrpSpPr>
      <xdr:grpSpPr>
        <a:xfrm>
          <a:off x="17526000" y="1247775"/>
          <a:ext cx="3672335" cy="616926"/>
          <a:chOff x="1672167" y="3798518"/>
          <a:chExt cx="3685333" cy="607483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A5131B0-0F07-CE0A-CF98-C98008577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72167" y="3873500"/>
            <a:ext cx="450873" cy="464480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A671C40C-3517-10BD-1EFD-B1B7110DB872}"/>
              </a:ext>
            </a:extLst>
          </xdr:cNvPr>
          <xdr:cNvSpPr/>
        </xdr:nvSpPr>
        <xdr:spPr>
          <a:xfrm>
            <a:off x="2142283" y="3798518"/>
            <a:ext cx="3215217" cy="607483"/>
          </a:xfrm>
          <a:prstGeom prst="borderCallout1">
            <a:avLst>
              <a:gd name="adj1" fmla="val -279"/>
              <a:gd name="adj2" fmla="val 9564"/>
              <a:gd name="adj3" fmla="val -117268"/>
              <a:gd name="adj4" fmla="val -77463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2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Mettre à jour le nom et la couleur des candidats</a:t>
            </a:r>
            <a:endParaRPr lang="fr-FR" sz="12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561975</xdr:colOff>
          <xdr:row>11</xdr:row>
          <xdr:rowOff>19050</xdr:rowOff>
        </xdr:from>
        <xdr:to>
          <xdr:col>27</xdr:col>
          <xdr:colOff>333375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Répliquer la couleur des candidats dans tous les graphiques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238125</xdr:colOff>
          <xdr:row>31</xdr:row>
          <xdr:rowOff>9525</xdr:rowOff>
        </xdr:from>
        <xdr:to>
          <xdr:col>32</xdr:col>
          <xdr:colOff>28575</xdr:colOff>
          <xdr:row>32</xdr:row>
          <xdr:rowOff>9525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boutons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182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173957</xdr:colOff>
      <xdr:row>18</xdr:row>
      <xdr:rowOff>75773</xdr:rowOff>
    </xdr:from>
    <xdr:ext cx="15402220" cy="5892616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4</xdr:row>
          <xdr:rowOff>133350</xdr:rowOff>
        </xdr:from>
        <xdr:to>
          <xdr:col>38</xdr:col>
          <xdr:colOff>66675</xdr:colOff>
          <xdr:row>8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Importer la participation du tour précédent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35</xdr:col>
      <xdr:colOff>317500</xdr:colOff>
      <xdr:row>22</xdr:row>
      <xdr:rowOff>0</xdr:rowOff>
    </xdr:from>
    <xdr:to>
      <xdr:col>36</xdr:col>
      <xdr:colOff>628650</xdr:colOff>
      <xdr:row>23</xdr:row>
      <xdr:rowOff>88900</xdr:rowOff>
    </xdr:to>
    <xdr:sp macro="ToggleBureauButton" textlink="">
      <xdr:nvSpPr>
        <xdr:cNvPr id="3556" name="btn_1erTour_Bureau1">
          <a:extLst>
            <a:ext uri="{FF2B5EF4-FFF2-40B4-BE49-F238E27FC236}">
              <a16:creationId xmlns:a16="http://schemas.microsoft.com/office/drawing/2014/main" id="{CC19975B-08D0-DFAD-9F2A-CB7C8A1CFD2A}"/>
            </a:ext>
          </a:extLst>
        </xdr:cNvPr>
        <xdr:cNvSpPr/>
      </xdr:nvSpPr>
      <xdr:spPr>
        <a:xfrm>
          <a:off x="20631150" y="425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35</xdr:col>
      <xdr:colOff>317500</xdr:colOff>
      <xdr:row>23</xdr:row>
      <xdr:rowOff>152400</xdr:rowOff>
    </xdr:from>
    <xdr:to>
      <xdr:col>36</xdr:col>
      <xdr:colOff>628650</xdr:colOff>
      <xdr:row>25</xdr:row>
      <xdr:rowOff>76200</xdr:rowOff>
    </xdr:to>
    <xdr:sp macro="ToggleBureauButton" textlink="">
      <xdr:nvSpPr>
        <xdr:cNvPr id="3557" name="btn_1erTour_Bureau2">
          <a:extLst>
            <a:ext uri="{FF2B5EF4-FFF2-40B4-BE49-F238E27FC236}">
              <a16:creationId xmlns:a16="http://schemas.microsoft.com/office/drawing/2014/main" id="{C5308583-E715-A1AB-A099-DB151895E918}"/>
            </a:ext>
          </a:extLst>
        </xdr:cNvPr>
        <xdr:cNvSpPr/>
      </xdr:nvSpPr>
      <xdr:spPr>
        <a:xfrm>
          <a:off x="20631150" y="457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35</xdr:col>
      <xdr:colOff>317500</xdr:colOff>
      <xdr:row>25</xdr:row>
      <xdr:rowOff>139700</xdr:rowOff>
    </xdr:from>
    <xdr:to>
      <xdr:col>36</xdr:col>
      <xdr:colOff>628650</xdr:colOff>
      <xdr:row>27</xdr:row>
      <xdr:rowOff>63500</xdr:rowOff>
    </xdr:to>
    <xdr:sp macro="ToggleBureauButton" textlink="">
      <xdr:nvSpPr>
        <xdr:cNvPr id="3558" name="btn_1erTour_Bureau3">
          <a:extLst>
            <a:ext uri="{FF2B5EF4-FFF2-40B4-BE49-F238E27FC236}">
              <a16:creationId xmlns:a16="http://schemas.microsoft.com/office/drawing/2014/main" id="{068FA494-AB43-207C-E5BD-3F93067381F6}"/>
            </a:ext>
          </a:extLst>
        </xdr:cNvPr>
        <xdr:cNvSpPr/>
      </xdr:nvSpPr>
      <xdr:spPr>
        <a:xfrm>
          <a:off x="20631150" y="488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35</xdr:col>
      <xdr:colOff>317500</xdr:colOff>
      <xdr:row>27</xdr:row>
      <xdr:rowOff>127000</xdr:rowOff>
    </xdr:from>
    <xdr:to>
      <xdr:col>36</xdr:col>
      <xdr:colOff>628650</xdr:colOff>
      <xdr:row>29</xdr:row>
      <xdr:rowOff>19050</xdr:rowOff>
    </xdr:to>
    <xdr:sp macro="ToggleBureauButton" textlink="">
      <xdr:nvSpPr>
        <xdr:cNvPr id="3559" name="btn_1erTour_Bureau4">
          <a:extLst>
            <a:ext uri="{FF2B5EF4-FFF2-40B4-BE49-F238E27FC236}">
              <a16:creationId xmlns:a16="http://schemas.microsoft.com/office/drawing/2014/main" id="{5C90809C-A75D-29CA-0521-E94FE12B4106}"/>
            </a:ext>
          </a:extLst>
        </xdr:cNvPr>
        <xdr:cNvSpPr/>
      </xdr:nvSpPr>
      <xdr:spPr>
        <a:xfrm>
          <a:off x="20631150" y="520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35</xdr:col>
      <xdr:colOff>317500</xdr:colOff>
      <xdr:row>29</xdr:row>
      <xdr:rowOff>82550</xdr:rowOff>
    </xdr:from>
    <xdr:to>
      <xdr:col>36</xdr:col>
      <xdr:colOff>628650</xdr:colOff>
      <xdr:row>31</xdr:row>
      <xdr:rowOff>6350</xdr:rowOff>
    </xdr:to>
    <xdr:sp macro="ToggleBureauButton" textlink="">
      <xdr:nvSpPr>
        <xdr:cNvPr id="3560" name="btn_1erTour_Bureau5">
          <a:extLst>
            <a:ext uri="{FF2B5EF4-FFF2-40B4-BE49-F238E27FC236}">
              <a16:creationId xmlns:a16="http://schemas.microsoft.com/office/drawing/2014/main" id="{DA8BCC35-01DA-C123-A5E6-3D11A0B2C9A6}"/>
            </a:ext>
          </a:extLst>
        </xdr:cNvPr>
        <xdr:cNvSpPr/>
      </xdr:nvSpPr>
      <xdr:spPr>
        <a:xfrm>
          <a:off x="20631150" y="552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35</xdr:col>
      <xdr:colOff>317500</xdr:colOff>
      <xdr:row>31</xdr:row>
      <xdr:rowOff>69850</xdr:rowOff>
    </xdr:from>
    <xdr:to>
      <xdr:col>36</xdr:col>
      <xdr:colOff>628650</xdr:colOff>
      <xdr:row>32</xdr:row>
      <xdr:rowOff>127000</xdr:rowOff>
    </xdr:to>
    <xdr:sp macro="ToggleBureauButton" textlink="">
      <xdr:nvSpPr>
        <xdr:cNvPr id="3561" name="btn_1erTour_Bureau6">
          <a:extLst>
            <a:ext uri="{FF2B5EF4-FFF2-40B4-BE49-F238E27FC236}">
              <a16:creationId xmlns:a16="http://schemas.microsoft.com/office/drawing/2014/main" id="{2E261C88-88E0-173C-CEDD-440E7EB7F656}"/>
            </a:ext>
          </a:extLst>
        </xdr:cNvPr>
        <xdr:cNvSpPr/>
      </xdr:nvSpPr>
      <xdr:spPr>
        <a:xfrm>
          <a:off x="20631150" y="584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35</xdr:col>
      <xdr:colOff>317500</xdr:colOff>
      <xdr:row>32</xdr:row>
      <xdr:rowOff>190500</xdr:rowOff>
    </xdr:from>
    <xdr:to>
      <xdr:col>36</xdr:col>
      <xdr:colOff>628650</xdr:colOff>
      <xdr:row>34</xdr:row>
      <xdr:rowOff>50800</xdr:rowOff>
    </xdr:to>
    <xdr:sp macro="ToggleBureauButton" textlink="">
      <xdr:nvSpPr>
        <xdr:cNvPr id="3562" name="btn_1erTour_Bureau7">
          <a:extLst>
            <a:ext uri="{FF2B5EF4-FFF2-40B4-BE49-F238E27FC236}">
              <a16:creationId xmlns:a16="http://schemas.microsoft.com/office/drawing/2014/main" id="{7FD5095E-3A5A-1B4D-8EF5-8B416619BD5D}"/>
            </a:ext>
          </a:extLst>
        </xdr:cNvPr>
        <xdr:cNvSpPr/>
      </xdr:nvSpPr>
      <xdr:spPr>
        <a:xfrm>
          <a:off x="20631150" y="615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35</xdr:col>
      <xdr:colOff>317500</xdr:colOff>
      <xdr:row>34</xdr:row>
      <xdr:rowOff>114300</xdr:rowOff>
    </xdr:from>
    <xdr:to>
      <xdr:col>36</xdr:col>
      <xdr:colOff>628650</xdr:colOff>
      <xdr:row>36</xdr:row>
      <xdr:rowOff>0</xdr:rowOff>
    </xdr:to>
    <xdr:sp macro="ToggleBureauButton" textlink="">
      <xdr:nvSpPr>
        <xdr:cNvPr id="3563" name="btn_1erTour_Bureau8">
          <a:extLst>
            <a:ext uri="{FF2B5EF4-FFF2-40B4-BE49-F238E27FC236}">
              <a16:creationId xmlns:a16="http://schemas.microsoft.com/office/drawing/2014/main" id="{A6562074-708F-A7B3-F149-C8BDA3808FD5}"/>
            </a:ext>
          </a:extLst>
        </xdr:cNvPr>
        <xdr:cNvSpPr/>
      </xdr:nvSpPr>
      <xdr:spPr>
        <a:xfrm>
          <a:off x="20631150" y="647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35</xdr:col>
      <xdr:colOff>317500</xdr:colOff>
      <xdr:row>36</xdr:row>
      <xdr:rowOff>63500</xdr:rowOff>
    </xdr:from>
    <xdr:to>
      <xdr:col>36</xdr:col>
      <xdr:colOff>628650</xdr:colOff>
      <xdr:row>37</xdr:row>
      <xdr:rowOff>146050</xdr:rowOff>
    </xdr:to>
    <xdr:sp macro="ToggleBureauButton" textlink="">
      <xdr:nvSpPr>
        <xdr:cNvPr id="3564" name="btn_1erTour_Bureau9">
          <a:extLst>
            <a:ext uri="{FF2B5EF4-FFF2-40B4-BE49-F238E27FC236}">
              <a16:creationId xmlns:a16="http://schemas.microsoft.com/office/drawing/2014/main" id="{83C5760A-520E-007C-C568-1AAFEB04F0E7}"/>
            </a:ext>
          </a:extLst>
        </xdr:cNvPr>
        <xdr:cNvSpPr/>
      </xdr:nvSpPr>
      <xdr:spPr>
        <a:xfrm>
          <a:off x="20631150" y="679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35</xdr:col>
      <xdr:colOff>317500</xdr:colOff>
      <xdr:row>38</xdr:row>
      <xdr:rowOff>44450</xdr:rowOff>
    </xdr:from>
    <xdr:to>
      <xdr:col>36</xdr:col>
      <xdr:colOff>628650</xdr:colOff>
      <xdr:row>39</xdr:row>
      <xdr:rowOff>133350</xdr:rowOff>
    </xdr:to>
    <xdr:sp macro="ToggleBureauButton" textlink="">
      <xdr:nvSpPr>
        <xdr:cNvPr id="3565" name="btn_1erTour_Bureau10">
          <a:extLst>
            <a:ext uri="{FF2B5EF4-FFF2-40B4-BE49-F238E27FC236}">
              <a16:creationId xmlns:a16="http://schemas.microsoft.com/office/drawing/2014/main" id="{66EAAD54-9AC9-8117-3A64-285D0A07F801}"/>
            </a:ext>
          </a:extLst>
        </xdr:cNvPr>
        <xdr:cNvSpPr/>
      </xdr:nvSpPr>
      <xdr:spPr>
        <a:xfrm>
          <a:off x="20631150" y="7112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35</xdr:col>
      <xdr:colOff>317500</xdr:colOff>
      <xdr:row>40</xdr:row>
      <xdr:rowOff>31750</xdr:rowOff>
    </xdr:from>
    <xdr:to>
      <xdr:col>36</xdr:col>
      <xdr:colOff>628650</xdr:colOff>
      <xdr:row>41</xdr:row>
      <xdr:rowOff>120650</xdr:rowOff>
    </xdr:to>
    <xdr:sp macro="ToggleBureauButton" textlink="">
      <xdr:nvSpPr>
        <xdr:cNvPr id="3566" name="btn_1erTour_Bureau11">
          <a:extLst>
            <a:ext uri="{FF2B5EF4-FFF2-40B4-BE49-F238E27FC236}">
              <a16:creationId xmlns:a16="http://schemas.microsoft.com/office/drawing/2014/main" id="{C20C11D1-5E0B-4A40-CE1C-88F574BF0E98}"/>
            </a:ext>
          </a:extLst>
        </xdr:cNvPr>
        <xdr:cNvSpPr/>
      </xdr:nvSpPr>
      <xdr:spPr>
        <a:xfrm>
          <a:off x="20631150" y="7429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35</xdr:col>
      <xdr:colOff>317500</xdr:colOff>
      <xdr:row>42</xdr:row>
      <xdr:rowOff>19050</xdr:rowOff>
    </xdr:from>
    <xdr:to>
      <xdr:col>36</xdr:col>
      <xdr:colOff>628650</xdr:colOff>
      <xdr:row>43</xdr:row>
      <xdr:rowOff>107950</xdr:rowOff>
    </xdr:to>
    <xdr:sp macro="ToggleBureauButton" textlink="">
      <xdr:nvSpPr>
        <xdr:cNvPr id="3567" name="btn_1erTour_Bureau12">
          <a:extLst>
            <a:ext uri="{FF2B5EF4-FFF2-40B4-BE49-F238E27FC236}">
              <a16:creationId xmlns:a16="http://schemas.microsoft.com/office/drawing/2014/main" id="{A38A84D3-B63E-1410-C59E-F828FED85533}"/>
            </a:ext>
          </a:extLst>
        </xdr:cNvPr>
        <xdr:cNvSpPr/>
      </xdr:nvSpPr>
      <xdr:spPr>
        <a:xfrm>
          <a:off x="20631150" y="77470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35</xdr:col>
      <xdr:colOff>317500</xdr:colOff>
      <xdr:row>44</xdr:row>
      <xdr:rowOff>6350</xdr:rowOff>
    </xdr:from>
    <xdr:to>
      <xdr:col>36</xdr:col>
      <xdr:colOff>628650</xdr:colOff>
      <xdr:row>45</xdr:row>
      <xdr:rowOff>95250</xdr:rowOff>
    </xdr:to>
    <xdr:sp macro="Toggle_Total" textlink="">
      <xdr:nvSpPr>
        <xdr:cNvPr id="3568" name="btn_1erTour_Total">
          <a:extLst>
            <a:ext uri="{FF2B5EF4-FFF2-40B4-BE49-F238E27FC236}">
              <a16:creationId xmlns:a16="http://schemas.microsoft.com/office/drawing/2014/main" id="{9212ACB3-B723-09FE-FEB7-C63E14864398}"/>
            </a:ext>
          </a:extLst>
        </xdr:cNvPr>
        <xdr:cNvSpPr/>
      </xdr:nvSpPr>
      <xdr:spPr>
        <a:xfrm>
          <a:off x="20631150" y="8064500"/>
          <a:ext cx="1270000" cy="254000"/>
        </a:xfrm>
        <a:prstGeom prst="rect">
          <a:avLst/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35</xdr:col>
      <xdr:colOff>317500</xdr:colOff>
      <xdr:row>45</xdr:row>
      <xdr:rowOff>158750</xdr:rowOff>
    </xdr:from>
    <xdr:to>
      <xdr:col>36</xdr:col>
      <xdr:colOff>628650</xdr:colOff>
      <xdr:row>47</xdr:row>
      <xdr:rowOff>82550</xdr:rowOff>
    </xdr:to>
    <xdr:sp macro="AfficherToutPremierTour" textlink="">
      <xdr:nvSpPr>
        <xdr:cNvPr id="3569" name="btn_AfficherTout">
          <a:extLst>
            <a:ext uri="{FF2B5EF4-FFF2-40B4-BE49-F238E27FC236}">
              <a16:creationId xmlns:a16="http://schemas.microsoft.com/office/drawing/2014/main" id="{74BE806B-9C57-9C06-A453-E532942DDE1D}"/>
            </a:ext>
          </a:extLst>
        </xdr:cNvPr>
        <xdr:cNvSpPr/>
      </xdr:nvSpPr>
      <xdr:spPr>
        <a:xfrm>
          <a:off x="20631150" y="83820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35</xdr:col>
      <xdr:colOff>317500</xdr:colOff>
      <xdr:row>47</xdr:row>
      <xdr:rowOff>146050</xdr:rowOff>
    </xdr:from>
    <xdr:to>
      <xdr:col>36</xdr:col>
      <xdr:colOff>628650</xdr:colOff>
      <xdr:row>49</xdr:row>
      <xdr:rowOff>69850</xdr:rowOff>
    </xdr:to>
    <xdr:sp macro="EffacerToutPremierTour" textlink="">
      <xdr:nvSpPr>
        <xdr:cNvPr id="3570" name="btn_EffacerTout">
          <a:extLst>
            <a:ext uri="{FF2B5EF4-FFF2-40B4-BE49-F238E27FC236}">
              <a16:creationId xmlns:a16="http://schemas.microsoft.com/office/drawing/2014/main" id="{6F1158E9-E6B4-BD64-F767-89993A98D651}"/>
            </a:ext>
          </a:extLst>
        </xdr:cNvPr>
        <xdr:cNvSpPr/>
      </xdr:nvSpPr>
      <xdr:spPr>
        <a:xfrm>
          <a:off x="20631150" y="86995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Effacer Tout</a:t>
          </a:r>
        </a:p>
      </xdr:txBody>
    </xdr:sp>
    <xdr:clientData/>
  </xdr:twoCellAnchor>
  <xdr:twoCellAnchor>
    <xdr:from>
      <xdr:col>33</xdr:col>
      <xdr:colOff>317500</xdr:colOff>
      <xdr:row>22</xdr:row>
      <xdr:rowOff>0</xdr:rowOff>
    </xdr:from>
    <xdr:to>
      <xdr:col>34</xdr:col>
      <xdr:colOff>628650</xdr:colOff>
      <xdr:row>23</xdr:row>
      <xdr:rowOff>88900</xdr:rowOff>
    </xdr:to>
    <xdr:sp macro="ToggleBureau2nd" textlink="">
      <xdr:nvSpPr>
        <xdr:cNvPr id="3571" name="btn_2ndTour_Bureau1">
          <a:extLst>
            <a:ext uri="{FF2B5EF4-FFF2-40B4-BE49-F238E27FC236}">
              <a16:creationId xmlns:a16="http://schemas.microsoft.com/office/drawing/2014/main" id="{D54833DF-21A1-946A-A2EF-52632A61993B}"/>
            </a:ext>
          </a:extLst>
        </xdr:cNvPr>
        <xdr:cNvSpPr/>
      </xdr:nvSpPr>
      <xdr:spPr>
        <a:xfrm>
          <a:off x="18713450" y="425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</a:t>
          </a:r>
        </a:p>
      </xdr:txBody>
    </xdr:sp>
    <xdr:clientData/>
  </xdr:twoCellAnchor>
  <xdr:twoCellAnchor>
    <xdr:from>
      <xdr:col>33</xdr:col>
      <xdr:colOff>317500</xdr:colOff>
      <xdr:row>23</xdr:row>
      <xdr:rowOff>152400</xdr:rowOff>
    </xdr:from>
    <xdr:to>
      <xdr:col>34</xdr:col>
      <xdr:colOff>628650</xdr:colOff>
      <xdr:row>25</xdr:row>
      <xdr:rowOff>76200</xdr:rowOff>
    </xdr:to>
    <xdr:sp macro="ToggleBureau2nd" textlink="">
      <xdr:nvSpPr>
        <xdr:cNvPr id="3572" name="btn_2ndTour_Bureau2">
          <a:extLst>
            <a:ext uri="{FF2B5EF4-FFF2-40B4-BE49-F238E27FC236}">
              <a16:creationId xmlns:a16="http://schemas.microsoft.com/office/drawing/2014/main" id="{D2BFB749-E42C-B95A-0484-ECE48314BBBC}"/>
            </a:ext>
          </a:extLst>
        </xdr:cNvPr>
        <xdr:cNvSpPr/>
      </xdr:nvSpPr>
      <xdr:spPr>
        <a:xfrm>
          <a:off x="18713450" y="457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2</a:t>
          </a:r>
        </a:p>
      </xdr:txBody>
    </xdr:sp>
    <xdr:clientData/>
  </xdr:twoCellAnchor>
  <xdr:twoCellAnchor>
    <xdr:from>
      <xdr:col>33</xdr:col>
      <xdr:colOff>317500</xdr:colOff>
      <xdr:row>25</xdr:row>
      <xdr:rowOff>139700</xdr:rowOff>
    </xdr:from>
    <xdr:to>
      <xdr:col>34</xdr:col>
      <xdr:colOff>628650</xdr:colOff>
      <xdr:row>27</xdr:row>
      <xdr:rowOff>63500</xdr:rowOff>
    </xdr:to>
    <xdr:sp macro="ToggleBureau2nd" textlink="">
      <xdr:nvSpPr>
        <xdr:cNvPr id="3573" name="btn_2ndTour_Bureau3">
          <a:extLst>
            <a:ext uri="{FF2B5EF4-FFF2-40B4-BE49-F238E27FC236}">
              <a16:creationId xmlns:a16="http://schemas.microsoft.com/office/drawing/2014/main" id="{223D2137-0D49-371A-279A-E707DC5824BB}"/>
            </a:ext>
          </a:extLst>
        </xdr:cNvPr>
        <xdr:cNvSpPr/>
      </xdr:nvSpPr>
      <xdr:spPr>
        <a:xfrm>
          <a:off x="18713450" y="488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3</a:t>
          </a:r>
        </a:p>
      </xdr:txBody>
    </xdr:sp>
    <xdr:clientData/>
  </xdr:twoCellAnchor>
  <xdr:twoCellAnchor>
    <xdr:from>
      <xdr:col>33</xdr:col>
      <xdr:colOff>317500</xdr:colOff>
      <xdr:row>27</xdr:row>
      <xdr:rowOff>127000</xdr:rowOff>
    </xdr:from>
    <xdr:to>
      <xdr:col>34</xdr:col>
      <xdr:colOff>628650</xdr:colOff>
      <xdr:row>29</xdr:row>
      <xdr:rowOff>19050</xdr:rowOff>
    </xdr:to>
    <xdr:sp macro="ToggleBureau2nd" textlink="">
      <xdr:nvSpPr>
        <xdr:cNvPr id="3574" name="btn_2ndTour_Bureau4">
          <a:extLst>
            <a:ext uri="{FF2B5EF4-FFF2-40B4-BE49-F238E27FC236}">
              <a16:creationId xmlns:a16="http://schemas.microsoft.com/office/drawing/2014/main" id="{E38B7829-112D-7DDA-1324-82FB0F81E7C1}"/>
            </a:ext>
          </a:extLst>
        </xdr:cNvPr>
        <xdr:cNvSpPr/>
      </xdr:nvSpPr>
      <xdr:spPr>
        <a:xfrm>
          <a:off x="18713450" y="520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4</a:t>
          </a:r>
        </a:p>
      </xdr:txBody>
    </xdr:sp>
    <xdr:clientData/>
  </xdr:twoCellAnchor>
  <xdr:twoCellAnchor>
    <xdr:from>
      <xdr:col>33</xdr:col>
      <xdr:colOff>317500</xdr:colOff>
      <xdr:row>29</xdr:row>
      <xdr:rowOff>82550</xdr:rowOff>
    </xdr:from>
    <xdr:to>
      <xdr:col>34</xdr:col>
      <xdr:colOff>628650</xdr:colOff>
      <xdr:row>31</xdr:row>
      <xdr:rowOff>6350</xdr:rowOff>
    </xdr:to>
    <xdr:sp macro="ToggleBureau2nd" textlink="">
      <xdr:nvSpPr>
        <xdr:cNvPr id="3575" name="btn_2ndTour_Bureau5">
          <a:extLst>
            <a:ext uri="{FF2B5EF4-FFF2-40B4-BE49-F238E27FC236}">
              <a16:creationId xmlns:a16="http://schemas.microsoft.com/office/drawing/2014/main" id="{B67509E7-14B2-1021-CE84-1240CD6290B0}"/>
            </a:ext>
          </a:extLst>
        </xdr:cNvPr>
        <xdr:cNvSpPr/>
      </xdr:nvSpPr>
      <xdr:spPr>
        <a:xfrm>
          <a:off x="18713450" y="552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5</a:t>
          </a:r>
        </a:p>
      </xdr:txBody>
    </xdr:sp>
    <xdr:clientData/>
  </xdr:twoCellAnchor>
  <xdr:twoCellAnchor>
    <xdr:from>
      <xdr:col>33</xdr:col>
      <xdr:colOff>317500</xdr:colOff>
      <xdr:row>31</xdr:row>
      <xdr:rowOff>69850</xdr:rowOff>
    </xdr:from>
    <xdr:to>
      <xdr:col>34</xdr:col>
      <xdr:colOff>628650</xdr:colOff>
      <xdr:row>32</xdr:row>
      <xdr:rowOff>127000</xdr:rowOff>
    </xdr:to>
    <xdr:sp macro="ToggleBureau2nd" textlink="">
      <xdr:nvSpPr>
        <xdr:cNvPr id="3576" name="btn_2ndTour_Bureau6">
          <a:extLst>
            <a:ext uri="{FF2B5EF4-FFF2-40B4-BE49-F238E27FC236}">
              <a16:creationId xmlns:a16="http://schemas.microsoft.com/office/drawing/2014/main" id="{69E160F1-BBE0-786B-197E-A2EA73021D0F}"/>
            </a:ext>
          </a:extLst>
        </xdr:cNvPr>
        <xdr:cNvSpPr/>
      </xdr:nvSpPr>
      <xdr:spPr>
        <a:xfrm>
          <a:off x="18713450" y="584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6</a:t>
          </a:r>
        </a:p>
      </xdr:txBody>
    </xdr:sp>
    <xdr:clientData/>
  </xdr:twoCellAnchor>
  <xdr:twoCellAnchor>
    <xdr:from>
      <xdr:col>33</xdr:col>
      <xdr:colOff>317500</xdr:colOff>
      <xdr:row>32</xdr:row>
      <xdr:rowOff>190500</xdr:rowOff>
    </xdr:from>
    <xdr:to>
      <xdr:col>34</xdr:col>
      <xdr:colOff>628650</xdr:colOff>
      <xdr:row>34</xdr:row>
      <xdr:rowOff>50800</xdr:rowOff>
    </xdr:to>
    <xdr:sp macro="ToggleBureau2nd" textlink="">
      <xdr:nvSpPr>
        <xdr:cNvPr id="3577" name="btn_2ndTour_Bureau7">
          <a:extLst>
            <a:ext uri="{FF2B5EF4-FFF2-40B4-BE49-F238E27FC236}">
              <a16:creationId xmlns:a16="http://schemas.microsoft.com/office/drawing/2014/main" id="{B9BC78E5-9D40-CCC2-230F-702FA56EFD7F}"/>
            </a:ext>
          </a:extLst>
        </xdr:cNvPr>
        <xdr:cNvSpPr/>
      </xdr:nvSpPr>
      <xdr:spPr>
        <a:xfrm>
          <a:off x="18713450" y="615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7</a:t>
          </a:r>
        </a:p>
      </xdr:txBody>
    </xdr:sp>
    <xdr:clientData/>
  </xdr:twoCellAnchor>
  <xdr:twoCellAnchor>
    <xdr:from>
      <xdr:col>33</xdr:col>
      <xdr:colOff>317500</xdr:colOff>
      <xdr:row>34</xdr:row>
      <xdr:rowOff>114300</xdr:rowOff>
    </xdr:from>
    <xdr:to>
      <xdr:col>34</xdr:col>
      <xdr:colOff>628650</xdr:colOff>
      <xdr:row>36</xdr:row>
      <xdr:rowOff>0</xdr:rowOff>
    </xdr:to>
    <xdr:sp macro="ToggleBureau2nd" textlink="">
      <xdr:nvSpPr>
        <xdr:cNvPr id="3578" name="btn_2ndTour_Bureau8">
          <a:extLst>
            <a:ext uri="{FF2B5EF4-FFF2-40B4-BE49-F238E27FC236}">
              <a16:creationId xmlns:a16="http://schemas.microsoft.com/office/drawing/2014/main" id="{278147DB-1704-0F28-5A89-2E8408CD06AE}"/>
            </a:ext>
          </a:extLst>
        </xdr:cNvPr>
        <xdr:cNvSpPr/>
      </xdr:nvSpPr>
      <xdr:spPr>
        <a:xfrm>
          <a:off x="18713450" y="647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8</a:t>
          </a:r>
        </a:p>
      </xdr:txBody>
    </xdr:sp>
    <xdr:clientData/>
  </xdr:twoCellAnchor>
  <xdr:twoCellAnchor>
    <xdr:from>
      <xdr:col>33</xdr:col>
      <xdr:colOff>317500</xdr:colOff>
      <xdr:row>36</xdr:row>
      <xdr:rowOff>63500</xdr:rowOff>
    </xdr:from>
    <xdr:to>
      <xdr:col>34</xdr:col>
      <xdr:colOff>628650</xdr:colOff>
      <xdr:row>37</xdr:row>
      <xdr:rowOff>146050</xdr:rowOff>
    </xdr:to>
    <xdr:sp macro="ToggleBureau2nd" textlink="">
      <xdr:nvSpPr>
        <xdr:cNvPr id="3579" name="btn_2ndTour_Bureau9">
          <a:extLst>
            <a:ext uri="{FF2B5EF4-FFF2-40B4-BE49-F238E27FC236}">
              <a16:creationId xmlns:a16="http://schemas.microsoft.com/office/drawing/2014/main" id="{DF078F08-32E0-F3C5-A277-C1A774098E1A}"/>
            </a:ext>
          </a:extLst>
        </xdr:cNvPr>
        <xdr:cNvSpPr/>
      </xdr:nvSpPr>
      <xdr:spPr>
        <a:xfrm>
          <a:off x="18713450" y="679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9</a:t>
          </a:r>
        </a:p>
      </xdr:txBody>
    </xdr:sp>
    <xdr:clientData/>
  </xdr:twoCellAnchor>
  <xdr:twoCellAnchor>
    <xdr:from>
      <xdr:col>33</xdr:col>
      <xdr:colOff>317500</xdr:colOff>
      <xdr:row>38</xdr:row>
      <xdr:rowOff>44450</xdr:rowOff>
    </xdr:from>
    <xdr:to>
      <xdr:col>34</xdr:col>
      <xdr:colOff>628650</xdr:colOff>
      <xdr:row>39</xdr:row>
      <xdr:rowOff>133350</xdr:rowOff>
    </xdr:to>
    <xdr:sp macro="ToggleBureau2nd" textlink="">
      <xdr:nvSpPr>
        <xdr:cNvPr id="3580" name="btn_2ndTour_Bureau10">
          <a:extLst>
            <a:ext uri="{FF2B5EF4-FFF2-40B4-BE49-F238E27FC236}">
              <a16:creationId xmlns:a16="http://schemas.microsoft.com/office/drawing/2014/main" id="{B1FDEF3B-C4FB-B8E7-2C0E-FAD62C15F841}"/>
            </a:ext>
          </a:extLst>
        </xdr:cNvPr>
        <xdr:cNvSpPr/>
      </xdr:nvSpPr>
      <xdr:spPr>
        <a:xfrm>
          <a:off x="18713450" y="7112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10</a:t>
          </a:r>
        </a:p>
      </xdr:txBody>
    </xdr:sp>
    <xdr:clientData/>
  </xdr:twoCellAnchor>
  <xdr:twoCellAnchor>
    <xdr:from>
      <xdr:col>33</xdr:col>
      <xdr:colOff>317500</xdr:colOff>
      <xdr:row>40</xdr:row>
      <xdr:rowOff>31750</xdr:rowOff>
    </xdr:from>
    <xdr:to>
      <xdr:col>34</xdr:col>
      <xdr:colOff>628650</xdr:colOff>
      <xdr:row>41</xdr:row>
      <xdr:rowOff>120650</xdr:rowOff>
    </xdr:to>
    <xdr:sp macro="ToggleBureau2nd" textlink="">
      <xdr:nvSpPr>
        <xdr:cNvPr id="3581" name="btn_2ndTour_Bureau11">
          <a:extLst>
            <a:ext uri="{FF2B5EF4-FFF2-40B4-BE49-F238E27FC236}">
              <a16:creationId xmlns:a16="http://schemas.microsoft.com/office/drawing/2014/main" id="{A38AC3B0-68D9-B97C-BA2A-30D014CB9430}"/>
            </a:ext>
          </a:extLst>
        </xdr:cNvPr>
        <xdr:cNvSpPr/>
      </xdr:nvSpPr>
      <xdr:spPr>
        <a:xfrm>
          <a:off x="18713450" y="7429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11</a:t>
          </a:r>
        </a:p>
      </xdr:txBody>
    </xdr:sp>
    <xdr:clientData/>
  </xdr:twoCellAnchor>
  <xdr:twoCellAnchor>
    <xdr:from>
      <xdr:col>33</xdr:col>
      <xdr:colOff>317500</xdr:colOff>
      <xdr:row>42</xdr:row>
      <xdr:rowOff>19050</xdr:rowOff>
    </xdr:from>
    <xdr:to>
      <xdr:col>34</xdr:col>
      <xdr:colOff>628650</xdr:colOff>
      <xdr:row>43</xdr:row>
      <xdr:rowOff>107950</xdr:rowOff>
    </xdr:to>
    <xdr:sp macro="ToggleBureau2nd" textlink="">
      <xdr:nvSpPr>
        <xdr:cNvPr id="3582" name="btn_2ndTour_Bureau12">
          <a:extLst>
            <a:ext uri="{FF2B5EF4-FFF2-40B4-BE49-F238E27FC236}">
              <a16:creationId xmlns:a16="http://schemas.microsoft.com/office/drawing/2014/main" id="{ABD4754A-0DBB-CF66-B8C3-F161566C6AD0}"/>
            </a:ext>
          </a:extLst>
        </xdr:cNvPr>
        <xdr:cNvSpPr/>
      </xdr:nvSpPr>
      <xdr:spPr>
        <a:xfrm>
          <a:off x="18713450" y="77470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Bureau 12</a:t>
          </a:r>
        </a:p>
      </xdr:txBody>
    </xdr:sp>
    <xdr:clientData/>
  </xdr:twoCellAnchor>
  <xdr:twoCellAnchor>
    <xdr:from>
      <xdr:col>33</xdr:col>
      <xdr:colOff>317500</xdr:colOff>
      <xdr:row>44</xdr:row>
      <xdr:rowOff>6350</xdr:rowOff>
    </xdr:from>
    <xdr:to>
      <xdr:col>34</xdr:col>
      <xdr:colOff>628650</xdr:colOff>
      <xdr:row>45</xdr:row>
      <xdr:rowOff>95250</xdr:rowOff>
    </xdr:to>
    <xdr:sp macro="Toggle_Total2nd" textlink="">
      <xdr:nvSpPr>
        <xdr:cNvPr id="3583" name="btn_2ndTour_Total">
          <a:extLst>
            <a:ext uri="{FF2B5EF4-FFF2-40B4-BE49-F238E27FC236}">
              <a16:creationId xmlns:a16="http://schemas.microsoft.com/office/drawing/2014/main" id="{ACF045A8-6849-B3AE-266E-7996946BC8FD}"/>
            </a:ext>
          </a:extLst>
        </xdr:cNvPr>
        <xdr:cNvSpPr/>
      </xdr:nvSpPr>
      <xdr:spPr>
        <a:xfrm>
          <a:off x="18713450" y="8064500"/>
          <a:ext cx="1270000" cy="254000"/>
        </a:xfrm>
        <a:prstGeom prst="rect">
          <a:avLst/>
        </a:prstGeom>
        <a:solidFill>
          <a:srgbClr val="B4FF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Total</a:t>
          </a:r>
        </a:p>
      </xdr:txBody>
    </xdr:sp>
    <xdr:clientData/>
  </xdr:twoCellAnchor>
  <xdr:twoCellAnchor>
    <xdr:from>
      <xdr:col>33</xdr:col>
      <xdr:colOff>317500</xdr:colOff>
      <xdr:row>45</xdr:row>
      <xdr:rowOff>158750</xdr:rowOff>
    </xdr:from>
    <xdr:to>
      <xdr:col>34</xdr:col>
      <xdr:colOff>628650</xdr:colOff>
      <xdr:row>47</xdr:row>
      <xdr:rowOff>82550</xdr:rowOff>
    </xdr:to>
    <xdr:sp macro="AfficherTout2ndTour" textlink="">
      <xdr:nvSpPr>
        <xdr:cNvPr id="3584" name="btn_2ndTour_AfficherTout">
          <a:extLst>
            <a:ext uri="{FF2B5EF4-FFF2-40B4-BE49-F238E27FC236}">
              <a16:creationId xmlns:a16="http://schemas.microsoft.com/office/drawing/2014/main" id="{EC98E372-EE60-EBC9-732C-977E842442EE}"/>
            </a:ext>
          </a:extLst>
        </xdr:cNvPr>
        <xdr:cNvSpPr/>
      </xdr:nvSpPr>
      <xdr:spPr>
        <a:xfrm>
          <a:off x="18713450" y="8382000"/>
          <a:ext cx="1270000" cy="254000"/>
        </a:xfrm>
        <a:prstGeom prst="rect">
          <a:avLst/>
        </a:prstGeom>
        <a:solidFill>
          <a:srgbClr val="C8C8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Afficher Tout</a:t>
          </a:r>
        </a:p>
      </xdr:txBody>
    </xdr:sp>
    <xdr:clientData/>
  </xdr:twoCellAnchor>
  <xdr:twoCellAnchor>
    <xdr:from>
      <xdr:col>33</xdr:col>
      <xdr:colOff>317500</xdr:colOff>
      <xdr:row>47</xdr:row>
      <xdr:rowOff>146050</xdr:rowOff>
    </xdr:from>
    <xdr:to>
      <xdr:col>34</xdr:col>
      <xdr:colOff>628650</xdr:colOff>
      <xdr:row>49</xdr:row>
      <xdr:rowOff>69850</xdr:rowOff>
    </xdr:to>
    <xdr:sp macro="EffacerTout2ndTour" textlink="">
      <xdr:nvSpPr>
        <xdr:cNvPr id="3585" name="btn_2ndTour_EffacerTout">
          <a:extLst>
            <a:ext uri="{FF2B5EF4-FFF2-40B4-BE49-F238E27FC236}">
              <a16:creationId xmlns:a16="http://schemas.microsoft.com/office/drawing/2014/main" id="{4EA645F0-C529-8D39-B6B3-73C07F4E463C}"/>
            </a:ext>
          </a:extLst>
        </xdr:cNvPr>
        <xdr:cNvSpPr/>
      </xdr:nvSpPr>
      <xdr:spPr>
        <a:xfrm>
          <a:off x="18713450" y="8699500"/>
          <a:ext cx="1270000" cy="254000"/>
        </a:xfrm>
        <a:prstGeom prst="rect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000000"/>
              </a:solidFill>
            </a:rPr>
            <a:t>Effacer Tout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412448</xdr:colOff>
      <xdr:row>18</xdr:row>
      <xdr:rowOff>84781</xdr:rowOff>
    </xdr:from>
    <xdr:ext cx="12446301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D1609A85-3E3A-44A9-A369-EF379F8F9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7340DDC-6043-4F8D-91EF-1E1CC7C2D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20</xdr:col>
      <xdr:colOff>110446</xdr:colOff>
      <xdr:row>39</xdr:row>
      <xdr:rowOff>379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D966EA60-E9C6-484C-8822-75137FFC6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A68C515-ABA3-4E55-82E1-DFC136FAC5DB}"/>
            </a:ext>
          </a:extLst>
        </xdr:cNvPr>
        <xdr:cNvGrpSpPr/>
      </xdr:nvGrpSpPr>
      <xdr:grpSpPr>
        <a:xfrm>
          <a:off x="176842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242E66B3-3029-77A1-621E-91E245214E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F5827A6-EADA-136E-A5AC-0AD62DDBA7ED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466F1FAE-F503-4324-8719-B27C96477934}"/>
            </a:ext>
          </a:extLst>
        </xdr:cNvPr>
        <xdr:cNvGrpSpPr/>
      </xdr:nvGrpSpPr>
      <xdr:grpSpPr>
        <a:xfrm>
          <a:off x="3617382" y="3907821"/>
          <a:ext cx="10490201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C8DA04B3-12F6-ED35-E14B-91EBCB19C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BDBB835-0D58-AA39-F6E1-57241F5541FC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89F35B43-3405-4B05-B7E3-D7C0384B8DB2}"/>
            </a:ext>
          </a:extLst>
        </xdr:cNvPr>
        <xdr:cNvGrpSpPr/>
      </xdr:nvGrpSpPr>
      <xdr:grpSpPr>
        <a:xfrm>
          <a:off x="3592286" y="12758011"/>
          <a:ext cx="10923511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3AD7FCED-6662-05EC-D384-5BDC86436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A75D29A8-8098-0E35-3E7E-F4640D42C451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1F08142-5752-498E-AF0C-39225D38310C}"/>
            </a:ext>
          </a:extLst>
        </xdr:cNvPr>
        <xdr:cNvGrpSpPr/>
      </xdr:nvGrpSpPr>
      <xdr:grpSpPr>
        <a:xfrm>
          <a:off x="150812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65BB80F0-9921-FA6F-49D2-ED3DAF43566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B9BFD34-578B-1BEC-B3BB-9BF486523592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357B261-F075-EDD0-20A8-B2819469BB3B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56607D17-C0A2-A1CB-5505-59B66E641AB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D460B381-0143-4776-BAAF-C24E7830F4E6}"/>
            </a:ext>
          </a:extLst>
        </xdr:cNvPr>
        <xdr:cNvGrpSpPr/>
      </xdr:nvGrpSpPr>
      <xdr:grpSpPr>
        <a:xfrm>
          <a:off x="3577167" y="12312462"/>
          <a:ext cx="10933337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0DF4AAA6-9255-1C51-6FB4-C6542C70C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45B2842-BA31-6A4E-0AE3-A7AF700CAD8C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82C89EA-48D9-48CA-950A-7B882713D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6EBBF1D8-5190-4250-85B8-2707F34B58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ACEBCE02-10F9-462F-9788-85A57CC2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23</xdr:row>
          <xdr:rowOff>161925</xdr:rowOff>
        </xdr:from>
        <xdr:to>
          <xdr:col>1</xdr:col>
          <xdr:colOff>771525</xdr:colOff>
          <xdr:row>26</xdr:row>
          <xdr:rowOff>123825</xdr:rowOff>
        </xdr:to>
        <xdr:sp macro="" textlink="">
          <xdr:nvSpPr>
            <xdr:cNvPr id="219146" name="Button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03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bureaux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6B0AC4-C2D2-24C7-152A-7A8F01991F73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10" name="Image 9" descr="Informations avec un remplissage uni">
            <a:extLst>
              <a:ext uri="{FF2B5EF4-FFF2-40B4-BE49-F238E27FC236}">
                <a16:creationId xmlns:a16="http://schemas.microsoft.com/office/drawing/2014/main" id="{70BE706D-932E-4CCF-A1D7-DA61D82DA1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11" name="Légende : encadrée 10">
            <a:extLst>
              <a:ext uri="{FF2B5EF4-FFF2-40B4-BE49-F238E27FC236}">
                <a16:creationId xmlns:a16="http://schemas.microsoft.com/office/drawing/2014/main" id="{180B9958-4139-B60D-E4FA-C8D9BCAAAFD1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52F9374-4F6D-2974-F7BD-516A8E8D3AD1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7F9A54CE-C3AE-4A2A-A33A-53C132F1F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2" name="Légende : encadrée 11">
            <a:extLst>
              <a:ext uri="{FF2B5EF4-FFF2-40B4-BE49-F238E27FC236}">
                <a16:creationId xmlns:a16="http://schemas.microsoft.com/office/drawing/2014/main" id="{758720A4-FFDE-4D34-A424-D62A08B90D97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1B01602-B32C-6CB9-5A2D-40931A7C1B2E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8" name="Image 7" descr="Informations avec un remplissage uni">
            <a:extLst>
              <a:ext uri="{FF2B5EF4-FFF2-40B4-BE49-F238E27FC236}">
                <a16:creationId xmlns:a16="http://schemas.microsoft.com/office/drawing/2014/main" id="{2C4D7E1D-442A-8DA0-BD93-2BDB9CA24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4" name="Légende : encadrée 13">
            <a:extLst>
              <a:ext uri="{FF2B5EF4-FFF2-40B4-BE49-F238E27FC236}">
                <a16:creationId xmlns:a16="http://schemas.microsoft.com/office/drawing/2014/main" id="{D85ED653-8A42-4AFA-A9A7-4CD47185CA38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7DB35C8F-9E5B-8017-6E78-AEE01D6667CE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8" name="Connecteur droit avec flèche 17">
            <a:extLst>
              <a:ext uri="{FF2B5EF4-FFF2-40B4-BE49-F238E27FC236}">
                <a16:creationId xmlns:a16="http://schemas.microsoft.com/office/drawing/2014/main" id="{864DE100-F095-E74C-6FC9-838D67AF6CA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9" name="Groupe 18">
            <a:extLst>
              <a:ext uri="{FF2B5EF4-FFF2-40B4-BE49-F238E27FC236}">
                <a16:creationId xmlns:a16="http://schemas.microsoft.com/office/drawing/2014/main" id="{CF4ED1AE-3652-D1D0-7213-1FDAAD185F1B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6" name="Légende : encadrée 15">
              <a:extLst>
                <a:ext uri="{FF2B5EF4-FFF2-40B4-BE49-F238E27FC236}">
                  <a16:creationId xmlns:a16="http://schemas.microsoft.com/office/drawing/2014/main" id="{E4F671E4-9569-BCEF-A661-BCC8D6662493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7" name="Image 16" descr="Informations avec un remplissage uni">
              <a:extLst>
                <a:ext uri="{FF2B5EF4-FFF2-40B4-BE49-F238E27FC236}">
                  <a16:creationId xmlns:a16="http://schemas.microsoft.com/office/drawing/2014/main" id="{28E4C5F7-FB25-4CB4-93A2-AE2580A0086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E2E10D5-4CE8-420E-ACB8-427BB8C202ED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5" name="Image 24" descr="Informations avec un remplissage uni">
            <a:extLst>
              <a:ext uri="{FF2B5EF4-FFF2-40B4-BE49-F238E27FC236}">
                <a16:creationId xmlns:a16="http://schemas.microsoft.com/office/drawing/2014/main" id="{9DF0B863-1688-86C0-33C7-5A118C11A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6" name="Légende : encadrée 25">
            <a:extLst>
              <a:ext uri="{FF2B5EF4-FFF2-40B4-BE49-F238E27FC236}">
                <a16:creationId xmlns:a16="http://schemas.microsoft.com/office/drawing/2014/main" id="{0B2B488B-F189-1C99-FAC5-901105A855FC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266D600F-0C44-450E-8426-9B0F905B8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1E667B48-51F6-42B1-A07D-57617938D0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BAC38236-0D60-49BB-BC8B-10E380180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5ADAE64-14FD-49D1-A2B5-E2619CDBB870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87DFE2B2-B63D-DE7D-50B8-A14F9C0ECA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D1CDB82D-CF77-212E-9229-D864C5894E35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49174D84-0F90-4BC2-996C-1C743E085010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4F361F46-DBC9-4FD0-AD29-504CF6F8F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4DD12391-4563-CAD6-DA3F-D33616454EC7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A5730B6-17AB-4D2B-885B-5BC9137C68F6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E4F2B4BC-6F64-90B5-75DA-E116A7B67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55C63CBD-CD0F-7DEF-7B96-1BD6A1FBD184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37325493-1330-4000-9EE3-DFD2C68C2B2B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1FFBD064-EE88-A9A3-3B9A-71BE58DDD60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5284FCB7-AA60-3BA0-593B-E270449943FC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EC8216CA-AC2B-E5F6-9A83-058A254502F5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73251128-1B18-430F-95AC-E02FFADE1B1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E0535911-E4CA-41A1-84FB-8CFB9FE95EA5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C001A008-CA72-134B-4309-027F1306B6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EF29FD6C-4456-99E6-9E6F-35560DF2B440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6EB7CDEE-A238-40F3-8E21-7E3E91340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A8301FAA-FBC0-49FF-B928-E165A09B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70ADC779-B7B6-4635-9F1A-DDE98DF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8FCC3C0-BDD7-401E-BAA1-837470428098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C3682B6E-7F30-2992-8B73-D62D5AA31C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7E22DD15-56DE-8869-A69C-05C092733CDA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6874E682-5BBC-4485-9E7F-4592B520230A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75D1BD41-FEDE-3153-A8F8-6CC877F6C0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959AF12E-4FCF-AD99-8A28-ED7CA58E730C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C424524-9F12-4A2B-B30E-9040F553B3A3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CE9CBDE1-18B6-E345-41F9-9083C7BDD8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55CAFB2E-8634-40B8-4FE0-1B8CD7B6C765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BD632CEC-89A7-419C-87D5-393F88C31A5C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897A77FD-F1D9-8AAD-5B8D-A68212B3884C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6AC37563-506E-91D4-FD57-4A7F9D071F14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CFB43010-FFDE-C193-5C8F-5B0D341D6AC6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E84CA2D8-3BA4-711B-1BFD-CFEE787F06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BD87BDAE-9439-4DD4-81D1-E2A1312A7CB3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818735EC-1EBE-8992-A88E-CDEB082BAC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8319D280-ED98-5C37-9757-3174F52FE65A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527FF56C-C5F5-4323-9276-0CE0F31BA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45F9B3BD-E8CD-4167-893B-357BBAFC6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6CD2A60D-A086-4D69-8CF0-5D6300E62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E67DE62A-0D1D-418F-9165-0DC5229E5164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1FE314A6-181A-1624-68DB-DAB02ADED7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E9029E37-79E3-ADBF-068D-7371B7BC3A62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3F54F9E8-D919-42A6-98F7-9D37629C216B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A8DCB94B-B927-6988-35CB-17D3EDE06A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381E559B-35C2-8BE9-C5B1-00996DE2B267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9BB18BB2-D3FC-4F2D-A64D-9BA8B10B60E9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8D29D8DB-4F1C-0D85-A0B0-31C8E416B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A11AB7B5-EAEC-A79F-1E18-35BA0CA23BC8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A7DABED-1A18-4CD8-8A52-5274F1B6539F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2D175BF2-4696-278C-CF07-4CA9EC9B750D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535CFCAA-1EB7-5CA8-69F9-90B1C2DDE528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2706BA53-8DB5-D0A1-2D10-A4A8C500874F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C1A0AAD4-6935-1371-0F39-86C35CCEEB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79AEFD84-488D-4F37-BCAE-FEB50E0A3B81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B5212C5D-55CE-3631-ACEC-AC352AD0B9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7FF99344-17B2-E44D-359F-BA099C71BB23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B2798DA6-4499-47B6-BDF0-E73ED19DF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4B162988-DB0A-49B2-85DD-4C81D57DB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4F1C2983-EF10-496A-86D7-9951CFA50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029C1DB-095E-4EA8-8746-186088997B2F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FAC3B122-B701-8F74-B37C-211ACC8D3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1735B685-7C9B-4EEA-5FF7-1F94F57DA609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C4884F30-B2D4-4606-A9DF-677AC4D5B24E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DAF06338-6B34-30D3-152C-8BE85ABE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BC8066A-C516-B8F3-01E6-F02C602E73D7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B1422447-F282-4960-87FC-502FB89C377F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AC6A4E4F-7A1D-C643-0CBF-43AE52D93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6A640091-0242-5E72-F56F-D4C8D22C21E9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2A726EB-E523-4245-A713-901BAEF96048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7C47BDF1-F556-1361-34E5-87F18B995C2A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4D8720C2-725D-0AB5-04C9-84860A713C54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4E0CA384-D274-881C-A9FF-ED61FD9DAC3A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E0C0C08C-5023-4EE7-9B63-3FCC0F92E6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5B5CD9B3-19B1-4B8D-B2BC-21F8743270A2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22B596D4-E29D-D2CC-7F14-758BD43137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20263A9B-5107-E348-27FB-3831F74E1F77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FFF7DBF0-964F-4180-96A2-C9D5545CC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859D09B5-0F78-44F1-8C97-C5142F4CB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503616A1-8041-479F-B170-8A0D60AB2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F1D3B89-74B3-48E8-8E5B-42B291E9E573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73891E1C-CF2E-F18E-4EBD-0BA06800A2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F6D91446-EA03-BC87-D5EF-BA3D4A6E6965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23A1F76-569E-4FED-A81D-E0484D534B50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72AEAFD5-47B2-74FE-ADA1-23ED6B5DE1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FF121E4C-B0D1-718E-8DF4-A6A7303A866C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D76CDED-52CB-4173-BB7B-EBF131626986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7B093808-1668-566E-B0D1-B625147D24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B3442AD0-CFB5-6663-30CC-044400415F7E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3A1ECF8-D3AC-49EB-9BB7-3889887B7DCA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F309A330-096B-2B98-4CF6-1D15EE38F886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BBD564BF-EEF9-5A99-401C-25A231B8978B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59ABA0F4-80F8-0B42-6604-944DF1C00AB6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6800D9B6-4ECC-D846-5CCF-46AE1A3A8A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4AD4548D-6472-4481-BE34-8F20B414C520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1D1B0603-E040-81E0-9E39-33157A1B18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36AF5B7F-C24B-46C7-B822-B9C061378091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F5E8A56B-2001-4BBA-A9D6-02CC7BC74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09374E7-911C-4F08-A9C7-6EDFF5B6F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E760EDA-4861-4473-B455-66DCD116F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4618D10D-A67A-45DA-A4C5-7BE7A076F7EB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63E23ADD-ECC5-2529-2745-975270BDA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2ADFB147-3FEC-206C-8FE5-2B8D34744921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C68B3385-7E16-48C8-A504-233E2DB19963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5F93404C-0E97-F75D-1E32-8D12AB62BC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CA7BE311-BDDF-A09E-B5C4-52F88864EDB1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F7F7A71-D47E-458A-9B19-4FE7612CF8F3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53EB9891-F9DF-DBD5-710B-769EB51DC8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464704FB-13A6-E334-C216-50E09AAC211A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3AD89F3-0A88-4C05-84D6-7FB6FB34031B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D6653938-7BC4-8B8C-51B9-CC1119BD92A9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274E464D-F52E-4692-E1EC-3C257E41108D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D83A0C8B-BCFC-3231-BFA6-728BFDCB9594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D01B39D3-BCFC-DA35-4D72-A7305809E9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1832874E-F690-4551-A1F6-E5B96508B4FF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2FEC3536-5B58-0E84-146C-CD35209989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0F30E902-9DAA-6797-19DE-25C48C743E41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027AAE22-643F-498B-A7F4-007385450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E81750CB-7BF7-4176-8EB6-4535B16F8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0966B4E-D778-4F3F-A100-545DFF6E1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B710740-E19C-43A4-A2B6-E2904EF83A7B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3576619C-74A0-BF34-CAF6-9460BEDF4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8482A7CC-5052-1912-E528-3676DBA2A1A7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1B57C49-2C9E-463E-B7AF-F7A8E79087E1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8354F7F3-DB84-A577-4C0C-8D471302C8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E109E3A5-13DB-E0B1-0184-9B877ED31FFC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E4464A-3834-4845-9D7D-5A9A6752667E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350F485F-3D22-6B9A-7706-D3F6DFB72D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CC5C028A-84CA-3B04-42D6-E5DE2A402911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D7B3FCC-7B3D-4FAA-AE5A-9EB5056C5662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96662F02-18C3-DD57-BC87-8B0B98EE9438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7B586967-5F79-6175-455A-95FDD2B552F8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64400005-7FDC-4352-A585-74AED27A33F9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D92E8EB9-92EE-35EC-F7EC-698193457E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FA39C94-263A-4FD0-8A19-AAE927AD02E6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3B74E20F-DA9B-7FC7-B2D9-1016CF38CF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360C55D3-2FD3-5C19-0C1F-DF2349F7E138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7B7F69B5-9C0B-43AA-9A63-AADD765AB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C35B35EA-6656-4793-A9A3-FDBA441494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DF15CA79-C4D8-4392-BF59-4FB33AFE3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6FBED77-07C0-4014-A7AE-9BA8C664433A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A2CDA82-9530-898E-3CD6-2D3F605DB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BD7D4591-5E79-FD57-5374-B3F75239D86D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14ADE546-0A1F-4F4C-9CFD-FCD2FA2F7149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A8426F07-0E65-E9CD-E385-C709C824B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85F69A87-92BB-8811-1973-292ED59331ED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5F6BD553-CD69-4D02-A08D-5F0713055BD5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AABF9C87-4499-FA5C-A73F-AEAEB210B5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5C2FB0B8-AFD2-31BE-D33E-26BDBFC1C1B6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E134CB5-DAF5-4ADF-AB2F-221E34E1B8D0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4BD8D456-8079-DDD6-D5EE-7197870A937C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46A70665-7752-7D32-0126-D6E10019D6F7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7F6C992B-656C-7C8B-18D8-75B3BE7AD24C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EDEE6170-DF1C-0464-9051-7849CC36F81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C742053D-3E2C-473A-8ECB-330569AD6DEA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89688FA3-229B-90DD-39D0-B44B1BD9C0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4A85049F-5D4A-8BC9-DD5C-12F74B25AEBD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B083C187-2178-4A1D-AD4D-6AEA9BAD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0FF4BCA5-0C96-4488-8526-ECF9695C0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95941040-503F-465D-AA43-4519F8396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B1F8D2B-EEF2-42A5-8935-1625BC9BF898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82F74542-83CC-E71D-2CE7-CD04F13C3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A6F8A764-48FF-4193-8097-A232D3CB3C62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EA34169-AFC4-49B3-8ECC-9A24B226596F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802433C4-D680-4F42-D51E-34325FA69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DC731D6A-3754-1112-4D4E-BFCCD6E0E3D1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BD134C29-4A77-4890-990C-A7CB5530E7B1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7477C8FC-E382-6365-F5EA-0FF67EE718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AEF74845-7ABB-AD46-ADBF-BB66AEABA306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BF45FBBC-ADA4-4F5A-BED0-F5A530C3F2DD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F9345017-7468-2917-8D3A-D2B3320E78AE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534B6D26-F168-2CC6-54D5-FEC156DB8927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A5F1AB7C-DC48-FEE5-CBEF-B2F533C8EBF6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EB164ECC-44ED-DBAC-0DE7-457F5FAB46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79A6B8E3-C2C8-4E28-8C93-220E5E7BACF5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2AE77E22-A0ED-1A9E-B715-473A3E117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576E7F6A-D54C-E259-1726-96BC45BC61DB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90CC1747-ABF8-4A32-9799-C6B7F3FEE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223A6020-1EB8-4EDA-8859-559015A11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65666146-5DF3-4698-A45B-5717D855E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30D740A4-68CD-421C-8833-EB2D781DB7D9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99F09F80-50F2-62E0-522E-4CC95FB855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079DC934-D45F-F2F5-AC8A-0CA926C195D4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BA09377A-232D-4382-98C1-6A9507F269E3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1DF02F3F-5C9A-11E3-96B4-090FC9C277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7502AF62-3943-BFE2-5EC3-D3650221E384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281497A0-DF23-4F80-A201-F1DF5F597AA9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929C1388-D419-F410-05A2-1DC3A8ED72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705CF94E-9F7E-0481-1E01-D75746440DDB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F793BB6F-399E-4CB1-A849-A5558A29A339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CD62F772-762C-C85E-5119-AEA196BE7955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CB998E60-503A-9A93-F638-2614DF36E575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9BDD8317-2845-D3F5-5BA5-4941F56B3365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5144A7C0-C3DB-ADBC-7132-556DB25357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16924840-34C4-4132-97C9-1F3F21F6B9E1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031D88DD-9C18-4EB1-BA91-F5225A48AC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6D0C2CE2-10B6-145E-BC08-336AE6A9B12A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64C66472-8E16-494A-A6CD-D58E0063C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3B0F1247-47E2-4BE5-B496-0533FDDE4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12827ABF-FECB-48C8-A150-F3FD3D055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04AF4F9-BB2F-45A1-A6EF-743E250EB828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BC1AA755-B5E4-4F2A-7102-9506A3C92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5236485A-F8FC-B2A5-D42D-2FC57A06E5C0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9302F848-06C1-49B0-85F3-A9D5D9A8D6AA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2D6A1EDD-E4D2-14E2-3CFC-5FE39F9651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77F66398-0982-F5E0-CFA3-BDB576DA4706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A73D6A29-B545-4C6B-BA59-13515ADEB1C3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86B98096-FC09-2C52-D880-DA7C9621A8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61D2EC43-715F-7CC8-E45A-49A2DE0149E9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999E284-3F80-497C-BA70-42D26E57AF3D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DBC5F6BA-AE88-7FE5-9334-9A5CC71CEC8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C8AA1C90-2ADB-28B0-4B64-E1134F4AE563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A8EAB022-75A2-F7F8-896A-5346446F8399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BA3EB058-280C-716B-468A-482999CC5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E8BCFE62-18AC-450A-A1CE-38A3479CE5DE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5AD30E4B-6578-AEDE-5EF2-1CF089F070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4B7C1CAA-99BE-7A69-DE0E-97D3375FA076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465365</xdr:colOff>
      <xdr:row>19</xdr:row>
      <xdr:rowOff>127115</xdr:rowOff>
    </xdr:from>
    <xdr:ext cx="12467468" cy="4111510"/>
    <xdr:graphicFrame macro="">
      <xdr:nvGraphicFramePr>
        <xdr:cNvPr id="2" name="Dépouillement - Bureau 1 - Hotel de ville" title="Graphique">
          <a:extLst>
            <a:ext uri="{FF2B5EF4-FFF2-40B4-BE49-F238E27FC236}">
              <a16:creationId xmlns:a16="http://schemas.microsoft.com/office/drawing/2014/main" id="{E3DF884F-01B4-41A3-988C-BC7F97355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666750</xdr:colOff>
      <xdr:row>15</xdr:row>
      <xdr:rowOff>111125</xdr:rowOff>
    </xdr:from>
    <xdr:ext cx="7096125" cy="3867150"/>
    <xdr:graphicFrame macro="">
      <xdr:nvGraphicFramePr>
        <xdr:cNvPr id="3" name="Chart 3" title="Graphique">
          <a:extLst>
            <a:ext uri="{FF2B5EF4-FFF2-40B4-BE49-F238E27FC236}">
              <a16:creationId xmlns:a16="http://schemas.microsoft.com/office/drawing/2014/main" id="{F798662B-B046-4744-AA23-B66F99B73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681946</xdr:colOff>
      <xdr:row>38</xdr:row>
      <xdr:rowOff>148545</xdr:rowOff>
    </xdr:from>
    <xdr:ext cx="7096125" cy="3867150"/>
    <xdr:graphicFrame macro="">
      <xdr:nvGraphicFramePr>
        <xdr:cNvPr id="4" name="Chart 3" title="Graphique">
          <a:extLst>
            <a:ext uri="{FF2B5EF4-FFF2-40B4-BE49-F238E27FC236}">
              <a16:creationId xmlns:a16="http://schemas.microsoft.com/office/drawing/2014/main" id="{B4D2E136-033E-440C-8E51-AEC670CFB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twoCellAnchor>
    <xdr:from>
      <xdr:col>17</xdr:col>
      <xdr:colOff>719214</xdr:colOff>
      <xdr:row>3</xdr:row>
      <xdr:rowOff>136072</xdr:rowOff>
    </xdr:from>
    <xdr:to>
      <xdr:col>20</xdr:col>
      <xdr:colOff>326572</xdr:colOff>
      <xdr:row>11</xdr:row>
      <xdr:rowOff>63500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B290813-72CD-4480-9250-25E3B5FBD8EA}"/>
            </a:ext>
          </a:extLst>
        </xdr:cNvPr>
        <xdr:cNvGrpSpPr/>
      </xdr:nvGrpSpPr>
      <xdr:grpSpPr>
        <a:xfrm>
          <a:off x="17620797" y="940405"/>
          <a:ext cx="1893358" cy="1874762"/>
          <a:chOff x="18122750" y="734786"/>
          <a:chExt cx="1893358" cy="1886857"/>
        </a:xfrm>
      </xdr:grpSpPr>
      <xdr:pic>
        <xdr:nvPicPr>
          <xdr:cNvPr id="6" name="Image 5" descr="Informations avec un remplissage uni">
            <a:extLst>
              <a:ext uri="{FF2B5EF4-FFF2-40B4-BE49-F238E27FC236}">
                <a16:creationId xmlns:a16="http://schemas.microsoft.com/office/drawing/2014/main" id="{0E40FE75-3543-A83A-BA14-D7CA22A798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8122750" y="1457313"/>
            <a:ext cx="424112" cy="441802"/>
          </a:xfrm>
          <a:prstGeom prst="rect">
            <a:avLst/>
          </a:prstGeom>
        </xdr:spPr>
      </xdr:pic>
      <xdr:sp macro="" textlink="">
        <xdr:nvSpPr>
          <xdr:cNvPr id="7" name="Légende : encadrée 6">
            <a:extLst>
              <a:ext uri="{FF2B5EF4-FFF2-40B4-BE49-F238E27FC236}">
                <a16:creationId xmlns:a16="http://schemas.microsoft.com/office/drawing/2014/main" id="{EC7BBE08-984B-E1E8-0A43-1C54E53F5E46}"/>
              </a:ext>
            </a:extLst>
          </xdr:cNvPr>
          <xdr:cNvSpPr/>
        </xdr:nvSpPr>
        <xdr:spPr>
          <a:xfrm>
            <a:off x="18582822" y="734786"/>
            <a:ext cx="1433286" cy="1886857"/>
          </a:xfrm>
          <a:prstGeom prst="borderCallout1">
            <a:avLst>
              <a:gd name="adj1" fmla="val 18968"/>
              <a:gd name="adj2" fmla="val 100703"/>
              <a:gd name="adj3" fmla="val 1131"/>
              <a:gd name="adj4" fmla="val 214681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Chaque heure on note la participation actuelle (nombre de votants depuis l'ouverture)</a:t>
            </a:r>
          </a:p>
        </xdr:txBody>
      </xdr:sp>
    </xdr:grpSp>
    <xdr:clientData/>
  </xdr:twoCellAnchor>
  <xdr:twoCellAnchor>
    <xdr:from>
      <xdr:col>3</xdr:col>
      <xdr:colOff>421215</xdr:colOff>
      <xdr:row>16</xdr:row>
      <xdr:rowOff>34321</xdr:rowOff>
    </xdr:from>
    <xdr:to>
      <xdr:col>13</xdr:col>
      <xdr:colOff>613833</xdr:colOff>
      <xdr:row>17</xdr:row>
      <xdr:rowOff>294973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F669EE14-1B00-4A8F-A232-C3B23F26D965}"/>
            </a:ext>
          </a:extLst>
        </xdr:cNvPr>
        <xdr:cNvGrpSpPr/>
      </xdr:nvGrpSpPr>
      <xdr:grpSpPr>
        <a:xfrm>
          <a:off x="3437465" y="3907821"/>
          <a:ext cx="10606618" cy="493485"/>
          <a:chOff x="3986301" y="3720647"/>
          <a:chExt cx="10493091" cy="356285"/>
        </a:xfrm>
      </xdr:grpSpPr>
      <xdr:pic>
        <xdr:nvPicPr>
          <xdr:cNvPr id="9" name="Image 8" descr="Informations avec un remplissage uni">
            <a:extLst>
              <a:ext uri="{FF2B5EF4-FFF2-40B4-BE49-F238E27FC236}">
                <a16:creationId xmlns:a16="http://schemas.microsoft.com/office/drawing/2014/main" id="{D499FD29-CC17-1B3E-07B6-BAE6EC673B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86301" y="3722398"/>
            <a:ext cx="467912" cy="352782"/>
          </a:xfrm>
          <a:prstGeom prst="rect">
            <a:avLst/>
          </a:prstGeom>
        </xdr:spPr>
      </xdr:pic>
      <xdr:sp macro="" textlink="">
        <xdr:nvSpPr>
          <xdr:cNvPr id="10" name="Légende : encadrée 9">
            <a:extLst>
              <a:ext uri="{FF2B5EF4-FFF2-40B4-BE49-F238E27FC236}">
                <a16:creationId xmlns:a16="http://schemas.microsoft.com/office/drawing/2014/main" id="{CE742B33-6019-C596-9B33-00C478759138}"/>
              </a:ext>
            </a:extLst>
          </xdr:cNvPr>
          <xdr:cNvSpPr/>
        </xdr:nvSpPr>
        <xdr:spPr>
          <a:xfrm>
            <a:off x="4517572" y="3720647"/>
            <a:ext cx="9961820" cy="356285"/>
          </a:xfrm>
          <a:prstGeom prst="borderCallout1">
            <a:avLst>
              <a:gd name="adj1" fmla="val -1097"/>
              <a:gd name="adj2" fmla="val 10534"/>
              <a:gd name="adj3" fmla="val -550721"/>
              <a:gd name="adj4" fmla="val 12970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A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</a:t>
            </a:r>
            <a:r>
              <a:rPr lang="fr-FR" sz="140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haque centaine d'enveloppes dépouillées on note ici le score du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candidat pour cette centaine (score &lt; 100)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396119</xdr:colOff>
      <xdr:row>62</xdr:row>
      <xdr:rowOff>47428</xdr:rowOff>
    </xdr:from>
    <xdr:to>
      <xdr:col>13</xdr:col>
      <xdr:colOff>1022047</xdr:colOff>
      <xdr:row>64</xdr:row>
      <xdr:rowOff>111452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A8680BC2-3242-413E-BB8D-FD424C741916}"/>
            </a:ext>
          </a:extLst>
        </xdr:cNvPr>
        <xdr:cNvGrpSpPr/>
      </xdr:nvGrpSpPr>
      <xdr:grpSpPr>
        <a:xfrm>
          <a:off x="3412369" y="12758011"/>
          <a:ext cx="11039928" cy="455608"/>
          <a:chOff x="4009571" y="12174517"/>
          <a:chExt cx="10926536" cy="464480"/>
        </a:xfrm>
      </xdr:grpSpPr>
      <xdr:pic>
        <xdr:nvPicPr>
          <xdr:cNvPr id="12" name="Image 11" descr="Informations avec un remplissage uni">
            <a:extLst>
              <a:ext uri="{FF2B5EF4-FFF2-40B4-BE49-F238E27FC236}">
                <a16:creationId xmlns:a16="http://schemas.microsoft.com/office/drawing/2014/main" id="{C51309C1-4E2A-9350-D5BB-A63E47D58F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09571" y="12174517"/>
            <a:ext cx="422298" cy="464480"/>
          </a:xfrm>
          <a:prstGeom prst="rect">
            <a:avLst/>
          </a:prstGeom>
        </xdr:spPr>
      </xdr:pic>
      <xdr:sp macro="" textlink="">
        <xdr:nvSpPr>
          <xdr:cNvPr id="13" name="Légende : encadrée 12">
            <a:extLst>
              <a:ext uri="{FF2B5EF4-FFF2-40B4-BE49-F238E27FC236}">
                <a16:creationId xmlns:a16="http://schemas.microsoft.com/office/drawing/2014/main" id="{AC94A108-1331-AE4E-3571-D9307BD40827}"/>
              </a:ext>
            </a:extLst>
          </xdr:cNvPr>
          <xdr:cNvSpPr/>
        </xdr:nvSpPr>
        <xdr:spPr>
          <a:xfrm>
            <a:off x="4508499" y="12217881"/>
            <a:ext cx="10427608" cy="377777"/>
          </a:xfrm>
          <a:prstGeom prst="borderCallout1">
            <a:avLst>
              <a:gd name="adj1" fmla="val 100797"/>
              <a:gd name="adj2" fmla="val 92465"/>
              <a:gd name="adj3" fmla="val 345551"/>
              <a:gd name="adj4" fmla="val 89297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A chaque centaine d'enveloppes dépouillée on note ici le score courant du candidat à la table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(score croissant)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14</xdr:col>
      <xdr:colOff>539750</xdr:colOff>
      <xdr:row>16</xdr:row>
      <xdr:rowOff>45731</xdr:rowOff>
    </xdr:from>
    <xdr:to>
      <xdr:col>19</xdr:col>
      <xdr:colOff>292100</xdr:colOff>
      <xdr:row>47</xdr:row>
      <xdr:rowOff>105834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F347AB89-CCCA-442D-BF9A-AA141F40B023}"/>
            </a:ext>
          </a:extLst>
        </xdr:cNvPr>
        <xdr:cNvGrpSpPr/>
      </xdr:nvGrpSpPr>
      <xdr:grpSpPr>
        <a:xfrm>
          <a:off x="15017750" y="3919231"/>
          <a:ext cx="3699933" cy="5245936"/>
          <a:chOff x="15451667" y="3919231"/>
          <a:chExt cx="3699933" cy="5245936"/>
        </a:xfrm>
      </xdr:grpSpPr>
      <xdr:cxnSp macro="">
        <xdr:nvCxnSpPr>
          <xdr:cNvPr id="15" name="Connecteur droit avec flèche 14">
            <a:extLst>
              <a:ext uri="{FF2B5EF4-FFF2-40B4-BE49-F238E27FC236}">
                <a16:creationId xmlns:a16="http://schemas.microsoft.com/office/drawing/2014/main" id="{630068C8-7B4F-ED24-7492-D8A439A24F40}"/>
              </a:ext>
            </a:extLst>
          </xdr:cNvPr>
          <xdr:cNvCxnSpPr/>
        </xdr:nvCxnSpPr>
        <xdr:spPr>
          <a:xfrm flipH="1">
            <a:off x="15451667" y="8826500"/>
            <a:ext cx="1248833" cy="338667"/>
          </a:xfrm>
          <a:prstGeom prst="straightConnector1">
            <a:avLst/>
          </a:prstGeom>
          <a:ln w="28575"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7B9F3092-E3DD-3DD4-E0E9-538842461346}"/>
              </a:ext>
            </a:extLst>
          </xdr:cNvPr>
          <xdr:cNvGrpSpPr/>
        </xdr:nvGrpSpPr>
        <xdr:grpSpPr>
          <a:xfrm>
            <a:off x="16678810" y="3919231"/>
            <a:ext cx="2472790" cy="5066019"/>
            <a:chOff x="17233273" y="4500327"/>
            <a:chExt cx="2466176" cy="5280253"/>
          </a:xfrm>
        </xdr:grpSpPr>
        <xdr:sp macro="" textlink="">
          <xdr:nvSpPr>
            <xdr:cNvPr id="17" name="Légende : encadrée 16">
              <a:extLst>
                <a:ext uri="{FF2B5EF4-FFF2-40B4-BE49-F238E27FC236}">
                  <a16:creationId xmlns:a16="http://schemas.microsoft.com/office/drawing/2014/main" id="{C22E3805-F31B-FF4B-D799-CC5067011E5D}"/>
                </a:ext>
              </a:extLst>
            </xdr:cNvPr>
            <xdr:cNvSpPr/>
          </xdr:nvSpPr>
          <xdr:spPr>
            <a:xfrm>
              <a:off x="17233273" y="4968173"/>
              <a:ext cx="2466176" cy="4812407"/>
            </a:xfrm>
            <a:prstGeom prst="borderCallout1">
              <a:avLst>
                <a:gd name="adj1" fmla="val 5519"/>
                <a:gd name="adj2" fmla="val -343"/>
                <a:gd name="adj3" fmla="val -17687"/>
                <a:gd name="adj4" fmla="val -40676"/>
              </a:avLst>
            </a:prstGeom>
            <a:solidFill>
              <a:srgbClr val="FFFFFF"/>
            </a:solidFill>
            <a:ln w="22225">
              <a:solidFill>
                <a:schemeClr val="accent1"/>
              </a:solidFill>
              <a:headEnd type="none" w="med" len="med"/>
              <a:tailEnd type="triangle" w="lg" len="lg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400">
                  <a:solidFill>
                    <a:schemeClr val="accent1">
                      <a:lumMod val="75000"/>
                    </a:schemeClr>
                  </a:solidFill>
                </a:rPr>
                <a:t>Ces</a:t>
              </a:r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deux méthodes de saisies sont au choix :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compte à la main les scores (relatifs) des candidats dans chaque centaine. </a:t>
              </a:r>
            </a:p>
            <a:p>
              <a:pPr algn="l"/>
              <a:endParaRPr lang="fr-FR" sz="1400" baseline="0">
                <a:solidFill>
                  <a:schemeClr val="accent1">
                    <a:lumMod val="75000"/>
                  </a:schemeClr>
                </a:solidFill>
              </a:endParaRPr>
            </a:p>
            <a:p>
              <a:pPr algn="l"/>
              <a:r>
                <a:rPr lang="fr-FR" sz="1400" baseline="0">
                  <a:solidFill>
                    <a:schemeClr val="accent1">
                      <a:lumMod val="75000"/>
                    </a:schemeClr>
                  </a:solidFill>
                </a:rPr>
                <a:t> - Soit on recopie à chaque table le décompte (cumulatif) des scores toutes les 100 enveloppes dépouillées et le calcul relatif à la centaine dépouillée se fait automatiquement</a:t>
              </a:r>
            </a:p>
            <a:p>
              <a:pPr algn="l"/>
              <a:endParaRPr lang="fr-FR" sz="14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  <xdr:pic>
          <xdr:nvPicPr>
            <xdr:cNvPr id="18" name="Image 17" descr="Informations avec un remplissage uni">
              <a:extLst>
                <a:ext uri="{FF2B5EF4-FFF2-40B4-BE49-F238E27FC236}">
                  <a16:creationId xmlns:a16="http://schemas.microsoft.com/office/drawing/2014/main" id="{4C57A18E-EB59-D1C9-095C-10AC06E66B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254306" y="4500327"/>
              <a:ext cx="424112" cy="45136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381000</xdr:colOff>
      <xdr:row>59</xdr:row>
      <xdr:rowOff>78129</xdr:rowOff>
    </xdr:from>
    <xdr:to>
      <xdr:col>13</xdr:col>
      <xdr:colOff>1016754</xdr:colOff>
      <xdr:row>62</xdr:row>
      <xdr:rowOff>57487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A206312C-32B8-462B-A4FB-6FDD7F875083}"/>
            </a:ext>
          </a:extLst>
        </xdr:cNvPr>
        <xdr:cNvGrpSpPr/>
      </xdr:nvGrpSpPr>
      <xdr:grpSpPr>
        <a:xfrm>
          <a:off x="3397250" y="12312462"/>
          <a:ext cx="11049754" cy="455608"/>
          <a:chOff x="3967983" y="12233869"/>
          <a:chExt cx="10936365" cy="464480"/>
        </a:xfrm>
      </xdr:grpSpPr>
      <xdr:pic>
        <xdr:nvPicPr>
          <xdr:cNvPr id="20" name="Image 19" descr="Informations avec un remplissage uni">
            <a:extLst>
              <a:ext uri="{FF2B5EF4-FFF2-40B4-BE49-F238E27FC236}">
                <a16:creationId xmlns:a16="http://schemas.microsoft.com/office/drawing/2014/main" id="{13F32783-7B62-C038-C850-10910F3B7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967983" y="12233869"/>
            <a:ext cx="463886" cy="464480"/>
          </a:xfrm>
          <a:prstGeom prst="rect">
            <a:avLst/>
          </a:prstGeom>
        </xdr:spPr>
      </xdr:pic>
      <xdr:sp macro="" textlink="">
        <xdr:nvSpPr>
          <xdr:cNvPr id="21" name="Légende : encadrée 20">
            <a:extLst>
              <a:ext uri="{FF2B5EF4-FFF2-40B4-BE49-F238E27FC236}">
                <a16:creationId xmlns:a16="http://schemas.microsoft.com/office/drawing/2014/main" id="{B67083D3-10B6-44FE-F2EA-75D4C8CC55C0}"/>
              </a:ext>
            </a:extLst>
          </xdr:cNvPr>
          <xdr:cNvSpPr/>
        </xdr:nvSpPr>
        <xdr:spPr>
          <a:xfrm>
            <a:off x="4476740" y="12269657"/>
            <a:ext cx="10427608" cy="392892"/>
          </a:xfrm>
          <a:prstGeom prst="borderCallout1">
            <a:avLst>
              <a:gd name="adj1" fmla="val -2020"/>
              <a:gd name="adj2" fmla="val 6070"/>
              <a:gd name="adj3" fmla="val -319027"/>
              <a:gd name="adj4" fmla="val -2275"/>
            </a:avLst>
          </a:prstGeom>
          <a:solidFill>
            <a:srgbClr val="FFFFFF"/>
          </a:solidFill>
          <a:ln w="22225">
            <a:solidFill>
              <a:schemeClr val="accent1"/>
            </a:solidFill>
            <a:headEnd type="none" w="med" len="med"/>
            <a:tailEnd type="triangle" w="lg" len="lg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400">
                <a:solidFill>
                  <a:schemeClr val="accent1">
                    <a:lumMod val="75000"/>
                  </a:schemeClr>
                </a:solidFill>
              </a:rPr>
              <a:t>On distribue</a:t>
            </a:r>
            <a:r>
              <a:rPr lang="fr-FR" sz="1400" baseline="0">
                <a:solidFill>
                  <a:schemeClr val="accent1">
                    <a:lumMod val="75000"/>
                  </a:schemeClr>
                </a:solidFill>
              </a:rPr>
              <a:t> une à une les centaines d'enveloppes aux différentes tables de dépouillement</a:t>
            </a:r>
            <a:endParaRPr lang="fr-FR" sz="1400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émi Barbero" id="{B9D14DDA-5DA4-4748-A3A4-6D74DB2F48C1}" userId="S::remi.barbero@alumni.enac.fr::af27855e-84ee-4cac-afae-9f96b209abdd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" dT="2025-03-13T15:05:52.99" personId="{B9D14DDA-5DA4-4748-A3A4-6D74DB2F48C1}" id="{FBD70714-D0BB-4AA6-BE65-3EED5D437171}" done="1">
    <text>Initialisation : remplir le nom des candidats</text>
  </threadedComment>
  <threadedComment ref="B3" dT="2025-08-05T09:31:20.57" personId="{B9D14DDA-5DA4-4748-A3A4-6D74DB2F48C1}" id="{BEEF2C17-5866-4F24-BA73-D4FBD2E5754A}" done="1">
    <text>Modifier ici le nom des bureaux de vote</text>
  </threadedComment>
  <threadedComment ref="C3" dT="2025-08-05T09:31:48.16" personId="{B9D14DDA-5DA4-4748-A3A4-6D74DB2F48C1}" id="{0A15DBED-F0B4-4A1F-B367-1AC56AF1364F}" done="1">
    <text>Modifier ici le nombre d’électeurs inscrits</text>
  </threadedComment>
  <threadedComment ref="B17" dT="2025-03-13T15:06:17.01" personId="{B9D14DDA-5DA4-4748-A3A4-6D74DB2F48C1}" id="{CDA59AD5-66A8-4316-9310-A9E77F6B23A5}" done="1">
    <text>Initialisation : Mettre à jour la date et le type d'élection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5-04-14T07:52:19.44" personId="{B9D14DDA-5DA4-4748-A3A4-6D74DB2F48C1}" id="{BFCB494A-5EEE-4582-8D8D-D7FC9A33F3A8}" done="1">
    <text>Nombre d'enveloppes distribuées</text>
  </threadedComment>
  <threadedComment ref="AA14" dT="2025-03-14T10:48:31.20" personId="{B9D14DDA-5DA4-4748-A3A4-6D74DB2F48C1}" id="{949660B2-4E61-494B-8030-5A8D962E3720}" done="1">
    <text>Si la case est jaune c'est que la participation est inférieure à l'heure précédente, c'est impossible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08F8DE15-E65E-405C-BD70-CD5CC9352982}" done="1">
    <text>Nombre de centaines d'enveloppes nécessaires pour ce bureau</text>
  </threadedComment>
  <threadedComment ref="S1" dT="2025-04-24T12:32:34.89" personId="{B9D14DDA-5DA4-4748-A3A4-6D74DB2F48C1}" id="{A15FBCB5-FD76-4826-BB4C-054DADBFA826}" done="1">
    <text>Index de la dernière centaine d'enveloppes</text>
  </threadedComment>
  <threadedComment ref="R2" dT="2025-04-24T12:31:05.29" personId="{B9D14DDA-5DA4-4748-A3A4-6D74DB2F48C1}" id="{AA638E6D-49D1-4043-9EFD-C0E3D803BB67}" done="1">
    <text>Modulo 100 de la dernière centaine d'enveloppes</text>
  </threadedComment>
  <threadedComment ref="S2" dT="2025-08-05T07:48:39.46" personId="{B9D14DDA-5DA4-4748-A3A4-6D74DB2F48C1}" id="{ACF1A81E-2998-4EC0-8307-A9D926109C8A}" done="1">
    <text>Nombre d’isoloirs</text>
  </threadedComment>
  <threadedComment ref="W3" dT="2025-07-15T12:34:37.15" personId="{B9D14DDA-5DA4-4748-A3A4-6D74DB2F48C1}" id="{91428695-3F91-47F7-BE76-93129AF95A1B}" done="1">
    <text>A l'ouverture du bureau il n'y a pas encore de vote</text>
  </threadedComment>
  <threadedComment ref="A7" dT="2025-04-14T11:49:35.58" personId="{B9D14DDA-5DA4-4748-A3A4-6D74DB2F48C1}" id="{19B9FF00-A3AE-44DA-BA5F-9A4078FC5682}" done="1">
    <text>Nombre d'enveloppes et de bulletins sans enveloppe trouvés dans l'urne</text>
  </threadedComment>
  <threadedComment ref="B7" dT="2025-03-13T15:42:36.25" personId="{B9D14DDA-5DA4-4748-A3A4-6D74DB2F48C1}" id="{BBD07137-23AC-4674-9BB3-E06EC3B50663}" done="1">
    <text>Doit être égal à la participation horaire de cloture</text>
  </threadedComment>
  <threadedComment ref="A8" dT="2025-04-14T11:49:47.49" personId="{B9D14DDA-5DA4-4748-A3A4-6D74DB2F48C1}" id="{5A7C730A-D4D7-4695-B11A-94FB42D672FC}" done="1">
    <text>Nombre de signatures sur le registre</text>
  </threadedComment>
  <threadedComment ref="B8" dT="2025-03-13T15:44:24.83" personId="{B9D14DDA-5DA4-4748-A3A4-6D74DB2F48C1}" id="{A08C5D88-3E60-4C52-92D0-CA1200B7F72C}" done="1">
    <text>Doit être normalement égal aux votants</text>
  </threadedComment>
  <threadedComment ref="Q13" dT="2025-04-14T12:15:13.05" personId="{B9D14DDA-5DA4-4748-A3A4-6D74DB2F48C1}" id="{72041112-5565-4C53-82FA-FD1FA52941D9}" done="1">
    <text>Doit être égal au nombre de votants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D3C10F1-FEEF-4E9E-94C9-D4F9E0A553EB}" done="1">
    <text>Nombre de centaines d'enveloppes nécessaires pour ce bureau</text>
  </threadedComment>
  <threadedComment ref="S1" dT="2025-04-24T12:32:34.89" personId="{B9D14DDA-5DA4-4748-A3A4-6D74DB2F48C1}" id="{8635CE1D-3F46-42B6-AEEE-24746F82AF72}" done="1">
    <text>Index de la dernière centaine d'enveloppes</text>
  </threadedComment>
  <threadedComment ref="R2" dT="2025-04-24T12:31:05.29" personId="{B9D14DDA-5DA4-4748-A3A4-6D74DB2F48C1}" id="{2FCCA48F-2713-4355-98C8-DDE96C91DF85}" done="1">
    <text>Modulo 100 de la dernière centaine d'enveloppes</text>
  </threadedComment>
  <threadedComment ref="S2" dT="2025-08-05T07:48:39.46" personId="{B9D14DDA-5DA4-4748-A3A4-6D74DB2F48C1}" id="{D1C968E7-4EBA-455E-9F8B-28FA89205B94}" done="1">
    <text>Nombre d’isoloirs</text>
  </threadedComment>
  <threadedComment ref="W3" dT="2025-07-15T12:34:37.15" personId="{B9D14DDA-5DA4-4748-A3A4-6D74DB2F48C1}" id="{46628604-0487-48E5-9F91-EB4DC295F616}" done="1">
    <text>A l'ouverture du bureau il n'y a pas encore de vote</text>
  </threadedComment>
  <threadedComment ref="A7" dT="2025-04-14T11:49:35.58" personId="{B9D14DDA-5DA4-4748-A3A4-6D74DB2F48C1}" id="{3C2CC6FF-8C99-4A54-98E3-A431EBC691A8}" done="1">
    <text>Nombre d'enveloppes et de bulletins sans enveloppe trouvés dans l'urne</text>
  </threadedComment>
  <threadedComment ref="B7" dT="2025-03-13T15:42:36.25" personId="{B9D14DDA-5DA4-4748-A3A4-6D74DB2F48C1}" id="{93982A39-4621-44E5-8C69-626D3330A120}" done="1">
    <text>Doit être égal à la participation horaire de cloture</text>
  </threadedComment>
  <threadedComment ref="A8" dT="2025-04-14T11:49:47.49" personId="{B9D14DDA-5DA4-4748-A3A4-6D74DB2F48C1}" id="{E1A34A79-66F1-423A-99B8-E0FFB0DFE7CF}" done="1">
    <text>Nombre de signatures sur le registre</text>
  </threadedComment>
  <threadedComment ref="B8" dT="2025-03-13T15:44:24.83" personId="{B9D14DDA-5DA4-4748-A3A4-6D74DB2F48C1}" id="{7CCA1500-31AA-4CA5-A934-61260FF84EC0}" done="1">
    <text>Doit être normalement égal aux votants</text>
  </threadedComment>
  <threadedComment ref="Q13" dT="2025-04-14T12:15:13.05" personId="{B9D14DDA-5DA4-4748-A3A4-6D74DB2F48C1}" id="{F45EA83B-F2A7-4B0E-A9DC-7FB934E46695}" done="1">
    <text>Doit être égal au nombre de votants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7AD54A3B-22CA-4E9A-889A-627DDEEC5E53}" done="1">
    <text>Nombre de centaines d'enveloppes nécessaires pour ce bureau</text>
  </threadedComment>
  <threadedComment ref="S1" dT="2025-04-24T12:32:34.89" personId="{B9D14DDA-5DA4-4748-A3A4-6D74DB2F48C1}" id="{8A995183-6316-4381-B1A1-8E585EFCB3DE}" done="1">
    <text>Index de la dernière centaine d'enveloppes</text>
  </threadedComment>
  <threadedComment ref="R2" dT="2025-04-24T12:31:05.29" personId="{B9D14DDA-5DA4-4748-A3A4-6D74DB2F48C1}" id="{35E7004E-C69B-418C-9035-938839AA9976}" done="1">
    <text>Modulo 100 de la dernière centaine d'enveloppes</text>
  </threadedComment>
  <threadedComment ref="S2" dT="2025-08-05T07:48:39.46" personId="{B9D14DDA-5DA4-4748-A3A4-6D74DB2F48C1}" id="{47C54FF9-C646-48E5-A952-F92B27140203}" done="1">
    <text>Nombre d’isoloirs</text>
  </threadedComment>
  <threadedComment ref="W3" dT="2025-07-15T12:34:37.15" personId="{B9D14DDA-5DA4-4748-A3A4-6D74DB2F48C1}" id="{9C9C78C1-627F-469F-9006-F6C6FCAD9C5B}" done="1">
    <text>A l'ouverture du bureau il n'y a pas encore de vote</text>
  </threadedComment>
  <threadedComment ref="A7" dT="2025-04-14T11:49:35.58" personId="{B9D14DDA-5DA4-4748-A3A4-6D74DB2F48C1}" id="{5797B93B-B76B-428F-8312-22EB2A6F92FC}" done="1">
    <text>Nombre d'enveloppes et de bulletins sans enveloppe trouvés dans l'urne</text>
  </threadedComment>
  <threadedComment ref="B7" dT="2025-03-13T15:42:36.25" personId="{B9D14DDA-5DA4-4748-A3A4-6D74DB2F48C1}" id="{D0C2377A-D4CB-44B5-8CF4-E443DB74D845}" done="1">
    <text>Doit être égal à la participation horaire de cloture</text>
  </threadedComment>
  <threadedComment ref="A8" dT="2025-04-14T11:49:47.49" personId="{B9D14DDA-5DA4-4748-A3A4-6D74DB2F48C1}" id="{D0162388-1C2F-43E4-AA83-B4102BECAC3D}" done="1">
    <text>Nombre de signatures sur le registre</text>
  </threadedComment>
  <threadedComment ref="B8" dT="2025-03-13T15:44:24.83" personId="{B9D14DDA-5DA4-4748-A3A4-6D74DB2F48C1}" id="{D5466C37-AF04-4927-8EBB-3849EAF89ADF}" done="1">
    <text>Doit être normalement égal aux votants</text>
  </threadedComment>
  <threadedComment ref="Q13" dT="2025-04-14T12:15:13.05" personId="{B9D14DDA-5DA4-4748-A3A4-6D74DB2F48C1}" id="{0AF63678-F677-4F06-B3AC-039E395B06C2}" done="1">
    <text>Doit être égal au nombre de votants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E615461F-7302-4BE4-9F19-91A4F6A0ED28}" done="1">
    <text>Nombre de centaines d'enveloppes nécessaires pour ce bureau</text>
  </threadedComment>
  <threadedComment ref="S1" dT="2025-04-24T12:32:34.89" personId="{B9D14DDA-5DA4-4748-A3A4-6D74DB2F48C1}" id="{D3388C10-F43A-40B7-B7C8-E8BFD5237D89}" done="1">
    <text>Index de la dernière centaine d'enveloppes</text>
  </threadedComment>
  <threadedComment ref="R2" dT="2025-04-24T12:31:05.29" personId="{B9D14DDA-5DA4-4748-A3A4-6D74DB2F48C1}" id="{0690CD37-8B1D-421C-9475-E7E7B326DCC6}" done="1">
    <text>Modulo 100 de la dernière centaine d'enveloppes</text>
  </threadedComment>
  <threadedComment ref="S2" dT="2025-08-05T07:48:39.46" personId="{B9D14DDA-5DA4-4748-A3A4-6D74DB2F48C1}" id="{FD6CC132-9222-468B-B63C-B7EE6B049878}" done="1">
    <text>Nombre d’isoloirs</text>
  </threadedComment>
  <threadedComment ref="W3" dT="2025-07-15T12:34:37.15" personId="{B9D14DDA-5DA4-4748-A3A4-6D74DB2F48C1}" id="{303EAE7E-FDB7-461F-83B1-5B4969C94944}" done="1">
    <text>A l'ouverture du bureau il n'y a pas encore de vote</text>
  </threadedComment>
  <threadedComment ref="A7" dT="2025-04-14T11:49:35.58" personId="{B9D14DDA-5DA4-4748-A3A4-6D74DB2F48C1}" id="{4EA14C0B-A63B-4085-998D-A0299D093092}" done="1">
    <text>Nombre d'enveloppes et de bulletins sans enveloppe trouvés dans l'urne</text>
  </threadedComment>
  <threadedComment ref="B7" dT="2025-03-13T15:42:36.25" personId="{B9D14DDA-5DA4-4748-A3A4-6D74DB2F48C1}" id="{E5C1E30D-4199-4237-A803-A1F695E10A48}" done="1">
    <text>Doit être égal à la participation horaire de cloture</text>
  </threadedComment>
  <threadedComment ref="A8" dT="2025-04-14T11:49:47.49" personId="{B9D14DDA-5DA4-4748-A3A4-6D74DB2F48C1}" id="{4BB47237-113A-4C29-9D6F-0959E2135864}" done="1">
    <text>Nombre de signatures sur le registre</text>
  </threadedComment>
  <threadedComment ref="B8" dT="2025-03-13T15:44:24.83" personId="{B9D14DDA-5DA4-4748-A3A4-6D74DB2F48C1}" id="{B1544794-2AE6-4302-89D7-C5B8CEA6BAE6}" done="1">
    <text>Doit être normalement égal aux votants</text>
  </threadedComment>
  <threadedComment ref="Q13" dT="2025-04-14T12:15:13.05" personId="{B9D14DDA-5DA4-4748-A3A4-6D74DB2F48C1}" id="{17F5F6DC-7DA6-4A81-AAF0-6D95C6E68F98}" done="1">
    <text>Doit être égal au nombre de votants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D70E0B90-4CBA-450C-AACF-D80672EF7D2E}" done="1">
    <text>Nombre de centaines d'enveloppes nécessaires pour ce bureau</text>
  </threadedComment>
  <threadedComment ref="S1" dT="2025-04-24T12:32:34.89" personId="{B9D14DDA-5DA4-4748-A3A4-6D74DB2F48C1}" id="{B0180AE3-5653-4DF3-B474-A52F1E36DED5}" done="1">
    <text>Index de la dernière centaine d'enveloppes</text>
  </threadedComment>
  <threadedComment ref="R2" dT="2025-04-24T12:31:05.29" personId="{B9D14DDA-5DA4-4748-A3A4-6D74DB2F48C1}" id="{89CE8F25-C772-417F-982B-05AD4304EF2A}" done="1">
    <text>Modulo 100 de la dernière centaine d'enveloppes</text>
  </threadedComment>
  <threadedComment ref="S2" dT="2025-08-05T07:48:39.46" personId="{B9D14DDA-5DA4-4748-A3A4-6D74DB2F48C1}" id="{1CF3E4C8-4A72-4788-9220-DB3AFCC1ED81}" done="1">
    <text>Nombre d’isoloirs</text>
  </threadedComment>
  <threadedComment ref="W3" dT="2025-07-15T12:34:37.15" personId="{B9D14DDA-5DA4-4748-A3A4-6D74DB2F48C1}" id="{82992547-7EFF-4A9F-9C3B-776C7CF8EDAE}" done="1">
    <text>A l'ouverture du bureau il n'y a pas encore de vote</text>
  </threadedComment>
  <threadedComment ref="A7" dT="2025-04-14T11:49:35.58" personId="{B9D14DDA-5DA4-4748-A3A4-6D74DB2F48C1}" id="{F7EA31A7-760B-4178-8274-25FF8453B68C}" done="1">
    <text>Nombre d'enveloppes et de bulletins sans enveloppe trouvés dans l'urne</text>
  </threadedComment>
  <threadedComment ref="B7" dT="2025-03-13T15:42:36.25" personId="{B9D14DDA-5DA4-4748-A3A4-6D74DB2F48C1}" id="{2CBA34FE-9ECA-482C-8AFA-BC29CF19B086}" done="1">
    <text>Doit être égal à la participation horaire de cloture</text>
  </threadedComment>
  <threadedComment ref="A8" dT="2025-04-14T11:49:47.49" personId="{B9D14DDA-5DA4-4748-A3A4-6D74DB2F48C1}" id="{CF9D3773-959E-4664-B69A-CE9740494F65}" done="1">
    <text>Nombre de signatures sur le registre</text>
  </threadedComment>
  <threadedComment ref="B8" dT="2025-03-13T15:44:24.83" personId="{B9D14DDA-5DA4-4748-A3A4-6D74DB2F48C1}" id="{4066AD53-6E38-4259-8B20-59E71D6108C7}" done="1">
    <text>Doit être normalement égal aux votants</text>
  </threadedComment>
  <threadedComment ref="Q13" dT="2025-04-14T12:15:13.05" personId="{B9D14DDA-5DA4-4748-A3A4-6D74DB2F48C1}" id="{4552CD4C-7350-47FC-BB02-E29928B861B3}" done="1">
    <text>Doit être égal au nombre de votants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2C79BE45-AB64-4BDB-8084-6D650EDBB1CD}" done="1">
    <text>Nombre de centaines d'enveloppes nécessaires pour ce bureau</text>
  </threadedComment>
  <threadedComment ref="S1" dT="2025-04-24T12:32:34.89" personId="{B9D14DDA-5DA4-4748-A3A4-6D74DB2F48C1}" id="{B4C153CD-E333-4084-9B44-D015FC07A69B}" done="1">
    <text>Index de la dernière centaine d'enveloppes</text>
  </threadedComment>
  <threadedComment ref="R2" dT="2025-04-24T12:31:05.29" personId="{B9D14DDA-5DA4-4748-A3A4-6D74DB2F48C1}" id="{4A0C7E80-D53E-4FC9-B09E-E349BD1149B8}" done="1">
    <text>Modulo 100 de la dernière centaine d'enveloppes</text>
  </threadedComment>
  <threadedComment ref="S2" dT="2025-08-05T07:48:39.46" personId="{B9D14DDA-5DA4-4748-A3A4-6D74DB2F48C1}" id="{45D6C95D-8552-4601-9DD9-EDCC61D80741}" done="1">
    <text>Nombre d’isoloirs</text>
  </threadedComment>
  <threadedComment ref="W3" dT="2025-07-15T12:34:37.15" personId="{B9D14DDA-5DA4-4748-A3A4-6D74DB2F48C1}" id="{41033879-06FC-4B62-BC19-64DEB3410EC2}" done="1">
    <text>A l'ouverture du bureau il n'y a pas encore de vote</text>
  </threadedComment>
  <threadedComment ref="A7" dT="2025-04-14T11:49:35.58" personId="{B9D14DDA-5DA4-4748-A3A4-6D74DB2F48C1}" id="{02BBF583-0CAB-4F11-ACAC-0016F19C348E}" done="1">
    <text>Nombre d'enveloppes et de bulletins sans enveloppe trouvés dans l'urne</text>
  </threadedComment>
  <threadedComment ref="B7" dT="2025-03-13T15:42:36.25" personId="{B9D14DDA-5DA4-4748-A3A4-6D74DB2F48C1}" id="{83001E56-E83D-4F2B-BC60-EB86863BEC79}" done="1">
    <text>Doit être égal à la participation horaire de cloture</text>
  </threadedComment>
  <threadedComment ref="A8" dT="2025-04-14T11:49:47.49" personId="{B9D14DDA-5DA4-4748-A3A4-6D74DB2F48C1}" id="{1A0C8F16-F8DF-4636-8BCD-A24BB0B706BA}" done="1">
    <text>Nombre de signatures sur le registre</text>
  </threadedComment>
  <threadedComment ref="B8" dT="2025-03-13T15:44:24.83" personId="{B9D14DDA-5DA4-4748-A3A4-6D74DB2F48C1}" id="{A7124435-07B1-48DA-BC1E-02CE85BEFC1A}" done="1">
    <text>Doit être normalement égal aux votants</text>
  </threadedComment>
  <threadedComment ref="Q13" dT="2025-04-14T12:15:13.05" personId="{B9D14DDA-5DA4-4748-A3A4-6D74DB2F48C1}" id="{2564271C-AB6F-4970-AEC1-45AACF56B93E}" done="1">
    <text>Doit être égal au nombre de votants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070DE07-996A-44F6-A06A-700225FAE4BE}" done="1">
    <text>Nombre de centaines d'enveloppes nécessaires pour ce bureau</text>
  </threadedComment>
  <threadedComment ref="S1" dT="2025-04-24T12:32:34.89" personId="{B9D14DDA-5DA4-4748-A3A4-6D74DB2F48C1}" id="{6A61DB50-32DA-425F-9F12-4B5E35F0AB5D}" done="1">
    <text>Index de la dernière centaine d'enveloppes</text>
  </threadedComment>
  <threadedComment ref="R2" dT="2025-04-24T12:31:05.29" personId="{B9D14DDA-5DA4-4748-A3A4-6D74DB2F48C1}" id="{8CBB7B27-D384-40D0-ACD0-E348C21FBF7F}" done="1">
    <text>Modulo 100 de la dernière centaine d'enveloppes</text>
  </threadedComment>
  <threadedComment ref="S2" dT="2025-08-05T07:48:39.46" personId="{B9D14DDA-5DA4-4748-A3A4-6D74DB2F48C1}" id="{8136726B-21F5-4EAF-A3CC-442F611D3928}" done="1">
    <text>Nombre d’isoloirs</text>
  </threadedComment>
  <threadedComment ref="W3" dT="2025-07-15T12:34:37.15" personId="{B9D14DDA-5DA4-4748-A3A4-6D74DB2F48C1}" id="{668BB6E2-853A-4E88-9242-6A3C756FEA17}" done="1">
    <text>A l'ouverture du bureau il n'y a pas encore de vote</text>
  </threadedComment>
  <threadedComment ref="A7" dT="2025-04-14T11:49:35.58" personId="{B9D14DDA-5DA4-4748-A3A4-6D74DB2F48C1}" id="{20E59DF4-6760-4DED-BE61-745CCEC65A95}" done="1">
    <text>Nombre d'enveloppes et de bulletins sans enveloppe trouvés dans l'urne</text>
  </threadedComment>
  <threadedComment ref="B7" dT="2025-03-13T15:42:36.25" personId="{B9D14DDA-5DA4-4748-A3A4-6D74DB2F48C1}" id="{4F8C0500-492E-41F1-8200-8072196C2FBE}" done="1">
    <text>Doit être égal à la participation horaire de cloture</text>
  </threadedComment>
  <threadedComment ref="A8" dT="2025-04-14T11:49:47.49" personId="{B9D14DDA-5DA4-4748-A3A4-6D74DB2F48C1}" id="{19D8623C-601E-4B56-B79A-8FB85CE1C0BD}" done="1">
    <text>Nombre de signatures sur le registre</text>
  </threadedComment>
  <threadedComment ref="B8" dT="2025-03-13T15:44:24.83" personId="{B9D14DDA-5DA4-4748-A3A4-6D74DB2F48C1}" id="{F978975B-B773-4DEE-A5B1-B4062B43F11B}" done="1">
    <text>Doit être normalement égal aux votants</text>
  </threadedComment>
  <threadedComment ref="Q13" dT="2025-04-14T12:15:13.05" personId="{B9D14DDA-5DA4-4748-A3A4-6D74DB2F48C1}" id="{3329260B-6262-4833-8C1E-9AFF2812FAF6}" done="1">
    <text>Doit être égal au nombre de votants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0AB46C10-08C2-4A1C-9A04-14004F95B7F6}" done="1">
    <text>Nombre de centaines d'enveloppes nécessaires pour ce bureau</text>
  </threadedComment>
  <threadedComment ref="S1" dT="2025-04-24T12:32:34.89" personId="{B9D14DDA-5DA4-4748-A3A4-6D74DB2F48C1}" id="{87E63EF2-7DDE-4A07-88FF-1C28D839803C}" done="1">
    <text>Index de la dernière centaine d'enveloppes</text>
  </threadedComment>
  <threadedComment ref="R2" dT="2025-04-24T12:31:05.29" personId="{B9D14DDA-5DA4-4748-A3A4-6D74DB2F48C1}" id="{FDCA2852-B2FB-4267-AA65-AA486CF98905}" done="1">
    <text>Modulo 100 de la dernière centaine d'enveloppes</text>
  </threadedComment>
  <threadedComment ref="S2" dT="2025-08-05T07:48:39.46" personId="{B9D14DDA-5DA4-4748-A3A4-6D74DB2F48C1}" id="{07F07DDC-A39F-4508-95F5-1272FCF2F4DD}" done="1">
    <text>Nombre d’isoloirs</text>
  </threadedComment>
  <threadedComment ref="W3" dT="2025-07-15T12:34:37.15" personId="{B9D14DDA-5DA4-4748-A3A4-6D74DB2F48C1}" id="{3B19D628-398B-47DB-91EF-208321BCBA8A}" done="1">
    <text>A l'ouverture du bureau il n'y a pas encore de vote</text>
  </threadedComment>
  <threadedComment ref="A7" dT="2025-04-14T11:49:35.58" personId="{B9D14DDA-5DA4-4748-A3A4-6D74DB2F48C1}" id="{81EB7215-B13C-495B-A9CA-2DB32F482C4F}" done="1">
    <text>Nombre d'enveloppes et de bulletins sans enveloppe trouvés dans l'urne</text>
  </threadedComment>
  <threadedComment ref="B7" dT="2025-03-13T15:42:36.25" personId="{B9D14DDA-5DA4-4748-A3A4-6D74DB2F48C1}" id="{D00B2004-492E-4689-9E72-7B23519075CB}" done="1">
    <text>Doit être égal à la participation horaire de cloture</text>
  </threadedComment>
  <threadedComment ref="A8" dT="2025-04-14T11:49:47.49" personId="{B9D14DDA-5DA4-4748-A3A4-6D74DB2F48C1}" id="{DDA53682-8DA6-4E9C-B382-581B867F1695}" done="1">
    <text>Nombre de signatures sur le registre</text>
  </threadedComment>
  <threadedComment ref="B8" dT="2025-03-13T15:44:24.83" personId="{B9D14DDA-5DA4-4748-A3A4-6D74DB2F48C1}" id="{C5D6B1E1-3741-4771-98F8-B19CEDCE40B7}" done="1">
    <text>Doit être normalement égal aux votants</text>
  </threadedComment>
  <threadedComment ref="Q13" dT="2025-04-14T12:15:13.05" personId="{B9D14DDA-5DA4-4748-A3A4-6D74DB2F48C1}" id="{57F4D56D-D357-4FD9-ADCC-CEC22C3AC464}" done="1">
    <text>Doit être égal au nombre de votants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35BDE9F3-6F64-4C48-800A-E8339E8B95E4}" done="1">
    <text>Nombre de centaines d'enveloppes nécessaires pour ce bureau</text>
  </threadedComment>
  <threadedComment ref="S1" dT="2025-04-24T12:32:34.89" personId="{B9D14DDA-5DA4-4748-A3A4-6D74DB2F48C1}" id="{9B29EFF9-EFA0-4C65-A7E9-7B083707AC3E}" done="1">
    <text>Index de la dernière centaine d'enveloppes</text>
  </threadedComment>
  <threadedComment ref="R2" dT="2025-04-24T12:31:05.29" personId="{B9D14DDA-5DA4-4748-A3A4-6D74DB2F48C1}" id="{5FD026EB-7201-4E99-B44F-56C5CBABAC56}" done="1">
    <text>Modulo 100 de la dernière centaine d'enveloppes</text>
  </threadedComment>
  <threadedComment ref="S2" dT="2025-08-05T07:48:39.46" personId="{B9D14DDA-5DA4-4748-A3A4-6D74DB2F48C1}" id="{16D8686F-A357-4A73-A916-797C518C6856}" done="1">
    <text>Nombre d’isoloirs</text>
  </threadedComment>
  <threadedComment ref="W3" dT="2025-07-15T12:34:37.15" personId="{B9D14DDA-5DA4-4748-A3A4-6D74DB2F48C1}" id="{0A3CACAD-7953-4260-9466-0EB0873BBFC4}" done="1">
    <text>A l'ouverture du bureau il n'y a pas encore de vote</text>
  </threadedComment>
  <threadedComment ref="A7" dT="2025-04-14T11:49:35.58" personId="{B9D14DDA-5DA4-4748-A3A4-6D74DB2F48C1}" id="{55C00E30-7F58-4ACD-B9F0-E791B3632ACC}" done="1">
    <text>Nombre d'enveloppes et de bulletins sans enveloppe trouvés dans l'urne</text>
  </threadedComment>
  <threadedComment ref="B7" dT="2025-03-13T15:42:36.25" personId="{B9D14DDA-5DA4-4748-A3A4-6D74DB2F48C1}" id="{D59D6A8A-126F-49D8-9B6D-B989EE99755F}" done="1">
    <text>Doit être égal à la participation horaire de cloture</text>
  </threadedComment>
  <threadedComment ref="A8" dT="2025-04-14T11:49:47.49" personId="{B9D14DDA-5DA4-4748-A3A4-6D74DB2F48C1}" id="{31497169-4B12-4303-AC6C-9453792086A3}" done="1">
    <text>Nombre de signatures sur le registre</text>
  </threadedComment>
  <threadedComment ref="B8" dT="2025-03-13T15:44:24.83" personId="{B9D14DDA-5DA4-4748-A3A4-6D74DB2F48C1}" id="{51A727B6-3DEF-45E5-80BD-7B673AB46EE9}" done="1">
    <text>Doit être normalement égal aux votants</text>
  </threadedComment>
  <threadedComment ref="Q13" dT="2025-04-14T12:15:13.05" personId="{B9D14DDA-5DA4-4748-A3A4-6D74DB2F48C1}" id="{581A424D-0582-4083-B4FD-91719D917C1A}" done="1">
    <text>Doit être égal au nombre de votants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F30FA0A7-7DCA-4D5F-B180-6A7FD5510B52}" done="1">
    <text>Nombre de centaines d'enveloppes nécessaires pour ce bureau</text>
  </threadedComment>
  <threadedComment ref="S1" dT="2025-04-24T12:32:34.89" personId="{B9D14DDA-5DA4-4748-A3A4-6D74DB2F48C1}" id="{90F93E99-BE22-44E8-AB43-2919A5E428FE}" done="1">
    <text>Index de la dernière centaine d'enveloppes</text>
  </threadedComment>
  <threadedComment ref="R2" dT="2025-04-24T12:31:05.29" personId="{B9D14DDA-5DA4-4748-A3A4-6D74DB2F48C1}" id="{11344A51-8328-4F3B-8176-DFF4BC73AA1C}" done="1">
    <text>Modulo 100 de la dernière centaine d'enveloppes</text>
  </threadedComment>
  <threadedComment ref="S2" dT="2025-08-05T07:48:39.46" personId="{B9D14DDA-5DA4-4748-A3A4-6D74DB2F48C1}" id="{9873FC69-4AD4-4943-B100-E02DDFA28283}" done="1">
    <text>Nombre d’isoloirs</text>
  </threadedComment>
  <threadedComment ref="W3" dT="2025-07-15T12:34:37.15" personId="{B9D14DDA-5DA4-4748-A3A4-6D74DB2F48C1}" id="{4AE57D78-518F-4A89-91EB-1669BA9A0A4F}" done="1">
    <text>A l'ouverture du bureau il n'y a pas encore de vote</text>
  </threadedComment>
  <threadedComment ref="A7" dT="2025-04-14T11:49:35.58" personId="{B9D14DDA-5DA4-4748-A3A4-6D74DB2F48C1}" id="{662685D4-5919-456D-B8A3-BE844C22B318}" done="1">
    <text>Nombre d'enveloppes et de bulletins sans enveloppe trouvés dans l'urne</text>
  </threadedComment>
  <threadedComment ref="B7" dT="2025-03-13T15:42:36.25" personId="{B9D14DDA-5DA4-4748-A3A4-6D74DB2F48C1}" id="{487D21CD-A26C-446B-8296-49E0C52914E2}" done="1">
    <text>Doit être égal à la participation horaire de cloture</text>
  </threadedComment>
  <threadedComment ref="A8" dT="2025-04-14T11:49:47.49" personId="{B9D14DDA-5DA4-4748-A3A4-6D74DB2F48C1}" id="{4A3CB7FB-987E-49F6-9B6D-679D7859C796}" done="1">
    <text>Nombre de signatures sur le registre</text>
  </threadedComment>
  <threadedComment ref="B8" dT="2025-03-13T15:44:24.83" personId="{B9D14DDA-5DA4-4748-A3A4-6D74DB2F48C1}" id="{AE2C9932-072E-4E96-95FF-10EEC9454494}" done="1">
    <text>Doit être normalement égal aux votants</text>
  </threadedComment>
  <threadedComment ref="Q13" dT="2025-04-14T12:15:13.05" personId="{B9D14DDA-5DA4-4748-A3A4-6D74DB2F48C1}" id="{B06AF67E-DFD7-43B7-AE22-6EFF93458B42}" done="1">
    <text>Doit être égal au nombre de votants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BCB11862-6CE3-41A0-A052-7E7A0C4CC179}" done="1">
    <text>Nombre de centaines d'enveloppes nécessaires pour ce bureau</text>
  </threadedComment>
  <threadedComment ref="S1" dT="2025-04-24T12:32:34.89" personId="{B9D14DDA-5DA4-4748-A3A4-6D74DB2F48C1}" id="{D3D148C5-32E4-4C15-8899-DB1560473B9D}" done="1">
    <text>Index de la dernière centaine d'enveloppes</text>
  </threadedComment>
  <threadedComment ref="R2" dT="2025-04-24T12:31:05.29" personId="{B9D14DDA-5DA4-4748-A3A4-6D74DB2F48C1}" id="{202DED35-5444-4C5A-ACC8-5A23C6E8E6B7}" done="1">
    <text>Modulo 100 de la dernière centaine d'enveloppes</text>
  </threadedComment>
  <threadedComment ref="S2" dT="2025-08-05T07:48:39.46" personId="{B9D14DDA-5DA4-4748-A3A4-6D74DB2F48C1}" id="{3E3231E3-DCE9-4E4D-841A-B0455471D020}" done="1">
    <text>Nombre d’isoloirs</text>
  </threadedComment>
  <threadedComment ref="W3" dT="2025-07-15T12:34:37.15" personId="{B9D14DDA-5DA4-4748-A3A4-6D74DB2F48C1}" id="{66A11698-931D-4126-9FCD-0100E0060A95}" done="1">
    <text>A l'ouverture du bureau il n'y a pas encore de vote</text>
  </threadedComment>
  <threadedComment ref="A7" dT="2025-04-14T11:49:35.58" personId="{B9D14DDA-5DA4-4748-A3A4-6D74DB2F48C1}" id="{94DD9CF2-EBD9-4F1B-8E5E-312F979B8D39}" done="1">
    <text>Nombre d'enveloppes et de bulletins sans enveloppe trouvés dans l'urne</text>
  </threadedComment>
  <threadedComment ref="B7" dT="2025-03-13T15:42:36.25" personId="{B9D14DDA-5DA4-4748-A3A4-6D74DB2F48C1}" id="{EB08EF8A-A21B-4B24-95A8-69C2F9D89745}" done="1">
    <text>Doit être égal à la participation horaire de cloture</text>
  </threadedComment>
  <threadedComment ref="A8" dT="2025-04-14T11:49:47.49" personId="{B9D14DDA-5DA4-4748-A3A4-6D74DB2F48C1}" id="{89BCB02E-17B9-4E32-9030-9052FCC4A8AC}" done="1">
    <text>Nombre de signatures sur le registre</text>
  </threadedComment>
  <threadedComment ref="B8" dT="2025-03-13T15:44:24.83" personId="{B9D14DDA-5DA4-4748-A3A4-6D74DB2F48C1}" id="{609847E6-66A0-4D43-A565-D9A188C0465A}" done="1">
    <text>Doit être normalement égal aux votants</text>
  </threadedComment>
  <threadedComment ref="Q13" dT="2025-04-14T12:15:13.05" personId="{B9D14DDA-5DA4-4748-A3A4-6D74DB2F48C1}" id="{38BCB43E-462A-4050-B205-1B09510A3F6D}" done="1">
    <text>Doit être égal au nombre de votants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AD94CC77-44B9-4E61-ABDE-A0F1E6DDDF5F}" done="1">
    <text>Nombre de centaines d'enveloppes nécessaires pour ce bureau</text>
  </threadedComment>
  <threadedComment ref="S1" dT="2025-04-24T12:32:34.89" personId="{B9D14DDA-5DA4-4748-A3A4-6D74DB2F48C1}" id="{1FA4B77E-3E07-4DB0-BD74-5C6E9AB78A73}" done="1">
    <text>Index de la dernière centaine d'enveloppes</text>
  </threadedComment>
  <threadedComment ref="R2" dT="2025-04-24T12:31:05.29" personId="{B9D14DDA-5DA4-4748-A3A4-6D74DB2F48C1}" id="{000B6B49-4E57-4965-A222-A0718C438174}" done="1">
    <text>Modulo 100 de la dernière centaine d'enveloppes</text>
  </threadedComment>
  <threadedComment ref="S2" dT="2025-08-05T07:48:39.46" personId="{B9D14DDA-5DA4-4748-A3A4-6D74DB2F48C1}" id="{829911AA-E091-4747-B4D3-6BD238A74499}" done="1">
    <text>Nombre d’isoloirs</text>
  </threadedComment>
  <threadedComment ref="W3" dT="2025-07-15T12:34:37.15" personId="{B9D14DDA-5DA4-4748-A3A4-6D74DB2F48C1}" id="{BBEFC68F-B66A-4C97-885D-9D62A323A97B}" done="1">
    <text>A l'ouverture du bureau il n'y a pas encore de vote</text>
  </threadedComment>
  <threadedComment ref="A7" dT="2025-04-14T11:49:35.58" personId="{B9D14DDA-5DA4-4748-A3A4-6D74DB2F48C1}" id="{F254C336-8EB7-465D-8030-304039994A35}" done="1">
    <text>Nombre d'enveloppes et de bulletins sans enveloppe trouvés dans l'urne</text>
  </threadedComment>
  <threadedComment ref="B7" dT="2025-03-13T15:42:36.25" personId="{B9D14DDA-5DA4-4748-A3A4-6D74DB2F48C1}" id="{00F46DC7-1195-4ACD-8ECF-20C864B5AC8B}" done="1">
    <text>Doit être égal à la participation horaire de cloture</text>
  </threadedComment>
  <threadedComment ref="A8" dT="2025-04-14T11:49:47.49" personId="{B9D14DDA-5DA4-4748-A3A4-6D74DB2F48C1}" id="{FCE4E16E-633B-4A8C-A1B0-D6DD4E6672E9}" done="1">
    <text>Nombre de signatures sur le registre</text>
  </threadedComment>
  <threadedComment ref="B8" dT="2025-03-13T15:44:24.83" personId="{B9D14DDA-5DA4-4748-A3A4-6D74DB2F48C1}" id="{F7C56F2C-3CD5-4609-A172-36CE2417A113}" done="1">
    <text>Doit être normalement égal aux votants</text>
  </threadedComment>
  <threadedComment ref="Q13" dT="2025-04-14T12:15:13.05" personId="{B9D14DDA-5DA4-4748-A3A4-6D74DB2F48C1}" id="{23949912-B3D6-4417-92A4-7648D7BC8D58}" done="1">
    <text>Doit être égal au nombre de votants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EFF9262D-CA28-44F0-B9A6-0A4EC569B396}" done="1">
    <text>Nombre de centaines d'enveloppes nécessaires pour ce bureau</text>
  </threadedComment>
  <threadedComment ref="S1" dT="2025-04-24T12:32:34.89" personId="{B9D14DDA-5DA4-4748-A3A4-6D74DB2F48C1}" id="{9F837533-C898-4B86-B8AE-110D1A775807}" done="1">
    <text>Index de la dernière centaine d'enveloppes</text>
  </threadedComment>
  <threadedComment ref="R2" dT="2025-04-24T12:31:05.29" personId="{B9D14DDA-5DA4-4748-A3A4-6D74DB2F48C1}" id="{629418DD-6D1C-48C6-8B45-1729E7A85AC4}" done="1">
    <text>Modulo 100 de la dernière centaine d'enveloppes</text>
  </threadedComment>
  <threadedComment ref="S2" dT="2025-08-05T07:48:39.46" personId="{B9D14DDA-5DA4-4748-A3A4-6D74DB2F48C1}" id="{E680D122-54B5-408B-A4B9-93EACD510E1B}" done="1">
    <text>Nombre d’isoloirs</text>
  </threadedComment>
  <threadedComment ref="W3" dT="2025-07-15T12:34:37.15" personId="{B9D14DDA-5DA4-4748-A3A4-6D74DB2F48C1}" id="{08F51856-0063-4D65-AD21-8CBBBADFDBF2}" done="1">
    <text>A l'ouverture du bureau il n'y a pas encore de vote</text>
  </threadedComment>
  <threadedComment ref="A7" dT="2025-04-14T11:49:35.58" personId="{B9D14DDA-5DA4-4748-A3A4-6D74DB2F48C1}" id="{BA48862D-F8E3-40FF-9257-0E3BBF3BFA0D}" done="1">
    <text>Nombre d'enveloppes et de bulletins sans enveloppe trouvés dans l'urne</text>
  </threadedComment>
  <threadedComment ref="B7" dT="2025-03-13T15:42:36.25" personId="{B9D14DDA-5DA4-4748-A3A4-6D74DB2F48C1}" id="{001C54FC-14D0-4D49-B0F3-B1DAA28FF8C4}" done="1">
    <text>Doit être égal à la participation horaire de cloture</text>
  </threadedComment>
  <threadedComment ref="A8" dT="2025-04-14T11:49:47.49" personId="{B9D14DDA-5DA4-4748-A3A4-6D74DB2F48C1}" id="{28174E2D-BBFA-480D-92AF-642E25544D7A}" done="1">
    <text>Nombre de signatures sur le registre</text>
  </threadedComment>
  <threadedComment ref="B8" dT="2025-03-13T15:44:24.83" personId="{B9D14DDA-5DA4-4748-A3A4-6D74DB2F48C1}" id="{46CCCC98-9C04-4FC1-BFC7-13E220F94562}" done="1">
    <text>Doit être normalement égal aux votants</text>
  </threadedComment>
  <threadedComment ref="Q13" dT="2025-04-14T12:15:13.05" personId="{B9D14DDA-5DA4-4748-A3A4-6D74DB2F48C1}" id="{F80C8BE8-18FD-42B0-B596-EB552FC12F8B}" done="1">
    <text>Doit être égal au nombre de votants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R1" dT="2025-04-14T09:07:42.81" personId="{B9D14DDA-5DA4-4748-A3A4-6D74DB2F48C1}" id="{C0D30EE2-C73D-4085-8FE8-A5771E3CA978}" done="1">
    <text>Nombre de centaines d'enveloppes nécessaires pour ce bureau</text>
  </threadedComment>
  <threadedComment ref="S1" dT="2025-04-24T12:32:34.89" personId="{B9D14DDA-5DA4-4748-A3A4-6D74DB2F48C1}" id="{DEE91978-38F5-4613-8D7D-FD1279492CE9}" done="1">
    <text>Index de la dernière centaine d'enveloppes</text>
  </threadedComment>
  <threadedComment ref="R2" dT="2025-04-24T12:31:05.29" personId="{B9D14DDA-5DA4-4748-A3A4-6D74DB2F48C1}" id="{60E252F3-0DBD-4E31-8FB7-7F8DDE2250EB}" done="1">
    <text>Modulo 100 de la dernière centaine d'enveloppes</text>
  </threadedComment>
  <threadedComment ref="S2" dT="2025-08-05T07:48:39.46" personId="{B9D14DDA-5DA4-4748-A3A4-6D74DB2F48C1}" id="{9F99B990-518B-4975-A643-50ED4826E60F}" done="1">
    <text>Nombre d’isoloirs</text>
  </threadedComment>
  <threadedComment ref="W3" dT="2025-07-15T12:34:37.15" personId="{B9D14DDA-5DA4-4748-A3A4-6D74DB2F48C1}" id="{1A677862-A720-426D-8C11-4D79E36161E1}" done="1">
    <text>A l'ouverture du bureau il n'y a pas encore de vote</text>
  </threadedComment>
  <threadedComment ref="A7" dT="2025-04-14T11:49:35.58" personId="{B9D14DDA-5DA4-4748-A3A4-6D74DB2F48C1}" id="{D76BDD1C-722B-40F5-9DB6-5EC15B223A74}" done="1">
    <text>Nombre d'enveloppes et de bulletins sans enveloppe trouvés dans l'urne</text>
  </threadedComment>
  <threadedComment ref="B7" dT="2025-03-13T15:42:36.25" personId="{B9D14DDA-5DA4-4748-A3A4-6D74DB2F48C1}" id="{B4287D81-46FE-4007-973F-BFDB34F3B10F}" done="1">
    <text>Doit être égal à la participation horaire de cloture</text>
  </threadedComment>
  <threadedComment ref="A8" dT="2025-04-14T11:49:47.49" personId="{B9D14DDA-5DA4-4748-A3A4-6D74DB2F48C1}" id="{66B85660-CBFD-47E4-9697-5FC6AFF25934}" done="1">
    <text>Nombre de signatures sur le registre</text>
  </threadedComment>
  <threadedComment ref="B8" dT="2025-03-13T15:44:24.83" personId="{B9D14DDA-5DA4-4748-A3A4-6D74DB2F48C1}" id="{28622E92-E628-426F-9695-2CF153F835AA}" done="1">
    <text>Doit être normalement égal aux votants</text>
  </threadedComment>
  <threadedComment ref="Q13" dT="2025-04-14T12:15:13.05" personId="{B9D14DDA-5DA4-4748-A3A4-6D74DB2F48C1}" id="{477A7A80-B14A-4DC3-AE60-CC19E2EF96A4}" done="1">
    <text>Doit être égal au nombre de votants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3.xml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4.xml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15.xml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16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 tint="-0.499984740745262"/>
    <outlinePr summaryBelow="0" summaryRight="0"/>
    <pageSetUpPr fitToPage="1"/>
  </sheetPr>
  <dimension ref="A1:W32"/>
  <sheetViews>
    <sheetView zoomScaleNormal="100" workbookViewId="0">
      <pane xSplit="2" topLeftCell="C1" activePane="topRight" state="frozen"/>
      <selection pane="topRight" activeCell="C4" sqref="C4"/>
    </sheetView>
  </sheetViews>
  <sheetFormatPr baseColWidth="10" defaultColWidth="12.5703125" defaultRowHeight="15.75" customHeight="1" x14ac:dyDescent="0.2"/>
  <cols>
    <col min="1" max="1" width="7.42578125" customWidth="1"/>
    <col min="2" max="2" width="17.7109375" customWidth="1"/>
    <col min="3" max="3" width="7.42578125" customWidth="1"/>
    <col min="4" max="4" width="11.85546875" bestFit="1" customWidth="1"/>
    <col min="5" max="6" width="10.140625" customWidth="1"/>
    <col min="7" max="7" width="7.7109375" customWidth="1"/>
    <col min="8" max="8" width="9.42578125" customWidth="1"/>
    <col min="9" max="9" width="9.5703125" customWidth="1"/>
    <col min="10" max="10" width="11" customWidth="1"/>
    <col min="11" max="11" width="9.85546875" bestFit="1" customWidth="1"/>
    <col min="12" max="12" width="8.140625" bestFit="1" customWidth="1"/>
    <col min="14" max="14" width="14.85546875" customWidth="1"/>
  </cols>
  <sheetData>
    <row r="1" spans="1:23" ht="12.75" x14ac:dyDescent="0.2">
      <c r="A1" s="388" t="s">
        <v>17</v>
      </c>
      <c r="B1" s="389"/>
      <c r="C1" s="392" t="s">
        <v>0</v>
      </c>
      <c r="D1" s="394" t="s">
        <v>1</v>
      </c>
      <c r="E1" s="396" t="s">
        <v>2</v>
      </c>
      <c r="F1" s="392" t="s">
        <v>19</v>
      </c>
      <c r="G1" s="398" t="s">
        <v>3</v>
      </c>
      <c r="H1" s="394" t="s">
        <v>4</v>
      </c>
      <c r="I1" s="401" t="s">
        <v>5</v>
      </c>
      <c r="J1" s="382" t="s">
        <v>6</v>
      </c>
      <c r="K1" s="380" t="s">
        <v>19</v>
      </c>
      <c r="L1" s="320" t="s">
        <v>7</v>
      </c>
      <c r="M1" s="322">
        <v>1</v>
      </c>
      <c r="N1" s="323">
        <v>2</v>
      </c>
      <c r="O1" s="323">
        <v>3</v>
      </c>
      <c r="P1" s="323">
        <v>4</v>
      </c>
      <c r="Q1" s="323">
        <v>5</v>
      </c>
      <c r="R1" s="324">
        <v>6</v>
      </c>
      <c r="S1" s="324">
        <v>7</v>
      </c>
      <c r="T1" s="324">
        <v>8</v>
      </c>
      <c r="U1" s="324">
        <v>9</v>
      </c>
      <c r="V1" s="325">
        <v>10</v>
      </c>
      <c r="W1" s="131" t="s">
        <v>8</v>
      </c>
    </row>
    <row r="2" spans="1:23" ht="39" thickBot="1" x14ac:dyDescent="0.25">
      <c r="A2" s="390"/>
      <c r="B2" s="391"/>
      <c r="C2" s="393"/>
      <c r="D2" s="395"/>
      <c r="E2" s="397"/>
      <c r="F2" s="403"/>
      <c r="G2" s="399"/>
      <c r="H2" s="400"/>
      <c r="I2" s="402"/>
      <c r="J2" s="383"/>
      <c r="K2" s="381"/>
      <c r="L2" s="321" t="s">
        <v>9</v>
      </c>
      <c r="M2" s="341" t="s">
        <v>72</v>
      </c>
      <c r="N2" s="342" t="s">
        <v>81</v>
      </c>
      <c r="O2" s="343" t="s">
        <v>73</v>
      </c>
      <c r="P2" s="344" t="s">
        <v>74</v>
      </c>
      <c r="Q2" s="345" t="s">
        <v>75</v>
      </c>
      <c r="R2" s="346" t="s">
        <v>76</v>
      </c>
      <c r="S2" s="347" t="s">
        <v>77</v>
      </c>
      <c r="T2" s="238" t="s">
        <v>78</v>
      </c>
      <c r="U2" s="348" t="s">
        <v>79</v>
      </c>
      <c r="V2" s="349" t="s">
        <v>80</v>
      </c>
      <c r="W2" s="123" t="s">
        <v>10</v>
      </c>
    </row>
    <row r="3" spans="1:23" ht="12.75" x14ac:dyDescent="0.2">
      <c r="A3" s="326">
        <v>1</v>
      </c>
      <c r="B3" s="277" t="s">
        <v>70</v>
      </c>
      <c r="C3" s="278">
        <v>506</v>
      </c>
      <c r="D3" s="47" cm="1">
        <f t="array" aca="1" ref="D3" ca="1">INDIRECT("'Bureau " &amp; ROW()-2 &amp; "'!$B$8")</f>
        <v>0</v>
      </c>
      <c r="E3" s="156" cm="1">
        <f t="array" aca="1" ref="E3" ca="1">INDIRECT("'Bureau " &amp; ROW()-2 &amp; "'!$B$7")</f>
        <v>0</v>
      </c>
      <c r="F3" s="157">
        <f t="shared" ref="F3:F14" ca="1" si="0">C3-E3</f>
        <v>506</v>
      </c>
      <c r="G3" s="37">
        <f t="shared" ref="G3:G14" ca="1" si="1">INDEX(INDIRECT("'Bureau " &amp; ROW()-2 &amp; "'!O:O"), MATCH("TOTAL", INDIRECT("'Bureau " &amp; ROW() -2&amp; "'!D:D"), 0))</f>
        <v>0</v>
      </c>
      <c r="H3" s="37">
        <f t="shared" ref="H3:H14" ca="1" si="2">INDEX(INDIRECT("'Bureau " &amp; ROW()-2 &amp; "'!P:P"), MATCH("TOTAL", INDIRECT("'Bureau " &amp; ROW() -2&amp; "'!D:D"), 0))</f>
        <v>0</v>
      </c>
      <c r="I3" s="141">
        <f t="shared" ref="I3:I14" ca="1" si="3">E3-G3-H3</f>
        <v>0</v>
      </c>
      <c r="J3" s="152">
        <f t="shared" ref="J3:J14" ca="1" si="4">E3/C3</f>
        <v>0</v>
      </c>
      <c r="K3" s="170">
        <f t="shared" ref="K3:K14" ca="1" si="5">F3/C3</f>
        <v>1</v>
      </c>
      <c r="L3" s="320">
        <v>1</v>
      </c>
      <c r="M3" s="144">
        <f t="shared" ref="M3:M14" ca="1" si="6">INDEX(INDIRECT("'Bureau " &amp; ROW()-2 &amp; "'!E:E"), MATCH("TOTAL", INDIRECT("'Bureau " &amp; ROW() -2&amp; "'!D:D"), 0))</f>
        <v>0</v>
      </c>
      <c r="N3" s="144">
        <f t="shared" ref="N3:N14" ca="1" si="7">INDEX(INDIRECT("'Bureau " &amp; ROW()-2 &amp; "'!F:F"), MATCH("TOTAL", INDIRECT("'Bureau " &amp; ROW() -2&amp; "'!D:D"), 0))</f>
        <v>0</v>
      </c>
      <c r="O3" s="144">
        <f t="shared" ref="O3:O14" ca="1" si="8">INDEX(INDIRECT("'Bureau " &amp; ROW()-2 &amp; "'!G:G"), MATCH("TOTAL", INDIRECT("'Bureau " &amp; ROW() -2&amp; "'!D:D"), 0))</f>
        <v>0</v>
      </c>
      <c r="P3" s="144">
        <f t="shared" ref="P3:P14" ca="1" si="9">INDEX(INDIRECT("'Bureau " &amp; ROW()-2 &amp; "'!H:H"), MATCH("TOTAL", INDIRECT("'Bureau " &amp; ROW() -2&amp; "'!D:D"), 0))</f>
        <v>0</v>
      </c>
      <c r="Q3" s="145">
        <f t="shared" ref="Q3:Q14" ca="1" si="10">INDEX(INDIRECT("'Bureau " &amp; ROW()-2 &amp; "'!I:I"), MATCH("TOTAL", INDIRECT("'Bureau " &amp; ROW() -2&amp; "'!D:D"), 0))</f>
        <v>0</v>
      </c>
      <c r="R3" s="146">
        <f t="shared" ref="R3:R14" ca="1" si="11">INDEX(INDIRECT("'Bureau " &amp; ROW()-2 &amp; "'!J:J"), MATCH("TOTAL", INDIRECT("'Bureau " &amp; ROW() -2&amp; "'!D:D"), 0))</f>
        <v>0</v>
      </c>
      <c r="S3" s="146">
        <f t="shared" ref="S3:S14" ca="1" si="12">INDEX(INDIRECT("'Bureau " &amp; ROW()-2 &amp; "'!K:K"), MATCH("TOTAL", INDIRECT("'Bureau " &amp; ROW() -2&amp; "'!D:D"), 0))</f>
        <v>0</v>
      </c>
      <c r="T3" s="146">
        <f t="shared" ref="T3:T14" ca="1" si="13">INDEX(INDIRECT("'Bureau " &amp; ROW()-2 &amp; "'!L:L"), MATCH("TOTAL", INDIRECT("'Bureau " &amp; ROW() -2&amp; "'!D:D"), 0))</f>
        <v>0</v>
      </c>
      <c r="U3" s="146">
        <f t="shared" ref="U3:U14" ca="1" si="14">INDEX(INDIRECT("'Bureau " &amp; ROW()-2 &amp; "'!M:M"), MATCH("TOTAL", INDIRECT("'Bureau " &amp; ROW() -2&amp; "'!D:D"), 0))</f>
        <v>0</v>
      </c>
      <c r="V3" s="147">
        <f t="shared" ref="V3:V14" ca="1" si="15">INDEX(INDIRECT("'Bureau " &amp; ROW()-2 &amp; "'!N:N"), MATCH("TOTAL", INDIRECT("'Bureau " &amp; ROW() -2&amp; "'!D:D"), 0))</f>
        <v>0</v>
      </c>
      <c r="W3" s="124" cm="1">
        <f t="array" aca="1" ref="W3" ca="1">SUM(IFERROR(M3:V3,0))</f>
        <v>0</v>
      </c>
    </row>
    <row r="4" spans="1:23" ht="12.75" x14ac:dyDescent="0.2">
      <c r="A4" s="326">
        <v>2</v>
      </c>
      <c r="B4" s="277" t="s">
        <v>30</v>
      </c>
      <c r="C4" s="278">
        <v>700</v>
      </c>
      <c r="D4" s="61" cm="1">
        <f t="array" aca="1" ref="D4" ca="1">INDIRECT("'Bureau " &amp; ROW()-2 &amp; "'!$B$8")</f>
        <v>0</v>
      </c>
      <c r="E4" s="155" cm="1">
        <f t="array" aca="1" ref="E4" ca="1">INDIRECT("'Bureau " &amp; ROW()-2 &amp; "'!$B$7")</f>
        <v>0</v>
      </c>
      <c r="F4" s="158">
        <f t="shared" ca="1" si="0"/>
        <v>700</v>
      </c>
      <c r="G4" s="37">
        <f t="shared" ca="1" si="1"/>
        <v>0</v>
      </c>
      <c r="H4" s="37">
        <f t="shared" ca="1" si="2"/>
        <v>0</v>
      </c>
      <c r="I4" s="141">
        <f t="shared" ca="1" si="3"/>
        <v>0</v>
      </c>
      <c r="J4" s="153">
        <f t="shared" ca="1" si="4"/>
        <v>0</v>
      </c>
      <c r="K4" s="171">
        <f t="shared" ca="1" si="5"/>
        <v>1</v>
      </c>
      <c r="L4" s="332">
        <v>2</v>
      </c>
      <c r="M4" s="38">
        <f t="shared" ca="1" si="6"/>
        <v>0</v>
      </c>
      <c r="N4" s="38">
        <f t="shared" ca="1" si="7"/>
        <v>0</v>
      </c>
      <c r="O4" s="38">
        <f t="shared" ca="1" si="8"/>
        <v>0</v>
      </c>
      <c r="P4" s="38">
        <f t="shared" ca="1" si="9"/>
        <v>0</v>
      </c>
      <c r="Q4" s="65">
        <f t="shared" ca="1" si="10"/>
        <v>0</v>
      </c>
      <c r="R4" s="129">
        <f t="shared" ca="1" si="11"/>
        <v>0</v>
      </c>
      <c r="S4" s="129">
        <f t="shared" ca="1" si="12"/>
        <v>0</v>
      </c>
      <c r="T4" s="129">
        <f t="shared" ca="1" si="13"/>
        <v>0</v>
      </c>
      <c r="U4" s="129">
        <f t="shared" ca="1" si="14"/>
        <v>0</v>
      </c>
      <c r="V4" s="148">
        <f t="shared" ca="1" si="15"/>
        <v>0</v>
      </c>
      <c r="W4" s="125" cm="1">
        <f t="array" aca="1" ref="W4" ca="1">SUM(IFERROR(M4:V4,0))</f>
        <v>0</v>
      </c>
    </row>
    <row r="5" spans="1:23" ht="12.75" x14ac:dyDescent="0.2">
      <c r="A5" s="326">
        <v>3</v>
      </c>
      <c r="B5" s="277" t="s">
        <v>30</v>
      </c>
      <c r="C5" s="278">
        <v>669</v>
      </c>
      <c r="D5" s="61" cm="1">
        <f t="array" aca="1" ref="D5" ca="1">INDIRECT("'Bureau " &amp; ROW()-2 &amp; "'!$B$8")</f>
        <v>0</v>
      </c>
      <c r="E5" s="155" cm="1">
        <f t="array" aca="1" ref="E5" ca="1">INDIRECT("'Bureau " &amp; ROW()-2 &amp; "'!$B$7")</f>
        <v>0</v>
      </c>
      <c r="F5" s="158">
        <f t="shared" ca="1" si="0"/>
        <v>669</v>
      </c>
      <c r="G5" s="37">
        <f t="shared" ca="1" si="1"/>
        <v>0</v>
      </c>
      <c r="H5" s="37">
        <f t="shared" ca="1" si="2"/>
        <v>0</v>
      </c>
      <c r="I5" s="141">
        <f t="shared" ca="1" si="3"/>
        <v>0</v>
      </c>
      <c r="J5" s="153">
        <f t="shared" ca="1" si="4"/>
        <v>0</v>
      </c>
      <c r="K5" s="171">
        <f t="shared" ca="1" si="5"/>
        <v>1</v>
      </c>
      <c r="L5" s="332">
        <v>3</v>
      </c>
      <c r="M5" s="38">
        <f t="shared" ca="1" si="6"/>
        <v>0</v>
      </c>
      <c r="N5" s="38">
        <f t="shared" ca="1" si="7"/>
        <v>0</v>
      </c>
      <c r="O5" s="38">
        <f t="shared" ca="1" si="8"/>
        <v>0</v>
      </c>
      <c r="P5" s="38">
        <f t="shared" ca="1" si="9"/>
        <v>0</v>
      </c>
      <c r="Q5" s="65">
        <f t="shared" ca="1" si="10"/>
        <v>0</v>
      </c>
      <c r="R5" s="129">
        <f t="shared" ca="1" si="11"/>
        <v>0</v>
      </c>
      <c r="S5" s="129">
        <f t="shared" ca="1" si="12"/>
        <v>0</v>
      </c>
      <c r="T5" s="129">
        <f t="shared" ca="1" si="13"/>
        <v>0</v>
      </c>
      <c r="U5" s="129">
        <f t="shared" ca="1" si="14"/>
        <v>0</v>
      </c>
      <c r="V5" s="148">
        <f t="shared" ca="1" si="15"/>
        <v>0</v>
      </c>
      <c r="W5" s="125" cm="1">
        <f t="array" aca="1" ref="W5" ca="1">SUM(IFERROR(M5:V5,0))</f>
        <v>0</v>
      </c>
    </row>
    <row r="6" spans="1:23" ht="12.75" x14ac:dyDescent="0.2">
      <c r="A6" s="326">
        <v>4</v>
      </c>
      <c r="B6" s="277" t="s">
        <v>30</v>
      </c>
      <c r="C6" s="278">
        <v>651</v>
      </c>
      <c r="D6" s="61" cm="1">
        <f t="array" aca="1" ref="D6" ca="1">INDIRECT("'Bureau " &amp; ROW()-2 &amp; "'!$B$8")</f>
        <v>0</v>
      </c>
      <c r="E6" s="155" cm="1">
        <f t="array" aca="1" ref="E6" ca="1">INDIRECT("'Bureau " &amp; ROW()-2 &amp; "'!$B$7")</f>
        <v>0</v>
      </c>
      <c r="F6" s="158">
        <f t="shared" ca="1" si="0"/>
        <v>651</v>
      </c>
      <c r="G6" s="37">
        <f t="shared" ca="1" si="1"/>
        <v>0</v>
      </c>
      <c r="H6" s="37">
        <f t="shared" ca="1" si="2"/>
        <v>0</v>
      </c>
      <c r="I6" s="141">
        <f t="shared" ca="1" si="3"/>
        <v>0</v>
      </c>
      <c r="J6" s="153">
        <f t="shared" ca="1" si="4"/>
        <v>0</v>
      </c>
      <c r="K6" s="171">
        <f t="shared" ca="1" si="5"/>
        <v>1</v>
      </c>
      <c r="L6" s="332">
        <v>4</v>
      </c>
      <c r="M6" s="38">
        <f t="shared" ca="1" si="6"/>
        <v>0</v>
      </c>
      <c r="N6" s="38">
        <f t="shared" ca="1" si="7"/>
        <v>0</v>
      </c>
      <c r="O6" s="38">
        <f t="shared" ca="1" si="8"/>
        <v>0</v>
      </c>
      <c r="P6" s="38">
        <f t="shared" ca="1" si="9"/>
        <v>0</v>
      </c>
      <c r="Q6" s="65">
        <f t="shared" ca="1" si="10"/>
        <v>0</v>
      </c>
      <c r="R6" s="129">
        <f t="shared" ca="1" si="11"/>
        <v>0</v>
      </c>
      <c r="S6" s="129">
        <f t="shared" ca="1" si="12"/>
        <v>0</v>
      </c>
      <c r="T6" s="129">
        <f t="shared" ca="1" si="13"/>
        <v>0</v>
      </c>
      <c r="U6" s="129">
        <f t="shared" ca="1" si="14"/>
        <v>0</v>
      </c>
      <c r="V6" s="148">
        <f t="shared" ca="1" si="15"/>
        <v>0</v>
      </c>
      <c r="W6" s="125" cm="1">
        <f t="array" aca="1" ref="W6" ca="1">SUM(IFERROR(M6:V6,0))</f>
        <v>0</v>
      </c>
    </row>
    <row r="7" spans="1:23" ht="12.75" x14ac:dyDescent="0.2">
      <c r="A7" s="326">
        <v>5</v>
      </c>
      <c r="B7" s="277" t="s">
        <v>31</v>
      </c>
      <c r="C7" s="278">
        <v>671</v>
      </c>
      <c r="D7" s="61" cm="1">
        <f t="array" aca="1" ref="D7" ca="1">INDIRECT("'Bureau " &amp; ROW()-2 &amp; "'!$B$8")</f>
        <v>0</v>
      </c>
      <c r="E7" s="155" cm="1">
        <f t="array" aca="1" ref="E7" ca="1">INDIRECT("'Bureau " &amp; ROW()-2 &amp; "'!$B$7")</f>
        <v>0</v>
      </c>
      <c r="F7" s="158">
        <f t="shared" ca="1" si="0"/>
        <v>671</v>
      </c>
      <c r="G7" s="37">
        <f t="shared" ca="1" si="1"/>
        <v>0</v>
      </c>
      <c r="H7" s="37">
        <f t="shared" ca="1" si="2"/>
        <v>0</v>
      </c>
      <c r="I7" s="141">
        <f t="shared" ca="1" si="3"/>
        <v>0</v>
      </c>
      <c r="J7" s="153">
        <f t="shared" ca="1" si="4"/>
        <v>0</v>
      </c>
      <c r="K7" s="171">
        <f t="shared" ca="1" si="5"/>
        <v>1</v>
      </c>
      <c r="L7" s="332">
        <v>5</v>
      </c>
      <c r="M7" s="38">
        <f t="shared" ca="1" si="6"/>
        <v>0</v>
      </c>
      <c r="N7" s="38">
        <f t="shared" ca="1" si="7"/>
        <v>0</v>
      </c>
      <c r="O7" s="38">
        <f t="shared" ca="1" si="8"/>
        <v>0</v>
      </c>
      <c r="P7" s="38">
        <f t="shared" ca="1" si="9"/>
        <v>0</v>
      </c>
      <c r="Q7" s="65">
        <f t="shared" ca="1" si="10"/>
        <v>0</v>
      </c>
      <c r="R7" s="129">
        <f t="shared" ca="1" si="11"/>
        <v>0</v>
      </c>
      <c r="S7" s="129">
        <f t="shared" ca="1" si="12"/>
        <v>0</v>
      </c>
      <c r="T7" s="129">
        <f t="shared" ca="1" si="13"/>
        <v>0</v>
      </c>
      <c r="U7" s="129">
        <f t="shared" ca="1" si="14"/>
        <v>0</v>
      </c>
      <c r="V7" s="148">
        <f t="shared" ca="1" si="15"/>
        <v>0</v>
      </c>
      <c r="W7" s="125" cm="1">
        <f t="array" aca="1" ref="W7" ca="1">SUM(IFERROR(M7:V7,0))</f>
        <v>0</v>
      </c>
    </row>
    <row r="8" spans="1:23" ht="12.75" x14ac:dyDescent="0.2">
      <c r="A8" s="326">
        <v>6</v>
      </c>
      <c r="B8" s="277" t="s">
        <v>31</v>
      </c>
      <c r="C8" s="278">
        <v>687</v>
      </c>
      <c r="D8" s="61" cm="1">
        <f t="array" aca="1" ref="D8" ca="1">INDIRECT("'Bureau " &amp; ROW()-2 &amp; "'!$B$8")</f>
        <v>0</v>
      </c>
      <c r="E8" s="155" cm="1">
        <f t="array" aca="1" ref="E8" ca="1">INDIRECT("'Bureau " &amp; ROW()-2 &amp; "'!$B$7")</f>
        <v>0</v>
      </c>
      <c r="F8" s="158">
        <f t="shared" ca="1" si="0"/>
        <v>687</v>
      </c>
      <c r="G8" s="37">
        <f t="shared" ca="1" si="1"/>
        <v>0</v>
      </c>
      <c r="H8" s="37">
        <f t="shared" ca="1" si="2"/>
        <v>0</v>
      </c>
      <c r="I8" s="141">
        <f t="shared" ca="1" si="3"/>
        <v>0</v>
      </c>
      <c r="J8" s="153">
        <f t="shared" ca="1" si="4"/>
        <v>0</v>
      </c>
      <c r="K8" s="171">
        <f t="shared" ca="1" si="5"/>
        <v>1</v>
      </c>
      <c r="L8" s="332">
        <v>6</v>
      </c>
      <c r="M8" s="38">
        <f t="shared" ca="1" si="6"/>
        <v>0</v>
      </c>
      <c r="N8" s="38">
        <f t="shared" ca="1" si="7"/>
        <v>0</v>
      </c>
      <c r="O8" s="38">
        <f t="shared" ca="1" si="8"/>
        <v>0</v>
      </c>
      <c r="P8" s="38">
        <f t="shared" ca="1" si="9"/>
        <v>0</v>
      </c>
      <c r="Q8" s="65">
        <f t="shared" ca="1" si="10"/>
        <v>0</v>
      </c>
      <c r="R8" s="129">
        <f t="shared" ca="1" si="11"/>
        <v>0</v>
      </c>
      <c r="S8" s="129">
        <f t="shared" ca="1" si="12"/>
        <v>0</v>
      </c>
      <c r="T8" s="129">
        <f t="shared" ca="1" si="13"/>
        <v>0</v>
      </c>
      <c r="U8" s="129">
        <f t="shared" ca="1" si="14"/>
        <v>0</v>
      </c>
      <c r="V8" s="148">
        <f t="shared" ca="1" si="15"/>
        <v>0</v>
      </c>
      <c r="W8" s="125" cm="1">
        <f t="array" aca="1" ref="W8" ca="1">SUM(IFERROR(M8:V8,0))</f>
        <v>0</v>
      </c>
    </row>
    <row r="9" spans="1:23" ht="12.75" x14ac:dyDescent="0.2">
      <c r="A9" s="326">
        <v>7</v>
      </c>
      <c r="B9" s="277" t="s">
        <v>31</v>
      </c>
      <c r="C9" s="278">
        <v>692</v>
      </c>
      <c r="D9" s="61" cm="1">
        <f t="array" aca="1" ref="D9" ca="1">INDIRECT("'Bureau " &amp; ROW()-2 &amp; "'!$B$8")</f>
        <v>0</v>
      </c>
      <c r="E9" s="155" cm="1">
        <f t="array" aca="1" ref="E9" ca="1">INDIRECT("'Bureau " &amp; ROW()-2 &amp; "'!$B$7")</f>
        <v>0</v>
      </c>
      <c r="F9" s="158">
        <f t="shared" ca="1" si="0"/>
        <v>692</v>
      </c>
      <c r="G9" s="37">
        <f t="shared" ca="1" si="1"/>
        <v>0</v>
      </c>
      <c r="H9" s="37">
        <f t="shared" ca="1" si="2"/>
        <v>0</v>
      </c>
      <c r="I9" s="141">
        <f t="shared" ca="1" si="3"/>
        <v>0</v>
      </c>
      <c r="J9" s="153">
        <f t="shared" ca="1" si="4"/>
        <v>0</v>
      </c>
      <c r="K9" s="171">
        <f t="shared" ca="1" si="5"/>
        <v>1</v>
      </c>
      <c r="L9" s="332">
        <v>7</v>
      </c>
      <c r="M9" s="38">
        <f t="shared" ca="1" si="6"/>
        <v>0</v>
      </c>
      <c r="N9" s="38">
        <f t="shared" ca="1" si="7"/>
        <v>0</v>
      </c>
      <c r="O9" s="38">
        <f t="shared" ca="1" si="8"/>
        <v>0</v>
      </c>
      <c r="P9" s="38">
        <f t="shared" ca="1" si="9"/>
        <v>0</v>
      </c>
      <c r="Q9" s="65">
        <f t="shared" ca="1" si="10"/>
        <v>0</v>
      </c>
      <c r="R9" s="129">
        <f t="shared" ca="1" si="11"/>
        <v>0</v>
      </c>
      <c r="S9" s="129">
        <f t="shared" ca="1" si="12"/>
        <v>0</v>
      </c>
      <c r="T9" s="129">
        <f t="shared" ca="1" si="13"/>
        <v>0</v>
      </c>
      <c r="U9" s="129">
        <f t="shared" ca="1" si="14"/>
        <v>0</v>
      </c>
      <c r="V9" s="148">
        <f t="shared" ca="1" si="15"/>
        <v>0</v>
      </c>
      <c r="W9" s="125" cm="1">
        <f t="array" aca="1" ref="W9" ca="1">SUM(IFERROR(M9:V9,0))</f>
        <v>0</v>
      </c>
    </row>
    <row r="10" spans="1:23" ht="12.75" x14ac:dyDescent="0.2">
      <c r="A10" s="326">
        <v>8</v>
      </c>
      <c r="B10" s="277" t="s">
        <v>31</v>
      </c>
      <c r="C10" s="278">
        <v>620</v>
      </c>
      <c r="D10" s="61" cm="1">
        <f t="array" aca="1" ref="D10" ca="1">INDIRECT("'Bureau " &amp; ROW()-2 &amp; "'!$B$8")</f>
        <v>0</v>
      </c>
      <c r="E10" s="155" cm="1">
        <f t="array" aca="1" ref="E10" ca="1">INDIRECT("'Bureau " &amp; ROW()-2 &amp; "'!$B$7")</f>
        <v>0</v>
      </c>
      <c r="F10" s="158">
        <f t="shared" ca="1" si="0"/>
        <v>620</v>
      </c>
      <c r="G10" s="37">
        <f t="shared" ca="1" si="1"/>
        <v>0</v>
      </c>
      <c r="H10" s="37">
        <f t="shared" ca="1" si="2"/>
        <v>0</v>
      </c>
      <c r="I10" s="141">
        <f t="shared" ca="1" si="3"/>
        <v>0</v>
      </c>
      <c r="J10" s="153">
        <f t="shared" ca="1" si="4"/>
        <v>0</v>
      </c>
      <c r="K10" s="171">
        <f t="shared" ca="1" si="5"/>
        <v>1</v>
      </c>
      <c r="L10" s="332">
        <v>8</v>
      </c>
      <c r="M10" s="38">
        <f t="shared" ca="1" si="6"/>
        <v>0</v>
      </c>
      <c r="N10" s="38">
        <f t="shared" ca="1" si="7"/>
        <v>0</v>
      </c>
      <c r="O10" s="38">
        <f t="shared" ca="1" si="8"/>
        <v>0</v>
      </c>
      <c r="P10" s="38">
        <f t="shared" ca="1" si="9"/>
        <v>0</v>
      </c>
      <c r="Q10" s="65">
        <f t="shared" ca="1" si="10"/>
        <v>0</v>
      </c>
      <c r="R10" s="129">
        <f t="shared" ca="1" si="11"/>
        <v>0</v>
      </c>
      <c r="S10" s="129">
        <f t="shared" ca="1" si="12"/>
        <v>0</v>
      </c>
      <c r="T10" s="129">
        <f t="shared" ca="1" si="13"/>
        <v>0</v>
      </c>
      <c r="U10" s="129">
        <f t="shared" ca="1" si="14"/>
        <v>0</v>
      </c>
      <c r="V10" s="148">
        <f t="shared" ca="1" si="15"/>
        <v>0</v>
      </c>
      <c r="W10" s="125" cm="1">
        <f t="array" aca="1" ref="W10" ca="1">SUM(IFERROR(M10:V10,0))</f>
        <v>0</v>
      </c>
    </row>
    <row r="11" spans="1:23" ht="12.75" x14ac:dyDescent="0.2">
      <c r="A11" s="326">
        <v>9</v>
      </c>
      <c r="B11" s="277" t="s">
        <v>32</v>
      </c>
      <c r="C11" s="278">
        <v>671</v>
      </c>
      <c r="D11" s="61" cm="1">
        <f t="array" aca="1" ref="D11" ca="1">INDIRECT("'Bureau " &amp; ROW()-2 &amp; "'!$B$8")</f>
        <v>0</v>
      </c>
      <c r="E11" s="155" cm="1">
        <f t="array" aca="1" ref="E11" ca="1">INDIRECT("'Bureau " &amp; ROW()-2 &amp; "'!$B$7")</f>
        <v>0</v>
      </c>
      <c r="F11" s="158">
        <f t="shared" ca="1" si="0"/>
        <v>671</v>
      </c>
      <c r="G11" s="37">
        <f t="shared" ca="1" si="1"/>
        <v>0</v>
      </c>
      <c r="H11" s="37">
        <f t="shared" ca="1" si="2"/>
        <v>0</v>
      </c>
      <c r="I11" s="141">
        <f t="shared" ca="1" si="3"/>
        <v>0</v>
      </c>
      <c r="J11" s="153">
        <f t="shared" ca="1" si="4"/>
        <v>0</v>
      </c>
      <c r="K11" s="171">
        <f t="shared" ca="1" si="5"/>
        <v>1</v>
      </c>
      <c r="L11" s="332">
        <v>9</v>
      </c>
      <c r="M11" s="38">
        <f t="shared" ca="1" si="6"/>
        <v>0</v>
      </c>
      <c r="N11" s="38">
        <f t="shared" ca="1" si="7"/>
        <v>0</v>
      </c>
      <c r="O11" s="38">
        <f t="shared" ca="1" si="8"/>
        <v>0</v>
      </c>
      <c r="P11" s="38">
        <f t="shared" ca="1" si="9"/>
        <v>0</v>
      </c>
      <c r="Q11" s="65">
        <f t="shared" ca="1" si="10"/>
        <v>0</v>
      </c>
      <c r="R11" s="129">
        <f t="shared" ca="1" si="11"/>
        <v>0</v>
      </c>
      <c r="S11" s="129">
        <f t="shared" ca="1" si="12"/>
        <v>0</v>
      </c>
      <c r="T11" s="129">
        <f t="shared" ca="1" si="13"/>
        <v>0</v>
      </c>
      <c r="U11" s="129">
        <f t="shared" ca="1" si="14"/>
        <v>0</v>
      </c>
      <c r="V11" s="148">
        <f t="shared" ca="1" si="15"/>
        <v>0</v>
      </c>
      <c r="W11" s="125" cm="1">
        <f t="array" aca="1" ref="W11" ca="1">SUM(IFERROR(M11:V11,0))</f>
        <v>0</v>
      </c>
    </row>
    <row r="12" spans="1:23" ht="12.75" x14ac:dyDescent="0.2">
      <c r="A12" s="326">
        <v>10</v>
      </c>
      <c r="B12" s="277" t="s">
        <v>32</v>
      </c>
      <c r="C12" s="278">
        <v>581</v>
      </c>
      <c r="D12" s="61" cm="1">
        <f t="array" aca="1" ref="D12" ca="1">INDIRECT("'Bureau " &amp; ROW()-2 &amp; "'!$B$8")</f>
        <v>0</v>
      </c>
      <c r="E12" s="155" cm="1">
        <f t="array" aca="1" ref="E12" ca="1">INDIRECT("'Bureau " &amp; ROW()-2 &amp; "'!$B$7")</f>
        <v>0</v>
      </c>
      <c r="F12" s="158">
        <f t="shared" ca="1" si="0"/>
        <v>581</v>
      </c>
      <c r="G12" s="37">
        <f t="shared" ca="1" si="1"/>
        <v>0</v>
      </c>
      <c r="H12" s="37">
        <f t="shared" ca="1" si="2"/>
        <v>0</v>
      </c>
      <c r="I12" s="141">
        <f t="shared" ca="1" si="3"/>
        <v>0</v>
      </c>
      <c r="J12" s="153">
        <f t="shared" ca="1" si="4"/>
        <v>0</v>
      </c>
      <c r="K12" s="171">
        <f t="shared" ca="1" si="5"/>
        <v>1</v>
      </c>
      <c r="L12" s="332">
        <v>10</v>
      </c>
      <c r="M12" s="38">
        <f t="shared" ca="1" si="6"/>
        <v>0</v>
      </c>
      <c r="N12" s="38">
        <f t="shared" ca="1" si="7"/>
        <v>0</v>
      </c>
      <c r="O12" s="38">
        <f t="shared" ca="1" si="8"/>
        <v>0</v>
      </c>
      <c r="P12" s="38">
        <f t="shared" ca="1" si="9"/>
        <v>0</v>
      </c>
      <c r="Q12" s="65">
        <f t="shared" ca="1" si="10"/>
        <v>0</v>
      </c>
      <c r="R12" s="129">
        <f t="shared" ca="1" si="11"/>
        <v>0</v>
      </c>
      <c r="S12" s="129">
        <f t="shared" ca="1" si="12"/>
        <v>0</v>
      </c>
      <c r="T12" s="129">
        <f t="shared" ca="1" si="13"/>
        <v>0</v>
      </c>
      <c r="U12" s="129">
        <f t="shared" ca="1" si="14"/>
        <v>0</v>
      </c>
      <c r="V12" s="148">
        <f t="shared" ca="1" si="15"/>
        <v>0</v>
      </c>
      <c r="W12" s="125" cm="1">
        <f t="array" aca="1" ref="W12" ca="1">SUM(IFERROR(M12:V12,0))</f>
        <v>0</v>
      </c>
    </row>
    <row r="13" spans="1:23" ht="12.75" x14ac:dyDescent="0.2">
      <c r="A13" s="326">
        <v>11</v>
      </c>
      <c r="B13" s="277" t="s">
        <v>32</v>
      </c>
      <c r="C13" s="278">
        <v>649</v>
      </c>
      <c r="D13" s="61" cm="1">
        <f t="array" aca="1" ref="D13" ca="1">INDIRECT("'Bureau " &amp; ROW()-2 &amp; "'!$B$8")</f>
        <v>0</v>
      </c>
      <c r="E13" s="155" cm="1">
        <f t="array" aca="1" ref="E13" ca="1">INDIRECT("'Bureau " &amp; ROW()-2 &amp; "'!$B$7")</f>
        <v>0</v>
      </c>
      <c r="F13" s="158">
        <f t="shared" ca="1" si="0"/>
        <v>649</v>
      </c>
      <c r="G13" s="37">
        <f t="shared" ca="1" si="1"/>
        <v>0</v>
      </c>
      <c r="H13" s="37">
        <f t="shared" ca="1" si="2"/>
        <v>0</v>
      </c>
      <c r="I13" s="141">
        <f t="shared" ca="1" si="3"/>
        <v>0</v>
      </c>
      <c r="J13" s="153">
        <f t="shared" ca="1" si="4"/>
        <v>0</v>
      </c>
      <c r="K13" s="171">
        <f t="shared" ca="1" si="5"/>
        <v>1</v>
      </c>
      <c r="L13" s="332">
        <v>11</v>
      </c>
      <c r="M13" s="38">
        <f t="shared" ca="1" si="6"/>
        <v>0</v>
      </c>
      <c r="N13" s="38">
        <f t="shared" ca="1" si="7"/>
        <v>0</v>
      </c>
      <c r="O13" s="38">
        <f t="shared" ca="1" si="8"/>
        <v>0</v>
      </c>
      <c r="P13" s="38">
        <f t="shared" ca="1" si="9"/>
        <v>0</v>
      </c>
      <c r="Q13" s="65">
        <f t="shared" ca="1" si="10"/>
        <v>0</v>
      </c>
      <c r="R13" s="129">
        <f t="shared" ca="1" si="11"/>
        <v>0</v>
      </c>
      <c r="S13" s="129">
        <f t="shared" ca="1" si="12"/>
        <v>0</v>
      </c>
      <c r="T13" s="129">
        <f t="shared" ca="1" si="13"/>
        <v>0</v>
      </c>
      <c r="U13" s="129">
        <f t="shared" ca="1" si="14"/>
        <v>0</v>
      </c>
      <c r="V13" s="148">
        <f t="shared" ca="1" si="15"/>
        <v>0</v>
      </c>
      <c r="W13" s="125" cm="1">
        <f t="array" aca="1" ref="W13" ca="1">SUM(IFERROR(M13:V13,0))</f>
        <v>0</v>
      </c>
    </row>
    <row r="14" spans="1:23" ht="13.5" thickBot="1" x14ac:dyDescent="0.25">
      <c r="A14" s="327">
        <v>12</v>
      </c>
      <c r="B14" s="277" t="s">
        <v>33</v>
      </c>
      <c r="C14" s="278">
        <v>645</v>
      </c>
      <c r="D14" s="62" cm="1">
        <f t="array" aca="1" ref="D14" ca="1">INDIRECT("'Bureau " &amp; ROW()-2 &amp; "'!$B$8")</f>
        <v>0</v>
      </c>
      <c r="E14" s="159" cm="1">
        <f t="array" aca="1" ref="E14" ca="1">INDIRECT("'Bureau " &amp; ROW()-2 &amp; "'!$B$7")</f>
        <v>0</v>
      </c>
      <c r="F14" s="160">
        <f t="shared" ca="1" si="0"/>
        <v>645</v>
      </c>
      <c r="G14" s="37">
        <f t="shared" ca="1" si="1"/>
        <v>0</v>
      </c>
      <c r="H14" s="37">
        <f t="shared" ca="1" si="2"/>
        <v>0</v>
      </c>
      <c r="I14" s="142">
        <f t="shared" ca="1" si="3"/>
        <v>0</v>
      </c>
      <c r="J14" s="154">
        <f t="shared" ca="1" si="4"/>
        <v>0</v>
      </c>
      <c r="K14" s="172">
        <f t="shared" ca="1" si="5"/>
        <v>1</v>
      </c>
      <c r="L14" s="333">
        <v>12</v>
      </c>
      <c r="M14" s="132">
        <f t="shared" ca="1" si="6"/>
        <v>0</v>
      </c>
      <c r="N14" s="132">
        <f t="shared" ca="1" si="7"/>
        <v>0</v>
      </c>
      <c r="O14" s="132">
        <f t="shared" ca="1" si="8"/>
        <v>0</v>
      </c>
      <c r="P14" s="132">
        <f t="shared" ca="1" si="9"/>
        <v>0</v>
      </c>
      <c r="Q14" s="133">
        <f t="shared" ca="1" si="10"/>
        <v>0</v>
      </c>
      <c r="R14" s="130">
        <f t="shared" ca="1" si="11"/>
        <v>0</v>
      </c>
      <c r="S14" s="130">
        <f t="shared" ca="1" si="12"/>
        <v>0</v>
      </c>
      <c r="T14" s="130">
        <f t="shared" ca="1" si="13"/>
        <v>0</v>
      </c>
      <c r="U14" s="130">
        <f t="shared" ca="1" si="14"/>
        <v>0</v>
      </c>
      <c r="V14" s="149">
        <f t="shared" ca="1" si="15"/>
        <v>0</v>
      </c>
      <c r="W14" s="126" cm="1">
        <f t="array" aca="1" ref="W14" ca="1">SUM(IFERROR(M14:V14,0))</f>
        <v>0</v>
      </c>
    </row>
    <row r="15" spans="1:23" ht="15.75" customHeight="1" x14ac:dyDescent="0.25">
      <c r="A15" s="384" t="s">
        <v>11</v>
      </c>
      <c r="B15" s="385"/>
      <c r="C15" s="319" cm="1">
        <f t="array" ref="C15">SUM(IFERROR(C3:C14,0))</f>
        <v>7742</v>
      </c>
      <c r="D15" s="60" cm="1">
        <f t="array" aca="1" ref="D15" ca="1">SUM(IFERROR(D3:D14,0))</f>
        <v>0</v>
      </c>
      <c r="E15" s="105" cm="1">
        <f t="array" aca="1" ref="E15" ca="1">SUM(IFERROR(E3:E14,0))</f>
        <v>0</v>
      </c>
      <c r="F15" s="105" cm="1">
        <f t="array" aca="1" ref="F15" ca="1">SUM(IFERROR(F3:F14,0))</f>
        <v>7742</v>
      </c>
      <c r="G15" s="48" cm="1">
        <f t="array" aca="1" ref="G15" ca="1">SUM(IFERROR(G3:G14,0))</f>
        <v>0</v>
      </c>
      <c r="H15" s="49" cm="1">
        <f t="array" aca="1" ref="H15" ca="1">SUM(IFERROR(H3:H14,0))</f>
        <v>0</v>
      </c>
      <c r="I15" s="143" cm="1">
        <f t="array" aca="1" ref="I15" ca="1">SUM(IFERROR(I3:I14,0))</f>
        <v>0</v>
      </c>
      <c r="J15" s="150">
        <f ca="1">E15</f>
        <v>0</v>
      </c>
      <c r="K15" s="151" cm="1">
        <f t="array" aca="1" ref="K15" ca="1">SUM(IFERROR(F3:F14,0))</f>
        <v>7742</v>
      </c>
      <c r="L15" s="334" t="s">
        <v>5</v>
      </c>
      <c r="M15" s="134" cm="1">
        <f t="array" aca="1" ref="M15" ca="1">SUM(IFERROR(M3:M14,0))</f>
        <v>0</v>
      </c>
      <c r="N15" s="134" cm="1">
        <f t="array" aca="1" ref="N15" ca="1">SUM(IFERROR(N3:N14,0))</f>
        <v>0</v>
      </c>
      <c r="O15" s="134" cm="1">
        <f t="array" aca="1" ref="O15" ca="1">SUM(IFERROR(O3:O14,0))</f>
        <v>0</v>
      </c>
      <c r="P15" s="134" cm="1">
        <f t="array" aca="1" ref="P15" ca="1">SUM(IFERROR(P3:P14,0))</f>
        <v>0</v>
      </c>
      <c r="Q15" s="135" cm="1">
        <f t="array" aca="1" ref="Q15" ca="1">SUM(IFERROR(Q3:Q14,0))</f>
        <v>0</v>
      </c>
      <c r="R15" s="136" cm="1">
        <f t="array" aca="1" ref="R15" ca="1">SUM(IFERROR(R3:R14,0))</f>
        <v>0</v>
      </c>
      <c r="S15" s="136" cm="1">
        <f t="array" aca="1" ref="S15" ca="1">SUM(IFERROR(S3:S14,0))</f>
        <v>0</v>
      </c>
      <c r="T15" s="136" cm="1">
        <f t="array" aca="1" ref="T15" ca="1">SUM(IFERROR(T3:T14,0))</f>
        <v>0</v>
      </c>
      <c r="U15" s="136" cm="1">
        <f t="array" aca="1" ref="U15" ca="1">SUM(IFERROR(U3:U14,0))</f>
        <v>0</v>
      </c>
      <c r="V15" s="137" cm="1">
        <f t="array" aca="1" ref="V15" ca="1">SUM(IFERROR(V3:V14,0))</f>
        <v>0</v>
      </c>
      <c r="W15" s="127" cm="1">
        <f t="array" aca="1" ref="W15" ca="1">SUM(IFERROR(W3:W14,0))</f>
        <v>0</v>
      </c>
    </row>
    <row r="16" spans="1:23" ht="15.75" customHeight="1" thickBot="1" x14ac:dyDescent="0.3">
      <c r="A16" s="386" t="s">
        <v>12</v>
      </c>
      <c r="B16" s="387"/>
      <c r="C16" s="331"/>
      <c r="D16" s="50">
        <f t="shared" ref="D16:K16" ca="1" si="16">D15/$C15</f>
        <v>0</v>
      </c>
      <c r="E16" s="106">
        <f t="shared" ca="1" si="16"/>
        <v>0</v>
      </c>
      <c r="F16" s="106">
        <f t="shared" ca="1" si="16"/>
        <v>1</v>
      </c>
      <c r="G16" s="50">
        <f t="shared" ca="1" si="16"/>
        <v>0</v>
      </c>
      <c r="H16" s="51">
        <f t="shared" ca="1" si="16"/>
        <v>0</v>
      </c>
      <c r="I16" s="54">
        <f t="shared" ca="1" si="16"/>
        <v>0</v>
      </c>
      <c r="J16" s="138">
        <f ca="1">J15/$C15</f>
        <v>0</v>
      </c>
      <c r="K16" s="53">
        <f t="shared" ca="1" si="16"/>
        <v>1</v>
      </c>
      <c r="L16" s="335" t="s">
        <v>12</v>
      </c>
      <c r="M16" s="63">
        <f ca="1">IFERROR(M15/$I15,0)</f>
        <v>0</v>
      </c>
      <c r="N16" s="63">
        <f t="shared" ref="N16:W16" ca="1" si="17">IFERROR(N15/$I15,0)</f>
        <v>0</v>
      </c>
      <c r="O16" s="63">
        <f t="shared" ca="1" si="17"/>
        <v>0</v>
      </c>
      <c r="P16" s="63">
        <f t="shared" ca="1" si="17"/>
        <v>0</v>
      </c>
      <c r="Q16" s="64">
        <f ca="1">IFERROR(Q15/$I15,0)</f>
        <v>0</v>
      </c>
      <c r="R16" s="139">
        <f t="shared" ref="R16:V16" ca="1" si="18">IFERROR(R15/$I15,0)</f>
        <v>0</v>
      </c>
      <c r="S16" s="139">
        <f t="shared" ca="1" si="18"/>
        <v>0</v>
      </c>
      <c r="T16" s="139">
        <f t="shared" ca="1" si="18"/>
        <v>0</v>
      </c>
      <c r="U16" s="139">
        <f t="shared" ca="1" si="18"/>
        <v>0</v>
      </c>
      <c r="V16" s="140">
        <f t="shared" ca="1" si="18"/>
        <v>0</v>
      </c>
      <c r="W16" s="128">
        <f t="shared" ca="1" si="17"/>
        <v>0</v>
      </c>
    </row>
    <row r="17" spans="1:23" ht="12.75" x14ac:dyDescent="0.2">
      <c r="A17" s="328" t="s">
        <v>13</v>
      </c>
      <c r="B17" s="235">
        <v>46082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12.75" x14ac:dyDescent="0.2">
      <c r="A18" s="329" t="s">
        <v>14</v>
      </c>
      <c r="B18" s="236" t="s">
        <v>24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13.5" thickBot="1" x14ac:dyDescent="0.25">
      <c r="A19" s="330" t="s">
        <v>15</v>
      </c>
      <c r="B19" s="237" t="s">
        <v>16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12.75" x14ac:dyDescent="0.2">
      <c r="A20" s="1"/>
      <c r="B20" s="1"/>
      <c r="C20" s="2"/>
      <c r="D20" s="3"/>
      <c r="E20" s="3"/>
      <c r="F20" s="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12.75" x14ac:dyDescent="0.2">
      <c r="A21" s="1"/>
      <c r="B21" s="1"/>
      <c r="C21" s="4"/>
      <c r="D21" s="3"/>
      <c r="E21" s="3"/>
      <c r="F21" s="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12.75" x14ac:dyDescent="0.2">
      <c r="A22" s="1"/>
      <c r="B22" s="1"/>
      <c r="C22" s="5"/>
      <c r="D22" s="3"/>
      <c r="E22" s="6"/>
      <c r="F22" s="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12.75" x14ac:dyDescent="0.2">
      <c r="A23" s="1"/>
      <c r="B23" s="1"/>
      <c r="C23" s="7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12.75" x14ac:dyDescent="0.2">
      <c r="A24" s="39" t="s">
        <v>28</v>
      </c>
      <c r="B24" s="40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12.75" x14ac:dyDescent="0.2">
      <c r="A25" s="39" t="s">
        <v>29</v>
      </c>
      <c r="B25" s="40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12.75" x14ac:dyDescent="0.2">
      <c r="A26" s="1"/>
      <c r="B26" s="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12.75" x14ac:dyDescent="0.2">
      <c r="A27" s="1"/>
      <c r="B27" s="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12.75" x14ac:dyDescent="0.2">
      <c r="A28" s="1"/>
      <c r="B28" s="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12.75" x14ac:dyDescent="0.2">
      <c r="A29" s="1"/>
      <c r="B29" s="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12.75" x14ac:dyDescent="0.2">
      <c r="A30" s="41" t="s">
        <v>20</v>
      </c>
      <c r="B30" s="4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12.75" x14ac:dyDescent="0.2">
      <c r="A31" s="43" t="s">
        <v>21</v>
      </c>
      <c r="B31" s="4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12.75" x14ac:dyDescent="0.2">
      <c r="A32" s="41" t="s">
        <v>22</v>
      </c>
      <c r="B32" s="4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</sheetData>
  <mergeCells count="12">
    <mergeCell ref="K1:K2"/>
    <mergeCell ref="J1:J2"/>
    <mergeCell ref="A15:B15"/>
    <mergeCell ref="A16:B16"/>
    <mergeCell ref="A1:B2"/>
    <mergeCell ref="C1:C2"/>
    <mergeCell ref="D1:D2"/>
    <mergeCell ref="E1:E2"/>
    <mergeCell ref="G1:G2"/>
    <mergeCell ref="H1:H2"/>
    <mergeCell ref="I1:I2"/>
    <mergeCell ref="F1:F2"/>
  </mergeCells>
  <phoneticPr fontId="28" type="noConversion"/>
  <conditionalFormatting sqref="D16:W16">
    <cfRule type="cellIs" dxfId="445" priority="19" operator="greaterThan">
      <formula>"100%"</formula>
    </cfRule>
  </conditionalFormatting>
  <conditionalFormatting sqref="J3:J14">
    <cfRule type="cellIs" dxfId="444" priority="25" operator="notBetween">
      <formula>0</formula>
      <formula>"100%"</formula>
    </cfRule>
  </conditionalFormatting>
  <conditionalFormatting sqref="F3:F14 K3:K14">
    <cfRule type="cellIs" dxfId="443" priority="24" operator="lessThan">
      <formula>0</formula>
    </cfRule>
  </conditionalFormatting>
  <conditionalFormatting sqref="M15:V15">
    <cfRule type="colorScale" priority="21">
      <colorScale>
        <cfvo type="min"/>
        <cfvo type="max"/>
        <color theme="0" tint="-0.14999847407452621"/>
        <color theme="0" tint="-0.34998626667073579"/>
      </colorScale>
    </cfRule>
  </conditionalFormatting>
  <conditionalFormatting sqref="M16:V16">
    <cfRule type="colorScale" priority="22">
      <colorScale>
        <cfvo type="percent" val="0"/>
        <cfvo type="max"/>
        <color theme="0" tint="-0.14999847407452621"/>
        <color theme="0" tint="-0.34998626667073579"/>
      </colorScale>
    </cfRule>
  </conditionalFormatting>
  <conditionalFormatting sqref="M3:W16">
    <cfRule type="cellIs" dxfId="442" priority="3" operator="lessThan">
      <formula>0</formula>
    </cfRule>
  </conditionalFormatting>
  <conditionalFormatting sqref="W3:W14">
    <cfRule type="cellIs" dxfId="441" priority="5" operator="equal">
      <formula>I3</formula>
    </cfRule>
  </conditionalFormatting>
  <conditionalFormatting sqref="W3:W16">
    <cfRule type="cellIs" dxfId="440" priority="1" operator="equal">
      <formula>0</formula>
    </cfRule>
  </conditionalFormatting>
  <conditionalFormatting sqref="W15">
    <cfRule type="cellIs" dxfId="439" priority="2" operator="equal">
      <formula>$I$15</formula>
    </cfRule>
    <cfRule type="cellIs" dxfId="438" priority="4" operator="lessThan">
      <formula>E14</formula>
    </cfRule>
  </conditionalFormatting>
  <conditionalFormatting sqref="W16">
    <cfRule type="cellIs" dxfId="437" priority="18" operator="equal">
      <formula>1</formula>
    </cfRule>
    <cfRule type="cellIs" dxfId="436" priority="23" operator="lessThan">
      <formula>1</formula>
    </cfRule>
  </conditionalFormatting>
  <pageMargins left="0.25" right="0.25" top="0.75" bottom="0.75" header="0.3" footer="0.3"/>
  <pageSetup paperSize="9" scale="69" orientation="landscape" r:id="rId1"/>
  <ignoredErrors>
    <ignoredError sqref="J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niformiserCouleursDepouillement_parPoint">
                <anchor moveWithCells="1" sizeWithCells="1">
                  <from>
                    <xdr:col>24</xdr:col>
                    <xdr:colOff>561975</xdr:colOff>
                    <xdr:row>11</xdr:row>
                    <xdr:rowOff>19050</xdr:rowOff>
                  </from>
                  <to>
                    <xdr:col>27</xdr:col>
                    <xdr:colOff>333375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4" tint="0.39997558519241921"/>
    <outlinePr summaryBelow="0" summaryRight="0"/>
  </sheetPr>
  <dimension ref="A1:AQ50"/>
  <sheetViews>
    <sheetView zoomScale="85" zoomScaleNormal="85" workbookViewId="0">
      <pane xSplit="2" topLeftCell="C1" activePane="topRight" state="frozen"/>
      <selection pane="topRight" activeCell="AF17" sqref="AF17"/>
    </sheetView>
  </sheetViews>
  <sheetFormatPr baseColWidth="10" defaultColWidth="13.7109375" defaultRowHeight="15.75" customHeight="1" x14ac:dyDescent="0.2"/>
  <cols>
    <col min="1" max="1" width="6.85546875" customWidth="1"/>
    <col min="2" max="2" width="23" bestFit="1" customWidth="1"/>
    <col min="3" max="3" width="7.140625" customWidth="1"/>
    <col min="4" max="4" width="8.140625" customWidth="1"/>
    <col min="5" max="5" width="10.5703125" customWidth="1"/>
    <col min="6" max="6" width="8.5703125" customWidth="1"/>
    <col min="7" max="30" width="6.7109375" customWidth="1"/>
    <col min="31" max="31" width="10.140625" customWidth="1"/>
    <col min="43" max="43" width="16.42578125" customWidth="1"/>
  </cols>
  <sheetData>
    <row r="1" spans="1:43" ht="13.5" thickBot="1" x14ac:dyDescent="0.25">
      <c r="A1" s="412" t="s">
        <v>17</v>
      </c>
      <c r="B1" s="413"/>
      <c r="C1" s="410" t="s">
        <v>2</v>
      </c>
      <c r="D1" s="407"/>
      <c r="E1" s="411"/>
      <c r="F1" s="82" t="s">
        <v>0</v>
      </c>
      <c r="G1" s="412" t="s">
        <v>36</v>
      </c>
      <c r="H1" s="413"/>
      <c r="I1" s="412" t="s">
        <v>37</v>
      </c>
      <c r="J1" s="413"/>
      <c r="K1" s="412" t="s">
        <v>38</v>
      </c>
      <c r="L1" s="413"/>
      <c r="M1" s="406" t="s">
        <v>39</v>
      </c>
      <c r="N1" s="411"/>
      <c r="O1" s="412" t="s">
        <v>40</v>
      </c>
      <c r="P1" s="413"/>
      <c r="Q1" s="406" t="s">
        <v>41</v>
      </c>
      <c r="R1" s="407"/>
      <c r="S1" s="408" t="s">
        <v>42</v>
      </c>
      <c r="T1" s="409"/>
      <c r="U1" s="410" t="s">
        <v>43</v>
      </c>
      <c r="V1" s="411"/>
      <c r="W1" s="412" t="s">
        <v>44</v>
      </c>
      <c r="X1" s="413"/>
      <c r="Y1" s="406" t="s">
        <v>45</v>
      </c>
      <c r="Z1" s="411"/>
      <c r="AA1" s="419" t="s">
        <v>46</v>
      </c>
      <c r="AB1" s="420"/>
      <c r="AC1" s="421" t="s">
        <v>47</v>
      </c>
      <c r="AD1" s="422"/>
      <c r="AE1" s="198" t="s">
        <v>17</v>
      </c>
      <c r="AF1" s="199" t="s">
        <v>36</v>
      </c>
      <c r="AG1" s="200" t="s">
        <v>37</v>
      </c>
      <c r="AH1" s="200" t="s">
        <v>38</v>
      </c>
      <c r="AI1" s="200" t="s">
        <v>39</v>
      </c>
      <c r="AJ1" s="200" t="s">
        <v>40</v>
      </c>
      <c r="AK1" s="200" t="s">
        <v>41</v>
      </c>
      <c r="AL1" s="200" t="s">
        <v>42</v>
      </c>
      <c r="AM1" s="200" t="s">
        <v>43</v>
      </c>
      <c r="AN1" s="200" t="s">
        <v>44</v>
      </c>
      <c r="AO1" s="201" t="s">
        <v>45</v>
      </c>
      <c r="AP1" s="179" t="s">
        <v>46</v>
      </c>
      <c r="AQ1" s="178" t="s">
        <v>47</v>
      </c>
    </row>
    <row r="2" spans="1:43" ht="15.75" customHeight="1" x14ac:dyDescent="0.2">
      <c r="A2" s="44">
        <v>1</v>
      </c>
      <c r="B2" s="45" t="str" cm="1">
        <f t="array" aca="1" ref="B2" ca="1">INDIRECT("'Synthèse'!"  &amp; "$B" &amp; ROW()+1)</f>
        <v>Hôtel de ville</v>
      </c>
      <c r="C2" s="21">
        <f ca="1">MAX(G2,I2,K2,M2,O2,Q2,S2,U2,W2,Y2,AA2,AC2)</f>
        <v>0</v>
      </c>
      <c r="D2" s="23">
        <f t="shared" ref="D2:D14" ca="1" si="0">C2/$F2</f>
        <v>0</v>
      </c>
      <c r="E2" s="26">
        <f ca="1">D2</f>
        <v>0</v>
      </c>
      <c r="F2" s="84">
        <f>Synthèse!C3</f>
        <v>506</v>
      </c>
      <c r="G2" s="184" cm="1">
        <f t="array" aca="1" ref="G2" ca="1">INDIRECT("'Bureau " &amp; ROW()-1 &amp; "'!$W4")</f>
        <v>0</v>
      </c>
      <c r="H2" s="73">
        <f t="shared" ref="H2:H13" ca="1" si="1">G2/$F2</f>
        <v>0</v>
      </c>
      <c r="I2" s="185" cm="1">
        <f t="array" aca="1" ref="I2" ca="1">INDIRECT("'Bureau " &amp; ROW()-1 &amp; "'!$W5")</f>
        <v>0</v>
      </c>
      <c r="J2" s="73">
        <f t="shared" ref="J2:J14" ca="1" si="2">I2/$F2</f>
        <v>0</v>
      </c>
      <c r="K2" s="185" cm="1">
        <f t="array" aca="1" ref="K2" ca="1">INDIRECT("'Bureau " &amp; ROW()-1 &amp; "'!$W6")</f>
        <v>0</v>
      </c>
      <c r="L2" s="74">
        <f t="shared" ref="L2:L14" ca="1" si="3">K2/$F2</f>
        <v>0</v>
      </c>
      <c r="M2" s="186" cm="1">
        <f t="array" aca="1" ref="M2" ca="1">INDIRECT("'Bureau " &amp; ROW()-1 &amp; "'!$W7")</f>
        <v>0</v>
      </c>
      <c r="N2" s="88">
        <f t="shared" ref="N2:N14" ca="1" si="4">M2/$F2</f>
        <v>0</v>
      </c>
      <c r="O2" s="187" cm="1">
        <f t="array" aca="1" ref="O2" ca="1">INDIRECT("'Bureau " &amp; ROW()-1 &amp; "'!$W8")</f>
        <v>0</v>
      </c>
      <c r="P2" s="74">
        <f t="shared" ref="P2:P14" ca="1" si="5">O2/$F2</f>
        <v>0</v>
      </c>
      <c r="Q2" s="186" cm="1">
        <f t="array" aca="1" ref="Q2" ca="1">INDIRECT("'Bureau " &amp; ROW()-1 &amp; "'!$W9")</f>
        <v>0</v>
      </c>
      <c r="R2" s="88">
        <f t="shared" ref="R2:R14" ca="1" si="6">Q2/$F2</f>
        <v>0</v>
      </c>
      <c r="S2" s="188" cm="1">
        <f t="array" aca="1" ref="S2" ca="1">INDIRECT("'Bureau " &amp; ROW()-1 &amp; "'!$W10")</f>
        <v>0</v>
      </c>
      <c r="T2" s="161">
        <f t="shared" ref="T2:T14" ca="1" si="7">S2/$F2</f>
        <v>0</v>
      </c>
      <c r="U2" s="186" cm="1">
        <f t="array" aca="1" ref="U2" ca="1">INDIRECT("'Bureau " &amp; ROW()-1 &amp; "'!$W11")</f>
        <v>0</v>
      </c>
      <c r="V2" s="88">
        <f t="shared" ref="V2:V14" ca="1" si="8">U2/$F2</f>
        <v>0</v>
      </c>
      <c r="W2" s="187" cm="1">
        <f t="array" aca="1" ref="W2" ca="1">INDIRECT("'Bureau " &amp; ROW()-1 &amp; "'!$W12")</f>
        <v>0</v>
      </c>
      <c r="X2" s="74">
        <f t="shared" ref="X2:X14" ca="1" si="9">W2/$F2</f>
        <v>0</v>
      </c>
      <c r="Y2" s="189" cm="1">
        <f t="array" aca="1" ref="Y2" ca="1">INDIRECT("'Bureau " &amp; ROW()-1 &amp; "'!$W13")</f>
        <v>0</v>
      </c>
      <c r="Z2" s="162">
        <f t="shared" ref="Z2:Z14" ca="1" si="10">Y2/$F2</f>
        <v>0</v>
      </c>
      <c r="AA2" s="190" cm="1">
        <f t="array" aca="1" ref="AA2" ca="1">INDIRECT("'Bureau " &amp; ROW()-1 &amp; "'!$W14")</f>
        <v>0</v>
      </c>
      <c r="AB2" s="79">
        <f t="shared" ref="AB2:AB14" ca="1" si="11">AA2/$F2</f>
        <v>0</v>
      </c>
      <c r="AC2" s="191" cm="1">
        <f t="array" aca="1" ref="AC2" ca="1">INDIRECT("'Bureau " &amp; ROW()-1 &amp; "'!$W15")</f>
        <v>0</v>
      </c>
      <c r="AD2" s="173">
        <f t="shared" ref="AD2:AD14" ca="1" si="12">AC2/$F2</f>
        <v>0</v>
      </c>
      <c r="AE2" s="202">
        <v>1</v>
      </c>
      <c r="AF2" s="203"/>
      <c r="AG2" s="204"/>
      <c r="AH2" s="204"/>
      <c r="AI2" s="204"/>
      <c r="AJ2" s="204"/>
      <c r="AK2" s="204"/>
      <c r="AL2" s="204"/>
      <c r="AM2" s="204"/>
      <c r="AN2" s="204"/>
      <c r="AO2" s="205"/>
      <c r="AP2" s="180"/>
      <c r="AQ2" s="177"/>
    </row>
    <row r="3" spans="1:43" ht="15.75" customHeight="1" x14ac:dyDescent="0.2">
      <c r="A3" s="44">
        <v>2</v>
      </c>
      <c r="B3" s="45" t="str" cm="1">
        <f t="array" aca="1" ref="B3" ca="1">INDIRECT("'Synthèse'!"  &amp; "$B" &amp; ROW()+1)</f>
        <v>Gymnase B</v>
      </c>
      <c r="C3" s="22">
        <f t="shared" ref="C3:C13" ca="1" si="13">MAX(G3,I3,K3,M3,O3,Q3,S3,U3,W3,Y3,AA3,AC3)</f>
        <v>0</v>
      </c>
      <c r="D3" s="24">
        <f t="shared" ca="1" si="0"/>
        <v>0</v>
      </c>
      <c r="E3" s="27">
        <f t="shared" ref="E3:E14" ca="1" si="14">D3</f>
        <v>0</v>
      </c>
      <c r="F3" s="85">
        <f>Synthèse!C4</f>
        <v>700</v>
      </c>
      <c r="G3" s="184" cm="1">
        <f t="array" aca="1" ref="G3" ca="1">INDIRECT("'Bureau " &amp; ROW()-1 &amp; "'!$W4")</f>
        <v>0</v>
      </c>
      <c r="H3" s="75">
        <f t="shared" ca="1" si="1"/>
        <v>0</v>
      </c>
      <c r="I3" s="185" cm="1">
        <f t="array" aca="1" ref="I3" ca="1">INDIRECT("'Bureau " &amp; ROW()-1 &amp; "'!$W5")</f>
        <v>0</v>
      </c>
      <c r="J3" s="75">
        <f t="shared" ca="1" si="2"/>
        <v>0</v>
      </c>
      <c r="K3" s="185" cm="1">
        <f t="array" aca="1" ref="K3" ca="1">INDIRECT("'Bureau " &amp; ROW()-1 &amp; "'!$W6")</f>
        <v>0</v>
      </c>
      <c r="L3" s="76">
        <f t="shared" ca="1" si="3"/>
        <v>0</v>
      </c>
      <c r="M3" s="192" cm="1">
        <f t="array" aca="1" ref="M3" ca="1">INDIRECT("'Bureau " &amp; ROW()-1 &amp; "'!$W7")</f>
        <v>0</v>
      </c>
      <c r="N3" s="89">
        <f t="shared" ca="1" si="4"/>
        <v>0</v>
      </c>
      <c r="O3" s="187" cm="1">
        <f t="array" aca="1" ref="O3" ca="1">INDIRECT("'Bureau " &amp; ROW()-1 &amp; "'!$W8")</f>
        <v>0</v>
      </c>
      <c r="P3" s="76">
        <f t="shared" ca="1" si="5"/>
        <v>0</v>
      </c>
      <c r="Q3" s="192" cm="1">
        <f t="array" aca="1" ref="Q3" ca="1">INDIRECT("'Bureau " &amp; ROW()-1 &amp; "'!$W9")</f>
        <v>0</v>
      </c>
      <c r="R3" s="89">
        <f t="shared" ca="1" si="6"/>
        <v>0</v>
      </c>
      <c r="S3" s="188" cm="1">
        <f t="array" aca="1" ref="S3" ca="1">INDIRECT("'Bureau " &amp; ROW()-1 &amp; "'!$W10")</f>
        <v>0</v>
      </c>
      <c r="T3" s="24">
        <f t="shared" ca="1" si="7"/>
        <v>0</v>
      </c>
      <c r="U3" s="192" cm="1">
        <f t="array" aca="1" ref="U3" ca="1">INDIRECT("'Bureau " &amp; ROW()-1 &amp; "'!$W11")</f>
        <v>0</v>
      </c>
      <c r="V3" s="89">
        <f t="shared" ca="1" si="8"/>
        <v>0</v>
      </c>
      <c r="W3" s="187" cm="1">
        <f t="array" aca="1" ref="W3" ca="1">INDIRECT("'Bureau " &amp; ROW()-1 &amp; "'!$W12")</f>
        <v>0</v>
      </c>
      <c r="X3" s="76">
        <f t="shared" ca="1" si="9"/>
        <v>0</v>
      </c>
      <c r="Y3" s="193" cm="1">
        <f t="array" aca="1" ref="Y3" ca="1">INDIRECT("'Bureau " &amp; ROW()-1 &amp; "'!$W13")</f>
        <v>0</v>
      </c>
      <c r="Z3" s="163">
        <f t="shared" ca="1" si="10"/>
        <v>0</v>
      </c>
      <c r="AA3" s="190" cm="1">
        <f t="array" aca="1" ref="AA3" ca="1">INDIRECT("'Bureau " &amp; ROW()-1 &amp; "'!$W14")</f>
        <v>0</v>
      </c>
      <c r="AB3" s="80">
        <f t="shared" ca="1" si="11"/>
        <v>0</v>
      </c>
      <c r="AC3" s="191" cm="1">
        <f t="array" aca="1" ref="AC3" ca="1">INDIRECT("'Bureau " &amp; ROW()-1 &amp; "'!$W15")</f>
        <v>0</v>
      </c>
      <c r="AD3" s="174">
        <f t="shared" ca="1" si="12"/>
        <v>0</v>
      </c>
      <c r="AE3" s="202">
        <v>2</v>
      </c>
      <c r="AF3" s="206"/>
      <c r="AG3" s="207"/>
      <c r="AH3" s="207"/>
      <c r="AI3" s="207"/>
      <c r="AJ3" s="207"/>
      <c r="AK3" s="207"/>
      <c r="AL3" s="207"/>
      <c r="AM3" s="207"/>
      <c r="AN3" s="207"/>
      <c r="AO3" s="208"/>
      <c r="AP3" s="181"/>
      <c r="AQ3" s="176"/>
    </row>
    <row r="4" spans="1:43" ht="15.75" customHeight="1" x14ac:dyDescent="0.2">
      <c r="A4" s="44">
        <v>3</v>
      </c>
      <c r="B4" s="45" t="str" cm="1">
        <f t="array" aca="1" ref="B4" ca="1">INDIRECT("'Synthèse'!"  &amp; "$B" &amp; ROW()+1)</f>
        <v>Gymnase B</v>
      </c>
      <c r="C4" s="22">
        <f t="shared" ca="1" si="13"/>
        <v>0</v>
      </c>
      <c r="D4" s="24">
        <f t="shared" ca="1" si="0"/>
        <v>0</v>
      </c>
      <c r="E4" s="27">
        <f t="shared" ca="1" si="14"/>
        <v>0</v>
      </c>
      <c r="F4" s="85">
        <f>Synthèse!C5</f>
        <v>669</v>
      </c>
      <c r="G4" s="184" cm="1">
        <f t="array" aca="1" ref="G4" ca="1">INDIRECT("'Bureau " &amp; ROW()-1 &amp; "'!$W4")</f>
        <v>0</v>
      </c>
      <c r="H4" s="75">
        <f t="shared" ca="1" si="1"/>
        <v>0</v>
      </c>
      <c r="I4" s="185" cm="1">
        <f t="array" aca="1" ref="I4" ca="1">INDIRECT("'Bureau " &amp; ROW()-1 &amp; "'!$W5")</f>
        <v>0</v>
      </c>
      <c r="J4" s="75">
        <f t="shared" ca="1" si="2"/>
        <v>0</v>
      </c>
      <c r="K4" s="185" cm="1">
        <f t="array" aca="1" ref="K4" ca="1">INDIRECT("'Bureau " &amp; ROW()-1 &amp; "'!$W6")</f>
        <v>0</v>
      </c>
      <c r="L4" s="76">
        <f t="shared" ca="1" si="3"/>
        <v>0</v>
      </c>
      <c r="M4" s="192" cm="1">
        <f t="array" aca="1" ref="M4" ca="1">INDIRECT("'Bureau " &amp; ROW()-1 &amp; "'!$W7")</f>
        <v>0</v>
      </c>
      <c r="N4" s="89">
        <f t="shared" ca="1" si="4"/>
        <v>0</v>
      </c>
      <c r="O4" s="187" cm="1">
        <f t="array" aca="1" ref="O4" ca="1">INDIRECT("'Bureau " &amp; ROW()-1 &amp; "'!$W8")</f>
        <v>0</v>
      </c>
      <c r="P4" s="76">
        <f t="shared" ca="1" si="5"/>
        <v>0</v>
      </c>
      <c r="Q4" s="192" cm="1">
        <f t="array" aca="1" ref="Q4" ca="1">INDIRECT("'Bureau " &amp; ROW()-1 &amp; "'!$W9")</f>
        <v>0</v>
      </c>
      <c r="R4" s="89">
        <f t="shared" ca="1" si="6"/>
        <v>0</v>
      </c>
      <c r="S4" s="188" cm="1">
        <f t="array" aca="1" ref="S4" ca="1">INDIRECT("'Bureau " &amp; ROW()-1 &amp; "'!$W10")</f>
        <v>0</v>
      </c>
      <c r="T4" s="24">
        <f t="shared" ca="1" si="7"/>
        <v>0</v>
      </c>
      <c r="U4" s="192" cm="1">
        <f t="array" aca="1" ref="U4" ca="1">INDIRECT("'Bureau " &amp; ROW()-1 &amp; "'!$W11")</f>
        <v>0</v>
      </c>
      <c r="V4" s="89">
        <f t="shared" ca="1" si="8"/>
        <v>0</v>
      </c>
      <c r="W4" s="187" cm="1">
        <f t="array" aca="1" ref="W4" ca="1">INDIRECT("'Bureau " &amp; ROW()-1 &amp; "'!$W12")</f>
        <v>0</v>
      </c>
      <c r="X4" s="76">
        <f t="shared" ca="1" si="9"/>
        <v>0</v>
      </c>
      <c r="Y4" s="193" cm="1">
        <f t="array" aca="1" ref="Y4" ca="1">INDIRECT("'Bureau " &amp; ROW()-1 &amp; "'!$W13")</f>
        <v>0</v>
      </c>
      <c r="Z4" s="163">
        <f t="shared" ca="1" si="10"/>
        <v>0</v>
      </c>
      <c r="AA4" s="190" cm="1">
        <f t="array" aca="1" ref="AA4" ca="1">INDIRECT("'Bureau " &amp; ROW()-1 &amp; "'!$W14")</f>
        <v>0</v>
      </c>
      <c r="AB4" s="80">
        <f t="shared" ca="1" si="11"/>
        <v>0</v>
      </c>
      <c r="AC4" s="191" cm="1">
        <f t="array" aca="1" ref="AC4" ca="1">INDIRECT("'Bureau " &amp; ROW()-1 &amp; "'!$W15")</f>
        <v>0</v>
      </c>
      <c r="AD4" s="174">
        <f t="shared" ca="1" si="12"/>
        <v>0</v>
      </c>
      <c r="AE4" s="202">
        <v>3</v>
      </c>
      <c r="AF4" s="206"/>
      <c r="AG4" s="207"/>
      <c r="AH4" s="207"/>
      <c r="AI4" s="207"/>
      <c r="AJ4" s="207"/>
      <c r="AK4" s="207"/>
      <c r="AL4" s="207"/>
      <c r="AM4" s="207"/>
      <c r="AN4" s="207"/>
      <c r="AO4" s="208"/>
      <c r="AP4" s="181"/>
      <c r="AQ4" s="176"/>
    </row>
    <row r="5" spans="1:43" ht="15.75" customHeight="1" x14ac:dyDescent="0.2">
      <c r="A5" s="44">
        <v>4</v>
      </c>
      <c r="B5" s="45" t="str" cm="1">
        <f t="array" aca="1" ref="B5" ca="1">INDIRECT("'Synthèse'!"  &amp; "$B" &amp; ROW()+1)</f>
        <v>Gymnase B</v>
      </c>
      <c r="C5" s="22">
        <f t="shared" ca="1" si="13"/>
        <v>0</v>
      </c>
      <c r="D5" s="24">
        <f t="shared" ca="1" si="0"/>
        <v>0</v>
      </c>
      <c r="E5" s="27">
        <f t="shared" ca="1" si="14"/>
        <v>0</v>
      </c>
      <c r="F5" s="85">
        <f>Synthèse!C6</f>
        <v>651</v>
      </c>
      <c r="G5" s="184" cm="1">
        <f t="array" aca="1" ref="G5" ca="1">INDIRECT("'Bureau " &amp; ROW()-1 &amp; "'!$W4")</f>
        <v>0</v>
      </c>
      <c r="H5" s="75">
        <f t="shared" ca="1" si="1"/>
        <v>0</v>
      </c>
      <c r="I5" s="185" cm="1">
        <f t="array" aca="1" ref="I5" ca="1">INDIRECT("'Bureau " &amp; ROW()-1 &amp; "'!$W5")</f>
        <v>0</v>
      </c>
      <c r="J5" s="75">
        <f t="shared" ca="1" si="2"/>
        <v>0</v>
      </c>
      <c r="K5" s="185" cm="1">
        <f t="array" aca="1" ref="K5" ca="1">INDIRECT("'Bureau " &amp; ROW()-1 &amp; "'!$W6")</f>
        <v>0</v>
      </c>
      <c r="L5" s="76">
        <f t="shared" ca="1" si="3"/>
        <v>0</v>
      </c>
      <c r="M5" s="192" cm="1">
        <f t="array" aca="1" ref="M5" ca="1">INDIRECT("'Bureau " &amp; ROW()-1 &amp; "'!$W7")</f>
        <v>0</v>
      </c>
      <c r="N5" s="89">
        <f t="shared" ca="1" si="4"/>
        <v>0</v>
      </c>
      <c r="O5" s="187" cm="1">
        <f t="array" aca="1" ref="O5" ca="1">INDIRECT("'Bureau " &amp; ROW()-1 &amp; "'!$W8")</f>
        <v>0</v>
      </c>
      <c r="P5" s="76">
        <f t="shared" ca="1" si="5"/>
        <v>0</v>
      </c>
      <c r="Q5" s="192" cm="1">
        <f t="array" aca="1" ref="Q5" ca="1">INDIRECT("'Bureau " &amp; ROW()-1 &amp; "'!$W9")</f>
        <v>0</v>
      </c>
      <c r="R5" s="89">
        <f t="shared" ca="1" si="6"/>
        <v>0</v>
      </c>
      <c r="S5" s="188" cm="1">
        <f t="array" aca="1" ref="S5" ca="1">INDIRECT("'Bureau " &amp; ROW()-1 &amp; "'!$W10")</f>
        <v>0</v>
      </c>
      <c r="T5" s="24">
        <f t="shared" ca="1" si="7"/>
        <v>0</v>
      </c>
      <c r="U5" s="192" cm="1">
        <f t="array" aca="1" ref="U5" ca="1">INDIRECT("'Bureau " &amp; ROW()-1 &amp; "'!$W11")</f>
        <v>0</v>
      </c>
      <c r="V5" s="89">
        <f t="shared" ca="1" si="8"/>
        <v>0</v>
      </c>
      <c r="W5" s="187" cm="1">
        <f t="array" aca="1" ref="W5" ca="1">INDIRECT("'Bureau " &amp; ROW()-1 &amp; "'!$W12")</f>
        <v>0</v>
      </c>
      <c r="X5" s="76">
        <f t="shared" ca="1" si="9"/>
        <v>0</v>
      </c>
      <c r="Y5" s="193" cm="1">
        <f t="array" aca="1" ref="Y5" ca="1">INDIRECT("'Bureau " &amp; ROW()-1 &amp; "'!$W13")</f>
        <v>0</v>
      </c>
      <c r="Z5" s="163">
        <f t="shared" ca="1" si="10"/>
        <v>0</v>
      </c>
      <c r="AA5" s="190" cm="1">
        <f t="array" aca="1" ref="AA5" ca="1">INDIRECT("'Bureau " &amp; ROW()-1 &amp; "'!$W14")</f>
        <v>0</v>
      </c>
      <c r="AB5" s="80">
        <f t="shared" ca="1" si="11"/>
        <v>0</v>
      </c>
      <c r="AC5" s="191" cm="1">
        <f t="array" aca="1" ref="AC5" ca="1">INDIRECT("'Bureau " &amp; ROW()-1 &amp; "'!$W15")</f>
        <v>0</v>
      </c>
      <c r="AD5" s="174">
        <f t="shared" ca="1" si="12"/>
        <v>0</v>
      </c>
      <c r="AE5" s="202">
        <v>4</v>
      </c>
      <c r="AF5" s="206"/>
      <c r="AG5" s="207"/>
      <c r="AH5" s="207"/>
      <c r="AI5" s="207"/>
      <c r="AJ5" s="207"/>
      <c r="AK5" s="207"/>
      <c r="AL5" s="207"/>
      <c r="AM5" s="207"/>
      <c r="AN5" s="207"/>
      <c r="AO5" s="208"/>
      <c r="AP5" s="181"/>
      <c r="AQ5" s="176"/>
    </row>
    <row r="6" spans="1:43" ht="15.75" customHeight="1" x14ac:dyDescent="0.2">
      <c r="A6" s="44">
        <v>5</v>
      </c>
      <c r="B6" s="45" t="str" cm="1">
        <f t="array" aca="1" ref="B6" ca="1">INDIRECT("'Synthèse'!"  &amp; "$B" &amp; ROW()+1)</f>
        <v>COSEC</v>
      </c>
      <c r="C6" s="22">
        <f t="shared" ca="1" si="13"/>
        <v>0</v>
      </c>
      <c r="D6" s="24">
        <f t="shared" ca="1" si="0"/>
        <v>0</v>
      </c>
      <c r="E6" s="27">
        <f t="shared" ca="1" si="14"/>
        <v>0</v>
      </c>
      <c r="F6" s="85">
        <f>Synthèse!C7</f>
        <v>671</v>
      </c>
      <c r="G6" s="184" cm="1">
        <f t="array" aca="1" ref="G6" ca="1">INDIRECT("'Bureau " &amp; ROW()-1 &amp; "'!$W4")</f>
        <v>0</v>
      </c>
      <c r="H6" s="75">
        <f t="shared" ca="1" si="1"/>
        <v>0</v>
      </c>
      <c r="I6" s="185" cm="1">
        <f t="array" aca="1" ref="I6" ca="1">INDIRECT("'Bureau " &amp; ROW()-1 &amp; "'!$W5")</f>
        <v>0</v>
      </c>
      <c r="J6" s="75">
        <f t="shared" ca="1" si="2"/>
        <v>0</v>
      </c>
      <c r="K6" s="185" cm="1">
        <f t="array" aca="1" ref="K6" ca="1">INDIRECT("'Bureau " &amp; ROW()-1 &amp; "'!$W6")</f>
        <v>0</v>
      </c>
      <c r="L6" s="76">
        <f t="shared" ca="1" si="3"/>
        <v>0</v>
      </c>
      <c r="M6" s="192" cm="1">
        <f t="array" aca="1" ref="M6" ca="1">INDIRECT("'Bureau " &amp; ROW()-1 &amp; "'!$W7")</f>
        <v>0</v>
      </c>
      <c r="N6" s="89">
        <f t="shared" ca="1" si="4"/>
        <v>0</v>
      </c>
      <c r="O6" s="187" cm="1">
        <f t="array" aca="1" ref="O6" ca="1">INDIRECT("'Bureau " &amp; ROW()-1 &amp; "'!$W8")</f>
        <v>0</v>
      </c>
      <c r="P6" s="76">
        <f t="shared" ca="1" si="5"/>
        <v>0</v>
      </c>
      <c r="Q6" s="192" cm="1">
        <f t="array" aca="1" ref="Q6" ca="1">INDIRECT("'Bureau " &amp; ROW()-1 &amp; "'!$W9")</f>
        <v>0</v>
      </c>
      <c r="R6" s="89">
        <f t="shared" ca="1" si="6"/>
        <v>0</v>
      </c>
      <c r="S6" s="188" cm="1">
        <f t="array" aca="1" ref="S6" ca="1">INDIRECT("'Bureau " &amp; ROW()-1 &amp; "'!$W10")</f>
        <v>0</v>
      </c>
      <c r="T6" s="24">
        <f t="shared" ca="1" si="7"/>
        <v>0</v>
      </c>
      <c r="U6" s="192" cm="1">
        <f t="array" aca="1" ref="U6" ca="1">INDIRECT("'Bureau " &amp; ROW()-1 &amp; "'!$W11")</f>
        <v>0</v>
      </c>
      <c r="V6" s="89">
        <f t="shared" ca="1" si="8"/>
        <v>0</v>
      </c>
      <c r="W6" s="187" cm="1">
        <f t="array" aca="1" ref="W6" ca="1">INDIRECT("'Bureau " &amp; ROW()-1 &amp; "'!$W12")</f>
        <v>0</v>
      </c>
      <c r="X6" s="76">
        <f t="shared" ca="1" si="9"/>
        <v>0</v>
      </c>
      <c r="Y6" s="193" cm="1">
        <f t="array" aca="1" ref="Y6" ca="1">INDIRECT("'Bureau " &amp; ROW()-1 &amp; "'!$W13")</f>
        <v>0</v>
      </c>
      <c r="Z6" s="163">
        <f t="shared" ca="1" si="10"/>
        <v>0</v>
      </c>
      <c r="AA6" s="190" cm="1">
        <f t="array" aca="1" ref="AA6" ca="1">INDIRECT("'Bureau " &amp; ROW()-1 &amp; "'!$W14")</f>
        <v>0</v>
      </c>
      <c r="AB6" s="80">
        <f t="shared" ca="1" si="11"/>
        <v>0</v>
      </c>
      <c r="AC6" s="191" cm="1">
        <f t="array" aca="1" ref="AC6" ca="1">INDIRECT("'Bureau " &amp; ROW()-1 &amp; "'!$W15")</f>
        <v>0</v>
      </c>
      <c r="AD6" s="174">
        <f t="shared" ca="1" si="12"/>
        <v>0</v>
      </c>
      <c r="AE6" s="202">
        <v>5</v>
      </c>
      <c r="AF6" s="206"/>
      <c r="AG6" s="207"/>
      <c r="AH6" s="207"/>
      <c r="AI6" s="207"/>
      <c r="AJ6" s="207"/>
      <c r="AK6" s="207"/>
      <c r="AL6" s="207"/>
      <c r="AM6" s="207"/>
      <c r="AN6" s="207"/>
      <c r="AO6" s="208"/>
      <c r="AP6" s="181"/>
      <c r="AQ6" s="176"/>
    </row>
    <row r="7" spans="1:43" ht="15.75" customHeight="1" x14ac:dyDescent="0.2">
      <c r="A7" s="44">
        <v>6</v>
      </c>
      <c r="B7" s="45" t="str" cm="1">
        <f t="array" aca="1" ref="B7" ca="1">INDIRECT("'Synthèse'!"  &amp; "$B" &amp; ROW()+1)</f>
        <v>COSEC</v>
      </c>
      <c r="C7" s="22">
        <f t="shared" ca="1" si="13"/>
        <v>0</v>
      </c>
      <c r="D7" s="24">
        <f t="shared" ca="1" si="0"/>
        <v>0</v>
      </c>
      <c r="E7" s="27">
        <f t="shared" ca="1" si="14"/>
        <v>0</v>
      </c>
      <c r="F7" s="85">
        <f>Synthèse!C8</f>
        <v>687</v>
      </c>
      <c r="G7" s="184" cm="1">
        <f t="array" aca="1" ref="G7" ca="1">INDIRECT("'Bureau " &amp; ROW()-1 &amp; "'!$W4")</f>
        <v>0</v>
      </c>
      <c r="H7" s="75">
        <f t="shared" ca="1" si="1"/>
        <v>0</v>
      </c>
      <c r="I7" s="185" cm="1">
        <f t="array" aca="1" ref="I7" ca="1">INDIRECT("'Bureau " &amp; ROW()-1 &amp; "'!$W5")</f>
        <v>0</v>
      </c>
      <c r="J7" s="75">
        <f t="shared" ca="1" si="2"/>
        <v>0</v>
      </c>
      <c r="K7" s="185" cm="1">
        <f t="array" aca="1" ref="K7" ca="1">INDIRECT("'Bureau " &amp; ROW()-1 &amp; "'!$W6")</f>
        <v>0</v>
      </c>
      <c r="L7" s="76">
        <f t="shared" ca="1" si="3"/>
        <v>0</v>
      </c>
      <c r="M7" s="192" cm="1">
        <f t="array" aca="1" ref="M7" ca="1">INDIRECT("'Bureau " &amp; ROW()-1 &amp; "'!$W7")</f>
        <v>0</v>
      </c>
      <c r="N7" s="89">
        <f t="shared" ca="1" si="4"/>
        <v>0</v>
      </c>
      <c r="O7" s="187" cm="1">
        <f t="array" aca="1" ref="O7" ca="1">INDIRECT("'Bureau " &amp; ROW()-1 &amp; "'!$W8")</f>
        <v>0</v>
      </c>
      <c r="P7" s="76">
        <f t="shared" ca="1" si="5"/>
        <v>0</v>
      </c>
      <c r="Q7" s="192" cm="1">
        <f t="array" aca="1" ref="Q7" ca="1">INDIRECT("'Bureau " &amp; ROW()-1 &amp; "'!$W9")</f>
        <v>0</v>
      </c>
      <c r="R7" s="89">
        <f t="shared" ca="1" si="6"/>
        <v>0</v>
      </c>
      <c r="S7" s="188" cm="1">
        <f t="array" aca="1" ref="S7" ca="1">INDIRECT("'Bureau " &amp; ROW()-1 &amp; "'!$W10")</f>
        <v>0</v>
      </c>
      <c r="T7" s="24">
        <f t="shared" ca="1" si="7"/>
        <v>0</v>
      </c>
      <c r="U7" s="192" cm="1">
        <f t="array" aca="1" ref="U7" ca="1">INDIRECT("'Bureau " &amp; ROW()-1 &amp; "'!$W11")</f>
        <v>0</v>
      </c>
      <c r="V7" s="89">
        <f t="shared" ca="1" si="8"/>
        <v>0</v>
      </c>
      <c r="W7" s="187" cm="1">
        <f t="array" aca="1" ref="W7" ca="1">INDIRECT("'Bureau " &amp; ROW()-1 &amp; "'!$W12")</f>
        <v>0</v>
      </c>
      <c r="X7" s="76">
        <f t="shared" ca="1" si="9"/>
        <v>0</v>
      </c>
      <c r="Y7" s="193" cm="1">
        <f t="array" aca="1" ref="Y7" ca="1">INDIRECT("'Bureau " &amp; ROW()-1 &amp; "'!$W13")</f>
        <v>0</v>
      </c>
      <c r="Z7" s="163">
        <f t="shared" ca="1" si="10"/>
        <v>0</v>
      </c>
      <c r="AA7" s="190" cm="1">
        <f t="array" aca="1" ref="AA7" ca="1">INDIRECT("'Bureau " &amp; ROW()-1 &amp; "'!$W14")</f>
        <v>0</v>
      </c>
      <c r="AB7" s="80">
        <f t="shared" ca="1" si="11"/>
        <v>0</v>
      </c>
      <c r="AC7" s="191" cm="1">
        <f t="array" aca="1" ref="AC7" ca="1">INDIRECT("'Bureau " &amp; ROW()-1 &amp; "'!$W15")</f>
        <v>0</v>
      </c>
      <c r="AD7" s="174">
        <f t="shared" ca="1" si="12"/>
        <v>0</v>
      </c>
      <c r="AE7" s="202">
        <v>6</v>
      </c>
      <c r="AF7" s="206"/>
      <c r="AG7" s="207"/>
      <c r="AH7" s="207"/>
      <c r="AI7" s="207"/>
      <c r="AJ7" s="207"/>
      <c r="AK7" s="207"/>
      <c r="AL7" s="207"/>
      <c r="AM7" s="207"/>
      <c r="AN7" s="207"/>
      <c r="AO7" s="208"/>
      <c r="AP7" s="181"/>
      <c r="AQ7" s="176"/>
    </row>
    <row r="8" spans="1:43" ht="15.75" customHeight="1" x14ac:dyDescent="0.2">
      <c r="A8" s="44">
        <v>7</v>
      </c>
      <c r="B8" s="45" t="str" cm="1">
        <f t="array" aca="1" ref="B8" ca="1">INDIRECT("'Synthèse'!"  &amp; "$B" &amp; ROW()+1)</f>
        <v>COSEC</v>
      </c>
      <c r="C8" s="22">
        <f t="shared" ca="1" si="13"/>
        <v>0</v>
      </c>
      <c r="D8" s="24">
        <f t="shared" ca="1" si="0"/>
        <v>0</v>
      </c>
      <c r="E8" s="27">
        <f t="shared" ca="1" si="14"/>
        <v>0</v>
      </c>
      <c r="F8" s="85">
        <f>Synthèse!C9</f>
        <v>692</v>
      </c>
      <c r="G8" s="184" cm="1">
        <f t="array" aca="1" ref="G8" ca="1">INDIRECT("'Bureau " &amp; ROW()-1 &amp; "'!$W4")</f>
        <v>0</v>
      </c>
      <c r="H8" s="75">
        <f t="shared" ca="1" si="1"/>
        <v>0</v>
      </c>
      <c r="I8" s="185" cm="1">
        <f t="array" aca="1" ref="I8" ca="1">INDIRECT("'Bureau " &amp; ROW()-1 &amp; "'!$W5")</f>
        <v>0</v>
      </c>
      <c r="J8" s="75">
        <f t="shared" ca="1" si="2"/>
        <v>0</v>
      </c>
      <c r="K8" s="185" cm="1">
        <f t="array" aca="1" ref="K8" ca="1">INDIRECT("'Bureau " &amp; ROW()-1 &amp; "'!$W6")</f>
        <v>0</v>
      </c>
      <c r="L8" s="76">
        <f t="shared" ca="1" si="3"/>
        <v>0</v>
      </c>
      <c r="M8" s="192" cm="1">
        <f t="array" aca="1" ref="M8" ca="1">INDIRECT("'Bureau " &amp; ROW()-1 &amp; "'!$W7")</f>
        <v>0</v>
      </c>
      <c r="N8" s="89">
        <f t="shared" ca="1" si="4"/>
        <v>0</v>
      </c>
      <c r="O8" s="187" cm="1">
        <f t="array" aca="1" ref="O8" ca="1">INDIRECT("'Bureau " &amp; ROW()-1 &amp; "'!$W8")</f>
        <v>0</v>
      </c>
      <c r="P8" s="76">
        <f t="shared" ca="1" si="5"/>
        <v>0</v>
      </c>
      <c r="Q8" s="192" cm="1">
        <f t="array" aca="1" ref="Q8" ca="1">INDIRECT("'Bureau " &amp; ROW()-1 &amp; "'!$W9")</f>
        <v>0</v>
      </c>
      <c r="R8" s="89">
        <f t="shared" ca="1" si="6"/>
        <v>0</v>
      </c>
      <c r="S8" s="188" cm="1">
        <f t="array" aca="1" ref="S8" ca="1">INDIRECT("'Bureau " &amp; ROW()-1 &amp; "'!$W10")</f>
        <v>0</v>
      </c>
      <c r="T8" s="24">
        <f t="shared" ca="1" si="7"/>
        <v>0</v>
      </c>
      <c r="U8" s="192" cm="1">
        <f t="array" aca="1" ref="U8" ca="1">INDIRECT("'Bureau " &amp; ROW()-1 &amp; "'!$W11")</f>
        <v>0</v>
      </c>
      <c r="V8" s="89">
        <f t="shared" ca="1" si="8"/>
        <v>0</v>
      </c>
      <c r="W8" s="187" cm="1">
        <f t="array" aca="1" ref="W8" ca="1">INDIRECT("'Bureau " &amp; ROW()-1 &amp; "'!$W12")</f>
        <v>0</v>
      </c>
      <c r="X8" s="76">
        <f t="shared" ca="1" si="9"/>
        <v>0</v>
      </c>
      <c r="Y8" s="193" cm="1">
        <f t="array" aca="1" ref="Y8" ca="1">INDIRECT("'Bureau " &amp; ROW()-1 &amp; "'!$W13")</f>
        <v>0</v>
      </c>
      <c r="Z8" s="163">
        <f t="shared" ca="1" si="10"/>
        <v>0</v>
      </c>
      <c r="AA8" s="190" cm="1">
        <f t="array" aca="1" ref="AA8" ca="1">INDIRECT("'Bureau " &amp; ROW()-1 &amp; "'!$W14")</f>
        <v>0</v>
      </c>
      <c r="AB8" s="80">
        <f t="shared" ca="1" si="11"/>
        <v>0</v>
      </c>
      <c r="AC8" s="191" cm="1">
        <f t="array" aca="1" ref="AC8" ca="1">INDIRECT("'Bureau " &amp; ROW()-1 &amp; "'!$W15")</f>
        <v>0</v>
      </c>
      <c r="AD8" s="174">
        <f t="shared" ca="1" si="12"/>
        <v>0</v>
      </c>
      <c r="AE8" s="202">
        <v>7</v>
      </c>
      <c r="AF8" s="206"/>
      <c r="AG8" s="207"/>
      <c r="AH8" s="207"/>
      <c r="AI8" s="207"/>
      <c r="AJ8" s="207"/>
      <c r="AK8" s="207"/>
      <c r="AL8" s="207"/>
      <c r="AM8" s="207"/>
      <c r="AN8" s="207"/>
      <c r="AO8" s="208"/>
      <c r="AP8" s="181"/>
      <c r="AQ8" s="176"/>
    </row>
    <row r="9" spans="1:43" ht="15.75" customHeight="1" x14ac:dyDescent="0.2">
      <c r="A9" s="44">
        <v>8</v>
      </c>
      <c r="B9" s="45" t="str" cm="1">
        <f t="array" aca="1" ref="B9" ca="1">INDIRECT("'Synthèse'!"  &amp; "$B" &amp; ROW()+1)</f>
        <v>COSEC</v>
      </c>
      <c r="C9" s="22">
        <f t="shared" ca="1" si="13"/>
        <v>0</v>
      </c>
      <c r="D9" s="24">
        <f t="shared" ca="1" si="0"/>
        <v>0</v>
      </c>
      <c r="E9" s="27">
        <f t="shared" ca="1" si="14"/>
        <v>0</v>
      </c>
      <c r="F9" s="85">
        <f>Synthèse!C10</f>
        <v>620</v>
      </c>
      <c r="G9" s="184" cm="1">
        <f t="array" aca="1" ref="G9" ca="1">INDIRECT("'Bureau " &amp; ROW()-1 &amp; "'!$W4")</f>
        <v>0</v>
      </c>
      <c r="H9" s="75">
        <f t="shared" ca="1" si="1"/>
        <v>0</v>
      </c>
      <c r="I9" s="185" cm="1">
        <f t="array" aca="1" ref="I9" ca="1">INDIRECT("'Bureau " &amp; ROW()-1 &amp; "'!$W5")</f>
        <v>0</v>
      </c>
      <c r="J9" s="75">
        <f t="shared" ca="1" si="2"/>
        <v>0</v>
      </c>
      <c r="K9" s="185" cm="1">
        <f t="array" aca="1" ref="K9" ca="1">INDIRECT("'Bureau " &amp; ROW()-1 &amp; "'!$W6")</f>
        <v>0</v>
      </c>
      <c r="L9" s="76">
        <f t="shared" ca="1" si="3"/>
        <v>0</v>
      </c>
      <c r="M9" s="192" cm="1">
        <f t="array" aca="1" ref="M9" ca="1">INDIRECT("'Bureau " &amp; ROW()-1 &amp; "'!$W7")</f>
        <v>0</v>
      </c>
      <c r="N9" s="89">
        <f t="shared" ca="1" si="4"/>
        <v>0</v>
      </c>
      <c r="O9" s="187" cm="1">
        <f t="array" aca="1" ref="O9" ca="1">INDIRECT("'Bureau " &amp; ROW()-1 &amp; "'!$W8")</f>
        <v>0</v>
      </c>
      <c r="P9" s="76">
        <f t="shared" ca="1" si="5"/>
        <v>0</v>
      </c>
      <c r="Q9" s="192" cm="1">
        <f t="array" aca="1" ref="Q9" ca="1">INDIRECT("'Bureau " &amp; ROW()-1 &amp; "'!$W9")</f>
        <v>0</v>
      </c>
      <c r="R9" s="89">
        <f t="shared" ca="1" si="6"/>
        <v>0</v>
      </c>
      <c r="S9" s="188" cm="1">
        <f t="array" aca="1" ref="S9" ca="1">INDIRECT("'Bureau " &amp; ROW()-1 &amp; "'!$W10")</f>
        <v>0</v>
      </c>
      <c r="T9" s="24">
        <f t="shared" ca="1" si="7"/>
        <v>0</v>
      </c>
      <c r="U9" s="192" cm="1">
        <f t="array" aca="1" ref="U9" ca="1">INDIRECT("'Bureau " &amp; ROW()-1 &amp; "'!$W11")</f>
        <v>0</v>
      </c>
      <c r="V9" s="89">
        <f t="shared" ca="1" si="8"/>
        <v>0</v>
      </c>
      <c r="W9" s="187" cm="1">
        <f t="array" aca="1" ref="W9" ca="1">INDIRECT("'Bureau " &amp; ROW()-1 &amp; "'!$W12")</f>
        <v>0</v>
      </c>
      <c r="X9" s="76">
        <f t="shared" ca="1" si="9"/>
        <v>0</v>
      </c>
      <c r="Y9" s="193" cm="1">
        <f t="array" aca="1" ref="Y9" ca="1">INDIRECT("'Bureau " &amp; ROW()-1 &amp; "'!$W13")</f>
        <v>0</v>
      </c>
      <c r="Z9" s="163">
        <f t="shared" ca="1" si="10"/>
        <v>0</v>
      </c>
      <c r="AA9" s="190" cm="1">
        <f t="array" aca="1" ref="AA9" ca="1">INDIRECT("'Bureau " &amp; ROW()-1 &amp; "'!$W14")</f>
        <v>0</v>
      </c>
      <c r="AB9" s="80">
        <f t="shared" ca="1" si="11"/>
        <v>0</v>
      </c>
      <c r="AC9" s="191" cm="1">
        <f t="array" aca="1" ref="AC9" ca="1">INDIRECT("'Bureau " &amp; ROW()-1 &amp; "'!$W15")</f>
        <v>0</v>
      </c>
      <c r="AD9" s="174">
        <f t="shared" ca="1" si="12"/>
        <v>0</v>
      </c>
      <c r="AE9" s="202">
        <v>8</v>
      </c>
      <c r="AF9" s="206"/>
      <c r="AG9" s="207"/>
      <c r="AH9" s="207"/>
      <c r="AI9" s="207"/>
      <c r="AJ9" s="207"/>
      <c r="AK9" s="207"/>
      <c r="AL9" s="207"/>
      <c r="AM9" s="207"/>
      <c r="AN9" s="207"/>
      <c r="AO9" s="208"/>
      <c r="AP9" s="181"/>
      <c r="AQ9" s="176"/>
    </row>
    <row r="10" spans="1:43" ht="15.75" customHeight="1" x14ac:dyDescent="0.2">
      <c r="A10" s="44">
        <v>9</v>
      </c>
      <c r="B10" s="45" t="str" cm="1">
        <f t="array" aca="1" ref="B10" ca="1">INDIRECT("'Synthèse'!"  &amp; "$B" &amp; ROW()+1)</f>
        <v>CMM</v>
      </c>
      <c r="C10" s="22">
        <f t="shared" ca="1" si="13"/>
        <v>0</v>
      </c>
      <c r="D10" s="24">
        <f t="shared" ca="1" si="0"/>
        <v>0</v>
      </c>
      <c r="E10" s="27">
        <f t="shared" ca="1" si="14"/>
        <v>0</v>
      </c>
      <c r="F10" s="85">
        <f>Synthèse!C11</f>
        <v>671</v>
      </c>
      <c r="G10" s="184" cm="1">
        <f t="array" aca="1" ref="G10" ca="1">INDIRECT("'Bureau " &amp; ROW()-1 &amp; "'!$W4")</f>
        <v>0</v>
      </c>
      <c r="H10" s="75">
        <f t="shared" ca="1" si="1"/>
        <v>0</v>
      </c>
      <c r="I10" s="185" cm="1">
        <f t="array" aca="1" ref="I10" ca="1">INDIRECT("'Bureau " &amp; ROW()-1 &amp; "'!$W5")</f>
        <v>0</v>
      </c>
      <c r="J10" s="75">
        <f t="shared" ca="1" si="2"/>
        <v>0</v>
      </c>
      <c r="K10" s="185" cm="1">
        <f t="array" aca="1" ref="K10" ca="1">INDIRECT("'Bureau " &amp; ROW()-1 &amp; "'!$W6")</f>
        <v>0</v>
      </c>
      <c r="L10" s="76">
        <f t="shared" ca="1" si="3"/>
        <v>0</v>
      </c>
      <c r="M10" s="192" cm="1">
        <f t="array" aca="1" ref="M10" ca="1">INDIRECT("'Bureau " &amp; ROW()-1 &amp; "'!$W7")</f>
        <v>0</v>
      </c>
      <c r="N10" s="89">
        <f t="shared" ca="1" si="4"/>
        <v>0</v>
      </c>
      <c r="O10" s="187" cm="1">
        <f t="array" aca="1" ref="O10" ca="1">INDIRECT("'Bureau " &amp; ROW()-1 &amp; "'!$W8")</f>
        <v>0</v>
      </c>
      <c r="P10" s="76">
        <f t="shared" ca="1" si="5"/>
        <v>0</v>
      </c>
      <c r="Q10" s="192" cm="1">
        <f t="array" aca="1" ref="Q10" ca="1">INDIRECT("'Bureau " &amp; ROW()-1 &amp; "'!$W9")</f>
        <v>0</v>
      </c>
      <c r="R10" s="89">
        <f t="shared" ca="1" si="6"/>
        <v>0</v>
      </c>
      <c r="S10" s="188" cm="1">
        <f t="array" aca="1" ref="S10" ca="1">INDIRECT("'Bureau " &amp; ROW()-1 &amp; "'!$W10")</f>
        <v>0</v>
      </c>
      <c r="T10" s="24">
        <f t="shared" ca="1" si="7"/>
        <v>0</v>
      </c>
      <c r="U10" s="192" cm="1">
        <f t="array" aca="1" ref="U10" ca="1">INDIRECT("'Bureau " &amp; ROW()-1 &amp; "'!$W11")</f>
        <v>0</v>
      </c>
      <c r="V10" s="89">
        <f t="shared" ca="1" si="8"/>
        <v>0</v>
      </c>
      <c r="W10" s="187" cm="1">
        <f t="array" aca="1" ref="W10" ca="1">INDIRECT("'Bureau " &amp; ROW()-1 &amp; "'!$W12")</f>
        <v>0</v>
      </c>
      <c r="X10" s="76">
        <f t="shared" ca="1" si="9"/>
        <v>0</v>
      </c>
      <c r="Y10" s="193" cm="1">
        <f t="array" aca="1" ref="Y10" ca="1">INDIRECT("'Bureau " &amp; ROW()-1 &amp; "'!$W13")</f>
        <v>0</v>
      </c>
      <c r="Z10" s="163">
        <f t="shared" ca="1" si="10"/>
        <v>0</v>
      </c>
      <c r="AA10" s="190" cm="1">
        <f t="array" aca="1" ref="AA10" ca="1">INDIRECT("'Bureau " &amp; ROW()-1 &amp; "'!$W14")</f>
        <v>0</v>
      </c>
      <c r="AB10" s="80">
        <f t="shared" ca="1" si="11"/>
        <v>0</v>
      </c>
      <c r="AC10" s="191" cm="1">
        <f t="array" aca="1" ref="AC10" ca="1">INDIRECT("'Bureau " &amp; ROW()-1 &amp; "'!$W15")</f>
        <v>0</v>
      </c>
      <c r="AD10" s="174">
        <f t="shared" ca="1" si="12"/>
        <v>0</v>
      </c>
      <c r="AE10" s="202">
        <v>9</v>
      </c>
      <c r="AF10" s="206"/>
      <c r="AG10" s="207"/>
      <c r="AH10" s="207"/>
      <c r="AI10" s="207"/>
      <c r="AJ10" s="207"/>
      <c r="AK10" s="207"/>
      <c r="AL10" s="207"/>
      <c r="AM10" s="207"/>
      <c r="AN10" s="207"/>
      <c r="AO10" s="208"/>
      <c r="AP10" s="181"/>
      <c r="AQ10" s="176"/>
    </row>
    <row r="11" spans="1:43" ht="15.75" customHeight="1" x14ac:dyDescent="0.2">
      <c r="A11" s="44">
        <v>10</v>
      </c>
      <c r="B11" s="45" t="str" cm="1">
        <f t="array" aca="1" ref="B11" ca="1">INDIRECT("'Synthèse'!"  &amp; "$B" &amp; ROW()+1)</f>
        <v>CMM</v>
      </c>
      <c r="C11" s="22">
        <f t="shared" ca="1" si="13"/>
        <v>0</v>
      </c>
      <c r="D11" s="24">
        <f t="shared" ca="1" si="0"/>
        <v>0</v>
      </c>
      <c r="E11" s="27">
        <f t="shared" ca="1" si="14"/>
        <v>0</v>
      </c>
      <c r="F11" s="85">
        <f>Synthèse!C12</f>
        <v>581</v>
      </c>
      <c r="G11" s="184" cm="1">
        <f t="array" aca="1" ref="G11" ca="1">INDIRECT("'Bureau " &amp; ROW()-1 &amp; "'!$W4")</f>
        <v>0</v>
      </c>
      <c r="H11" s="75">
        <f t="shared" ca="1" si="1"/>
        <v>0</v>
      </c>
      <c r="I11" s="185" cm="1">
        <f t="array" aca="1" ref="I11" ca="1">INDIRECT("'Bureau " &amp; ROW()-1 &amp; "'!$W5")</f>
        <v>0</v>
      </c>
      <c r="J11" s="75">
        <f t="shared" ca="1" si="2"/>
        <v>0</v>
      </c>
      <c r="K11" s="185" cm="1">
        <f t="array" aca="1" ref="K11" ca="1">INDIRECT("'Bureau " &amp; ROW()-1 &amp; "'!$W6")</f>
        <v>0</v>
      </c>
      <c r="L11" s="76">
        <f t="shared" ca="1" si="3"/>
        <v>0</v>
      </c>
      <c r="M11" s="192" cm="1">
        <f t="array" aca="1" ref="M11" ca="1">INDIRECT("'Bureau " &amp; ROW()-1 &amp; "'!$W7")</f>
        <v>0</v>
      </c>
      <c r="N11" s="89">
        <f t="shared" ca="1" si="4"/>
        <v>0</v>
      </c>
      <c r="O11" s="187" cm="1">
        <f t="array" aca="1" ref="O11" ca="1">INDIRECT("'Bureau " &amp; ROW()-1 &amp; "'!$W8")</f>
        <v>0</v>
      </c>
      <c r="P11" s="76">
        <f t="shared" ca="1" si="5"/>
        <v>0</v>
      </c>
      <c r="Q11" s="192" cm="1">
        <f t="array" aca="1" ref="Q11" ca="1">INDIRECT("'Bureau " &amp; ROW()-1 &amp; "'!$W9")</f>
        <v>0</v>
      </c>
      <c r="R11" s="89">
        <f t="shared" ca="1" si="6"/>
        <v>0</v>
      </c>
      <c r="S11" s="188" cm="1">
        <f t="array" aca="1" ref="S11" ca="1">INDIRECT("'Bureau " &amp; ROW()-1 &amp; "'!$W10")</f>
        <v>0</v>
      </c>
      <c r="T11" s="24">
        <f t="shared" ca="1" si="7"/>
        <v>0</v>
      </c>
      <c r="U11" s="192" cm="1">
        <f t="array" aca="1" ref="U11" ca="1">INDIRECT("'Bureau " &amp; ROW()-1 &amp; "'!$W11")</f>
        <v>0</v>
      </c>
      <c r="V11" s="89">
        <f t="shared" ca="1" si="8"/>
        <v>0</v>
      </c>
      <c r="W11" s="187" cm="1">
        <f t="array" aca="1" ref="W11" ca="1">INDIRECT("'Bureau " &amp; ROW()-1 &amp; "'!$W12")</f>
        <v>0</v>
      </c>
      <c r="X11" s="76">
        <f t="shared" ca="1" si="9"/>
        <v>0</v>
      </c>
      <c r="Y11" s="193" cm="1">
        <f t="array" aca="1" ref="Y11" ca="1">INDIRECT("'Bureau " &amp; ROW()-1 &amp; "'!$W13")</f>
        <v>0</v>
      </c>
      <c r="Z11" s="163">
        <f t="shared" ca="1" si="10"/>
        <v>0</v>
      </c>
      <c r="AA11" s="190" cm="1">
        <f t="array" aca="1" ref="AA11" ca="1">INDIRECT("'Bureau " &amp; ROW()-1 &amp; "'!$W14")</f>
        <v>0</v>
      </c>
      <c r="AB11" s="80">
        <f t="shared" ca="1" si="11"/>
        <v>0</v>
      </c>
      <c r="AC11" s="191" cm="1">
        <f t="array" aca="1" ref="AC11" ca="1">INDIRECT("'Bureau " &amp; ROW()-1 &amp; "'!$W15")</f>
        <v>0</v>
      </c>
      <c r="AD11" s="174">
        <f t="shared" ca="1" si="12"/>
        <v>0</v>
      </c>
      <c r="AE11" s="202">
        <v>10</v>
      </c>
      <c r="AF11" s="206"/>
      <c r="AG11" s="207"/>
      <c r="AH11" s="207"/>
      <c r="AI11" s="207"/>
      <c r="AJ11" s="207"/>
      <c r="AK11" s="207"/>
      <c r="AL11" s="207"/>
      <c r="AM11" s="207"/>
      <c r="AN11" s="207"/>
      <c r="AO11" s="208"/>
      <c r="AP11" s="181"/>
      <c r="AQ11" s="176"/>
    </row>
    <row r="12" spans="1:43" ht="15.75" customHeight="1" x14ac:dyDescent="0.2">
      <c r="A12" s="44">
        <v>11</v>
      </c>
      <c r="B12" s="45" t="str" cm="1">
        <f t="array" aca="1" ref="B12" ca="1">INDIRECT("'Synthèse'!"  &amp; "$B" &amp; ROW()+1)</f>
        <v>CMM</v>
      </c>
      <c r="C12" s="22">
        <f t="shared" ca="1" si="13"/>
        <v>0</v>
      </c>
      <c r="D12" s="24">
        <f t="shared" ca="1" si="0"/>
        <v>0</v>
      </c>
      <c r="E12" s="27">
        <f t="shared" ca="1" si="14"/>
        <v>0</v>
      </c>
      <c r="F12" s="85">
        <f>Synthèse!C13</f>
        <v>649</v>
      </c>
      <c r="G12" s="184" cm="1">
        <f t="array" aca="1" ref="G12" ca="1">INDIRECT("'Bureau " &amp; ROW()-1 &amp; "'!$W4")</f>
        <v>0</v>
      </c>
      <c r="H12" s="75">
        <f t="shared" ca="1" si="1"/>
        <v>0</v>
      </c>
      <c r="I12" s="185" cm="1">
        <f t="array" aca="1" ref="I12" ca="1">INDIRECT("'Bureau " &amp; ROW()-1 &amp; "'!$W5")</f>
        <v>0</v>
      </c>
      <c r="J12" s="75">
        <f t="shared" ca="1" si="2"/>
        <v>0</v>
      </c>
      <c r="K12" s="185" cm="1">
        <f t="array" aca="1" ref="K12" ca="1">INDIRECT("'Bureau " &amp; ROW()-1 &amp; "'!$W6")</f>
        <v>0</v>
      </c>
      <c r="L12" s="76">
        <f t="shared" ca="1" si="3"/>
        <v>0</v>
      </c>
      <c r="M12" s="192" cm="1">
        <f t="array" aca="1" ref="M12" ca="1">INDIRECT("'Bureau " &amp; ROW()-1 &amp; "'!$W7")</f>
        <v>0</v>
      </c>
      <c r="N12" s="89">
        <f t="shared" ca="1" si="4"/>
        <v>0</v>
      </c>
      <c r="O12" s="187" cm="1">
        <f t="array" aca="1" ref="O12" ca="1">INDIRECT("'Bureau " &amp; ROW()-1 &amp; "'!$W8")</f>
        <v>0</v>
      </c>
      <c r="P12" s="76">
        <f t="shared" ca="1" si="5"/>
        <v>0</v>
      </c>
      <c r="Q12" s="192" cm="1">
        <f t="array" aca="1" ref="Q12" ca="1">INDIRECT("'Bureau " &amp; ROW()-1 &amp; "'!$W9")</f>
        <v>0</v>
      </c>
      <c r="R12" s="89">
        <f t="shared" ca="1" si="6"/>
        <v>0</v>
      </c>
      <c r="S12" s="188" cm="1">
        <f t="array" aca="1" ref="S12" ca="1">INDIRECT("'Bureau " &amp; ROW()-1 &amp; "'!$W10")</f>
        <v>0</v>
      </c>
      <c r="T12" s="24">
        <f t="shared" ca="1" si="7"/>
        <v>0</v>
      </c>
      <c r="U12" s="192" cm="1">
        <f t="array" aca="1" ref="U12" ca="1">INDIRECT("'Bureau " &amp; ROW()-1 &amp; "'!$W11")</f>
        <v>0</v>
      </c>
      <c r="V12" s="89">
        <f t="shared" ca="1" si="8"/>
        <v>0</v>
      </c>
      <c r="W12" s="187" cm="1">
        <f t="array" aca="1" ref="W12" ca="1">INDIRECT("'Bureau " &amp; ROW()-1 &amp; "'!$W12")</f>
        <v>0</v>
      </c>
      <c r="X12" s="76">
        <f t="shared" ca="1" si="9"/>
        <v>0</v>
      </c>
      <c r="Y12" s="193" cm="1">
        <f t="array" aca="1" ref="Y12" ca="1">INDIRECT("'Bureau " &amp; ROW()-1 &amp; "'!$W13")</f>
        <v>0</v>
      </c>
      <c r="Z12" s="163">
        <f t="shared" ca="1" si="10"/>
        <v>0</v>
      </c>
      <c r="AA12" s="190" cm="1">
        <f t="array" aca="1" ref="AA12" ca="1">INDIRECT("'Bureau " &amp; ROW()-1 &amp; "'!$W14")</f>
        <v>0</v>
      </c>
      <c r="AB12" s="80">
        <f t="shared" ca="1" si="11"/>
        <v>0</v>
      </c>
      <c r="AC12" s="191" cm="1">
        <f t="array" aca="1" ref="AC12" ca="1">INDIRECT("'Bureau " &amp; ROW()-1 &amp; "'!$W15")</f>
        <v>0</v>
      </c>
      <c r="AD12" s="174">
        <f t="shared" ca="1" si="12"/>
        <v>0</v>
      </c>
      <c r="AE12" s="202">
        <v>11</v>
      </c>
      <c r="AF12" s="206"/>
      <c r="AG12" s="207"/>
      <c r="AH12" s="207"/>
      <c r="AI12" s="207"/>
      <c r="AJ12" s="207"/>
      <c r="AK12" s="207"/>
      <c r="AL12" s="207"/>
      <c r="AM12" s="207"/>
      <c r="AN12" s="207"/>
      <c r="AO12" s="208"/>
      <c r="AP12" s="181"/>
      <c r="AQ12" s="176"/>
    </row>
    <row r="13" spans="1:43" ht="15.75" customHeight="1" thickBot="1" x14ac:dyDescent="0.25">
      <c r="A13" s="46">
        <v>12</v>
      </c>
      <c r="B13" s="45" t="str" cm="1">
        <f t="array" aca="1" ref="B13" ca="1">INDIRECT("'Synthèse'!"  &amp; "$B" &amp; ROW()+1)</f>
        <v>Base nautique</v>
      </c>
      <c r="C13" s="28">
        <f t="shared" ca="1" si="13"/>
        <v>0</v>
      </c>
      <c r="D13" s="25">
        <f t="shared" ca="1" si="0"/>
        <v>0</v>
      </c>
      <c r="E13" s="86">
        <f t="shared" ca="1" si="14"/>
        <v>0</v>
      </c>
      <c r="F13" s="87">
        <f>Synthèse!C14</f>
        <v>645</v>
      </c>
      <c r="G13" s="194" cm="1">
        <f t="array" aca="1" ref="G13" ca="1">INDIRECT("'Bureau " &amp; ROW()-1 &amp; "'!$W4")</f>
        <v>0</v>
      </c>
      <c r="H13" s="77">
        <f t="shared" ca="1" si="1"/>
        <v>0</v>
      </c>
      <c r="I13" s="185" cm="1">
        <f t="array" aca="1" ref="I13" ca="1">INDIRECT("'Bureau " &amp; ROW()-1 &amp; "'!$W5")</f>
        <v>0</v>
      </c>
      <c r="J13" s="77">
        <f t="shared" ca="1" si="2"/>
        <v>0</v>
      </c>
      <c r="K13" s="185" cm="1">
        <f t="array" aca="1" ref="K13" ca="1">INDIRECT("'Bureau " &amp; ROW()-1 &amp; "'!$W6")</f>
        <v>0</v>
      </c>
      <c r="L13" s="78">
        <f t="shared" ca="1" si="3"/>
        <v>0</v>
      </c>
      <c r="M13" s="195" cm="1">
        <f t="array" aca="1" ref="M13" ca="1">INDIRECT("'Bureau " &amp; ROW()-1 &amp; "'!$W7")</f>
        <v>0</v>
      </c>
      <c r="N13" s="91">
        <f t="shared" ca="1" si="4"/>
        <v>0</v>
      </c>
      <c r="O13" s="187" cm="1">
        <f t="array" aca="1" ref="O13" ca="1">INDIRECT("'Bureau " &amp; ROW()-1 &amp; "'!$W8")</f>
        <v>0</v>
      </c>
      <c r="P13" s="78">
        <f t="shared" ca="1" si="5"/>
        <v>0</v>
      </c>
      <c r="Q13" s="196" cm="1">
        <f t="array" aca="1" ref="Q13" ca="1">INDIRECT("'Bureau " &amp; ROW()-1 &amp; "'!$W9")</f>
        <v>0</v>
      </c>
      <c r="R13" s="92">
        <f t="shared" ca="1" si="6"/>
        <v>0</v>
      </c>
      <c r="S13" s="188" cm="1">
        <f t="array" aca="1" ref="S13" ca="1">INDIRECT("'Bureau " &amp; ROW()-1 &amp; "'!$W10")</f>
        <v>0</v>
      </c>
      <c r="T13" s="25">
        <f t="shared" ca="1" si="7"/>
        <v>0</v>
      </c>
      <c r="U13" s="195" cm="1">
        <f t="array" aca="1" ref="U13" ca="1">INDIRECT("'Bureau " &amp; ROW()-1 &amp; "'!$W11")</f>
        <v>0</v>
      </c>
      <c r="V13" s="91">
        <f t="shared" ca="1" si="8"/>
        <v>0</v>
      </c>
      <c r="W13" s="187" cm="1">
        <f t="array" aca="1" ref="W13" ca="1">INDIRECT("'Bureau " &amp; ROW()-1 &amp; "'!$W12")</f>
        <v>0</v>
      </c>
      <c r="X13" s="78">
        <f t="shared" ca="1" si="9"/>
        <v>0</v>
      </c>
      <c r="Y13" s="197" cm="1">
        <f t="array" aca="1" ref="Y13" ca="1">INDIRECT("'Bureau " &amp; ROW()-1 &amp; "'!$W13")</f>
        <v>0</v>
      </c>
      <c r="Z13" s="91">
        <f t="shared" ca="1" si="10"/>
        <v>0</v>
      </c>
      <c r="AA13" s="190" cm="1">
        <f t="array" aca="1" ref="AA13" ca="1">INDIRECT("'Bureau " &amp; ROW()-1 &amp; "'!$W14")</f>
        <v>0</v>
      </c>
      <c r="AB13" s="81">
        <f t="shared" ca="1" si="11"/>
        <v>0</v>
      </c>
      <c r="AC13" s="191" cm="1">
        <f t="array" aca="1" ref="AC13" ca="1">INDIRECT("'Bureau " &amp; ROW()-1 &amp; "'!$W15")</f>
        <v>0</v>
      </c>
      <c r="AD13" s="175">
        <f t="shared" ca="1" si="12"/>
        <v>0</v>
      </c>
      <c r="AE13" s="209">
        <v>12</v>
      </c>
      <c r="AF13" s="210"/>
      <c r="AG13" s="211"/>
      <c r="AH13" s="211"/>
      <c r="AI13" s="211"/>
      <c r="AJ13" s="211"/>
      <c r="AK13" s="211"/>
      <c r="AL13" s="211"/>
      <c r="AM13" s="211"/>
      <c r="AN13" s="211"/>
      <c r="AO13" s="212"/>
      <c r="AP13" s="181"/>
      <c r="AQ13" s="176"/>
    </row>
    <row r="14" spans="1:43" ht="15.75" customHeight="1" thickBot="1" x14ac:dyDescent="0.3">
      <c r="A14" s="404" t="s">
        <v>11</v>
      </c>
      <c r="B14" s="405"/>
      <c r="C14" s="29">
        <f ca="1">SUM(C2:C13)</f>
        <v>0</v>
      </c>
      <c r="D14" s="30">
        <f t="shared" ca="1" si="0"/>
        <v>0</v>
      </c>
      <c r="E14" s="83">
        <f t="shared" ca="1" si="14"/>
        <v>0</v>
      </c>
      <c r="F14" s="90">
        <f t="shared" ref="F14:G14" si="15">SUM(F2:F13)</f>
        <v>7742</v>
      </c>
      <c r="G14" s="93">
        <f t="shared" ca="1" si="15"/>
        <v>0</v>
      </c>
      <c r="H14" s="94">
        <f ca="1">G14/$F14</f>
        <v>0</v>
      </c>
      <c r="I14" s="95">
        <f ca="1">SUM(I2:I13)</f>
        <v>0</v>
      </c>
      <c r="J14" s="94">
        <f t="shared" ca="1" si="2"/>
        <v>0</v>
      </c>
      <c r="K14" s="95">
        <f ca="1">SUM(K2:K13)</f>
        <v>0</v>
      </c>
      <c r="L14" s="96">
        <f t="shared" ca="1" si="3"/>
        <v>0</v>
      </c>
      <c r="M14" s="97">
        <f ca="1">SUM(M2:M13)</f>
        <v>0</v>
      </c>
      <c r="N14" s="96">
        <f t="shared" ca="1" si="4"/>
        <v>0</v>
      </c>
      <c r="O14" s="97">
        <f ca="1">SUM(O2:O13)</f>
        <v>0</v>
      </c>
      <c r="P14" s="96">
        <f t="shared" ca="1" si="5"/>
        <v>0</v>
      </c>
      <c r="Q14" s="97">
        <f ca="1">SUM(Q2:Q13)</f>
        <v>0</v>
      </c>
      <c r="R14" s="96">
        <f t="shared" ca="1" si="6"/>
        <v>0</v>
      </c>
      <c r="S14" s="97">
        <f ca="1">SUM(S2:S13)</f>
        <v>0</v>
      </c>
      <c r="T14" s="96">
        <f t="shared" ca="1" si="7"/>
        <v>0</v>
      </c>
      <c r="U14" s="97">
        <f ca="1">SUM(U2:U13)</f>
        <v>0</v>
      </c>
      <c r="V14" s="96">
        <f t="shared" ca="1" si="8"/>
        <v>0</v>
      </c>
      <c r="W14" s="97">
        <f ca="1">SUM(W2:W13)</f>
        <v>0</v>
      </c>
      <c r="X14" s="98">
        <f t="shared" ca="1" si="9"/>
        <v>0</v>
      </c>
      <c r="Y14" s="164">
        <f ca="1">SUM(Y2:Y13)</f>
        <v>0</v>
      </c>
      <c r="Z14" s="99">
        <f t="shared" ca="1" si="10"/>
        <v>0</v>
      </c>
      <c r="AA14" s="9">
        <f ca="1">SUM(AA2:AA13)</f>
        <v>0</v>
      </c>
      <c r="AB14" s="10">
        <f t="shared" ca="1" si="11"/>
        <v>0</v>
      </c>
      <c r="AC14" s="11">
        <f ca="1">SUM(AC2:AC13)</f>
        <v>0</v>
      </c>
      <c r="AD14" s="10">
        <f t="shared" ca="1" si="12"/>
        <v>0</v>
      </c>
      <c r="AE14" s="213" t="s">
        <v>18</v>
      </c>
      <c r="AF14" s="214"/>
      <c r="AG14" s="215"/>
      <c r="AH14" s="215"/>
      <c r="AI14" s="215"/>
      <c r="AJ14" s="215"/>
      <c r="AK14" s="215"/>
      <c r="AL14" s="215"/>
      <c r="AM14" s="215"/>
      <c r="AN14" s="215"/>
      <c r="AO14" s="216"/>
      <c r="AP14" s="182"/>
      <c r="AQ14" s="183"/>
    </row>
    <row r="15" spans="1:43" ht="16.5" thickBot="1" x14ac:dyDescent="0.3">
      <c r="A15" s="12" t="s">
        <v>13</v>
      </c>
      <c r="B15" s="13">
        <f>Synthèse!B17</f>
        <v>46082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4"/>
      <c r="AB15" s="14"/>
      <c r="AC15" s="14"/>
      <c r="AD15" s="14"/>
      <c r="AE15" s="416" t="s">
        <v>68</v>
      </c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8"/>
    </row>
    <row r="16" spans="1:43" ht="15" customHeight="1" x14ac:dyDescent="0.2">
      <c r="A16" s="15" t="s">
        <v>14</v>
      </c>
      <c r="B16" s="16" t="str">
        <f>Synthèse!B18</f>
        <v>Municipales 1er tour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4"/>
      <c r="AB16" s="14"/>
      <c r="AC16" s="14"/>
      <c r="AD16" s="14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7.25" customHeight="1" thickBot="1" x14ac:dyDescent="0.25">
      <c r="A17" s="17" t="s">
        <v>15</v>
      </c>
      <c r="B17" s="18" t="str">
        <f>Synthèse!B19</f>
        <v>Cogolin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4"/>
      <c r="AC17" s="14"/>
      <c r="AD17" s="14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1:43" ht="12.75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4"/>
      <c r="AB18" s="14"/>
      <c r="AC18" s="14"/>
      <c r="AD18" s="14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2.75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4"/>
      <c r="AB19" s="14"/>
      <c r="AC19" s="14"/>
      <c r="AD19" s="14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4"/>
      <c r="AB20" s="14"/>
      <c r="AC20" s="14"/>
      <c r="AD20" s="14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 ht="20.25" customHeight="1" thickBo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4"/>
      <c r="AB21" s="14"/>
      <c r="AC21" s="14"/>
      <c r="AD21" s="14"/>
      <c r="AE21" s="1"/>
      <c r="AF21" s="1"/>
      <c r="AG21" s="1"/>
      <c r="AH21" s="425" t="s">
        <v>65</v>
      </c>
      <c r="AI21" s="426"/>
      <c r="AJ21" s="423" t="s">
        <v>66</v>
      </c>
      <c r="AK21" s="424"/>
      <c r="AL21" s="218"/>
      <c r="AO21" s="1"/>
      <c r="AP21" s="1"/>
      <c r="AQ21" s="1"/>
    </row>
    <row r="22" spans="1:43" ht="12.7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4"/>
      <c r="AB22" s="14"/>
      <c r="AC22" s="14"/>
      <c r="AD22" s="14"/>
      <c r="AE22" s="1"/>
      <c r="AF22" s="1"/>
      <c r="AG22" s="1"/>
      <c r="AH22" s="219"/>
      <c r="AI22" s="220"/>
      <c r="AJ22" s="219"/>
      <c r="AK22" s="221"/>
      <c r="AL22" s="1"/>
      <c r="AO22" s="1"/>
      <c r="AP22" s="1"/>
      <c r="AQ22" s="1"/>
    </row>
    <row r="23" spans="1:43" ht="12.75" x14ac:dyDescent="0.2">
      <c r="A23" s="1"/>
      <c r="B23" s="100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4"/>
      <c r="AB23" s="14"/>
      <c r="AC23" s="14"/>
      <c r="AD23" s="14"/>
      <c r="AE23" s="1"/>
      <c r="AF23" s="1"/>
      <c r="AG23" s="1"/>
      <c r="AH23" s="219"/>
      <c r="AI23" s="220"/>
      <c r="AJ23" s="219"/>
      <c r="AK23" s="221"/>
      <c r="AL23" s="1"/>
      <c r="AO23" s="1"/>
      <c r="AP23" s="1"/>
      <c r="AQ23" s="1"/>
    </row>
    <row r="24" spans="1:43" ht="12.75" x14ac:dyDescent="0.2">
      <c r="A24" s="1"/>
      <c r="B24" s="100"/>
      <c r="C24" s="31"/>
      <c r="D24" s="3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4"/>
      <c r="AB24" s="14"/>
      <c r="AC24" s="14"/>
      <c r="AD24" s="14"/>
      <c r="AE24" s="1"/>
      <c r="AF24" s="1"/>
      <c r="AG24" s="1"/>
      <c r="AH24" s="219"/>
      <c r="AI24" s="220"/>
      <c r="AJ24" s="219"/>
      <c r="AK24" s="221"/>
      <c r="AL24" s="1"/>
      <c r="AO24" s="1"/>
      <c r="AP24" s="1"/>
      <c r="AQ24" s="1"/>
    </row>
    <row r="25" spans="1:43" ht="12.75" x14ac:dyDescent="0.2">
      <c r="A25" s="1"/>
      <c r="B25" s="1"/>
      <c r="C25" s="31"/>
      <c r="D25" s="3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4"/>
      <c r="AB25" s="14"/>
      <c r="AC25" s="14"/>
      <c r="AD25" s="14"/>
      <c r="AE25" s="1"/>
      <c r="AF25" s="1"/>
      <c r="AG25" s="1"/>
      <c r="AH25" s="219"/>
      <c r="AI25" s="220"/>
      <c r="AJ25" s="219"/>
      <c r="AK25" s="221"/>
      <c r="AL25" s="1"/>
      <c r="AO25" s="1"/>
      <c r="AP25" s="1"/>
      <c r="AQ25" s="1"/>
    </row>
    <row r="26" spans="1:43" ht="12.75" x14ac:dyDescent="0.2">
      <c r="A26" s="1"/>
      <c r="B26" s="1"/>
      <c r="C26" s="31"/>
      <c r="D26" s="3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4"/>
      <c r="AB26" s="14"/>
      <c r="AC26" s="14"/>
      <c r="AD26" s="14"/>
      <c r="AE26" s="1"/>
      <c r="AF26" s="1"/>
      <c r="AG26" s="1"/>
      <c r="AH26" s="219"/>
      <c r="AI26" s="220"/>
      <c r="AJ26" s="219"/>
      <c r="AK26" s="221"/>
      <c r="AL26" s="1"/>
      <c r="AO26" s="1"/>
      <c r="AP26" s="1"/>
      <c r="AQ26" s="1"/>
    </row>
    <row r="27" spans="1:43" ht="12.75" x14ac:dyDescent="0.2">
      <c r="A27" s="1"/>
      <c r="B27" s="1"/>
      <c r="C27" s="31"/>
      <c r="D27" s="3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4"/>
      <c r="AB27" s="14"/>
      <c r="AC27" s="14"/>
      <c r="AD27" s="14"/>
      <c r="AE27" s="1"/>
      <c r="AF27" s="1"/>
      <c r="AG27" s="1"/>
      <c r="AH27" s="219"/>
      <c r="AI27" s="220"/>
      <c r="AJ27" s="219"/>
      <c r="AK27" s="221"/>
      <c r="AL27" s="1"/>
      <c r="AO27" s="1"/>
      <c r="AP27" s="1"/>
      <c r="AQ27" s="1"/>
    </row>
    <row r="28" spans="1:43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4"/>
      <c r="AB28" s="14"/>
      <c r="AC28" s="14"/>
      <c r="AD28" s="14"/>
      <c r="AE28" s="1"/>
      <c r="AF28" s="1"/>
      <c r="AG28" s="1"/>
      <c r="AH28" s="219"/>
      <c r="AI28" s="220"/>
      <c r="AJ28" s="219"/>
      <c r="AK28" s="221"/>
      <c r="AL28" s="1"/>
      <c r="AO28" s="1"/>
      <c r="AP28" s="1"/>
      <c r="AQ28" s="1"/>
    </row>
    <row r="29" spans="1:43" ht="12.75" x14ac:dyDescent="0.2">
      <c r="A29" s="1"/>
      <c r="B29" s="19" t="s">
        <v>20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4"/>
      <c r="AB29" s="14"/>
      <c r="AC29" s="14"/>
      <c r="AD29" s="14"/>
      <c r="AE29" s="1"/>
      <c r="AF29" s="1"/>
      <c r="AG29" s="1"/>
      <c r="AH29" s="219"/>
      <c r="AI29" s="220"/>
      <c r="AJ29" s="219"/>
      <c r="AK29" s="221"/>
      <c r="AL29" s="1"/>
      <c r="AO29" s="1"/>
      <c r="AP29" s="1"/>
      <c r="AQ29" s="1"/>
    </row>
    <row r="30" spans="1:43" ht="12.75" x14ac:dyDescent="0.2">
      <c r="A30" s="1"/>
      <c r="B30" s="20" t="s">
        <v>21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4"/>
      <c r="AB30" s="14"/>
      <c r="AC30" s="14"/>
      <c r="AD30" s="14"/>
      <c r="AE30" s="1"/>
      <c r="AF30" s="1"/>
      <c r="AG30" s="1"/>
      <c r="AH30" s="219"/>
      <c r="AI30" s="220"/>
      <c r="AJ30" s="219"/>
      <c r="AK30" s="221"/>
      <c r="AL30" s="1"/>
      <c r="AO30" s="1"/>
      <c r="AP30" s="1"/>
      <c r="AQ30" s="1"/>
    </row>
    <row r="31" spans="1:43" ht="12.75" x14ac:dyDescent="0.2">
      <c r="A31" s="1"/>
      <c r="B31" s="19" t="s">
        <v>22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4"/>
      <c r="AB31" s="14"/>
      <c r="AC31" s="14"/>
      <c r="AD31" s="14"/>
      <c r="AE31" s="1"/>
      <c r="AF31" s="1"/>
      <c r="AG31" s="1"/>
      <c r="AH31" s="219"/>
      <c r="AI31" s="220"/>
      <c r="AJ31" s="219"/>
      <c r="AK31" s="221"/>
      <c r="AL31" s="1"/>
      <c r="AO31" s="1"/>
      <c r="AP31" s="1"/>
      <c r="AQ31" s="1"/>
    </row>
    <row r="32" spans="1:43" ht="15.75" customHeight="1" x14ac:dyDescent="0.2">
      <c r="AH32" s="222"/>
      <c r="AI32" s="223"/>
      <c r="AJ32" s="222"/>
      <c r="AK32" s="224"/>
    </row>
    <row r="33" spans="6:37" ht="15.75" customHeight="1" x14ac:dyDescent="0.2">
      <c r="AH33" s="222"/>
      <c r="AI33" s="223"/>
      <c r="AJ33" s="222"/>
      <c r="AK33" s="224"/>
    </row>
    <row r="34" spans="6:37" ht="15.75" customHeight="1" x14ac:dyDescent="0.2">
      <c r="AH34" s="222"/>
      <c r="AI34" s="223"/>
      <c r="AJ34" s="222"/>
      <c r="AK34" s="224"/>
    </row>
    <row r="35" spans="6:37" ht="15.75" customHeight="1" thickBot="1" x14ac:dyDescent="0.25">
      <c r="AH35" s="222"/>
      <c r="AI35" s="223"/>
      <c r="AJ35" s="222"/>
      <c r="AK35" s="224"/>
    </row>
    <row r="36" spans="6:37" ht="13.5" thickBot="1" x14ac:dyDescent="0.25">
      <c r="F36" s="279"/>
      <c r="G36" s="414" t="s">
        <v>65</v>
      </c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5"/>
      <c r="S36" s="415"/>
      <c r="T36" s="280"/>
      <c r="U36" s="415" t="s">
        <v>66</v>
      </c>
      <c r="V36" s="415"/>
      <c r="W36" s="415"/>
      <c r="X36" s="415"/>
      <c r="Y36" s="415"/>
      <c r="Z36" s="415"/>
      <c r="AA36" s="415"/>
      <c r="AB36" s="415"/>
      <c r="AC36" s="415"/>
      <c r="AD36" s="415"/>
      <c r="AE36" s="415"/>
      <c r="AF36" s="415"/>
      <c r="AG36" s="415"/>
      <c r="AH36" s="222"/>
      <c r="AI36" s="223"/>
      <c r="AJ36" s="222"/>
      <c r="AK36" s="224"/>
    </row>
    <row r="37" spans="6:37" ht="13.5" thickBot="1" x14ac:dyDescent="0.25">
      <c r="F37" s="281" t="s">
        <v>23</v>
      </c>
      <c r="G37" s="282" t="s">
        <v>90</v>
      </c>
      <c r="H37" s="283" t="s">
        <v>91</v>
      </c>
      <c r="I37" s="284" t="s">
        <v>92</v>
      </c>
      <c r="J37" s="285" t="s">
        <v>93</v>
      </c>
      <c r="K37" s="286" t="s">
        <v>94</v>
      </c>
      <c r="L37" s="287" t="s">
        <v>95</v>
      </c>
      <c r="M37" s="288" t="s">
        <v>96</v>
      </c>
      <c r="N37" s="283" t="s">
        <v>97</v>
      </c>
      <c r="O37" s="284" t="s">
        <v>98</v>
      </c>
      <c r="P37" s="285" t="s">
        <v>99</v>
      </c>
      <c r="Q37" s="286" t="s">
        <v>100</v>
      </c>
      <c r="R37" s="287" t="s">
        <v>101</v>
      </c>
      <c r="S37" s="289" t="s">
        <v>18</v>
      </c>
      <c r="T37" s="290" t="s">
        <v>23</v>
      </c>
      <c r="U37" s="291" t="s">
        <v>90</v>
      </c>
      <c r="V37" s="292" t="s">
        <v>91</v>
      </c>
      <c r="W37" s="293" t="s">
        <v>92</v>
      </c>
      <c r="X37" s="294" t="s">
        <v>93</v>
      </c>
      <c r="Y37" s="295" t="s">
        <v>94</v>
      </c>
      <c r="Z37" s="296" t="s">
        <v>95</v>
      </c>
      <c r="AA37" s="297" t="s">
        <v>96</v>
      </c>
      <c r="AB37" s="292" t="s">
        <v>97</v>
      </c>
      <c r="AC37" s="293" t="s">
        <v>98</v>
      </c>
      <c r="AD37" s="294" t="s">
        <v>99</v>
      </c>
      <c r="AE37" s="295" t="s">
        <v>100</v>
      </c>
      <c r="AF37" s="296" t="s">
        <v>101</v>
      </c>
      <c r="AG37" s="298" t="s">
        <v>18</v>
      </c>
      <c r="AH37" s="222"/>
      <c r="AI37" s="223"/>
      <c r="AJ37" s="222"/>
      <c r="AK37" s="224"/>
    </row>
    <row r="38" spans="6:37" ht="12.75" x14ac:dyDescent="0.2">
      <c r="F38" s="299" t="s">
        <v>35</v>
      </c>
      <c r="G38" s="300">
        <v>0</v>
      </c>
      <c r="H38" s="301">
        <v>0</v>
      </c>
      <c r="I38" s="301">
        <v>0</v>
      </c>
      <c r="J38" s="301">
        <v>0</v>
      </c>
      <c r="K38" s="301">
        <v>0</v>
      </c>
      <c r="L38" s="301">
        <v>0</v>
      </c>
      <c r="M38" s="301">
        <v>0</v>
      </c>
      <c r="N38" s="301">
        <v>0</v>
      </c>
      <c r="O38" s="301">
        <v>0</v>
      </c>
      <c r="P38" s="301">
        <v>0</v>
      </c>
      <c r="Q38" s="301">
        <v>0</v>
      </c>
      <c r="R38" s="301">
        <v>0</v>
      </c>
      <c r="S38" s="302">
        <v>0</v>
      </c>
      <c r="T38" s="303" t="s">
        <v>35</v>
      </c>
      <c r="U38" s="300">
        <v>0</v>
      </c>
      <c r="V38" s="301">
        <v>0</v>
      </c>
      <c r="W38" s="301">
        <v>0</v>
      </c>
      <c r="X38" s="301">
        <v>0</v>
      </c>
      <c r="Y38" s="301">
        <v>0</v>
      </c>
      <c r="Z38" s="301">
        <v>0</v>
      </c>
      <c r="AA38" s="301">
        <v>0</v>
      </c>
      <c r="AB38" s="301">
        <v>0</v>
      </c>
      <c r="AC38" s="301">
        <v>0</v>
      </c>
      <c r="AD38" s="301">
        <v>0</v>
      </c>
      <c r="AE38" s="301">
        <v>0</v>
      </c>
      <c r="AF38" s="301">
        <v>0</v>
      </c>
      <c r="AG38" s="302">
        <v>0</v>
      </c>
      <c r="AH38" s="222"/>
      <c r="AI38" s="223"/>
      <c r="AJ38" s="222"/>
      <c r="AK38" s="224"/>
    </row>
    <row r="39" spans="6:37" ht="12.75" x14ac:dyDescent="0.2">
      <c r="F39" s="304" t="s">
        <v>36</v>
      </c>
      <c r="G39" s="305">
        <f ca="1">H2</f>
        <v>0</v>
      </c>
      <c r="H39" s="306">
        <f ca="1">H3</f>
        <v>0</v>
      </c>
      <c r="I39" s="306">
        <f ca="1">H4</f>
        <v>0</v>
      </c>
      <c r="J39" s="306">
        <f ca="1">H5</f>
        <v>0</v>
      </c>
      <c r="K39" s="306">
        <f ca="1">H6</f>
        <v>0</v>
      </c>
      <c r="L39" s="306">
        <f ca="1">H7</f>
        <v>0</v>
      </c>
      <c r="M39" s="306">
        <f ca="1">H8</f>
        <v>0</v>
      </c>
      <c r="N39" s="306">
        <f ca="1">H9</f>
        <v>0</v>
      </c>
      <c r="O39" s="306">
        <f ca="1">H10</f>
        <v>0</v>
      </c>
      <c r="P39" s="306">
        <f ca="1">H11</f>
        <v>0</v>
      </c>
      <c r="Q39" s="306">
        <f ca="1">H12</f>
        <v>0</v>
      </c>
      <c r="R39" s="306">
        <f ca="1">H13</f>
        <v>0</v>
      </c>
      <c r="S39" s="307">
        <f ca="1">H14</f>
        <v>0</v>
      </c>
      <c r="T39" s="308" t="s">
        <v>36</v>
      </c>
      <c r="U39" s="305">
        <f>AF2</f>
        <v>0</v>
      </c>
      <c r="V39" s="306">
        <f>AF3</f>
        <v>0</v>
      </c>
      <c r="W39" s="306">
        <f>AF4</f>
        <v>0</v>
      </c>
      <c r="X39" s="306">
        <f>AF5</f>
        <v>0</v>
      </c>
      <c r="Y39" s="306">
        <f>AF6</f>
        <v>0</v>
      </c>
      <c r="Z39" s="306">
        <f>AF7</f>
        <v>0</v>
      </c>
      <c r="AA39" s="306">
        <f>AF8</f>
        <v>0</v>
      </c>
      <c r="AB39" s="306">
        <f>AF9</f>
        <v>0</v>
      </c>
      <c r="AC39" s="306">
        <f>AF10</f>
        <v>0</v>
      </c>
      <c r="AD39" s="306">
        <f>AF11</f>
        <v>0</v>
      </c>
      <c r="AE39" s="306">
        <f>AF12</f>
        <v>0</v>
      </c>
      <c r="AF39" s="306">
        <f>AF13</f>
        <v>0</v>
      </c>
      <c r="AG39" s="307">
        <f>AF14</f>
        <v>0</v>
      </c>
      <c r="AH39" s="222"/>
      <c r="AI39" s="223"/>
      <c r="AJ39" s="222"/>
      <c r="AK39" s="224"/>
    </row>
    <row r="40" spans="6:37" ht="12.75" x14ac:dyDescent="0.2">
      <c r="F40" s="304" t="s">
        <v>37</v>
      </c>
      <c r="G40" s="305">
        <f ca="1">J2</f>
        <v>0</v>
      </c>
      <c r="H40" s="306">
        <f ca="1">J3</f>
        <v>0</v>
      </c>
      <c r="I40" s="306">
        <f ca="1">J4</f>
        <v>0</v>
      </c>
      <c r="J40" s="306">
        <f ca="1">J5</f>
        <v>0</v>
      </c>
      <c r="K40" s="306">
        <f ca="1">J6</f>
        <v>0</v>
      </c>
      <c r="L40" s="306">
        <f ca="1">J7</f>
        <v>0</v>
      </c>
      <c r="M40" s="306">
        <f ca="1">J8</f>
        <v>0</v>
      </c>
      <c r="N40" s="306">
        <f ca="1">J9</f>
        <v>0</v>
      </c>
      <c r="O40" s="306">
        <f ca="1">J10</f>
        <v>0</v>
      </c>
      <c r="P40" s="306">
        <f ca="1">J11</f>
        <v>0</v>
      </c>
      <c r="Q40" s="306">
        <f ca="1">J12</f>
        <v>0</v>
      </c>
      <c r="R40" s="306">
        <f ca="1">J13</f>
        <v>0</v>
      </c>
      <c r="S40" s="307">
        <f ca="1">J14</f>
        <v>0</v>
      </c>
      <c r="T40" s="308" t="s">
        <v>37</v>
      </c>
      <c r="U40" s="305">
        <f>AG2</f>
        <v>0</v>
      </c>
      <c r="V40" s="306">
        <f>AG3</f>
        <v>0</v>
      </c>
      <c r="W40" s="306">
        <f>AG4</f>
        <v>0</v>
      </c>
      <c r="X40" s="306">
        <f>AG5</f>
        <v>0</v>
      </c>
      <c r="Y40" s="306">
        <f>AG6</f>
        <v>0</v>
      </c>
      <c r="Z40" s="306">
        <f>AG7</f>
        <v>0</v>
      </c>
      <c r="AA40" s="306">
        <f>AG8</f>
        <v>0</v>
      </c>
      <c r="AB40" s="306">
        <f>AG9</f>
        <v>0</v>
      </c>
      <c r="AC40" s="306">
        <f>AG10</f>
        <v>0</v>
      </c>
      <c r="AD40" s="306">
        <f>AG11</f>
        <v>0</v>
      </c>
      <c r="AE40" s="306">
        <f>AG12</f>
        <v>0</v>
      </c>
      <c r="AF40" s="306">
        <f>AG13</f>
        <v>0</v>
      </c>
      <c r="AG40" s="307">
        <f>AG14</f>
        <v>0</v>
      </c>
      <c r="AH40" s="222"/>
      <c r="AI40" s="223"/>
      <c r="AJ40" s="222"/>
      <c r="AK40" s="224"/>
    </row>
    <row r="41" spans="6:37" ht="12.75" x14ac:dyDescent="0.2">
      <c r="F41" s="304" t="s">
        <v>38</v>
      </c>
      <c r="G41" s="305">
        <f ca="1">L2</f>
        <v>0</v>
      </c>
      <c r="H41" s="306">
        <f ca="1">L3</f>
        <v>0</v>
      </c>
      <c r="I41" s="306">
        <f ca="1">L4</f>
        <v>0</v>
      </c>
      <c r="J41" s="306">
        <f ca="1">L5</f>
        <v>0</v>
      </c>
      <c r="K41" s="306">
        <f ca="1">L6</f>
        <v>0</v>
      </c>
      <c r="L41" s="306">
        <f ca="1">L7</f>
        <v>0</v>
      </c>
      <c r="M41" s="306">
        <f ca="1">L8</f>
        <v>0</v>
      </c>
      <c r="N41" s="306">
        <f ca="1">L9</f>
        <v>0</v>
      </c>
      <c r="O41" s="306">
        <f ca="1">L10</f>
        <v>0</v>
      </c>
      <c r="P41" s="306">
        <f ca="1">L11</f>
        <v>0</v>
      </c>
      <c r="Q41" s="306">
        <f ca="1">L12</f>
        <v>0</v>
      </c>
      <c r="R41" s="306">
        <f ca="1">L13</f>
        <v>0</v>
      </c>
      <c r="S41" s="307">
        <f ca="1">L14</f>
        <v>0</v>
      </c>
      <c r="T41" s="308" t="s">
        <v>38</v>
      </c>
      <c r="U41" s="305">
        <f>AH2</f>
        <v>0</v>
      </c>
      <c r="V41" s="306">
        <f>AH3</f>
        <v>0</v>
      </c>
      <c r="W41" s="306">
        <f>AH4</f>
        <v>0</v>
      </c>
      <c r="X41" s="306">
        <f>AH5</f>
        <v>0</v>
      </c>
      <c r="Y41" s="306">
        <f>AH6</f>
        <v>0</v>
      </c>
      <c r="Z41" s="306">
        <f>AH7</f>
        <v>0</v>
      </c>
      <c r="AA41" s="306">
        <f>AH8</f>
        <v>0</v>
      </c>
      <c r="AB41" s="306">
        <f>AH9</f>
        <v>0</v>
      </c>
      <c r="AC41" s="306">
        <f>AH10</f>
        <v>0</v>
      </c>
      <c r="AD41" s="306">
        <f>AH11</f>
        <v>0</v>
      </c>
      <c r="AE41" s="306">
        <f>AH12</f>
        <v>0</v>
      </c>
      <c r="AF41" s="306">
        <f>AH13</f>
        <v>0</v>
      </c>
      <c r="AG41" s="307">
        <f>AH14</f>
        <v>0</v>
      </c>
      <c r="AH41" s="222"/>
      <c r="AI41" s="223"/>
      <c r="AJ41" s="222"/>
      <c r="AK41" s="224"/>
    </row>
    <row r="42" spans="6:37" ht="12.75" x14ac:dyDescent="0.2">
      <c r="F42" s="304" t="s">
        <v>39</v>
      </c>
      <c r="G42" s="305">
        <f ca="1">N2</f>
        <v>0</v>
      </c>
      <c r="H42" s="306">
        <f ca="1">N3</f>
        <v>0</v>
      </c>
      <c r="I42" s="306">
        <f ca="1">N4</f>
        <v>0</v>
      </c>
      <c r="J42" s="306">
        <f ca="1">N5</f>
        <v>0</v>
      </c>
      <c r="K42" s="306">
        <f ca="1">N6</f>
        <v>0</v>
      </c>
      <c r="L42" s="306">
        <f ca="1">N7</f>
        <v>0</v>
      </c>
      <c r="M42" s="306">
        <f ca="1">N8</f>
        <v>0</v>
      </c>
      <c r="N42" s="306">
        <f ca="1">N9</f>
        <v>0</v>
      </c>
      <c r="O42" s="306">
        <f ca="1">N10</f>
        <v>0</v>
      </c>
      <c r="P42" s="306">
        <f ca="1">N11</f>
        <v>0</v>
      </c>
      <c r="Q42" s="306">
        <f ca="1">N12</f>
        <v>0</v>
      </c>
      <c r="R42" s="306">
        <f ca="1">N13</f>
        <v>0</v>
      </c>
      <c r="S42" s="307">
        <f ca="1">N14</f>
        <v>0</v>
      </c>
      <c r="T42" s="308" t="s">
        <v>39</v>
      </c>
      <c r="U42" s="305">
        <f>AI2</f>
        <v>0</v>
      </c>
      <c r="V42" s="306">
        <f>AI3</f>
        <v>0</v>
      </c>
      <c r="W42" s="306">
        <f>AI4</f>
        <v>0</v>
      </c>
      <c r="X42" s="306">
        <f>AI5</f>
        <v>0</v>
      </c>
      <c r="Y42" s="306">
        <f>AI6</f>
        <v>0</v>
      </c>
      <c r="Z42" s="306">
        <f>AI7</f>
        <v>0</v>
      </c>
      <c r="AA42" s="306">
        <f>AI8</f>
        <v>0</v>
      </c>
      <c r="AB42" s="306">
        <f>AI9</f>
        <v>0</v>
      </c>
      <c r="AC42" s="306">
        <f>AI10</f>
        <v>0</v>
      </c>
      <c r="AD42" s="306">
        <f>AI11</f>
        <v>0</v>
      </c>
      <c r="AE42" s="306">
        <f>AI12</f>
        <v>0</v>
      </c>
      <c r="AF42" s="306">
        <f>AI13</f>
        <v>0</v>
      </c>
      <c r="AG42" s="307">
        <f>AI14</f>
        <v>0</v>
      </c>
      <c r="AH42" s="222"/>
      <c r="AI42" s="223"/>
      <c r="AJ42" s="222"/>
      <c r="AK42" s="224"/>
    </row>
    <row r="43" spans="6:37" ht="12.75" x14ac:dyDescent="0.2">
      <c r="F43" s="304" t="s">
        <v>40</v>
      </c>
      <c r="G43" s="305">
        <f ca="1">P2</f>
        <v>0</v>
      </c>
      <c r="H43" s="306">
        <f ca="1">P3</f>
        <v>0</v>
      </c>
      <c r="I43" s="306">
        <f ca="1">P4</f>
        <v>0</v>
      </c>
      <c r="J43" s="306">
        <f ca="1">P5</f>
        <v>0</v>
      </c>
      <c r="K43" s="306">
        <f ca="1">P6</f>
        <v>0</v>
      </c>
      <c r="L43" s="306">
        <f ca="1">P7</f>
        <v>0</v>
      </c>
      <c r="M43" s="306">
        <f ca="1">P8</f>
        <v>0</v>
      </c>
      <c r="N43" s="306">
        <f ca="1">P9</f>
        <v>0</v>
      </c>
      <c r="O43" s="306">
        <f ca="1">P10</f>
        <v>0</v>
      </c>
      <c r="P43" s="306">
        <f ca="1">P11</f>
        <v>0</v>
      </c>
      <c r="Q43" s="306">
        <f ca="1">P12</f>
        <v>0</v>
      </c>
      <c r="R43" s="306">
        <f ca="1">P13</f>
        <v>0</v>
      </c>
      <c r="S43" s="307">
        <f ca="1">P14</f>
        <v>0</v>
      </c>
      <c r="T43" s="308" t="s">
        <v>40</v>
      </c>
      <c r="U43" s="305">
        <f>AJ2</f>
        <v>0</v>
      </c>
      <c r="V43" s="306">
        <f>AJ3</f>
        <v>0</v>
      </c>
      <c r="W43" s="306">
        <f>AJ4</f>
        <v>0</v>
      </c>
      <c r="X43" s="306">
        <f>AJ5</f>
        <v>0</v>
      </c>
      <c r="Y43" s="306">
        <f>AJ6</f>
        <v>0</v>
      </c>
      <c r="Z43" s="306">
        <f>AJ7</f>
        <v>0</v>
      </c>
      <c r="AA43" s="306">
        <f>AJ8</f>
        <v>0</v>
      </c>
      <c r="AB43" s="306">
        <f>AJ9</f>
        <v>0</v>
      </c>
      <c r="AC43" s="306">
        <f>AJ10</f>
        <v>0</v>
      </c>
      <c r="AD43" s="306">
        <f>AJ11</f>
        <v>0</v>
      </c>
      <c r="AE43" s="306">
        <f>AJ12</f>
        <v>0</v>
      </c>
      <c r="AF43" s="306">
        <f>AJ13</f>
        <v>0</v>
      </c>
      <c r="AG43" s="307">
        <f>AJ14</f>
        <v>0</v>
      </c>
      <c r="AH43" s="222"/>
      <c r="AI43" s="223"/>
      <c r="AJ43" s="222"/>
      <c r="AK43" s="224"/>
    </row>
    <row r="44" spans="6:37" ht="12.75" x14ac:dyDescent="0.2">
      <c r="F44" s="304" t="s">
        <v>41</v>
      </c>
      <c r="G44" s="305">
        <f ca="1">R2</f>
        <v>0</v>
      </c>
      <c r="H44" s="306">
        <f ca="1">R3</f>
        <v>0</v>
      </c>
      <c r="I44" s="306">
        <f ca="1">R4</f>
        <v>0</v>
      </c>
      <c r="J44" s="306">
        <f ca="1">R5</f>
        <v>0</v>
      </c>
      <c r="K44" s="306">
        <f ca="1">R6</f>
        <v>0</v>
      </c>
      <c r="L44" s="306">
        <f ca="1">R7</f>
        <v>0</v>
      </c>
      <c r="M44" s="306">
        <f ca="1">R8</f>
        <v>0</v>
      </c>
      <c r="N44" s="306">
        <f ca="1">R9</f>
        <v>0</v>
      </c>
      <c r="O44" s="306">
        <f ca="1">R10</f>
        <v>0</v>
      </c>
      <c r="P44" s="306">
        <f ca="1">R11</f>
        <v>0</v>
      </c>
      <c r="Q44" s="306">
        <f ca="1">R12</f>
        <v>0</v>
      </c>
      <c r="R44" s="306">
        <f ca="1">R13</f>
        <v>0</v>
      </c>
      <c r="S44" s="307">
        <f ca="1">R14</f>
        <v>0</v>
      </c>
      <c r="T44" s="308" t="s">
        <v>41</v>
      </c>
      <c r="U44" s="305">
        <f>AK2</f>
        <v>0</v>
      </c>
      <c r="V44" s="306">
        <f>AK3</f>
        <v>0</v>
      </c>
      <c r="W44" s="306">
        <f>AK4</f>
        <v>0</v>
      </c>
      <c r="X44" s="306">
        <f>AK5</f>
        <v>0</v>
      </c>
      <c r="Y44" s="306">
        <f>AK6</f>
        <v>0</v>
      </c>
      <c r="Z44" s="306">
        <f>AK7</f>
        <v>0</v>
      </c>
      <c r="AA44" s="306">
        <f>AK8</f>
        <v>0</v>
      </c>
      <c r="AB44" s="306">
        <f>AK9</f>
        <v>0</v>
      </c>
      <c r="AC44" s="306">
        <f>AK10</f>
        <v>0</v>
      </c>
      <c r="AD44" s="306">
        <f>AK11</f>
        <v>0</v>
      </c>
      <c r="AE44" s="306">
        <f>AK12</f>
        <v>0</v>
      </c>
      <c r="AF44" s="306">
        <f>AK13</f>
        <v>0</v>
      </c>
      <c r="AG44" s="307">
        <f>AK14</f>
        <v>0</v>
      </c>
      <c r="AH44" s="222"/>
      <c r="AI44" s="223"/>
      <c r="AJ44" s="222"/>
      <c r="AK44" s="224"/>
    </row>
    <row r="45" spans="6:37" ht="12.75" x14ac:dyDescent="0.2">
      <c r="F45" s="304" t="s">
        <v>42</v>
      </c>
      <c r="G45" s="305">
        <f ca="1">T2</f>
        <v>0</v>
      </c>
      <c r="H45" s="306">
        <f ca="1">T3</f>
        <v>0</v>
      </c>
      <c r="I45" s="306">
        <f ca="1">T4</f>
        <v>0</v>
      </c>
      <c r="J45" s="306">
        <f ca="1">T5</f>
        <v>0</v>
      </c>
      <c r="K45" s="306">
        <f ca="1">T6</f>
        <v>0</v>
      </c>
      <c r="L45" s="306">
        <f ca="1">T7</f>
        <v>0</v>
      </c>
      <c r="M45" s="306">
        <f ca="1">T8</f>
        <v>0</v>
      </c>
      <c r="N45" s="306">
        <f ca="1">T9</f>
        <v>0</v>
      </c>
      <c r="O45" s="306">
        <f ca="1">T10</f>
        <v>0</v>
      </c>
      <c r="P45" s="306">
        <f ca="1">T11</f>
        <v>0</v>
      </c>
      <c r="Q45" s="306">
        <f ca="1">T12</f>
        <v>0</v>
      </c>
      <c r="R45" s="306">
        <f ca="1">T13</f>
        <v>0</v>
      </c>
      <c r="S45" s="307">
        <f ca="1">T14</f>
        <v>0</v>
      </c>
      <c r="T45" s="308" t="s">
        <v>42</v>
      </c>
      <c r="U45" s="305">
        <f>AL2</f>
        <v>0</v>
      </c>
      <c r="V45" s="306">
        <f>AL3</f>
        <v>0</v>
      </c>
      <c r="W45" s="306">
        <f>AL4</f>
        <v>0</v>
      </c>
      <c r="X45" s="306">
        <f>AL5</f>
        <v>0</v>
      </c>
      <c r="Y45" s="306">
        <f>AL6</f>
        <v>0</v>
      </c>
      <c r="Z45" s="306">
        <f>AL7</f>
        <v>0</v>
      </c>
      <c r="AA45" s="306">
        <f>AL8</f>
        <v>0</v>
      </c>
      <c r="AB45" s="306">
        <f>AL9</f>
        <v>0</v>
      </c>
      <c r="AC45" s="306">
        <f>AL10</f>
        <v>0</v>
      </c>
      <c r="AD45" s="306">
        <f>AL11</f>
        <v>0</v>
      </c>
      <c r="AE45" s="306">
        <f>AL12</f>
        <v>0</v>
      </c>
      <c r="AF45" s="306">
        <f>AL13</f>
        <v>0</v>
      </c>
      <c r="AG45" s="307">
        <f>AL14</f>
        <v>0</v>
      </c>
      <c r="AH45" s="222"/>
      <c r="AI45" s="223"/>
      <c r="AJ45" s="222"/>
      <c r="AK45" s="224"/>
    </row>
    <row r="46" spans="6:37" ht="12.75" x14ac:dyDescent="0.2">
      <c r="F46" s="304" t="s">
        <v>43</v>
      </c>
      <c r="G46" s="305">
        <f ca="1">V2</f>
        <v>0</v>
      </c>
      <c r="H46" s="306">
        <f ca="1">V3</f>
        <v>0</v>
      </c>
      <c r="I46" s="306">
        <f ca="1">V4</f>
        <v>0</v>
      </c>
      <c r="J46" s="306">
        <f ca="1">V5</f>
        <v>0</v>
      </c>
      <c r="K46" s="306">
        <f ca="1">V6</f>
        <v>0</v>
      </c>
      <c r="L46" s="306">
        <f ca="1">V7</f>
        <v>0</v>
      </c>
      <c r="M46" s="306">
        <f ca="1">V8</f>
        <v>0</v>
      </c>
      <c r="N46" s="306">
        <f ca="1">V9</f>
        <v>0</v>
      </c>
      <c r="O46" s="306">
        <f ca="1">V10</f>
        <v>0</v>
      </c>
      <c r="P46" s="306">
        <f ca="1">V11</f>
        <v>0</v>
      </c>
      <c r="Q46" s="306">
        <f ca="1">V12</f>
        <v>0</v>
      </c>
      <c r="R46" s="306">
        <f ca="1">V13</f>
        <v>0</v>
      </c>
      <c r="S46" s="307">
        <f ca="1">V14</f>
        <v>0</v>
      </c>
      <c r="T46" s="308" t="s">
        <v>43</v>
      </c>
      <c r="U46" s="305">
        <f>AM2</f>
        <v>0</v>
      </c>
      <c r="V46" s="306">
        <f>AM3</f>
        <v>0</v>
      </c>
      <c r="W46" s="306">
        <f>AM4</f>
        <v>0</v>
      </c>
      <c r="X46" s="306">
        <f>AM5</f>
        <v>0</v>
      </c>
      <c r="Y46" s="306">
        <f>AM6</f>
        <v>0</v>
      </c>
      <c r="Z46" s="306">
        <f>AM7</f>
        <v>0</v>
      </c>
      <c r="AA46" s="306">
        <f>AM8</f>
        <v>0</v>
      </c>
      <c r="AB46" s="306">
        <f>AM9</f>
        <v>0</v>
      </c>
      <c r="AC46" s="306">
        <f>AM10</f>
        <v>0</v>
      </c>
      <c r="AD46" s="306">
        <f>AM11</f>
        <v>0</v>
      </c>
      <c r="AE46" s="306">
        <f>AM12</f>
        <v>0</v>
      </c>
      <c r="AF46" s="306">
        <f>AM13</f>
        <v>0</v>
      </c>
      <c r="AG46" s="307">
        <f>AM14</f>
        <v>0</v>
      </c>
      <c r="AH46" s="222"/>
      <c r="AI46" s="223"/>
      <c r="AJ46" s="222"/>
      <c r="AK46" s="224"/>
    </row>
    <row r="47" spans="6:37" ht="12.75" x14ac:dyDescent="0.2">
      <c r="F47" s="304" t="s">
        <v>44</v>
      </c>
      <c r="G47" s="305">
        <f ca="1">X2</f>
        <v>0</v>
      </c>
      <c r="H47" s="306">
        <f ca="1">X3</f>
        <v>0</v>
      </c>
      <c r="I47" s="306">
        <f ca="1">X4</f>
        <v>0</v>
      </c>
      <c r="J47" s="306">
        <f ca="1">X5</f>
        <v>0</v>
      </c>
      <c r="K47" s="306">
        <f ca="1">X6</f>
        <v>0</v>
      </c>
      <c r="L47" s="306">
        <f ca="1">X7</f>
        <v>0</v>
      </c>
      <c r="M47" s="306">
        <f ca="1">X8</f>
        <v>0</v>
      </c>
      <c r="N47" s="306">
        <f ca="1">X9</f>
        <v>0</v>
      </c>
      <c r="O47" s="306">
        <f ca="1">X10</f>
        <v>0</v>
      </c>
      <c r="P47" s="306">
        <f ca="1">X11</f>
        <v>0</v>
      </c>
      <c r="Q47" s="306">
        <f ca="1">X12</f>
        <v>0</v>
      </c>
      <c r="R47" s="306">
        <f ca="1">X13</f>
        <v>0</v>
      </c>
      <c r="S47" s="307">
        <f ca="1">X14</f>
        <v>0</v>
      </c>
      <c r="T47" s="308" t="s">
        <v>44</v>
      </c>
      <c r="U47" s="305">
        <f>AN2</f>
        <v>0</v>
      </c>
      <c r="V47" s="306">
        <f>AN3</f>
        <v>0</v>
      </c>
      <c r="W47" s="306">
        <f>AN4</f>
        <v>0</v>
      </c>
      <c r="X47" s="306">
        <f>AN5</f>
        <v>0</v>
      </c>
      <c r="Y47" s="306">
        <f>AN6</f>
        <v>0</v>
      </c>
      <c r="Z47" s="306">
        <f>AN7</f>
        <v>0</v>
      </c>
      <c r="AA47" s="306">
        <f>AN8</f>
        <v>0</v>
      </c>
      <c r="AB47" s="306">
        <f>AN9</f>
        <v>0</v>
      </c>
      <c r="AC47" s="306">
        <f>AN10</f>
        <v>0</v>
      </c>
      <c r="AD47" s="306">
        <f>AN11</f>
        <v>0</v>
      </c>
      <c r="AE47" s="306">
        <f>AN12</f>
        <v>0</v>
      </c>
      <c r="AF47" s="306">
        <f>AN13</f>
        <v>0</v>
      </c>
      <c r="AG47" s="307">
        <f>AN14</f>
        <v>0</v>
      </c>
      <c r="AH47" s="225"/>
      <c r="AI47" s="217"/>
      <c r="AJ47" s="225"/>
      <c r="AK47" s="226"/>
    </row>
    <row r="48" spans="6:37" ht="12.75" x14ac:dyDescent="0.2">
      <c r="F48" s="304" t="s">
        <v>45</v>
      </c>
      <c r="G48" s="305">
        <f ca="1">Z2</f>
        <v>0</v>
      </c>
      <c r="H48" s="306">
        <f ca="1">Z3</f>
        <v>0</v>
      </c>
      <c r="I48" s="306">
        <f ca="1">Z4</f>
        <v>0</v>
      </c>
      <c r="J48" s="306">
        <f ca="1">Z5</f>
        <v>0</v>
      </c>
      <c r="K48" s="306">
        <f ca="1">Z6</f>
        <v>0</v>
      </c>
      <c r="L48" s="306">
        <f ca="1">Z7</f>
        <v>0</v>
      </c>
      <c r="M48" s="306">
        <f ca="1">Z8</f>
        <v>0</v>
      </c>
      <c r="N48" s="306">
        <f ca="1">Z9</f>
        <v>0</v>
      </c>
      <c r="O48" s="306">
        <f ca="1">Z10</f>
        <v>0</v>
      </c>
      <c r="P48" s="306">
        <f ca="1">Z11</f>
        <v>0</v>
      </c>
      <c r="Q48" s="306">
        <f ca="1">Z12</f>
        <v>0</v>
      </c>
      <c r="R48" s="306">
        <f ca="1">Z13</f>
        <v>0</v>
      </c>
      <c r="S48" s="307">
        <f ca="1">Z14</f>
        <v>0</v>
      </c>
      <c r="T48" s="308" t="s">
        <v>45</v>
      </c>
      <c r="U48" s="305">
        <f>AO2</f>
        <v>0</v>
      </c>
      <c r="V48" s="306">
        <f>AO3</f>
        <v>0</v>
      </c>
      <c r="W48" s="306">
        <f>AO4</f>
        <v>0</v>
      </c>
      <c r="X48" s="306">
        <f>AO5</f>
        <v>0</v>
      </c>
      <c r="Y48" s="306">
        <f>AO6</f>
        <v>0</v>
      </c>
      <c r="Z48" s="306">
        <f>AO7</f>
        <v>0</v>
      </c>
      <c r="AA48" s="306">
        <f>AO8</f>
        <v>0</v>
      </c>
      <c r="AB48" s="306">
        <f>AO9</f>
        <v>0</v>
      </c>
      <c r="AC48" s="306">
        <f>AO10</f>
        <v>0</v>
      </c>
      <c r="AD48" s="306">
        <f>AO11</f>
        <v>0</v>
      </c>
      <c r="AE48" s="306">
        <f>AO12</f>
        <v>0</v>
      </c>
      <c r="AF48" s="306">
        <f>AO13</f>
        <v>0</v>
      </c>
      <c r="AG48" s="307">
        <f>AO14</f>
        <v>0</v>
      </c>
      <c r="AH48" s="225"/>
      <c r="AI48" s="217"/>
      <c r="AJ48" s="225"/>
      <c r="AK48" s="226"/>
    </row>
    <row r="49" spans="6:37" ht="12.75" x14ac:dyDescent="0.2">
      <c r="F49" s="309" t="s">
        <v>46</v>
      </c>
      <c r="G49" s="310">
        <f ca="1">AB2</f>
        <v>0</v>
      </c>
      <c r="H49" s="311">
        <f ca="1">AB3</f>
        <v>0</v>
      </c>
      <c r="I49" s="311">
        <f ca="1">AB4</f>
        <v>0</v>
      </c>
      <c r="J49" s="311">
        <f ca="1">AB5</f>
        <v>0</v>
      </c>
      <c r="K49" s="311">
        <f ca="1">AB6</f>
        <v>0</v>
      </c>
      <c r="L49" s="311">
        <f ca="1">AB7</f>
        <v>0</v>
      </c>
      <c r="M49" s="311">
        <f ca="1">AB8</f>
        <v>0</v>
      </c>
      <c r="N49" s="311">
        <f ca="1">AB9</f>
        <v>0</v>
      </c>
      <c r="O49" s="311">
        <f ca="1">AB10</f>
        <v>0</v>
      </c>
      <c r="P49" s="311">
        <f ca="1">AB11</f>
        <v>0</v>
      </c>
      <c r="Q49" s="311">
        <f ca="1">AB12</f>
        <v>0</v>
      </c>
      <c r="R49" s="311">
        <f ca="1">AB13</f>
        <v>0</v>
      </c>
      <c r="S49" s="312">
        <f ca="1">AB14</f>
        <v>0</v>
      </c>
      <c r="T49" s="313" t="s">
        <v>46</v>
      </c>
      <c r="U49" s="310">
        <f>AP2</f>
        <v>0</v>
      </c>
      <c r="V49" s="311">
        <f>AP3</f>
        <v>0</v>
      </c>
      <c r="W49" s="311">
        <f>AP4</f>
        <v>0</v>
      </c>
      <c r="X49" s="311">
        <f>AP5</f>
        <v>0</v>
      </c>
      <c r="Y49" s="311">
        <f>AP6</f>
        <v>0</v>
      </c>
      <c r="Z49" s="311">
        <f>AP7</f>
        <v>0</v>
      </c>
      <c r="AA49" s="311">
        <f>AP8</f>
        <v>0</v>
      </c>
      <c r="AB49" s="311">
        <f>AP9</f>
        <v>0</v>
      </c>
      <c r="AC49" s="311">
        <f>AP10</f>
        <v>0</v>
      </c>
      <c r="AD49" s="311">
        <f>AP11</f>
        <v>0</v>
      </c>
      <c r="AE49" s="311">
        <f>AP12</f>
        <v>0</v>
      </c>
      <c r="AF49" s="311">
        <f>AP13</f>
        <v>0</v>
      </c>
      <c r="AG49" s="312">
        <f>AP14</f>
        <v>0</v>
      </c>
      <c r="AH49" s="225"/>
      <c r="AI49" s="217"/>
      <c r="AJ49" s="225"/>
      <c r="AK49" s="226"/>
    </row>
    <row r="50" spans="6:37" ht="13.5" thickBot="1" x14ac:dyDescent="0.25">
      <c r="F50" s="314" t="s">
        <v>47</v>
      </c>
      <c r="G50" s="315">
        <f ca="1">AD2</f>
        <v>0</v>
      </c>
      <c r="H50" s="316">
        <f ca="1">AD3</f>
        <v>0</v>
      </c>
      <c r="I50" s="316">
        <f ca="1">AD4</f>
        <v>0</v>
      </c>
      <c r="J50" s="316">
        <f ca="1">AD5</f>
        <v>0</v>
      </c>
      <c r="K50" s="316">
        <f ca="1">AD6</f>
        <v>0</v>
      </c>
      <c r="L50" s="316">
        <f ca="1">AD7</f>
        <v>0</v>
      </c>
      <c r="M50" s="316">
        <f ca="1">AD8</f>
        <v>0</v>
      </c>
      <c r="N50" s="316">
        <f ca="1">AD9</f>
        <v>0</v>
      </c>
      <c r="O50" s="316">
        <f ca="1">AD10</f>
        <v>0</v>
      </c>
      <c r="P50" s="316">
        <f ca="1">AD11</f>
        <v>0</v>
      </c>
      <c r="Q50" s="316">
        <f ca="1">AD12</f>
        <v>0</v>
      </c>
      <c r="R50" s="316">
        <f ca="1">AD13</f>
        <v>0</v>
      </c>
      <c r="S50" s="317">
        <f ca="1">AD14</f>
        <v>0</v>
      </c>
      <c r="T50" s="318" t="s">
        <v>47</v>
      </c>
      <c r="U50" s="315">
        <f>AQ2</f>
        <v>0</v>
      </c>
      <c r="V50" s="316">
        <f>AQ3</f>
        <v>0</v>
      </c>
      <c r="W50" s="316">
        <f>AQ4</f>
        <v>0</v>
      </c>
      <c r="X50" s="316">
        <f>AQ5</f>
        <v>0</v>
      </c>
      <c r="Y50" s="316">
        <f>AQ6</f>
        <v>0</v>
      </c>
      <c r="Z50" s="316">
        <f>AQ7</f>
        <v>0</v>
      </c>
      <c r="AA50" s="316">
        <f>AQ8</f>
        <v>0</v>
      </c>
      <c r="AB50" s="316">
        <f>AQ9</f>
        <v>0</v>
      </c>
      <c r="AC50" s="316">
        <f>AQ10</f>
        <v>0</v>
      </c>
      <c r="AD50" s="316">
        <f>AQ11</f>
        <v>0</v>
      </c>
      <c r="AE50" s="316">
        <f>AQ12</f>
        <v>0</v>
      </c>
      <c r="AF50" s="316">
        <f>AQ13</f>
        <v>0</v>
      </c>
      <c r="AG50" s="317">
        <f>AQ14</f>
        <v>0</v>
      </c>
      <c r="AH50" s="227"/>
      <c r="AI50" s="228"/>
      <c r="AJ50" s="227"/>
      <c r="AK50" s="229"/>
    </row>
  </sheetData>
  <sheetProtection algorithmName="SHA-512" hashValue="Wdc89L3srI6gksN/TNfOVtwunklAh3ocJFHss0Ak34gE5qdD078Mu2rwG3KS/SHPnAksZv2YT0TGhRWXE9A2ug==" saltValue="swzZk9c2dllannOxDZosPw==" spinCount="100000" sheet="1" objects="1" scenarios="1"/>
  <mergeCells count="20">
    <mergeCell ref="Y1:Z1"/>
    <mergeCell ref="G36:S36"/>
    <mergeCell ref="U36:AG36"/>
    <mergeCell ref="AE15:AQ15"/>
    <mergeCell ref="AA1:AB1"/>
    <mergeCell ref="AC1:AD1"/>
    <mergeCell ref="M1:N1"/>
    <mergeCell ref="O1:P1"/>
    <mergeCell ref="AJ21:AK21"/>
    <mergeCell ref="AH21:AI21"/>
    <mergeCell ref="A14:B14"/>
    <mergeCell ref="Q1:R1"/>
    <mergeCell ref="S1:T1"/>
    <mergeCell ref="U1:V1"/>
    <mergeCell ref="W1:X1"/>
    <mergeCell ref="A1:B1"/>
    <mergeCell ref="C1:E1"/>
    <mergeCell ref="G1:H1"/>
    <mergeCell ref="I1:J1"/>
    <mergeCell ref="K1:L1"/>
  </mergeCells>
  <phoneticPr fontId="28" type="noConversion"/>
  <conditionalFormatting sqref="D2:D14 H2:H14 J2:J14 L2:L14 N2:N14 P2:P14 R2:R14 T2:T14 V2:V14 X2:X14 Z2:Z14 AB2:AB14 AD2:AD14">
    <cfRule type="cellIs" dxfId="435" priority="1" operator="greaterThan">
      <formula>1</formula>
    </cfRule>
  </conditionalFormatting>
  <conditionalFormatting sqref="E2:E13">
    <cfRule type="dataBar" priority="2">
      <dataBar showValue="0"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{3FDD93BF-BD62-434C-B28B-B55DBDFEDBA1}</x14:id>
        </ext>
      </extLst>
    </cfRule>
  </conditionalFormatting>
  <conditionalFormatting sqref="E14">
    <cfRule type="dataBar" priority="3">
      <dataBar showValue="0">
        <cfvo type="num" val="0"/>
        <cfvo type="num" val="1"/>
        <color theme="4" tint="-0.499984740745262"/>
      </dataBar>
      <extLst>
        <ext xmlns:x14="http://schemas.microsoft.com/office/spreadsheetml/2009/9/main" uri="{B025F937-C7B1-47D3-B67F-A62EFF666E3E}">
          <x14:id>{A914CC1E-FDA3-4754-ACDB-2624EA9E0F4E}</x14:id>
        </ext>
      </extLst>
    </cfRule>
  </conditionalFormatting>
  <conditionalFormatting sqref="I2:AD14">
    <cfRule type="expression" dxfId="434" priority="18">
      <formula>AND(MOD(COLUMN(), 2)=1, I2&lt;G2, NOT(ISBLANK(I2)), NOT(I2=0))</formula>
    </cfRule>
  </conditionalFormatting>
  <pageMargins left="0.7" right="0.7" top="0.75" bottom="0.75" header="0.3" footer="0.3"/>
  <pageSetup paperSize="9" orientation="portrait" r:id="rId1"/>
  <ignoredErrors>
    <ignoredError sqref="H14 I14:J14 K14:L14 M14:N14 O14:P14 Q14:R14 S14:T14 U14:V14 W14:X14 Y14:Z14 AA14:A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4" r:id="rId4" name="Button 182">
              <controlPr defaultSize="0" print="0" autoFill="0" autoPict="0" macro="[0]!GenererBoutonsFormesInteractives">
                <anchor moveWithCells="1">
                  <from>
                    <xdr:col>30</xdr:col>
                    <xdr:colOff>238125</xdr:colOff>
                    <xdr:row>31</xdr:row>
                    <xdr:rowOff>9525</xdr:rowOff>
                  </from>
                  <to>
                    <xdr:col>32</xdr:col>
                    <xdr:colOff>28575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locked="0" defaultSize="0" print="0" autoFill="0" autoPict="0" macro="[0]!ImporterParticipationHorairePremierTour">
                <anchor moveWithCells="1">
                  <from>
                    <xdr:col>34</xdr:col>
                    <xdr:colOff>466725</xdr:colOff>
                    <xdr:row>4</xdr:row>
                    <xdr:rowOff>133350</xdr:rowOff>
                  </from>
                  <to>
                    <xdr:col>38</xdr:col>
                    <xdr:colOff>66675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DD93BF-BD62-434C-B28B-B55DBDFEDBA1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A914CC1E-FDA3-4754-ACDB-2624EA9E0F4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E5B85-A1F5-42A4-83AA-EC2ED09E46F5}">
  <sheetPr codeName="Feuil42">
    <tabColor rgb="FFB4A7D6"/>
  </sheetPr>
  <dimension ref="A1:AA82"/>
  <sheetViews>
    <sheetView tabSelected="1" zoomScale="90" zoomScaleNormal="90" workbookViewId="0">
      <pane xSplit="2" topLeftCell="C1" activePane="topRight" state="frozen"/>
      <selection pane="topRight" activeCell="R5" sqref="R5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5.85546875" customWidth="1"/>
    <col min="4" max="4" width="13" bestFit="1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6</v>
      </c>
      <c r="S1" s="374">
        <f>CEILING($B$7,100)/100</f>
        <v>5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40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cm="1">
        <f t="array" ref="D3">IF(ROW(1:1)&lt;=$S$1, (ROW(1:1)), "")</f>
        <v>1</v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1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3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23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46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2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9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6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5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100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0</v>
      </c>
      <c r="D4" s="58" cm="1">
        <f t="array" ref="D4">IF(ROW(2:2)&lt;=$S$1, (ROW(2:2)), "")</f>
        <v>2</v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17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59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3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5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9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2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1</v>
      </c>
      <c r="Q4" s="55">
        <f t="shared" si="0"/>
        <v>100</v>
      </c>
      <c r="V4" s="108" t="s">
        <v>36</v>
      </c>
      <c r="W4" s="230">
        <v>60</v>
      </c>
      <c r="X4" s="101">
        <f t="shared" ref="X4:X13" si="2">IF(OR(W4=0, W4=""), NA(), W4/$B$6)</f>
        <v>0.11857707509881422</v>
      </c>
      <c r="Z4" s="117" t="s">
        <v>48</v>
      </c>
      <c r="AA4" s="113">
        <f t="shared" ref="AA4:AA13" si="3">IF(W4&lt;&gt;0,W4-W3,NA())</f>
        <v>60</v>
      </c>
    </row>
    <row r="5" spans="1:27" ht="20.100000000000001" customHeight="1" x14ac:dyDescent="0.2">
      <c r="A5" s="168" t="s">
        <v>26</v>
      </c>
      <c r="B5" s="275" t="s">
        <v>102</v>
      </c>
      <c r="D5" s="58" cm="1">
        <f t="array" ref="D5">IF(ROW(3:3)&lt;=$S$1, (ROW(3:3)), "")</f>
        <v>3</v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40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30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1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8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6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5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2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100</v>
      </c>
      <c r="T5" s="337"/>
      <c r="U5" s="338"/>
      <c r="V5" s="109" t="s">
        <v>37</v>
      </c>
      <c r="W5" s="231">
        <v>118</v>
      </c>
      <c r="X5" s="68">
        <f t="shared" si="2"/>
        <v>0.233201581027668</v>
      </c>
      <c r="Z5" s="118" t="s">
        <v>49</v>
      </c>
      <c r="AA5" s="114">
        <f t="shared" si="3"/>
        <v>58</v>
      </c>
    </row>
    <row r="6" spans="1:27" ht="20.100000000000001" customHeight="1" x14ac:dyDescent="0.2">
      <c r="A6" s="168" t="s">
        <v>0</v>
      </c>
      <c r="B6" s="276">
        <v>506</v>
      </c>
      <c r="D6" s="58" cm="1">
        <f t="array" ref="D6">IF(ROW(4:4)&lt;=$S$1, (ROW(4:4)), "")</f>
        <v>4</v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36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19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8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12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4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7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3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2</v>
      </c>
      <c r="Q6" s="55">
        <f t="shared" si="0"/>
        <v>100</v>
      </c>
      <c r="T6" s="337"/>
      <c r="U6" s="338"/>
      <c r="V6" s="109" t="s">
        <v>38</v>
      </c>
      <c r="W6" s="231">
        <v>179</v>
      </c>
      <c r="X6" s="68">
        <f t="shared" si="2"/>
        <v>0.35375494071146246</v>
      </c>
      <c r="Z6" s="118" t="s">
        <v>50</v>
      </c>
      <c r="AA6" s="114">
        <f t="shared" si="3"/>
        <v>61</v>
      </c>
    </row>
    <row r="7" spans="1:27" ht="20.100000000000001" customHeight="1" x14ac:dyDescent="0.2">
      <c r="A7" s="168" t="s">
        <v>2</v>
      </c>
      <c r="B7" s="249">
        <f>MAX(W4:W15)</f>
        <v>440</v>
      </c>
      <c r="D7" s="58" cm="1">
        <f t="array" ref="D7">IF(ROW(5:5)&lt;=$S$1, (ROW(5:5)), "")</f>
        <v>5</v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19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12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1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3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2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40</v>
      </c>
      <c r="T7" s="337"/>
      <c r="U7" s="338"/>
      <c r="V7" s="109" t="s">
        <v>39</v>
      </c>
      <c r="W7" s="231">
        <v>235</v>
      </c>
      <c r="X7" s="68">
        <f t="shared" si="2"/>
        <v>0.46442687747035571</v>
      </c>
      <c r="Z7" s="118" t="s">
        <v>57</v>
      </c>
      <c r="AA7" s="114">
        <f t="shared" si="3"/>
        <v>56</v>
      </c>
    </row>
    <row r="8" spans="1:27" ht="20.100000000000001" customHeight="1" x14ac:dyDescent="0.2">
      <c r="A8" s="168" t="s">
        <v>1</v>
      </c>
      <c r="B8" s="250">
        <f>B7</f>
        <v>440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>
        <v>283</v>
      </c>
      <c r="X8" s="68">
        <f t="shared" si="2"/>
        <v>0.55928853754940711</v>
      </c>
      <c r="Z8" s="118" t="s">
        <v>51</v>
      </c>
      <c r="AA8" s="114">
        <f t="shared" si="3"/>
        <v>48</v>
      </c>
    </row>
    <row r="9" spans="1:27" ht="20.100000000000001" customHeight="1" thickBot="1" x14ac:dyDescent="0.25">
      <c r="A9" s="169" t="s">
        <v>19</v>
      </c>
      <c r="B9" s="251">
        <f>B6-B7</f>
        <v>66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>
        <v>319</v>
      </c>
      <c r="X9" s="68">
        <f t="shared" si="2"/>
        <v>0.63043478260869568</v>
      </c>
      <c r="Z9" s="118" t="s">
        <v>52</v>
      </c>
      <c r="AA9" s="114">
        <f t="shared" si="3"/>
        <v>36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>
        <v>350</v>
      </c>
      <c r="X10" s="68">
        <f t="shared" si="2"/>
        <v>0.69169960474308301</v>
      </c>
      <c r="Z10" s="118" t="s">
        <v>53</v>
      </c>
      <c r="AA10" s="114">
        <f t="shared" si="3"/>
        <v>31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>
        <v>380</v>
      </c>
      <c r="X11" s="68">
        <f t="shared" si="2"/>
        <v>0.75098814229249011</v>
      </c>
      <c r="Z11" s="118" t="s">
        <v>54</v>
      </c>
      <c r="AA11" s="114">
        <f t="shared" si="3"/>
        <v>30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>
        <v>399</v>
      </c>
      <c r="X12" s="68">
        <f t="shared" si="2"/>
        <v>0.78853754940711462</v>
      </c>
      <c r="Z12" s="118" t="s">
        <v>55</v>
      </c>
      <c r="AA12" s="114">
        <f t="shared" si="3"/>
        <v>19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3</v>
      </c>
      <c r="F13" s="246">
        <f t="shared" ref="F13:Q13" si="4">SUM(F3:F12)</f>
        <v>11</v>
      </c>
      <c r="G13" s="246">
        <f t="shared" si="4"/>
        <v>135</v>
      </c>
      <c r="H13" s="246">
        <f t="shared" si="4"/>
        <v>166</v>
      </c>
      <c r="I13" s="246">
        <f t="shared" si="4"/>
        <v>9</v>
      </c>
      <c r="J13" s="246">
        <f t="shared" si="4"/>
        <v>27</v>
      </c>
      <c r="K13" s="246">
        <f t="shared" si="4"/>
        <v>37</v>
      </c>
      <c r="L13" s="246">
        <f t="shared" si="4"/>
        <v>15</v>
      </c>
      <c r="M13" s="246">
        <f t="shared" si="4"/>
        <v>13</v>
      </c>
      <c r="N13" s="246">
        <f t="shared" si="4"/>
        <v>13</v>
      </c>
      <c r="O13" s="247">
        <f t="shared" si="4"/>
        <v>8</v>
      </c>
      <c r="P13" s="248">
        <f t="shared" si="4"/>
        <v>3</v>
      </c>
      <c r="Q13" s="66">
        <f t="shared" si="4"/>
        <v>440</v>
      </c>
      <c r="T13" s="337"/>
      <c r="U13" s="338"/>
      <c r="V13" s="110" t="s">
        <v>45</v>
      </c>
      <c r="W13" s="232">
        <v>440</v>
      </c>
      <c r="X13" s="69">
        <f t="shared" si="2"/>
        <v>0.86956521739130432</v>
      </c>
      <c r="Z13" s="119" t="s">
        <v>56</v>
      </c>
      <c r="AA13" s="115">
        <f t="shared" si="3"/>
        <v>41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6.8181818181818179E-3</v>
      </c>
      <c r="F14" s="51">
        <f t="shared" si="5"/>
        <v>2.5000000000000001E-2</v>
      </c>
      <c r="G14" s="51">
        <f t="shared" si="5"/>
        <v>0.30681818181818182</v>
      </c>
      <c r="H14" s="51">
        <f t="shared" si="5"/>
        <v>0.37727272727272726</v>
      </c>
      <c r="I14" s="51">
        <f t="shared" si="5"/>
        <v>2.0454545454545454E-2</v>
      </c>
      <c r="J14" s="51">
        <f t="shared" si="5"/>
        <v>6.1363636363636363E-2</v>
      </c>
      <c r="K14" s="51">
        <f t="shared" si="5"/>
        <v>8.4090909090909091E-2</v>
      </c>
      <c r="L14" s="51">
        <f t="shared" si="5"/>
        <v>3.4090909090909088E-2</v>
      </c>
      <c r="M14" s="51">
        <f t="shared" si="5"/>
        <v>2.9545454545454545E-2</v>
      </c>
      <c r="N14" s="51">
        <f t="shared" si="5"/>
        <v>2.9545454545454545E-2</v>
      </c>
      <c r="O14" s="50">
        <f t="shared" si="5"/>
        <v>1.8181818181818181E-2</v>
      </c>
      <c r="P14" s="52">
        <f t="shared" si="5"/>
        <v>6.8181818181818179E-3</v>
      </c>
      <c r="Q14" s="67">
        <f t="shared" si="5"/>
        <v>1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20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  <c r="R49" s="376"/>
      <c r="S49" s="376"/>
      <c r="T49" s="376"/>
    </row>
    <row r="50" spans="3:20" ht="19.5" customHeight="1" x14ac:dyDescent="0.2">
      <c r="C50" s="352"/>
      <c r="D50" s="370">
        <v>1</v>
      </c>
      <c r="E50" s="263">
        <v>1</v>
      </c>
      <c r="F50" s="264">
        <v>3</v>
      </c>
      <c r="G50" s="264">
        <v>23</v>
      </c>
      <c r="H50" s="264">
        <v>46</v>
      </c>
      <c r="I50" s="264">
        <v>2</v>
      </c>
      <c r="J50" s="264">
        <v>5</v>
      </c>
      <c r="K50" s="264">
        <v>9</v>
      </c>
      <c r="L50" s="264">
        <v>6</v>
      </c>
      <c r="M50" s="264"/>
      <c r="N50" s="265">
        <v>5</v>
      </c>
      <c r="O50" s="266"/>
      <c r="P50" s="265"/>
      <c r="Q50" s="377">
        <f t="shared" ref="Q50:Q59" si="7">SUM(E50:P50)</f>
        <v>100</v>
      </c>
    </row>
    <row r="51" spans="3:20" ht="20.100000000000001" customHeight="1" x14ac:dyDescent="0.2">
      <c r="C51" s="352"/>
      <c r="D51" s="371">
        <v>3</v>
      </c>
      <c r="E51" s="267">
        <v>1</v>
      </c>
      <c r="F51" s="268">
        <v>6</v>
      </c>
      <c r="G51" s="268">
        <v>63</v>
      </c>
      <c r="H51" s="268">
        <v>76</v>
      </c>
      <c r="I51" s="268">
        <v>3</v>
      </c>
      <c r="J51" s="268">
        <v>13</v>
      </c>
      <c r="K51" s="268">
        <v>15</v>
      </c>
      <c r="L51" s="268">
        <v>6</v>
      </c>
      <c r="M51" s="268">
        <v>5</v>
      </c>
      <c r="N51" s="269">
        <v>10</v>
      </c>
      <c r="O51" s="270">
        <v>2</v>
      </c>
      <c r="P51" s="269"/>
      <c r="Q51" s="378">
        <f t="shared" si="7"/>
        <v>200</v>
      </c>
    </row>
    <row r="52" spans="3:20" ht="20.100000000000001" customHeight="1" x14ac:dyDescent="0.2">
      <c r="C52" s="352"/>
      <c r="D52" s="371">
        <v>4</v>
      </c>
      <c r="E52" s="267">
        <v>3</v>
      </c>
      <c r="F52" s="268">
        <v>8</v>
      </c>
      <c r="G52" s="268">
        <v>99</v>
      </c>
      <c r="H52" s="268">
        <v>95</v>
      </c>
      <c r="I52" s="268">
        <v>5</v>
      </c>
      <c r="J52" s="268">
        <v>21</v>
      </c>
      <c r="K52" s="268">
        <v>27</v>
      </c>
      <c r="L52" s="268">
        <v>10</v>
      </c>
      <c r="M52" s="268">
        <v>12</v>
      </c>
      <c r="N52" s="269">
        <v>13</v>
      </c>
      <c r="O52" s="270">
        <v>5</v>
      </c>
      <c r="P52" s="269">
        <v>2</v>
      </c>
      <c r="Q52" s="378">
        <f t="shared" si="7"/>
        <v>300</v>
      </c>
    </row>
    <row r="53" spans="3:20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78">
        <f t="shared" si="7"/>
        <v>0</v>
      </c>
    </row>
    <row r="54" spans="3:20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78">
        <f t="shared" si="7"/>
        <v>0</v>
      </c>
    </row>
    <row r="55" spans="3:20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78">
        <f t="shared" si="7"/>
        <v>0</v>
      </c>
    </row>
    <row r="56" spans="3:20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78">
        <f t="shared" si="7"/>
        <v>0</v>
      </c>
    </row>
    <row r="57" spans="3:20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78">
        <f t="shared" si="7"/>
        <v>0</v>
      </c>
    </row>
    <row r="58" spans="3:20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78">
        <f t="shared" si="7"/>
        <v>0</v>
      </c>
    </row>
    <row r="59" spans="3:20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79">
        <f t="shared" si="7"/>
        <v>0</v>
      </c>
    </row>
    <row r="60" spans="3:20" x14ac:dyDescent="0.2">
      <c r="C60" s="350"/>
    </row>
    <row r="63" spans="3:20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>
        <v>2</v>
      </c>
      <c r="E68" s="355"/>
      <c r="F68" s="356">
        <v>2</v>
      </c>
      <c r="G68" s="356">
        <v>17</v>
      </c>
      <c r="H68" s="356">
        <v>59</v>
      </c>
      <c r="I68" s="356">
        <v>3</v>
      </c>
      <c r="J68" s="356">
        <v>5</v>
      </c>
      <c r="K68" s="356">
        <v>9</v>
      </c>
      <c r="L68" s="356">
        <v>2</v>
      </c>
      <c r="M68" s="356">
        <v>1</v>
      </c>
      <c r="N68" s="357"/>
      <c r="O68" s="358">
        <v>1</v>
      </c>
      <c r="P68" s="357">
        <v>1</v>
      </c>
      <c r="Q68" s="377">
        <f t="shared" ref="Q68:Q72" si="8">SUM(E68:P68)</f>
        <v>100</v>
      </c>
    </row>
    <row r="69" spans="4:17" ht="20.100000000000001" customHeight="1" x14ac:dyDescent="0.2">
      <c r="D69" s="371">
        <v>5</v>
      </c>
      <c r="E69" s="267"/>
      <c r="F69" s="268">
        <v>3</v>
      </c>
      <c r="G69" s="268">
        <v>36</v>
      </c>
      <c r="H69" s="268">
        <v>71</v>
      </c>
      <c r="I69" s="268">
        <v>4</v>
      </c>
      <c r="J69" s="268">
        <v>6</v>
      </c>
      <c r="K69" s="268">
        <v>10</v>
      </c>
      <c r="L69" s="268">
        <v>5</v>
      </c>
      <c r="M69" s="268">
        <v>1</v>
      </c>
      <c r="N69" s="269"/>
      <c r="O69" s="270">
        <v>3</v>
      </c>
      <c r="P69" s="269">
        <v>1</v>
      </c>
      <c r="Q69" s="378">
        <f t="shared" si="8"/>
        <v>140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78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78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79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77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78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79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mergeCells count="22">
    <mergeCell ref="E48:P48"/>
    <mergeCell ref="E66:P66"/>
    <mergeCell ref="E76:P76"/>
    <mergeCell ref="P1:P2"/>
    <mergeCell ref="Z2:Z3"/>
    <mergeCell ref="I1:I2"/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</mergeCells>
  <conditionalFormatting sqref="B8">
    <cfRule type="cellIs" dxfId="433" priority="30" operator="notEqual">
      <formula>$B$7</formula>
    </cfRule>
  </conditionalFormatting>
  <conditionalFormatting sqref="E3:P12">
    <cfRule type="expression" dxfId="432" priority="41">
      <formula>($D3&lt;=$S$1)</formula>
    </cfRule>
  </conditionalFormatting>
  <conditionalFormatting sqref="E3:Q12">
    <cfRule type="cellIs" dxfId="431" priority="29" operator="notBetween">
      <formula>0</formula>
      <formula>100</formula>
    </cfRule>
  </conditionalFormatting>
  <conditionalFormatting sqref="E3:Q14">
    <cfRule type="cellIs" dxfId="430" priority="32" operator="lessThan">
      <formula>0</formula>
    </cfRule>
  </conditionalFormatting>
  <conditionalFormatting sqref="E14:Q14">
    <cfRule type="cellIs" dxfId="429" priority="38" operator="greaterThan">
      <formula>1</formula>
    </cfRule>
  </conditionalFormatting>
  <conditionalFormatting sqref="Q3:Q12">
    <cfRule type="expression" dxfId="428" priority="33">
      <formula>AND($D3=$S$1, Q3=$R$2)</formula>
    </cfRule>
    <cfRule type="expression" dxfId="427" priority="34">
      <formula>AND($D3=$S$1, MOD(Q3,100)&gt;$R$2)</formula>
    </cfRule>
    <cfRule type="cellIs" dxfId="426" priority="35" operator="equal">
      <formula>100</formula>
    </cfRule>
  </conditionalFormatting>
  <conditionalFormatting sqref="Q3:Q13">
    <cfRule type="cellIs" dxfId="425" priority="36" operator="equal">
      <formula>0</formula>
    </cfRule>
  </conditionalFormatting>
  <conditionalFormatting sqref="Q13">
    <cfRule type="cellIs" dxfId="424" priority="40" operator="equal">
      <formula>$B$7</formula>
    </cfRule>
  </conditionalFormatting>
  <conditionalFormatting sqref="Q14">
    <cfRule type="cellIs" dxfId="423" priority="37" operator="equal">
      <formula>1</formula>
    </cfRule>
    <cfRule type="cellIs" dxfId="422" priority="39" operator="lessThan">
      <formula>1</formula>
    </cfRule>
  </conditionalFormatting>
  <conditionalFormatting sqref="W4:W15">
    <cfRule type="expression" dxfId="421" priority="43">
      <formula>AND($W4&lt;$W3, NOT(ISBLANK($W4)))</formula>
    </cfRule>
    <cfRule type="cellIs" dxfId="420" priority="44" operator="greaterThan">
      <formula>$B$6</formula>
    </cfRule>
  </conditionalFormatting>
  <conditionalFormatting sqref="X4:X15">
    <cfRule type="cellIs" dxfId="419" priority="31" operator="greaterThan">
      <formula>1</formula>
    </cfRule>
  </conditionalFormatting>
  <conditionalFormatting sqref="E51:N59">
    <cfRule type="expression" dxfId="418" priority="26">
      <formula>AND(E51&lt;MAX(E$50:E51), NOT(ISBLANK(E51)), NOT(E51=0))</formula>
    </cfRule>
  </conditionalFormatting>
  <conditionalFormatting sqref="E50:P59">
    <cfRule type="cellIs" dxfId="417" priority="25" operator="notBetween">
      <formula>0</formula>
      <formula>$B$7</formula>
    </cfRule>
    <cfRule type="expression" dxfId="416" priority="27">
      <formula>($D50&lt;=$S$1)</formula>
    </cfRule>
    <cfRule type="expression" dxfId="415" priority="28">
      <formula>($D50&gt;$S$1)</formula>
    </cfRule>
  </conditionalFormatting>
  <conditionalFormatting sqref="E69:N75">
    <cfRule type="expression" dxfId="414" priority="24">
      <formula>AND(E69&lt;MAX(E$68:E69), NOT(ISBLANK(E69)), NOT(E69=0))</formula>
    </cfRule>
  </conditionalFormatting>
  <conditionalFormatting sqref="E68:P75">
    <cfRule type="cellIs" dxfId="413" priority="20" operator="notBetween">
      <formula>0</formula>
      <formula>$B$7</formula>
    </cfRule>
  </conditionalFormatting>
  <conditionalFormatting sqref="D50:D59 D68:D72">
    <cfRule type="colorScale" priority="22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412" priority="21">
      <formula>($D68&lt;=$S$1)</formula>
    </cfRule>
    <cfRule type="expression" dxfId="411" priority="23">
      <formula>($D68&gt;$S$1)</formula>
    </cfRule>
  </conditionalFormatting>
  <conditionalFormatting sqref="Q68:Q72 Q50:Q59 Q78:Q80">
    <cfRule type="expression" dxfId="410" priority="15">
      <formula>OR(MOD($Q50,100)=0,AND($D50=$S$1,MOD($Q50,100)=$R$2))</formula>
    </cfRule>
    <cfRule type="cellIs" dxfId="409" priority="5" operator="notBetween">
      <formula>0</formula>
      <formula>$B$7</formula>
    </cfRule>
  </conditionalFormatting>
  <conditionalFormatting sqref="Q68:Q72 Q78:Q80 Q50:Q59">
    <cfRule type="cellIs" dxfId="408" priority="14" operator="equal">
      <formula>0</formula>
    </cfRule>
  </conditionalFormatting>
  <conditionalFormatting sqref="E79:N80">
    <cfRule type="expression" dxfId="407" priority="10">
      <formula>AND(E79&lt;MAX(E$68:E79), NOT(ISBLANK(E79)), NOT(E79=0))</formula>
    </cfRule>
  </conditionalFormatting>
  <conditionalFormatting sqref="D78:D8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406" priority="9" operator="notBetween">
      <formula>0</formula>
      <formula>$B$7</formula>
    </cfRule>
    <cfRule type="expression" dxfId="405" priority="12">
      <formula>($D78&lt;=$S$1)</formula>
    </cfRule>
    <cfRule type="expression" dxfId="404" priority="13">
      <formula>($D78&gt;$S$1)</formula>
    </cfRule>
  </conditionalFormatting>
  <conditionalFormatting sqref="D3:P12">
    <cfRule type="expression" dxfId="403" priority="42">
      <formula>($D3&gt;$S$1)</formula>
    </cfRule>
  </conditionalFormatting>
  <dataValidations count="2">
    <dataValidation type="list" allowBlank="1" showInputMessage="1" showErrorMessage="1" sqref="C50:C59" xr:uid="{27C71201-EC67-4274-973C-B01E41A30BB3}">
      <formula1>$H$24:$H$26</formula1>
    </dataValidation>
    <dataValidation type="list" allowBlank="1" showInputMessage="1" showErrorMessage="1" sqref="D50:D59 D68:D72 D78:D82" xr:uid="{CDDB19CD-C008-4F34-81F0-65A4F0C53A1F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0F0-5A98-4FC1-90C0-5B68BE15F38E}">
  <sheetPr codeName="Feuil17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 ca="1"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 ca="1"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ca="1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0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tr" cm="1">
        <f t="array" aca="1" ref="B5" ca="1">IFERROR(INDIRECT("'Synthèse'"&amp;"!$B"&amp;$B$4),"Modèle")</f>
        <v>Modèle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 cm="1">
        <f t="array" aca="1" ref="B6" ca="1">IFERROR(INDIRECT("'Synthèse'" &amp; "!$C" &amp; $B$4),663)</f>
        <v>663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 ca="1">B6-B7</f>
        <v>663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 ca="1">IF((ROW()-23)&lt;=$S$2,(ROW()-23),"Choisir")</f>
        <v>1</v>
      </c>
    </row>
    <row r="25" spans="1:8" x14ac:dyDescent="0.2">
      <c r="H25" s="262">
        <f t="shared" ref="H25:H27" ca="1" si="6">IF((ROW()-23)&lt;=$S$2,(ROW()-23),"Choisir")</f>
        <v>2</v>
      </c>
    </row>
    <row r="26" spans="1:8" x14ac:dyDescent="0.2">
      <c r="H26" s="262">
        <f t="shared" ca="1" si="6"/>
        <v>3</v>
      </c>
    </row>
    <row r="27" spans="1:8" x14ac:dyDescent="0.2">
      <c r="H27" s="262" t="str">
        <f t="shared" ca="1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mergeCells count="22">
    <mergeCell ref="E76:P76"/>
    <mergeCell ref="Z2:Z3"/>
    <mergeCell ref="AA2:AA3"/>
    <mergeCell ref="A10:B11"/>
    <mergeCell ref="A12:B14"/>
    <mergeCell ref="K1:K2"/>
    <mergeCell ref="L1:L2"/>
    <mergeCell ref="M1:M2"/>
    <mergeCell ref="N1:N2"/>
    <mergeCell ref="O1:O2"/>
    <mergeCell ref="P1:P2"/>
    <mergeCell ref="E1:E2"/>
    <mergeCell ref="F1:F2"/>
    <mergeCell ref="G1:G2"/>
    <mergeCell ref="H1:H2"/>
    <mergeCell ref="I1:I2"/>
    <mergeCell ref="E66:P66"/>
    <mergeCell ref="J1:J2"/>
    <mergeCell ref="A15:B18"/>
    <mergeCell ref="E15:P15"/>
    <mergeCell ref="D1:D2"/>
    <mergeCell ref="E48:P48"/>
  </mergeCells>
  <conditionalFormatting sqref="B8">
    <cfRule type="cellIs" dxfId="402" priority="33" operator="notEqual">
      <formula>$B$7</formula>
    </cfRule>
  </conditionalFormatting>
  <conditionalFormatting sqref="E3:P12">
    <cfRule type="expression" dxfId="401" priority="45">
      <formula>($D3&lt;=$S$1)</formula>
    </cfRule>
  </conditionalFormatting>
  <conditionalFormatting sqref="E3:Q12">
    <cfRule type="cellIs" dxfId="400" priority="32" operator="notBetween">
      <formula>0</formula>
      <formula>100</formula>
    </cfRule>
  </conditionalFormatting>
  <conditionalFormatting sqref="E3:Q14">
    <cfRule type="cellIs" dxfId="399" priority="35" operator="lessThan">
      <formula>0</formula>
    </cfRule>
  </conditionalFormatting>
  <conditionalFormatting sqref="E14:Q14">
    <cfRule type="cellIs" dxfId="398" priority="42" operator="greaterThan">
      <formula>1</formula>
    </cfRule>
  </conditionalFormatting>
  <conditionalFormatting sqref="Q3:Q12">
    <cfRule type="expression" dxfId="397" priority="38">
      <formula>AND($D3=$S$1, MOD(Q3,100)&gt;$R$2)</formula>
    </cfRule>
    <cfRule type="expression" dxfId="396" priority="37">
      <formula>AND($D3=$S$1, Q3=$R$2)</formula>
    </cfRule>
    <cfRule type="cellIs" dxfId="395" priority="39" operator="equal">
      <formula>100</formula>
    </cfRule>
  </conditionalFormatting>
  <conditionalFormatting sqref="Q3:Q13">
    <cfRule type="cellIs" dxfId="394" priority="40" operator="equal">
      <formula>0</formula>
    </cfRule>
  </conditionalFormatting>
  <conditionalFormatting sqref="Q13">
    <cfRule type="cellIs" dxfId="393" priority="44" operator="equal">
      <formula>$B$7</formula>
    </cfRule>
  </conditionalFormatting>
  <conditionalFormatting sqref="Q14">
    <cfRule type="cellIs" dxfId="392" priority="41" operator="equal">
      <formula>1</formula>
    </cfRule>
    <cfRule type="cellIs" dxfId="391" priority="43" operator="lessThan">
      <formula>1</formula>
    </cfRule>
  </conditionalFormatting>
  <conditionalFormatting sqref="W4:W15">
    <cfRule type="expression" dxfId="390" priority="47">
      <formula>AND($W4&lt;$W3, NOT(ISBLANK($W4)))</formula>
    </cfRule>
    <cfRule type="cellIs" dxfId="389" priority="48" operator="greaterThan">
      <formula>$B$6</formula>
    </cfRule>
  </conditionalFormatting>
  <conditionalFormatting sqref="X4:X15">
    <cfRule type="cellIs" dxfId="388" priority="34" operator="greaterThan">
      <formula>1</formula>
    </cfRule>
  </conditionalFormatting>
  <conditionalFormatting sqref="E51:N59">
    <cfRule type="expression" dxfId="387" priority="29">
      <formula>AND(E51&lt;MAX(E$50:E51), NOT(ISBLANK(E51)), NOT(E51=0))</formula>
    </cfRule>
  </conditionalFormatting>
  <conditionalFormatting sqref="E50:P59">
    <cfRule type="cellIs" dxfId="386" priority="28" operator="notBetween">
      <formula>0</formula>
      <formula>$B$7</formula>
    </cfRule>
    <cfRule type="expression" dxfId="385" priority="30">
      <formula>($D50&lt;=$S$1)</formula>
    </cfRule>
    <cfRule type="expression" dxfId="384" priority="31">
      <formula>($D50&gt;$S$1)</formula>
    </cfRule>
  </conditionalFormatting>
  <conditionalFormatting sqref="E69:N75">
    <cfRule type="expression" dxfId="383" priority="23">
      <formula>AND(E69&lt;MAX(E$68:E69), NOT(ISBLANK(E69)), NOT(E69=0))</formula>
    </cfRule>
  </conditionalFormatting>
  <conditionalFormatting sqref="E68:P75">
    <cfRule type="cellIs" dxfId="382" priority="19" operator="notBetween">
      <formula>0</formula>
      <formula>$B$7</formula>
    </cfRule>
  </conditionalFormatting>
  <conditionalFormatting sqref="D50:D59 D68:D72">
    <cfRule type="colorScale" priority="2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81" priority="20">
      <formula>($D68&lt;=$S$1)</formula>
    </cfRule>
    <cfRule type="expression" dxfId="380" priority="22">
      <formula>($D68&gt;$S$1)</formula>
    </cfRule>
  </conditionalFormatting>
  <conditionalFormatting sqref="Q50:Q59 Q68:Q72 Q78:Q80">
    <cfRule type="expression" dxfId="379" priority="18">
      <formula>OR(MOD($Q50,100)=0,AND($D50=$S$1,MOD($Q50,100)=$R$2))</formula>
    </cfRule>
    <cfRule type="cellIs" dxfId="378" priority="17" operator="equal">
      <formula>0</formula>
    </cfRule>
    <cfRule type="cellIs" dxfId="377" priority="13" operator="lessThan">
      <formula>0</formula>
    </cfRule>
  </conditionalFormatting>
  <conditionalFormatting sqref="E79:N80">
    <cfRule type="expression" dxfId="376" priority="5">
      <formula>AND(E79&lt;MAX(E$68:E79), NOT(ISBLANK(E79)), NOT(E79=0))</formula>
    </cfRule>
  </conditionalFormatting>
  <conditionalFormatting sqref="D78:D82">
    <cfRule type="colorScale" priority="6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expression" dxfId="375" priority="7">
      <formula>($D78&lt;=$S$1)</formula>
    </cfRule>
    <cfRule type="expression" dxfId="374" priority="8">
      <formula>($D78&gt;$S$1)</formula>
    </cfRule>
    <cfRule type="cellIs" dxfId="373" priority="4" operator="notBetween">
      <formula>0</formula>
      <formula>$B$7</formula>
    </cfRule>
  </conditionalFormatting>
  <conditionalFormatting sqref="D3:P12">
    <cfRule type="expression" dxfId="372" priority="46">
      <formula>($D3&gt;$S$1)</formula>
    </cfRule>
  </conditionalFormatting>
  <dataValidations count="2">
    <dataValidation type="list" allowBlank="1" showInputMessage="1" showErrorMessage="1" sqref="C50:C59" xr:uid="{26E6ADDE-67A2-40F5-90D2-78EBD3B4767D}">
      <formula1>$H$24:$H$26</formula1>
    </dataValidation>
    <dataValidation type="list" allowBlank="1" showInputMessage="1" showErrorMessage="1" sqref="D68:D72 D78:D82 D50:D59" xr:uid="{16BE8E6D-019E-4446-BDFE-0DD1503C603A}">
      <formula1>$D$3:$D$12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46" r:id="rId4" name="Button 10">
              <controlPr defaultSize="0" print="0" autoFill="0" autoPict="0" macro="[0]!ReinitialiserEtGenererBureaux">
                <anchor moveWithCells="1">
                  <from>
                    <xdr:col>0</xdr:col>
                    <xdr:colOff>466725</xdr:colOff>
                    <xdr:row>23</xdr:row>
                    <xdr:rowOff>161925</xdr:rowOff>
                  </from>
                  <to>
                    <xdr:col>1</xdr:col>
                    <xdr:colOff>771525</xdr:colOff>
                    <xdr:row>26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1CCF5-A22B-4B0C-BB1D-AA993A2A5918}">
  <sheetPr codeName="Feuil30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D3" sqref="D3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6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1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70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506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506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MEfMw5J53uEkINeOJ3ThNfsSi+W5HuO/2TLRqXCS0WZMd6Uv8p62ZNWUPWo291wzk0ico+dgjM+aDwyF5D9GMA==" saltValue="CpSQdX0aHNdn7+HccvZJ3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371" priority="19" operator="notEqual">
      <formula>$B$7</formula>
    </cfRule>
  </conditionalFormatting>
  <conditionalFormatting sqref="E3:P12">
    <cfRule type="expression" dxfId="370" priority="30">
      <formula>($D3&lt;=$S$1)</formula>
    </cfRule>
  </conditionalFormatting>
  <conditionalFormatting sqref="E3:Q12">
    <cfRule type="cellIs" dxfId="369" priority="18" operator="notBetween">
      <formula>0</formula>
      <formula>100</formula>
    </cfRule>
  </conditionalFormatting>
  <conditionalFormatting sqref="E3:Q14">
    <cfRule type="cellIs" dxfId="368" priority="21" operator="lessThan">
      <formula>0</formula>
    </cfRule>
  </conditionalFormatting>
  <conditionalFormatting sqref="E14:Q14">
    <cfRule type="cellIs" dxfId="367" priority="27" operator="greaterThan">
      <formula>1</formula>
    </cfRule>
  </conditionalFormatting>
  <conditionalFormatting sqref="Q3:Q12">
    <cfRule type="expression" dxfId="366" priority="22">
      <formula>AND($D3=$S$1, Q3=$R$2)</formula>
    </cfRule>
    <cfRule type="expression" dxfId="365" priority="23">
      <formula>AND($D3=$S$1, MOD(Q3,100)&gt;$R$2)</formula>
    </cfRule>
    <cfRule type="cellIs" dxfId="364" priority="24" operator="equal">
      <formula>100</formula>
    </cfRule>
  </conditionalFormatting>
  <conditionalFormatting sqref="Q3:Q13">
    <cfRule type="cellIs" dxfId="363" priority="25" operator="equal">
      <formula>0</formula>
    </cfRule>
  </conditionalFormatting>
  <conditionalFormatting sqref="Q13">
    <cfRule type="cellIs" dxfId="362" priority="29" operator="equal">
      <formula>$B$7</formula>
    </cfRule>
  </conditionalFormatting>
  <conditionalFormatting sqref="Q14">
    <cfRule type="cellIs" dxfId="361" priority="26" operator="equal">
      <formula>1</formula>
    </cfRule>
    <cfRule type="cellIs" dxfId="360" priority="28" operator="lessThan">
      <formula>1</formula>
    </cfRule>
  </conditionalFormatting>
  <conditionalFormatting sqref="W4:W15">
    <cfRule type="expression" dxfId="359" priority="32">
      <formula>AND($W4&lt;$W3, NOT(ISBLANK($W4)))</formula>
    </cfRule>
    <cfRule type="cellIs" dxfId="358" priority="33" operator="greaterThan">
      <formula>$B$6</formula>
    </cfRule>
  </conditionalFormatting>
  <conditionalFormatting sqref="X4:X15">
    <cfRule type="cellIs" dxfId="357" priority="20" operator="greaterThan">
      <formula>1</formula>
    </cfRule>
  </conditionalFormatting>
  <conditionalFormatting sqref="E51:N59">
    <cfRule type="expression" dxfId="356" priority="15">
      <formula>AND(E51&lt;MAX(E$50:E51), NOT(ISBLANK(E51)), NOT(E51=0))</formula>
    </cfRule>
  </conditionalFormatting>
  <conditionalFormatting sqref="E50:P59">
    <cfRule type="cellIs" dxfId="355" priority="14" operator="notBetween">
      <formula>0</formula>
      <formula>$B$7</formula>
    </cfRule>
    <cfRule type="expression" dxfId="354" priority="16">
      <formula>($D50&lt;=$S$1)</formula>
    </cfRule>
    <cfRule type="expression" dxfId="353" priority="17">
      <formula>($D50&gt;$S$1)</formula>
    </cfRule>
  </conditionalFormatting>
  <conditionalFormatting sqref="E69:N75">
    <cfRule type="expression" dxfId="352" priority="13">
      <formula>AND(E69&lt;MAX(E$68:E69), NOT(ISBLANK(E69)), NOT(E69=0))</formula>
    </cfRule>
  </conditionalFormatting>
  <conditionalFormatting sqref="E68:P75">
    <cfRule type="cellIs" dxfId="351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50" priority="10">
      <formula>($D68&lt;=$S$1)</formula>
    </cfRule>
    <cfRule type="expression" dxfId="349" priority="12">
      <formula>($D68&gt;$S$1)</formula>
    </cfRule>
  </conditionalFormatting>
  <conditionalFormatting sqref="Q50:Q59 Q68:Q72 Q78:Q80">
    <cfRule type="cellIs" dxfId="348" priority="6" operator="lessThan">
      <formula>0</formula>
    </cfRule>
    <cfRule type="cellIs" dxfId="347" priority="7" operator="equal">
      <formula>0</formula>
    </cfRule>
    <cfRule type="expression" dxfId="346" priority="8">
      <formula>OR(MOD($Q50,100)=0,AND($D50=$S$1,MOD($Q50,100)=$R$2))</formula>
    </cfRule>
  </conditionalFormatting>
  <conditionalFormatting sqref="E79:N80">
    <cfRule type="expression" dxfId="345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44" priority="1" operator="notBetween">
      <formula>0</formula>
      <formula>$B$7</formula>
    </cfRule>
    <cfRule type="expression" dxfId="343" priority="4">
      <formula>($D78&lt;=$S$1)</formula>
    </cfRule>
    <cfRule type="expression" dxfId="342" priority="5">
      <formula>($D78&gt;$S$1)</formula>
    </cfRule>
  </conditionalFormatting>
  <conditionalFormatting sqref="D3:P12">
    <cfRule type="expression" dxfId="341" priority="31">
      <formula>($D3&gt;$S$1)</formula>
    </cfRule>
  </conditionalFormatting>
  <dataValidations count="2">
    <dataValidation type="list" allowBlank="1" showInputMessage="1" showErrorMessage="1" sqref="D68:D72 D78:D82 D50:D59" xr:uid="{908DB16C-A363-4758-B634-D9007012AB26}">
      <formula1>$D$3:$D$12</formula1>
    </dataValidation>
    <dataValidation type="list" allowBlank="1" showInputMessage="1" showErrorMessage="1" sqref="C50:C59" xr:uid="{35F5B336-011A-493D-88B9-A91C52C329B4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8371E-5996-43F7-83C5-AFEACBC0E6BD}">
  <sheetPr codeName="Feuil31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2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700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700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5U6QXj/FT/6CQS0kNVcl6iRHgBDmZ7Jobn+YUSi6fDbuvqEZvaHo3yxZnM9roYclauBcLahMfCtV5OdXIcT0Yg==" saltValue="DEQJlvJ2mAjx6ppJxWTUd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340" priority="19" operator="notEqual">
      <formula>$B$7</formula>
    </cfRule>
  </conditionalFormatting>
  <conditionalFormatting sqref="E3:P12">
    <cfRule type="expression" dxfId="339" priority="30">
      <formula>($D3&lt;=$S$1)</formula>
    </cfRule>
  </conditionalFormatting>
  <conditionalFormatting sqref="E3:Q12">
    <cfRule type="cellIs" dxfId="338" priority="18" operator="notBetween">
      <formula>0</formula>
      <formula>100</formula>
    </cfRule>
  </conditionalFormatting>
  <conditionalFormatting sqref="E3:Q14">
    <cfRule type="cellIs" dxfId="337" priority="21" operator="lessThan">
      <formula>0</formula>
    </cfRule>
  </conditionalFormatting>
  <conditionalFormatting sqref="E14:Q14">
    <cfRule type="cellIs" dxfId="336" priority="27" operator="greaterThan">
      <formula>1</formula>
    </cfRule>
  </conditionalFormatting>
  <conditionalFormatting sqref="Q3:Q12">
    <cfRule type="expression" dxfId="335" priority="22">
      <formula>AND($D3=$S$1, Q3=$R$2)</formula>
    </cfRule>
    <cfRule type="expression" dxfId="334" priority="23">
      <formula>AND($D3=$S$1, MOD(Q3,100)&gt;$R$2)</formula>
    </cfRule>
    <cfRule type="cellIs" dxfId="333" priority="24" operator="equal">
      <formula>100</formula>
    </cfRule>
  </conditionalFormatting>
  <conditionalFormatting sqref="Q3:Q13">
    <cfRule type="cellIs" dxfId="332" priority="25" operator="equal">
      <formula>0</formula>
    </cfRule>
  </conditionalFormatting>
  <conditionalFormatting sqref="Q13">
    <cfRule type="cellIs" dxfId="331" priority="29" operator="equal">
      <formula>$B$7</formula>
    </cfRule>
  </conditionalFormatting>
  <conditionalFormatting sqref="Q14">
    <cfRule type="cellIs" dxfId="330" priority="26" operator="equal">
      <formula>1</formula>
    </cfRule>
    <cfRule type="cellIs" dxfId="329" priority="28" operator="lessThan">
      <formula>1</formula>
    </cfRule>
  </conditionalFormatting>
  <conditionalFormatting sqref="W4:W15">
    <cfRule type="expression" dxfId="328" priority="32">
      <formula>AND($W4&lt;$W3, NOT(ISBLANK($W4)))</formula>
    </cfRule>
    <cfRule type="cellIs" dxfId="327" priority="33" operator="greaterThan">
      <formula>$B$6</formula>
    </cfRule>
  </conditionalFormatting>
  <conditionalFormatting sqref="X4:X15">
    <cfRule type="cellIs" dxfId="326" priority="20" operator="greaterThan">
      <formula>1</formula>
    </cfRule>
  </conditionalFormatting>
  <conditionalFormatting sqref="E51:N59">
    <cfRule type="expression" dxfId="325" priority="15">
      <formula>AND(E51&lt;MAX(E$50:E51), NOT(ISBLANK(E51)), NOT(E51=0))</formula>
    </cfRule>
  </conditionalFormatting>
  <conditionalFormatting sqref="E50:P59">
    <cfRule type="cellIs" dxfId="324" priority="14" operator="notBetween">
      <formula>0</formula>
      <formula>$B$7</formula>
    </cfRule>
    <cfRule type="expression" dxfId="323" priority="16">
      <formula>($D50&lt;=$S$1)</formula>
    </cfRule>
    <cfRule type="expression" dxfId="322" priority="17">
      <formula>($D50&gt;$S$1)</formula>
    </cfRule>
  </conditionalFormatting>
  <conditionalFormatting sqref="E69:N75">
    <cfRule type="expression" dxfId="321" priority="13">
      <formula>AND(E69&lt;MAX(E$68:E69), NOT(ISBLANK(E69)), NOT(E69=0))</formula>
    </cfRule>
  </conditionalFormatting>
  <conditionalFormatting sqref="E68:P75">
    <cfRule type="cellIs" dxfId="320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319" priority="10">
      <formula>($D68&lt;=$S$1)</formula>
    </cfRule>
    <cfRule type="expression" dxfId="318" priority="12">
      <formula>($D68&gt;$S$1)</formula>
    </cfRule>
  </conditionalFormatting>
  <conditionalFormatting sqref="Q50:Q59 Q68:Q72 Q78:Q80">
    <cfRule type="cellIs" dxfId="317" priority="6" operator="lessThan">
      <formula>0</formula>
    </cfRule>
    <cfRule type="cellIs" dxfId="316" priority="7" operator="equal">
      <formula>0</formula>
    </cfRule>
    <cfRule type="expression" dxfId="315" priority="8">
      <formula>OR(MOD($Q50,100)=0,AND($D50=$S$1,MOD($Q50,100)=$R$2))</formula>
    </cfRule>
  </conditionalFormatting>
  <conditionalFormatting sqref="E79:N80">
    <cfRule type="expression" dxfId="314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13" priority="1" operator="notBetween">
      <formula>0</formula>
      <formula>$B$7</formula>
    </cfRule>
    <cfRule type="expression" dxfId="312" priority="4">
      <formula>($D78&lt;=$S$1)</formula>
    </cfRule>
    <cfRule type="expression" dxfId="311" priority="5">
      <formula>($D78&gt;$S$1)</formula>
    </cfRule>
  </conditionalFormatting>
  <conditionalFormatting sqref="D3:P12">
    <cfRule type="expression" dxfId="310" priority="31">
      <formula>($D3&gt;$S$1)</formula>
    </cfRule>
  </conditionalFormatting>
  <dataValidations count="2">
    <dataValidation type="list" allowBlank="1" showInputMessage="1" showErrorMessage="1" sqref="D68:D72 D78:D82 D50:D59" xr:uid="{14D18D1B-4C57-41F7-8378-6BCA95FFB997}">
      <formula1>$D$3:$D$12</formula1>
    </dataValidation>
    <dataValidation type="list" allowBlank="1" showInputMessage="1" showErrorMessage="1" sqref="C50:C59" xr:uid="{201EA2BD-C484-462A-A9EC-42BF2A2C2F2C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D6B21-153B-4AFB-A269-123FB64EAB28}">
  <sheetPr codeName="Feuil32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3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669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669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FTrpLUjkPBWUITRGmbJmCiStdiRzTPtL6R/Q46qac2eRGN8BY7qsFVg2Jci4J4kzukeUSa41rhtTlL8AiAWZ9Q==" saltValue="LwA9TrC0zFwkemq5UxqgO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309" priority="19" operator="notEqual">
      <formula>$B$7</formula>
    </cfRule>
  </conditionalFormatting>
  <conditionalFormatting sqref="E3:P12">
    <cfRule type="expression" dxfId="308" priority="30">
      <formula>($D3&lt;=$S$1)</formula>
    </cfRule>
  </conditionalFormatting>
  <conditionalFormatting sqref="E3:Q12">
    <cfRule type="cellIs" dxfId="307" priority="18" operator="notBetween">
      <formula>0</formula>
      <formula>100</formula>
    </cfRule>
  </conditionalFormatting>
  <conditionalFormatting sqref="E3:Q14">
    <cfRule type="cellIs" dxfId="306" priority="21" operator="lessThan">
      <formula>0</formula>
    </cfRule>
  </conditionalFormatting>
  <conditionalFormatting sqref="E14:Q14">
    <cfRule type="cellIs" dxfId="305" priority="27" operator="greaterThan">
      <formula>1</formula>
    </cfRule>
  </conditionalFormatting>
  <conditionalFormatting sqref="Q3:Q12">
    <cfRule type="expression" dxfId="304" priority="22">
      <formula>AND($D3=$S$1, Q3=$R$2)</formula>
    </cfRule>
    <cfRule type="expression" dxfId="303" priority="23">
      <formula>AND($D3=$S$1, MOD(Q3,100)&gt;$R$2)</formula>
    </cfRule>
    <cfRule type="cellIs" dxfId="302" priority="24" operator="equal">
      <formula>100</formula>
    </cfRule>
  </conditionalFormatting>
  <conditionalFormatting sqref="Q3:Q13">
    <cfRule type="cellIs" dxfId="301" priority="25" operator="equal">
      <formula>0</formula>
    </cfRule>
  </conditionalFormatting>
  <conditionalFormatting sqref="Q13">
    <cfRule type="cellIs" dxfId="300" priority="29" operator="equal">
      <formula>$B$7</formula>
    </cfRule>
  </conditionalFormatting>
  <conditionalFormatting sqref="Q14">
    <cfRule type="cellIs" dxfId="299" priority="26" operator="equal">
      <formula>1</formula>
    </cfRule>
    <cfRule type="cellIs" dxfId="298" priority="28" operator="lessThan">
      <formula>1</formula>
    </cfRule>
  </conditionalFormatting>
  <conditionalFormatting sqref="W4:W15">
    <cfRule type="expression" dxfId="297" priority="32">
      <formula>AND($W4&lt;$W3, NOT(ISBLANK($W4)))</formula>
    </cfRule>
    <cfRule type="cellIs" dxfId="296" priority="33" operator="greaterThan">
      <formula>$B$6</formula>
    </cfRule>
  </conditionalFormatting>
  <conditionalFormatting sqref="X4:X15">
    <cfRule type="cellIs" dxfId="295" priority="20" operator="greaterThan">
      <formula>1</formula>
    </cfRule>
  </conditionalFormatting>
  <conditionalFormatting sqref="E51:N59">
    <cfRule type="expression" dxfId="294" priority="15">
      <formula>AND(E51&lt;MAX(E$50:E51), NOT(ISBLANK(E51)), NOT(E51=0))</formula>
    </cfRule>
  </conditionalFormatting>
  <conditionalFormatting sqref="E50:P59">
    <cfRule type="cellIs" dxfId="293" priority="14" operator="notBetween">
      <formula>0</formula>
      <formula>$B$7</formula>
    </cfRule>
    <cfRule type="expression" dxfId="292" priority="16">
      <formula>($D50&lt;=$S$1)</formula>
    </cfRule>
    <cfRule type="expression" dxfId="291" priority="17">
      <formula>($D50&gt;$S$1)</formula>
    </cfRule>
  </conditionalFormatting>
  <conditionalFormatting sqref="E69:N75">
    <cfRule type="expression" dxfId="290" priority="13">
      <formula>AND(E69&lt;MAX(E$68:E69), NOT(ISBLANK(E69)), NOT(E69=0))</formula>
    </cfRule>
  </conditionalFormatting>
  <conditionalFormatting sqref="E68:P75">
    <cfRule type="cellIs" dxfId="289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88" priority="10">
      <formula>($D68&lt;=$S$1)</formula>
    </cfRule>
    <cfRule type="expression" dxfId="287" priority="12">
      <formula>($D68&gt;$S$1)</formula>
    </cfRule>
  </conditionalFormatting>
  <conditionalFormatting sqref="Q50:Q59 Q68:Q72 Q78:Q80">
    <cfRule type="cellIs" dxfId="286" priority="6" operator="lessThan">
      <formula>0</formula>
    </cfRule>
    <cfRule type="cellIs" dxfId="285" priority="7" operator="equal">
      <formula>0</formula>
    </cfRule>
    <cfRule type="expression" dxfId="284" priority="8">
      <formula>OR(MOD($Q50,100)=0,AND($D50=$S$1,MOD($Q50,100)=$R$2))</formula>
    </cfRule>
  </conditionalFormatting>
  <conditionalFormatting sqref="E79:N80">
    <cfRule type="expression" dxfId="283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82" priority="1" operator="notBetween">
      <formula>0</formula>
      <formula>$B$7</formula>
    </cfRule>
    <cfRule type="expression" dxfId="281" priority="4">
      <formula>($D78&lt;=$S$1)</formula>
    </cfRule>
    <cfRule type="expression" dxfId="280" priority="5">
      <formula>($D78&gt;$S$1)</formula>
    </cfRule>
  </conditionalFormatting>
  <conditionalFormatting sqref="D3:P12">
    <cfRule type="expression" dxfId="279" priority="31">
      <formula>($D3&gt;$S$1)</formula>
    </cfRule>
  </conditionalFormatting>
  <dataValidations count="2">
    <dataValidation type="list" allowBlank="1" showInputMessage="1" showErrorMessage="1" sqref="D68:D72 D78:D82 D50:D59" xr:uid="{00FE26FC-AEF7-441F-BCD1-8A6B30CF9CD4}">
      <formula1>$D$3:$D$12</formula1>
    </dataValidation>
    <dataValidation type="list" allowBlank="1" showInputMessage="1" showErrorMessage="1" sqref="C50:C59" xr:uid="{6B061315-1134-440E-9E22-72D09E106811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5761-16C8-418E-B6D2-1A67458088FA}">
  <sheetPr codeName="Feuil33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4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30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651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651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4jJ0bPMBuP4/3QqST5yQllFFVhRop8iK2RVlvdp2ADNvOKHJEgYPqN+A8ElO2N0+IlFlm6MP7J8RvV6p48AjKA==" saltValue="6NJufT/+DY2Vc/y9lf7rh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278" priority="19" operator="notEqual">
      <formula>$B$7</formula>
    </cfRule>
  </conditionalFormatting>
  <conditionalFormatting sqref="E3:P12">
    <cfRule type="expression" dxfId="277" priority="30">
      <formula>($D3&lt;=$S$1)</formula>
    </cfRule>
  </conditionalFormatting>
  <conditionalFormatting sqref="E3:Q12">
    <cfRule type="cellIs" dxfId="276" priority="18" operator="notBetween">
      <formula>0</formula>
      <formula>100</formula>
    </cfRule>
  </conditionalFormatting>
  <conditionalFormatting sqref="E3:Q14">
    <cfRule type="cellIs" dxfId="275" priority="21" operator="lessThan">
      <formula>0</formula>
    </cfRule>
  </conditionalFormatting>
  <conditionalFormatting sqref="E14:Q14">
    <cfRule type="cellIs" dxfId="274" priority="27" operator="greaterThan">
      <formula>1</formula>
    </cfRule>
  </conditionalFormatting>
  <conditionalFormatting sqref="Q3:Q12">
    <cfRule type="expression" dxfId="273" priority="22">
      <formula>AND($D3=$S$1, Q3=$R$2)</formula>
    </cfRule>
    <cfRule type="expression" dxfId="272" priority="23">
      <formula>AND($D3=$S$1, MOD(Q3,100)&gt;$R$2)</formula>
    </cfRule>
    <cfRule type="cellIs" dxfId="271" priority="24" operator="equal">
      <formula>100</formula>
    </cfRule>
  </conditionalFormatting>
  <conditionalFormatting sqref="Q3:Q13">
    <cfRule type="cellIs" dxfId="270" priority="25" operator="equal">
      <formula>0</formula>
    </cfRule>
  </conditionalFormatting>
  <conditionalFormatting sqref="Q13">
    <cfRule type="cellIs" dxfId="269" priority="29" operator="equal">
      <formula>$B$7</formula>
    </cfRule>
  </conditionalFormatting>
  <conditionalFormatting sqref="Q14">
    <cfRule type="cellIs" dxfId="268" priority="26" operator="equal">
      <formula>1</formula>
    </cfRule>
    <cfRule type="cellIs" dxfId="267" priority="28" operator="lessThan">
      <formula>1</formula>
    </cfRule>
  </conditionalFormatting>
  <conditionalFormatting sqref="W4:W15">
    <cfRule type="expression" dxfId="266" priority="32">
      <formula>AND($W4&lt;$W3, NOT(ISBLANK($W4)))</formula>
    </cfRule>
    <cfRule type="cellIs" dxfId="265" priority="33" operator="greaterThan">
      <formula>$B$6</formula>
    </cfRule>
  </conditionalFormatting>
  <conditionalFormatting sqref="X4:X15">
    <cfRule type="cellIs" dxfId="264" priority="20" operator="greaterThan">
      <formula>1</formula>
    </cfRule>
  </conditionalFormatting>
  <conditionalFormatting sqref="E51:N59">
    <cfRule type="expression" dxfId="263" priority="15">
      <formula>AND(E51&lt;MAX(E$50:E51), NOT(ISBLANK(E51)), NOT(E51=0))</formula>
    </cfRule>
  </conditionalFormatting>
  <conditionalFormatting sqref="E50:P59">
    <cfRule type="cellIs" dxfId="262" priority="14" operator="notBetween">
      <formula>0</formula>
      <formula>$B$7</formula>
    </cfRule>
    <cfRule type="expression" dxfId="261" priority="16">
      <formula>($D50&lt;=$S$1)</formula>
    </cfRule>
    <cfRule type="expression" dxfId="260" priority="17">
      <formula>($D50&gt;$S$1)</formula>
    </cfRule>
  </conditionalFormatting>
  <conditionalFormatting sqref="E69:N75">
    <cfRule type="expression" dxfId="259" priority="13">
      <formula>AND(E69&lt;MAX(E$68:E69), NOT(ISBLANK(E69)), NOT(E69=0))</formula>
    </cfRule>
  </conditionalFormatting>
  <conditionalFormatting sqref="E68:P75">
    <cfRule type="cellIs" dxfId="258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57" priority="10">
      <formula>($D68&lt;=$S$1)</formula>
    </cfRule>
    <cfRule type="expression" dxfId="256" priority="12">
      <formula>($D68&gt;$S$1)</formula>
    </cfRule>
  </conditionalFormatting>
  <conditionalFormatting sqref="Q50:Q59 Q68:Q72 Q78:Q80">
    <cfRule type="cellIs" dxfId="255" priority="6" operator="lessThan">
      <formula>0</formula>
    </cfRule>
    <cfRule type="cellIs" dxfId="254" priority="7" operator="equal">
      <formula>0</formula>
    </cfRule>
    <cfRule type="expression" dxfId="253" priority="8">
      <formula>OR(MOD($Q50,100)=0,AND($D50=$S$1,MOD($Q50,100)=$R$2))</formula>
    </cfRule>
  </conditionalFormatting>
  <conditionalFormatting sqref="E79:N80">
    <cfRule type="expression" dxfId="252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51" priority="1" operator="notBetween">
      <formula>0</formula>
      <formula>$B$7</formula>
    </cfRule>
    <cfRule type="expression" dxfId="250" priority="4">
      <formula>($D78&lt;=$S$1)</formula>
    </cfRule>
    <cfRule type="expression" dxfId="249" priority="5">
      <formula>($D78&gt;$S$1)</formula>
    </cfRule>
  </conditionalFormatting>
  <conditionalFormatting sqref="D3:P12">
    <cfRule type="expression" dxfId="248" priority="31">
      <formula>($D3&gt;$S$1)</formula>
    </cfRule>
  </conditionalFormatting>
  <dataValidations count="2">
    <dataValidation type="list" allowBlank="1" showInputMessage="1" showErrorMessage="1" sqref="D68:D72 D78:D82 D50:D59" xr:uid="{C78F6786-0EDB-4823-979A-23BA2D6095DF}">
      <formula1>$D$3:$D$12</formula1>
    </dataValidation>
    <dataValidation type="list" allowBlank="1" showInputMessage="1" showErrorMessage="1" sqref="C50:C59" xr:uid="{B3406912-7476-4625-B79F-615EEE6734D8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EA8E2-2B9E-43EE-AF70-5CE3704554A2}">
  <sheetPr codeName="Feuil34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5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671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671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Ks+/G452/RsSxCkAKYRZ91HNN1G4zMssg2UYvkTLzxTZkVI5K6GXHzk3xuhb9iUSsxjWpPQRLtztqlqlR174JQ==" saltValue="A7DGaMHxeBNGTPsEbCLo4g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247" priority="19" operator="notEqual">
      <formula>$B$7</formula>
    </cfRule>
  </conditionalFormatting>
  <conditionalFormatting sqref="E3:P12">
    <cfRule type="expression" dxfId="246" priority="30">
      <formula>($D3&lt;=$S$1)</formula>
    </cfRule>
  </conditionalFormatting>
  <conditionalFormatting sqref="E3:Q12">
    <cfRule type="cellIs" dxfId="245" priority="18" operator="notBetween">
      <formula>0</formula>
      <formula>100</formula>
    </cfRule>
  </conditionalFormatting>
  <conditionalFormatting sqref="E3:Q14">
    <cfRule type="cellIs" dxfId="244" priority="21" operator="lessThan">
      <formula>0</formula>
    </cfRule>
  </conditionalFormatting>
  <conditionalFormatting sqref="E14:Q14">
    <cfRule type="cellIs" dxfId="243" priority="27" operator="greaterThan">
      <formula>1</formula>
    </cfRule>
  </conditionalFormatting>
  <conditionalFormatting sqref="Q3:Q12">
    <cfRule type="expression" dxfId="242" priority="22">
      <formula>AND($D3=$S$1, Q3=$R$2)</formula>
    </cfRule>
    <cfRule type="expression" dxfId="241" priority="23">
      <formula>AND($D3=$S$1, MOD(Q3,100)&gt;$R$2)</formula>
    </cfRule>
    <cfRule type="cellIs" dxfId="240" priority="24" operator="equal">
      <formula>100</formula>
    </cfRule>
  </conditionalFormatting>
  <conditionalFormatting sqref="Q3:Q13">
    <cfRule type="cellIs" dxfId="239" priority="25" operator="equal">
      <formula>0</formula>
    </cfRule>
  </conditionalFormatting>
  <conditionalFormatting sqref="Q13">
    <cfRule type="cellIs" dxfId="238" priority="29" operator="equal">
      <formula>$B$7</formula>
    </cfRule>
  </conditionalFormatting>
  <conditionalFormatting sqref="Q14">
    <cfRule type="cellIs" dxfId="237" priority="26" operator="equal">
      <formula>1</formula>
    </cfRule>
    <cfRule type="cellIs" dxfId="236" priority="28" operator="lessThan">
      <formula>1</formula>
    </cfRule>
  </conditionalFormatting>
  <conditionalFormatting sqref="W4:W15">
    <cfRule type="expression" dxfId="235" priority="32">
      <formula>AND($W4&lt;$W3, NOT(ISBLANK($W4)))</formula>
    </cfRule>
    <cfRule type="cellIs" dxfId="234" priority="33" operator="greaterThan">
      <formula>$B$6</formula>
    </cfRule>
  </conditionalFormatting>
  <conditionalFormatting sqref="X4:X15">
    <cfRule type="cellIs" dxfId="233" priority="20" operator="greaterThan">
      <formula>1</formula>
    </cfRule>
  </conditionalFormatting>
  <conditionalFormatting sqref="E51:N59">
    <cfRule type="expression" dxfId="232" priority="15">
      <formula>AND(E51&lt;MAX(E$50:E51), NOT(ISBLANK(E51)), NOT(E51=0))</formula>
    </cfRule>
  </conditionalFormatting>
  <conditionalFormatting sqref="E50:P59">
    <cfRule type="cellIs" dxfId="231" priority="14" operator="notBetween">
      <formula>0</formula>
      <formula>$B$7</formula>
    </cfRule>
    <cfRule type="expression" dxfId="230" priority="16">
      <formula>($D50&lt;=$S$1)</formula>
    </cfRule>
    <cfRule type="expression" dxfId="229" priority="17">
      <formula>($D50&gt;$S$1)</formula>
    </cfRule>
  </conditionalFormatting>
  <conditionalFormatting sqref="E69:N75">
    <cfRule type="expression" dxfId="228" priority="13">
      <formula>AND(E69&lt;MAX(E$68:E69), NOT(ISBLANK(E69)), NOT(E69=0))</formula>
    </cfRule>
  </conditionalFormatting>
  <conditionalFormatting sqref="E68:P75">
    <cfRule type="cellIs" dxfId="227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226" priority="10">
      <formula>($D68&lt;=$S$1)</formula>
    </cfRule>
    <cfRule type="expression" dxfId="225" priority="12">
      <formula>($D68&gt;$S$1)</formula>
    </cfRule>
  </conditionalFormatting>
  <conditionalFormatting sqref="Q50:Q59 Q68:Q72 Q78:Q80">
    <cfRule type="cellIs" dxfId="224" priority="6" operator="lessThan">
      <formula>0</formula>
    </cfRule>
    <cfRule type="cellIs" dxfId="223" priority="7" operator="equal">
      <formula>0</formula>
    </cfRule>
    <cfRule type="expression" dxfId="222" priority="8">
      <formula>OR(MOD($Q50,100)=0,AND($D50=$S$1,MOD($Q50,100)=$R$2))</formula>
    </cfRule>
  </conditionalFormatting>
  <conditionalFormatting sqref="E79:N80">
    <cfRule type="expression" dxfId="221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220" priority="1" operator="notBetween">
      <formula>0</formula>
      <formula>$B$7</formula>
    </cfRule>
    <cfRule type="expression" dxfId="219" priority="4">
      <formula>($D78&lt;=$S$1)</formula>
    </cfRule>
    <cfRule type="expression" dxfId="218" priority="5">
      <formula>($D78&gt;$S$1)</formula>
    </cfRule>
  </conditionalFormatting>
  <conditionalFormatting sqref="D3:P12">
    <cfRule type="expression" dxfId="217" priority="31">
      <formula>($D3&gt;$S$1)</formula>
    </cfRule>
  </conditionalFormatting>
  <dataValidations count="2">
    <dataValidation type="list" allowBlank="1" showInputMessage="1" showErrorMessage="1" sqref="D68:D72 D78:D82 D50:D59" xr:uid="{22F1DE9C-D60D-45C1-B9E5-6129CD8ECF21}">
      <formula1>$D$3:$D$12</formula1>
    </dataValidation>
    <dataValidation type="list" allowBlank="1" showInputMessage="1" showErrorMessage="1" sqref="C50:C59" xr:uid="{525B9943-9BC0-4B66-A205-1A0D1076F565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DF9-03FE-4EB6-AE04-F02F90C9DB39}">
  <sheetPr codeName="Feuil35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6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687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687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i2wZwkyAG+7kEnicuTYGbGmedWkSg60R1lYzZbfJbZjx/PseDyZxvc9NQ7EPeec/mH87AHjoER3Pj8PfWgChYg==" saltValue="fKrPOf2GGhP0YS6WdMZ8QQ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216" priority="19" operator="notEqual">
      <formula>$B$7</formula>
    </cfRule>
  </conditionalFormatting>
  <conditionalFormatting sqref="E3:P12">
    <cfRule type="expression" dxfId="215" priority="30">
      <formula>($D3&lt;=$S$1)</formula>
    </cfRule>
  </conditionalFormatting>
  <conditionalFormatting sqref="E3:Q12">
    <cfRule type="cellIs" dxfId="214" priority="18" operator="notBetween">
      <formula>0</formula>
      <formula>100</formula>
    </cfRule>
  </conditionalFormatting>
  <conditionalFormatting sqref="E3:Q14">
    <cfRule type="cellIs" dxfId="213" priority="21" operator="lessThan">
      <formula>0</formula>
    </cfRule>
  </conditionalFormatting>
  <conditionalFormatting sqref="E14:Q14">
    <cfRule type="cellIs" dxfId="212" priority="27" operator="greaterThan">
      <formula>1</formula>
    </cfRule>
  </conditionalFormatting>
  <conditionalFormatting sqref="Q3:Q12">
    <cfRule type="expression" dxfId="211" priority="22">
      <formula>AND($D3=$S$1, Q3=$R$2)</formula>
    </cfRule>
    <cfRule type="expression" dxfId="210" priority="23">
      <formula>AND($D3=$S$1, MOD(Q3,100)&gt;$R$2)</formula>
    </cfRule>
    <cfRule type="cellIs" dxfId="209" priority="24" operator="equal">
      <formula>100</formula>
    </cfRule>
  </conditionalFormatting>
  <conditionalFormatting sqref="Q3:Q13">
    <cfRule type="cellIs" dxfId="208" priority="25" operator="equal">
      <formula>0</formula>
    </cfRule>
  </conditionalFormatting>
  <conditionalFormatting sqref="Q13">
    <cfRule type="cellIs" dxfId="207" priority="29" operator="equal">
      <formula>$B$7</formula>
    </cfRule>
  </conditionalFormatting>
  <conditionalFormatting sqref="Q14">
    <cfRule type="cellIs" dxfId="206" priority="26" operator="equal">
      <formula>1</formula>
    </cfRule>
    <cfRule type="cellIs" dxfId="205" priority="28" operator="lessThan">
      <formula>1</formula>
    </cfRule>
  </conditionalFormatting>
  <conditionalFormatting sqref="W4:W15">
    <cfRule type="expression" dxfId="204" priority="32">
      <formula>AND($W4&lt;$W3, NOT(ISBLANK($W4)))</formula>
    </cfRule>
    <cfRule type="cellIs" dxfId="203" priority="33" operator="greaterThan">
      <formula>$B$6</formula>
    </cfRule>
  </conditionalFormatting>
  <conditionalFormatting sqref="X4:X15">
    <cfRule type="cellIs" dxfId="202" priority="20" operator="greaterThan">
      <formula>1</formula>
    </cfRule>
  </conditionalFormatting>
  <conditionalFormatting sqref="E51:N59">
    <cfRule type="expression" dxfId="201" priority="15">
      <formula>AND(E51&lt;MAX(E$50:E51), NOT(ISBLANK(E51)), NOT(E51=0))</formula>
    </cfRule>
  </conditionalFormatting>
  <conditionalFormatting sqref="E50:P59">
    <cfRule type="cellIs" dxfId="200" priority="14" operator="notBetween">
      <formula>0</formula>
      <formula>$B$7</formula>
    </cfRule>
    <cfRule type="expression" dxfId="199" priority="16">
      <formula>($D50&lt;=$S$1)</formula>
    </cfRule>
    <cfRule type="expression" dxfId="198" priority="17">
      <formula>($D50&gt;$S$1)</formula>
    </cfRule>
  </conditionalFormatting>
  <conditionalFormatting sqref="E69:N75">
    <cfRule type="expression" dxfId="197" priority="13">
      <formula>AND(E69&lt;MAX(E$68:E69), NOT(ISBLANK(E69)), NOT(E69=0))</formula>
    </cfRule>
  </conditionalFormatting>
  <conditionalFormatting sqref="E68:P75">
    <cfRule type="cellIs" dxfId="196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95" priority="10">
      <formula>($D68&lt;=$S$1)</formula>
    </cfRule>
    <cfRule type="expression" dxfId="194" priority="12">
      <formula>($D68&gt;$S$1)</formula>
    </cfRule>
  </conditionalFormatting>
  <conditionalFormatting sqref="Q50:Q59 Q68:Q72 Q78:Q80">
    <cfRule type="cellIs" dxfId="193" priority="6" operator="lessThan">
      <formula>0</formula>
    </cfRule>
    <cfRule type="cellIs" dxfId="192" priority="7" operator="equal">
      <formula>0</formula>
    </cfRule>
    <cfRule type="expression" dxfId="191" priority="8">
      <formula>OR(MOD($Q50,100)=0,AND($D50=$S$1,MOD($Q50,100)=$R$2))</formula>
    </cfRule>
  </conditionalFormatting>
  <conditionalFormatting sqref="E79:N80">
    <cfRule type="expression" dxfId="190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89" priority="1" operator="notBetween">
      <formula>0</formula>
      <formula>$B$7</formula>
    </cfRule>
    <cfRule type="expression" dxfId="188" priority="4">
      <formula>($D78&lt;=$S$1)</formula>
    </cfRule>
    <cfRule type="expression" dxfId="187" priority="5">
      <formula>($D78&gt;$S$1)</formula>
    </cfRule>
  </conditionalFormatting>
  <conditionalFormatting sqref="D3:P12">
    <cfRule type="expression" dxfId="186" priority="31">
      <formula>($D3&gt;$S$1)</formula>
    </cfRule>
  </conditionalFormatting>
  <dataValidations count="2">
    <dataValidation type="list" allowBlank="1" showInputMessage="1" showErrorMessage="1" sqref="D68:D72 D78:D82 D50:D59" xr:uid="{EBE4CE72-29E8-435C-87D2-1EC8DAED87FF}">
      <formula1>$D$3:$D$12</formula1>
    </dataValidation>
    <dataValidation type="list" allowBlank="1" showInputMessage="1" showErrorMessage="1" sqref="C50:C59" xr:uid="{4F934AA4-FEF1-40D6-917D-A1DEF99B513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0A86-FA12-486A-A62E-E3731D2562D7}">
  <sheetPr codeName="Feuil36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7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692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692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PELfS8S0CpyxVErnKwzez+mA/Ue5LWJo06XtEn8AfSya7Zg2lv/HQH6fsjZXZIhIUytyIaPbOPwupWlb8ioz+g==" saltValue="9sbf11nG9Js4ZNU/blUpFg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185" priority="19" operator="notEqual">
      <formula>$B$7</formula>
    </cfRule>
  </conditionalFormatting>
  <conditionalFormatting sqref="E3:P12">
    <cfRule type="expression" dxfId="184" priority="30">
      <formula>($D3&lt;=$S$1)</formula>
    </cfRule>
  </conditionalFormatting>
  <conditionalFormatting sqref="E3:Q12">
    <cfRule type="cellIs" dxfId="183" priority="18" operator="notBetween">
      <formula>0</formula>
      <formula>100</formula>
    </cfRule>
  </conditionalFormatting>
  <conditionalFormatting sqref="E3:Q14">
    <cfRule type="cellIs" dxfId="182" priority="21" operator="lessThan">
      <formula>0</formula>
    </cfRule>
  </conditionalFormatting>
  <conditionalFormatting sqref="E14:Q14">
    <cfRule type="cellIs" dxfId="181" priority="27" operator="greaterThan">
      <formula>1</formula>
    </cfRule>
  </conditionalFormatting>
  <conditionalFormatting sqref="Q3:Q12">
    <cfRule type="expression" dxfId="180" priority="22">
      <formula>AND($D3=$S$1, Q3=$R$2)</formula>
    </cfRule>
    <cfRule type="expression" dxfId="179" priority="23">
      <formula>AND($D3=$S$1, MOD(Q3,100)&gt;$R$2)</formula>
    </cfRule>
    <cfRule type="cellIs" dxfId="178" priority="24" operator="equal">
      <formula>100</formula>
    </cfRule>
  </conditionalFormatting>
  <conditionalFormatting sqref="Q3:Q13">
    <cfRule type="cellIs" dxfId="177" priority="25" operator="equal">
      <formula>0</formula>
    </cfRule>
  </conditionalFormatting>
  <conditionalFormatting sqref="Q13">
    <cfRule type="cellIs" dxfId="176" priority="29" operator="equal">
      <formula>$B$7</formula>
    </cfRule>
  </conditionalFormatting>
  <conditionalFormatting sqref="Q14">
    <cfRule type="cellIs" dxfId="175" priority="26" operator="equal">
      <formula>1</formula>
    </cfRule>
    <cfRule type="cellIs" dxfId="174" priority="28" operator="lessThan">
      <formula>1</formula>
    </cfRule>
  </conditionalFormatting>
  <conditionalFormatting sqref="W4:W15">
    <cfRule type="expression" dxfId="173" priority="32">
      <formula>AND($W4&lt;$W3, NOT(ISBLANK($W4)))</formula>
    </cfRule>
    <cfRule type="cellIs" dxfId="172" priority="33" operator="greaterThan">
      <formula>$B$6</formula>
    </cfRule>
  </conditionalFormatting>
  <conditionalFormatting sqref="X4:X15">
    <cfRule type="cellIs" dxfId="171" priority="20" operator="greaterThan">
      <formula>1</formula>
    </cfRule>
  </conditionalFormatting>
  <conditionalFormatting sqref="E51:N59">
    <cfRule type="expression" dxfId="170" priority="15">
      <formula>AND(E51&lt;MAX(E$50:E51), NOT(ISBLANK(E51)), NOT(E51=0))</formula>
    </cfRule>
  </conditionalFormatting>
  <conditionalFormatting sqref="E50:P59">
    <cfRule type="cellIs" dxfId="169" priority="14" operator="notBetween">
      <formula>0</formula>
      <formula>$B$7</formula>
    </cfRule>
    <cfRule type="expression" dxfId="168" priority="16">
      <formula>($D50&lt;=$S$1)</formula>
    </cfRule>
    <cfRule type="expression" dxfId="167" priority="17">
      <formula>($D50&gt;$S$1)</formula>
    </cfRule>
  </conditionalFormatting>
  <conditionalFormatting sqref="E69:N75">
    <cfRule type="expression" dxfId="166" priority="13">
      <formula>AND(E69&lt;MAX(E$68:E69), NOT(ISBLANK(E69)), NOT(E69=0))</formula>
    </cfRule>
  </conditionalFormatting>
  <conditionalFormatting sqref="E68:P75">
    <cfRule type="cellIs" dxfId="165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64" priority="10">
      <formula>($D68&lt;=$S$1)</formula>
    </cfRule>
    <cfRule type="expression" dxfId="163" priority="12">
      <formula>($D68&gt;$S$1)</formula>
    </cfRule>
  </conditionalFormatting>
  <conditionalFormatting sqref="Q50:Q59 Q68:Q72 Q78:Q80">
    <cfRule type="cellIs" dxfId="162" priority="6" operator="lessThan">
      <formula>0</formula>
    </cfRule>
    <cfRule type="cellIs" dxfId="161" priority="7" operator="equal">
      <formula>0</formula>
    </cfRule>
    <cfRule type="expression" dxfId="160" priority="8">
      <formula>OR(MOD($Q50,100)=0,AND($D50=$S$1,MOD($Q50,100)=$R$2))</formula>
    </cfRule>
  </conditionalFormatting>
  <conditionalFormatting sqref="E79:N80">
    <cfRule type="expression" dxfId="159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58" priority="1" operator="notBetween">
      <formula>0</formula>
      <formula>$B$7</formula>
    </cfRule>
    <cfRule type="expression" dxfId="157" priority="4">
      <formula>($D78&lt;=$S$1)</formula>
    </cfRule>
    <cfRule type="expression" dxfId="156" priority="5">
      <formula>($D78&gt;$S$1)</formula>
    </cfRule>
  </conditionalFormatting>
  <conditionalFormatting sqref="D3:P12">
    <cfRule type="expression" dxfId="155" priority="31">
      <formula>($D3&gt;$S$1)</formula>
    </cfRule>
  </conditionalFormatting>
  <dataValidations count="2">
    <dataValidation type="list" allowBlank="1" showInputMessage="1" showErrorMessage="1" sqref="D68:D72 D78:D82 D50:D59" xr:uid="{F5BE0A64-D412-4F26-8993-2A12502E3DD2}">
      <formula1>$D$3:$D$12</formula1>
    </dataValidation>
    <dataValidation type="list" allowBlank="1" showInputMessage="1" showErrorMessage="1" sqref="C50:C59" xr:uid="{5D7038B6-42EC-4A06-B8EF-A8B8B011F6C9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E88C-4FC7-4016-84B6-15F82A3BD5D9}">
  <sheetPr codeName="Feuil37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8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31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620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620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beWyWbwH/DnZrtcfzbnQjE7Gv7QJ2OKDCly16QAevbILKYfBN+hznuwQvRII7MMDqumb9XSo9aZu2lC3sepn9w==" saltValue="8vWaoh5BA6xlJF+qo6R9q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154" priority="19" operator="notEqual">
      <formula>$B$7</formula>
    </cfRule>
  </conditionalFormatting>
  <conditionalFormatting sqref="E3:P12">
    <cfRule type="expression" dxfId="153" priority="30">
      <formula>($D3&lt;=$S$1)</formula>
    </cfRule>
  </conditionalFormatting>
  <conditionalFormatting sqref="E3:Q12">
    <cfRule type="cellIs" dxfId="152" priority="18" operator="notBetween">
      <formula>0</formula>
      <formula>100</formula>
    </cfRule>
  </conditionalFormatting>
  <conditionalFormatting sqref="E3:Q14">
    <cfRule type="cellIs" dxfId="151" priority="21" operator="lessThan">
      <formula>0</formula>
    </cfRule>
  </conditionalFormatting>
  <conditionalFormatting sqref="E14:Q14">
    <cfRule type="cellIs" dxfId="150" priority="27" operator="greaterThan">
      <formula>1</formula>
    </cfRule>
  </conditionalFormatting>
  <conditionalFormatting sqref="Q3:Q12">
    <cfRule type="expression" dxfId="149" priority="22">
      <formula>AND($D3=$S$1, Q3=$R$2)</formula>
    </cfRule>
    <cfRule type="expression" dxfId="148" priority="23">
      <formula>AND($D3=$S$1, MOD(Q3,100)&gt;$R$2)</formula>
    </cfRule>
    <cfRule type="cellIs" dxfId="147" priority="24" operator="equal">
      <formula>100</formula>
    </cfRule>
  </conditionalFormatting>
  <conditionalFormatting sqref="Q3:Q13">
    <cfRule type="cellIs" dxfId="146" priority="25" operator="equal">
      <formula>0</formula>
    </cfRule>
  </conditionalFormatting>
  <conditionalFormatting sqref="Q13">
    <cfRule type="cellIs" dxfId="145" priority="29" operator="equal">
      <formula>$B$7</formula>
    </cfRule>
  </conditionalFormatting>
  <conditionalFormatting sqref="Q14">
    <cfRule type="cellIs" dxfId="144" priority="26" operator="equal">
      <formula>1</formula>
    </cfRule>
    <cfRule type="cellIs" dxfId="143" priority="28" operator="lessThan">
      <formula>1</formula>
    </cfRule>
  </conditionalFormatting>
  <conditionalFormatting sqref="W4:W15">
    <cfRule type="expression" dxfId="142" priority="32">
      <formula>AND($W4&lt;$W3, NOT(ISBLANK($W4)))</formula>
    </cfRule>
    <cfRule type="cellIs" dxfId="141" priority="33" operator="greaterThan">
      <formula>$B$6</formula>
    </cfRule>
  </conditionalFormatting>
  <conditionalFormatting sqref="X4:X15">
    <cfRule type="cellIs" dxfId="140" priority="20" operator="greaterThan">
      <formula>1</formula>
    </cfRule>
  </conditionalFormatting>
  <conditionalFormatting sqref="E51:N59">
    <cfRule type="expression" dxfId="139" priority="15">
      <formula>AND(E51&lt;MAX(E$50:E51), NOT(ISBLANK(E51)), NOT(E51=0))</formula>
    </cfRule>
  </conditionalFormatting>
  <conditionalFormatting sqref="E50:P59">
    <cfRule type="cellIs" dxfId="138" priority="14" operator="notBetween">
      <formula>0</formula>
      <formula>$B$7</formula>
    </cfRule>
    <cfRule type="expression" dxfId="137" priority="16">
      <formula>($D50&lt;=$S$1)</formula>
    </cfRule>
    <cfRule type="expression" dxfId="136" priority="17">
      <formula>($D50&gt;$S$1)</formula>
    </cfRule>
  </conditionalFormatting>
  <conditionalFormatting sqref="E69:N75">
    <cfRule type="expression" dxfId="135" priority="13">
      <formula>AND(E69&lt;MAX(E$68:E69), NOT(ISBLANK(E69)), NOT(E69=0))</formula>
    </cfRule>
  </conditionalFormatting>
  <conditionalFormatting sqref="E68:P75">
    <cfRule type="cellIs" dxfId="134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33" priority="10">
      <formula>($D68&lt;=$S$1)</formula>
    </cfRule>
    <cfRule type="expression" dxfId="132" priority="12">
      <formula>($D68&gt;$S$1)</formula>
    </cfRule>
  </conditionalFormatting>
  <conditionalFormatting sqref="Q50:Q59 Q68:Q72 Q78:Q80">
    <cfRule type="cellIs" dxfId="131" priority="6" operator="lessThan">
      <formula>0</formula>
    </cfRule>
    <cfRule type="cellIs" dxfId="130" priority="7" operator="equal">
      <formula>0</formula>
    </cfRule>
    <cfRule type="expression" dxfId="129" priority="8">
      <formula>OR(MOD($Q50,100)=0,AND($D50=$S$1,MOD($Q50,100)=$R$2))</formula>
    </cfRule>
  </conditionalFormatting>
  <conditionalFormatting sqref="E79:N80">
    <cfRule type="expression" dxfId="128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127" priority="1" operator="notBetween">
      <formula>0</formula>
      <formula>$B$7</formula>
    </cfRule>
    <cfRule type="expression" dxfId="126" priority="4">
      <formula>($D78&lt;=$S$1)</formula>
    </cfRule>
    <cfRule type="expression" dxfId="125" priority="5">
      <formula>($D78&gt;$S$1)</formula>
    </cfRule>
  </conditionalFormatting>
  <conditionalFormatting sqref="D3:P12">
    <cfRule type="expression" dxfId="124" priority="31">
      <formula>($D3&gt;$S$1)</formula>
    </cfRule>
  </conditionalFormatting>
  <dataValidations count="2">
    <dataValidation type="list" allowBlank="1" showInputMessage="1" showErrorMessage="1" sqref="D68:D72 D78:D82 D50:D59" xr:uid="{E1516C2E-ED14-4F16-8191-8A3F00562333}">
      <formula1>$D$3:$D$12</formula1>
    </dataValidation>
    <dataValidation type="list" allowBlank="1" showInputMessage="1" showErrorMessage="1" sqref="C50:C59" xr:uid="{D8C4E003-89C0-42C5-8B99-76F0D92829E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1234-9E6F-4E43-9E14-55EF3E743695}">
  <sheetPr codeName="Feuil38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9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671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671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bzCgI7wws+DngWk+EwVFjBk1QAlgz3fUJK5xJAYUjsncdEREO4uzsLDqklkwdR3pwoIojE3CRFextz4CgRc8cA==" saltValue="vxLnIoUS6NZ5y0IQ5XM5I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123" priority="19" operator="notEqual">
      <formula>$B$7</formula>
    </cfRule>
  </conditionalFormatting>
  <conditionalFormatting sqref="E3:P12">
    <cfRule type="expression" dxfId="122" priority="30">
      <formula>($D3&lt;=$S$1)</formula>
    </cfRule>
  </conditionalFormatting>
  <conditionalFormatting sqref="E3:Q12">
    <cfRule type="cellIs" dxfId="121" priority="18" operator="notBetween">
      <formula>0</formula>
      <formula>100</formula>
    </cfRule>
  </conditionalFormatting>
  <conditionalFormatting sqref="E3:Q14">
    <cfRule type="cellIs" dxfId="120" priority="21" operator="lessThan">
      <formula>0</formula>
    </cfRule>
  </conditionalFormatting>
  <conditionalFormatting sqref="E14:Q14">
    <cfRule type="cellIs" dxfId="119" priority="27" operator="greaterThan">
      <formula>1</formula>
    </cfRule>
  </conditionalFormatting>
  <conditionalFormatting sqref="Q3:Q12">
    <cfRule type="expression" dxfId="118" priority="22">
      <formula>AND($D3=$S$1, Q3=$R$2)</formula>
    </cfRule>
    <cfRule type="expression" dxfId="117" priority="23">
      <formula>AND($D3=$S$1, MOD(Q3,100)&gt;$R$2)</formula>
    </cfRule>
    <cfRule type="cellIs" dxfId="116" priority="24" operator="equal">
      <formula>100</formula>
    </cfRule>
  </conditionalFormatting>
  <conditionalFormatting sqref="Q3:Q13">
    <cfRule type="cellIs" dxfId="115" priority="25" operator="equal">
      <formula>0</formula>
    </cfRule>
  </conditionalFormatting>
  <conditionalFormatting sqref="Q13">
    <cfRule type="cellIs" dxfId="114" priority="29" operator="equal">
      <formula>$B$7</formula>
    </cfRule>
  </conditionalFormatting>
  <conditionalFormatting sqref="Q14">
    <cfRule type="cellIs" dxfId="113" priority="26" operator="equal">
      <formula>1</formula>
    </cfRule>
    <cfRule type="cellIs" dxfId="112" priority="28" operator="lessThan">
      <formula>1</formula>
    </cfRule>
  </conditionalFormatting>
  <conditionalFormatting sqref="W4:W15">
    <cfRule type="expression" dxfId="111" priority="32">
      <formula>AND($W4&lt;$W3, NOT(ISBLANK($W4)))</formula>
    </cfRule>
    <cfRule type="cellIs" dxfId="110" priority="33" operator="greaterThan">
      <formula>$B$6</formula>
    </cfRule>
  </conditionalFormatting>
  <conditionalFormatting sqref="X4:X15">
    <cfRule type="cellIs" dxfId="109" priority="20" operator="greaterThan">
      <formula>1</formula>
    </cfRule>
  </conditionalFormatting>
  <conditionalFormatting sqref="E51:N59">
    <cfRule type="expression" dxfId="108" priority="15">
      <formula>AND(E51&lt;MAX(E$50:E51), NOT(ISBLANK(E51)), NOT(E51=0))</formula>
    </cfRule>
  </conditionalFormatting>
  <conditionalFormatting sqref="E50:P59">
    <cfRule type="cellIs" dxfId="107" priority="14" operator="notBetween">
      <formula>0</formula>
      <formula>$B$7</formula>
    </cfRule>
    <cfRule type="expression" dxfId="106" priority="16">
      <formula>($D50&lt;=$S$1)</formula>
    </cfRule>
    <cfRule type="expression" dxfId="105" priority="17">
      <formula>($D50&gt;$S$1)</formula>
    </cfRule>
  </conditionalFormatting>
  <conditionalFormatting sqref="E69:N75">
    <cfRule type="expression" dxfId="104" priority="13">
      <formula>AND(E69&lt;MAX(E$68:E69), NOT(ISBLANK(E69)), NOT(E69=0))</formula>
    </cfRule>
  </conditionalFormatting>
  <conditionalFormatting sqref="E68:P75">
    <cfRule type="cellIs" dxfId="103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102" priority="10">
      <formula>($D68&lt;=$S$1)</formula>
    </cfRule>
    <cfRule type="expression" dxfId="101" priority="12">
      <formula>($D68&gt;$S$1)</formula>
    </cfRule>
  </conditionalFormatting>
  <conditionalFormatting sqref="Q50:Q59 Q68:Q72 Q78:Q80">
    <cfRule type="cellIs" dxfId="100" priority="6" operator="lessThan">
      <formula>0</formula>
    </cfRule>
    <cfRule type="cellIs" dxfId="99" priority="7" operator="equal">
      <formula>0</formula>
    </cfRule>
    <cfRule type="expression" dxfId="98" priority="8">
      <formula>OR(MOD($Q50,100)=0,AND($D50=$S$1,MOD($Q50,100)=$R$2))</formula>
    </cfRule>
  </conditionalFormatting>
  <conditionalFormatting sqref="E79:N80">
    <cfRule type="expression" dxfId="97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96" priority="1" operator="notBetween">
      <formula>0</formula>
      <formula>$B$7</formula>
    </cfRule>
    <cfRule type="expression" dxfId="95" priority="4">
      <formula>($D78&lt;=$S$1)</formula>
    </cfRule>
    <cfRule type="expression" dxfId="94" priority="5">
      <formula>($D78&gt;$S$1)</formula>
    </cfRule>
  </conditionalFormatting>
  <conditionalFormatting sqref="D3:P12">
    <cfRule type="expression" dxfId="93" priority="31">
      <formula>($D3&gt;$S$1)</formula>
    </cfRule>
  </conditionalFormatting>
  <dataValidations count="2">
    <dataValidation type="list" allowBlank="1" showInputMessage="1" showErrorMessage="1" sqref="D68:D72 D78:D82 D50:D59" xr:uid="{365E1B18-93DF-469B-B406-51C341F04923}">
      <formula1>$D$3:$D$12</formula1>
    </dataValidation>
    <dataValidation type="list" allowBlank="1" showInputMessage="1" showErrorMessage="1" sqref="C50:C59" xr:uid="{7B3AEF1D-050D-4510-859B-7DF87BE32240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DAA88-C9AC-411E-B9B0-6327A218F57F}">
  <sheetPr codeName="Feuil39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6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2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10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581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581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 t="str">
        <f t="shared" si="6"/>
        <v>Choisir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kiSQWl+mkOn5D8HAQYjXgLooSqjrxSkyJFfmqGuv8k6DULryEAmGS1QGKo+GtiYyUSjoBajAeQ0qo2W5KAfHEQ==" saltValue="mPIQz2JMXnMQHGrBkn33y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92" priority="19" operator="notEqual">
      <formula>$B$7</formula>
    </cfRule>
  </conditionalFormatting>
  <conditionalFormatting sqref="E3:P12">
    <cfRule type="expression" dxfId="91" priority="30">
      <formula>($D3&lt;=$S$1)</formula>
    </cfRule>
  </conditionalFormatting>
  <conditionalFormatting sqref="E3:Q12">
    <cfRule type="cellIs" dxfId="90" priority="18" operator="notBetween">
      <formula>0</formula>
      <formula>100</formula>
    </cfRule>
  </conditionalFormatting>
  <conditionalFormatting sqref="E3:Q14">
    <cfRule type="cellIs" dxfId="89" priority="21" operator="lessThan">
      <formula>0</formula>
    </cfRule>
  </conditionalFormatting>
  <conditionalFormatting sqref="E14:Q14">
    <cfRule type="cellIs" dxfId="88" priority="27" operator="greaterThan">
      <formula>1</formula>
    </cfRule>
  </conditionalFormatting>
  <conditionalFormatting sqref="Q3:Q12">
    <cfRule type="expression" dxfId="87" priority="22">
      <formula>AND($D3=$S$1, Q3=$R$2)</formula>
    </cfRule>
    <cfRule type="expression" dxfId="86" priority="23">
      <formula>AND($D3=$S$1, MOD(Q3,100)&gt;$R$2)</formula>
    </cfRule>
    <cfRule type="cellIs" dxfId="85" priority="24" operator="equal">
      <formula>100</formula>
    </cfRule>
  </conditionalFormatting>
  <conditionalFormatting sqref="Q3:Q13">
    <cfRule type="cellIs" dxfId="84" priority="25" operator="equal">
      <formula>0</formula>
    </cfRule>
  </conditionalFormatting>
  <conditionalFormatting sqref="Q13">
    <cfRule type="cellIs" dxfId="83" priority="29" operator="equal">
      <formula>$B$7</formula>
    </cfRule>
  </conditionalFormatting>
  <conditionalFormatting sqref="Q14">
    <cfRule type="cellIs" dxfId="82" priority="26" operator="equal">
      <formula>1</formula>
    </cfRule>
    <cfRule type="cellIs" dxfId="81" priority="28" operator="lessThan">
      <formula>1</formula>
    </cfRule>
  </conditionalFormatting>
  <conditionalFormatting sqref="W4:W15">
    <cfRule type="expression" dxfId="80" priority="32">
      <formula>AND($W4&lt;$W3, NOT(ISBLANK($W4)))</formula>
    </cfRule>
    <cfRule type="cellIs" dxfId="79" priority="33" operator="greaterThan">
      <formula>$B$6</formula>
    </cfRule>
  </conditionalFormatting>
  <conditionalFormatting sqref="X4:X15">
    <cfRule type="cellIs" dxfId="78" priority="20" operator="greaterThan">
      <formula>1</formula>
    </cfRule>
  </conditionalFormatting>
  <conditionalFormatting sqref="E51:N59">
    <cfRule type="expression" dxfId="77" priority="15">
      <formula>AND(E51&lt;MAX(E$50:E51), NOT(ISBLANK(E51)), NOT(E51=0))</formula>
    </cfRule>
  </conditionalFormatting>
  <conditionalFormatting sqref="E50:P59">
    <cfRule type="cellIs" dxfId="76" priority="14" operator="notBetween">
      <formula>0</formula>
      <formula>$B$7</formula>
    </cfRule>
    <cfRule type="expression" dxfId="75" priority="16">
      <formula>($D50&lt;=$S$1)</formula>
    </cfRule>
    <cfRule type="expression" dxfId="74" priority="17">
      <formula>($D50&gt;$S$1)</formula>
    </cfRule>
  </conditionalFormatting>
  <conditionalFormatting sqref="E69:N75">
    <cfRule type="expression" dxfId="73" priority="13">
      <formula>AND(E69&lt;MAX(E$68:E69), NOT(ISBLANK(E69)), NOT(E69=0))</formula>
    </cfRule>
  </conditionalFormatting>
  <conditionalFormatting sqref="E68:P75">
    <cfRule type="cellIs" dxfId="72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71" priority="10">
      <formula>($D68&lt;=$S$1)</formula>
    </cfRule>
    <cfRule type="expression" dxfId="70" priority="12">
      <formula>($D68&gt;$S$1)</formula>
    </cfRule>
  </conditionalFormatting>
  <conditionalFormatting sqref="Q50:Q59 Q68:Q72 Q78:Q80">
    <cfRule type="cellIs" dxfId="69" priority="6" operator="lessThan">
      <formula>0</formula>
    </cfRule>
    <cfRule type="cellIs" dxfId="68" priority="7" operator="equal">
      <formula>0</formula>
    </cfRule>
    <cfRule type="expression" dxfId="67" priority="8">
      <formula>OR(MOD($Q50,100)=0,AND($D50=$S$1,MOD($Q50,100)=$R$2))</formula>
    </cfRule>
  </conditionalFormatting>
  <conditionalFormatting sqref="E79:N80">
    <cfRule type="expression" dxfId="66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65" priority="1" operator="notBetween">
      <formula>0</formula>
      <formula>$B$7</formula>
    </cfRule>
    <cfRule type="expression" dxfId="64" priority="4">
      <formula>($D78&lt;=$S$1)</formula>
    </cfRule>
    <cfRule type="expression" dxfId="63" priority="5">
      <formula>($D78&gt;$S$1)</formula>
    </cfRule>
  </conditionalFormatting>
  <conditionalFormatting sqref="D3:P12">
    <cfRule type="expression" dxfId="62" priority="31">
      <formula>($D3&gt;$S$1)</formula>
    </cfRule>
  </conditionalFormatting>
  <dataValidations count="2">
    <dataValidation type="list" allowBlank="1" showInputMessage="1" showErrorMessage="1" sqref="D68:D72 D78:D82 D50:D59" xr:uid="{5C360EF1-2904-44D8-97B9-D8E02AB84857}">
      <formula1>$D$3:$D$12</formula1>
    </dataValidation>
    <dataValidation type="list" allowBlank="1" showInputMessage="1" showErrorMessage="1" sqref="C50:C59" xr:uid="{CAF1AFDD-CB2C-4ED3-BEF9-BAD9532B0144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E32B1-0C8F-4D46-8F87-B62BE6E0E489}">
  <sheetPr codeName="Feuil40">
    <tabColor rgb="FFB4A7D6"/>
  </sheetPr>
  <dimension ref="A1:AA82"/>
  <sheetViews>
    <sheetView topLeftCell="A8"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11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32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649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649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oafJZVWsdxCdUOz0tBVztSWYwPA1LrERLVZlxV8go+Wi+1ef6r6mHHKK8cmxcr3jIiRlrPBK9+lHHD3LdXX6cw==" saltValue="bb1ecY7/FE5CwH0jTY2W4Q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61" priority="19" operator="notEqual">
      <formula>$B$7</formula>
    </cfRule>
  </conditionalFormatting>
  <conditionalFormatting sqref="E3:P12">
    <cfRule type="expression" dxfId="60" priority="30">
      <formula>($D3&lt;=$S$1)</formula>
    </cfRule>
  </conditionalFormatting>
  <conditionalFormatting sqref="E3:Q12">
    <cfRule type="cellIs" dxfId="59" priority="18" operator="notBetween">
      <formula>0</formula>
      <formula>100</formula>
    </cfRule>
  </conditionalFormatting>
  <conditionalFormatting sqref="E3:Q14">
    <cfRule type="cellIs" dxfId="58" priority="21" operator="lessThan">
      <formula>0</formula>
    </cfRule>
  </conditionalFormatting>
  <conditionalFormatting sqref="E14:Q14">
    <cfRule type="cellIs" dxfId="57" priority="27" operator="greaterThan">
      <formula>1</formula>
    </cfRule>
  </conditionalFormatting>
  <conditionalFormatting sqref="Q3:Q12">
    <cfRule type="expression" dxfId="56" priority="22">
      <formula>AND($D3=$S$1, Q3=$R$2)</formula>
    </cfRule>
    <cfRule type="expression" dxfId="55" priority="23">
      <formula>AND($D3=$S$1, MOD(Q3,100)&gt;$R$2)</formula>
    </cfRule>
    <cfRule type="cellIs" dxfId="54" priority="24" operator="equal">
      <formula>100</formula>
    </cfRule>
  </conditionalFormatting>
  <conditionalFormatting sqref="Q3:Q13">
    <cfRule type="cellIs" dxfId="53" priority="25" operator="equal">
      <formula>0</formula>
    </cfRule>
  </conditionalFormatting>
  <conditionalFormatting sqref="Q13">
    <cfRule type="cellIs" dxfId="52" priority="29" operator="equal">
      <formula>$B$7</formula>
    </cfRule>
  </conditionalFormatting>
  <conditionalFormatting sqref="Q14">
    <cfRule type="cellIs" dxfId="51" priority="26" operator="equal">
      <formula>1</formula>
    </cfRule>
    <cfRule type="cellIs" dxfId="50" priority="28" operator="lessThan">
      <formula>1</formula>
    </cfRule>
  </conditionalFormatting>
  <conditionalFormatting sqref="W4:W15">
    <cfRule type="expression" dxfId="49" priority="32">
      <formula>AND($W4&lt;$W3, NOT(ISBLANK($W4)))</formula>
    </cfRule>
    <cfRule type="cellIs" dxfId="48" priority="33" operator="greaterThan">
      <formula>$B$6</formula>
    </cfRule>
  </conditionalFormatting>
  <conditionalFormatting sqref="X4:X15">
    <cfRule type="cellIs" dxfId="47" priority="20" operator="greaterThan">
      <formula>1</formula>
    </cfRule>
  </conditionalFormatting>
  <conditionalFormatting sqref="E51:N59">
    <cfRule type="expression" dxfId="46" priority="15">
      <formula>AND(E51&lt;MAX(E$50:E51), NOT(ISBLANK(E51)), NOT(E51=0))</formula>
    </cfRule>
  </conditionalFormatting>
  <conditionalFormatting sqref="E50:P59">
    <cfRule type="cellIs" dxfId="45" priority="14" operator="notBetween">
      <formula>0</formula>
      <formula>$B$7</formula>
    </cfRule>
    <cfRule type="expression" dxfId="44" priority="16">
      <formula>($D50&lt;=$S$1)</formula>
    </cfRule>
    <cfRule type="expression" dxfId="43" priority="17">
      <formula>($D50&gt;$S$1)</formula>
    </cfRule>
  </conditionalFormatting>
  <conditionalFormatting sqref="E69:N75">
    <cfRule type="expression" dxfId="42" priority="13">
      <formula>AND(E69&lt;MAX(E$68:E69), NOT(ISBLANK(E69)), NOT(E69=0))</formula>
    </cfRule>
  </conditionalFormatting>
  <conditionalFormatting sqref="E68:P75">
    <cfRule type="cellIs" dxfId="41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40" priority="10">
      <formula>($D68&lt;=$S$1)</formula>
    </cfRule>
    <cfRule type="expression" dxfId="39" priority="12">
      <formula>($D68&gt;$S$1)</formula>
    </cfRule>
  </conditionalFormatting>
  <conditionalFormatting sqref="Q50:Q59 Q68:Q72 Q78:Q80">
    <cfRule type="cellIs" dxfId="38" priority="6" operator="lessThan">
      <formula>0</formula>
    </cfRule>
    <cfRule type="cellIs" dxfId="37" priority="7" operator="equal">
      <formula>0</formula>
    </cfRule>
    <cfRule type="expression" dxfId="36" priority="8">
      <formula>OR(MOD($Q50,100)=0,AND($D50=$S$1,MOD($Q50,100)=$R$2))</formula>
    </cfRule>
  </conditionalFormatting>
  <conditionalFormatting sqref="E79:N80">
    <cfRule type="expression" dxfId="35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4" priority="1" operator="notBetween">
      <formula>0</formula>
      <formula>$B$7</formula>
    </cfRule>
    <cfRule type="expression" dxfId="33" priority="4">
      <formula>($D78&lt;=$S$1)</formula>
    </cfRule>
    <cfRule type="expression" dxfId="32" priority="5">
      <formula>($D78&gt;$S$1)</formula>
    </cfRule>
  </conditionalFormatting>
  <conditionalFormatting sqref="D3:P12">
    <cfRule type="expression" dxfId="31" priority="31">
      <formula>($D3&gt;$S$1)</formula>
    </cfRule>
  </conditionalFormatting>
  <dataValidations count="2">
    <dataValidation type="list" allowBlank="1" showInputMessage="1" showErrorMessage="1" sqref="D68:D72 D78:D82 D50:D59" xr:uid="{61F8D323-A1AD-44A8-B50F-FE4BF5EA92A5}">
      <formula1>$D$3:$D$12</formula1>
    </dataValidation>
    <dataValidation type="list" allowBlank="1" showInputMessage="1" showErrorMessage="1" sqref="C50:C59" xr:uid="{75AA3C01-A46E-42B4-9469-4B65014727DC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388ED-20CF-4DAD-93C2-D056569A7CFD}">
  <sheetPr codeName="Feuil41">
    <tabColor rgb="FFB4A7D6"/>
  </sheetPr>
  <dimension ref="A1:AA82"/>
  <sheetViews>
    <sheetView zoomScale="90" zoomScaleNormal="90" workbookViewId="0">
      <pane xSplit="2" topLeftCell="C1" activePane="topRight" state="frozen"/>
      <selection pane="topRight" activeCell="Q79" sqref="Q79"/>
    </sheetView>
  </sheetViews>
  <sheetFormatPr baseColWidth="10" defaultColWidth="11.42578125" defaultRowHeight="12.75" x14ac:dyDescent="0.2"/>
  <cols>
    <col min="1" max="1" width="15.85546875" customWidth="1"/>
    <col min="2" max="2" width="26.140625" customWidth="1"/>
    <col min="3" max="3" width="3.140625" customWidth="1"/>
    <col min="4" max="4" width="14.7109375" customWidth="1"/>
    <col min="5" max="14" width="15.7109375" customWidth="1"/>
    <col min="17" max="17" width="13.42578125" bestFit="1" customWidth="1"/>
    <col min="18" max="18" width="11.42578125" customWidth="1"/>
    <col min="21" max="21" width="10.42578125" customWidth="1"/>
    <col min="22" max="22" width="15.42578125" customWidth="1"/>
    <col min="23" max="23" width="14" bestFit="1" customWidth="1"/>
    <col min="26" max="26" width="12.140625" bestFit="1" customWidth="1"/>
  </cols>
  <sheetData>
    <row r="1" spans="1:27" ht="19.5" customHeight="1" thickBot="1" x14ac:dyDescent="0.25">
      <c r="A1" s="33" t="s">
        <v>13</v>
      </c>
      <c r="B1" s="35">
        <f>Synthèse!B17</f>
        <v>46082</v>
      </c>
      <c r="D1" s="442" t="s">
        <v>88</v>
      </c>
      <c r="E1" s="444" t="str">
        <f>Synthèse!M2</f>
        <v>Candidat 1</v>
      </c>
      <c r="F1" s="436" t="str">
        <f>Synthèse!N2</f>
        <v>Candidat 2 qui a un nom super long</v>
      </c>
      <c r="G1" s="436" t="str">
        <f>Synthèse!O2</f>
        <v>Candidat 3</v>
      </c>
      <c r="H1" s="436" t="str">
        <f>Synthèse!P2</f>
        <v>Candidat 4</v>
      </c>
      <c r="I1" s="436" t="str">
        <f>Synthèse!Q2</f>
        <v>Candidat 5</v>
      </c>
      <c r="J1" s="436" t="str">
        <f>Synthèse!R2</f>
        <v>Candidat 6</v>
      </c>
      <c r="K1" s="436" t="str">
        <f>Synthèse!S2</f>
        <v>Candidat 7</v>
      </c>
      <c r="L1" s="436" t="str">
        <f>Synthèse!T2</f>
        <v>Candidat 8</v>
      </c>
      <c r="M1" s="436" t="str">
        <f>Synthèse!U2</f>
        <v>Candidat 9</v>
      </c>
      <c r="N1" s="438" t="str">
        <f>Synthèse!V2</f>
        <v>Candidat 10</v>
      </c>
      <c r="O1" s="440" t="s">
        <v>3</v>
      </c>
      <c r="P1" s="449" t="s">
        <v>4</v>
      </c>
      <c r="Q1" s="339" t="s">
        <v>8</v>
      </c>
      <c r="R1" s="374">
        <f>CEILING($B$6, 100)/100</f>
        <v>7</v>
      </c>
      <c r="S1" s="374">
        <f>CEILING($B$7,100)/100</f>
        <v>0</v>
      </c>
    </row>
    <row r="2" spans="1:27" ht="24.75" customHeight="1" thickBot="1" x14ac:dyDescent="0.25">
      <c r="A2" s="34" t="s">
        <v>14</v>
      </c>
      <c r="B2" s="36" t="str">
        <f>Synthèse!B18</f>
        <v>Municipales 1er tour</v>
      </c>
      <c r="D2" s="443"/>
      <c r="E2" s="445"/>
      <c r="F2" s="437"/>
      <c r="G2" s="437"/>
      <c r="H2" s="437"/>
      <c r="I2" s="437"/>
      <c r="J2" s="437"/>
      <c r="K2" s="437"/>
      <c r="L2" s="437"/>
      <c r="M2" s="437"/>
      <c r="N2" s="439"/>
      <c r="O2" s="441"/>
      <c r="P2" s="450"/>
      <c r="Q2" s="340" t="s">
        <v>27</v>
      </c>
      <c r="R2" s="374">
        <f>MOD($B$7,100)</f>
        <v>0</v>
      </c>
      <c r="S2" s="375">
        <f>CEILING($B$6/300,1)</f>
        <v>3</v>
      </c>
      <c r="V2" s="102" t="s">
        <v>23</v>
      </c>
      <c r="W2" s="70" t="s">
        <v>60</v>
      </c>
      <c r="X2" s="103" t="s">
        <v>34</v>
      </c>
      <c r="Z2" s="427" t="s">
        <v>62</v>
      </c>
      <c r="AA2" s="427" t="s">
        <v>61</v>
      </c>
    </row>
    <row r="3" spans="1:27" ht="20.100000000000001" customHeight="1" thickBot="1" x14ac:dyDescent="0.25">
      <c r="A3" s="165" t="s">
        <v>15</v>
      </c>
      <c r="B3" s="166" t="str">
        <f>Synthèse!B19</f>
        <v>Cogolin</v>
      </c>
      <c r="D3" s="57" t="str" cm="1">
        <f t="array" ref="D3">IF(ROW(1:1)&lt;=$S$1, (ROW(1:1)), "")</f>
        <v/>
      </c>
      <c r="E3" s="239" cm="1">
        <f t="array" ref="E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F3" s="239" cm="1">
        <f t="array" ref="F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G3" s="239" cm="1">
        <f t="array" ref="G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H3" s="239" cm="1">
        <f t="array" ref="H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I3" s="239" cm="1">
        <f t="array" ref="I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J3" s="239" cm="1">
        <f t="array" ref="J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K3" s="239" cm="1">
        <f t="array" ref="K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L3" s="239" cm="1">
        <f t="array" ref="L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M3" s="239" cm="1">
        <f t="array" ref="M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N3" s="254" cm="1">
        <f t="array" ref="N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O3" s="255" cm="1">
        <f t="array" ref="O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P3" s="256" cm="1">
        <f t="array" ref="P3">IF(ISNUMBER($D3),
 IFERROR(
  IF($D3 = MIN(INDEX(Table1,,1)),
     INDEX(Table1,MATCH($D3,INDEX(Table1,,1),0),COLUMN()-3),
     INDEX(Table1,MATCH($D3,INDEX(Table1,,1),0),COLUMN()-3)-INDEX(Table1,MATCH($D3,INDEX(Table1,,1),0)-1,COLUMN()-3)
  ),
  IFERROR(
   IF($D3 = MIN(INDEX(Table2,,1)),
      INDEX(Table2,MATCH($D3,INDEX(Table2,,1),0),COLUMN()-3),
      INDEX(Table2,MATCH($D3,INDEX(Table2,,1),0),COLUMN()-3)-INDEX(Table2,MATCH($D3,INDEX(Table2,,1),0)-1,COLUMN()-3)
   ),
   IFERROR(
    IF($D3 = MIN(INDEX(Table3,,1)),
       INDEX(Table3,MATCH($D3,INDEX(Table3,,1),0),COLUMN()-3),
       INDEX(Table3,MATCH($D3,INDEX(Table3,,1),0),COLUMN()-3)-INDEX(Table3,MATCH($D3,INDEX(Table3,,1),0)-1,COLUMN()-3)
    ),
    0
   )
  )
 ),
0)</f>
        <v>0</v>
      </c>
      <c r="Q3" s="55">
        <f t="shared" ref="Q3:Q12" si="0">SUM(E3:P3)</f>
        <v>0</v>
      </c>
      <c r="V3" s="107" t="s">
        <v>35</v>
      </c>
      <c r="W3" s="104">
        <v>0</v>
      </c>
      <c r="X3" s="72">
        <f t="shared" ref="X3" si="1">W3/$B$6</f>
        <v>0</v>
      </c>
      <c r="Z3" s="428"/>
      <c r="AA3" s="428"/>
    </row>
    <row r="4" spans="1:27" ht="20.100000000000001" customHeight="1" x14ac:dyDescent="0.2">
      <c r="A4" s="167" t="s">
        <v>25</v>
      </c>
      <c r="B4" s="252">
        <v>12</v>
      </c>
      <c r="D4" s="58" t="str" cm="1">
        <f t="array" ref="D4">IF(ROW(2:2)&lt;=$S$1, (ROW(2:2)), "")</f>
        <v/>
      </c>
      <c r="E4" s="240" cm="1">
        <f t="array" ref="E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F4" s="240" cm="1">
        <f t="array" ref="F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G4" s="240" cm="1">
        <f t="array" ref="G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H4" s="240" cm="1">
        <f t="array" ref="H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I4" s="240" cm="1">
        <f t="array" ref="I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J4" s="240" cm="1">
        <f t="array" ref="J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K4" s="240" cm="1">
        <f t="array" ref="K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L4" s="240" cm="1">
        <f t="array" ref="L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M4" s="240" cm="1">
        <f t="array" ref="M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N4" s="240" cm="1">
        <f t="array" ref="N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O4" s="241" cm="1">
        <f t="array" ref="O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P4" s="242" cm="1">
        <f t="array" ref="P4">IF(ISNUMBER($D4),
 IFERROR(
  IF($D4 = MIN(INDEX(Table1,,1)),
     INDEX(Table1,MATCH($D4,INDEX(Table1,,1),0),COLUMN()-3),
     INDEX(Table1,MATCH($D4,INDEX(Table1,,1),0),COLUMN()-3)-INDEX(Table1,MATCH($D4,INDEX(Table1,,1),0)-1,COLUMN()-3)
  ),
  IFERROR(
   IF($D4 = MIN(INDEX(Table2,,1)),
      INDEX(Table2,MATCH($D4,INDEX(Table2,,1),0),COLUMN()-3),
      INDEX(Table2,MATCH($D4,INDEX(Table2,,1),0),COLUMN()-3)-INDEX(Table2,MATCH($D4,INDEX(Table2,,1),0)-1,COLUMN()-3)
   ),
   IFERROR(
    IF($D4 = MIN(INDEX(Table3,,1)),
       INDEX(Table3,MATCH($D4,INDEX(Table3,,1),0),COLUMN()-3),
       INDEX(Table3,MATCH($D4,INDEX(Table3,,1),0),COLUMN()-3)-INDEX(Table3,MATCH($D4,INDEX(Table3,,1),0)-1,COLUMN()-3)
    ),
    0
   )
  )
 ),
0)</f>
        <v>0</v>
      </c>
      <c r="Q4" s="55">
        <f t="shared" si="0"/>
        <v>0</v>
      </c>
      <c r="V4" s="108" t="s">
        <v>36</v>
      </c>
      <c r="W4" s="230"/>
      <c r="X4" s="101" t="e">
        <f t="shared" ref="X4:X13" si="2">IF(OR(W4=0, W4=""), NA(), W4/$B$6)</f>
        <v>#N/A</v>
      </c>
      <c r="Z4" s="117" t="s">
        <v>48</v>
      </c>
      <c r="AA4" s="113" t="e">
        <f t="shared" ref="AA4:AA13" si="3">IF(W4&lt;&gt;0,W4-W3,NA())</f>
        <v>#N/A</v>
      </c>
    </row>
    <row r="5" spans="1:27" ht="20.100000000000001" customHeight="1" x14ac:dyDescent="0.2">
      <c r="A5" s="168" t="s">
        <v>26</v>
      </c>
      <c r="B5" s="275" t="s">
        <v>33</v>
      </c>
      <c r="D5" s="58" t="str" cm="1">
        <f t="array" ref="D5">IF(ROW(3:3)&lt;=$S$1, (ROW(3:3)), "")</f>
        <v/>
      </c>
      <c r="E5" s="240" cm="1">
        <f t="array" ref="E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F5" s="240" cm="1">
        <f t="array" ref="F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G5" s="240" cm="1">
        <f t="array" ref="G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H5" s="240" cm="1">
        <f t="array" ref="H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I5" s="240" cm="1">
        <f t="array" ref="I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J5" s="240" cm="1">
        <f t="array" ref="J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K5" s="240" cm="1">
        <f t="array" ref="K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L5" s="240" cm="1">
        <f t="array" ref="L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M5" s="240" cm="1">
        <f t="array" ref="M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N5" s="240" cm="1">
        <f t="array" ref="N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O5" s="257" cm="1">
        <f t="array" ref="O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P5" s="258" cm="1">
        <f t="array" ref="P5">IF(ISNUMBER($D5),
 IFERROR(
  IF($D5 = MIN(INDEX(Table1,,1)),
     INDEX(Table1,MATCH($D5,INDEX(Table1,,1),0),COLUMN()-3),
     INDEX(Table1,MATCH($D5,INDEX(Table1,,1),0),COLUMN()-3)-INDEX(Table1,MATCH($D5,INDEX(Table1,,1),0)-1,COLUMN()-3)
  ),
  IFERROR(
   IF($D5 = MIN(INDEX(Table2,,1)),
      INDEX(Table2,MATCH($D5,INDEX(Table2,,1),0),COLUMN()-3),
      INDEX(Table2,MATCH($D5,INDEX(Table2,,1),0),COLUMN()-3)-INDEX(Table2,MATCH($D5,INDEX(Table2,,1),0)-1,COLUMN()-3)
   ),
   IFERROR(
    IF($D5 = MIN(INDEX(Table3,,1)),
       INDEX(Table3,MATCH($D5,INDEX(Table3,,1),0),COLUMN()-3),
       INDEX(Table3,MATCH($D5,INDEX(Table3,,1),0),COLUMN()-3)-INDEX(Table3,MATCH($D5,INDEX(Table3,,1),0)-1,COLUMN()-3)
    ),
    0
   )
  )
 ),
0)</f>
        <v>0</v>
      </c>
      <c r="Q5" s="55">
        <f t="shared" si="0"/>
        <v>0</v>
      </c>
      <c r="T5" s="337"/>
      <c r="U5" s="338"/>
      <c r="V5" s="109" t="s">
        <v>37</v>
      </c>
      <c r="W5" s="231"/>
      <c r="X5" s="68" t="e">
        <f t="shared" si="2"/>
        <v>#N/A</v>
      </c>
      <c r="Z5" s="118" t="s">
        <v>49</v>
      </c>
      <c r="AA5" s="114" t="e">
        <f t="shared" si="3"/>
        <v>#N/A</v>
      </c>
    </row>
    <row r="6" spans="1:27" ht="20.100000000000001" customHeight="1" x14ac:dyDescent="0.2">
      <c r="A6" s="168" t="s">
        <v>0</v>
      </c>
      <c r="B6" s="276">
        <v>645</v>
      </c>
      <c r="D6" s="58" t="str" cm="1">
        <f t="array" ref="D6">IF(ROW(4:4)&lt;=$S$1, (ROW(4:4)), "")</f>
        <v/>
      </c>
      <c r="E6" s="240" cm="1">
        <f t="array" ref="E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F6" s="240" cm="1">
        <f t="array" ref="F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G6" s="240" cm="1">
        <f t="array" ref="G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H6" s="240" cm="1">
        <f t="array" ref="H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I6" s="240" cm="1">
        <f t="array" ref="I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J6" s="240" cm="1">
        <f t="array" ref="J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K6" s="240" cm="1">
        <f t="array" ref="K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L6" s="240" cm="1">
        <f t="array" ref="L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M6" s="240" cm="1">
        <f t="array" ref="M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N6" s="240" cm="1">
        <f t="array" ref="N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O6" s="257" cm="1">
        <f t="array" ref="O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P6" s="258" cm="1">
        <f t="array" ref="P6">IF(ISNUMBER($D6),
 IFERROR(
  IF($D6 = MIN(INDEX(Table1,,1)),
     INDEX(Table1,MATCH($D6,INDEX(Table1,,1),0),COLUMN()-3),
     INDEX(Table1,MATCH($D6,INDEX(Table1,,1),0),COLUMN()-3)-INDEX(Table1,MATCH($D6,INDEX(Table1,,1),0)-1,COLUMN()-3)
  ),
  IFERROR(
   IF($D6 = MIN(INDEX(Table2,,1)),
      INDEX(Table2,MATCH($D6,INDEX(Table2,,1),0),COLUMN()-3),
      INDEX(Table2,MATCH($D6,INDEX(Table2,,1),0),COLUMN()-3)-INDEX(Table2,MATCH($D6,INDEX(Table2,,1),0)-1,COLUMN()-3)
   ),
   IFERROR(
    IF($D6 = MIN(INDEX(Table3,,1)),
       INDEX(Table3,MATCH($D6,INDEX(Table3,,1),0),COLUMN()-3),
       INDEX(Table3,MATCH($D6,INDEX(Table3,,1),0),COLUMN()-3)-INDEX(Table3,MATCH($D6,INDEX(Table3,,1),0)-1,COLUMN()-3)
    ),
    0
   )
  )
 ),
0)</f>
        <v>0</v>
      </c>
      <c r="Q6" s="55">
        <f t="shared" si="0"/>
        <v>0</v>
      </c>
      <c r="T6" s="337"/>
      <c r="U6" s="338"/>
      <c r="V6" s="109" t="s">
        <v>38</v>
      </c>
      <c r="W6" s="231"/>
      <c r="X6" s="68" t="e">
        <f t="shared" si="2"/>
        <v>#N/A</v>
      </c>
      <c r="Z6" s="118" t="s">
        <v>50</v>
      </c>
      <c r="AA6" s="114" t="e">
        <f t="shared" si="3"/>
        <v>#N/A</v>
      </c>
    </row>
    <row r="7" spans="1:27" ht="20.100000000000001" customHeight="1" x14ac:dyDescent="0.2">
      <c r="A7" s="168" t="s">
        <v>2</v>
      </c>
      <c r="B7" s="249">
        <f>MAX(W4:W15)</f>
        <v>0</v>
      </c>
      <c r="D7" s="58" t="str" cm="1">
        <f t="array" ref="D7">IF(ROW(5:5)&lt;=$S$1, (ROW(5:5)), "")</f>
        <v/>
      </c>
      <c r="E7" s="240" cm="1">
        <f t="array" ref="E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F7" s="240" cm="1">
        <f t="array" ref="F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G7" s="240" cm="1">
        <f t="array" ref="G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H7" s="240" cm="1">
        <f t="array" ref="H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I7" s="240" cm="1">
        <f t="array" ref="I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J7" s="240" cm="1">
        <f t="array" ref="J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K7" s="240" cm="1">
        <f t="array" ref="K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L7" s="240" cm="1">
        <f t="array" ref="L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M7" s="240" cm="1">
        <f t="array" ref="M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N7" s="240" cm="1">
        <f t="array" ref="N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O7" s="241" cm="1">
        <f t="array" ref="O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P7" s="242" cm="1">
        <f t="array" ref="P7">IF(ISNUMBER($D7),
 IFERROR(
  IF($D7 = MIN(INDEX(Table1,,1)),
     INDEX(Table1,MATCH($D7,INDEX(Table1,,1),0),COLUMN()-3),
     INDEX(Table1,MATCH($D7,INDEX(Table1,,1),0),COLUMN()-3)-INDEX(Table1,MATCH($D7,INDEX(Table1,,1),0)-1,COLUMN()-3)
  ),
  IFERROR(
   IF($D7 = MIN(INDEX(Table2,,1)),
      INDEX(Table2,MATCH($D7,INDEX(Table2,,1),0),COLUMN()-3),
      INDEX(Table2,MATCH($D7,INDEX(Table2,,1),0),COLUMN()-3)-INDEX(Table2,MATCH($D7,INDEX(Table2,,1),0)-1,COLUMN()-3)
   ),
   IFERROR(
    IF($D7 = MIN(INDEX(Table3,,1)),
       INDEX(Table3,MATCH($D7,INDEX(Table3,,1),0),COLUMN()-3),
       INDEX(Table3,MATCH($D7,INDEX(Table3,,1),0),COLUMN()-3)-INDEX(Table3,MATCH($D7,INDEX(Table3,,1),0)-1,COLUMN()-3)
    ),
    0
   )
  )
 ),
0)</f>
        <v>0</v>
      </c>
      <c r="Q7" s="55">
        <f t="shared" si="0"/>
        <v>0</v>
      </c>
      <c r="T7" s="337"/>
      <c r="U7" s="338"/>
      <c r="V7" s="109" t="s">
        <v>39</v>
      </c>
      <c r="W7" s="231"/>
      <c r="X7" s="68" t="e">
        <f t="shared" si="2"/>
        <v>#N/A</v>
      </c>
      <c r="Z7" s="118" t="s">
        <v>57</v>
      </c>
      <c r="AA7" s="114" t="e">
        <f t="shared" si="3"/>
        <v>#N/A</v>
      </c>
    </row>
    <row r="8" spans="1:27" ht="20.100000000000001" customHeight="1" x14ac:dyDescent="0.2">
      <c r="A8" s="168" t="s">
        <v>1</v>
      </c>
      <c r="B8" s="250">
        <f>B7</f>
        <v>0</v>
      </c>
      <c r="D8" s="58" t="str" cm="1">
        <f t="array" ref="D8">IF(ROW(6:6)&lt;=$S$1, (ROW(6:6)), "")</f>
        <v/>
      </c>
      <c r="E8" s="240" cm="1">
        <f t="array" ref="E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F8" s="240" cm="1">
        <f t="array" ref="F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G8" s="240" cm="1">
        <f t="array" ref="G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H8" s="240" cm="1">
        <f t="array" ref="H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I8" s="240" cm="1">
        <f t="array" ref="I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J8" s="240" cm="1">
        <f t="array" ref="J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K8" s="240" cm="1">
        <f t="array" ref="K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L8" s="240" cm="1">
        <f t="array" ref="L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M8" s="240" cm="1">
        <f t="array" ref="M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N8" s="240" cm="1">
        <f t="array" ref="N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O8" s="241" cm="1">
        <f t="array" ref="O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P8" s="242" cm="1">
        <f t="array" ref="P8">IF(ISNUMBER($D8),
 IFERROR(
  IF($D8 = MIN(INDEX(Table1,,1)),
     INDEX(Table1,MATCH($D8,INDEX(Table1,,1),0),COLUMN()-3),
     INDEX(Table1,MATCH($D8,INDEX(Table1,,1),0),COLUMN()-3)-INDEX(Table1,MATCH($D8,INDEX(Table1,,1),0)-1,COLUMN()-3)
  ),
  IFERROR(
   IF($D8 = MIN(INDEX(Table2,,1)),
      INDEX(Table2,MATCH($D8,INDEX(Table2,,1),0),COLUMN()-3),
      INDEX(Table2,MATCH($D8,INDEX(Table2,,1),0),COLUMN()-3)-INDEX(Table2,MATCH($D8,INDEX(Table2,,1),0)-1,COLUMN()-3)
   ),
   IFERROR(
    IF($D8 = MIN(INDEX(Table3,,1)),
       INDEX(Table3,MATCH($D8,INDEX(Table3,,1),0),COLUMN()-3),
       INDEX(Table3,MATCH($D8,INDEX(Table3,,1),0),COLUMN()-3)-INDEX(Table3,MATCH($D8,INDEX(Table3,,1),0)-1,COLUMN()-3)
    ),
    0
   )
  )
 ),
0)</f>
        <v>0</v>
      </c>
      <c r="Q8" s="55">
        <f t="shared" si="0"/>
        <v>0</v>
      </c>
      <c r="T8" s="337"/>
      <c r="U8" s="338"/>
      <c r="V8" s="109" t="s">
        <v>40</v>
      </c>
      <c r="W8" s="231"/>
      <c r="X8" s="68" t="e">
        <f t="shared" si="2"/>
        <v>#N/A</v>
      </c>
      <c r="Z8" s="118" t="s">
        <v>51</v>
      </c>
      <c r="AA8" s="114" t="e">
        <f t="shared" si="3"/>
        <v>#N/A</v>
      </c>
    </row>
    <row r="9" spans="1:27" ht="20.100000000000001" customHeight="1" thickBot="1" x14ac:dyDescent="0.25">
      <c r="A9" s="169" t="s">
        <v>19</v>
      </c>
      <c r="B9" s="251">
        <f>B6-B7</f>
        <v>645</v>
      </c>
      <c r="D9" s="58" t="str" cm="1">
        <f t="array" ref="D9">IF(ROW(7:7)&lt;=$S$1, (ROW(7:7)), "")</f>
        <v/>
      </c>
      <c r="E9" s="240" cm="1">
        <f t="array" ref="E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F9" s="240" cm="1">
        <f t="array" ref="F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G9" s="240" cm="1">
        <f t="array" ref="G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H9" s="240" cm="1">
        <f t="array" ref="H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I9" s="240" cm="1">
        <f t="array" ref="I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J9" s="240" cm="1">
        <f t="array" ref="J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K9" s="240" cm="1">
        <f t="array" ref="K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L9" s="240" cm="1">
        <f t="array" ref="L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M9" s="240" cm="1">
        <f t="array" ref="M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N9" s="240" cm="1">
        <f t="array" ref="N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O9" s="243" cm="1">
        <f t="array" ref="O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P9" s="244" cm="1">
        <f t="array" ref="P9">IF(ISNUMBER($D9),
 IFERROR(
  IF($D9 = MIN(INDEX(Table1,,1)),
     INDEX(Table1,MATCH($D9,INDEX(Table1,,1),0),COLUMN()-3),
     INDEX(Table1,MATCH($D9,INDEX(Table1,,1),0),COLUMN()-3)-INDEX(Table1,MATCH($D9,INDEX(Table1,,1),0)-1,COLUMN()-3)
  ),
  IFERROR(
   IF($D9 = MIN(INDEX(Table2,,1)),
      INDEX(Table2,MATCH($D9,INDEX(Table2,,1),0),COLUMN()-3),
      INDEX(Table2,MATCH($D9,INDEX(Table2,,1),0),COLUMN()-3)-INDEX(Table2,MATCH($D9,INDEX(Table2,,1),0)-1,COLUMN()-3)
   ),
   IFERROR(
    IF($D9 = MIN(INDEX(Table3,,1)),
       INDEX(Table3,MATCH($D9,INDEX(Table3,,1),0),COLUMN()-3),
       INDEX(Table3,MATCH($D9,INDEX(Table3,,1),0),COLUMN()-3)-INDEX(Table3,MATCH($D9,INDEX(Table3,,1),0)-1,COLUMN()-3)
    ),
    0
   )
  )
 ),
0)</f>
        <v>0</v>
      </c>
      <c r="Q9" s="55">
        <f t="shared" si="0"/>
        <v>0</v>
      </c>
      <c r="T9" s="337"/>
      <c r="U9" s="338"/>
      <c r="V9" s="109" t="s">
        <v>41</v>
      </c>
      <c r="W9" s="231"/>
      <c r="X9" s="68" t="e">
        <f t="shared" si="2"/>
        <v>#N/A</v>
      </c>
      <c r="Z9" s="118" t="s">
        <v>52</v>
      </c>
      <c r="AA9" s="114" t="e">
        <f t="shared" si="3"/>
        <v>#N/A</v>
      </c>
    </row>
    <row r="10" spans="1:27" ht="20.100000000000001" customHeight="1" x14ac:dyDescent="0.2">
      <c r="A10" s="429" t="s">
        <v>63</v>
      </c>
      <c r="B10" s="429"/>
      <c r="D10" s="58" t="str" cm="1">
        <f t="array" ref="D10">IF(ROW(8:8)&lt;=$S$1, (ROW(8:8)), "")</f>
        <v/>
      </c>
      <c r="E10" s="240" cm="1">
        <f t="array" ref="E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F10" s="240" cm="1">
        <f t="array" ref="F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G10" s="240" cm="1">
        <f t="array" ref="G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H10" s="240" cm="1">
        <f t="array" ref="H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I10" s="240" cm="1">
        <f t="array" ref="I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J10" s="240" cm="1">
        <f t="array" ref="J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K10" s="240" cm="1">
        <f t="array" ref="K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L10" s="240" cm="1">
        <f t="array" ref="L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M10" s="240" cm="1">
        <f t="array" ref="M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N10" s="240" cm="1">
        <f t="array" ref="N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O10" s="243" cm="1">
        <f t="array" ref="O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P10" s="244" cm="1">
        <f t="array" ref="P10">IF(ISNUMBER($D10),
 IFERROR(
  IF($D10 = MIN(INDEX(Table1,,1)),
     INDEX(Table1,MATCH($D10,INDEX(Table1,,1),0),COLUMN()-3),
     INDEX(Table1,MATCH($D10,INDEX(Table1,,1),0),COLUMN()-3)-INDEX(Table1,MATCH($D10,INDEX(Table1,,1),0)-1,COLUMN()-3)
  ),
  IFERROR(
   IF($D10 = MIN(INDEX(Table2,,1)),
      INDEX(Table2,MATCH($D10,INDEX(Table2,,1),0),COLUMN()-3),
      INDEX(Table2,MATCH($D10,INDEX(Table2,,1),0),COLUMN()-3)-INDEX(Table2,MATCH($D10,INDEX(Table2,,1),0)-1,COLUMN()-3)
   ),
   IFERROR(
    IF($D10 = MIN(INDEX(Table3,,1)),
       INDEX(Table3,MATCH($D10,INDEX(Table3,,1),0),COLUMN()-3),
       INDEX(Table3,MATCH($D10,INDEX(Table3,,1),0),COLUMN()-3)-INDEX(Table3,MATCH($D10,INDEX(Table3,,1),0)-1,COLUMN()-3)
    ),
    0
   )
  )
 ),
0)</f>
        <v>0</v>
      </c>
      <c r="Q10" s="55">
        <f t="shared" si="0"/>
        <v>0</v>
      </c>
      <c r="T10" s="337"/>
      <c r="U10" s="338"/>
      <c r="V10" s="109" t="s">
        <v>42</v>
      </c>
      <c r="W10" s="231"/>
      <c r="X10" s="68" t="e">
        <f t="shared" si="2"/>
        <v>#N/A</v>
      </c>
      <c r="Z10" s="118" t="s">
        <v>53</v>
      </c>
      <c r="AA10" s="114" t="e">
        <f t="shared" si="3"/>
        <v>#N/A</v>
      </c>
    </row>
    <row r="11" spans="1:27" ht="20.100000000000001" customHeight="1" x14ac:dyDescent="0.2">
      <c r="A11" s="430"/>
      <c r="B11" s="430"/>
      <c r="D11" s="58" t="str" cm="1">
        <f t="array" ref="D11">IF(ROW(9:9)&lt;=$S$1, (ROW(9:9)), "")</f>
        <v/>
      </c>
      <c r="E11" s="240" cm="1">
        <f t="array" ref="E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F11" s="240" cm="1">
        <f t="array" ref="F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G11" s="240" cm="1">
        <f t="array" ref="G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H11" s="240" cm="1">
        <f t="array" ref="H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I11" s="240" cm="1">
        <f t="array" ref="I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J11" s="240" cm="1">
        <f t="array" ref="J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K11" s="240" cm="1">
        <f t="array" ref="K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L11" s="240" cm="1">
        <f t="array" ref="L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M11" s="240" cm="1">
        <f t="array" ref="M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N11" s="240" cm="1">
        <f t="array" ref="N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O11" s="243" cm="1">
        <f t="array" ref="O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P11" s="244" cm="1">
        <f t="array" ref="P11">IF(ISNUMBER($D11),
 IFERROR(
  IF($D11 = MIN(INDEX(Table1,,1)),
     INDEX(Table1,MATCH($D11,INDEX(Table1,,1),0),COLUMN()-3),
     INDEX(Table1,MATCH($D11,INDEX(Table1,,1),0),COLUMN()-3)-INDEX(Table1,MATCH($D11,INDEX(Table1,,1),0)-1,COLUMN()-3)
  ),
  IFERROR(
   IF($D11 = MIN(INDEX(Table2,,1)),
      INDEX(Table2,MATCH($D11,INDEX(Table2,,1),0),COLUMN()-3),
      INDEX(Table2,MATCH($D11,INDEX(Table2,,1),0),COLUMN()-3)-INDEX(Table2,MATCH($D11,INDEX(Table2,,1),0)-1,COLUMN()-3)
   ),
   IFERROR(
    IF($D11 = MIN(INDEX(Table3,,1)),
       INDEX(Table3,MATCH($D11,INDEX(Table3,,1),0),COLUMN()-3),
       INDEX(Table3,MATCH($D11,INDEX(Table3,,1),0),COLUMN()-3)-INDEX(Table3,MATCH($D11,INDEX(Table3,,1),0)-1,COLUMN()-3)
    ),
    0
   )
  )
 ),
0)</f>
        <v>0</v>
      </c>
      <c r="Q11" s="55">
        <f t="shared" si="0"/>
        <v>0</v>
      </c>
      <c r="T11" s="337"/>
      <c r="U11" s="338"/>
      <c r="V11" s="109" t="s">
        <v>43</v>
      </c>
      <c r="W11" s="231"/>
      <c r="X11" s="68" t="e">
        <f t="shared" si="2"/>
        <v>#N/A</v>
      </c>
      <c r="Z11" s="118" t="s">
        <v>54</v>
      </c>
      <c r="AA11" s="114" t="e">
        <f t="shared" si="3"/>
        <v>#N/A</v>
      </c>
    </row>
    <row r="12" spans="1:27" ht="20.100000000000001" customHeight="1" thickBot="1" x14ac:dyDescent="0.25">
      <c r="A12" s="431" t="s">
        <v>64</v>
      </c>
      <c r="B12" s="431"/>
      <c r="D12" s="59" t="str" cm="1">
        <f t="array" ref="D12">IF(ROW(10:10)&lt;=$S$1, (ROW(10:10)), "")</f>
        <v/>
      </c>
      <c r="E12" s="240" cm="1">
        <f t="array" ref="E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F12" s="240" cm="1">
        <f t="array" ref="F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G12" s="240" cm="1">
        <f t="array" ref="G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H12" s="240" cm="1">
        <f t="array" ref="H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I12" s="240" cm="1">
        <f t="array" ref="I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J12" s="240" cm="1">
        <f t="array" ref="J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K12" s="240" cm="1">
        <f t="array" ref="K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L12" s="240" cm="1">
        <f t="array" ref="L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M12" s="240" cm="1">
        <f t="array" ref="M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N12" s="240" cm="1">
        <f t="array" ref="N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O12" s="259" cm="1">
        <f t="array" ref="O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P12" s="260" cm="1">
        <f t="array" ref="P12">IF(ISNUMBER($D12),
 IFERROR(
  IF($D12 = MIN(INDEX(Table1,,1)),
     INDEX(Table1,MATCH($D12,INDEX(Table1,,1),0),COLUMN()-3),
     INDEX(Table1,MATCH($D12,INDEX(Table1,,1),0),COLUMN()-3)-INDEX(Table1,MATCH($D12,INDEX(Table1,,1),0)-1,COLUMN()-3)
  ),
  IFERROR(
   IF($D12 = MIN(INDEX(Table2,,1)),
      INDEX(Table2,MATCH($D12,INDEX(Table2,,1),0),COLUMN()-3),
      INDEX(Table2,MATCH($D12,INDEX(Table2,,1),0),COLUMN()-3)-INDEX(Table2,MATCH($D12,INDEX(Table2,,1),0)-1,COLUMN()-3)
   ),
   IFERROR(
    IF($D12 = MIN(INDEX(Table3,,1)),
       INDEX(Table3,MATCH($D12,INDEX(Table3,,1),0),COLUMN()-3),
       INDEX(Table3,MATCH($D12,INDEX(Table3,,1),0),COLUMN()-3)-INDEX(Table3,MATCH($D12,INDEX(Table3,,1),0)-1,COLUMN()-3)
    ),
    0
   )
  )
 ),
0)</f>
        <v>0</v>
      </c>
      <c r="Q12" s="55">
        <f t="shared" si="0"/>
        <v>0</v>
      </c>
      <c r="T12" s="337"/>
      <c r="U12" s="338"/>
      <c r="V12" s="109" t="s">
        <v>44</v>
      </c>
      <c r="W12" s="231"/>
      <c r="X12" s="68" t="e">
        <f t="shared" si="2"/>
        <v>#N/A</v>
      </c>
      <c r="Z12" s="118" t="s">
        <v>55</v>
      </c>
      <c r="AA12" s="114" t="e">
        <f t="shared" si="3"/>
        <v>#N/A</v>
      </c>
    </row>
    <row r="13" spans="1:27" ht="20.100000000000001" customHeight="1" thickBot="1" x14ac:dyDescent="0.3">
      <c r="A13" s="431"/>
      <c r="B13" s="431"/>
      <c r="D13" s="56" t="s">
        <v>11</v>
      </c>
      <c r="E13" s="245">
        <f>SUM(E3:E12)</f>
        <v>0</v>
      </c>
      <c r="F13" s="246">
        <f t="shared" ref="F13:Q13" si="4">SUM(F3:F12)</f>
        <v>0</v>
      </c>
      <c r="G13" s="246">
        <f t="shared" si="4"/>
        <v>0</v>
      </c>
      <c r="H13" s="246">
        <f t="shared" si="4"/>
        <v>0</v>
      </c>
      <c r="I13" s="246">
        <f t="shared" si="4"/>
        <v>0</v>
      </c>
      <c r="J13" s="246">
        <f t="shared" si="4"/>
        <v>0</v>
      </c>
      <c r="K13" s="246">
        <f t="shared" si="4"/>
        <v>0</v>
      </c>
      <c r="L13" s="246">
        <f t="shared" si="4"/>
        <v>0</v>
      </c>
      <c r="M13" s="246">
        <f t="shared" si="4"/>
        <v>0</v>
      </c>
      <c r="N13" s="246">
        <f t="shared" si="4"/>
        <v>0</v>
      </c>
      <c r="O13" s="247">
        <f t="shared" si="4"/>
        <v>0</v>
      </c>
      <c r="P13" s="248">
        <f t="shared" si="4"/>
        <v>0</v>
      </c>
      <c r="Q13" s="66">
        <f t="shared" si="4"/>
        <v>0</v>
      </c>
      <c r="T13" s="337"/>
      <c r="U13" s="338"/>
      <c r="V13" s="110" t="s">
        <v>45</v>
      </c>
      <c r="W13" s="232"/>
      <c r="X13" s="69" t="e">
        <f t="shared" si="2"/>
        <v>#N/A</v>
      </c>
      <c r="Z13" s="119" t="s">
        <v>56</v>
      </c>
      <c r="AA13" s="115" t="e">
        <f t="shared" si="3"/>
        <v>#N/A</v>
      </c>
    </row>
    <row r="14" spans="1:27" ht="20.100000000000001" customHeight="1" thickBot="1" x14ac:dyDescent="0.3">
      <c r="A14" s="431"/>
      <c r="B14" s="431"/>
      <c r="D14" s="122" t="s">
        <v>12</v>
      </c>
      <c r="E14" s="50">
        <f t="shared" ref="E14:Q14" si="5">IFERROR(E13/$B$7,0)</f>
        <v>0</v>
      </c>
      <c r="F14" s="51">
        <f t="shared" si="5"/>
        <v>0</v>
      </c>
      <c r="G14" s="51">
        <f t="shared" si="5"/>
        <v>0</v>
      </c>
      <c r="H14" s="51">
        <f t="shared" si="5"/>
        <v>0</v>
      </c>
      <c r="I14" s="51">
        <f t="shared" si="5"/>
        <v>0</v>
      </c>
      <c r="J14" s="51">
        <f t="shared" si="5"/>
        <v>0</v>
      </c>
      <c r="K14" s="51">
        <f t="shared" si="5"/>
        <v>0</v>
      </c>
      <c r="L14" s="51">
        <f t="shared" si="5"/>
        <v>0</v>
      </c>
      <c r="M14" s="51">
        <f t="shared" si="5"/>
        <v>0</v>
      </c>
      <c r="N14" s="51">
        <f t="shared" si="5"/>
        <v>0</v>
      </c>
      <c r="O14" s="50">
        <f t="shared" si="5"/>
        <v>0</v>
      </c>
      <c r="P14" s="52">
        <f t="shared" si="5"/>
        <v>0</v>
      </c>
      <c r="Q14" s="67">
        <f t="shared" si="5"/>
        <v>0</v>
      </c>
      <c r="V14" s="111" t="s">
        <v>46</v>
      </c>
      <c r="W14" s="233"/>
      <c r="X14" s="71" t="e">
        <f>IF(OR(W14=0, W14=""), NA(), W14/$B$6)</f>
        <v>#N/A</v>
      </c>
      <c r="Z14" s="120" t="s">
        <v>58</v>
      </c>
      <c r="AA14" s="116" t="e">
        <f>IF(W14&lt;&gt;0,W14-W13,NA())</f>
        <v>#N/A</v>
      </c>
    </row>
    <row r="15" spans="1:27" ht="18" customHeight="1" thickBot="1" x14ac:dyDescent="0.25">
      <c r="A15" s="432" t="s">
        <v>71</v>
      </c>
      <c r="B15" s="432"/>
      <c r="C15" s="1"/>
      <c r="D15" s="1"/>
      <c r="E15" s="433" t="s">
        <v>69</v>
      </c>
      <c r="F15" s="434"/>
      <c r="G15" s="434"/>
      <c r="H15" s="434"/>
      <c r="I15" s="434"/>
      <c r="J15" s="434"/>
      <c r="K15" s="434"/>
      <c r="L15" s="434"/>
      <c r="M15" s="434"/>
      <c r="N15" s="434"/>
      <c r="O15" s="434"/>
      <c r="P15" s="435"/>
      <c r="V15" s="112" t="s">
        <v>47</v>
      </c>
      <c r="W15" s="234"/>
      <c r="X15" s="71" t="e">
        <f>IF(OR(W15=0, W15=""), NA(), W15/$B$6)</f>
        <v>#N/A</v>
      </c>
      <c r="Z15" s="121" t="s">
        <v>59</v>
      </c>
      <c r="AA15" s="116" t="e">
        <f>IF(W15&lt;&gt;0,W15-W14,NA())</f>
        <v>#N/A</v>
      </c>
    </row>
    <row r="16" spans="1:27" ht="12.75" customHeight="1" x14ac:dyDescent="0.2">
      <c r="A16" s="432"/>
      <c r="B16" s="432"/>
    </row>
    <row r="17" spans="1:8" ht="18" customHeight="1" x14ac:dyDescent="0.25">
      <c r="A17" s="432"/>
      <c r="B17" s="432"/>
      <c r="E17" s="336"/>
    </row>
    <row r="18" spans="1:8" ht="26.25" customHeight="1" x14ac:dyDescent="0.2">
      <c r="A18" s="432"/>
      <c r="B18" s="432"/>
    </row>
    <row r="23" spans="1:8" x14ac:dyDescent="0.2">
      <c r="H23" s="261" t="s">
        <v>67</v>
      </c>
    </row>
    <row r="24" spans="1:8" x14ac:dyDescent="0.2">
      <c r="H24" s="262">
        <f>IF((ROW()-23)&lt;=$S$2,(ROW()-23),"Choisir")</f>
        <v>1</v>
      </c>
    </row>
    <row r="25" spans="1:8" x14ac:dyDescent="0.2">
      <c r="H25" s="262">
        <f t="shared" ref="H25:H27" si="6">IF((ROW()-23)&lt;=$S$2,(ROW()-23),"Choisir")</f>
        <v>2</v>
      </c>
    </row>
    <row r="26" spans="1:8" x14ac:dyDescent="0.2">
      <c r="H26" s="262">
        <f t="shared" si="6"/>
        <v>3</v>
      </c>
    </row>
    <row r="27" spans="1:8" x14ac:dyDescent="0.2">
      <c r="H27" s="262" t="str">
        <f t="shared" si="6"/>
        <v>Choisir</v>
      </c>
    </row>
    <row r="46" spans="3:17" x14ac:dyDescent="0.2">
      <c r="E46" s="253"/>
    </row>
    <row r="47" spans="3:17" ht="13.5" thickBot="1" x14ac:dyDescent="0.25">
      <c r="E47" s="253"/>
    </row>
    <row r="48" spans="3:17" ht="20.100000000000001" customHeight="1" thickBot="1" x14ac:dyDescent="0.25">
      <c r="C48" s="350"/>
      <c r="D48" s="353" t="s">
        <v>82</v>
      </c>
      <c r="E48" s="446" t="s">
        <v>83</v>
      </c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8"/>
      <c r="Q48" s="364" t="s">
        <v>8</v>
      </c>
    </row>
    <row r="49" spans="3:17" ht="39" thickBot="1" x14ac:dyDescent="0.25">
      <c r="C49" s="351"/>
      <c r="D49" s="359" t="s">
        <v>86</v>
      </c>
      <c r="E49" s="360" t="str">
        <f>Synthèse!M2</f>
        <v>Candidat 1</v>
      </c>
      <c r="F49" s="361" t="str">
        <f>Synthèse!N2</f>
        <v>Candidat 2 qui a un nom super long</v>
      </c>
      <c r="G49" s="361" t="str">
        <f>Synthèse!O2</f>
        <v>Candidat 3</v>
      </c>
      <c r="H49" s="361" t="str">
        <f>Synthèse!P2</f>
        <v>Candidat 4</v>
      </c>
      <c r="I49" s="361" t="str">
        <f>Synthèse!Q2</f>
        <v>Candidat 5</v>
      </c>
      <c r="J49" s="361" t="str">
        <f>Synthèse!R2</f>
        <v>Candidat 6</v>
      </c>
      <c r="K49" s="361" t="str">
        <f>Synthèse!S2</f>
        <v>Candidat 7</v>
      </c>
      <c r="L49" s="361" t="str">
        <f>Synthèse!T2</f>
        <v>Candidat 8</v>
      </c>
      <c r="M49" s="361" t="str">
        <f>Synthèse!U2</f>
        <v>Candidat 9</v>
      </c>
      <c r="N49" s="362" t="str">
        <f>Synthèse!V2</f>
        <v>Candidat 10</v>
      </c>
      <c r="O49" s="363" t="s">
        <v>3</v>
      </c>
      <c r="P49" s="362" t="s">
        <v>4</v>
      </c>
      <c r="Q49" s="368" t="s">
        <v>87</v>
      </c>
    </row>
    <row r="50" spans="3:17" ht="19.5" customHeight="1" x14ac:dyDescent="0.2">
      <c r="C50" s="352"/>
      <c r="D50" s="370" t="s">
        <v>85</v>
      </c>
      <c r="E50" s="263"/>
      <c r="F50" s="264"/>
      <c r="G50" s="264"/>
      <c r="H50" s="264"/>
      <c r="I50" s="264"/>
      <c r="J50" s="264"/>
      <c r="K50" s="264"/>
      <c r="L50" s="264"/>
      <c r="M50" s="264"/>
      <c r="N50" s="265"/>
      <c r="O50" s="266"/>
      <c r="P50" s="265"/>
      <c r="Q50" s="365">
        <f t="shared" ref="Q50:Q59" si="7">SUM(E50:P50)</f>
        <v>0</v>
      </c>
    </row>
    <row r="51" spans="3:17" ht="20.100000000000001" customHeight="1" x14ac:dyDescent="0.2">
      <c r="C51" s="352"/>
      <c r="D51" s="371" t="s">
        <v>85</v>
      </c>
      <c r="E51" s="267"/>
      <c r="F51" s="268"/>
      <c r="G51" s="268"/>
      <c r="H51" s="268"/>
      <c r="I51" s="268"/>
      <c r="J51" s="268"/>
      <c r="K51" s="268"/>
      <c r="L51" s="268"/>
      <c r="M51" s="268"/>
      <c r="N51" s="269"/>
      <c r="O51" s="270"/>
      <c r="P51" s="269"/>
      <c r="Q51" s="366">
        <f t="shared" si="7"/>
        <v>0</v>
      </c>
    </row>
    <row r="52" spans="3:17" ht="20.100000000000001" customHeight="1" x14ac:dyDescent="0.2">
      <c r="C52" s="352"/>
      <c r="D52" s="371" t="s">
        <v>85</v>
      </c>
      <c r="E52" s="267"/>
      <c r="F52" s="268"/>
      <c r="G52" s="268"/>
      <c r="H52" s="268"/>
      <c r="I52" s="268"/>
      <c r="J52" s="268"/>
      <c r="K52" s="268"/>
      <c r="L52" s="268"/>
      <c r="M52" s="268"/>
      <c r="N52" s="269"/>
      <c r="O52" s="270"/>
      <c r="P52" s="269"/>
      <c r="Q52" s="366">
        <f t="shared" si="7"/>
        <v>0</v>
      </c>
    </row>
    <row r="53" spans="3:17" ht="20.100000000000001" customHeight="1" x14ac:dyDescent="0.2">
      <c r="C53" s="352"/>
      <c r="D53" s="371" t="s">
        <v>85</v>
      </c>
      <c r="E53" s="267"/>
      <c r="F53" s="268"/>
      <c r="G53" s="268"/>
      <c r="H53" s="268"/>
      <c r="I53" s="268"/>
      <c r="J53" s="268"/>
      <c r="K53" s="268"/>
      <c r="L53" s="268"/>
      <c r="M53" s="268"/>
      <c r="N53" s="269"/>
      <c r="O53" s="270"/>
      <c r="P53" s="269"/>
      <c r="Q53" s="366">
        <f t="shared" si="7"/>
        <v>0</v>
      </c>
    </row>
    <row r="54" spans="3:17" ht="20.100000000000001" customHeight="1" x14ac:dyDescent="0.2">
      <c r="C54" s="352"/>
      <c r="D54" s="371" t="s">
        <v>85</v>
      </c>
      <c r="E54" s="267"/>
      <c r="F54" s="268"/>
      <c r="G54" s="268"/>
      <c r="H54" s="268"/>
      <c r="I54" s="268"/>
      <c r="J54" s="268"/>
      <c r="K54" s="268"/>
      <c r="L54" s="268"/>
      <c r="M54" s="268"/>
      <c r="N54" s="269"/>
      <c r="O54" s="270"/>
      <c r="P54" s="269"/>
      <c r="Q54" s="366">
        <f t="shared" si="7"/>
        <v>0</v>
      </c>
    </row>
    <row r="55" spans="3:17" ht="20.100000000000001" customHeight="1" x14ac:dyDescent="0.2">
      <c r="C55" s="352"/>
      <c r="D55" s="371" t="s">
        <v>85</v>
      </c>
      <c r="E55" s="267"/>
      <c r="F55" s="268"/>
      <c r="G55" s="268"/>
      <c r="H55" s="268"/>
      <c r="I55" s="268"/>
      <c r="J55" s="268"/>
      <c r="K55" s="268"/>
      <c r="L55" s="268"/>
      <c r="M55" s="268"/>
      <c r="N55" s="269"/>
      <c r="O55" s="270"/>
      <c r="P55" s="269"/>
      <c r="Q55" s="366">
        <f t="shared" si="7"/>
        <v>0</v>
      </c>
    </row>
    <row r="56" spans="3:17" ht="20.100000000000001" customHeight="1" x14ac:dyDescent="0.2">
      <c r="C56" s="352"/>
      <c r="D56" s="371" t="s">
        <v>85</v>
      </c>
      <c r="E56" s="267"/>
      <c r="F56" s="268"/>
      <c r="G56" s="268"/>
      <c r="H56" s="268"/>
      <c r="I56" s="268"/>
      <c r="J56" s="268"/>
      <c r="K56" s="268"/>
      <c r="L56" s="268"/>
      <c r="M56" s="268"/>
      <c r="N56" s="269"/>
      <c r="O56" s="270"/>
      <c r="P56" s="269"/>
      <c r="Q56" s="366">
        <f t="shared" si="7"/>
        <v>0</v>
      </c>
    </row>
    <row r="57" spans="3:17" ht="20.100000000000001" customHeight="1" x14ac:dyDescent="0.2">
      <c r="C57" s="352"/>
      <c r="D57" s="371" t="s">
        <v>85</v>
      </c>
      <c r="E57" s="267"/>
      <c r="F57" s="268"/>
      <c r="G57" s="268"/>
      <c r="H57" s="268"/>
      <c r="I57" s="268"/>
      <c r="J57" s="268"/>
      <c r="K57" s="268"/>
      <c r="L57" s="268"/>
      <c r="M57" s="268"/>
      <c r="N57" s="269"/>
      <c r="O57" s="270"/>
      <c r="P57" s="269"/>
      <c r="Q57" s="366">
        <f t="shared" si="7"/>
        <v>0</v>
      </c>
    </row>
    <row r="58" spans="3:17" ht="20.100000000000001" customHeight="1" x14ac:dyDescent="0.2">
      <c r="C58" s="352"/>
      <c r="D58" s="371" t="s">
        <v>85</v>
      </c>
      <c r="E58" s="267"/>
      <c r="F58" s="268"/>
      <c r="G58" s="268"/>
      <c r="H58" s="268"/>
      <c r="I58" s="268"/>
      <c r="J58" s="268"/>
      <c r="K58" s="268"/>
      <c r="L58" s="268"/>
      <c r="M58" s="268"/>
      <c r="N58" s="269"/>
      <c r="O58" s="270"/>
      <c r="P58" s="269"/>
      <c r="Q58" s="366">
        <f t="shared" si="7"/>
        <v>0</v>
      </c>
    </row>
    <row r="59" spans="3:17" ht="20.100000000000001" customHeight="1" thickBot="1" x14ac:dyDescent="0.25">
      <c r="C59" s="352"/>
      <c r="D59" s="372" t="s">
        <v>85</v>
      </c>
      <c r="E59" s="271"/>
      <c r="F59" s="272"/>
      <c r="G59" s="272"/>
      <c r="H59" s="272"/>
      <c r="I59" s="272"/>
      <c r="J59" s="272"/>
      <c r="K59" s="272"/>
      <c r="L59" s="272"/>
      <c r="M59" s="272"/>
      <c r="N59" s="273"/>
      <c r="O59" s="274"/>
      <c r="P59" s="273"/>
      <c r="Q59" s="367">
        <f t="shared" si="7"/>
        <v>0</v>
      </c>
    </row>
    <row r="60" spans="3:17" x14ac:dyDescent="0.2">
      <c r="C60" s="350"/>
    </row>
    <row r="63" spans="3:17" ht="18" x14ac:dyDescent="0.25">
      <c r="E63" s="336"/>
    </row>
    <row r="65" spans="4:17" ht="13.5" thickBot="1" x14ac:dyDescent="0.25"/>
    <row r="66" spans="4:17" ht="16.5" customHeight="1" thickBot="1" x14ac:dyDescent="0.25">
      <c r="D66" s="353" t="s">
        <v>84</v>
      </c>
      <c r="E66" s="446" t="s">
        <v>83</v>
      </c>
      <c r="F66" s="447"/>
      <c r="G66" s="447"/>
      <c r="H66" s="447"/>
      <c r="I66" s="447"/>
      <c r="J66" s="447"/>
      <c r="K66" s="447"/>
      <c r="L66" s="447"/>
      <c r="M66" s="447"/>
      <c r="N66" s="447"/>
      <c r="O66" s="447"/>
      <c r="P66" s="448"/>
      <c r="Q66" s="364" t="s">
        <v>8</v>
      </c>
    </row>
    <row r="67" spans="4:17" ht="39" thickBot="1" x14ac:dyDescent="0.25">
      <c r="D67" s="359" t="s">
        <v>86</v>
      </c>
      <c r="E67" s="360" t="s">
        <v>72</v>
      </c>
      <c r="F67" s="361" t="s">
        <v>81</v>
      </c>
      <c r="G67" s="361" t="s">
        <v>73</v>
      </c>
      <c r="H67" s="361" t="s">
        <v>74</v>
      </c>
      <c r="I67" s="361" t="s">
        <v>75</v>
      </c>
      <c r="J67" s="361" t="s">
        <v>76</v>
      </c>
      <c r="K67" s="361" t="s">
        <v>77</v>
      </c>
      <c r="L67" s="361" t="s">
        <v>78</v>
      </c>
      <c r="M67" s="361" t="s">
        <v>79</v>
      </c>
      <c r="N67" s="362" t="s">
        <v>80</v>
      </c>
      <c r="O67" s="363" t="s">
        <v>3</v>
      </c>
      <c r="P67" s="362" t="s">
        <v>4</v>
      </c>
      <c r="Q67" s="368" t="s">
        <v>87</v>
      </c>
    </row>
    <row r="68" spans="4:17" ht="20.100000000000001" customHeight="1" x14ac:dyDescent="0.2">
      <c r="D68" s="373" t="s">
        <v>85</v>
      </c>
      <c r="E68" s="355"/>
      <c r="F68" s="356"/>
      <c r="G68" s="356"/>
      <c r="H68" s="356"/>
      <c r="I68" s="356"/>
      <c r="J68" s="356"/>
      <c r="K68" s="356"/>
      <c r="L68" s="356"/>
      <c r="M68" s="356"/>
      <c r="N68" s="357"/>
      <c r="O68" s="358"/>
      <c r="P68" s="357"/>
      <c r="Q68" s="365">
        <f t="shared" ref="Q68:Q72" si="8">SUM(E68:P68)</f>
        <v>0</v>
      </c>
    </row>
    <row r="69" spans="4:17" ht="20.100000000000001" customHeight="1" x14ac:dyDescent="0.2">
      <c r="D69" s="371" t="s">
        <v>85</v>
      </c>
      <c r="E69" s="267"/>
      <c r="F69" s="268"/>
      <c r="G69" s="268"/>
      <c r="H69" s="268"/>
      <c r="I69" s="268"/>
      <c r="J69" s="268"/>
      <c r="K69" s="268"/>
      <c r="L69" s="268"/>
      <c r="M69" s="268"/>
      <c r="N69" s="269"/>
      <c r="O69" s="270"/>
      <c r="P69" s="269"/>
      <c r="Q69" s="366">
        <f t="shared" si="8"/>
        <v>0</v>
      </c>
    </row>
    <row r="70" spans="4:17" ht="20.100000000000001" customHeight="1" x14ac:dyDescent="0.2">
      <c r="D70" s="371" t="s">
        <v>85</v>
      </c>
      <c r="E70" s="267"/>
      <c r="F70" s="268"/>
      <c r="G70" s="268"/>
      <c r="H70" s="268"/>
      <c r="I70" s="268"/>
      <c r="J70" s="268"/>
      <c r="K70" s="268"/>
      <c r="L70" s="268"/>
      <c r="M70" s="268"/>
      <c r="N70" s="269"/>
      <c r="O70" s="270"/>
      <c r="P70" s="269"/>
      <c r="Q70" s="366">
        <f t="shared" si="8"/>
        <v>0</v>
      </c>
    </row>
    <row r="71" spans="4:17" ht="20.100000000000001" customHeight="1" x14ac:dyDescent="0.2">
      <c r="D71" s="371" t="s">
        <v>85</v>
      </c>
      <c r="E71" s="267"/>
      <c r="F71" s="268"/>
      <c r="G71" s="268"/>
      <c r="H71" s="268"/>
      <c r="I71" s="268"/>
      <c r="J71" s="268"/>
      <c r="K71" s="268"/>
      <c r="L71" s="268"/>
      <c r="M71" s="268"/>
      <c r="N71" s="269"/>
      <c r="O71" s="270"/>
      <c r="P71" s="269"/>
      <c r="Q71" s="366">
        <f t="shared" si="8"/>
        <v>0</v>
      </c>
    </row>
    <row r="72" spans="4:17" ht="20.100000000000001" customHeight="1" thickBot="1" x14ac:dyDescent="0.25">
      <c r="D72" s="372" t="s">
        <v>85</v>
      </c>
      <c r="E72" s="271"/>
      <c r="F72" s="272"/>
      <c r="G72" s="272"/>
      <c r="H72" s="272"/>
      <c r="I72" s="272"/>
      <c r="J72" s="272"/>
      <c r="K72" s="272"/>
      <c r="L72" s="272"/>
      <c r="M72" s="272"/>
      <c r="N72" s="273"/>
      <c r="O72" s="274"/>
      <c r="P72" s="273"/>
      <c r="Q72" s="367">
        <f t="shared" si="8"/>
        <v>0</v>
      </c>
    </row>
    <row r="73" spans="4:17" ht="20.100000000000001" customHeight="1" x14ac:dyDescent="0.2">
      <c r="D73" s="354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</row>
    <row r="74" spans="4:17" ht="20.100000000000001" customHeight="1" x14ac:dyDescent="0.2">
      <c r="D74" s="354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</row>
    <row r="75" spans="4:17" ht="20.100000000000001" customHeight="1" thickBot="1" x14ac:dyDescent="0.25">
      <c r="D75" s="354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</row>
    <row r="76" spans="4:17" ht="20.100000000000001" customHeight="1" thickBot="1" x14ac:dyDescent="0.25">
      <c r="D76" s="353" t="s">
        <v>89</v>
      </c>
      <c r="E76" s="446" t="s">
        <v>83</v>
      </c>
      <c r="F76" s="447"/>
      <c r="G76" s="447"/>
      <c r="H76" s="447"/>
      <c r="I76" s="447"/>
      <c r="J76" s="447"/>
      <c r="K76" s="447"/>
      <c r="L76" s="447"/>
      <c r="M76" s="447"/>
      <c r="N76" s="447"/>
      <c r="O76" s="447"/>
      <c r="P76" s="448"/>
      <c r="Q76" s="364" t="s">
        <v>8</v>
      </c>
    </row>
    <row r="77" spans="4:17" ht="39" thickBot="1" x14ac:dyDescent="0.25">
      <c r="D77" s="359" t="s">
        <v>86</v>
      </c>
      <c r="E77" s="360" t="s">
        <v>72</v>
      </c>
      <c r="F77" s="361" t="s">
        <v>81</v>
      </c>
      <c r="G77" s="361" t="s">
        <v>73</v>
      </c>
      <c r="H77" s="361" t="s">
        <v>74</v>
      </c>
      <c r="I77" s="361" t="s">
        <v>75</v>
      </c>
      <c r="J77" s="361" t="s">
        <v>76</v>
      </c>
      <c r="K77" s="361" t="s">
        <v>77</v>
      </c>
      <c r="L77" s="361" t="s">
        <v>78</v>
      </c>
      <c r="M77" s="361" t="s">
        <v>79</v>
      </c>
      <c r="N77" s="362" t="s">
        <v>80</v>
      </c>
      <c r="O77" s="363" t="s">
        <v>3</v>
      </c>
      <c r="P77" s="362" t="s">
        <v>4</v>
      </c>
      <c r="Q77" s="368" t="s">
        <v>87</v>
      </c>
    </row>
    <row r="78" spans="4:17" ht="20.100000000000001" customHeight="1" x14ac:dyDescent="0.2">
      <c r="D78" s="373" t="s">
        <v>85</v>
      </c>
      <c r="E78" s="355"/>
      <c r="F78" s="356"/>
      <c r="G78" s="356"/>
      <c r="H78" s="356"/>
      <c r="I78" s="356"/>
      <c r="J78" s="356"/>
      <c r="K78" s="356"/>
      <c r="L78" s="356"/>
      <c r="M78" s="356"/>
      <c r="N78" s="357"/>
      <c r="O78" s="358"/>
      <c r="P78" s="357"/>
      <c r="Q78" s="365">
        <f t="shared" ref="Q78:Q80" si="9">SUM(E78:P78)</f>
        <v>0</v>
      </c>
    </row>
    <row r="79" spans="4:17" ht="20.100000000000001" customHeight="1" x14ac:dyDescent="0.2">
      <c r="D79" s="371" t="s">
        <v>85</v>
      </c>
      <c r="E79" s="267"/>
      <c r="F79" s="268"/>
      <c r="G79" s="268"/>
      <c r="H79" s="268"/>
      <c r="I79" s="268"/>
      <c r="J79" s="268"/>
      <c r="K79" s="268"/>
      <c r="L79" s="268"/>
      <c r="M79" s="268"/>
      <c r="N79" s="269"/>
      <c r="O79" s="270"/>
      <c r="P79" s="269"/>
      <c r="Q79" s="366">
        <f t="shared" si="9"/>
        <v>0</v>
      </c>
    </row>
    <row r="80" spans="4:17" ht="20.100000000000001" customHeight="1" thickBot="1" x14ac:dyDescent="0.25">
      <c r="D80" s="372" t="s">
        <v>85</v>
      </c>
      <c r="E80" s="271"/>
      <c r="F80" s="272"/>
      <c r="G80" s="272"/>
      <c r="H80" s="272"/>
      <c r="I80" s="272"/>
      <c r="J80" s="272"/>
      <c r="K80" s="272"/>
      <c r="L80" s="272"/>
      <c r="M80" s="272"/>
      <c r="N80" s="273"/>
      <c r="O80" s="274"/>
      <c r="P80" s="273"/>
      <c r="Q80" s="367">
        <f t="shared" si="9"/>
        <v>0</v>
      </c>
    </row>
    <row r="81" spans="4:17" ht="20.100000000000001" customHeight="1" x14ac:dyDescent="0.2">
      <c r="D81" s="354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69"/>
    </row>
    <row r="82" spans="4:17" ht="20.100000000000001" customHeight="1" x14ac:dyDescent="0.2">
      <c r="D82" s="354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69"/>
    </row>
  </sheetData>
  <sheetProtection algorithmName="SHA-512" hashValue="Z5LMX2LjxjKL+7rC8HRZniu3nt6wTo2aQqKx+pCBveNJeQUqCoD+wcyDQbLQeyQw1TkVMNVPUqnEXEMqDRKiXw==" saltValue="QtVwIW01Tdx8uGcjXywhcw==" spinCount="100000" sheet="1" objects="1" scenarios="1"/>
  <mergeCells count="22">
    <mergeCell ref="AA2:AA3"/>
    <mergeCell ref="A10:B11"/>
    <mergeCell ref="A12:B14"/>
    <mergeCell ref="A15:B18"/>
    <mergeCell ref="E15:P15"/>
    <mergeCell ref="J1:J2"/>
    <mergeCell ref="K1:K2"/>
    <mergeCell ref="L1:L2"/>
    <mergeCell ref="M1:M2"/>
    <mergeCell ref="N1:N2"/>
    <mergeCell ref="O1:O2"/>
    <mergeCell ref="D1:D2"/>
    <mergeCell ref="E1:E2"/>
    <mergeCell ref="F1:F2"/>
    <mergeCell ref="G1:G2"/>
    <mergeCell ref="H1:H2"/>
    <mergeCell ref="E48:P48"/>
    <mergeCell ref="E66:P66"/>
    <mergeCell ref="E76:P76"/>
    <mergeCell ref="P1:P2"/>
    <mergeCell ref="Z2:Z3"/>
    <mergeCell ref="I1:I2"/>
  </mergeCells>
  <conditionalFormatting sqref="B8">
    <cfRule type="cellIs" dxfId="30" priority="19" operator="notEqual">
      <formula>$B$7</formula>
    </cfRule>
  </conditionalFormatting>
  <conditionalFormatting sqref="E3:P12">
    <cfRule type="expression" dxfId="29" priority="30">
      <formula>($D3&lt;=$S$1)</formula>
    </cfRule>
  </conditionalFormatting>
  <conditionalFormatting sqref="E3:Q12">
    <cfRule type="cellIs" dxfId="28" priority="18" operator="notBetween">
      <formula>0</formula>
      <formula>100</formula>
    </cfRule>
  </conditionalFormatting>
  <conditionalFormatting sqref="E3:Q14">
    <cfRule type="cellIs" dxfId="27" priority="21" operator="lessThan">
      <formula>0</formula>
    </cfRule>
  </conditionalFormatting>
  <conditionalFormatting sqref="E14:Q14">
    <cfRule type="cellIs" dxfId="26" priority="27" operator="greaterThan">
      <formula>1</formula>
    </cfRule>
  </conditionalFormatting>
  <conditionalFormatting sqref="Q3:Q12">
    <cfRule type="expression" dxfId="25" priority="22">
      <formula>AND($D3=$S$1, Q3=$R$2)</formula>
    </cfRule>
    <cfRule type="expression" dxfId="24" priority="23">
      <formula>AND($D3=$S$1, MOD(Q3,100)&gt;$R$2)</formula>
    </cfRule>
    <cfRule type="cellIs" dxfId="23" priority="24" operator="equal">
      <formula>100</formula>
    </cfRule>
  </conditionalFormatting>
  <conditionalFormatting sqref="Q3:Q13">
    <cfRule type="cellIs" dxfId="22" priority="25" operator="equal">
      <formula>0</formula>
    </cfRule>
  </conditionalFormatting>
  <conditionalFormatting sqref="Q13">
    <cfRule type="cellIs" dxfId="21" priority="29" operator="equal">
      <formula>$B$7</formula>
    </cfRule>
  </conditionalFormatting>
  <conditionalFormatting sqref="Q14">
    <cfRule type="cellIs" dxfId="20" priority="26" operator="equal">
      <formula>1</formula>
    </cfRule>
    <cfRule type="cellIs" dxfId="19" priority="28" operator="lessThan">
      <formula>1</formula>
    </cfRule>
  </conditionalFormatting>
  <conditionalFormatting sqref="W4:W15">
    <cfRule type="expression" dxfId="18" priority="32">
      <formula>AND($W4&lt;$W3, NOT(ISBLANK($W4)))</formula>
    </cfRule>
    <cfRule type="cellIs" dxfId="17" priority="33" operator="greaterThan">
      <formula>$B$6</formula>
    </cfRule>
  </conditionalFormatting>
  <conditionalFormatting sqref="X4:X15">
    <cfRule type="cellIs" dxfId="16" priority="20" operator="greaterThan">
      <formula>1</formula>
    </cfRule>
  </conditionalFormatting>
  <conditionalFormatting sqref="E51:N59">
    <cfRule type="expression" dxfId="15" priority="15">
      <formula>AND(E51&lt;MAX(E$50:E51), NOT(ISBLANK(E51)), NOT(E51=0))</formula>
    </cfRule>
  </conditionalFormatting>
  <conditionalFormatting sqref="E50:P59">
    <cfRule type="cellIs" dxfId="14" priority="14" operator="notBetween">
      <formula>0</formula>
      <formula>$B$7</formula>
    </cfRule>
    <cfRule type="expression" dxfId="13" priority="16">
      <formula>($D50&lt;=$S$1)</formula>
    </cfRule>
    <cfRule type="expression" dxfId="12" priority="17">
      <formula>($D50&gt;$S$1)</formula>
    </cfRule>
  </conditionalFormatting>
  <conditionalFormatting sqref="E69:N75">
    <cfRule type="expression" dxfId="11" priority="13">
      <formula>AND(E69&lt;MAX(E$68:E69), NOT(ISBLANK(E69)), NOT(E69=0))</formula>
    </cfRule>
  </conditionalFormatting>
  <conditionalFormatting sqref="E68:P75">
    <cfRule type="cellIs" dxfId="10" priority="9" operator="notBetween">
      <formula>0</formula>
      <formula>$B$7</formula>
    </cfRule>
  </conditionalFormatting>
  <conditionalFormatting sqref="D50:D59 D68:D72">
    <cfRule type="colorScale" priority="11">
      <colorScale>
        <cfvo type="min"/>
        <cfvo type="max"/>
        <color theme="9" tint="0.79998168889431442"/>
        <color theme="9" tint="-0.499984740745262"/>
      </colorScale>
    </cfRule>
  </conditionalFormatting>
  <conditionalFormatting sqref="E68:P72">
    <cfRule type="expression" dxfId="9" priority="10">
      <formula>($D68&lt;=$S$1)</formula>
    </cfRule>
    <cfRule type="expression" dxfId="8" priority="12">
      <formula>($D68&gt;$S$1)</formula>
    </cfRule>
  </conditionalFormatting>
  <conditionalFormatting sqref="Q50:Q59 Q68:Q72 Q78:Q80">
    <cfRule type="cellIs" dxfId="7" priority="6" operator="lessThan">
      <formula>0</formula>
    </cfRule>
    <cfRule type="cellIs" dxfId="6" priority="7" operator="equal">
      <formula>0</formula>
    </cfRule>
    <cfRule type="expression" dxfId="5" priority="8">
      <formula>OR(MOD($Q50,100)=0,AND($D50=$S$1,MOD($Q50,100)=$R$2))</formula>
    </cfRule>
  </conditionalFormatting>
  <conditionalFormatting sqref="E79:N80">
    <cfRule type="expression" dxfId="4" priority="2">
      <formula>AND(E79&lt;MAX(E$68:E79), NOT(ISBLANK(E79)), NOT(E79=0))</formula>
    </cfRule>
  </conditionalFormatting>
  <conditionalFormatting sqref="D78:D82">
    <cfRule type="colorScale" priority="3">
      <colorScale>
        <cfvo type="min"/>
        <cfvo type="max"/>
        <color theme="9" tint="0.79998168889431442"/>
        <color theme="9" tint="-0.499984740745262"/>
      </colorScale>
    </cfRule>
  </conditionalFormatting>
  <conditionalFormatting sqref="E78:P80">
    <cfRule type="cellIs" dxfId="3" priority="1" operator="notBetween">
      <formula>0</formula>
      <formula>$B$7</formula>
    </cfRule>
    <cfRule type="expression" dxfId="2" priority="4">
      <formula>($D78&lt;=$S$1)</formula>
    </cfRule>
    <cfRule type="expression" dxfId="1" priority="5">
      <formula>($D78&gt;$S$1)</formula>
    </cfRule>
  </conditionalFormatting>
  <conditionalFormatting sqref="D3:P12">
    <cfRule type="expression" dxfId="0" priority="31">
      <formula>($D3&gt;$S$1)</formula>
    </cfRule>
  </conditionalFormatting>
  <dataValidations count="2">
    <dataValidation type="list" allowBlank="1" showInputMessage="1" showErrorMessage="1" sqref="D68:D72 D78:D82 D50:D59" xr:uid="{E135E94F-61D1-4B77-960C-AA5CE63EFF9A}">
      <formula1>$D$3:$D$12</formula1>
    </dataValidation>
    <dataValidation type="list" allowBlank="1" showInputMessage="1" showErrorMessage="1" sqref="C50:C59" xr:uid="{F1537C7E-3131-42E2-ABA5-38905CE168BE}">
      <formula1>$H$24:$H$26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42</vt:i4>
      </vt:variant>
    </vt:vector>
  </HeadingPairs>
  <TitlesOfParts>
    <vt:vector size="58" baseType="lpstr">
      <vt:lpstr>Synthèse</vt:lpstr>
      <vt:lpstr>Participation horaire</vt:lpstr>
      <vt:lpstr>Exemple</vt:lpstr>
      <vt:lpstr>Bureau 0</vt:lpstr>
      <vt:lpstr>Bureau 1</vt:lpstr>
      <vt:lpstr>Bureau 2</vt:lpstr>
      <vt:lpstr>Bureau 3</vt:lpstr>
      <vt:lpstr>Bureau 4</vt:lpstr>
      <vt:lpstr>Bureau 5</vt:lpstr>
      <vt:lpstr>Bureau 6</vt:lpstr>
      <vt:lpstr>Bureau 7</vt:lpstr>
      <vt:lpstr>Bureau 8</vt:lpstr>
      <vt:lpstr>Bureau 9</vt:lpstr>
      <vt:lpstr>Bureau 10</vt:lpstr>
      <vt:lpstr>Bureau 11</vt:lpstr>
      <vt:lpstr>Bureau 12</vt:lpstr>
      <vt:lpstr>'Bureau 1'!Table1</vt:lpstr>
      <vt:lpstr>'Bureau 10'!Table1</vt:lpstr>
      <vt:lpstr>'Bureau 11'!Table1</vt:lpstr>
      <vt:lpstr>'Bureau 12'!Table1</vt:lpstr>
      <vt:lpstr>'Bureau 2'!Table1</vt:lpstr>
      <vt:lpstr>'Bureau 3'!Table1</vt:lpstr>
      <vt:lpstr>'Bureau 4'!Table1</vt:lpstr>
      <vt:lpstr>'Bureau 5'!Table1</vt:lpstr>
      <vt:lpstr>'Bureau 6'!Table1</vt:lpstr>
      <vt:lpstr>'Bureau 7'!Table1</vt:lpstr>
      <vt:lpstr>'Bureau 8'!Table1</vt:lpstr>
      <vt:lpstr>'Bureau 9'!Table1</vt:lpstr>
      <vt:lpstr>Exemple!Table1</vt:lpstr>
      <vt:lpstr>Table1</vt:lpstr>
      <vt:lpstr>'Bureau 1'!Table2</vt:lpstr>
      <vt:lpstr>'Bureau 10'!Table2</vt:lpstr>
      <vt:lpstr>'Bureau 11'!Table2</vt:lpstr>
      <vt:lpstr>'Bureau 12'!Table2</vt:lpstr>
      <vt:lpstr>'Bureau 2'!Table2</vt:lpstr>
      <vt:lpstr>'Bureau 3'!Table2</vt:lpstr>
      <vt:lpstr>'Bureau 4'!Table2</vt:lpstr>
      <vt:lpstr>'Bureau 5'!Table2</vt:lpstr>
      <vt:lpstr>'Bureau 6'!Table2</vt:lpstr>
      <vt:lpstr>'Bureau 7'!Table2</vt:lpstr>
      <vt:lpstr>'Bureau 8'!Table2</vt:lpstr>
      <vt:lpstr>'Bureau 9'!Table2</vt:lpstr>
      <vt:lpstr>Exemple!Table2</vt:lpstr>
      <vt:lpstr>Table2</vt:lpstr>
      <vt:lpstr>'Bureau 1'!Table3</vt:lpstr>
      <vt:lpstr>'Bureau 10'!Table3</vt:lpstr>
      <vt:lpstr>'Bureau 11'!Table3</vt:lpstr>
      <vt:lpstr>'Bureau 12'!Table3</vt:lpstr>
      <vt:lpstr>'Bureau 2'!Table3</vt:lpstr>
      <vt:lpstr>'Bureau 3'!Table3</vt:lpstr>
      <vt:lpstr>'Bureau 4'!Table3</vt:lpstr>
      <vt:lpstr>'Bureau 5'!Table3</vt:lpstr>
      <vt:lpstr>'Bureau 6'!Table3</vt:lpstr>
      <vt:lpstr>'Bureau 7'!Table3</vt:lpstr>
      <vt:lpstr>'Bureau 8'!Table3</vt:lpstr>
      <vt:lpstr>'Bureau 9'!Table3</vt:lpstr>
      <vt:lpstr>Exemple!Table3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Barbero</dc:creator>
  <cp:lastModifiedBy>Rémi Barbero</cp:lastModifiedBy>
  <cp:lastPrinted>2025-04-24T12:11:21Z</cp:lastPrinted>
  <dcterms:created xsi:type="dcterms:W3CDTF">2025-03-13T09:37:21Z</dcterms:created>
  <dcterms:modified xsi:type="dcterms:W3CDTF">2025-08-07T13:59:37Z</dcterms:modified>
</cp:coreProperties>
</file>