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threadedComments/threadedComment13.xml" ContentType="application/vnd.ms-excel.threadedcomment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threadedComments/threadedComment14.xml" ContentType="application/vnd.ms-excel.threadedcomment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threadedComments/threadedComment15.xml" ContentType="application/vnd.ms-excel.threadedcomments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threadedComments/threadedComment16.xml" ContentType="application/vnd.ms-excel.threadedcomments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umnienacfr-my.sharepoint.com/personal/remi_barbero_alumni_enac_fr/Documents/Echange/Elections/"/>
    </mc:Choice>
  </mc:AlternateContent>
  <xr:revisionPtr revIDLastSave="2724" documentId="8_{17E41732-0D52-49DA-B761-A3B7477086D5}" xr6:coauthVersionLast="47" xr6:coauthVersionMax="47" xr10:uidLastSave="{1A8BAFB4-9A6F-4321-A0B4-B03B2095DF9B}"/>
  <bookViews>
    <workbookView xWindow="-120" yWindow="-120" windowWidth="30960" windowHeight="16800" tabRatio="851" xr2:uid="{00000000-000D-0000-FFFF-FFFF00000000}"/>
  </bookViews>
  <sheets>
    <sheet name="Synthèse" sheetId="1" r:id="rId1"/>
    <sheet name="Participation horaire" sheetId="3" r:id="rId2"/>
    <sheet name="Exemple" sheetId="536" r:id="rId3"/>
    <sheet name="Bureau 0" sheetId="207" r:id="rId4"/>
    <sheet name="Bureau 1" sheetId="561" r:id="rId5"/>
    <sheet name="Bureau 2" sheetId="562" r:id="rId6"/>
    <sheet name="Bureau 3" sheetId="563" r:id="rId7"/>
    <sheet name="Bureau 4" sheetId="564" r:id="rId8"/>
    <sheet name="Bureau 5" sheetId="565" r:id="rId9"/>
    <sheet name="Bureau 6" sheetId="566" r:id="rId10"/>
    <sheet name="Bureau 7" sheetId="567" r:id="rId11"/>
    <sheet name="Bureau 8" sheetId="568" r:id="rId12"/>
    <sheet name="Bureau 9" sheetId="569" r:id="rId13"/>
    <sheet name="Bureau 10" sheetId="570" r:id="rId14"/>
    <sheet name="Bureau 11" sheetId="571" r:id="rId15"/>
    <sheet name="Bureau 12" sheetId="572" r:id="rId16"/>
  </sheets>
  <functionGroups builtInGroupCount="19"/>
  <definedNames>
    <definedName name="_xleta.NA" hidden="1" xlm="1">#NAME?</definedName>
    <definedName name="_xleta.SUM" hidden="1" xlm="1">#NAME?</definedName>
    <definedName name="Table1" localSheetId="4">'Bureau 1'!$D$49:$P$59</definedName>
    <definedName name="Table1" localSheetId="13">'Bureau 10'!$D$49:$P$59</definedName>
    <definedName name="Table1" localSheetId="14">'Bureau 11'!$D$49:$P$59</definedName>
    <definedName name="Table1" localSheetId="15">'Bureau 12'!$D$49:$P$59</definedName>
    <definedName name="Table1" localSheetId="5">'Bureau 2'!$D$49:$P$59</definedName>
    <definedName name="Table1" localSheetId="6">'Bureau 3'!$D$49:$P$59</definedName>
    <definedName name="Table1" localSheetId="7">'Bureau 4'!$D$49:$P$59</definedName>
    <definedName name="Table1" localSheetId="8">'Bureau 5'!$D$49:$P$59</definedName>
    <definedName name="Table1" localSheetId="9">'Bureau 6'!$D$49:$P$59</definedName>
    <definedName name="Table1" localSheetId="10">'Bureau 7'!$D$49:$P$59</definedName>
    <definedName name="Table1" localSheetId="11">'Bureau 8'!$D$49:$P$59</definedName>
    <definedName name="Table1" localSheetId="12">'Bureau 9'!$D$49:$P$59</definedName>
    <definedName name="Table1" localSheetId="2">Exemple!$D$49:$P$59</definedName>
    <definedName name="Table1">'Bureau 0'!$D$49:$P$59</definedName>
    <definedName name="Table2" localSheetId="4">'Bureau 1'!$D$67:$P$72</definedName>
    <definedName name="Table2" localSheetId="13">'Bureau 10'!$D$67:$P$72</definedName>
    <definedName name="Table2" localSheetId="14">'Bureau 11'!$D$67:$P$72</definedName>
    <definedName name="Table2" localSheetId="15">'Bureau 12'!$D$67:$P$72</definedName>
    <definedName name="Table2" localSheetId="5">'Bureau 2'!$D$67:$P$72</definedName>
    <definedName name="Table2" localSheetId="6">'Bureau 3'!$D$67:$P$72</definedName>
    <definedName name="Table2" localSheetId="7">'Bureau 4'!$D$67:$P$72</definedName>
    <definedName name="Table2" localSheetId="8">'Bureau 5'!$D$67:$P$72</definedName>
    <definedName name="Table2" localSheetId="9">'Bureau 6'!$D$67:$P$72</definedName>
    <definedName name="Table2" localSheetId="10">'Bureau 7'!$D$67:$P$72</definedName>
    <definedName name="Table2" localSheetId="11">'Bureau 8'!$D$67:$P$72</definedName>
    <definedName name="Table2" localSheetId="12">'Bureau 9'!$D$67:$P$72</definedName>
    <definedName name="Table2" localSheetId="2">Exemple!$D$67:$P$72</definedName>
    <definedName name="Table2">'Bureau 0'!$D$67:$P$72</definedName>
    <definedName name="Table3" localSheetId="4">'Bureau 1'!$D$78:$P$80</definedName>
    <definedName name="Table3" localSheetId="13">'Bureau 10'!$D$78:$P$80</definedName>
    <definedName name="Table3" localSheetId="14">'Bureau 11'!$D$78:$P$80</definedName>
    <definedName name="Table3" localSheetId="15">'Bureau 12'!$D$78:$P$80</definedName>
    <definedName name="Table3" localSheetId="5">'Bureau 2'!$D$78:$P$80</definedName>
    <definedName name="Table3" localSheetId="6">'Bureau 3'!$D$78:$P$80</definedName>
    <definedName name="Table3" localSheetId="7">'Bureau 4'!$D$78:$P$80</definedName>
    <definedName name="Table3" localSheetId="8">'Bureau 5'!$D$78:$P$80</definedName>
    <definedName name="Table3" localSheetId="9">'Bureau 6'!$D$78:$P$80</definedName>
    <definedName name="Table3" localSheetId="10">'Bureau 7'!$D$78:$P$80</definedName>
    <definedName name="Table3" localSheetId="11">'Bureau 8'!$D$78:$P$80</definedName>
    <definedName name="Table3" localSheetId="12">'Bureau 9'!$D$78:$P$80</definedName>
    <definedName name="Table3" localSheetId="2">Exemple!$D$78:$P$80</definedName>
    <definedName name="Table3">'Bureau 0'!$D$78:$P$80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0" i="572" l="1"/>
  <c r="Q79" i="572"/>
  <c r="Q78" i="572"/>
  <c r="Q72" i="572"/>
  <c r="Q71" i="572"/>
  <c r="Q70" i="572"/>
  <c r="Q69" i="572"/>
  <c r="Q68" i="572"/>
  <c r="Q59" i="572"/>
  <c r="Q58" i="572"/>
  <c r="Q57" i="572"/>
  <c r="Q56" i="572"/>
  <c r="Q55" i="572"/>
  <c r="Q54" i="572"/>
  <c r="Q53" i="572"/>
  <c r="Q52" i="572"/>
  <c r="Q51" i="572"/>
  <c r="Q50" i="572"/>
  <c r="N49" i="572"/>
  <c r="M49" i="572"/>
  <c r="L49" i="572"/>
  <c r="K49" i="572"/>
  <c r="J49" i="572"/>
  <c r="I49" i="572"/>
  <c r="H49" i="572"/>
  <c r="G49" i="572"/>
  <c r="F49" i="572"/>
  <c r="E49" i="572"/>
  <c r="AA15" i="572"/>
  <c r="X15" i="572"/>
  <c r="AA14" i="572"/>
  <c r="X14" i="572"/>
  <c r="AA13" i="572"/>
  <c r="X13" i="572"/>
  <c r="AA12" i="572"/>
  <c r="X12" i="572"/>
  <c r="D12" i="572" a="1"/>
  <c r="D12" i="572" s="1"/>
  <c r="N12" i="572" s="1" a="1"/>
  <c r="N12" i="572" s="1"/>
  <c r="AA11" i="572"/>
  <c r="X11" i="572"/>
  <c r="AA10" i="572"/>
  <c r="X10" i="572"/>
  <c r="D10" i="572" a="1"/>
  <c r="D10" i="572" s="1"/>
  <c r="M10" i="572" s="1" a="1"/>
  <c r="M10" i="572" s="1"/>
  <c r="AA9" i="572"/>
  <c r="X9" i="572"/>
  <c r="D9" i="572" a="1"/>
  <c r="D9" i="572" s="1"/>
  <c r="AA8" i="572"/>
  <c r="X8" i="572"/>
  <c r="D8" i="572" a="1"/>
  <c r="D8" i="572" s="1"/>
  <c r="K8" i="572" s="1" a="1"/>
  <c r="K8" i="572" s="1"/>
  <c r="B8" i="572"/>
  <c r="AA7" i="572"/>
  <c r="X7" i="572"/>
  <c r="D7" i="572" a="1"/>
  <c r="D7" i="572" s="1"/>
  <c r="B7" i="572"/>
  <c r="AA6" i="572"/>
  <c r="X6" i="572"/>
  <c r="D6" i="572" a="1"/>
  <c r="D6" i="572" s="1"/>
  <c r="M6" i="572" s="1" a="1"/>
  <c r="M6" i="572" s="1"/>
  <c r="AA5" i="572"/>
  <c r="X5" i="572"/>
  <c r="AA4" i="572"/>
  <c r="X4" i="572"/>
  <c r="D4" i="572" a="1"/>
  <c r="D4" i="572" s="1"/>
  <c r="D3" i="572" a="1"/>
  <c r="D3" i="572" s="1"/>
  <c r="B3" i="572"/>
  <c r="R2" i="572"/>
  <c r="B2" i="572"/>
  <c r="S1" i="572"/>
  <c r="D5" i="572" s="1" a="1"/>
  <c r="D5" i="572" s="1"/>
  <c r="N1" i="572"/>
  <c r="M1" i="572"/>
  <c r="L1" i="572"/>
  <c r="K1" i="572"/>
  <c r="J1" i="572"/>
  <c r="I1" i="572"/>
  <c r="H1" i="572"/>
  <c r="G1" i="572"/>
  <c r="F1" i="572"/>
  <c r="E1" i="572"/>
  <c r="B1" i="572"/>
  <c r="Q80" i="571"/>
  <c r="Q79" i="571"/>
  <c r="Q78" i="571"/>
  <c r="Q72" i="571"/>
  <c r="Q71" i="571"/>
  <c r="Q70" i="571"/>
  <c r="Q69" i="571"/>
  <c r="Q68" i="571"/>
  <c r="Q59" i="571"/>
  <c r="Q58" i="571"/>
  <c r="Q57" i="571"/>
  <c r="Q56" i="571"/>
  <c r="Q55" i="571"/>
  <c r="Q54" i="571"/>
  <c r="Q53" i="571"/>
  <c r="Q52" i="571"/>
  <c r="Q51" i="571"/>
  <c r="Q50" i="571"/>
  <c r="N49" i="571"/>
  <c r="M49" i="571"/>
  <c r="L49" i="571"/>
  <c r="K49" i="571"/>
  <c r="J49" i="571"/>
  <c r="I49" i="571"/>
  <c r="H49" i="571"/>
  <c r="G49" i="571"/>
  <c r="F49" i="571"/>
  <c r="E49" i="571"/>
  <c r="AA15" i="571"/>
  <c r="X15" i="571"/>
  <c r="AA14" i="571"/>
  <c r="X14" i="571"/>
  <c r="AA13" i="571"/>
  <c r="X13" i="571"/>
  <c r="AA12" i="571"/>
  <c r="X12" i="571"/>
  <c r="AA11" i="571"/>
  <c r="X11" i="571"/>
  <c r="AA10" i="571"/>
  <c r="X10" i="571"/>
  <c r="AA9" i="571"/>
  <c r="X9" i="571"/>
  <c r="AA8" i="571"/>
  <c r="X8" i="571"/>
  <c r="B8" i="571"/>
  <c r="AA7" i="571"/>
  <c r="X7" i="571"/>
  <c r="B7" i="571"/>
  <c r="R2" i="571" s="1"/>
  <c r="AA6" i="571"/>
  <c r="X6" i="571"/>
  <c r="AA5" i="571"/>
  <c r="X5" i="571"/>
  <c r="AA4" i="571"/>
  <c r="X4" i="571"/>
  <c r="B3" i="571"/>
  <c r="B2" i="571"/>
  <c r="N1" i="571"/>
  <c r="M1" i="571"/>
  <c r="L1" i="571"/>
  <c r="K1" i="571"/>
  <c r="J1" i="571"/>
  <c r="I1" i="571"/>
  <c r="H1" i="571"/>
  <c r="G1" i="571"/>
  <c r="F1" i="571"/>
  <c r="E1" i="571"/>
  <c r="B1" i="571"/>
  <c r="Q80" i="570"/>
  <c r="Q79" i="570"/>
  <c r="Q78" i="570"/>
  <c r="Q72" i="570"/>
  <c r="Q71" i="570"/>
  <c r="Q70" i="570"/>
  <c r="Q69" i="570"/>
  <c r="Q68" i="570"/>
  <c r="Q59" i="570"/>
  <c r="Q58" i="570"/>
  <c r="Q57" i="570"/>
  <c r="Q56" i="570"/>
  <c r="Q55" i="570"/>
  <c r="Q54" i="570"/>
  <c r="Q53" i="570"/>
  <c r="Q52" i="570"/>
  <c r="Q51" i="570"/>
  <c r="Q50" i="570"/>
  <c r="N49" i="570"/>
  <c r="M49" i="570"/>
  <c r="L49" i="570"/>
  <c r="K49" i="570"/>
  <c r="J49" i="570"/>
  <c r="I49" i="570"/>
  <c r="H49" i="570"/>
  <c r="G49" i="570"/>
  <c r="F49" i="570"/>
  <c r="E49" i="570"/>
  <c r="AA15" i="570"/>
  <c r="X15" i="570"/>
  <c r="AA14" i="570"/>
  <c r="X14" i="570"/>
  <c r="AA13" i="570"/>
  <c r="X13" i="570"/>
  <c r="AA12" i="570"/>
  <c r="X12" i="570"/>
  <c r="D12" i="570" a="1"/>
  <c r="D12" i="570" s="1"/>
  <c r="AA11" i="570"/>
  <c r="X11" i="570"/>
  <c r="AA10" i="570"/>
  <c r="X10" i="570"/>
  <c r="D10" i="570" a="1"/>
  <c r="D10" i="570" s="1"/>
  <c r="AA9" i="570"/>
  <c r="X9" i="570"/>
  <c r="D9" i="570" a="1"/>
  <c r="D9" i="570" s="1"/>
  <c r="AA8" i="570"/>
  <c r="X8" i="570"/>
  <c r="D8" i="570" a="1"/>
  <c r="D8" i="570" s="1"/>
  <c r="N8" i="570" s="1" a="1"/>
  <c r="N8" i="570" s="1"/>
  <c r="B8" i="570"/>
  <c r="AA7" i="570"/>
  <c r="X7" i="570"/>
  <c r="D7" i="570" a="1"/>
  <c r="D7" i="570" s="1"/>
  <c r="B7" i="570"/>
  <c r="AA6" i="570"/>
  <c r="X6" i="570"/>
  <c r="D6" i="570" a="1"/>
  <c r="D6" i="570" s="1"/>
  <c r="K6" i="570" s="1" a="1"/>
  <c r="K6" i="570" s="1"/>
  <c r="AA5" i="570"/>
  <c r="X5" i="570"/>
  <c r="AA4" i="570"/>
  <c r="X4" i="570"/>
  <c r="D4" i="570" a="1"/>
  <c r="D4" i="570" s="1"/>
  <c r="N3" i="570" a="1"/>
  <c r="N3" i="570" s="1"/>
  <c r="I3" i="570" a="1"/>
  <c r="I3" i="570" s="1"/>
  <c r="H3" i="570" a="1"/>
  <c r="H3" i="570" s="1"/>
  <c r="G3" i="570" a="1"/>
  <c r="G3" i="570" s="1"/>
  <c r="F3" i="570" a="1"/>
  <c r="F3" i="570" s="1"/>
  <c r="E3" i="570" a="1"/>
  <c r="E3" i="570" s="1"/>
  <c r="D3" i="570"/>
  <c r="P3" i="570" s="1" a="1"/>
  <c r="P3" i="570" s="1"/>
  <c r="D3" i="570" a="1"/>
  <c r="B3" i="570"/>
  <c r="R2" i="570"/>
  <c r="B2" i="570"/>
  <c r="S1" i="570"/>
  <c r="D5" i="570" s="1" a="1"/>
  <c r="D5" i="570" s="1"/>
  <c r="P5" i="570" s="1" a="1"/>
  <c r="P5" i="570" s="1"/>
  <c r="N1" i="570"/>
  <c r="M1" i="570"/>
  <c r="L1" i="570"/>
  <c r="K1" i="570"/>
  <c r="J1" i="570"/>
  <c r="I1" i="570"/>
  <c r="H1" i="570"/>
  <c r="G1" i="570"/>
  <c r="F1" i="570"/>
  <c r="E1" i="570"/>
  <c r="B1" i="570"/>
  <c r="Q80" i="569"/>
  <c r="Q79" i="569"/>
  <c r="Q78" i="569"/>
  <c r="Q72" i="569"/>
  <c r="Q71" i="569"/>
  <c r="Q70" i="569"/>
  <c r="Q69" i="569"/>
  <c r="Q68" i="569"/>
  <c r="Q59" i="569"/>
  <c r="Q58" i="569"/>
  <c r="Q57" i="569"/>
  <c r="Q56" i="569"/>
  <c r="Q55" i="569"/>
  <c r="Q54" i="569"/>
  <c r="Q53" i="569"/>
  <c r="Q52" i="569"/>
  <c r="Q51" i="569"/>
  <c r="Q50" i="569"/>
  <c r="N49" i="569"/>
  <c r="M49" i="569"/>
  <c r="L49" i="569"/>
  <c r="K49" i="569"/>
  <c r="J49" i="569"/>
  <c r="I49" i="569"/>
  <c r="H49" i="569"/>
  <c r="G49" i="569"/>
  <c r="F49" i="569"/>
  <c r="E49" i="569"/>
  <c r="AA15" i="569"/>
  <c r="X15" i="569"/>
  <c r="AA14" i="569"/>
  <c r="X14" i="569"/>
  <c r="AA13" i="569"/>
  <c r="X13" i="569"/>
  <c r="AA12" i="569"/>
  <c r="X12" i="569"/>
  <c r="D12" i="569" a="1"/>
  <c r="D12" i="569" s="1"/>
  <c r="AA11" i="569"/>
  <c r="X11" i="569"/>
  <c r="AA10" i="569"/>
  <c r="X10" i="569"/>
  <c r="D10" i="569" a="1"/>
  <c r="D10" i="569" s="1"/>
  <c r="N10" i="569" s="1" a="1"/>
  <c r="N10" i="569" s="1"/>
  <c r="AA9" i="569"/>
  <c r="X9" i="569"/>
  <c r="D9" i="569" a="1"/>
  <c r="D9" i="569" s="1"/>
  <c r="AA8" i="569"/>
  <c r="X8" i="569"/>
  <c r="D8" i="569" a="1"/>
  <c r="D8" i="569" s="1"/>
  <c r="M8" i="569" s="1" a="1"/>
  <c r="M8" i="569" s="1"/>
  <c r="B8" i="569"/>
  <c r="AA7" i="569"/>
  <c r="X7" i="569"/>
  <c r="D7" i="569" a="1"/>
  <c r="D7" i="569" s="1"/>
  <c r="B7" i="569"/>
  <c r="AA6" i="569"/>
  <c r="X6" i="569"/>
  <c r="D6" i="569" a="1"/>
  <c r="D6" i="569" s="1"/>
  <c r="AA5" i="569"/>
  <c r="X5" i="569"/>
  <c r="AA4" i="569"/>
  <c r="X4" i="569"/>
  <c r="D4" i="569" a="1"/>
  <c r="D4" i="569" s="1"/>
  <c r="D3" i="569" a="1"/>
  <c r="D3" i="569" s="1"/>
  <c r="B3" i="569"/>
  <c r="R2" i="569"/>
  <c r="B2" i="569"/>
  <c r="S1" i="569"/>
  <c r="D5" i="569" s="1" a="1"/>
  <c r="D5" i="569" s="1"/>
  <c r="E5" i="569" s="1" a="1"/>
  <c r="E5" i="569" s="1"/>
  <c r="N1" i="569"/>
  <c r="M1" i="569"/>
  <c r="L1" i="569"/>
  <c r="K1" i="569"/>
  <c r="J1" i="569"/>
  <c r="I1" i="569"/>
  <c r="H1" i="569"/>
  <c r="G1" i="569"/>
  <c r="F1" i="569"/>
  <c r="E1" i="569"/>
  <c r="B1" i="569"/>
  <c r="Q80" i="568"/>
  <c r="Q79" i="568"/>
  <c r="Q78" i="568"/>
  <c r="Q72" i="568"/>
  <c r="Q71" i="568"/>
  <c r="Q70" i="568"/>
  <c r="Q69" i="568"/>
  <c r="Q68" i="568"/>
  <c r="Q59" i="568"/>
  <c r="Q58" i="568"/>
  <c r="Q57" i="568"/>
  <c r="Q56" i="568"/>
  <c r="Q55" i="568"/>
  <c r="Q54" i="568"/>
  <c r="Q53" i="568"/>
  <c r="Q52" i="568"/>
  <c r="Q51" i="568"/>
  <c r="Q50" i="568"/>
  <c r="N49" i="568"/>
  <c r="M49" i="568"/>
  <c r="L49" i="568"/>
  <c r="K49" i="568"/>
  <c r="J49" i="568"/>
  <c r="I49" i="568"/>
  <c r="H49" i="568"/>
  <c r="G49" i="568"/>
  <c r="F49" i="568"/>
  <c r="E49" i="568"/>
  <c r="AA15" i="568"/>
  <c r="X15" i="568"/>
  <c r="AA14" i="568"/>
  <c r="X14" i="568"/>
  <c r="AA13" i="568"/>
  <c r="X13" i="568"/>
  <c r="AA12" i="568"/>
  <c r="X12" i="568"/>
  <c r="D12" i="568" a="1"/>
  <c r="D12" i="568" s="1"/>
  <c r="AA11" i="568"/>
  <c r="X11" i="568"/>
  <c r="AA10" i="568"/>
  <c r="X10" i="568"/>
  <c r="D10" i="568" a="1"/>
  <c r="D10" i="568" s="1"/>
  <c r="M10" i="568" s="1" a="1"/>
  <c r="M10" i="568" s="1"/>
  <c r="AA9" i="568"/>
  <c r="X9" i="568"/>
  <c r="D9" i="568" a="1"/>
  <c r="D9" i="568" s="1"/>
  <c r="AA8" i="568"/>
  <c r="X8" i="568"/>
  <c r="D8" i="568" a="1"/>
  <c r="D8" i="568" s="1"/>
  <c r="B8" i="568"/>
  <c r="AA7" i="568"/>
  <c r="X7" i="568"/>
  <c r="D7" i="568" a="1"/>
  <c r="D7" i="568" s="1"/>
  <c r="B7" i="568"/>
  <c r="AA6" i="568"/>
  <c r="X6" i="568"/>
  <c r="D6" i="568" a="1"/>
  <c r="D6" i="568" s="1"/>
  <c r="M6" i="568" s="1" a="1"/>
  <c r="M6" i="568" s="1"/>
  <c r="AA5" i="568"/>
  <c r="X5" i="568"/>
  <c r="AA4" i="568"/>
  <c r="X4" i="568"/>
  <c r="D4" i="568" a="1"/>
  <c r="D4" i="568" s="1"/>
  <c r="D3" i="568" a="1"/>
  <c r="D3" i="568" s="1"/>
  <c r="B3" i="568"/>
  <c r="R2" i="568"/>
  <c r="B2" i="568"/>
  <c r="S1" i="568"/>
  <c r="D5" i="568" s="1" a="1"/>
  <c r="D5" i="568" s="1"/>
  <c r="N1" i="568"/>
  <c r="M1" i="568"/>
  <c r="L1" i="568"/>
  <c r="K1" i="568"/>
  <c r="J1" i="568"/>
  <c r="I1" i="568"/>
  <c r="H1" i="568"/>
  <c r="G1" i="568"/>
  <c r="F1" i="568"/>
  <c r="E1" i="568"/>
  <c r="B1" i="568"/>
  <c r="Q80" i="567"/>
  <c r="Q79" i="567"/>
  <c r="Q78" i="567"/>
  <c r="Q72" i="567"/>
  <c r="Q71" i="567"/>
  <c r="Q70" i="567"/>
  <c r="Q69" i="567"/>
  <c r="Q68" i="567"/>
  <c r="Q59" i="567"/>
  <c r="Q58" i="567"/>
  <c r="Q57" i="567"/>
  <c r="Q56" i="567"/>
  <c r="Q55" i="567"/>
  <c r="Q54" i="567"/>
  <c r="Q53" i="567"/>
  <c r="Q52" i="567"/>
  <c r="Q51" i="567"/>
  <c r="Q50" i="567"/>
  <c r="N49" i="567"/>
  <c r="M49" i="567"/>
  <c r="L49" i="567"/>
  <c r="K49" i="567"/>
  <c r="J49" i="567"/>
  <c r="I49" i="567"/>
  <c r="H49" i="567"/>
  <c r="G49" i="567"/>
  <c r="F49" i="567"/>
  <c r="E49" i="567"/>
  <c r="AA15" i="567"/>
  <c r="X15" i="567"/>
  <c r="AA14" i="567"/>
  <c r="X14" i="567"/>
  <c r="AA13" i="567"/>
  <c r="X13" i="567"/>
  <c r="AA12" i="567"/>
  <c r="X12" i="567"/>
  <c r="AA11" i="567"/>
  <c r="X11" i="567"/>
  <c r="AA10" i="567"/>
  <c r="X10" i="567"/>
  <c r="AA9" i="567"/>
  <c r="X9" i="567"/>
  <c r="AA8" i="567"/>
  <c r="X8" i="567"/>
  <c r="B8" i="567"/>
  <c r="AA7" i="567"/>
  <c r="X7" i="567"/>
  <c r="B7" i="567"/>
  <c r="R2" i="567" s="1"/>
  <c r="AA6" i="567"/>
  <c r="X6" i="567"/>
  <c r="AA5" i="567"/>
  <c r="X5" i="567"/>
  <c r="AA4" i="567"/>
  <c r="X4" i="567"/>
  <c r="B3" i="567"/>
  <c r="B2" i="567"/>
  <c r="N1" i="567"/>
  <c r="M1" i="567"/>
  <c r="L1" i="567"/>
  <c r="K1" i="567"/>
  <c r="J1" i="567"/>
  <c r="I1" i="567"/>
  <c r="H1" i="567"/>
  <c r="G1" i="567"/>
  <c r="F1" i="567"/>
  <c r="E1" i="567"/>
  <c r="B1" i="567"/>
  <c r="Q80" i="566"/>
  <c r="Q79" i="566"/>
  <c r="Q78" i="566"/>
  <c r="Q72" i="566"/>
  <c r="Q71" i="566"/>
  <c r="Q70" i="566"/>
  <c r="Q69" i="566"/>
  <c r="Q68" i="566"/>
  <c r="Q59" i="566"/>
  <c r="Q58" i="566"/>
  <c r="Q57" i="566"/>
  <c r="Q56" i="566"/>
  <c r="Q55" i="566"/>
  <c r="Q54" i="566"/>
  <c r="Q53" i="566"/>
  <c r="Q52" i="566"/>
  <c r="Q51" i="566"/>
  <c r="Q50" i="566"/>
  <c r="N49" i="566"/>
  <c r="M49" i="566"/>
  <c r="L49" i="566"/>
  <c r="K49" i="566"/>
  <c r="J49" i="566"/>
  <c r="I49" i="566"/>
  <c r="H49" i="566"/>
  <c r="G49" i="566"/>
  <c r="F49" i="566"/>
  <c r="E49" i="566"/>
  <c r="AA15" i="566"/>
  <c r="X15" i="566"/>
  <c r="AA14" i="566"/>
  <c r="X14" i="566"/>
  <c r="AA13" i="566"/>
  <c r="X13" i="566"/>
  <c r="AA12" i="566"/>
  <c r="X12" i="566"/>
  <c r="AA11" i="566"/>
  <c r="X11" i="566"/>
  <c r="AA10" i="566"/>
  <c r="X10" i="566"/>
  <c r="AA9" i="566"/>
  <c r="X9" i="566"/>
  <c r="AA8" i="566"/>
  <c r="X8" i="566"/>
  <c r="B8" i="566"/>
  <c r="AA7" i="566"/>
  <c r="X7" i="566"/>
  <c r="B7" i="566"/>
  <c r="R2" i="566" s="1"/>
  <c r="AA6" i="566"/>
  <c r="X6" i="566"/>
  <c r="AA5" i="566"/>
  <c r="X5" i="566"/>
  <c r="AA4" i="566"/>
  <c r="X4" i="566"/>
  <c r="B3" i="566"/>
  <c r="B2" i="566"/>
  <c r="N1" i="566"/>
  <c r="M1" i="566"/>
  <c r="L1" i="566"/>
  <c r="K1" i="566"/>
  <c r="J1" i="566"/>
  <c r="I1" i="566"/>
  <c r="H1" i="566"/>
  <c r="G1" i="566"/>
  <c r="F1" i="566"/>
  <c r="E1" i="566"/>
  <c r="B1" i="566"/>
  <c r="Q80" i="565"/>
  <c r="Q79" i="565"/>
  <c r="Q78" i="565"/>
  <c r="Q72" i="565"/>
  <c r="Q71" i="565"/>
  <c r="Q70" i="565"/>
  <c r="Q69" i="565"/>
  <c r="Q68" i="565"/>
  <c r="Q59" i="565"/>
  <c r="Q58" i="565"/>
  <c r="Q57" i="565"/>
  <c r="Q56" i="565"/>
  <c r="Q55" i="565"/>
  <c r="Q54" i="565"/>
  <c r="Q53" i="565"/>
  <c r="Q52" i="565"/>
  <c r="Q51" i="565"/>
  <c r="Q50" i="565"/>
  <c r="N49" i="565"/>
  <c r="M49" i="565"/>
  <c r="L49" i="565"/>
  <c r="K49" i="565"/>
  <c r="J49" i="565"/>
  <c r="I49" i="565"/>
  <c r="H49" i="565"/>
  <c r="G49" i="565"/>
  <c r="F49" i="565"/>
  <c r="E49" i="565"/>
  <c r="AA15" i="565"/>
  <c r="X15" i="565"/>
  <c r="AA14" i="565"/>
  <c r="X14" i="565"/>
  <c r="AA13" i="565"/>
  <c r="X13" i="565"/>
  <c r="AA12" i="565"/>
  <c r="X12" i="565"/>
  <c r="D12" i="565" a="1"/>
  <c r="D12" i="565" s="1"/>
  <c r="AA11" i="565"/>
  <c r="X11" i="565"/>
  <c r="AA10" i="565"/>
  <c r="X10" i="565"/>
  <c r="D10" i="565" a="1"/>
  <c r="D10" i="565" s="1"/>
  <c r="J10" i="565" s="1" a="1"/>
  <c r="J10" i="565" s="1"/>
  <c r="AA9" i="565"/>
  <c r="X9" i="565"/>
  <c r="D9" i="565" a="1"/>
  <c r="D9" i="565" s="1"/>
  <c r="AA8" i="565"/>
  <c r="X8" i="565"/>
  <c r="D8" i="565" a="1"/>
  <c r="D8" i="565" s="1"/>
  <c r="L8" i="565" s="1" a="1"/>
  <c r="L8" i="565" s="1"/>
  <c r="B8" i="565"/>
  <c r="AA7" i="565"/>
  <c r="X7" i="565"/>
  <c r="D7" i="565" a="1"/>
  <c r="D7" i="565" s="1"/>
  <c r="B7" i="565"/>
  <c r="AA6" i="565"/>
  <c r="X6" i="565"/>
  <c r="D6" i="565" a="1"/>
  <c r="D6" i="565" s="1"/>
  <c r="AA5" i="565"/>
  <c r="X5" i="565"/>
  <c r="AA4" i="565"/>
  <c r="X4" i="565"/>
  <c r="D4" i="565" a="1"/>
  <c r="D4" i="565" s="1"/>
  <c r="D3" i="565" a="1"/>
  <c r="D3" i="565" s="1"/>
  <c r="B3" i="565"/>
  <c r="R2" i="565"/>
  <c r="B2" i="565"/>
  <c r="S1" i="565"/>
  <c r="D5" i="565" s="1" a="1"/>
  <c r="D5" i="565" s="1"/>
  <c r="N1" i="565"/>
  <c r="M1" i="565"/>
  <c r="L1" i="565"/>
  <c r="K1" i="565"/>
  <c r="J1" i="565"/>
  <c r="I1" i="565"/>
  <c r="H1" i="565"/>
  <c r="G1" i="565"/>
  <c r="F1" i="565"/>
  <c r="E1" i="565"/>
  <c r="B1" i="565"/>
  <c r="Q80" i="564"/>
  <c r="Q79" i="564"/>
  <c r="Q78" i="564"/>
  <c r="Q72" i="564"/>
  <c r="Q71" i="564"/>
  <c r="Q70" i="564"/>
  <c r="Q69" i="564"/>
  <c r="Q68" i="564"/>
  <c r="Q59" i="564"/>
  <c r="Q58" i="564"/>
  <c r="Q57" i="564"/>
  <c r="Q56" i="564"/>
  <c r="Q55" i="564"/>
  <c r="Q54" i="564"/>
  <c r="Q53" i="564"/>
  <c r="Q52" i="564"/>
  <c r="Q51" i="564"/>
  <c r="Q50" i="564"/>
  <c r="N49" i="564"/>
  <c r="M49" i="564"/>
  <c r="L49" i="564"/>
  <c r="K49" i="564"/>
  <c r="J49" i="564"/>
  <c r="I49" i="564"/>
  <c r="H49" i="564"/>
  <c r="G49" i="564"/>
  <c r="F49" i="564"/>
  <c r="E49" i="564"/>
  <c r="AA15" i="564"/>
  <c r="X15" i="564"/>
  <c r="AA14" i="564"/>
  <c r="X14" i="564"/>
  <c r="AA13" i="564"/>
  <c r="X13" i="564"/>
  <c r="AA12" i="564"/>
  <c r="X12" i="564"/>
  <c r="D12" i="564" a="1"/>
  <c r="D12" i="564" s="1"/>
  <c r="AA11" i="564"/>
  <c r="X11" i="564"/>
  <c r="AA10" i="564"/>
  <c r="X10" i="564"/>
  <c r="D10" i="564" a="1"/>
  <c r="D10" i="564" s="1"/>
  <c r="J10" i="564" s="1" a="1"/>
  <c r="J10" i="564" s="1"/>
  <c r="AA9" i="564"/>
  <c r="X9" i="564"/>
  <c r="D9" i="564" a="1"/>
  <c r="D9" i="564" s="1"/>
  <c r="AA8" i="564"/>
  <c r="X8" i="564"/>
  <c r="D8" i="564" a="1"/>
  <c r="D8" i="564" s="1"/>
  <c r="B8" i="564"/>
  <c r="AA7" i="564"/>
  <c r="X7" i="564"/>
  <c r="D7" i="564" a="1"/>
  <c r="D7" i="564" s="1"/>
  <c r="B7" i="564"/>
  <c r="AA6" i="564"/>
  <c r="X6" i="564"/>
  <c r="D6" i="564" a="1"/>
  <c r="D6" i="564" s="1"/>
  <c r="J6" i="564" s="1" a="1"/>
  <c r="J6" i="564" s="1"/>
  <c r="AA5" i="564"/>
  <c r="X5" i="564"/>
  <c r="AA4" i="564"/>
  <c r="X4" i="564"/>
  <c r="D4" i="564" a="1"/>
  <c r="D4" i="564" s="1"/>
  <c r="K4" i="564" s="1" a="1"/>
  <c r="K4" i="564" s="1"/>
  <c r="D3" i="564" a="1"/>
  <c r="D3" i="564" s="1"/>
  <c r="B3" i="564"/>
  <c r="R2" i="564"/>
  <c r="B2" i="564"/>
  <c r="S1" i="564"/>
  <c r="D5" i="564" s="1" a="1"/>
  <c r="D5" i="564" s="1"/>
  <c r="N1" i="564"/>
  <c r="M1" i="564"/>
  <c r="L1" i="564"/>
  <c r="K1" i="564"/>
  <c r="J1" i="564"/>
  <c r="I1" i="564"/>
  <c r="H1" i="564"/>
  <c r="G1" i="564"/>
  <c r="F1" i="564"/>
  <c r="E1" i="564"/>
  <c r="B1" i="564"/>
  <c r="Q80" i="563"/>
  <c r="Q79" i="563"/>
  <c r="Q78" i="563"/>
  <c r="Q72" i="563"/>
  <c r="Q71" i="563"/>
  <c r="Q70" i="563"/>
  <c r="Q69" i="563"/>
  <c r="Q68" i="563"/>
  <c r="Q59" i="563"/>
  <c r="Q58" i="563"/>
  <c r="Q57" i="563"/>
  <c r="Q56" i="563"/>
  <c r="Q55" i="563"/>
  <c r="Q54" i="563"/>
  <c r="Q53" i="563"/>
  <c r="Q52" i="563"/>
  <c r="Q51" i="563"/>
  <c r="Q50" i="563"/>
  <c r="N49" i="563"/>
  <c r="M49" i="563"/>
  <c r="L49" i="563"/>
  <c r="K49" i="563"/>
  <c r="J49" i="563"/>
  <c r="I49" i="563"/>
  <c r="H49" i="563"/>
  <c r="G49" i="563"/>
  <c r="F49" i="563"/>
  <c r="E49" i="563"/>
  <c r="AA15" i="563"/>
  <c r="X15" i="563"/>
  <c r="AA14" i="563"/>
  <c r="X14" i="563"/>
  <c r="AA13" i="563"/>
  <c r="X13" i="563"/>
  <c r="AA12" i="563"/>
  <c r="X12" i="563"/>
  <c r="D12" i="563" a="1"/>
  <c r="D12" i="563" s="1"/>
  <c r="AA11" i="563"/>
  <c r="X11" i="563"/>
  <c r="AA10" i="563"/>
  <c r="X10" i="563"/>
  <c r="D10" i="563" a="1"/>
  <c r="D10" i="563" s="1"/>
  <c r="M10" i="563" s="1" a="1"/>
  <c r="M10" i="563" s="1"/>
  <c r="AA9" i="563"/>
  <c r="X9" i="563"/>
  <c r="D9" i="563" a="1"/>
  <c r="D9" i="563" s="1"/>
  <c r="O9" i="563" s="1" a="1"/>
  <c r="O9" i="563" s="1"/>
  <c r="AA8" i="563"/>
  <c r="X8" i="563"/>
  <c r="D8" i="563" a="1"/>
  <c r="D8" i="563" s="1"/>
  <c r="B8" i="563"/>
  <c r="AA7" i="563"/>
  <c r="X7" i="563"/>
  <c r="D7" i="563" a="1"/>
  <c r="D7" i="563" s="1"/>
  <c r="B7" i="563"/>
  <c r="AA6" i="563"/>
  <c r="X6" i="563"/>
  <c r="D6" i="563" a="1"/>
  <c r="D6" i="563" s="1"/>
  <c r="M6" i="563" s="1" a="1"/>
  <c r="M6" i="563" s="1"/>
  <c r="AA5" i="563"/>
  <c r="X5" i="563"/>
  <c r="AA4" i="563"/>
  <c r="X4" i="563"/>
  <c r="L4" i="563" a="1"/>
  <c r="L4" i="563" s="1"/>
  <c r="D4" i="563" a="1"/>
  <c r="D4" i="563" s="1"/>
  <c r="D3" i="563" a="1"/>
  <c r="D3" i="563" s="1"/>
  <c r="B3" i="563"/>
  <c r="R2" i="563"/>
  <c r="B2" i="563"/>
  <c r="S1" i="563"/>
  <c r="D5" i="563" s="1" a="1"/>
  <c r="D5" i="563" s="1"/>
  <c r="H5" i="563" s="1" a="1"/>
  <c r="H5" i="563" s="1"/>
  <c r="N1" i="563"/>
  <c r="M1" i="563"/>
  <c r="L1" i="563"/>
  <c r="K1" i="563"/>
  <c r="J1" i="563"/>
  <c r="I1" i="563"/>
  <c r="H1" i="563"/>
  <c r="G1" i="563"/>
  <c r="F1" i="563"/>
  <c r="E1" i="563"/>
  <c r="B1" i="563"/>
  <c r="Q80" i="562"/>
  <c r="Q79" i="562"/>
  <c r="Q78" i="562"/>
  <c r="Q72" i="562"/>
  <c r="Q71" i="562"/>
  <c r="Q70" i="562"/>
  <c r="Q69" i="562"/>
  <c r="Q68" i="562"/>
  <c r="Q59" i="562"/>
  <c r="Q58" i="562"/>
  <c r="Q57" i="562"/>
  <c r="Q56" i="562"/>
  <c r="Q55" i="562"/>
  <c r="Q54" i="562"/>
  <c r="Q53" i="562"/>
  <c r="Q52" i="562"/>
  <c r="Q51" i="562"/>
  <c r="Q50" i="562"/>
  <c r="N49" i="562"/>
  <c r="M49" i="562"/>
  <c r="L49" i="562"/>
  <c r="K49" i="562"/>
  <c r="J49" i="562"/>
  <c r="I49" i="562"/>
  <c r="H49" i="562"/>
  <c r="G49" i="562"/>
  <c r="F49" i="562"/>
  <c r="E49" i="562"/>
  <c r="AA15" i="562"/>
  <c r="X15" i="562"/>
  <c r="AA14" i="562"/>
  <c r="X14" i="562"/>
  <c r="AA13" i="562"/>
  <c r="X13" i="562"/>
  <c r="AA12" i="562"/>
  <c r="X12" i="562"/>
  <c r="AA11" i="562"/>
  <c r="X11" i="562"/>
  <c r="AA10" i="562"/>
  <c r="X10" i="562"/>
  <c r="AA9" i="562"/>
  <c r="X9" i="562"/>
  <c r="AA8" i="562"/>
  <c r="X8" i="562"/>
  <c r="AA7" i="562"/>
  <c r="X7" i="562"/>
  <c r="B7" i="562"/>
  <c r="AA6" i="562"/>
  <c r="X6" i="562"/>
  <c r="AA5" i="562"/>
  <c r="X5" i="562"/>
  <c r="AA4" i="562"/>
  <c r="X4" i="562"/>
  <c r="B3" i="562"/>
  <c r="B2" i="562"/>
  <c r="N1" i="562"/>
  <c r="M1" i="562"/>
  <c r="L1" i="562"/>
  <c r="K1" i="562"/>
  <c r="J1" i="562"/>
  <c r="I1" i="562"/>
  <c r="H1" i="562"/>
  <c r="G1" i="562"/>
  <c r="F1" i="562"/>
  <c r="E1" i="562"/>
  <c r="B1" i="562"/>
  <c r="Q80" i="561"/>
  <c r="Q79" i="561"/>
  <c r="Q78" i="561"/>
  <c r="Q72" i="561"/>
  <c r="Q71" i="561"/>
  <c r="Q70" i="561"/>
  <c r="Q69" i="561"/>
  <c r="Q68" i="561"/>
  <c r="Q59" i="561"/>
  <c r="Q58" i="561"/>
  <c r="Q57" i="561"/>
  <c r="Q56" i="561"/>
  <c r="Q55" i="561"/>
  <c r="Q54" i="561"/>
  <c r="Q53" i="561"/>
  <c r="Q52" i="561"/>
  <c r="Q51" i="561"/>
  <c r="Q50" i="561"/>
  <c r="N49" i="561"/>
  <c r="M49" i="561"/>
  <c r="L49" i="561"/>
  <c r="K49" i="561"/>
  <c r="J49" i="561"/>
  <c r="I49" i="561"/>
  <c r="H49" i="561"/>
  <c r="G49" i="561"/>
  <c r="F49" i="561"/>
  <c r="E49" i="561"/>
  <c r="AA15" i="561"/>
  <c r="X15" i="561"/>
  <c r="AA14" i="561"/>
  <c r="X14" i="561"/>
  <c r="AA13" i="561"/>
  <c r="X13" i="561"/>
  <c r="AA12" i="561"/>
  <c r="X12" i="561"/>
  <c r="D12" i="561" a="1"/>
  <c r="D12" i="561" s="1"/>
  <c r="AA11" i="561"/>
  <c r="X11" i="561"/>
  <c r="AA10" i="561"/>
  <c r="X10" i="561"/>
  <c r="D10" i="561" a="1"/>
  <c r="D10" i="561" s="1"/>
  <c r="O10" i="561" s="1" a="1"/>
  <c r="O10" i="561" s="1"/>
  <c r="AA9" i="561"/>
  <c r="X9" i="561"/>
  <c r="D9" i="561" a="1"/>
  <c r="D9" i="561" s="1"/>
  <c r="AA8" i="561"/>
  <c r="X8" i="561"/>
  <c r="D8" i="561" a="1"/>
  <c r="D8" i="561" s="1"/>
  <c r="B8" i="561"/>
  <c r="AA7" i="561"/>
  <c r="X7" i="561"/>
  <c r="D7" i="561" a="1"/>
  <c r="D7" i="561" s="1"/>
  <c r="O7" i="561" s="1" a="1"/>
  <c r="O7" i="561" s="1"/>
  <c r="B7" i="561"/>
  <c r="AA6" i="561"/>
  <c r="X6" i="561"/>
  <c r="D6" i="561" a="1"/>
  <c r="D6" i="561" s="1"/>
  <c r="AA5" i="561"/>
  <c r="X5" i="561"/>
  <c r="AA4" i="561"/>
  <c r="X4" i="561"/>
  <c r="D4" i="561" a="1"/>
  <c r="D4" i="561" s="1"/>
  <c r="P4" i="561" s="1" a="1"/>
  <c r="P4" i="561" s="1"/>
  <c r="D3" i="561" a="1"/>
  <c r="D3" i="561" s="1"/>
  <c r="B3" i="561"/>
  <c r="R2" i="561"/>
  <c r="B2" i="561"/>
  <c r="S1" i="561"/>
  <c r="D5" i="561" s="1" a="1"/>
  <c r="D5" i="561" s="1"/>
  <c r="N1" i="561"/>
  <c r="M1" i="561"/>
  <c r="L1" i="561"/>
  <c r="K1" i="561"/>
  <c r="J1" i="561"/>
  <c r="I1" i="561"/>
  <c r="H1" i="561"/>
  <c r="G1" i="561"/>
  <c r="F1" i="561"/>
  <c r="E1" i="561"/>
  <c r="B1" i="561"/>
  <c r="S1" i="536"/>
  <c r="D10" i="536" s="1" a="1"/>
  <c r="D10" i="536" s="1"/>
  <c r="E3" i="207" a="1"/>
  <c r="E3" i="207" s="1"/>
  <c r="Q80" i="536"/>
  <c r="Q79" i="536"/>
  <c r="Q78" i="536"/>
  <c r="Q72" i="536"/>
  <c r="Q71" i="536"/>
  <c r="Q70" i="536"/>
  <c r="Q69" i="536"/>
  <c r="Q68" i="536"/>
  <c r="Q59" i="536"/>
  <c r="Q58" i="536"/>
  <c r="Q57" i="536"/>
  <c r="Q56" i="536"/>
  <c r="Q55" i="536"/>
  <c r="Q54" i="536"/>
  <c r="Q53" i="536"/>
  <c r="Q52" i="536"/>
  <c r="Q51" i="536"/>
  <c r="Q50" i="536"/>
  <c r="N49" i="536"/>
  <c r="M49" i="536"/>
  <c r="L49" i="536"/>
  <c r="K49" i="536"/>
  <c r="J49" i="536"/>
  <c r="I49" i="536"/>
  <c r="H49" i="536"/>
  <c r="G49" i="536"/>
  <c r="F49" i="536"/>
  <c r="E49" i="536"/>
  <c r="H25" i="536"/>
  <c r="AA15" i="536"/>
  <c r="X15" i="536"/>
  <c r="AA14" i="536"/>
  <c r="X14" i="536"/>
  <c r="AA13" i="536"/>
  <c r="X13" i="536"/>
  <c r="AA12" i="536"/>
  <c r="X12" i="536"/>
  <c r="AA11" i="536"/>
  <c r="X11" i="536"/>
  <c r="AA10" i="536"/>
  <c r="X10" i="536"/>
  <c r="AA9" i="536"/>
  <c r="X9" i="536"/>
  <c r="AA8" i="536"/>
  <c r="X8" i="536"/>
  <c r="B8" i="536"/>
  <c r="AA7" i="536"/>
  <c r="X7" i="536"/>
  <c r="B7" i="536"/>
  <c r="B9" i="536" s="1"/>
  <c r="AA6" i="536"/>
  <c r="X6" i="536"/>
  <c r="AA5" i="536"/>
  <c r="X5" i="536"/>
  <c r="D5" i="536" a="1"/>
  <c r="D5" i="536" s="1"/>
  <c r="M5" i="536" s="1" a="1"/>
  <c r="M5" i="536" s="1"/>
  <c r="AA4" i="536"/>
  <c r="X4" i="536"/>
  <c r="X3" i="536"/>
  <c r="D3" i="536" a="1"/>
  <c r="D3" i="536" s="1"/>
  <c r="B3" i="536"/>
  <c r="S2" i="536"/>
  <c r="H27" i="536" s="1"/>
  <c r="R2" i="536"/>
  <c r="B2" i="536"/>
  <c r="D11" i="536" a="1"/>
  <c r="D11" i="536" s="1"/>
  <c r="R1" i="536"/>
  <c r="N1" i="536"/>
  <c r="M1" i="536"/>
  <c r="L1" i="536"/>
  <c r="K1" i="536"/>
  <c r="J1" i="536"/>
  <c r="I1" i="536"/>
  <c r="H1" i="536"/>
  <c r="G1" i="536"/>
  <c r="F1" i="536"/>
  <c r="E1" i="536"/>
  <c r="B1" i="536"/>
  <c r="L6" i="572" l="1" a="1"/>
  <c r="L6" i="572" s="1"/>
  <c r="K10" i="572" a="1"/>
  <c r="K10" i="572" s="1"/>
  <c r="L10" i="572" a="1"/>
  <c r="L10" i="572" s="1"/>
  <c r="J7" i="572" a="1"/>
  <c r="J7" i="572" s="1"/>
  <c r="I7" i="572" a="1"/>
  <c r="I7" i="572" s="1"/>
  <c r="M7" i="572" a="1"/>
  <c r="M7" i="572" s="1"/>
  <c r="L7" i="572" a="1"/>
  <c r="L7" i="572" s="1"/>
  <c r="K7" i="572" a="1"/>
  <c r="K7" i="572" s="1"/>
  <c r="H7" i="572" a="1"/>
  <c r="H7" i="572" s="1"/>
  <c r="G7" i="572" a="1"/>
  <c r="G7" i="572" s="1"/>
  <c r="E7" i="572" a="1"/>
  <c r="E7" i="572" s="1"/>
  <c r="P7" i="572" a="1"/>
  <c r="P7" i="572" s="1"/>
  <c r="O7" i="572" a="1"/>
  <c r="O7" i="572" s="1"/>
  <c r="N7" i="572" a="1"/>
  <c r="N7" i="572" s="1"/>
  <c r="F7" i="572" a="1"/>
  <c r="F7" i="572" s="1"/>
  <c r="K9" i="572" a="1"/>
  <c r="K9" i="572" s="1"/>
  <c r="J9" i="572" a="1"/>
  <c r="J9" i="572" s="1"/>
  <c r="I9" i="572" a="1"/>
  <c r="I9" i="572" s="1"/>
  <c r="M9" i="572" a="1"/>
  <c r="M9" i="572" s="1"/>
  <c r="L9" i="572" a="1"/>
  <c r="L9" i="572" s="1"/>
  <c r="O9" i="572" a="1"/>
  <c r="O9" i="572" s="1"/>
  <c r="N9" i="572" a="1"/>
  <c r="N9" i="572" s="1"/>
  <c r="H9" i="572" a="1"/>
  <c r="H9" i="572" s="1"/>
  <c r="G9" i="572" a="1"/>
  <c r="G9" i="572" s="1"/>
  <c r="E9" i="572" a="1"/>
  <c r="E9" i="572" s="1"/>
  <c r="P9" i="572" a="1"/>
  <c r="P9" i="572" s="1"/>
  <c r="F9" i="572" a="1"/>
  <c r="F9" i="572" s="1"/>
  <c r="J3" i="572" a="1"/>
  <c r="J3" i="572" s="1"/>
  <c r="I3" i="572" a="1"/>
  <c r="I3" i="572" s="1"/>
  <c r="M3" i="572" a="1"/>
  <c r="M3" i="572" s="1"/>
  <c r="L3" i="572" a="1"/>
  <c r="L3" i="572" s="1"/>
  <c r="K3" i="572" a="1"/>
  <c r="K3" i="572" s="1"/>
  <c r="G3" i="572" a="1"/>
  <c r="G3" i="572" s="1"/>
  <c r="O3" i="572" a="1"/>
  <c r="O3" i="572" s="1"/>
  <c r="N3" i="572" a="1"/>
  <c r="N3" i="572" s="1"/>
  <c r="H3" i="572" a="1"/>
  <c r="H3" i="572" s="1"/>
  <c r="F3" i="572" a="1"/>
  <c r="F3" i="572" s="1"/>
  <c r="E3" i="572" a="1"/>
  <c r="E3" i="572" s="1"/>
  <c r="P3" i="572" a="1"/>
  <c r="P3" i="572" s="1"/>
  <c r="N5" i="572" a="1"/>
  <c r="N5" i="572" s="1"/>
  <c r="M5" i="572" a="1"/>
  <c r="M5" i="572" s="1"/>
  <c r="J5" i="572" a="1"/>
  <c r="J5" i="572" s="1"/>
  <c r="L5" i="572" a="1"/>
  <c r="L5" i="572" s="1"/>
  <c r="K5" i="572" a="1"/>
  <c r="K5" i="572" s="1"/>
  <c r="I5" i="572" a="1"/>
  <c r="I5" i="572" s="1"/>
  <c r="F5" i="572" a="1"/>
  <c r="F5" i="572" s="1"/>
  <c r="E5" i="572" a="1"/>
  <c r="E5" i="572" s="1"/>
  <c r="O5" i="572" a="1"/>
  <c r="O5" i="572" s="1"/>
  <c r="G5" i="572" a="1"/>
  <c r="G5" i="572" s="1"/>
  <c r="P5" i="572" a="1"/>
  <c r="P5" i="572" s="1"/>
  <c r="H5" i="572" a="1"/>
  <c r="H5" i="572" s="1"/>
  <c r="P4" i="572" a="1"/>
  <c r="P4" i="572" s="1"/>
  <c r="O4" i="572" a="1"/>
  <c r="O4" i="572" s="1"/>
  <c r="E4" i="572" a="1"/>
  <c r="E4" i="572" s="1"/>
  <c r="I4" i="572" a="1"/>
  <c r="I4" i="572" s="1"/>
  <c r="H4" i="572" a="1"/>
  <c r="H4" i="572" s="1"/>
  <c r="G4" i="572" a="1"/>
  <c r="G4" i="572" s="1"/>
  <c r="F4" i="572" a="1"/>
  <c r="F4" i="572" s="1"/>
  <c r="K4" i="572" a="1"/>
  <c r="K4" i="572" s="1"/>
  <c r="I8" i="572" a="1"/>
  <c r="I8" i="572" s="1"/>
  <c r="I10" i="572" a="1"/>
  <c r="I10" i="572" s="1"/>
  <c r="P10" i="572" a="1"/>
  <c r="P10" i="572" s="1"/>
  <c r="F10" i="572" a="1"/>
  <c r="F10" i="572" s="1"/>
  <c r="O10" i="572" a="1"/>
  <c r="O10" i="572" s="1"/>
  <c r="E10" i="572" a="1"/>
  <c r="E10" i="572" s="1"/>
  <c r="H10" i="572" a="1"/>
  <c r="H10" i="572" s="1"/>
  <c r="G10" i="572" a="1"/>
  <c r="G10" i="572" s="1"/>
  <c r="N10" i="572" a="1"/>
  <c r="N10" i="572" s="1"/>
  <c r="J10" i="572" a="1"/>
  <c r="J10" i="572" s="1"/>
  <c r="J12" i="572" a="1"/>
  <c r="J12" i="572" s="1"/>
  <c r="I12" i="572" a="1"/>
  <c r="I12" i="572" s="1"/>
  <c r="G12" i="572" a="1"/>
  <c r="G12" i="572" s="1"/>
  <c r="P12" i="572" a="1"/>
  <c r="P12" i="572" s="1"/>
  <c r="F12" i="572" a="1"/>
  <c r="F12" i="572" s="1"/>
  <c r="H12" i="572" a="1"/>
  <c r="H12" i="572" s="1"/>
  <c r="O12" i="572" a="1"/>
  <c r="O12" i="572" s="1"/>
  <c r="E12" i="572" a="1"/>
  <c r="E12" i="572" s="1"/>
  <c r="J4" i="572" a="1"/>
  <c r="J4" i="572" s="1"/>
  <c r="K12" i="572" a="1"/>
  <c r="K12" i="572" s="1"/>
  <c r="G8" i="572" a="1"/>
  <c r="G8" i="572" s="1"/>
  <c r="F8" i="572" a="1"/>
  <c r="F8" i="572" s="1"/>
  <c r="O8" i="572" a="1"/>
  <c r="O8" i="572" s="1"/>
  <c r="E8" i="572" a="1"/>
  <c r="E8" i="572" s="1"/>
  <c r="H8" i="572" a="1"/>
  <c r="H8" i="572" s="1"/>
  <c r="P8" i="572" a="1"/>
  <c r="P8" i="572" s="1"/>
  <c r="N8" i="572" a="1"/>
  <c r="N8" i="572" s="1"/>
  <c r="L12" i="572" a="1"/>
  <c r="L12" i="572" s="1"/>
  <c r="L4" i="572" a="1"/>
  <c r="L4" i="572" s="1"/>
  <c r="J8" i="572" a="1"/>
  <c r="J8" i="572" s="1"/>
  <c r="M12" i="572" a="1"/>
  <c r="M12" i="572" s="1"/>
  <c r="M4" i="572" a="1"/>
  <c r="M4" i="572" s="1"/>
  <c r="N4" i="572" a="1"/>
  <c r="N4" i="572" s="1"/>
  <c r="L8" i="572" a="1"/>
  <c r="L8" i="572" s="1"/>
  <c r="F6" i="572" a="1"/>
  <c r="F6" i="572" s="1"/>
  <c r="E6" i="572" a="1"/>
  <c r="E6" i="572" s="1"/>
  <c r="N6" i="572" a="1"/>
  <c r="N6" i="572" s="1"/>
  <c r="H6" i="572" a="1"/>
  <c r="H6" i="572" s="1"/>
  <c r="G6" i="572" a="1"/>
  <c r="G6" i="572" s="1"/>
  <c r="P6" i="572" a="1"/>
  <c r="P6" i="572" s="1"/>
  <c r="O6" i="572" a="1"/>
  <c r="O6" i="572" s="1"/>
  <c r="I6" i="572" a="1"/>
  <c r="I6" i="572" s="1"/>
  <c r="M8" i="572" a="1"/>
  <c r="M8" i="572" s="1"/>
  <c r="J6" i="572" a="1"/>
  <c r="J6" i="572" s="1"/>
  <c r="K6" i="572" a="1"/>
  <c r="K6" i="572" s="1"/>
  <c r="D11" i="572" a="1"/>
  <c r="D11" i="572" s="1"/>
  <c r="I5" i="570" a="1"/>
  <c r="I5" i="570" s="1"/>
  <c r="H5" i="570" a="1"/>
  <c r="H5" i="570" s="1"/>
  <c r="O5" i="570" a="1"/>
  <c r="O5" i="570" s="1"/>
  <c r="S1" i="571"/>
  <c r="M6" i="570" a="1"/>
  <c r="M6" i="570" s="1"/>
  <c r="L6" i="570" a="1"/>
  <c r="L6" i="570" s="1"/>
  <c r="N6" i="570" a="1"/>
  <c r="N6" i="570" s="1"/>
  <c r="J12" i="570" a="1"/>
  <c r="J12" i="570" s="1"/>
  <c r="I12" i="570" a="1"/>
  <c r="I12" i="570" s="1"/>
  <c r="H12" i="570" a="1"/>
  <c r="H12" i="570" s="1"/>
  <c r="G12" i="570" a="1"/>
  <c r="G12" i="570" s="1"/>
  <c r="P12" i="570" a="1"/>
  <c r="P12" i="570" s="1"/>
  <c r="F12" i="570" a="1"/>
  <c r="F12" i="570" s="1"/>
  <c r="N12" i="570" a="1"/>
  <c r="N12" i="570" s="1"/>
  <c r="L12" i="570" a="1"/>
  <c r="L12" i="570" s="1"/>
  <c r="K12" i="570" a="1"/>
  <c r="K12" i="570" s="1"/>
  <c r="E12" i="570" a="1"/>
  <c r="E12" i="570" s="1"/>
  <c r="O12" i="570" a="1"/>
  <c r="O12" i="570" s="1"/>
  <c r="M12" i="570" a="1"/>
  <c r="M12" i="570" s="1"/>
  <c r="K7" i="570" a="1"/>
  <c r="K7" i="570" s="1"/>
  <c r="J7" i="570" a="1"/>
  <c r="J7" i="570" s="1"/>
  <c r="M7" i="570" a="1"/>
  <c r="M7" i="570" s="1"/>
  <c r="L7" i="570" a="1"/>
  <c r="L7" i="570" s="1"/>
  <c r="I7" i="570" a="1"/>
  <c r="I7" i="570" s="1"/>
  <c r="O7" i="570" a="1"/>
  <c r="O7" i="570" s="1"/>
  <c r="N7" i="570" a="1"/>
  <c r="N7" i="570" s="1"/>
  <c r="H7" i="570" a="1"/>
  <c r="H7" i="570" s="1"/>
  <c r="G7" i="570" a="1"/>
  <c r="G7" i="570" s="1"/>
  <c r="F7" i="570" a="1"/>
  <c r="F7" i="570" s="1"/>
  <c r="E7" i="570" a="1"/>
  <c r="E7" i="570" s="1"/>
  <c r="P7" i="570" a="1"/>
  <c r="P7" i="570" s="1"/>
  <c r="P4" i="570" a="1"/>
  <c r="P4" i="570" s="1"/>
  <c r="I4" i="570" a="1"/>
  <c r="I4" i="570" s="1"/>
  <c r="H4" i="570" a="1"/>
  <c r="H4" i="570" s="1"/>
  <c r="G4" i="570" a="1"/>
  <c r="G4" i="570" s="1"/>
  <c r="F4" i="570" a="1"/>
  <c r="F4" i="570" s="1"/>
  <c r="E4" i="570" a="1"/>
  <c r="E4" i="570" s="1"/>
  <c r="K4" i="570" a="1"/>
  <c r="K4" i="570" s="1"/>
  <c r="O4" i="570" a="1"/>
  <c r="O4" i="570" s="1"/>
  <c r="N4" i="570" a="1"/>
  <c r="N4" i="570" s="1"/>
  <c r="M4" i="570" a="1"/>
  <c r="M4" i="570" s="1"/>
  <c r="L4" i="570" a="1"/>
  <c r="L4" i="570" s="1"/>
  <c r="J4" i="570" a="1"/>
  <c r="J4" i="570" s="1"/>
  <c r="J9" i="570" a="1"/>
  <c r="J9" i="570" s="1"/>
  <c r="M9" i="570" a="1"/>
  <c r="M9" i="570" s="1"/>
  <c r="L9" i="570" a="1"/>
  <c r="L9" i="570" s="1"/>
  <c r="K9" i="570" a="1"/>
  <c r="K9" i="570" s="1"/>
  <c r="P9" i="570" a="1"/>
  <c r="P9" i="570" s="1"/>
  <c r="E9" i="570" a="1"/>
  <c r="E9" i="570" s="1"/>
  <c r="O9" i="570" a="1"/>
  <c r="O9" i="570" s="1"/>
  <c r="N9" i="570" a="1"/>
  <c r="N9" i="570" s="1"/>
  <c r="I9" i="570" a="1"/>
  <c r="I9" i="570" s="1"/>
  <c r="H9" i="570" a="1"/>
  <c r="H9" i="570" s="1"/>
  <c r="G9" i="570" a="1"/>
  <c r="G9" i="570" s="1"/>
  <c r="F9" i="570" a="1"/>
  <c r="F9" i="570" s="1"/>
  <c r="I10" i="570" a="1"/>
  <c r="I10" i="570" s="1"/>
  <c r="H10" i="570" a="1"/>
  <c r="H10" i="570" s="1"/>
  <c r="G10" i="570" a="1"/>
  <c r="G10" i="570" s="1"/>
  <c r="P10" i="570" a="1"/>
  <c r="P10" i="570" s="1"/>
  <c r="F10" i="570" a="1"/>
  <c r="F10" i="570" s="1"/>
  <c r="O10" i="570" a="1"/>
  <c r="O10" i="570" s="1"/>
  <c r="E10" i="570" a="1"/>
  <c r="E10" i="570" s="1"/>
  <c r="N10" i="570" a="1"/>
  <c r="N10" i="570" s="1"/>
  <c r="M10" i="570" a="1"/>
  <c r="M10" i="570" s="1"/>
  <c r="L10" i="570" a="1"/>
  <c r="L10" i="570" s="1"/>
  <c r="K10" i="570" a="1"/>
  <c r="K10" i="570" s="1"/>
  <c r="J10" i="570" a="1"/>
  <c r="J10" i="570" s="1"/>
  <c r="P8" i="570" a="1"/>
  <c r="P8" i="570" s="1"/>
  <c r="E8" i="570" a="1"/>
  <c r="E8" i="570" s="1"/>
  <c r="H8" i="570" a="1"/>
  <c r="H8" i="570" s="1"/>
  <c r="G8" i="570" a="1"/>
  <c r="G8" i="570" s="1"/>
  <c r="F8" i="570" a="1"/>
  <c r="F8" i="570" s="1"/>
  <c r="O8" i="570" a="1"/>
  <c r="O8" i="570" s="1"/>
  <c r="O3" i="570" a="1"/>
  <c r="O3" i="570" s="1"/>
  <c r="I8" i="570" a="1"/>
  <c r="I8" i="570" s="1"/>
  <c r="N5" i="570" a="1"/>
  <c r="N5" i="570" s="1"/>
  <c r="M5" i="570" a="1"/>
  <c r="M5" i="570" s="1"/>
  <c r="L5" i="570" a="1"/>
  <c r="L5" i="570" s="1"/>
  <c r="K5" i="570" a="1"/>
  <c r="K5" i="570" s="1"/>
  <c r="J5" i="570" a="1"/>
  <c r="J5" i="570" s="1"/>
  <c r="J8" i="570" a="1"/>
  <c r="J8" i="570" s="1"/>
  <c r="E5" i="570" a="1"/>
  <c r="E5" i="570" s="1"/>
  <c r="O6" i="570" a="1"/>
  <c r="O6" i="570" s="1"/>
  <c r="H6" i="570" a="1"/>
  <c r="H6" i="570" s="1"/>
  <c r="G6" i="570" a="1"/>
  <c r="G6" i="570" s="1"/>
  <c r="P6" i="570" a="1"/>
  <c r="P6" i="570" s="1"/>
  <c r="F6" i="570" a="1"/>
  <c r="F6" i="570" s="1"/>
  <c r="E6" i="570" a="1"/>
  <c r="E6" i="570" s="1"/>
  <c r="I6" i="570" a="1"/>
  <c r="I6" i="570" s="1"/>
  <c r="K8" i="570" a="1"/>
  <c r="K8" i="570" s="1"/>
  <c r="F5" i="570" a="1"/>
  <c r="F5" i="570" s="1"/>
  <c r="J6" i="570" a="1"/>
  <c r="J6" i="570" s="1"/>
  <c r="L8" i="570" a="1"/>
  <c r="L8" i="570" s="1"/>
  <c r="G5" i="570" a="1"/>
  <c r="G5" i="570" s="1"/>
  <c r="J3" i="570" a="1"/>
  <c r="J3" i="570" s="1"/>
  <c r="M3" i="570" a="1"/>
  <c r="M3" i="570" s="1"/>
  <c r="L3" i="570" a="1"/>
  <c r="L3" i="570" s="1"/>
  <c r="K3" i="570" a="1"/>
  <c r="K3" i="570" s="1"/>
  <c r="M8" i="570" a="1"/>
  <c r="M8" i="570" s="1"/>
  <c r="D11" i="570" a="1"/>
  <c r="D11" i="570" s="1"/>
  <c r="L8" i="569" a="1"/>
  <c r="L8" i="569" s="1"/>
  <c r="J12" i="569" a="1"/>
  <c r="J12" i="569" s="1"/>
  <c r="H12" i="569" a="1"/>
  <c r="H12" i="569" s="1"/>
  <c r="G12" i="569" a="1"/>
  <c r="G12" i="569" s="1"/>
  <c r="I12" i="569" a="1"/>
  <c r="I12" i="569" s="1"/>
  <c r="P12" i="569" a="1"/>
  <c r="P12" i="569" s="1"/>
  <c r="F12" i="569" a="1"/>
  <c r="F12" i="569" s="1"/>
  <c r="O12" i="569" a="1"/>
  <c r="O12" i="569" s="1"/>
  <c r="L12" i="569" a="1"/>
  <c r="L12" i="569" s="1"/>
  <c r="K12" i="569" a="1"/>
  <c r="K12" i="569" s="1"/>
  <c r="E12" i="569" a="1"/>
  <c r="E12" i="569" s="1"/>
  <c r="N12" i="569" a="1"/>
  <c r="N12" i="569" s="1"/>
  <c r="M12" i="569" a="1"/>
  <c r="M12" i="569" s="1"/>
  <c r="M7" i="569" a="1"/>
  <c r="M7" i="569" s="1"/>
  <c r="L7" i="569" a="1"/>
  <c r="L7" i="569" s="1"/>
  <c r="J7" i="569" a="1"/>
  <c r="J7" i="569" s="1"/>
  <c r="I7" i="569" a="1"/>
  <c r="I7" i="569" s="1"/>
  <c r="K7" i="569" a="1"/>
  <c r="K7" i="569" s="1"/>
  <c r="N7" i="569" a="1"/>
  <c r="N7" i="569" s="1"/>
  <c r="G7" i="569" a="1"/>
  <c r="G7" i="569" s="1"/>
  <c r="F7" i="569" a="1"/>
  <c r="F7" i="569" s="1"/>
  <c r="E7" i="569" a="1"/>
  <c r="E7" i="569" s="1"/>
  <c r="P7" i="569" a="1"/>
  <c r="P7" i="569" s="1"/>
  <c r="O7" i="569" a="1"/>
  <c r="O7" i="569" s="1"/>
  <c r="H7" i="569" a="1"/>
  <c r="H7" i="569" s="1"/>
  <c r="M3" i="569" a="1"/>
  <c r="M3" i="569" s="1"/>
  <c r="L3" i="569" a="1"/>
  <c r="L3" i="569" s="1"/>
  <c r="J3" i="569" a="1"/>
  <c r="J3" i="569" s="1"/>
  <c r="K3" i="569" a="1"/>
  <c r="K3" i="569" s="1"/>
  <c r="O3" i="569" a="1"/>
  <c r="O3" i="569" s="1"/>
  <c r="N3" i="569" a="1"/>
  <c r="N3" i="569" s="1"/>
  <c r="P3" i="569" a="1"/>
  <c r="P3" i="569" s="1"/>
  <c r="I3" i="569" a="1"/>
  <c r="I3" i="569" s="1"/>
  <c r="H3" i="569" a="1"/>
  <c r="H3" i="569" s="1"/>
  <c r="G3" i="569" a="1"/>
  <c r="G3" i="569" s="1"/>
  <c r="F3" i="569" a="1"/>
  <c r="F3" i="569" s="1"/>
  <c r="E3" i="569" a="1"/>
  <c r="E3" i="569" s="1"/>
  <c r="M9" i="569" a="1"/>
  <c r="M9" i="569" s="1"/>
  <c r="L9" i="569" a="1"/>
  <c r="L9" i="569" s="1"/>
  <c r="K9" i="569" a="1"/>
  <c r="K9" i="569" s="1"/>
  <c r="J9" i="569" a="1"/>
  <c r="J9" i="569" s="1"/>
  <c r="I9" i="569" a="1"/>
  <c r="I9" i="569" s="1"/>
  <c r="O9" i="569" a="1"/>
  <c r="O9" i="569" s="1"/>
  <c r="F9" i="569" a="1"/>
  <c r="F9" i="569" s="1"/>
  <c r="P9" i="569" a="1"/>
  <c r="P9" i="569" s="1"/>
  <c r="N9" i="569" a="1"/>
  <c r="N9" i="569" s="1"/>
  <c r="H9" i="569" a="1"/>
  <c r="H9" i="569" s="1"/>
  <c r="G9" i="569" a="1"/>
  <c r="G9" i="569" s="1"/>
  <c r="E9" i="569" a="1"/>
  <c r="E9" i="569" s="1"/>
  <c r="I4" i="569" a="1"/>
  <c r="I4" i="569" s="1"/>
  <c r="H4" i="569" a="1"/>
  <c r="H4" i="569" s="1"/>
  <c r="G4" i="569" a="1"/>
  <c r="G4" i="569" s="1"/>
  <c r="O4" i="569" a="1"/>
  <c r="O4" i="569" s="1"/>
  <c r="P4" i="569" a="1"/>
  <c r="P4" i="569" s="1"/>
  <c r="F4" i="569" a="1"/>
  <c r="F4" i="569" s="1"/>
  <c r="E4" i="569" a="1"/>
  <c r="E4" i="569" s="1"/>
  <c r="L4" i="569" a="1"/>
  <c r="L4" i="569" s="1"/>
  <c r="J4" i="569" a="1"/>
  <c r="J4" i="569" s="1"/>
  <c r="N4" i="569" a="1"/>
  <c r="N4" i="569" s="1"/>
  <c r="M4" i="569" a="1"/>
  <c r="M4" i="569" s="1"/>
  <c r="K4" i="569" a="1"/>
  <c r="K4" i="569" s="1"/>
  <c r="H6" i="569" a="1"/>
  <c r="H6" i="569" s="1"/>
  <c r="F6" i="569" a="1"/>
  <c r="F6" i="569" s="1"/>
  <c r="E6" i="569" a="1"/>
  <c r="E6" i="569" s="1"/>
  <c r="G6" i="569" a="1"/>
  <c r="G6" i="569" s="1"/>
  <c r="P6" i="569" a="1"/>
  <c r="P6" i="569" s="1"/>
  <c r="O6" i="569" a="1"/>
  <c r="O6" i="569" s="1"/>
  <c r="N6" i="569" a="1"/>
  <c r="N6" i="569" s="1"/>
  <c r="F5" i="569" a="1"/>
  <c r="F5" i="569" s="1"/>
  <c r="G5" i="569" a="1"/>
  <c r="G5" i="569" s="1"/>
  <c r="H5" i="569" a="1"/>
  <c r="H5" i="569" s="1"/>
  <c r="L6" i="569" a="1"/>
  <c r="L6" i="569" s="1"/>
  <c r="J10" i="569" a="1"/>
  <c r="J10" i="569" s="1"/>
  <c r="I5" i="569" a="1"/>
  <c r="I5" i="569" s="1"/>
  <c r="M6" i="569" a="1"/>
  <c r="M6" i="569" s="1"/>
  <c r="K10" i="569" a="1"/>
  <c r="K10" i="569" s="1"/>
  <c r="L10" i="569" a="1"/>
  <c r="L10" i="569" s="1"/>
  <c r="P5" i="569" a="1"/>
  <c r="P5" i="569" s="1"/>
  <c r="H8" i="569" a="1"/>
  <c r="H8" i="569" s="1"/>
  <c r="G8" i="569" a="1"/>
  <c r="G8" i="569" s="1"/>
  <c r="P8" i="569" a="1"/>
  <c r="P8" i="569" s="1"/>
  <c r="O8" i="569" a="1"/>
  <c r="O8" i="569" s="1"/>
  <c r="F8" i="569" a="1"/>
  <c r="F8" i="569" s="1"/>
  <c r="E8" i="569" a="1"/>
  <c r="E8" i="569" s="1"/>
  <c r="N8" i="569" a="1"/>
  <c r="N8" i="569" s="1"/>
  <c r="M10" i="569" a="1"/>
  <c r="M10" i="569" s="1"/>
  <c r="I8" i="569" a="1"/>
  <c r="I8" i="569" s="1"/>
  <c r="J8" i="569" a="1"/>
  <c r="J8" i="569" s="1"/>
  <c r="I10" i="569" a="1"/>
  <c r="I10" i="569" s="1"/>
  <c r="G10" i="569" a="1"/>
  <c r="G10" i="569" s="1"/>
  <c r="P10" i="569" a="1"/>
  <c r="P10" i="569" s="1"/>
  <c r="F10" i="569" a="1"/>
  <c r="F10" i="569" s="1"/>
  <c r="H10" i="569" a="1"/>
  <c r="H10" i="569" s="1"/>
  <c r="O10" i="569" a="1"/>
  <c r="O10" i="569" s="1"/>
  <c r="E10" i="569" a="1"/>
  <c r="E10" i="569" s="1"/>
  <c r="N5" i="569" a="1"/>
  <c r="N5" i="569" s="1"/>
  <c r="K5" i="569" a="1"/>
  <c r="K5" i="569" s="1"/>
  <c r="J5" i="569" a="1"/>
  <c r="J5" i="569" s="1"/>
  <c r="M5" i="569" a="1"/>
  <c r="M5" i="569" s="1"/>
  <c r="L5" i="569" a="1"/>
  <c r="L5" i="569" s="1"/>
  <c r="I6" i="569" a="1"/>
  <c r="I6" i="569" s="1"/>
  <c r="J6" i="569" a="1"/>
  <c r="J6" i="569" s="1"/>
  <c r="K6" i="569" a="1"/>
  <c r="K6" i="569" s="1"/>
  <c r="O5" i="569" a="1"/>
  <c r="O5" i="569" s="1"/>
  <c r="K8" i="569" a="1"/>
  <c r="K8" i="569" s="1"/>
  <c r="D11" i="569" a="1"/>
  <c r="D11" i="569" s="1"/>
  <c r="L10" i="568" a="1"/>
  <c r="L10" i="568" s="1"/>
  <c r="J12" i="568" a="1"/>
  <c r="J12" i="568" s="1"/>
  <c r="I12" i="568" a="1"/>
  <c r="I12" i="568" s="1"/>
  <c r="G12" i="568" a="1"/>
  <c r="G12" i="568" s="1"/>
  <c r="O12" i="568" a="1"/>
  <c r="O12" i="568" s="1"/>
  <c r="E12" i="568" a="1"/>
  <c r="E12" i="568" s="1"/>
  <c r="H12" i="568" a="1"/>
  <c r="H12" i="568" s="1"/>
  <c r="P12" i="568" a="1"/>
  <c r="P12" i="568" s="1"/>
  <c r="F12" i="568" a="1"/>
  <c r="F12" i="568" s="1"/>
  <c r="N12" i="568" a="1"/>
  <c r="N12" i="568" s="1"/>
  <c r="M12" i="568" a="1"/>
  <c r="M12" i="568" s="1"/>
  <c r="L12" i="568" a="1"/>
  <c r="L12" i="568" s="1"/>
  <c r="K12" i="568" a="1"/>
  <c r="K12" i="568" s="1"/>
  <c r="L7" i="568" a="1"/>
  <c r="L7" i="568" s="1"/>
  <c r="M7" i="568" a="1"/>
  <c r="M7" i="568" s="1"/>
  <c r="K7" i="568" a="1"/>
  <c r="K7" i="568" s="1"/>
  <c r="J7" i="568" a="1"/>
  <c r="J7" i="568" s="1"/>
  <c r="I7" i="568" a="1"/>
  <c r="I7" i="568" s="1"/>
  <c r="P7" i="568" a="1"/>
  <c r="P7" i="568" s="1"/>
  <c r="O7" i="568" a="1"/>
  <c r="O7" i="568" s="1"/>
  <c r="N7" i="568" a="1"/>
  <c r="N7" i="568" s="1"/>
  <c r="H7" i="568" a="1"/>
  <c r="H7" i="568" s="1"/>
  <c r="G7" i="568" a="1"/>
  <c r="G7" i="568" s="1"/>
  <c r="F7" i="568" a="1"/>
  <c r="F7" i="568" s="1"/>
  <c r="E7" i="568" a="1"/>
  <c r="E7" i="568" s="1"/>
  <c r="N5" i="568" a="1"/>
  <c r="N5" i="568" s="1"/>
  <c r="M5" i="568" a="1"/>
  <c r="M5" i="568" s="1"/>
  <c r="L5" i="568" a="1"/>
  <c r="L5" i="568" s="1"/>
  <c r="K5" i="568" a="1"/>
  <c r="K5" i="568" s="1"/>
  <c r="I5" i="568" a="1"/>
  <c r="I5" i="568" s="1"/>
  <c r="J5" i="568" a="1"/>
  <c r="J5" i="568" s="1"/>
  <c r="P5" i="568" a="1"/>
  <c r="P5" i="568" s="1"/>
  <c r="H5" i="568" a="1"/>
  <c r="H5" i="568" s="1"/>
  <c r="G5" i="568" a="1"/>
  <c r="G5" i="568" s="1"/>
  <c r="F5" i="568" a="1"/>
  <c r="F5" i="568" s="1"/>
  <c r="E5" i="568" a="1"/>
  <c r="E5" i="568" s="1"/>
  <c r="O5" i="568" a="1"/>
  <c r="O5" i="568" s="1"/>
  <c r="L9" i="568" a="1"/>
  <c r="L9" i="568" s="1"/>
  <c r="I9" i="568" a="1"/>
  <c r="I9" i="568" s="1"/>
  <c r="M9" i="568" a="1"/>
  <c r="M9" i="568" s="1"/>
  <c r="K9" i="568" a="1"/>
  <c r="K9" i="568" s="1"/>
  <c r="J9" i="568" a="1"/>
  <c r="J9" i="568" s="1"/>
  <c r="F9" i="568" a="1"/>
  <c r="F9" i="568" s="1"/>
  <c r="G9" i="568" a="1"/>
  <c r="G9" i="568" s="1"/>
  <c r="E9" i="568" a="1"/>
  <c r="E9" i="568" s="1"/>
  <c r="P9" i="568" a="1"/>
  <c r="P9" i="568" s="1"/>
  <c r="O9" i="568" a="1"/>
  <c r="O9" i="568" s="1"/>
  <c r="N9" i="568" a="1"/>
  <c r="N9" i="568" s="1"/>
  <c r="H9" i="568" a="1"/>
  <c r="H9" i="568" s="1"/>
  <c r="L3" i="568" a="1"/>
  <c r="L3" i="568" s="1"/>
  <c r="M3" i="568" a="1"/>
  <c r="M3" i="568" s="1"/>
  <c r="K3" i="568" a="1"/>
  <c r="K3" i="568" s="1"/>
  <c r="J3" i="568" a="1"/>
  <c r="J3" i="568" s="1"/>
  <c r="I3" i="568" a="1"/>
  <c r="I3" i="568" s="1"/>
  <c r="P3" i="568" a="1"/>
  <c r="P3" i="568" s="1"/>
  <c r="O3" i="568" a="1"/>
  <c r="O3" i="568" s="1"/>
  <c r="N3" i="568" a="1"/>
  <c r="N3" i="568" s="1"/>
  <c r="H3" i="568" a="1"/>
  <c r="H3" i="568" s="1"/>
  <c r="G3" i="568" a="1"/>
  <c r="G3" i="568" s="1"/>
  <c r="F3" i="568" a="1"/>
  <c r="F3" i="568" s="1"/>
  <c r="E3" i="568" a="1"/>
  <c r="E3" i="568" s="1"/>
  <c r="I4" i="568" a="1"/>
  <c r="I4" i="568" s="1"/>
  <c r="H4" i="568" a="1"/>
  <c r="H4" i="568" s="1"/>
  <c r="E4" i="568" a="1"/>
  <c r="E4" i="568" s="1"/>
  <c r="G4" i="568" a="1"/>
  <c r="G4" i="568" s="1"/>
  <c r="P4" i="568" a="1"/>
  <c r="P4" i="568" s="1"/>
  <c r="F4" i="568" a="1"/>
  <c r="F4" i="568" s="1"/>
  <c r="O4" i="568" a="1"/>
  <c r="O4" i="568" s="1"/>
  <c r="H8" i="568" a="1"/>
  <c r="H8" i="568" s="1"/>
  <c r="G8" i="568" a="1"/>
  <c r="G8" i="568" s="1"/>
  <c r="F8" i="568" a="1"/>
  <c r="F8" i="568" s="1"/>
  <c r="P8" i="568" a="1"/>
  <c r="P8" i="568" s="1"/>
  <c r="O8" i="568" a="1"/>
  <c r="O8" i="568" s="1"/>
  <c r="E8" i="568" a="1"/>
  <c r="E8" i="568" s="1"/>
  <c r="N8" i="568" a="1"/>
  <c r="N8" i="568" s="1"/>
  <c r="L4" i="568" a="1"/>
  <c r="L4" i="568" s="1"/>
  <c r="J8" i="568" a="1"/>
  <c r="J8" i="568" s="1"/>
  <c r="M4" i="568" a="1"/>
  <c r="M4" i="568" s="1"/>
  <c r="K8" i="568" a="1"/>
  <c r="K8" i="568" s="1"/>
  <c r="N4" i="568" a="1"/>
  <c r="N4" i="568" s="1"/>
  <c r="L8" i="568" a="1"/>
  <c r="L8" i="568" s="1"/>
  <c r="G6" i="568" a="1"/>
  <c r="G6" i="568" s="1"/>
  <c r="F6" i="568" a="1"/>
  <c r="F6" i="568" s="1"/>
  <c r="N6" i="568" a="1"/>
  <c r="N6" i="568" s="1"/>
  <c r="H6" i="568" a="1"/>
  <c r="H6" i="568" s="1"/>
  <c r="P6" i="568" a="1"/>
  <c r="P6" i="568" s="1"/>
  <c r="O6" i="568" a="1"/>
  <c r="O6" i="568" s="1"/>
  <c r="E6" i="568" a="1"/>
  <c r="E6" i="568" s="1"/>
  <c r="I6" i="568" a="1"/>
  <c r="I6" i="568" s="1"/>
  <c r="M8" i="568" a="1"/>
  <c r="M8" i="568" s="1"/>
  <c r="I10" i="568" a="1"/>
  <c r="I10" i="568" s="1"/>
  <c r="H10" i="568" a="1"/>
  <c r="H10" i="568" s="1"/>
  <c r="F10" i="568" a="1"/>
  <c r="F10" i="568" s="1"/>
  <c r="G10" i="568" a="1"/>
  <c r="G10" i="568" s="1"/>
  <c r="P10" i="568" a="1"/>
  <c r="P10" i="568" s="1"/>
  <c r="O10" i="568" a="1"/>
  <c r="O10" i="568" s="1"/>
  <c r="E10" i="568" a="1"/>
  <c r="E10" i="568" s="1"/>
  <c r="N10" i="568" a="1"/>
  <c r="N10" i="568" s="1"/>
  <c r="J6" i="568" a="1"/>
  <c r="J6" i="568" s="1"/>
  <c r="J10" i="568" a="1"/>
  <c r="J10" i="568" s="1"/>
  <c r="K6" i="568" a="1"/>
  <c r="K6" i="568" s="1"/>
  <c r="K10" i="568" a="1"/>
  <c r="K10" i="568" s="1"/>
  <c r="L6" i="568" a="1"/>
  <c r="L6" i="568" s="1"/>
  <c r="J4" i="568" a="1"/>
  <c r="J4" i="568" s="1"/>
  <c r="K4" i="568" a="1"/>
  <c r="K4" i="568" s="1"/>
  <c r="I8" i="568" a="1"/>
  <c r="I8" i="568" s="1"/>
  <c r="D11" i="568" a="1"/>
  <c r="D11" i="568" s="1"/>
  <c r="S1" i="567"/>
  <c r="S1" i="566"/>
  <c r="K8" i="565" a="1"/>
  <c r="K8" i="565" s="1"/>
  <c r="J8" i="565" a="1"/>
  <c r="J8" i="565" s="1"/>
  <c r="N5" i="565" a="1"/>
  <c r="N5" i="565" s="1"/>
  <c r="L5" i="565" a="1"/>
  <c r="L5" i="565" s="1"/>
  <c r="H5" i="565" a="1"/>
  <c r="H5" i="565" s="1"/>
  <c r="M5" i="565" a="1"/>
  <c r="M5" i="565" s="1"/>
  <c r="K5" i="565" a="1"/>
  <c r="K5" i="565" s="1"/>
  <c r="J5" i="565" a="1"/>
  <c r="J5" i="565" s="1"/>
  <c r="I5" i="565" a="1"/>
  <c r="I5" i="565" s="1"/>
  <c r="O5" i="565" a="1"/>
  <c r="O5" i="565" s="1"/>
  <c r="G5" i="565" a="1"/>
  <c r="G5" i="565" s="1"/>
  <c r="F5" i="565" a="1"/>
  <c r="F5" i="565" s="1"/>
  <c r="E5" i="565" a="1"/>
  <c r="E5" i="565" s="1"/>
  <c r="P5" i="565" a="1"/>
  <c r="P5" i="565" s="1"/>
  <c r="M7" i="565" a="1"/>
  <c r="M7" i="565" s="1"/>
  <c r="L7" i="565" a="1"/>
  <c r="L7" i="565" s="1"/>
  <c r="K7" i="565" a="1"/>
  <c r="K7" i="565" s="1"/>
  <c r="H7" i="565" a="1"/>
  <c r="H7" i="565" s="1"/>
  <c r="J7" i="565" a="1"/>
  <c r="J7" i="565" s="1"/>
  <c r="I7" i="565" a="1"/>
  <c r="I7" i="565" s="1"/>
  <c r="F7" i="565" a="1"/>
  <c r="F7" i="565" s="1"/>
  <c r="P7" i="565" a="1"/>
  <c r="P7" i="565" s="1"/>
  <c r="O7" i="565" a="1"/>
  <c r="O7" i="565" s="1"/>
  <c r="N7" i="565" a="1"/>
  <c r="N7" i="565" s="1"/>
  <c r="G7" i="565" a="1"/>
  <c r="G7" i="565" s="1"/>
  <c r="E7" i="565" a="1"/>
  <c r="E7" i="565" s="1"/>
  <c r="M3" i="565" a="1"/>
  <c r="M3" i="565" s="1"/>
  <c r="L3" i="565" a="1"/>
  <c r="L3" i="565" s="1"/>
  <c r="K3" i="565" a="1"/>
  <c r="K3" i="565" s="1"/>
  <c r="J3" i="565" a="1"/>
  <c r="J3" i="565" s="1"/>
  <c r="I3" i="565" a="1"/>
  <c r="I3" i="565" s="1"/>
  <c r="H3" i="565" a="1"/>
  <c r="H3" i="565" s="1"/>
  <c r="P3" i="565" a="1"/>
  <c r="P3" i="565" s="1"/>
  <c r="O3" i="565" a="1"/>
  <c r="O3" i="565" s="1"/>
  <c r="N3" i="565" a="1"/>
  <c r="N3" i="565" s="1"/>
  <c r="G3" i="565" a="1"/>
  <c r="G3" i="565" s="1"/>
  <c r="F3" i="565" a="1"/>
  <c r="F3" i="565" s="1"/>
  <c r="E3" i="565" a="1"/>
  <c r="E3" i="565" s="1"/>
  <c r="M9" i="565" a="1"/>
  <c r="M9" i="565" s="1"/>
  <c r="K9" i="565" a="1"/>
  <c r="K9" i="565" s="1"/>
  <c r="L9" i="565" a="1"/>
  <c r="L9" i="565" s="1"/>
  <c r="H9" i="565" a="1"/>
  <c r="H9" i="565" s="1"/>
  <c r="J9" i="565" a="1"/>
  <c r="J9" i="565" s="1"/>
  <c r="I9" i="565" a="1"/>
  <c r="I9" i="565" s="1"/>
  <c r="P9" i="565" a="1"/>
  <c r="P9" i="565" s="1"/>
  <c r="O9" i="565" a="1"/>
  <c r="O9" i="565" s="1"/>
  <c r="N9" i="565" a="1"/>
  <c r="N9" i="565" s="1"/>
  <c r="G9" i="565" a="1"/>
  <c r="G9" i="565" s="1"/>
  <c r="F9" i="565" a="1"/>
  <c r="F9" i="565" s="1"/>
  <c r="E9" i="565" a="1"/>
  <c r="E9" i="565" s="1"/>
  <c r="I4" i="565" a="1"/>
  <c r="I4" i="565" s="1"/>
  <c r="G4" i="565" a="1"/>
  <c r="G4" i="565" s="1"/>
  <c r="N4" i="565" a="1"/>
  <c r="N4" i="565" s="1"/>
  <c r="H4" i="565" a="1"/>
  <c r="H4" i="565" s="1"/>
  <c r="P4" i="565" a="1"/>
  <c r="P4" i="565" s="1"/>
  <c r="F4" i="565" a="1"/>
  <c r="F4" i="565" s="1"/>
  <c r="O4" i="565" a="1"/>
  <c r="O4" i="565" s="1"/>
  <c r="E4" i="565" a="1"/>
  <c r="E4" i="565" s="1"/>
  <c r="J4" i="565" a="1"/>
  <c r="J4" i="565" s="1"/>
  <c r="K10" i="565" a="1"/>
  <c r="K10" i="565" s="1"/>
  <c r="J12" i="565" a="1"/>
  <c r="J12" i="565" s="1"/>
  <c r="H12" i="565" a="1"/>
  <c r="H12" i="565" s="1"/>
  <c r="N12" i="565" a="1"/>
  <c r="N12" i="565" s="1"/>
  <c r="I12" i="565" a="1"/>
  <c r="I12" i="565" s="1"/>
  <c r="G12" i="565" a="1"/>
  <c r="G12" i="565" s="1"/>
  <c r="P12" i="565" a="1"/>
  <c r="P12" i="565" s="1"/>
  <c r="F12" i="565" a="1"/>
  <c r="F12" i="565" s="1"/>
  <c r="O12" i="565" a="1"/>
  <c r="O12" i="565" s="1"/>
  <c r="E12" i="565" a="1"/>
  <c r="E12" i="565" s="1"/>
  <c r="H6" i="565" a="1"/>
  <c r="H6" i="565" s="1"/>
  <c r="F6" i="565" a="1"/>
  <c r="F6" i="565" s="1"/>
  <c r="M6" i="565" a="1"/>
  <c r="M6" i="565" s="1"/>
  <c r="G6" i="565" a="1"/>
  <c r="G6" i="565" s="1"/>
  <c r="P6" i="565" a="1"/>
  <c r="P6" i="565" s="1"/>
  <c r="O6" i="565" a="1"/>
  <c r="O6" i="565" s="1"/>
  <c r="E6" i="565" a="1"/>
  <c r="E6" i="565" s="1"/>
  <c r="N6" i="565" a="1"/>
  <c r="N6" i="565" s="1"/>
  <c r="L10" i="565" a="1"/>
  <c r="L10" i="565" s="1"/>
  <c r="K12" i="565" a="1"/>
  <c r="K12" i="565" s="1"/>
  <c r="M4" i="565" a="1"/>
  <c r="M4" i="565" s="1"/>
  <c r="J6" i="565" a="1"/>
  <c r="J6" i="565" s="1"/>
  <c r="L12" i="565" a="1"/>
  <c r="L12" i="565" s="1"/>
  <c r="K6" i="565" a="1"/>
  <c r="K6" i="565" s="1"/>
  <c r="M12" i="565" a="1"/>
  <c r="M12" i="565" s="1"/>
  <c r="L6" i="565" a="1"/>
  <c r="L6" i="565" s="1"/>
  <c r="K4" i="565" a="1"/>
  <c r="K4" i="565" s="1"/>
  <c r="L4" i="565" a="1"/>
  <c r="L4" i="565" s="1"/>
  <c r="I6" i="565" a="1"/>
  <c r="I6" i="565" s="1"/>
  <c r="H8" i="565" a="1"/>
  <c r="H8" i="565" s="1"/>
  <c r="P8" i="565" a="1"/>
  <c r="P8" i="565" s="1"/>
  <c r="F8" i="565" a="1"/>
  <c r="F8" i="565" s="1"/>
  <c r="M8" i="565" a="1"/>
  <c r="M8" i="565" s="1"/>
  <c r="G8" i="565" a="1"/>
  <c r="G8" i="565" s="1"/>
  <c r="O8" i="565" a="1"/>
  <c r="O8" i="565" s="1"/>
  <c r="E8" i="565" a="1"/>
  <c r="E8" i="565" s="1"/>
  <c r="N8" i="565" a="1"/>
  <c r="N8" i="565" s="1"/>
  <c r="I8" i="565" a="1"/>
  <c r="I8" i="565" s="1"/>
  <c r="I10" i="565" a="1"/>
  <c r="I10" i="565" s="1"/>
  <c r="G10" i="565" a="1"/>
  <c r="G10" i="565" s="1"/>
  <c r="M10" i="565" a="1"/>
  <c r="M10" i="565" s="1"/>
  <c r="H10" i="565" a="1"/>
  <c r="H10" i="565" s="1"/>
  <c r="P10" i="565" a="1"/>
  <c r="P10" i="565" s="1"/>
  <c r="F10" i="565" a="1"/>
  <c r="F10" i="565" s="1"/>
  <c r="O10" i="565" a="1"/>
  <c r="O10" i="565" s="1"/>
  <c r="E10" i="565" a="1"/>
  <c r="E10" i="565" s="1"/>
  <c r="N10" i="565" a="1"/>
  <c r="N10" i="565" s="1"/>
  <c r="D11" i="565" a="1"/>
  <c r="D11" i="565" s="1"/>
  <c r="M7" i="564" a="1"/>
  <c r="M7" i="564" s="1"/>
  <c r="K7" i="564" a="1"/>
  <c r="K7" i="564" s="1"/>
  <c r="I7" i="564" a="1"/>
  <c r="I7" i="564" s="1"/>
  <c r="H7" i="564" a="1"/>
  <c r="H7" i="564" s="1"/>
  <c r="G7" i="564" a="1"/>
  <c r="G7" i="564" s="1"/>
  <c r="P7" i="564" a="1"/>
  <c r="P7" i="564" s="1"/>
  <c r="J7" i="564" a="1"/>
  <c r="J7" i="564" s="1"/>
  <c r="F7" i="564" a="1"/>
  <c r="F7" i="564" s="1"/>
  <c r="L7" i="564" a="1"/>
  <c r="L7" i="564" s="1"/>
  <c r="N7" i="564" a="1"/>
  <c r="N7" i="564" s="1"/>
  <c r="E7" i="564" a="1"/>
  <c r="E7" i="564" s="1"/>
  <c r="O7" i="564" a="1"/>
  <c r="O7" i="564" s="1"/>
  <c r="M3" i="564" a="1"/>
  <c r="M3" i="564" s="1"/>
  <c r="J3" i="564" a="1"/>
  <c r="J3" i="564" s="1"/>
  <c r="G3" i="564" a="1"/>
  <c r="G3" i="564" s="1"/>
  <c r="F3" i="564" a="1"/>
  <c r="F3" i="564" s="1"/>
  <c r="I3" i="564" a="1"/>
  <c r="I3" i="564" s="1"/>
  <c r="L3" i="564" a="1"/>
  <c r="L3" i="564" s="1"/>
  <c r="P3" i="564" a="1"/>
  <c r="P3" i="564" s="1"/>
  <c r="K3" i="564" a="1"/>
  <c r="K3" i="564" s="1"/>
  <c r="H3" i="564" a="1"/>
  <c r="H3" i="564" s="1"/>
  <c r="E3" i="564" a="1"/>
  <c r="E3" i="564" s="1"/>
  <c r="O3" i="564" a="1"/>
  <c r="O3" i="564" s="1"/>
  <c r="N3" i="564" a="1"/>
  <c r="N3" i="564" s="1"/>
  <c r="M9" i="564" a="1"/>
  <c r="M9" i="564" s="1"/>
  <c r="I9" i="564" a="1"/>
  <c r="I9" i="564" s="1"/>
  <c r="P9" i="564" a="1"/>
  <c r="P9" i="564" s="1"/>
  <c r="F9" i="564" a="1"/>
  <c r="F9" i="564" s="1"/>
  <c r="E9" i="564" a="1"/>
  <c r="E9" i="564" s="1"/>
  <c r="K9" i="564" a="1"/>
  <c r="K9" i="564" s="1"/>
  <c r="J9" i="564" a="1"/>
  <c r="J9" i="564" s="1"/>
  <c r="H9" i="564" a="1"/>
  <c r="H9" i="564" s="1"/>
  <c r="L9" i="564" a="1"/>
  <c r="L9" i="564" s="1"/>
  <c r="G9" i="564" a="1"/>
  <c r="G9" i="564" s="1"/>
  <c r="N9" i="564" a="1"/>
  <c r="N9" i="564" s="1"/>
  <c r="J4" i="564" a="1"/>
  <c r="J4" i="564" s="1"/>
  <c r="H8" i="564" a="1"/>
  <c r="H8" i="564" s="1"/>
  <c r="P8" i="564" a="1"/>
  <c r="P8" i="564" s="1"/>
  <c r="F8" i="564" a="1"/>
  <c r="F8" i="564" s="1"/>
  <c r="O8" i="564" a="1"/>
  <c r="O8" i="564" s="1"/>
  <c r="K8" i="564" a="1"/>
  <c r="K8" i="564" s="1"/>
  <c r="L8" i="564" a="1"/>
  <c r="L8" i="564" s="1"/>
  <c r="G8" i="564" a="1"/>
  <c r="G8" i="564" s="1"/>
  <c r="E8" i="564" a="1"/>
  <c r="E8" i="564" s="1"/>
  <c r="N8" i="564" a="1"/>
  <c r="N8" i="564" s="1"/>
  <c r="M8" i="564" a="1"/>
  <c r="M8" i="564" s="1"/>
  <c r="N5" i="564" a="1"/>
  <c r="N5" i="564" s="1"/>
  <c r="I5" i="564" a="1"/>
  <c r="I5" i="564" s="1"/>
  <c r="G5" i="564" a="1"/>
  <c r="G5" i="564" s="1"/>
  <c r="F5" i="564" a="1"/>
  <c r="F5" i="564" s="1"/>
  <c r="M5" i="564" a="1"/>
  <c r="M5" i="564" s="1"/>
  <c r="K5" i="564" a="1"/>
  <c r="K5" i="564" s="1"/>
  <c r="J5" i="564" a="1"/>
  <c r="J5" i="564" s="1"/>
  <c r="H5" i="564" a="1"/>
  <c r="H5" i="564" s="1"/>
  <c r="P5" i="564" a="1"/>
  <c r="P5" i="564" s="1"/>
  <c r="L5" i="564" a="1"/>
  <c r="L5" i="564" s="1"/>
  <c r="O5" i="564" a="1"/>
  <c r="O5" i="564" s="1"/>
  <c r="O9" i="564" a="1"/>
  <c r="O9" i="564" s="1"/>
  <c r="J8" i="564" a="1"/>
  <c r="J8" i="564" s="1"/>
  <c r="H6" i="564" a="1"/>
  <c r="H6" i="564" s="1"/>
  <c r="F6" i="564" a="1"/>
  <c r="F6" i="564" s="1"/>
  <c r="E6" i="564" a="1"/>
  <c r="E6" i="564" s="1"/>
  <c r="K6" i="564" a="1"/>
  <c r="K6" i="564" s="1"/>
  <c r="M6" i="564" a="1"/>
  <c r="M6" i="564" s="1"/>
  <c r="L6" i="564" a="1"/>
  <c r="L6" i="564" s="1"/>
  <c r="P6" i="564" a="1"/>
  <c r="P6" i="564" s="1"/>
  <c r="O6" i="564" a="1"/>
  <c r="O6" i="564" s="1"/>
  <c r="G6" i="564" a="1"/>
  <c r="G6" i="564" s="1"/>
  <c r="N6" i="564" a="1"/>
  <c r="N6" i="564" s="1"/>
  <c r="J12" i="564" a="1"/>
  <c r="J12" i="564" s="1"/>
  <c r="F12" i="564" a="1"/>
  <c r="F12" i="564" s="1"/>
  <c r="E12" i="564" a="1"/>
  <c r="E12" i="564" s="1"/>
  <c r="M12" i="564" a="1"/>
  <c r="M12" i="564" s="1"/>
  <c r="O12" i="564" a="1"/>
  <c r="O12" i="564" s="1"/>
  <c r="N12" i="564" a="1"/>
  <c r="N12" i="564" s="1"/>
  <c r="I12" i="564" a="1"/>
  <c r="I12" i="564" s="1"/>
  <c r="G12" i="564" a="1"/>
  <c r="G12" i="564" s="1"/>
  <c r="L12" i="564" a="1"/>
  <c r="L12" i="564" s="1"/>
  <c r="P12" i="564" a="1"/>
  <c r="P12" i="564" s="1"/>
  <c r="H12" i="564" a="1"/>
  <c r="H12" i="564" s="1"/>
  <c r="I6" i="564" a="1"/>
  <c r="I6" i="564" s="1"/>
  <c r="I4" i="564" a="1"/>
  <c r="I4" i="564" s="1"/>
  <c r="P4" i="564" a="1"/>
  <c r="P4" i="564" s="1"/>
  <c r="L4" i="564" a="1"/>
  <c r="L4" i="564" s="1"/>
  <c r="M4" i="564" a="1"/>
  <c r="M4" i="564" s="1"/>
  <c r="H4" i="564" a="1"/>
  <c r="H4" i="564" s="1"/>
  <c r="G4" i="564" a="1"/>
  <c r="G4" i="564" s="1"/>
  <c r="F4" i="564" a="1"/>
  <c r="F4" i="564" s="1"/>
  <c r="O4" i="564" a="1"/>
  <c r="O4" i="564" s="1"/>
  <c r="E4" i="564" a="1"/>
  <c r="E4" i="564" s="1"/>
  <c r="N4" i="564" a="1"/>
  <c r="N4" i="564" s="1"/>
  <c r="I10" i="564" a="1"/>
  <c r="I10" i="564" s="1"/>
  <c r="M10" i="564" a="1"/>
  <c r="M10" i="564" s="1"/>
  <c r="H10" i="564" a="1"/>
  <c r="H10" i="564" s="1"/>
  <c r="P10" i="564" a="1"/>
  <c r="P10" i="564" s="1"/>
  <c r="F10" i="564" a="1"/>
  <c r="F10" i="564" s="1"/>
  <c r="E10" i="564" a="1"/>
  <c r="E10" i="564" s="1"/>
  <c r="N10" i="564" a="1"/>
  <c r="N10" i="564" s="1"/>
  <c r="L10" i="564" a="1"/>
  <c r="L10" i="564" s="1"/>
  <c r="K10" i="564" a="1"/>
  <c r="K10" i="564" s="1"/>
  <c r="G10" i="564" a="1"/>
  <c r="G10" i="564" s="1"/>
  <c r="O10" i="564" a="1"/>
  <c r="O10" i="564" s="1"/>
  <c r="E5" i="564" a="1"/>
  <c r="E5" i="564" s="1"/>
  <c r="I8" i="564" a="1"/>
  <c r="I8" i="564" s="1"/>
  <c r="K12" i="564" a="1"/>
  <c r="K12" i="564" s="1"/>
  <c r="D11" i="564" a="1"/>
  <c r="D11" i="564" s="1"/>
  <c r="L10" i="563" a="1"/>
  <c r="L10" i="563" s="1"/>
  <c r="J12" i="563" a="1"/>
  <c r="J12" i="563" s="1"/>
  <c r="I12" i="563" a="1"/>
  <c r="I12" i="563" s="1"/>
  <c r="H12" i="563" a="1"/>
  <c r="H12" i="563" s="1"/>
  <c r="G12" i="563" a="1"/>
  <c r="G12" i="563" s="1"/>
  <c r="P12" i="563" a="1"/>
  <c r="P12" i="563" s="1"/>
  <c r="F12" i="563" a="1"/>
  <c r="F12" i="563" s="1"/>
  <c r="O12" i="563" a="1"/>
  <c r="O12" i="563" s="1"/>
  <c r="E12" i="563" a="1"/>
  <c r="E12" i="563" s="1"/>
  <c r="N12" i="563" a="1"/>
  <c r="N12" i="563" s="1"/>
  <c r="M12" i="563" a="1"/>
  <c r="M12" i="563" s="1"/>
  <c r="L12" i="563" a="1"/>
  <c r="L12" i="563" s="1"/>
  <c r="K12" i="563" a="1"/>
  <c r="K12" i="563" s="1"/>
  <c r="M7" i="563" a="1"/>
  <c r="M7" i="563" s="1"/>
  <c r="I7" i="563" a="1"/>
  <c r="I7" i="563" s="1"/>
  <c r="L7" i="563" a="1"/>
  <c r="L7" i="563" s="1"/>
  <c r="K7" i="563" a="1"/>
  <c r="K7" i="563" s="1"/>
  <c r="J7" i="563" a="1"/>
  <c r="J7" i="563" s="1"/>
  <c r="P7" i="563" a="1"/>
  <c r="P7" i="563" s="1"/>
  <c r="O7" i="563" a="1"/>
  <c r="O7" i="563" s="1"/>
  <c r="N7" i="563" a="1"/>
  <c r="N7" i="563" s="1"/>
  <c r="H7" i="563" a="1"/>
  <c r="H7" i="563" s="1"/>
  <c r="G7" i="563" a="1"/>
  <c r="G7" i="563" s="1"/>
  <c r="F7" i="563" a="1"/>
  <c r="F7" i="563" s="1"/>
  <c r="E7" i="563" a="1"/>
  <c r="E7" i="563" s="1"/>
  <c r="M3" i="563" a="1"/>
  <c r="M3" i="563" s="1"/>
  <c r="K3" i="563" a="1"/>
  <c r="K3" i="563" s="1"/>
  <c r="I3" i="563" a="1"/>
  <c r="I3" i="563" s="1"/>
  <c r="L3" i="563" a="1"/>
  <c r="L3" i="563" s="1"/>
  <c r="J3" i="563" a="1"/>
  <c r="J3" i="563" s="1"/>
  <c r="P3" i="563" a="1"/>
  <c r="P3" i="563" s="1"/>
  <c r="O3" i="563" a="1"/>
  <c r="O3" i="563" s="1"/>
  <c r="N3" i="563" a="1"/>
  <c r="N3" i="563" s="1"/>
  <c r="H3" i="563" a="1"/>
  <c r="H3" i="563" s="1"/>
  <c r="G3" i="563" a="1"/>
  <c r="G3" i="563" s="1"/>
  <c r="F3" i="563" a="1"/>
  <c r="F3" i="563" s="1"/>
  <c r="E3" i="563" a="1"/>
  <c r="E3" i="563" s="1"/>
  <c r="G8" i="563" a="1"/>
  <c r="G8" i="563" s="1"/>
  <c r="E8" i="563" a="1"/>
  <c r="E8" i="563" s="1"/>
  <c r="N8" i="563" a="1"/>
  <c r="N8" i="563" s="1"/>
  <c r="H8" i="563" a="1"/>
  <c r="H8" i="563" s="1"/>
  <c r="P8" i="563" a="1"/>
  <c r="P8" i="563" s="1"/>
  <c r="F8" i="563" a="1"/>
  <c r="F8" i="563" s="1"/>
  <c r="O8" i="563" a="1"/>
  <c r="O8" i="563" s="1"/>
  <c r="M8" i="563" a="1"/>
  <c r="M8" i="563" s="1"/>
  <c r="L8" i="563" a="1"/>
  <c r="L8" i="563" s="1"/>
  <c r="K8" i="563" a="1"/>
  <c r="K8" i="563" s="1"/>
  <c r="I8" i="563" a="1"/>
  <c r="I8" i="563" s="1"/>
  <c r="N5" i="563" a="1"/>
  <c r="N5" i="563" s="1"/>
  <c r="M5" i="563" a="1"/>
  <c r="M5" i="563" s="1"/>
  <c r="L5" i="563" a="1"/>
  <c r="L5" i="563" s="1"/>
  <c r="K5" i="563" a="1"/>
  <c r="K5" i="563" s="1"/>
  <c r="J5" i="563" a="1"/>
  <c r="J5" i="563" s="1"/>
  <c r="I5" i="563" a="1"/>
  <c r="I5" i="563" s="1"/>
  <c r="G5" i="563" a="1"/>
  <c r="G5" i="563" s="1"/>
  <c r="F5" i="563" a="1"/>
  <c r="F5" i="563" s="1"/>
  <c r="E5" i="563" a="1"/>
  <c r="E5" i="563" s="1"/>
  <c r="O5" i="563" a="1"/>
  <c r="O5" i="563" s="1"/>
  <c r="P5" i="563" a="1"/>
  <c r="P5" i="563" s="1"/>
  <c r="J8" i="563" a="1"/>
  <c r="J8" i="563" s="1"/>
  <c r="M9" i="563" a="1"/>
  <c r="M9" i="563" s="1"/>
  <c r="J9" i="563" a="1"/>
  <c r="J9" i="563" s="1"/>
  <c r="I9" i="563" a="1"/>
  <c r="I9" i="563" s="1"/>
  <c r="L9" i="563" a="1"/>
  <c r="L9" i="563" s="1"/>
  <c r="K9" i="563" a="1"/>
  <c r="K9" i="563" s="1"/>
  <c r="F9" i="563" a="1"/>
  <c r="F9" i="563" s="1"/>
  <c r="E9" i="563" a="1"/>
  <c r="E9" i="563" s="1"/>
  <c r="P9" i="563" a="1"/>
  <c r="P9" i="563" s="1"/>
  <c r="G9" i="563" a="1"/>
  <c r="G9" i="563" s="1"/>
  <c r="I4" i="563" a="1"/>
  <c r="I4" i="563" s="1"/>
  <c r="F4" i="563" a="1"/>
  <c r="F4" i="563" s="1"/>
  <c r="O4" i="563" a="1"/>
  <c r="O4" i="563" s="1"/>
  <c r="E4" i="563" a="1"/>
  <c r="E4" i="563" s="1"/>
  <c r="H4" i="563" a="1"/>
  <c r="H4" i="563" s="1"/>
  <c r="G4" i="563" a="1"/>
  <c r="G4" i="563" s="1"/>
  <c r="P4" i="563" a="1"/>
  <c r="P4" i="563" s="1"/>
  <c r="N4" i="563" a="1"/>
  <c r="N4" i="563" s="1"/>
  <c r="M4" i="563" a="1"/>
  <c r="M4" i="563" s="1"/>
  <c r="J4" i="563" a="1"/>
  <c r="J4" i="563" s="1"/>
  <c r="H9" i="563" a="1"/>
  <c r="H9" i="563" s="1"/>
  <c r="N9" i="563" a="1"/>
  <c r="N9" i="563" s="1"/>
  <c r="K4" i="563" a="1"/>
  <c r="K4" i="563" s="1"/>
  <c r="H6" i="563" a="1"/>
  <c r="H6" i="563" s="1"/>
  <c r="F6" i="563" a="1"/>
  <c r="F6" i="563" s="1"/>
  <c r="E6" i="563" a="1"/>
  <c r="E6" i="563" s="1"/>
  <c r="N6" i="563" a="1"/>
  <c r="N6" i="563" s="1"/>
  <c r="G6" i="563" a="1"/>
  <c r="G6" i="563" s="1"/>
  <c r="P6" i="563" a="1"/>
  <c r="P6" i="563" s="1"/>
  <c r="O6" i="563" a="1"/>
  <c r="O6" i="563" s="1"/>
  <c r="I6" i="563" a="1"/>
  <c r="I6" i="563" s="1"/>
  <c r="I10" i="563" a="1"/>
  <c r="I10" i="563" s="1"/>
  <c r="H10" i="563" a="1"/>
  <c r="H10" i="563" s="1"/>
  <c r="G10" i="563" a="1"/>
  <c r="G10" i="563" s="1"/>
  <c r="F10" i="563" a="1"/>
  <c r="F10" i="563" s="1"/>
  <c r="P10" i="563" a="1"/>
  <c r="P10" i="563" s="1"/>
  <c r="O10" i="563" a="1"/>
  <c r="O10" i="563" s="1"/>
  <c r="E10" i="563" a="1"/>
  <c r="E10" i="563" s="1"/>
  <c r="N10" i="563" a="1"/>
  <c r="N10" i="563" s="1"/>
  <c r="J6" i="563" a="1"/>
  <c r="J6" i="563" s="1"/>
  <c r="J10" i="563" a="1"/>
  <c r="J10" i="563" s="1"/>
  <c r="K6" i="563" a="1"/>
  <c r="K6" i="563" s="1"/>
  <c r="K10" i="563" a="1"/>
  <c r="K10" i="563" s="1"/>
  <c r="L6" i="563" a="1"/>
  <c r="L6" i="563" s="1"/>
  <c r="D11" i="563" a="1"/>
  <c r="D11" i="563" s="1"/>
  <c r="R2" i="562"/>
  <c r="S1" i="562"/>
  <c r="B8" i="562"/>
  <c r="N7" i="561" a="1"/>
  <c r="N7" i="561" s="1"/>
  <c r="I7" i="561" a="1"/>
  <c r="I7" i="561" s="1"/>
  <c r="J7" i="561" a="1"/>
  <c r="J7" i="561" s="1"/>
  <c r="M9" i="561" a="1"/>
  <c r="M9" i="561" s="1"/>
  <c r="K9" i="561" a="1"/>
  <c r="K9" i="561" s="1"/>
  <c r="J9" i="561" a="1"/>
  <c r="J9" i="561" s="1"/>
  <c r="L9" i="561" a="1"/>
  <c r="L9" i="561" s="1"/>
  <c r="G9" i="561" a="1"/>
  <c r="G9" i="561" s="1"/>
  <c r="F9" i="561" a="1"/>
  <c r="F9" i="561" s="1"/>
  <c r="E9" i="561" a="1"/>
  <c r="E9" i="561" s="1"/>
  <c r="P9" i="561" a="1"/>
  <c r="P9" i="561" s="1"/>
  <c r="H9" i="561" a="1"/>
  <c r="H9" i="561" s="1"/>
  <c r="H6" i="561" a="1"/>
  <c r="H6" i="561" s="1"/>
  <c r="G6" i="561" a="1"/>
  <c r="G6" i="561" s="1"/>
  <c r="P6" i="561" a="1"/>
  <c r="P6" i="561" s="1"/>
  <c r="F6" i="561" a="1"/>
  <c r="F6" i="561" s="1"/>
  <c r="J6" i="561" a="1"/>
  <c r="J6" i="561" s="1"/>
  <c r="I6" i="561" a="1"/>
  <c r="I6" i="561" s="1"/>
  <c r="E6" i="561" a="1"/>
  <c r="E6" i="561" s="1"/>
  <c r="I9" i="561" a="1"/>
  <c r="I9" i="561" s="1"/>
  <c r="N4" i="561" a="1"/>
  <c r="N4" i="561" s="1"/>
  <c r="L6" i="561" a="1"/>
  <c r="L6" i="561" s="1"/>
  <c r="N5" i="561" a="1"/>
  <c r="N5" i="561" s="1"/>
  <c r="M5" i="561" a="1"/>
  <c r="M5" i="561" s="1"/>
  <c r="L5" i="561" a="1"/>
  <c r="L5" i="561" s="1"/>
  <c r="K5" i="561" a="1"/>
  <c r="K5" i="561" s="1"/>
  <c r="I5" i="561" a="1"/>
  <c r="I5" i="561" s="1"/>
  <c r="H5" i="561" a="1"/>
  <c r="H5" i="561" s="1"/>
  <c r="G5" i="561" a="1"/>
  <c r="G5" i="561" s="1"/>
  <c r="F5" i="561" a="1"/>
  <c r="F5" i="561" s="1"/>
  <c r="E5" i="561" a="1"/>
  <c r="E5" i="561" s="1"/>
  <c r="H8" i="561" a="1"/>
  <c r="H8" i="561" s="1"/>
  <c r="G8" i="561" a="1"/>
  <c r="G8" i="561" s="1"/>
  <c r="F8" i="561" a="1"/>
  <c r="F8" i="561" s="1"/>
  <c r="O8" i="561" a="1"/>
  <c r="O8" i="561" s="1"/>
  <c r="P8" i="561" a="1"/>
  <c r="P8" i="561" s="1"/>
  <c r="I8" i="561" a="1"/>
  <c r="I8" i="561" s="1"/>
  <c r="E8" i="561" a="1"/>
  <c r="E8" i="561" s="1"/>
  <c r="J8" i="561" a="1"/>
  <c r="J8" i="561" s="1"/>
  <c r="K8" i="561" a="1"/>
  <c r="K8" i="561" s="1"/>
  <c r="I4" i="561" a="1"/>
  <c r="I4" i="561" s="1"/>
  <c r="H4" i="561" a="1"/>
  <c r="H4" i="561" s="1"/>
  <c r="G4" i="561" a="1"/>
  <c r="G4" i="561" s="1"/>
  <c r="L4" i="561" a="1"/>
  <c r="L4" i="561" s="1"/>
  <c r="K4" i="561" a="1"/>
  <c r="K4" i="561" s="1"/>
  <c r="J4" i="561" a="1"/>
  <c r="J4" i="561" s="1"/>
  <c r="F4" i="561" a="1"/>
  <c r="F4" i="561" s="1"/>
  <c r="E4" i="561" a="1"/>
  <c r="E4" i="561" s="1"/>
  <c r="M4" i="561" a="1"/>
  <c r="M4" i="561" s="1"/>
  <c r="K6" i="561" a="1"/>
  <c r="K6" i="561" s="1"/>
  <c r="N9" i="561" a="1"/>
  <c r="N9" i="561" s="1"/>
  <c r="O4" i="561" a="1"/>
  <c r="O4" i="561" s="1"/>
  <c r="M6" i="561" a="1"/>
  <c r="M6" i="561" s="1"/>
  <c r="O9" i="561" a="1"/>
  <c r="O9" i="561" s="1"/>
  <c r="N6" i="561" a="1"/>
  <c r="N6" i="561" s="1"/>
  <c r="K3" i="561" a="1"/>
  <c r="K3" i="561" s="1"/>
  <c r="M3" i="561" a="1"/>
  <c r="M3" i="561" s="1"/>
  <c r="L3" i="561" a="1"/>
  <c r="L3" i="561" s="1"/>
  <c r="I3" i="561" a="1"/>
  <c r="I3" i="561" s="1"/>
  <c r="H3" i="561" a="1"/>
  <c r="H3" i="561" s="1"/>
  <c r="G3" i="561" a="1"/>
  <c r="G3" i="561" s="1"/>
  <c r="F3" i="561" a="1"/>
  <c r="F3" i="561" s="1"/>
  <c r="E3" i="561" a="1"/>
  <c r="E3" i="561" s="1"/>
  <c r="O6" i="561" a="1"/>
  <c r="O6" i="561" s="1"/>
  <c r="I10" i="561" a="1"/>
  <c r="I10" i="561" s="1"/>
  <c r="H10" i="561" a="1"/>
  <c r="H10" i="561" s="1"/>
  <c r="G10" i="561" a="1"/>
  <c r="G10" i="561" s="1"/>
  <c r="P10" i="561" a="1"/>
  <c r="P10" i="561" s="1"/>
  <c r="F10" i="561" a="1"/>
  <c r="F10" i="561" s="1"/>
  <c r="K10" i="561" a="1"/>
  <c r="K10" i="561" s="1"/>
  <c r="J10" i="561" a="1"/>
  <c r="J10" i="561" s="1"/>
  <c r="E10" i="561" a="1"/>
  <c r="E10" i="561" s="1"/>
  <c r="J12" i="561" a="1"/>
  <c r="J12" i="561" s="1"/>
  <c r="I12" i="561" a="1"/>
  <c r="I12" i="561" s="1"/>
  <c r="H12" i="561" a="1"/>
  <c r="H12" i="561" s="1"/>
  <c r="G12" i="561" a="1"/>
  <c r="G12" i="561" s="1"/>
  <c r="M12" i="561" a="1"/>
  <c r="M12" i="561" s="1"/>
  <c r="E12" i="561" a="1"/>
  <c r="E12" i="561" s="1"/>
  <c r="L12" i="561" a="1"/>
  <c r="L12" i="561" s="1"/>
  <c r="K12" i="561" a="1"/>
  <c r="K12" i="561" s="1"/>
  <c r="F12" i="561" a="1"/>
  <c r="F12" i="561" s="1"/>
  <c r="J3" i="561" a="1"/>
  <c r="J3" i="561" s="1"/>
  <c r="J5" i="561" a="1"/>
  <c r="J5" i="561" s="1"/>
  <c r="N3" i="561" a="1"/>
  <c r="N3" i="561" s="1"/>
  <c r="L8" i="561" a="1"/>
  <c r="L8" i="561" s="1"/>
  <c r="L10" i="561" a="1"/>
  <c r="L10" i="561" s="1"/>
  <c r="N12" i="561" a="1"/>
  <c r="N12" i="561" s="1"/>
  <c r="O3" i="561" a="1"/>
  <c r="O3" i="561" s="1"/>
  <c r="O5" i="561" a="1"/>
  <c r="O5" i="561" s="1"/>
  <c r="M7" i="561" a="1"/>
  <c r="M7" i="561" s="1"/>
  <c r="L7" i="561" a="1"/>
  <c r="L7" i="561" s="1"/>
  <c r="K7" i="561" a="1"/>
  <c r="K7" i="561" s="1"/>
  <c r="G7" i="561" a="1"/>
  <c r="G7" i="561" s="1"/>
  <c r="F7" i="561" a="1"/>
  <c r="F7" i="561" s="1"/>
  <c r="E7" i="561" a="1"/>
  <c r="E7" i="561" s="1"/>
  <c r="P7" i="561" a="1"/>
  <c r="P7" i="561" s="1"/>
  <c r="M8" i="561" a="1"/>
  <c r="M8" i="561" s="1"/>
  <c r="M10" i="561" a="1"/>
  <c r="M10" i="561" s="1"/>
  <c r="O12" i="561" a="1"/>
  <c r="O12" i="561" s="1"/>
  <c r="H7" i="561" a="1"/>
  <c r="H7" i="561" s="1"/>
  <c r="P3" i="561" a="1"/>
  <c r="P3" i="561" s="1"/>
  <c r="P5" i="561" a="1"/>
  <c r="P5" i="561" s="1"/>
  <c r="N8" i="561" a="1"/>
  <c r="N8" i="561" s="1"/>
  <c r="N10" i="561" a="1"/>
  <c r="N10" i="561" s="1"/>
  <c r="P12" i="561" a="1"/>
  <c r="P12" i="561" s="1"/>
  <c r="D11" i="561" a="1"/>
  <c r="D11" i="561" s="1"/>
  <c r="P3" i="536" a="1"/>
  <c r="P3" i="536" s="1"/>
  <c r="I3" i="536" a="1"/>
  <c r="I3" i="536" s="1"/>
  <c r="E3" i="536" a="1"/>
  <c r="E3" i="536" s="1"/>
  <c r="M3" i="536" a="1"/>
  <c r="M3" i="536" s="1"/>
  <c r="D8" i="536" a="1"/>
  <c r="D8" i="536" s="1"/>
  <c r="P8" i="536" s="1" a="1"/>
  <c r="P8" i="536" s="1"/>
  <c r="N5" i="536" a="1"/>
  <c r="N5" i="536" s="1"/>
  <c r="F5" i="536" a="1"/>
  <c r="F5" i="536" s="1"/>
  <c r="J5" i="536" a="1"/>
  <c r="J5" i="536" s="1"/>
  <c r="P11" i="536" a="1"/>
  <c r="P11" i="536" s="1"/>
  <c r="L11" i="536" a="1"/>
  <c r="L11" i="536" s="1"/>
  <c r="H11" i="536" a="1"/>
  <c r="H11" i="536" s="1"/>
  <c r="O11" i="536" a="1"/>
  <c r="O11" i="536" s="1"/>
  <c r="K11" i="536" a="1"/>
  <c r="K11" i="536" s="1"/>
  <c r="G11" i="536" a="1"/>
  <c r="G11" i="536" s="1"/>
  <c r="N11" i="536" a="1"/>
  <c r="N11" i="536" s="1"/>
  <c r="J11" i="536" a="1"/>
  <c r="J11" i="536" s="1"/>
  <c r="F11" i="536" a="1"/>
  <c r="F11" i="536" s="1"/>
  <c r="M11" i="536" a="1"/>
  <c r="M11" i="536" s="1"/>
  <c r="I11" i="536" a="1"/>
  <c r="I11" i="536" s="1"/>
  <c r="E11" i="536" a="1"/>
  <c r="E11" i="536" s="1"/>
  <c r="O10" i="536" a="1"/>
  <c r="O10" i="536" s="1"/>
  <c r="K10" i="536" a="1"/>
  <c r="K10" i="536" s="1"/>
  <c r="G10" i="536" a="1"/>
  <c r="G10" i="536" s="1"/>
  <c r="N10" i="536" a="1"/>
  <c r="N10" i="536" s="1"/>
  <c r="J10" i="536" a="1"/>
  <c r="J10" i="536" s="1"/>
  <c r="F10" i="536" a="1"/>
  <c r="F10" i="536" s="1"/>
  <c r="P10" i="536" a="1"/>
  <c r="P10" i="536" s="1"/>
  <c r="H10" i="536" a="1"/>
  <c r="H10" i="536" s="1"/>
  <c r="M10" i="536" a="1"/>
  <c r="M10" i="536" s="1"/>
  <c r="I10" i="536" a="1"/>
  <c r="I10" i="536" s="1"/>
  <c r="E10" i="536" a="1"/>
  <c r="E10" i="536" s="1"/>
  <c r="L10" i="536" a="1"/>
  <c r="L10" i="536" s="1"/>
  <c r="F3" i="536" a="1"/>
  <c r="F3" i="536" s="1"/>
  <c r="J3" i="536" a="1"/>
  <c r="J3" i="536" s="1"/>
  <c r="N3" i="536" a="1"/>
  <c r="N3" i="536" s="1"/>
  <c r="D4" i="536" a="1"/>
  <c r="D4" i="536" s="1"/>
  <c r="D7" i="536" a="1"/>
  <c r="D7" i="536" s="1"/>
  <c r="H24" i="536"/>
  <c r="G3" i="536" a="1"/>
  <c r="G3" i="536" s="1"/>
  <c r="K3" i="536" a="1"/>
  <c r="K3" i="536" s="1"/>
  <c r="O3" i="536" a="1"/>
  <c r="O3" i="536" s="1"/>
  <c r="D6" i="536" a="1"/>
  <c r="D6" i="536" s="1"/>
  <c r="H26" i="536"/>
  <c r="G5" i="536" a="1"/>
  <c r="G5" i="536" s="1"/>
  <c r="K5" i="536" a="1"/>
  <c r="K5" i="536" s="1"/>
  <c r="O5" i="536" a="1"/>
  <c r="O5" i="536" s="1"/>
  <c r="D12" i="536" a="1"/>
  <c r="D12" i="536" s="1"/>
  <c r="H3" i="536" a="1"/>
  <c r="H3" i="536" s="1"/>
  <c r="L3" i="536" a="1"/>
  <c r="L3" i="536" s="1"/>
  <c r="D9" i="536" a="1"/>
  <c r="D9" i="536" s="1"/>
  <c r="H5" i="536" a="1"/>
  <c r="H5" i="536" s="1"/>
  <c r="L5" i="536" a="1"/>
  <c r="L5" i="536" s="1"/>
  <c r="P5" i="536" a="1"/>
  <c r="P5" i="536" s="1"/>
  <c r="E5" i="536" a="1"/>
  <c r="E5" i="536" s="1"/>
  <c r="I5" i="536" a="1"/>
  <c r="I5" i="536" s="1"/>
  <c r="Q12" i="572" l="1"/>
  <c r="Q6" i="572"/>
  <c r="Q7" i="572"/>
  <c r="Q5" i="572"/>
  <c r="L11" i="572" a="1"/>
  <c r="L11" i="572" s="1"/>
  <c r="L13" i="572" s="1"/>
  <c r="L14" i="572" s="1"/>
  <c r="K11" i="572" a="1"/>
  <c r="K11" i="572" s="1"/>
  <c r="K13" i="572" s="1"/>
  <c r="K14" i="572" s="1"/>
  <c r="N11" i="572" a="1"/>
  <c r="N11" i="572" s="1"/>
  <c r="N13" i="572" s="1"/>
  <c r="N14" i="572" s="1"/>
  <c r="M11" i="572" a="1"/>
  <c r="M11" i="572" s="1"/>
  <c r="M13" i="572" s="1"/>
  <c r="M14" i="572" s="1"/>
  <c r="J11" i="572" a="1"/>
  <c r="J11" i="572" s="1"/>
  <c r="J13" i="572" s="1"/>
  <c r="J14" i="572" s="1"/>
  <c r="I11" i="572" a="1"/>
  <c r="I11" i="572" s="1"/>
  <c r="I13" i="572" s="1"/>
  <c r="I14" i="572" s="1"/>
  <c r="P11" i="572" a="1"/>
  <c r="P11" i="572" s="1"/>
  <c r="P13" i="572" s="1"/>
  <c r="P14" i="572" s="1"/>
  <c r="F11" i="572" a="1"/>
  <c r="F11" i="572" s="1"/>
  <c r="F13" i="572" s="1"/>
  <c r="F14" i="572" s="1"/>
  <c r="O11" i="572" a="1"/>
  <c r="O11" i="572" s="1"/>
  <c r="O13" i="572" s="1"/>
  <c r="O14" i="572" s="1"/>
  <c r="H11" i="572" a="1"/>
  <c r="H11" i="572" s="1"/>
  <c r="H13" i="572" s="1"/>
  <c r="H14" i="572" s="1"/>
  <c r="G11" i="572" a="1"/>
  <c r="G11" i="572" s="1"/>
  <c r="G13" i="572" s="1"/>
  <c r="G14" i="572" s="1"/>
  <c r="E11" i="572" a="1"/>
  <c r="E11" i="572" s="1"/>
  <c r="Q11" i="572" s="1"/>
  <c r="Q10" i="572"/>
  <c r="Q9" i="572"/>
  <c r="Q8" i="572"/>
  <c r="Q3" i="572"/>
  <c r="Q4" i="572"/>
  <c r="B9" i="572"/>
  <c r="S2" i="572"/>
  <c r="R1" i="572"/>
  <c r="X3" i="572"/>
  <c r="D5" i="571" a="1"/>
  <c r="D5" i="571" s="1"/>
  <c r="D11" i="571" a="1"/>
  <c r="D11" i="571" s="1"/>
  <c r="D4" i="571" a="1"/>
  <c r="D4" i="571" s="1"/>
  <c r="D12" i="571" a="1"/>
  <c r="D12" i="571" s="1"/>
  <c r="D3" i="571" a="1"/>
  <c r="D3" i="571" s="1"/>
  <c r="D7" i="571" a="1"/>
  <c r="D7" i="571" s="1"/>
  <c r="D9" i="571" a="1"/>
  <c r="D9" i="571" s="1"/>
  <c r="D8" i="571" a="1"/>
  <c r="D8" i="571" s="1"/>
  <c r="D6" i="571" a="1"/>
  <c r="D6" i="571" s="1"/>
  <c r="D10" i="571" a="1"/>
  <c r="D10" i="571" s="1"/>
  <c r="Q4" i="570"/>
  <c r="Q3" i="570"/>
  <c r="B9" i="571"/>
  <c r="S2" i="571"/>
  <c r="R1" i="571"/>
  <c r="X3" i="571"/>
  <c r="Q6" i="570"/>
  <c r="Q5" i="570"/>
  <c r="Q10" i="570"/>
  <c r="L11" i="570" a="1"/>
  <c r="L11" i="570" s="1"/>
  <c r="L13" i="570" s="1"/>
  <c r="L14" i="570" s="1"/>
  <c r="K11" i="570" a="1"/>
  <c r="K11" i="570" s="1"/>
  <c r="K13" i="570" s="1"/>
  <c r="K14" i="570" s="1"/>
  <c r="J11" i="570" a="1"/>
  <c r="J11" i="570" s="1"/>
  <c r="J13" i="570" s="1"/>
  <c r="J14" i="570" s="1"/>
  <c r="N11" i="570" a="1"/>
  <c r="N11" i="570" s="1"/>
  <c r="N13" i="570" s="1"/>
  <c r="N14" i="570" s="1"/>
  <c r="M11" i="570" a="1"/>
  <c r="M11" i="570" s="1"/>
  <c r="M13" i="570" s="1"/>
  <c r="M14" i="570" s="1"/>
  <c r="E11" i="570" a="1"/>
  <c r="E11" i="570" s="1"/>
  <c r="G11" i="570" a="1"/>
  <c r="G11" i="570" s="1"/>
  <c r="G13" i="570" s="1"/>
  <c r="G14" i="570" s="1"/>
  <c r="F11" i="570" a="1"/>
  <c r="F11" i="570" s="1"/>
  <c r="F13" i="570" s="1"/>
  <c r="F14" i="570" s="1"/>
  <c r="P11" i="570" a="1"/>
  <c r="P11" i="570" s="1"/>
  <c r="P13" i="570" s="1"/>
  <c r="P14" i="570" s="1"/>
  <c r="O11" i="570" a="1"/>
  <c r="O11" i="570" s="1"/>
  <c r="O13" i="570" s="1"/>
  <c r="O14" i="570" s="1"/>
  <c r="I11" i="570" a="1"/>
  <c r="I11" i="570" s="1"/>
  <c r="I13" i="570" s="1"/>
  <c r="I14" i="570" s="1"/>
  <c r="H11" i="570" a="1"/>
  <c r="H11" i="570" s="1"/>
  <c r="H13" i="570" s="1"/>
  <c r="H14" i="570" s="1"/>
  <c r="Q12" i="570"/>
  <c r="Q7" i="570"/>
  <c r="Q5" i="569"/>
  <c r="Q8" i="570"/>
  <c r="Q9" i="570"/>
  <c r="B9" i="570"/>
  <c r="S2" i="570"/>
  <c r="R1" i="570"/>
  <c r="X3" i="570"/>
  <c r="Q12" i="569"/>
  <c r="Q9" i="569"/>
  <c r="N11" i="569" a="1"/>
  <c r="N11" i="569" s="1"/>
  <c r="N13" i="569" s="1"/>
  <c r="N14" i="569" s="1"/>
  <c r="M11" i="569" a="1"/>
  <c r="M11" i="569" s="1"/>
  <c r="M13" i="569" s="1"/>
  <c r="M14" i="569" s="1"/>
  <c r="L11" i="569" a="1"/>
  <c r="L11" i="569" s="1"/>
  <c r="L13" i="569" s="1"/>
  <c r="L14" i="569" s="1"/>
  <c r="K11" i="569" a="1"/>
  <c r="K11" i="569" s="1"/>
  <c r="K13" i="569" s="1"/>
  <c r="K14" i="569" s="1"/>
  <c r="J11" i="569" a="1"/>
  <c r="J11" i="569" s="1"/>
  <c r="J13" i="569" s="1"/>
  <c r="J14" i="569" s="1"/>
  <c r="E11" i="569" a="1"/>
  <c r="E11" i="569" s="1"/>
  <c r="H11" i="569" a="1"/>
  <c r="H11" i="569" s="1"/>
  <c r="H13" i="569" s="1"/>
  <c r="H14" i="569" s="1"/>
  <c r="P11" i="569" a="1"/>
  <c r="P11" i="569" s="1"/>
  <c r="P13" i="569" s="1"/>
  <c r="P14" i="569" s="1"/>
  <c r="I11" i="569" a="1"/>
  <c r="I11" i="569" s="1"/>
  <c r="I13" i="569" s="1"/>
  <c r="I14" i="569" s="1"/>
  <c r="G11" i="569" a="1"/>
  <c r="G11" i="569" s="1"/>
  <c r="G13" i="569" s="1"/>
  <c r="G14" i="569" s="1"/>
  <c r="F11" i="569" a="1"/>
  <c r="F11" i="569" s="1"/>
  <c r="F13" i="569" s="1"/>
  <c r="F14" i="569" s="1"/>
  <c r="O11" i="569" a="1"/>
  <c r="O11" i="569" s="1"/>
  <c r="O13" i="569" s="1"/>
  <c r="O14" i="569" s="1"/>
  <c r="Q8" i="569"/>
  <c r="Q6" i="569"/>
  <c r="Q7" i="569"/>
  <c r="Q3" i="569"/>
  <c r="Q4" i="569"/>
  <c r="Q10" i="569"/>
  <c r="B9" i="569"/>
  <c r="S2" i="569"/>
  <c r="R1" i="569"/>
  <c r="X3" i="569"/>
  <c r="Q10" i="568"/>
  <c r="Q5" i="568"/>
  <c r="Q6" i="568"/>
  <c r="Q12" i="568"/>
  <c r="Q9" i="568"/>
  <c r="Q7" i="568"/>
  <c r="Q4" i="568"/>
  <c r="Q3" i="568"/>
  <c r="G13" i="568"/>
  <c r="G14" i="568" s="1"/>
  <c r="H13" i="568"/>
  <c r="H14" i="568" s="1"/>
  <c r="Q8" i="568"/>
  <c r="I13" i="568"/>
  <c r="I14" i="568" s="1"/>
  <c r="M11" i="568" a="1"/>
  <c r="M11" i="568" s="1"/>
  <c r="M13" i="568" s="1"/>
  <c r="M14" i="568" s="1"/>
  <c r="J11" i="568" a="1"/>
  <c r="J11" i="568" s="1"/>
  <c r="J13" i="568" s="1"/>
  <c r="J14" i="568" s="1"/>
  <c r="N11" i="568" a="1"/>
  <c r="N11" i="568" s="1"/>
  <c r="N13" i="568" s="1"/>
  <c r="N14" i="568" s="1"/>
  <c r="L11" i="568" a="1"/>
  <c r="L11" i="568" s="1"/>
  <c r="L13" i="568" s="1"/>
  <c r="L14" i="568" s="1"/>
  <c r="K11" i="568" a="1"/>
  <c r="K11" i="568" s="1"/>
  <c r="K13" i="568" s="1"/>
  <c r="K14" i="568" s="1"/>
  <c r="F11" i="568" a="1"/>
  <c r="F11" i="568" s="1"/>
  <c r="F13" i="568" s="1"/>
  <c r="F14" i="568" s="1"/>
  <c r="E11" i="568" a="1"/>
  <c r="E11" i="568" s="1"/>
  <c r="E13" i="568" s="1"/>
  <c r="E14" i="568" s="1"/>
  <c r="P11" i="568" a="1"/>
  <c r="P11" i="568" s="1"/>
  <c r="P13" i="568" s="1"/>
  <c r="P14" i="568" s="1"/>
  <c r="O11" i="568" a="1"/>
  <c r="O11" i="568" s="1"/>
  <c r="O13" i="568" s="1"/>
  <c r="O14" i="568" s="1"/>
  <c r="I11" i="568" a="1"/>
  <c r="I11" i="568" s="1"/>
  <c r="H11" i="568" a="1"/>
  <c r="H11" i="568" s="1"/>
  <c r="G11" i="568" a="1"/>
  <c r="G11" i="568" s="1"/>
  <c r="B9" i="568"/>
  <c r="R1" i="568"/>
  <c r="S2" i="568"/>
  <c r="X3" i="568"/>
  <c r="D5" i="567" a="1"/>
  <c r="D5" i="567" s="1"/>
  <c r="D11" i="567" a="1"/>
  <c r="D11" i="567" s="1"/>
  <c r="D10" i="567" a="1"/>
  <c r="D10" i="567" s="1"/>
  <c r="D8" i="567" a="1"/>
  <c r="D8" i="567" s="1"/>
  <c r="D6" i="567" a="1"/>
  <c r="D6" i="567" s="1"/>
  <c r="D12" i="567" a="1"/>
  <c r="D12" i="567" s="1"/>
  <c r="D9" i="567" a="1"/>
  <c r="D9" i="567" s="1"/>
  <c r="D7" i="567" a="1"/>
  <c r="D7" i="567" s="1"/>
  <c r="D3" i="567" a="1"/>
  <c r="D3" i="567" s="1"/>
  <c r="D4" i="567" a="1"/>
  <c r="D4" i="567" s="1"/>
  <c r="B9" i="567"/>
  <c r="S2" i="567"/>
  <c r="R1" i="567"/>
  <c r="X3" i="567"/>
  <c r="D5" i="566" a="1"/>
  <c r="D5" i="566" s="1"/>
  <c r="D8" i="566" a="1"/>
  <c r="D8" i="566" s="1"/>
  <c r="D11" i="566" a="1"/>
  <c r="D11" i="566" s="1"/>
  <c r="D6" i="566" a="1"/>
  <c r="D6" i="566" s="1"/>
  <c r="D9" i="566" a="1"/>
  <c r="D9" i="566" s="1"/>
  <c r="D3" i="566" a="1"/>
  <c r="D3" i="566" s="1"/>
  <c r="D12" i="566" a="1"/>
  <c r="D12" i="566" s="1"/>
  <c r="D7" i="566" a="1"/>
  <c r="D7" i="566" s="1"/>
  <c r="D10" i="566" a="1"/>
  <c r="D10" i="566" s="1"/>
  <c r="D4" i="566" a="1"/>
  <c r="D4" i="566" s="1"/>
  <c r="B9" i="566"/>
  <c r="S2" i="566"/>
  <c r="R1" i="566"/>
  <c r="X3" i="566"/>
  <c r="Q3" i="565"/>
  <c r="Q6" i="565"/>
  <c r="Q9" i="565"/>
  <c r="Q12" i="565"/>
  <c r="N11" i="565" a="1"/>
  <c r="N11" i="565" s="1"/>
  <c r="N13" i="565" s="1"/>
  <c r="N14" i="565" s="1"/>
  <c r="M11" i="565" a="1"/>
  <c r="M11" i="565" s="1"/>
  <c r="M13" i="565" s="1"/>
  <c r="M14" i="565" s="1"/>
  <c r="L11" i="565" a="1"/>
  <c r="L11" i="565" s="1"/>
  <c r="L13" i="565" s="1"/>
  <c r="L14" i="565" s="1"/>
  <c r="I11" i="565" a="1"/>
  <c r="I11" i="565" s="1"/>
  <c r="I13" i="565" s="1"/>
  <c r="I14" i="565" s="1"/>
  <c r="K11" i="565" a="1"/>
  <c r="K11" i="565" s="1"/>
  <c r="K13" i="565" s="1"/>
  <c r="K14" i="565" s="1"/>
  <c r="J11" i="565" a="1"/>
  <c r="J11" i="565" s="1"/>
  <c r="J13" i="565" s="1"/>
  <c r="J14" i="565" s="1"/>
  <c r="O11" i="565" a="1"/>
  <c r="O11" i="565" s="1"/>
  <c r="O13" i="565" s="1"/>
  <c r="O14" i="565" s="1"/>
  <c r="P11" i="565" a="1"/>
  <c r="P11" i="565" s="1"/>
  <c r="P13" i="565" s="1"/>
  <c r="P14" i="565" s="1"/>
  <c r="H11" i="565" a="1"/>
  <c r="H11" i="565" s="1"/>
  <c r="H13" i="565" s="1"/>
  <c r="H14" i="565" s="1"/>
  <c r="G11" i="565" a="1"/>
  <c r="G11" i="565" s="1"/>
  <c r="G13" i="565" s="1"/>
  <c r="G14" i="565" s="1"/>
  <c r="F11" i="565" a="1"/>
  <c r="F11" i="565" s="1"/>
  <c r="F13" i="565" s="1"/>
  <c r="F14" i="565" s="1"/>
  <c r="E11" i="565" a="1"/>
  <c r="E11" i="565" s="1"/>
  <c r="Q5" i="565"/>
  <c r="Q7" i="565"/>
  <c r="Q10" i="565"/>
  <c r="Q4" i="565"/>
  <c r="Q8" i="565"/>
  <c r="B9" i="565"/>
  <c r="S2" i="565"/>
  <c r="R1" i="565"/>
  <c r="X3" i="565"/>
  <c r="Q10" i="564"/>
  <c r="Q5" i="564"/>
  <c r="Q7" i="564"/>
  <c r="Q6" i="564"/>
  <c r="Q3" i="564"/>
  <c r="Q4" i="564"/>
  <c r="Q9" i="564"/>
  <c r="Q5" i="561"/>
  <c r="Q8" i="564"/>
  <c r="Q12" i="564"/>
  <c r="N11" i="564" a="1"/>
  <c r="N11" i="564" s="1"/>
  <c r="N13" i="564" s="1"/>
  <c r="N14" i="564" s="1"/>
  <c r="L11" i="564" a="1"/>
  <c r="L11" i="564" s="1"/>
  <c r="L13" i="564" s="1"/>
  <c r="L14" i="564" s="1"/>
  <c r="J11" i="564" a="1"/>
  <c r="J11" i="564" s="1"/>
  <c r="J13" i="564" s="1"/>
  <c r="J14" i="564" s="1"/>
  <c r="G11" i="564" a="1"/>
  <c r="G11" i="564" s="1"/>
  <c r="G13" i="564" s="1"/>
  <c r="G14" i="564" s="1"/>
  <c r="P11" i="564" a="1"/>
  <c r="P11" i="564" s="1"/>
  <c r="P13" i="564" s="1"/>
  <c r="P14" i="564" s="1"/>
  <c r="F11" i="564" a="1"/>
  <c r="F11" i="564" s="1"/>
  <c r="F13" i="564" s="1"/>
  <c r="F14" i="564" s="1"/>
  <c r="K11" i="564" a="1"/>
  <c r="K11" i="564" s="1"/>
  <c r="K13" i="564" s="1"/>
  <c r="K14" i="564" s="1"/>
  <c r="I11" i="564" a="1"/>
  <c r="I11" i="564" s="1"/>
  <c r="I13" i="564" s="1"/>
  <c r="I14" i="564" s="1"/>
  <c r="H11" i="564" a="1"/>
  <c r="H11" i="564" s="1"/>
  <c r="H13" i="564" s="1"/>
  <c r="H14" i="564" s="1"/>
  <c r="M11" i="564" a="1"/>
  <c r="M11" i="564" s="1"/>
  <c r="M13" i="564" s="1"/>
  <c r="M14" i="564" s="1"/>
  <c r="O11" i="564" a="1"/>
  <c r="O11" i="564" s="1"/>
  <c r="O13" i="564" s="1"/>
  <c r="O14" i="564" s="1"/>
  <c r="E11" i="564" a="1"/>
  <c r="E11" i="564" s="1"/>
  <c r="B9" i="564"/>
  <c r="S2" i="564"/>
  <c r="R1" i="564"/>
  <c r="X3" i="564"/>
  <c r="Q8" i="563"/>
  <c r="Q10" i="563"/>
  <c r="Q5" i="563"/>
  <c r="Q4" i="563"/>
  <c r="Q12" i="563"/>
  <c r="Q9" i="563"/>
  <c r="Q6" i="563"/>
  <c r="Q7" i="563"/>
  <c r="Q3" i="563"/>
  <c r="N11" i="563" a="1"/>
  <c r="N11" i="563" s="1"/>
  <c r="N13" i="563" s="1"/>
  <c r="N14" i="563" s="1"/>
  <c r="J11" i="563" a="1"/>
  <c r="J11" i="563" s="1"/>
  <c r="J13" i="563" s="1"/>
  <c r="J14" i="563" s="1"/>
  <c r="M11" i="563" a="1"/>
  <c r="M11" i="563" s="1"/>
  <c r="M13" i="563" s="1"/>
  <c r="M14" i="563" s="1"/>
  <c r="L11" i="563" a="1"/>
  <c r="L11" i="563" s="1"/>
  <c r="L13" i="563" s="1"/>
  <c r="L14" i="563" s="1"/>
  <c r="K11" i="563" a="1"/>
  <c r="K11" i="563" s="1"/>
  <c r="K13" i="563" s="1"/>
  <c r="K14" i="563" s="1"/>
  <c r="P11" i="563" a="1"/>
  <c r="P11" i="563" s="1"/>
  <c r="P13" i="563" s="1"/>
  <c r="P14" i="563" s="1"/>
  <c r="O11" i="563" a="1"/>
  <c r="O11" i="563" s="1"/>
  <c r="O13" i="563" s="1"/>
  <c r="O14" i="563" s="1"/>
  <c r="I11" i="563" a="1"/>
  <c r="I11" i="563" s="1"/>
  <c r="I13" i="563" s="1"/>
  <c r="I14" i="563" s="1"/>
  <c r="H11" i="563" a="1"/>
  <c r="H11" i="563" s="1"/>
  <c r="H13" i="563" s="1"/>
  <c r="H14" i="563" s="1"/>
  <c r="G11" i="563" a="1"/>
  <c r="G11" i="563" s="1"/>
  <c r="G13" i="563" s="1"/>
  <c r="G14" i="563" s="1"/>
  <c r="F11" i="563" a="1"/>
  <c r="F11" i="563" s="1"/>
  <c r="F13" i="563" s="1"/>
  <c r="F14" i="563" s="1"/>
  <c r="E11" i="563" a="1"/>
  <c r="E11" i="563" s="1"/>
  <c r="B9" i="563"/>
  <c r="S2" i="563"/>
  <c r="R1" i="563"/>
  <c r="X3" i="563"/>
  <c r="Q6" i="561"/>
  <c r="D11" i="562" a="1"/>
  <c r="D11" i="562" s="1"/>
  <c r="D8" i="562" a="1"/>
  <c r="D8" i="562" s="1"/>
  <c r="D10" i="562" a="1"/>
  <c r="D10" i="562" s="1"/>
  <c r="D6" i="562" a="1"/>
  <c r="D6" i="562" s="1"/>
  <c r="D4" i="562" a="1"/>
  <c r="D4" i="562" s="1"/>
  <c r="D9" i="562" a="1"/>
  <c r="D9" i="562" s="1"/>
  <c r="D5" i="562" a="1"/>
  <c r="D5" i="562" s="1"/>
  <c r="D7" i="562" a="1"/>
  <c r="D7" i="562" s="1"/>
  <c r="D3" i="562" a="1"/>
  <c r="D3" i="562" s="1"/>
  <c r="D12" i="562" a="1"/>
  <c r="D12" i="562" s="1"/>
  <c r="S2" i="562"/>
  <c r="R1" i="562"/>
  <c r="B9" i="562"/>
  <c r="X3" i="562"/>
  <c r="Q7" i="561"/>
  <c r="Q10" i="561"/>
  <c r="Q9" i="561"/>
  <c r="Q4" i="561"/>
  <c r="Q3" i="561"/>
  <c r="Q12" i="561"/>
  <c r="Q8" i="561"/>
  <c r="N11" i="561" a="1"/>
  <c r="N11" i="561" s="1"/>
  <c r="N13" i="561" s="1"/>
  <c r="N14" i="561" s="1"/>
  <c r="K11" i="561" a="1"/>
  <c r="K11" i="561" s="1"/>
  <c r="K13" i="561" s="1"/>
  <c r="K14" i="561" s="1"/>
  <c r="M11" i="561" a="1"/>
  <c r="M11" i="561" s="1"/>
  <c r="M13" i="561" s="1"/>
  <c r="M14" i="561" s="1"/>
  <c r="L11" i="561" a="1"/>
  <c r="L11" i="561" s="1"/>
  <c r="L13" i="561" s="1"/>
  <c r="L14" i="561" s="1"/>
  <c r="I11" i="561" a="1"/>
  <c r="I11" i="561" s="1"/>
  <c r="I13" i="561" s="1"/>
  <c r="I14" i="561" s="1"/>
  <c r="H11" i="561" a="1"/>
  <c r="H11" i="561" s="1"/>
  <c r="H13" i="561" s="1"/>
  <c r="H14" i="561" s="1"/>
  <c r="G11" i="561" a="1"/>
  <c r="G11" i="561" s="1"/>
  <c r="G13" i="561" s="1"/>
  <c r="G14" i="561" s="1"/>
  <c r="F11" i="561" a="1"/>
  <c r="F11" i="561" s="1"/>
  <c r="F13" i="561" s="1"/>
  <c r="F14" i="561" s="1"/>
  <c r="E11" i="561" a="1"/>
  <c r="E11" i="561" s="1"/>
  <c r="E13" i="561" s="1"/>
  <c r="E14" i="561" s="1"/>
  <c r="O11" i="561" a="1"/>
  <c r="O11" i="561" s="1"/>
  <c r="O13" i="561" s="1"/>
  <c r="O14" i="561" s="1"/>
  <c r="J11" i="561" a="1"/>
  <c r="J11" i="561" s="1"/>
  <c r="J13" i="561" s="1"/>
  <c r="J14" i="561" s="1"/>
  <c r="P11" i="561" a="1"/>
  <c r="P11" i="561" s="1"/>
  <c r="P13" i="561" s="1"/>
  <c r="P14" i="561" s="1"/>
  <c r="B9" i="561"/>
  <c r="S2" i="561"/>
  <c r="R1" i="561"/>
  <c r="X3" i="561"/>
  <c r="J8" i="536" a="1"/>
  <c r="J8" i="536" s="1"/>
  <c r="N8" i="536" a="1"/>
  <c r="N8" i="536" s="1"/>
  <c r="G8" i="536" a="1"/>
  <c r="G8" i="536" s="1"/>
  <c r="E8" i="536" a="1"/>
  <c r="E8" i="536" s="1"/>
  <c r="O8" i="536" a="1"/>
  <c r="O8" i="536" s="1"/>
  <c r="K8" i="536" a="1"/>
  <c r="K8" i="536" s="1"/>
  <c r="I8" i="536" a="1"/>
  <c r="I8" i="536" s="1"/>
  <c r="H8" i="536" a="1"/>
  <c r="H8" i="536" s="1"/>
  <c r="M8" i="536" a="1"/>
  <c r="M8" i="536" s="1"/>
  <c r="L8" i="536" a="1"/>
  <c r="L8" i="536" s="1"/>
  <c r="F8" i="536" a="1"/>
  <c r="F8" i="536" s="1"/>
  <c r="Q3" i="536"/>
  <c r="Q5" i="536"/>
  <c r="N12" i="536" a="1"/>
  <c r="N12" i="536" s="1"/>
  <c r="J12" i="536" a="1"/>
  <c r="J12" i="536" s="1"/>
  <c r="F12" i="536" a="1"/>
  <c r="F12" i="536" s="1"/>
  <c r="K12" i="536" a="1"/>
  <c r="K12" i="536" s="1"/>
  <c r="M12" i="536" a="1"/>
  <c r="M12" i="536" s="1"/>
  <c r="I12" i="536" a="1"/>
  <c r="I12" i="536" s="1"/>
  <c r="E12" i="536" a="1"/>
  <c r="E12" i="536" s="1"/>
  <c r="O12" i="536" a="1"/>
  <c r="O12" i="536" s="1"/>
  <c r="G12" i="536" a="1"/>
  <c r="G12" i="536" s="1"/>
  <c r="P12" i="536" a="1"/>
  <c r="P12" i="536" s="1"/>
  <c r="L12" i="536" a="1"/>
  <c r="L12" i="536" s="1"/>
  <c r="H12" i="536" a="1"/>
  <c r="H12" i="536" s="1"/>
  <c r="Q10" i="536"/>
  <c r="O7" i="536" a="1"/>
  <c r="O7" i="536" s="1"/>
  <c r="K7" i="536" a="1"/>
  <c r="K7" i="536" s="1"/>
  <c r="G7" i="536" a="1"/>
  <c r="G7" i="536" s="1"/>
  <c r="N7" i="536" a="1"/>
  <c r="N7" i="536" s="1"/>
  <c r="J7" i="536" a="1"/>
  <c r="J7" i="536" s="1"/>
  <c r="F7" i="536" a="1"/>
  <c r="F7" i="536" s="1"/>
  <c r="M7" i="536" a="1"/>
  <c r="M7" i="536" s="1"/>
  <c r="I7" i="536" a="1"/>
  <c r="I7" i="536" s="1"/>
  <c r="E7" i="536" a="1"/>
  <c r="E7" i="536" s="1"/>
  <c r="P7" i="536" a="1"/>
  <c r="P7" i="536" s="1"/>
  <c r="L7" i="536" a="1"/>
  <c r="L7" i="536" s="1"/>
  <c r="H7" i="536" a="1"/>
  <c r="H7" i="536" s="1"/>
  <c r="O4" i="536" a="1"/>
  <c r="O4" i="536" s="1"/>
  <c r="K4" i="536" a="1"/>
  <c r="K4" i="536" s="1"/>
  <c r="G4" i="536" a="1"/>
  <c r="G4" i="536" s="1"/>
  <c r="N4" i="536" a="1"/>
  <c r="N4" i="536" s="1"/>
  <c r="J4" i="536" a="1"/>
  <c r="J4" i="536" s="1"/>
  <c r="F4" i="536" a="1"/>
  <c r="F4" i="536" s="1"/>
  <c r="M4" i="536" a="1"/>
  <c r="M4" i="536" s="1"/>
  <c r="I4" i="536" a="1"/>
  <c r="I4" i="536" s="1"/>
  <c r="E4" i="536" a="1"/>
  <c r="E4" i="536" s="1"/>
  <c r="P4" i="536" a="1"/>
  <c r="P4" i="536" s="1"/>
  <c r="L4" i="536" a="1"/>
  <c r="L4" i="536" s="1"/>
  <c r="H4" i="536" a="1"/>
  <c r="H4" i="536" s="1"/>
  <c r="Q11" i="536"/>
  <c r="M9" i="536" a="1"/>
  <c r="M9" i="536" s="1"/>
  <c r="I9" i="536" a="1"/>
  <c r="I9" i="536" s="1"/>
  <c r="E9" i="536" a="1"/>
  <c r="E9" i="536" s="1"/>
  <c r="P9" i="536" a="1"/>
  <c r="P9" i="536" s="1"/>
  <c r="L9" i="536" a="1"/>
  <c r="L9" i="536" s="1"/>
  <c r="H9" i="536" a="1"/>
  <c r="H9" i="536" s="1"/>
  <c r="O9" i="536" a="1"/>
  <c r="O9" i="536" s="1"/>
  <c r="K9" i="536" a="1"/>
  <c r="K9" i="536" s="1"/>
  <c r="G9" i="536" a="1"/>
  <c r="G9" i="536" s="1"/>
  <c r="N9" i="536" a="1"/>
  <c r="N9" i="536" s="1"/>
  <c r="J9" i="536" a="1"/>
  <c r="J9" i="536" s="1"/>
  <c r="F9" i="536" a="1"/>
  <c r="F9" i="536" s="1"/>
  <c r="N6" i="536" a="1"/>
  <c r="N6" i="536" s="1"/>
  <c r="J6" i="536" a="1"/>
  <c r="J6" i="536" s="1"/>
  <c r="F6" i="536" a="1"/>
  <c r="F6" i="536" s="1"/>
  <c r="M6" i="536" a="1"/>
  <c r="M6" i="536" s="1"/>
  <c r="I6" i="536" a="1"/>
  <c r="I6" i="536" s="1"/>
  <c r="E6" i="536" a="1"/>
  <c r="E6" i="536" s="1"/>
  <c r="P6" i="536" a="1"/>
  <c r="P6" i="536" s="1"/>
  <c r="L6" i="536" a="1"/>
  <c r="L6" i="536" s="1"/>
  <c r="H6" i="536" a="1"/>
  <c r="H6" i="536" s="1"/>
  <c r="O6" i="536" a="1"/>
  <c r="O6" i="536" s="1"/>
  <c r="K6" i="536" a="1"/>
  <c r="K6" i="536" s="1"/>
  <c r="G6" i="536" a="1"/>
  <c r="G6" i="536" s="1"/>
  <c r="H27" i="572" l="1"/>
  <c r="H26" i="572"/>
  <c r="H25" i="572"/>
  <c r="H24" i="572"/>
  <c r="Q13" i="572"/>
  <c r="Q14" i="572" s="1"/>
  <c r="E13" i="572"/>
  <c r="E14" i="572" s="1"/>
  <c r="M9" i="571" a="1"/>
  <c r="M9" i="571" s="1"/>
  <c r="K9" i="571" a="1"/>
  <c r="K9" i="571" s="1"/>
  <c r="L9" i="571" a="1"/>
  <c r="L9" i="571" s="1"/>
  <c r="J9" i="571" a="1"/>
  <c r="J9" i="571" s="1"/>
  <c r="H9" i="571" a="1"/>
  <c r="H9" i="571" s="1"/>
  <c r="G9" i="571" a="1"/>
  <c r="G9" i="571" s="1"/>
  <c r="P9" i="571" a="1"/>
  <c r="P9" i="571" s="1"/>
  <c r="F9" i="571" a="1"/>
  <c r="F9" i="571" s="1"/>
  <c r="O9" i="571" a="1"/>
  <c r="O9" i="571" s="1"/>
  <c r="E9" i="571" a="1"/>
  <c r="E9" i="571" s="1"/>
  <c r="N9" i="571" a="1"/>
  <c r="N9" i="571" s="1"/>
  <c r="I9" i="571" a="1"/>
  <c r="I9" i="571" s="1"/>
  <c r="M7" i="571" a="1"/>
  <c r="M7" i="571" s="1"/>
  <c r="L7" i="571" a="1"/>
  <c r="L7" i="571" s="1"/>
  <c r="K7" i="571" a="1"/>
  <c r="K7" i="571" s="1"/>
  <c r="J7" i="571" a="1"/>
  <c r="J7" i="571" s="1"/>
  <c r="H7" i="571" a="1"/>
  <c r="H7" i="571" s="1"/>
  <c r="G7" i="571" a="1"/>
  <c r="G7" i="571" s="1"/>
  <c r="P7" i="571" a="1"/>
  <c r="P7" i="571" s="1"/>
  <c r="F7" i="571" a="1"/>
  <c r="F7" i="571" s="1"/>
  <c r="O7" i="571" a="1"/>
  <c r="O7" i="571" s="1"/>
  <c r="N7" i="571" a="1"/>
  <c r="N7" i="571" s="1"/>
  <c r="I7" i="571" a="1"/>
  <c r="I7" i="571" s="1"/>
  <c r="E7" i="571" a="1"/>
  <c r="E7" i="571" s="1"/>
  <c r="M3" i="571" a="1"/>
  <c r="M3" i="571" s="1"/>
  <c r="K3" i="571" a="1"/>
  <c r="K3" i="571" s="1"/>
  <c r="J3" i="571" a="1"/>
  <c r="J3" i="571" s="1"/>
  <c r="L3" i="571" a="1"/>
  <c r="L3" i="571" s="1"/>
  <c r="H3" i="571" a="1"/>
  <c r="H3" i="571" s="1"/>
  <c r="G3" i="571" a="1"/>
  <c r="G3" i="571" s="1"/>
  <c r="P3" i="571" a="1"/>
  <c r="P3" i="571" s="1"/>
  <c r="F3" i="571" a="1"/>
  <c r="F3" i="571" s="1"/>
  <c r="O3" i="571" a="1"/>
  <c r="O3" i="571" s="1"/>
  <c r="E3" i="571" a="1"/>
  <c r="E3" i="571" s="1"/>
  <c r="N3" i="571" a="1"/>
  <c r="N3" i="571" s="1"/>
  <c r="I3" i="571" a="1"/>
  <c r="I3" i="571" s="1"/>
  <c r="H26" i="571"/>
  <c r="H27" i="571"/>
  <c r="H24" i="571"/>
  <c r="H25" i="571"/>
  <c r="I10" i="571" a="1"/>
  <c r="I10" i="571" s="1"/>
  <c r="O10" i="571" a="1"/>
  <c r="O10" i="571" s="1"/>
  <c r="H10" i="571" a="1"/>
  <c r="H10" i="571" s="1"/>
  <c r="G10" i="571" a="1"/>
  <c r="G10" i="571" s="1"/>
  <c r="P10" i="571" a="1"/>
  <c r="P10" i="571" s="1"/>
  <c r="F10" i="571" a="1"/>
  <c r="F10" i="571" s="1"/>
  <c r="E10" i="571" a="1"/>
  <c r="E10" i="571" s="1"/>
  <c r="M10" i="571" a="1"/>
  <c r="M10" i="571" s="1"/>
  <c r="L10" i="571" a="1"/>
  <c r="L10" i="571" s="1"/>
  <c r="K10" i="571" a="1"/>
  <c r="K10" i="571" s="1"/>
  <c r="N10" i="571" a="1"/>
  <c r="N10" i="571" s="1"/>
  <c r="J10" i="571" a="1"/>
  <c r="J10" i="571" s="1"/>
  <c r="H6" i="571" a="1"/>
  <c r="H6" i="571" s="1"/>
  <c r="P6" i="571" a="1"/>
  <c r="P6" i="571" s="1"/>
  <c r="G6" i="571" a="1"/>
  <c r="G6" i="571" s="1"/>
  <c r="F6" i="571" a="1"/>
  <c r="F6" i="571" s="1"/>
  <c r="O6" i="571" a="1"/>
  <c r="O6" i="571" s="1"/>
  <c r="E6" i="571" a="1"/>
  <c r="E6" i="571" s="1"/>
  <c r="M6" i="571" a="1"/>
  <c r="M6" i="571" s="1"/>
  <c r="L6" i="571" a="1"/>
  <c r="L6" i="571" s="1"/>
  <c r="K6" i="571" a="1"/>
  <c r="K6" i="571" s="1"/>
  <c r="N6" i="571" a="1"/>
  <c r="N6" i="571" s="1"/>
  <c r="J6" i="571" a="1"/>
  <c r="J6" i="571" s="1"/>
  <c r="I6" i="571" a="1"/>
  <c r="I6" i="571" s="1"/>
  <c r="H8" i="571" a="1"/>
  <c r="H8" i="571" s="1"/>
  <c r="F8" i="571" a="1"/>
  <c r="F8" i="571" s="1"/>
  <c r="G8" i="571" a="1"/>
  <c r="G8" i="571" s="1"/>
  <c r="P8" i="571" a="1"/>
  <c r="P8" i="571" s="1"/>
  <c r="O8" i="571" a="1"/>
  <c r="O8" i="571" s="1"/>
  <c r="E8" i="571" a="1"/>
  <c r="E8" i="571" s="1"/>
  <c r="M8" i="571" a="1"/>
  <c r="M8" i="571" s="1"/>
  <c r="L8" i="571" a="1"/>
  <c r="L8" i="571" s="1"/>
  <c r="K8" i="571" a="1"/>
  <c r="K8" i="571" s="1"/>
  <c r="N8" i="571" a="1"/>
  <c r="N8" i="571" s="1"/>
  <c r="J8" i="571" a="1"/>
  <c r="J8" i="571" s="1"/>
  <c r="I8" i="571" a="1"/>
  <c r="I8" i="571" s="1"/>
  <c r="J12" i="571" a="1"/>
  <c r="J12" i="571" s="1"/>
  <c r="I12" i="571" a="1"/>
  <c r="I12" i="571" s="1"/>
  <c r="F12" i="571" a="1"/>
  <c r="F12" i="571" s="1"/>
  <c r="P12" i="571" a="1"/>
  <c r="P12" i="571" s="1"/>
  <c r="H12" i="571" a="1"/>
  <c r="H12" i="571" s="1"/>
  <c r="G12" i="571" a="1"/>
  <c r="G12" i="571" s="1"/>
  <c r="N12" i="571" a="1"/>
  <c r="N12" i="571" s="1"/>
  <c r="M12" i="571" a="1"/>
  <c r="M12" i="571" s="1"/>
  <c r="L12" i="571" a="1"/>
  <c r="L12" i="571" s="1"/>
  <c r="O12" i="571" a="1"/>
  <c r="O12" i="571" s="1"/>
  <c r="K12" i="571" a="1"/>
  <c r="K12" i="571" s="1"/>
  <c r="E12" i="571" a="1"/>
  <c r="E12" i="571" s="1"/>
  <c r="I4" i="571" a="1"/>
  <c r="I4" i="571" s="1"/>
  <c r="G4" i="571" a="1"/>
  <c r="G4" i="571" s="1"/>
  <c r="H4" i="571" a="1"/>
  <c r="H4" i="571" s="1"/>
  <c r="P4" i="571" a="1"/>
  <c r="P4" i="571" s="1"/>
  <c r="F4" i="571" a="1"/>
  <c r="F4" i="571" s="1"/>
  <c r="N4" i="571" a="1"/>
  <c r="N4" i="571" s="1"/>
  <c r="M4" i="571" a="1"/>
  <c r="M4" i="571" s="1"/>
  <c r="L4" i="571" a="1"/>
  <c r="L4" i="571" s="1"/>
  <c r="O4" i="571" a="1"/>
  <c r="O4" i="571" s="1"/>
  <c r="K4" i="571" a="1"/>
  <c r="K4" i="571" s="1"/>
  <c r="J4" i="571" a="1"/>
  <c r="J4" i="571" s="1"/>
  <c r="E4" i="571" a="1"/>
  <c r="E4" i="571" s="1"/>
  <c r="N11" i="571" a="1"/>
  <c r="N11" i="571" s="1"/>
  <c r="L11" i="571" a="1"/>
  <c r="L11" i="571" s="1"/>
  <c r="M11" i="571" a="1"/>
  <c r="M11" i="571" s="1"/>
  <c r="K11" i="571" a="1"/>
  <c r="K11" i="571" s="1"/>
  <c r="I11" i="571" a="1"/>
  <c r="I11" i="571" s="1"/>
  <c r="H11" i="571" a="1"/>
  <c r="H11" i="571" s="1"/>
  <c r="G11" i="571" a="1"/>
  <c r="G11" i="571" s="1"/>
  <c r="P11" i="571" a="1"/>
  <c r="P11" i="571" s="1"/>
  <c r="J11" i="571" a="1"/>
  <c r="J11" i="571" s="1"/>
  <c r="O11" i="571" a="1"/>
  <c r="O11" i="571" s="1"/>
  <c r="E11" i="571" a="1"/>
  <c r="E11" i="571" s="1"/>
  <c r="F11" i="571" a="1"/>
  <c r="F11" i="571" s="1"/>
  <c r="N5" i="571" a="1"/>
  <c r="N5" i="571" s="1"/>
  <c r="M5" i="571" a="1"/>
  <c r="M5" i="571" s="1"/>
  <c r="J5" i="571" a="1"/>
  <c r="J5" i="571" s="1"/>
  <c r="L5" i="571" a="1"/>
  <c r="L5" i="571" s="1"/>
  <c r="K5" i="571" a="1"/>
  <c r="K5" i="571" s="1"/>
  <c r="H5" i="571" a="1"/>
  <c r="H5" i="571" s="1"/>
  <c r="G5" i="571" a="1"/>
  <c r="G5" i="571" s="1"/>
  <c r="O5" i="571" a="1"/>
  <c r="O5" i="571" s="1"/>
  <c r="F5" i="571" a="1"/>
  <c r="F5" i="571" s="1"/>
  <c r="P5" i="571" a="1"/>
  <c r="P5" i="571" s="1"/>
  <c r="I5" i="571" a="1"/>
  <c r="I5" i="571" s="1"/>
  <c r="E5" i="571" a="1"/>
  <c r="E5" i="571" s="1"/>
  <c r="H27" i="570"/>
  <c r="H26" i="570"/>
  <c r="H25" i="570"/>
  <c r="H24" i="570"/>
  <c r="Q11" i="570"/>
  <c r="Q13" i="570" s="1"/>
  <c r="Q14" i="570" s="1"/>
  <c r="E13" i="570"/>
  <c r="E14" i="570" s="1"/>
  <c r="H27" i="569"/>
  <c r="H26" i="569"/>
  <c r="H24" i="569"/>
  <c r="H25" i="569"/>
  <c r="Q11" i="569"/>
  <c r="Q13" i="569"/>
  <c r="Q14" i="569" s="1"/>
  <c r="E13" i="569"/>
  <c r="E14" i="569" s="1"/>
  <c r="H27" i="568"/>
  <c r="H26" i="568"/>
  <c r="H25" i="568"/>
  <c r="H24" i="568"/>
  <c r="Q11" i="568"/>
  <c r="Q13" i="568"/>
  <c r="Q14" i="568" s="1"/>
  <c r="M7" i="567" a="1"/>
  <c r="M7" i="567" s="1"/>
  <c r="L7" i="567" a="1"/>
  <c r="L7" i="567" s="1"/>
  <c r="K7" i="567" a="1"/>
  <c r="K7" i="567" s="1"/>
  <c r="J7" i="567" a="1"/>
  <c r="J7" i="567" s="1"/>
  <c r="I7" i="567" a="1"/>
  <c r="I7" i="567" s="1"/>
  <c r="E7" i="567" a="1"/>
  <c r="E7" i="567" s="1"/>
  <c r="P7" i="567" a="1"/>
  <c r="P7" i="567" s="1"/>
  <c r="O7" i="567" a="1"/>
  <c r="O7" i="567" s="1"/>
  <c r="N7" i="567" a="1"/>
  <c r="N7" i="567" s="1"/>
  <c r="H7" i="567" a="1"/>
  <c r="H7" i="567" s="1"/>
  <c r="G7" i="567" a="1"/>
  <c r="G7" i="567" s="1"/>
  <c r="F7" i="567" a="1"/>
  <c r="F7" i="567" s="1"/>
  <c r="M9" i="567" a="1"/>
  <c r="M9" i="567" s="1"/>
  <c r="L9" i="567" a="1"/>
  <c r="L9" i="567" s="1"/>
  <c r="K9" i="567" a="1"/>
  <c r="K9" i="567" s="1"/>
  <c r="J9" i="567" a="1"/>
  <c r="J9" i="567" s="1"/>
  <c r="I9" i="567" a="1"/>
  <c r="I9" i="567" s="1"/>
  <c r="O9" i="567" a="1"/>
  <c r="O9" i="567" s="1"/>
  <c r="N9" i="567" a="1"/>
  <c r="N9" i="567" s="1"/>
  <c r="G9" i="567" a="1"/>
  <c r="G9" i="567" s="1"/>
  <c r="F9" i="567" a="1"/>
  <c r="F9" i="567" s="1"/>
  <c r="H9" i="567" a="1"/>
  <c r="H9" i="567" s="1"/>
  <c r="E9" i="567" a="1"/>
  <c r="E9" i="567" s="1"/>
  <c r="P9" i="567" a="1"/>
  <c r="P9" i="567" s="1"/>
  <c r="J12" i="567" a="1"/>
  <c r="J12" i="567" s="1"/>
  <c r="H12" i="567" a="1"/>
  <c r="H12" i="567" s="1"/>
  <c r="P12" i="567" a="1"/>
  <c r="P12" i="567" s="1"/>
  <c r="F12" i="567" a="1"/>
  <c r="F12" i="567" s="1"/>
  <c r="O12" i="567" a="1"/>
  <c r="O12" i="567" s="1"/>
  <c r="E12" i="567" a="1"/>
  <c r="E12" i="567" s="1"/>
  <c r="I12" i="567" a="1"/>
  <c r="I12" i="567" s="1"/>
  <c r="G12" i="567" a="1"/>
  <c r="G12" i="567" s="1"/>
  <c r="K12" i="567" a="1"/>
  <c r="K12" i="567" s="1"/>
  <c r="L12" i="567" a="1"/>
  <c r="L12" i="567" s="1"/>
  <c r="N12" i="567" a="1"/>
  <c r="N12" i="567" s="1"/>
  <c r="M12" i="567" a="1"/>
  <c r="M12" i="567" s="1"/>
  <c r="H8" i="567" a="1"/>
  <c r="H8" i="567" s="1"/>
  <c r="P8" i="567" a="1"/>
  <c r="P8" i="567" s="1"/>
  <c r="F8" i="567" a="1"/>
  <c r="F8" i="567" s="1"/>
  <c r="G8" i="567" a="1"/>
  <c r="G8" i="567" s="1"/>
  <c r="O8" i="567" a="1"/>
  <c r="O8" i="567" s="1"/>
  <c r="E8" i="567" a="1"/>
  <c r="E8" i="567" s="1"/>
  <c r="N8" i="567" a="1"/>
  <c r="N8" i="567" s="1"/>
  <c r="L8" i="567" a="1"/>
  <c r="L8" i="567" s="1"/>
  <c r="J8" i="567" a="1"/>
  <c r="J8" i="567" s="1"/>
  <c r="M8" i="567" a="1"/>
  <c r="M8" i="567" s="1"/>
  <c r="K8" i="567" a="1"/>
  <c r="K8" i="567" s="1"/>
  <c r="I8" i="567" a="1"/>
  <c r="I8" i="567" s="1"/>
  <c r="I10" i="567" a="1"/>
  <c r="I10" i="567" s="1"/>
  <c r="H10" i="567" a="1"/>
  <c r="H10" i="567" s="1"/>
  <c r="G10" i="567" a="1"/>
  <c r="G10" i="567" s="1"/>
  <c r="O10" i="567" a="1"/>
  <c r="O10" i="567" s="1"/>
  <c r="E10" i="567" a="1"/>
  <c r="E10" i="567" s="1"/>
  <c r="N10" i="567" a="1"/>
  <c r="N10" i="567" s="1"/>
  <c r="P10" i="567" a="1"/>
  <c r="P10" i="567" s="1"/>
  <c r="F10" i="567" a="1"/>
  <c r="F10" i="567" s="1"/>
  <c r="M10" i="567" a="1"/>
  <c r="M10" i="567" s="1"/>
  <c r="L10" i="567" a="1"/>
  <c r="L10" i="567" s="1"/>
  <c r="K10" i="567" a="1"/>
  <c r="K10" i="567" s="1"/>
  <c r="J10" i="567" a="1"/>
  <c r="J10" i="567" s="1"/>
  <c r="H25" i="567"/>
  <c r="H27" i="567"/>
  <c r="H26" i="567"/>
  <c r="H24" i="567"/>
  <c r="I4" i="567" a="1"/>
  <c r="I4" i="567" s="1"/>
  <c r="H4" i="567" a="1"/>
  <c r="H4" i="567" s="1"/>
  <c r="G4" i="567" a="1"/>
  <c r="G4" i="567" s="1"/>
  <c r="P4" i="567" a="1"/>
  <c r="P4" i="567" s="1"/>
  <c r="F4" i="567" a="1"/>
  <c r="F4" i="567" s="1"/>
  <c r="O4" i="567" a="1"/>
  <c r="O4" i="567" s="1"/>
  <c r="E4" i="567" a="1"/>
  <c r="E4" i="567" s="1"/>
  <c r="M4" i="567" a="1"/>
  <c r="M4" i="567" s="1"/>
  <c r="K4" i="567" a="1"/>
  <c r="K4" i="567" s="1"/>
  <c r="N4" i="567" a="1"/>
  <c r="N4" i="567" s="1"/>
  <c r="L4" i="567" a="1"/>
  <c r="L4" i="567" s="1"/>
  <c r="J4" i="567" a="1"/>
  <c r="J4" i="567" s="1"/>
  <c r="M3" i="567" a="1"/>
  <c r="M3" i="567" s="1"/>
  <c r="L3" i="567" a="1"/>
  <c r="L3" i="567" s="1"/>
  <c r="K3" i="567" a="1"/>
  <c r="K3" i="567" s="1"/>
  <c r="J3" i="567" a="1"/>
  <c r="J3" i="567" s="1"/>
  <c r="I3" i="567" a="1"/>
  <c r="I3" i="567" s="1"/>
  <c r="P3" i="567" a="1"/>
  <c r="P3" i="567" s="1"/>
  <c r="O3" i="567" a="1"/>
  <c r="O3" i="567" s="1"/>
  <c r="N3" i="567" a="1"/>
  <c r="N3" i="567" s="1"/>
  <c r="H3" i="567" a="1"/>
  <c r="H3" i="567" s="1"/>
  <c r="G3" i="567" a="1"/>
  <c r="G3" i="567" s="1"/>
  <c r="F3" i="567" a="1"/>
  <c r="F3" i="567" s="1"/>
  <c r="E3" i="567" a="1"/>
  <c r="E3" i="567" s="1"/>
  <c r="H6" i="567" a="1"/>
  <c r="H6" i="567" s="1"/>
  <c r="G6" i="567" a="1"/>
  <c r="G6" i="567" s="1"/>
  <c r="P6" i="567" a="1"/>
  <c r="P6" i="567" s="1"/>
  <c r="N6" i="567" a="1"/>
  <c r="N6" i="567" s="1"/>
  <c r="F6" i="567" a="1"/>
  <c r="F6" i="567" s="1"/>
  <c r="O6" i="567" a="1"/>
  <c r="O6" i="567" s="1"/>
  <c r="E6" i="567" a="1"/>
  <c r="E6" i="567" s="1"/>
  <c r="M6" i="567" a="1"/>
  <c r="M6" i="567" s="1"/>
  <c r="L6" i="567" a="1"/>
  <c r="L6" i="567" s="1"/>
  <c r="K6" i="567" a="1"/>
  <c r="K6" i="567" s="1"/>
  <c r="J6" i="567" a="1"/>
  <c r="J6" i="567" s="1"/>
  <c r="I6" i="567" a="1"/>
  <c r="I6" i="567" s="1"/>
  <c r="N11" i="567" a="1"/>
  <c r="N11" i="567" s="1"/>
  <c r="M11" i="567" a="1"/>
  <c r="M11" i="567" s="1"/>
  <c r="L11" i="567" a="1"/>
  <c r="L11" i="567" s="1"/>
  <c r="K11" i="567" a="1"/>
  <c r="K11" i="567" s="1"/>
  <c r="J11" i="567" a="1"/>
  <c r="J11" i="567" s="1"/>
  <c r="H11" i="567" a="1"/>
  <c r="H11" i="567" s="1"/>
  <c r="F11" i="567" a="1"/>
  <c r="F11" i="567" s="1"/>
  <c r="P11" i="567" a="1"/>
  <c r="P11" i="567" s="1"/>
  <c r="O11" i="567" a="1"/>
  <c r="O11" i="567" s="1"/>
  <c r="I11" i="567" a="1"/>
  <c r="I11" i="567" s="1"/>
  <c r="G11" i="567" a="1"/>
  <c r="G11" i="567" s="1"/>
  <c r="E11" i="567" a="1"/>
  <c r="E11" i="567" s="1"/>
  <c r="N5" i="567" a="1"/>
  <c r="N5" i="567" s="1"/>
  <c r="L5" i="567" a="1"/>
  <c r="L5" i="567" s="1"/>
  <c r="J5" i="567" a="1"/>
  <c r="J5" i="567" s="1"/>
  <c r="I5" i="567" a="1"/>
  <c r="I5" i="567" s="1"/>
  <c r="M5" i="567" a="1"/>
  <c r="M5" i="567" s="1"/>
  <c r="K5" i="567" a="1"/>
  <c r="K5" i="567" s="1"/>
  <c r="G5" i="567" a="1"/>
  <c r="G5" i="567" s="1"/>
  <c r="O5" i="567" a="1"/>
  <c r="O5" i="567" s="1"/>
  <c r="F5" i="567" a="1"/>
  <c r="F5" i="567" s="1"/>
  <c r="E5" i="567" a="1"/>
  <c r="E5" i="567" s="1"/>
  <c r="P5" i="567" a="1"/>
  <c r="P5" i="567" s="1"/>
  <c r="H5" i="567" a="1"/>
  <c r="H5" i="567" s="1"/>
  <c r="Q11" i="565"/>
  <c r="Q13" i="565" s="1"/>
  <c r="Q14" i="565" s="1"/>
  <c r="I10" i="566" a="1"/>
  <c r="I10" i="566" s="1"/>
  <c r="F10" i="566" a="1"/>
  <c r="F10" i="566" s="1"/>
  <c r="P10" i="566" a="1"/>
  <c r="P10" i="566" s="1"/>
  <c r="O10" i="566" a="1"/>
  <c r="O10" i="566" s="1"/>
  <c r="E10" i="566" a="1"/>
  <c r="E10" i="566" s="1"/>
  <c r="H10" i="566" a="1"/>
  <c r="H10" i="566" s="1"/>
  <c r="G10" i="566" a="1"/>
  <c r="G10" i="566" s="1"/>
  <c r="L10" i="566" a="1"/>
  <c r="L10" i="566" s="1"/>
  <c r="N10" i="566" a="1"/>
  <c r="N10" i="566" s="1"/>
  <c r="M10" i="566" a="1"/>
  <c r="M10" i="566" s="1"/>
  <c r="K10" i="566" a="1"/>
  <c r="K10" i="566" s="1"/>
  <c r="J10" i="566" a="1"/>
  <c r="J10" i="566" s="1"/>
  <c r="M3" i="566" a="1"/>
  <c r="M3" i="566" s="1"/>
  <c r="K3" i="566" a="1"/>
  <c r="K3" i="566" s="1"/>
  <c r="J3" i="566" a="1"/>
  <c r="J3" i="566" s="1"/>
  <c r="L3" i="566" a="1"/>
  <c r="L3" i="566" s="1"/>
  <c r="P3" i="566" a="1"/>
  <c r="P3" i="566" s="1"/>
  <c r="I3" i="566" a="1"/>
  <c r="I3" i="566" s="1"/>
  <c r="F3" i="566" a="1"/>
  <c r="F3" i="566" s="1"/>
  <c r="E3" i="566" a="1"/>
  <c r="E3" i="566" s="1"/>
  <c r="O3" i="566" a="1"/>
  <c r="O3" i="566" s="1"/>
  <c r="N3" i="566" a="1"/>
  <c r="N3" i="566" s="1"/>
  <c r="H3" i="566" a="1"/>
  <c r="H3" i="566" s="1"/>
  <c r="G3" i="566" a="1"/>
  <c r="G3" i="566" s="1"/>
  <c r="N11" i="566" a="1"/>
  <c r="N11" i="566" s="1"/>
  <c r="M11" i="566" a="1"/>
  <c r="M11" i="566" s="1"/>
  <c r="L11" i="566" a="1"/>
  <c r="L11" i="566" s="1"/>
  <c r="K11" i="566" a="1"/>
  <c r="K11" i="566" s="1"/>
  <c r="J11" i="566" a="1"/>
  <c r="J11" i="566" s="1"/>
  <c r="E11" i="566" a="1"/>
  <c r="E11" i="566" s="1"/>
  <c r="G11" i="566" a="1"/>
  <c r="G11" i="566" s="1"/>
  <c r="F11" i="566" a="1"/>
  <c r="F11" i="566" s="1"/>
  <c r="I11" i="566" a="1"/>
  <c r="I11" i="566" s="1"/>
  <c r="H11" i="566" a="1"/>
  <c r="H11" i="566" s="1"/>
  <c r="P11" i="566" a="1"/>
  <c r="P11" i="566" s="1"/>
  <c r="O11" i="566" a="1"/>
  <c r="O11" i="566" s="1"/>
  <c r="I4" i="566" a="1"/>
  <c r="I4" i="566" s="1"/>
  <c r="H4" i="566" a="1"/>
  <c r="H4" i="566" s="1"/>
  <c r="G4" i="566" a="1"/>
  <c r="G4" i="566" s="1"/>
  <c r="F4" i="566" a="1"/>
  <c r="F4" i="566" s="1"/>
  <c r="P4" i="566" a="1"/>
  <c r="P4" i="566" s="1"/>
  <c r="J4" i="566" a="1"/>
  <c r="J4" i="566" s="1"/>
  <c r="N4" i="566" a="1"/>
  <c r="N4" i="566" s="1"/>
  <c r="M4" i="566" a="1"/>
  <c r="M4" i="566" s="1"/>
  <c r="O4" i="566" a="1"/>
  <c r="O4" i="566" s="1"/>
  <c r="L4" i="566" a="1"/>
  <c r="L4" i="566" s="1"/>
  <c r="K4" i="566" a="1"/>
  <c r="K4" i="566" s="1"/>
  <c r="E4" i="566" a="1"/>
  <c r="E4" i="566" s="1"/>
  <c r="M7" i="566" a="1"/>
  <c r="M7" i="566" s="1"/>
  <c r="K7" i="566" a="1"/>
  <c r="K7" i="566" s="1"/>
  <c r="J7" i="566" a="1"/>
  <c r="J7" i="566" s="1"/>
  <c r="L7" i="566" a="1"/>
  <c r="L7" i="566" s="1"/>
  <c r="G7" i="566" a="1"/>
  <c r="G7" i="566" s="1"/>
  <c r="F7" i="566" a="1"/>
  <c r="F7" i="566" s="1"/>
  <c r="I7" i="566" a="1"/>
  <c r="I7" i="566" s="1"/>
  <c r="E7" i="566" a="1"/>
  <c r="E7" i="566" s="1"/>
  <c r="P7" i="566" a="1"/>
  <c r="P7" i="566" s="1"/>
  <c r="O7" i="566" a="1"/>
  <c r="O7" i="566" s="1"/>
  <c r="N7" i="566" a="1"/>
  <c r="N7" i="566" s="1"/>
  <c r="H7" i="566" a="1"/>
  <c r="H7" i="566" s="1"/>
  <c r="M9" i="566" a="1"/>
  <c r="M9" i="566" s="1"/>
  <c r="L9" i="566" a="1"/>
  <c r="L9" i="566" s="1"/>
  <c r="K9" i="566" a="1"/>
  <c r="K9" i="566" s="1"/>
  <c r="J9" i="566" a="1"/>
  <c r="J9" i="566" s="1"/>
  <c r="I9" i="566" a="1"/>
  <c r="I9" i="566" s="1"/>
  <c r="O9" i="566" a="1"/>
  <c r="O9" i="566" s="1"/>
  <c r="P9" i="566" a="1"/>
  <c r="P9" i="566" s="1"/>
  <c r="N9" i="566" a="1"/>
  <c r="N9" i="566" s="1"/>
  <c r="H9" i="566" a="1"/>
  <c r="H9" i="566" s="1"/>
  <c r="G9" i="566" a="1"/>
  <c r="G9" i="566" s="1"/>
  <c r="F9" i="566" a="1"/>
  <c r="F9" i="566" s="1"/>
  <c r="E9" i="566" a="1"/>
  <c r="E9" i="566" s="1"/>
  <c r="H6" i="566" a="1"/>
  <c r="H6" i="566" s="1"/>
  <c r="P6" i="566" a="1"/>
  <c r="P6" i="566" s="1"/>
  <c r="F6" i="566" a="1"/>
  <c r="F6" i="566" s="1"/>
  <c r="O6" i="566" a="1"/>
  <c r="O6" i="566" s="1"/>
  <c r="E6" i="566" a="1"/>
  <c r="E6" i="566" s="1"/>
  <c r="G6" i="566" a="1"/>
  <c r="G6" i="566" s="1"/>
  <c r="N6" i="566" a="1"/>
  <c r="N6" i="566" s="1"/>
  <c r="L6" i="566" a="1"/>
  <c r="L6" i="566" s="1"/>
  <c r="J6" i="566" a="1"/>
  <c r="J6" i="566" s="1"/>
  <c r="I6" i="566" a="1"/>
  <c r="I6" i="566" s="1"/>
  <c r="M6" i="566" a="1"/>
  <c r="M6" i="566" s="1"/>
  <c r="K6" i="566" a="1"/>
  <c r="K6" i="566" s="1"/>
  <c r="H8" i="566" a="1"/>
  <c r="H8" i="566" s="1"/>
  <c r="G8" i="566" a="1"/>
  <c r="G8" i="566" s="1"/>
  <c r="P8" i="566" a="1"/>
  <c r="P8" i="566" s="1"/>
  <c r="F8" i="566" a="1"/>
  <c r="F8" i="566" s="1"/>
  <c r="O8" i="566" a="1"/>
  <c r="O8" i="566" s="1"/>
  <c r="E8" i="566" a="1"/>
  <c r="E8" i="566" s="1"/>
  <c r="N8" i="566" a="1"/>
  <c r="N8" i="566" s="1"/>
  <c r="K8" i="566" a="1"/>
  <c r="K8" i="566" s="1"/>
  <c r="M8" i="566" a="1"/>
  <c r="M8" i="566" s="1"/>
  <c r="J8" i="566" a="1"/>
  <c r="J8" i="566" s="1"/>
  <c r="L8" i="566" a="1"/>
  <c r="L8" i="566" s="1"/>
  <c r="I8" i="566" a="1"/>
  <c r="I8" i="566" s="1"/>
  <c r="H26" i="566"/>
  <c r="H27" i="566"/>
  <c r="H25" i="566"/>
  <c r="H24" i="566"/>
  <c r="J12" i="566" a="1"/>
  <c r="J12" i="566" s="1"/>
  <c r="P12" i="566" a="1"/>
  <c r="P12" i="566" s="1"/>
  <c r="G12" i="566" a="1"/>
  <c r="G12" i="566" s="1"/>
  <c r="F12" i="566" a="1"/>
  <c r="F12" i="566" s="1"/>
  <c r="I12" i="566" a="1"/>
  <c r="I12" i="566" s="1"/>
  <c r="H12" i="566" a="1"/>
  <c r="H12" i="566" s="1"/>
  <c r="O12" i="566" a="1"/>
  <c r="O12" i="566" s="1"/>
  <c r="M12" i="566" a="1"/>
  <c r="M12" i="566" s="1"/>
  <c r="E12" i="566" a="1"/>
  <c r="E12" i="566" s="1"/>
  <c r="N12" i="566" a="1"/>
  <c r="N12" i="566" s="1"/>
  <c r="L12" i="566" a="1"/>
  <c r="L12" i="566" s="1"/>
  <c r="K12" i="566" a="1"/>
  <c r="K12" i="566" s="1"/>
  <c r="N5" i="566" a="1"/>
  <c r="N5" i="566" s="1"/>
  <c r="K5" i="566" a="1"/>
  <c r="K5" i="566" s="1"/>
  <c r="M5" i="566" a="1"/>
  <c r="M5" i="566" s="1"/>
  <c r="L5" i="566" a="1"/>
  <c r="L5" i="566" s="1"/>
  <c r="J5" i="566" a="1"/>
  <c r="J5" i="566" s="1"/>
  <c r="E5" i="566" a="1"/>
  <c r="E5" i="566" s="1"/>
  <c r="G5" i="566" a="1"/>
  <c r="G5" i="566" s="1"/>
  <c r="I5" i="566" a="1"/>
  <c r="I5" i="566" s="1"/>
  <c r="H5" i="566" a="1"/>
  <c r="H5" i="566" s="1"/>
  <c r="P5" i="566" a="1"/>
  <c r="P5" i="566" s="1"/>
  <c r="O5" i="566" a="1"/>
  <c r="O5" i="566" s="1"/>
  <c r="F5" i="566" a="1"/>
  <c r="F5" i="566" s="1"/>
  <c r="H24" i="565"/>
  <c r="H27" i="565"/>
  <c r="H26" i="565"/>
  <c r="H25" i="565"/>
  <c r="E13" i="565"/>
  <c r="E14" i="565" s="1"/>
  <c r="Q11" i="564"/>
  <c r="Q13" i="564"/>
  <c r="Q14" i="564" s="1"/>
  <c r="E13" i="564"/>
  <c r="E14" i="564" s="1"/>
  <c r="H26" i="564"/>
  <c r="H24" i="564"/>
  <c r="H27" i="564"/>
  <c r="H25" i="564"/>
  <c r="Q11" i="563"/>
  <c r="Q13" i="563" s="1"/>
  <c r="Q14" i="563" s="1"/>
  <c r="H27" i="563"/>
  <c r="H26" i="563"/>
  <c r="H24" i="563"/>
  <c r="H25" i="563"/>
  <c r="E13" i="563"/>
  <c r="E14" i="563" s="1"/>
  <c r="M5" i="562" a="1"/>
  <c r="M5" i="562" s="1"/>
  <c r="L5" i="562" a="1"/>
  <c r="L5" i="562" s="1"/>
  <c r="J5" i="562" a="1"/>
  <c r="J5" i="562" s="1"/>
  <c r="I5" i="562" a="1"/>
  <c r="I5" i="562" s="1"/>
  <c r="K5" i="562" a="1"/>
  <c r="K5" i="562" s="1"/>
  <c r="F5" i="562" a="1"/>
  <c r="F5" i="562" s="1"/>
  <c r="E5" i="562" a="1"/>
  <c r="E5" i="562" s="1"/>
  <c r="P5" i="562" a="1"/>
  <c r="P5" i="562" s="1"/>
  <c r="O5" i="562" a="1"/>
  <c r="O5" i="562" s="1"/>
  <c r="N5" i="562" a="1"/>
  <c r="N5" i="562" s="1"/>
  <c r="H5" i="562" a="1"/>
  <c r="H5" i="562" s="1"/>
  <c r="G5" i="562" a="1"/>
  <c r="G5" i="562" s="1"/>
  <c r="M9" i="562" a="1"/>
  <c r="M9" i="562" s="1"/>
  <c r="L9" i="562" a="1"/>
  <c r="L9" i="562" s="1"/>
  <c r="K9" i="562" a="1"/>
  <c r="K9" i="562" s="1"/>
  <c r="J9" i="562" a="1"/>
  <c r="J9" i="562" s="1"/>
  <c r="I9" i="562" a="1"/>
  <c r="I9" i="562" s="1"/>
  <c r="H9" i="562" a="1"/>
  <c r="H9" i="562" s="1"/>
  <c r="E9" i="562" a="1"/>
  <c r="E9" i="562" s="1"/>
  <c r="P9" i="562" a="1"/>
  <c r="P9" i="562" s="1"/>
  <c r="O9" i="562" a="1"/>
  <c r="O9" i="562" s="1"/>
  <c r="N9" i="562" a="1"/>
  <c r="N9" i="562" s="1"/>
  <c r="G9" i="562" a="1"/>
  <c r="G9" i="562" s="1"/>
  <c r="F9" i="562" a="1"/>
  <c r="F9" i="562" s="1"/>
  <c r="I4" i="562" a="1"/>
  <c r="I4" i="562" s="1"/>
  <c r="E4" i="562" a="1"/>
  <c r="E4" i="562" s="1"/>
  <c r="H4" i="562" a="1"/>
  <c r="H4" i="562" s="1"/>
  <c r="O4" i="562" a="1"/>
  <c r="O4" i="562" s="1"/>
  <c r="G4" i="562" a="1"/>
  <c r="G4" i="562" s="1"/>
  <c r="P4" i="562" a="1"/>
  <c r="P4" i="562" s="1"/>
  <c r="F4" i="562" a="1"/>
  <c r="F4" i="562" s="1"/>
  <c r="N4" i="562" a="1"/>
  <c r="N4" i="562" s="1"/>
  <c r="M4" i="562" a="1"/>
  <c r="M4" i="562" s="1"/>
  <c r="L4" i="562" a="1"/>
  <c r="L4" i="562" s="1"/>
  <c r="K4" i="562" a="1"/>
  <c r="K4" i="562" s="1"/>
  <c r="J4" i="562" a="1"/>
  <c r="J4" i="562" s="1"/>
  <c r="H6" i="562" a="1"/>
  <c r="H6" i="562" s="1"/>
  <c r="P6" i="562" a="1"/>
  <c r="P6" i="562" s="1"/>
  <c r="F6" i="562" a="1"/>
  <c r="F6" i="562" s="1"/>
  <c r="N6" i="562" a="1"/>
  <c r="N6" i="562" s="1"/>
  <c r="G6" i="562" a="1"/>
  <c r="G6" i="562" s="1"/>
  <c r="O6" i="562" a="1"/>
  <c r="O6" i="562" s="1"/>
  <c r="E6" i="562" a="1"/>
  <c r="E6" i="562" s="1"/>
  <c r="M6" i="562" a="1"/>
  <c r="M6" i="562" s="1"/>
  <c r="L6" i="562" a="1"/>
  <c r="L6" i="562" s="1"/>
  <c r="K6" i="562" a="1"/>
  <c r="K6" i="562" s="1"/>
  <c r="J6" i="562" a="1"/>
  <c r="J6" i="562" s="1"/>
  <c r="I6" i="562" a="1"/>
  <c r="I6" i="562" s="1"/>
  <c r="H10" i="562" a="1"/>
  <c r="H10" i="562" s="1"/>
  <c r="O10" i="562" a="1"/>
  <c r="O10" i="562" s="1"/>
  <c r="G10" i="562" a="1"/>
  <c r="G10" i="562" s="1"/>
  <c r="P10" i="562" a="1"/>
  <c r="P10" i="562" s="1"/>
  <c r="F10" i="562" a="1"/>
  <c r="F10" i="562" s="1"/>
  <c r="E10" i="562" a="1"/>
  <c r="E10" i="562" s="1"/>
  <c r="N10" i="562" a="1"/>
  <c r="N10" i="562" s="1"/>
  <c r="K10" i="562" a="1"/>
  <c r="K10" i="562" s="1"/>
  <c r="J10" i="562" a="1"/>
  <c r="J10" i="562" s="1"/>
  <c r="I10" i="562" a="1"/>
  <c r="I10" i="562" s="1"/>
  <c r="M10" i="562" a="1"/>
  <c r="M10" i="562" s="1"/>
  <c r="L10" i="562" a="1"/>
  <c r="L10" i="562" s="1"/>
  <c r="H27" i="562"/>
  <c r="H26" i="562"/>
  <c r="H24" i="562"/>
  <c r="H25" i="562"/>
  <c r="I12" i="562" a="1"/>
  <c r="I12" i="562" s="1"/>
  <c r="P12" i="562" a="1"/>
  <c r="P12" i="562" s="1"/>
  <c r="F12" i="562" a="1"/>
  <c r="F12" i="562" s="1"/>
  <c r="O12" i="562" a="1"/>
  <c r="O12" i="562" s="1"/>
  <c r="H12" i="562" a="1"/>
  <c r="H12" i="562" s="1"/>
  <c r="G12" i="562" a="1"/>
  <c r="G12" i="562" s="1"/>
  <c r="E12" i="562" a="1"/>
  <c r="E12" i="562" s="1"/>
  <c r="N12" i="562" a="1"/>
  <c r="N12" i="562" s="1"/>
  <c r="M12" i="562" a="1"/>
  <c r="M12" i="562" s="1"/>
  <c r="L12" i="562" a="1"/>
  <c r="L12" i="562" s="1"/>
  <c r="K12" i="562" a="1"/>
  <c r="K12" i="562" s="1"/>
  <c r="J12" i="562" a="1"/>
  <c r="J12" i="562" s="1"/>
  <c r="M3" i="562" a="1"/>
  <c r="M3" i="562" s="1"/>
  <c r="K3" i="562" a="1"/>
  <c r="K3" i="562" s="1"/>
  <c r="I3" i="562" a="1"/>
  <c r="I3" i="562" s="1"/>
  <c r="L3" i="562" a="1"/>
  <c r="L3" i="562" s="1"/>
  <c r="J3" i="562" a="1"/>
  <c r="J3" i="562" s="1"/>
  <c r="P3" i="562" a="1"/>
  <c r="P3" i="562" s="1"/>
  <c r="O3" i="562" a="1"/>
  <c r="O3" i="562" s="1"/>
  <c r="N3" i="562" a="1"/>
  <c r="N3" i="562" s="1"/>
  <c r="H3" i="562" a="1"/>
  <c r="H3" i="562" s="1"/>
  <c r="G3" i="562" a="1"/>
  <c r="G3" i="562" s="1"/>
  <c r="F3" i="562" a="1"/>
  <c r="F3" i="562" s="1"/>
  <c r="E3" i="562" a="1"/>
  <c r="E3" i="562" s="1"/>
  <c r="M7" i="562" a="1"/>
  <c r="M7" i="562" s="1"/>
  <c r="L7" i="562" a="1"/>
  <c r="L7" i="562" s="1"/>
  <c r="K7" i="562" a="1"/>
  <c r="K7" i="562" s="1"/>
  <c r="H7" i="562" a="1"/>
  <c r="H7" i="562" s="1"/>
  <c r="J7" i="562" a="1"/>
  <c r="J7" i="562" s="1"/>
  <c r="I7" i="562" a="1"/>
  <c r="I7" i="562" s="1"/>
  <c r="O7" i="562" a="1"/>
  <c r="O7" i="562" s="1"/>
  <c r="N7" i="562" a="1"/>
  <c r="N7" i="562" s="1"/>
  <c r="G7" i="562" a="1"/>
  <c r="G7" i="562" s="1"/>
  <c r="F7" i="562" a="1"/>
  <c r="F7" i="562" s="1"/>
  <c r="E7" i="562" a="1"/>
  <c r="E7" i="562" s="1"/>
  <c r="P7" i="562" a="1"/>
  <c r="P7" i="562" s="1"/>
  <c r="H8" i="562" a="1"/>
  <c r="H8" i="562" s="1"/>
  <c r="N8" i="562" a="1"/>
  <c r="N8" i="562" s="1"/>
  <c r="F8" i="562" a="1"/>
  <c r="F8" i="562" s="1"/>
  <c r="G8" i="562" a="1"/>
  <c r="G8" i="562" s="1"/>
  <c r="P8" i="562" a="1"/>
  <c r="P8" i="562" s="1"/>
  <c r="O8" i="562" a="1"/>
  <c r="O8" i="562" s="1"/>
  <c r="E8" i="562" a="1"/>
  <c r="E8" i="562" s="1"/>
  <c r="M8" i="562" a="1"/>
  <c r="M8" i="562" s="1"/>
  <c r="L8" i="562" a="1"/>
  <c r="L8" i="562" s="1"/>
  <c r="K8" i="562" a="1"/>
  <c r="K8" i="562" s="1"/>
  <c r="J8" i="562" a="1"/>
  <c r="J8" i="562" s="1"/>
  <c r="I8" i="562" a="1"/>
  <c r="I8" i="562" s="1"/>
  <c r="N11" i="562" a="1"/>
  <c r="N11" i="562" s="1"/>
  <c r="L11" i="562" a="1"/>
  <c r="L11" i="562" s="1"/>
  <c r="M11" i="562" a="1"/>
  <c r="M11" i="562" s="1"/>
  <c r="K11" i="562" a="1"/>
  <c r="K11" i="562" s="1"/>
  <c r="J11" i="562" a="1"/>
  <c r="J11" i="562" s="1"/>
  <c r="I11" i="562" a="1"/>
  <c r="I11" i="562" s="1"/>
  <c r="P11" i="562" a="1"/>
  <c r="P11" i="562" s="1"/>
  <c r="O11" i="562" a="1"/>
  <c r="O11" i="562" s="1"/>
  <c r="H11" i="562" a="1"/>
  <c r="H11" i="562" s="1"/>
  <c r="G11" i="562" a="1"/>
  <c r="G11" i="562" s="1"/>
  <c r="F11" i="562" a="1"/>
  <c r="F11" i="562" s="1"/>
  <c r="E11" i="562" a="1"/>
  <c r="E11" i="562" s="1"/>
  <c r="H26" i="561"/>
  <c r="H27" i="561"/>
  <c r="H25" i="561"/>
  <c r="H24" i="561"/>
  <c r="Q11" i="561"/>
  <c r="Q13" i="561" s="1"/>
  <c r="Q14" i="561" s="1"/>
  <c r="Q8" i="536"/>
  <c r="F13" i="536"/>
  <c r="F14" i="536" s="1"/>
  <c r="H13" i="536"/>
  <c r="H14" i="536" s="1"/>
  <c r="K13" i="536"/>
  <c r="K14" i="536" s="1"/>
  <c r="O13" i="536"/>
  <c r="O14" i="536" s="1"/>
  <c r="J13" i="536"/>
  <c r="J14" i="536" s="1"/>
  <c r="L13" i="536"/>
  <c r="L14" i="536" s="1"/>
  <c r="G13" i="536"/>
  <c r="G14" i="536" s="1"/>
  <c r="N13" i="536"/>
  <c r="N14" i="536" s="1"/>
  <c r="Q7" i="536"/>
  <c r="Q12" i="536"/>
  <c r="P13" i="536"/>
  <c r="P14" i="536" s="1"/>
  <c r="Q9" i="536"/>
  <c r="Q4" i="536"/>
  <c r="E13" i="536"/>
  <c r="E14" i="536" s="1"/>
  <c r="Q6" i="536"/>
  <c r="I13" i="536"/>
  <c r="I14" i="536" s="1"/>
  <c r="M13" i="536"/>
  <c r="M14" i="536" s="1"/>
  <c r="Q4" i="571" l="1"/>
  <c r="N13" i="571"/>
  <c r="N14" i="571" s="1"/>
  <c r="O13" i="571"/>
  <c r="O14" i="571" s="1"/>
  <c r="F13" i="571"/>
  <c r="F14" i="571" s="1"/>
  <c r="Q11" i="571"/>
  <c r="P13" i="571"/>
  <c r="P14" i="571" s="1"/>
  <c r="Q8" i="571"/>
  <c r="G13" i="571"/>
  <c r="G14" i="571" s="1"/>
  <c r="Q9" i="571"/>
  <c r="H13" i="571"/>
  <c r="H14" i="571" s="1"/>
  <c r="Q12" i="571"/>
  <c r="L13" i="571"/>
  <c r="L14" i="571" s="1"/>
  <c r="Q10" i="571"/>
  <c r="J13" i="571"/>
  <c r="J14" i="571" s="1"/>
  <c r="K13" i="571"/>
  <c r="K14" i="571" s="1"/>
  <c r="M13" i="571"/>
  <c r="M14" i="571" s="1"/>
  <c r="Q5" i="571"/>
  <c r="Q7" i="571"/>
  <c r="E13" i="571"/>
  <c r="E14" i="571" s="1"/>
  <c r="Q3" i="571"/>
  <c r="Q6" i="571"/>
  <c r="I13" i="571"/>
  <c r="I14" i="571" s="1"/>
  <c r="Q11" i="567"/>
  <c r="J13" i="567"/>
  <c r="J14" i="567" s="1"/>
  <c r="L13" i="567"/>
  <c r="L14" i="567" s="1"/>
  <c r="Q9" i="566"/>
  <c r="K13" i="567"/>
  <c r="K14" i="567" s="1"/>
  <c r="Q12" i="567"/>
  <c r="E13" i="567"/>
  <c r="E14" i="567" s="1"/>
  <c r="Q3" i="567"/>
  <c r="G13" i="567"/>
  <c r="G14" i="567" s="1"/>
  <c r="H13" i="567"/>
  <c r="H14" i="567" s="1"/>
  <c r="F13" i="566"/>
  <c r="F14" i="566" s="1"/>
  <c r="N13" i="567"/>
  <c r="N14" i="567" s="1"/>
  <c r="I13" i="566"/>
  <c r="I14" i="566" s="1"/>
  <c r="O13" i="567"/>
  <c r="O14" i="567" s="1"/>
  <c r="Q9" i="567"/>
  <c r="Q10" i="567"/>
  <c r="F13" i="567"/>
  <c r="F14" i="567" s="1"/>
  <c r="P13" i="567"/>
  <c r="P14" i="567" s="1"/>
  <c r="K13" i="566"/>
  <c r="K14" i="566" s="1"/>
  <c r="M13" i="567"/>
  <c r="M14" i="567" s="1"/>
  <c r="Q6" i="567"/>
  <c r="Q4" i="567"/>
  <c r="Q7" i="567"/>
  <c r="Q5" i="567"/>
  <c r="Q8" i="567"/>
  <c r="I13" i="567"/>
  <c r="I14" i="567" s="1"/>
  <c r="P13" i="566"/>
  <c r="P14" i="566" s="1"/>
  <c r="L13" i="566"/>
  <c r="L14" i="566" s="1"/>
  <c r="J13" i="566"/>
  <c r="J14" i="566" s="1"/>
  <c r="M13" i="566"/>
  <c r="M14" i="566" s="1"/>
  <c r="Q8" i="566"/>
  <c r="Q12" i="566"/>
  <c r="Q4" i="566"/>
  <c r="Q5" i="566"/>
  <c r="Q7" i="566"/>
  <c r="Q11" i="566"/>
  <c r="Q10" i="566"/>
  <c r="G13" i="566"/>
  <c r="G14" i="566" s="1"/>
  <c r="H13" i="566"/>
  <c r="H14" i="566" s="1"/>
  <c r="N13" i="566"/>
  <c r="N14" i="566" s="1"/>
  <c r="O13" i="566"/>
  <c r="O14" i="566" s="1"/>
  <c r="Q6" i="566"/>
  <c r="E13" i="566"/>
  <c r="E14" i="566" s="1"/>
  <c r="Q3" i="566"/>
  <c r="I13" i="562"/>
  <c r="I14" i="562" s="1"/>
  <c r="K13" i="562"/>
  <c r="K14" i="562" s="1"/>
  <c r="L13" i="562"/>
  <c r="L14" i="562" s="1"/>
  <c r="Q8" i="562"/>
  <c r="Q4" i="562"/>
  <c r="Q11" i="562"/>
  <c r="N13" i="562"/>
  <c r="N14" i="562" s="1"/>
  <c r="M13" i="562"/>
  <c r="M14" i="562" s="1"/>
  <c r="Q12" i="562"/>
  <c r="F13" i="562"/>
  <c r="F14" i="562" s="1"/>
  <c r="G13" i="562"/>
  <c r="G14" i="562" s="1"/>
  <c r="P13" i="562"/>
  <c r="P14" i="562" s="1"/>
  <c r="Q7" i="562"/>
  <c r="Q9" i="562"/>
  <c r="Q10" i="562"/>
  <c r="E13" i="562"/>
  <c r="E14" i="562" s="1"/>
  <c r="Q3" i="562"/>
  <c r="Q5" i="562"/>
  <c r="H13" i="562"/>
  <c r="H14" i="562" s="1"/>
  <c r="O13" i="562"/>
  <c r="O14" i="562" s="1"/>
  <c r="Q6" i="562"/>
  <c r="J13" i="562"/>
  <c r="J14" i="562" s="1"/>
  <c r="Q13" i="536"/>
  <c r="Q14" i="536" s="1"/>
  <c r="Q13" i="571" l="1"/>
  <c r="Q14" i="571" s="1"/>
  <c r="Q13" i="566"/>
  <c r="Q14" i="566" s="1"/>
  <c r="Q13" i="567"/>
  <c r="Q14" i="567" s="1"/>
  <c r="Q13" i="562"/>
  <c r="Q14" i="562" s="1"/>
  <c r="Q80" i="207"/>
  <c r="Q79" i="207"/>
  <c r="Q78" i="207"/>
  <c r="Q72" i="207"/>
  <c r="Q71" i="207"/>
  <c r="Q70" i="207"/>
  <c r="Q69" i="207"/>
  <c r="Q68" i="207"/>
  <c r="Q59" i="207"/>
  <c r="Q58" i="207"/>
  <c r="Q57" i="207"/>
  <c r="Q56" i="207"/>
  <c r="Q55" i="207"/>
  <c r="Q54" i="207"/>
  <c r="Q53" i="207"/>
  <c r="Q52" i="207"/>
  <c r="Q51" i="207"/>
  <c r="Q50" i="207"/>
  <c r="AA4" i="207" l="1"/>
  <c r="AA5" i="207"/>
  <c r="AA6" i="207"/>
  <c r="AA7" i="207"/>
  <c r="AA8" i="207"/>
  <c r="AA9" i="207"/>
  <c r="AA10" i="207"/>
  <c r="AA11" i="207"/>
  <c r="AA12" i="207"/>
  <c r="AA13" i="207"/>
  <c r="X4" i="207"/>
  <c r="X5" i="207"/>
  <c r="X6" i="207"/>
  <c r="X7" i="207"/>
  <c r="X8" i="207"/>
  <c r="X9" i="207"/>
  <c r="X10" i="207"/>
  <c r="X11" i="207"/>
  <c r="X12" i="207"/>
  <c r="X13" i="207"/>
  <c r="AA15" i="207"/>
  <c r="AA14" i="207"/>
  <c r="X15" i="207"/>
  <c r="X14" i="207"/>
  <c r="N49" i="207"/>
  <c r="F49" i="207"/>
  <c r="G49" i="207"/>
  <c r="H49" i="207"/>
  <c r="I49" i="207"/>
  <c r="J49" i="207"/>
  <c r="K49" i="207"/>
  <c r="L49" i="207"/>
  <c r="M49" i="207"/>
  <c r="E49" i="207"/>
  <c r="U6" i="3" a="1"/>
  <c r="I13" i="3" a="1"/>
  <c r="D5" i="1" a="1"/>
  <c r="S12" i="1"/>
  <c r="G12" i="1"/>
  <c r="O4" i="1"/>
  <c r="O4" i="3" a="1"/>
  <c r="E6" i="1" a="1"/>
  <c r="O7" i="1"/>
  <c r="Q8" i="1"/>
  <c r="G2" i="3" a="1"/>
  <c r="B3" i="3" a="1"/>
  <c r="P14" i="1"/>
  <c r="W13" i="3" a="1"/>
  <c r="K3" i="3" a="1"/>
  <c r="M8" i="1"/>
  <c r="G5" i="3" a="1"/>
  <c r="T5" i="1"/>
  <c r="AA12" i="3" a="1"/>
  <c r="AA13" i="3" a="1"/>
  <c r="B2" i="3" a="1"/>
  <c r="D9" i="1" a="1"/>
  <c r="G14" i="1"/>
  <c r="AC4" i="3" a="1"/>
  <c r="M2" i="3" a="1"/>
  <c r="R14" i="1"/>
  <c r="K5" i="3" a="1"/>
  <c r="R13" i="1"/>
  <c r="S13" i="1"/>
  <c r="B8" i="3" a="1"/>
  <c r="AA7" i="3" a="1"/>
  <c r="B13" i="3" a="1"/>
  <c r="N7" i="1"/>
  <c r="G11" i="1"/>
  <c r="V11" i="1"/>
  <c r="R8" i="1"/>
  <c r="D8" i="1" a="1"/>
  <c r="Y11" i="3" a="1"/>
  <c r="V9" i="1"/>
  <c r="AA2" i="3" a="1"/>
  <c r="R6" i="1"/>
  <c r="Q7" i="3" a="1"/>
  <c r="T7" i="1"/>
  <c r="I8" i="3" a="1"/>
  <c r="B6" i="207" a="1"/>
  <c r="N9" i="1"/>
  <c r="H4" i="1"/>
  <c r="O11" i="3" a="1"/>
  <c r="AC12" i="3" a="1"/>
  <c r="Q3" i="3" a="1"/>
  <c r="H5" i="1"/>
  <c r="G4" i="1"/>
  <c r="N13" i="1"/>
  <c r="U13" i="1"/>
  <c r="Y2" i="3" a="1"/>
  <c r="U4" i="1"/>
  <c r="E4" i="1" a="1"/>
  <c r="D14" i="1" a="1"/>
  <c r="AA6" i="3" a="1"/>
  <c r="E10" i="1" a="1"/>
  <c r="T14" i="1"/>
  <c r="H13" i="1"/>
  <c r="S11" i="3" a="1"/>
  <c r="M13" i="3" a="1"/>
  <c r="H14" i="1"/>
  <c r="M7" i="1"/>
  <c r="O10" i="3" a="1"/>
  <c r="Q13" i="1"/>
  <c r="R4" i="1"/>
  <c r="AA8" i="3" a="1"/>
  <c r="AC9" i="3" a="1"/>
  <c r="H10" i="1"/>
  <c r="V8" i="1"/>
  <c r="R9" i="1"/>
  <c r="Y10" i="3" a="1"/>
  <c r="T11" i="1"/>
  <c r="AC7" i="3" a="1"/>
  <c r="P12" i="1"/>
  <c r="AA10" i="3" a="1"/>
  <c r="U9" i="3" a="1"/>
  <c r="Q11" i="1"/>
  <c r="K12" i="3" a="1"/>
  <c r="D4" i="1" a="1"/>
  <c r="I4" i="3" a="1"/>
  <c r="Q9" i="3" a="1"/>
  <c r="R11" i="1"/>
  <c r="S10" i="1"/>
  <c r="U10" i="3" a="1"/>
  <c r="S8" i="1"/>
  <c r="Q9" i="1"/>
  <c r="O9" i="1"/>
  <c r="Y6" i="3" a="1"/>
  <c r="Y9" i="3" a="1"/>
  <c r="Q11" i="3" a="1"/>
  <c r="W12" i="3" a="1"/>
  <c r="M4" i="1"/>
  <c r="K2" i="3" a="1"/>
  <c r="W2" i="3" a="1"/>
  <c r="V4" i="1"/>
  <c r="K11" i="3" a="1"/>
  <c r="E8" i="1" a="1"/>
  <c r="D12" i="1" a="1"/>
  <c r="B10" i="3" a="1"/>
  <c r="U4" i="3" a="1"/>
  <c r="M10" i="1"/>
  <c r="M5" i="1"/>
  <c r="V5" i="1"/>
  <c r="P6" i="1"/>
  <c r="N8" i="1"/>
  <c r="O6" i="3" a="1"/>
  <c r="D7" i="1" a="1"/>
  <c r="B6" i="3" a="1"/>
  <c r="V7" i="1"/>
  <c r="O8" i="3" a="1"/>
  <c r="Y4" i="3" a="1"/>
  <c r="H9" i="1"/>
  <c r="O9" i="3" a="1"/>
  <c r="AC2" i="3" a="1"/>
  <c r="U2" i="3" a="1"/>
  <c r="G6" i="1"/>
  <c r="N4" i="1"/>
  <c r="E12" i="1" a="1"/>
  <c r="G4" i="3" a="1"/>
  <c r="D10" i="1" a="1"/>
  <c r="G7" i="1"/>
  <c r="I7" i="3" a="1"/>
  <c r="H8" i="1"/>
  <c r="E5" i="1" a="1"/>
  <c r="P9" i="1"/>
  <c r="V6" i="1"/>
  <c r="M8" i="3" a="1"/>
  <c r="O11" i="1"/>
  <c r="D6" i="1" a="1"/>
  <c r="G6" i="3" a="1"/>
  <c r="R7" i="1"/>
  <c r="I3" i="3" a="1"/>
  <c r="AC13" i="3" a="1"/>
  <c r="T13" i="1"/>
  <c r="B7" i="3" a="1"/>
  <c r="U8" i="3" a="1"/>
  <c r="S10" i="3" a="1"/>
  <c r="U8" i="1"/>
  <c r="W9" i="3" a="1"/>
  <c r="E13" i="1" a="1"/>
  <c r="B9" i="3" a="1"/>
  <c r="O14" i="1"/>
  <c r="I12" i="3" a="1"/>
  <c r="Q10" i="1"/>
  <c r="M12" i="1"/>
  <c r="U10" i="1"/>
  <c r="Q12" i="3" a="1"/>
  <c r="H6" i="1"/>
  <c r="Q4" i="1"/>
  <c r="M9" i="1"/>
  <c r="U12" i="3" a="1"/>
  <c r="V13" i="1"/>
  <c r="O3" i="3" a="1"/>
  <c r="O13" i="1"/>
  <c r="V10" i="1"/>
  <c r="H11" i="1"/>
  <c r="N6" i="1"/>
  <c r="M9" i="3" a="1"/>
  <c r="AC10" i="3" a="1"/>
  <c r="Q13" i="3" a="1"/>
  <c r="O7" i="3" a="1"/>
  <c r="M11" i="1"/>
  <c r="G10" i="1"/>
  <c r="W11" i="3" a="1"/>
  <c r="AC8" i="3" a="1"/>
  <c r="S11" i="1"/>
  <c r="S2" i="3" a="1"/>
  <c r="W10" i="3" a="1"/>
  <c r="Q12" i="1"/>
  <c r="P8" i="1"/>
  <c r="S9" i="3" a="1"/>
  <c r="S9" i="1"/>
  <c r="Y12" i="3" a="1"/>
  <c r="P13" i="1"/>
  <c r="AC11" i="3" a="1"/>
  <c r="AA3" i="3" a="1"/>
  <c r="R10" i="1"/>
  <c r="O12" i="3" a="1"/>
  <c r="B5" i="3" a="1"/>
  <c r="S5" i="1"/>
  <c r="M11" i="3" a="1"/>
  <c r="I2" i="3" a="1"/>
  <c r="T4" i="1"/>
  <c r="I5" i="3" a="1"/>
  <c r="S5" i="3" a="1"/>
  <c r="Q8" i="3" a="1"/>
  <c r="K6" i="3" a="1"/>
  <c r="Y3" i="3" a="1"/>
  <c r="S3" i="3" a="1"/>
  <c r="G8" i="1"/>
  <c r="Q14" i="1"/>
  <c r="U11" i="3" a="1"/>
  <c r="G3" i="3" a="1"/>
  <c r="R12" i="1"/>
  <c r="T8" i="1"/>
  <c r="Y13" i="3" a="1"/>
  <c r="G12" i="3" a="1"/>
  <c r="G7" i="3" a="1"/>
  <c r="P11" i="1"/>
  <c r="E9" i="1" a="1"/>
  <c r="E7" i="1" a="1"/>
  <c r="AA9" i="3" a="1"/>
  <c r="G5" i="1"/>
  <c r="N14" i="1"/>
  <c r="N12" i="1"/>
  <c r="AC5" i="3" a="1"/>
  <c r="K10" i="3" a="1"/>
  <c r="S12" i="3" a="1"/>
  <c r="W8" i="3" a="1"/>
  <c r="T10" i="1"/>
  <c r="G10" i="3" a="1"/>
  <c r="Q7" i="1"/>
  <c r="T6" i="1"/>
  <c r="U6" i="1"/>
  <c r="Q4" i="3" a="1"/>
  <c r="M10" i="3" a="1"/>
  <c r="E14" i="1" a="1"/>
  <c r="H12" i="1"/>
  <c r="P10" i="1"/>
  <c r="D11" i="1" a="1"/>
  <c r="I9" i="3" a="1"/>
  <c r="T12" i="1"/>
  <c r="W5" i="3" a="1"/>
  <c r="U3" i="3" a="1"/>
  <c r="H7" i="1"/>
  <c r="V14" i="1"/>
  <c r="U7" i="3" a="1"/>
  <c r="Y5" i="3" a="1"/>
  <c r="N11" i="1"/>
  <c r="D3" i="1" a="1"/>
  <c r="K13" i="3" a="1"/>
  <c r="M3" i="3" a="1"/>
  <c r="S7" i="1"/>
  <c r="U12" i="1"/>
  <c r="G9" i="1"/>
  <c r="Q5" i="1"/>
  <c r="E3" i="1" a="1"/>
  <c r="B4" i="3" a="1"/>
  <c r="O2" i="3" a="1"/>
  <c r="O8" i="1"/>
  <c r="M4" i="3" a="1"/>
  <c r="S14" i="1"/>
  <c r="B5" i="207" a="1"/>
  <c r="S13" i="3" a="1"/>
  <c r="B11" i="3" a="1"/>
  <c r="G9" i="3" a="1"/>
  <c r="U11" i="1"/>
  <c r="Y8" i="3" a="1"/>
  <c r="B12" i="3" a="1"/>
  <c r="M5" i="3" a="1"/>
  <c r="U7" i="1"/>
  <c r="W4" i="3" a="1"/>
  <c r="T9" i="1"/>
  <c r="O12" i="1"/>
  <c r="S6" i="1"/>
  <c r="M12" i="3" a="1"/>
  <c r="M6" i="1"/>
  <c r="Y7" i="3" a="1"/>
  <c r="S4" i="3" a="1"/>
  <c r="AA4" i="3" a="1"/>
  <c r="I6" i="3" a="1"/>
  <c r="U5" i="3" a="1"/>
  <c r="O6" i="1"/>
  <c r="N10" i="1"/>
  <c r="Q6" i="3" a="1"/>
  <c r="K8" i="3" a="1"/>
  <c r="Q6" i="1"/>
  <c r="K7" i="3" a="1"/>
  <c r="AA11" i="3" a="1"/>
  <c r="S4" i="1"/>
  <c r="M13" i="1"/>
  <c r="W7" i="3" a="1"/>
  <c r="AC6" i="3" a="1"/>
  <c r="K9" i="3" a="1"/>
  <c r="Q10" i="3" a="1"/>
  <c r="S6" i="3" a="1"/>
  <c r="G8" i="3" a="1"/>
  <c r="P4" i="1"/>
  <c r="V12" i="1"/>
  <c r="W6" i="3" a="1"/>
  <c r="S8" i="3" a="1"/>
  <c r="U14" i="1"/>
  <c r="AA5" i="3" a="1"/>
  <c r="D13" i="1" a="1"/>
  <c r="P5" i="1"/>
  <c r="G13" i="1"/>
  <c r="G11" i="3" a="1"/>
  <c r="P7" i="1"/>
  <c r="S7" i="3" a="1"/>
  <c r="O13" i="3" a="1"/>
  <c r="O10" i="1"/>
  <c r="E11" i="1" a="1"/>
  <c r="Q5" i="3" a="1"/>
  <c r="U9" i="1"/>
  <c r="O5" i="1"/>
  <c r="R5" i="1"/>
  <c r="N5" i="1"/>
  <c r="Q2" i="3" a="1"/>
  <c r="M14" i="1"/>
  <c r="U13" i="3" a="1"/>
  <c r="M6" i="3" a="1"/>
  <c r="W3" i="3" a="1"/>
  <c r="I11" i="3" a="1"/>
  <c r="K4" i="3" a="1"/>
  <c r="AC3" i="3" a="1"/>
  <c r="U5" i="1"/>
  <c r="G13" i="3" a="1"/>
  <c r="O5" i="3" a="1"/>
  <c r="M7" i="3" a="1"/>
  <c r="I10" i="3" a="1"/>
  <c r="B9" i="3" l="1"/>
  <c r="B4" i="3"/>
  <c r="B11" i="3"/>
  <c r="B3" i="3"/>
  <c r="B13" i="3"/>
  <c r="B8" i="3"/>
  <c r="B2" i="3"/>
  <c r="B12" i="3"/>
  <c r="B5" i="3"/>
  <c r="B5" i="207"/>
  <c r="B10" i="3"/>
  <c r="B6" i="3"/>
  <c r="B7" i="3"/>
  <c r="D3" i="1"/>
  <c r="G12" i="3"/>
  <c r="D5" i="1"/>
  <c r="M4" i="3"/>
  <c r="E11" i="1"/>
  <c r="K4" i="3"/>
  <c r="U2" i="3"/>
  <c r="Y6" i="3"/>
  <c r="I2" i="3"/>
  <c r="E9" i="1"/>
  <c r="AA6" i="3"/>
  <c r="D4" i="1"/>
  <c r="Q8" i="3"/>
  <c r="K2" i="3"/>
  <c r="D6" i="1"/>
  <c r="I9" i="3"/>
  <c r="S8" i="3"/>
  <c r="M5" i="3"/>
  <c r="M13" i="3"/>
  <c r="AA7" i="3"/>
  <c r="E14" i="1"/>
  <c r="G8" i="3"/>
  <c r="I13" i="3"/>
  <c r="D9" i="1"/>
  <c r="Y13" i="3"/>
  <c r="W4" i="3"/>
  <c r="AC9" i="3"/>
  <c r="AC13" i="3"/>
  <c r="U3" i="3"/>
  <c r="D13" i="1"/>
  <c r="M6" i="3"/>
  <c r="D10" i="1"/>
  <c r="AC3" i="3"/>
  <c r="W2" i="3"/>
  <c r="Q10" i="3"/>
  <c r="AC8" i="3"/>
  <c r="K8" i="3"/>
  <c r="W8" i="3"/>
  <c r="E6" i="1"/>
  <c r="K12" i="3"/>
  <c r="O7" i="3"/>
  <c r="U5" i="3"/>
  <c r="U6" i="3"/>
  <c r="S5" i="3"/>
  <c r="AC6" i="3"/>
  <c r="G10" i="3"/>
  <c r="K3" i="3"/>
  <c r="Q9" i="3"/>
  <c r="W10" i="3"/>
  <c r="AA11" i="3"/>
  <c r="Y2" i="3"/>
  <c r="Y4" i="3"/>
  <c r="Y12" i="3"/>
  <c r="O3" i="3"/>
  <c r="AA10" i="3"/>
  <c r="E13" i="1"/>
  <c r="S3" i="3"/>
  <c r="S13" i="3"/>
  <c r="E4" i="1"/>
  <c r="E12" i="1"/>
  <c r="W12" i="3"/>
  <c r="K6" i="3"/>
  <c r="I10" i="3"/>
  <c r="Q4" i="3"/>
  <c r="G3" i="3"/>
  <c r="S12" i="3"/>
  <c r="E10" i="1"/>
  <c r="AC7" i="3"/>
  <c r="B6" i="207"/>
  <c r="R1" i="207" s="1"/>
  <c r="E3" i="1"/>
  <c r="Q3" i="3"/>
  <c r="O10" i="3"/>
  <c r="G9" i="3"/>
  <c r="K9" i="3"/>
  <c r="Y5" i="3"/>
  <c r="U8" i="3"/>
  <c r="O12" i="3"/>
  <c r="G7" i="3"/>
  <c r="U13" i="3"/>
  <c r="D7" i="1"/>
  <c r="D8" i="1"/>
  <c r="AA3" i="3"/>
  <c r="M7" i="3"/>
  <c r="W9" i="3"/>
  <c r="M3" i="3"/>
  <c r="AA9" i="3"/>
  <c r="I11" i="3"/>
  <c r="AC2" i="3"/>
  <c r="S10" i="3"/>
  <c r="M11" i="3"/>
  <c r="K10" i="3"/>
  <c r="G2" i="3"/>
  <c r="K5" i="3"/>
  <c r="G5" i="3"/>
  <c r="Q12" i="3"/>
  <c r="U10" i="3"/>
  <c r="D11" i="1"/>
  <c r="W6" i="3"/>
  <c r="Q2" i="3"/>
  <c r="S11" i="3"/>
  <c r="G6" i="3"/>
  <c r="M10" i="3"/>
  <c r="O5" i="3"/>
  <c r="S6" i="3"/>
  <c r="U7" i="3"/>
  <c r="G11" i="3"/>
  <c r="U12" i="3"/>
  <c r="AA8" i="3"/>
  <c r="I3" i="3"/>
  <c r="W5" i="3"/>
  <c r="O13" i="3"/>
  <c r="D14" i="1"/>
  <c r="AC11" i="3"/>
  <c r="Q11" i="3"/>
  <c r="U9" i="3"/>
  <c r="M8" i="3"/>
  <c r="W11" i="3"/>
  <c r="Q6" i="3"/>
  <c r="AC12" i="3"/>
  <c r="O4" i="3"/>
  <c r="E5" i="1"/>
  <c r="Q13" i="3"/>
  <c r="I6" i="3"/>
  <c r="AA12" i="3"/>
  <c r="S9" i="3"/>
  <c r="W7" i="3"/>
  <c r="Y8" i="3"/>
  <c r="W13" i="3"/>
  <c r="I4" i="3"/>
  <c r="S2" i="3"/>
  <c r="AA5" i="3"/>
  <c r="M12" i="3"/>
  <c r="E8" i="1"/>
  <c r="Q5" i="3"/>
  <c r="O2" i="3"/>
  <c r="G4" i="3"/>
  <c r="Q7" i="3"/>
  <c r="Y3" i="3"/>
  <c r="AC5" i="3"/>
  <c r="Y7" i="3"/>
  <c r="M2" i="3"/>
  <c r="AC10" i="3"/>
  <c r="AA4" i="3"/>
  <c r="AC4" i="3"/>
  <c r="I12" i="3"/>
  <c r="U11" i="3"/>
  <c r="O11" i="3"/>
  <c r="G13" i="3"/>
  <c r="I7" i="3"/>
  <c r="I8" i="3"/>
  <c r="K7" i="3"/>
  <c r="K11" i="3"/>
  <c r="AA13" i="3"/>
  <c r="Y9" i="3"/>
  <c r="Y10" i="3"/>
  <c r="O8" i="3"/>
  <c r="Y11" i="3"/>
  <c r="K13" i="3"/>
  <c r="S7" i="3"/>
  <c r="D12" i="1"/>
  <c r="O6" i="3"/>
  <c r="M9" i="3"/>
  <c r="S4" i="3"/>
  <c r="U4" i="3"/>
  <c r="AA2" i="3"/>
  <c r="I5" i="3"/>
  <c r="E7" i="1"/>
  <c r="W3" i="3"/>
  <c r="O9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Z50" i="3"/>
  <c r="Z49" i="3"/>
  <c r="Z48" i="3"/>
  <c r="Z47" i="3"/>
  <c r="Z46" i="3"/>
  <c r="Z45" i="3"/>
  <c r="Z44" i="3"/>
  <c r="Z43" i="3"/>
  <c r="Z42" i="3"/>
  <c r="Z41" i="3"/>
  <c r="Z40" i="3"/>
  <c r="Z39" i="3"/>
  <c r="Y50" i="3"/>
  <c r="Y49" i="3"/>
  <c r="Y48" i="3"/>
  <c r="Y47" i="3"/>
  <c r="Y46" i="3"/>
  <c r="Y45" i="3"/>
  <c r="Y44" i="3"/>
  <c r="Y43" i="3"/>
  <c r="Y42" i="3"/>
  <c r="Y41" i="3"/>
  <c r="Y40" i="3"/>
  <c r="Y39" i="3"/>
  <c r="X50" i="3"/>
  <c r="X49" i="3"/>
  <c r="X48" i="3"/>
  <c r="X47" i="3"/>
  <c r="X46" i="3"/>
  <c r="X45" i="3"/>
  <c r="X44" i="3"/>
  <c r="X43" i="3"/>
  <c r="X42" i="3"/>
  <c r="X41" i="3"/>
  <c r="X40" i="3"/>
  <c r="X39" i="3"/>
  <c r="W50" i="3"/>
  <c r="W49" i="3"/>
  <c r="W48" i="3"/>
  <c r="W47" i="3"/>
  <c r="W46" i="3"/>
  <c r="W45" i="3"/>
  <c r="W44" i="3"/>
  <c r="W43" i="3"/>
  <c r="W42" i="3"/>
  <c r="W41" i="3"/>
  <c r="W40" i="3"/>
  <c r="W39" i="3"/>
  <c r="V50" i="3"/>
  <c r="V49" i="3"/>
  <c r="V48" i="3"/>
  <c r="V47" i="3"/>
  <c r="V46" i="3"/>
  <c r="V45" i="3"/>
  <c r="V44" i="3"/>
  <c r="V43" i="3"/>
  <c r="V42" i="3"/>
  <c r="V41" i="3"/>
  <c r="V40" i="3"/>
  <c r="V39" i="3"/>
  <c r="U50" i="3"/>
  <c r="U49" i="3"/>
  <c r="U48" i="3"/>
  <c r="U47" i="3"/>
  <c r="U46" i="3"/>
  <c r="U45" i="3"/>
  <c r="U44" i="3"/>
  <c r="U43" i="3"/>
  <c r="U42" i="3"/>
  <c r="U41" i="3"/>
  <c r="U40" i="3"/>
  <c r="U39" i="3"/>
  <c r="B7" i="207"/>
  <c r="S1" i="207" s="1"/>
  <c r="B3" i="207"/>
  <c r="B2" i="207"/>
  <c r="N1" i="207"/>
  <c r="M1" i="207"/>
  <c r="L1" i="207"/>
  <c r="K1" i="207"/>
  <c r="J1" i="207"/>
  <c r="I1" i="207"/>
  <c r="H1" i="207"/>
  <c r="G1" i="207"/>
  <c r="F1" i="207"/>
  <c r="E1" i="207"/>
  <c r="B1" i="207"/>
  <c r="U3" i="1"/>
  <c r="V3" i="1"/>
  <c r="H3" i="1"/>
  <c r="R3" i="1"/>
  <c r="S3" i="1"/>
  <c r="O3" i="1"/>
  <c r="Q3" i="1"/>
  <c r="P3" i="1"/>
  <c r="T3" i="1"/>
  <c r="G3" i="1"/>
  <c r="N3" i="1"/>
  <c r="M3" i="1"/>
  <c r="S2" i="207" l="1"/>
  <c r="H25" i="207" s="1"/>
  <c r="X3" i="207"/>
  <c r="D7" i="207" a="1"/>
  <c r="D7" i="207" s="1"/>
  <c r="D9" i="207" a="1"/>
  <c r="D9" i="207" s="1"/>
  <c r="D6" i="207" a="1"/>
  <c r="D6" i="207" s="1"/>
  <c r="D5" i="207" a="1"/>
  <c r="D5" i="207" s="1"/>
  <c r="D12" i="207" a="1"/>
  <c r="D12" i="207" s="1"/>
  <c r="D4" i="207" a="1"/>
  <c r="D4" i="207" s="1"/>
  <c r="D11" i="207" a="1"/>
  <c r="D11" i="207" s="1"/>
  <c r="D3" i="207" a="1"/>
  <c r="D3" i="207" s="1"/>
  <c r="D10" i="207" a="1"/>
  <c r="D10" i="207" s="1"/>
  <c r="D8" i="207" a="1"/>
  <c r="D8" i="207" s="1"/>
  <c r="R2" i="207"/>
  <c r="B8" i="207"/>
  <c r="B9" i="207"/>
  <c r="H24" i="207" l="1"/>
  <c r="H27" i="207"/>
  <c r="H26" i="207"/>
  <c r="E4" i="207" a="1"/>
  <c r="E4" i="207" s="1"/>
  <c r="K4" i="207" a="1"/>
  <c r="K4" i="207" s="1"/>
  <c r="G4" i="207" a="1"/>
  <c r="G4" i="207" s="1"/>
  <c r="P4" i="207" a="1"/>
  <c r="P4" i="207" s="1"/>
  <c r="L4" i="207" a="1"/>
  <c r="L4" i="207" s="1"/>
  <c r="J4" i="207" a="1"/>
  <c r="J4" i="207" s="1"/>
  <c r="O4" i="207" a="1"/>
  <c r="O4" i="207" s="1"/>
  <c r="M4" i="207" a="1"/>
  <c r="M4" i="207" s="1"/>
  <c r="F4" i="207" a="1"/>
  <c r="F4" i="207" s="1"/>
  <c r="H4" i="207" a="1"/>
  <c r="H4" i="207" s="1"/>
  <c r="I4" i="207" a="1"/>
  <c r="I4" i="207" s="1"/>
  <c r="N4" i="207" a="1"/>
  <c r="N4" i="207" s="1"/>
  <c r="E12" i="207" a="1"/>
  <c r="E12" i="207" s="1"/>
  <c r="O12" i="207" a="1"/>
  <c r="O12" i="207" s="1"/>
  <c r="H12" i="207" a="1"/>
  <c r="H12" i="207" s="1"/>
  <c r="P12" i="207" a="1"/>
  <c r="P12" i="207" s="1"/>
  <c r="K12" i="207" a="1"/>
  <c r="K12" i="207" s="1"/>
  <c r="G12" i="207" a="1"/>
  <c r="G12" i="207" s="1"/>
  <c r="L12" i="207" a="1"/>
  <c r="L12" i="207" s="1"/>
  <c r="N12" i="207" a="1"/>
  <c r="N12" i="207" s="1"/>
  <c r="J12" i="207" a="1"/>
  <c r="J12" i="207" s="1"/>
  <c r="I12" i="207" a="1"/>
  <c r="I12" i="207" s="1"/>
  <c r="F12" i="207" a="1"/>
  <c r="F12" i="207" s="1"/>
  <c r="M12" i="207" a="1"/>
  <c r="M12" i="207" s="1"/>
  <c r="E11" i="207" a="1"/>
  <c r="E11" i="207" s="1"/>
  <c r="P11" i="207" a="1"/>
  <c r="P11" i="207" s="1"/>
  <c r="N11" i="207" a="1"/>
  <c r="N11" i="207" s="1"/>
  <c r="I11" i="207" a="1"/>
  <c r="I11" i="207" s="1"/>
  <c r="J11" i="207" a="1"/>
  <c r="J11" i="207" s="1"/>
  <c r="F11" i="207" a="1"/>
  <c r="F11" i="207" s="1"/>
  <c r="L11" i="207" a="1"/>
  <c r="L11" i="207" s="1"/>
  <c r="O11" i="207" a="1"/>
  <c r="O11" i="207" s="1"/>
  <c r="H11" i="207" a="1"/>
  <c r="H11" i="207" s="1"/>
  <c r="K11" i="207" a="1"/>
  <c r="K11" i="207" s="1"/>
  <c r="G11" i="207" a="1"/>
  <c r="G11" i="207" s="1"/>
  <c r="M11" i="207" a="1"/>
  <c r="M11" i="207" s="1"/>
  <c r="I5" i="207" a="1"/>
  <c r="I5" i="207" s="1"/>
  <c r="K5" i="207" a="1"/>
  <c r="K5" i="207" s="1"/>
  <c r="F5" i="207" a="1"/>
  <c r="F5" i="207" s="1"/>
  <c r="M5" i="207" a="1"/>
  <c r="M5" i="207" s="1"/>
  <c r="E5" i="207" a="1"/>
  <c r="E5" i="207" s="1"/>
  <c r="H5" i="207" a="1"/>
  <c r="H5" i="207" s="1"/>
  <c r="N5" i="207" a="1"/>
  <c r="N5" i="207" s="1"/>
  <c r="O5" i="207" a="1"/>
  <c r="O5" i="207" s="1"/>
  <c r="P5" i="207" a="1"/>
  <c r="P5" i="207" s="1"/>
  <c r="J5" i="207" a="1"/>
  <c r="J5" i="207" s="1"/>
  <c r="G5" i="207" a="1"/>
  <c r="G5" i="207" s="1"/>
  <c r="L5" i="207" a="1"/>
  <c r="L5" i="207" s="1"/>
  <c r="E6" i="207" a="1"/>
  <c r="E6" i="207" s="1"/>
  <c r="J6" i="207" a="1"/>
  <c r="J6" i="207" s="1"/>
  <c r="O6" i="207" a="1"/>
  <c r="O6" i="207" s="1"/>
  <c r="I6" i="207" a="1"/>
  <c r="I6" i="207" s="1"/>
  <c r="F6" i="207" a="1"/>
  <c r="F6" i="207" s="1"/>
  <c r="M6" i="207" a="1"/>
  <c r="M6" i="207" s="1"/>
  <c r="P6" i="207" a="1"/>
  <c r="P6" i="207" s="1"/>
  <c r="K6" i="207" a="1"/>
  <c r="K6" i="207" s="1"/>
  <c r="L6" i="207" a="1"/>
  <c r="L6" i="207" s="1"/>
  <c r="N6" i="207" a="1"/>
  <c r="N6" i="207" s="1"/>
  <c r="G6" i="207" a="1"/>
  <c r="G6" i="207" s="1"/>
  <c r="H6" i="207" a="1"/>
  <c r="H6" i="207" s="1"/>
  <c r="J3" i="207" a="1"/>
  <c r="J3" i="207" s="1"/>
  <c r="G3" i="207" a="1"/>
  <c r="G3" i="207" s="1"/>
  <c r="L3" i="207" a="1"/>
  <c r="L3" i="207" s="1"/>
  <c r="O3" i="207" a="1"/>
  <c r="O3" i="207" s="1"/>
  <c r="N3" i="207" a="1"/>
  <c r="N3" i="207" s="1"/>
  <c r="P3" i="207" a="1"/>
  <c r="P3" i="207" s="1"/>
  <c r="F3" i="207" a="1"/>
  <c r="F3" i="207" s="1"/>
  <c r="K3" i="207" a="1"/>
  <c r="K3" i="207" s="1"/>
  <c r="H3" i="207" a="1"/>
  <c r="H3" i="207" s="1"/>
  <c r="I3" i="207" a="1"/>
  <c r="I3" i="207" s="1"/>
  <c r="M3" i="207" a="1"/>
  <c r="M3" i="207" s="1"/>
  <c r="E8" i="207" a="1"/>
  <c r="E8" i="207" s="1"/>
  <c r="L8" i="207" a="1"/>
  <c r="L8" i="207" s="1"/>
  <c r="J8" i="207" a="1"/>
  <c r="J8" i="207" s="1"/>
  <c r="G8" i="207" a="1"/>
  <c r="G8" i="207" s="1"/>
  <c r="I8" i="207" a="1"/>
  <c r="I8" i="207" s="1"/>
  <c r="N8" i="207" a="1"/>
  <c r="N8" i="207" s="1"/>
  <c r="F8" i="207" a="1"/>
  <c r="F8" i="207" s="1"/>
  <c r="K8" i="207" a="1"/>
  <c r="K8" i="207" s="1"/>
  <c r="M8" i="207" a="1"/>
  <c r="M8" i="207" s="1"/>
  <c r="P8" i="207" a="1"/>
  <c r="P8" i="207" s="1"/>
  <c r="H8" i="207" a="1"/>
  <c r="H8" i="207" s="1"/>
  <c r="O8" i="207" a="1"/>
  <c r="O8" i="207" s="1"/>
  <c r="E9" i="207" a="1"/>
  <c r="E9" i="207" s="1"/>
  <c r="F9" i="207" a="1"/>
  <c r="F9" i="207" s="1"/>
  <c r="H9" i="207" a="1"/>
  <c r="H9" i="207" s="1"/>
  <c r="K9" i="207" a="1"/>
  <c r="K9" i="207" s="1"/>
  <c r="P9" i="207" a="1"/>
  <c r="P9" i="207" s="1"/>
  <c r="J9" i="207" a="1"/>
  <c r="J9" i="207" s="1"/>
  <c r="L9" i="207" a="1"/>
  <c r="L9" i="207" s="1"/>
  <c r="O9" i="207" a="1"/>
  <c r="O9" i="207" s="1"/>
  <c r="N9" i="207" a="1"/>
  <c r="N9" i="207" s="1"/>
  <c r="G9" i="207" a="1"/>
  <c r="G9" i="207" s="1"/>
  <c r="M9" i="207" a="1"/>
  <c r="M9" i="207" s="1"/>
  <c r="I9" i="207" a="1"/>
  <c r="I9" i="207" s="1"/>
  <c r="E10" i="207" a="1"/>
  <c r="E10" i="207" s="1"/>
  <c r="G10" i="207" a="1"/>
  <c r="G10" i="207" s="1"/>
  <c r="H10" i="207" a="1"/>
  <c r="H10" i="207" s="1"/>
  <c r="I10" i="207" a="1"/>
  <c r="I10" i="207" s="1"/>
  <c r="M10" i="207" a="1"/>
  <c r="M10" i="207" s="1"/>
  <c r="K10" i="207" a="1"/>
  <c r="K10" i="207" s="1"/>
  <c r="P10" i="207" a="1"/>
  <c r="P10" i="207" s="1"/>
  <c r="N10" i="207" a="1"/>
  <c r="N10" i="207" s="1"/>
  <c r="L10" i="207" a="1"/>
  <c r="L10" i="207" s="1"/>
  <c r="J10" i="207" a="1"/>
  <c r="J10" i="207" s="1"/>
  <c r="F10" i="207" a="1"/>
  <c r="F10" i="207" s="1"/>
  <c r="O10" i="207" a="1"/>
  <c r="O10" i="207" s="1"/>
  <c r="E7" i="207" a="1"/>
  <c r="E7" i="207" s="1"/>
  <c r="K7" i="207" a="1"/>
  <c r="K7" i="207" s="1"/>
  <c r="I7" i="207" a="1"/>
  <c r="I7" i="207" s="1"/>
  <c r="F7" i="207" a="1"/>
  <c r="F7" i="207" s="1"/>
  <c r="O7" i="207" a="1"/>
  <c r="O7" i="207" s="1"/>
  <c r="M7" i="207" a="1"/>
  <c r="M7" i="207" s="1"/>
  <c r="G7" i="207" a="1"/>
  <c r="G7" i="207" s="1"/>
  <c r="H7" i="207" a="1"/>
  <c r="H7" i="207" s="1"/>
  <c r="L7" i="207" a="1"/>
  <c r="L7" i="207" s="1"/>
  <c r="J7" i="207" a="1"/>
  <c r="J7" i="207" s="1"/>
  <c r="N7" i="207" a="1"/>
  <c r="N7" i="207" s="1"/>
  <c r="P7" i="207" a="1"/>
  <c r="P7" i="207" s="1"/>
  <c r="U15" i="1" a="1"/>
  <c r="U15" i="1" s="1"/>
  <c r="T15" i="1" a="1"/>
  <c r="T15" i="1" s="1"/>
  <c r="S15" i="1" a="1"/>
  <c r="S15" i="1" s="1"/>
  <c r="R15" i="1" a="1"/>
  <c r="R15" i="1" s="1"/>
  <c r="M13" i="207" l="1"/>
  <c r="M14" i="207" s="1"/>
  <c r="O13" i="207"/>
  <c r="O14" i="207" s="1"/>
  <c r="Q7" i="207"/>
  <c r="Q9" i="207"/>
  <c r="E13" i="207"/>
  <c r="E14" i="207" s="1"/>
  <c r="Q3" i="207"/>
  <c r="J13" i="207"/>
  <c r="J14" i="207" s="1"/>
  <c r="Q12" i="207"/>
  <c r="G13" i="207"/>
  <c r="G14" i="207" s="1"/>
  <c r="K13" i="207"/>
  <c r="K14" i="207" s="1"/>
  <c r="L13" i="207"/>
  <c r="L14" i="207" s="1"/>
  <c r="H13" i="207"/>
  <c r="H14" i="207" s="1"/>
  <c r="F13" i="207"/>
  <c r="F14" i="207" s="1"/>
  <c r="P13" i="207"/>
  <c r="P14" i="207" s="1"/>
  <c r="I13" i="207"/>
  <c r="I14" i="207" s="1"/>
  <c r="Q10" i="207"/>
  <c r="Q8" i="207"/>
  <c r="N13" i="207"/>
  <c r="N14" i="207" s="1"/>
  <c r="Q6" i="207"/>
  <c r="Q5" i="207"/>
  <c r="Q11" i="207"/>
  <c r="Q4" i="207"/>
  <c r="V15" i="1" a="1"/>
  <c r="V15" i="1" s="1"/>
  <c r="W6" i="1" a="1"/>
  <c r="W6" i="1" s="1"/>
  <c r="Q13" i="207" l="1"/>
  <c r="Q14" i="207" s="1"/>
  <c r="C13" i="3"/>
  <c r="C3" i="3"/>
  <c r="C4" i="3"/>
  <c r="C5" i="3"/>
  <c r="C6" i="3"/>
  <c r="C7" i="3"/>
  <c r="C8" i="3"/>
  <c r="C9" i="3"/>
  <c r="C10" i="3"/>
  <c r="C11" i="3"/>
  <c r="C12" i="3"/>
  <c r="C2" i="3"/>
  <c r="B17" i="3"/>
  <c r="B16" i="3"/>
  <c r="B15" i="3"/>
  <c r="AC14" i="3"/>
  <c r="AA14" i="3"/>
  <c r="Y14" i="3"/>
  <c r="W14" i="3"/>
  <c r="U14" i="3"/>
  <c r="S14" i="3"/>
  <c r="Q14" i="3"/>
  <c r="O14" i="3"/>
  <c r="M14" i="3"/>
  <c r="K14" i="3"/>
  <c r="I14" i="3"/>
  <c r="G14" i="3"/>
  <c r="F2" i="3" l="1"/>
  <c r="C14" i="3"/>
  <c r="W10" i="1" l="1" a="1"/>
  <c r="W10" i="1" s="1"/>
  <c r="W11" i="1" a="1"/>
  <c r="W11" i="1" s="1"/>
  <c r="W12" i="1" a="1"/>
  <c r="W12" i="1" s="1"/>
  <c r="W8" i="1" a="1"/>
  <c r="W8" i="1" s="1"/>
  <c r="W13" i="1" a="1"/>
  <c r="W13" i="1" s="1"/>
  <c r="W14" i="1" a="1"/>
  <c r="W14" i="1" s="1"/>
  <c r="W9" i="1" a="1"/>
  <c r="W9" i="1" s="1"/>
  <c r="W7" i="1" a="1"/>
  <c r="W7" i="1" s="1"/>
  <c r="W5" i="1" a="1"/>
  <c r="W5" i="1" s="1"/>
  <c r="W4" i="1" a="1"/>
  <c r="W4" i="1" s="1"/>
  <c r="O15" i="1" a="1"/>
  <c r="O15" i="1" s="1"/>
  <c r="N15" i="1" a="1"/>
  <c r="N15" i="1" s="1"/>
  <c r="P15" i="1" a="1"/>
  <c r="P15" i="1" s="1"/>
  <c r="Q15" i="1" a="1"/>
  <c r="Q15" i="1" s="1"/>
  <c r="D15" i="1" a="1"/>
  <c r="D15" i="1" s="1"/>
  <c r="G15" i="1" a="1"/>
  <c r="G15" i="1" s="1"/>
  <c r="H15" i="1" a="1"/>
  <c r="H15" i="1" s="1"/>
  <c r="E15" i="1" a="1"/>
  <c r="E15" i="1" s="1"/>
  <c r="J15" i="1" s="1"/>
  <c r="C15" i="1" a="1"/>
  <c r="C15" i="1" s="1"/>
  <c r="J7" i="1"/>
  <c r="F7" i="1"/>
  <c r="F6" i="3"/>
  <c r="J5" i="1"/>
  <c r="F4" i="3"/>
  <c r="F5" i="1"/>
  <c r="J9" i="1"/>
  <c r="F8" i="3"/>
  <c r="F9" i="1"/>
  <c r="J13" i="1"/>
  <c r="F12" i="3"/>
  <c r="F13" i="1"/>
  <c r="F5" i="3"/>
  <c r="F6" i="1"/>
  <c r="J6" i="1"/>
  <c r="F3" i="3"/>
  <c r="F4" i="1"/>
  <c r="J4" i="1"/>
  <c r="F14" i="1"/>
  <c r="J14" i="1"/>
  <c r="F13" i="3"/>
  <c r="F7" i="3"/>
  <c r="F8" i="1"/>
  <c r="J8" i="1"/>
  <c r="F9" i="3"/>
  <c r="F10" i="1"/>
  <c r="J10" i="1"/>
  <c r="F12" i="1"/>
  <c r="F11" i="3"/>
  <c r="J12" i="1"/>
  <c r="J11" i="1"/>
  <c r="F11" i="1"/>
  <c r="F10" i="3"/>
  <c r="F3" i="1"/>
  <c r="J3" i="1"/>
  <c r="I8" i="1"/>
  <c r="I4" i="1"/>
  <c r="I10" i="1"/>
  <c r="I14" i="1"/>
  <c r="I12" i="1"/>
  <c r="I11" i="1"/>
  <c r="I7" i="1"/>
  <c r="I6" i="1"/>
  <c r="I5" i="1"/>
  <c r="I9" i="1"/>
  <c r="I13" i="1"/>
  <c r="I3" i="1"/>
  <c r="F15" i="1" l="1" a="1"/>
  <c r="F15" i="1" s="1"/>
  <c r="F16" i="1" s="1"/>
  <c r="K14" i="1"/>
  <c r="K8" i="1"/>
  <c r="K4" i="1"/>
  <c r="K7" i="1"/>
  <c r="K6" i="1"/>
  <c r="K11" i="1"/>
  <c r="K13" i="1"/>
  <c r="K9" i="1"/>
  <c r="K12" i="1"/>
  <c r="K10" i="1"/>
  <c r="K5" i="1"/>
  <c r="J16" i="1"/>
  <c r="K3" i="1"/>
  <c r="T12" i="3"/>
  <c r="Q45" i="3" s="1"/>
  <c r="N12" i="3"/>
  <c r="Q42" i="3" s="1"/>
  <c r="V12" i="3"/>
  <c r="H12" i="3"/>
  <c r="Q39" i="3" s="1"/>
  <c r="X12" i="3"/>
  <c r="J12" i="3"/>
  <c r="Q40" i="3" s="1"/>
  <c r="P12" i="3"/>
  <c r="Q43" i="3" s="1"/>
  <c r="L12" i="3"/>
  <c r="Q41" i="3" s="1"/>
  <c r="R12" i="3"/>
  <c r="Q44" i="3" s="1"/>
  <c r="H2" i="3"/>
  <c r="G39" i="3" s="1"/>
  <c r="X2" i="3"/>
  <c r="T2" i="3"/>
  <c r="G45" i="3" s="1"/>
  <c r="J2" i="3"/>
  <c r="G40" i="3" s="1"/>
  <c r="L2" i="3"/>
  <c r="G41" i="3" s="1"/>
  <c r="N2" i="3"/>
  <c r="G42" i="3" s="1"/>
  <c r="P2" i="3"/>
  <c r="G43" i="3" s="1"/>
  <c r="R2" i="3"/>
  <c r="G44" i="3" s="1"/>
  <c r="V2" i="3"/>
  <c r="P6" i="3"/>
  <c r="K43" i="3" s="1"/>
  <c r="R6" i="3"/>
  <c r="K44" i="3" s="1"/>
  <c r="T6" i="3"/>
  <c r="K45" i="3" s="1"/>
  <c r="J6" i="3"/>
  <c r="K40" i="3" s="1"/>
  <c r="V6" i="3"/>
  <c r="H6" i="3"/>
  <c r="K39" i="3" s="1"/>
  <c r="X6" i="3"/>
  <c r="L6" i="3"/>
  <c r="K41" i="3" s="1"/>
  <c r="N6" i="3"/>
  <c r="K42" i="3" s="1"/>
  <c r="H10" i="3"/>
  <c r="O39" i="3" s="1"/>
  <c r="X10" i="3"/>
  <c r="J10" i="3"/>
  <c r="O40" i="3" s="1"/>
  <c r="L10" i="3"/>
  <c r="O41" i="3" s="1"/>
  <c r="N10" i="3"/>
  <c r="O42" i="3" s="1"/>
  <c r="P10" i="3"/>
  <c r="O43" i="3" s="1"/>
  <c r="T10" i="3"/>
  <c r="O45" i="3" s="1"/>
  <c r="V10" i="3"/>
  <c r="R10" i="3"/>
  <c r="O44" i="3" s="1"/>
  <c r="J9" i="3"/>
  <c r="N40" i="3" s="1"/>
  <c r="T9" i="3"/>
  <c r="N45" i="3" s="1"/>
  <c r="V9" i="3"/>
  <c r="L9" i="3"/>
  <c r="N41" i="3" s="1"/>
  <c r="N9" i="3"/>
  <c r="N42" i="3" s="1"/>
  <c r="P9" i="3"/>
  <c r="N43" i="3" s="1"/>
  <c r="R9" i="3"/>
  <c r="N44" i="3" s="1"/>
  <c r="H9" i="3"/>
  <c r="N39" i="3" s="1"/>
  <c r="X9" i="3"/>
  <c r="V3" i="3"/>
  <c r="H3" i="3"/>
  <c r="H39" i="3" s="1"/>
  <c r="X3" i="3"/>
  <c r="J3" i="3"/>
  <c r="L3" i="3"/>
  <c r="H41" i="3" s="1"/>
  <c r="P3" i="3"/>
  <c r="H43" i="3" s="1"/>
  <c r="N3" i="3"/>
  <c r="H42" i="3" s="1"/>
  <c r="R3" i="3"/>
  <c r="H44" i="3" s="1"/>
  <c r="T3" i="3"/>
  <c r="H45" i="3" s="1"/>
  <c r="L8" i="3"/>
  <c r="M41" i="3" s="1"/>
  <c r="N8" i="3"/>
  <c r="M42" i="3" s="1"/>
  <c r="X8" i="3"/>
  <c r="P8" i="3"/>
  <c r="M43" i="3" s="1"/>
  <c r="R8" i="3"/>
  <c r="M44" i="3" s="1"/>
  <c r="H8" i="3"/>
  <c r="M39" i="3" s="1"/>
  <c r="T8" i="3"/>
  <c r="M45" i="3" s="1"/>
  <c r="V8" i="3"/>
  <c r="J8" i="3"/>
  <c r="M40" i="3" s="1"/>
  <c r="N7" i="3"/>
  <c r="L42" i="3" s="1"/>
  <c r="H7" i="3"/>
  <c r="L39" i="3" s="1"/>
  <c r="P7" i="3"/>
  <c r="L43" i="3" s="1"/>
  <c r="R7" i="3"/>
  <c r="L44" i="3" s="1"/>
  <c r="T7" i="3"/>
  <c r="L45" i="3" s="1"/>
  <c r="V7" i="3"/>
  <c r="X7" i="3"/>
  <c r="L7" i="3"/>
  <c r="L41" i="3" s="1"/>
  <c r="J7" i="3"/>
  <c r="L40" i="3" s="1"/>
  <c r="V11" i="3"/>
  <c r="P11" i="3"/>
  <c r="P43" i="3" s="1"/>
  <c r="H11" i="3"/>
  <c r="P39" i="3" s="1"/>
  <c r="X11" i="3"/>
  <c r="J11" i="3"/>
  <c r="P40" i="3" s="1"/>
  <c r="R11" i="3"/>
  <c r="P44" i="3" s="1"/>
  <c r="L11" i="3"/>
  <c r="P41" i="3" s="1"/>
  <c r="N11" i="3"/>
  <c r="P42" i="3" s="1"/>
  <c r="T11" i="3"/>
  <c r="P45" i="3" s="1"/>
  <c r="R13" i="3"/>
  <c r="R44" i="3" s="1"/>
  <c r="T13" i="3"/>
  <c r="R45" i="3" s="1"/>
  <c r="N13" i="3"/>
  <c r="R42" i="3" s="1"/>
  <c r="V13" i="3"/>
  <c r="H13" i="3"/>
  <c r="R39" i="3" s="1"/>
  <c r="X13" i="3"/>
  <c r="L13" i="3"/>
  <c r="R41" i="3" s="1"/>
  <c r="J13" i="3"/>
  <c r="R40" i="3" s="1"/>
  <c r="P13" i="3"/>
  <c r="R43" i="3" s="1"/>
  <c r="R5" i="3"/>
  <c r="J44" i="3" s="1"/>
  <c r="T5" i="3"/>
  <c r="J45" i="3" s="1"/>
  <c r="L5" i="3"/>
  <c r="J41" i="3" s="1"/>
  <c r="V5" i="3"/>
  <c r="N5" i="3"/>
  <c r="J42" i="3" s="1"/>
  <c r="H5" i="3"/>
  <c r="J39" i="3" s="1"/>
  <c r="X5" i="3"/>
  <c r="J5" i="3"/>
  <c r="J40" i="3" s="1"/>
  <c r="P5" i="3"/>
  <c r="J43" i="3" s="1"/>
  <c r="T4" i="3"/>
  <c r="I45" i="3" s="1"/>
  <c r="V4" i="3"/>
  <c r="H4" i="3"/>
  <c r="I39" i="3" s="1"/>
  <c r="X4" i="3"/>
  <c r="J4" i="3"/>
  <c r="I40" i="3" s="1"/>
  <c r="L4" i="3"/>
  <c r="I41" i="3" s="1"/>
  <c r="R4" i="3"/>
  <c r="I44" i="3" s="1"/>
  <c r="N4" i="3"/>
  <c r="I42" i="3" s="1"/>
  <c r="P4" i="3"/>
  <c r="I43" i="3" s="1"/>
  <c r="I15" i="1" a="1"/>
  <c r="I15" i="1" s="1"/>
  <c r="K15" i="1" a="1"/>
  <c r="K15" i="1" s="1"/>
  <c r="H16" i="1"/>
  <c r="G16" i="1"/>
  <c r="AD4" i="3"/>
  <c r="D4" i="3"/>
  <c r="E4" i="3" s="1"/>
  <c r="Z4" i="3"/>
  <c r="AB4" i="3"/>
  <c r="Z3" i="3"/>
  <c r="AB3" i="3"/>
  <c r="AD3" i="3"/>
  <c r="D3" i="3"/>
  <c r="E3" i="3" s="1"/>
  <c r="AD10" i="3"/>
  <c r="Z10" i="3"/>
  <c r="AB10" i="3"/>
  <c r="D10" i="3"/>
  <c r="E10" i="3" s="1"/>
  <c r="Z13" i="3"/>
  <c r="AB13" i="3"/>
  <c r="AD13" i="3"/>
  <c r="D13" i="3"/>
  <c r="E13" i="3" s="1"/>
  <c r="AD8" i="3"/>
  <c r="Z8" i="3"/>
  <c r="D8" i="3"/>
  <c r="E8" i="3" s="1"/>
  <c r="AB8" i="3"/>
  <c r="AD6" i="3"/>
  <c r="Z6" i="3"/>
  <c r="AB6" i="3"/>
  <c r="D6" i="3"/>
  <c r="E6" i="3" s="1"/>
  <c r="D12" i="3"/>
  <c r="E12" i="3" s="1"/>
  <c r="AB12" i="3"/>
  <c r="Z12" i="3"/>
  <c r="AD12" i="3"/>
  <c r="AB11" i="3"/>
  <c r="AD11" i="3"/>
  <c r="Z11" i="3"/>
  <c r="D11" i="3"/>
  <c r="E11" i="3" s="1"/>
  <c r="AB7" i="3"/>
  <c r="AD7" i="3"/>
  <c r="D7" i="3"/>
  <c r="E7" i="3" s="1"/>
  <c r="Z7" i="3"/>
  <c r="AB9" i="3"/>
  <c r="Z9" i="3"/>
  <c r="AD9" i="3"/>
  <c r="D9" i="3"/>
  <c r="E9" i="3" s="1"/>
  <c r="Z5" i="3"/>
  <c r="AD5" i="3"/>
  <c r="AB5" i="3"/>
  <c r="D5" i="3"/>
  <c r="E5" i="3" s="1"/>
  <c r="E16" i="1"/>
  <c r="D16" i="1"/>
  <c r="AB2" i="3"/>
  <c r="D2" i="3"/>
  <c r="E2" i="3" s="1"/>
  <c r="Z2" i="3"/>
  <c r="AD2" i="3"/>
  <c r="F14" i="3"/>
  <c r="H14" i="3" s="1"/>
  <c r="Q50" i="3" l="1"/>
  <c r="G49" i="3"/>
  <c r="H50" i="3"/>
  <c r="M47" i="3"/>
  <c r="K48" i="3"/>
  <c r="H48" i="3"/>
  <c r="O46" i="3"/>
  <c r="P46" i="3"/>
  <c r="R50" i="3"/>
  <c r="I49" i="3"/>
  <c r="P47" i="3"/>
  <c r="J49" i="3"/>
  <c r="J48" i="3"/>
  <c r="I50" i="3"/>
  <c r="N48" i="3"/>
  <c r="G46" i="3"/>
  <c r="L47" i="3"/>
  <c r="N49" i="3"/>
  <c r="R49" i="3"/>
  <c r="H46" i="3"/>
  <c r="R48" i="3"/>
  <c r="R46" i="3"/>
  <c r="N47" i="3"/>
  <c r="K47" i="3"/>
  <c r="Q47" i="3"/>
  <c r="Q48" i="3"/>
  <c r="Q49" i="3"/>
  <c r="K50" i="3"/>
  <c r="M49" i="3"/>
  <c r="G47" i="3"/>
  <c r="M48" i="3"/>
  <c r="M50" i="3"/>
  <c r="L46" i="3"/>
  <c r="O47" i="3"/>
  <c r="H47" i="3"/>
  <c r="N46" i="3"/>
  <c r="J47" i="3"/>
  <c r="J50" i="3"/>
  <c r="J46" i="3"/>
  <c r="N50" i="3"/>
  <c r="L48" i="3"/>
  <c r="L50" i="3"/>
  <c r="P48" i="3"/>
  <c r="O49" i="3"/>
  <c r="I47" i="3"/>
  <c r="K46" i="3"/>
  <c r="Q46" i="3"/>
  <c r="H49" i="3"/>
  <c r="K49" i="3"/>
  <c r="I48" i="3"/>
  <c r="R47" i="3"/>
  <c r="L49" i="3"/>
  <c r="P50" i="3"/>
  <c r="M46" i="3"/>
  <c r="G50" i="3"/>
  <c r="O48" i="3"/>
  <c r="G48" i="3"/>
  <c r="P49" i="3"/>
  <c r="O50" i="3"/>
  <c r="I46" i="3"/>
  <c r="K16" i="1"/>
  <c r="R16" i="1"/>
  <c r="S16" i="1"/>
  <c r="T16" i="1"/>
  <c r="U16" i="1"/>
  <c r="V16" i="1"/>
  <c r="H40" i="3"/>
  <c r="Q16" i="1"/>
  <c r="N16" i="1"/>
  <c r="P16" i="1"/>
  <c r="O16" i="1"/>
  <c r="I16" i="1"/>
  <c r="P14" i="3"/>
  <c r="S43" i="3" s="1"/>
  <c r="R14" i="3"/>
  <c r="S44" i="3" s="1"/>
  <c r="N14" i="3"/>
  <c r="S42" i="3" s="1"/>
  <c r="V14" i="3"/>
  <c r="AD14" i="3"/>
  <c r="Z14" i="3"/>
  <c r="S39" i="3"/>
  <c r="AB14" i="3"/>
  <c r="X14" i="3"/>
  <c r="D14" i="3"/>
  <c r="E14" i="3" s="1"/>
  <c r="T14" i="3"/>
  <c r="S45" i="3" s="1"/>
  <c r="J14" i="3"/>
  <c r="S40" i="3" s="1"/>
  <c r="L14" i="3"/>
  <c r="S41" i="3" s="1"/>
  <c r="S47" i="3" l="1"/>
  <c r="S48" i="3"/>
  <c r="S50" i="3"/>
  <c r="S46" i="3"/>
  <c r="S49" i="3"/>
  <c r="M15" i="1" a="1"/>
  <c r="M15" i="1" s="1"/>
  <c r="M16" i="1" s="1"/>
  <c r="W3" i="1" a="1"/>
  <c r="W3" i="1" s="1"/>
  <c r="W15" i="1" l="1" a="1"/>
  <c r="W15" i="1" s="1"/>
  <c r="W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tc={FBD70714-D0BB-4AA6-BE65-3EED5D437171}</author>
    <author>tc={BEEF2C17-5866-4F24-BA73-D4FBD2E5754A}</author>
    <author>tc={0A15DBED-F0B4-4A1F-B367-1AC56AF1364F}</author>
    <author>tc={CDA59AD5-66A8-4316-9310-A9E77F6B23A5}</author>
  </authors>
  <commentList>
    <comment ref="M2" authorId="0" shapeId="0" xr:uid="{FBD70714-D0BB-4AA6-BE65-3EED5D43717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Initialisation : remplir le nom des candidats</t>
      </text>
    </comment>
    <comment ref="B3" authorId="1" shapeId="0" xr:uid="{BEEF2C17-5866-4F24-BA73-D4FBD2E5754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Modifier ici le nom des bureaux de vote</t>
      </text>
    </comment>
    <comment ref="C3" authorId="2" shapeId="0" xr:uid="{0A15DBED-F0B4-4A1F-B367-1AC56AF1364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Modifier ici le nombre d’électeurs inscrits</t>
      </text>
    </comment>
    <comment ref="B17" authorId="3" shapeId="0" xr:uid="{CDA59AD5-66A8-4316-9310-A9E77F6B23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Initialisation : Mettre à jour la date et le type d'élection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tc={BFCB494A-5EEE-4582-8D8D-D7FC9A33F3A8}</author>
    <author>tc={949660B2-4E61-494B-8030-5A8D962E3720}</author>
  </authors>
  <commentList>
    <comment ref="C1" authorId="0" shapeId="0" xr:uid="{BFCB494A-5EEE-4582-8D8D-D7FC9A33F3A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distribuées</t>
      </text>
    </comment>
    <comment ref="AA14" authorId="1" shapeId="0" xr:uid="{949660B2-4E61-494B-8030-5A8D962E372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Si la case est jaune c'est que la participation est inférieure à l'heure précédente, c'est impossible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tc={08F8DE15-E65E-405C-BD70-CD5CC9352982}</author>
    <author>tc={A15FBCB5-FD76-4826-BB4C-054DADBFA826}</author>
    <author>tc={AA638E6D-49D1-4043-9EFD-C0E3D803BB67}</author>
    <author>tc={ACF1A81E-2998-4EC0-8307-A9D926109C8A}</author>
    <author>tc={91428695-3F91-47F7-BE76-93129AF95A1B}</author>
    <author>tc={19B9FF00-A3AE-44DA-BA5F-9A4078FC5682}</author>
    <author>tc={BBD07137-23AC-4674-9BB3-E06EC3B50663}</author>
    <author>tc={5A7C730A-D4D7-4695-B11A-94FB42D672FC}</author>
    <author>tc={A08C5D88-3E60-4C52-92D0-CA1200B7F72C}</author>
    <author>tc={72041112-5565-4C53-82FA-FD1FA52941D9}</author>
  </authors>
  <commentList>
    <comment ref="R1" authorId="0" shapeId="0" xr:uid="{08F8DE15-E65E-405C-BD70-CD5CC935298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A15FBCB5-FD76-4826-BB4C-054DADBFA82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AA638E6D-49D1-4043-9EFD-C0E3D803BB6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ACF1A81E-2998-4EC0-8307-A9D926109C8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91428695-3F91-47F7-BE76-93129AF95A1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19B9FF00-A3AE-44DA-BA5F-9A4078FC568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BBD07137-23AC-4674-9BB3-E06EC3B5066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5A7C730A-D4D7-4695-B11A-94FB42D672F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A08C5D88-3E60-4C52-92D0-CA1200B7F72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72041112-5565-4C53-82FA-FD1FA52941D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tc={BD3C10F1-FEEF-4E9E-94C9-D4F9E0A553EB}</author>
    <author>tc={8635CE1D-3F46-42B6-AEEE-24746F82AF72}</author>
    <author>tc={2FCCA48F-2713-4355-98C8-DDE96C91DF85}</author>
    <author>tc={D1C968E7-4EBA-455E-9F8B-28FA89205B94}</author>
    <author>tc={46628604-0487-48E5-9F91-EB4DC295F616}</author>
    <author>tc={3C2CC6FF-8C99-4A54-98E3-A431EBC691A8}</author>
    <author>tc={93982A39-4621-44E5-8C69-626D3330A120}</author>
    <author>tc={E1A34A79-66F1-423A-99B8-E0FFB0DFE7CF}</author>
    <author>tc={7CCA1500-31AA-4CA5-A934-61260FF84EC0}</author>
    <author>tc={F45EA83B-F2A7-4B0E-A9DC-7FB934E46695}</author>
  </authors>
  <commentList>
    <comment ref="R1" authorId="0" shapeId="0" xr:uid="{BD3C10F1-FEEF-4E9E-94C9-D4F9E0A553E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8635CE1D-3F46-42B6-AEEE-24746F82AF7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2FCCA48F-2713-4355-98C8-DDE96C91DF8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D1C968E7-4EBA-455E-9F8B-28FA89205B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46628604-0487-48E5-9F91-EB4DC295F61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3C2CC6FF-8C99-4A54-98E3-A431EBC691A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93982A39-4621-44E5-8C69-626D3330A12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E1A34A79-66F1-423A-99B8-E0FFB0DFE7C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7CCA1500-31AA-4CA5-A934-61260FF84EC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F45EA83B-F2A7-4B0E-A9DC-7FB934E4669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tc={129C4D29-6700-4301-8AE5-FF5CEAB4D36E}</author>
    <author>tc={6135AB27-90BF-4B6A-82A7-0D94A181643A}</author>
    <author>tc={219A6C66-F781-4EDB-8655-BA168006A179}</author>
    <author>tc={91D6EA49-7E6D-452D-8511-165428B81F09}</author>
    <author>tc={BA8937CC-0D9B-4383-9E3E-06DF160D56B9}</author>
    <author>tc={3ED6B50A-AD03-4DC4-A431-EFC81CB93FE1}</author>
    <author>tc={4888A2A2-468A-4022-8D31-B7141C4353A7}</author>
    <author>tc={114364D1-F675-42DF-817C-8ADDBE2F5143}</author>
    <author>tc={85DC4B5F-CA73-41CB-940F-7F4C26F73941}</author>
    <author>tc={838C5344-B579-4E5F-9C35-71E5FA99265A}</author>
  </authors>
  <commentList>
    <comment ref="R1" authorId="0" shapeId="0" xr:uid="{129C4D29-6700-4301-8AE5-FF5CEAB4D36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6135AB27-90BF-4B6A-82A7-0D94A181643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219A6C66-F781-4EDB-8655-BA168006A17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91D6EA49-7E6D-452D-8511-165428B81F0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BA8937CC-0D9B-4383-9E3E-06DF160D56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3ED6B50A-AD03-4DC4-A431-EFC81CB93FE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4888A2A2-468A-4022-8D31-B7141C4353A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114364D1-F675-42DF-817C-8ADDBE2F514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85DC4B5F-CA73-41CB-940F-7F4C26F7394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838C5344-B579-4E5F-9C35-71E5FA99265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tc={BEC7923C-26FE-4A4E-ABD7-2F324CE135A8}</author>
    <author>tc={BABFBE00-B062-4239-9B1C-E6EB5F8C8157}</author>
    <author>tc={74AC25D6-C9C5-4EC5-B60E-E2890CE81BAB}</author>
    <author>tc={21549F90-5CB3-4DAC-8667-8DAA7E599AA9}</author>
    <author>tc={36654956-8993-4B62-833B-8A88A935B406}</author>
    <author>tc={09DE0461-FAAA-4958-925F-16B2B0ADC0DC}</author>
    <author>tc={9C178F4B-591C-4A6A-ACAD-AA4043EF9F29}</author>
    <author>tc={900C3C2D-E425-496D-B35D-3100D814E67F}</author>
    <author>tc={28213532-54ED-48B4-A245-D77F7503450D}</author>
    <author>tc={BBFC098B-0517-4F80-8E11-4997B54F5A82}</author>
  </authors>
  <commentList>
    <comment ref="R1" authorId="0" shapeId="0" xr:uid="{BEC7923C-26FE-4A4E-ABD7-2F324CE135A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BABFBE00-B062-4239-9B1C-E6EB5F8C815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74AC25D6-C9C5-4EC5-B60E-E2890CE81BA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21549F90-5CB3-4DAC-8667-8DAA7E599AA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36654956-8993-4B62-833B-8A88A935B40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09DE0461-FAAA-4958-925F-16B2B0ADC0D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9C178F4B-591C-4A6A-ACAD-AA4043EF9F2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900C3C2D-E425-496D-B35D-3100D814E67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28213532-54ED-48B4-A245-D77F7503450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BBFC098B-0517-4F80-8E11-4997B54F5A8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tc={DF186183-1D51-4E83-8C54-743670EE8854}</author>
    <author>tc={44C7EAB4-E006-4816-B8A7-DD9CD0AA85A4}</author>
    <author>tc={528CA601-FD3F-4038-99DE-7F0868F18378}</author>
    <author>tc={D64878A6-756B-48CF-B84E-01E29019C73A}</author>
    <author>tc={BC5B036A-DFE6-4C6E-B839-528EE34989C0}</author>
    <author>tc={60B2A5CE-E253-49E3-A5DF-F21DE5BC8150}</author>
    <author>tc={D148F2D6-6D9A-4706-8A84-26FF36BB6C7C}</author>
    <author>tc={0D615B72-B3DD-4A29-8BBF-F54103852789}</author>
    <author>tc={BF7F2D41-4D78-442D-81D3-C5DE051007B8}</author>
    <author>tc={3ED77847-3529-414C-A961-F63DC4C108AF}</author>
  </authors>
  <commentList>
    <comment ref="R1" authorId="0" shapeId="0" xr:uid="{DF186183-1D51-4E83-8C54-743670EE885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44C7EAB4-E006-4816-B8A7-DD9CD0AA85A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528CA601-FD3F-4038-99DE-7F0868F1837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D64878A6-756B-48CF-B84E-01E29019C73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BC5B036A-DFE6-4C6E-B839-528EE34989C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60B2A5CE-E253-49E3-A5DF-F21DE5BC815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D148F2D6-6D9A-4706-8A84-26FF36BB6C7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0D615B72-B3DD-4A29-8BBF-F5410385278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BF7F2D41-4D78-442D-81D3-C5DE051007B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3ED77847-3529-414C-A961-F63DC4C108A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tc={F12649CA-0788-4774-BD35-64C25DF338AB}</author>
    <author>tc={FF050354-ACC0-4C2A-8E2F-F70FCFE17AE7}</author>
    <author>tc={0F21B497-22B8-4FC6-A6BD-EE1D08C80AE7}</author>
    <author>tc={196F9CFF-D1BE-44DB-8451-3DC8552A8A1F}</author>
    <author>tc={FF09CEB9-E1C6-4C54-8FD1-0257690C3B8B}</author>
    <author>tc={BD53FD80-48C1-4039-A16B-99E4AB0ADF1C}</author>
    <author>tc={632140A6-9C4C-4521-82B3-46239D57A49D}</author>
    <author>tc={F9495C88-4129-4C78-8388-DB0B34367F9B}</author>
    <author>tc={9CBB73F1-6E0D-46F1-A646-BDCAFE7F9397}</author>
    <author>tc={C6EE07F0-932E-44C8-97F6-A092AB536488}</author>
  </authors>
  <commentList>
    <comment ref="R1" authorId="0" shapeId="0" xr:uid="{F12649CA-0788-4774-BD35-64C25DF338A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FF050354-ACC0-4C2A-8E2F-F70FCFE17AE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0F21B497-22B8-4FC6-A6BD-EE1D08C80AE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196F9CFF-D1BE-44DB-8451-3DC8552A8A1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FF09CEB9-E1C6-4C54-8FD1-0257690C3B8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BD53FD80-48C1-4039-A16B-99E4AB0ADF1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632140A6-9C4C-4521-82B3-46239D57A49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F9495C88-4129-4C78-8388-DB0B34367F9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9CBB73F1-6E0D-46F1-A646-BDCAFE7F939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C6EE07F0-932E-44C8-97F6-A092AB53648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tc={D283449D-5C55-4DB7-BD16-A13EC0849541}</author>
    <author>tc={D0B0C115-B24E-4F79-BBE1-04A6F86B6848}</author>
    <author>tc={F8D75F19-F19B-47DB-9859-A88D1AF40780}</author>
    <author>tc={4179B7BC-7982-4361-A6C1-AA05F241E632}</author>
    <author>tc={997AE278-FFE8-46E3-BE16-904EBD8A4134}</author>
    <author>tc={2CE7BBEC-6BB8-4C38-964F-14EC17BFB415}</author>
    <author>tc={191B5790-B58D-4809-9C49-B428E2C869E9}</author>
    <author>tc={7B8CEC6B-5A86-4097-A9CD-991BF241C679}</author>
    <author>tc={B9D4C1CA-C58E-4C77-AE7C-9FD4344ED5B6}</author>
    <author>tc={C20A434D-449E-428C-B0BE-D68BE7C36571}</author>
  </authors>
  <commentList>
    <comment ref="R1" authorId="0" shapeId="0" xr:uid="{D283449D-5C55-4DB7-BD16-A13EC084954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D0B0C115-B24E-4F79-BBE1-04A6F86B684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F8D75F19-F19B-47DB-9859-A88D1AF4078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4179B7BC-7982-4361-A6C1-AA05F241E63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997AE278-FFE8-46E3-BE16-904EBD8A413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2CE7BBEC-6BB8-4C38-964F-14EC17BFB41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191B5790-B58D-4809-9C49-B428E2C869E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7B8CEC6B-5A86-4097-A9CD-991BF241C67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B9D4C1CA-C58E-4C77-AE7C-9FD4344ED5B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C20A434D-449E-428C-B0BE-D68BE7C3657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tc={615F5861-269D-455D-8C6C-71B84E4A9750}</author>
    <author>tc={2C5800C2-7E1E-4856-AEEF-8404451BD292}</author>
    <author>tc={4B6C023C-329D-492F-B509-AEA679FC30E8}</author>
    <author>tc={681A6C96-D608-4492-9C1E-8DB1FF432E17}</author>
    <author>tc={BDC4DAD4-32DD-4F61-8B49-5A7C768CD855}</author>
    <author>tc={5C3AAA62-98AA-4F95-885C-80F33EE63051}</author>
    <author>tc={66169F86-EB3D-4E42-BEE5-FC34CCB8FEF8}</author>
    <author>tc={932815CC-5FE3-436B-AB01-2C4E8671D893}</author>
    <author>tc={F80BD094-E86B-4FA7-8E6D-ADDC773FBA93}</author>
    <author>tc={D660F259-33EB-48CA-9147-D158A405518C}</author>
  </authors>
  <commentList>
    <comment ref="R1" authorId="0" shapeId="0" xr:uid="{615F5861-269D-455D-8C6C-71B84E4A975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2C5800C2-7E1E-4856-AEEF-8404451BD29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4B6C023C-329D-492F-B509-AEA679FC30E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681A6C96-D608-4492-9C1E-8DB1FF432E1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BDC4DAD4-32DD-4F61-8B49-5A7C768CD85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5C3AAA62-98AA-4F95-885C-80F33EE6305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66169F86-EB3D-4E42-BEE5-FC34CCB8FEF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932815CC-5FE3-436B-AB01-2C4E8671D89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F80BD094-E86B-4FA7-8E6D-ADDC773FBA9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D660F259-33EB-48CA-9147-D158A405518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tc={612FCC28-E219-406A-9875-0A44560BCF7C}</author>
    <author>tc={F5C299F8-3DE6-4255-A90B-6E66598F55EF}</author>
    <author>tc={9E0ECC36-08C7-4486-A61E-638BF485A0B0}</author>
    <author>tc={9201E333-95A6-4BE7-A4A2-BDDB475C8AA3}</author>
    <author>tc={E82FCE24-C6DA-4B35-AD15-E13BB863C2D7}</author>
    <author>tc={045EBE06-C147-457B-AB69-F16E9BB0AF2C}</author>
    <author>tc={A97720AC-083F-4686-B78D-31E99940521A}</author>
    <author>tc={D6437309-5511-48F8-B8F5-185E65FAFB45}</author>
    <author>tc={F8A5F871-829E-409C-94F3-C579966A22F4}</author>
    <author>tc={08CFAAA2-3B66-42D2-B239-AD7D05D215D3}</author>
  </authors>
  <commentList>
    <comment ref="R1" authorId="0" shapeId="0" xr:uid="{612FCC28-E219-406A-9875-0A44560BCF7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F5C299F8-3DE6-4255-A90B-6E66598F55E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9E0ECC36-08C7-4486-A61E-638BF485A0B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9201E333-95A6-4BE7-A4A2-BDDB475C8AA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E82FCE24-C6DA-4B35-AD15-E13BB863C2D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045EBE06-C147-457B-AB69-F16E9BB0AF2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A97720AC-083F-4686-B78D-31E99940521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D6437309-5511-48F8-B8F5-185E65FAFB4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F8A5F871-829E-409C-94F3-C579966A22F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08CFAAA2-3B66-42D2-B239-AD7D05D215D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tc={2A617C80-4DD1-4B79-B281-A7D7838131A3}</author>
    <author>tc={7B42FFA0-B9B1-4F02-BF11-8ED0F6943F95}</author>
    <author>tc={D9B60C63-BCC5-4D9F-99FC-C067C35DA387}</author>
    <author>tc={8AFE4AC0-42B1-45C1-9360-76F5B4E67BB5}</author>
    <author>tc={5529AB5E-8EF2-4116-87DF-DAEE2DBCA548}</author>
    <author>tc={5A07762B-0D3B-4187-93D1-4070714E96C0}</author>
    <author>tc={401F6C68-38FF-41B1-BB66-51C5E43DA075}</author>
    <author>tc={89B4F6A0-C1E2-416D-AAC4-C6F1FBF56325}</author>
    <author>tc={75830E38-3C7A-40FE-9E34-4DD0B3BD81CF}</author>
    <author>tc={519DC735-69BA-469D-BCCF-00195D765DE0}</author>
  </authors>
  <commentList>
    <comment ref="R1" authorId="0" shapeId="0" xr:uid="{2A617C80-4DD1-4B79-B281-A7D7838131A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7B42FFA0-B9B1-4F02-BF11-8ED0F6943F9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D9B60C63-BCC5-4D9F-99FC-C067C35DA38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8AFE4AC0-42B1-45C1-9360-76F5B4E67BB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5529AB5E-8EF2-4116-87DF-DAEE2DBCA54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5A07762B-0D3B-4187-93D1-4070714E96C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401F6C68-38FF-41B1-BB66-51C5E43DA07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89B4F6A0-C1E2-416D-AAC4-C6F1FBF5632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75830E38-3C7A-40FE-9E34-4DD0B3BD81C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519DC735-69BA-469D-BCCF-00195D765DE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tc={805F8F5B-1E60-418F-B2CF-73D0F51A66D7}</author>
    <author>tc={3CDD5CE8-64FC-4BD7-9527-31D51FD94DAE}</author>
    <author>tc={F3A2068D-C349-471F-B8F4-69BE27E68DD1}</author>
    <author>tc={986D0D7B-68DC-4AE4-9655-D88E94B0578F}</author>
    <author>tc={5CDD125D-1A23-4375-9ECF-D35A793DCE30}</author>
    <author>tc={00876BD0-285F-4CBC-B662-E8D070074B93}</author>
    <author>tc={D8A10758-F595-4A51-9779-1359CF7170DC}</author>
    <author>tc={2F82BBAF-880F-4B92-A0E0-53713E3176DB}</author>
    <author>tc={FBC92506-BADA-4824-A72F-5436DEE3E09F}</author>
    <author>tc={2B524B05-A9F5-4652-841F-16187A7437F5}</author>
  </authors>
  <commentList>
    <comment ref="R1" authorId="0" shapeId="0" xr:uid="{805F8F5B-1E60-418F-B2CF-73D0F51A66D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3CDD5CE8-64FC-4BD7-9527-31D51FD94DA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F3A2068D-C349-471F-B8F4-69BE27E68DD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986D0D7B-68DC-4AE4-9655-D88E94B0578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5CDD125D-1A23-4375-9ECF-D35A793DCE3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00876BD0-285F-4CBC-B662-E8D070074B9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D8A10758-F595-4A51-9779-1359CF7170D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2F82BBAF-880F-4B92-A0E0-53713E3176D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FBC92506-BADA-4824-A72F-5436DEE3E09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2B524B05-A9F5-4652-841F-16187A7437F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tc={3804A2CC-151F-446D-B2E9-BA17B859F3B0}</author>
    <author>tc={4F375DAD-8AF4-4A6E-AF6E-D6EC89D454F1}</author>
    <author>tc={D4B6D56F-C15F-409F-AEA2-A0378B4F1DC2}</author>
    <author>tc={43136980-A4A6-4C03-8F5F-E16C74442CA4}</author>
    <author>tc={666AD3C4-FF5A-4849-8192-3C53B9308AEF}</author>
    <author>tc={73C29C8F-0934-47F6-890C-FD2503E5FE3D}</author>
    <author>tc={33668812-8584-46A0-B51C-9AADBA164A2D}</author>
    <author>tc={4EB68806-FEA1-47A7-BFDE-FD38900FB5B4}</author>
    <author>tc={3E893B0B-CA1F-4995-91DB-AB7ED4B68037}</author>
    <author>tc={98461A41-9D7E-4D92-819A-C05005E33B75}</author>
  </authors>
  <commentList>
    <comment ref="R1" authorId="0" shapeId="0" xr:uid="{3804A2CC-151F-446D-B2E9-BA17B859F3B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4F375DAD-8AF4-4A6E-AF6E-D6EC89D454F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D4B6D56F-C15F-409F-AEA2-A0378B4F1DC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43136980-A4A6-4C03-8F5F-E16C74442CA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666AD3C4-FF5A-4849-8192-3C53B9308AE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73C29C8F-0934-47F6-890C-FD2503E5FE3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33668812-8584-46A0-B51C-9AADBA164A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4EB68806-FEA1-47A7-BFDE-FD38900FB5B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3E893B0B-CA1F-4995-91DB-AB7ED4B6803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98461A41-9D7E-4D92-819A-C05005E33B7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tc={BC4C2117-A3B8-4FCE-90DD-49FCB75B7EE4}</author>
    <author>tc={0F5F52F5-6600-4C13-8574-10474CBA006C}</author>
    <author>tc={477A92DF-4476-47CD-98BA-C5B388431D00}</author>
    <author>tc={33A6AE21-22D2-4BCE-BCC4-A5557EF690D6}</author>
    <author>tc={ED18EF50-812C-4217-8DC4-13D5F7898DEE}</author>
    <author>tc={ECE6E414-F6B8-4A6E-959A-F1A243B0CB28}</author>
    <author>tc={D0023037-FB20-497C-BD8E-A64C957EC7CE}</author>
    <author>tc={A4F15143-39BD-42B5-B65E-2F56AFFC939F}</author>
    <author>tc={4BD42C78-362B-4852-85B7-8D27C7D4DB0D}</author>
    <author>tc={9E639F01-D018-483F-918B-CD2845EC1A5E}</author>
  </authors>
  <commentList>
    <comment ref="R1" authorId="0" shapeId="0" xr:uid="{BC4C2117-A3B8-4FCE-90DD-49FCB75B7EE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0F5F52F5-6600-4C13-8574-10474CBA006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477A92DF-4476-47CD-98BA-C5B388431D0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33A6AE21-22D2-4BCE-BCC4-A5557EF690D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ED18EF50-812C-4217-8DC4-13D5F7898DE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ECE6E414-F6B8-4A6E-959A-F1A243B0CB2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D0023037-FB20-497C-BD8E-A64C957EC7C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A4F15143-39BD-42B5-B65E-2F56AFFC939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4BD42C78-362B-4852-85B7-8D27C7D4DB0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9E639F01-D018-483F-918B-CD2845EC1A5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tc={7956E730-E41C-4C03-B4DF-0F5FDDDF50ED}</author>
    <author>tc={6C3307E9-4BDE-4050-A773-25C415DC8529}</author>
    <author>tc={7B1FB074-7B6D-440B-ACAF-150A90109EE7}</author>
    <author>tc={22E02096-2021-4A61-B41E-70017C86B9B9}</author>
    <author>tc={96356F9C-EDB0-405D-B4AF-FC21B8CD7CB0}</author>
    <author>tc={E92D3759-4109-4468-A71B-679368DD2318}</author>
    <author>tc={B7FBA6FA-D4E2-4323-94D6-D33D880EE03D}</author>
    <author>tc={764E97DB-6929-4E1E-BDD5-184542582943}</author>
    <author>tc={E73ECC1A-4D52-4F71-92D1-2E1082AC52FE}</author>
    <author>tc={326BCB56-39AC-49EB-9B07-301B7B29A14C}</author>
  </authors>
  <commentList>
    <comment ref="R1" authorId="0" shapeId="0" xr:uid="{7956E730-E41C-4C03-B4DF-0F5FDDDF50E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6C3307E9-4BDE-4050-A773-25C415DC852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7B1FB074-7B6D-440B-ACAF-150A90109EE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22E02096-2021-4A61-B41E-70017C86B9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96356F9C-EDB0-405D-B4AF-FC21B8CD7CB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E92D3759-4109-4468-A71B-679368DD231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B7FBA6FA-D4E2-4323-94D6-D33D880EE03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764E97DB-6929-4E1E-BDD5-18454258294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E73ECC1A-4D52-4F71-92D1-2E1082AC52F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326BCB56-39AC-49EB-9B07-301B7B29A14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<sst xmlns="http://schemas.openxmlformats.org/spreadsheetml/2006/main" count="1693" uniqueCount="103">
  <si>
    <t>Inscrits</t>
  </si>
  <si>
    <t>Emargements</t>
  </si>
  <si>
    <t>Votants</t>
  </si>
  <si>
    <t>Blancs</t>
  </si>
  <si>
    <t>Nuls</t>
  </si>
  <si>
    <t>Exprimés</t>
  </si>
  <si>
    <t>Participation</t>
  </si>
  <si>
    <t>Numéro</t>
  </si>
  <si>
    <t>Vérification</t>
  </si>
  <si>
    <t>Bureau</t>
  </si>
  <si>
    <t>Total exprimé</t>
  </si>
  <si>
    <t>TOTAL</t>
  </si>
  <si>
    <t>%</t>
  </si>
  <si>
    <t>Date</t>
  </si>
  <si>
    <t>Election</t>
  </si>
  <si>
    <t>Ville</t>
  </si>
  <si>
    <t>Cogolin</t>
  </si>
  <si>
    <t>Bureaux</t>
  </si>
  <si>
    <t>Total</t>
  </si>
  <si>
    <t>Abstention</t>
  </si>
  <si>
    <t xml:space="preserve">Les cases grisées sont </t>
  </si>
  <si>
    <t>calculées automatiquement</t>
  </si>
  <si>
    <t>Ne pas éditer</t>
  </si>
  <si>
    <t>Heure</t>
  </si>
  <si>
    <t>Municipales 1er tour</t>
  </si>
  <si>
    <t>Bureau n°</t>
  </si>
  <si>
    <t>Nom</t>
  </si>
  <si>
    <t>Total enveloppes</t>
  </si>
  <si>
    <t>Seules les cases bleu clair</t>
  </si>
  <si>
    <t>sont à remplir</t>
  </si>
  <si>
    <t>Gymnase B</t>
  </si>
  <si>
    <t>COSEC</t>
  </si>
  <si>
    <t>CMM</t>
  </si>
  <si>
    <t>Base nautique</t>
  </si>
  <si>
    <t>Votants %</t>
  </si>
  <si>
    <t>08h00</t>
  </si>
  <si>
    <t>09h00</t>
  </si>
  <si>
    <t>10h00</t>
  </si>
  <si>
    <t>11h00</t>
  </si>
  <si>
    <t>12h00</t>
  </si>
  <si>
    <t>13h00</t>
  </si>
  <si>
    <t>14h00</t>
  </si>
  <si>
    <t>15h00</t>
  </si>
  <si>
    <t>16h00</t>
  </si>
  <si>
    <t>17h00</t>
  </si>
  <si>
    <t>18h00</t>
  </si>
  <si>
    <t>19h00</t>
  </si>
  <si>
    <t>20h00</t>
  </si>
  <si>
    <t>8h-9h</t>
  </si>
  <si>
    <t>9h-10h</t>
  </si>
  <si>
    <t>10h-11h</t>
  </si>
  <si>
    <t>12h-13h</t>
  </si>
  <si>
    <t>13h-14h</t>
  </si>
  <si>
    <t>14h-15h</t>
  </si>
  <si>
    <t>15h-16h</t>
  </si>
  <si>
    <t>16h-17h</t>
  </si>
  <si>
    <t>17h-18h</t>
  </si>
  <si>
    <t>11h-12h</t>
  </si>
  <si>
    <t>18h-19h</t>
  </si>
  <si>
    <t>19h-20h</t>
  </si>
  <si>
    <t>Votants cumulés</t>
  </si>
  <si>
    <t>Votants sur la période</t>
  </si>
  <si>
    <t>Période horaire</t>
  </si>
  <si>
    <t>Seules les cases bleu clair sont à remplir</t>
  </si>
  <si>
    <t>Les cases grisées sont calculées automatiquement Ne pas éditer</t>
  </si>
  <si>
    <t>Tour actuel</t>
  </si>
  <si>
    <t>Tour précédent</t>
  </si>
  <si>
    <t>Table</t>
  </si>
  <si>
    <t>Valeurs du tour précédent</t>
  </si>
  <si>
    <t>Résultats relatifs par centaines dépouillées</t>
  </si>
  <si>
    <t>Hôtel de ville</t>
  </si>
  <si>
    <r>
      <t xml:space="preserve">Ce tableur </t>
    </r>
    <r>
      <rPr>
        <i/>
        <u/>
        <sz val="14"/>
        <color rgb="FF000000"/>
        <rFont val="Calibri"/>
        <family val="2"/>
      </rPr>
      <t>ne remplace pas</t>
    </r>
    <r>
      <rPr>
        <i/>
        <sz val="14"/>
        <color rgb="FF000000"/>
        <rFont val="Calibri"/>
        <family val="2"/>
      </rPr>
      <t xml:space="preserve"> les notes papier, il est un complément mais il ne fait pas foi.</t>
    </r>
  </si>
  <si>
    <t>Candidat 1</t>
  </si>
  <si>
    <t>Candidat 3</t>
  </si>
  <si>
    <t>Candidat 4</t>
  </si>
  <si>
    <t>Candidat 5</t>
  </si>
  <si>
    <t>Candidat 6</t>
  </si>
  <si>
    <t>Candidat 7</t>
  </si>
  <si>
    <t>Candidat 8</t>
  </si>
  <si>
    <t>Candidat 9</t>
  </si>
  <si>
    <t>Candidat 10</t>
  </si>
  <si>
    <t>Candidat 2 qui a un nom super long</t>
  </si>
  <si>
    <t>TABLE 1</t>
  </si>
  <si>
    <t>Résultats cumulatifs à chaque centaine dépouillée par la table</t>
  </si>
  <si>
    <t>TABLE 2</t>
  </si>
  <si>
    <t/>
  </si>
  <si>
    <t>N° Centaine</t>
  </si>
  <si>
    <t>Total enveloppes ouvertes</t>
  </si>
  <si>
    <t>Enveloppe  de centaine</t>
  </si>
  <si>
    <t>TABLE 3</t>
  </si>
  <si>
    <t>Bureau 1</t>
  </si>
  <si>
    <t>Bureau 2</t>
  </si>
  <si>
    <t>Bureau 3</t>
  </si>
  <si>
    <t>Bureau 4</t>
  </si>
  <si>
    <t>Bureau 5</t>
  </si>
  <si>
    <t>Bureau 6</t>
  </si>
  <si>
    <t>Bureau 7</t>
  </si>
  <si>
    <t>Bureau 8</t>
  </si>
  <si>
    <t>Bureau 9</t>
  </si>
  <si>
    <t>Bureau 10</t>
  </si>
  <si>
    <t>Bureau 11</t>
  </si>
  <si>
    <t>Bureau 12</t>
  </si>
  <si>
    <t>Exemple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</si>
</sst>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 mmmm\ yyyy"/>
    <numFmt numFmtId="165" formatCode="[$-F400]h:mm:ss\ AM/PM"/>
  </numFmts>
  <fonts count="60" x14ac:knownFonts="1">
    <font>
      <sz val="10"/>
      <color rgb="FF000000"/>
      <name val="Arial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b/>
      <sz val="10"/>
      <color rgb="FF666666"/>
      <name val="Calibri"/>
      <family val="2"/>
    </font>
    <font>
      <b/>
      <i/>
      <sz val="10"/>
      <color rgb="FF666666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i/>
      <sz val="10"/>
      <color rgb="FF666666"/>
      <name val="Calibri"/>
      <family val="2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Calibri"/>
      <family val="2"/>
    </font>
    <font>
      <sz val="12"/>
      <color theme="1"/>
      <name val="Calibri"/>
      <family val="2"/>
    </font>
    <font>
      <i/>
      <sz val="12"/>
      <color rgb="FF666666"/>
      <name val="Calibri"/>
      <family val="2"/>
    </font>
    <font>
      <b/>
      <sz val="10"/>
      <color theme="1"/>
      <name val="Calibri"/>
      <family val="2"/>
    </font>
    <font>
      <sz val="12"/>
      <color rgb="FF000000"/>
      <name val="Calibri"/>
      <family val="2"/>
    </font>
    <font>
      <b/>
      <sz val="10"/>
      <color theme="1"/>
      <name val="Calibri"/>
      <family val="2"/>
    </font>
    <font>
      <sz val="10"/>
      <color rgb="FF1F1F1F"/>
      <name val="Calibri"/>
      <family val="2"/>
    </font>
    <font>
      <sz val="10"/>
      <color theme="1"/>
      <name val="Arial"/>
      <family val="2"/>
    </font>
    <font>
      <b/>
      <sz val="10"/>
      <color rgb="FF999999"/>
      <name val="Calibri"/>
      <family val="2"/>
    </font>
    <font>
      <sz val="10"/>
      <color rgb="FF718C00"/>
      <name val="Calibri"/>
      <family val="2"/>
    </font>
    <font>
      <sz val="10"/>
      <color rgb="FF999999"/>
      <name val="Calibri"/>
      <family val="2"/>
    </font>
    <font>
      <sz val="12"/>
      <color rgb="FF999999"/>
      <name val="Calibri"/>
      <family val="2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rgb="FF999999"/>
      <name val="Calibri"/>
      <family val="2"/>
    </font>
    <font>
      <sz val="9"/>
      <color rgb="FF000000"/>
      <name val="Calibri"/>
      <family val="2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10"/>
      <color rgb="FF000000"/>
      <name val="Calibri"/>
      <family val="2"/>
    </font>
    <font>
      <sz val="12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color theme="1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10"/>
      <color rgb="FF000000"/>
      <name val="Arial"/>
      <family val="2"/>
      <scheme val="minor"/>
    </font>
    <font>
      <sz val="10"/>
      <color theme="0" tint="-0.34998626667073579"/>
      <name val="Calibri"/>
      <family val="2"/>
    </font>
    <font>
      <sz val="10"/>
      <color theme="0" tint="-0.34998626667073579"/>
      <name val="Arial"/>
      <family val="2"/>
      <scheme val="minor"/>
    </font>
    <font>
      <b/>
      <sz val="10"/>
      <color rgb="FF000000"/>
      <name val="Calibri"/>
      <family val="2"/>
    </font>
    <font>
      <i/>
      <sz val="14"/>
      <color theme="1"/>
      <name val="Calibri"/>
      <family val="2"/>
    </font>
    <font>
      <sz val="10"/>
      <color theme="0" tint="-0.499984740745262"/>
      <name val="Calibri"/>
      <family val="2"/>
    </font>
    <font>
      <sz val="12"/>
      <color theme="0" tint="-0.499984740745262"/>
      <name val="Calibri"/>
      <family val="2"/>
    </font>
    <font>
      <b/>
      <sz val="12"/>
      <color theme="1"/>
      <name val="Calibri"/>
      <family val="2"/>
    </font>
    <font>
      <sz val="10"/>
      <color rgb="FF000000"/>
      <name val="Arial"/>
      <family val="2"/>
    </font>
    <font>
      <sz val="8"/>
      <color theme="1"/>
      <name val="Calibri"/>
      <family val="2"/>
    </font>
    <font>
      <b/>
      <sz val="11"/>
      <color rgb="FF000000"/>
      <name val="Arial"/>
      <family val="2"/>
      <scheme val="minor"/>
    </font>
    <font>
      <sz val="10"/>
      <color theme="0"/>
      <name val="Calibri"/>
      <family val="2"/>
    </font>
    <font>
      <sz val="10"/>
      <color theme="1" tint="0.499984740745262"/>
      <name val="Calibri"/>
      <family val="2"/>
    </font>
    <font>
      <sz val="12"/>
      <color rgb="FF000000"/>
      <name val="Arial"/>
      <family val="2"/>
    </font>
    <font>
      <sz val="14"/>
      <color rgb="FF000000"/>
      <name val="Arial"/>
      <family val="2"/>
      <scheme val="minor"/>
    </font>
    <font>
      <b/>
      <sz val="18"/>
      <color theme="1"/>
      <name val="Calibri"/>
      <family val="2"/>
    </font>
    <font>
      <b/>
      <sz val="18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4"/>
      <color theme="4" tint="-0.249977111117893"/>
      <name val="Arial"/>
      <family val="2"/>
      <scheme val="minor"/>
    </font>
    <font>
      <sz val="12"/>
      <color theme="4" tint="-0.249977111117893"/>
      <name val="Arial"/>
      <family val="2"/>
      <scheme val="minor"/>
    </font>
    <font>
      <i/>
      <sz val="9"/>
      <color rgb="FF666666"/>
      <name val="Calibri"/>
      <family val="2"/>
    </font>
    <font>
      <i/>
      <sz val="14"/>
      <color rgb="FF000000"/>
      <name val="Calibri"/>
      <family val="2"/>
    </font>
    <font>
      <i/>
      <u/>
      <sz val="14"/>
      <color rgb="FF000000"/>
      <name val="Calibri"/>
      <family val="2"/>
    </font>
    <font>
      <sz val="9"/>
      <color indexed="81"/>
      <name val="Tahoma"/>
      <family val="2"/>
    </font>
  </fonts>
  <fills count="64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  <fill>
      <patternFill patternType="solid">
        <fgColor rgb="FFB6D7A8"/>
        <bgColor rgb="FFB6D7A8"/>
      </patternFill>
    </fill>
    <fill>
      <patternFill patternType="solid">
        <fgColor rgb="FFD5A6BD"/>
        <bgColor rgb="FFD5A6BD"/>
      </patternFill>
    </fill>
    <fill>
      <patternFill patternType="solid">
        <fgColor rgb="FFC9DAF8"/>
        <bgColor rgb="FFC9DAF8"/>
      </patternFill>
    </fill>
    <fill>
      <patternFill patternType="solid">
        <fgColor rgb="FFFCE5CD"/>
        <bgColor rgb="FFFCE5CD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4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14999847407452621"/>
        <bgColor rgb="FFEFEFE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D9D9D9"/>
      </patternFill>
    </fill>
    <fill>
      <patternFill patternType="solid">
        <fgColor theme="2" tint="-0.249977111117893"/>
        <bgColor rgb="FFEAD1DC"/>
      </patternFill>
    </fill>
    <fill>
      <patternFill patternType="solid">
        <fgColor theme="2" tint="-0.14999847407452621"/>
        <bgColor rgb="FFF9CB9C"/>
      </patternFill>
    </fill>
    <fill>
      <patternFill patternType="solid">
        <fgColor theme="7" tint="0.79998168889431442"/>
        <bgColor rgb="FFF9CB9C"/>
      </patternFill>
    </fill>
    <fill>
      <patternFill patternType="solid">
        <fgColor rgb="FFE1C1D1"/>
        <bgColor rgb="FFF9C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rgb="FFDAF1F3"/>
        <bgColor rgb="FFB7B7B7"/>
      </patternFill>
    </fill>
    <fill>
      <patternFill patternType="solid">
        <fgColor theme="0" tint="-0.14999847407452621"/>
        <bgColor rgb="FFB7B7B7"/>
      </patternFill>
    </fill>
    <fill>
      <patternFill patternType="solid">
        <fgColor rgb="FFE6EEEE"/>
        <bgColor rgb="FFB7B7B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theme="0" tint="-0.249977111117893"/>
        <bgColor rgb="FFEFEFE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14999847407452621"/>
        <bgColor rgb="FFF9CB9C"/>
      </patternFill>
    </fill>
    <fill>
      <patternFill patternType="solid">
        <fgColor theme="0" tint="-0.14999847407452621"/>
        <bgColor rgb="FFB6D7A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EAD1DC"/>
      </patternFill>
    </fill>
    <fill>
      <patternFill patternType="solid">
        <fgColor theme="4"/>
        <bgColor rgb="FFB7B7B7"/>
      </patternFill>
    </fill>
    <fill>
      <patternFill patternType="solid">
        <fgColor theme="5"/>
        <bgColor rgb="FFB7B7B7"/>
      </patternFill>
    </fill>
    <fill>
      <patternFill patternType="solid">
        <fgColor theme="6"/>
        <bgColor rgb="FFB7B7B7"/>
      </patternFill>
    </fill>
    <fill>
      <patternFill patternType="solid">
        <fgColor theme="7"/>
        <bgColor rgb="FFB7B7B7"/>
      </patternFill>
    </fill>
    <fill>
      <patternFill patternType="solid">
        <fgColor theme="8"/>
        <bgColor rgb="FFB7B7B7"/>
      </patternFill>
    </fill>
    <fill>
      <patternFill patternType="solid">
        <fgColor theme="9"/>
        <bgColor rgb="FFB7B7B7"/>
      </patternFill>
    </fill>
    <fill>
      <patternFill patternType="solid">
        <fgColor theme="1"/>
        <bgColor rgb="FFB7B7B7"/>
      </patternFill>
    </fill>
    <fill>
      <patternFill patternType="solid">
        <fgColor theme="4" tint="0.39997558519241921"/>
        <bgColor rgb="FFB7B7B7"/>
      </patternFill>
    </fill>
    <fill>
      <patternFill patternType="solid">
        <fgColor theme="5" tint="0.39997558519241921"/>
        <bgColor rgb="FFB7B7B7"/>
      </patternFill>
    </fill>
    <fill>
      <patternFill patternType="solid">
        <fgColor theme="6" tint="0.39997558519241921"/>
        <bgColor rgb="FFB7B7B7"/>
      </patternFill>
    </fill>
    <fill>
      <patternFill patternType="solid">
        <fgColor theme="7" tint="0.39997558519241921"/>
        <bgColor rgb="FFB7B7B7"/>
      </patternFill>
    </fill>
    <fill>
      <patternFill patternType="solid">
        <fgColor theme="8" tint="0.39997558519241921"/>
        <bgColor rgb="FFB7B7B7"/>
      </patternFill>
    </fill>
    <fill>
      <patternFill patternType="solid">
        <fgColor theme="9" tint="0.39997558519241921"/>
        <bgColor rgb="FFB7B7B7"/>
      </patternFill>
    </fill>
    <fill>
      <patternFill patternType="solid">
        <fgColor theme="1" tint="0.249977111117893"/>
        <bgColor rgb="FFB7B7B7"/>
      </patternFill>
    </fill>
    <fill>
      <patternFill patternType="solid">
        <fgColor theme="9" tint="0.79998168889431442"/>
        <bgColor rgb="FFF4CCCC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0" tint="-0.249977111117893"/>
        <bgColor rgb="FFB7B7B7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E1C1D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rgb="FFF4CCCC"/>
      </patternFill>
    </fill>
  </fills>
  <borders count="186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 style="medium">
        <color rgb="FFCCCCCC"/>
      </top>
      <bottom style="medium">
        <color rgb="FFCCCCCC"/>
      </bottom>
      <diagonal/>
    </border>
    <border>
      <left style="medium">
        <color rgb="FFD9D9D9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/>
      <bottom style="thin">
        <color rgb="FFEFEFEF"/>
      </bottom>
      <diagonal/>
    </border>
    <border>
      <left style="medium">
        <color rgb="FFD9D9D9"/>
      </left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EFEFEF"/>
      </left>
      <right/>
      <top style="thin">
        <color rgb="FFEFEFEF"/>
      </top>
      <bottom/>
      <diagonal/>
    </border>
    <border>
      <left/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rgb="FFEFEFEF"/>
      </left>
      <right/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rgb="FF000000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9900FF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rgb="FF000000"/>
      </right>
      <top/>
      <bottom style="thin">
        <color rgb="FF000000"/>
      </bottom>
      <diagonal/>
    </border>
    <border>
      <left style="double">
        <color indexed="64"/>
      </left>
      <right style="double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thin">
        <color rgb="FF000000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9" fontId="27" fillId="0" borderId="0" applyFont="0" applyFill="0" applyBorder="0" applyAlignment="0" applyProtection="0"/>
  </cellStyleXfs>
  <cellXfs count="451">
    <xf numFmtId="0" fontId="0" fillId="0" borderId="0" xfId="0"/>
    <xf numFmtId="0" fontId="7" fillId="0" borderId="0" xfId="0" applyFont="1"/>
    <xf numFmtId="0" fontId="11" fillId="0" borderId="0" xfId="0" applyFont="1" applyAlignment="1">
      <alignment horizontal="center"/>
    </xf>
    <xf numFmtId="0" fontId="11" fillId="0" borderId="0" xfId="0" applyFont="1"/>
    <xf numFmtId="10" fontId="17" fillId="0" borderId="0" xfId="0" applyNumberFormat="1" applyFont="1"/>
    <xf numFmtId="0" fontId="7" fillId="0" borderId="0" xfId="0" applyFont="1" applyAlignment="1">
      <alignment horizontal="center"/>
    </xf>
    <xf numFmtId="0" fontId="18" fillId="0" borderId="0" xfId="0" applyFont="1"/>
    <xf numFmtId="10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22" fillId="5" borderId="39" xfId="0" applyFont="1" applyFill="1" applyBorder="1" applyAlignment="1">
      <alignment horizontal="right"/>
    </xf>
    <xf numFmtId="10" fontId="21" fillId="5" borderId="40" xfId="0" applyNumberFormat="1" applyFont="1" applyFill="1" applyBorder="1" applyAlignment="1">
      <alignment horizontal="center" vertical="center"/>
    </xf>
    <xf numFmtId="0" fontId="22" fillId="5" borderId="41" xfId="0" applyFont="1" applyFill="1" applyBorder="1" applyAlignment="1">
      <alignment horizontal="right"/>
    </xf>
    <xf numFmtId="0" fontId="23" fillId="2" borderId="18" xfId="0" applyFont="1" applyFill="1" applyBorder="1" applyAlignment="1">
      <alignment horizontal="right" vertical="center"/>
    </xf>
    <xf numFmtId="164" fontId="24" fillId="2" borderId="19" xfId="0" applyNumberFormat="1" applyFont="1" applyFill="1" applyBorder="1" applyAlignment="1">
      <alignment horizontal="right" vertical="center"/>
    </xf>
    <xf numFmtId="0" fontId="25" fillId="0" borderId="0" xfId="0" applyFont="1"/>
    <xf numFmtId="0" fontId="23" fillId="2" borderId="13" xfId="0" applyFont="1" applyFill="1" applyBorder="1" applyAlignment="1">
      <alignment horizontal="right" vertical="center"/>
    </xf>
    <xf numFmtId="0" fontId="24" fillId="2" borderId="22" xfId="0" applyFont="1" applyFill="1" applyBorder="1" applyAlignment="1">
      <alignment horizontal="right" vertical="center" wrapText="1"/>
    </xf>
    <xf numFmtId="0" fontId="23" fillId="2" borderId="20" xfId="0" applyFont="1" applyFill="1" applyBorder="1" applyAlignment="1">
      <alignment horizontal="right" vertical="center"/>
    </xf>
    <xf numFmtId="0" fontId="24" fillId="2" borderId="21" xfId="0" applyFont="1" applyFill="1" applyBorder="1" applyAlignment="1">
      <alignment horizontal="right" vertical="center"/>
    </xf>
    <xf numFmtId="0" fontId="11" fillId="5" borderId="0" xfId="0" applyFont="1" applyFill="1"/>
    <xf numFmtId="0" fontId="17" fillId="5" borderId="0" xfId="0" applyFont="1" applyFill="1"/>
    <xf numFmtId="3" fontId="29" fillId="12" borderId="44" xfId="0" applyNumberFormat="1" applyFont="1" applyFill="1" applyBorder="1" applyAlignment="1">
      <alignment horizontal="center" vertical="center" wrapText="1"/>
    </xf>
    <xf numFmtId="3" fontId="29" fillId="12" borderId="45" xfId="0" applyNumberFormat="1" applyFont="1" applyFill="1" applyBorder="1" applyAlignment="1">
      <alignment horizontal="center" vertical="center" wrapText="1"/>
    </xf>
    <xf numFmtId="10" fontId="3" fillId="11" borderId="47" xfId="0" applyNumberFormat="1" applyFont="1" applyFill="1" applyBorder="1" applyAlignment="1">
      <alignment horizontal="center" vertical="center"/>
    </xf>
    <xf numFmtId="10" fontId="3" fillId="11" borderId="26" xfId="0" applyNumberFormat="1" applyFont="1" applyFill="1" applyBorder="1" applyAlignment="1">
      <alignment horizontal="center" vertical="center"/>
    </xf>
    <xf numFmtId="10" fontId="3" fillId="11" borderId="48" xfId="0" applyNumberFormat="1" applyFont="1" applyFill="1" applyBorder="1" applyAlignment="1">
      <alignment horizontal="center" vertical="center"/>
    </xf>
    <xf numFmtId="9" fontId="20" fillId="2" borderId="44" xfId="1" applyFont="1" applyFill="1" applyBorder="1"/>
    <xf numFmtId="9" fontId="20" fillId="2" borderId="45" xfId="1" applyFont="1" applyFill="1" applyBorder="1"/>
    <xf numFmtId="3" fontId="29" fillId="12" borderId="50" xfId="0" applyNumberFormat="1" applyFont="1" applyFill="1" applyBorder="1" applyAlignment="1">
      <alignment horizontal="center" vertical="center" wrapText="1"/>
    </xf>
    <xf numFmtId="3" fontId="10" fillId="3" borderId="51" xfId="0" applyNumberFormat="1" applyFont="1" applyFill="1" applyBorder="1" applyAlignment="1">
      <alignment horizontal="right"/>
    </xf>
    <xf numFmtId="10" fontId="10" fillId="9" borderId="52" xfId="0" applyNumberFormat="1" applyFont="1" applyFill="1" applyBorder="1" applyAlignment="1">
      <alignment horizontal="right"/>
    </xf>
    <xf numFmtId="9" fontId="7" fillId="0" borderId="0" xfId="0" applyNumberFormat="1" applyFont="1"/>
    <xf numFmtId="0" fontId="26" fillId="0" borderId="0" xfId="0" applyFont="1"/>
    <xf numFmtId="0" fontId="7" fillId="14" borderId="55" xfId="0" applyFont="1" applyFill="1" applyBorder="1"/>
    <xf numFmtId="0" fontId="7" fillId="14" borderId="57" xfId="0" applyFont="1" applyFill="1" applyBorder="1"/>
    <xf numFmtId="164" fontId="31" fillId="14" borderId="56" xfId="0" applyNumberFormat="1" applyFont="1" applyFill="1" applyBorder="1" applyAlignment="1">
      <alignment horizontal="center" vertical="center"/>
    </xf>
    <xf numFmtId="0" fontId="31" fillId="14" borderId="58" xfId="0" applyFont="1" applyFill="1" applyBorder="1" applyAlignment="1">
      <alignment horizontal="center" vertical="center"/>
    </xf>
    <xf numFmtId="3" fontId="6" fillId="12" borderId="10" xfId="0" applyNumberFormat="1" applyFont="1" applyFill="1" applyBorder="1" applyAlignment="1">
      <alignment horizontal="center"/>
    </xf>
    <xf numFmtId="0" fontId="3" fillId="16" borderId="10" xfId="0" applyFont="1" applyFill="1" applyBorder="1" applyAlignment="1">
      <alignment horizontal="center"/>
    </xf>
    <xf numFmtId="0" fontId="31" fillId="17" borderId="0" xfId="0" applyFont="1" applyFill="1"/>
    <xf numFmtId="0" fontId="7" fillId="17" borderId="0" xfId="0" applyFont="1" applyFill="1" applyAlignment="1">
      <alignment horizontal="right"/>
    </xf>
    <xf numFmtId="0" fontId="11" fillId="15" borderId="0" xfId="0" applyFont="1" applyFill="1"/>
    <xf numFmtId="0" fontId="7" fillId="16" borderId="0" xfId="0" applyFont="1" applyFill="1" applyAlignment="1">
      <alignment horizontal="right"/>
    </xf>
    <xf numFmtId="0" fontId="17" fillId="15" borderId="0" xfId="0" applyFont="1" applyFill="1"/>
    <xf numFmtId="0" fontId="3" fillId="19" borderId="11" xfId="0" applyFont="1" applyFill="1" applyBorder="1" applyAlignment="1">
      <alignment horizontal="center"/>
    </xf>
    <xf numFmtId="0" fontId="3" fillId="19" borderId="9" xfId="0" applyFont="1" applyFill="1" applyBorder="1" applyAlignment="1">
      <alignment horizontal="center"/>
    </xf>
    <xf numFmtId="0" fontId="3" fillId="19" borderId="7" xfId="0" applyFont="1" applyFill="1" applyBorder="1" applyAlignment="1">
      <alignment horizontal="center"/>
    </xf>
    <xf numFmtId="3" fontId="6" fillId="12" borderId="55" xfId="0" applyNumberFormat="1" applyFont="1" applyFill="1" applyBorder="1" applyAlignment="1">
      <alignment horizontal="center"/>
    </xf>
    <xf numFmtId="3" fontId="10" fillId="20" borderId="55" xfId="0" applyNumberFormat="1" applyFont="1" applyFill="1" applyBorder="1" applyAlignment="1">
      <alignment horizontal="right"/>
    </xf>
    <xf numFmtId="3" fontId="10" fillId="20" borderId="66" xfId="0" applyNumberFormat="1" applyFont="1" applyFill="1" applyBorder="1" applyAlignment="1">
      <alignment horizontal="right"/>
    </xf>
    <xf numFmtId="10" fontId="10" fillId="15" borderId="59" xfId="0" applyNumberFormat="1" applyFont="1" applyFill="1" applyBorder="1"/>
    <xf numFmtId="10" fontId="10" fillId="15" borderId="67" xfId="0" applyNumberFormat="1" applyFont="1" applyFill="1" applyBorder="1"/>
    <xf numFmtId="10" fontId="10" fillId="15" borderId="60" xfId="0" applyNumberFormat="1" applyFont="1" applyFill="1" applyBorder="1"/>
    <xf numFmtId="10" fontId="10" fillId="8" borderId="69" xfId="0" applyNumberFormat="1" applyFont="1" applyFill="1" applyBorder="1"/>
    <xf numFmtId="10" fontId="10" fillId="15" borderId="69" xfId="0" applyNumberFormat="1" applyFont="1" applyFill="1" applyBorder="1"/>
    <xf numFmtId="0" fontId="8" fillId="4" borderId="16" xfId="0" applyFont="1" applyFill="1" applyBorder="1" applyAlignment="1">
      <alignment horizontal="center" vertical="center"/>
    </xf>
    <xf numFmtId="0" fontId="9" fillId="2" borderId="79" xfId="0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 vertical="center"/>
    </xf>
    <xf numFmtId="0" fontId="3" fillId="2" borderId="45" xfId="0" applyFont="1" applyFill="1" applyBorder="1" applyAlignment="1">
      <alignment horizontal="center" vertical="center"/>
    </xf>
    <xf numFmtId="0" fontId="3" fillId="2" borderId="46" xfId="0" applyFont="1" applyFill="1" applyBorder="1" applyAlignment="1">
      <alignment horizontal="center" vertical="center"/>
    </xf>
    <xf numFmtId="3" fontId="10" fillId="20" borderId="76" xfId="0" applyNumberFormat="1" applyFont="1" applyFill="1" applyBorder="1" applyAlignment="1">
      <alignment horizontal="right"/>
    </xf>
    <xf numFmtId="3" fontId="6" fillId="12" borderId="57" xfId="0" applyNumberFormat="1" applyFont="1" applyFill="1" applyBorder="1" applyAlignment="1">
      <alignment horizontal="center"/>
    </xf>
    <xf numFmtId="3" fontId="6" fillId="12" borderId="59" xfId="0" applyNumberFormat="1" applyFont="1" applyFill="1" applyBorder="1" applyAlignment="1">
      <alignment horizontal="center"/>
    </xf>
    <xf numFmtId="10" fontId="35" fillId="5" borderId="101" xfId="0" applyNumberFormat="1" applyFont="1" applyFill="1" applyBorder="1"/>
    <xf numFmtId="10" fontId="35" fillId="5" borderId="102" xfId="0" applyNumberFormat="1" applyFont="1" applyFill="1" applyBorder="1"/>
    <xf numFmtId="0" fontId="3" fillId="16" borderId="9" xfId="0" applyFont="1" applyFill="1" applyBorder="1" applyAlignment="1">
      <alignment horizontal="center"/>
    </xf>
    <xf numFmtId="0" fontId="13" fillId="4" borderId="105" xfId="0" applyFont="1" applyFill="1" applyBorder="1" applyAlignment="1">
      <alignment horizontal="right"/>
    </xf>
    <xf numFmtId="10" fontId="10" fillId="15" borderId="106" xfId="0" applyNumberFormat="1" applyFont="1" applyFill="1" applyBorder="1"/>
    <xf numFmtId="10" fontId="0" fillId="12" borderId="58" xfId="1" applyNumberFormat="1" applyFont="1" applyFill="1" applyBorder="1" applyAlignment="1"/>
    <xf numFmtId="10" fontId="0" fillId="12" borderId="60" xfId="1" applyNumberFormat="1" applyFont="1" applyFill="1" applyBorder="1" applyAlignment="1"/>
    <xf numFmtId="0" fontId="31" fillId="26" borderId="43" xfId="0" applyFont="1" applyFill="1" applyBorder="1" applyAlignment="1">
      <alignment horizontal="center"/>
    </xf>
    <xf numFmtId="10" fontId="38" fillId="12" borderId="116" xfId="1" applyNumberFormat="1" applyFont="1" applyFill="1" applyBorder="1" applyAlignment="1"/>
    <xf numFmtId="10" fontId="0" fillId="12" borderId="56" xfId="1" applyNumberFormat="1" applyFont="1" applyFill="1" applyBorder="1" applyAlignment="1"/>
    <xf numFmtId="10" fontId="3" fillId="11" borderId="19" xfId="0" applyNumberFormat="1" applyFont="1" applyFill="1" applyBorder="1" applyAlignment="1">
      <alignment horizontal="center" vertical="center"/>
    </xf>
    <xf numFmtId="10" fontId="3" fillId="11" borderId="23" xfId="0" applyNumberFormat="1" applyFont="1" applyFill="1" applyBorder="1" applyAlignment="1">
      <alignment horizontal="center" vertical="center"/>
    </xf>
    <xf numFmtId="10" fontId="3" fillId="11" borderId="22" xfId="0" applyNumberFormat="1" applyFont="1" applyFill="1" applyBorder="1" applyAlignment="1">
      <alignment horizontal="center" vertical="center"/>
    </xf>
    <xf numFmtId="10" fontId="3" fillId="11" borderId="12" xfId="0" applyNumberFormat="1" applyFont="1" applyFill="1" applyBorder="1" applyAlignment="1">
      <alignment horizontal="center" vertical="center"/>
    </xf>
    <xf numFmtId="10" fontId="3" fillId="11" borderId="37" xfId="0" applyNumberFormat="1" applyFont="1" applyFill="1" applyBorder="1" applyAlignment="1">
      <alignment horizontal="center" vertical="center"/>
    </xf>
    <xf numFmtId="10" fontId="3" fillId="11" borderId="27" xfId="0" applyNumberFormat="1" applyFont="1" applyFill="1" applyBorder="1" applyAlignment="1">
      <alignment horizontal="center" vertical="center"/>
    </xf>
    <xf numFmtId="10" fontId="21" fillId="29" borderId="34" xfId="0" applyNumberFormat="1" applyFont="1" applyFill="1" applyBorder="1" applyAlignment="1">
      <alignment horizontal="center" vertical="center"/>
    </xf>
    <xf numFmtId="10" fontId="21" fillId="29" borderId="36" xfId="0" applyNumberFormat="1" applyFont="1" applyFill="1" applyBorder="1" applyAlignment="1">
      <alignment horizontal="center" vertical="center"/>
    </xf>
    <xf numFmtId="10" fontId="21" fillId="29" borderId="38" xfId="0" applyNumberFormat="1" applyFont="1" applyFill="1" applyBorder="1" applyAlignment="1">
      <alignment horizontal="center" vertical="center"/>
    </xf>
    <xf numFmtId="0" fontId="1" fillId="31" borderId="117" xfId="0" applyFont="1" applyFill="1" applyBorder="1" applyAlignment="1">
      <alignment horizontal="center" vertical="center"/>
    </xf>
    <xf numFmtId="9" fontId="20" fillId="2" borderId="92" xfId="1" applyFont="1" applyFill="1" applyBorder="1"/>
    <xf numFmtId="3" fontId="6" fillId="13" borderId="118" xfId="0" applyNumberFormat="1" applyFont="1" applyFill="1" applyBorder="1" applyAlignment="1">
      <alignment horizontal="center"/>
    </xf>
    <xf numFmtId="3" fontId="6" fillId="13" borderId="88" xfId="0" applyNumberFormat="1" applyFont="1" applyFill="1" applyBorder="1" applyAlignment="1">
      <alignment horizontal="center"/>
    </xf>
    <xf numFmtId="9" fontId="20" fillId="2" borderId="46" xfId="1" applyFont="1" applyFill="1" applyBorder="1"/>
    <xf numFmtId="3" fontId="6" fillId="13" borderId="92" xfId="0" applyNumberFormat="1" applyFont="1" applyFill="1" applyBorder="1" applyAlignment="1">
      <alignment horizontal="center"/>
    </xf>
    <xf numFmtId="10" fontId="3" fillId="11" borderId="118" xfId="0" applyNumberFormat="1" applyFont="1" applyFill="1" applyBorder="1" applyAlignment="1">
      <alignment horizontal="center" vertical="center"/>
    </xf>
    <xf numFmtId="10" fontId="3" fillId="11" borderId="119" xfId="0" applyNumberFormat="1" applyFont="1" applyFill="1" applyBorder="1" applyAlignment="1">
      <alignment horizontal="center" vertical="center"/>
    </xf>
    <xf numFmtId="3" fontId="10" fillId="10" borderId="6" xfId="0" applyNumberFormat="1" applyFont="1" applyFill="1" applyBorder="1" applyAlignment="1">
      <alignment horizontal="right"/>
    </xf>
    <xf numFmtId="10" fontId="3" fillId="11" borderId="120" xfId="0" applyNumberFormat="1" applyFont="1" applyFill="1" applyBorder="1" applyAlignment="1">
      <alignment horizontal="center" vertical="center"/>
    </xf>
    <xf numFmtId="10" fontId="3" fillId="11" borderId="121" xfId="0" applyNumberFormat="1" applyFont="1" applyFill="1" applyBorder="1" applyAlignment="1">
      <alignment horizontal="center" vertical="center"/>
    </xf>
    <xf numFmtId="3" fontId="15" fillId="30" borderId="51" xfId="0" applyNumberFormat="1" applyFont="1" applyFill="1" applyBorder="1" applyAlignment="1">
      <alignment horizontal="right"/>
    </xf>
    <xf numFmtId="10" fontId="3" fillId="30" borderId="52" xfId="0" applyNumberFormat="1" applyFont="1" applyFill="1" applyBorder="1" applyAlignment="1">
      <alignment horizontal="center" vertical="center"/>
    </xf>
    <xf numFmtId="3" fontId="15" fillId="30" borderId="122" xfId="0" applyNumberFormat="1" applyFont="1" applyFill="1" applyBorder="1" applyAlignment="1">
      <alignment horizontal="right"/>
    </xf>
    <xf numFmtId="10" fontId="3" fillId="30" borderId="123" xfId="0" applyNumberFormat="1" applyFont="1" applyFill="1" applyBorder="1" applyAlignment="1">
      <alignment horizontal="center" vertical="center"/>
    </xf>
    <xf numFmtId="0" fontId="15" fillId="30" borderId="122" xfId="0" applyFont="1" applyFill="1" applyBorder="1" applyAlignment="1">
      <alignment horizontal="right"/>
    </xf>
    <xf numFmtId="10" fontId="3" fillId="30" borderId="124" xfId="0" applyNumberFormat="1" applyFont="1" applyFill="1" applyBorder="1" applyAlignment="1">
      <alignment horizontal="center" vertical="center"/>
    </xf>
    <xf numFmtId="10" fontId="3" fillId="30" borderId="125" xfId="0" applyNumberFormat="1" applyFont="1" applyFill="1" applyBorder="1" applyAlignment="1">
      <alignment horizontal="center" vertical="center"/>
    </xf>
    <xf numFmtId="0" fontId="31" fillId="0" borderId="0" xfId="0" applyFont="1"/>
    <xf numFmtId="10" fontId="0" fillId="12" borderId="127" xfId="1" applyNumberFormat="1" applyFont="1" applyFill="1" applyBorder="1" applyAlignment="1"/>
    <xf numFmtId="0" fontId="7" fillId="26" borderId="43" xfId="0" applyFont="1" applyFill="1" applyBorder="1" applyAlignment="1">
      <alignment horizontal="center"/>
    </xf>
    <xf numFmtId="0" fontId="36" fillId="12" borderId="53" xfId="0" applyFont="1" applyFill="1" applyBorder="1" applyAlignment="1">
      <alignment horizontal="center"/>
    </xf>
    <xf numFmtId="0" fontId="7" fillId="26" borderId="55" xfId="0" applyFont="1" applyFill="1" applyBorder="1"/>
    <xf numFmtId="3" fontId="10" fillId="32" borderId="77" xfId="0" applyNumberFormat="1" applyFont="1" applyFill="1" applyBorder="1" applyAlignment="1">
      <alignment horizontal="right"/>
    </xf>
    <xf numFmtId="10" fontId="10" fillId="33" borderId="69" xfId="0" applyNumberFormat="1" applyFont="1" applyFill="1" applyBorder="1"/>
    <xf numFmtId="165" fontId="7" fillId="26" borderId="44" xfId="0" applyNumberFormat="1" applyFont="1" applyFill="1" applyBorder="1" applyAlignment="1">
      <alignment horizontal="right"/>
    </xf>
    <xf numFmtId="165" fontId="7" fillId="26" borderId="126" xfId="0" applyNumberFormat="1" applyFont="1" applyFill="1" applyBorder="1" applyAlignment="1">
      <alignment horizontal="right"/>
    </xf>
    <xf numFmtId="165" fontId="7" fillId="26" borderId="45" xfId="0" applyNumberFormat="1" applyFont="1" applyFill="1" applyBorder="1" applyAlignment="1">
      <alignment horizontal="right"/>
    </xf>
    <xf numFmtId="165" fontId="7" fillId="26" borderId="46" xfId="0" applyNumberFormat="1" applyFont="1" applyFill="1" applyBorder="1" applyAlignment="1">
      <alignment horizontal="right"/>
    </xf>
    <xf numFmtId="165" fontId="37" fillId="26" borderId="114" xfId="0" applyNumberFormat="1" applyFont="1" applyFill="1" applyBorder="1" applyAlignment="1">
      <alignment horizontal="right"/>
    </xf>
    <xf numFmtId="165" fontId="37" fillId="26" borderId="113" xfId="0" applyNumberFormat="1" applyFont="1" applyFill="1" applyBorder="1" applyAlignment="1">
      <alignment horizontal="right"/>
    </xf>
    <xf numFmtId="0" fontId="0" fillId="12" borderId="44" xfId="0" applyFill="1" applyBorder="1"/>
    <xf numFmtId="0" fontId="0" fillId="12" borderId="45" xfId="0" applyFill="1" applyBorder="1"/>
    <xf numFmtId="0" fontId="0" fillId="12" borderId="46" xfId="0" applyFill="1" applyBorder="1"/>
    <xf numFmtId="0" fontId="38" fillId="12" borderId="130" xfId="0" applyFont="1" applyFill="1" applyBorder="1"/>
    <xf numFmtId="165" fontId="0" fillId="12" borderId="81" xfId="0" applyNumberFormat="1" applyFill="1" applyBorder="1" applyAlignment="1">
      <alignment horizontal="right"/>
    </xf>
    <xf numFmtId="165" fontId="0" fillId="12" borderId="61" xfId="0" applyNumberFormat="1" applyFill="1" applyBorder="1" applyAlignment="1">
      <alignment horizontal="right"/>
    </xf>
    <xf numFmtId="165" fontId="0" fillId="12" borderId="62" xfId="0" applyNumberFormat="1" applyFill="1" applyBorder="1" applyAlignment="1">
      <alignment horizontal="right"/>
    </xf>
    <xf numFmtId="165" fontId="38" fillId="12" borderId="129" xfId="0" applyNumberFormat="1" applyFont="1" applyFill="1" applyBorder="1" applyAlignment="1">
      <alignment horizontal="right"/>
    </xf>
    <xf numFmtId="165" fontId="38" fillId="12" borderId="128" xfId="0" applyNumberFormat="1" applyFont="1" applyFill="1" applyBorder="1" applyAlignment="1">
      <alignment horizontal="right"/>
    </xf>
    <xf numFmtId="10" fontId="9" fillId="2" borderId="78" xfId="0" applyNumberFormat="1" applyFont="1" applyFill="1" applyBorder="1" applyAlignment="1">
      <alignment horizontal="center"/>
    </xf>
    <xf numFmtId="0" fontId="5" fillId="2" borderId="131" xfId="0" applyFont="1" applyFill="1" applyBorder="1" applyAlignment="1">
      <alignment horizontal="center" vertical="center"/>
    </xf>
    <xf numFmtId="0" fontId="8" fillId="4" borderId="105" xfId="0" applyFont="1" applyFill="1" applyBorder="1" applyAlignment="1">
      <alignment horizontal="center"/>
    </xf>
    <xf numFmtId="0" fontId="8" fillId="4" borderId="132" xfId="0" applyFont="1" applyFill="1" applyBorder="1" applyAlignment="1">
      <alignment horizontal="center"/>
    </xf>
    <xf numFmtId="0" fontId="8" fillId="4" borderId="106" xfId="0" applyFont="1" applyFill="1" applyBorder="1" applyAlignment="1">
      <alignment horizontal="center"/>
    </xf>
    <xf numFmtId="0" fontId="12" fillId="5" borderId="88" xfId="0" applyFont="1" applyFill="1" applyBorder="1" applyAlignment="1">
      <alignment horizontal="right"/>
    </xf>
    <xf numFmtId="10" fontId="35" fillId="5" borderId="92" xfId="0" applyNumberFormat="1" applyFont="1" applyFill="1" applyBorder="1"/>
    <xf numFmtId="0" fontId="3" fillId="16" borderId="42" xfId="0" applyFont="1" applyFill="1" applyBorder="1" applyAlignment="1">
      <alignment horizontal="center"/>
    </xf>
    <xf numFmtId="0" fontId="3" fillId="16" borderId="134" xfId="0" applyFont="1" applyFill="1" applyBorder="1" applyAlignment="1">
      <alignment horizontal="center"/>
    </xf>
    <xf numFmtId="0" fontId="4" fillId="2" borderId="118" xfId="0" applyFont="1" applyFill="1" applyBorder="1" applyAlignment="1">
      <alignment horizontal="center"/>
    </xf>
    <xf numFmtId="0" fontId="3" fillId="16" borderId="15" xfId="0" applyFont="1" applyFill="1" applyBorder="1" applyAlignment="1">
      <alignment horizontal="center"/>
    </xf>
    <xf numFmtId="0" fontId="3" fillId="16" borderId="0" xfId="0" applyFont="1" applyFill="1" applyAlignment="1">
      <alignment horizontal="center"/>
    </xf>
    <xf numFmtId="0" fontId="34" fillId="5" borderId="97" xfId="0" applyFont="1" applyFill="1" applyBorder="1" applyAlignment="1">
      <alignment horizontal="right"/>
    </xf>
    <xf numFmtId="0" fontId="34" fillId="5" borderId="137" xfId="0" applyFont="1" applyFill="1" applyBorder="1" applyAlignment="1">
      <alignment horizontal="right"/>
    </xf>
    <xf numFmtId="0" fontId="34" fillId="5" borderId="66" xfId="0" applyFont="1" applyFill="1" applyBorder="1" applyAlignment="1">
      <alignment horizontal="right"/>
    </xf>
    <xf numFmtId="0" fontId="34" fillId="5" borderId="56" xfId="0" applyFont="1" applyFill="1" applyBorder="1" applyAlignment="1">
      <alignment horizontal="right"/>
    </xf>
    <xf numFmtId="10" fontId="10" fillId="7" borderId="59" xfId="0" applyNumberFormat="1" applyFont="1" applyFill="1" applyBorder="1"/>
    <xf numFmtId="10" fontId="35" fillId="5" borderId="67" xfId="0" applyNumberFormat="1" applyFont="1" applyFill="1" applyBorder="1"/>
    <xf numFmtId="10" fontId="35" fillId="5" borderId="60" xfId="0" applyNumberFormat="1" applyFont="1" applyFill="1" applyBorder="1"/>
    <xf numFmtId="3" fontId="3" fillId="15" borderId="9" xfId="0" applyNumberFormat="1" applyFont="1" applyFill="1" applyBorder="1" applyAlignment="1">
      <alignment horizontal="center" vertical="center"/>
    </xf>
    <xf numFmtId="3" fontId="3" fillId="15" borderId="0" xfId="0" applyNumberFormat="1" applyFont="1" applyFill="1" applyAlignment="1">
      <alignment horizontal="center" vertical="center"/>
    </xf>
    <xf numFmtId="3" fontId="10" fillId="20" borderId="68" xfId="0" applyNumberFormat="1" applyFont="1" applyFill="1" applyBorder="1" applyAlignment="1">
      <alignment horizontal="right"/>
    </xf>
    <xf numFmtId="0" fontId="3" fillId="16" borderId="97" xfId="0" applyFont="1" applyFill="1" applyBorder="1" applyAlignment="1">
      <alignment horizontal="center"/>
    </xf>
    <xf numFmtId="0" fontId="3" fillId="16" borderId="137" xfId="0" applyFont="1" applyFill="1" applyBorder="1" applyAlignment="1">
      <alignment horizontal="center"/>
    </xf>
    <xf numFmtId="0" fontId="3" fillId="16" borderId="66" xfId="0" applyFont="1" applyFill="1" applyBorder="1" applyAlignment="1">
      <alignment horizontal="center"/>
    </xf>
    <xf numFmtId="0" fontId="3" fillId="16" borderId="56" xfId="0" applyFont="1" applyFill="1" applyBorder="1" applyAlignment="1">
      <alignment horizontal="center"/>
    </xf>
    <xf numFmtId="0" fontId="3" fillId="16" borderId="58" xfId="0" applyFont="1" applyFill="1" applyBorder="1" applyAlignment="1">
      <alignment horizontal="center"/>
    </xf>
    <xf numFmtId="0" fontId="3" fillId="16" borderId="63" xfId="0" applyFont="1" applyFill="1" applyBorder="1" applyAlignment="1">
      <alignment horizontal="center"/>
    </xf>
    <xf numFmtId="3" fontId="10" fillId="21" borderId="76" xfId="0" applyNumberFormat="1" applyFont="1" applyFill="1" applyBorder="1" applyAlignment="1">
      <alignment horizontal="right"/>
    </xf>
    <xf numFmtId="3" fontId="10" fillId="22" borderId="77" xfId="0" applyNumberFormat="1" applyFont="1" applyFill="1" applyBorder="1" applyAlignment="1">
      <alignment horizontal="right"/>
    </xf>
    <xf numFmtId="10" fontId="3" fillId="15" borderId="55" xfId="0" applyNumberFormat="1" applyFont="1" applyFill="1" applyBorder="1" applyAlignment="1">
      <alignment horizontal="center"/>
    </xf>
    <xf numFmtId="10" fontId="3" fillId="15" borderId="57" xfId="0" applyNumberFormat="1" applyFont="1" applyFill="1" applyBorder="1" applyAlignment="1">
      <alignment horizontal="center"/>
    </xf>
    <xf numFmtId="10" fontId="3" fillId="15" borderId="59" xfId="0" applyNumberFormat="1" applyFont="1" applyFill="1" applyBorder="1" applyAlignment="1">
      <alignment horizontal="center"/>
    </xf>
    <xf numFmtId="3" fontId="6" fillId="12" borderId="42" xfId="0" applyNumberFormat="1" applyFont="1" applyFill="1" applyBorder="1" applyAlignment="1">
      <alignment horizontal="center"/>
    </xf>
    <xf numFmtId="3" fontId="6" fillId="12" borderId="66" xfId="0" applyNumberFormat="1" applyFont="1" applyFill="1" applyBorder="1" applyAlignment="1">
      <alignment horizontal="center"/>
    </xf>
    <xf numFmtId="3" fontId="3" fillId="15" borderId="56" xfId="0" applyNumberFormat="1" applyFont="1" applyFill="1" applyBorder="1" applyAlignment="1">
      <alignment horizontal="center"/>
    </xf>
    <xf numFmtId="3" fontId="3" fillId="15" borderId="58" xfId="0" applyNumberFormat="1" applyFont="1" applyFill="1" applyBorder="1" applyAlignment="1">
      <alignment horizontal="center"/>
    </xf>
    <xf numFmtId="3" fontId="6" fillId="12" borderId="67" xfId="0" applyNumberFormat="1" applyFont="1" applyFill="1" applyBorder="1" applyAlignment="1">
      <alignment horizontal="center"/>
    </xf>
    <xf numFmtId="3" fontId="3" fillId="15" borderId="60" xfId="0" applyNumberFormat="1" applyFont="1" applyFill="1" applyBorder="1" applyAlignment="1">
      <alignment horizontal="center"/>
    </xf>
    <xf numFmtId="10" fontId="3" fillId="11" borderId="9" xfId="0" applyNumberFormat="1" applyFont="1" applyFill="1" applyBorder="1" applyAlignment="1">
      <alignment horizontal="center" vertical="center"/>
    </xf>
    <xf numFmtId="10" fontId="3" fillId="11" borderId="146" xfId="0" applyNumberFormat="1" applyFont="1" applyFill="1" applyBorder="1" applyAlignment="1">
      <alignment horizontal="center" vertical="center"/>
    </xf>
    <xf numFmtId="10" fontId="3" fillId="11" borderId="147" xfId="0" applyNumberFormat="1" applyFont="1" applyFill="1" applyBorder="1" applyAlignment="1">
      <alignment horizontal="center" vertical="center"/>
    </xf>
    <xf numFmtId="0" fontId="15" fillId="30" borderId="51" xfId="0" applyFont="1" applyFill="1" applyBorder="1" applyAlignment="1">
      <alignment horizontal="right"/>
    </xf>
    <xf numFmtId="0" fontId="31" fillId="14" borderId="148" xfId="0" applyFont="1" applyFill="1" applyBorder="1"/>
    <xf numFmtId="0" fontId="31" fillId="14" borderId="63" xfId="0" applyFont="1" applyFill="1" applyBorder="1" applyAlignment="1">
      <alignment horizontal="center" vertical="center"/>
    </xf>
    <xf numFmtId="0" fontId="31" fillId="14" borderId="55" xfId="0" applyFont="1" applyFill="1" applyBorder="1"/>
    <xf numFmtId="0" fontId="31" fillId="14" borderId="57" xfId="0" applyFont="1" applyFill="1" applyBorder="1"/>
    <xf numFmtId="0" fontId="31" fillId="14" borderId="59" xfId="0" applyFont="1" applyFill="1" applyBorder="1"/>
    <xf numFmtId="10" fontId="3" fillId="15" borderId="68" xfId="1" applyNumberFormat="1" applyFont="1" applyFill="1" applyBorder="1" applyAlignment="1">
      <alignment horizontal="center"/>
    </xf>
    <xf numFmtId="10" fontId="3" fillId="15" borderId="104" xfId="1" applyNumberFormat="1" applyFont="1" applyFill="1" applyBorder="1" applyAlignment="1">
      <alignment horizontal="center"/>
    </xf>
    <xf numFmtId="10" fontId="3" fillId="15" borderId="69" xfId="1" applyNumberFormat="1" applyFont="1" applyFill="1" applyBorder="1" applyAlignment="1">
      <alignment horizontal="center"/>
    </xf>
    <xf numFmtId="10" fontId="21" fillId="5" borderId="34" xfId="0" applyNumberFormat="1" applyFont="1" applyFill="1" applyBorder="1" applyAlignment="1">
      <alignment horizontal="center" vertical="center"/>
    </xf>
    <xf numFmtId="10" fontId="21" fillId="5" borderId="36" xfId="0" applyNumberFormat="1" applyFont="1" applyFill="1" applyBorder="1" applyAlignment="1">
      <alignment horizontal="center" vertical="center"/>
    </xf>
    <xf numFmtId="10" fontId="21" fillId="5" borderId="38" xfId="0" applyNumberFormat="1" applyFont="1" applyFill="1" applyBorder="1" applyAlignment="1">
      <alignment horizontal="center" vertical="center"/>
    </xf>
    <xf numFmtId="10" fontId="41" fillId="12" borderId="158" xfId="1" applyNumberFormat="1" applyFont="1" applyFill="1" applyBorder="1" applyAlignment="1">
      <alignment horizontal="center"/>
    </xf>
    <xf numFmtId="10" fontId="41" fillId="12" borderId="130" xfId="1" applyNumberFormat="1" applyFont="1" applyFill="1" applyBorder="1" applyAlignment="1">
      <alignment horizontal="center"/>
    </xf>
    <xf numFmtId="0" fontId="41" fillId="14" borderId="159" xfId="0" applyFont="1" applyFill="1" applyBorder="1" applyAlignment="1">
      <alignment horizontal="center"/>
    </xf>
    <xf numFmtId="0" fontId="41" fillId="14" borderId="163" xfId="0" applyFont="1" applyFill="1" applyBorder="1" applyAlignment="1">
      <alignment horizontal="center"/>
    </xf>
    <xf numFmtId="10" fontId="41" fillId="12" borderId="164" xfId="1" applyNumberFormat="1" applyFont="1" applyFill="1" applyBorder="1" applyAlignment="1">
      <alignment horizontal="center"/>
    </xf>
    <xf numFmtId="10" fontId="41" fillId="12" borderId="165" xfId="1" applyNumberFormat="1" applyFont="1" applyFill="1" applyBorder="1" applyAlignment="1">
      <alignment horizontal="center"/>
    </xf>
    <xf numFmtId="10" fontId="42" fillId="14" borderId="168" xfId="1" applyNumberFormat="1" applyFont="1" applyFill="1" applyBorder="1" applyAlignment="1">
      <alignment horizontal="right"/>
    </xf>
    <xf numFmtId="10" fontId="42" fillId="14" borderId="169" xfId="1" applyNumberFormat="1" applyFont="1" applyFill="1" applyBorder="1" applyAlignment="1">
      <alignment horizontal="right"/>
    </xf>
    <xf numFmtId="3" fontId="6" fillId="12" borderId="25" xfId="0" applyNumberFormat="1" applyFont="1" applyFill="1" applyBorder="1" applyAlignment="1">
      <alignment horizontal="center" vertical="center"/>
    </xf>
    <xf numFmtId="3" fontId="6" fillId="12" borderId="24" xfId="0" applyNumberFormat="1" applyFont="1" applyFill="1" applyBorder="1" applyAlignment="1">
      <alignment horizontal="center" vertical="center"/>
    </xf>
    <xf numFmtId="0" fontId="6" fillId="12" borderId="55" xfId="0" applyFont="1" applyFill="1" applyBorder="1" applyAlignment="1">
      <alignment horizontal="center" vertical="center"/>
    </xf>
    <xf numFmtId="0" fontId="6" fillId="12" borderId="25" xfId="0" applyFont="1" applyFill="1" applyBorder="1" applyAlignment="1">
      <alignment horizontal="center" vertical="center"/>
    </xf>
    <xf numFmtId="0" fontId="6" fillId="12" borderId="142" xfId="0" applyFont="1" applyFill="1" applyBorder="1" applyAlignment="1">
      <alignment horizontal="center" vertical="center"/>
    </xf>
    <xf numFmtId="0" fontId="6" fillId="12" borderId="138" xfId="0" applyFont="1" applyFill="1" applyBorder="1" applyAlignment="1">
      <alignment horizontal="center" vertical="center"/>
    </xf>
    <xf numFmtId="0" fontId="21" fillId="28" borderId="33" xfId="0" applyFont="1" applyFill="1" applyBorder="1" applyAlignment="1">
      <alignment horizontal="center" vertical="center"/>
    </xf>
    <xf numFmtId="0" fontId="21" fillId="28" borderId="35" xfId="0" applyFont="1" applyFill="1" applyBorder="1" applyAlignment="1">
      <alignment horizontal="center" vertical="center"/>
    </xf>
    <xf numFmtId="0" fontId="6" fillId="12" borderId="57" xfId="0" applyFont="1" applyFill="1" applyBorder="1" applyAlignment="1">
      <alignment horizontal="center" vertical="center"/>
    </xf>
    <xf numFmtId="0" fontId="6" fillId="12" borderId="139" xfId="0" applyFont="1" applyFill="1" applyBorder="1" applyAlignment="1">
      <alignment horizontal="center" vertical="center"/>
    </xf>
    <xf numFmtId="3" fontId="6" fillId="12" borderId="72" xfId="0" applyNumberFormat="1" applyFont="1" applyFill="1" applyBorder="1" applyAlignment="1">
      <alignment horizontal="center" vertical="center"/>
    </xf>
    <xf numFmtId="0" fontId="6" fillId="12" borderId="89" xfId="0" applyFont="1" applyFill="1" applyBorder="1" applyAlignment="1">
      <alignment horizontal="center" vertical="center"/>
    </xf>
    <xf numFmtId="0" fontId="6" fillId="12" borderId="111" xfId="0" applyFont="1" applyFill="1" applyBorder="1" applyAlignment="1">
      <alignment horizontal="center" vertical="center"/>
    </xf>
    <xf numFmtId="0" fontId="6" fillId="12" borderId="140" xfId="0" applyFont="1" applyFill="1" applyBorder="1" applyAlignment="1">
      <alignment horizontal="center" vertical="center"/>
    </xf>
    <xf numFmtId="0" fontId="41" fillId="14" borderId="160" xfId="0" applyFont="1" applyFill="1" applyBorder="1" applyAlignment="1">
      <alignment horizontal="center"/>
    </xf>
    <xf numFmtId="0" fontId="41" fillId="14" borderId="80" xfId="0" applyFont="1" applyFill="1" applyBorder="1" applyAlignment="1">
      <alignment horizontal="center"/>
    </xf>
    <xf numFmtId="0" fontId="41" fillId="14" borderId="152" xfId="0" applyFont="1" applyFill="1" applyBorder="1" applyAlignment="1">
      <alignment horizontal="center"/>
    </xf>
    <xf numFmtId="0" fontId="41" fillId="14" borderId="153" xfId="0" applyFont="1" applyFill="1" applyBorder="1" applyAlignment="1">
      <alignment horizontal="center"/>
    </xf>
    <xf numFmtId="0" fontId="41" fillId="35" borderId="161" xfId="0" applyFont="1" applyFill="1" applyBorder="1" applyAlignment="1">
      <alignment horizontal="center"/>
    </xf>
    <xf numFmtId="10" fontId="41" fillId="12" borderId="76" xfId="1" applyNumberFormat="1" applyFont="1" applyFill="1" applyBorder="1" applyAlignment="1">
      <alignment horizontal="center"/>
    </xf>
    <xf numFmtId="10" fontId="41" fillId="12" borderId="151" xfId="1" applyNumberFormat="1" applyFont="1" applyFill="1" applyBorder="1" applyAlignment="1">
      <alignment horizontal="center"/>
    </xf>
    <xf numFmtId="10" fontId="41" fillId="12" borderId="127" xfId="1" applyNumberFormat="1" applyFont="1" applyFill="1" applyBorder="1" applyAlignment="1">
      <alignment horizontal="center"/>
    </xf>
    <xf numFmtId="10" fontId="41" fillId="12" borderId="57" xfId="1" applyNumberFormat="1" applyFont="1" applyFill="1" applyBorder="1" applyAlignment="1">
      <alignment horizontal="center"/>
    </xf>
    <xf numFmtId="10" fontId="41" fillId="12" borderId="42" xfId="1" applyNumberFormat="1" applyFont="1" applyFill="1" applyBorder="1" applyAlignment="1">
      <alignment horizontal="center"/>
    </xf>
    <xf numFmtId="10" fontId="41" fillId="12" borderId="58" xfId="1" applyNumberFormat="1" applyFont="1" applyFill="1" applyBorder="1" applyAlignment="1">
      <alignment horizontal="center"/>
    </xf>
    <xf numFmtId="0" fontId="41" fillId="35" borderId="162" xfId="0" applyFont="1" applyFill="1" applyBorder="1" applyAlignment="1">
      <alignment horizontal="center"/>
    </xf>
    <xf numFmtId="10" fontId="41" fillId="12" borderId="111" xfId="1" applyNumberFormat="1" applyFont="1" applyFill="1" applyBorder="1" applyAlignment="1">
      <alignment horizontal="center"/>
    </xf>
    <xf numFmtId="10" fontId="41" fillId="12" borderId="134" xfId="1" applyNumberFormat="1" applyFont="1" applyFill="1" applyBorder="1" applyAlignment="1">
      <alignment horizontal="center"/>
    </xf>
    <xf numFmtId="10" fontId="41" fillId="12" borderId="63" xfId="1" applyNumberFormat="1" applyFont="1" applyFill="1" applyBorder="1" applyAlignment="1">
      <alignment horizontal="center"/>
    </xf>
    <xf numFmtId="0" fontId="42" fillId="14" borderId="166" xfId="0" applyFont="1" applyFill="1" applyBorder="1" applyAlignment="1">
      <alignment horizontal="right"/>
    </xf>
    <xf numFmtId="10" fontId="42" fillId="14" borderId="167" xfId="1" applyNumberFormat="1" applyFont="1" applyFill="1" applyBorder="1" applyAlignment="1">
      <alignment horizontal="right"/>
    </xf>
    <xf numFmtId="10" fontId="42" fillId="14" borderId="156" xfId="1" applyNumberFormat="1" applyFont="1" applyFill="1" applyBorder="1" applyAlignment="1">
      <alignment horizontal="right"/>
    </xf>
    <xf numFmtId="10" fontId="42" fillId="14" borderId="157" xfId="1" applyNumberFormat="1" applyFont="1" applyFill="1" applyBorder="1" applyAlignment="1">
      <alignment horizontal="right"/>
    </xf>
    <xf numFmtId="0" fontId="0" fillId="14" borderId="0" xfId="0" applyFill="1"/>
    <xf numFmtId="0" fontId="43" fillId="0" borderId="0" xfId="0" applyFont="1" applyAlignment="1">
      <alignment vertical="center"/>
    </xf>
    <xf numFmtId="0" fontId="7" fillId="34" borderId="182" xfId="0" applyFont="1" applyFill="1" applyBorder="1"/>
    <xf numFmtId="0" fontId="7" fillId="34" borderId="0" xfId="0" applyFont="1" applyFill="1"/>
    <xf numFmtId="0" fontId="7" fillId="34" borderId="131" xfId="0" applyFont="1" applyFill="1" applyBorder="1"/>
    <xf numFmtId="0" fontId="0" fillId="34" borderId="182" xfId="0" applyFill="1" applyBorder="1"/>
    <xf numFmtId="0" fontId="0" fillId="34" borderId="0" xfId="0" applyFill="1"/>
    <xf numFmtId="0" fontId="0" fillId="34" borderId="131" xfId="0" applyFill="1" applyBorder="1"/>
    <xf numFmtId="0" fontId="0" fillId="14" borderId="182" xfId="0" applyFill="1" applyBorder="1"/>
    <xf numFmtId="0" fontId="0" fillId="14" borderId="131" xfId="0" applyFill="1" applyBorder="1"/>
    <xf numFmtId="0" fontId="0" fillId="14" borderId="78" xfId="0" applyFill="1" applyBorder="1"/>
    <xf numFmtId="0" fontId="0" fillId="14" borderId="102" xfId="0" applyFill="1" applyBorder="1"/>
    <xf numFmtId="0" fontId="0" fillId="14" borderId="92" xfId="0" applyFill="1" applyBorder="1"/>
    <xf numFmtId="0" fontId="7" fillId="25" borderId="76" xfId="0" applyFont="1" applyFill="1" applyBorder="1" applyProtection="1">
      <protection locked="0"/>
    </xf>
    <xf numFmtId="0" fontId="7" fillId="25" borderId="57" xfId="0" applyFont="1" applyFill="1" applyBorder="1" applyProtection="1">
      <protection locked="0"/>
    </xf>
    <xf numFmtId="0" fontId="7" fillId="25" borderId="59" xfId="0" applyFont="1" applyFill="1" applyBorder="1" applyProtection="1">
      <protection locked="0"/>
    </xf>
    <xf numFmtId="0" fontId="37" fillId="27" borderId="115" xfId="0" applyFont="1" applyFill="1" applyBorder="1" applyProtection="1">
      <protection locked="0"/>
    </xf>
    <xf numFmtId="0" fontId="37" fillId="27" borderId="112" xfId="0" applyFont="1" applyFill="1" applyBorder="1" applyProtection="1">
      <protection locked="0"/>
    </xf>
    <xf numFmtId="164" fontId="16" fillId="18" borderId="82" xfId="0" applyNumberFormat="1" applyFont="1" applyFill="1" applyBorder="1" applyAlignment="1" applyProtection="1">
      <alignment horizontal="right"/>
      <protection locked="0"/>
    </xf>
    <xf numFmtId="0" fontId="14" fillId="18" borderId="22" xfId="0" applyFont="1" applyFill="1" applyBorder="1" applyAlignment="1" applyProtection="1">
      <alignment horizontal="right"/>
      <protection locked="0"/>
    </xf>
    <xf numFmtId="0" fontId="16" fillId="18" borderId="21" xfId="0" applyFont="1" applyFill="1" applyBorder="1" applyAlignment="1" applyProtection="1">
      <alignment horizontal="right"/>
      <protection locked="0"/>
    </xf>
    <xf numFmtId="0" fontId="39" fillId="17" borderId="67" xfId="0" applyFont="1" applyFill="1" applyBorder="1" applyAlignment="1" applyProtection="1">
      <alignment horizontal="center" vertical="center" wrapText="1"/>
      <protection locked="0"/>
    </xf>
    <xf numFmtId="0" fontId="32" fillId="17" borderId="70" xfId="0" applyFont="1" applyFill="1" applyBorder="1" applyAlignment="1" applyProtection="1">
      <alignment horizontal="center" vertical="center"/>
      <protection locked="0"/>
    </xf>
    <xf numFmtId="0" fontId="32" fillId="17" borderId="75" xfId="0" applyFont="1" applyFill="1" applyBorder="1" applyAlignment="1" applyProtection="1">
      <alignment horizontal="center" vertical="center"/>
      <protection locked="0"/>
    </xf>
    <xf numFmtId="3" fontId="32" fillId="17" borderId="57" xfId="0" applyNumberFormat="1" applyFont="1" applyFill="1" applyBorder="1" applyAlignment="1" applyProtection="1">
      <alignment horizontal="center" vertical="center"/>
      <protection locked="0"/>
    </xf>
    <xf numFmtId="3" fontId="32" fillId="17" borderId="58" xfId="0" applyNumberFormat="1" applyFont="1" applyFill="1" applyBorder="1" applyAlignment="1" applyProtection="1">
      <alignment horizontal="center" vertical="center"/>
      <protection locked="0"/>
    </xf>
    <xf numFmtId="3" fontId="32" fillId="17" borderId="111" xfId="0" applyNumberFormat="1" applyFont="1" applyFill="1" applyBorder="1" applyAlignment="1" applyProtection="1">
      <alignment horizontal="center" vertical="center"/>
      <protection locked="0"/>
    </xf>
    <xf numFmtId="3" fontId="32" fillId="17" borderId="63" xfId="0" applyNumberFormat="1" applyFont="1" applyFill="1" applyBorder="1" applyAlignment="1" applyProtection="1">
      <alignment horizontal="center" vertical="center"/>
      <protection locked="0"/>
    </xf>
    <xf numFmtId="0" fontId="12" fillId="15" borderId="55" xfId="0" applyFont="1" applyFill="1" applyBorder="1" applyAlignment="1" applyProtection="1">
      <alignment horizontal="right"/>
      <protection locked="0"/>
    </xf>
    <xf numFmtId="0" fontId="12" fillId="15" borderId="66" xfId="0" applyFont="1" applyFill="1" applyBorder="1" applyAlignment="1" applyProtection="1">
      <alignment horizontal="right"/>
      <protection locked="0"/>
    </xf>
    <xf numFmtId="3" fontId="30" fillId="15" borderId="55" xfId="0" applyNumberFormat="1" applyFont="1" applyFill="1" applyBorder="1" applyAlignment="1" applyProtection="1">
      <alignment horizontal="right"/>
      <protection locked="0"/>
    </xf>
    <xf numFmtId="3" fontId="30" fillId="15" borderId="56" xfId="0" applyNumberFormat="1" applyFont="1" applyFill="1" applyBorder="1" applyAlignment="1" applyProtection="1">
      <alignment horizontal="right"/>
      <protection locked="0"/>
    </xf>
    <xf numFmtId="3" fontId="50" fillId="14" borderId="58" xfId="0" applyNumberFormat="1" applyFont="1" applyFill="1" applyBorder="1" applyAlignment="1">
      <alignment horizontal="center" vertical="center"/>
    </xf>
    <xf numFmtId="3" fontId="50" fillId="23" borderId="58" xfId="0" applyNumberFormat="1" applyFont="1" applyFill="1" applyBorder="1" applyAlignment="1" applyProtection="1">
      <alignment horizontal="center" vertical="center"/>
      <protection locked="0"/>
    </xf>
    <xf numFmtId="3" fontId="50" fillId="14" borderId="60" xfId="0" applyNumberFormat="1" applyFont="1" applyFill="1" applyBorder="1" applyAlignment="1">
      <alignment horizontal="center" vertical="center"/>
    </xf>
    <xf numFmtId="0" fontId="51" fillId="14" borderId="56" xfId="0" applyFont="1" applyFill="1" applyBorder="1" applyAlignment="1">
      <alignment horizontal="center" vertical="center"/>
    </xf>
    <xf numFmtId="0" fontId="27" fillId="0" borderId="0" xfId="0" applyFont="1"/>
    <xf numFmtId="0" fontId="32" fillId="17" borderId="183" xfId="0" applyFont="1" applyFill="1" applyBorder="1" applyAlignment="1" applyProtection="1">
      <alignment horizontal="center" vertical="center"/>
      <protection locked="0"/>
    </xf>
    <xf numFmtId="0" fontId="32" fillId="17" borderId="55" xfId="0" applyFont="1" applyFill="1" applyBorder="1" applyAlignment="1" applyProtection="1">
      <alignment horizontal="center" vertical="center"/>
      <protection locked="0"/>
    </xf>
    <xf numFmtId="0" fontId="32" fillId="17" borderId="105" xfId="0" applyFont="1" applyFill="1" applyBorder="1" applyAlignment="1" applyProtection="1">
      <alignment horizontal="center" vertical="center"/>
      <protection locked="0"/>
    </xf>
    <xf numFmtId="0" fontId="32" fillId="17" borderId="57" xfId="0" applyFont="1" applyFill="1" applyBorder="1" applyAlignment="1" applyProtection="1">
      <alignment horizontal="center" vertical="center"/>
      <protection locked="0"/>
    </xf>
    <xf numFmtId="0" fontId="32" fillId="17" borderId="132" xfId="0" applyFont="1" applyFill="1" applyBorder="1" applyAlignment="1" applyProtection="1">
      <alignment horizontal="center" vertical="center"/>
      <protection locked="0"/>
    </xf>
    <xf numFmtId="3" fontId="32" fillId="17" borderId="59" xfId="0" applyNumberFormat="1" applyFont="1" applyFill="1" applyBorder="1" applyAlignment="1" applyProtection="1">
      <alignment horizontal="center" vertical="center"/>
      <protection locked="0"/>
    </xf>
    <xf numFmtId="3" fontId="32" fillId="17" borderId="60" xfId="0" applyNumberFormat="1" applyFont="1" applyFill="1" applyBorder="1" applyAlignment="1" applyProtection="1">
      <alignment horizontal="center" vertical="center"/>
      <protection locked="0"/>
    </xf>
    <xf numFmtId="0" fontId="27" fillId="0" borderId="42" xfId="0" applyFont="1" applyBorder="1"/>
    <xf numFmtId="0" fontId="0" fillId="0" borderId="42" xfId="0" applyBorder="1"/>
    <xf numFmtId="0" fontId="0" fillId="17" borderId="142" xfId="0" applyFill="1" applyBorder="1" applyAlignment="1" applyProtection="1">
      <alignment horizontal="center" vertical="center"/>
      <protection locked="0"/>
    </xf>
    <xf numFmtId="0" fontId="0" fillId="17" borderId="151" xfId="0" applyFill="1" applyBorder="1" applyAlignment="1" applyProtection="1">
      <alignment horizontal="center" vertical="center"/>
      <protection locked="0"/>
    </xf>
    <xf numFmtId="0" fontId="0" fillId="17" borderId="127" xfId="0" applyFill="1" applyBorder="1" applyAlignment="1" applyProtection="1">
      <alignment horizontal="center" vertical="center"/>
      <protection locked="0"/>
    </xf>
    <xf numFmtId="0" fontId="0" fillId="17" borderId="76" xfId="0" applyFill="1" applyBorder="1" applyAlignment="1" applyProtection="1">
      <alignment horizontal="center" vertical="center"/>
      <protection locked="0"/>
    </xf>
    <xf numFmtId="0" fontId="0" fillId="17" borderId="75" xfId="0" applyFill="1" applyBorder="1" applyAlignment="1" applyProtection="1">
      <alignment horizontal="center" vertical="center"/>
      <protection locked="0"/>
    </xf>
    <xf numFmtId="0" fontId="0" fillId="17" borderId="42" xfId="0" applyFill="1" applyBorder="1" applyAlignment="1" applyProtection="1">
      <alignment horizontal="center" vertical="center"/>
      <protection locked="0"/>
    </xf>
    <xf numFmtId="0" fontId="0" fillId="17" borderId="58" xfId="0" applyFill="1" applyBorder="1" applyAlignment="1" applyProtection="1">
      <alignment horizontal="center" vertical="center"/>
      <protection locked="0"/>
    </xf>
    <xf numFmtId="0" fontId="0" fillId="17" borderId="57" xfId="0" applyFill="1" applyBorder="1" applyAlignment="1" applyProtection="1">
      <alignment horizontal="center" vertical="center"/>
      <protection locked="0"/>
    </xf>
    <xf numFmtId="0" fontId="0" fillId="17" borderId="71" xfId="0" applyFill="1" applyBorder="1" applyAlignment="1" applyProtection="1">
      <alignment horizontal="center" vertical="center"/>
      <protection locked="0"/>
    </xf>
    <xf numFmtId="0" fontId="0" fillId="17" borderId="67" xfId="0" applyFill="1" applyBorder="1" applyAlignment="1" applyProtection="1">
      <alignment horizontal="center" vertical="center"/>
      <protection locked="0"/>
    </xf>
    <xf numFmtId="0" fontId="0" fillId="17" borderId="60" xfId="0" applyFill="1" applyBorder="1" applyAlignment="1" applyProtection="1">
      <alignment horizontal="center" vertical="center"/>
      <protection locked="0"/>
    </xf>
    <xf numFmtId="0" fontId="0" fillId="17" borderId="59" xfId="0" applyFill="1" applyBorder="1" applyAlignment="1" applyProtection="1">
      <alignment horizontal="center" vertical="center"/>
      <protection locked="0"/>
    </xf>
    <xf numFmtId="0" fontId="52" fillId="14" borderId="58" xfId="0" applyFont="1" applyFill="1" applyBorder="1" applyAlignment="1">
      <alignment horizontal="center" vertical="center"/>
    </xf>
    <xf numFmtId="0" fontId="50" fillId="14" borderId="58" xfId="0" applyFont="1" applyFill="1" applyBorder="1" applyAlignment="1">
      <alignment horizontal="center" vertical="center"/>
    </xf>
    <xf numFmtId="0" fontId="3" fillId="18" borderId="88" xfId="0" applyFont="1" applyFill="1" applyBorder="1" applyAlignment="1" applyProtection="1">
      <alignment horizontal="center"/>
      <protection locked="0"/>
    </xf>
    <xf numFmtId="3" fontId="3" fillId="50" borderId="9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Protection="1">
      <protection hidden="1"/>
    </xf>
    <xf numFmtId="0" fontId="7" fillId="0" borderId="181" xfId="0" applyFont="1" applyBorder="1" applyProtection="1">
      <protection hidden="1"/>
    </xf>
    <xf numFmtId="0" fontId="7" fillId="6" borderId="43" xfId="0" applyFont="1" applyFill="1" applyBorder="1" applyProtection="1">
      <protection hidden="1"/>
    </xf>
    <xf numFmtId="0" fontId="45" fillId="36" borderId="174" xfId="0" applyFont="1" applyFill="1" applyBorder="1" applyProtection="1">
      <protection hidden="1"/>
    </xf>
    <xf numFmtId="0" fontId="45" fillId="37" borderId="175" xfId="0" applyFont="1" applyFill="1" applyBorder="1" applyProtection="1">
      <protection hidden="1"/>
    </xf>
    <xf numFmtId="0" fontId="45" fillId="38" borderId="175" xfId="0" applyFont="1" applyFill="1" applyBorder="1" applyProtection="1">
      <protection hidden="1"/>
    </xf>
    <xf numFmtId="0" fontId="45" fillId="39" borderId="175" xfId="0" applyFont="1" applyFill="1" applyBorder="1" applyProtection="1">
      <protection hidden="1"/>
    </xf>
    <xf numFmtId="0" fontId="45" fillId="40" borderId="175" xfId="0" applyFont="1" applyFill="1" applyBorder="1" applyProtection="1">
      <protection hidden="1"/>
    </xf>
    <xf numFmtId="0" fontId="45" fillId="41" borderId="175" xfId="0" applyFont="1" applyFill="1" applyBorder="1" applyProtection="1">
      <protection hidden="1"/>
    </xf>
    <xf numFmtId="0" fontId="45" fillId="36" borderId="175" xfId="0" applyFont="1" applyFill="1" applyBorder="1" applyProtection="1">
      <protection hidden="1"/>
    </xf>
    <xf numFmtId="0" fontId="47" fillId="42" borderId="124" xfId="0" applyFont="1" applyFill="1" applyBorder="1" applyProtection="1">
      <protection hidden="1"/>
    </xf>
    <xf numFmtId="0" fontId="7" fillId="6" borderId="176" xfId="0" applyFont="1" applyFill="1" applyBorder="1" applyProtection="1">
      <protection hidden="1"/>
    </xf>
    <xf numFmtId="0" fontId="45" fillId="43" borderId="174" xfId="0" applyFont="1" applyFill="1" applyBorder="1" applyProtection="1">
      <protection hidden="1"/>
    </xf>
    <xf numFmtId="0" fontId="45" fillId="44" borderId="175" xfId="0" applyFont="1" applyFill="1" applyBorder="1" applyProtection="1">
      <protection hidden="1"/>
    </xf>
    <xf numFmtId="0" fontId="45" fillId="45" borderId="175" xfId="0" applyFont="1" applyFill="1" applyBorder="1" applyProtection="1">
      <protection hidden="1"/>
    </xf>
    <xf numFmtId="0" fontId="45" fillId="46" borderId="175" xfId="0" applyFont="1" applyFill="1" applyBorder="1" applyProtection="1">
      <protection hidden="1"/>
    </xf>
    <xf numFmtId="0" fontId="45" fillId="47" borderId="175" xfId="0" applyFont="1" applyFill="1" applyBorder="1" applyProtection="1">
      <protection hidden="1"/>
    </xf>
    <xf numFmtId="0" fontId="45" fillId="48" borderId="175" xfId="0" applyFont="1" applyFill="1" applyBorder="1" applyProtection="1">
      <protection hidden="1"/>
    </xf>
    <xf numFmtId="0" fontId="45" fillId="43" borderId="175" xfId="0" applyFont="1" applyFill="1" applyBorder="1" applyProtection="1">
      <protection hidden="1"/>
    </xf>
    <xf numFmtId="0" fontId="47" fillId="49" borderId="124" xfId="0" applyFont="1" applyFill="1" applyBorder="1" applyProtection="1">
      <protection hidden="1"/>
    </xf>
    <xf numFmtId="0" fontId="31" fillId="6" borderId="173" xfId="0" applyFont="1" applyFill="1" applyBorder="1" applyProtection="1">
      <protection hidden="1"/>
    </xf>
    <xf numFmtId="0" fontId="7" fillId="6" borderId="10" xfId="0" applyFont="1" applyFill="1" applyBorder="1" applyProtection="1">
      <protection hidden="1"/>
    </xf>
    <xf numFmtId="0" fontId="7" fillId="6" borderId="170" xfId="0" applyFont="1" applyFill="1" applyBorder="1" applyProtection="1">
      <protection hidden="1"/>
    </xf>
    <xf numFmtId="0" fontId="7" fillId="6" borderId="23" xfId="0" applyFont="1" applyFill="1" applyBorder="1" applyProtection="1">
      <protection hidden="1"/>
    </xf>
    <xf numFmtId="0" fontId="31" fillId="6" borderId="178" xfId="0" applyFont="1" applyFill="1" applyBorder="1" applyProtection="1">
      <protection hidden="1"/>
    </xf>
    <xf numFmtId="0" fontId="31" fillId="6" borderId="73" xfId="0" applyFont="1" applyFill="1" applyBorder="1" applyProtection="1">
      <protection hidden="1"/>
    </xf>
    <xf numFmtId="10" fontId="7" fillId="6" borderId="25" xfId="0" applyNumberFormat="1" applyFont="1" applyFill="1" applyBorder="1" applyProtection="1">
      <protection hidden="1"/>
    </xf>
    <xf numFmtId="10" fontId="7" fillId="6" borderId="24" xfId="0" applyNumberFormat="1" applyFont="1" applyFill="1" applyBorder="1" applyProtection="1">
      <protection hidden="1"/>
    </xf>
    <xf numFmtId="10" fontId="7" fillId="6" borderId="12" xfId="0" applyNumberFormat="1" applyFont="1" applyFill="1" applyBorder="1" applyProtection="1">
      <protection hidden="1"/>
    </xf>
    <xf numFmtId="0" fontId="31" fillId="6" borderId="179" xfId="0" applyFont="1" applyFill="1" applyBorder="1" applyProtection="1">
      <protection hidden="1"/>
    </xf>
    <xf numFmtId="0" fontId="48" fillId="6" borderId="73" xfId="0" applyFont="1" applyFill="1" applyBorder="1" applyProtection="1">
      <protection hidden="1"/>
    </xf>
    <xf numFmtId="10" fontId="48" fillId="6" borderId="25" xfId="0" applyNumberFormat="1" applyFont="1" applyFill="1" applyBorder="1" applyProtection="1">
      <protection hidden="1"/>
    </xf>
    <xf numFmtId="10" fontId="48" fillId="6" borderId="24" xfId="0" applyNumberFormat="1" applyFont="1" applyFill="1" applyBorder="1" applyProtection="1">
      <protection hidden="1"/>
    </xf>
    <xf numFmtId="10" fontId="48" fillId="6" borderId="12" xfId="0" applyNumberFormat="1" applyFont="1" applyFill="1" applyBorder="1" applyProtection="1">
      <protection hidden="1"/>
    </xf>
    <xf numFmtId="0" fontId="48" fillId="6" borderId="179" xfId="0" applyFont="1" applyFill="1" applyBorder="1" applyProtection="1">
      <protection hidden="1"/>
    </xf>
    <xf numFmtId="0" fontId="48" fillId="6" borderId="172" xfId="0" applyFont="1" applyFill="1" applyBorder="1" applyProtection="1">
      <protection hidden="1"/>
    </xf>
    <xf numFmtId="10" fontId="48" fillId="6" borderId="135" xfId="0" applyNumberFormat="1" applyFont="1" applyFill="1" applyBorder="1" applyProtection="1">
      <protection hidden="1"/>
    </xf>
    <xf numFmtId="10" fontId="48" fillId="6" borderId="171" xfId="0" applyNumberFormat="1" applyFont="1" applyFill="1" applyBorder="1" applyProtection="1">
      <protection hidden="1"/>
    </xf>
    <xf numFmtId="10" fontId="48" fillId="6" borderId="177" xfId="0" applyNumberFormat="1" applyFont="1" applyFill="1" applyBorder="1" applyProtection="1">
      <protection hidden="1"/>
    </xf>
    <xf numFmtId="0" fontId="48" fillId="6" borderId="180" xfId="0" applyFont="1" applyFill="1" applyBorder="1" applyProtection="1">
      <protection hidden="1"/>
    </xf>
    <xf numFmtId="3" fontId="10" fillId="32" borderId="47" xfId="0" applyNumberFormat="1" applyFont="1" applyFill="1" applyBorder="1" applyAlignment="1">
      <alignment horizontal="right"/>
    </xf>
    <xf numFmtId="0" fontId="3" fillId="51" borderId="136" xfId="0" applyFont="1" applyFill="1" applyBorder="1" applyAlignment="1">
      <alignment horizontal="center"/>
    </xf>
    <xf numFmtId="0" fontId="3" fillId="51" borderId="100" xfId="0" applyFont="1" applyFill="1" applyBorder="1" applyAlignment="1">
      <alignment horizontal="center" vertical="center" wrapText="1"/>
    </xf>
    <xf numFmtId="0" fontId="1" fillId="51" borderId="97" xfId="0" applyFont="1" applyFill="1" applyBorder="1" applyAlignment="1">
      <alignment horizontal="center"/>
    </xf>
    <xf numFmtId="0" fontId="1" fillId="51" borderId="98" xfId="0" applyFont="1" applyFill="1" applyBorder="1" applyAlignment="1">
      <alignment horizontal="center"/>
    </xf>
    <xf numFmtId="0" fontId="1" fillId="51" borderId="133" xfId="0" applyFont="1" applyFill="1" applyBorder="1" applyAlignment="1">
      <alignment horizontal="center"/>
    </xf>
    <xf numFmtId="0" fontId="1" fillId="51" borderId="108" xfId="0" applyFont="1" applyFill="1" applyBorder="1" applyAlignment="1">
      <alignment horizontal="center"/>
    </xf>
    <xf numFmtId="0" fontId="3" fillId="51" borderId="87" xfId="0" applyFont="1" applyFill="1" applyBorder="1" applyAlignment="1">
      <alignment horizontal="center"/>
    </xf>
    <xf numFmtId="0" fontId="3" fillId="51" borderId="89" xfId="0" applyFont="1" applyFill="1" applyBorder="1" applyAlignment="1">
      <alignment horizontal="center"/>
    </xf>
    <xf numFmtId="0" fontId="7" fillId="51" borderId="11" xfId="0" applyFont="1" applyFill="1" applyBorder="1"/>
    <xf numFmtId="0" fontId="7" fillId="51" borderId="13" xfId="0" applyFont="1" applyFill="1" applyBorder="1"/>
    <xf numFmtId="0" fontId="7" fillId="51" borderId="20" xfId="0" applyFont="1" applyFill="1" applyBorder="1"/>
    <xf numFmtId="10" fontId="10" fillId="52" borderId="99" xfId="0" applyNumberFormat="1" applyFont="1" applyFill="1" applyBorder="1"/>
    <xf numFmtId="0" fontId="3" fillId="51" borderId="149" xfId="0" applyFont="1" applyFill="1" applyBorder="1" applyAlignment="1">
      <alignment horizontal="center"/>
    </xf>
    <xf numFmtId="0" fontId="3" fillId="51" borderId="150" xfId="0" applyFont="1" applyFill="1" applyBorder="1" applyAlignment="1">
      <alignment horizontal="center"/>
    </xf>
    <xf numFmtId="0" fontId="11" fillId="51" borderId="136" xfId="0" applyFont="1" applyFill="1" applyBorder="1" applyAlignment="1">
      <alignment horizontal="center"/>
    </xf>
    <xf numFmtId="0" fontId="14" fillId="51" borderId="100" xfId="0" applyFont="1" applyFill="1" applyBorder="1" applyAlignment="1">
      <alignment horizontal="center"/>
    </xf>
    <xf numFmtId="0" fontId="54" fillId="0" borderId="0" xfId="0" applyFont="1"/>
    <xf numFmtId="0" fontId="55" fillId="0" borderId="0" xfId="0" applyFont="1" applyAlignment="1">
      <alignment vertical="top" wrapText="1"/>
    </xf>
    <xf numFmtId="0" fontId="55" fillId="0" borderId="131" xfId="0" applyFont="1" applyBorder="1" applyAlignment="1">
      <alignment vertical="top" wrapText="1"/>
    </xf>
    <xf numFmtId="0" fontId="8" fillId="2" borderId="17" xfId="0" applyFont="1" applyFill="1" applyBorder="1" applyAlignment="1">
      <alignment horizontal="center"/>
    </xf>
    <xf numFmtId="0" fontId="56" fillId="2" borderId="8" xfId="0" applyFont="1" applyFill="1" applyBorder="1" applyAlignment="1">
      <alignment horizontal="center" vertical="center"/>
    </xf>
    <xf numFmtId="0" fontId="1" fillId="55" borderId="135" xfId="0" applyFont="1" applyFill="1" applyBorder="1" applyAlignment="1" applyProtection="1">
      <alignment horizontal="center" vertical="center" wrapText="1"/>
      <protection locked="0"/>
    </xf>
    <xf numFmtId="0" fontId="1" fillId="56" borderId="135" xfId="0" applyFont="1" applyFill="1" applyBorder="1" applyAlignment="1" applyProtection="1">
      <alignment horizontal="center" vertical="center" wrapText="1"/>
      <protection locked="0"/>
    </xf>
    <xf numFmtId="0" fontId="1" fillId="57" borderId="135" xfId="0" applyFont="1" applyFill="1" applyBorder="1" applyAlignment="1" applyProtection="1">
      <alignment horizontal="center" vertical="center" wrapText="1"/>
      <protection locked="0"/>
    </xf>
    <xf numFmtId="0" fontId="1" fillId="58" borderId="135" xfId="0" applyFont="1" applyFill="1" applyBorder="1" applyAlignment="1" applyProtection="1">
      <alignment horizontal="center" vertical="center" wrapText="1"/>
      <protection locked="0"/>
    </xf>
    <xf numFmtId="0" fontId="1" fillId="59" borderId="99" xfId="0" applyFont="1" applyFill="1" applyBorder="1" applyAlignment="1" applyProtection="1">
      <alignment horizontal="center" vertical="center" wrapText="1"/>
      <protection locked="0"/>
    </xf>
    <xf numFmtId="0" fontId="1" fillId="60" borderId="67" xfId="0" applyFont="1" applyFill="1" applyBorder="1" applyAlignment="1" applyProtection="1">
      <alignment horizontal="center" vertical="center" wrapText="1"/>
      <protection locked="0"/>
    </xf>
    <xf numFmtId="0" fontId="39" fillId="54" borderId="67" xfId="0" applyFont="1" applyFill="1" applyBorder="1" applyAlignment="1" applyProtection="1">
      <alignment horizontal="center" vertical="center" wrapText="1"/>
      <protection locked="0"/>
    </xf>
    <xf numFmtId="0" fontId="39" fillId="61" borderId="67" xfId="0" applyFont="1" applyFill="1" applyBorder="1" applyAlignment="1" applyProtection="1">
      <alignment horizontal="center" vertical="center" wrapText="1"/>
      <protection locked="0"/>
    </xf>
    <xf numFmtId="0" fontId="39" fillId="62" borderId="6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/>
    <xf numFmtId="0" fontId="2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53" fillId="14" borderId="43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17" borderId="70" xfId="0" applyFill="1" applyBorder="1" applyAlignment="1" applyProtection="1">
      <alignment horizontal="center" vertical="center"/>
      <protection locked="0"/>
    </xf>
    <xf numFmtId="0" fontId="0" fillId="17" borderId="66" xfId="0" applyFill="1" applyBorder="1" applyAlignment="1" applyProtection="1">
      <alignment horizontal="center" vertical="center"/>
      <protection locked="0"/>
    </xf>
    <xf numFmtId="0" fontId="0" fillId="17" borderId="56" xfId="0" applyFill="1" applyBorder="1" applyAlignment="1" applyProtection="1">
      <alignment horizontal="center" vertical="center"/>
      <protection locked="0"/>
    </xf>
    <xf numFmtId="0" fontId="0" fillId="17" borderId="55" xfId="0" applyFill="1" applyBorder="1" applyAlignment="1" applyProtection="1">
      <alignment horizontal="center" vertical="center"/>
      <protection locked="0"/>
    </xf>
    <xf numFmtId="0" fontId="27" fillId="12" borderId="43" xfId="0" applyFont="1" applyFill="1" applyBorder="1" applyAlignment="1">
      <alignment horizontal="center" vertical="center"/>
    </xf>
    <xf numFmtId="0" fontId="27" fillId="12" borderId="184" xfId="0" applyFont="1" applyFill="1" applyBorder="1" applyAlignment="1">
      <alignment horizontal="center" vertical="center" wrapText="1"/>
    </xf>
    <xf numFmtId="0" fontId="27" fillId="12" borderId="152" xfId="0" applyFont="1" applyFill="1" applyBorder="1" applyAlignment="1">
      <alignment horizontal="center" vertical="center" wrapText="1"/>
    </xf>
    <xf numFmtId="0" fontId="27" fillId="12" borderId="153" xfId="0" applyFont="1" applyFill="1" applyBorder="1" applyAlignment="1">
      <alignment horizontal="center" vertical="center" wrapText="1"/>
    </xf>
    <xf numFmtId="0" fontId="27" fillId="12" borderId="80" xfId="0" applyFont="1" applyFill="1" applyBorder="1" applyAlignment="1">
      <alignment horizontal="center" vertical="center" wrapText="1"/>
    </xf>
    <xf numFmtId="0" fontId="8" fillId="2" borderId="43" xfId="0" applyFont="1" applyFill="1" applyBorder="1" applyAlignment="1">
      <alignment horizontal="center"/>
    </xf>
    <xf numFmtId="0" fontId="8" fillId="4" borderId="65" xfId="0" applyFont="1" applyFill="1" applyBorder="1" applyAlignment="1">
      <alignment horizontal="center" vertical="center"/>
    </xf>
    <xf numFmtId="0" fontId="8" fillId="4" borderId="185" xfId="0" applyFont="1" applyFill="1" applyBorder="1" applyAlignment="1">
      <alignment horizontal="center" vertical="center"/>
    </xf>
    <xf numFmtId="0" fontId="8" fillId="4" borderId="74" xfId="0" applyFont="1" applyFill="1" applyBorder="1" applyAlignment="1">
      <alignment horizontal="center" vertical="center"/>
    </xf>
    <xf numFmtId="0" fontId="56" fillId="2" borderId="16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0" fillId="54" borderId="126" xfId="0" applyFill="1" applyBorder="1" applyAlignment="1" applyProtection="1">
      <alignment horizontal="center" vertical="center"/>
      <protection locked="0"/>
    </xf>
    <xf numFmtId="0" fontId="0" fillId="54" borderId="45" xfId="0" applyFill="1" applyBorder="1" applyAlignment="1" applyProtection="1">
      <alignment horizontal="center" vertical="center"/>
      <protection locked="0"/>
    </xf>
    <xf numFmtId="0" fontId="0" fillId="54" borderId="46" xfId="0" applyFill="1" applyBorder="1" applyAlignment="1" applyProtection="1">
      <alignment horizontal="center" vertical="center"/>
      <protection locked="0"/>
    </xf>
    <xf numFmtId="0" fontId="0" fillId="54" borderId="44" xfId="0" applyFill="1" applyBorder="1" applyAlignment="1" applyProtection="1">
      <alignment horizontal="center" vertical="center"/>
      <protection locked="0"/>
    </xf>
    <xf numFmtId="0" fontId="31" fillId="14" borderId="0" xfId="0" applyFont="1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  <xf numFmtId="0" fontId="27" fillId="12" borderId="0" xfId="0" applyFont="1" applyFill="1" applyBorder="1" applyAlignment="1">
      <alignment horizontal="center" vertical="center" wrapText="1"/>
    </xf>
    <xf numFmtId="0" fontId="8" fillId="63" borderId="65" xfId="0" applyFont="1" applyFill="1" applyBorder="1" applyAlignment="1">
      <alignment horizontal="center" vertical="center"/>
    </xf>
    <xf numFmtId="0" fontId="8" fillId="63" borderId="185" xfId="0" applyFont="1" applyFill="1" applyBorder="1" applyAlignment="1">
      <alignment horizontal="center" vertical="center"/>
    </xf>
    <xf numFmtId="0" fontId="8" fillId="63" borderId="74" xfId="0" applyFont="1" applyFill="1" applyBorder="1" applyAlignment="1">
      <alignment horizontal="center" vertical="center"/>
    </xf>
    <xf numFmtId="0" fontId="1" fillId="51" borderId="133" xfId="0" applyFont="1" applyFill="1" applyBorder="1" applyAlignment="1">
      <alignment horizontal="center" vertical="center"/>
    </xf>
    <xf numFmtId="0" fontId="1" fillId="51" borderId="141" xfId="0" applyFont="1" applyFill="1" applyBorder="1" applyAlignment="1">
      <alignment horizontal="center" vertical="center"/>
    </xf>
    <xf numFmtId="0" fontId="1" fillId="51" borderId="107" xfId="0" applyFont="1" applyFill="1" applyBorder="1" applyAlignment="1">
      <alignment horizontal="center" vertical="center"/>
    </xf>
    <xf numFmtId="0" fontId="2" fillId="14" borderId="109" xfId="0" applyFont="1" applyFill="1" applyBorder="1"/>
    <xf numFmtId="0" fontId="9" fillId="51" borderId="90" xfId="0" applyFont="1" applyFill="1" applyBorder="1" applyAlignment="1">
      <alignment horizontal="center"/>
    </xf>
    <xf numFmtId="0" fontId="2" fillId="14" borderId="91" xfId="0" applyFont="1" applyFill="1" applyBorder="1"/>
    <xf numFmtId="10" fontId="9" fillId="51" borderId="78" xfId="0" applyNumberFormat="1" applyFont="1" applyFill="1" applyBorder="1" applyAlignment="1">
      <alignment horizontal="center"/>
    </xf>
    <xf numFmtId="0" fontId="2" fillId="14" borderId="92" xfId="0" applyFont="1" applyFill="1" applyBorder="1"/>
    <xf numFmtId="0" fontId="1" fillId="51" borderId="83" xfId="0" applyFont="1" applyFill="1" applyBorder="1" applyAlignment="1">
      <alignment horizontal="center" vertical="center"/>
    </xf>
    <xf numFmtId="0" fontId="2" fillId="14" borderId="84" xfId="0" applyFont="1" applyFill="1" applyBorder="1"/>
    <xf numFmtId="0" fontId="2" fillId="14" borderId="85" xfId="0" applyFont="1" applyFill="1" applyBorder="1"/>
    <xf numFmtId="0" fontId="2" fillId="14" borderId="86" xfId="0" applyFont="1" applyFill="1" applyBorder="1"/>
    <xf numFmtId="0" fontId="1" fillId="51" borderId="93" xfId="0" applyFont="1" applyFill="1" applyBorder="1" applyAlignment="1">
      <alignment horizontal="center" vertical="center"/>
    </xf>
    <xf numFmtId="0" fontId="2" fillId="14" borderId="8" xfId="0" applyFont="1" applyFill="1" applyBorder="1"/>
    <xf numFmtId="0" fontId="1" fillId="51" borderId="94" xfId="0" applyFont="1" applyFill="1" applyBorder="1" applyAlignment="1">
      <alignment horizontal="center" vertical="center"/>
    </xf>
    <xf numFmtId="0" fontId="2" fillId="14" borderId="15" xfId="0" applyFont="1" applyFill="1" applyBorder="1"/>
    <xf numFmtId="0" fontId="1" fillId="51" borderId="144" xfId="0" applyFont="1" applyFill="1" applyBorder="1" applyAlignment="1">
      <alignment horizontal="center" vertical="center"/>
    </xf>
    <xf numFmtId="0" fontId="2" fillId="14" borderId="145" xfId="0" applyFont="1" applyFill="1" applyBorder="1"/>
    <xf numFmtId="0" fontId="1" fillId="51" borderId="96" xfId="0" applyFont="1" applyFill="1" applyBorder="1" applyAlignment="1">
      <alignment horizontal="center" vertical="center"/>
    </xf>
    <xf numFmtId="0" fontId="2" fillId="14" borderId="7" xfId="0" applyFont="1" applyFill="1" applyBorder="1"/>
    <xf numFmtId="0" fontId="2" fillId="14" borderId="5" xfId="0" applyFont="1" applyFill="1" applyBorder="1"/>
    <xf numFmtId="0" fontId="1" fillId="51" borderId="95" xfId="0" applyFont="1" applyFill="1" applyBorder="1" applyAlignment="1">
      <alignment horizontal="center" vertical="center"/>
    </xf>
    <xf numFmtId="0" fontId="2" fillId="14" borderId="6" xfId="0" applyFont="1" applyFill="1" applyBorder="1"/>
    <xf numFmtId="0" fontId="1" fillId="51" borderId="16" xfId="0" applyFont="1" applyFill="1" applyBorder="1" applyAlignment="1">
      <alignment horizontal="center" vertical="center"/>
    </xf>
    <xf numFmtId="0" fontId="1" fillId="31" borderId="1" xfId="0" applyFont="1" applyFill="1" applyBorder="1" applyAlignment="1">
      <alignment horizontal="center" vertical="center"/>
    </xf>
    <xf numFmtId="0" fontId="2" fillId="14" borderId="4" xfId="0" applyFont="1" applyFill="1" applyBorder="1"/>
    <xf numFmtId="0" fontId="33" fillId="34" borderId="143" xfId="0" applyFont="1" applyFill="1" applyBorder="1" applyAlignment="1" applyProtection="1">
      <alignment horizontal="center"/>
      <protection hidden="1"/>
    </xf>
    <xf numFmtId="0" fontId="33" fillId="34" borderId="155" xfId="0" applyFont="1" applyFill="1" applyBorder="1" applyAlignment="1" applyProtection="1">
      <alignment horizontal="center"/>
      <protection hidden="1"/>
    </xf>
    <xf numFmtId="0" fontId="35" fillId="34" borderId="143" xfId="0" applyFont="1" applyFill="1" applyBorder="1" applyAlignment="1">
      <alignment horizontal="center"/>
    </xf>
    <xf numFmtId="0" fontId="35" fillId="34" borderId="155" xfId="0" applyFont="1" applyFill="1" applyBorder="1" applyAlignment="1">
      <alignment horizontal="center"/>
    </xf>
    <xf numFmtId="0" fontId="35" fillId="34" borderId="53" xfId="0" applyFont="1" applyFill="1" applyBorder="1" applyAlignment="1">
      <alignment horizontal="center"/>
    </xf>
    <xf numFmtId="0" fontId="19" fillId="30" borderId="30" xfId="0" applyFont="1" applyFill="1" applyBorder="1" applyAlignment="1">
      <alignment horizontal="center" vertical="center"/>
    </xf>
    <xf numFmtId="0" fontId="2" fillId="14" borderId="31" xfId="0" applyFont="1" applyFill="1" applyBorder="1"/>
    <xf numFmtId="0" fontId="19" fillId="30" borderId="32" xfId="0" applyFont="1" applyFill="1" applyBorder="1" applyAlignment="1">
      <alignment horizontal="center" vertical="center"/>
    </xf>
    <xf numFmtId="0" fontId="2" fillId="14" borderId="154" xfId="0" applyFont="1" applyFill="1" applyBorder="1"/>
    <xf numFmtId="0" fontId="1" fillId="31" borderId="28" xfId="0" applyFont="1" applyFill="1" applyBorder="1" applyAlignment="1">
      <alignment horizontal="center" vertical="center"/>
    </xf>
    <xf numFmtId="0" fontId="2" fillId="14" borderId="29" xfId="0" applyFont="1" applyFill="1" applyBorder="1"/>
    <xf numFmtId="0" fontId="43" fillId="14" borderId="143" xfId="0" applyFont="1" applyFill="1" applyBorder="1" applyAlignment="1">
      <alignment horizontal="center" vertical="center"/>
    </xf>
    <xf numFmtId="0" fontId="43" fillId="14" borderId="53" xfId="0" applyFont="1" applyFill="1" applyBorder="1" applyAlignment="1">
      <alignment horizontal="center" vertical="center"/>
    </xf>
    <xf numFmtId="0" fontId="46" fillId="14" borderId="143" xfId="0" applyFont="1" applyFill="1" applyBorder="1" applyAlignment="1">
      <alignment horizontal="center" vertical="center"/>
    </xf>
    <xf numFmtId="0" fontId="46" fillId="14" borderId="155" xfId="0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/>
    </xf>
    <xf numFmtId="0" fontId="2" fillId="0" borderId="49" xfId="0" applyFont="1" applyBorder="1"/>
    <xf numFmtId="0" fontId="2" fillId="14" borderId="3" xfId="0" applyFont="1" applyFill="1" applyBorder="1"/>
    <xf numFmtId="0" fontId="1" fillId="31" borderId="143" xfId="0" applyFont="1" applyFill="1" applyBorder="1" applyAlignment="1">
      <alignment horizontal="center" vertical="center"/>
    </xf>
    <xf numFmtId="0" fontId="2" fillId="14" borderId="53" xfId="0" applyFont="1" applyFill="1" applyBorder="1"/>
    <xf numFmtId="0" fontId="1" fillId="31" borderId="3" xfId="0" applyFont="1" applyFill="1" applyBorder="1" applyAlignment="1">
      <alignment horizontal="center" vertical="center"/>
    </xf>
    <xf numFmtId="0" fontId="53" fillId="12" borderId="143" xfId="0" applyFont="1" applyFill="1" applyBorder="1" applyAlignment="1">
      <alignment horizontal="center" vertical="center"/>
    </xf>
    <xf numFmtId="0" fontId="53" fillId="12" borderId="155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1" fillId="2" borderId="108" xfId="0" applyFont="1" applyFill="1" applyBorder="1" applyAlignment="1">
      <alignment horizontal="center" vertical="center"/>
    </xf>
    <xf numFmtId="0" fontId="1" fillId="2" borderId="110" xfId="0" applyFont="1" applyFill="1" applyBorder="1" applyAlignment="1">
      <alignment horizontal="center" vertical="center"/>
    </xf>
    <xf numFmtId="0" fontId="0" fillId="12" borderId="65" xfId="0" applyFill="1" applyBorder="1" applyAlignment="1">
      <alignment horizontal="center" wrapText="1"/>
    </xf>
    <xf numFmtId="0" fontId="0" fillId="12" borderId="74" xfId="0" applyFill="1" applyBorder="1" applyAlignment="1">
      <alignment horizontal="center" wrapText="1"/>
    </xf>
    <xf numFmtId="0" fontId="1" fillId="16" borderId="5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40" fillId="17" borderId="95" xfId="0" applyFont="1" applyFill="1" applyBorder="1" applyAlignment="1">
      <alignment horizontal="center" vertical="center" wrapText="1"/>
    </xf>
    <xf numFmtId="0" fontId="40" fillId="17" borderId="0" xfId="0" applyFont="1" applyFill="1" applyAlignment="1">
      <alignment horizontal="center" vertical="center" wrapText="1"/>
    </xf>
    <xf numFmtId="0" fontId="40" fillId="15" borderId="0" xfId="0" applyFont="1" applyFill="1" applyAlignment="1">
      <alignment horizontal="center" vertical="center" wrapText="1"/>
    </xf>
    <xf numFmtId="0" fontId="57" fillId="53" borderId="0" xfId="0" applyFont="1" applyFill="1" applyAlignment="1">
      <alignment horizontal="center" vertical="center" wrapText="1"/>
    </xf>
    <xf numFmtId="0" fontId="43" fillId="12" borderId="143" xfId="0" applyFont="1" applyFill="1" applyBorder="1" applyAlignment="1">
      <alignment horizontal="center" vertical="center"/>
    </xf>
    <xf numFmtId="0" fontId="43" fillId="12" borderId="155" xfId="0" applyFont="1" applyFill="1" applyBorder="1" applyAlignment="1">
      <alignment horizontal="center" vertical="center"/>
    </xf>
    <xf numFmtId="0" fontId="43" fillId="12" borderId="53" xfId="0" applyFont="1" applyFill="1" applyBorder="1" applyAlignment="1">
      <alignment horizontal="center" vertical="center"/>
    </xf>
    <xf numFmtId="0" fontId="1" fillId="16" borderId="64" xfId="0" applyFont="1" applyFill="1" applyBorder="1" applyAlignment="1">
      <alignment horizontal="center" vertical="center" wrapText="1"/>
    </xf>
    <xf numFmtId="0" fontId="1" fillId="16" borderId="103" xfId="0" applyFont="1" applyFill="1" applyBorder="1" applyAlignment="1">
      <alignment horizontal="center" vertical="center" wrapText="1"/>
    </xf>
    <xf numFmtId="0" fontId="1" fillId="2" borderId="107" xfId="0" applyFont="1" applyFill="1" applyBorder="1" applyAlignment="1">
      <alignment horizontal="center" vertical="center"/>
    </xf>
    <xf numFmtId="0" fontId="1" fillId="2" borderId="109" xfId="0" applyFont="1" applyFill="1" applyBorder="1" applyAlignment="1">
      <alignment horizontal="center" vertical="center"/>
    </xf>
    <xf numFmtId="0" fontId="3" fillId="24" borderId="65" xfId="0" applyFont="1" applyFill="1" applyBorder="1" applyAlignment="1">
      <alignment horizontal="center" vertical="center" wrapText="1"/>
    </xf>
    <xf numFmtId="0" fontId="3" fillId="24" borderId="74" xfId="0" applyFont="1" applyFill="1" applyBorder="1" applyAlignment="1">
      <alignment horizontal="center" vertical="center" wrapText="1"/>
    </xf>
    <xf numFmtId="0" fontId="1" fillId="16" borderId="2" xfId="0" applyFont="1" applyFill="1" applyBorder="1" applyAlignment="1">
      <alignment horizontal="center" vertical="center" wrapText="1"/>
    </xf>
    <xf numFmtId="0" fontId="1" fillId="16" borderId="15" xfId="0" applyFont="1" applyFill="1" applyBorder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446"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 patternType="solid">
          <fgColor rgb="FFFFF2CC"/>
          <bgColor theme="6" tint="0.79998168889431442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6" tint="0.3999450666829432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>
          <bgColor rgb="FF66FF33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colors>
    <mruColors>
      <color rgb="FFFFFFFF"/>
      <color rgb="FFE1C1D1"/>
      <color rgb="FFCCD6E6"/>
      <color rgb="FFC4D7EE"/>
      <color rgb="FFE6EAF0"/>
      <color rgb="FF66FF33"/>
      <color rgb="FFE6EEEE"/>
      <color rgb="FFDAF1F3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rPr lang="fr-FR" b="0">
                <a:solidFill>
                  <a:srgbClr val="000000"/>
                </a:solidFill>
                <a:latin typeface="+mn-lt"/>
              </a:rPr>
              <a:t>Votes exprimés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Synthèse!$L$16</c:f>
              <c:strCache>
                <c:ptCount val="1"/>
                <c:pt idx="0">
                  <c:v>%</c:v>
                </c:pt>
              </c:strCache>
            </c:strRef>
          </c:tx>
          <c:spPr>
            <a:solidFill>
              <a:srgbClr val="92D050"/>
            </a:solidFill>
            <a:ln cmpd="sng">
              <a:solidFill>
                <a:srgbClr val="92D05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8CB5F9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760-4393-B926-AF1160C079E1}"/>
              </c:ext>
            </c:extLst>
          </c:dPt>
          <c:dPt>
            <c:idx val="1"/>
            <c:invertIfNegative val="1"/>
            <c:bubble3D val="0"/>
            <c:spPr>
              <a:solidFill>
                <a:srgbClr val="E1C1D1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760-4393-B926-AF1160C079E1}"/>
              </c:ext>
            </c:extLst>
          </c:dPt>
          <c:dPt>
            <c:idx val="2"/>
            <c:invertIfNegative val="1"/>
            <c:bubble3D val="0"/>
            <c:spPr>
              <a:solidFill>
                <a:srgbClr val="FDD868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760-4393-B926-AF1160C079E1}"/>
              </c:ext>
            </c:extLst>
          </c:dPt>
          <c:dPt>
            <c:idx val="3"/>
            <c:invertIfNegative val="1"/>
            <c:bubble3D val="0"/>
            <c:spPr>
              <a:solidFill>
                <a:srgbClr val="7AD694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760-4393-B926-AF1160C079E1}"/>
              </c:ext>
            </c:extLst>
          </c:dPt>
          <c:dPt>
            <c:idx val="4"/>
            <c:invertIfNegative val="1"/>
            <c:bubble3D val="0"/>
            <c:spPr>
              <a:solidFill>
                <a:srgbClr val="FEA767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760-4393-B926-AF1160C079E1}"/>
              </c:ext>
            </c:extLst>
          </c:dPt>
          <c:dPt>
            <c:idx val="5"/>
            <c:invertIfNegative val="1"/>
            <c:bubble3D val="0"/>
            <c:spPr>
              <a:solidFill>
                <a:srgbClr val="F28E86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760-4393-B926-AF1160C079E1}"/>
              </c:ext>
            </c:extLst>
          </c:dPt>
          <c:dPt>
            <c:idx val="6"/>
            <c:invertIfNegative val="1"/>
            <c:bubble3D val="0"/>
            <c:spPr>
              <a:solidFill>
                <a:srgbClr val="B3CEFB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9D69-473A-8EC0-98BCBEC8387C}"/>
              </c:ext>
            </c:extLst>
          </c:dPt>
          <c:dPt>
            <c:idx val="7"/>
            <c:invertIfNegative val="1"/>
            <c:bubble3D val="0"/>
            <c:spPr>
              <a:solidFill>
                <a:srgbClr val="DAF1F3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9D69-473A-8EC0-98BCBEC8387C}"/>
              </c:ext>
            </c:extLst>
          </c:dPt>
          <c:dPt>
            <c:idx val="8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9D69-473A-8EC0-98BCBEC8387C}"/>
              </c:ext>
            </c:extLst>
          </c:dPt>
          <c:dPt>
            <c:idx val="9"/>
            <c:invertIfNegative val="1"/>
            <c:bubble3D val="0"/>
            <c:spPr>
              <a:solidFill>
                <a:srgbClr val="92D050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9D69-473A-8EC0-98BCBEC8387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Synthèse!$M$2:$V$2</c:f>
              <c:strCache>
                <c:ptCount val="10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</c:strCache>
            </c:strRef>
          </c:cat>
          <c:val>
            <c:numRef>
              <c:f>Synthèse!$M$16:$V$16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92D05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C-D760-4393-B926-AF1160C07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.00%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par bureau durant la journée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6.5015479876160992E-2"/>
          <c:w val="0.83989080979742214"/>
          <c:h val="0.84373223470905145"/>
        </c:manualLayout>
      </c:layout>
      <c:lineChart>
        <c:grouping val="standard"/>
        <c:varyColors val="1"/>
        <c:ser>
          <c:idx val="4"/>
          <c:order val="0"/>
          <c:tx>
            <c:v>Bureau 1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horaire'!$G$38:$G$50</c15:sqref>
                  </c15:fullRef>
                </c:ext>
              </c:extLst>
              <c:f>'Participation horaire'!$G$38:$G$48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DD-4706-AE63-019CF89C5A19}"/>
            </c:ext>
          </c:extLst>
        </c:ser>
        <c:ser>
          <c:idx val="3"/>
          <c:order val="1"/>
          <c:tx>
            <c:v>Bureau 2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horaire'!$H$38:$H$50</c15:sqref>
                  </c15:fullRef>
                </c:ext>
              </c:extLst>
              <c:f>'Participation horaire'!$H$38:$H$48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D-4706-AE63-019CF89C5A19}"/>
            </c:ext>
          </c:extLst>
        </c:ser>
        <c:ser>
          <c:idx val="12"/>
          <c:order val="2"/>
          <c:tx>
            <c:v>Bureau 10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horaire'!$P$38:$P$50</c15:sqref>
                  </c15:fullRef>
                </c:ext>
              </c:extLst>
              <c:f>'Participation horaire'!$P$38:$P$48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97A-4DD3-B3C0-3C396E2FBEB7}"/>
            </c:ext>
          </c:extLst>
        </c:ser>
        <c:ser>
          <c:idx val="11"/>
          <c:order val="3"/>
          <c:tx>
            <c:v>Bureau 9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horaire'!$O$38:$O$50</c15:sqref>
                  </c15:fullRef>
                </c:ext>
              </c:extLst>
              <c:f>'Participation horaire'!$O$38:$O$48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97A-4DD3-B3C0-3C396E2FBEB7}"/>
            </c:ext>
          </c:extLst>
        </c:ser>
        <c:ser>
          <c:idx val="10"/>
          <c:order val="4"/>
          <c:tx>
            <c:v>Bureau 8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horaire'!$N$38:$N$50</c15:sqref>
                  </c15:fullRef>
                </c:ext>
              </c:extLst>
              <c:f>'Participation horaire'!$N$38:$N$48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97A-4DD3-B3C0-3C396E2FBEB7}"/>
            </c:ext>
          </c:extLst>
        </c:ser>
        <c:ser>
          <c:idx val="9"/>
          <c:order val="5"/>
          <c:tx>
            <c:v>Bureau 7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horaire'!$M$38:$M$50</c15:sqref>
                  </c15:fullRef>
                </c:ext>
              </c:extLst>
              <c:f>'Participation horaire'!$M$38:$M$48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97A-4DD3-B3C0-3C396E2FBEB7}"/>
            </c:ext>
          </c:extLst>
        </c:ser>
        <c:ser>
          <c:idx val="8"/>
          <c:order val="6"/>
          <c:tx>
            <c:v>Bureau 6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horaire'!$L$38:$L$50</c15:sqref>
                  </c15:fullRef>
                </c:ext>
              </c:extLst>
              <c:f>'Participation horaire'!$L$38:$L$48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97A-4DD3-B3C0-3C396E2FBEB7}"/>
            </c:ext>
          </c:extLst>
        </c:ser>
        <c:ser>
          <c:idx val="7"/>
          <c:order val="7"/>
          <c:tx>
            <c:v>Bureau 5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horaire'!$K$38:$K$50</c15:sqref>
                  </c15:fullRef>
                </c:ext>
              </c:extLst>
              <c:f>'Participation horaire'!$K$38:$K$48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97A-4DD3-B3C0-3C396E2FBEB7}"/>
            </c:ext>
          </c:extLst>
        </c:ser>
        <c:ser>
          <c:idx val="6"/>
          <c:order val="8"/>
          <c:tx>
            <c:v>Bureau 4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horaire'!$J$38:$J$50</c15:sqref>
                  </c15:fullRef>
                </c:ext>
              </c:extLst>
              <c:f>'Participation horaire'!$J$38:$J$48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97A-4DD3-B3C0-3C396E2FBEB7}"/>
            </c:ext>
          </c:extLst>
        </c:ser>
        <c:ser>
          <c:idx val="5"/>
          <c:order val="9"/>
          <c:tx>
            <c:v>Bureau 3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horaire'!$I$38:$I$50</c15:sqref>
                  </c15:fullRef>
                </c:ext>
              </c:extLst>
              <c:f>'Participation horaire'!$I$38:$I$48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97A-4DD3-B3C0-3C396E2FBEB7}"/>
            </c:ext>
          </c:extLst>
        </c:ser>
        <c:ser>
          <c:idx val="0"/>
          <c:order val="10"/>
          <c:tx>
            <c:v>Total</c:v>
          </c:tx>
          <c:spPr>
            <a:ln w="317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horaire'!$S$38:$S$50</c15:sqref>
                  </c15:fullRef>
                </c:ext>
              </c:extLst>
              <c:f>'Participation horaire'!$S$38:$S$48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7A-4DD3-B3C0-3C396E2FBEB7}"/>
            </c:ext>
          </c:extLst>
        </c:ser>
        <c:ser>
          <c:idx val="2"/>
          <c:order val="11"/>
          <c:tx>
            <c:v>Bureau 11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horaire'!$Q$38:$Q$50</c15:sqref>
                  </c15:fullRef>
                </c:ext>
              </c:extLst>
              <c:f>'Participation horaire'!$Q$38:$Q$48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7A-4DD3-B3C0-3C396E2FBEB7}"/>
            </c:ext>
          </c:extLst>
        </c:ser>
        <c:ser>
          <c:idx val="1"/>
          <c:order val="12"/>
          <c:tx>
            <c:v>Bureau 12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horaire'!$R$38:$R$50</c15:sqref>
                  </c15:fullRef>
                </c:ext>
              </c:extLst>
              <c:f>'Participation horaire'!$R$38:$R$48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7A-4DD3-B3C0-3C396E2FB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legend>
      <c:legendPos val="r"/>
      <c:overlay val="0"/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Exemple!$D$13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6F-4B45-AD52-17D2BFA06618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6F-4B45-AD52-17D2BFA06618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6F-4B45-AD52-17D2BFA06618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CD6F-4B45-AD52-17D2BFA0661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6F-4B45-AD52-17D2BFA06618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CD6F-4B45-AD52-17D2BFA06618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CD6F-4B45-AD52-17D2BFA06618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CD6F-4B45-AD52-17D2BFA06618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CD6F-4B45-AD52-17D2BFA06618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CD6F-4B45-AD52-17D2BFA06618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CD6F-4B45-AD52-17D2BFA06618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CD6F-4B45-AD52-17D2BFA066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Exemple!$E$1:$P$2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Exemple!$E$13:$P$13</c:f>
              <c:numCache>
                <c:formatCode>General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135</c:v>
                </c:pt>
                <c:pt idx="3">
                  <c:v>166</c:v>
                </c:pt>
                <c:pt idx="4">
                  <c:v>9</c:v>
                </c:pt>
                <c:pt idx="5">
                  <c:v>27</c:v>
                </c:pt>
                <c:pt idx="6">
                  <c:v>37</c:v>
                </c:pt>
                <c:pt idx="7">
                  <c:v>15</c:v>
                </c:pt>
                <c:pt idx="8">
                  <c:v>13</c:v>
                </c:pt>
                <c:pt idx="9">
                  <c:v>13</c:v>
                </c:pt>
                <c:pt idx="10" formatCode="#,##0">
                  <c:v>8</c:v>
                </c:pt>
                <c:pt idx="11" formatCode="#,##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D6F-4B45-AD52-17D2BFA06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Exemple!$X$2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042-4696-BEB6-430C19F8A949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042-4696-BEB6-430C19F8A949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042-4696-BEB6-430C19F8A949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042-4696-BEB6-430C19F8A949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042-4696-BEB6-430C19F8A949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042-4696-BEB6-430C19F8A949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042-4696-BEB6-430C19F8A949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042-4696-BEB6-430C19F8A949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042-4696-BEB6-430C19F8A949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042-4696-BEB6-430C19F8A949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042-4696-BEB6-430C19F8A949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042-4696-BEB6-430C19F8A949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042-4696-BEB6-430C19F8A949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Exemple!$X$3:$X$15</c:f>
              <c:numCache>
                <c:formatCode>0.00%</c:formatCode>
                <c:ptCount val="13"/>
                <c:pt idx="0">
                  <c:v>0</c:v>
                </c:pt>
                <c:pt idx="1">
                  <c:v>0.11857707509881422</c:v>
                </c:pt>
                <c:pt idx="2">
                  <c:v>0.233201581027668</c:v>
                </c:pt>
                <c:pt idx="3">
                  <c:v>0.35375494071146246</c:v>
                </c:pt>
                <c:pt idx="4">
                  <c:v>0.46442687747035571</c:v>
                </c:pt>
                <c:pt idx="5">
                  <c:v>0.55928853754940711</c:v>
                </c:pt>
                <c:pt idx="6">
                  <c:v>0.63043478260869568</c:v>
                </c:pt>
                <c:pt idx="7">
                  <c:v>0.69169960474308301</c:v>
                </c:pt>
                <c:pt idx="8">
                  <c:v>0.75098814229249011</c:v>
                </c:pt>
                <c:pt idx="9">
                  <c:v>0.78853754940711462</c:v>
                </c:pt>
                <c:pt idx="10">
                  <c:v>0.86956521739130432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042-4696-BEB6-430C19F8A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Exemple!$AA$2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66B-4961-A915-DA10BCA8B5CB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66B-4961-A915-DA10BCA8B5CB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66B-4961-A915-DA10BCA8B5CB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66B-4961-A915-DA10BCA8B5CB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966B-4961-A915-DA10BCA8B5CB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66B-4961-A915-DA10BCA8B5CB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66B-4961-A915-DA10BCA8B5CB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66B-4961-A915-DA10BCA8B5CB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66B-4961-A915-DA10BCA8B5CB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66B-4961-A915-DA10BCA8B5CB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66B-4961-A915-DA10BCA8B5CB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66B-4961-A915-DA10BCA8B5CB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66B-4961-A915-DA10BCA8B5CB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Exemple!$AA$4:$AA$15</c:f>
              <c:numCache>
                <c:formatCode>General</c:formatCode>
                <c:ptCount val="12"/>
                <c:pt idx="0">
                  <c:v>60</c:v>
                </c:pt>
                <c:pt idx="1">
                  <c:v>58</c:v>
                </c:pt>
                <c:pt idx="2">
                  <c:v>61</c:v>
                </c:pt>
                <c:pt idx="3">
                  <c:v>56</c:v>
                </c:pt>
                <c:pt idx="4">
                  <c:v>48</c:v>
                </c:pt>
                <c:pt idx="5">
                  <c:v>36</c:v>
                </c:pt>
                <c:pt idx="6">
                  <c:v>31</c:v>
                </c:pt>
                <c:pt idx="7">
                  <c:v>30</c:v>
                </c:pt>
                <c:pt idx="8">
                  <c:v>19</c:v>
                </c:pt>
                <c:pt idx="9">
                  <c:v>41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66B-4961-A915-DA10BCA8B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8-EA70-41AD-B1C4-117C5EADDF9A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A-EA70-41AD-B1C4-117C5EADDF9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C-EA70-41AD-B1C4-117C5EADDF9A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E-EA70-41AD-B1C4-117C5EADDF9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0-EA70-41AD-B1C4-117C5EADDF9A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2-EA70-41AD-B1C4-117C5EADDF9A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4-EA70-41AD-B1C4-117C5EADDF9A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6-EA70-41AD-B1C4-117C5EADDF9A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8-EA70-41AD-B1C4-117C5EADDF9A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A-EA70-41AD-B1C4-117C5EADDF9A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C-EA70-41AD-B1C4-117C5EADDF9A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E-EA70-41AD-B1C4-117C5EADDF9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0'!$E$1:$P$2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0'!$E$13:$P$13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EA70-41AD-B1C4-117C5EADD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0'!$X$2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E73-429A-9A32-59AB00AFD32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73-429A-9A32-59AB00AFD32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E73-429A-9A32-59AB00AFD32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73-429A-9A32-59AB00AFD32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E73-429A-9A32-59AB00AFD32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73-429A-9A32-59AB00AFD32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E73-429A-9A32-59AB00AFD32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E73-429A-9A32-59AB00AFD32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E73-429A-9A32-59AB00AFD32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E73-429A-9A32-59AB00AFD32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E73-429A-9A32-59AB00AFD32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E73-429A-9A32-59AB00AFD32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E73-429A-9A32-59AB00AFD32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0'!$X$3:$X$15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E73-429A-9A32-59AB00AF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0'!$AA$2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2DE-4D37-8F9D-F3A8F583D53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2DE-4D37-8F9D-F3A8F583D53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2DE-4D37-8F9D-F3A8F583D53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2DE-4D37-8F9D-F3A8F583D53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2DE-4D37-8F9D-F3A8F583D53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2DE-4D37-8F9D-F3A8F583D53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2DE-4D37-8F9D-F3A8F583D53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2DE-4D37-8F9D-F3A8F583D53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2DE-4D37-8F9D-F3A8F583D53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2DE-4D37-8F9D-F3A8F583D53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2DE-4D37-8F9D-F3A8F583D53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2DE-4D37-8F9D-F3A8F583D53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2DE-4D37-8F9D-F3A8F583D53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0'!$AA$4:$AA$15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DE-4D37-8F9D-F3A8F583D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459C-46D1-885A-8B2903A03FAD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459C-46D1-885A-8B2903A03FAD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459C-46D1-885A-8B2903A03FAD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459C-46D1-885A-8B2903A03FAD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459C-46D1-885A-8B2903A03FAD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459C-46D1-885A-8B2903A03FAD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459C-46D1-885A-8B2903A03FAD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459C-46D1-885A-8B2903A03FAD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459C-46D1-885A-8B2903A03FAD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459C-46D1-885A-8B2903A03FAD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459C-46D1-885A-8B2903A03FAD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459C-46D1-885A-8B2903A03F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1'!$E$13:$P$13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59C-46D1-885A-8B2903A03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D48-4918-AA1B-1937D77D77FE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D48-4918-AA1B-1937D77D77FE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D48-4918-AA1B-1937D77D77FE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D48-4918-AA1B-1937D77D77FE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D48-4918-AA1B-1937D77D77FE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D48-4918-AA1B-1937D77D77FE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D48-4918-AA1B-1937D77D77FE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D48-4918-AA1B-1937D77D77FE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D48-4918-AA1B-1937D77D77FE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D48-4918-AA1B-1937D77D77FE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D48-4918-AA1B-1937D77D77FE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D48-4918-AA1B-1937D77D77FE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D48-4918-AA1B-1937D77D77F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D48-4918-AA1B-1937D77D7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764-4164-858F-135EF788A6E0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764-4164-858F-135EF788A6E0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764-4164-858F-135EF788A6E0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764-4164-858F-135EF788A6E0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4764-4164-858F-135EF788A6E0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764-4164-858F-135EF788A6E0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764-4164-858F-135EF788A6E0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764-4164-858F-135EF788A6E0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764-4164-858F-135EF788A6E0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764-4164-858F-135EF788A6E0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764-4164-858F-135EF788A6E0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4764-4164-858F-135EF788A6E0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4764-4164-858F-135EF788A6E0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64-4164-858F-135EF788A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8261-4623-B48C-6526324AA3F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8261-4623-B48C-6526324AA3F5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8261-4623-B48C-6526324AA3F5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8261-4623-B48C-6526324AA3F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8261-4623-B48C-6526324AA3F5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8261-4623-B48C-6526324AA3F5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8261-4623-B48C-6526324AA3F5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8261-4623-B48C-6526324AA3F5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8261-4623-B48C-6526324AA3F5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8261-4623-B48C-6526324AA3F5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8261-4623-B48C-6526324AA3F5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8261-4623-B48C-6526324AA3F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2'!$E$1:$P$2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2'!$E$13:$P$13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261-4623-B48C-6526324AA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2'!$X$2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0F3-42E1-B60D-9CAA682C5A32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0F3-42E1-B60D-9CAA682C5A32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0F3-42E1-B60D-9CAA682C5A32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0F3-42E1-B60D-9CAA682C5A32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0F3-42E1-B60D-9CAA682C5A32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0F3-42E1-B60D-9CAA682C5A32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0F3-42E1-B60D-9CAA682C5A32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0F3-42E1-B60D-9CAA682C5A32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0F3-42E1-B60D-9CAA682C5A32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0F3-42E1-B60D-9CAA682C5A32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0F3-42E1-B60D-9CAA682C5A32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0F3-42E1-B60D-9CAA682C5A32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0F3-42E1-B60D-9CAA682C5A32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2'!$X$3:$X$15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0F3-42E1-B60D-9CAA682C5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2'!$AA$2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0A69-452A-8F25-81A6D22653B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A69-452A-8F25-81A6D22653BE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0A69-452A-8F25-81A6D22653BE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A69-452A-8F25-81A6D22653BE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A69-452A-8F25-81A6D22653BE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A69-452A-8F25-81A6D22653BE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A69-452A-8F25-81A6D22653BE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A69-452A-8F25-81A6D22653BE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A69-452A-8F25-81A6D22653BE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A69-452A-8F25-81A6D22653BE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0A69-452A-8F25-81A6D22653BE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A69-452A-8F25-81A6D22653BE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0A69-452A-8F25-81A6D22653BE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2'!$AA$4:$AA$15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A69-452A-8F25-81A6D2265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3'!$D$13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299E-446D-B318-261834C76893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299E-446D-B318-261834C76893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299E-446D-B318-261834C76893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299E-446D-B318-261834C7689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299E-446D-B318-261834C76893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299E-446D-B318-261834C76893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299E-446D-B318-261834C76893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299E-446D-B318-261834C76893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299E-446D-B318-261834C76893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299E-446D-B318-261834C76893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299E-446D-B318-261834C76893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299E-446D-B318-261834C7689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3'!$E$1:$P$2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3'!$E$13:$P$13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99E-446D-B318-261834C76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3'!$X$2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C5A-4C4F-9AAE-F92B4AB079A9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C5A-4C4F-9AAE-F92B4AB079A9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C5A-4C4F-9AAE-F92B4AB079A9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C5A-4C4F-9AAE-F92B4AB079A9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C5A-4C4F-9AAE-F92B4AB079A9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C5A-4C4F-9AAE-F92B4AB079A9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C5A-4C4F-9AAE-F92B4AB079A9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C5A-4C4F-9AAE-F92B4AB079A9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C5A-4C4F-9AAE-F92B4AB079A9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C5A-4C4F-9AAE-F92B4AB079A9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C5A-4C4F-9AAE-F92B4AB079A9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7C5A-4C4F-9AAE-F92B4AB079A9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7C5A-4C4F-9AAE-F92B4AB079A9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3'!$X$3:$X$15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C5A-4C4F-9AAE-F92B4AB07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3'!$AA$2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02B-480A-B06F-9B727AAB223D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02B-480A-B06F-9B727AAB223D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02B-480A-B06F-9B727AAB223D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02B-480A-B06F-9B727AAB223D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502B-480A-B06F-9B727AAB223D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02B-480A-B06F-9B727AAB223D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502B-480A-B06F-9B727AAB223D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02B-480A-B06F-9B727AAB223D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02B-480A-B06F-9B727AAB223D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502B-480A-B06F-9B727AAB223D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02B-480A-B06F-9B727AAB223D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02B-480A-B06F-9B727AAB223D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02B-480A-B06F-9B727AAB223D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3'!$AA$4:$AA$15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02B-480A-B06F-9B727AAB2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4'!$D$13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E7C2-45BC-9555-063F3252B333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7C2-45BC-9555-063F3252B333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7C2-45BC-9555-063F3252B333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E7C2-45BC-9555-063F3252B33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E7C2-45BC-9555-063F3252B333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E7C2-45BC-9555-063F3252B333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E7C2-45BC-9555-063F3252B333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E7C2-45BC-9555-063F3252B333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E7C2-45BC-9555-063F3252B333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E7C2-45BC-9555-063F3252B333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E7C2-45BC-9555-063F3252B333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E7C2-45BC-9555-063F3252B3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4'!$E$1:$P$2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4'!$E$13:$P$13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7C2-45BC-9555-063F3252B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4'!$X$2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AFF-46F8-AE5A-F392D6C0138B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AFF-46F8-AE5A-F392D6C0138B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AFF-46F8-AE5A-F392D6C0138B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FF-46F8-AE5A-F392D6C0138B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AFF-46F8-AE5A-F392D6C0138B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AFF-46F8-AE5A-F392D6C0138B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AFF-46F8-AE5A-F392D6C0138B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AFF-46F8-AE5A-F392D6C0138B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AFF-46F8-AE5A-F392D6C0138B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AFF-46F8-AE5A-F392D6C0138B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AFF-46F8-AE5A-F392D6C0138B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AFF-46F8-AE5A-F392D6C0138B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AFF-46F8-AE5A-F392D6C0138B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4'!$X$3:$X$15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AFF-46F8-AE5A-F392D6C01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4'!$AA$2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0124-4DC9-BB3A-928120C9EC6C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124-4DC9-BB3A-928120C9EC6C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0124-4DC9-BB3A-928120C9EC6C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124-4DC9-BB3A-928120C9EC6C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124-4DC9-BB3A-928120C9EC6C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124-4DC9-BB3A-928120C9EC6C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124-4DC9-BB3A-928120C9EC6C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124-4DC9-BB3A-928120C9EC6C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124-4DC9-BB3A-928120C9EC6C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124-4DC9-BB3A-928120C9EC6C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0124-4DC9-BB3A-928120C9EC6C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124-4DC9-BB3A-928120C9EC6C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0124-4DC9-BB3A-928120C9EC6C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4'!$AA$4:$AA$15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124-4DC9-BB3A-928120C9E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5'!$D$13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6F-4E65-BB12-DAFD0060504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6F-4E65-BB12-DAFD0060504C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6F-4E65-BB12-DAFD0060504C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6F-4E65-BB12-DAFD0060504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6F-4E65-BB12-DAFD0060504C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6F-4E65-BB12-DAFD0060504C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6F-4E65-BB12-DAFD0060504C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6F-4E65-BB12-DAFD0060504C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406F-4E65-BB12-DAFD0060504C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406F-4E65-BB12-DAFD0060504C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406F-4E65-BB12-DAFD0060504C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406F-4E65-BB12-DAFD0060504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5'!$E$1:$P$2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5'!$E$13:$P$13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06F-4E65-BB12-DAFD00605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5'!$X$2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406-41C0-85C5-1AF7F26938A4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06-41C0-85C5-1AF7F26938A4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406-41C0-85C5-1AF7F26938A4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406-41C0-85C5-1AF7F26938A4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5406-41C0-85C5-1AF7F26938A4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406-41C0-85C5-1AF7F26938A4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5406-41C0-85C5-1AF7F26938A4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406-41C0-85C5-1AF7F26938A4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406-41C0-85C5-1AF7F26938A4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5406-41C0-85C5-1AF7F26938A4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406-41C0-85C5-1AF7F26938A4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406-41C0-85C5-1AF7F26938A4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406-41C0-85C5-1AF7F26938A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5'!$X$3:$X$15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406-41C0-85C5-1AF7F2693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5'!$AA$2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0336-4AAF-8254-FBA59C0806F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336-4AAF-8254-FBA59C0806F9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0336-4AAF-8254-FBA59C0806F9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336-4AAF-8254-FBA59C0806F9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336-4AAF-8254-FBA59C0806F9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336-4AAF-8254-FBA59C0806F9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336-4AAF-8254-FBA59C0806F9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336-4AAF-8254-FBA59C0806F9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336-4AAF-8254-FBA59C0806F9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336-4AAF-8254-FBA59C0806F9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0336-4AAF-8254-FBA59C0806F9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336-4AAF-8254-FBA59C0806F9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0336-4AAF-8254-FBA59C0806F9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5'!$AA$4:$AA$15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336-4AAF-8254-FBA59C080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6'!$D$13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61A0-493D-B668-A17135CCA121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A0-493D-B668-A17135CCA121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61A0-493D-B668-A17135CCA121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61A0-493D-B668-A17135CCA121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61A0-493D-B668-A17135CCA121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61A0-493D-B668-A17135CCA121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61A0-493D-B668-A17135CCA121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61A0-493D-B668-A17135CCA121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61A0-493D-B668-A17135CCA121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61A0-493D-B668-A17135CCA121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61A0-493D-B668-A17135CCA121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61A0-493D-B668-A17135CCA1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6'!$E$1:$P$2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6'!$E$13:$P$13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1A0-493D-B668-A17135CCA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6'!$X$2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C13-488C-AE38-DBC3D0E31E35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C13-488C-AE38-DBC3D0E31E35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C13-488C-AE38-DBC3D0E31E35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C13-488C-AE38-DBC3D0E31E35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C13-488C-AE38-DBC3D0E31E35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C13-488C-AE38-DBC3D0E31E35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C13-488C-AE38-DBC3D0E31E35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C13-488C-AE38-DBC3D0E31E35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C13-488C-AE38-DBC3D0E31E35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C13-488C-AE38-DBC3D0E31E35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C13-488C-AE38-DBC3D0E31E35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C13-488C-AE38-DBC3D0E31E35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C13-488C-AE38-DBC3D0E31E35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6'!$X$3:$X$15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13-488C-AE38-DBC3D0E31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6'!$AA$2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153-42E4-A7CD-6C3D99D73B66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153-42E4-A7CD-6C3D99D73B66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153-42E4-A7CD-6C3D99D73B66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153-42E4-A7CD-6C3D99D73B66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153-42E4-A7CD-6C3D99D73B66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153-42E4-A7CD-6C3D99D73B66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153-42E4-A7CD-6C3D99D73B66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153-42E4-A7CD-6C3D99D73B66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153-42E4-A7CD-6C3D99D73B66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153-42E4-A7CD-6C3D99D73B66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153-42E4-A7CD-6C3D99D73B66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153-42E4-A7CD-6C3D99D73B66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153-42E4-A7CD-6C3D99D73B66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6'!$AA$4:$AA$15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153-42E4-A7CD-6C3D99D73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7'!$D$13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9D-4973-B254-7FCDF606ABC6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9D-4973-B254-7FCDF606ABC6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9D-4973-B254-7FCDF606ABC6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9D-4973-B254-7FCDF606ABC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9D-4973-B254-7FCDF606ABC6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9D-4973-B254-7FCDF606ABC6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9D-4973-B254-7FCDF606ABC6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9D-4973-B254-7FCDF606ABC6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259D-4973-B254-7FCDF606ABC6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259D-4973-B254-7FCDF606ABC6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259D-4973-B254-7FCDF606ABC6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259D-4973-B254-7FCDF606AB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7'!$E$1:$P$2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7'!$E$13:$P$13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59D-4973-B254-7FCDF606A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7'!$X$2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C90-4CAC-92D8-C775D33409B9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C90-4CAC-92D8-C775D33409B9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C90-4CAC-92D8-C775D33409B9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C90-4CAC-92D8-C775D33409B9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5C90-4CAC-92D8-C775D33409B9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C90-4CAC-92D8-C775D33409B9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5C90-4CAC-92D8-C775D33409B9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C90-4CAC-92D8-C775D33409B9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C90-4CAC-92D8-C775D33409B9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5C90-4CAC-92D8-C775D33409B9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C90-4CAC-92D8-C775D33409B9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C90-4CAC-92D8-C775D33409B9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C90-4CAC-92D8-C775D33409B9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7'!$X$3:$X$15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C90-4CAC-92D8-C775D3340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7'!$AA$2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E3B-4A30-A7D6-C2E1A625B75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3B-4A30-A7D6-C2E1A625B75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E3B-4A30-A7D6-C2E1A625B75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3B-4A30-A7D6-C2E1A625B75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E3B-4A30-A7D6-C2E1A625B75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3B-4A30-A7D6-C2E1A625B75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E3B-4A30-A7D6-C2E1A625B755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E3B-4A30-A7D6-C2E1A625B75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E3B-4A30-A7D6-C2E1A625B755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E3B-4A30-A7D6-C2E1A625B755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E3B-4A30-A7D6-C2E1A625B75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E3B-4A30-A7D6-C2E1A625B755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E3B-4A30-A7D6-C2E1A625B75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7'!$AA$4:$AA$15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E3B-4A30-A7D6-C2E1A625B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8'!$D$13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E7-486B-A822-9BC7A84E5918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65E7-486B-A822-9BC7A84E5918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65E7-486B-A822-9BC7A84E5918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65E7-486B-A822-9BC7A84E591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65E7-486B-A822-9BC7A84E5918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65E7-486B-A822-9BC7A84E5918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65E7-486B-A822-9BC7A84E5918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65E7-486B-A822-9BC7A84E5918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65E7-486B-A822-9BC7A84E5918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65E7-486B-A822-9BC7A84E5918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65E7-486B-A822-9BC7A84E5918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65E7-486B-A822-9BC7A84E59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8'!$E$1:$P$2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8'!$E$13:$P$13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5E7-486B-A822-9BC7A84E5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8'!$X$2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442-4729-A062-52D6D749EA9B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442-4729-A062-52D6D749EA9B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442-4729-A062-52D6D749EA9B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442-4729-A062-52D6D749EA9B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442-4729-A062-52D6D749EA9B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442-4729-A062-52D6D749EA9B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442-4729-A062-52D6D749EA9B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442-4729-A062-52D6D749EA9B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442-4729-A062-52D6D749EA9B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442-4729-A062-52D6D749EA9B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442-4729-A062-52D6D749EA9B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442-4729-A062-52D6D749EA9B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442-4729-A062-52D6D749EA9B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8'!$X$3:$X$15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442-4729-A062-52D6D749E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8'!$AA$2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1D3-4CE0-B9DB-35911C82C520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1D3-4CE0-B9DB-35911C82C520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1D3-4CE0-B9DB-35911C82C520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1D3-4CE0-B9DB-35911C82C520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91D3-4CE0-B9DB-35911C82C520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1D3-4CE0-B9DB-35911C82C520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1D3-4CE0-B9DB-35911C82C520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1D3-4CE0-B9DB-35911C82C520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1D3-4CE0-B9DB-35911C82C520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1D3-4CE0-B9DB-35911C82C520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1D3-4CE0-B9DB-35911C82C520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1D3-4CE0-B9DB-35911C82C520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1D3-4CE0-B9DB-35911C82C520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8'!$AA$4:$AA$15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1D3-4CE0-B9DB-35911C82C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9'!$D$13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EE8A-4E48-B37C-477D3F3DB099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E8A-4E48-B37C-477D3F3DB099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E8A-4E48-B37C-477D3F3DB099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EE8A-4E48-B37C-477D3F3DB09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EE8A-4E48-B37C-477D3F3DB099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EE8A-4E48-B37C-477D3F3DB099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EE8A-4E48-B37C-477D3F3DB099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EE8A-4E48-B37C-477D3F3DB099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EE8A-4E48-B37C-477D3F3DB099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EE8A-4E48-B37C-477D3F3DB099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EE8A-4E48-B37C-477D3F3DB099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EE8A-4E48-B37C-477D3F3DB09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9'!$E$1:$P$2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9'!$E$13:$P$13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E8A-4E48-B37C-477D3F3DB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9'!$X$2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D92-454F-8C55-A9CDEE4165F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D92-454F-8C55-A9CDEE4165FD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D92-454F-8C55-A9CDEE4165FD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D92-454F-8C55-A9CDEE4165FD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D92-454F-8C55-A9CDEE4165FD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D92-454F-8C55-A9CDEE4165FD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D92-454F-8C55-A9CDEE4165FD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D92-454F-8C55-A9CDEE4165FD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D92-454F-8C55-A9CDEE4165FD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D92-454F-8C55-A9CDEE4165FD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D92-454F-8C55-A9CDEE4165FD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D92-454F-8C55-A9CDEE4165FD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2D92-454F-8C55-A9CDEE4165FD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9'!$X$3:$X$15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D92-454F-8C55-A9CDEE416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9'!$AA$2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9B4-4851-99AA-3670F4B4896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9B4-4851-99AA-3670F4B4896A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9B4-4851-99AA-3670F4B4896A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9B4-4851-99AA-3670F4B4896A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9B4-4851-99AA-3670F4B4896A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9B4-4851-99AA-3670F4B4896A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9B4-4851-99AA-3670F4B4896A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9B4-4851-99AA-3670F4B4896A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9B4-4851-99AA-3670F4B4896A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9B4-4851-99AA-3670F4B4896A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9B4-4851-99AA-3670F4B4896A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9B4-4851-99AA-3670F4B4896A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9B4-4851-99AA-3670F4B4896A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9'!$AA$4:$AA$15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B4-4851-99AA-3670F4B48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8D-4226-8811-491FED5593CD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658D-4226-8811-491FED5593CD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658D-4226-8811-491FED5593CD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658D-4226-8811-491FED5593CD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658D-4226-8811-491FED5593CD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658D-4226-8811-491FED5593CD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658D-4226-8811-491FED5593CD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658D-4226-8811-491FED5593CD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658D-4226-8811-491FED5593CD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658D-4226-8811-491FED5593CD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658D-4226-8811-491FED5593CD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658D-4226-8811-491FED5593C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10'!$E$1:$P$2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10'!$E$13:$P$13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58D-4226-8811-491FED559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10'!$X$2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53E-45FF-88E3-A33668C1505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3E-45FF-88E3-A33668C1505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53E-45FF-88E3-A33668C1505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53E-45FF-88E3-A33668C1505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53E-45FF-88E3-A33668C1505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53E-45FF-88E3-A33668C1505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53E-45FF-88E3-A33668C1505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53E-45FF-88E3-A33668C1505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53E-45FF-88E3-A33668C1505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53E-45FF-88E3-A33668C1505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53E-45FF-88E3-A33668C1505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53E-45FF-88E3-A33668C1505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53E-45FF-88E3-A33668C1505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10'!$X$3:$X$15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53E-45FF-88E3-A33668C150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10'!$AA$2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A1F-4D80-9EED-4EB558FCF78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A1F-4D80-9EED-4EB558FCF788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A1F-4D80-9EED-4EB558FCF788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A1F-4D80-9EED-4EB558FCF788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A1F-4D80-9EED-4EB558FCF788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A1F-4D80-9EED-4EB558FCF788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A1F-4D80-9EED-4EB558FCF788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A1F-4D80-9EED-4EB558FCF788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A1F-4D80-9EED-4EB558FCF788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A1F-4D80-9EED-4EB558FCF788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A1F-4D80-9EED-4EB558FCF788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A1F-4D80-9EED-4EB558FCF788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A1F-4D80-9EED-4EB558FCF788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10'!$AA$4:$AA$15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1F-4D80-9EED-4EB558FCF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3F9D-48E8-8A58-26467357BEC2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9D-48E8-8A58-26467357BEC2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3F9D-48E8-8A58-26467357BEC2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3F9D-48E8-8A58-26467357BEC2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3F9D-48E8-8A58-26467357BEC2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3F9D-48E8-8A58-26467357BEC2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3F9D-48E8-8A58-26467357BEC2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3F9D-48E8-8A58-26467357BEC2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3F9D-48E8-8A58-26467357BEC2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3F9D-48E8-8A58-26467357BEC2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3F9D-48E8-8A58-26467357BEC2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3F9D-48E8-8A58-26467357BE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11'!$E$1:$P$2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11'!$E$13:$P$13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F9D-48E8-8A58-26467357B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11'!$X$2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B099-4C5B-A63C-D5DFC26D2CE6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099-4C5B-A63C-D5DFC26D2CE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B099-4C5B-A63C-D5DFC26D2CE6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B099-4C5B-A63C-D5DFC26D2CE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B099-4C5B-A63C-D5DFC26D2CE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B099-4C5B-A63C-D5DFC26D2CE6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B099-4C5B-A63C-D5DFC26D2CE6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099-4C5B-A63C-D5DFC26D2CE6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B099-4C5B-A63C-D5DFC26D2CE6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B099-4C5B-A63C-D5DFC26D2CE6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B099-4C5B-A63C-D5DFC26D2CE6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B099-4C5B-A63C-D5DFC26D2CE6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B099-4C5B-A63C-D5DFC26D2CE6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11'!$X$3:$X$15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099-4C5B-A63C-D5DFC26D2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11'!$AA$2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086A-4647-9853-22D688044B1F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86A-4647-9853-22D688044B1F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086A-4647-9853-22D688044B1F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86A-4647-9853-22D688044B1F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86A-4647-9853-22D688044B1F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86A-4647-9853-22D688044B1F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86A-4647-9853-22D688044B1F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86A-4647-9853-22D688044B1F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86A-4647-9853-22D688044B1F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86A-4647-9853-22D688044B1F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086A-4647-9853-22D688044B1F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86A-4647-9853-22D688044B1F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086A-4647-9853-22D688044B1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11'!$AA$4:$AA$15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86A-4647-9853-22D688044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4802-4528-8F2F-522DCB5E60B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4802-4528-8F2F-522DCB5E60B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4802-4528-8F2F-522DCB5E60B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4802-4528-8F2F-522DCB5E60B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4802-4528-8F2F-522DCB5E60B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4802-4528-8F2F-522DCB5E60B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4802-4528-8F2F-522DCB5E60B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4802-4528-8F2F-522DCB5E60B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4802-4528-8F2F-522DCB5E60B0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4802-4528-8F2F-522DCB5E60B0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4802-4528-8F2F-522DCB5E60B0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4802-4528-8F2F-522DCB5E60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12'!$E$1:$P$2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12'!$E$13:$P$13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802-4528-8F2F-522DCB5E6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12'!$X$2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E00-41BB-A27F-AAA215E495FE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E00-41BB-A27F-AAA215E495FE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E00-41BB-A27F-AAA215E495FE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E00-41BB-A27F-AAA215E495FE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E00-41BB-A27F-AAA215E495FE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E00-41BB-A27F-AAA215E495FE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E00-41BB-A27F-AAA215E495FE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E00-41BB-A27F-AAA215E495FE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E00-41BB-A27F-AAA215E495FE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E00-41BB-A27F-AAA215E495FE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E00-41BB-A27F-AAA215E495FE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E00-41BB-A27F-AAA215E495FE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E00-41BB-A27F-AAA215E495F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12'!$X$3:$X$15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E00-41BB-A27F-AAA215E49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12'!$AA$2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09F-4BF8-825C-13515EE77F60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09F-4BF8-825C-13515EE77F60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09F-4BF8-825C-13515EE77F60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09F-4BF8-825C-13515EE77F60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09F-4BF8-825C-13515EE77F60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09F-4BF8-825C-13515EE77F60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09F-4BF8-825C-13515EE77F60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09F-4BF8-825C-13515EE77F60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09F-4BF8-825C-13515EE77F60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09F-4BF8-825C-13515EE77F60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09F-4BF8-825C-13515EE77F60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09F-4BF8-825C-13515EE77F60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09F-4BF8-825C-13515EE77F60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12'!$AA$4:$AA$15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9F-4BF8-825C-13515EE77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4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4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45190</xdr:colOff>
      <xdr:row>16</xdr:row>
      <xdr:rowOff>127642</xdr:rowOff>
    </xdr:from>
    <xdr:ext cx="10734675" cy="5562600"/>
    <xdr:graphicFrame macro="">
      <xdr:nvGraphicFramePr>
        <xdr:cNvPr id="2" name="Chart 1" title="Graphiqu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twoCellAnchor>
    <xdr:from>
      <xdr:col>2</xdr:col>
      <xdr:colOff>212480</xdr:colOff>
      <xdr:row>25</xdr:row>
      <xdr:rowOff>80596</xdr:rowOff>
    </xdr:from>
    <xdr:to>
      <xdr:col>8</xdr:col>
      <xdr:colOff>103390</xdr:colOff>
      <xdr:row>29</xdr:row>
      <xdr:rowOff>49822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9A2D36F2-33C1-4534-AC4D-48F98851114D}"/>
            </a:ext>
          </a:extLst>
        </xdr:cNvPr>
        <xdr:cNvGrpSpPr/>
      </xdr:nvGrpSpPr>
      <xdr:grpSpPr>
        <a:xfrm>
          <a:off x="1895230" y="4493846"/>
          <a:ext cx="3679743" cy="604226"/>
          <a:chOff x="1672167" y="3798518"/>
          <a:chExt cx="3685333" cy="607483"/>
        </a:xfrm>
      </xdr:grpSpPr>
      <xdr:pic>
        <xdr:nvPicPr>
          <xdr:cNvPr id="7" name="Image 6" descr="Informations avec un remplissage uni">
            <a:extLst>
              <a:ext uri="{FF2B5EF4-FFF2-40B4-BE49-F238E27FC236}">
                <a16:creationId xmlns:a16="http://schemas.microsoft.com/office/drawing/2014/main" id="{5C691DA3-E978-CDC4-AD00-2BB9290DA9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72167" y="3873500"/>
            <a:ext cx="450873" cy="464480"/>
          </a:xfrm>
          <a:prstGeom prst="rect">
            <a:avLst/>
          </a:prstGeom>
        </xdr:spPr>
      </xdr:pic>
      <xdr:sp macro="" textlink="">
        <xdr:nvSpPr>
          <xdr:cNvPr id="8" name="Légende : encadrée 7">
            <a:extLst>
              <a:ext uri="{FF2B5EF4-FFF2-40B4-BE49-F238E27FC236}">
                <a16:creationId xmlns:a16="http://schemas.microsoft.com/office/drawing/2014/main" id="{C91F3425-09A0-BE55-5696-C6C5BFECA19A}"/>
              </a:ext>
            </a:extLst>
          </xdr:cNvPr>
          <xdr:cNvSpPr/>
        </xdr:nvSpPr>
        <xdr:spPr>
          <a:xfrm>
            <a:off x="2142283" y="3798518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194466"/>
              <a:gd name="adj4" fmla="val -39408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les informations de cette élection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2</xdr:col>
      <xdr:colOff>189686</xdr:colOff>
      <xdr:row>17</xdr:row>
      <xdr:rowOff>70665</xdr:rowOff>
    </xdr:from>
    <xdr:to>
      <xdr:col>8</xdr:col>
      <xdr:colOff>109903</xdr:colOff>
      <xdr:row>21</xdr:row>
      <xdr:rowOff>32564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A1CC9D42-8847-8C35-7FB4-2318D2548E50}"/>
            </a:ext>
          </a:extLst>
        </xdr:cNvPr>
        <xdr:cNvGrpSpPr/>
      </xdr:nvGrpSpPr>
      <xdr:grpSpPr>
        <a:xfrm>
          <a:off x="1872436" y="3203332"/>
          <a:ext cx="3709050" cy="607482"/>
          <a:chOff x="1672167" y="3805767"/>
          <a:chExt cx="3714750" cy="607483"/>
        </a:xfrm>
      </xdr:grpSpPr>
      <xdr:pic>
        <xdr:nvPicPr>
          <xdr:cNvPr id="3" name="Image 2" descr="Informations avec un remplissage uni">
            <a:extLst>
              <a:ext uri="{FF2B5EF4-FFF2-40B4-BE49-F238E27FC236}">
                <a16:creationId xmlns:a16="http://schemas.microsoft.com/office/drawing/2014/main" id="{1AAF2774-CDC8-451D-83F6-CABF2686F5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72167" y="3873500"/>
            <a:ext cx="450873" cy="464480"/>
          </a:xfrm>
          <a:prstGeom prst="rect">
            <a:avLst/>
          </a:prstGeom>
        </xdr:spPr>
      </xdr:pic>
      <xdr:sp macro="" textlink="">
        <xdr:nvSpPr>
          <xdr:cNvPr id="4" name="Légende : encadrée 3">
            <a:extLst>
              <a:ext uri="{FF2B5EF4-FFF2-40B4-BE49-F238E27FC236}">
                <a16:creationId xmlns:a16="http://schemas.microsoft.com/office/drawing/2014/main" id="{31CE0C09-39D2-4104-A158-54409C942DD9}"/>
              </a:ext>
            </a:extLst>
          </xdr:cNvPr>
          <xdr:cNvSpPr/>
        </xdr:nvSpPr>
        <xdr:spPr>
          <a:xfrm>
            <a:off x="2171700" y="3805767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145540"/>
              <a:gd name="adj4" fmla="val -809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 nom et le nombre d'inscrits de chaque bureau de vote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23</xdr:col>
      <xdr:colOff>123825</xdr:colOff>
      <xdr:row>5</xdr:row>
      <xdr:rowOff>104775</xdr:rowOff>
    </xdr:from>
    <xdr:to>
      <xdr:col>27</xdr:col>
      <xdr:colOff>443360</xdr:colOff>
      <xdr:row>9</xdr:row>
      <xdr:rowOff>74001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756F413-6096-441F-848E-26EBEA35E65F}"/>
            </a:ext>
          </a:extLst>
        </xdr:cNvPr>
        <xdr:cNvGrpSpPr/>
      </xdr:nvGrpSpPr>
      <xdr:grpSpPr>
        <a:xfrm>
          <a:off x="17512242" y="1237192"/>
          <a:ext cx="3663868" cy="604226"/>
          <a:chOff x="1672167" y="3798518"/>
          <a:chExt cx="3685333" cy="607483"/>
        </a:xfrm>
      </xdr:grpSpPr>
      <xdr:pic>
        <xdr:nvPicPr>
          <xdr:cNvPr id="10" name="Image 9" descr="Informations avec un remplissage uni">
            <a:extLst>
              <a:ext uri="{FF2B5EF4-FFF2-40B4-BE49-F238E27FC236}">
                <a16:creationId xmlns:a16="http://schemas.microsoft.com/office/drawing/2014/main" id="{7A5131B0-0F07-CE0A-CF98-C980085774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72167" y="3873500"/>
            <a:ext cx="450873" cy="464480"/>
          </a:xfrm>
          <a:prstGeom prst="rect">
            <a:avLst/>
          </a:prstGeom>
        </xdr:spPr>
      </xdr:pic>
      <xdr:sp macro="" textlink="">
        <xdr:nvSpPr>
          <xdr:cNvPr id="11" name="Légende : encadrée 10">
            <a:extLst>
              <a:ext uri="{FF2B5EF4-FFF2-40B4-BE49-F238E27FC236}">
                <a16:creationId xmlns:a16="http://schemas.microsoft.com/office/drawing/2014/main" id="{A671C40C-3517-10BD-1EFD-B1B7110DB872}"/>
              </a:ext>
            </a:extLst>
          </xdr:cNvPr>
          <xdr:cNvSpPr/>
        </xdr:nvSpPr>
        <xdr:spPr>
          <a:xfrm>
            <a:off x="2142283" y="3798518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117268"/>
              <a:gd name="adj4" fmla="val -77463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 nom et la couleur des candidats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561975</xdr:colOff>
          <xdr:row>11</xdr:row>
          <xdr:rowOff>19050</xdr:rowOff>
        </xdr:from>
        <xdr:to>
          <xdr:col>27</xdr:col>
          <xdr:colOff>333375</xdr:colOff>
          <xdr:row>13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Répliquer la couleur des candidats dans tous les graphiques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238125</xdr:colOff>
          <xdr:row>31</xdr:row>
          <xdr:rowOff>9525</xdr:rowOff>
        </xdr:from>
        <xdr:to>
          <xdr:col>32</xdr:col>
          <xdr:colOff>28575</xdr:colOff>
          <xdr:row>32</xdr:row>
          <xdr:rowOff>9525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boutons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182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173957</xdr:colOff>
      <xdr:row>15</xdr:row>
      <xdr:rowOff>187831</xdr:rowOff>
    </xdr:from>
    <xdr:ext cx="15402220" cy="5892616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466725</xdr:colOff>
          <xdr:row>4</xdr:row>
          <xdr:rowOff>133350</xdr:rowOff>
        </xdr:from>
        <xdr:to>
          <xdr:col>38</xdr:col>
          <xdr:colOff>66675</xdr:colOff>
          <xdr:row>8</xdr:row>
          <xdr:rowOff>57150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Importer la participation du tour précédent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35</xdr:col>
      <xdr:colOff>317500</xdr:colOff>
      <xdr:row>22</xdr:row>
      <xdr:rowOff>0</xdr:rowOff>
    </xdr:from>
    <xdr:to>
      <xdr:col>36</xdr:col>
      <xdr:colOff>628650</xdr:colOff>
      <xdr:row>23</xdr:row>
      <xdr:rowOff>88900</xdr:rowOff>
    </xdr:to>
    <xdr:sp macro="ToggleBureauButton" textlink="">
      <xdr:nvSpPr>
        <xdr:cNvPr id="3556" name="btn_1erTour_Bureau1">
          <a:extLst>
            <a:ext uri="{FF2B5EF4-FFF2-40B4-BE49-F238E27FC236}">
              <a16:creationId xmlns:a16="http://schemas.microsoft.com/office/drawing/2014/main" id="{CC19975B-08D0-DFAD-9F2A-CB7C8A1CFD2A}"/>
            </a:ext>
          </a:extLst>
        </xdr:cNvPr>
        <xdr:cNvSpPr/>
      </xdr:nvSpPr>
      <xdr:spPr>
        <a:xfrm>
          <a:off x="20631150" y="42545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35</xdr:col>
      <xdr:colOff>317500</xdr:colOff>
      <xdr:row>23</xdr:row>
      <xdr:rowOff>152400</xdr:rowOff>
    </xdr:from>
    <xdr:to>
      <xdr:col>36</xdr:col>
      <xdr:colOff>628650</xdr:colOff>
      <xdr:row>25</xdr:row>
      <xdr:rowOff>76200</xdr:rowOff>
    </xdr:to>
    <xdr:sp macro="ToggleBureauButton" textlink="">
      <xdr:nvSpPr>
        <xdr:cNvPr id="3557" name="btn_1erTour_Bureau2">
          <a:extLst>
            <a:ext uri="{FF2B5EF4-FFF2-40B4-BE49-F238E27FC236}">
              <a16:creationId xmlns:a16="http://schemas.microsoft.com/office/drawing/2014/main" id="{C5308583-E715-A1AB-A099-DB151895E918}"/>
            </a:ext>
          </a:extLst>
        </xdr:cNvPr>
        <xdr:cNvSpPr/>
      </xdr:nvSpPr>
      <xdr:spPr>
        <a:xfrm>
          <a:off x="20631150" y="45720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35</xdr:col>
      <xdr:colOff>317500</xdr:colOff>
      <xdr:row>25</xdr:row>
      <xdr:rowOff>139700</xdr:rowOff>
    </xdr:from>
    <xdr:to>
      <xdr:col>36</xdr:col>
      <xdr:colOff>628650</xdr:colOff>
      <xdr:row>27</xdr:row>
      <xdr:rowOff>63500</xdr:rowOff>
    </xdr:to>
    <xdr:sp macro="ToggleBureauButton" textlink="">
      <xdr:nvSpPr>
        <xdr:cNvPr id="3558" name="btn_1erTour_Bureau3">
          <a:extLst>
            <a:ext uri="{FF2B5EF4-FFF2-40B4-BE49-F238E27FC236}">
              <a16:creationId xmlns:a16="http://schemas.microsoft.com/office/drawing/2014/main" id="{068FA494-AB43-207C-E5BD-3F93067381F6}"/>
            </a:ext>
          </a:extLst>
        </xdr:cNvPr>
        <xdr:cNvSpPr/>
      </xdr:nvSpPr>
      <xdr:spPr>
        <a:xfrm>
          <a:off x="20631150" y="48895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35</xdr:col>
      <xdr:colOff>317500</xdr:colOff>
      <xdr:row>27</xdr:row>
      <xdr:rowOff>127000</xdr:rowOff>
    </xdr:from>
    <xdr:to>
      <xdr:col>36</xdr:col>
      <xdr:colOff>628650</xdr:colOff>
      <xdr:row>29</xdr:row>
      <xdr:rowOff>19050</xdr:rowOff>
    </xdr:to>
    <xdr:sp macro="ToggleBureauButton" textlink="">
      <xdr:nvSpPr>
        <xdr:cNvPr id="3559" name="btn_1erTour_Bureau4">
          <a:extLst>
            <a:ext uri="{FF2B5EF4-FFF2-40B4-BE49-F238E27FC236}">
              <a16:creationId xmlns:a16="http://schemas.microsoft.com/office/drawing/2014/main" id="{5C90809C-A75D-29CA-0521-E94FE12B4106}"/>
            </a:ext>
          </a:extLst>
        </xdr:cNvPr>
        <xdr:cNvSpPr/>
      </xdr:nvSpPr>
      <xdr:spPr>
        <a:xfrm>
          <a:off x="20631150" y="52070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35</xdr:col>
      <xdr:colOff>317500</xdr:colOff>
      <xdr:row>29</xdr:row>
      <xdr:rowOff>82550</xdr:rowOff>
    </xdr:from>
    <xdr:to>
      <xdr:col>36</xdr:col>
      <xdr:colOff>628650</xdr:colOff>
      <xdr:row>31</xdr:row>
      <xdr:rowOff>6350</xdr:rowOff>
    </xdr:to>
    <xdr:sp macro="ToggleBureauButton" textlink="">
      <xdr:nvSpPr>
        <xdr:cNvPr id="3560" name="btn_1erTour_Bureau5">
          <a:extLst>
            <a:ext uri="{FF2B5EF4-FFF2-40B4-BE49-F238E27FC236}">
              <a16:creationId xmlns:a16="http://schemas.microsoft.com/office/drawing/2014/main" id="{DA8BCC35-01DA-C123-A5E6-3D11A0B2C9A6}"/>
            </a:ext>
          </a:extLst>
        </xdr:cNvPr>
        <xdr:cNvSpPr/>
      </xdr:nvSpPr>
      <xdr:spPr>
        <a:xfrm>
          <a:off x="20631150" y="55245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35</xdr:col>
      <xdr:colOff>317500</xdr:colOff>
      <xdr:row>31</xdr:row>
      <xdr:rowOff>69850</xdr:rowOff>
    </xdr:from>
    <xdr:to>
      <xdr:col>36</xdr:col>
      <xdr:colOff>628650</xdr:colOff>
      <xdr:row>32</xdr:row>
      <xdr:rowOff>127000</xdr:rowOff>
    </xdr:to>
    <xdr:sp macro="ToggleBureauButton" textlink="">
      <xdr:nvSpPr>
        <xdr:cNvPr id="3561" name="btn_1erTour_Bureau6">
          <a:extLst>
            <a:ext uri="{FF2B5EF4-FFF2-40B4-BE49-F238E27FC236}">
              <a16:creationId xmlns:a16="http://schemas.microsoft.com/office/drawing/2014/main" id="{2E261C88-88E0-173C-CEDD-440E7EB7F656}"/>
            </a:ext>
          </a:extLst>
        </xdr:cNvPr>
        <xdr:cNvSpPr/>
      </xdr:nvSpPr>
      <xdr:spPr>
        <a:xfrm>
          <a:off x="20631150" y="58420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35</xdr:col>
      <xdr:colOff>317500</xdr:colOff>
      <xdr:row>32</xdr:row>
      <xdr:rowOff>190500</xdr:rowOff>
    </xdr:from>
    <xdr:to>
      <xdr:col>36</xdr:col>
      <xdr:colOff>628650</xdr:colOff>
      <xdr:row>34</xdr:row>
      <xdr:rowOff>50800</xdr:rowOff>
    </xdr:to>
    <xdr:sp macro="ToggleBureauButton" textlink="">
      <xdr:nvSpPr>
        <xdr:cNvPr id="3562" name="btn_1erTour_Bureau7">
          <a:extLst>
            <a:ext uri="{FF2B5EF4-FFF2-40B4-BE49-F238E27FC236}">
              <a16:creationId xmlns:a16="http://schemas.microsoft.com/office/drawing/2014/main" id="{7FD5095E-3A5A-1B4D-8EF5-8B416619BD5D}"/>
            </a:ext>
          </a:extLst>
        </xdr:cNvPr>
        <xdr:cNvSpPr/>
      </xdr:nvSpPr>
      <xdr:spPr>
        <a:xfrm>
          <a:off x="20631150" y="61595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35</xdr:col>
      <xdr:colOff>317500</xdr:colOff>
      <xdr:row>34</xdr:row>
      <xdr:rowOff>114300</xdr:rowOff>
    </xdr:from>
    <xdr:to>
      <xdr:col>36</xdr:col>
      <xdr:colOff>628650</xdr:colOff>
      <xdr:row>36</xdr:row>
      <xdr:rowOff>0</xdr:rowOff>
    </xdr:to>
    <xdr:sp macro="ToggleBureauButton" textlink="">
      <xdr:nvSpPr>
        <xdr:cNvPr id="3563" name="btn_1erTour_Bureau8">
          <a:extLst>
            <a:ext uri="{FF2B5EF4-FFF2-40B4-BE49-F238E27FC236}">
              <a16:creationId xmlns:a16="http://schemas.microsoft.com/office/drawing/2014/main" id="{A6562074-708F-A7B3-F149-C8BDA3808FD5}"/>
            </a:ext>
          </a:extLst>
        </xdr:cNvPr>
        <xdr:cNvSpPr/>
      </xdr:nvSpPr>
      <xdr:spPr>
        <a:xfrm>
          <a:off x="20631150" y="64770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35</xdr:col>
      <xdr:colOff>317500</xdr:colOff>
      <xdr:row>36</xdr:row>
      <xdr:rowOff>63500</xdr:rowOff>
    </xdr:from>
    <xdr:to>
      <xdr:col>36</xdr:col>
      <xdr:colOff>628650</xdr:colOff>
      <xdr:row>37</xdr:row>
      <xdr:rowOff>146050</xdr:rowOff>
    </xdr:to>
    <xdr:sp macro="ToggleBureauButton" textlink="">
      <xdr:nvSpPr>
        <xdr:cNvPr id="3564" name="btn_1erTour_Bureau9">
          <a:extLst>
            <a:ext uri="{FF2B5EF4-FFF2-40B4-BE49-F238E27FC236}">
              <a16:creationId xmlns:a16="http://schemas.microsoft.com/office/drawing/2014/main" id="{83C5760A-520E-007C-C568-1AAFEB04F0E7}"/>
            </a:ext>
          </a:extLst>
        </xdr:cNvPr>
        <xdr:cNvSpPr/>
      </xdr:nvSpPr>
      <xdr:spPr>
        <a:xfrm>
          <a:off x="20631150" y="67945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35</xdr:col>
      <xdr:colOff>317500</xdr:colOff>
      <xdr:row>38</xdr:row>
      <xdr:rowOff>44450</xdr:rowOff>
    </xdr:from>
    <xdr:to>
      <xdr:col>36</xdr:col>
      <xdr:colOff>628650</xdr:colOff>
      <xdr:row>39</xdr:row>
      <xdr:rowOff>133350</xdr:rowOff>
    </xdr:to>
    <xdr:sp macro="ToggleBureauButton" textlink="">
      <xdr:nvSpPr>
        <xdr:cNvPr id="3565" name="btn_1erTour_Bureau10">
          <a:extLst>
            <a:ext uri="{FF2B5EF4-FFF2-40B4-BE49-F238E27FC236}">
              <a16:creationId xmlns:a16="http://schemas.microsoft.com/office/drawing/2014/main" id="{66EAAD54-9AC9-8117-3A64-285D0A07F801}"/>
            </a:ext>
          </a:extLst>
        </xdr:cNvPr>
        <xdr:cNvSpPr/>
      </xdr:nvSpPr>
      <xdr:spPr>
        <a:xfrm>
          <a:off x="20631150" y="71120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35</xdr:col>
      <xdr:colOff>317500</xdr:colOff>
      <xdr:row>40</xdr:row>
      <xdr:rowOff>31750</xdr:rowOff>
    </xdr:from>
    <xdr:to>
      <xdr:col>36</xdr:col>
      <xdr:colOff>628650</xdr:colOff>
      <xdr:row>41</xdr:row>
      <xdr:rowOff>120650</xdr:rowOff>
    </xdr:to>
    <xdr:sp macro="ToggleBureauButton" textlink="">
      <xdr:nvSpPr>
        <xdr:cNvPr id="3566" name="btn_1erTour_Bureau11">
          <a:extLst>
            <a:ext uri="{FF2B5EF4-FFF2-40B4-BE49-F238E27FC236}">
              <a16:creationId xmlns:a16="http://schemas.microsoft.com/office/drawing/2014/main" id="{C20C11D1-5E0B-4A40-CE1C-88F574BF0E98}"/>
            </a:ext>
          </a:extLst>
        </xdr:cNvPr>
        <xdr:cNvSpPr/>
      </xdr:nvSpPr>
      <xdr:spPr>
        <a:xfrm>
          <a:off x="20631150" y="74295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35</xdr:col>
      <xdr:colOff>317500</xdr:colOff>
      <xdr:row>42</xdr:row>
      <xdr:rowOff>19050</xdr:rowOff>
    </xdr:from>
    <xdr:to>
      <xdr:col>36</xdr:col>
      <xdr:colOff>628650</xdr:colOff>
      <xdr:row>43</xdr:row>
      <xdr:rowOff>107950</xdr:rowOff>
    </xdr:to>
    <xdr:sp macro="ToggleBureauButton" textlink="">
      <xdr:nvSpPr>
        <xdr:cNvPr id="3567" name="btn_1erTour_Bureau12">
          <a:extLst>
            <a:ext uri="{FF2B5EF4-FFF2-40B4-BE49-F238E27FC236}">
              <a16:creationId xmlns:a16="http://schemas.microsoft.com/office/drawing/2014/main" id="{A38A84D3-B63E-1410-C59E-F828FED85533}"/>
            </a:ext>
          </a:extLst>
        </xdr:cNvPr>
        <xdr:cNvSpPr/>
      </xdr:nvSpPr>
      <xdr:spPr>
        <a:xfrm>
          <a:off x="20631150" y="77470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35</xdr:col>
      <xdr:colOff>317500</xdr:colOff>
      <xdr:row>44</xdr:row>
      <xdr:rowOff>6350</xdr:rowOff>
    </xdr:from>
    <xdr:to>
      <xdr:col>36</xdr:col>
      <xdr:colOff>628650</xdr:colOff>
      <xdr:row>45</xdr:row>
      <xdr:rowOff>95250</xdr:rowOff>
    </xdr:to>
    <xdr:sp macro="Toggle_Total" textlink="">
      <xdr:nvSpPr>
        <xdr:cNvPr id="3568" name="btn_1erTour_Total">
          <a:extLst>
            <a:ext uri="{FF2B5EF4-FFF2-40B4-BE49-F238E27FC236}">
              <a16:creationId xmlns:a16="http://schemas.microsoft.com/office/drawing/2014/main" id="{9212ACB3-B723-09FE-FEB7-C63E14864398}"/>
            </a:ext>
          </a:extLst>
        </xdr:cNvPr>
        <xdr:cNvSpPr/>
      </xdr:nvSpPr>
      <xdr:spPr>
        <a:xfrm>
          <a:off x="20631150" y="80645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35</xdr:col>
      <xdr:colOff>317500</xdr:colOff>
      <xdr:row>45</xdr:row>
      <xdr:rowOff>158750</xdr:rowOff>
    </xdr:from>
    <xdr:to>
      <xdr:col>36</xdr:col>
      <xdr:colOff>628650</xdr:colOff>
      <xdr:row>47</xdr:row>
      <xdr:rowOff>82550</xdr:rowOff>
    </xdr:to>
    <xdr:sp macro="AfficherToutPremierTour" textlink="">
      <xdr:nvSpPr>
        <xdr:cNvPr id="3569" name="btn_AfficherTout">
          <a:extLst>
            <a:ext uri="{FF2B5EF4-FFF2-40B4-BE49-F238E27FC236}">
              <a16:creationId xmlns:a16="http://schemas.microsoft.com/office/drawing/2014/main" id="{74BE806B-9C57-9C06-A453-E532942DDE1D}"/>
            </a:ext>
          </a:extLst>
        </xdr:cNvPr>
        <xdr:cNvSpPr/>
      </xdr:nvSpPr>
      <xdr:spPr>
        <a:xfrm>
          <a:off x="20631150" y="83820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35</xdr:col>
      <xdr:colOff>317500</xdr:colOff>
      <xdr:row>47</xdr:row>
      <xdr:rowOff>146050</xdr:rowOff>
    </xdr:from>
    <xdr:to>
      <xdr:col>36</xdr:col>
      <xdr:colOff>628650</xdr:colOff>
      <xdr:row>49</xdr:row>
      <xdr:rowOff>69850</xdr:rowOff>
    </xdr:to>
    <xdr:sp macro="EffacerToutPremierTour" textlink="">
      <xdr:nvSpPr>
        <xdr:cNvPr id="3570" name="btn_EffacerTout">
          <a:extLst>
            <a:ext uri="{FF2B5EF4-FFF2-40B4-BE49-F238E27FC236}">
              <a16:creationId xmlns:a16="http://schemas.microsoft.com/office/drawing/2014/main" id="{6F1158E9-E6B4-BD64-F767-89993A98D651}"/>
            </a:ext>
          </a:extLst>
        </xdr:cNvPr>
        <xdr:cNvSpPr/>
      </xdr:nvSpPr>
      <xdr:spPr>
        <a:xfrm>
          <a:off x="20631150" y="86995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Effacer Tout</a:t>
          </a:r>
        </a:p>
      </xdr:txBody>
    </xdr:sp>
    <xdr:clientData/>
  </xdr:twoCellAnchor>
  <xdr:twoCellAnchor>
    <xdr:from>
      <xdr:col>33</xdr:col>
      <xdr:colOff>317500</xdr:colOff>
      <xdr:row>22</xdr:row>
      <xdr:rowOff>0</xdr:rowOff>
    </xdr:from>
    <xdr:to>
      <xdr:col>34</xdr:col>
      <xdr:colOff>628650</xdr:colOff>
      <xdr:row>23</xdr:row>
      <xdr:rowOff>88900</xdr:rowOff>
    </xdr:to>
    <xdr:sp macro="ToggleBureau2nd" textlink="">
      <xdr:nvSpPr>
        <xdr:cNvPr id="3571" name="btn_2ndTour_Bureau1">
          <a:extLst>
            <a:ext uri="{FF2B5EF4-FFF2-40B4-BE49-F238E27FC236}">
              <a16:creationId xmlns:a16="http://schemas.microsoft.com/office/drawing/2014/main" id="{D54833DF-21A1-946A-A2EF-52632A61993B}"/>
            </a:ext>
          </a:extLst>
        </xdr:cNvPr>
        <xdr:cNvSpPr/>
      </xdr:nvSpPr>
      <xdr:spPr>
        <a:xfrm>
          <a:off x="18713450" y="42545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33</xdr:col>
      <xdr:colOff>317500</xdr:colOff>
      <xdr:row>23</xdr:row>
      <xdr:rowOff>152400</xdr:rowOff>
    </xdr:from>
    <xdr:to>
      <xdr:col>34</xdr:col>
      <xdr:colOff>628650</xdr:colOff>
      <xdr:row>25</xdr:row>
      <xdr:rowOff>76200</xdr:rowOff>
    </xdr:to>
    <xdr:sp macro="ToggleBureau2nd" textlink="">
      <xdr:nvSpPr>
        <xdr:cNvPr id="3572" name="btn_2ndTour_Bureau2">
          <a:extLst>
            <a:ext uri="{FF2B5EF4-FFF2-40B4-BE49-F238E27FC236}">
              <a16:creationId xmlns:a16="http://schemas.microsoft.com/office/drawing/2014/main" id="{D2BFB749-E42C-B95A-0484-ECE48314BBBC}"/>
            </a:ext>
          </a:extLst>
        </xdr:cNvPr>
        <xdr:cNvSpPr/>
      </xdr:nvSpPr>
      <xdr:spPr>
        <a:xfrm>
          <a:off x="18713450" y="45720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33</xdr:col>
      <xdr:colOff>317500</xdr:colOff>
      <xdr:row>25</xdr:row>
      <xdr:rowOff>139700</xdr:rowOff>
    </xdr:from>
    <xdr:to>
      <xdr:col>34</xdr:col>
      <xdr:colOff>628650</xdr:colOff>
      <xdr:row>27</xdr:row>
      <xdr:rowOff>63500</xdr:rowOff>
    </xdr:to>
    <xdr:sp macro="ToggleBureau2nd" textlink="">
      <xdr:nvSpPr>
        <xdr:cNvPr id="3573" name="btn_2ndTour_Bureau3">
          <a:extLst>
            <a:ext uri="{FF2B5EF4-FFF2-40B4-BE49-F238E27FC236}">
              <a16:creationId xmlns:a16="http://schemas.microsoft.com/office/drawing/2014/main" id="{223D2137-0D49-371A-279A-E707DC5824BB}"/>
            </a:ext>
          </a:extLst>
        </xdr:cNvPr>
        <xdr:cNvSpPr/>
      </xdr:nvSpPr>
      <xdr:spPr>
        <a:xfrm>
          <a:off x="18713450" y="48895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33</xdr:col>
      <xdr:colOff>317500</xdr:colOff>
      <xdr:row>27</xdr:row>
      <xdr:rowOff>127000</xdr:rowOff>
    </xdr:from>
    <xdr:to>
      <xdr:col>34</xdr:col>
      <xdr:colOff>628650</xdr:colOff>
      <xdr:row>29</xdr:row>
      <xdr:rowOff>19050</xdr:rowOff>
    </xdr:to>
    <xdr:sp macro="ToggleBureau2nd" textlink="">
      <xdr:nvSpPr>
        <xdr:cNvPr id="3574" name="btn_2ndTour_Bureau4">
          <a:extLst>
            <a:ext uri="{FF2B5EF4-FFF2-40B4-BE49-F238E27FC236}">
              <a16:creationId xmlns:a16="http://schemas.microsoft.com/office/drawing/2014/main" id="{E38B7829-112D-7DDA-1324-82FB0F81E7C1}"/>
            </a:ext>
          </a:extLst>
        </xdr:cNvPr>
        <xdr:cNvSpPr/>
      </xdr:nvSpPr>
      <xdr:spPr>
        <a:xfrm>
          <a:off x="18713450" y="52070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33</xdr:col>
      <xdr:colOff>317500</xdr:colOff>
      <xdr:row>29</xdr:row>
      <xdr:rowOff>82550</xdr:rowOff>
    </xdr:from>
    <xdr:to>
      <xdr:col>34</xdr:col>
      <xdr:colOff>628650</xdr:colOff>
      <xdr:row>31</xdr:row>
      <xdr:rowOff>6350</xdr:rowOff>
    </xdr:to>
    <xdr:sp macro="ToggleBureau2nd" textlink="">
      <xdr:nvSpPr>
        <xdr:cNvPr id="3575" name="btn_2ndTour_Bureau5">
          <a:extLst>
            <a:ext uri="{FF2B5EF4-FFF2-40B4-BE49-F238E27FC236}">
              <a16:creationId xmlns:a16="http://schemas.microsoft.com/office/drawing/2014/main" id="{B67509E7-14B2-1021-CE84-1240CD6290B0}"/>
            </a:ext>
          </a:extLst>
        </xdr:cNvPr>
        <xdr:cNvSpPr/>
      </xdr:nvSpPr>
      <xdr:spPr>
        <a:xfrm>
          <a:off x="18713450" y="55245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33</xdr:col>
      <xdr:colOff>317500</xdr:colOff>
      <xdr:row>31</xdr:row>
      <xdr:rowOff>69850</xdr:rowOff>
    </xdr:from>
    <xdr:to>
      <xdr:col>34</xdr:col>
      <xdr:colOff>628650</xdr:colOff>
      <xdr:row>32</xdr:row>
      <xdr:rowOff>127000</xdr:rowOff>
    </xdr:to>
    <xdr:sp macro="ToggleBureau2nd" textlink="">
      <xdr:nvSpPr>
        <xdr:cNvPr id="3576" name="btn_2ndTour_Bureau6">
          <a:extLst>
            <a:ext uri="{FF2B5EF4-FFF2-40B4-BE49-F238E27FC236}">
              <a16:creationId xmlns:a16="http://schemas.microsoft.com/office/drawing/2014/main" id="{69E160F1-BBE0-786B-197E-A2EA73021D0F}"/>
            </a:ext>
          </a:extLst>
        </xdr:cNvPr>
        <xdr:cNvSpPr/>
      </xdr:nvSpPr>
      <xdr:spPr>
        <a:xfrm>
          <a:off x="18713450" y="58420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33</xdr:col>
      <xdr:colOff>317500</xdr:colOff>
      <xdr:row>32</xdr:row>
      <xdr:rowOff>190500</xdr:rowOff>
    </xdr:from>
    <xdr:to>
      <xdr:col>34</xdr:col>
      <xdr:colOff>628650</xdr:colOff>
      <xdr:row>34</xdr:row>
      <xdr:rowOff>50800</xdr:rowOff>
    </xdr:to>
    <xdr:sp macro="ToggleBureau2nd" textlink="">
      <xdr:nvSpPr>
        <xdr:cNvPr id="3577" name="btn_2ndTour_Bureau7">
          <a:extLst>
            <a:ext uri="{FF2B5EF4-FFF2-40B4-BE49-F238E27FC236}">
              <a16:creationId xmlns:a16="http://schemas.microsoft.com/office/drawing/2014/main" id="{B9BC78E5-9D40-CCC2-230F-702FA56EFD7F}"/>
            </a:ext>
          </a:extLst>
        </xdr:cNvPr>
        <xdr:cNvSpPr/>
      </xdr:nvSpPr>
      <xdr:spPr>
        <a:xfrm>
          <a:off x="18713450" y="61595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33</xdr:col>
      <xdr:colOff>317500</xdr:colOff>
      <xdr:row>34</xdr:row>
      <xdr:rowOff>114300</xdr:rowOff>
    </xdr:from>
    <xdr:to>
      <xdr:col>34</xdr:col>
      <xdr:colOff>628650</xdr:colOff>
      <xdr:row>36</xdr:row>
      <xdr:rowOff>0</xdr:rowOff>
    </xdr:to>
    <xdr:sp macro="ToggleBureau2nd" textlink="">
      <xdr:nvSpPr>
        <xdr:cNvPr id="3578" name="btn_2ndTour_Bureau8">
          <a:extLst>
            <a:ext uri="{FF2B5EF4-FFF2-40B4-BE49-F238E27FC236}">
              <a16:creationId xmlns:a16="http://schemas.microsoft.com/office/drawing/2014/main" id="{278147DB-1704-0F28-5A89-2E8408CD06AE}"/>
            </a:ext>
          </a:extLst>
        </xdr:cNvPr>
        <xdr:cNvSpPr/>
      </xdr:nvSpPr>
      <xdr:spPr>
        <a:xfrm>
          <a:off x="18713450" y="64770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33</xdr:col>
      <xdr:colOff>317500</xdr:colOff>
      <xdr:row>36</xdr:row>
      <xdr:rowOff>63500</xdr:rowOff>
    </xdr:from>
    <xdr:to>
      <xdr:col>34</xdr:col>
      <xdr:colOff>628650</xdr:colOff>
      <xdr:row>37</xdr:row>
      <xdr:rowOff>146050</xdr:rowOff>
    </xdr:to>
    <xdr:sp macro="ToggleBureau2nd" textlink="">
      <xdr:nvSpPr>
        <xdr:cNvPr id="3579" name="btn_2ndTour_Bureau9">
          <a:extLst>
            <a:ext uri="{FF2B5EF4-FFF2-40B4-BE49-F238E27FC236}">
              <a16:creationId xmlns:a16="http://schemas.microsoft.com/office/drawing/2014/main" id="{DF078F08-32E0-F3C5-A277-C1A774098E1A}"/>
            </a:ext>
          </a:extLst>
        </xdr:cNvPr>
        <xdr:cNvSpPr/>
      </xdr:nvSpPr>
      <xdr:spPr>
        <a:xfrm>
          <a:off x="18713450" y="67945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33</xdr:col>
      <xdr:colOff>317500</xdr:colOff>
      <xdr:row>38</xdr:row>
      <xdr:rowOff>44450</xdr:rowOff>
    </xdr:from>
    <xdr:to>
      <xdr:col>34</xdr:col>
      <xdr:colOff>628650</xdr:colOff>
      <xdr:row>39</xdr:row>
      <xdr:rowOff>133350</xdr:rowOff>
    </xdr:to>
    <xdr:sp macro="ToggleBureau2nd" textlink="">
      <xdr:nvSpPr>
        <xdr:cNvPr id="3580" name="btn_2ndTour_Bureau10">
          <a:extLst>
            <a:ext uri="{FF2B5EF4-FFF2-40B4-BE49-F238E27FC236}">
              <a16:creationId xmlns:a16="http://schemas.microsoft.com/office/drawing/2014/main" id="{B1FDEF3B-C4FB-B8E7-2C0E-FAD62C15F841}"/>
            </a:ext>
          </a:extLst>
        </xdr:cNvPr>
        <xdr:cNvSpPr/>
      </xdr:nvSpPr>
      <xdr:spPr>
        <a:xfrm>
          <a:off x="18713450" y="71120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33</xdr:col>
      <xdr:colOff>317500</xdr:colOff>
      <xdr:row>40</xdr:row>
      <xdr:rowOff>31750</xdr:rowOff>
    </xdr:from>
    <xdr:to>
      <xdr:col>34</xdr:col>
      <xdr:colOff>628650</xdr:colOff>
      <xdr:row>41</xdr:row>
      <xdr:rowOff>120650</xdr:rowOff>
    </xdr:to>
    <xdr:sp macro="ToggleBureau2nd" textlink="">
      <xdr:nvSpPr>
        <xdr:cNvPr id="3581" name="btn_2ndTour_Bureau11">
          <a:extLst>
            <a:ext uri="{FF2B5EF4-FFF2-40B4-BE49-F238E27FC236}">
              <a16:creationId xmlns:a16="http://schemas.microsoft.com/office/drawing/2014/main" id="{A38AC3B0-68D9-B97C-BA2A-30D014CB9430}"/>
            </a:ext>
          </a:extLst>
        </xdr:cNvPr>
        <xdr:cNvSpPr/>
      </xdr:nvSpPr>
      <xdr:spPr>
        <a:xfrm>
          <a:off x="18713450" y="74295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33</xdr:col>
      <xdr:colOff>317500</xdr:colOff>
      <xdr:row>42</xdr:row>
      <xdr:rowOff>19050</xdr:rowOff>
    </xdr:from>
    <xdr:to>
      <xdr:col>34</xdr:col>
      <xdr:colOff>628650</xdr:colOff>
      <xdr:row>43</xdr:row>
      <xdr:rowOff>107950</xdr:rowOff>
    </xdr:to>
    <xdr:sp macro="ToggleBureau2nd" textlink="">
      <xdr:nvSpPr>
        <xdr:cNvPr id="3582" name="btn_2ndTour_Bureau12">
          <a:extLst>
            <a:ext uri="{FF2B5EF4-FFF2-40B4-BE49-F238E27FC236}">
              <a16:creationId xmlns:a16="http://schemas.microsoft.com/office/drawing/2014/main" id="{ABD4754A-0DBB-CF66-B8C3-F161566C6AD0}"/>
            </a:ext>
          </a:extLst>
        </xdr:cNvPr>
        <xdr:cNvSpPr/>
      </xdr:nvSpPr>
      <xdr:spPr>
        <a:xfrm>
          <a:off x="18713450" y="77470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33</xdr:col>
      <xdr:colOff>317500</xdr:colOff>
      <xdr:row>44</xdr:row>
      <xdr:rowOff>6350</xdr:rowOff>
    </xdr:from>
    <xdr:to>
      <xdr:col>34</xdr:col>
      <xdr:colOff>628650</xdr:colOff>
      <xdr:row>45</xdr:row>
      <xdr:rowOff>95250</xdr:rowOff>
    </xdr:to>
    <xdr:sp macro="Toggle_Total2nd" textlink="">
      <xdr:nvSpPr>
        <xdr:cNvPr id="3583" name="btn_2ndTour_Total">
          <a:extLst>
            <a:ext uri="{FF2B5EF4-FFF2-40B4-BE49-F238E27FC236}">
              <a16:creationId xmlns:a16="http://schemas.microsoft.com/office/drawing/2014/main" id="{ACF045A8-6849-B3AE-266E-7996946BC8FD}"/>
            </a:ext>
          </a:extLst>
        </xdr:cNvPr>
        <xdr:cNvSpPr/>
      </xdr:nvSpPr>
      <xdr:spPr>
        <a:xfrm>
          <a:off x="18713450" y="80645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33</xdr:col>
      <xdr:colOff>317500</xdr:colOff>
      <xdr:row>45</xdr:row>
      <xdr:rowOff>158750</xdr:rowOff>
    </xdr:from>
    <xdr:to>
      <xdr:col>34</xdr:col>
      <xdr:colOff>628650</xdr:colOff>
      <xdr:row>47</xdr:row>
      <xdr:rowOff>82550</xdr:rowOff>
    </xdr:to>
    <xdr:sp macro="AfficherTout2ndTour" textlink="">
      <xdr:nvSpPr>
        <xdr:cNvPr id="3584" name="btn_2ndTour_AfficherTout">
          <a:extLst>
            <a:ext uri="{FF2B5EF4-FFF2-40B4-BE49-F238E27FC236}">
              <a16:creationId xmlns:a16="http://schemas.microsoft.com/office/drawing/2014/main" id="{EC98E372-EE60-EBC9-732C-977E842442EE}"/>
            </a:ext>
          </a:extLst>
        </xdr:cNvPr>
        <xdr:cNvSpPr/>
      </xdr:nvSpPr>
      <xdr:spPr>
        <a:xfrm>
          <a:off x="18713450" y="83820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33</xdr:col>
      <xdr:colOff>317500</xdr:colOff>
      <xdr:row>47</xdr:row>
      <xdr:rowOff>146050</xdr:rowOff>
    </xdr:from>
    <xdr:to>
      <xdr:col>34</xdr:col>
      <xdr:colOff>628650</xdr:colOff>
      <xdr:row>49</xdr:row>
      <xdr:rowOff>69850</xdr:rowOff>
    </xdr:to>
    <xdr:sp macro="EffacerTout2ndTour" textlink="">
      <xdr:nvSpPr>
        <xdr:cNvPr id="3585" name="btn_2ndTour_EffacerTout">
          <a:extLst>
            <a:ext uri="{FF2B5EF4-FFF2-40B4-BE49-F238E27FC236}">
              <a16:creationId xmlns:a16="http://schemas.microsoft.com/office/drawing/2014/main" id="{4EA645F0-C529-8D39-B6B3-73C07F4E463C}"/>
            </a:ext>
          </a:extLst>
        </xdr:cNvPr>
        <xdr:cNvSpPr/>
      </xdr:nvSpPr>
      <xdr:spPr>
        <a:xfrm>
          <a:off x="18713450" y="86995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Effacer Tout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412448</xdr:colOff>
      <xdr:row>18</xdr:row>
      <xdr:rowOff>84781</xdr:rowOff>
    </xdr:from>
    <xdr:ext cx="12446301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D1609A85-3E3A-44A9-A369-EF379F8F96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07340DDC-6043-4F8D-91EF-1E1CC7C2D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671362</xdr:colOff>
      <xdr:row>38</xdr:row>
      <xdr:rowOff>137963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D966EA60-E9C6-484C-8822-75137FFC66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A68C515-ABA3-4E55-82E1-DFC136FAC5DB}"/>
            </a:ext>
          </a:extLst>
        </xdr:cNvPr>
        <xdr:cNvGrpSpPr/>
      </xdr:nvGrpSpPr>
      <xdr:grpSpPr>
        <a:xfrm>
          <a:off x="17687321" y="938893"/>
          <a:ext cx="1893358" cy="1886857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242E66B3-3029-77A1-621E-91E245214E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0F5827A6-EADA-136E-A5AC-0AD62DDBA7ED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466F1FAE-F503-4324-8719-B27C96477934}"/>
            </a:ext>
          </a:extLst>
        </xdr:cNvPr>
        <xdr:cNvGrpSpPr/>
      </xdr:nvGrpSpPr>
      <xdr:grpSpPr>
        <a:xfrm>
          <a:off x="3618894" y="3925964"/>
          <a:ext cx="10493225" cy="491973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C8DA04B3-12F6-ED35-E14B-91EBCB19C7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FBDBB835-0D58-AA39-F6E1-57241F5541FC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89F35B43-3405-4B05-B7E3-D7C0384B8DB2}"/>
            </a:ext>
          </a:extLst>
        </xdr:cNvPr>
        <xdr:cNvGrpSpPr/>
      </xdr:nvGrpSpPr>
      <xdr:grpSpPr>
        <a:xfrm>
          <a:off x="3593798" y="12933392"/>
          <a:ext cx="10926535" cy="458631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3AD7FCED-6662-05EC-D384-5BDC864368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A75D29A8-8098-0E35-3E7E-F4640D42C451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21F08142-5752-498E-AF0C-39225D38310C}"/>
            </a:ext>
          </a:extLst>
        </xdr:cNvPr>
        <xdr:cNvGrpSpPr/>
      </xdr:nvGrpSpPr>
      <xdr:grpSpPr>
        <a:xfrm>
          <a:off x="15085786" y="3937374"/>
          <a:ext cx="3698421" cy="5380496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65BB80F0-9921-FA6F-49D2-ED3DAF43566A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6B9BFD34-578B-1BEC-B3BB-9BF486523592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2357B261-F075-EDD0-20A8-B2819469BB3B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56607D17-C0A2-A1CB-5505-59B66E641AB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D460B381-0143-4776-BAAF-C24E7830F4E6}"/>
            </a:ext>
          </a:extLst>
        </xdr:cNvPr>
        <xdr:cNvGrpSpPr/>
      </xdr:nvGrpSpPr>
      <xdr:grpSpPr>
        <a:xfrm>
          <a:off x="3578679" y="12474236"/>
          <a:ext cx="10936361" cy="469215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0DF4AAA6-9255-1C51-6FB4-C6542C70CD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845B2842-BA31-6A4E-0AE3-A7AF700CAD8C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E82C89EA-48D9-48CA-950A-7B882713D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6EBBF1D8-5190-4250-85B8-2707F34B5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ACEBCE02-10F9-462F-9788-85A57CC21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23</xdr:row>
          <xdr:rowOff>161925</xdr:rowOff>
        </xdr:from>
        <xdr:to>
          <xdr:col>1</xdr:col>
          <xdr:colOff>771525</xdr:colOff>
          <xdr:row>26</xdr:row>
          <xdr:rowOff>123825</xdr:rowOff>
        </xdr:to>
        <xdr:sp macro="" textlink="">
          <xdr:nvSpPr>
            <xdr:cNvPr id="219146" name="Button 10" hidden="1">
              <a:extLst>
                <a:ext uri="{63B3BB69-23CF-44E3-9099-C40C66FF867C}">
                  <a14:compatExt spid="_x0000_s219146"/>
                </a:ext>
                <a:ext uri="{FF2B5EF4-FFF2-40B4-BE49-F238E27FC236}">
                  <a16:creationId xmlns:a16="http://schemas.microsoft.com/office/drawing/2014/main" id="{00000000-0008-0000-0300-00000A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bureaux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6B0AC4-C2D2-24C7-152A-7A8F01991F73}"/>
            </a:ext>
          </a:extLst>
        </xdr:cNvPr>
        <xdr:cNvGrpSpPr/>
      </xdr:nvGrpSpPr>
      <xdr:grpSpPr>
        <a:xfrm>
          <a:off x="17620797" y="940405"/>
          <a:ext cx="1893358" cy="1874762"/>
          <a:chOff x="18122750" y="734786"/>
          <a:chExt cx="1893358" cy="1886857"/>
        </a:xfrm>
      </xdr:grpSpPr>
      <xdr:pic>
        <xdr:nvPicPr>
          <xdr:cNvPr id="10" name="Image 9" descr="Informations avec un remplissage uni">
            <a:extLst>
              <a:ext uri="{FF2B5EF4-FFF2-40B4-BE49-F238E27FC236}">
                <a16:creationId xmlns:a16="http://schemas.microsoft.com/office/drawing/2014/main" id="{70BE706D-932E-4CCF-A1D7-DA61D82DA1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11" name="Légende : encadrée 10">
            <a:extLst>
              <a:ext uri="{FF2B5EF4-FFF2-40B4-BE49-F238E27FC236}">
                <a16:creationId xmlns:a16="http://schemas.microsoft.com/office/drawing/2014/main" id="{180B9958-4139-B60D-E4FA-C8D9BCAAAFD1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52F9374-4F6D-2974-F7BD-516A8E8D3AD1}"/>
            </a:ext>
          </a:extLst>
        </xdr:cNvPr>
        <xdr:cNvGrpSpPr/>
      </xdr:nvGrpSpPr>
      <xdr:grpSpPr>
        <a:xfrm>
          <a:off x="3437465" y="3907821"/>
          <a:ext cx="10606618" cy="493485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7F9A54CE-C3AE-4A2A-A33A-53C132F1F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2" name="Légende : encadrée 11">
            <a:extLst>
              <a:ext uri="{FF2B5EF4-FFF2-40B4-BE49-F238E27FC236}">
                <a16:creationId xmlns:a16="http://schemas.microsoft.com/office/drawing/2014/main" id="{758720A4-FFDE-4D34-A424-D62A08B90D97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1B01602-B32C-6CB9-5A2D-40931A7C1B2E}"/>
            </a:ext>
          </a:extLst>
        </xdr:cNvPr>
        <xdr:cNvGrpSpPr/>
      </xdr:nvGrpSpPr>
      <xdr:grpSpPr>
        <a:xfrm>
          <a:off x="3412369" y="12758011"/>
          <a:ext cx="11039928" cy="455608"/>
          <a:chOff x="4009571" y="12174517"/>
          <a:chExt cx="10926536" cy="464480"/>
        </a:xfrm>
      </xdr:grpSpPr>
      <xdr:pic>
        <xdr:nvPicPr>
          <xdr:cNvPr id="8" name="Image 7" descr="Informations avec un remplissage uni">
            <a:extLst>
              <a:ext uri="{FF2B5EF4-FFF2-40B4-BE49-F238E27FC236}">
                <a16:creationId xmlns:a16="http://schemas.microsoft.com/office/drawing/2014/main" id="{2C4D7E1D-442A-8DA0-BD93-2BDB9CA24E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4" name="Légende : encadrée 13">
            <a:extLst>
              <a:ext uri="{FF2B5EF4-FFF2-40B4-BE49-F238E27FC236}">
                <a16:creationId xmlns:a16="http://schemas.microsoft.com/office/drawing/2014/main" id="{D85ED653-8A42-4AFA-A9A7-4CD47185CA38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7DB35C8F-9E5B-8017-6E78-AEE01D6667CE}"/>
            </a:ext>
          </a:extLst>
        </xdr:cNvPr>
        <xdr:cNvGrpSpPr/>
      </xdr:nvGrpSpPr>
      <xdr:grpSpPr>
        <a:xfrm>
          <a:off x="15017750" y="3919231"/>
          <a:ext cx="3699933" cy="5245936"/>
          <a:chOff x="15451667" y="3919231"/>
          <a:chExt cx="3699933" cy="5245936"/>
        </a:xfrm>
      </xdr:grpSpPr>
      <xdr:cxnSp macro="">
        <xdr:nvCxnSpPr>
          <xdr:cNvPr id="18" name="Connecteur droit avec flèche 17">
            <a:extLst>
              <a:ext uri="{FF2B5EF4-FFF2-40B4-BE49-F238E27FC236}">
                <a16:creationId xmlns:a16="http://schemas.microsoft.com/office/drawing/2014/main" id="{864DE100-F095-E74C-6FC9-838D67AF6CAA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9" name="Groupe 18">
            <a:extLst>
              <a:ext uri="{FF2B5EF4-FFF2-40B4-BE49-F238E27FC236}">
                <a16:creationId xmlns:a16="http://schemas.microsoft.com/office/drawing/2014/main" id="{CF4ED1AE-3652-D1D0-7213-1FDAAD185F1B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6" name="Légende : encadrée 15">
              <a:extLst>
                <a:ext uri="{FF2B5EF4-FFF2-40B4-BE49-F238E27FC236}">
                  <a16:creationId xmlns:a16="http://schemas.microsoft.com/office/drawing/2014/main" id="{E4F671E4-9569-BCEF-A661-BCC8D6662493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7" name="Image 16" descr="Informations avec un remplissage uni">
              <a:extLst>
                <a:ext uri="{FF2B5EF4-FFF2-40B4-BE49-F238E27FC236}">
                  <a16:creationId xmlns:a16="http://schemas.microsoft.com/office/drawing/2014/main" id="{28E4C5F7-FB25-4CB4-93A2-AE2580A0086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7E2E10D5-4CE8-420E-ACB8-427BB8C202ED}"/>
            </a:ext>
          </a:extLst>
        </xdr:cNvPr>
        <xdr:cNvGrpSpPr/>
      </xdr:nvGrpSpPr>
      <xdr:grpSpPr>
        <a:xfrm>
          <a:off x="3397250" y="12312462"/>
          <a:ext cx="11049754" cy="455608"/>
          <a:chOff x="3967983" y="12233869"/>
          <a:chExt cx="10936365" cy="464480"/>
        </a:xfrm>
      </xdr:grpSpPr>
      <xdr:pic>
        <xdr:nvPicPr>
          <xdr:cNvPr id="25" name="Image 24" descr="Informations avec un remplissage uni">
            <a:extLst>
              <a:ext uri="{FF2B5EF4-FFF2-40B4-BE49-F238E27FC236}">
                <a16:creationId xmlns:a16="http://schemas.microsoft.com/office/drawing/2014/main" id="{9DF0B863-1688-86C0-33C7-5A118C11A8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6" name="Légende : encadrée 25">
            <a:extLst>
              <a:ext uri="{FF2B5EF4-FFF2-40B4-BE49-F238E27FC236}">
                <a16:creationId xmlns:a16="http://schemas.microsoft.com/office/drawing/2014/main" id="{0B2B488B-F189-1C99-FAC5-901105A855FC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A457C8C2-C864-4774-A9DD-5B295DC10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278014AB-E87D-467D-9B5C-BA54F93F74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33860183-E528-4C85-9D52-73B947273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6D65CBE4-7A1C-4E0F-93D4-E3E089F4F2E1}"/>
            </a:ext>
          </a:extLst>
        </xdr:cNvPr>
        <xdr:cNvGrpSpPr/>
      </xdr:nvGrpSpPr>
      <xdr:grpSpPr>
        <a:xfrm>
          <a:off x="17607039" y="945697"/>
          <a:ext cx="1893358" cy="1908628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E6891E59-1B6C-09F0-C1FF-145C968FE8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85E03942-D125-D190-BB39-BE9FE07DDFF0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CCCF5A99-8DA3-41AD-9AF4-6EE90DBA83C4}"/>
            </a:ext>
          </a:extLst>
        </xdr:cNvPr>
        <xdr:cNvGrpSpPr/>
      </xdr:nvGrpSpPr>
      <xdr:grpSpPr>
        <a:xfrm>
          <a:off x="3431115" y="3958621"/>
          <a:ext cx="10603443" cy="489252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A249B563-63A0-9C03-4B17-63700628ED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F2DDFAD1-11C3-E7BA-7FC5-EF1AE02D9DF0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72A718ED-B0C6-4242-9C37-49A4A96C16E6}"/>
            </a:ext>
          </a:extLst>
        </xdr:cNvPr>
        <xdr:cNvGrpSpPr/>
      </xdr:nvGrpSpPr>
      <xdr:grpSpPr>
        <a:xfrm>
          <a:off x="3406019" y="12944278"/>
          <a:ext cx="11036753" cy="454549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6DC9C684-BE67-A94C-F744-2B23633E2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75B4E16F-FF33-095A-1618-3C3198280E58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B85A6913-C4A0-4BBF-9B08-A60A536AFDCC}"/>
            </a:ext>
          </a:extLst>
        </xdr:cNvPr>
        <xdr:cNvGrpSpPr/>
      </xdr:nvGrpSpPr>
      <xdr:grpSpPr>
        <a:xfrm>
          <a:off x="15008225" y="3970031"/>
          <a:ext cx="3695700" cy="5327428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0169EC4B-4F5E-DD72-A4D6-5720577DC354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105D6CDD-1399-04CB-60A2-D5339F891B7F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0432C2A8-F8AE-8E71-4CB7-23883D4D5A59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0710BF1C-646D-23F5-AA5E-1C92F5F0CD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CB9FF86C-4C53-44A3-A8C2-8CF41F0AA91B}"/>
            </a:ext>
          </a:extLst>
        </xdr:cNvPr>
        <xdr:cNvGrpSpPr/>
      </xdr:nvGrpSpPr>
      <xdr:grpSpPr>
        <a:xfrm>
          <a:off x="3390900" y="12489204"/>
          <a:ext cx="11046579" cy="465133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C78D39F4-CBCC-3E2B-AF38-0A9DCC95E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59AE1A95-6833-0811-F24E-B37869C1A094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D3973314-3947-42B5-A9C9-87484E56EC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25FF9E5B-243D-472D-8B15-6C0D83BBF7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19CC8225-DFDD-4D44-8723-5A0F6EDE68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EC612A38-69C9-4BBA-900B-175ACA236FDB}"/>
            </a:ext>
          </a:extLst>
        </xdr:cNvPr>
        <xdr:cNvGrpSpPr/>
      </xdr:nvGrpSpPr>
      <xdr:grpSpPr>
        <a:xfrm>
          <a:off x="17607039" y="945697"/>
          <a:ext cx="1893358" cy="1908628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00143AEF-4309-CB4C-1BB4-6FB2A79822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276F3BAB-6361-9919-7C2A-BC39AEAC96D7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4CD88FE8-814F-4381-A012-51AE8F63F052}"/>
            </a:ext>
          </a:extLst>
        </xdr:cNvPr>
        <xdr:cNvGrpSpPr/>
      </xdr:nvGrpSpPr>
      <xdr:grpSpPr>
        <a:xfrm>
          <a:off x="3431115" y="3958621"/>
          <a:ext cx="10603443" cy="489252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5C54DB7C-6F4E-3760-1FE4-29F8B4FB0E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6A7624E6-5054-49FC-F195-A348083819B6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DAB798D8-592A-4488-A0A9-487DCCB51A30}"/>
            </a:ext>
          </a:extLst>
        </xdr:cNvPr>
        <xdr:cNvGrpSpPr/>
      </xdr:nvGrpSpPr>
      <xdr:grpSpPr>
        <a:xfrm>
          <a:off x="3406019" y="12944278"/>
          <a:ext cx="11036753" cy="454549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9ED65010-5A3D-22AF-1E14-C59E03FC75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31016077-B685-C1F0-2859-ADF783AA1DC7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D991F407-E234-48E6-A04C-C42E30376623}"/>
            </a:ext>
          </a:extLst>
        </xdr:cNvPr>
        <xdr:cNvGrpSpPr/>
      </xdr:nvGrpSpPr>
      <xdr:grpSpPr>
        <a:xfrm>
          <a:off x="15008225" y="3970031"/>
          <a:ext cx="3695700" cy="5327428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40FBF399-0745-6A14-C874-065A79C35C86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773427FC-B934-CFCC-D6D2-F0487B25EFEB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9173199E-061C-77A1-8836-32D4B528F837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089FF24E-DF25-2B99-7E4C-C92CABD34C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C13C122E-EAD1-469F-AB70-634F9C0C53C9}"/>
            </a:ext>
          </a:extLst>
        </xdr:cNvPr>
        <xdr:cNvGrpSpPr/>
      </xdr:nvGrpSpPr>
      <xdr:grpSpPr>
        <a:xfrm>
          <a:off x="3390900" y="12489204"/>
          <a:ext cx="11046579" cy="465133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EFCE9A10-61D5-BD0A-BDEA-9CDF209A2E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A1A66BEB-AC29-2B78-139B-A7DCC347F9A6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E5E1A636-A047-4E55-9159-6B4E7E0F0F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C61A73EC-7185-48FC-9817-61273D4F89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E20C0888-9864-420F-A461-157D58A64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05940F2-D57B-410B-B2AF-C5C8251EADBF}"/>
            </a:ext>
          </a:extLst>
        </xdr:cNvPr>
        <xdr:cNvGrpSpPr/>
      </xdr:nvGrpSpPr>
      <xdr:grpSpPr>
        <a:xfrm>
          <a:off x="17607039" y="945697"/>
          <a:ext cx="1893358" cy="1908628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C6FE994C-5747-BF5E-4FB0-CE0FE339FB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E065F1C6-F42C-DD5D-3A3A-6594F1B54E80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3A0C307B-72D9-484A-80A3-90FFEAAA7CA7}"/>
            </a:ext>
          </a:extLst>
        </xdr:cNvPr>
        <xdr:cNvGrpSpPr/>
      </xdr:nvGrpSpPr>
      <xdr:grpSpPr>
        <a:xfrm>
          <a:off x="3431115" y="3958621"/>
          <a:ext cx="10603443" cy="489252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CEA423D3-1E48-1D71-6CCD-18D53EF515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8CBCC611-DF62-804C-91B6-BA1A0FB0940B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714AC81C-3D87-441D-BF90-839F3388A4C0}"/>
            </a:ext>
          </a:extLst>
        </xdr:cNvPr>
        <xdr:cNvGrpSpPr/>
      </xdr:nvGrpSpPr>
      <xdr:grpSpPr>
        <a:xfrm>
          <a:off x="3406019" y="12944278"/>
          <a:ext cx="11036753" cy="454549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0A3F834D-EC6B-1EE1-5B6C-F00320088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015E1E6D-AD6C-1883-9955-699A8905A721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DD0F722-330B-4A36-BF3E-A7BB655B0235}"/>
            </a:ext>
          </a:extLst>
        </xdr:cNvPr>
        <xdr:cNvGrpSpPr/>
      </xdr:nvGrpSpPr>
      <xdr:grpSpPr>
        <a:xfrm>
          <a:off x="15008225" y="3970031"/>
          <a:ext cx="3695700" cy="5327428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3DB3EE39-C991-C5A9-A357-179FD8E4631F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FCFCC3E8-C9B1-4F4E-56D0-79908BF30EBD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36A712A9-001F-5416-9FAB-742D466E2AA0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74CD8C9E-5B03-CF59-ABAD-F9C407B5EE3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40FC6D90-7E0B-4FC1-BA53-B05A09CACD83}"/>
            </a:ext>
          </a:extLst>
        </xdr:cNvPr>
        <xdr:cNvGrpSpPr/>
      </xdr:nvGrpSpPr>
      <xdr:grpSpPr>
        <a:xfrm>
          <a:off x="3390900" y="12489204"/>
          <a:ext cx="11046579" cy="465133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9DF420C1-7D1A-C182-C417-3DA958C8FE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6B2673A6-9874-2B54-C2B3-EB3C9399BA68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8EC5B536-BC7A-466D-A70D-5E170C24A7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7EAD7E87-C6EB-447A-A212-9FAA20D2BF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7FB4AE14-029B-4944-A78A-B9636302DF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5DC98DAD-D747-46D5-8263-F891084EF6AE}"/>
            </a:ext>
          </a:extLst>
        </xdr:cNvPr>
        <xdr:cNvGrpSpPr/>
      </xdr:nvGrpSpPr>
      <xdr:grpSpPr>
        <a:xfrm>
          <a:off x="17607039" y="945697"/>
          <a:ext cx="1893358" cy="1908628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B07F047A-4A62-3752-C34B-901FDCB86A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492A5CDD-2181-9C82-A23E-B17B92E88D43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2F3C447-BBCA-4655-A5FD-8B10845237E6}"/>
            </a:ext>
          </a:extLst>
        </xdr:cNvPr>
        <xdr:cNvGrpSpPr/>
      </xdr:nvGrpSpPr>
      <xdr:grpSpPr>
        <a:xfrm>
          <a:off x="3431115" y="3958621"/>
          <a:ext cx="10603443" cy="489252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8ED7BCC5-2E68-5040-B1FF-1BE16EE20F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508948CB-5BB5-5F3A-F30E-CEFB06BDBE69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A014555F-F47D-4A85-BA4E-71A67E9E87F3}"/>
            </a:ext>
          </a:extLst>
        </xdr:cNvPr>
        <xdr:cNvGrpSpPr/>
      </xdr:nvGrpSpPr>
      <xdr:grpSpPr>
        <a:xfrm>
          <a:off x="3406019" y="12944278"/>
          <a:ext cx="11036753" cy="454549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66A8EA8C-8BD7-3512-B0F9-FEEDF16256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1BF4A10A-3CB5-2D2B-8F60-7C89DB6787FE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082F2AD1-D0AD-468A-871A-D40FA0DCC183}"/>
            </a:ext>
          </a:extLst>
        </xdr:cNvPr>
        <xdr:cNvGrpSpPr/>
      </xdr:nvGrpSpPr>
      <xdr:grpSpPr>
        <a:xfrm>
          <a:off x="15008225" y="3970031"/>
          <a:ext cx="3695700" cy="5327428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2A50A1CE-CD21-B14E-4047-AE8944C7CA3A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C7A50C02-7F57-C795-46E7-3F1914217887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DDFC0781-D6B2-2805-0671-109EF705785B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FDAA9ED0-977D-7AB6-1848-BE3671144A8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8EC23001-0815-4E99-AB14-0EA790DD659A}"/>
            </a:ext>
          </a:extLst>
        </xdr:cNvPr>
        <xdr:cNvGrpSpPr/>
      </xdr:nvGrpSpPr>
      <xdr:grpSpPr>
        <a:xfrm>
          <a:off x="3390900" y="12489204"/>
          <a:ext cx="11046579" cy="465133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A6D7F671-CD07-7543-937A-6769A61A32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B6136DB8-6210-B415-DCA6-2A9AA60B6249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3B29F237-6872-411A-8DD2-B912480CB6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2D241379-6ADE-4EE8-B53C-41FC4763C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A5BAC1A1-17F6-4152-8A04-93CE9715F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1AD20940-F6B9-4AFD-97F0-A940A9C4B5C9}"/>
            </a:ext>
          </a:extLst>
        </xdr:cNvPr>
        <xdr:cNvGrpSpPr/>
      </xdr:nvGrpSpPr>
      <xdr:grpSpPr>
        <a:xfrm>
          <a:off x="17607039" y="945697"/>
          <a:ext cx="1893358" cy="1908628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B5B51EAC-6014-B12B-7C41-E04E73B3E2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D3CB5236-C05A-26AE-2F8B-21337B6FE3CF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D2C9E0B0-E9C3-469E-8AEB-DF98A96A8231}"/>
            </a:ext>
          </a:extLst>
        </xdr:cNvPr>
        <xdr:cNvGrpSpPr/>
      </xdr:nvGrpSpPr>
      <xdr:grpSpPr>
        <a:xfrm>
          <a:off x="3431115" y="3958621"/>
          <a:ext cx="10603443" cy="489252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0F1EB559-9071-91D6-4AEE-86C9D96E05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DC9C0B2E-91E4-C46E-948A-D827D0708345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C5CD2E74-3189-4D9F-BDCA-A48765398687}"/>
            </a:ext>
          </a:extLst>
        </xdr:cNvPr>
        <xdr:cNvGrpSpPr/>
      </xdr:nvGrpSpPr>
      <xdr:grpSpPr>
        <a:xfrm>
          <a:off x="3406019" y="12944278"/>
          <a:ext cx="11036753" cy="454549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D53EAD3D-01D5-401D-F000-E70D223233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83ADBD9C-DB46-A4FB-1DAF-3865F160A9FD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54F6E3DA-A2B9-49E0-B067-923AD13A31B2}"/>
            </a:ext>
          </a:extLst>
        </xdr:cNvPr>
        <xdr:cNvGrpSpPr/>
      </xdr:nvGrpSpPr>
      <xdr:grpSpPr>
        <a:xfrm>
          <a:off x="15008225" y="3970031"/>
          <a:ext cx="3695700" cy="5327428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E36934DE-4292-5EC1-9E66-E9BFFB1BC742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1D01FCAB-35F6-5D98-6A8D-E0822DAE6BA3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9E6E6067-79F8-D60F-98C6-5D11F697144C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13C5E1DE-BCBF-27B3-FC9B-86171FE2714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E6CB55C6-E377-400F-BFDB-88C06E98AB72}"/>
            </a:ext>
          </a:extLst>
        </xdr:cNvPr>
        <xdr:cNvGrpSpPr/>
      </xdr:nvGrpSpPr>
      <xdr:grpSpPr>
        <a:xfrm>
          <a:off x="3390900" y="12489204"/>
          <a:ext cx="11046579" cy="465133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4EFDDCA8-1AF0-40FA-63F5-64FC9E731A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4D8DD1E5-0ADA-5C26-B4EE-4E6B3A94DE34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7D0A00AC-489F-4A13-A0B0-2F7D7F1AA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1403335C-D0AE-43C3-AC2B-9DB6A2AFD4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2A87D01E-C3CB-4005-9B61-E804BBBCC9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931ED88-6BDC-4530-9A6E-6F6E2B0B87C6}"/>
            </a:ext>
          </a:extLst>
        </xdr:cNvPr>
        <xdr:cNvGrpSpPr/>
      </xdr:nvGrpSpPr>
      <xdr:grpSpPr>
        <a:xfrm>
          <a:off x="17607039" y="945697"/>
          <a:ext cx="1893358" cy="1908628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D03A3EB4-6A74-CACE-276F-69F2EB7D8F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7C27A2DC-2AA8-DDD8-FE10-6963A5D6E2AB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909CF677-0314-4CA7-A0DC-47B40569C6FE}"/>
            </a:ext>
          </a:extLst>
        </xdr:cNvPr>
        <xdr:cNvGrpSpPr/>
      </xdr:nvGrpSpPr>
      <xdr:grpSpPr>
        <a:xfrm>
          <a:off x="3431115" y="3958621"/>
          <a:ext cx="10603443" cy="489252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399D91ED-D431-0094-B063-7707E0FA3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94591E90-FD01-4161-5ED4-4CDB02743CAE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141AF6B0-A42B-4EB6-B6C6-FD554CF64EC4}"/>
            </a:ext>
          </a:extLst>
        </xdr:cNvPr>
        <xdr:cNvGrpSpPr/>
      </xdr:nvGrpSpPr>
      <xdr:grpSpPr>
        <a:xfrm>
          <a:off x="3406019" y="12944278"/>
          <a:ext cx="11036753" cy="454549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58760CEC-828D-7DF6-F276-0755429107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1E3B267C-D2DC-5BF8-B03D-F081D382919E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0AC1EAB2-B605-4C6A-8816-D341FD7A0037}"/>
            </a:ext>
          </a:extLst>
        </xdr:cNvPr>
        <xdr:cNvGrpSpPr/>
      </xdr:nvGrpSpPr>
      <xdr:grpSpPr>
        <a:xfrm>
          <a:off x="15008225" y="3970031"/>
          <a:ext cx="3695700" cy="5327428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F94C8006-BC73-DCFC-5677-8226DF07D7DF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4688C815-7976-72AC-59CF-1909633D3161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BCC25CA4-770D-AEC1-1D95-8F1745489995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FAA9F61F-29D6-2024-EF8C-335AB88E41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A4444B01-AF6F-406D-A2A6-850D95955483}"/>
            </a:ext>
          </a:extLst>
        </xdr:cNvPr>
        <xdr:cNvGrpSpPr/>
      </xdr:nvGrpSpPr>
      <xdr:grpSpPr>
        <a:xfrm>
          <a:off x="3390900" y="12489204"/>
          <a:ext cx="11046579" cy="465133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CA957217-3700-7CF7-50BB-FC96D1D403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37C0D7F5-9B3B-D4EA-C542-E40E7AB214B8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7432E42B-B535-40DF-A76C-2A2236B4D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E82E09AF-08AD-4977-A3E7-24696172DE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2FCC80D5-BC2A-47DD-9CD9-BA9A33E709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10F36966-F26D-41E6-AB66-1B645BE11777}"/>
            </a:ext>
          </a:extLst>
        </xdr:cNvPr>
        <xdr:cNvGrpSpPr/>
      </xdr:nvGrpSpPr>
      <xdr:grpSpPr>
        <a:xfrm>
          <a:off x="17607039" y="945697"/>
          <a:ext cx="1893358" cy="1908628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60604AD1-273E-7698-7A16-DCE61D65CF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D0401B9D-3EAA-B1AA-E8F1-466B857F4472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3FE5D847-2928-48BE-81FA-A89D7F58FBC0}"/>
            </a:ext>
          </a:extLst>
        </xdr:cNvPr>
        <xdr:cNvGrpSpPr/>
      </xdr:nvGrpSpPr>
      <xdr:grpSpPr>
        <a:xfrm>
          <a:off x="3431115" y="3958621"/>
          <a:ext cx="10603443" cy="489252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312D7F66-EA57-9DB5-5B10-94D88FF71C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5B4E876A-F8A5-FF67-B7CB-E5E29DE1E9DD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5B8A45-F9BF-4D15-A6D8-F5A46769B5BB}"/>
            </a:ext>
          </a:extLst>
        </xdr:cNvPr>
        <xdr:cNvGrpSpPr/>
      </xdr:nvGrpSpPr>
      <xdr:grpSpPr>
        <a:xfrm>
          <a:off x="3406019" y="12944278"/>
          <a:ext cx="11036753" cy="454549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A698795B-D5D8-F984-FE22-E4225C8C57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46B60FCE-1365-67C3-E19A-96D7857596A2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18D4EE-31E9-43CD-9660-A49A5A43FDEC}"/>
            </a:ext>
          </a:extLst>
        </xdr:cNvPr>
        <xdr:cNvGrpSpPr/>
      </xdr:nvGrpSpPr>
      <xdr:grpSpPr>
        <a:xfrm>
          <a:off x="15008225" y="3970031"/>
          <a:ext cx="3695700" cy="5327428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ADB2FE5F-C268-B8B7-0A2C-D0254B13ABC3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9A164A16-8421-4DF2-A5A5-EF12E857F016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A5764001-2BC4-DA9B-4F33-D67F8A4F9D80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70F97851-FD9B-B9A2-1F1A-9879BFFC8CE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DF2F5CA-FB33-45C4-9501-14F645926946}"/>
            </a:ext>
          </a:extLst>
        </xdr:cNvPr>
        <xdr:cNvGrpSpPr/>
      </xdr:nvGrpSpPr>
      <xdr:grpSpPr>
        <a:xfrm>
          <a:off x="3390900" y="12489204"/>
          <a:ext cx="11046579" cy="465133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958BA409-446A-F5F5-8773-C54D26A40C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2E6F8DE2-967B-B603-D802-CFC48E0A3671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F7BFFF2D-0129-4753-993A-EAC59B14A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BEFA2CB4-A376-4EAF-97FC-199440C21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ECA7DB40-7E3F-4398-BFE1-50B1453F94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5F4C2CF-0500-451A-BEBD-AEF9F6484BD7}"/>
            </a:ext>
          </a:extLst>
        </xdr:cNvPr>
        <xdr:cNvGrpSpPr/>
      </xdr:nvGrpSpPr>
      <xdr:grpSpPr>
        <a:xfrm>
          <a:off x="17607039" y="945697"/>
          <a:ext cx="1893358" cy="1908628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A39E6110-1820-1CCD-F684-07C7272050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AB34762D-4782-9C5E-1BA0-7E2D2F0DE917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91CD4FF3-6153-4555-8C1E-1B99027419BE}"/>
            </a:ext>
          </a:extLst>
        </xdr:cNvPr>
        <xdr:cNvGrpSpPr/>
      </xdr:nvGrpSpPr>
      <xdr:grpSpPr>
        <a:xfrm>
          <a:off x="3431115" y="3958621"/>
          <a:ext cx="10603443" cy="489252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B3E916C6-6EC4-57FD-BB2C-2B7CD8FA5F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FB91EBD3-8310-89D3-0E25-4C5BBA72B87B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AEDB1362-23AA-4501-84DF-02D6A2417777}"/>
            </a:ext>
          </a:extLst>
        </xdr:cNvPr>
        <xdr:cNvGrpSpPr/>
      </xdr:nvGrpSpPr>
      <xdr:grpSpPr>
        <a:xfrm>
          <a:off x="3406019" y="12944278"/>
          <a:ext cx="11036753" cy="454549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37C0B89B-E0AC-C89A-6F17-85C63C0FA4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1B3B2879-1839-0D65-2EA0-74F2E61D6126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284F66C3-29AA-4D95-A42B-3C0782D58D69}"/>
            </a:ext>
          </a:extLst>
        </xdr:cNvPr>
        <xdr:cNvGrpSpPr/>
      </xdr:nvGrpSpPr>
      <xdr:grpSpPr>
        <a:xfrm>
          <a:off x="15008225" y="3970031"/>
          <a:ext cx="3695700" cy="5327428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D35AA0AB-89AF-BB92-7C3D-9008F458B40A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FBBBDDAA-AD4E-20CE-CD99-F2C9B37703FA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14560917-50CC-7B27-5BED-DCD0C50816DA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E3ABBBF6-3F42-93E8-725E-74A776178C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7A27BBF5-52E8-48F5-8D30-3761F2657F58}"/>
            </a:ext>
          </a:extLst>
        </xdr:cNvPr>
        <xdr:cNvGrpSpPr/>
      </xdr:nvGrpSpPr>
      <xdr:grpSpPr>
        <a:xfrm>
          <a:off x="3390900" y="12489204"/>
          <a:ext cx="11046579" cy="465133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10C08B67-92DC-57DD-7522-B4A3735893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78B4DBFD-61D0-2574-A615-3D73FD3D3E2B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59ABBDA2-DC59-4FC2-8957-259B7CB4C3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0A6389AF-F303-4FE6-8AE5-EF0090189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BB5494FB-537E-42E6-A81F-B1A67F2458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30307F18-45B1-4388-A4F5-005DC335DDF4}"/>
            </a:ext>
          </a:extLst>
        </xdr:cNvPr>
        <xdr:cNvGrpSpPr/>
      </xdr:nvGrpSpPr>
      <xdr:grpSpPr>
        <a:xfrm>
          <a:off x="17607039" y="945697"/>
          <a:ext cx="1893358" cy="1908628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874C427B-70DC-3F3A-B900-6B130A1E89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ACB50919-FD36-F0DF-AB6C-3ABD3CE69025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BEDD507-D41B-4BBE-B381-47DE41AF4E63}"/>
            </a:ext>
          </a:extLst>
        </xdr:cNvPr>
        <xdr:cNvGrpSpPr/>
      </xdr:nvGrpSpPr>
      <xdr:grpSpPr>
        <a:xfrm>
          <a:off x="3431115" y="3958621"/>
          <a:ext cx="10603443" cy="489252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648902D6-8A3A-3AE9-DEAC-89B4378C49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8B80A6C1-2A38-FAAE-ED39-75C3E95EAAEA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542B15A3-96DA-47D2-86DD-FD72CF328D11}"/>
            </a:ext>
          </a:extLst>
        </xdr:cNvPr>
        <xdr:cNvGrpSpPr/>
      </xdr:nvGrpSpPr>
      <xdr:grpSpPr>
        <a:xfrm>
          <a:off x="3406019" y="12944278"/>
          <a:ext cx="11036753" cy="454549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B17205DE-C308-9AA7-CEE2-EC846E08F1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B72F9729-EB89-97D9-D375-726C278B8EAF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3A7387C5-5D05-4EA5-AF3D-1D0C9CF45F49}"/>
            </a:ext>
          </a:extLst>
        </xdr:cNvPr>
        <xdr:cNvGrpSpPr/>
      </xdr:nvGrpSpPr>
      <xdr:grpSpPr>
        <a:xfrm>
          <a:off x="15008225" y="3970031"/>
          <a:ext cx="3695700" cy="5327428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D96658A8-5D54-6BBE-3CD6-0F5351F50D5D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8654F135-F596-2B1F-ED3D-A2DA25B0C22E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C5385734-996C-B633-4CB1-B3F7403E8143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F37ED293-21E4-BCF8-F3FA-58001FFF5EC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26A49148-D9DE-443F-AD06-C3295645A437}"/>
            </a:ext>
          </a:extLst>
        </xdr:cNvPr>
        <xdr:cNvGrpSpPr/>
      </xdr:nvGrpSpPr>
      <xdr:grpSpPr>
        <a:xfrm>
          <a:off x="3390900" y="12489204"/>
          <a:ext cx="11046579" cy="465133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82A1EE36-697D-C8DF-40A2-9B199A2A29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5D53D377-03D2-A0AB-86CD-05AF3AA426AC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5E99E937-ED91-4A72-8B85-8B1CF6C817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0BB1F2BF-9A1D-4B31-83FD-FBB2DAC96D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9DD4D690-F8F4-41B6-9247-BD0C13A5E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45D80B39-523B-4FCB-8472-9C386931AAEB}"/>
            </a:ext>
          </a:extLst>
        </xdr:cNvPr>
        <xdr:cNvGrpSpPr/>
      </xdr:nvGrpSpPr>
      <xdr:grpSpPr>
        <a:xfrm>
          <a:off x="17607039" y="945697"/>
          <a:ext cx="1893358" cy="1908628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85336B1A-13B1-C653-1F21-A3241A6664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23575EC8-4F7B-8186-CAFF-CDFCE3E0A6E3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D94560BB-659B-46AB-8F12-932606CFDCA7}"/>
            </a:ext>
          </a:extLst>
        </xdr:cNvPr>
        <xdr:cNvGrpSpPr/>
      </xdr:nvGrpSpPr>
      <xdr:grpSpPr>
        <a:xfrm>
          <a:off x="3431115" y="3958621"/>
          <a:ext cx="10603443" cy="489252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E22F114D-BE9D-6BBC-E179-AE8845A17F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B2E6199D-FEDA-5B1F-2041-F1CFDD5CF756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F93E37C3-A1E6-48B5-83DF-D771C77992DB}"/>
            </a:ext>
          </a:extLst>
        </xdr:cNvPr>
        <xdr:cNvGrpSpPr/>
      </xdr:nvGrpSpPr>
      <xdr:grpSpPr>
        <a:xfrm>
          <a:off x="3406019" y="12944278"/>
          <a:ext cx="11036753" cy="454549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D484DBCF-B9C5-6ABB-6419-C140B0C72B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09F7BFBC-DA5B-9173-DB67-832756BFFCD9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DF963331-59E5-40BF-A3BE-4CDB1BBAD43B}"/>
            </a:ext>
          </a:extLst>
        </xdr:cNvPr>
        <xdr:cNvGrpSpPr/>
      </xdr:nvGrpSpPr>
      <xdr:grpSpPr>
        <a:xfrm>
          <a:off x="15008225" y="3970031"/>
          <a:ext cx="3695700" cy="5327428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A7F98D62-7B8A-32A5-460A-90A42878421F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47BD4371-89ED-236D-99AE-E52ABCFEC72C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2356BF26-C786-F69A-0C06-B586EDEB34C3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BB8639DE-AB7B-7116-4F9A-548C8698791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62C52D3A-A65E-4012-BBEC-CF2FDD25AF03}"/>
            </a:ext>
          </a:extLst>
        </xdr:cNvPr>
        <xdr:cNvGrpSpPr/>
      </xdr:nvGrpSpPr>
      <xdr:grpSpPr>
        <a:xfrm>
          <a:off x="3390900" y="12489204"/>
          <a:ext cx="11046579" cy="465133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DE82E381-F00D-A2E5-D543-A76561524C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5C650C1E-8B0D-9440-96E1-95376E629D63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C4430976-7E8F-4034-8D34-34E67B5786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C58EB05D-5BE7-4F24-9ED3-891C4B9899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7406C25C-8756-41DF-BD53-3EE42AF7E6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A35DAAB7-CF38-4709-AE08-26A04B2401D7}"/>
            </a:ext>
          </a:extLst>
        </xdr:cNvPr>
        <xdr:cNvGrpSpPr/>
      </xdr:nvGrpSpPr>
      <xdr:grpSpPr>
        <a:xfrm>
          <a:off x="17607039" y="945697"/>
          <a:ext cx="1893358" cy="1908628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8FDBE819-7032-D4A1-6AE3-4A34B2CC31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8CCCB105-C9A4-93B1-4F52-24EA89D77CDC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33A5C0F2-E03C-47E4-AB77-40E755EC19FD}"/>
            </a:ext>
          </a:extLst>
        </xdr:cNvPr>
        <xdr:cNvGrpSpPr/>
      </xdr:nvGrpSpPr>
      <xdr:grpSpPr>
        <a:xfrm>
          <a:off x="3431115" y="3958621"/>
          <a:ext cx="10603443" cy="489252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9BD8BE87-2ED7-9EE1-BC29-DFFCE25F60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3F6AEFE2-99F6-D037-7596-64D26E1E758F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75FE623-91B7-4A29-B640-706B3F1F92DB}"/>
            </a:ext>
          </a:extLst>
        </xdr:cNvPr>
        <xdr:cNvGrpSpPr/>
      </xdr:nvGrpSpPr>
      <xdr:grpSpPr>
        <a:xfrm>
          <a:off x="3406019" y="12944278"/>
          <a:ext cx="11036753" cy="454549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94C65B84-5C16-72A8-E84A-27EA029FAD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C77F8062-B39B-1B10-CA03-773BD541414C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50AD9FFA-2B82-4085-A33A-F384C224DA6C}"/>
            </a:ext>
          </a:extLst>
        </xdr:cNvPr>
        <xdr:cNvGrpSpPr/>
      </xdr:nvGrpSpPr>
      <xdr:grpSpPr>
        <a:xfrm>
          <a:off x="15008225" y="3970031"/>
          <a:ext cx="3695700" cy="5327428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0DAEC8E8-3232-E398-A9C2-99E028561AD1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AF079D75-DD18-C664-49AE-AEA3F1E21FAC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5A1CF231-F7BB-2085-0B26-2AE5B23BDC44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FC43E254-5A93-0C77-F39B-C48562C19D5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14A65682-9AFA-47E0-8211-EEAD3F70FF44}"/>
            </a:ext>
          </a:extLst>
        </xdr:cNvPr>
        <xdr:cNvGrpSpPr/>
      </xdr:nvGrpSpPr>
      <xdr:grpSpPr>
        <a:xfrm>
          <a:off x="3390900" y="12489204"/>
          <a:ext cx="11046579" cy="465133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B1FA7C31-458D-7C90-6EB3-A5E7F7B2DA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9D93CCF0-5D23-1855-1B06-F68E463B332B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BF8B4929-D44D-4517-83AA-C6B4A74FEF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D8CB85B3-D651-42A4-A72E-E8AF890B8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AAAE568D-7F1D-4CA7-88FE-8E0D3927BE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1B3463D8-1DDF-4816-90E8-1B5DB7ABA647}"/>
            </a:ext>
          </a:extLst>
        </xdr:cNvPr>
        <xdr:cNvGrpSpPr/>
      </xdr:nvGrpSpPr>
      <xdr:grpSpPr>
        <a:xfrm>
          <a:off x="17620797" y="940405"/>
          <a:ext cx="1893358" cy="1874762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D3A8707B-5CDA-95D6-10EB-1AD7A21F70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EBB3583D-6FDC-8265-448B-FA67BAD53378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D23B917-3D5A-4A8C-B42D-F17578FD7CFB}"/>
            </a:ext>
          </a:extLst>
        </xdr:cNvPr>
        <xdr:cNvGrpSpPr/>
      </xdr:nvGrpSpPr>
      <xdr:grpSpPr>
        <a:xfrm>
          <a:off x="3437465" y="3907821"/>
          <a:ext cx="10606618" cy="493485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98BDD1E8-3E4C-9D43-C626-447309E357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4F12EAE4-4990-B67A-C0EC-3977C3CE3CCF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32ACC915-85B1-4D78-8663-795DF9599379}"/>
            </a:ext>
          </a:extLst>
        </xdr:cNvPr>
        <xdr:cNvGrpSpPr/>
      </xdr:nvGrpSpPr>
      <xdr:grpSpPr>
        <a:xfrm>
          <a:off x="3412369" y="12758011"/>
          <a:ext cx="11039928" cy="455608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BEBDFD67-FD0B-D0E4-4870-2434D041C9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FDCEFAF1-A179-714E-7C1A-BE5871D5EF67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1C2DB20D-9B81-44EF-B8D2-58B195235223}"/>
            </a:ext>
          </a:extLst>
        </xdr:cNvPr>
        <xdr:cNvGrpSpPr/>
      </xdr:nvGrpSpPr>
      <xdr:grpSpPr>
        <a:xfrm>
          <a:off x="15017750" y="3919231"/>
          <a:ext cx="3699933" cy="5245936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0A525E58-AFC4-17C0-0C34-97F404E2507C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E5C8A0B6-DD45-8C7B-03A9-6F69ADB5A6B7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12FC9C2B-918F-8773-1A2A-1902ED262C05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68E75958-CDDF-19E9-690B-28AC23729FB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E0F4AE93-0EE1-464E-B650-A4ED8878F0F1}"/>
            </a:ext>
          </a:extLst>
        </xdr:cNvPr>
        <xdr:cNvGrpSpPr/>
      </xdr:nvGrpSpPr>
      <xdr:grpSpPr>
        <a:xfrm>
          <a:off x="3397250" y="12312462"/>
          <a:ext cx="11049754" cy="455608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409592D5-8B29-BD23-D9CC-8A25559D82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8EE311DE-99E1-FCEA-CABB-F66B3ECAFB5F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émi Barbero" id="{B9D14DDA-5DA4-4748-A3A4-6D74DB2F48C1}" userId="S::remi.barbero@alumni.enac.fr::af27855e-84ee-4cac-afae-9f96b209abdd" providerId="AD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2" dT="2025-03-13T15:05:52.99" personId="{B9D14DDA-5DA4-4748-A3A4-6D74DB2F48C1}" id="{FBD70714-D0BB-4AA6-BE65-3EED5D437171}" done="1">
    <text>Initialisation : remplir le nom des candidats</text>
  </threadedComment>
  <threadedComment ref="B3" dT="2025-08-05T09:31:20.57" personId="{B9D14DDA-5DA4-4748-A3A4-6D74DB2F48C1}" id="{BEEF2C17-5866-4F24-BA73-D4FBD2E5754A}" done="1">
    <text>Modifier ici le nom des bureaux de vote</text>
  </threadedComment>
  <threadedComment ref="C3" dT="2025-08-05T09:31:48.16" personId="{B9D14DDA-5DA4-4748-A3A4-6D74DB2F48C1}" id="{0A15DBED-F0B4-4A1F-B367-1AC56AF1364F}" done="1">
    <text>Modifier ici le nombre d’électeurs inscrits</text>
  </threadedComment>
  <threadedComment ref="B17" dT="2025-03-13T15:06:17.01" personId="{B9D14DDA-5DA4-4748-A3A4-6D74DB2F48C1}" id="{CDA59AD5-66A8-4316-9310-A9E77F6B23A5}" done="1">
    <text>Initialisation : Mettre à jour la date et le type d'élection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1" dT="2025-04-14T07:52:19.44" personId="{B9D14DDA-5DA4-4748-A3A4-6D74DB2F48C1}" id="{BFCB494A-5EEE-4582-8D8D-D7FC9A33F3A8}" done="1">
    <text>Nombre d'enveloppes distribuées</text>
  </threadedComment>
  <threadedComment ref="AA14" dT="2025-03-14T10:48:31.20" personId="{B9D14DDA-5DA4-4748-A3A4-6D74DB2F48C1}" id="{949660B2-4E61-494B-8030-5A8D962E3720}" done="1">
    <text>Si la case est jaune c'est que la participation est inférieure à l'heure précédente, c'est impossible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08F8DE15-E65E-405C-BD70-CD5CC9352982}" done="1">
    <text>Nombre de centaines d'enveloppes nécessaires pour ce bureau</text>
  </threadedComment>
  <threadedComment ref="S1" dT="2025-04-24T12:32:34.89" personId="{B9D14DDA-5DA4-4748-A3A4-6D74DB2F48C1}" id="{A15FBCB5-FD76-4826-BB4C-054DADBFA826}" done="1">
    <text>Index de la dernière centaine d'enveloppes</text>
  </threadedComment>
  <threadedComment ref="R2" dT="2025-04-24T12:31:05.29" personId="{B9D14DDA-5DA4-4748-A3A4-6D74DB2F48C1}" id="{AA638E6D-49D1-4043-9EFD-C0E3D803BB67}" done="1">
    <text>Modulo 100 de la dernière centaine d'enveloppes</text>
  </threadedComment>
  <threadedComment ref="S2" dT="2025-08-05T07:48:39.46" personId="{B9D14DDA-5DA4-4748-A3A4-6D74DB2F48C1}" id="{ACF1A81E-2998-4EC0-8307-A9D926109C8A}" done="1">
    <text>Nombre d’isoloirs</text>
  </threadedComment>
  <threadedComment ref="W3" dT="2025-07-15T12:34:37.15" personId="{B9D14DDA-5DA4-4748-A3A4-6D74DB2F48C1}" id="{91428695-3F91-47F7-BE76-93129AF95A1B}" done="1">
    <text>A l'ouverture du bureau il n'y a pas encore de vote</text>
  </threadedComment>
  <threadedComment ref="A7" dT="2025-04-14T11:49:35.58" personId="{B9D14DDA-5DA4-4748-A3A4-6D74DB2F48C1}" id="{19B9FF00-A3AE-44DA-BA5F-9A4078FC5682}" done="1">
    <text>Nombre d'enveloppes et de bulletins sans enveloppe trouvés dans l'urne</text>
  </threadedComment>
  <threadedComment ref="B7" dT="2025-03-13T15:42:36.25" personId="{B9D14DDA-5DA4-4748-A3A4-6D74DB2F48C1}" id="{BBD07137-23AC-4674-9BB3-E06EC3B50663}" done="1">
    <text>Doit être égal à la participation horaire de cloture</text>
  </threadedComment>
  <threadedComment ref="A8" dT="2025-04-14T11:49:47.49" personId="{B9D14DDA-5DA4-4748-A3A4-6D74DB2F48C1}" id="{5A7C730A-D4D7-4695-B11A-94FB42D672FC}" done="1">
    <text>Nombre de signatures sur le registre</text>
  </threadedComment>
  <threadedComment ref="B8" dT="2025-03-13T15:44:24.83" personId="{B9D14DDA-5DA4-4748-A3A4-6D74DB2F48C1}" id="{A08C5D88-3E60-4C52-92D0-CA1200B7F72C}" done="1">
    <text>Doit être normalement égal aux votants</text>
  </threadedComment>
  <threadedComment ref="Q13" dT="2025-04-14T12:15:13.05" personId="{B9D14DDA-5DA4-4748-A3A4-6D74DB2F48C1}" id="{72041112-5565-4C53-82FA-FD1FA52941D9}" done="1">
    <text>Doit être égal au nombre de votants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BD3C10F1-FEEF-4E9E-94C9-D4F9E0A553EB}" done="1">
    <text>Nombre de centaines d'enveloppes nécessaires pour ce bureau</text>
  </threadedComment>
  <threadedComment ref="S1" dT="2025-04-24T12:32:34.89" personId="{B9D14DDA-5DA4-4748-A3A4-6D74DB2F48C1}" id="{8635CE1D-3F46-42B6-AEEE-24746F82AF72}" done="1">
    <text>Index de la dernière centaine d'enveloppes</text>
  </threadedComment>
  <threadedComment ref="R2" dT="2025-04-24T12:31:05.29" personId="{B9D14DDA-5DA4-4748-A3A4-6D74DB2F48C1}" id="{2FCCA48F-2713-4355-98C8-DDE96C91DF85}" done="1">
    <text>Modulo 100 de la dernière centaine d'enveloppes</text>
  </threadedComment>
  <threadedComment ref="S2" dT="2025-08-05T07:48:39.46" personId="{B9D14DDA-5DA4-4748-A3A4-6D74DB2F48C1}" id="{D1C968E7-4EBA-455E-9F8B-28FA89205B94}" done="1">
    <text>Nombre d’isoloirs</text>
  </threadedComment>
  <threadedComment ref="W3" dT="2025-07-15T12:34:37.15" personId="{B9D14DDA-5DA4-4748-A3A4-6D74DB2F48C1}" id="{46628604-0487-48E5-9F91-EB4DC295F616}" done="1">
    <text>A l'ouverture du bureau il n'y a pas encore de vote</text>
  </threadedComment>
  <threadedComment ref="A7" dT="2025-04-14T11:49:35.58" personId="{B9D14DDA-5DA4-4748-A3A4-6D74DB2F48C1}" id="{3C2CC6FF-8C99-4A54-98E3-A431EBC691A8}" done="1">
    <text>Nombre d'enveloppes et de bulletins sans enveloppe trouvés dans l'urne</text>
  </threadedComment>
  <threadedComment ref="B7" dT="2025-03-13T15:42:36.25" personId="{B9D14DDA-5DA4-4748-A3A4-6D74DB2F48C1}" id="{93982A39-4621-44E5-8C69-626D3330A120}" done="1">
    <text>Doit être égal à la participation horaire de cloture</text>
  </threadedComment>
  <threadedComment ref="A8" dT="2025-04-14T11:49:47.49" personId="{B9D14DDA-5DA4-4748-A3A4-6D74DB2F48C1}" id="{E1A34A79-66F1-423A-99B8-E0FFB0DFE7CF}" done="1">
    <text>Nombre de signatures sur le registre</text>
  </threadedComment>
  <threadedComment ref="B8" dT="2025-03-13T15:44:24.83" personId="{B9D14DDA-5DA4-4748-A3A4-6D74DB2F48C1}" id="{7CCA1500-31AA-4CA5-A934-61260FF84EC0}" done="1">
    <text>Doit être normalement égal aux votants</text>
  </threadedComment>
  <threadedComment ref="Q13" dT="2025-04-14T12:15:13.05" personId="{B9D14DDA-5DA4-4748-A3A4-6D74DB2F48C1}" id="{F45EA83B-F2A7-4B0E-A9DC-7FB934E46695}" done="1">
    <text>Doit être égal au nombre de votants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129C4D29-6700-4301-8AE5-FF5CEAB4D36E}" done="1">
    <text>Nombre de centaines d'enveloppes nécessaires pour ce bureau</text>
  </threadedComment>
  <threadedComment ref="S1" dT="2025-04-24T12:32:34.89" personId="{B9D14DDA-5DA4-4748-A3A4-6D74DB2F48C1}" id="{6135AB27-90BF-4B6A-82A7-0D94A181643A}" done="1">
    <text>Index de la dernière centaine d'enveloppes</text>
  </threadedComment>
  <threadedComment ref="R2" dT="2025-04-24T12:31:05.29" personId="{B9D14DDA-5DA4-4748-A3A4-6D74DB2F48C1}" id="{219A6C66-F781-4EDB-8655-BA168006A179}" done="1">
    <text>Modulo 100 de la dernière centaine d'enveloppes</text>
  </threadedComment>
  <threadedComment ref="S2" dT="2025-08-05T07:48:39.46" personId="{B9D14DDA-5DA4-4748-A3A4-6D74DB2F48C1}" id="{91D6EA49-7E6D-452D-8511-165428B81F09}" done="1">
    <text>Nombre d’isoloirs</text>
  </threadedComment>
  <threadedComment ref="W3" dT="2025-07-15T12:34:37.15" personId="{B9D14DDA-5DA4-4748-A3A4-6D74DB2F48C1}" id="{BA8937CC-0D9B-4383-9E3E-06DF160D56B9}" done="1">
    <text>A l'ouverture du bureau il n'y a pas encore de vote</text>
  </threadedComment>
  <threadedComment ref="A7" dT="2025-04-14T11:49:35.58" personId="{B9D14DDA-5DA4-4748-A3A4-6D74DB2F48C1}" id="{3ED6B50A-AD03-4DC4-A431-EFC81CB93FE1}" done="1">
    <text>Nombre d'enveloppes et de bulletins sans enveloppe trouvés dans l'urne</text>
  </threadedComment>
  <threadedComment ref="B7" dT="2025-03-13T15:42:36.25" personId="{B9D14DDA-5DA4-4748-A3A4-6D74DB2F48C1}" id="{4888A2A2-468A-4022-8D31-B7141C4353A7}" done="1">
    <text>Doit être égal à la participation horaire de cloture</text>
  </threadedComment>
  <threadedComment ref="A8" dT="2025-04-14T11:49:47.49" personId="{B9D14DDA-5DA4-4748-A3A4-6D74DB2F48C1}" id="{114364D1-F675-42DF-817C-8ADDBE2F5143}" done="1">
    <text>Nombre de signatures sur le registre</text>
  </threadedComment>
  <threadedComment ref="B8" dT="2025-03-13T15:44:24.83" personId="{B9D14DDA-5DA4-4748-A3A4-6D74DB2F48C1}" id="{85DC4B5F-CA73-41CB-940F-7F4C26F73941}" done="1">
    <text>Doit être normalement égal aux votants</text>
  </threadedComment>
  <threadedComment ref="Q13" dT="2025-04-14T12:15:13.05" personId="{B9D14DDA-5DA4-4748-A3A4-6D74DB2F48C1}" id="{838C5344-B579-4E5F-9C35-71E5FA99265A}" done="1">
    <text>Doit être égal au nombre de votants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BEC7923C-26FE-4A4E-ABD7-2F324CE135A8}" done="1">
    <text>Nombre de centaines d'enveloppes nécessaires pour ce bureau</text>
  </threadedComment>
  <threadedComment ref="S1" dT="2025-04-24T12:32:34.89" personId="{B9D14DDA-5DA4-4748-A3A4-6D74DB2F48C1}" id="{BABFBE00-B062-4239-9B1C-E6EB5F8C8157}" done="1">
    <text>Index de la dernière centaine d'enveloppes</text>
  </threadedComment>
  <threadedComment ref="R2" dT="2025-04-24T12:31:05.29" personId="{B9D14DDA-5DA4-4748-A3A4-6D74DB2F48C1}" id="{74AC25D6-C9C5-4EC5-B60E-E2890CE81BAB}" done="1">
    <text>Modulo 100 de la dernière centaine d'enveloppes</text>
  </threadedComment>
  <threadedComment ref="S2" dT="2025-08-05T07:48:39.46" personId="{B9D14DDA-5DA4-4748-A3A4-6D74DB2F48C1}" id="{21549F90-5CB3-4DAC-8667-8DAA7E599AA9}" done="1">
    <text>Nombre d’isoloirs</text>
  </threadedComment>
  <threadedComment ref="W3" dT="2025-07-15T12:34:37.15" personId="{B9D14DDA-5DA4-4748-A3A4-6D74DB2F48C1}" id="{36654956-8993-4B62-833B-8A88A935B406}" done="1">
    <text>A l'ouverture du bureau il n'y a pas encore de vote</text>
  </threadedComment>
  <threadedComment ref="A7" dT="2025-04-14T11:49:35.58" personId="{B9D14DDA-5DA4-4748-A3A4-6D74DB2F48C1}" id="{09DE0461-FAAA-4958-925F-16B2B0ADC0DC}" done="1">
    <text>Nombre d'enveloppes et de bulletins sans enveloppe trouvés dans l'urne</text>
  </threadedComment>
  <threadedComment ref="B7" dT="2025-03-13T15:42:36.25" personId="{B9D14DDA-5DA4-4748-A3A4-6D74DB2F48C1}" id="{9C178F4B-591C-4A6A-ACAD-AA4043EF9F29}" done="1">
    <text>Doit être égal à la participation horaire de cloture</text>
  </threadedComment>
  <threadedComment ref="A8" dT="2025-04-14T11:49:47.49" personId="{B9D14DDA-5DA4-4748-A3A4-6D74DB2F48C1}" id="{900C3C2D-E425-496D-B35D-3100D814E67F}" done="1">
    <text>Nombre de signatures sur le registre</text>
  </threadedComment>
  <threadedComment ref="B8" dT="2025-03-13T15:44:24.83" personId="{B9D14DDA-5DA4-4748-A3A4-6D74DB2F48C1}" id="{28213532-54ED-48B4-A245-D77F7503450D}" done="1">
    <text>Doit être normalement égal aux votants</text>
  </threadedComment>
  <threadedComment ref="Q13" dT="2025-04-14T12:15:13.05" personId="{B9D14DDA-5DA4-4748-A3A4-6D74DB2F48C1}" id="{BBFC098B-0517-4F80-8E11-4997B54F5A82}" done="1">
    <text>Doit être égal au nombre de votants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DF186183-1D51-4E83-8C54-743670EE8854}" done="1">
    <text>Nombre de centaines d'enveloppes nécessaires pour ce bureau</text>
  </threadedComment>
  <threadedComment ref="S1" dT="2025-04-24T12:32:34.89" personId="{B9D14DDA-5DA4-4748-A3A4-6D74DB2F48C1}" id="{44C7EAB4-E006-4816-B8A7-DD9CD0AA85A4}" done="1">
    <text>Index de la dernière centaine d'enveloppes</text>
  </threadedComment>
  <threadedComment ref="R2" dT="2025-04-24T12:31:05.29" personId="{B9D14DDA-5DA4-4748-A3A4-6D74DB2F48C1}" id="{528CA601-FD3F-4038-99DE-7F0868F18378}" done="1">
    <text>Modulo 100 de la dernière centaine d'enveloppes</text>
  </threadedComment>
  <threadedComment ref="S2" dT="2025-08-05T07:48:39.46" personId="{B9D14DDA-5DA4-4748-A3A4-6D74DB2F48C1}" id="{D64878A6-756B-48CF-B84E-01E29019C73A}" done="1">
    <text>Nombre d’isoloirs</text>
  </threadedComment>
  <threadedComment ref="W3" dT="2025-07-15T12:34:37.15" personId="{B9D14DDA-5DA4-4748-A3A4-6D74DB2F48C1}" id="{BC5B036A-DFE6-4C6E-B839-528EE34989C0}" done="1">
    <text>A l'ouverture du bureau il n'y a pas encore de vote</text>
  </threadedComment>
  <threadedComment ref="A7" dT="2025-04-14T11:49:35.58" personId="{B9D14DDA-5DA4-4748-A3A4-6D74DB2F48C1}" id="{60B2A5CE-E253-49E3-A5DF-F21DE5BC8150}" done="1">
    <text>Nombre d'enveloppes et de bulletins sans enveloppe trouvés dans l'urne</text>
  </threadedComment>
  <threadedComment ref="B7" dT="2025-03-13T15:42:36.25" personId="{B9D14DDA-5DA4-4748-A3A4-6D74DB2F48C1}" id="{D148F2D6-6D9A-4706-8A84-26FF36BB6C7C}" done="1">
    <text>Doit être égal à la participation horaire de cloture</text>
  </threadedComment>
  <threadedComment ref="A8" dT="2025-04-14T11:49:47.49" personId="{B9D14DDA-5DA4-4748-A3A4-6D74DB2F48C1}" id="{0D615B72-B3DD-4A29-8BBF-F54103852789}" done="1">
    <text>Nombre de signatures sur le registre</text>
  </threadedComment>
  <threadedComment ref="B8" dT="2025-03-13T15:44:24.83" personId="{B9D14DDA-5DA4-4748-A3A4-6D74DB2F48C1}" id="{BF7F2D41-4D78-442D-81D3-C5DE051007B8}" done="1">
    <text>Doit être normalement égal aux votants</text>
  </threadedComment>
  <threadedComment ref="Q13" dT="2025-04-14T12:15:13.05" personId="{B9D14DDA-5DA4-4748-A3A4-6D74DB2F48C1}" id="{3ED77847-3529-414C-A961-F63DC4C108AF}" done="1">
    <text>Doit être égal au nombre de votants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F12649CA-0788-4774-BD35-64C25DF338AB}" done="1">
    <text>Nombre de centaines d'enveloppes nécessaires pour ce bureau</text>
  </threadedComment>
  <threadedComment ref="S1" dT="2025-04-24T12:32:34.89" personId="{B9D14DDA-5DA4-4748-A3A4-6D74DB2F48C1}" id="{FF050354-ACC0-4C2A-8E2F-F70FCFE17AE7}" done="1">
    <text>Index de la dernière centaine d'enveloppes</text>
  </threadedComment>
  <threadedComment ref="R2" dT="2025-04-24T12:31:05.29" personId="{B9D14DDA-5DA4-4748-A3A4-6D74DB2F48C1}" id="{0F21B497-22B8-4FC6-A6BD-EE1D08C80AE7}" done="1">
    <text>Modulo 100 de la dernière centaine d'enveloppes</text>
  </threadedComment>
  <threadedComment ref="S2" dT="2025-08-05T07:48:39.46" personId="{B9D14DDA-5DA4-4748-A3A4-6D74DB2F48C1}" id="{196F9CFF-D1BE-44DB-8451-3DC8552A8A1F}" done="1">
    <text>Nombre d’isoloirs</text>
  </threadedComment>
  <threadedComment ref="W3" dT="2025-07-15T12:34:37.15" personId="{B9D14DDA-5DA4-4748-A3A4-6D74DB2F48C1}" id="{FF09CEB9-E1C6-4C54-8FD1-0257690C3B8B}" done="1">
    <text>A l'ouverture du bureau il n'y a pas encore de vote</text>
  </threadedComment>
  <threadedComment ref="A7" dT="2025-04-14T11:49:35.58" personId="{B9D14DDA-5DA4-4748-A3A4-6D74DB2F48C1}" id="{BD53FD80-48C1-4039-A16B-99E4AB0ADF1C}" done="1">
    <text>Nombre d'enveloppes et de bulletins sans enveloppe trouvés dans l'urne</text>
  </threadedComment>
  <threadedComment ref="B7" dT="2025-03-13T15:42:36.25" personId="{B9D14DDA-5DA4-4748-A3A4-6D74DB2F48C1}" id="{632140A6-9C4C-4521-82B3-46239D57A49D}" done="1">
    <text>Doit être égal à la participation horaire de cloture</text>
  </threadedComment>
  <threadedComment ref="A8" dT="2025-04-14T11:49:47.49" personId="{B9D14DDA-5DA4-4748-A3A4-6D74DB2F48C1}" id="{F9495C88-4129-4C78-8388-DB0B34367F9B}" done="1">
    <text>Nombre de signatures sur le registre</text>
  </threadedComment>
  <threadedComment ref="B8" dT="2025-03-13T15:44:24.83" personId="{B9D14DDA-5DA4-4748-A3A4-6D74DB2F48C1}" id="{9CBB73F1-6E0D-46F1-A646-BDCAFE7F9397}" done="1">
    <text>Doit être normalement égal aux votants</text>
  </threadedComment>
  <threadedComment ref="Q13" dT="2025-04-14T12:15:13.05" personId="{B9D14DDA-5DA4-4748-A3A4-6D74DB2F48C1}" id="{C6EE07F0-932E-44C8-97F6-A092AB536488}" done="1">
    <text>Doit être égal au nombre de votants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D283449D-5C55-4DB7-BD16-A13EC0849541}" done="1">
    <text>Nombre de centaines d'enveloppes nécessaires pour ce bureau</text>
  </threadedComment>
  <threadedComment ref="S1" dT="2025-04-24T12:32:34.89" personId="{B9D14DDA-5DA4-4748-A3A4-6D74DB2F48C1}" id="{D0B0C115-B24E-4F79-BBE1-04A6F86B6848}" done="1">
    <text>Index de la dernière centaine d'enveloppes</text>
  </threadedComment>
  <threadedComment ref="R2" dT="2025-04-24T12:31:05.29" personId="{B9D14DDA-5DA4-4748-A3A4-6D74DB2F48C1}" id="{F8D75F19-F19B-47DB-9859-A88D1AF40780}" done="1">
    <text>Modulo 100 de la dernière centaine d'enveloppes</text>
  </threadedComment>
  <threadedComment ref="S2" dT="2025-08-05T07:48:39.46" personId="{B9D14DDA-5DA4-4748-A3A4-6D74DB2F48C1}" id="{4179B7BC-7982-4361-A6C1-AA05F241E632}" done="1">
    <text>Nombre d’isoloirs</text>
  </threadedComment>
  <threadedComment ref="W3" dT="2025-07-15T12:34:37.15" personId="{B9D14DDA-5DA4-4748-A3A4-6D74DB2F48C1}" id="{997AE278-FFE8-46E3-BE16-904EBD8A4134}" done="1">
    <text>A l'ouverture du bureau il n'y a pas encore de vote</text>
  </threadedComment>
  <threadedComment ref="A7" dT="2025-04-14T11:49:35.58" personId="{B9D14DDA-5DA4-4748-A3A4-6D74DB2F48C1}" id="{2CE7BBEC-6BB8-4C38-964F-14EC17BFB415}" done="1">
    <text>Nombre d'enveloppes et de bulletins sans enveloppe trouvés dans l'urne</text>
  </threadedComment>
  <threadedComment ref="B7" dT="2025-03-13T15:42:36.25" personId="{B9D14DDA-5DA4-4748-A3A4-6D74DB2F48C1}" id="{191B5790-B58D-4809-9C49-B428E2C869E9}" done="1">
    <text>Doit être égal à la participation horaire de cloture</text>
  </threadedComment>
  <threadedComment ref="A8" dT="2025-04-14T11:49:47.49" personId="{B9D14DDA-5DA4-4748-A3A4-6D74DB2F48C1}" id="{7B8CEC6B-5A86-4097-A9CD-991BF241C679}" done="1">
    <text>Nombre de signatures sur le registre</text>
  </threadedComment>
  <threadedComment ref="B8" dT="2025-03-13T15:44:24.83" personId="{B9D14DDA-5DA4-4748-A3A4-6D74DB2F48C1}" id="{B9D4C1CA-C58E-4C77-AE7C-9FD4344ED5B6}" done="1">
    <text>Doit être normalement égal aux votants</text>
  </threadedComment>
  <threadedComment ref="Q13" dT="2025-04-14T12:15:13.05" personId="{B9D14DDA-5DA4-4748-A3A4-6D74DB2F48C1}" id="{C20A434D-449E-428C-B0BE-D68BE7C36571}" done="1">
    <text>Doit être égal au nombre de votants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615F5861-269D-455D-8C6C-71B84E4A9750}" done="1">
    <text>Nombre de centaines d'enveloppes nécessaires pour ce bureau</text>
  </threadedComment>
  <threadedComment ref="S1" dT="2025-04-24T12:32:34.89" personId="{B9D14DDA-5DA4-4748-A3A4-6D74DB2F48C1}" id="{2C5800C2-7E1E-4856-AEEF-8404451BD292}" done="1">
    <text>Index de la dernière centaine d'enveloppes</text>
  </threadedComment>
  <threadedComment ref="R2" dT="2025-04-24T12:31:05.29" personId="{B9D14DDA-5DA4-4748-A3A4-6D74DB2F48C1}" id="{4B6C023C-329D-492F-B509-AEA679FC30E8}" done="1">
    <text>Modulo 100 de la dernière centaine d'enveloppes</text>
  </threadedComment>
  <threadedComment ref="S2" dT="2025-08-05T07:48:39.46" personId="{B9D14DDA-5DA4-4748-A3A4-6D74DB2F48C1}" id="{681A6C96-D608-4492-9C1E-8DB1FF432E17}" done="1">
    <text>Nombre d’isoloirs</text>
  </threadedComment>
  <threadedComment ref="W3" dT="2025-07-15T12:34:37.15" personId="{B9D14DDA-5DA4-4748-A3A4-6D74DB2F48C1}" id="{BDC4DAD4-32DD-4F61-8B49-5A7C768CD855}" done="1">
    <text>A l'ouverture du bureau il n'y a pas encore de vote</text>
  </threadedComment>
  <threadedComment ref="A7" dT="2025-04-14T11:49:35.58" personId="{B9D14DDA-5DA4-4748-A3A4-6D74DB2F48C1}" id="{5C3AAA62-98AA-4F95-885C-80F33EE63051}" done="1">
    <text>Nombre d'enveloppes et de bulletins sans enveloppe trouvés dans l'urne</text>
  </threadedComment>
  <threadedComment ref="B7" dT="2025-03-13T15:42:36.25" personId="{B9D14DDA-5DA4-4748-A3A4-6D74DB2F48C1}" id="{66169F86-EB3D-4E42-BEE5-FC34CCB8FEF8}" done="1">
    <text>Doit être égal à la participation horaire de cloture</text>
  </threadedComment>
  <threadedComment ref="A8" dT="2025-04-14T11:49:47.49" personId="{B9D14DDA-5DA4-4748-A3A4-6D74DB2F48C1}" id="{932815CC-5FE3-436B-AB01-2C4E8671D893}" done="1">
    <text>Nombre de signatures sur le registre</text>
  </threadedComment>
  <threadedComment ref="B8" dT="2025-03-13T15:44:24.83" personId="{B9D14DDA-5DA4-4748-A3A4-6D74DB2F48C1}" id="{F80BD094-E86B-4FA7-8E6D-ADDC773FBA93}" done="1">
    <text>Doit être normalement égal aux votants</text>
  </threadedComment>
  <threadedComment ref="Q13" dT="2025-04-14T12:15:13.05" personId="{B9D14DDA-5DA4-4748-A3A4-6D74DB2F48C1}" id="{D660F259-33EB-48CA-9147-D158A405518C}" done="1">
    <text>Doit être égal au nombre de votants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612FCC28-E219-406A-9875-0A44560BCF7C}" done="1">
    <text>Nombre de centaines d'enveloppes nécessaires pour ce bureau</text>
  </threadedComment>
  <threadedComment ref="S1" dT="2025-04-24T12:32:34.89" personId="{B9D14DDA-5DA4-4748-A3A4-6D74DB2F48C1}" id="{F5C299F8-3DE6-4255-A90B-6E66598F55EF}" done="1">
    <text>Index de la dernière centaine d'enveloppes</text>
  </threadedComment>
  <threadedComment ref="R2" dT="2025-04-24T12:31:05.29" personId="{B9D14DDA-5DA4-4748-A3A4-6D74DB2F48C1}" id="{9E0ECC36-08C7-4486-A61E-638BF485A0B0}" done="1">
    <text>Modulo 100 de la dernière centaine d'enveloppes</text>
  </threadedComment>
  <threadedComment ref="S2" dT="2025-08-05T07:48:39.46" personId="{B9D14DDA-5DA4-4748-A3A4-6D74DB2F48C1}" id="{9201E333-95A6-4BE7-A4A2-BDDB475C8AA3}" done="1">
    <text>Nombre d’isoloirs</text>
  </threadedComment>
  <threadedComment ref="W3" dT="2025-07-15T12:34:37.15" personId="{B9D14DDA-5DA4-4748-A3A4-6D74DB2F48C1}" id="{E82FCE24-C6DA-4B35-AD15-E13BB863C2D7}" done="1">
    <text>A l'ouverture du bureau il n'y a pas encore de vote</text>
  </threadedComment>
  <threadedComment ref="A7" dT="2025-04-14T11:49:35.58" personId="{B9D14DDA-5DA4-4748-A3A4-6D74DB2F48C1}" id="{045EBE06-C147-457B-AB69-F16E9BB0AF2C}" done="1">
    <text>Nombre d'enveloppes et de bulletins sans enveloppe trouvés dans l'urne</text>
  </threadedComment>
  <threadedComment ref="B7" dT="2025-03-13T15:42:36.25" personId="{B9D14DDA-5DA4-4748-A3A4-6D74DB2F48C1}" id="{A97720AC-083F-4686-B78D-31E99940521A}" done="1">
    <text>Doit être égal à la participation horaire de cloture</text>
  </threadedComment>
  <threadedComment ref="A8" dT="2025-04-14T11:49:47.49" personId="{B9D14DDA-5DA4-4748-A3A4-6D74DB2F48C1}" id="{D6437309-5511-48F8-B8F5-185E65FAFB45}" done="1">
    <text>Nombre de signatures sur le registre</text>
  </threadedComment>
  <threadedComment ref="B8" dT="2025-03-13T15:44:24.83" personId="{B9D14DDA-5DA4-4748-A3A4-6D74DB2F48C1}" id="{F8A5F871-829E-409C-94F3-C579966A22F4}" done="1">
    <text>Doit être normalement égal aux votants</text>
  </threadedComment>
  <threadedComment ref="Q13" dT="2025-04-14T12:15:13.05" personId="{B9D14DDA-5DA4-4748-A3A4-6D74DB2F48C1}" id="{08CFAAA2-3B66-42D2-B239-AD7D05D215D3}" done="1">
    <text>Doit être égal au nombre de votants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2A617C80-4DD1-4B79-B281-A7D7838131A3}" done="1">
    <text>Nombre de centaines d'enveloppes nécessaires pour ce bureau</text>
  </threadedComment>
  <threadedComment ref="S1" dT="2025-04-24T12:32:34.89" personId="{B9D14DDA-5DA4-4748-A3A4-6D74DB2F48C1}" id="{7B42FFA0-B9B1-4F02-BF11-8ED0F6943F95}" done="1">
    <text>Index de la dernière centaine d'enveloppes</text>
  </threadedComment>
  <threadedComment ref="R2" dT="2025-04-24T12:31:05.29" personId="{B9D14DDA-5DA4-4748-A3A4-6D74DB2F48C1}" id="{D9B60C63-BCC5-4D9F-99FC-C067C35DA387}" done="1">
    <text>Modulo 100 de la dernière centaine d'enveloppes</text>
  </threadedComment>
  <threadedComment ref="S2" dT="2025-08-05T07:48:39.46" personId="{B9D14DDA-5DA4-4748-A3A4-6D74DB2F48C1}" id="{8AFE4AC0-42B1-45C1-9360-76F5B4E67BB5}" done="1">
    <text>Nombre d’isoloirs</text>
  </threadedComment>
  <threadedComment ref="W3" dT="2025-07-15T12:34:37.15" personId="{B9D14DDA-5DA4-4748-A3A4-6D74DB2F48C1}" id="{5529AB5E-8EF2-4116-87DF-DAEE2DBCA548}" done="1">
    <text>A l'ouverture du bureau il n'y a pas encore de vote</text>
  </threadedComment>
  <threadedComment ref="A7" dT="2025-04-14T11:49:35.58" personId="{B9D14DDA-5DA4-4748-A3A4-6D74DB2F48C1}" id="{5A07762B-0D3B-4187-93D1-4070714E96C0}" done="1">
    <text>Nombre d'enveloppes et de bulletins sans enveloppe trouvés dans l'urne</text>
  </threadedComment>
  <threadedComment ref="B7" dT="2025-03-13T15:42:36.25" personId="{B9D14DDA-5DA4-4748-A3A4-6D74DB2F48C1}" id="{401F6C68-38FF-41B1-BB66-51C5E43DA075}" done="1">
    <text>Doit être égal à la participation horaire de cloture</text>
  </threadedComment>
  <threadedComment ref="A8" dT="2025-04-14T11:49:47.49" personId="{B9D14DDA-5DA4-4748-A3A4-6D74DB2F48C1}" id="{89B4F6A0-C1E2-416D-AAC4-C6F1FBF56325}" done="1">
    <text>Nombre de signatures sur le registre</text>
  </threadedComment>
  <threadedComment ref="B8" dT="2025-03-13T15:44:24.83" personId="{B9D14DDA-5DA4-4748-A3A4-6D74DB2F48C1}" id="{75830E38-3C7A-40FE-9E34-4DD0B3BD81CF}" done="1">
    <text>Doit être normalement égal aux votants</text>
  </threadedComment>
  <threadedComment ref="Q13" dT="2025-04-14T12:15:13.05" personId="{B9D14DDA-5DA4-4748-A3A4-6D74DB2F48C1}" id="{519DC735-69BA-469D-BCCF-00195D765DE0}" done="1">
    <text>Doit être égal au nombre de votants</text>
  </threadedComment>
</ThreadedComments>
</file>

<file path=xl/threadedComments/threadedComment13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805F8F5B-1E60-418F-B2CF-73D0F51A66D7}" done="1">
    <text>Nombre de centaines d'enveloppes nécessaires pour ce bureau</text>
  </threadedComment>
  <threadedComment ref="S1" dT="2025-04-24T12:32:34.89" personId="{B9D14DDA-5DA4-4748-A3A4-6D74DB2F48C1}" id="{3CDD5CE8-64FC-4BD7-9527-31D51FD94DAE}" done="1">
    <text>Index de la dernière centaine d'enveloppes</text>
  </threadedComment>
  <threadedComment ref="R2" dT="2025-04-24T12:31:05.29" personId="{B9D14DDA-5DA4-4748-A3A4-6D74DB2F48C1}" id="{F3A2068D-C349-471F-B8F4-69BE27E68DD1}" done="1">
    <text>Modulo 100 de la dernière centaine d'enveloppes</text>
  </threadedComment>
  <threadedComment ref="S2" dT="2025-08-05T07:48:39.46" personId="{B9D14DDA-5DA4-4748-A3A4-6D74DB2F48C1}" id="{986D0D7B-68DC-4AE4-9655-D88E94B0578F}" done="1">
    <text>Nombre d’isoloirs</text>
  </threadedComment>
  <threadedComment ref="W3" dT="2025-07-15T12:34:37.15" personId="{B9D14DDA-5DA4-4748-A3A4-6D74DB2F48C1}" id="{5CDD125D-1A23-4375-9ECF-D35A793DCE30}" done="1">
    <text>A l'ouverture du bureau il n'y a pas encore de vote</text>
  </threadedComment>
  <threadedComment ref="A7" dT="2025-04-14T11:49:35.58" personId="{B9D14DDA-5DA4-4748-A3A4-6D74DB2F48C1}" id="{00876BD0-285F-4CBC-B662-E8D070074B93}" done="1">
    <text>Nombre d'enveloppes et de bulletins sans enveloppe trouvés dans l'urne</text>
  </threadedComment>
  <threadedComment ref="B7" dT="2025-03-13T15:42:36.25" personId="{B9D14DDA-5DA4-4748-A3A4-6D74DB2F48C1}" id="{D8A10758-F595-4A51-9779-1359CF7170DC}" done="1">
    <text>Doit être égal à la participation horaire de cloture</text>
  </threadedComment>
  <threadedComment ref="A8" dT="2025-04-14T11:49:47.49" personId="{B9D14DDA-5DA4-4748-A3A4-6D74DB2F48C1}" id="{2F82BBAF-880F-4B92-A0E0-53713E3176DB}" done="1">
    <text>Nombre de signatures sur le registre</text>
  </threadedComment>
  <threadedComment ref="B8" dT="2025-03-13T15:44:24.83" personId="{B9D14DDA-5DA4-4748-A3A4-6D74DB2F48C1}" id="{FBC92506-BADA-4824-A72F-5436DEE3E09F}" done="1">
    <text>Doit être normalement égal aux votants</text>
  </threadedComment>
  <threadedComment ref="Q13" dT="2025-04-14T12:15:13.05" personId="{B9D14DDA-5DA4-4748-A3A4-6D74DB2F48C1}" id="{2B524B05-A9F5-4652-841F-16187A7437F5}" done="1">
    <text>Doit être égal au nombre de votants</text>
  </threadedComment>
</ThreadedComments>
</file>

<file path=xl/threadedComments/threadedComment14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3804A2CC-151F-446D-B2E9-BA17B859F3B0}" done="1">
    <text>Nombre de centaines d'enveloppes nécessaires pour ce bureau</text>
  </threadedComment>
  <threadedComment ref="S1" dT="2025-04-24T12:32:34.89" personId="{B9D14DDA-5DA4-4748-A3A4-6D74DB2F48C1}" id="{4F375DAD-8AF4-4A6E-AF6E-D6EC89D454F1}" done="1">
    <text>Index de la dernière centaine d'enveloppes</text>
  </threadedComment>
  <threadedComment ref="R2" dT="2025-04-24T12:31:05.29" personId="{B9D14DDA-5DA4-4748-A3A4-6D74DB2F48C1}" id="{D4B6D56F-C15F-409F-AEA2-A0378B4F1DC2}" done="1">
    <text>Modulo 100 de la dernière centaine d'enveloppes</text>
  </threadedComment>
  <threadedComment ref="S2" dT="2025-08-05T07:48:39.46" personId="{B9D14DDA-5DA4-4748-A3A4-6D74DB2F48C1}" id="{43136980-A4A6-4C03-8F5F-E16C74442CA4}" done="1">
    <text>Nombre d’isoloirs</text>
  </threadedComment>
  <threadedComment ref="W3" dT="2025-07-15T12:34:37.15" personId="{B9D14DDA-5DA4-4748-A3A4-6D74DB2F48C1}" id="{666AD3C4-FF5A-4849-8192-3C53B9308AEF}" done="1">
    <text>A l'ouverture du bureau il n'y a pas encore de vote</text>
  </threadedComment>
  <threadedComment ref="A7" dT="2025-04-14T11:49:35.58" personId="{B9D14DDA-5DA4-4748-A3A4-6D74DB2F48C1}" id="{73C29C8F-0934-47F6-890C-FD2503E5FE3D}" done="1">
    <text>Nombre d'enveloppes et de bulletins sans enveloppe trouvés dans l'urne</text>
  </threadedComment>
  <threadedComment ref="B7" dT="2025-03-13T15:42:36.25" personId="{B9D14DDA-5DA4-4748-A3A4-6D74DB2F48C1}" id="{33668812-8584-46A0-B51C-9AADBA164A2D}" done="1">
    <text>Doit être égal à la participation horaire de cloture</text>
  </threadedComment>
  <threadedComment ref="A8" dT="2025-04-14T11:49:47.49" personId="{B9D14DDA-5DA4-4748-A3A4-6D74DB2F48C1}" id="{4EB68806-FEA1-47A7-BFDE-FD38900FB5B4}" done="1">
    <text>Nombre de signatures sur le registre</text>
  </threadedComment>
  <threadedComment ref="B8" dT="2025-03-13T15:44:24.83" personId="{B9D14DDA-5DA4-4748-A3A4-6D74DB2F48C1}" id="{3E893B0B-CA1F-4995-91DB-AB7ED4B68037}" done="1">
    <text>Doit être normalement égal aux votants</text>
  </threadedComment>
  <threadedComment ref="Q13" dT="2025-04-14T12:15:13.05" personId="{B9D14DDA-5DA4-4748-A3A4-6D74DB2F48C1}" id="{98461A41-9D7E-4D92-819A-C05005E33B75}" done="1">
    <text>Doit être égal au nombre de votants</text>
  </threadedComment>
</ThreadedComments>
</file>

<file path=xl/threadedComments/threadedComment15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BC4C2117-A3B8-4FCE-90DD-49FCB75B7EE4}" done="1">
    <text>Nombre de centaines d'enveloppes nécessaires pour ce bureau</text>
  </threadedComment>
  <threadedComment ref="S1" dT="2025-04-24T12:32:34.89" personId="{B9D14DDA-5DA4-4748-A3A4-6D74DB2F48C1}" id="{0F5F52F5-6600-4C13-8574-10474CBA006C}" done="1">
    <text>Index de la dernière centaine d'enveloppes</text>
  </threadedComment>
  <threadedComment ref="R2" dT="2025-04-24T12:31:05.29" personId="{B9D14DDA-5DA4-4748-A3A4-6D74DB2F48C1}" id="{477A92DF-4476-47CD-98BA-C5B388431D00}" done="1">
    <text>Modulo 100 de la dernière centaine d'enveloppes</text>
  </threadedComment>
  <threadedComment ref="S2" dT="2025-08-05T07:48:39.46" personId="{B9D14DDA-5DA4-4748-A3A4-6D74DB2F48C1}" id="{33A6AE21-22D2-4BCE-BCC4-A5557EF690D6}" done="1">
    <text>Nombre d’isoloirs</text>
  </threadedComment>
  <threadedComment ref="W3" dT="2025-07-15T12:34:37.15" personId="{B9D14DDA-5DA4-4748-A3A4-6D74DB2F48C1}" id="{ED18EF50-812C-4217-8DC4-13D5F7898DEE}" done="1">
    <text>A l'ouverture du bureau il n'y a pas encore de vote</text>
  </threadedComment>
  <threadedComment ref="A7" dT="2025-04-14T11:49:35.58" personId="{B9D14DDA-5DA4-4748-A3A4-6D74DB2F48C1}" id="{ECE6E414-F6B8-4A6E-959A-F1A243B0CB28}" done="1">
    <text>Nombre d'enveloppes et de bulletins sans enveloppe trouvés dans l'urne</text>
  </threadedComment>
  <threadedComment ref="B7" dT="2025-03-13T15:42:36.25" personId="{B9D14DDA-5DA4-4748-A3A4-6D74DB2F48C1}" id="{D0023037-FB20-497C-BD8E-A64C957EC7CE}" done="1">
    <text>Doit être égal à la participation horaire de cloture</text>
  </threadedComment>
  <threadedComment ref="A8" dT="2025-04-14T11:49:47.49" personId="{B9D14DDA-5DA4-4748-A3A4-6D74DB2F48C1}" id="{A4F15143-39BD-42B5-B65E-2F56AFFC939F}" done="1">
    <text>Nombre de signatures sur le registre</text>
  </threadedComment>
  <threadedComment ref="B8" dT="2025-03-13T15:44:24.83" personId="{B9D14DDA-5DA4-4748-A3A4-6D74DB2F48C1}" id="{4BD42C78-362B-4852-85B7-8D27C7D4DB0D}" done="1">
    <text>Doit être normalement égal aux votants</text>
  </threadedComment>
  <threadedComment ref="Q13" dT="2025-04-14T12:15:13.05" personId="{B9D14DDA-5DA4-4748-A3A4-6D74DB2F48C1}" id="{9E639F01-D018-483F-918B-CD2845EC1A5E}" done="1">
    <text>Doit être égal au nombre de votants</text>
  </threadedComment>
</ThreadedComments>
</file>

<file path=xl/threadedComments/threadedComment16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7956E730-E41C-4C03-B4DF-0F5FDDDF50ED}" done="1">
    <text>Nombre de centaines d'enveloppes nécessaires pour ce bureau</text>
  </threadedComment>
  <threadedComment ref="S1" dT="2025-04-24T12:32:34.89" personId="{B9D14DDA-5DA4-4748-A3A4-6D74DB2F48C1}" id="{6C3307E9-4BDE-4050-A773-25C415DC8529}" done="1">
    <text>Index de la dernière centaine d'enveloppes</text>
  </threadedComment>
  <threadedComment ref="R2" dT="2025-04-24T12:31:05.29" personId="{B9D14DDA-5DA4-4748-A3A4-6D74DB2F48C1}" id="{7B1FB074-7B6D-440B-ACAF-150A90109EE7}" done="1">
    <text>Modulo 100 de la dernière centaine d'enveloppes</text>
  </threadedComment>
  <threadedComment ref="S2" dT="2025-08-05T07:48:39.46" personId="{B9D14DDA-5DA4-4748-A3A4-6D74DB2F48C1}" id="{22E02096-2021-4A61-B41E-70017C86B9B9}" done="1">
    <text>Nombre d’isoloirs</text>
  </threadedComment>
  <threadedComment ref="W3" dT="2025-07-15T12:34:37.15" personId="{B9D14DDA-5DA4-4748-A3A4-6D74DB2F48C1}" id="{96356F9C-EDB0-405D-B4AF-FC21B8CD7CB0}" done="1">
    <text>A l'ouverture du bureau il n'y a pas encore de vote</text>
  </threadedComment>
  <threadedComment ref="A7" dT="2025-04-14T11:49:35.58" personId="{B9D14DDA-5DA4-4748-A3A4-6D74DB2F48C1}" id="{E92D3759-4109-4468-A71B-679368DD2318}" done="1">
    <text>Nombre d'enveloppes et de bulletins sans enveloppe trouvés dans l'urne</text>
  </threadedComment>
  <threadedComment ref="B7" dT="2025-03-13T15:42:36.25" personId="{B9D14DDA-5DA4-4748-A3A4-6D74DB2F48C1}" id="{B7FBA6FA-D4E2-4323-94D6-D33D880EE03D}" done="1">
    <text>Doit être égal à la participation horaire de cloture</text>
  </threadedComment>
  <threadedComment ref="A8" dT="2025-04-14T11:49:47.49" personId="{B9D14DDA-5DA4-4748-A3A4-6D74DB2F48C1}" id="{764E97DB-6929-4E1E-BDD5-184542582943}" done="1">
    <text>Nombre de signatures sur le registre</text>
  </threadedComment>
  <threadedComment ref="B8" dT="2025-03-13T15:44:24.83" personId="{B9D14DDA-5DA4-4748-A3A4-6D74DB2F48C1}" id="{E73ECC1A-4D52-4F71-92D1-2E1082AC52FE}" done="1">
    <text>Doit être normalement égal aux votants</text>
  </threadedComment>
  <threadedComment ref="Q13" dT="2025-04-14T12:15:13.05" personId="{B9D14DDA-5DA4-4748-A3A4-6D74DB2F48C1}" id="{326BCB56-39AC-49EB-9B07-301B7B29A14C}" done="1">
    <text>Doit être égal au nombre de votants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2.xml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microsoft.com/office/2017/10/relationships/threadedComment" Target="../threadedComments/threadedComment13.xml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microsoft.com/office/2017/10/relationships/threadedComment" Target="../threadedComments/threadedComment14.xml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microsoft.com/office/2017/10/relationships/threadedComment" Target="../threadedComments/threadedComment15.xml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microsoft.com/office/2017/10/relationships/threadedComment" Target="../threadedComments/threadedComment16.xml"/><Relationship Id="rId4" Type="http://schemas.openxmlformats.org/officeDocument/2006/relationships/comments" Target="../comments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4" tint="-0.499984740745262"/>
    <outlinePr summaryBelow="0" summaryRight="0"/>
    <pageSetUpPr fitToPage="1"/>
  </sheetPr>
  <dimension ref="A1:W32"/>
  <sheetViews>
    <sheetView tabSelected="1" zoomScale="90" zoomScaleNormal="90" workbookViewId="0">
      <pane xSplit="2" topLeftCell="C1" activePane="topRight" state="frozen"/>
      <selection pane="topRight" activeCell="A19" sqref="A19"/>
    </sheetView>
  </sheetViews>
  <sheetFormatPr baseColWidth="10" defaultColWidth="12.5703125" defaultRowHeight="15.75" customHeight="1" x14ac:dyDescent="0.2"/>
  <cols>
    <col min="1" max="1" width="7.42578125" customWidth="1"/>
    <col min="2" max="2" width="17.7109375" customWidth="1"/>
    <col min="3" max="3" width="7.42578125" customWidth="1"/>
    <col min="4" max="4" width="11.85546875" bestFit="1" customWidth="1"/>
    <col min="5" max="6" width="10.140625" customWidth="1"/>
    <col min="7" max="7" width="7.7109375" customWidth="1"/>
    <col min="8" max="8" width="9.42578125" customWidth="1"/>
    <col min="9" max="9" width="9.5703125" customWidth="1"/>
    <col min="10" max="10" width="11" customWidth="1"/>
    <col min="11" max="11" width="9.85546875" bestFit="1" customWidth="1"/>
    <col min="12" max="12" width="8.140625" bestFit="1" customWidth="1"/>
    <col min="14" max="14" width="14.85546875" customWidth="1"/>
  </cols>
  <sheetData>
    <row r="1" spans="1:23" ht="12.75" x14ac:dyDescent="0.2">
      <c r="A1" s="388" t="s">
        <v>17</v>
      </c>
      <c r="B1" s="389"/>
      <c r="C1" s="392" t="s">
        <v>0</v>
      </c>
      <c r="D1" s="394" t="s">
        <v>1</v>
      </c>
      <c r="E1" s="396" t="s">
        <v>2</v>
      </c>
      <c r="F1" s="392" t="s">
        <v>19</v>
      </c>
      <c r="G1" s="398" t="s">
        <v>3</v>
      </c>
      <c r="H1" s="394" t="s">
        <v>4</v>
      </c>
      <c r="I1" s="401" t="s">
        <v>5</v>
      </c>
      <c r="J1" s="382" t="s">
        <v>6</v>
      </c>
      <c r="K1" s="380" t="s">
        <v>19</v>
      </c>
      <c r="L1" s="320" t="s">
        <v>7</v>
      </c>
      <c r="M1" s="322">
        <v>1</v>
      </c>
      <c r="N1" s="323">
        <v>2</v>
      </c>
      <c r="O1" s="323">
        <v>3</v>
      </c>
      <c r="P1" s="323">
        <v>4</v>
      </c>
      <c r="Q1" s="323">
        <v>5</v>
      </c>
      <c r="R1" s="324">
        <v>6</v>
      </c>
      <c r="S1" s="324">
        <v>7</v>
      </c>
      <c r="T1" s="324">
        <v>8</v>
      </c>
      <c r="U1" s="324">
        <v>9</v>
      </c>
      <c r="V1" s="325">
        <v>10</v>
      </c>
      <c r="W1" s="131" t="s">
        <v>8</v>
      </c>
    </row>
    <row r="2" spans="1:23" ht="39" thickBot="1" x14ac:dyDescent="0.25">
      <c r="A2" s="390"/>
      <c r="B2" s="391"/>
      <c r="C2" s="393"/>
      <c r="D2" s="395"/>
      <c r="E2" s="397"/>
      <c r="F2" s="403"/>
      <c r="G2" s="399"/>
      <c r="H2" s="400"/>
      <c r="I2" s="402"/>
      <c r="J2" s="383"/>
      <c r="K2" s="381"/>
      <c r="L2" s="321" t="s">
        <v>9</v>
      </c>
      <c r="M2" s="341" t="s">
        <v>72</v>
      </c>
      <c r="N2" s="342" t="s">
        <v>81</v>
      </c>
      <c r="O2" s="343" t="s">
        <v>73</v>
      </c>
      <c r="P2" s="344" t="s">
        <v>74</v>
      </c>
      <c r="Q2" s="345" t="s">
        <v>75</v>
      </c>
      <c r="R2" s="346" t="s">
        <v>76</v>
      </c>
      <c r="S2" s="347" t="s">
        <v>77</v>
      </c>
      <c r="T2" s="238" t="s">
        <v>78</v>
      </c>
      <c r="U2" s="348" t="s">
        <v>79</v>
      </c>
      <c r="V2" s="349" t="s">
        <v>80</v>
      </c>
      <c r="W2" s="123" t="s">
        <v>10</v>
      </c>
    </row>
    <row r="3" spans="1:23" ht="12.75" x14ac:dyDescent="0.2">
      <c r="A3" s="326">
        <v>1</v>
      </c>
      <c r="B3" s="277" t="s">
        <v>70</v>
      </c>
      <c r="C3" s="278">
        <v>506</v>
      </c>
      <c r="D3" s="47" cm="1">
        <f t="array" aca="1" ref="D3" ca="1">INDIRECT("'Bureau " &amp; ROW()-2 &amp; "'!$B$8")</f>
        <v>0</v>
      </c>
      <c r="E3" s="156" cm="1">
        <f t="array" aca="1" ref="E3" ca="1">INDIRECT("'Bureau " &amp; ROW()-2 &amp; "'!$B$7")</f>
        <v>0</v>
      </c>
      <c r="F3" s="157">
        <f t="shared" ref="F3:F14" ca="1" si="0">C3-E3</f>
        <v>506</v>
      </c>
      <c r="G3" s="37">
        <f t="shared" ref="G3:G14" ca="1" si="1">INDEX(INDIRECT("'Bureau " &amp; ROW()-2 &amp; "'!O:O"), MATCH("TOTAL", INDIRECT("'Bureau " &amp; ROW() -2&amp; "'!D:D"), 0))</f>
        <v>0</v>
      </c>
      <c r="H3" s="37">
        <f t="shared" ref="H3:H14" ca="1" si="2">INDEX(INDIRECT("'Bureau " &amp; ROW()-2 &amp; "'!P:P"), MATCH("TOTAL", INDIRECT("'Bureau " &amp; ROW() -2&amp; "'!D:D"), 0))</f>
        <v>0</v>
      </c>
      <c r="I3" s="141">
        <f t="shared" ref="I3:I14" ca="1" si="3">E3-G3-H3</f>
        <v>0</v>
      </c>
      <c r="J3" s="152">
        <f t="shared" ref="J3:J14" ca="1" si="4">E3/C3</f>
        <v>0</v>
      </c>
      <c r="K3" s="170">
        <f t="shared" ref="K3:K14" ca="1" si="5">F3/C3</f>
        <v>1</v>
      </c>
      <c r="L3" s="320">
        <v>1</v>
      </c>
      <c r="M3" s="144">
        <f t="shared" ref="M3:M14" ca="1" si="6">INDEX(INDIRECT("'Bureau " &amp; ROW()-2 &amp; "'!E:E"), MATCH("TOTAL", INDIRECT("'Bureau " &amp; ROW() -2&amp; "'!D:D"), 0))</f>
        <v>0</v>
      </c>
      <c r="N3" s="144">
        <f t="shared" ref="N3:N14" ca="1" si="7">INDEX(INDIRECT("'Bureau " &amp; ROW()-2 &amp; "'!F:F"), MATCH("TOTAL", INDIRECT("'Bureau " &amp; ROW() -2&amp; "'!D:D"), 0))</f>
        <v>0</v>
      </c>
      <c r="O3" s="144">
        <f t="shared" ref="O3:O14" ca="1" si="8">INDEX(INDIRECT("'Bureau " &amp; ROW()-2 &amp; "'!G:G"), MATCH("TOTAL", INDIRECT("'Bureau " &amp; ROW() -2&amp; "'!D:D"), 0))</f>
        <v>0</v>
      </c>
      <c r="P3" s="144">
        <f t="shared" ref="P3:P14" ca="1" si="9">INDEX(INDIRECT("'Bureau " &amp; ROW()-2 &amp; "'!H:H"), MATCH("TOTAL", INDIRECT("'Bureau " &amp; ROW() -2&amp; "'!D:D"), 0))</f>
        <v>0</v>
      </c>
      <c r="Q3" s="145">
        <f t="shared" ref="Q3:Q14" ca="1" si="10">INDEX(INDIRECT("'Bureau " &amp; ROW()-2 &amp; "'!I:I"), MATCH("TOTAL", INDIRECT("'Bureau " &amp; ROW() -2&amp; "'!D:D"), 0))</f>
        <v>0</v>
      </c>
      <c r="R3" s="146">
        <f t="shared" ref="R3:R14" ca="1" si="11">INDEX(INDIRECT("'Bureau " &amp; ROW()-2 &amp; "'!J:J"), MATCH("TOTAL", INDIRECT("'Bureau " &amp; ROW() -2&amp; "'!D:D"), 0))</f>
        <v>0</v>
      </c>
      <c r="S3" s="146">
        <f t="shared" ref="S3:S14" ca="1" si="12">INDEX(INDIRECT("'Bureau " &amp; ROW()-2 &amp; "'!K:K"), MATCH("TOTAL", INDIRECT("'Bureau " &amp; ROW() -2&amp; "'!D:D"), 0))</f>
        <v>0</v>
      </c>
      <c r="T3" s="146">
        <f t="shared" ref="T3:T14" ca="1" si="13">INDEX(INDIRECT("'Bureau " &amp; ROW()-2 &amp; "'!L:L"), MATCH("TOTAL", INDIRECT("'Bureau " &amp; ROW() -2&amp; "'!D:D"), 0))</f>
        <v>0</v>
      </c>
      <c r="U3" s="146">
        <f t="shared" ref="U3:U14" ca="1" si="14">INDEX(INDIRECT("'Bureau " &amp; ROW()-2 &amp; "'!M:M"), MATCH("TOTAL", INDIRECT("'Bureau " &amp; ROW() -2&amp; "'!D:D"), 0))</f>
        <v>0</v>
      </c>
      <c r="V3" s="147">
        <f t="shared" ref="V3:V14" ca="1" si="15">INDEX(INDIRECT("'Bureau " &amp; ROW()-2 &amp; "'!N:N"), MATCH("TOTAL", INDIRECT("'Bureau " &amp; ROW() -2&amp; "'!D:D"), 0))</f>
        <v>0</v>
      </c>
      <c r="W3" s="124" cm="1">
        <f t="array" aca="1" ref="W3" ca="1">SUM(IFERROR(M3:V3,0))</f>
        <v>0</v>
      </c>
    </row>
    <row r="4" spans="1:23" ht="12.75" x14ac:dyDescent="0.2">
      <c r="A4" s="326">
        <v>2</v>
      </c>
      <c r="B4" s="277" t="s">
        <v>30</v>
      </c>
      <c r="C4" s="278">
        <v>700</v>
      </c>
      <c r="D4" s="61" cm="1">
        <f t="array" aca="1" ref="D4" ca="1">INDIRECT("'Bureau " &amp; ROW()-2 &amp; "'!$B$8")</f>
        <v>0</v>
      </c>
      <c r="E4" s="155" cm="1">
        <f t="array" aca="1" ref="E4" ca="1">INDIRECT("'Bureau " &amp; ROW()-2 &amp; "'!$B$7")</f>
        <v>0</v>
      </c>
      <c r="F4" s="158">
        <f t="shared" ca="1" si="0"/>
        <v>700</v>
      </c>
      <c r="G4" s="37">
        <f t="shared" ca="1" si="1"/>
        <v>0</v>
      </c>
      <c r="H4" s="37">
        <f t="shared" ca="1" si="2"/>
        <v>0</v>
      </c>
      <c r="I4" s="141">
        <f t="shared" ca="1" si="3"/>
        <v>0</v>
      </c>
      <c r="J4" s="153">
        <f t="shared" ca="1" si="4"/>
        <v>0</v>
      </c>
      <c r="K4" s="171">
        <f t="shared" ca="1" si="5"/>
        <v>1</v>
      </c>
      <c r="L4" s="332">
        <v>2</v>
      </c>
      <c r="M4" s="38">
        <f t="shared" ca="1" si="6"/>
        <v>0</v>
      </c>
      <c r="N4" s="38">
        <f t="shared" ca="1" si="7"/>
        <v>0</v>
      </c>
      <c r="O4" s="38">
        <f t="shared" ca="1" si="8"/>
        <v>0</v>
      </c>
      <c r="P4" s="38">
        <f t="shared" ca="1" si="9"/>
        <v>0</v>
      </c>
      <c r="Q4" s="65">
        <f t="shared" ca="1" si="10"/>
        <v>0</v>
      </c>
      <c r="R4" s="129">
        <f t="shared" ca="1" si="11"/>
        <v>0</v>
      </c>
      <c r="S4" s="129">
        <f t="shared" ca="1" si="12"/>
        <v>0</v>
      </c>
      <c r="T4" s="129">
        <f t="shared" ca="1" si="13"/>
        <v>0</v>
      </c>
      <c r="U4" s="129">
        <f t="shared" ca="1" si="14"/>
        <v>0</v>
      </c>
      <c r="V4" s="148">
        <f t="shared" ca="1" si="15"/>
        <v>0</v>
      </c>
      <c r="W4" s="125" cm="1">
        <f t="array" aca="1" ref="W4" ca="1">SUM(IFERROR(M4:V4,0))</f>
        <v>0</v>
      </c>
    </row>
    <row r="5" spans="1:23" ht="12.75" x14ac:dyDescent="0.2">
      <c r="A5" s="326">
        <v>3</v>
      </c>
      <c r="B5" s="277" t="s">
        <v>30</v>
      </c>
      <c r="C5" s="278">
        <v>669</v>
      </c>
      <c r="D5" s="61" cm="1">
        <f t="array" aca="1" ref="D5" ca="1">INDIRECT("'Bureau " &amp; ROW()-2 &amp; "'!$B$8")</f>
        <v>0</v>
      </c>
      <c r="E5" s="155" cm="1">
        <f t="array" aca="1" ref="E5" ca="1">INDIRECT("'Bureau " &amp; ROW()-2 &amp; "'!$B$7")</f>
        <v>0</v>
      </c>
      <c r="F5" s="158">
        <f t="shared" ca="1" si="0"/>
        <v>669</v>
      </c>
      <c r="G5" s="37">
        <f t="shared" ca="1" si="1"/>
        <v>0</v>
      </c>
      <c r="H5" s="37">
        <f t="shared" ca="1" si="2"/>
        <v>0</v>
      </c>
      <c r="I5" s="141">
        <f t="shared" ca="1" si="3"/>
        <v>0</v>
      </c>
      <c r="J5" s="153">
        <f t="shared" ca="1" si="4"/>
        <v>0</v>
      </c>
      <c r="K5" s="171">
        <f t="shared" ca="1" si="5"/>
        <v>1</v>
      </c>
      <c r="L5" s="332">
        <v>3</v>
      </c>
      <c r="M5" s="38">
        <f t="shared" ca="1" si="6"/>
        <v>0</v>
      </c>
      <c r="N5" s="38">
        <f t="shared" ca="1" si="7"/>
        <v>0</v>
      </c>
      <c r="O5" s="38">
        <f t="shared" ca="1" si="8"/>
        <v>0</v>
      </c>
      <c r="P5" s="38">
        <f t="shared" ca="1" si="9"/>
        <v>0</v>
      </c>
      <c r="Q5" s="65">
        <f t="shared" ca="1" si="10"/>
        <v>0</v>
      </c>
      <c r="R5" s="129">
        <f t="shared" ca="1" si="11"/>
        <v>0</v>
      </c>
      <c r="S5" s="129">
        <f t="shared" ca="1" si="12"/>
        <v>0</v>
      </c>
      <c r="T5" s="129">
        <f t="shared" ca="1" si="13"/>
        <v>0</v>
      </c>
      <c r="U5" s="129">
        <f t="shared" ca="1" si="14"/>
        <v>0</v>
      </c>
      <c r="V5" s="148">
        <f t="shared" ca="1" si="15"/>
        <v>0</v>
      </c>
      <c r="W5" s="125" cm="1">
        <f t="array" aca="1" ref="W5" ca="1">SUM(IFERROR(M5:V5,0))</f>
        <v>0</v>
      </c>
    </row>
    <row r="6" spans="1:23" ht="12.75" x14ac:dyDescent="0.2">
      <c r="A6" s="326">
        <v>4</v>
      </c>
      <c r="B6" s="277" t="s">
        <v>30</v>
      </c>
      <c r="C6" s="278">
        <v>651</v>
      </c>
      <c r="D6" s="61" cm="1">
        <f t="array" aca="1" ref="D6" ca="1">INDIRECT("'Bureau " &amp; ROW()-2 &amp; "'!$B$8")</f>
        <v>0</v>
      </c>
      <c r="E6" s="155" cm="1">
        <f t="array" aca="1" ref="E6" ca="1">INDIRECT("'Bureau " &amp; ROW()-2 &amp; "'!$B$7")</f>
        <v>0</v>
      </c>
      <c r="F6" s="158">
        <f t="shared" ca="1" si="0"/>
        <v>651</v>
      </c>
      <c r="G6" s="37">
        <f t="shared" ca="1" si="1"/>
        <v>0</v>
      </c>
      <c r="H6" s="37">
        <f t="shared" ca="1" si="2"/>
        <v>0</v>
      </c>
      <c r="I6" s="141">
        <f t="shared" ca="1" si="3"/>
        <v>0</v>
      </c>
      <c r="J6" s="153">
        <f t="shared" ca="1" si="4"/>
        <v>0</v>
      </c>
      <c r="K6" s="171">
        <f t="shared" ca="1" si="5"/>
        <v>1</v>
      </c>
      <c r="L6" s="332">
        <v>4</v>
      </c>
      <c r="M6" s="38">
        <f t="shared" ca="1" si="6"/>
        <v>0</v>
      </c>
      <c r="N6" s="38">
        <f t="shared" ca="1" si="7"/>
        <v>0</v>
      </c>
      <c r="O6" s="38">
        <f t="shared" ca="1" si="8"/>
        <v>0</v>
      </c>
      <c r="P6" s="38">
        <f t="shared" ca="1" si="9"/>
        <v>0</v>
      </c>
      <c r="Q6" s="65">
        <f t="shared" ca="1" si="10"/>
        <v>0</v>
      </c>
      <c r="R6" s="129">
        <f t="shared" ca="1" si="11"/>
        <v>0</v>
      </c>
      <c r="S6" s="129">
        <f t="shared" ca="1" si="12"/>
        <v>0</v>
      </c>
      <c r="T6" s="129">
        <f t="shared" ca="1" si="13"/>
        <v>0</v>
      </c>
      <c r="U6" s="129">
        <f t="shared" ca="1" si="14"/>
        <v>0</v>
      </c>
      <c r="V6" s="148">
        <f t="shared" ca="1" si="15"/>
        <v>0</v>
      </c>
      <c r="W6" s="125" cm="1">
        <f t="array" aca="1" ref="W6" ca="1">SUM(IFERROR(M6:V6,0))</f>
        <v>0</v>
      </c>
    </row>
    <row r="7" spans="1:23" ht="12.75" x14ac:dyDescent="0.2">
      <c r="A7" s="326">
        <v>5</v>
      </c>
      <c r="B7" s="277" t="s">
        <v>31</v>
      </c>
      <c r="C7" s="278">
        <v>671</v>
      </c>
      <c r="D7" s="61" cm="1">
        <f t="array" aca="1" ref="D7" ca="1">INDIRECT("'Bureau " &amp; ROW()-2 &amp; "'!$B$8")</f>
        <v>0</v>
      </c>
      <c r="E7" s="155" cm="1">
        <f t="array" aca="1" ref="E7" ca="1">INDIRECT("'Bureau " &amp; ROW()-2 &amp; "'!$B$7")</f>
        <v>0</v>
      </c>
      <c r="F7" s="158">
        <f t="shared" ca="1" si="0"/>
        <v>671</v>
      </c>
      <c r="G7" s="37">
        <f t="shared" ca="1" si="1"/>
        <v>0</v>
      </c>
      <c r="H7" s="37">
        <f t="shared" ca="1" si="2"/>
        <v>0</v>
      </c>
      <c r="I7" s="141">
        <f t="shared" ca="1" si="3"/>
        <v>0</v>
      </c>
      <c r="J7" s="153">
        <f t="shared" ca="1" si="4"/>
        <v>0</v>
      </c>
      <c r="K7" s="171">
        <f t="shared" ca="1" si="5"/>
        <v>1</v>
      </c>
      <c r="L7" s="332">
        <v>5</v>
      </c>
      <c r="M7" s="38">
        <f t="shared" ca="1" si="6"/>
        <v>0</v>
      </c>
      <c r="N7" s="38">
        <f t="shared" ca="1" si="7"/>
        <v>0</v>
      </c>
      <c r="O7" s="38">
        <f t="shared" ca="1" si="8"/>
        <v>0</v>
      </c>
      <c r="P7" s="38">
        <f t="shared" ca="1" si="9"/>
        <v>0</v>
      </c>
      <c r="Q7" s="65">
        <f t="shared" ca="1" si="10"/>
        <v>0</v>
      </c>
      <c r="R7" s="129">
        <f t="shared" ca="1" si="11"/>
        <v>0</v>
      </c>
      <c r="S7" s="129">
        <f t="shared" ca="1" si="12"/>
        <v>0</v>
      </c>
      <c r="T7" s="129">
        <f t="shared" ca="1" si="13"/>
        <v>0</v>
      </c>
      <c r="U7" s="129">
        <f t="shared" ca="1" si="14"/>
        <v>0</v>
      </c>
      <c r="V7" s="148">
        <f t="shared" ca="1" si="15"/>
        <v>0</v>
      </c>
      <c r="W7" s="125" cm="1">
        <f t="array" aca="1" ref="W7" ca="1">SUM(IFERROR(M7:V7,0))</f>
        <v>0</v>
      </c>
    </row>
    <row r="8" spans="1:23" ht="12.75" x14ac:dyDescent="0.2">
      <c r="A8" s="326">
        <v>6</v>
      </c>
      <c r="B8" s="277" t="s">
        <v>31</v>
      </c>
      <c r="C8" s="278">
        <v>687</v>
      </c>
      <c r="D8" s="61" cm="1">
        <f t="array" aca="1" ref="D8" ca="1">INDIRECT("'Bureau " &amp; ROW()-2 &amp; "'!$B$8")</f>
        <v>0</v>
      </c>
      <c r="E8" s="155" cm="1">
        <f t="array" aca="1" ref="E8" ca="1">INDIRECT("'Bureau " &amp; ROW()-2 &amp; "'!$B$7")</f>
        <v>0</v>
      </c>
      <c r="F8" s="158">
        <f t="shared" ca="1" si="0"/>
        <v>687</v>
      </c>
      <c r="G8" s="37">
        <f t="shared" ca="1" si="1"/>
        <v>0</v>
      </c>
      <c r="H8" s="37">
        <f t="shared" ca="1" si="2"/>
        <v>0</v>
      </c>
      <c r="I8" s="141">
        <f t="shared" ca="1" si="3"/>
        <v>0</v>
      </c>
      <c r="J8" s="153">
        <f t="shared" ca="1" si="4"/>
        <v>0</v>
      </c>
      <c r="K8" s="171">
        <f t="shared" ca="1" si="5"/>
        <v>1</v>
      </c>
      <c r="L8" s="332">
        <v>6</v>
      </c>
      <c r="M8" s="38">
        <f t="shared" ca="1" si="6"/>
        <v>0</v>
      </c>
      <c r="N8" s="38">
        <f t="shared" ca="1" si="7"/>
        <v>0</v>
      </c>
      <c r="O8" s="38">
        <f t="shared" ca="1" si="8"/>
        <v>0</v>
      </c>
      <c r="P8" s="38">
        <f t="shared" ca="1" si="9"/>
        <v>0</v>
      </c>
      <c r="Q8" s="65">
        <f t="shared" ca="1" si="10"/>
        <v>0</v>
      </c>
      <c r="R8" s="129">
        <f t="shared" ca="1" si="11"/>
        <v>0</v>
      </c>
      <c r="S8" s="129">
        <f t="shared" ca="1" si="12"/>
        <v>0</v>
      </c>
      <c r="T8" s="129">
        <f t="shared" ca="1" si="13"/>
        <v>0</v>
      </c>
      <c r="U8" s="129">
        <f t="shared" ca="1" si="14"/>
        <v>0</v>
      </c>
      <c r="V8" s="148">
        <f t="shared" ca="1" si="15"/>
        <v>0</v>
      </c>
      <c r="W8" s="125" cm="1">
        <f t="array" aca="1" ref="W8" ca="1">SUM(IFERROR(M8:V8,0))</f>
        <v>0</v>
      </c>
    </row>
    <row r="9" spans="1:23" ht="12.75" x14ac:dyDescent="0.2">
      <c r="A9" s="326">
        <v>7</v>
      </c>
      <c r="B9" s="277" t="s">
        <v>31</v>
      </c>
      <c r="C9" s="278">
        <v>692</v>
      </c>
      <c r="D9" s="61" cm="1">
        <f t="array" aca="1" ref="D9" ca="1">INDIRECT("'Bureau " &amp; ROW()-2 &amp; "'!$B$8")</f>
        <v>0</v>
      </c>
      <c r="E9" s="155" cm="1">
        <f t="array" aca="1" ref="E9" ca="1">INDIRECT("'Bureau " &amp; ROW()-2 &amp; "'!$B$7")</f>
        <v>0</v>
      </c>
      <c r="F9" s="158">
        <f t="shared" ca="1" si="0"/>
        <v>692</v>
      </c>
      <c r="G9" s="37">
        <f t="shared" ca="1" si="1"/>
        <v>0</v>
      </c>
      <c r="H9" s="37">
        <f t="shared" ca="1" si="2"/>
        <v>0</v>
      </c>
      <c r="I9" s="141">
        <f t="shared" ca="1" si="3"/>
        <v>0</v>
      </c>
      <c r="J9" s="153">
        <f t="shared" ca="1" si="4"/>
        <v>0</v>
      </c>
      <c r="K9" s="171">
        <f t="shared" ca="1" si="5"/>
        <v>1</v>
      </c>
      <c r="L9" s="332">
        <v>7</v>
      </c>
      <c r="M9" s="38">
        <f t="shared" ca="1" si="6"/>
        <v>0</v>
      </c>
      <c r="N9" s="38">
        <f t="shared" ca="1" si="7"/>
        <v>0</v>
      </c>
      <c r="O9" s="38">
        <f t="shared" ca="1" si="8"/>
        <v>0</v>
      </c>
      <c r="P9" s="38">
        <f t="shared" ca="1" si="9"/>
        <v>0</v>
      </c>
      <c r="Q9" s="65">
        <f t="shared" ca="1" si="10"/>
        <v>0</v>
      </c>
      <c r="R9" s="129">
        <f t="shared" ca="1" si="11"/>
        <v>0</v>
      </c>
      <c r="S9" s="129">
        <f t="shared" ca="1" si="12"/>
        <v>0</v>
      </c>
      <c r="T9" s="129">
        <f t="shared" ca="1" si="13"/>
        <v>0</v>
      </c>
      <c r="U9" s="129">
        <f t="shared" ca="1" si="14"/>
        <v>0</v>
      </c>
      <c r="V9" s="148">
        <f t="shared" ca="1" si="15"/>
        <v>0</v>
      </c>
      <c r="W9" s="125" cm="1">
        <f t="array" aca="1" ref="W9" ca="1">SUM(IFERROR(M9:V9,0))</f>
        <v>0</v>
      </c>
    </row>
    <row r="10" spans="1:23" ht="12.75" x14ac:dyDescent="0.2">
      <c r="A10" s="326">
        <v>8</v>
      </c>
      <c r="B10" s="277" t="s">
        <v>31</v>
      </c>
      <c r="C10" s="278">
        <v>620</v>
      </c>
      <c r="D10" s="61" cm="1">
        <f t="array" aca="1" ref="D10" ca="1">INDIRECT("'Bureau " &amp; ROW()-2 &amp; "'!$B$8")</f>
        <v>0</v>
      </c>
      <c r="E10" s="155" cm="1">
        <f t="array" aca="1" ref="E10" ca="1">INDIRECT("'Bureau " &amp; ROW()-2 &amp; "'!$B$7")</f>
        <v>0</v>
      </c>
      <c r="F10" s="158">
        <f t="shared" ca="1" si="0"/>
        <v>620</v>
      </c>
      <c r="G10" s="37">
        <f t="shared" ca="1" si="1"/>
        <v>0</v>
      </c>
      <c r="H10" s="37">
        <f t="shared" ca="1" si="2"/>
        <v>0</v>
      </c>
      <c r="I10" s="141">
        <f t="shared" ca="1" si="3"/>
        <v>0</v>
      </c>
      <c r="J10" s="153">
        <f t="shared" ca="1" si="4"/>
        <v>0</v>
      </c>
      <c r="K10" s="171">
        <f t="shared" ca="1" si="5"/>
        <v>1</v>
      </c>
      <c r="L10" s="332">
        <v>8</v>
      </c>
      <c r="M10" s="38">
        <f t="shared" ca="1" si="6"/>
        <v>0</v>
      </c>
      <c r="N10" s="38">
        <f t="shared" ca="1" si="7"/>
        <v>0</v>
      </c>
      <c r="O10" s="38">
        <f t="shared" ca="1" si="8"/>
        <v>0</v>
      </c>
      <c r="P10" s="38">
        <f t="shared" ca="1" si="9"/>
        <v>0</v>
      </c>
      <c r="Q10" s="65">
        <f t="shared" ca="1" si="10"/>
        <v>0</v>
      </c>
      <c r="R10" s="129">
        <f t="shared" ca="1" si="11"/>
        <v>0</v>
      </c>
      <c r="S10" s="129">
        <f t="shared" ca="1" si="12"/>
        <v>0</v>
      </c>
      <c r="T10" s="129">
        <f t="shared" ca="1" si="13"/>
        <v>0</v>
      </c>
      <c r="U10" s="129">
        <f t="shared" ca="1" si="14"/>
        <v>0</v>
      </c>
      <c r="V10" s="148">
        <f t="shared" ca="1" si="15"/>
        <v>0</v>
      </c>
      <c r="W10" s="125" cm="1">
        <f t="array" aca="1" ref="W10" ca="1">SUM(IFERROR(M10:V10,0))</f>
        <v>0</v>
      </c>
    </row>
    <row r="11" spans="1:23" ht="12.75" x14ac:dyDescent="0.2">
      <c r="A11" s="326">
        <v>9</v>
      </c>
      <c r="B11" s="277" t="s">
        <v>32</v>
      </c>
      <c r="C11" s="278">
        <v>671</v>
      </c>
      <c r="D11" s="61" cm="1">
        <f t="array" aca="1" ref="D11" ca="1">INDIRECT("'Bureau " &amp; ROW()-2 &amp; "'!$B$8")</f>
        <v>0</v>
      </c>
      <c r="E11" s="155" cm="1">
        <f t="array" aca="1" ref="E11" ca="1">INDIRECT("'Bureau " &amp; ROW()-2 &amp; "'!$B$7")</f>
        <v>0</v>
      </c>
      <c r="F11" s="158">
        <f t="shared" ca="1" si="0"/>
        <v>671</v>
      </c>
      <c r="G11" s="37">
        <f t="shared" ca="1" si="1"/>
        <v>0</v>
      </c>
      <c r="H11" s="37">
        <f t="shared" ca="1" si="2"/>
        <v>0</v>
      </c>
      <c r="I11" s="141">
        <f t="shared" ca="1" si="3"/>
        <v>0</v>
      </c>
      <c r="J11" s="153">
        <f t="shared" ca="1" si="4"/>
        <v>0</v>
      </c>
      <c r="K11" s="171">
        <f t="shared" ca="1" si="5"/>
        <v>1</v>
      </c>
      <c r="L11" s="332">
        <v>9</v>
      </c>
      <c r="M11" s="38">
        <f t="shared" ca="1" si="6"/>
        <v>0</v>
      </c>
      <c r="N11" s="38">
        <f t="shared" ca="1" si="7"/>
        <v>0</v>
      </c>
      <c r="O11" s="38">
        <f t="shared" ca="1" si="8"/>
        <v>0</v>
      </c>
      <c r="P11" s="38">
        <f t="shared" ca="1" si="9"/>
        <v>0</v>
      </c>
      <c r="Q11" s="65">
        <f t="shared" ca="1" si="10"/>
        <v>0</v>
      </c>
      <c r="R11" s="129">
        <f t="shared" ca="1" si="11"/>
        <v>0</v>
      </c>
      <c r="S11" s="129">
        <f t="shared" ca="1" si="12"/>
        <v>0</v>
      </c>
      <c r="T11" s="129">
        <f t="shared" ca="1" si="13"/>
        <v>0</v>
      </c>
      <c r="U11" s="129">
        <f t="shared" ca="1" si="14"/>
        <v>0</v>
      </c>
      <c r="V11" s="148">
        <f t="shared" ca="1" si="15"/>
        <v>0</v>
      </c>
      <c r="W11" s="125" cm="1">
        <f t="array" aca="1" ref="W11" ca="1">SUM(IFERROR(M11:V11,0))</f>
        <v>0</v>
      </c>
    </row>
    <row r="12" spans="1:23" ht="12.75" x14ac:dyDescent="0.2">
      <c r="A12" s="326">
        <v>10</v>
      </c>
      <c r="B12" s="277" t="s">
        <v>32</v>
      </c>
      <c r="C12" s="278">
        <v>581</v>
      </c>
      <c r="D12" s="61" cm="1">
        <f t="array" aca="1" ref="D12" ca="1">INDIRECT("'Bureau " &amp; ROW()-2 &amp; "'!$B$8")</f>
        <v>0</v>
      </c>
      <c r="E12" s="155" cm="1">
        <f t="array" aca="1" ref="E12" ca="1">INDIRECT("'Bureau " &amp; ROW()-2 &amp; "'!$B$7")</f>
        <v>0</v>
      </c>
      <c r="F12" s="158">
        <f t="shared" ca="1" si="0"/>
        <v>581</v>
      </c>
      <c r="G12" s="37">
        <f t="shared" ca="1" si="1"/>
        <v>0</v>
      </c>
      <c r="H12" s="37">
        <f t="shared" ca="1" si="2"/>
        <v>0</v>
      </c>
      <c r="I12" s="141">
        <f t="shared" ca="1" si="3"/>
        <v>0</v>
      </c>
      <c r="J12" s="153">
        <f t="shared" ca="1" si="4"/>
        <v>0</v>
      </c>
      <c r="K12" s="171">
        <f t="shared" ca="1" si="5"/>
        <v>1</v>
      </c>
      <c r="L12" s="332">
        <v>10</v>
      </c>
      <c r="M12" s="38">
        <f t="shared" ca="1" si="6"/>
        <v>0</v>
      </c>
      <c r="N12" s="38">
        <f t="shared" ca="1" si="7"/>
        <v>0</v>
      </c>
      <c r="O12" s="38">
        <f t="shared" ca="1" si="8"/>
        <v>0</v>
      </c>
      <c r="P12" s="38">
        <f t="shared" ca="1" si="9"/>
        <v>0</v>
      </c>
      <c r="Q12" s="65">
        <f t="shared" ca="1" si="10"/>
        <v>0</v>
      </c>
      <c r="R12" s="129">
        <f t="shared" ca="1" si="11"/>
        <v>0</v>
      </c>
      <c r="S12" s="129">
        <f t="shared" ca="1" si="12"/>
        <v>0</v>
      </c>
      <c r="T12" s="129">
        <f t="shared" ca="1" si="13"/>
        <v>0</v>
      </c>
      <c r="U12" s="129">
        <f t="shared" ca="1" si="14"/>
        <v>0</v>
      </c>
      <c r="V12" s="148">
        <f t="shared" ca="1" si="15"/>
        <v>0</v>
      </c>
      <c r="W12" s="125" cm="1">
        <f t="array" aca="1" ref="W12" ca="1">SUM(IFERROR(M12:V12,0))</f>
        <v>0</v>
      </c>
    </row>
    <row r="13" spans="1:23" ht="12.75" x14ac:dyDescent="0.2">
      <c r="A13" s="326">
        <v>11</v>
      </c>
      <c r="B13" s="277" t="s">
        <v>32</v>
      </c>
      <c r="C13" s="278">
        <v>649</v>
      </c>
      <c r="D13" s="61" cm="1">
        <f t="array" aca="1" ref="D13" ca="1">INDIRECT("'Bureau " &amp; ROW()-2 &amp; "'!$B$8")</f>
        <v>0</v>
      </c>
      <c r="E13" s="155" cm="1">
        <f t="array" aca="1" ref="E13" ca="1">INDIRECT("'Bureau " &amp; ROW()-2 &amp; "'!$B$7")</f>
        <v>0</v>
      </c>
      <c r="F13" s="158">
        <f t="shared" ca="1" si="0"/>
        <v>649</v>
      </c>
      <c r="G13" s="37">
        <f t="shared" ca="1" si="1"/>
        <v>0</v>
      </c>
      <c r="H13" s="37">
        <f t="shared" ca="1" si="2"/>
        <v>0</v>
      </c>
      <c r="I13" s="141">
        <f t="shared" ca="1" si="3"/>
        <v>0</v>
      </c>
      <c r="J13" s="153">
        <f t="shared" ca="1" si="4"/>
        <v>0</v>
      </c>
      <c r="K13" s="171">
        <f t="shared" ca="1" si="5"/>
        <v>1</v>
      </c>
      <c r="L13" s="332">
        <v>11</v>
      </c>
      <c r="M13" s="38">
        <f t="shared" ca="1" si="6"/>
        <v>0</v>
      </c>
      <c r="N13" s="38">
        <f t="shared" ca="1" si="7"/>
        <v>0</v>
      </c>
      <c r="O13" s="38">
        <f t="shared" ca="1" si="8"/>
        <v>0</v>
      </c>
      <c r="P13" s="38">
        <f t="shared" ca="1" si="9"/>
        <v>0</v>
      </c>
      <c r="Q13" s="65">
        <f t="shared" ca="1" si="10"/>
        <v>0</v>
      </c>
      <c r="R13" s="129">
        <f t="shared" ca="1" si="11"/>
        <v>0</v>
      </c>
      <c r="S13" s="129">
        <f t="shared" ca="1" si="12"/>
        <v>0</v>
      </c>
      <c r="T13" s="129">
        <f t="shared" ca="1" si="13"/>
        <v>0</v>
      </c>
      <c r="U13" s="129">
        <f t="shared" ca="1" si="14"/>
        <v>0</v>
      </c>
      <c r="V13" s="148">
        <f t="shared" ca="1" si="15"/>
        <v>0</v>
      </c>
      <c r="W13" s="125" cm="1">
        <f t="array" aca="1" ref="W13" ca="1">SUM(IFERROR(M13:V13,0))</f>
        <v>0</v>
      </c>
    </row>
    <row r="14" spans="1:23" ht="13.5" thickBot="1" x14ac:dyDescent="0.25">
      <c r="A14" s="327">
        <v>12</v>
      </c>
      <c r="B14" s="277" t="s">
        <v>33</v>
      </c>
      <c r="C14" s="278">
        <v>645</v>
      </c>
      <c r="D14" s="62" cm="1">
        <f t="array" aca="1" ref="D14" ca="1">INDIRECT("'Bureau " &amp; ROW()-2 &amp; "'!$B$8")</f>
        <v>0</v>
      </c>
      <c r="E14" s="159" cm="1">
        <f t="array" aca="1" ref="E14" ca="1">INDIRECT("'Bureau " &amp; ROW()-2 &amp; "'!$B$7")</f>
        <v>0</v>
      </c>
      <c r="F14" s="160">
        <f t="shared" ca="1" si="0"/>
        <v>645</v>
      </c>
      <c r="G14" s="37">
        <f t="shared" ca="1" si="1"/>
        <v>0</v>
      </c>
      <c r="H14" s="37">
        <f t="shared" ca="1" si="2"/>
        <v>0</v>
      </c>
      <c r="I14" s="142">
        <f t="shared" ca="1" si="3"/>
        <v>0</v>
      </c>
      <c r="J14" s="154">
        <f t="shared" ca="1" si="4"/>
        <v>0</v>
      </c>
      <c r="K14" s="172">
        <f t="shared" ca="1" si="5"/>
        <v>1</v>
      </c>
      <c r="L14" s="333">
        <v>12</v>
      </c>
      <c r="M14" s="132">
        <f t="shared" ca="1" si="6"/>
        <v>0</v>
      </c>
      <c r="N14" s="132">
        <f t="shared" ca="1" si="7"/>
        <v>0</v>
      </c>
      <c r="O14" s="132">
        <f t="shared" ca="1" si="8"/>
        <v>0</v>
      </c>
      <c r="P14" s="132">
        <f t="shared" ca="1" si="9"/>
        <v>0</v>
      </c>
      <c r="Q14" s="133">
        <f t="shared" ca="1" si="10"/>
        <v>0</v>
      </c>
      <c r="R14" s="130">
        <f t="shared" ca="1" si="11"/>
        <v>0</v>
      </c>
      <c r="S14" s="130">
        <f t="shared" ca="1" si="12"/>
        <v>0</v>
      </c>
      <c r="T14" s="130">
        <f t="shared" ca="1" si="13"/>
        <v>0</v>
      </c>
      <c r="U14" s="130">
        <f t="shared" ca="1" si="14"/>
        <v>0</v>
      </c>
      <c r="V14" s="149">
        <f t="shared" ca="1" si="15"/>
        <v>0</v>
      </c>
      <c r="W14" s="126" cm="1">
        <f t="array" aca="1" ref="W14" ca="1">SUM(IFERROR(M14:V14,0))</f>
        <v>0</v>
      </c>
    </row>
    <row r="15" spans="1:23" ht="15.75" customHeight="1" x14ac:dyDescent="0.25">
      <c r="A15" s="384" t="s">
        <v>11</v>
      </c>
      <c r="B15" s="385"/>
      <c r="C15" s="319" cm="1">
        <f t="array" ref="C15">SUM(IFERROR(C3:C14,0))</f>
        <v>7742</v>
      </c>
      <c r="D15" s="60" cm="1">
        <f t="array" aca="1" ref="D15" ca="1">SUM(IFERROR(D3:D14,0))</f>
        <v>0</v>
      </c>
      <c r="E15" s="105" cm="1">
        <f t="array" aca="1" ref="E15" ca="1">SUM(IFERROR(E3:E14,0))</f>
        <v>0</v>
      </c>
      <c r="F15" s="105" cm="1">
        <f t="array" aca="1" ref="F15" ca="1">SUM(IFERROR(F3:F14,0))</f>
        <v>7742</v>
      </c>
      <c r="G15" s="48" cm="1">
        <f t="array" aca="1" ref="G15" ca="1">SUM(IFERROR(G3:G14,0))</f>
        <v>0</v>
      </c>
      <c r="H15" s="49" cm="1">
        <f t="array" aca="1" ref="H15" ca="1">SUM(IFERROR(H3:H14,0))</f>
        <v>0</v>
      </c>
      <c r="I15" s="143" cm="1">
        <f t="array" aca="1" ref="I15" ca="1">SUM(IFERROR(I3:I14,0))</f>
        <v>0</v>
      </c>
      <c r="J15" s="150">
        <f ca="1">E15</f>
        <v>0</v>
      </c>
      <c r="K15" s="151" cm="1">
        <f t="array" aca="1" ref="K15" ca="1">SUM(IFERROR(F3:F14,0))</f>
        <v>7742</v>
      </c>
      <c r="L15" s="334" t="s">
        <v>5</v>
      </c>
      <c r="M15" s="134" cm="1">
        <f t="array" aca="1" ref="M15" ca="1">SUM(IFERROR(M3:M14,0))</f>
        <v>0</v>
      </c>
      <c r="N15" s="134" cm="1">
        <f t="array" aca="1" ref="N15" ca="1">SUM(IFERROR(N3:N14,0))</f>
        <v>0</v>
      </c>
      <c r="O15" s="134" cm="1">
        <f t="array" aca="1" ref="O15" ca="1">SUM(IFERROR(O3:O14,0))</f>
        <v>0</v>
      </c>
      <c r="P15" s="134" cm="1">
        <f t="array" aca="1" ref="P15" ca="1">SUM(IFERROR(P3:P14,0))</f>
        <v>0</v>
      </c>
      <c r="Q15" s="135" cm="1">
        <f t="array" aca="1" ref="Q15" ca="1">SUM(IFERROR(Q3:Q14,0))</f>
        <v>0</v>
      </c>
      <c r="R15" s="136" cm="1">
        <f t="array" aca="1" ref="R15" ca="1">SUM(IFERROR(R3:R14,0))</f>
        <v>0</v>
      </c>
      <c r="S15" s="136" cm="1">
        <f t="array" aca="1" ref="S15" ca="1">SUM(IFERROR(S3:S14,0))</f>
        <v>0</v>
      </c>
      <c r="T15" s="136" cm="1">
        <f t="array" aca="1" ref="T15" ca="1">SUM(IFERROR(T3:T14,0))</f>
        <v>0</v>
      </c>
      <c r="U15" s="136" cm="1">
        <f t="array" aca="1" ref="U15" ca="1">SUM(IFERROR(U3:U14,0))</f>
        <v>0</v>
      </c>
      <c r="V15" s="137" cm="1">
        <f t="array" aca="1" ref="V15" ca="1">SUM(IFERROR(V3:V14,0))</f>
        <v>0</v>
      </c>
      <c r="W15" s="127" cm="1">
        <f t="array" aca="1" ref="W15" ca="1">SUM(IFERROR(W3:W14,0))</f>
        <v>0</v>
      </c>
    </row>
    <row r="16" spans="1:23" ht="15.75" customHeight="1" thickBot="1" x14ac:dyDescent="0.3">
      <c r="A16" s="386" t="s">
        <v>12</v>
      </c>
      <c r="B16" s="387"/>
      <c r="C16" s="331"/>
      <c r="D16" s="50">
        <f t="shared" ref="D16:K16" ca="1" si="16">D15/$C15</f>
        <v>0</v>
      </c>
      <c r="E16" s="106">
        <f t="shared" ca="1" si="16"/>
        <v>0</v>
      </c>
      <c r="F16" s="106">
        <f t="shared" ca="1" si="16"/>
        <v>1</v>
      </c>
      <c r="G16" s="50">
        <f t="shared" ca="1" si="16"/>
        <v>0</v>
      </c>
      <c r="H16" s="51">
        <f t="shared" ca="1" si="16"/>
        <v>0</v>
      </c>
      <c r="I16" s="54">
        <f t="shared" ca="1" si="16"/>
        <v>0</v>
      </c>
      <c r="J16" s="138">
        <f ca="1">J15/$C15</f>
        <v>0</v>
      </c>
      <c r="K16" s="53">
        <f t="shared" ca="1" si="16"/>
        <v>1</v>
      </c>
      <c r="L16" s="335" t="s">
        <v>12</v>
      </c>
      <c r="M16" s="63">
        <f ca="1">IFERROR(M15/$I15,0)</f>
        <v>0</v>
      </c>
      <c r="N16" s="63">
        <f t="shared" ref="N16:W16" ca="1" si="17">IFERROR(N15/$I15,0)</f>
        <v>0</v>
      </c>
      <c r="O16" s="63">
        <f t="shared" ca="1" si="17"/>
        <v>0</v>
      </c>
      <c r="P16" s="63">
        <f t="shared" ca="1" si="17"/>
        <v>0</v>
      </c>
      <c r="Q16" s="64">
        <f ca="1">IFERROR(Q15/$I15,0)</f>
        <v>0</v>
      </c>
      <c r="R16" s="139">
        <f t="shared" ref="R16:V16" ca="1" si="18">IFERROR(R15/$I15,0)</f>
        <v>0</v>
      </c>
      <c r="S16" s="139">
        <f t="shared" ca="1" si="18"/>
        <v>0</v>
      </c>
      <c r="T16" s="139">
        <f t="shared" ca="1" si="18"/>
        <v>0</v>
      </c>
      <c r="U16" s="139">
        <f t="shared" ca="1" si="18"/>
        <v>0</v>
      </c>
      <c r="V16" s="140">
        <f t="shared" ca="1" si="18"/>
        <v>0</v>
      </c>
      <c r="W16" s="128">
        <f t="shared" ca="1" si="17"/>
        <v>0</v>
      </c>
    </row>
    <row r="17" spans="1:23" ht="12.75" x14ac:dyDescent="0.2">
      <c r="A17" s="328" t="s">
        <v>13</v>
      </c>
      <c r="B17" s="235">
        <v>46082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ht="12.75" x14ac:dyDescent="0.2">
      <c r="A18" s="329" t="s">
        <v>14</v>
      </c>
      <c r="B18" s="236" t="s">
        <v>24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ht="13.5" thickBot="1" x14ac:dyDescent="0.25">
      <c r="A19" s="330" t="s">
        <v>15</v>
      </c>
      <c r="B19" s="237" t="s">
        <v>16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ht="12.75" x14ac:dyDescent="0.2">
      <c r="A20" s="1"/>
      <c r="B20" s="1"/>
      <c r="C20" s="2"/>
      <c r="D20" s="3"/>
      <c r="E20" s="3"/>
      <c r="F20" s="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ht="12.75" x14ac:dyDescent="0.2">
      <c r="A21" s="1"/>
      <c r="B21" s="1"/>
      <c r="C21" s="4"/>
      <c r="D21" s="3"/>
      <c r="E21" s="3"/>
      <c r="F21" s="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ht="12.75" x14ac:dyDescent="0.2">
      <c r="A22" s="1"/>
      <c r="B22" s="1"/>
      <c r="C22" s="5"/>
      <c r="D22" s="3"/>
      <c r="E22" s="6"/>
      <c r="F22" s="6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ht="12.75" x14ac:dyDescent="0.2">
      <c r="A23" s="1"/>
      <c r="B23" s="1"/>
      <c r="C23" s="7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ht="12.75" x14ac:dyDescent="0.2">
      <c r="A24" s="39" t="s">
        <v>28</v>
      </c>
      <c r="B24" s="40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ht="12.75" x14ac:dyDescent="0.2">
      <c r="A25" s="39" t="s">
        <v>29</v>
      </c>
      <c r="B25" s="40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ht="12.75" x14ac:dyDescent="0.2">
      <c r="A26" s="1"/>
      <c r="B26" s="8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ht="12.75" x14ac:dyDescent="0.2">
      <c r="A27" s="1"/>
      <c r="B27" s="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ht="12.75" x14ac:dyDescent="0.2">
      <c r="A28" s="1"/>
      <c r="B28" s="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ht="12.75" x14ac:dyDescent="0.2">
      <c r="A29" s="1"/>
      <c r="B29" s="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ht="12.75" x14ac:dyDescent="0.2">
      <c r="A30" s="41" t="s">
        <v>20</v>
      </c>
      <c r="B30" s="4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ht="12.75" x14ac:dyDescent="0.2">
      <c r="A31" s="43" t="s">
        <v>21</v>
      </c>
      <c r="B31" s="4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ht="12.75" x14ac:dyDescent="0.2">
      <c r="A32" s="41" t="s">
        <v>22</v>
      </c>
      <c r="B32" s="42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</sheetData>
  <mergeCells count="12">
    <mergeCell ref="K1:K2"/>
    <mergeCell ref="J1:J2"/>
    <mergeCell ref="A15:B15"/>
    <mergeCell ref="A16:B16"/>
    <mergeCell ref="A1:B2"/>
    <mergeCell ref="C1:C2"/>
    <mergeCell ref="D1:D2"/>
    <mergeCell ref="E1:E2"/>
    <mergeCell ref="G1:G2"/>
    <mergeCell ref="H1:H2"/>
    <mergeCell ref="I1:I2"/>
    <mergeCell ref="F1:F2"/>
  </mergeCells>
  <phoneticPr fontId="28" type="noConversion"/>
  <conditionalFormatting sqref="D16:W16">
    <cfRule type="cellIs" dxfId="445" priority="19" operator="greaterThan">
      <formula>"100%"</formula>
    </cfRule>
  </conditionalFormatting>
  <conditionalFormatting sqref="J3:J14">
    <cfRule type="cellIs" dxfId="444" priority="25" operator="notBetween">
      <formula>0</formula>
      <formula>"100%"</formula>
    </cfRule>
  </conditionalFormatting>
  <conditionalFormatting sqref="F3:F14 K3:K14">
    <cfRule type="cellIs" dxfId="443" priority="24" operator="lessThan">
      <formula>0</formula>
    </cfRule>
  </conditionalFormatting>
  <conditionalFormatting sqref="M15:V15">
    <cfRule type="colorScale" priority="21">
      <colorScale>
        <cfvo type="min"/>
        <cfvo type="max"/>
        <color theme="0" tint="-0.14999847407452621"/>
        <color theme="0" tint="-0.34998626667073579"/>
      </colorScale>
    </cfRule>
  </conditionalFormatting>
  <conditionalFormatting sqref="M16:V16">
    <cfRule type="colorScale" priority="22">
      <colorScale>
        <cfvo type="percent" val="0"/>
        <cfvo type="max"/>
        <color theme="0" tint="-0.14999847407452621"/>
        <color theme="0" tint="-0.34998626667073579"/>
      </colorScale>
    </cfRule>
  </conditionalFormatting>
  <conditionalFormatting sqref="M3:W16">
    <cfRule type="cellIs" dxfId="442" priority="3" operator="lessThan">
      <formula>0</formula>
    </cfRule>
  </conditionalFormatting>
  <conditionalFormatting sqref="W3:W14">
    <cfRule type="cellIs" dxfId="441" priority="5" operator="equal">
      <formula>I3</formula>
    </cfRule>
  </conditionalFormatting>
  <conditionalFormatting sqref="W3:W16">
    <cfRule type="cellIs" dxfId="440" priority="1" operator="equal">
      <formula>0</formula>
    </cfRule>
  </conditionalFormatting>
  <conditionalFormatting sqref="W15">
    <cfRule type="cellIs" dxfId="439" priority="2" operator="equal">
      <formula>$I$15</formula>
    </cfRule>
    <cfRule type="cellIs" dxfId="438" priority="4" operator="lessThan">
      <formula>E14</formula>
    </cfRule>
  </conditionalFormatting>
  <conditionalFormatting sqref="W16">
    <cfRule type="cellIs" dxfId="437" priority="18" operator="equal">
      <formula>1</formula>
    </cfRule>
    <cfRule type="cellIs" dxfId="436" priority="23" operator="lessThan">
      <formula>1</formula>
    </cfRule>
  </conditionalFormatting>
  <pageMargins left="0.25" right="0.25" top="0.75" bottom="0.75" header="0.3" footer="0.3"/>
  <pageSetup paperSize="9" scale="69" orientation="landscape" r:id="rId1"/>
  <ignoredErrors>
    <ignoredError sqref="J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UniformiserCouleursDepouillement_parPoint">
                <anchor moveWithCells="1" sizeWithCells="1">
                  <from>
                    <xdr:col>24</xdr:col>
                    <xdr:colOff>561975</xdr:colOff>
                    <xdr:row>11</xdr:row>
                    <xdr:rowOff>19050</xdr:rowOff>
                  </from>
                  <to>
                    <xdr:col>27</xdr:col>
                    <xdr:colOff>333375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4" tint="0.39997558519241921"/>
    <outlinePr summaryBelow="0" summaryRight="0"/>
  </sheetPr>
  <dimension ref="A1:AQ50"/>
  <sheetViews>
    <sheetView zoomScale="85" zoomScaleNormal="85" workbookViewId="0">
      <pane xSplit="2" topLeftCell="C1" activePane="topRight" state="frozen"/>
      <selection pane="topRight" activeCell="AI19" sqref="AI19"/>
    </sheetView>
  </sheetViews>
  <sheetFormatPr baseColWidth="10" defaultColWidth="13.7109375" defaultRowHeight="15.75" customHeight="1" x14ac:dyDescent="0.2"/>
  <cols>
    <col min="1" max="1" width="6.85546875" customWidth="1"/>
    <col min="2" max="2" width="23" bestFit="1" customWidth="1"/>
    <col min="3" max="3" width="7.140625" customWidth="1"/>
    <col min="4" max="4" width="8.140625" customWidth="1"/>
    <col min="5" max="5" width="10.5703125" customWidth="1"/>
    <col min="6" max="6" width="8.5703125" customWidth="1"/>
    <col min="7" max="30" width="6.7109375" customWidth="1"/>
    <col min="31" max="31" width="10.140625" customWidth="1"/>
    <col min="43" max="43" width="16.42578125" customWidth="1"/>
  </cols>
  <sheetData>
    <row r="1" spans="1:43" ht="13.5" thickBot="1" x14ac:dyDescent="0.25">
      <c r="A1" s="415" t="s">
        <v>17</v>
      </c>
      <c r="B1" s="416"/>
      <c r="C1" s="426" t="s">
        <v>2</v>
      </c>
      <c r="D1" s="423"/>
      <c r="E1" s="405"/>
      <c r="F1" s="82" t="s">
        <v>0</v>
      </c>
      <c r="G1" s="415" t="s">
        <v>36</v>
      </c>
      <c r="H1" s="416"/>
      <c r="I1" s="415" t="s">
        <v>37</v>
      </c>
      <c r="J1" s="416"/>
      <c r="K1" s="415" t="s">
        <v>38</v>
      </c>
      <c r="L1" s="416"/>
      <c r="M1" s="404" t="s">
        <v>39</v>
      </c>
      <c r="N1" s="405"/>
      <c r="O1" s="415" t="s">
        <v>40</v>
      </c>
      <c r="P1" s="416"/>
      <c r="Q1" s="404" t="s">
        <v>41</v>
      </c>
      <c r="R1" s="423"/>
      <c r="S1" s="424" t="s">
        <v>42</v>
      </c>
      <c r="T1" s="425"/>
      <c r="U1" s="426" t="s">
        <v>43</v>
      </c>
      <c r="V1" s="405"/>
      <c r="W1" s="415" t="s">
        <v>44</v>
      </c>
      <c r="X1" s="416"/>
      <c r="Y1" s="404" t="s">
        <v>45</v>
      </c>
      <c r="Z1" s="405"/>
      <c r="AA1" s="411" t="s">
        <v>46</v>
      </c>
      <c r="AB1" s="412"/>
      <c r="AC1" s="413" t="s">
        <v>47</v>
      </c>
      <c r="AD1" s="414"/>
      <c r="AE1" s="198" t="s">
        <v>17</v>
      </c>
      <c r="AF1" s="199" t="s">
        <v>36</v>
      </c>
      <c r="AG1" s="200" t="s">
        <v>37</v>
      </c>
      <c r="AH1" s="200" t="s">
        <v>38</v>
      </c>
      <c r="AI1" s="200" t="s">
        <v>39</v>
      </c>
      <c r="AJ1" s="200" t="s">
        <v>40</v>
      </c>
      <c r="AK1" s="200" t="s">
        <v>41</v>
      </c>
      <c r="AL1" s="200" t="s">
        <v>42</v>
      </c>
      <c r="AM1" s="200" t="s">
        <v>43</v>
      </c>
      <c r="AN1" s="200" t="s">
        <v>44</v>
      </c>
      <c r="AO1" s="201" t="s">
        <v>45</v>
      </c>
      <c r="AP1" s="179" t="s">
        <v>46</v>
      </c>
      <c r="AQ1" s="178" t="s">
        <v>47</v>
      </c>
    </row>
    <row r="2" spans="1:43" ht="15.75" customHeight="1" x14ac:dyDescent="0.2">
      <c r="A2" s="44">
        <v>1</v>
      </c>
      <c r="B2" s="45" t="str" cm="1">
        <f t="array" aca="1" ref="B2" ca="1">INDIRECT("'Synthèse'!"  &amp; "$B" &amp; ROW()+1)</f>
        <v>Hôtel de ville</v>
      </c>
      <c r="C2" s="21">
        <f ca="1">MAX(G2,I2,K2,M2,O2,Q2,S2,U2,W2,Y2,AA2,AC2)</f>
        <v>0</v>
      </c>
      <c r="D2" s="23">
        <f t="shared" ref="D2:D14" ca="1" si="0">C2/$F2</f>
        <v>0</v>
      </c>
      <c r="E2" s="26">
        <f ca="1">D2</f>
        <v>0</v>
      </c>
      <c r="F2" s="84">
        <f>Synthèse!C3</f>
        <v>506</v>
      </c>
      <c r="G2" s="184" cm="1">
        <f t="array" aca="1" ref="G2" ca="1">INDIRECT("'Bureau " &amp; ROW()-1 &amp; "'!$W4")</f>
        <v>0</v>
      </c>
      <c r="H2" s="73">
        <f t="shared" ref="H2:H13" ca="1" si="1">G2/$F2</f>
        <v>0</v>
      </c>
      <c r="I2" s="185" cm="1">
        <f t="array" aca="1" ref="I2" ca="1">INDIRECT("'Bureau " &amp; ROW()-1 &amp; "'!$W5")</f>
        <v>0</v>
      </c>
      <c r="J2" s="73">
        <f t="shared" ref="J2:J14" ca="1" si="2">I2/$F2</f>
        <v>0</v>
      </c>
      <c r="K2" s="185" cm="1">
        <f t="array" aca="1" ref="K2" ca="1">INDIRECT("'Bureau " &amp; ROW()-1 &amp; "'!$W6")</f>
        <v>0</v>
      </c>
      <c r="L2" s="74">
        <f t="shared" ref="L2:L14" ca="1" si="3">K2/$F2</f>
        <v>0</v>
      </c>
      <c r="M2" s="186" cm="1">
        <f t="array" aca="1" ref="M2" ca="1">INDIRECT("'Bureau " &amp; ROW()-1 &amp; "'!$W7")</f>
        <v>0</v>
      </c>
      <c r="N2" s="88">
        <f t="shared" ref="N2:N14" ca="1" si="4">M2/$F2</f>
        <v>0</v>
      </c>
      <c r="O2" s="187" cm="1">
        <f t="array" aca="1" ref="O2" ca="1">INDIRECT("'Bureau " &amp; ROW()-1 &amp; "'!$W8")</f>
        <v>0</v>
      </c>
      <c r="P2" s="74">
        <f t="shared" ref="P2:P14" ca="1" si="5">O2/$F2</f>
        <v>0</v>
      </c>
      <c r="Q2" s="186" cm="1">
        <f t="array" aca="1" ref="Q2" ca="1">INDIRECT("'Bureau " &amp; ROW()-1 &amp; "'!$W9")</f>
        <v>0</v>
      </c>
      <c r="R2" s="88">
        <f t="shared" ref="R2:R14" ca="1" si="6">Q2/$F2</f>
        <v>0</v>
      </c>
      <c r="S2" s="188" cm="1">
        <f t="array" aca="1" ref="S2" ca="1">INDIRECT("'Bureau " &amp; ROW()-1 &amp; "'!$W10")</f>
        <v>0</v>
      </c>
      <c r="T2" s="161">
        <f t="shared" ref="T2:T14" ca="1" si="7">S2/$F2</f>
        <v>0</v>
      </c>
      <c r="U2" s="186" cm="1">
        <f t="array" aca="1" ref="U2" ca="1">INDIRECT("'Bureau " &amp; ROW()-1 &amp; "'!$W11")</f>
        <v>0</v>
      </c>
      <c r="V2" s="88">
        <f t="shared" ref="V2:V14" ca="1" si="8">U2/$F2</f>
        <v>0</v>
      </c>
      <c r="W2" s="187" cm="1">
        <f t="array" aca="1" ref="W2" ca="1">INDIRECT("'Bureau " &amp; ROW()-1 &amp; "'!$W12")</f>
        <v>0</v>
      </c>
      <c r="X2" s="74">
        <f t="shared" ref="X2:X14" ca="1" si="9">W2/$F2</f>
        <v>0</v>
      </c>
      <c r="Y2" s="189" cm="1">
        <f t="array" aca="1" ref="Y2" ca="1">INDIRECT("'Bureau " &amp; ROW()-1 &amp; "'!$W13")</f>
        <v>0</v>
      </c>
      <c r="Z2" s="162">
        <f t="shared" ref="Z2:Z14" ca="1" si="10">Y2/$F2</f>
        <v>0</v>
      </c>
      <c r="AA2" s="190" cm="1">
        <f t="array" aca="1" ref="AA2" ca="1">INDIRECT("'Bureau " &amp; ROW()-1 &amp; "'!$W14")</f>
        <v>0</v>
      </c>
      <c r="AB2" s="79">
        <f t="shared" ref="AB2:AB14" ca="1" si="11">AA2/$F2</f>
        <v>0</v>
      </c>
      <c r="AC2" s="191" cm="1">
        <f t="array" aca="1" ref="AC2" ca="1">INDIRECT("'Bureau " &amp; ROW()-1 &amp; "'!$W15")</f>
        <v>0</v>
      </c>
      <c r="AD2" s="173">
        <f t="shared" ref="AD2:AD14" ca="1" si="12">AC2/$F2</f>
        <v>0</v>
      </c>
      <c r="AE2" s="202">
        <v>1</v>
      </c>
      <c r="AF2" s="203"/>
      <c r="AG2" s="204"/>
      <c r="AH2" s="204"/>
      <c r="AI2" s="204"/>
      <c r="AJ2" s="204"/>
      <c r="AK2" s="204"/>
      <c r="AL2" s="204"/>
      <c r="AM2" s="204"/>
      <c r="AN2" s="204"/>
      <c r="AO2" s="205"/>
      <c r="AP2" s="180"/>
      <c r="AQ2" s="177"/>
    </row>
    <row r="3" spans="1:43" ht="15.75" customHeight="1" x14ac:dyDescent="0.2">
      <c r="A3" s="44">
        <v>2</v>
      </c>
      <c r="B3" s="45" t="str" cm="1">
        <f t="array" aca="1" ref="B3" ca="1">INDIRECT("'Synthèse'!"  &amp; "$B" &amp; ROW()+1)</f>
        <v>Gymnase B</v>
      </c>
      <c r="C3" s="22">
        <f t="shared" ref="C3:C13" ca="1" si="13">MAX(G3,I3,K3,M3,O3,Q3,S3,U3,W3,Y3,AA3,AC3)</f>
        <v>0</v>
      </c>
      <c r="D3" s="24">
        <f t="shared" ca="1" si="0"/>
        <v>0</v>
      </c>
      <c r="E3" s="27">
        <f t="shared" ref="E3:E14" ca="1" si="14">D3</f>
        <v>0</v>
      </c>
      <c r="F3" s="85">
        <f>Synthèse!C4</f>
        <v>700</v>
      </c>
      <c r="G3" s="184" cm="1">
        <f t="array" aca="1" ref="G3" ca="1">INDIRECT("'Bureau " &amp; ROW()-1 &amp; "'!$W4")</f>
        <v>0</v>
      </c>
      <c r="H3" s="75">
        <f t="shared" ca="1" si="1"/>
        <v>0</v>
      </c>
      <c r="I3" s="185" cm="1">
        <f t="array" aca="1" ref="I3" ca="1">INDIRECT("'Bureau " &amp; ROW()-1 &amp; "'!$W5")</f>
        <v>0</v>
      </c>
      <c r="J3" s="75">
        <f t="shared" ca="1" si="2"/>
        <v>0</v>
      </c>
      <c r="K3" s="185" cm="1">
        <f t="array" aca="1" ref="K3" ca="1">INDIRECT("'Bureau " &amp; ROW()-1 &amp; "'!$W6")</f>
        <v>0</v>
      </c>
      <c r="L3" s="76">
        <f t="shared" ca="1" si="3"/>
        <v>0</v>
      </c>
      <c r="M3" s="192" cm="1">
        <f t="array" aca="1" ref="M3" ca="1">INDIRECT("'Bureau " &amp; ROW()-1 &amp; "'!$W7")</f>
        <v>0</v>
      </c>
      <c r="N3" s="89">
        <f t="shared" ca="1" si="4"/>
        <v>0</v>
      </c>
      <c r="O3" s="187" cm="1">
        <f t="array" aca="1" ref="O3" ca="1">INDIRECT("'Bureau " &amp; ROW()-1 &amp; "'!$W8")</f>
        <v>0</v>
      </c>
      <c r="P3" s="76">
        <f t="shared" ca="1" si="5"/>
        <v>0</v>
      </c>
      <c r="Q3" s="192" cm="1">
        <f t="array" aca="1" ref="Q3" ca="1">INDIRECT("'Bureau " &amp; ROW()-1 &amp; "'!$W9")</f>
        <v>0</v>
      </c>
      <c r="R3" s="89">
        <f t="shared" ca="1" si="6"/>
        <v>0</v>
      </c>
      <c r="S3" s="188" cm="1">
        <f t="array" aca="1" ref="S3" ca="1">INDIRECT("'Bureau " &amp; ROW()-1 &amp; "'!$W10")</f>
        <v>0</v>
      </c>
      <c r="T3" s="24">
        <f t="shared" ca="1" si="7"/>
        <v>0</v>
      </c>
      <c r="U3" s="192" cm="1">
        <f t="array" aca="1" ref="U3" ca="1">INDIRECT("'Bureau " &amp; ROW()-1 &amp; "'!$W11")</f>
        <v>0</v>
      </c>
      <c r="V3" s="89">
        <f t="shared" ca="1" si="8"/>
        <v>0</v>
      </c>
      <c r="W3" s="187" cm="1">
        <f t="array" aca="1" ref="W3" ca="1">INDIRECT("'Bureau " &amp; ROW()-1 &amp; "'!$W12")</f>
        <v>0</v>
      </c>
      <c r="X3" s="76">
        <f t="shared" ca="1" si="9"/>
        <v>0</v>
      </c>
      <c r="Y3" s="193" cm="1">
        <f t="array" aca="1" ref="Y3" ca="1">INDIRECT("'Bureau " &amp; ROW()-1 &amp; "'!$W13")</f>
        <v>0</v>
      </c>
      <c r="Z3" s="163">
        <f t="shared" ca="1" si="10"/>
        <v>0</v>
      </c>
      <c r="AA3" s="190" cm="1">
        <f t="array" aca="1" ref="AA3" ca="1">INDIRECT("'Bureau " &amp; ROW()-1 &amp; "'!$W14")</f>
        <v>0</v>
      </c>
      <c r="AB3" s="80">
        <f t="shared" ca="1" si="11"/>
        <v>0</v>
      </c>
      <c r="AC3" s="191" cm="1">
        <f t="array" aca="1" ref="AC3" ca="1">INDIRECT("'Bureau " &amp; ROW()-1 &amp; "'!$W15")</f>
        <v>0</v>
      </c>
      <c r="AD3" s="174">
        <f t="shared" ca="1" si="12"/>
        <v>0</v>
      </c>
      <c r="AE3" s="202">
        <v>2</v>
      </c>
      <c r="AF3" s="206"/>
      <c r="AG3" s="207"/>
      <c r="AH3" s="207"/>
      <c r="AI3" s="207"/>
      <c r="AJ3" s="207"/>
      <c r="AK3" s="207"/>
      <c r="AL3" s="207"/>
      <c r="AM3" s="207"/>
      <c r="AN3" s="207"/>
      <c r="AO3" s="208"/>
      <c r="AP3" s="181"/>
      <c r="AQ3" s="176"/>
    </row>
    <row r="4" spans="1:43" ht="15.75" customHeight="1" x14ac:dyDescent="0.2">
      <c r="A4" s="44">
        <v>3</v>
      </c>
      <c r="B4" s="45" t="str" cm="1">
        <f t="array" aca="1" ref="B4" ca="1">INDIRECT("'Synthèse'!"  &amp; "$B" &amp; ROW()+1)</f>
        <v>Gymnase B</v>
      </c>
      <c r="C4" s="22">
        <f t="shared" ca="1" si="13"/>
        <v>0</v>
      </c>
      <c r="D4" s="24">
        <f t="shared" ca="1" si="0"/>
        <v>0</v>
      </c>
      <c r="E4" s="27">
        <f t="shared" ca="1" si="14"/>
        <v>0</v>
      </c>
      <c r="F4" s="85">
        <f>Synthèse!C5</f>
        <v>669</v>
      </c>
      <c r="G4" s="184" cm="1">
        <f t="array" aca="1" ref="G4" ca="1">INDIRECT("'Bureau " &amp; ROW()-1 &amp; "'!$W4")</f>
        <v>0</v>
      </c>
      <c r="H4" s="75">
        <f t="shared" ca="1" si="1"/>
        <v>0</v>
      </c>
      <c r="I4" s="185" cm="1">
        <f t="array" aca="1" ref="I4" ca="1">INDIRECT("'Bureau " &amp; ROW()-1 &amp; "'!$W5")</f>
        <v>0</v>
      </c>
      <c r="J4" s="75">
        <f t="shared" ca="1" si="2"/>
        <v>0</v>
      </c>
      <c r="K4" s="185" cm="1">
        <f t="array" aca="1" ref="K4" ca="1">INDIRECT("'Bureau " &amp; ROW()-1 &amp; "'!$W6")</f>
        <v>0</v>
      </c>
      <c r="L4" s="76">
        <f t="shared" ca="1" si="3"/>
        <v>0</v>
      </c>
      <c r="M4" s="192" cm="1">
        <f t="array" aca="1" ref="M4" ca="1">INDIRECT("'Bureau " &amp; ROW()-1 &amp; "'!$W7")</f>
        <v>0</v>
      </c>
      <c r="N4" s="89">
        <f t="shared" ca="1" si="4"/>
        <v>0</v>
      </c>
      <c r="O4" s="187" cm="1">
        <f t="array" aca="1" ref="O4" ca="1">INDIRECT("'Bureau " &amp; ROW()-1 &amp; "'!$W8")</f>
        <v>0</v>
      </c>
      <c r="P4" s="76">
        <f t="shared" ca="1" si="5"/>
        <v>0</v>
      </c>
      <c r="Q4" s="192" cm="1">
        <f t="array" aca="1" ref="Q4" ca="1">INDIRECT("'Bureau " &amp; ROW()-1 &amp; "'!$W9")</f>
        <v>0</v>
      </c>
      <c r="R4" s="89">
        <f t="shared" ca="1" si="6"/>
        <v>0</v>
      </c>
      <c r="S4" s="188" cm="1">
        <f t="array" aca="1" ref="S4" ca="1">INDIRECT("'Bureau " &amp; ROW()-1 &amp; "'!$W10")</f>
        <v>0</v>
      </c>
      <c r="T4" s="24">
        <f t="shared" ca="1" si="7"/>
        <v>0</v>
      </c>
      <c r="U4" s="192" cm="1">
        <f t="array" aca="1" ref="U4" ca="1">INDIRECT("'Bureau " &amp; ROW()-1 &amp; "'!$W11")</f>
        <v>0</v>
      </c>
      <c r="V4" s="89">
        <f t="shared" ca="1" si="8"/>
        <v>0</v>
      </c>
      <c r="W4" s="187" cm="1">
        <f t="array" aca="1" ref="W4" ca="1">INDIRECT("'Bureau " &amp; ROW()-1 &amp; "'!$W12")</f>
        <v>0</v>
      </c>
      <c r="X4" s="76">
        <f t="shared" ca="1" si="9"/>
        <v>0</v>
      </c>
      <c r="Y4" s="193" cm="1">
        <f t="array" aca="1" ref="Y4" ca="1">INDIRECT("'Bureau " &amp; ROW()-1 &amp; "'!$W13")</f>
        <v>0</v>
      </c>
      <c r="Z4" s="163">
        <f t="shared" ca="1" si="10"/>
        <v>0</v>
      </c>
      <c r="AA4" s="190" cm="1">
        <f t="array" aca="1" ref="AA4" ca="1">INDIRECT("'Bureau " &amp; ROW()-1 &amp; "'!$W14")</f>
        <v>0</v>
      </c>
      <c r="AB4" s="80">
        <f t="shared" ca="1" si="11"/>
        <v>0</v>
      </c>
      <c r="AC4" s="191" cm="1">
        <f t="array" aca="1" ref="AC4" ca="1">INDIRECT("'Bureau " &amp; ROW()-1 &amp; "'!$W15")</f>
        <v>0</v>
      </c>
      <c r="AD4" s="174">
        <f t="shared" ca="1" si="12"/>
        <v>0</v>
      </c>
      <c r="AE4" s="202">
        <v>3</v>
      </c>
      <c r="AF4" s="206"/>
      <c r="AG4" s="207"/>
      <c r="AH4" s="207"/>
      <c r="AI4" s="207"/>
      <c r="AJ4" s="207"/>
      <c r="AK4" s="207"/>
      <c r="AL4" s="207"/>
      <c r="AM4" s="207"/>
      <c r="AN4" s="207"/>
      <c r="AO4" s="208"/>
      <c r="AP4" s="181"/>
      <c r="AQ4" s="176"/>
    </row>
    <row r="5" spans="1:43" ht="15.75" customHeight="1" x14ac:dyDescent="0.2">
      <c r="A5" s="44">
        <v>4</v>
      </c>
      <c r="B5" s="45" t="str" cm="1">
        <f t="array" aca="1" ref="B5" ca="1">INDIRECT("'Synthèse'!"  &amp; "$B" &amp; ROW()+1)</f>
        <v>Gymnase B</v>
      </c>
      <c r="C5" s="22">
        <f t="shared" ca="1" si="13"/>
        <v>0</v>
      </c>
      <c r="D5" s="24">
        <f t="shared" ca="1" si="0"/>
        <v>0</v>
      </c>
      <c r="E5" s="27">
        <f t="shared" ca="1" si="14"/>
        <v>0</v>
      </c>
      <c r="F5" s="85">
        <f>Synthèse!C6</f>
        <v>651</v>
      </c>
      <c r="G5" s="184" cm="1">
        <f t="array" aca="1" ref="G5" ca="1">INDIRECT("'Bureau " &amp; ROW()-1 &amp; "'!$W4")</f>
        <v>0</v>
      </c>
      <c r="H5" s="75">
        <f t="shared" ca="1" si="1"/>
        <v>0</v>
      </c>
      <c r="I5" s="185" cm="1">
        <f t="array" aca="1" ref="I5" ca="1">INDIRECT("'Bureau " &amp; ROW()-1 &amp; "'!$W5")</f>
        <v>0</v>
      </c>
      <c r="J5" s="75">
        <f t="shared" ca="1" si="2"/>
        <v>0</v>
      </c>
      <c r="K5" s="185" cm="1">
        <f t="array" aca="1" ref="K5" ca="1">INDIRECT("'Bureau " &amp; ROW()-1 &amp; "'!$W6")</f>
        <v>0</v>
      </c>
      <c r="L5" s="76">
        <f t="shared" ca="1" si="3"/>
        <v>0</v>
      </c>
      <c r="M5" s="192" cm="1">
        <f t="array" aca="1" ref="M5" ca="1">INDIRECT("'Bureau " &amp; ROW()-1 &amp; "'!$W7")</f>
        <v>0</v>
      </c>
      <c r="N5" s="89">
        <f t="shared" ca="1" si="4"/>
        <v>0</v>
      </c>
      <c r="O5" s="187" cm="1">
        <f t="array" aca="1" ref="O5" ca="1">INDIRECT("'Bureau " &amp; ROW()-1 &amp; "'!$W8")</f>
        <v>0</v>
      </c>
      <c r="P5" s="76">
        <f t="shared" ca="1" si="5"/>
        <v>0</v>
      </c>
      <c r="Q5" s="192" cm="1">
        <f t="array" aca="1" ref="Q5" ca="1">INDIRECT("'Bureau " &amp; ROW()-1 &amp; "'!$W9")</f>
        <v>0</v>
      </c>
      <c r="R5" s="89">
        <f t="shared" ca="1" si="6"/>
        <v>0</v>
      </c>
      <c r="S5" s="188" cm="1">
        <f t="array" aca="1" ref="S5" ca="1">INDIRECT("'Bureau " &amp; ROW()-1 &amp; "'!$W10")</f>
        <v>0</v>
      </c>
      <c r="T5" s="24">
        <f t="shared" ca="1" si="7"/>
        <v>0</v>
      </c>
      <c r="U5" s="192" cm="1">
        <f t="array" aca="1" ref="U5" ca="1">INDIRECT("'Bureau " &amp; ROW()-1 &amp; "'!$W11")</f>
        <v>0</v>
      </c>
      <c r="V5" s="89">
        <f t="shared" ca="1" si="8"/>
        <v>0</v>
      </c>
      <c r="W5" s="187" cm="1">
        <f t="array" aca="1" ref="W5" ca="1">INDIRECT("'Bureau " &amp; ROW()-1 &amp; "'!$W12")</f>
        <v>0</v>
      </c>
      <c r="X5" s="76">
        <f t="shared" ca="1" si="9"/>
        <v>0</v>
      </c>
      <c r="Y5" s="193" cm="1">
        <f t="array" aca="1" ref="Y5" ca="1">INDIRECT("'Bureau " &amp; ROW()-1 &amp; "'!$W13")</f>
        <v>0</v>
      </c>
      <c r="Z5" s="163">
        <f t="shared" ca="1" si="10"/>
        <v>0</v>
      </c>
      <c r="AA5" s="190" cm="1">
        <f t="array" aca="1" ref="AA5" ca="1">INDIRECT("'Bureau " &amp; ROW()-1 &amp; "'!$W14")</f>
        <v>0</v>
      </c>
      <c r="AB5" s="80">
        <f t="shared" ca="1" si="11"/>
        <v>0</v>
      </c>
      <c r="AC5" s="191" cm="1">
        <f t="array" aca="1" ref="AC5" ca="1">INDIRECT("'Bureau " &amp; ROW()-1 &amp; "'!$W15")</f>
        <v>0</v>
      </c>
      <c r="AD5" s="174">
        <f t="shared" ca="1" si="12"/>
        <v>0</v>
      </c>
      <c r="AE5" s="202">
        <v>4</v>
      </c>
      <c r="AF5" s="206"/>
      <c r="AG5" s="207"/>
      <c r="AH5" s="207"/>
      <c r="AI5" s="207"/>
      <c r="AJ5" s="207"/>
      <c r="AK5" s="207"/>
      <c r="AL5" s="207"/>
      <c r="AM5" s="207"/>
      <c r="AN5" s="207"/>
      <c r="AO5" s="208"/>
      <c r="AP5" s="181"/>
      <c r="AQ5" s="176"/>
    </row>
    <row r="6" spans="1:43" ht="15.75" customHeight="1" x14ac:dyDescent="0.2">
      <c r="A6" s="44">
        <v>5</v>
      </c>
      <c r="B6" s="45" t="str" cm="1">
        <f t="array" aca="1" ref="B6" ca="1">INDIRECT("'Synthèse'!"  &amp; "$B" &amp; ROW()+1)</f>
        <v>COSEC</v>
      </c>
      <c r="C6" s="22">
        <f t="shared" ca="1" si="13"/>
        <v>0</v>
      </c>
      <c r="D6" s="24">
        <f t="shared" ca="1" si="0"/>
        <v>0</v>
      </c>
      <c r="E6" s="27">
        <f t="shared" ca="1" si="14"/>
        <v>0</v>
      </c>
      <c r="F6" s="85">
        <f>Synthèse!C7</f>
        <v>671</v>
      </c>
      <c r="G6" s="184" cm="1">
        <f t="array" aca="1" ref="G6" ca="1">INDIRECT("'Bureau " &amp; ROW()-1 &amp; "'!$W4")</f>
        <v>0</v>
      </c>
      <c r="H6" s="75">
        <f t="shared" ca="1" si="1"/>
        <v>0</v>
      </c>
      <c r="I6" s="185" cm="1">
        <f t="array" aca="1" ref="I6" ca="1">INDIRECT("'Bureau " &amp; ROW()-1 &amp; "'!$W5")</f>
        <v>0</v>
      </c>
      <c r="J6" s="75">
        <f t="shared" ca="1" si="2"/>
        <v>0</v>
      </c>
      <c r="K6" s="185" cm="1">
        <f t="array" aca="1" ref="K6" ca="1">INDIRECT("'Bureau " &amp; ROW()-1 &amp; "'!$W6")</f>
        <v>0</v>
      </c>
      <c r="L6" s="76">
        <f t="shared" ca="1" si="3"/>
        <v>0</v>
      </c>
      <c r="M6" s="192" cm="1">
        <f t="array" aca="1" ref="M6" ca="1">INDIRECT("'Bureau " &amp; ROW()-1 &amp; "'!$W7")</f>
        <v>0</v>
      </c>
      <c r="N6" s="89">
        <f t="shared" ca="1" si="4"/>
        <v>0</v>
      </c>
      <c r="O6" s="187" cm="1">
        <f t="array" aca="1" ref="O6" ca="1">INDIRECT("'Bureau " &amp; ROW()-1 &amp; "'!$W8")</f>
        <v>0</v>
      </c>
      <c r="P6" s="76">
        <f t="shared" ca="1" si="5"/>
        <v>0</v>
      </c>
      <c r="Q6" s="192" cm="1">
        <f t="array" aca="1" ref="Q6" ca="1">INDIRECT("'Bureau " &amp; ROW()-1 &amp; "'!$W9")</f>
        <v>0</v>
      </c>
      <c r="R6" s="89">
        <f t="shared" ca="1" si="6"/>
        <v>0</v>
      </c>
      <c r="S6" s="188" cm="1">
        <f t="array" aca="1" ref="S6" ca="1">INDIRECT("'Bureau " &amp; ROW()-1 &amp; "'!$W10")</f>
        <v>0</v>
      </c>
      <c r="T6" s="24">
        <f t="shared" ca="1" si="7"/>
        <v>0</v>
      </c>
      <c r="U6" s="192" cm="1">
        <f t="array" aca="1" ref="U6" ca="1">INDIRECT("'Bureau " &amp; ROW()-1 &amp; "'!$W11")</f>
        <v>0</v>
      </c>
      <c r="V6" s="89">
        <f t="shared" ca="1" si="8"/>
        <v>0</v>
      </c>
      <c r="W6" s="187" cm="1">
        <f t="array" aca="1" ref="W6" ca="1">INDIRECT("'Bureau " &amp; ROW()-1 &amp; "'!$W12")</f>
        <v>0</v>
      </c>
      <c r="X6" s="76">
        <f t="shared" ca="1" si="9"/>
        <v>0</v>
      </c>
      <c r="Y6" s="193" cm="1">
        <f t="array" aca="1" ref="Y6" ca="1">INDIRECT("'Bureau " &amp; ROW()-1 &amp; "'!$W13")</f>
        <v>0</v>
      </c>
      <c r="Z6" s="163">
        <f t="shared" ca="1" si="10"/>
        <v>0</v>
      </c>
      <c r="AA6" s="190" cm="1">
        <f t="array" aca="1" ref="AA6" ca="1">INDIRECT("'Bureau " &amp; ROW()-1 &amp; "'!$W14")</f>
        <v>0</v>
      </c>
      <c r="AB6" s="80">
        <f t="shared" ca="1" si="11"/>
        <v>0</v>
      </c>
      <c r="AC6" s="191" cm="1">
        <f t="array" aca="1" ref="AC6" ca="1">INDIRECT("'Bureau " &amp; ROW()-1 &amp; "'!$W15")</f>
        <v>0</v>
      </c>
      <c r="AD6" s="174">
        <f t="shared" ca="1" si="12"/>
        <v>0</v>
      </c>
      <c r="AE6" s="202">
        <v>5</v>
      </c>
      <c r="AF6" s="206"/>
      <c r="AG6" s="207"/>
      <c r="AH6" s="207"/>
      <c r="AI6" s="207"/>
      <c r="AJ6" s="207"/>
      <c r="AK6" s="207"/>
      <c r="AL6" s="207"/>
      <c r="AM6" s="207"/>
      <c r="AN6" s="207"/>
      <c r="AO6" s="208"/>
      <c r="AP6" s="181"/>
      <c r="AQ6" s="176"/>
    </row>
    <row r="7" spans="1:43" ht="15.75" customHeight="1" x14ac:dyDescent="0.2">
      <c r="A7" s="44">
        <v>6</v>
      </c>
      <c r="B7" s="45" t="str" cm="1">
        <f t="array" aca="1" ref="B7" ca="1">INDIRECT("'Synthèse'!"  &amp; "$B" &amp; ROW()+1)</f>
        <v>COSEC</v>
      </c>
      <c r="C7" s="22">
        <f t="shared" ca="1" si="13"/>
        <v>0</v>
      </c>
      <c r="D7" s="24">
        <f t="shared" ca="1" si="0"/>
        <v>0</v>
      </c>
      <c r="E7" s="27">
        <f t="shared" ca="1" si="14"/>
        <v>0</v>
      </c>
      <c r="F7" s="85">
        <f>Synthèse!C8</f>
        <v>687</v>
      </c>
      <c r="G7" s="184" cm="1">
        <f t="array" aca="1" ref="G7" ca="1">INDIRECT("'Bureau " &amp; ROW()-1 &amp; "'!$W4")</f>
        <v>0</v>
      </c>
      <c r="H7" s="75">
        <f t="shared" ca="1" si="1"/>
        <v>0</v>
      </c>
      <c r="I7" s="185" cm="1">
        <f t="array" aca="1" ref="I7" ca="1">INDIRECT("'Bureau " &amp; ROW()-1 &amp; "'!$W5")</f>
        <v>0</v>
      </c>
      <c r="J7" s="75">
        <f t="shared" ca="1" si="2"/>
        <v>0</v>
      </c>
      <c r="K7" s="185" cm="1">
        <f t="array" aca="1" ref="K7" ca="1">INDIRECT("'Bureau " &amp; ROW()-1 &amp; "'!$W6")</f>
        <v>0</v>
      </c>
      <c r="L7" s="76">
        <f t="shared" ca="1" si="3"/>
        <v>0</v>
      </c>
      <c r="M7" s="192" cm="1">
        <f t="array" aca="1" ref="M7" ca="1">INDIRECT("'Bureau " &amp; ROW()-1 &amp; "'!$W7")</f>
        <v>0</v>
      </c>
      <c r="N7" s="89">
        <f t="shared" ca="1" si="4"/>
        <v>0</v>
      </c>
      <c r="O7" s="187" cm="1">
        <f t="array" aca="1" ref="O7" ca="1">INDIRECT("'Bureau " &amp; ROW()-1 &amp; "'!$W8")</f>
        <v>0</v>
      </c>
      <c r="P7" s="76">
        <f t="shared" ca="1" si="5"/>
        <v>0</v>
      </c>
      <c r="Q7" s="192" cm="1">
        <f t="array" aca="1" ref="Q7" ca="1">INDIRECT("'Bureau " &amp; ROW()-1 &amp; "'!$W9")</f>
        <v>0</v>
      </c>
      <c r="R7" s="89">
        <f t="shared" ca="1" si="6"/>
        <v>0</v>
      </c>
      <c r="S7" s="188" cm="1">
        <f t="array" aca="1" ref="S7" ca="1">INDIRECT("'Bureau " &amp; ROW()-1 &amp; "'!$W10")</f>
        <v>0</v>
      </c>
      <c r="T7" s="24">
        <f t="shared" ca="1" si="7"/>
        <v>0</v>
      </c>
      <c r="U7" s="192" cm="1">
        <f t="array" aca="1" ref="U7" ca="1">INDIRECT("'Bureau " &amp; ROW()-1 &amp; "'!$W11")</f>
        <v>0</v>
      </c>
      <c r="V7" s="89">
        <f t="shared" ca="1" si="8"/>
        <v>0</v>
      </c>
      <c r="W7" s="187" cm="1">
        <f t="array" aca="1" ref="W7" ca="1">INDIRECT("'Bureau " &amp; ROW()-1 &amp; "'!$W12")</f>
        <v>0</v>
      </c>
      <c r="X7" s="76">
        <f t="shared" ca="1" si="9"/>
        <v>0</v>
      </c>
      <c r="Y7" s="193" cm="1">
        <f t="array" aca="1" ref="Y7" ca="1">INDIRECT("'Bureau " &amp; ROW()-1 &amp; "'!$W13")</f>
        <v>0</v>
      </c>
      <c r="Z7" s="163">
        <f t="shared" ca="1" si="10"/>
        <v>0</v>
      </c>
      <c r="AA7" s="190" cm="1">
        <f t="array" aca="1" ref="AA7" ca="1">INDIRECT("'Bureau " &amp; ROW()-1 &amp; "'!$W14")</f>
        <v>0</v>
      </c>
      <c r="AB7" s="80">
        <f t="shared" ca="1" si="11"/>
        <v>0</v>
      </c>
      <c r="AC7" s="191" cm="1">
        <f t="array" aca="1" ref="AC7" ca="1">INDIRECT("'Bureau " &amp; ROW()-1 &amp; "'!$W15")</f>
        <v>0</v>
      </c>
      <c r="AD7" s="174">
        <f t="shared" ca="1" si="12"/>
        <v>0</v>
      </c>
      <c r="AE7" s="202">
        <v>6</v>
      </c>
      <c r="AF7" s="206"/>
      <c r="AG7" s="207"/>
      <c r="AH7" s="207"/>
      <c r="AI7" s="207"/>
      <c r="AJ7" s="207"/>
      <c r="AK7" s="207"/>
      <c r="AL7" s="207"/>
      <c r="AM7" s="207"/>
      <c r="AN7" s="207"/>
      <c r="AO7" s="208"/>
      <c r="AP7" s="181"/>
      <c r="AQ7" s="176"/>
    </row>
    <row r="8" spans="1:43" ht="15.75" customHeight="1" x14ac:dyDescent="0.2">
      <c r="A8" s="44">
        <v>7</v>
      </c>
      <c r="B8" s="45" t="str" cm="1">
        <f t="array" aca="1" ref="B8" ca="1">INDIRECT("'Synthèse'!"  &amp; "$B" &amp; ROW()+1)</f>
        <v>COSEC</v>
      </c>
      <c r="C8" s="22">
        <f t="shared" ca="1" si="13"/>
        <v>0</v>
      </c>
      <c r="D8" s="24">
        <f t="shared" ca="1" si="0"/>
        <v>0</v>
      </c>
      <c r="E8" s="27">
        <f t="shared" ca="1" si="14"/>
        <v>0</v>
      </c>
      <c r="F8" s="85">
        <f>Synthèse!C9</f>
        <v>692</v>
      </c>
      <c r="G8" s="184" cm="1">
        <f t="array" aca="1" ref="G8" ca="1">INDIRECT("'Bureau " &amp; ROW()-1 &amp; "'!$W4")</f>
        <v>0</v>
      </c>
      <c r="H8" s="75">
        <f t="shared" ca="1" si="1"/>
        <v>0</v>
      </c>
      <c r="I8" s="185" cm="1">
        <f t="array" aca="1" ref="I8" ca="1">INDIRECT("'Bureau " &amp; ROW()-1 &amp; "'!$W5")</f>
        <v>0</v>
      </c>
      <c r="J8" s="75">
        <f t="shared" ca="1" si="2"/>
        <v>0</v>
      </c>
      <c r="K8" s="185" cm="1">
        <f t="array" aca="1" ref="K8" ca="1">INDIRECT("'Bureau " &amp; ROW()-1 &amp; "'!$W6")</f>
        <v>0</v>
      </c>
      <c r="L8" s="76">
        <f t="shared" ca="1" si="3"/>
        <v>0</v>
      </c>
      <c r="M8" s="192" cm="1">
        <f t="array" aca="1" ref="M8" ca="1">INDIRECT("'Bureau " &amp; ROW()-1 &amp; "'!$W7")</f>
        <v>0</v>
      </c>
      <c r="N8" s="89">
        <f t="shared" ca="1" si="4"/>
        <v>0</v>
      </c>
      <c r="O8" s="187" cm="1">
        <f t="array" aca="1" ref="O8" ca="1">INDIRECT("'Bureau " &amp; ROW()-1 &amp; "'!$W8")</f>
        <v>0</v>
      </c>
      <c r="P8" s="76">
        <f t="shared" ca="1" si="5"/>
        <v>0</v>
      </c>
      <c r="Q8" s="192" cm="1">
        <f t="array" aca="1" ref="Q8" ca="1">INDIRECT("'Bureau " &amp; ROW()-1 &amp; "'!$W9")</f>
        <v>0</v>
      </c>
      <c r="R8" s="89">
        <f t="shared" ca="1" si="6"/>
        <v>0</v>
      </c>
      <c r="S8" s="188" cm="1">
        <f t="array" aca="1" ref="S8" ca="1">INDIRECT("'Bureau " &amp; ROW()-1 &amp; "'!$W10")</f>
        <v>0</v>
      </c>
      <c r="T8" s="24">
        <f t="shared" ca="1" si="7"/>
        <v>0</v>
      </c>
      <c r="U8" s="192" cm="1">
        <f t="array" aca="1" ref="U8" ca="1">INDIRECT("'Bureau " &amp; ROW()-1 &amp; "'!$W11")</f>
        <v>0</v>
      </c>
      <c r="V8" s="89">
        <f t="shared" ca="1" si="8"/>
        <v>0</v>
      </c>
      <c r="W8" s="187" cm="1">
        <f t="array" aca="1" ref="W8" ca="1">INDIRECT("'Bureau " &amp; ROW()-1 &amp; "'!$W12")</f>
        <v>0</v>
      </c>
      <c r="X8" s="76">
        <f t="shared" ca="1" si="9"/>
        <v>0</v>
      </c>
      <c r="Y8" s="193" cm="1">
        <f t="array" aca="1" ref="Y8" ca="1">INDIRECT("'Bureau " &amp; ROW()-1 &amp; "'!$W13")</f>
        <v>0</v>
      </c>
      <c r="Z8" s="163">
        <f t="shared" ca="1" si="10"/>
        <v>0</v>
      </c>
      <c r="AA8" s="190" cm="1">
        <f t="array" aca="1" ref="AA8" ca="1">INDIRECT("'Bureau " &amp; ROW()-1 &amp; "'!$W14")</f>
        <v>0</v>
      </c>
      <c r="AB8" s="80">
        <f t="shared" ca="1" si="11"/>
        <v>0</v>
      </c>
      <c r="AC8" s="191" cm="1">
        <f t="array" aca="1" ref="AC8" ca="1">INDIRECT("'Bureau " &amp; ROW()-1 &amp; "'!$W15")</f>
        <v>0</v>
      </c>
      <c r="AD8" s="174">
        <f t="shared" ca="1" si="12"/>
        <v>0</v>
      </c>
      <c r="AE8" s="202">
        <v>7</v>
      </c>
      <c r="AF8" s="206"/>
      <c r="AG8" s="207"/>
      <c r="AH8" s="207"/>
      <c r="AI8" s="207"/>
      <c r="AJ8" s="207"/>
      <c r="AK8" s="207"/>
      <c r="AL8" s="207"/>
      <c r="AM8" s="207"/>
      <c r="AN8" s="207"/>
      <c r="AO8" s="208"/>
      <c r="AP8" s="181"/>
      <c r="AQ8" s="176"/>
    </row>
    <row r="9" spans="1:43" ht="15.75" customHeight="1" x14ac:dyDescent="0.2">
      <c r="A9" s="44">
        <v>8</v>
      </c>
      <c r="B9" s="45" t="str" cm="1">
        <f t="array" aca="1" ref="B9" ca="1">INDIRECT("'Synthèse'!"  &amp; "$B" &amp; ROW()+1)</f>
        <v>COSEC</v>
      </c>
      <c r="C9" s="22">
        <f t="shared" ca="1" si="13"/>
        <v>0</v>
      </c>
      <c r="D9" s="24">
        <f t="shared" ca="1" si="0"/>
        <v>0</v>
      </c>
      <c r="E9" s="27">
        <f t="shared" ca="1" si="14"/>
        <v>0</v>
      </c>
      <c r="F9" s="85">
        <f>Synthèse!C10</f>
        <v>620</v>
      </c>
      <c r="G9" s="184" cm="1">
        <f t="array" aca="1" ref="G9" ca="1">INDIRECT("'Bureau " &amp; ROW()-1 &amp; "'!$W4")</f>
        <v>0</v>
      </c>
      <c r="H9" s="75">
        <f t="shared" ca="1" si="1"/>
        <v>0</v>
      </c>
      <c r="I9" s="185" cm="1">
        <f t="array" aca="1" ref="I9" ca="1">INDIRECT("'Bureau " &amp; ROW()-1 &amp; "'!$W5")</f>
        <v>0</v>
      </c>
      <c r="J9" s="75">
        <f t="shared" ca="1" si="2"/>
        <v>0</v>
      </c>
      <c r="K9" s="185" cm="1">
        <f t="array" aca="1" ref="K9" ca="1">INDIRECT("'Bureau " &amp; ROW()-1 &amp; "'!$W6")</f>
        <v>0</v>
      </c>
      <c r="L9" s="76">
        <f t="shared" ca="1" si="3"/>
        <v>0</v>
      </c>
      <c r="M9" s="192" cm="1">
        <f t="array" aca="1" ref="M9" ca="1">INDIRECT("'Bureau " &amp; ROW()-1 &amp; "'!$W7")</f>
        <v>0</v>
      </c>
      <c r="N9" s="89">
        <f t="shared" ca="1" si="4"/>
        <v>0</v>
      </c>
      <c r="O9" s="187" cm="1">
        <f t="array" aca="1" ref="O9" ca="1">INDIRECT("'Bureau " &amp; ROW()-1 &amp; "'!$W8")</f>
        <v>0</v>
      </c>
      <c r="P9" s="76">
        <f t="shared" ca="1" si="5"/>
        <v>0</v>
      </c>
      <c r="Q9" s="192" cm="1">
        <f t="array" aca="1" ref="Q9" ca="1">INDIRECT("'Bureau " &amp; ROW()-1 &amp; "'!$W9")</f>
        <v>0</v>
      </c>
      <c r="R9" s="89">
        <f t="shared" ca="1" si="6"/>
        <v>0</v>
      </c>
      <c r="S9" s="188" cm="1">
        <f t="array" aca="1" ref="S9" ca="1">INDIRECT("'Bureau " &amp; ROW()-1 &amp; "'!$W10")</f>
        <v>0</v>
      </c>
      <c r="T9" s="24">
        <f t="shared" ca="1" si="7"/>
        <v>0</v>
      </c>
      <c r="U9" s="192" cm="1">
        <f t="array" aca="1" ref="U9" ca="1">INDIRECT("'Bureau " &amp; ROW()-1 &amp; "'!$W11")</f>
        <v>0</v>
      </c>
      <c r="V9" s="89">
        <f t="shared" ca="1" si="8"/>
        <v>0</v>
      </c>
      <c r="W9" s="187" cm="1">
        <f t="array" aca="1" ref="W9" ca="1">INDIRECT("'Bureau " &amp; ROW()-1 &amp; "'!$W12")</f>
        <v>0</v>
      </c>
      <c r="X9" s="76">
        <f t="shared" ca="1" si="9"/>
        <v>0</v>
      </c>
      <c r="Y9" s="193" cm="1">
        <f t="array" aca="1" ref="Y9" ca="1">INDIRECT("'Bureau " &amp; ROW()-1 &amp; "'!$W13")</f>
        <v>0</v>
      </c>
      <c r="Z9" s="163">
        <f t="shared" ca="1" si="10"/>
        <v>0</v>
      </c>
      <c r="AA9" s="190" cm="1">
        <f t="array" aca="1" ref="AA9" ca="1">INDIRECT("'Bureau " &amp; ROW()-1 &amp; "'!$W14")</f>
        <v>0</v>
      </c>
      <c r="AB9" s="80">
        <f t="shared" ca="1" si="11"/>
        <v>0</v>
      </c>
      <c r="AC9" s="191" cm="1">
        <f t="array" aca="1" ref="AC9" ca="1">INDIRECT("'Bureau " &amp; ROW()-1 &amp; "'!$W15")</f>
        <v>0</v>
      </c>
      <c r="AD9" s="174">
        <f t="shared" ca="1" si="12"/>
        <v>0</v>
      </c>
      <c r="AE9" s="202">
        <v>8</v>
      </c>
      <c r="AF9" s="206"/>
      <c r="AG9" s="207"/>
      <c r="AH9" s="207"/>
      <c r="AI9" s="207"/>
      <c r="AJ9" s="207"/>
      <c r="AK9" s="207"/>
      <c r="AL9" s="207"/>
      <c r="AM9" s="207"/>
      <c r="AN9" s="207"/>
      <c r="AO9" s="208"/>
      <c r="AP9" s="181"/>
      <c r="AQ9" s="176"/>
    </row>
    <row r="10" spans="1:43" ht="15.75" customHeight="1" x14ac:dyDescent="0.2">
      <c r="A10" s="44">
        <v>9</v>
      </c>
      <c r="B10" s="45" t="str" cm="1">
        <f t="array" aca="1" ref="B10" ca="1">INDIRECT("'Synthèse'!"  &amp; "$B" &amp; ROW()+1)</f>
        <v>CMM</v>
      </c>
      <c r="C10" s="22">
        <f t="shared" ca="1" si="13"/>
        <v>0</v>
      </c>
      <c r="D10" s="24">
        <f t="shared" ca="1" si="0"/>
        <v>0</v>
      </c>
      <c r="E10" s="27">
        <f t="shared" ca="1" si="14"/>
        <v>0</v>
      </c>
      <c r="F10" s="85">
        <f>Synthèse!C11</f>
        <v>671</v>
      </c>
      <c r="G10" s="184" cm="1">
        <f t="array" aca="1" ref="G10" ca="1">INDIRECT("'Bureau " &amp; ROW()-1 &amp; "'!$W4")</f>
        <v>0</v>
      </c>
      <c r="H10" s="75">
        <f t="shared" ca="1" si="1"/>
        <v>0</v>
      </c>
      <c r="I10" s="185" cm="1">
        <f t="array" aca="1" ref="I10" ca="1">INDIRECT("'Bureau " &amp; ROW()-1 &amp; "'!$W5")</f>
        <v>0</v>
      </c>
      <c r="J10" s="75">
        <f t="shared" ca="1" si="2"/>
        <v>0</v>
      </c>
      <c r="K10" s="185" cm="1">
        <f t="array" aca="1" ref="K10" ca="1">INDIRECT("'Bureau " &amp; ROW()-1 &amp; "'!$W6")</f>
        <v>0</v>
      </c>
      <c r="L10" s="76">
        <f t="shared" ca="1" si="3"/>
        <v>0</v>
      </c>
      <c r="M10" s="192" cm="1">
        <f t="array" aca="1" ref="M10" ca="1">INDIRECT("'Bureau " &amp; ROW()-1 &amp; "'!$W7")</f>
        <v>0</v>
      </c>
      <c r="N10" s="89">
        <f t="shared" ca="1" si="4"/>
        <v>0</v>
      </c>
      <c r="O10" s="187" cm="1">
        <f t="array" aca="1" ref="O10" ca="1">INDIRECT("'Bureau " &amp; ROW()-1 &amp; "'!$W8")</f>
        <v>0</v>
      </c>
      <c r="P10" s="76">
        <f t="shared" ca="1" si="5"/>
        <v>0</v>
      </c>
      <c r="Q10" s="192" cm="1">
        <f t="array" aca="1" ref="Q10" ca="1">INDIRECT("'Bureau " &amp; ROW()-1 &amp; "'!$W9")</f>
        <v>0</v>
      </c>
      <c r="R10" s="89">
        <f t="shared" ca="1" si="6"/>
        <v>0</v>
      </c>
      <c r="S10" s="188" cm="1">
        <f t="array" aca="1" ref="S10" ca="1">INDIRECT("'Bureau " &amp; ROW()-1 &amp; "'!$W10")</f>
        <v>0</v>
      </c>
      <c r="T10" s="24">
        <f t="shared" ca="1" si="7"/>
        <v>0</v>
      </c>
      <c r="U10" s="192" cm="1">
        <f t="array" aca="1" ref="U10" ca="1">INDIRECT("'Bureau " &amp; ROW()-1 &amp; "'!$W11")</f>
        <v>0</v>
      </c>
      <c r="V10" s="89">
        <f t="shared" ca="1" si="8"/>
        <v>0</v>
      </c>
      <c r="W10" s="187" cm="1">
        <f t="array" aca="1" ref="W10" ca="1">INDIRECT("'Bureau " &amp; ROW()-1 &amp; "'!$W12")</f>
        <v>0</v>
      </c>
      <c r="X10" s="76">
        <f t="shared" ca="1" si="9"/>
        <v>0</v>
      </c>
      <c r="Y10" s="193" cm="1">
        <f t="array" aca="1" ref="Y10" ca="1">INDIRECT("'Bureau " &amp; ROW()-1 &amp; "'!$W13")</f>
        <v>0</v>
      </c>
      <c r="Z10" s="163">
        <f t="shared" ca="1" si="10"/>
        <v>0</v>
      </c>
      <c r="AA10" s="190" cm="1">
        <f t="array" aca="1" ref="AA10" ca="1">INDIRECT("'Bureau " &amp; ROW()-1 &amp; "'!$W14")</f>
        <v>0</v>
      </c>
      <c r="AB10" s="80">
        <f t="shared" ca="1" si="11"/>
        <v>0</v>
      </c>
      <c r="AC10" s="191" cm="1">
        <f t="array" aca="1" ref="AC10" ca="1">INDIRECT("'Bureau " &amp; ROW()-1 &amp; "'!$W15")</f>
        <v>0</v>
      </c>
      <c r="AD10" s="174">
        <f t="shared" ca="1" si="12"/>
        <v>0</v>
      </c>
      <c r="AE10" s="202">
        <v>9</v>
      </c>
      <c r="AF10" s="206"/>
      <c r="AG10" s="207"/>
      <c r="AH10" s="207"/>
      <c r="AI10" s="207"/>
      <c r="AJ10" s="207"/>
      <c r="AK10" s="207"/>
      <c r="AL10" s="207"/>
      <c r="AM10" s="207"/>
      <c r="AN10" s="207"/>
      <c r="AO10" s="208"/>
      <c r="AP10" s="181"/>
      <c r="AQ10" s="176"/>
    </row>
    <row r="11" spans="1:43" ht="15.75" customHeight="1" x14ac:dyDescent="0.2">
      <c r="A11" s="44">
        <v>10</v>
      </c>
      <c r="B11" s="45" t="str" cm="1">
        <f t="array" aca="1" ref="B11" ca="1">INDIRECT("'Synthèse'!"  &amp; "$B" &amp; ROW()+1)</f>
        <v>CMM</v>
      </c>
      <c r="C11" s="22">
        <f t="shared" ca="1" si="13"/>
        <v>0</v>
      </c>
      <c r="D11" s="24">
        <f t="shared" ca="1" si="0"/>
        <v>0</v>
      </c>
      <c r="E11" s="27">
        <f t="shared" ca="1" si="14"/>
        <v>0</v>
      </c>
      <c r="F11" s="85">
        <f>Synthèse!C12</f>
        <v>581</v>
      </c>
      <c r="G11" s="184" cm="1">
        <f t="array" aca="1" ref="G11" ca="1">INDIRECT("'Bureau " &amp; ROW()-1 &amp; "'!$W4")</f>
        <v>0</v>
      </c>
      <c r="H11" s="75">
        <f t="shared" ca="1" si="1"/>
        <v>0</v>
      </c>
      <c r="I11" s="185" cm="1">
        <f t="array" aca="1" ref="I11" ca="1">INDIRECT("'Bureau " &amp; ROW()-1 &amp; "'!$W5")</f>
        <v>0</v>
      </c>
      <c r="J11" s="75">
        <f t="shared" ca="1" si="2"/>
        <v>0</v>
      </c>
      <c r="K11" s="185" cm="1">
        <f t="array" aca="1" ref="K11" ca="1">INDIRECT("'Bureau " &amp; ROW()-1 &amp; "'!$W6")</f>
        <v>0</v>
      </c>
      <c r="L11" s="76">
        <f t="shared" ca="1" si="3"/>
        <v>0</v>
      </c>
      <c r="M11" s="192" cm="1">
        <f t="array" aca="1" ref="M11" ca="1">INDIRECT("'Bureau " &amp; ROW()-1 &amp; "'!$W7")</f>
        <v>0</v>
      </c>
      <c r="N11" s="89">
        <f t="shared" ca="1" si="4"/>
        <v>0</v>
      </c>
      <c r="O11" s="187" cm="1">
        <f t="array" aca="1" ref="O11" ca="1">INDIRECT("'Bureau " &amp; ROW()-1 &amp; "'!$W8")</f>
        <v>0</v>
      </c>
      <c r="P11" s="76">
        <f t="shared" ca="1" si="5"/>
        <v>0</v>
      </c>
      <c r="Q11" s="192" cm="1">
        <f t="array" aca="1" ref="Q11" ca="1">INDIRECT("'Bureau " &amp; ROW()-1 &amp; "'!$W9")</f>
        <v>0</v>
      </c>
      <c r="R11" s="89">
        <f t="shared" ca="1" si="6"/>
        <v>0</v>
      </c>
      <c r="S11" s="188" cm="1">
        <f t="array" aca="1" ref="S11" ca="1">INDIRECT("'Bureau " &amp; ROW()-1 &amp; "'!$W10")</f>
        <v>0</v>
      </c>
      <c r="T11" s="24">
        <f t="shared" ca="1" si="7"/>
        <v>0</v>
      </c>
      <c r="U11" s="192" cm="1">
        <f t="array" aca="1" ref="U11" ca="1">INDIRECT("'Bureau " &amp; ROW()-1 &amp; "'!$W11")</f>
        <v>0</v>
      </c>
      <c r="V11" s="89">
        <f t="shared" ca="1" si="8"/>
        <v>0</v>
      </c>
      <c r="W11" s="187" cm="1">
        <f t="array" aca="1" ref="W11" ca="1">INDIRECT("'Bureau " &amp; ROW()-1 &amp; "'!$W12")</f>
        <v>0</v>
      </c>
      <c r="X11" s="76">
        <f t="shared" ca="1" si="9"/>
        <v>0</v>
      </c>
      <c r="Y11" s="193" cm="1">
        <f t="array" aca="1" ref="Y11" ca="1">INDIRECT("'Bureau " &amp; ROW()-1 &amp; "'!$W13")</f>
        <v>0</v>
      </c>
      <c r="Z11" s="163">
        <f t="shared" ca="1" si="10"/>
        <v>0</v>
      </c>
      <c r="AA11" s="190" cm="1">
        <f t="array" aca="1" ref="AA11" ca="1">INDIRECT("'Bureau " &amp; ROW()-1 &amp; "'!$W14")</f>
        <v>0</v>
      </c>
      <c r="AB11" s="80">
        <f t="shared" ca="1" si="11"/>
        <v>0</v>
      </c>
      <c r="AC11" s="191" cm="1">
        <f t="array" aca="1" ref="AC11" ca="1">INDIRECT("'Bureau " &amp; ROW()-1 &amp; "'!$W15")</f>
        <v>0</v>
      </c>
      <c r="AD11" s="174">
        <f t="shared" ca="1" si="12"/>
        <v>0</v>
      </c>
      <c r="AE11" s="202">
        <v>10</v>
      </c>
      <c r="AF11" s="206"/>
      <c r="AG11" s="207"/>
      <c r="AH11" s="207"/>
      <c r="AI11" s="207"/>
      <c r="AJ11" s="207"/>
      <c r="AK11" s="207"/>
      <c r="AL11" s="207"/>
      <c r="AM11" s="207"/>
      <c r="AN11" s="207"/>
      <c r="AO11" s="208"/>
      <c r="AP11" s="181"/>
      <c r="AQ11" s="176"/>
    </row>
    <row r="12" spans="1:43" ht="15.75" customHeight="1" x14ac:dyDescent="0.2">
      <c r="A12" s="44">
        <v>11</v>
      </c>
      <c r="B12" s="45" t="str" cm="1">
        <f t="array" aca="1" ref="B12" ca="1">INDIRECT("'Synthèse'!"  &amp; "$B" &amp; ROW()+1)</f>
        <v>CMM</v>
      </c>
      <c r="C12" s="22">
        <f t="shared" ca="1" si="13"/>
        <v>0</v>
      </c>
      <c r="D12" s="24">
        <f t="shared" ca="1" si="0"/>
        <v>0</v>
      </c>
      <c r="E12" s="27">
        <f t="shared" ca="1" si="14"/>
        <v>0</v>
      </c>
      <c r="F12" s="85">
        <f>Synthèse!C13</f>
        <v>649</v>
      </c>
      <c r="G12" s="184" cm="1">
        <f t="array" aca="1" ref="G12" ca="1">INDIRECT("'Bureau " &amp; ROW()-1 &amp; "'!$W4")</f>
        <v>0</v>
      </c>
      <c r="H12" s="75">
        <f t="shared" ca="1" si="1"/>
        <v>0</v>
      </c>
      <c r="I12" s="185" cm="1">
        <f t="array" aca="1" ref="I12" ca="1">INDIRECT("'Bureau " &amp; ROW()-1 &amp; "'!$W5")</f>
        <v>0</v>
      </c>
      <c r="J12" s="75">
        <f t="shared" ca="1" si="2"/>
        <v>0</v>
      </c>
      <c r="K12" s="185" cm="1">
        <f t="array" aca="1" ref="K12" ca="1">INDIRECT("'Bureau " &amp; ROW()-1 &amp; "'!$W6")</f>
        <v>0</v>
      </c>
      <c r="L12" s="76">
        <f t="shared" ca="1" si="3"/>
        <v>0</v>
      </c>
      <c r="M12" s="192" cm="1">
        <f t="array" aca="1" ref="M12" ca="1">INDIRECT("'Bureau " &amp; ROW()-1 &amp; "'!$W7")</f>
        <v>0</v>
      </c>
      <c r="N12" s="89">
        <f t="shared" ca="1" si="4"/>
        <v>0</v>
      </c>
      <c r="O12" s="187" cm="1">
        <f t="array" aca="1" ref="O12" ca="1">INDIRECT("'Bureau " &amp; ROW()-1 &amp; "'!$W8")</f>
        <v>0</v>
      </c>
      <c r="P12" s="76">
        <f t="shared" ca="1" si="5"/>
        <v>0</v>
      </c>
      <c r="Q12" s="192" cm="1">
        <f t="array" aca="1" ref="Q12" ca="1">INDIRECT("'Bureau " &amp; ROW()-1 &amp; "'!$W9")</f>
        <v>0</v>
      </c>
      <c r="R12" s="89">
        <f t="shared" ca="1" si="6"/>
        <v>0</v>
      </c>
      <c r="S12" s="188" cm="1">
        <f t="array" aca="1" ref="S12" ca="1">INDIRECT("'Bureau " &amp; ROW()-1 &amp; "'!$W10")</f>
        <v>0</v>
      </c>
      <c r="T12" s="24">
        <f t="shared" ca="1" si="7"/>
        <v>0</v>
      </c>
      <c r="U12" s="192" cm="1">
        <f t="array" aca="1" ref="U12" ca="1">INDIRECT("'Bureau " &amp; ROW()-1 &amp; "'!$W11")</f>
        <v>0</v>
      </c>
      <c r="V12" s="89">
        <f t="shared" ca="1" si="8"/>
        <v>0</v>
      </c>
      <c r="W12" s="187" cm="1">
        <f t="array" aca="1" ref="W12" ca="1">INDIRECT("'Bureau " &amp; ROW()-1 &amp; "'!$W12")</f>
        <v>0</v>
      </c>
      <c r="X12" s="76">
        <f t="shared" ca="1" si="9"/>
        <v>0</v>
      </c>
      <c r="Y12" s="193" cm="1">
        <f t="array" aca="1" ref="Y12" ca="1">INDIRECT("'Bureau " &amp; ROW()-1 &amp; "'!$W13")</f>
        <v>0</v>
      </c>
      <c r="Z12" s="163">
        <f t="shared" ca="1" si="10"/>
        <v>0</v>
      </c>
      <c r="AA12" s="190" cm="1">
        <f t="array" aca="1" ref="AA12" ca="1">INDIRECT("'Bureau " &amp; ROW()-1 &amp; "'!$W14")</f>
        <v>0</v>
      </c>
      <c r="AB12" s="80">
        <f t="shared" ca="1" si="11"/>
        <v>0</v>
      </c>
      <c r="AC12" s="191" cm="1">
        <f t="array" aca="1" ref="AC12" ca="1">INDIRECT("'Bureau " &amp; ROW()-1 &amp; "'!$W15")</f>
        <v>0</v>
      </c>
      <c r="AD12" s="174">
        <f t="shared" ca="1" si="12"/>
        <v>0</v>
      </c>
      <c r="AE12" s="202">
        <v>11</v>
      </c>
      <c r="AF12" s="206"/>
      <c r="AG12" s="207"/>
      <c r="AH12" s="207"/>
      <c r="AI12" s="207"/>
      <c r="AJ12" s="207"/>
      <c r="AK12" s="207"/>
      <c r="AL12" s="207"/>
      <c r="AM12" s="207"/>
      <c r="AN12" s="207"/>
      <c r="AO12" s="208"/>
      <c r="AP12" s="181"/>
      <c r="AQ12" s="176"/>
    </row>
    <row r="13" spans="1:43" ht="15.75" customHeight="1" thickBot="1" x14ac:dyDescent="0.25">
      <c r="A13" s="46">
        <v>12</v>
      </c>
      <c r="B13" s="45" t="str" cm="1">
        <f t="array" aca="1" ref="B13" ca="1">INDIRECT("'Synthèse'!"  &amp; "$B" &amp; ROW()+1)</f>
        <v>Base nautique</v>
      </c>
      <c r="C13" s="28">
        <f t="shared" ca="1" si="13"/>
        <v>0</v>
      </c>
      <c r="D13" s="25">
        <f t="shared" ca="1" si="0"/>
        <v>0</v>
      </c>
      <c r="E13" s="86">
        <f t="shared" ca="1" si="14"/>
        <v>0</v>
      </c>
      <c r="F13" s="87">
        <f>Synthèse!C14</f>
        <v>645</v>
      </c>
      <c r="G13" s="194" cm="1">
        <f t="array" aca="1" ref="G13" ca="1">INDIRECT("'Bureau " &amp; ROW()-1 &amp; "'!$W4")</f>
        <v>0</v>
      </c>
      <c r="H13" s="77">
        <f t="shared" ca="1" si="1"/>
        <v>0</v>
      </c>
      <c r="I13" s="185" cm="1">
        <f t="array" aca="1" ref="I13" ca="1">INDIRECT("'Bureau " &amp; ROW()-1 &amp; "'!$W5")</f>
        <v>0</v>
      </c>
      <c r="J13" s="77">
        <f t="shared" ca="1" si="2"/>
        <v>0</v>
      </c>
      <c r="K13" s="185" cm="1">
        <f t="array" aca="1" ref="K13" ca="1">INDIRECT("'Bureau " &amp; ROW()-1 &amp; "'!$W6")</f>
        <v>0</v>
      </c>
      <c r="L13" s="78">
        <f t="shared" ca="1" si="3"/>
        <v>0</v>
      </c>
      <c r="M13" s="195" cm="1">
        <f t="array" aca="1" ref="M13" ca="1">INDIRECT("'Bureau " &amp; ROW()-1 &amp; "'!$W7")</f>
        <v>0</v>
      </c>
      <c r="N13" s="91">
        <f t="shared" ca="1" si="4"/>
        <v>0</v>
      </c>
      <c r="O13" s="187" cm="1">
        <f t="array" aca="1" ref="O13" ca="1">INDIRECT("'Bureau " &amp; ROW()-1 &amp; "'!$W8")</f>
        <v>0</v>
      </c>
      <c r="P13" s="78">
        <f t="shared" ca="1" si="5"/>
        <v>0</v>
      </c>
      <c r="Q13" s="196" cm="1">
        <f t="array" aca="1" ref="Q13" ca="1">INDIRECT("'Bureau " &amp; ROW()-1 &amp; "'!$W9")</f>
        <v>0</v>
      </c>
      <c r="R13" s="92">
        <f t="shared" ca="1" si="6"/>
        <v>0</v>
      </c>
      <c r="S13" s="188" cm="1">
        <f t="array" aca="1" ref="S13" ca="1">INDIRECT("'Bureau " &amp; ROW()-1 &amp; "'!$W10")</f>
        <v>0</v>
      </c>
      <c r="T13" s="25">
        <f t="shared" ca="1" si="7"/>
        <v>0</v>
      </c>
      <c r="U13" s="195" cm="1">
        <f t="array" aca="1" ref="U13" ca="1">INDIRECT("'Bureau " &amp; ROW()-1 &amp; "'!$W11")</f>
        <v>0</v>
      </c>
      <c r="V13" s="91">
        <f t="shared" ca="1" si="8"/>
        <v>0</v>
      </c>
      <c r="W13" s="187" cm="1">
        <f t="array" aca="1" ref="W13" ca="1">INDIRECT("'Bureau " &amp; ROW()-1 &amp; "'!$W12")</f>
        <v>0</v>
      </c>
      <c r="X13" s="78">
        <f t="shared" ca="1" si="9"/>
        <v>0</v>
      </c>
      <c r="Y13" s="197" cm="1">
        <f t="array" aca="1" ref="Y13" ca="1">INDIRECT("'Bureau " &amp; ROW()-1 &amp; "'!$W13")</f>
        <v>0</v>
      </c>
      <c r="Z13" s="91">
        <f t="shared" ca="1" si="10"/>
        <v>0</v>
      </c>
      <c r="AA13" s="190" cm="1">
        <f t="array" aca="1" ref="AA13" ca="1">INDIRECT("'Bureau " &amp; ROW()-1 &amp; "'!$W14")</f>
        <v>0</v>
      </c>
      <c r="AB13" s="81">
        <f t="shared" ca="1" si="11"/>
        <v>0</v>
      </c>
      <c r="AC13" s="191" cm="1">
        <f t="array" aca="1" ref="AC13" ca="1">INDIRECT("'Bureau " &amp; ROW()-1 &amp; "'!$W15")</f>
        <v>0</v>
      </c>
      <c r="AD13" s="175">
        <f t="shared" ca="1" si="12"/>
        <v>0</v>
      </c>
      <c r="AE13" s="209">
        <v>12</v>
      </c>
      <c r="AF13" s="210"/>
      <c r="AG13" s="211"/>
      <c r="AH13" s="211"/>
      <c r="AI13" s="211"/>
      <c r="AJ13" s="211"/>
      <c r="AK13" s="211"/>
      <c r="AL13" s="211"/>
      <c r="AM13" s="211"/>
      <c r="AN13" s="211"/>
      <c r="AO13" s="212"/>
      <c r="AP13" s="181"/>
      <c r="AQ13" s="176"/>
    </row>
    <row r="14" spans="1:43" ht="15.75" customHeight="1" thickBot="1" x14ac:dyDescent="0.3">
      <c r="A14" s="421" t="s">
        <v>11</v>
      </c>
      <c r="B14" s="422"/>
      <c r="C14" s="29">
        <f ca="1">SUM(C2:C13)</f>
        <v>0</v>
      </c>
      <c r="D14" s="30">
        <f t="shared" ca="1" si="0"/>
        <v>0</v>
      </c>
      <c r="E14" s="83">
        <f t="shared" ca="1" si="14"/>
        <v>0</v>
      </c>
      <c r="F14" s="90">
        <f t="shared" ref="F14:G14" si="15">SUM(F2:F13)</f>
        <v>7742</v>
      </c>
      <c r="G14" s="93">
        <f t="shared" ca="1" si="15"/>
        <v>0</v>
      </c>
      <c r="H14" s="94">
        <f ca="1">G14/$F14</f>
        <v>0</v>
      </c>
      <c r="I14" s="95">
        <f ca="1">SUM(I2:I13)</f>
        <v>0</v>
      </c>
      <c r="J14" s="94">
        <f t="shared" ca="1" si="2"/>
        <v>0</v>
      </c>
      <c r="K14" s="95">
        <f ca="1">SUM(K2:K13)</f>
        <v>0</v>
      </c>
      <c r="L14" s="96">
        <f t="shared" ca="1" si="3"/>
        <v>0</v>
      </c>
      <c r="M14" s="97">
        <f ca="1">SUM(M2:M13)</f>
        <v>0</v>
      </c>
      <c r="N14" s="96">
        <f t="shared" ca="1" si="4"/>
        <v>0</v>
      </c>
      <c r="O14" s="97">
        <f ca="1">SUM(O2:O13)</f>
        <v>0</v>
      </c>
      <c r="P14" s="96">
        <f t="shared" ca="1" si="5"/>
        <v>0</v>
      </c>
      <c r="Q14" s="97">
        <f ca="1">SUM(Q2:Q13)</f>
        <v>0</v>
      </c>
      <c r="R14" s="96">
        <f t="shared" ca="1" si="6"/>
        <v>0</v>
      </c>
      <c r="S14" s="97">
        <f ca="1">SUM(S2:S13)</f>
        <v>0</v>
      </c>
      <c r="T14" s="96">
        <f t="shared" ca="1" si="7"/>
        <v>0</v>
      </c>
      <c r="U14" s="97">
        <f ca="1">SUM(U2:U13)</f>
        <v>0</v>
      </c>
      <c r="V14" s="96">
        <f t="shared" ca="1" si="8"/>
        <v>0</v>
      </c>
      <c r="W14" s="97">
        <f ca="1">SUM(W2:W13)</f>
        <v>0</v>
      </c>
      <c r="X14" s="98">
        <f t="shared" ca="1" si="9"/>
        <v>0</v>
      </c>
      <c r="Y14" s="164">
        <f ca="1">SUM(Y2:Y13)</f>
        <v>0</v>
      </c>
      <c r="Z14" s="99">
        <f t="shared" ca="1" si="10"/>
        <v>0</v>
      </c>
      <c r="AA14" s="9">
        <f ca="1">SUM(AA2:AA13)</f>
        <v>0</v>
      </c>
      <c r="AB14" s="10">
        <f t="shared" ca="1" si="11"/>
        <v>0</v>
      </c>
      <c r="AC14" s="11">
        <f ca="1">SUM(AC2:AC13)</f>
        <v>0</v>
      </c>
      <c r="AD14" s="10">
        <f t="shared" ca="1" si="12"/>
        <v>0</v>
      </c>
      <c r="AE14" s="213" t="s">
        <v>18</v>
      </c>
      <c r="AF14" s="214"/>
      <c r="AG14" s="215"/>
      <c r="AH14" s="215"/>
      <c r="AI14" s="215"/>
      <c r="AJ14" s="215"/>
      <c r="AK14" s="215"/>
      <c r="AL14" s="215"/>
      <c r="AM14" s="215"/>
      <c r="AN14" s="215"/>
      <c r="AO14" s="216"/>
      <c r="AP14" s="182"/>
      <c r="AQ14" s="183"/>
    </row>
    <row r="15" spans="1:43" ht="16.5" thickBot="1" x14ac:dyDescent="0.3">
      <c r="A15" s="12" t="s">
        <v>13</v>
      </c>
      <c r="B15" s="13">
        <f>Synthèse!B17</f>
        <v>46082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4"/>
      <c r="AB15" s="14"/>
      <c r="AC15" s="14"/>
      <c r="AD15" s="14"/>
      <c r="AE15" s="408" t="s">
        <v>68</v>
      </c>
      <c r="AF15" s="409"/>
      <c r="AG15" s="409"/>
      <c r="AH15" s="409"/>
      <c r="AI15" s="409"/>
      <c r="AJ15" s="409"/>
      <c r="AK15" s="409"/>
      <c r="AL15" s="409"/>
      <c r="AM15" s="409"/>
      <c r="AN15" s="409"/>
      <c r="AO15" s="409"/>
      <c r="AP15" s="409"/>
      <c r="AQ15" s="410"/>
    </row>
    <row r="16" spans="1:43" ht="15" customHeight="1" x14ac:dyDescent="0.2">
      <c r="A16" s="15" t="s">
        <v>14</v>
      </c>
      <c r="B16" s="16" t="str">
        <f>Synthèse!B18</f>
        <v>Municipales 1er tour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4"/>
      <c r="AB16" s="14"/>
      <c r="AC16" s="14"/>
      <c r="AD16" s="14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spans="1:43" ht="17.25" customHeight="1" thickBot="1" x14ac:dyDescent="0.25">
      <c r="A17" s="17" t="s">
        <v>15</v>
      </c>
      <c r="B17" s="18" t="str">
        <f>Synthèse!B19</f>
        <v>Cogolin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4"/>
      <c r="AC17" s="14"/>
      <c r="AD17" s="14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</row>
    <row r="18" spans="1:43" ht="12.75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4"/>
      <c r="AB18" s="14"/>
      <c r="AC18" s="14"/>
      <c r="AD18" s="14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spans="1:43" ht="12.75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4"/>
      <c r="AB19" s="14"/>
      <c r="AC19" s="14"/>
      <c r="AD19" s="14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spans="1:43" ht="13.5" thickBo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4"/>
      <c r="AB20" s="14"/>
      <c r="AC20" s="14"/>
      <c r="AD20" s="14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spans="1:43" ht="20.25" customHeight="1" thickBo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4"/>
      <c r="AB21" s="14"/>
      <c r="AC21" s="14"/>
      <c r="AD21" s="14"/>
      <c r="AE21" s="1"/>
      <c r="AF21" s="1"/>
      <c r="AG21" s="1"/>
      <c r="AH21" s="419" t="s">
        <v>65</v>
      </c>
      <c r="AI21" s="420"/>
      <c r="AJ21" s="417" t="s">
        <v>66</v>
      </c>
      <c r="AK21" s="418"/>
      <c r="AL21" s="218"/>
      <c r="AO21" s="1"/>
      <c r="AP21" s="1"/>
      <c r="AQ21" s="1"/>
    </row>
    <row r="22" spans="1:43" ht="12.75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4"/>
      <c r="AB22" s="14"/>
      <c r="AC22" s="14"/>
      <c r="AD22" s="14"/>
      <c r="AE22" s="1"/>
      <c r="AF22" s="1"/>
      <c r="AG22" s="1"/>
      <c r="AH22" s="219"/>
      <c r="AI22" s="220"/>
      <c r="AJ22" s="219"/>
      <c r="AK22" s="221"/>
      <c r="AL22" s="1"/>
      <c r="AO22" s="1"/>
      <c r="AP22" s="1"/>
      <c r="AQ22" s="1"/>
    </row>
    <row r="23" spans="1:43" ht="12.75" x14ac:dyDescent="0.2">
      <c r="A23" s="1"/>
      <c r="B23" s="100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4"/>
      <c r="AB23" s="14"/>
      <c r="AC23" s="14"/>
      <c r="AD23" s="14"/>
      <c r="AE23" s="1"/>
      <c r="AF23" s="1"/>
      <c r="AG23" s="1"/>
      <c r="AH23" s="219"/>
      <c r="AI23" s="220"/>
      <c r="AJ23" s="219"/>
      <c r="AK23" s="221"/>
      <c r="AL23" s="1"/>
      <c r="AO23" s="1"/>
      <c r="AP23" s="1"/>
      <c r="AQ23" s="1"/>
    </row>
    <row r="24" spans="1:43" ht="12.75" x14ac:dyDescent="0.2">
      <c r="A24" s="1"/>
      <c r="B24" s="100"/>
      <c r="C24" s="31"/>
      <c r="D24" s="3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4"/>
      <c r="AB24" s="14"/>
      <c r="AC24" s="14"/>
      <c r="AD24" s="14"/>
      <c r="AE24" s="1"/>
      <c r="AF24" s="1"/>
      <c r="AG24" s="1"/>
      <c r="AH24" s="219"/>
      <c r="AI24" s="220"/>
      <c r="AJ24" s="219"/>
      <c r="AK24" s="221"/>
      <c r="AL24" s="1"/>
      <c r="AO24" s="1"/>
      <c r="AP24" s="1"/>
      <c r="AQ24" s="1"/>
    </row>
    <row r="25" spans="1:43" ht="12.75" x14ac:dyDescent="0.2">
      <c r="A25" s="1"/>
      <c r="B25" s="1"/>
      <c r="C25" s="31"/>
      <c r="D25" s="3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4"/>
      <c r="AB25" s="14"/>
      <c r="AC25" s="14"/>
      <c r="AD25" s="14"/>
      <c r="AE25" s="1"/>
      <c r="AF25" s="1"/>
      <c r="AG25" s="1"/>
      <c r="AH25" s="219"/>
      <c r="AI25" s="220"/>
      <c r="AJ25" s="219"/>
      <c r="AK25" s="221"/>
      <c r="AL25" s="1"/>
      <c r="AO25" s="1"/>
      <c r="AP25" s="1"/>
      <c r="AQ25" s="1"/>
    </row>
    <row r="26" spans="1:43" ht="12.75" x14ac:dyDescent="0.2">
      <c r="A26" s="1"/>
      <c r="B26" s="1"/>
      <c r="C26" s="31"/>
      <c r="D26" s="3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4"/>
      <c r="AB26" s="14"/>
      <c r="AC26" s="14"/>
      <c r="AD26" s="14"/>
      <c r="AE26" s="1"/>
      <c r="AF26" s="1"/>
      <c r="AG26" s="1"/>
      <c r="AH26" s="219"/>
      <c r="AI26" s="220"/>
      <c r="AJ26" s="219"/>
      <c r="AK26" s="221"/>
      <c r="AL26" s="1"/>
      <c r="AO26" s="1"/>
      <c r="AP26" s="1"/>
      <c r="AQ26" s="1"/>
    </row>
    <row r="27" spans="1:43" ht="12.75" x14ac:dyDescent="0.2">
      <c r="A27" s="1"/>
      <c r="B27" s="1"/>
      <c r="C27" s="31"/>
      <c r="D27" s="3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4"/>
      <c r="AB27" s="14"/>
      <c r="AC27" s="14"/>
      <c r="AD27" s="14"/>
      <c r="AE27" s="1"/>
      <c r="AF27" s="1"/>
      <c r="AG27" s="1"/>
      <c r="AH27" s="219"/>
      <c r="AI27" s="220"/>
      <c r="AJ27" s="219"/>
      <c r="AK27" s="221"/>
      <c r="AL27" s="1"/>
      <c r="AO27" s="1"/>
      <c r="AP27" s="1"/>
      <c r="AQ27" s="1"/>
    </row>
    <row r="28" spans="1:43" ht="15.75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4"/>
      <c r="AB28" s="14"/>
      <c r="AC28" s="14"/>
      <c r="AD28" s="14"/>
      <c r="AE28" s="1"/>
      <c r="AF28" s="1"/>
      <c r="AG28" s="1"/>
      <c r="AH28" s="219"/>
      <c r="AI28" s="220"/>
      <c r="AJ28" s="219"/>
      <c r="AK28" s="221"/>
      <c r="AL28" s="1"/>
      <c r="AO28" s="1"/>
      <c r="AP28" s="1"/>
      <c r="AQ28" s="1"/>
    </row>
    <row r="29" spans="1:43" ht="12.75" x14ac:dyDescent="0.2">
      <c r="A29" s="1"/>
      <c r="B29" s="19" t="s">
        <v>20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4"/>
      <c r="AB29" s="14"/>
      <c r="AC29" s="14"/>
      <c r="AD29" s="14"/>
      <c r="AE29" s="1"/>
      <c r="AF29" s="1"/>
      <c r="AG29" s="1"/>
      <c r="AH29" s="219"/>
      <c r="AI29" s="220"/>
      <c r="AJ29" s="219"/>
      <c r="AK29" s="221"/>
      <c r="AL29" s="1"/>
      <c r="AO29" s="1"/>
      <c r="AP29" s="1"/>
      <c r="AQ29" s="1"/>
    </row>
    <row r="30" spans="1:43" ht="12.75" x14ac:dyDescent="0.2">
      <c r="A30" s="1"/>
      <c r="B30" s="20" t="s">
        <v>21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4"/>
      <c r="AB30" s="14"/>
      <c r="AC30" s="14"/>
      <c r="AD30" s="14"/>
      <c r="AE30" s="1"/>
      <c r="AF30" s="1"/>
      <c r="AG30" s="1"/>
      <c r="AH30" s="219"/>
      <c r="AI30" s="220"/>
      <c r="AJ30" s="219"/>
      <c r="AK30" s="221"/>
      <c r="AL30" s="1"/>
      <c r="AO30" s="1"/>
      <c r="AP30" s="1"/>
      <c r="AQ30" s="1"/>
    </row>
    <row r="31" spans="1:43" ht="12.75" x14ac:dyDescent="0.2">
      <c r="A31" s="1"/>
      <c r="B31" s="19" t="s">
        <v>22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4"/>
      <c r="AB31" s="14"/>
      <c r="AC31" s="14"/>
      <c r="AD31" s="14"/>
      <c r="AE31" s="1"/>
      <c r="AF31" s="1"/>
      <c r="AG31" s="1"/>
      <c r="AH31" s="219"/>
      <c r="AI31" s="220"/>
      <c r="AJ31" s="219"/>
      <c r="AK31" s="221"/>
      <c r="AL31" s="1"/>
      <c r="AO31" s="1"/>
      <c r="AP31" s="1"/>
      <c r="AQ31" s="1"/>
    </row>
    <row r="32" spans="1:43" ht="15.75" customHeight="1" x14ac:dyDescent="0.2">
      <c r="AH32" s="222"/>
      <c r="AI32" s="223"/>
      <c r="AJ32" s="222"/>
      <c r="AK32" s="224"/>
    </row>
    <row r="33" spans="6:37" ht="15.75" customHeight="1" x14ac:dyDescent="0.2">
      <c r="AH33" s="222"/>
      <c r="AI33" s="223"/>
      <c r="AJ33" s="222"/>
      <c r="AK33" s="224"/>
    </row>
    <row r="34" spans="6:37" ht="15.75" customHeight="1" x14ac:dyDescent="0.2">
      <c r="AH34" s="222"/>
      <c r="AI34" s="223"/>
      <c r="AJ34" s="222"/>
      <c r="AK34" s="224"/>
    </row>
    <row r="35" spans="6:37" ht="15.75" customHeight="1" thickBot="1" x14ac:dyDescent="0.25">
      <c r="AH35" s="222"/>
      <c r="AI35" s="223"/>
      <c r="AJ35" s="222"/>
      <c r="AK35" s="224"/>
    </row>
    <row r="36" spans="6:37" ht="13.5" thickBot="1" x14ac:dyDescent="0.25">
      <c r="F36" s="279"/>
      <c r="G36" s="406" t="s">
        <v>65</v>
      </c>
      <c r="H36" s="407"/>
      <c r="I36" s="407"/>
      <c r="J36" s="407"/>
      <c r="K36" s="407"/>
      <c r="L36" s="407"/>
      <c r="M36" s="407"/>
      <c r="N36" s="407"/>
      <c r="O36" s="407"/>
      <c r="P36" s="407"/>
      <c r="Q36" s="407"/>
      <c r="R36" s="407"/>
      <c r="S36" s="407"/>
      <c r="T36" s="280"/>
      <c r="U36" s="407" t="s">
        <v>66</v>
      </c>
      <c r="V36" s="407"/>
      <c r="W36" s="407"/>
      <c r="X36" s="407"/>
      <c r="Y36" s="407"/>
      <c r="Z36" s="407"/>
      <c r="AA36" s="407"/>
      <c r="AB36" s="407"/>
      <c r="AC36" s="407"/>
      <c r="AD36" s="407"/>
      <c r="AE36" s="407"/>
      <c r="AF36" s="407"/>
      <c r="AG36" s="407"/>
      <c r="AH36" s="222"/>
      <c r="AI36" s="223"/>
      <c r="AJ36" s="222"/>
      <c r="AK36" s="224"/>
    </row>
    <row r="37" spans="6:37" ht="13.5" thickBot="1" x14ac:dyDescent="0.25">
      <c r="F37" s="281" t="s">
        <v>23</v>
      </c>
      <c r="G37" s="282" t="s">
        <v>90</v>
      </c>
      <c r="H37" s="283" t="s">
        <v>91</v>
      </c>
      <c r="I37" s="284" t="s">
        <v>92</v>
      </c>
      <c r="J37" s="285" t="s">
        <v>93</v>
      </c>
      <c r="K37" s="286" t="s">
        <v>94</v>
      </c>
      <c r="L37" s="287" t="s">
        <v>95</v>
      </c>
      <c r="M37" s="288" t="s">
        <v>96</v>
      </c>
      <c r="N37" s="283" t="s">
        <v>97</v>
      </c>
      <c r="O37" s="284" t="s">
        <v>98</v>
      </c>
      <c r="P37" s="285" t="s">
        <v>99</v>
      </c>
      <c r="Q37" s="286" t="s">
        <v>100</v>
      </c>
      <c r="R37" s="287" t="s">
        <v>101</v>
      </c>
      <c r="S37" s="289" t="s">
        <v>18</v>
      </c>
      <c r="T37" s="290" t="s">
        <v>23</v>
      </c>
      <c r="U37" s="291" t="s">
        <v>90</v>
      </c>
      <c r="V37" s="292" t="s">
        <v>91</v>
      </c>
      <c r="W37" s="293" t="s">
        <v>92</v>
      </c>
      <c r="X37" s="294" t="s">
        <v>93</v>
      </c>
      <c r="Y37" s="295" t="s">
        <v>94</v>
      </c>
      <c r="Z37" s="296" t="s">
        <v>95</v>
      </c>
      <c r="AA37" s="297" t="s">
        <v>96</v>
      </c>
      <c r="AB37" s="292" t="s">
        <v>97</v>
      </c>
      <c r="AC37" s="293" t="s">
        <v>98</v>
      </c>
      <c r="AD37" s="294" t="s">
        <v>99</v>
      </c>
      <c r="AE37" s="295" t="s">
        <v>100</v>
      </c>
      <c r="AF37" s="296" t="s">
        <v>101</v>
      </c>
      <c r="AG37" s="298" t="s">
        <v>18</v>
      </c>
      <c r="AH37" s="222"/>
      <c r="AI37" s="223"/>
      <c r="AJ37" s="222"/>
      <c r="AK37" s="224"/>
    </row>
    <row r="38" spans="6:37" ht="12.75" x14ac:dyDescent="0.2">
      <c r="F38" s="299" t="s">
        <v>35</v>
      </c>
      <c r="G38" s="300">
        <v>0</v>
      </c>
      <c r="H38" s="301">
        <v>0</v>
      </c>
      <c r="I38" s="301">
        <v>0</v>
      </c>
      <c r="J38" s="301">
        <v>0</v>
      </c>
      <c r="K38" s="301">
        <v>0</v>
      </c>
      <c r="L38" s="301">
        <v>0</v>
      </c>
      <c r="M38" s="301">
        <v>0</v>
      </c>
      <c r="N38" s="301">
        <v>0</v>
      </c>
      <c r="O38" s="301">
        <v>0</v>
      </c>
      <c r="P38" s="301">
        <v>0</v>
      </c>
      <c r="Q38" s="301">
        <v>0</v>
      </c>
      <c r="R38" s="301">
        <v>0</v>
      </c>
      <c r="S38" s="302">
        <v>0</v>
      </c>
      <c r="T38" s="303" t="s">
        <v>35</v>
      </c>
      <c r="U38" s="300">
        <v>0</v>
      </c>
      <c r="V38" s="301">
        <v>0</v>
      </c>
      <c r="W38" s="301">
        <v>0</v>
      </c>
      <c r="X38" s="301">
        <v>0</v>
      </c>
      <c r="Y38" s="301">
        <v>0</v>
      </c>
      <c r="Z38" s="301">
        <v>0</v>
      </c>
      <c r="AA38" s="301">
        <v>0</v>
      </c>
      <c r="AB38" s="301">
        <v>0</v>
      </c>
      <c r="AC38" s="301">
        <v>0</v>
      </c>
      <c r="AD38" s="301">
        <v>0</v>
      </c>
      <c r="AE38" s="301">
        <v>0</v>
      </c>
      <c r="AF38" s="301">
        <v>0</v>
      </c>
      <c r="AG38" s="302">
        <v>0</v>
      </c>
      <c r="AH38" s="222"/>
      <c r="AI38" s="223"/>
      <c r="AJ38" s="222"/>
      <c r="AK38" s="224"/>
    </row>
    <row r="39" spans="6:37" ht="12.75" x14ac:dyDescent="0.2">
      <c r="F39" s="304" t="s">
        <v>36</v>
      </c>
      <c r="G39" s="305">
        <f ca="1">H2</f>
        <v>0</v>
      </c>
      <c r="H39" s="306">
        <f ca="1">H3</f>
        <v>0</v>
      </c>
      <c r="I39" s="306">
        <f ca="1">H4</f>
        <v>0</v>
      </c>
      <c r="J39" s="306">
        <f ca="1">H5</f>
        <v>0</v>
      </c>
      <c r="K39" s="306">
        <f ca="1">H6</f>
        <v>0</v>
      </c>
      <c r="L39" s="306">
        <f ca="1">H7</f>
        <v>0</v>
      </c>
      <c r="M39" s="306">
        <f ca="1">H8</f>
        <v>0</v>
      </c>
      <c r="N39" s="306">
        <f ca="1">H9</f>
        <v>0</v>
      </c>
      <c r="O39" s="306">
        <f ca="1">H10</f>
        <v>0</v>
      </c>
      <c r="P39" s="306">
        <f ca="1">H11</f>
        <v>0</v>
      </c>
      <c r="Q39" s="306">
        <f ca="1">H12</f>
        <v>0</v>
      </c>
      <c r="R39" s="306">
        <f ca="1">H13</f>
        <v>0</v>
      </c>
      <c r="S39" s="307">
        <f ca="1">H14</f>
        <v>0</v>
      </c>
      <c r="T39" s="308" t="s">
        <v>36</v>
      </c>
      <c r="U39" s="305">
        <f>AF2</f>
        <v>0</v>
      </c>
      <c r="V39" s="306">
        <f>AF3</f>
        <v>0</v>
      </c>
      <c r="W39" s="306">
        <f>AF4</f>
        <v>0</v>
      </c>
      <c r="X39" s="306">
        <f>AF5</f>
        <v>0</v>
      </c>
      <c r="Y39" s="306">
        <f>AF6</f>
        <v>0</v>
      </c>
      <c r="Z39" s="306">
        <f>AF7</f>
        <v>0</v>
      </c>
      <c r="AA39" s="306">
        <f>AF8</f>
        <v>0</v>
      </c>
      <c r="AB39" s="306">
        <f>AF9</f>
        <v>0</v>
      </c>
      <c r="AC39" s="306">
        <f>AF10</f>
        <v>0</v>
      </c>
      <c r="AD39" s="306">
        <f>AF11</f>
        <v>0</v>
      </c>
      <c r="AE39" s="306">
        <f>AF12</f>
        <v>0</v>
      </c>
      <c r="AF39" s="306">
        <f>AF13</f>
        <v>0</v>
      </c>
      <c r="AG39" s="307">
        <f>AF14</f>
        <v>0</v>
      </c>
      <c r="AH39" s="222"/>
      <c r="AI39" s="223"/>
      <c r="AJ39" s="222"/>
      <c r="AK39" s="224"/>
    </row>
    <row r="40" spans="6:37" ht="12.75" x14ac:dyDescent="0.2">
      <c r="F40" s="304" t="s">
        <v>37</v>
      </c>
      <c r="G40" s="305">
        <f ca="1">J2</f>
        <v>0</v>
      </c>
      <c r="H40" s="306">
        <f ca="1">J3</f>
        <v>0</v>
      </c>
      <c r="I40" s="306">
        <f ca="1">J4</f>
        <v>0</v>
      </c>
      <c r="J40" s="306">
        <f ca="1">J5</f>
        <v>0</v>
      </c>
      <c r="K40" s="306">
        <f ca="1">J6</f>
        <v>0</v>
      </c>
      <c r="L40" s="306">
        <f ca="1">J7</f>
        <v>0</v>
      </c>
      <c r="M40" s="306">
        <f ca="1">J8</f>
        <v>0</v>
      </c>
      <c r="N40" s="306">
        <f ca="1">J9</f>
        <v>0</v>
      </c>
      <c r="O40" s="306">
        <f ca="1">J10</f>
        <v>0</v>
      </c>
      <c r="P40" s="306">
        <f ca="1">J11</f>
        <v>0</v>
      </c>
      <c r="Q40" s="306">
        <f ca="1">J12</f>
        <v>0</v>
      </c>
      <c r="R40" s="306">
        <f ca="1">J13</f>
        <v>0</v>
      </c>
      <c r="S40" s="307">
        <f ca="1">J14</f>
        <v>0</v>
      </c>
      <c r="T40" s="308" t="s">
        <v>37</v>
      </c>
      <c r="U40" s="305">
        <f>AG2</f>
        <v>0</v>
      </c>
      <c r="V40" s="306">
        <f>AG3</f>
        <v>0</v>
      </c>
      <c r="W40" s="306">
        <f>AG4</f>
        <v>0</v>
      </c>
      <c r="X40" s="306">
        <f>AG5</f>
        <v>0</v>
      </c>
      <c r="Y40" s="306">
        <f>AG6</f>
        <v>0</v>
      </c>
      <c r="Z40" s="306">
        <f>AG7</f>
        <v>0</v>
      </c>
      <c r="AA40" s="306">
        <f>AG8</f>
        <v>0</v>
      </c>
      <c r="AB40" s="306">
        <f>AG9</f>
        <v>0</v>
      </c>
      <c r="AC40" s="306">
        <f>AG10</f>
        <v>0</v>
      </c>
      <c r="AD40" s="306">
        <f>AG11</f>
        <v>0</v>
      </c>
      <c r="AE40" s="306">
        <f>AG12</f>
        <v>0</v>
      </c>
      <c r="AF40" s="306">
        <f>AG13</f>
        <v>0</v>
      </c>
      <c r="AG40" s="307">
        <f>AG14</f>
        <v>0</v>
      </c>
      <c r="AH40" s="222"/>
      <c r="AI40" s="223"/>
      <c r="AJ40" s="222"/>
      <c r="AK40" s="224"/>
    </row>
    <row r="41" spans="6:37" ht="12.75" x14ac:dyDescent="0.2">
      <c r="F41" s="304" t="s">
        <v>38</v>
      </c>
      <c r="G41" s="305">
        <f ca="1">L2</f>
        <v>0</v>
      </c>
      <c r="H41" s="306">
        <f ca="1">L3</f>
        <v>0</v>
      </c>
      <c r="I41" s="306">
        <f ca="1">L4</f>
        <v>0</v>
      </c>
      <c r="J41" s="306">
        <f ca="1">L5</f>
        <v>0</v>
      </c>
      <c r="K41" s="306">
        <f ca="1">L6</f>
        <v>0</v>
      </c>
      <c r="L41" s="306">
        <f ca="1">L7</f>
        <v>0</v>
      </c>
      <c r="M41" s="306">
        <f ca="1">L8</f>
        <v>0</v>
      </c>
      <c r="N41" s="306">
        <f ca="1">L9</f>
        <v>0</v>
      </c>
      <c r="O41" s="306">
        <f ca="1">L10</f>
        <v>0</v>
      </c>
      <c r="P41" s="306">
        <f ca="1">L11</f>
        <v>0</v>
      </c>
      <c r="Q41" s="306">
        <f ca="1">L12</f>
        <v>0</v>
      </c>
      <c r="R41" s="306">
        <f ca="1">L13</f>
        <v>0</v>
      </c>
      <c r="S41" s="307">
        <f ca="1">L14</f>
        <v>0</v>
      </c>
      <c r="T41" s="308" t="s">
        <v>38</v>
      </c>
      <c r="U41" s="305">
        <f>AH2</f>
        <v>0</v>
      </c>
      <c r="V41" s="306">
        <f>AH3</f>
        <v>0</v>
      </c>
      <c r="W41" s="306">
        <f>AH4</f>
        <v>0</v>
      </c>
      <c r="X41" s="306">
        <f>AH5</f>
        <v>0</v>
      </c>
      <c r="Y41" s="306">
        <f>AH6</f>
        <v>0</v>
      </c>
      <c r="Z41" s="306">
        <f>AH7</f>
        <v>0</v>
      </c>
      <c r="AA41" s="306">
        <f>AH8</f>
        <v>0</v>
      </c>
      <c r="AB41" s="306">
        <f>AH9</f>
        <v>0</v>
      </c>
      <c r="AC41" s="306">
        <f>AH10</f>
        <v>0</v>
      </c>
      <c r="AD41" s="306">
        <f>AH11</f>
        <v>0</v>
      </c>
      <c r="AE41" s="306">
        <f>AH12</f>
        <v>0</v>
      </c>
      <c r="AF41" s="306">
        <f>AH13</f>
        <v>0</v>
      </c>
      <c r="AG41" s="307">
        <f>AH14</f>
        <v>0</v>
      </c>
      <c r="AH41" s="222"/>
      <c r="AI41" s="223"/>
      <c r="AJ41" s="222"/>
      <c r="AK41" s="224"/>
    </row>
    <row r="42" spans="6:37" ht="12.75" x14ac:dyDescent="0.2">
      <c r="F42" s="304" t="s">
        <v>39</v>
      </c>
      <c r="G42" s="305">
        <f ca="1">N2</f>
        <v>0</v>
      </c>
      <c r="H42" s="306">
        <f ca="1">N3</f>
        <v>0</v>
      </c>
      <c r="I42" s="306">
        <f ca="1">N4</f>
        <v>0</v>
      </c>
      <c r="J42" s="306">
        <f ca="1">N5</f>
        <v>0</v>
      </c>
      <c r="K42" s="306">
        <f ca="1">N6</f>
        <v>0</v>
      </c>
      <c r="L42" s="306">
        <f ca="1">N7</f>
        <v>0</v>
      </c>
      <c r="M42" s="306">
        <f ca="1">N8</f>
        <v>0</v>
      </c>
      <c r="N42" s="306">
        <f ca="1">N9</f>
        <v>0</v>
      </c>
      <c r="O42" s="306">
        <f ca="1">N10</f>
        <v>0</v>
      </c>
      <c r="P42" s="306">
        <f ca="1">N11</f>
        <v>0</v>
      </c>
      <c r="Q42" s="306">
        <f ca="1">N12</f>
        <v>0</v>
      </c>
      <c r="R42" s="306">
        <f ca="1">N13</f>
        <v>0</v>
      </c>
      <c r="S42" s="307">
        <f ca="1">N14</f>
        <v>0</v>
      </c>
      <c r="T42" s="308" t="s">
        <v>39</v>
      </c>
      <c r="U42" s="305">
        <f>AI2</f>
        <v>0</v>
      </c>
      <c r="V42" s="306">
        <f>AI3</f>
        <v>0</v>
      </c>
      <c r="W42" s="306">
        <f>AI4</f>
        <v>0</v>
      </c>
      <c r="X42" s="306">
        <f>AI5</f>
        <v>0</v>
      </c>
      <c r="Y42" s="306">
        <f>AI6</f>
        <v>0</v>
      </c>
      <c r="Z42" s="306">
        <f>AI7</f>
        <v>0</v>
      </c>
      <c r="AA42" s="306">
        <f>AI8</f>
        <v>0</v>
      </c>
      <c r="AB42" s="306">
        <f>AI9</f>
        <v>0</v>
      </c>
      <c r="AC42" s="306">
        <f>AI10</f>
        <v>0</v>
      </c>
      <c r="AD42" s="306">
        <f>AI11</f>
        <v>0</v>
      </c>
      <c r="AE42" s="306">
        <f>AI12</f>
        <v>0</v>
      </c>
      <c r="AF42" s="306">
        <f>AI13</f>
        <v>0</v>
      </c>
      <c r="AG42" s="307">
        <f>AI14</f>
        <v>0</v>
      </c>
      <c r="AH42" s="222"/>
      <c r="AI42" s="223"/>
      <c r="AJ42" s="222"/>
      <c r="AK42" s="224"/>
    </row>
    <row r="43" spans="6:37" ht="12.75" x14ac:dyDescent="0.2">
      <c r="F43" s="304" t="s">
        <v>40</v>
      </c>
      <c r="G43" s="305">
        <f ca="1">P2</f>
        <v>0</v>
      </c>
      <c r="H43" s="306">
        <f ca="1">P3</f>
        <v>0</v>
      </c>
      <c r="I43" s="306">
        <f ca="1">P4</f>
        <v>0</v>
      </c>
      <c r="J43" s="306">
        <f ca="1">P5</f>
        <v>0</v>
      </c>
      <c r="K43" s="306">
        <f ca="1">P6</f>
        <v>0</v>
      </c>
      <c r="L43" s="306">
        <f ca="1">P7</f>
        <v>0</v>
      </c>
      <c r="M43" s="306">
        <f ca="1">P8</f>
        <v>0</v>
      </c>
      <c r="N43" s="306">
        <f ca="1">P9</f>
        <v>0</v>
      </c>
      <c r="O43" s="306">
        <f ca="1">P10</f>
        <v>0</v>
      </c>
      <c r="P43" s="306">
        <f ca="1">P11</f>
        <v>0</v>
      </c>
      <c r="Q43" s="306">
        <f ca="1">P12</f>
        <v>0</v>
      </c>
      <c r="R43" s="306">
        <f ca="1">P13</f>
        <v>0</v>
      </c>
      <c r="S43" s="307">
        <f ca="1">P14</f>
        <v>0</v>
      </c>
      <c r="T43" s="308" t="s">
        <v>40</v>
      </c>
      <c r="U43" s="305">
        <f>AJ2</f>
        <v>0</v>
      </c>
      <c r="V43" s="306">
        <f>AJ3</f>
        <v>0</v>
      </c>
      <c r="W43" s="306">
        <f>AJ4</f>
        <v>0</v>
      </c>
      <c r="X43" s="306">
        <f>AJ5</f>
        <v>0</v>
      </c>
      <c r="Y43" s="306">
        <f>AJ6</f>
        <v>0</v>
      </c>
      <c r="Z43" s="306">
        <f>AJ7</f>
        <v>0</v>
      </c>
      <c r="AA43" s="306">
        <f>AJ8</f>
        <v>0</v>
      </c>
      <c r="AB43" s="306">
        <f>AJ9</f>
        <v>0</v>
      </c>
      <c r="AC43" s="306">
        <f>AJ10</f>
        <v>0</v>
      </c>
      <c r="AD43" s="306">
        <f>AJ11</f>
        <v>0</v>
      </c>
      <c r="AE43" s="306">
        <f>AJ12</f>
        <v>0</v>
      </c>
      <c r="AF43" s="306">
        <f>AJ13</f>
        <v>0</v>
      </c>
      <c r="AG43" s="307">
        <f>AJ14</f>
        <v>0</v>
      </c>
      <c r="AH43" s="222"/>
      <c r="AI43" s="223"/>
      <c r="AJ43" s="222"/>
      <c r="AK43" s="224"/>
    </row>
    <row r="44" spans="6:37" ht="12.75" x14ac:dyDescent="0.2">
      <c r="F44" s="304" t="s">
        <v>41</v>
      </c>
      <c r="G44" s="305">
        <f ca="1">R2</f>
        <v>0</v>
      </c>
      <c r="H44" s="306">
        <f ca="1">R3</f>
        <v>0</v>
      </c>
      <c r="I44" s="306">
        <f ca="1">R4</f>
        <v>0</v>
      </c>
      <c r="J44" s="306">
        <f ca="1">R5</f>
        <v>0</v>
      </c>
      <c r="K44" s="306">
        <f ca="1">R6</f>
        <v>0</v>
      </c>
      <c r="L44" s="306">
        <f ca="1">R7</f>
        <v>0</v>
      </c>
      <c r="M44" s="306">
        <f ca="1">R8</f>
        <v>0</v>
      </c>
      <c r="N44" s="306">
        <f ca="1">R9</f>
        <v>0</v>
      </c>
      <c r="O44" s="306">
        <f ca="1">R10</f>
        <v>0</v>
      </c>
      <c r="P44" s="306">
        <f ca="1">R11</f>
        <v>0</v>
      </c>
      <c r="Q44" s="306">
        <f ca="1">R12</f>
        <v>0</v>
      </c>
      <c r="R44" s="306">
        <f ca="1">R13</f>
        <v>0</v>
      </c>
      <c r="S44" s="307">
        <f ca="1">R14</f>
        <v>0</v>
      </c>
      <c r="T44" s="308" t="s">
        <v>41</v>
      </c>
      <c r="U44" s="305">
        <f>AK2</f>
        <v>0</v>
      </c>
      <c r="V44" s="306">
        <f>AK3</f>
        <v>0</v>
      </c>
      <c r="W44" s="306">
        <f>AK4</f>
        <v>0</v>
      </c>
      <c r="X44" s="306">
        <f>AK5</f>
        <v>0</v>
      </c>
      <c r="Y44" s="306">
        <f>AK6</f>
        <v>0</v>
      </c>
      <c r="Z44" s="306">
        <f>AK7</f>
        <v>0</v>
      </c>
      <c r="AA44" s="306">
        <f>AK8</f>
        <v>0</v>
      </c>
      <c r="AB44" s="306">
        <f>AK9</f>
        <v>0</v>
      </c>
      <c r="AC44" s="306">
        <f>AK10</f>
        <v>0</v>
      </c>
      <c r="AD44" s="306">
        <f>AK11</f>
        <v>0</v>
      </c>
      <c r="AE44" s="306">
        <f>AK12</f>
        <v>0</v>
      </c>
      <c r="AF44" s="306">
        <f>AK13</f>
        <v>0</v>
      </c>
      <c r="AG44" s="307">
        <f>AK14</f>
        <v>0</v>
      </c>
      <c r="AH44" s="222"/>
      <c r="AI44" s="223"/>
      <c r="AJ44" s="222"/>
      <c r="AK44" s="224"/>
    </row>
    <row r="45" spans="6:37" ht="12.75" x14ac:dyDescent="0.2">
      <c r="F45" s="304" t="s">
        <v>42</v>
      </c>
      <c r="G45" s="305">
        <f ca="1">T2</f>
        <v>0</v>
      </c>
      <c r="H45" s="306">
        <f ca="1">T3</f>
        <v>0</v>
      </c>
      <c r="I45" s="306">
        <f ca="1">T4</f>
        <v>0</v>
      </c>
      <c r="J45" s="306">
        <f ca="1">T5</f>
        <v>0</v>
      </c>
      <c r="K45" s="306">
        <f ca="1">T6</f>
        <v>0</v>
      </c>
      <c r="L45" s="306">
        <f ca="1">T7</f>
        <v>0</v>
      </c>
      <c r="M45" s="306">
        <f ca="1">T8</f>
        <v>0</v>
      </c>
      <c r="N45" s="306">
        <f ca="1">T9</f>
        <v>0</v>
      </c>
      <c r="O45" s="306">
        <f ca="1">T10</f>
        <v>0</v>
      </c>
      <c r="P45" s="306">
        <f ca="1">T11</f>
        <v>0</v>
      </c>
      <c r="Q45" s="306">
        <f ca="1">T12</f>
        <v>0</v>
      </c>
      <c r="R45" s="306">
        <f ca="1">T13</f>
        <v>0</v>
      </c>
      <c r="S45" s="307">
        <f ca="1">T14</f>
        <v>0</v>
      </c>
      <c r="T45" s="308" t="s">
        <v>42</v>
      </c>
      <c r="U45" s="305">
        <f>AL2</f>
        <v>0</v>
      </c>
      <c r="V45" s="306">
        <f>AL3</f>
        <v>0</v>
      </c>
      <c r="W45" s="306">
        <f>AL4</f>
        <v>0</v>
      </c>
      <c r="X45" s="306">
        <f>AL5</f>
        <v>0</v>
      </c>
      <c r="Y45" s="306">
        <f>AL6</f>
        <v>0</v>
      </c>
      <c r="Z45" s="306">
        <f>AL7</f>
        <v>0</v>
      </c>
      <c r="AA45" s="306">
        <f>AL8</f>
        <v>0</v>
      </c>
      <c r="AB45" s="306">
        <f>AL9</f>
        <v>0</v>
      </c>
      <c r="AC45" s="306">
        <f>AL10</f>
        <v>0</v>
      </c>
      <c r="AD45" s="306">
        <f>AL11</f>
        <v>0</v>
      </c>
      <c r="AE45" s="306">
        <f>AL12</f>
        <v>0</v>
      </c>
      <c r="AF45" s="306">
        <f>AL13</f>
        <v>0</v>
      </c>
      <c r="AG45" s="307">
        <f>AL14</f>
        <v>0</v>
      </c>
      <c r="AH45" s="222"/>
      <c r="AI45" s="223"/>
      <c r="AJ45" s="222"/>
      <c r="AK45" s="224"/>
    </row>
    <row r="46" spans="6:37" ht="12.75" x14ac:dyDescent="0.2">
      <c r="F46" s="304" t="s">
        <v>43</v>
      </c>
      <c r="G46" s="305">
        <f ca="1">V2</f>
        <v>0</v>
      </c>
      <c r="H46" s="306">
        <f ca="1">V3</f>
        <v>0</v>
      </c>
      <c r="I46" s="306">
        <f ca="1">V4</f>
        <v>0</v>
      </c>
      <c r="J46" s="306">
        <f ca="1">V5</f>
        <v>0</v>
      </c>
      <c r="K46" s="306">
        <f ca="1">V6</f>
        <v>0</v>
      </c>
      <c r="L46" s="306">
        <f ca="1">V7</f>
        <v>0</v>
      </c>
      <c r="M46" s="306">
        <f ca="1">V8</f>
        <v>0</v>
      </c>
      <c r="N46" s="306">
        <f ca="1">V9</f>
        <v>0</v>
      </c>
      <c r="O46" s="306">
        <f ca="1">V10</f>
        <v>0</v>
      </c>
      <c r="P46" s="306">
        <f ca="1">V11</f>
        <v>0</v>
      </c>
      <c r="Q46" s="306">
        <f ca="1">V12</f>
        <v>0</v>
      </c>
      <c r="R46" s="306">
        <f ca="1">V13</f>
        <v>0</v>
      </c>
      <c r="S46" s="307">
        <f ca="1">V14</f>
        <v>0</v>
      </c>
      <c r="T46" s="308" t="s">
        <v>43</v>
      </c>
      <c r="U46" s="305">
        <f>AM2</f>
        <v>0</v>
      </c>
      <c r="V46" s="306">
        <f>AM3</f>
        <v>0</v>
      </c>
      <c r="W46" s="306">
        <f>AM4</f>
        <v>0</v>
      </c>
      <c r="X46" s="306">
        <f>AM5</f>
        <v>0</v>
      </c>
      <c r="Y46" s="306">
        <f>AM6</f>
        <v>0</v>
      </c>
      <c r="Z46" s="306">
        <f>AM7</f>
        <v>0</v>
      </c>
      <c r="AA46" s="306">
        <f>AM8</f>
        <v>0</v>
      </c>
      <c r="AB46" s="306">
        <f>AM9</f>
        <v>0</v>
      </c>
      <c r="AC46" s="306">
        <f>AM10</f>
        <v>0</v>
      </c>
      <c r="AD46" s="306">
        <f>AM11</f>
        <v>0</v>
      </c>
      <c r="AE46" s="306">
        <f>AM12</f>
        <v>0</v>
      </c>
      <c r="AF46" s="306">
        <f>AM13</f>
        <v>0</v>
      </c>
      <c r="AG46" s="307">
        <f>AM14</f>
        <v>0</v>
      </c>
      <c r="AH46" s="222"/>
      <c r="AI46" s="223"/>
      <c r="AJ46" s="222"/>
      <c r="AK46" s="224"/>
    </row>
    <row r="47" spans="6:37" ht="12.75" x14ac:dyDescent="0.2">
      <c r="F47" s="304" t="s">
        <v>44</v>
      </c>
      <c r="G47" s="305">
        <f ca="1">X2</f>
        <v>0</v>
      </c>
      <c r="H47" s="306">
        <f ca="1">X3</f>
        <v>0</v>
      </c>
      <c r="I47" s="306">
        <f ca="1">X4</f>
        <v>0</v>
      </c>
      <c r="J47" s="306">
        <f ca="1">X5</f>
        <v>0</v>
      </c>
      <c r="K47" s="306">
        <f ca="1">X6</f>
        <v>0</v>
      </c>
      <c r="L47" s="306">
        <f ca="1">X7</f>
        <v>0</v>
      </c>
      <c r="M47" s="306">
        <f ca="1">X8</f>
        <v>0</v>
      </c>
      <c r="N47" s="306">
        <f ca="1">X9</f>
        <v>0</v>
      </c>
      <c r="O47" s="306">
        <f ca="1">X10</f>
        <v>0</v>
      </c>
      <c r="P47" s="306">
        <f ca="1">X11</f>
        <v>0</v>
      </c>
      <c r="Q47" s="306">
        <f ca="1">X12</f>
        <v>0</v>
      </c>
      <c r="R47" s="306">
        <f ca="1">X13</f>
        <v>0</v>
      </c>
      <c r="S47" s="307">
        <f ca="1">X14</f>
        <v>0</v>
      </c>
      <c r="T47" s="308" t="s">
        <v>44</v>
      </c>
      <c r="U47" s="305">
        <f>AN2</f>
        <v>0</v>
      </c>
      <c r="V47" s="306">
        <f>AN3</f>
        <v>0</v>
      </c>
      <c r="W47" s="306">
        <f>AN4</f>
        <v>0</v>
      </c>
      <c r="X47" s="306">
        <f>AN5</f>
        <v>0</v>
      </c>
      <c r="Y47" s="306">
        <f>AN6</f>
        <v>0</v>
      </c>
      <c r="Z47" s="306">
        <f>AN7</f>
        <v>0</v>
      </c>
      <c r="AA47" s="306">
        <f>AN8</f>
        <v>0</v>
      </c>
      <c r="AB47" s="306">
        <f>AN9</f>
        <v>0</v>
      </c>
      <c r="AC47" s="306">
        <f>AN10</f>
        <v>0</v>
      </c>
      <c r="AD47" s="306">
        <f>AN11</f>
        <v>0</v>
      </c>
      <c r="AE47" s="306">
        <f>AN12</f>
        <v>0</v>
      </c>
      <c r="AF47" s="306">
        <f>AN13</f>
        <v>0</v>
      </c>
      <c r="AG47" s="307">
        <f>AN14</f>
        <v>0</v>
      </c>
      <c r="AH47" s="225"/>
      <c r="AI47" s="217"/>
      <c r="AJ47" s="225"/>
      <c r="AK47" s="226"/>
    </row>
    <row r="48" spans="6:37" ht="12.75" x14ac:dyDescent="0.2">
      <c r="F48" s="304" t="s">
        <v>45</v>
      </c>
      <c r="G48" s="305">
        <f ca="1">Z2</f>
        <v>0</v>
      </c>
      <c r="H48" s="306">
        <f ca="1">Z3</f>
        <v>0</v>
      </c>
      <c r="I48" s="306">
        <f ca="1">Z4</f>
        <v>0</v>
      </c>
      <c r="J48" s="306">
        <f ca="1">Z5</f>
        <v>0</v>
      </c>
      <c r="K48" s="306">
        <f ca="1">Z6</f>
        <v>0</v>
      </c>
      <c r="L48" s="306">
        <f ca="1">Z7</f>
        <v>0</v>
      </c>
      <c r="M48" s="306">
        <f ca="1">Z8</f>
        <v>0</v>
      </c>
      <c r="N48" s="306">
        <f ca="1">Z9</f>
        <v>0</v>
      </c>
      <c r="O48" s="306">
        <f ca="1">Z10</f>
        <v>0</v>
      </c>
      <c r="P48" s="306">
        <f ca="1">Z11</f>
        <v>0</v>
      </c>
      <c r="Q48" s="306">
        <f ca="1">Z12</f>
        <v>0</v>
      </c>
      <c r="R48" s="306">
        <f ca="1">Z13</f>
        <v>0</v>
      </c>
      <c r="S48" s="307">
        <f ca="1">Z14</f>
        <v>0</v>
      </c>
      <c r="T48" s="308" t="s">
        <v>45</v>
      </c>
      <c r="U48" s="305">
        <f>AO2</f>
        <v>0</v>
      </c>
      <c r="V48" s="306">
        <f>AO3</f>
        <v>0</v>
      </c>
      <c r="W48" s="306">
        <f>AO4</f>
        <v>0</v>
      </c>
      <c r="X48" s="306">
        <f>AO5</f>
        <v>0</v>
      </c>
      <c r="Y48" s="306">
        <f>AO6</f>
        <v>0</v>
      </c>
      <c r="Z48" s="306">
        <f>AO7</f>
        <v>0</v>
      </c>
      <c r="AA48" s="306">
        <f>AO8</f>
        <v>0</v>
      </c>
      <c r="AB48" s="306">
        <f>AO9</f>
        <v>0</v>
      </c>
      <c r="AC48" s="306">
        <f>AO10</f>
        <v>0</v>
      </c>
      <c r="AD48" s="306">
        <f>AO11</f>
        <v>0</v>
      </c>
      <c r="AE48" s="306">
        <f>AO12</f>
        <v>0</v>
      </c>
      <c r="AF48" s="306">
        <f>AO13</f>
        <v>0</v>
      </c>
      <c r="AG48" s="307">
        <f>AO14</f>
        <v>0</v>
      </c>
      <c r="AH48" s="225"/>
      <c r="AI48" s="217"/>
      <c r="AJ48" s="225"/>
      <c r="AK48" s="226"/>
    </row>
    <row r="49" spans="6:37" ht="12.75" x14ac:dyDescent="0.2">
      <c r="F49" s="309" t="s">
        <v>46</v>
      </c>
      <c r="G49" s="310">
        <f ca="1">AB2</f>
        <v>0</v>
      </c>
      <c r="H49" s="311">
        <f ca="1">AB3</f>
        <v>0</v>
      </c>
      <c r="I49" s="311">
        <f ca="1">AB4</f>
        <v>0</v>
      </c>
      <c r="J49" s="311">
        <f ca="1">AB5</f>
        <v>0</v>
      </c>
      <c r="K49" s="311">
        <f ca="1">AB6</f>
        <v>0</v>
      </c>
      <c r="L49" s="311">
        <f ca="1">AB7</f>
        <v>0</v>
      </c>
      <c r="M49" s="311">
        <f ca="1">AB8</f>
        <v>0</v>
      </c>
      <c r="N49" s="311">
        <f ca="1">AB9</f>
        <v>0</v>
      </c>
      <c r="O49" s="311">
        <f ca="1">AB10</f>
        <v>0</v>
      </c>
      <c r="P49" s="311">
        <f ca="1">AB11</f>
        <v>0</v>
      </c>
      <c r="Q49" s="311">
        <f ca="1">AB12</f>
        <v>0</v>
      </c>
      <c r="R49" s="311">
        <f ca="1">AB13</f>
        <v>0</v>
      </c>
      <c r="S49" s="312">
        <f ca="1">AB14</f>
        <v>0</v>
      </c>
      <c r="T49" s="313" t="s">
        <v>46</v>
      </c>
      <c r="U49" s="310">
        <f>AP2</f>
        <v>0</v>
      </c>
      <c r="V49" s="311">
        <f>AP3</f>
        <v>0</v>
      </c>
      <c r="W49" s="311">
        <f>AP4</f>
        <v>0</v>
      </c>
      <c r="X49" s="311">
        <f>AP5</f>
        <v>0</v>
      </c>
      <c r="Y49" s="311">
        <f>AP6</f>
        <v>0</v>
      </c>
      <c r="Z49" s="311">
        <f>AP7</f>
        <v>0</v>
      </c>
      <c r="AA49" s="311">
        <f>AP8</f>
        <v>0</v>
      </c>
      <c r="AB49" s="311">
        <f>AP9</f>
        <v>0</v>
      </c>
      <c r="AC49" s="311">
        <f>AP10</f>
        <v>0</v>
      </c>
      <c r="AD49" s="311">
        <f>AP11</f>
        <v>0</v>
      </c>
      <c r="AE49" s="311">
        <f>AP12</f>
        <v>0</v>
      </c>
      <c r="AF49" s="311">
        <f>AP13</f>
        <v>0</v>
      </c>
      <c r="AG49" s="312">
        <f>AP14</f>
        <v>0</v>
      </c>
      <c r="AH49" s="225"/>
      <c r="AI49" s="217"/>
      <c r="AJ49" s="225"/>
      <c r="AK49" s="226"/>
    </row>
    <row r="50" spans="6:37" ht="13.5" thickBot="1" x14ac:dyDescent="0.25">
      <c r="F50" s="314" t="s">
        <v>47</v>
      </c>
      <c r="G50" s="315">
        <f ca="1">AD2</f>
        <v>0</v>
      </c>
      <c r="H50" s="316">
        <f ca="1">AD3</f>
        <v>0</v>
      </c>
      <c r="I50" s="316">
        <f ca="1">AD4</f>
        <v>0</v>
      </c>
      <c r="J50" s="316">
        <f ca="1">AD5</f>
        <v>0</v>
      </c>
      <c r="K50" s="316">
        <f ca="1">AD6</f>
        <v>0</v>
      </c>
      <c r="L50" s="316">
        <f ca="1">AD7</f>
        <v>0</v>
      </c>
      <c r="M50" s="316">
        <f ca="1">AD8</f>
        <v>0</v>
      </c>
      <c r="N50" s="316">
        <f ca="1">AD9</f>
        <v>0</v>
      </c>
      <c r="O50" s="316">
        <f ca="1">AD10</f>
        <v>0</v>
      </c>
      <c r="P50" s="316">
        <f ca="1">AD11</f>
        <v>0</v>
      </c>
      <c r="Q50" s="316">
        <f ca="1">AD12</f>
        <v>0</v>
      </c>
      <c r="R50" s="316">
        <f ca="1">AD13</f>
        <v>0</v>
      </c>
      <c r="S50" s="317">
        <f ca="1">AD14</f>
        <v>0</v>
      </c>
      <c r="T50" s="318" t="s">
        <v>47</v>
      </c>
      <c r="U50" s="315">
        <f>AQ2</f>
        <v>0</v>
      </c>
      <c r="V50" s="316">
        <f>AQ3</f>
        <v>0</v>
      </c>
      <c r="W50" s="316">
        <f>AQ4</f>
        <v>0</v>
      </c>
      <c r="X50" s="316">
        <f>AQ5</f>
        <v>0</v>
      </c>
      <c r="Y50" s="316">
        <f>AQ6</f>
        <v>0</v>
      </c>
      <c r="Z50" s="316">
        <f>AQ7</f>
        <v>0</v>
      </c>
      <c r="AA50" s="316">
        <f>AQ8</f>
        <v>0</v>
      </c>
      <c r="AB50" s="316">
        <f>AQ9</f>
        <v>0</v>
      </c>
      <c r="AC50" s="316">
        <f>AQ10</f>
        <v>0</v>
      </c>
      <c r="AD50" s="316">
        <f>AQ11</f>
        <v>0</v>
      </c>
      <c r="AE50" s="316">
        <f>AQ12</f>
        <v>0</v>
      </c>
      <c r="AF50" s="316">
        <f>AQ13</f>
        <v>0</v>
      </c>
      <c r="AG50" s="317">
        <f>AQ14</f>
        <v>0</v>
      </c>
      <c r="AH50" s="227"/>
      <c r="AI50" s="228"/>
      <c r="AJ50" s="227"/>
      <c r="AK50" s="229"/>
    </row>
  </sheetData>
  <sheetProtection algorithmName="SHA-512" hashValue="Wdc89L3srI6gksN/TNfOVtwunklAh3ocJFHss0Ak34gE5qdD078Mu2rwG3KS/SHPnAksZv2YT0TGhRWXE9A2ug==" saltValue="swzZk9c2dllannOxDZosPw==" spinCount="100000" sheet="1" objects="1" scenarios="1"/>
  <mergeCells count="20">
    <mergeCell ref="A14:B14"/>
    <mergeCell ref="Q1:R1"/>
    <mergeCell ref="S1:T1"/>
    <mergeCell ref="U1:V1"/>
    <mergeCell ref="W1:X1"/>
    <mergeCell ref="A1:B1"/>
    <mergeCell ref="C1:E1"/>
    <mergeCell ref="G1:H1"/>
    <mergeCell ref="I1:J1"/>
    <mergeCell ref="K1:L1"/>
    <mergeCell ref="Y1:Z1"/>
    <mergeCell ref="G36:S36"/>
    <mergeCell ref="U36:AG36"/>
    <mergeCell ref="AE15:AQ15"/>
    <mergeCell ref="AA1:AB1"/>
    <mergeCell ref="AC1:AD1"/>
    <mergeCell ref="M1:N1"/>
    <mergeCell ref="O1:P1"/>
    <mergeCell ref="AJ21:AK21"/>
    <mergeCell ref="AH21:AI21"/>
  </mergeCells>
  <phoneticPr fontId="28" type="noConversion"/>
  <conditionalFormatting sqref="D2:D14 H2:H14 J2:J14 L2:L14 N2:N14 P2:P14 R2:R14 T2:T14 V2:V14 X2:X14 Z2:Z14 AB2:AB14 AD2:AD14">
    <cfRule type="cellIs" dxfId="435" priority="1" operator="greaterThan">
      <formula>1</formula>
    </cfRule>
  </conditionalFormatting>
  <conditionalFormatting sqref="E2:E13">
    <cfRule type="dataBar" priority="2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{3FDD93BF-BD62-434C-B28B-B55DBDFEDBA1}</x14:id>
        </ext>
      </extLst>
    </cfRule>
  </conditionalFormatting>
  <conditionalFormatting sqref="E14">
    <cfRule type="dataBar" priority="3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{A914CC1E-FDA3-4754-ACDB-2624EA9E0F4E}</x14:id>
        </ext>
      </extLst>
    </cfRule>
  </conditionalFormatting>
  <conditionalFormatting sqref="I2:AD14">
    <cfRule type="expression" dxfId="434" priority="18">
      <formula>AND(MOD(COLUMN(), 2)=1, I2&lt;G2, NOT(ISBLANK(I2)), NOT(I2=0))</formula>
    </cfRule>
  </conditionalFormatting>
  <pageMargins left="0.7" right="0.7" top="0.75" bottom="0.75" header="0.3" footer="0.3"/>
  <pageSetup paperSize="9" orientation="portrait" r:id="rId1"/>
  <ignoredErrors>
    <ignoredError sqref="H14 I14:J14 K14:L14 M14:N14 O14:P14 Q14:R14 S14:T14 U14:V14 W14:X14 Y14:Z14 AA14:AC1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54" r:id="rId4" name="Button 182">
              <controlPr defaultSize="0" print="0" autoFill="0" autoPict="0" macro="[0]!GenererBoutonsFormesInteractives">
                <anchor moveWithCells="1">
                  <from>
                    <xdr:col>30</xdr:col>
                    <xdr:colOff>238125</xdr:colOff>
                    <xdr:row>31</xdr:row>
                    <xdr:rowOff>9525</xdr:rowOff>
                  </from>
                  <to>
                    <xdr:col>32</xdr:col>
                    <xdr:colOff>28575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locked="0" defaultSize="0" print="0" autoFill="0" autoPict="0" macro="[0]!ImporterParticipationHorairePremierTour">
                <anchor moveWithCells="1">
                  <from>
                    <xdr:col>34</xdr:col>
                    <xdr:colOff>466725</xdr:colOff>
                    <xdr:row>4</xdr:row>
                    <xdr:rowOff>133350</xdr:rowOff>
                  </from>
                  <to>
                    <xdr:col>38</xdr:col>
                    <xdr:colOff>66675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FDD93BF-BD62-434C-B28B-B55DBDFEDBA1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E2:E13</xm:sqref>
        </x14:conditionalFormatting>
        <x14:conditionalFormatting xmlns:xm="http://schemas.microsoft.com/office/excel/2006/main">
          <x14:cfRule type="dataBar" id="{A914CC1E-FDA3-4754-ACDB-2624EA9E0F4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E5B85-A1F5-42A4-83AA-EC2ED09E46F5}">
  <sheetPr codeName="Feuil42">
    <tabColor rgb="FFB4A7D6"/>
  </sheetPr>
  <dimension ref="A1:AA82"/>
  <sheetViews>
    <sheetView zoomScale="70" zoomScaleNormal="70" workbookViewId="0">
      <pane xSplit="2" topLeftCell="C1" activePane="topRight" state="frozen"/>
      <selection pane="topRight" activeCell="E13" sqref="E13:P13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5.85546875" customWidth="1"/>
    <col min="4" max="4" width="13" bestFit="1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7" t="s">
        <v>88</v>
      </c>
      <c r="E1" s="449" t="str">
        <f>Synthèse!M2</f>
        <v>Candidat 1</v>
      </c>
      <c r="F1" s="434" t="str">
        <f>Synthèse!N2</f>
        <v>Candidat 2 qui a un nom super long</v>
      </c>
      <c r="G1" s="434" t="str">
        <f>Synthèse!O2</f>
        <v>Candidat 3</v>
      </c>
      <c r="H1" s="434" t="str">
        <f>Synthèse!P2</f>
        <v>Candidat 4</v>
      </c>
      <c r="I1" s="434" t="str">
        <f>Synthèse!Q2</f>
        <v>Candidat 5</v>
      </c>
      <c r="J1" s="434" t="str">
        <f>Synthèse!R2</f>
        <v>Candidat 6</v>
      </c>
      <c r="K1" s="434" t="str">
        <f>Synthèse!S2</f>
        <v>Candidat 7</v>
      </c>
      <c r="L1" s="434" t="str">
        <f>Synthèse!T2</f>
        <v>Candidat 8</v>
      </c>
      <c r="M1" s="434" t="str">
        <f>Synthèse!U2</f>
        <v>Candidat 9</v>
      </c>
      <c r="N1" s="443" t="str">
        <f>Synthèse!V2</f>
        <v>Candidat 10</v>
      </c>
      <c r="O1" s="445" t="s">
        <v>3</v>
      </c>
      <c r="P1" s="430" t="s">
        <v>4</v>
      </c>
      <c r="Q1" s="339" t="s">
        <v>8</v>
      </c>
      <c r="R1" s="374">
        <f>CEILING($B$6, 100)/100</f>
        <v>6</v>
      </c>
      <c r="S1" s="374">
        <f>CEILING($B$7,100)/100</f>
        <v>5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8"/>
      <c r="E2" s="450"/>
      <c r="F2" s="435"/>
      <c r="G2" s="435"/>
      <c r="H2" s="435"/>
      <c r="I2" s="435"/>
      <c r="J2" s="435"/>
      <c r="K2" s="435"/>
      <c r="L2" s="435"/>
      <c r="M2" s="435"/>
      <c r="N2" s="444"/>
      <c r="O2" s="446"/>
      <c r="P2" s="431"/>
      <c r="Q2" s="340" t="s">
        <v>27</v>
      </c>
      <c r="R2" s="374">
        <f>MOD($B$7,100)</f>
        <v>40</v>
      </c>
      <c r="S2" s="375">
        <f>CEILING($B$6/300,1)</f>
        <v>2</v>
      </c>
      <c r="V2" s="102" t="s">
        <v>23</v>
      </c>
      <c r="W2" s="70" t="s">
        <v>60</v>
      </c>
      <c r="X2" s="103" t="s">
        <v>34</v>
      </c>
      <c r="Z2" s="432" t="s">
        <v>62</v>
      </c>
      <c r="AA2" s="432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cm="1">
        <f t="array" ref="D3">IF(ROW(1:1)&lt;=$S$1, (ROW(1:1)), "")</f>
        <v>1</v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1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3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23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46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9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6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100</v>
      </c>
      <c r="V3" s="107" t="s">
        <v>35</v>
      </c>
      <c r="W3" s="104">
        <v>0</v>
      </c>
      <c r="X3" s="72">
        <f t="shared" ref="X3" si="1">W3/$B$6</f>
        <v>0</v>
      </c>
      <c r="Z3" s="433"/>
      <c r="AA3" s="433"/>
    </row>
    <row r="4" spans="1:27" ht="20.100000000000001" customHeight="1" x14ac:dyDescent="0.2">
      <c r="A4" s="167" t="s">
        <v>25</v>
      </c>
      <c r="B4" s="252">
        <v>0</v>
      </c>
      <c r="D4" s="58" cm="1">
        <f t="array" ref="D4">IF(ROW(2:2)&lt;=$S$1, (ROW(2:2)), "")</f>
        <v>2</v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17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59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3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9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Q4" s="55">
        <f t="shared" si="0"/>
        <v>100</v>
      </c>
      <c r="V4" s="108" t="s">
        <v>36</v>
      </c>
      <c r="W4" s="230">
        <v>60</v>
      </c>
      <c r="X4" s="101">
        <f t="shared" ref="X4:X13" si="2">IF(OR(W4=0, W4=""), NA(), W4/$B$6)</f>
        <v>0.11857707509881422</v>
      </c>
      <c r="Z4" s="117" t="s">
        <v>48</v>
      </c>
      <c r="AA4" s="113">
        <f t="shared" ref="AA4:AA13" si="3">IF(W4&lt;&gt;0,W4-W3,NA())</f>
        <v>60</v>
      </c>
    </row>
    <row r="5" spans="1:27" ht="20.100000000000001" customHeight="1" x14ac:dyDescent="0.2">
      <c r="A5" s="168" t="s">
        <v>26</v>
      </c>
      <c r="B5" s="275" t="s">
        <v>102</v>
      </c>
      <c r="D5" s="58" cm="1">
        <f t="array" ref="D5">IF(ROW(3:3)&lt;=$S$1, (ROW(3:3)), "")</f>
        <v>3</v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40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1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8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6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2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100</v>
      </c>
      <c r="T5" s="337"/>
      <c r="U5" s="338"/>
      <c r="V5" s="109" t="s">
        <v>37</v>
      </c>
      <c r="W5" s="231">
        <v>118</v>
      </c>
      <c r="X5" s="68">
        <f t="shared" si="2"/>
        <v>0.233201581027668</v>
      </c>
      <c r="Z5" s="118" t="s">
        <v>49</v>
      </c>
      <c r="AA5" s="114">
        <f t="shared" si="3"/>
        <v>58</v>
      </c>
    </row>
    <row r="6" spans="1:27" ht="20.100000000000001" customHeight="1" x14ac:dyDescent="0.2">
      <c r="A6" s="168" t="s">
        <v>0</v>
      </c>
      <c r="B6" s="276">
        <v>506</v>
      </c>
      <c r="D6" s="58" cm="1">
        <f t="array" ref="D6">IF(ROW(4:4)&lt;=$S$1, (ROW(4:4)), "")</f>
        <v>4</v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36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19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8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12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4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7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Q6" s="55">
        <f t="shared" si="0"/>
        <v>100</v>
      </c>
      <c r="T6" s="337"/>
      <c r="U6" s="338"/>
      <c r="V6" s="109" t="s">
        <v>38</v>
      </c>
      <c r="W6" s="231">
        <v>179</v>
      </c>
      <c r="X6" s="68">
        <f t="shared" si="2"/>
        <v>0.35375494071146246</v>
      </c>
      <c r="Z6" s="118" t="s">
        <v>50</v>
      </c>
      <c r="AA6" s="114">
        <f t="shared" si="3"/>
        <v>61</v>
      </c>
    </row>
    <row r="7" spans="1:27" ht="20.100000000000001" customHeight="1" x14ac:dyDescent="0.2">
      <c r="A7" s="168" t="s">
        <v>2</v>
      </c>
      <c r="B7" s="249">
        <f>MAX(W4:W15)</f>
        <v>440</v>
      </c>
      <c r="D7" s="58" cm="1">
        <f t="array" ref="D7">IF(ROW(5:5)&lt;=$S$1, (ROW(5:5)), "")</f>
        <v>5</v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19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12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3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2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40</v>
      </c>
      <c r="T7" s="337"/>
      <c r="U7" s="338"/>
      <c r="V7" s="109" t="s">
        <v>39</v>
      </c>
      <c r="W7" s="231">
        <v>235</v>
      </c>
      <c r="X7" s="68">
        <f t="shared" si="2"/>
        <v>0.46442687747035571</v>
      </c>
      <c r="Z7" s="118" t="s">
        <v>57</v>
      </c>
      <c r="AA7" s="114">
        <f t="shared" si="3"/>
        <v>56</v>
      </c>
    </row>
    <row r="8" spans="1:27" ht="20.100000000000001" customHeight="1" x14ac:dyDescent="0.2">
      <c r="A8" s="168" t="s">
        <v>1</v>
      </c>
      <c r="B8" s="250">
        <f>B7</f>
        <v>440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>
        <v>283</v>
      </c>
      <c r="X8" s="68">
        <f t="shared" si="2"/>
        <v>0.55928853754940711</v>
      </c>
      <c r="Z8" s="118" t="s">
        <v>51</v>
      </c>
      <c r="AA8" s="114">
        <f t="shared" si="3"/>
        <v>48</v>
      </c>
    </row>
    <row r="9" spans="1:27" ht="20.100000000000001" customHeight="1" thickBot="1" x14ac:dyDescent="0.25">
      <c r="A9" s="169" t="s">
        <v>19</v>
      </c>
      <c r="B9" s="251">
        <f>B6-B7</f>
        <v>66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>
        <v>319</v>
      </c>
      <c r="X9" s="68">
        <f t="shared" si="2"/>
        <v>0.63043478260869568</v>
      </c>
      <c r="Z9" s="118" t="s">
        <v>52</v>
      </c>
      <c r="AA9" s="114">
        <f t="shared" si="3"/>
        <v>36</v>
      </c>
    </row>
    <row r="10" spans="1:27" ht="20.100000000000001" customHeight="1" x14ac:dyDescent="0.2">
      <c r="A10" s="436" t="s">
        <v>63</v>
      </c>
      <c r="B10" s="436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>
        <v>350</v>
      </c>
      <c r="X10" s="68">
        <f t="shared" si="2"/>
        <v>0.69169960474308301</v>
      </c>
      <c r="Z10" s="118" t="s">
        <v>53</v>
      </c>
      <c r="AA10" s="114">
        <f t="shared" si="3"/>
        <v>31</v>
      </c>
    </row>
    <row r="11" spans="1:27" ht="20.100000000000001" customHeight="1" x14ac:dyDescent="0.2">
      <c r="A11" s="437"/>
      <c r="B11" s="437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>
        <v>380</v>
      </c>
      <c r="X11" s="68">
        <f t="shared" si="2"/>
        <v>0.75098814229249011</v>
      </c>
      <c r="Z11" s="118" t="s">
        <v>54</v>
      </c>
      <c r="AA11" s="114">
        <f t="shared" si="3"/>
        <v>30</v>
      </c>
    </row>
    <row r="12" spans="1:27" ht="20.100000000000001" customHeight="1" thickBot="1" x14ac:dyDescent="0.25">
      <c r="A12" s="438" t="s">
        <v>64</v>
      </c>
      <c r="B12" s="438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>
        <v>399</v>
      </c>
      <c r="X12" s="68">
        <f t="shared" si="2"/>
        <v>0.78853754940711462</v>
      </c>
      <c r="Z12" s="118" t="s">
        <v>55</v>
      </c>
      <c r="AA12" s="114">
        <f t="shared" si="3"/>
        <v>19</v>
      </c>
    </row>
    <row r="13" spans="1:27" ht="20.100000000000001" customHeight="1" thickBot="1" x14ac:dyDescent="0.3">
      <c r="A13" s="438"/>
      <c r="B13" s="438"/>
      <c r="D13" s="56" t="s">
        <v>11</v>
      </c>
      <c r="E13" s="245">
        <f>SUM(E3:E12)</f>
        <v>3</v>
      </c>
      <c r="F13" s="246">
        <f t="shared" ref="F13:Q13" si="4">SUM(F3:F12)</f>
        <v>11</v>
      </c>
      <c r="G13" s="246">
        <f t="shared" si="4"/>
        <v>135</v>
      </c>
      <c r="H13" s="246">
        <f t="shared" si="4"/>
        <v>166</v>
      </c>
      <c r="I13" s="246">
        <f t="shared" si="4"/>
        <v>9</v>
      </c>
      <c r="J13" s="246">
        <f t="shared" si="4"/>
        <v>27</v>
      </c>
      <c r="K13" s="246">
        <f t="shared" si="4"/>
        <v>37</v>
      </c>
      <c r="L13" s="246">
        <f t="shared" si="4"/>
        <v>15</v>
      </c>
      <c r="M13" s="246">
        <f t="shared" si="4"/>
        <v>13</v>
      </c>
      <c r="N13" s="246">
        <f t="shared" si="4"/>
        <v>13</v>
      </c>
      <c r="O13" s="247">
        <f t="shared" si="4"/>
        <v>8</v>
      </c>
      <c r="P13" s="248">
        <f t="shared" si="4"/>
        <v>3</v>
      </c>
      <c r="Q13" s="66">
        <f t="shared" si="4"/>
        <v>440</v>
      </c>
      <c r="T13" s="337"/>
      <c r="U13" s="338"/>
      <c r="V13" s="110" t="s">
        <v>45</v>
      </c>
      <c r="W13" s="232">
        <v>440</v>
      </c>
      <c r="X13" s="69">
        <f t="shared" si="2"/>
        <v>0.86956521739130432</v>
      </c>
      <c r="Z13" s="119" t="s">
        <v>56</v>
      </c>
      <c r="AA13" s="115">
        <f t="shared" si="3"/>
        <v>41</v>
      </c>
    </row>
    <row r="14" spans="1:27" ht="20.100000000000001" customHeight="1" thickBot="1" x14ac:dyDescent="0.3">
      <c r="A14" s="438"/>
      <c r="B14" s="438"/>
      <c r="D14" s="122" t="s">
        <v>12</v>
      </c>
      <c r="E14" s="50">
        <f t="shared" ref="E14:Q14" si="5">IFERROR(E13/$B$7,0)</f>
        <v>6.8181818181818179E-3</v>
      </c>
      <c r="F14" s="51">
        <f t="shared" si="5"/>
        <v>2.5000000000000001E-2</v>
      </c>
      <c r="G14" s="51">
        <f t="shared" si="5"/>
        <v>0.30681818181818182</v>
      </c>
      <c r="H14" s="51">
        <f t="shared" si="5"/>
        <v>0.37727272727272726</v>
      </c>
      <c r="I14" s="51">
        <f t="shared" si="5"/>
        <v>2.0454545454545454E-2</v>
      </c>
      <c r="J14" s="51">
        <f t="shared" si="5"/>
        <v>6.1363636363636363E-2</v>
      </c>
      <c r="K14" s="51">
        <f t="shared" si="5"/>
        <v>8.4090909090909091E-2</v>
      </c>
      <c r="L14" s="51">
        <f t="shared" si="5"/>
        <v>3.4090909090909088E-2</v>
      </c>
      <c r="M14" s="51">
        <f t="shared" si="5"/>
        <v>2.9545454545454545E-2</v>
      </c>
      <c r="N14" s="51">
        <f t="shared" si="5"/>
        <v>2.9545454545454545E-2</v>
      </c>
      <c r="O14" s="50">
        <f t="shared" si="5"/>
        <v>1.8181818181818181E-2</v>
      </c>
      <c r="P14" s="52">
        <f t="shared" si="5"/>
        <v>6.8181818181818179E-3</v>
      </c>
      <c r="Q14" s="67">
        <f t="shared" si="5"/>
        <v>1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9" t="s">
        <v>71</v>
      </c>
      <c r="B15" s="439"/>
      <c r="C15" s="1"/>
      <c r="D15" s="1"/>
      <c r="E15" s="440" t="s">
        <v>69</v>
      </c>
      <c r="F15" s="441"/>
      <c r="G15" s="441"/>
      <c r="H15" s="441"/>
      <c r="I15" s="441"/>
      <c r="J15" s="441"/>
      <c r="K15" s="441"/>
      <c r="L15" s="441"/>
      <c r="M15" s="441"/>
      <c r="N15" s="441"/>
      <c r="O15" s="441"/>
      <c r="P15" s="442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9"/>
      <c r="B16" s="439"/>
    </row>
    <row r="17" spans="1:8" ht="18" customHeight="1" x14ac:dyDescent="0.25">
      <c r="A17" s="439"/>
      <c r="B17" s="439"/>
      <c r="E17" s="336"/>
    </row>
    <row r="18" spans="1:8" ht="26.25" customHeight="1" x14ac:dyDescent="0.2">
      <c r="A18" s="439"/>
      <c r="B18" s="439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 t="str">
        <f t="shared" si="6"/>
        <v>Choisir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27" t="s">
        <v>83</v>
      </c>
      <c r="F48" s="428"/>
      <c r="G48" s="428"/>
      <c r="H48" s="428"/>
      <c r="I48" s="428"/>
      <c r="J48" s="428"/>
      <c r="K48" s="428"/>
      <c r="L48" s="428"/>
      <c r="M48" s="428"/>
      <c r="N48" s="428"/>
      <c r="O48" s="428"/>
      <c r="P48" s="429"/>
      <c r="Q48" s="364" t="s">
        <v>8</v>
      </c>
    </row>
    <row r="49" spans="3:20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  <c r="R49" s="376"/>
      <c r="S49" s="376"/>
      <c r="T49" s="376"/>
    </row>
    <row r="50" spans="3:20" ht="19.5" customHeight="1" x14ac:dyDescent="0.2">
      <c r="C50" s="352"/>
      <c r="D50" s="370">
        <v>1</v>
      </c>
      <c r="E50" s="263">
        <v>1</v>
      </c>
      <c r="F50" s="264">
        <v>3</v>
      </c>
      <c r="G50" s="264">
        <v>23</v>
      </c>
      <c r="H50" s="264">
        <v>46</v>
      </c>
      <c r="I50" s="264">
        <v>2</v>
      </c>
      <c r="J50" s="264">
        <v>5</v>
      </c>
      <c r="K50" s="264">
        <v>9</v>
      </c>
      <c r="L50" s="264">
        <v>6</v>
      </c>
      <c r="M50" s="264"/>
      <c r="N50" s="265">
        <v>5</v>
      </c>
      <c r="O50" s="266"/>
      <c r="P50" s="265"/>
      <c r="Q50" s="377">
        <f t="shared" ref="Q50:Q59" si="7">SUM(E50:P50)</f>
        <v>100</v>
      </c>
    </row>
    <row r="51" spans="3:20" ht="20.100000000000001" customHeight="1" x14ac:dyDescent="0.2">
      <c r="C51" s="352"/>
      <c r="D51" s="371">
        <v>3</v>
      </c>
      <c r="E51" s="267">
        <v>1</v>
      </c>
      <c r="F51" s="268">
        <v>6</v>
      </c>
      <c r="G51" s="268">
        <v>63</v>
      </c>
      <c r="H51" s="268">
        <v>76</v>
      </c>
      <c r="I51" s="268">
        <v>3</v>
      </c>
      <c r="J51" s="268">
        <v>13</v>
      </c>
      <c r="K51" s="268">
        <v>15</v>
      </c>
      <c r="L51" s="268">
        <v>6</v>
      </c>
      <c r="M51" s="268">
        <v>5</v>
      </c>
      <c r="N51" s="269">
        <v>10</v>
      </c>
      <c r="O51" s="270">
        <v>2</v>
      </c>
      <c r="P51" s="269"/>
      <c r="Q51" s="378">
        <f t="shared" si="7"/>
        <v>200</v>
      </c>
    </row>
    <row r="52" spans="3:20" ht="20.100000000000001" customHeight="1" x14ac:dyDescent="0.2">
      <c r="C52" s="352"/>
      <c r="D52" s="371">
        <v>4</v>
      </c>
      <c r="E52" s="267">
        <v>3</v>
      </c>
      <c r="F52" s="268">
        <v>8</v>
      </c>
      <c r="G52" s="268">
        <v>99</v>
      </c>
      <c r="H52" s="268">
        <v>95</v>
      </c>
      <c r="I52" s="268">
        <v>5</v>
      </c>
      <c r="J52" s="268">
        <v>21</v>
      </c>
      <c r="K52" s="268">
        <v>27</v>
      </c>
      <c r="L52" s="268">
        <v>10</v>
      </c>
      <c r="M52" s="268">
        <v>12</v>
      </c>
      <c r="N52" s="269">
        <v>13</v>
      </c>
      <c r="O52" s="270">
        <v>5</v>
      </c>
      <c r="P52" s="269">
        <v>2</v>
      </c>
      <c r="Q52" s="378">
        <f t="shared" si="7"/>
        <v>300</v>
      </c>
    </row>
    <row r="53" spans="3:20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78">
        <f t="shared" si="7"/>
        <v>0</v>
      </c>
    </row>
    <row r="54" spans="3:20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78">
        <f t="shared" si="7"/>
        <v>0</v>
      </c>
    </row>
    <row r="55" spans="3:20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78">
        <f t="shared" si="7"/>
        <v>0</v>
      </c>
    </row>
    <row r="56" spans="3:20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78">
        <f t="shared" si="7"/>
        <v>0</v>
      </c>
    </row>
    <row r="57" spans="3:20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78">
        <f t="shared" si="7"/>
        <v>0</v>
      </c>
    </row>
    <row r="58" spans="3:20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78">
        <f t="shared" si="7"/>
        <v>0</v>
      </c>
    </row>
    <row r="59" spans="3:20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79">
        <f t="shared" si="7"/>
        <v>0</v>
      </c>
    </row>
    <row r="60" spans="3:20" x14ac:dyDescent="0.2">
      <c r="C60" s="350"/>
    </row>
    <row r="63" spans="3:20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27" t="s">
        <v>83</v>
      </c>
      <c r="F66" s="428"/>
      <c r="G66" s="428"/>
      <c r="H66" s="428"/>
      <c r="I66" s="428"/>
      <c r="J66" s="428"/>
      <c r="K66" s="428"/>
      <c r="L66" s="428"/>
      <c r="M66" s="428"/>
      <c r="N66" s="428"/>
      <c r="O66" s="428"/>
      <c r="P66" s="429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>
        <v>2</v>
      </c>
      <c r="E68" s="355"/>
      <c r="F68" s="356">
        <v>2</v>
      </c>
      <c r="G68" s="356">
        <v>17</v>
      </c>
      <c r="H68" s="356">
        <v>59</v>
      </c>
      <c r="I68" s="356">
        <v>3</v>
      </c>
      <c r="J68" s="356">
        <v>5</v>
      </c>
      <c r="K68" s="356">
        <v>9</v>
      </c>
      <c r="L68" s="356">
        <v>2</v>
      </c>
      <c r="M68" s="356">
        <v>1</v>
      </c>
      <c r="N68" s="357"/>
      <c r="O68" s="358">
        <v>1</v>
      </c>
      <c r="P68" s="357">
        <v>1</v>
      </c>
      <c r="Q68" s="377">
        <f t="shared" ref="Q68:Q72" si="8">SUM(E68:P68)</f>
        <v>100</v>
      </c>
    </row>
    <row r="69" spans="4:17" ht="20.100000000000001" customHeight="1" x14ac:dyDescent="0.2">
      <c r="D69" s="371">
        <v>5</v>
      </c>
      <c r="E69" s="267"/>
      <c r="F69" s="268">
        <v>3</v>
      </c>
      <c r="G69" s="268">
        <v>36</v>
      </c>
      <c r="H69" s="268">
        <v>71</v>
      </c>
      <c r="I69" s="268">
        <v>4</v>
      </c>
      <c r="J69" s="268">
        <v>6</v>
      </c>
      <c r="K69" s="268">
        <v>10</v>
      </c>
      <c r="L69" s="268">
        <v>5</v>
      </c>
      <c r="M69" s="268">
        <v>1</v>
      </c>
      <c r="N69" s="269"/>
      <c r="O69" s="270">
        <v>3</v>
      </c>
      <c r="P69" s="269">
        <v>1</v>
      </c>
      <c r="Q69" s="378">
        <f t="shared" si="8"/>
        <v>140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78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78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79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27" t="s">
        <v>83</v>
      </c>
      <c r="F76" s="428"/>
      <c r="G76" s="428"/>
      <c r="H76" s="428"/>
      <c r="I76" s="428"/>
      <c r="J76" s="428"/>
      <c r="K76" s="428"/>
      <c r="L76" s="428"/>
      <c r="M76" s="428"/>
      <c r="N76" s="428"/>
      <c r="O76" s="428"/>
      <c r="P76" s="429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77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78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79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mergeCells count="22"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E48:P48"/>
    <mergeCell ref="E66:P66"/>
    <mergeCell ref="E76:P76"/>
    <mergeCell ref="P1:P2"/>
    <mergeCell ref="Z2:Z3"/>
    <mergeCell ref="I1:I2"/>
  </mergeCells>
  <conditionalFormatting sqref="B8">
    <cfRule type="cellIs" dxfId="433" priority="30" operator="notEqual">
      <formula>$B$7</formula>
    </cfRule>
  </conditionalFormatting>
  <conditionalFormatting sqref="E3:P12">
    <cfRule type="expression" dxfId="432" priority="41">
      <formula>($D3&lt;=$S$1)</formula>
    </cfRule>
  </conditionalFormatting>
  <conditionalFormatting sqref="E3:Q12">
    <cfRule type="cellIs" dxfId="431" priority="29" operator="notBetween">
      <formula>0</formula>
      <formula>100</formula>
    </cfRule>
  </conditionalFormatting>
  <conditionalFormatting sqref="E3:Q14">
    <cfRule type="cellIs" dxfId="430" priority="32" operator="lessThan">
      <formula>0</formula>
    </cfRule>
  </conditionalFormatting>
  <conditionalFormatting sqref="E14:Q14">
    <cfRule type="cellIs" dxfId="429" priority="38" operator="greaterThan">
      <formula>1</formula>
    </cfRule>
  </conditionalFormatting>
  <conditionalFormatting sqref="Q3:Q12">
    <cfRule type="expression" dxfId="428" priority="33">
      <formula>AND($D3=$S$1, Q3=$R$2)</formula>
    </cfRule>
    <cfRule type="expression" dxfId="427" priority="34">
      <formula>AND($D3=$S$1, MOD(Q3,100)&gt;$R$2)</formula>
    </cfRule>
    <cfRule type="cellIs" dxfId="426" priority="35" operator="equal">
      <formula>100</formula>
    </cfRule>
  </conditionalFormatting>
  <conditionalFormatting sqref="Q3:Q13">
    <cfRule type="cellIs" dxfId="425" priority="36" operator="equal">
      <formula>0</formula>
    </cfRule>
  </conditionalFormatting>
  <conditionalFormatting sqref="Q13">
    <cfRule type="cellIs" dxfId="424" priority="40" operator="equal">
      <formula>$B$7</formula>
    </cfRule>
  </conditionalFormatting>
  <conditionalFormatting sqref="Q14">
    <cfRule type="cellIs" dxfId="423" priority="37" operator="equal">
      <formula>1</formula>
    </cfRule>
    <cfRule type="cellIs" dxfId="422" priority="39" operator="lessThan">
      <formula>1</formula>
    </cfRule>
  </conditionalFormatting>
  <conditionalFormatting sqref="W4:W15">
    <cfRule type="expression" dxfId="421" priority="43">
      <formula>AND($W4&lt;$W3, NOT(ISBLANK($W4)))</formula>
    </cfRule>
    <cfRule type="cellIs" dxfId="420" priority="44" operator="greaterThan">
      <formula>$B$6</formula>
    </cfRule>
  </conditionalFormatting>
  <conditionalFormatting sqref="X4:X15">
    <cfRule type="cellIs" dxfId="419" priority="31" operator="greaterThan">
      <formula>1</formula>
    </cfRule>
  </conditionalFormatting>
  <conditionalFormatting sqref="E51:N59">
    <cfRule type="expression" dxfId="418" priority="26">
      <formula>AND(E51&lt;MAX(E$50:E51), NOT(ISBLANK(E51)), NOT(E51=0))</formula>
    </cfRule>
  </conditionalFormatting>
  <conditionalFormatting sqref="E50:P59">
    <cfRule type="cellIs" dxfId="417" priority="25" operator="notBetween">
      <formula>0</formula>
      <formula>$B$7</formula>
    </cfRule>
    <cfRule type="expression" dxfId="416" priority="27">
      <formula>($D50&lt;=$S$1)</formula>
    </cfRule>
    <cfRule type="expression" dxfId="415" priority="28">
      <formula>($D50&gt;$S$1)</formula>
    </cfRule>
  </conditionalFormatting>
  <conditionalFormatting sqref="E69:N75">
    <cfRule type="expression" dxfId="414" priority="24">
      <formula>AND(E69&lt;MAX(E$68:E69), NOT(ISBLANK(E69)), NOT(E69=0))</formula>
    </cfRule>
  </conditionalFormatting>
  <conditionalFormatting sqref="E68:P75">
    <cfRule type="cellIs" dxfId="413" priority="20" operator="notBetween">
      <formula>0</formula>
      <formula>$B$7</formula>
    </cfRule>
  </conditionalFormatting>
  <conditionalFormatting sqref="D50:D59 D68:D72">
    <cfRule type="colorScale" priority="22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412" priority="21">
      <formula>($D68&lt;=$S$1)</formula>
    </cfRule>
    <cfRule type="expression" dxfId="411" priority="23">
      <formula>($D68&gt;$S$1)</formula>
    </cfRule>
  </conditionalFormatting>
  <conditionalFormatting sqref="Q68:Q72 Q50:Q59 Q78:Q80">
    <cfRule type="expression" dxfId="410" priority="15">
      <formula>OR(MOD($Q50,100)=0,AND($D50=$S$1,MOD($Q50,100)=$R$2))</formula>
    </cfRule>
    <cfRule type="cellIs" dxfId="409" priority="5" operator="notBetween">
      <formula>0</formula>
      <formula>$B$7</formula>
    </cfRule>
  </conditionalFormatting>
  <conditionalFormatting sqref="Q68:Q72 Q78:Q80 Q50:Q59">
    <cfRule type="cellIs" dxfId="408" priority="14" operator="equal">
      <formula>0</formula>
    </cfRule>
  </conditionalFormatting>
  <conditionalFormatting sqref="E79:N80">
    <cfRule type="expression" dxfId="407" priority="10">
      <formula>AND(E79&lt;MAX(E$68:E79), NOT(ISBLANK(E79)), NOT(E79=0))</formula>
    </cfRule>
  </conditionalFormatting>
  <conditionalFormatting sqref="D78:D8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406" priority="9" operator="notBetween">
      <formula>0</formula>
      <formula>$B$7</formula>
    </cfRule>
    <cfRule type="expression" dxfId="405" priority="12">
      <formula>($D78&lt;=$S$1)</formula>
    </cfRule>
    <cfRule type="expression" dxfId="404" priority="13">
      <formula>($D78&gt;$S$1)</formula>
    </cfRule>
  </conditionalFormatting>
  <conditionalFormatting sqref="D3:P12">
    <cfRule type="expression" dxfId="403" priority="42">
      <formula>($D3&gt;$S$1)</formula>
    </cfRule>
  </conditionalFormatting>
  <dataValidations count="2">
    <dataValidation type="list" allowBlank="1" showInputMessage="1" showErrorMessage="1" sqref="C50:C59" xr:uid="{27C71201-EC67-4274-973C-B01E41A30BB3}">
      <formula1>$H$24:$H$26</formula1>
    </dataValidation>
    <dataValidation type="list" allowBlank="1" showInputMessage="1" showErrorMessage="1" sqref="D50:D59 D68:D72 D78:D82" xr:uid="{CDDB19CD-C008-4F34-81F0-65A4F0C53A1F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F0F0-5A98-4FC1-90C0-5B68BE15F38E}">
  <sheetPr codeName="Feuil17">
    <tabColor rgb="FFB4A7D6"/>
  </sheetPr>
  <dimension ref="A1:AA82"/>
  <sheetViews>
    <sheetView zoomScale="90" zoomScaleNormal="90" workbookViewId="0">
      <pane xSplit="2" topLeftCell="C1" activePane="topRight" state="frozen"/>
      <selection pane="topRight" activeCell="T14" sqref="T14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7" t="s">
        <v>88</v>
      </c>
      <c r="E1" s="449" t="str">
        <f>Synthèse!M2</f>
        <v>Candidat 1</v>
      </c>
      <c r="F1" s="434" t="str">
        <f>Synthèse!N2</f>
        <v>Candidat 2 qui a un nom super long</v>
      </c>
      <c r="G1" s="434" t="str">
        <f>Synthèse!O2</f>
        <v>Candidat 3</v>
      </c>
      <c r="H1" s="434" t="str">
        <f>Synthèse!P2</f>
        <v>Candidat 4</v>
      </c>
      <c r="I1" s="434" t="str">
        <f>Synthèse!Q2</f>
        <v>Candidat 5</v>
      </c>
      <c r="J1" s="434" t="str">
        <f>Synthèse!R2</f>
        <v>Candidat 6</v>
      </c>
      <c r="K1" s="434" t="str">
        <f>Synthèse!S2</f>
        <v>Candidat 7</v>
      </c>
      <c r="L1" s="434" t="str">
        <f>Synthèse!T2</f>
        <v>Candidat 8</v>
      </c>
      <c r="M1" s="434" t="str">
        <f>Synthèse!U2</f>
        <v>Candidat 9</v>
      </c>
      <c r="N1" s="443" t="str">
        <f>Synthèse!V2</f>
        <v>Candidat 10</v>
      </c>
      <c r="O1" s="445" t="s">
        <v>3</v>
      </c>
      <c r="P1" s="430" t="s">
        <v>4</v>
      </c>
      <c r="Q1" s="339" t="s">
        <v>8</v>
      </c>
      <c r="R1" s="374">
        <f ca="1"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8"/>
      <c r="E2" s="450"/>
      <c r="F2" s="435"/>
      <c r="G2" s="435"/>
      <c r="H2" s="435"/>
      <c r="I2" s="435"/>
      <c r="J2" s="435"/>
      <c r="K2" s="435"/>
      <c r="L2" s="435"/>
      <c r="M2" s="435"/>
      <c r="N2" s="444"/>
      <c r="O2" s="446"/>
      <c r="P2" s="431"/>
      <c r="Q2" s="340" t="s">
        <v>27</v>
      </c>
      <c r="R2" s="374">
        <f>MOD($B$7,100)</f>
        <v>0</v>
      </c>
      <c r="S2" s="375">
        <f ca="1">CEILING($B$6/300,1)</f>
        <v>3</v>
      </c>
      <c r="V2" s="102" t="s">
        <v>23</v>
      </c>
      <c r="W2" s="70" t="s">
        <v>60</v>
      </c>
      <c r="X2" s="103" t="s">
        <v>34</v>
      </c>
      <c r="Z2" s="432" t="s">
        <v>62</v>
      </c>
      <c r="AA2" s="432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ca="1" si="1">W3/$B$6</f>
        <v>0</v>
      </c>
      <c r="Z3" s="433"/>
      <c r="AA3" s="433"/>
    </row>
    <row r="4" spans="1:27" ht="20.100000000000001" customHeight="1" x14ac:dyDescent="0.2">
      <c r="A4" s="167" t="s">
        <v>25</v>
      </c>
      <c r="B4" s="252">
        <v>0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tr" cm="1">
        <f t="array" aca="1" ref="B5" ca="1">IFERROR(INDIRECT("'Synthèse'"&amp;"!$B"&amp;$B$4),"Modèle")</f>
        <v>Modèle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 cm="1">
        <f t="array" aca="1" ref="B6" ca="1">IFERROR(INDIRECT("'Synthèse'" &amp; "!$C" &amp; $B$4),663)</f>
        <v>663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 ca="1">B6-B7</f>
        <v>663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36" t="s">
        <v>63</v>
      </c>
      <c r="B10" s="436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7"/>
      <c r="B11" s="437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8" t="s">
        <v>64</v>
      </c>
      <c r="B12" s="438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8"/>
      <c r="B13" s="438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8"/>
      <c r="B14" s="438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9" t="s">
        <v>71</v>
      </c>
      <c r="B15" s="439"/>
      <c r="C15" s="1"/>
      <c r="D15" s="1"/>
      <c r="E15" s="440" t="s">
        <v>69</v>
      </c>
      <c r="F15" s="441"/>
      <c r="G15" s="441"/>
      <c r="H15" s="441"/>
      <c r="I15" s="441"/>
      <c r="J15" s="441"/>
      <c r="K15" s="441"/>
      <c r="L15" s="441"/>
      <c r="M15" s="441"/>
      <c r="N15" s="441"/>
      <c r="O15" s="441"/>
      <c r="P15" s="442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9"/>
      <c r="B16" s="439"/>
    </row>
    <row r="17" spans="1:8" ht="18" customHeight="1" x14ac:dyDescent="0.25">
      <c r="A17" s="439"/>
      <c r="B17" s="439"/>
      <c r="E17" s="336"/>
    </row>
    <row r="18" spans="1:8" ht="26.25" customHeight="1" x14ac:dyDescent="0.2">
      <c r="A18" s="439"/>
      <c r="B18" s="439"/>
    </row>
    <row r="23" spans="1:8" x14ac:dyDescent="0.2">
      <c r="H23" s="261" t="s">
        <v>67</v>
      </c>
    </row>
    <row r="24" spans="1:8" x14ac:dyDescent="0.2">
      <c r="H24" s="262">
        <f ca="1">IF((ROW()-23)&lt;=$S$2,(ROW()-23),"Choisir")</f>
        <v>1</v>
      </c>
    </row>
    <row r="25" spans="1:8" x14ac:dyDescent="0.2">
      <c r="H25" s="262">
        <f t="shared" ref="H25:H27" ca="1" si="6">IF((ROW()-23)&lt;=$S$2,(ROW()-23),"Choisir")</f>
        <v>2</v>
      </c>
    </row>
    <row r="26" spans="1:8" x14ac:dyDescent="0.2">
      <c r="H26" s="262">
        <f t="shared" ca="1" si="6"/>
        <v>3</v>
      </c>
    </row>
    <row r="27" spans="1:8" x14ac:dyDescent="0.2">
      <c r="H27" s="262" t="str">
        <f t="shared" ca="1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27" t="s">
        <v>83</v>
      </c>
      <c r="F48" s="428"/>
      <c r="G48" s="428"/>
      <c r="H48" s="428"/>
      <c r="I48" s="428"/>
      <c r="J48" s="428"/>
      <c r="K48" s="428"/>
      <c r="L48" s="428"/>
      <c r="M48" s="428"/>
      <c r="N48" s="428"/>
      <c r="O48" s="428"/>
      <c r="P48" s="429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27" t="s">
        <v>83</v>
      </c>
      <c r="F66" s="428"/>
      <c r="G66" s="428"/>
      <c r="H66" s="428"/>
      <c r="I66" s="428"/>
      <c r="J66" s="428"/>
      <c r="K66" s="428"/>
      <c r="L66" s="428"/>
      <c r="M66" s="428"/>
      <c r="N66" s="428"/>
      <c r="O66" s="428"/>
      <c r="P66" s="429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27" t="s">
        <v>83</v>
      </c>
      <c r="F76" s="428"/>
      <c r="G76" s="428"/>
      <c r="H76" s="428"/>
      <c r="I76" s="428"/>
      <c r="J76" s="428"/>
      <c r="K76" s="428"/>
      <c r="L76" s="428"/>
      <c r="M76" s="428"/>
      <c r="N76" s="428"/>
      <c r="O76" s="428"/>
      <c r="P76" s="429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mergeCells count="22">
    <mergeCell ref="E66:P66"/>
    <mergeCell ref="J1:J2"/>
    <mergeCell ref="A15:B18"/>
    <mergeCell ref="E15:P15"/>
    <mergeCell ref="D1:D2"/>
    <mergeCell ref="E48:P48"/>
    <mergeCell ref="E76:P76"/>
    <mergeCell ref="Z2:Z3"/>
    <mergeCell ref="AA2:AA3"/>
    <mergeCell ref="A10:B11"/>
    <mergeCell ref="A12:B14"/>
    <mergeCell ref="K1:K2"/>
    <mergeCell ref="L1:L2"/>
    <mergeCell ref="M1:M2"/>
    <mergeCell ref="N1:N2"/>
    <mergeCell ref="O1:O2"/>
    <mergeCell ref="P1:P2"/>
    <mergeCell ref="E1:E2"/>
    <mergeCell ref="F1:F2"/>
    <mergeCell ref="G1:G2"/>
    <mergeCell ref="H1:H2"/>
    <mergeCell ref="I1:I2"/>
  </mergeCells>
  <conditionalFormatting sqref="B8">
    <cfRule type="cellIs" dxfId="402" priority="33" operator="notEqual">
      <formula>$B$7</formula>
    </cfRule>
  </conditionalFormatting>
  <conditionalFormatting sqref="E3:P12">
    <cfRule type="expression" dxfId="401" priority="45">
      <formula>($D3&lt;=$S$1)</formula>
    </cfRule>
  </conditionalFormatting>
  <conditionalFormatting sqref="E3:Q12">
    <cfRule type="cellIs" dxfId="400" priority="32" operator="notBetween">
      <formula>0</formula>
      <formula>100</formula>
    </cfRule>
  </conditionalFormatting>
  <conditionalFormatting sqref="E3:Q14">
    <cfRule type="cellIs" dxfId="399" priority="35" operator="lessThan">
      <formula>0</formula>
    </cfRule>
  </conditionalFormatting>
  <conditionalFormatting sqref="E14:Q14">
    <cfRule type="cellIs" dxfId="398" priority="42" operator="greaterThan">
      <formula>1</formula>
    </cfRule>
  </conditionalFormatting>
  <conditionalFormatting sqref="Q3:Q12">
    <cfRule type="expression" dxfId="397" priority="38">
      <formula>AND($D3=$S$1, MOD(Q3,100)&gt;$R$2)</formula>
    </cfRule>
    <cfRule type="expression" dxfId="396" priority="37">
      <formula>AND($D3=$S$1, Q3=$R$2)</formula>
    </cfRule>
    <cfRule type="cellIs" dxfId="395" priority="39" operator="equal">
      <formula>100</formula>
    </cfRule>
  </conditionalFormatting>
  <conditionalFormatting sqref="Q3:Q13">
    <cfRule type="cellIs" dxfId="394" priority="40" operator="equal">
      <formula>0</formula>
    </cfRule>
  </conditionalFormatting>
  <conditionalFormatting sqref="Q13">
    <cfRule type="cellIs" dxfId="393" priority="44" operator="equal">
      <formula>$B$7</formula>
    </cfRule>
  </conditionalFormatting>
  <conditionalFormatting sqref="Q14">
    <cfRule type="cellIs" dxfId="392" priority="41" operator="equal">
      <formula>1</formula>
    </cfRule>
    <cfRule type="cellIs" dxfId="391" priority="43" operator="lessThan">
      <formula>1</formula>
    </cfRule>
  </conditionalFormatting>
  <conditionalFormatting sqref="W4:W15">
    <cfRule type="expression" dxfId="390" priority="47">
      <formula>AND($W4&lt;$W3, NOT(ISBLANK($W4)))</formula>
    </cfRule>
    <cfRule type="cellIs" dxfId="389" priority="48" operator="greaterThan">
      <formula>$B$6</formula>
    </cfRule>
  </conditionalFormatting>
  <conditionalFormatting sqref="X4:X15">
    <cfRule type="cellIs" dxfId="388" priority="34" operator="greaterThan">
      <formula>1</formula>
    </cfRule>
  </conditionalFormatting>
  <conditionalFormatting sqref="E51:N59">
    <cfRule type="expression" dxfId="387" priority="29">
      <formula>AND(E51&lt;MAX(E$50:E51), NOT(ISBLANK(E51)), NOT(E51=0))</formula>
    </cfRule>
  </conditionalFormatting>
  <conditionalFormatting sqref="E50:P59">
    <cfRule type="cellIs" dxfId="386" priority="28" operator="notBetween">
      <formula>0</formula>
      <formula>$B$7</formula>
    </cfRule>
    <cfRule type="expression" dxfId="385" priority="30">
      <formula>($D50&lt;=$S$1)</formula>
    </cfRule>
    <cfRule type="expression" dxfId="384" priority="31">
      <formula>($D50&gt;$S$1)</formula>
    </cfRule>
  </conditionalFormatting>
  <conditionalFormatting sqref="E69:N75">
    <cfRule type="expression" dxfId="383" priority="23">
      <formula>AND(E69&lt;MAX(E$68:E69), NOT(ISBLANK(E69)), NOT(E69=0))</formula>
    </cfRule>
  </conditionalFormatting>
  <conditionalFormatting sqref="E68:P75">
    <cfRule type="cellIs" dxfId="382" priority="19" operator="notBetween">
      <formula>0</formula>
      <formula>$B$7</formula>
    </cfRule>
  </conditionalFormatting>
  <conditionalFormatting sqref="D50:D59 D68:D72">
    <cfRule type="colorScale" priority="2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381" priority="20">
      <formula>($D68&lt;=$S$1)</formula>
    </cfRule>
    <cfRule type="expression" dxfId="380" priority="22">
      <formula>($D68&gt;$S$1)</formula>
    </cfRule>
  </conditionalFormatting>
  <conditionalFormatting sqref="Q50:Q59 Q68:Q72 Q78:Q80">
    <cfRule type="expression" dxfId="379" priority="18">
      <formula>OR(MOD($Q50,100)=0,AND($D50=$S$1,MOD($Q50,100)=$R$2))</formula>
    </cfRule>
    <cfRule type="cellIs" dxfId="378" priority="17" operator="equal">
      <formula>0</formula>
    </cfRule>
    <cfRule type="cellIs" dxfId="377" priority="13" operator="lessThan">
      <formula>0</formula>
    </cfRule>
  </conditionalFormatting>
  <conditionalFormatting sqref="E79:N80">
    <cfRule type="expression" dxfId="376" priority="5">
      <formula>AND(E79&lt;MAX(E$68:E79), NOT(ISBLANK(E79)), NOT(E79=0))</formula>
    </cfRule>
  </conditionalFormatting>
  <conditionalFormatting sqref="D78:D82">
    <cfRule type="colorScale" priority="6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expression" dxfId="375" priority="7">
      <formula>($D78&lt;=$S$1)</formula>
    </cfRule>
    <cfRule type="expression" dxfId="374" priority="8">
      <formula>($D78&gt;$S$1)</formula>
    </cfRule>
    <cfRule type="cellIs" dxfId="373" priority="4" operator="notBetween">
      <formula>0</formula>
      <formula>$B$7</formula>
    </cfRule>
  </conditionalFormatting>
  <conditionalFormatting sqref="D3:P12">
    <cfRule type="expression" dxfId="372" priority="46">
      <formula>($D3&gt;$S$1)</formula>
    </cfRule>
  </conditionalFormatting>
  <dataValidations count="2">
    <dataValidation type="list" allowBlank="1" showInputMessage="1" showErrorMessage="1" sqref="C50:C59" xr:uid="{26E6ADDE-67A2-40F5-90D2-78EBD3B4767D}">
      <formula1>$H$24:$H$26</formula1>
    </dataValidation>
    <dataValidation type="list" allowBlank="1" showInputMessage="1" showErrorMessage="1" sqref="D68:D72 D78:D82 D50:D59" xr:uid="{16BE8E6D-019E-4446-BDFE-0DD1503C603A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46" r:id="rId4" name="Button 10">
              <controlPr defaultSize="0" print="0" autoFill="0" autoPict="0" macro="[0]!ReinitialiserEtGenererBureaux">
                <anchor moveWithCells="1">
                  <from>
                    <xdr:col>0</xdr:col>
                    <xdr:colOff>466725</xdr:colOff>
                    <xdr:row>23</xdr:row>
                    <xdr:rowOff>161925</xdr:rowOff>
                  </from>
                  <to>
                    <xdr:col>1</xdr:col>
                    <xdr:colOff>771525</xdr:colOff>
                    <xdr:row>26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AC8E-84CC-4E5C-BBEE-B634A67701AB}">
  <sheetPr codeName="Feuil30">
    <tabColor rgb="FFB4A7D6"/>
  </sheetPr>
  <dimension ref="A1:AA82"/>
  <sheetViews>
    <sheetView zoomScale="90" zoomScaleNormal="90" workbookViewId="0">
      <pane xSplit="2" topLeftCell="C1" activePane="topRight" state="frozen"/>
      <selection pane="topRight" activeCell="T14" sqref="T14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7" t="s">
        <v>88</v>
      </c>
      <c r="E1" s="449" t="str">
        <f>Synthèse!M2</f>
        <v>Candidat 1</v>
      </c>
      <c r="F1" s="434" t="str">
        <f>Synthèse!N2</f>
        <v>Candidat 2 qui a un nom super long</v>
      </c>
      <c r="G1" s="434" t="str">
        <f>Synthèse!O2</f>
        <v>Candidat 3</v>
      </c>
      <c r="H1" s="434" t="str">
        <f>Synthèse!P2</f>
        <v>Candidat 4</v>
      </c>
      <c r="I1" s="434" t="str">
        <f>Synthèse!Q2</f>
        <v>Candidat 5</v>
      </c>
      <c r="J1" s="434" t="str">
        <f>Synthèse!R2</f>
        <v>Candidat 6</v>
      </c>
      <c r="K1" s="434" t="str">
        <f>Synthèse!S2</f>
        <v>Candidat 7</v>
      </c>
      <c r="L1" s="434" t="str">
        <f>Synthèse!T2</f>
        <v>Candidat 8</v>
      </c>
      <c r="M1" s="434" t="str">
        <f>Synthèse!U2</f>
        <v>Candidat 9</v>
      </c>
      <c r="N1" s="443" t="str">
        <f>Synthèse!V2</f>
        <v>Candidat 10</v>
      </c>
      <c r="O1" s="445" t="s">
        <v>3</v>
      </c>
      <c r="P1" s="430" t="s">
        <v>4</v>
      </c>
      <c r="Q1" s="339" t="s">
        <v>8</v>
      </c>
      <c r="R1" s="374">
        <f>CEILING($B$6, 100)/100</f>
        <v>6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8"/>
      <c r="E2" s="450"/>
      <c r="F2" s="435"/>
      <c r="G2" s="435"/>
      <c r="H2" s="435"/>
      <c r="I2" s="435"/>
      <c r="J2" s="435"/>
      <c r="K2" s="435"/>
      <c r="L2" s="435"/>
      <c r="M2" s="435"/>
      <c r="N2" s="444"/>
      <c r="O2" s="446"/>
      <c r="P2" s="431"/>
      <c r="Q2" s="340" t="s">
        <v>27</v>
      </c>
      <c r="R2" s="374">
        <f>MOD($B$7,100)</f>
        <v>0</v>
      </c>
      <c r="S2" s="375">
        <f>CEILING($B$6/300,1)</f>
        <v>2</v>
      </c>
      <c r="V2" s="102" t="s">
        <v>23</v>
      </c>
      <c r="W2" s="70" t="s">
        <v>60</v>
      </c>
      <c r="X2" s="103" t="s">
        <v>34</v>
      </c>
      <c r="Z2" s="432" t="s">
        <v>62</v>
      </c>
      <c r="AA2" s="432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33"/>
      <c r="AA3" s="433"/>
    </row>
    <row r="4" spans="1:27" ht="20.100000000000001" customHeight="1" x14ac:dyDescent="0.2">
      <c r="A4" s="167" t="s">
        <v>25</v>
      </c>
      <c r="B4" s="252">
        <v>1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70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506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506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36" t="s">
        <v>63</v>
      </c>
      <c r="B10" s="436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7"/>
      <c r="B11" s="437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8" t="s">
        <v>64</v>
      </c>
      <c r="B12" s="438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8"/>
      <c r="B13" s="438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8"/>
      <c r="B14" s="438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9" t="s">
        <v>71</v>
      </c>
      <c r="B15" s="439"/>
      <c r="C15" s="1"/>
      <c r="D15" s="1"/>
      <c r="E15" s="440" t="s">
        <v>69</v>
      </c>
      <c r="F15" s="441"/>
      <c r="G15" s="441"/>
      <c r="H15" s="441"/>
      <c r="I15" s="441"/>
      <c r="J15" s="441"/>
      <c r="K15" s="441"/>
      <c r="L15" s="441"/>
      <c r="M15" s="441"/>
      <c r="N15" s="441"/>
      <c r="O15" s="441"/>
      <c r="P15" s="442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9"/>
      <c r="B16" s="439"/>
    </row>
    <row r="17" spans="1:8" ht="18" customHeight="1" x14ac:dyDescent="0.25">
      <c r="A17" s="439"/>
      <c r="B17" s="439"/>
      <c r="E17" s="336"/>
    </row>
    <row r="18" spans="1:8" ht="26.25" customHeight="1" x14ac:dyDescent="0.2">
      <c r="A18" s="439"/>
      <c r="B18" s="439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 t="str">
        <f t="shared" si="6"/>
        <v>Choisir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27" t="s">
        <v>83</v>
      </c>
      <c r="F48" s="428"/>
      <c r="G48" s="428"/>
      <c r="H48" s="428"/>
      <c r="I48" s="428"/>
      <c r="J48" s="428"/>
      <c r="K48" s="428"/>
      <c r="L48" s="428"/>
      <c r="M48" s="428"/>
      <c r="N48" s="428"/>
      <c r="O48" s="428"/>
      <c r="P48" s="429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27" t="s">
        <v>83</v>
      </c>
      <c r="F66" s="428"/>
      <c r="G66" s="428"/>
      <c r="H66" s="428"/>
      <c r="I66" s="428"/>
      <c r="J66" s="428"/>
      <c r="K66" s="428"/>
      <c r="L66" s="428"/>
      <c r="M66" s="428"/>
      <c r="N66" s="428"/>
      <c r="O66" s="428"/>
      <c r="P66" s="429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27" t="s">
        <v>83</v>
      </c>
      <c r="F76" s="428"/>
      <c r="G76" s="428"/>
      <c r="H76" s="428"/>
      <c r="I76" s="428"/>
      <c r="J76" s="428"/>
      <c r="K76" s="428"/>
      <c r="L76" s="428"/>
      <c r="M76" s="428"/>
      <c r="N76" s="428"/>
      <c r="O76" s="428"/>
      <c r="P76" s="429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3EULwjhLw3GwxtrabunHlhTl/vHuGg7IWuMlL6QizsQQqdYo7mO3qt7sAML4uzvefKfsZoB8YD4mJCdlAUoFIA==" saltValue="xeWU+nZaYPftFwLXjo0E5Q==" spinCount="100000" sheet="1" objects="1" scenarios="1"/>
  <mergeCells count="22">
    <mergeCell ref="E48:P48"/>
    <mergeCell ref="E66:P66"/>
    <mergeCell ref="E76:P76"/>
    <mergeCell ref="P1:P2"/>
    <mergeCell ref="Z2:Z3"/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I1:I2"/>
  </mergeCells>
  <conditionalFormatting sqref="B8">
    <cfRule type="cellIs" dxfId="371" priority="19" operator="notEqual">
      <formula>$B$7</formula>
    </cfRule>
  </conditionalFormatting>
  <conditionalFormatting sqref="E3:P12">
    <cfRule type="expression" dxfId="370" priority="30">
      <formula>($D3&lt;=$S$1)</formula>
    </cfRule>
  </conditionalFormatting>
  <conditionalFormatting sqref="E3:Q12">
    <cfRule type="cellIs" dxfId="369" priority="18" operator="notBetween">
      <formula>0</formula>
      <formula>100</formula>
    </cfRule>
  </conditionalFormatting>
  <conditionalFormatting sqref="E3:Q14">
    <cfRule type="cellIs" dxfId="368" priority="21" operator="lessThan">
      <formula>0</formula>
    </cfRule>
  </conditionalFormatting>
  <conditionalFormatting sqref="E14:Q14">
    <cfRule type="cellIs" dxfId="367" priority="27" operator="greaterThan">
      <formula>1</formula>
    </cfRule>
  </conditionalFormatting>
  <conditionalFormatting sqref="Q3:Q12">
    <cfRule type="expression" dxfId="365" priority="22">
      <formula>AND($D3=$S$1, Q3=$R$2)</formula>
    </cfRule>
    <cfRule type="expression" dxfId="366" priority="23">
      <formula>AND($D3=$S$1, MOD(Q3,100)&gt;$R$2)</formula>
    </cfRule>
    <cfRule type="cellIs" dxfId="364" priority="24" operator="equal">
      <formula>100</formula>
    </cfRule>
  </conditionalFormatting>
  <conditionalFormatting sqref="Q3:Q13">
    <cfRule type="cellIs" dxfId="363" priority="25" operator="equal">
      <formula>0</formula>
    </cfRule>
  </conditionalFormatting>
  <conditionalFormatting sqref="Q13">
    <cfRule type="cellIs" dxfId="362" priority="29" operator="equal">
      <formula>$B$7</formula>
    </cfRule>
  </conditionalFormatting>
  <conditionalFormatting sqref="Q14">
    <cfRule type="cellIs" dxfId="361" priority="26" operator="equal">
      <formula>1</formula>
    </cfRule>
    <cfRule type="cellIs" dxfId="360" priority="28" operator="lessThan">
      <formula>1</formula>
    </cfRule>
  </conditionalFormatting>
  <conditionalFormatting sqref="W4:W15">
    <cfRule type="expression" dxfId="359" priority="32">
      <formula>AND($W4&lt;$W3, NOT(ISBLANK($W4)))</formula>
    </cfRule>
    <cfRule type="cellIs" dxfId="358" priority="33" operator="greaterThan">
      <formula>$B$6</formula>
    </cfRule>
  </conditionalFormatting>
  <conditionalFormatting sqref="X4:X15">
    <cfRule type="cellIs" dxfId="357" priority="20" operator="greaterThan">
      <formula>1</formula>
    </cfRule>
  </conditionalFormatting>
  <conditionalFormatting sqref="E51:N59">
    <cfRule type="expression" dxfId="356" priority="15">
      <formula>AND(E51&lt;MAX(E$50:E51), NOT(ISBLANK(E51)), NOT(E51=0))</formula>
    </cfRule>
  </conditionalFormatting>
  <conditionalFormatting sqref="E50:P59">
    <cfRule type="cellIs" dxfId="355" priority="14" operator="notBetween">
      <formula>0</formula>
      <formula>$B$7</formula>
    </cfRule>
    <cfRule type="expression" dxfId="354" priority="16">
      <formula>($D50&lt;=$S$1)</formula>
    </cfRule>
    <cfRule type="expression" dxfId="353" priority="17">
      <formula>($D50&gt;$S$1)</formula>
    </cfRule>
  </conditionalFormatting>
  <conditionalFormatting sqref="E69:N75">
    <cfRule type="expression" dxfId="352" priority="13">
      <formula>AND(E69&lt;MAX(E$68:E69), NOT(ISBLANK(E69)), NOT(E69=0))</formula>
    </cfRule>
  </conditionalFormatting>
  <conditionalFormatting sqref="E68:P75">
    <cfRule type="cellIs" dxfId="351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350" priority="10">
      <formula>($D68&lt;=$S$1)</formula>
    </cfRule>
    <cfRule type="expression" dxfId="349" priority="12">
      <formula>($D68&gt;$S$1)</formula>
    </cfRule>
  </conditionalFormatting>
  <conditionalFormatting sqref="Q50:Q59 Q68:Q72 Q78:Q80">
    <cfRule type="cellIs" dxfId="346" priority="6" operator="lessThan">
      <formula>0</formula>
    </cfRule>
    <cfRule type="cellIs" dxfId="347" priority="7" operator="equal">
      <formula>0</formula>
    </cfRule>
    <cfRule type="expression" dxfId="348" priority="8">
      <formula>OR(MOD($Q50,100)=0,AND($D50=$S$1,MOD($Q50,100)=$R$2))</formula>
    </cfRule>
  </conditionalFormatting>
  <conditionalFormatting sqref="E79:N80">
    <cfRule type="expression" dxfId="345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342" priority="1" operator="notBetween">
      <formula>0</formula>
      <formula>$B$7</formula>
    </cfRule>
    <cfRule type="expression" dxfId="344" priority="4">
      <formula>($D78&lt;=$S$1)</formula>
    </cfRule>
    <cfRule type="expression" dxfId="343" priority="5">
      <formula>($D78&gt;$S$1)</formula>
    </cfRule>
  </conditionalFormatting>
  <conditionalFormatting sqref="D3:P12">
    <cfRule type="expression" dxfId="341" priority="31">
      <formula>($D3&gt;$S$1)</formula>
    </cfRule>
  </conditionalFormatting>
  <dataValidations count="2">
    <dataValidation type="list" allowBlank="1" showInputMessage="1" showErrorMessage="1" sqref="D68:D72 D78:D82 D50:D59" xr:uid="{351AA85F-4A40-48D8-AD89-AEAA12EF7CC9}">
      <formula1>$D$3:$D$12</formula1>
    </dataValidation>
    <dataValidation type="list" allowBlank="1" showInputMessage="1" showErrorMessage="1" sqref="C50:C59" xr:uid="{0D4C059B-5D56-4221-AB65-73DB4487408A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87D13-3230-4074-A5E1-C95755FE4AC4}">
  <sheetPr codeName="Feuil31">
    <tabColor rgb="FFB4A7D6"/>
  </sheetPr>
  <dimension ref="A1:AA82"/>
  <sheetViews>
    <sheetView zoomScale="90" zoomScaleNormal="90" workbookViewId="0">
      <pane xSplit="2" topLeftCell="C1" activePane="topRight" state="frozen"/>
      <selection pane="topRight" activeCell="T14" sqref="T14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7" t="s">
        <v>88</v>
      </c>
      <c r="E1" s="449" t="str">
        <f>Synthèse!M2</f>
        <v>Candidat 1</v>
      </c>
      <c r="F1" s="434" t="str">
        <f>Synthèse!N2</f>
        <v>Candidat 2 qui a un nom super long</v>
      </c>
      <c r="G1" s="434" t="str">
        <f>Synthèse!O2</f>
        <v>Candidat 3</v>
      </c>
      <c r="H1" s="434" t="str">
        <f>Synthèse!P2</f>
        <v>Candidat 4</v>
      </c>
      <c r="I1" s="434" t="str">
        <f>Synthèse!Q2</f>
        <v>Candidat 5</v>
      </c>
      <c r="J1" s="434" t="str">
        <f>Synthèse!R2</f>
        <v>Candidat 6</v>
      </c>
      <c r="K1" s="434" t="str">
        <f>Synthèse!S2</f>
        <v>Candidat 7</v>
      </c>
      <c r="L1" s="434" t="str">
        <f>Synthèse!T2</f>
        <v>Candidat 8</v>
      </c>
      <c r="M1" s="434" t="str">
        <f>Synthèse!U2</f>
        <v>Candidat 9</v>
      </c>
      <c r="N1" s="443" t="str">
        <f>Synthèse!V2</f>
        <v>Candidat 10</v>
      </c>
      <c r="O1" s="445" t="s">
        <v>3</v>
      </c>
      <c r="P1" s="430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8"/>
      <c r="E2" s="450"/>
      <c r="F2" s="435"/>
      <c r="G2" s="435"/>
      <c r="H2" s="435"/>
      <c r="I2" s="435"/>
      <c r="J2" s="435"/>
      <c r="K2" s="435"/>
      <c r="L2" s="435"/>
      <c r="M2" s="435"/>
      <c r="N2" s="444"/>
      <c r="O2" s="446"/>
      <c r="P2" s="431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32" t="s">
        <v>62</v>
      </c>
      <c r="AA2" s="432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33"/>
      <c r="AA3" s="433"/>
    </row>
    <row r="4" spans="1:27" ht="20.100000000000001" customHeight="1" x14ac:dyDescent="0.2">
      <c r="A4" s="167" t="s">
        <v>25</v>
      </c>
      <c r="B4" s="252">
        <v>2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30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700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700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36" t="s">
        <v>63</v>
      </c>
      <c r="B10" s="436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7"/>
      <c r="B11" s="437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8" t="s">
        <v>64</v>
      </c>
      <c r="B12" s="438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8"/>
      <c r="B13" s="438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8"/>
      <c r="B14" s="438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9" t="s">
        <v>71</v>
      </c>
      <c r="B15" s="439"/>
      <c r="C15" s="1"/>
      <c r="D15" s="1"/>
      <c r="E15" s="440" t="s">
        <v>69</v>
      </c>
      <c r="F15" s="441"/>
      <c r="G15" s="441"/>
      <c r="H15" s="441"/>
      <c r="I15" s="441"/>
      <c r="J15" s="441"/>
      <c r="K15" s="441"/>
      <c r="L15" s="441"/>
      <c r="M15" s="441"/>
      <c r="N15" s="441"/>
      <c r="O15" s="441"/>
      <c r="P15" s="442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9"/>
      <c r="B16" s="439"/>
    </row>
    <row r="17" spans="1:8" ht="18" customHeight="1" x14ac:dyDescent="0.25">
      <c r="A17" s="439"/>
      <c r="B17" s="439"/>
      <c r="E17" s="336"/>
    </row>
    <row r="18" spans="1:8" ht="26.25" customHeight="1" x14ac:dyDescent="0.2">
      <c r="A18" s="439"/>
      <c r="B18" s="439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27" t="s">
        <v>83</v>
      </c>
      <c r="F48" s="428"/>
      <c r="G48" s="428"/>
      <c r="H48" s="428"/>
      <c r="I48" s="428"/>
      <c r="J48" s="428"/>
      <c r="K48" s="428"/>
      <c r="L48" s="428"/>
      <c r="M48" s="428"/>
      <c r="N48" s="428"/>
      <c r="O48" s="428"/>
      <c r="P48" s="429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27" t="s">
        <v>83</v>
      </c>
      <c r="F66" s="428"/>
      <c r="G66" s="428"/>
      <c r="H66" s="428"/>
      <c r="I66" s="428"/>
      <c r="J66" s="428"/>
      <c r="K66" s="428"/>
      <c r="L66" s="428"/>
      <c r="M66" s="428"/>
      <c r="N66" s="428"/>
      <c r="O66" s="428"/>
      <c r="P66" s="429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27" t="s">
        <v>83</v>
      </c>
      <c r="F76" s="428"/>
      <c r="G76" s="428"/>
      <c r="H76" s="428"/>
      <c r="I76" s="428"/>
      <c r="J76" s="428"/>
      <c r="K76" s="428"/>
      <c r="L76" s="428"/>
      <c r="M76" s="428"/>
      <c r="N76" s="428"/>
      <c r="O76" s="428"/>
      <c r="P76" s="429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2TZSHQrrUw0sqVOm6ZfiiQFwuMjPweGlYPEvTX/k7s7xYki654HIU6lEh2m6b1g11otnz++l4qZ5u3j64rNW2Q==" saltValue="7ol61BdjXk/NmdGCqx8qcA==" spinCount="100000" sheet="1" objects="1" scenarios="1"/>
  <mergeCells count="22">
    <mergeCell ref="E48:P48"/>
    <mergeCell ref="E66:P66"/>
    <mergeCell ref="E76:P76"/>
    <mergeCell ref="P1:P2"/>
    <mergeCell ref="Z2:Z3"/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I1:I2"/>
  </mergeCells>
  <conditionalFormatting sqref="B8">
    <cfRule type="cellIs" dxfId="340" priority="19" operator="notEqual">
      <formula>$B$7</formula>
    </cfRule>
  </conditionalFormatting>
  <conditionalFormatting sqref="E3:P12">
    <cfRule type="expression" dxfId="339" priority="30">
      <formula>($D3&lt;=$S$1)</formula>
    </cfRule>
  </conditionalFormatting>
  <conditionalFormatting sqref="E3:Q12">
    <cfRule type="cellIs" dxfId="338" priority="18" operator="notBetween">
      <formula>0</formula>
      <formula>100</formula>
    </cfRule>
  </conditionalFormatting>
  <conditionalFormatting sqref="E3:Q14">
    <cfRule type="cellIs" dxfId="337" priority="21" operator="lessThan">
      <formula>0</formula>
    </cfRule>
  </conditionalFormatting>
  <conditionalFormatting sqref="E14:Q14">
    <cfRule type="cellIs" dxfId="336" priority="27" operator="greaterThan">
      <formula>1</formula>
    </cfRule>
  </conditionalFormatting>
  <conditionalFormatting sqref="Q3:Q12">
    <cfRule type="expression" dxfId="334" priority="22">
      <formula>AND($D3=$S$1, Q3=$R$2)</formula>
    </cfRule>
    <cfRule type="expression" dxfId="335" priority="23">
      <formula>AND($D3=$S$1, MOD(Q3,100)&gt;$R$2)</formula>
    </cfRule>
    <cfRule type="cellIs" dxfId="333" priority="24" operator="equal">
      <formula>100</formula>
    </cfRule>
  </conditionalFormatting>
  <conditionalFormatting sqref="Q3:Q13">
    <cfRule type="cellIs" dxfId="332" priority="25" operator="equal">
      <formula>0</formula>
    </cfRule>
  </conditionalFormatting>
  <conditionalFormatting sqref="Q13">
    <cfRule type="cellIs" dxfId="331" priority="29" operator="equal">
      <formula>$B$7</formula>
    </cfRule>
  </conditionalFormatting>
  <conditionalFormatting sqref="Q14">
    <cfRule type="cellIs" dxfId="330" priority="26" operator="equal">
      <formula>1</formula>
    </cfRule>
    <cfRule type="cellIs" dxfId="329" priority="28" operator="lessThan">
      <formula>1</formula>
    </cfRule>
  </conditionalFormatting>
  <conditionalFormatting sqref="W4:W15">
    <cfRule type="expression" dxfId="328" priority="32">
      <formula>AND($W4&lt;$W3, NOT(ISBLANK($W4)))</formula>
    </cfRule>
    <cfRule type="cellIs" dxfId="327" priority="33" operator="greaterThan">
      <formula>$B$6</formula>
    </cfRule>
  </conditionalFormatting>
  <conditionalFormatting sqref="X4:X15">
    <cfRule type="cellIs" dxfId="326" priority="20" operator="greaterThan">
      <formula>1</formula>
    </cfRule>
  </conditionalFormatting>
  <conditionalFormatting sqref="E51:N59">
    <cfRule type="expression" dxfId="325" priority="15">
      <formula>AND(E51&lt;MAX(E$50:E51), NOT(ISBLANK(E51)), NOT(E51=0))</formula>
    </cfRule>
  </conditionalFormatting>
  <conditionalFormatting sqref="E50:P59">
    <cfRule type="cellIs" dxfId="324" priority="14" operator="notBetween">
      <formula>0</formula>
      <formula>$B$7</formula>
    </cfRule>
    <cfRule type="expression" dxfId="323" priority="16">
      <formula>($D50&lt;=$S$1)</formula>
    </cfRule>
    <cfRule type="expression" dxfId="322" priority="17">
      <formula>($D50&gt;$S$1)</formula>
    </cfRule>
  </conditionalFormatting>
  <conditionalFormatting sqref="E69:N75">
    <cfRule type="expression" dxfId="321" priority="13">
      <formula>AND(E69&lt;MAX(E$68:E69), NOT(ISBLANK(E69)), NOT(E69=0))</formula>
    </cfRule>
  </conditionalFormatting>
  <conditionalFormatting sqref="E68:P75">
    <cfRule type="cellIs" dxfId="320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319" priority="10">
      <formula>($D68&lt;=$S$1)</formula>
    </cfRule>
    <cfRule type="expression" dxfId="318" priority="12">
      <formula>($D68&gt;$S$1)</formula>
    </cfRule>
  </conditionalFormatting>
  <conditionalFormatting sqref="Q50:Q59 Q68:Q72 Q78:Q80">
    <cfRule type="cellIs" dxfId="315" priority="6" operator="lessThan">
      <formula>0</formula>
    </cfRule>
    <cfRule type="cellIs" dxfId="316" priority="7" operator="equal">
      <formula>0</formula>
    </cfRule>
    <cfRule type="expression" dxfId="317" priority="8">
      <formula>OR(MOD($Q50,100)=0,AND($D50=$S$1,MOD($Q50,100)=$R$2))</formula>
    </cfRule>
  </conditionalFormatting>
  <conditionalFormatting sqref="E79:N80">
    <cfRule type="expression" dxfId="314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311" priority="1" operator="notBetween">
      <formula>0</formula>
      <formula>$B$7</formula>
    </cfRule>
    <cfRule type="expression" dxfId="313" priority="4">
      <formula>($D78&lt;=$S$1)</formula>
    </cfRule>
    <cfRule type="expression" dxfId="312" priority="5">
      <formula>($D78&gt;$S$1)</formula>
    </cfRule>
  </conditionalFormatting>
  <conditionalFormatting sqref="D3:P12">
    <cfRule type="expression" dxfId="310" priority="31">
      <formula>($D3&gt;$S$1)</formula>
    </cfRule>
  </conditionalFormatting>
  <dataValidations count="2">
    <dataValidation type="list" allowBlank="1" showInputMessage="1" showErrorMessage="1" sqref="D68:D72 D78:D82 D50:D59" xr:uid="{7462D76E-DB0C-47B3-9BCF-60C21E7D8A57}">
      <formula1>$D$3:$D$12</formula1>
    </dataValidation>
    <dataValidation type="list" allowBlank="1" showInputMessage="1" showErrorMessage="1" sqref="C50:C59" xr:uid="{192A07CC-7E04-49FD-B289-C19ED4E59190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7ACAA-48D0-4D88-9803-6FA2DDAB9325}">
  <sheetPr codeName="Feuil32">
    <tabColor rgb="FFB4A7D6"/>
  </sheetPr>
  <dimension ref="A1:AA82"/>
  <sheetViews>
    <sheetView zoomScale="90" zoomScaleNormal="90" workbookViewId="0">
      <pane xSplit="2" topLeftCell="C1" activePane="topRight" state="frozen"/>
      <selection pane="topRight" activeCell="T14" sqref="T14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7" t="s">
        <v>88</v>
      </c>
      <c r="E1" s="449" t="str">
        <f>Synthèse!M2</f>
        <v>Candidat 1</v>
      </c>
      <c r="F1" s="434" t="str">
        <f>Synthèse!N2</f>
        <v>Candidat 2 qui a un nom super long</v>
      </c>
      <c r="G1" s="434" t="str">
        <f>Synthèse!O2</f>
        <v>Candidat 3</v>
      </c>
      <c r="H1" s="434" t="str">
        <f>Synthèse!P2</f>
        <v>Candidat 4</v>
      </c>
      <c r="I1" s="434" t="str">
        <f>Synthèse!Q2</f>
        <v>Candidat 5</v>
      </c>
      <c r="J1" s="434" t="str">
        <f>Synthèse!R2</f>
        <v>Candidat 6</v>
      </c>
      <c r="K1" s="434" t="str">
        <f>Synthèse!S2</f>
        <v>Candidat 7</v>
      </c>
      <c r="L1" s="434" t="str">
        <f>Synthèse!T2</f>
        <v>Candidat 8</v>
      </c>
      <c r="M1" s="434" t="str">
        <f>Synthèse!U2</f>
        <v>Candidat 9</v>
      </c>
      <c r="N1" s="443" t="str">
        <f>Synthèse!V2</f>
        <v>Candidat 10</v>
      </c>
      <c r="O1" s="445" t="s">
        <v>3</v>
      </c>
      <c r="P1" s="430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8"/>
      <c r="E2" s="450"/>
      <c r="F2" s="435"/>
      <c r="G2" s="435"/>
      <c r="H2" s="435"/>
      <c r="I2" s="435"/>
      <c r="J2" s="435"/>
      <c r="K2" s="435"/>
      <c r="L2" s="435"/>
      <c r="M2" s="435"/>
      <c r="N2" s="444"/>
      <c r="O2" s="446"/>
      <c r="P2" s="431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32" t="s">
        <v>62</v>
      </c>
      <c r="AA2" s="432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33"/>
      <c r="AA3" s="433"/>
    </row>
    <row r="4" spans="1:27" ht="20.100000000000001" customHeight="1" x14ac:dyDescent="0.2">
      <c r="A4" s="167" t="s">
        <v>25</v>
      </c>
      <c r="B4" s="252">
        <v>3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30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669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669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36" t="s">
        <v>63</v>
      </c>
      <c r="B10" s="436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7"/>
      <c r="B11" s="437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8" t="s">
        <v>64</v>
      </c>
      <c r="B12" s="438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8"/>
      <c r="B13" s="438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8"/>
      <c r="B14" s="438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9" t="s">
        <v>71</v>
      </c>
      <c r="B15" s="439"/>
      <c r="C15" s="1"/>
      <c r="D15" s="1"/>
      <c r="E15" s="440" t="s">
        <v>69</v>
      </c>
      <c r="F15" s="441"/>
      <c r="G15" s="441"/>
      <c r="H15" s="441"/>
      <c r="I15" s="441"/>
      <c r="J15" s="441"/>
      <c r="K15" s="441"/>
      <c r="L15" s="441"/>
      <c r="M15" s="441"/>
      <c r="N15" s="441"/>
      <c r="O15" s="441"/>
      <c r="P15" s="442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9"/>
      <c r="B16" s="439"/>
    </row>
    <row r="17" spans="1:8" ht="18" customHeight="1" x14ac:dyDescent="0.25">
      <c r="A17" s="439"/>
      <c r="B17" s="439"/>
      <c r="E17" s="336"/>
    </row>
    <row r="18" spans="1:8" ht="26.25" customHeight="1" x14ac:dyDescent="0.2">
      <c r="A18" s="439"/>
      <c r="B18" s="439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27" t="s">
        <v>83</v>
      </c>
      <c r="F48" s="428"/>
      <c r="G48" s="428"/>
      <c r="H48" s="428"/>
      <c r="I48" s="428"/>
      <c r="J48" s="428"/>
      <c r="K48" s="428"/>
      <c r="L48" s="428"/>
      <c r="M48" s="428"/>
      <c r="N48" s="428"/>
      <c r="O48" s="428"/>
      <c r="P48" s="429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27" t="s">
        <v>83</v>
      </c>
      <c r="F66" s="428"/>
      <c r="G66" s="428"/>
      <c r="H66" s="428"/>
      <c r="I66" s="428"/>
      <c r="J66" s="428"/>
      <c r="K66" s="428"/>
      <c r="L66" s="428"/>
      <c r="M66" s="428"/>
      <c r="N66" s="428"/>
      <c r="O66" s="428"/>
      <c r="P66" s="429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27" t="s">
        <v>83</v>
      </c>
      <c r="F76" s="428"/>
      <c r="G76" s="428"/>
      <c r="H76" s="428"/>
      <c r="I76" s="428"/>
      <c r="J76" s="428"/>
      <c r="K76" s="428"/>
      <c r="L76" s="428"/>
      <c r="M76" s="428"/>
      <c r="N76" s="428"/>
      <c r="O76" s="428"/>
      <c r="P76" s="429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s+eFiW5mJUjY0gx1l7deokuBThZd5p1AwOABLemC/NK447PXu9ajQHOIImFxQ9LoWI8inkfBD5uaFFhFjTkXBA==" saltValue="iWszmJjbJT8KophHhGYoww==" spinCount="100000" sheet="1" objects="1" scenarios="1"/>
  <mergeCells count="22">
    <mergeCell ref="E48:P48"/>
    <mergeCell ref="E66:P66"/>
    <mergeCell ref="E76:P76"/>
    <mergeCell ref="P1:P2"/>
    <mergeCell ref="Z2:Z3"/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I1:I2"/>
  </mergeCells>
  <conditionalFormatting sqref="B8">
    <cfRule type="cellIs" dxfId="309" priority="19" operator="notEqual">
      <formula>$B$7</formula>
    </cfRule>
  </conditionalFormatting>
  <conditionalFormatting sqref="E3:P12">
    <cfRule type="expression" dxfId="308" priority="30">
      <formula>($D3&lt;=$S$1)</formula>
    </cfRule>
  </conditionalFormatting>
  <conditionalFormatting sqref="E3:Q12">
    <cfRule type="cellIs" dxfId="307" priority="18" operator="notBetween">
      <formula>0</formula>
      <formula>100</formula>
    </cfRule>
  </conditionalFormatting>
  <conditionalFormatting sqref="E3:Q14">
    <cfRule type="cellIs" dxfId="306" priority="21" operator="lessThan">
      <formula>0</formula>
    </cfRule>
  </conditionalFormatting>
  <conditionalFormatting sqref="E14:Q14">
    <cfRule type="cellIs" dxfId="305" priority="27" operator="greaterThan">
      <formula>1</formula>
    </cfRule>
  </conditionalFormatting>
  <conditionalFormatting sqref="Q3:Q12">
    <cfRule type="expression" dxfId="303" priority="22">
      <formula>AND($D3=$S$1, Q3=$R$2)</formula>
    </cfRule>
    <cfRule type="expression" dxfId="304" priority="23">
      <formula>AND($D3=$S$1, MOD(Q3,100)&gt;$R$2)</formula>
    </cfRule>
    <cfRule type="cellIs" dxfId="302" priority="24" operator="equal">
      <formula>100</formula>
    </cfRule>
  </conditionalFormatting>
  <conditionalFormatting sqref="Q3:Q13">
    <cfRule type="cellIs" dxfId="301" priority="25" operator="equal">
      <formula>0</formula>
    </cfRule>
  </conditionalFormatting>
  <conditionalFormatting sqref="Q13">
    <cfRule type="cellIs" dxfId="300" priority="29" operator="equal">
      <formula>$B$7</formula>
    </cfRule>
  </conditionalFormatting>
  <conditionalFormatting sqref="Q14">
    <cfRule type="cellIs" dxfId="299" priority="26" operator="equal">
      <formula>1</formula>
    </cfRule>
    <cfRule type="cellIs" dxfId="298" priority="28" operator="lessThan">
      <formula>1</formula>
    </cfRule>
  </conditionalFormatting>
  <conditionalFormatting sqref="W4:W15">
    <cfRule type="expression" dxfId="297" priority="32">
      <formula>AND($W4&lt;$W3, NOT(ISBLANK($W4)))</formula>
    </cfRule>
    <cfRule type="cellIs" dxfId="296" priority="33" operator="greaterThan">
      <formula>$B$6</formula>
    </cfRule>
  </conditionalFormatting>
  <conditionalFormatting sqref="X4:X15">
    <cfRule type="cellIs" dxfId="295" priority="20" operator="greaterThan">
      <formula>1</formula>
    </cfRule>
  </conditionalFormatting>
  <conditionalFormatting sqref="E51:N59">
    <cfRule type="expression" dxfId="294" priority="15">
      <formula>AND(E51&lt;MAX(E$50:E51), NOT(ISBLANK(E51)), NOT(E51=0))</formula>
    </cfRule>
  </conditionalFormatting>
  <conditionalFormatting sqref="E50:P59">
    <cfRule type="cellIs" dxfId="293" priority="14" operator="notBetween">
      <formula>0</formula>
      <formula>$B$7</formula>
    </cfRule>
    <cfRule type="expression" dxfId="292" priority="16">
      <formula>($D50&lt;=$S$1)</formula>
    </cfRule>
    <cfRule type="expression" dxfId="291" priority="17">
      <formula>($D50&gt;$S$1)</formula>
    </cfRule>
  </conditionalFormatting>
  <conditionalFormatting sqref="E69:N75">
    <cfRule type="expression" dxfId="290" priority="13">
      <formula>AND(E69&lt;MAX(E$68:E69), NOT(ISBLANK(E69)), NOT(E69=0))</formula>
    </cfRule>
  </conditionalFormatting>
  <conditionalFormatting sqref="E68:P75">
    <cfRule type="cellIs" dxfId="289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288" priority="10">
      <formula>($D68&lt;=$S$1)</formula>
    </cfRule>
    <cfRule type="expression" dxfId="287" priority="12">
      <formula>($D68&gt;$S$1)</formula>
    </cfRule>
  </conditionalFormatting>
  <conditionalFormatting sqref="Q50:Q59 Q68:Q72 Q78:Q80">
    <cfRule type="cellIs" dxfId="284" priority="6" operator="lessThan">
      <formula>0</formula>
    </cfRule>
    <cfRule type="cellIs" dxfId="285" priority="7" operator="equal">
      <formula>0</formula>
    </cfRule>
    <cfRule type="expression" dxfId="286" priority="8">
      <formula>OR(MOD($Q50,100)=0,AND($D50=$S$1,MOD($Q50,100)=$R$2))</formula>
    </cfRule>
  </conditionalFormatting>
  <conditionalFormatting sqref="E79:N80">
    <cfRule type="expression" dxfId="283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280" priority="1" operator="notBetween">
      <formula>0</formula>
      <formula>$B$7</formula>
    </cfRule>
    <cfRule type="expression" dxfId="282" priority="4">
      <formula>($D78&lt;=$S$1)</formula>
    </cfRule>
    <cfRule type="expression" dxfId="281" priority="5">
      <formula>($D78&gt;$S$1)</formula>
    </cfRule>
  </conditionalFormatting>
  <conditionalFormatting sqref="D3:P12">
    <cfRule type="expression" dxfId="279" priority="31">
      <formula>($D3&gt;$S$1)</formula>
    </cfRule>
  </conditionalFormatting>
  <dataValidations count="2">
    <dataValidation type="list" allowBlank="1" showInputMessage="1" showErrorMessage="1" sqref="D68:D72 D78:D82 D50:D59" xr:uid="{B68E6D22-F52E-46B9-BD2A-B2977C341034}">
      <formula1>$D$3:$D$12</formula1>
    </dataValidation>
    <dataValidation type="list" allowBlank="1" showInputMessage="1" showErrorMessage="1" sqref="C50:C59" xr:uid="{AC3B7EEE-418D-45E3-9E8E-ADA6E7A4BA39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41C28-6663-40FA-9B11-918E7AD0086B}">
  <sheetPr codeName="Feuil33">
    <tabColor rgb="FFB4A7D6"/>
  </sheetPr>
  <dimension ref="A1:AA82"/>
  <sheetViews>
    <sheetView zoomScale="90" zoomScaleNormal="90" workbookViewId="0">
      <pane xSplit="2" topLeftCell="C1" activePane="topRight" state="frozen"/>
      <selection pane="topRight" activeCell="T14" sqref="T14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7" t="s">
        <v>88</v>
      </c>
      <c r="E1" s="449" t="str">
        <f>Synthèse!M2</f>
        <v>Candidat 1</v>
      </c>
      <c r="F1" s="434" t="str">
        <f>Synthèse!N2</f>
        <v>Candidat 2 qui a un nom super long</v>
      </c>
      <c r="G1" s="434" t="str">
        <f>Synthèse!O2</f>
        <v>Candidat 3</v>
      </c>
      <c r="H1" s="434" t="str">
        <f>Synthèse!P2</f>
        <v>Candidat 4</v>
      </c>
      <c r="I1" s="434" t="str">
        <f>Synthèse!Q2</f>
        <v>Candidat 5</v>
      </c>
      <c r="J1" s="434" t="str">
        <f>Synthèse!R2</f>
        <v>Candidat 6</v>
      </c>
      <c r="K1" s="434" t="str">
        <f>Synthèse!S2</f>
        <v>Candidat 7</v>
      </c>
      <c r="L1" s="434" t="str">
        <f>Synthèse!T2</f>
        <v>Candidat 8</v>
      </c>
      <c r="M1" s="434" t="str">
        <f>Synthèse!U2</f>
        <v>Candidat 9</v>
      </c>
      <c r="N1" s="443" t="str">
        <f>Synthèse!V2</f>
        <v>Candidat 10</v>
      </c>
      <c r="O1" s="445" t="s">
        <v>3</v>
      </c>
      <c r="P1" s="430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8"/>
      <c r="E2" s="450"/>
      <c r="F2" s="435"/>
      <c r="G2" s="435"/>
      <c r="H2" s="435"/>
      <c r="I2" s="435"/>
      <c r="J2" s="435"/>
      <c r="K2" s="435"/>
      <c r="L2" s="435"/>
      <c r="M2" s="435"/>
      <c r="N2" s="444"/>
      <c r="O2" s="446"/>
      <c r="P2" s="431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32" t="s">
        <v>62</v>
      </c>
      <c r="AA2" s="432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33"/>
      <c r="AA3" s="433"/>
    </row>
    <row r="4" spans="1:27" ht="20.100000000000001" customHeight="1" x14ac:dyDescent="0.2">
      <c r="A4" s="167" t="s">
        <v>25</v>
      </c>
      <c r="B4" s="252">
        <v>4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30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651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651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36" t="s">
        <v>63</v>
      </c>
      <c r="B10" s="436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7"/>
      <c r="B11" s="437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8" t="s">
        <v>64</v>
      </c>
      <c r="B12" s="438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8"/>
      <c r="B13" s="438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8"/>
      <c r="B14" s="438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9" t="s">
        <v>71</v>
      </c>
      <c r="B15" s="439"/>
      <c r="C15" s="1"/>
      <c r="D15" s="1"/>
      <c r="E15" s="440" t="s">
        <v>69</v>
      </c>
      <c r="F15" s="441"/>
      <c r="G15" s="441"/>
      <c r="H15" s="441"/>
      <c r="I15" s="441"/>
      <c r="J15" s="441"/>
      <c r="K15" s="441"/>
      <c r="L15" s="441"/>
      <c r="M15" s="441"/>
      <c r="N15" s="441"/>
      <c r="O15" s="441"/>
      <c r="P15" s="442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9"/>
      <c r="B16" s="439"/>
    </row>
    <row r="17" spans="1:8" ht="18" customHeight="1" x14ac:dyDescent="0.25">
      <c r="A17" s="439"/>
      <c r="B17" s="439"/>
      <c r="E17" s="336"/>
    </row>
    <row r="18" spans="1:8" ht="26.25" customHeight="1" x14ac:dyDescent="0.2">
      <c r="A18" s="439"/>
      <c r="B18" s="439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27" t="s">
        <v>83</v>
      </c>
      <c r="F48" s="428"/>
      <c r="G48" s="428"/>
      <c r="H48" s="428"/>
      <c r="I48" s="428"/>
      <c r="J48" s="428"/>
      <c r="K48" s="428"/>
      <c r="L48" s="428"/>
      <c r="M48" s="428"/>
      <c r="N48" s="428"/>
      <c r="O48" s="428"/>
      <c r="P48" s="429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27" t="s">
        <v>83</v>
      </c>
      <c r="F66" s="428"/>
      <c r="G66" s="428"/>
      <c r="H66" s="428"/>
      <c r="I66" s="428"/>
      <c r="J66" s="428"/>
      <c r="K66" s="428"/>
      <c r="L66" s="428"/>
      <c r="M66" s="428"/>
      <c r="N66" s="428"/>
      <c r="O66" s="428"/>
      <c r="P66" s="429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27" t="s">
        <v>83</v>
      </c>
      <c r="F76" s="428"/>
      <c r="G76" s="428"/>
      <c r="H76" s="428"/>
      <c r="I76" s="428"/>
      <c r="J76" s="428"/>
      <c r="K76" s="428"/>
      <c r="L76" s="428"/>
      <c r="M76" s="428"/>
      <c r="N76" s="428"/>
      <c r="O76" s="428"/>
      <c r="P76" s="429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0uZeaNIP9TQWl8Zj/BuA7UqXz3wBo4zwcggfNBPjo5qlONBNpIlLzooB1kGNINodjP0pM+3XThGpvLYafm1dlw==" saltValue="cCjMDPDwrbwVVsn/A3VAUw==" spinCount="100000" sheet="1" objects="1" scenarios="1"/>
  <mergeCells count="22">
    <mergeCell ref="E48:P48"/>
    <mergeCell ref="E66:P66"/>
    <mergeCell ref="E76:P76"/>
    <mergeCell ref="P1:P2"/>
    <mergeCell ref="Z2:Z3"/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I1:I2"/>
  </mergeCells>
  <conditionalFormatting sqref="B8">
    <cfRule type="cellIs" dxfId="278" priority="19" operator="notEqual">
      <formula>$B$7</formula>
    </cfRule>
  </conditionalFormatting>
  <conditionalFormatting sqref="E3:P12">
    <cfRule type="expression" dxfId="277" priority="30">
      <formula>($D3&lt;=$S$1)</formula>
    </cfRule>
  </conditionalFormatting>
  <conditionalFormatting sqref="E3:Q12">
    <cfRule type="cellIs" dxfId="276" priority="18" operator="notBetween">
      <formula>0</formula>
      <formula>100</formula>
    </cfRule>
  </conditionalFormatting>
  <conditionalFormatting sqref="E3:Q14">
    <cfRule type="cellIs" dxfId="275" priority="21" operator="lessThan">
      <formula>0</formula>
    </cfRule>
  </conditionalFormatting>
  <conditionalFormatting sqref="E14:Q14">
    <cfRule type="cellIs" dxfId="274" priority="27" operator="greaterThan">
      <formula>1</formula>
    </cfRule>
  </conditionalFormatting>
  <conditionalFormatting sqref="Q3:Q12">
    <cfRule type="expression" dxfId="272" priority="22">
      <formula>AND($D3=$S$1, Q3=$R$2)</formula>
    </cfRule>
    <cfRule type="expression" dxfId="273" priority="23">
      <formula>AND($D3=$S$1, MOD(Q3,100)&gt;$R$2)</formula>
    </cfRule>
    <cfRule type="cellIs" dxfId="271" priority="24" operator="equal">
      <formula>100</formula>
    </cfRule>
  </conditionalFormatting>
  <conditionalFormatting sqref="Q3:Q13">
    <cfRule type="cellIs" dxfId="270" priority="25" operator="equal">
      <formula>0</formula>
    </cfRule>
  </conditionalFormatting>
  <conditionalFormatting sqref="Q13">
    <cfRule type="cellIs" dxfId="269" priority="29" operator="equal">
      <formula>$B$7</formula>
    </cfRule>
  </conditionalFormatting>
  <conditionalFormatting sqref="Q14">
    <cfRule type="cellIs" dxfId="268" priority="26" operator="equal">
      <formula>1</formula>
    </cfRule>
    <cfRule type="cellIs" dxfId="267" priority="28" operator="lessThan">
      <formula>1</formula>
    </cfRule>
  </conditionalFormatting>
  <conditionalFormatting sqref="W4:W15">
    <cfRule type="expression" dxfId="266" priority="32">
      <formula>AND($W4&lt;$W3, NOT(ISBLANK($W4)))</formula>
    </cfRule>
    <cfRule type="cellIs" dxfId="265" priority="33" operator="greaterThan">
      <formula>$B$6</formula>
    </cfRule>
  </conditionalFormatting>
  <conditionalFormatting sqref="X4:X15">
    <cfRule type="cellIs" dxfId="264" priority="20" operator="greaterThan">
      <formula>1</formula>
    </cfRule>
  </conditionalFormatting>
  <conditionalFormatting sqref="E51:N59">
    <cfRule type="expression" dxfId="263" priority="15">
      <formula>AND(E51&lt;MAX(E$50:E51), NOT(ISBLANK(E51)), NOT(E51=0))</formula>
    </cfRule>
  </conditionalFormatting>
  <conditionalFormatting sqref="E50:P59">
    <cfRule type="cellIs" dxfId="262" priority="14" operator="notBetween">
      <formula>0</formula>
      <formula>$B$7</formula>
    </cfRule>
    <cfRule type="expression" dxfId="261" priority="16">
      <formula>($D50&lt;=$S$1)</formula>
    </cfRule>
    <cfRule type="expression" dxfId="260" priority="17">
      <formula>($D50&gt;$S$1)</formula>
    </cfRule>
  </conditionalFormatting>
  <conditionalFormatting sqref="E69:N75">
    <cfRule type="expression" dxfId="259" priority="13">
      <formula>AND(E69&lt;MAX(E$68:E69), NOT(ISBLANK(E69)), NOT(E69=0))</formula>
    </cfRule>
  </conditionalFormatting>
  <conditionalFormatting sqref="E68:P75">
    <cfRule type="cellIs" dxfId="258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257" priority="10">
      <formula>($D68&lt;=$S$1)</formula>
    </cfRule>
    <cfRule type="expression" dxfId="256" priority="12">
      <formula>($D68&gt;$S$1)</formula>
    </cfRule>
  </conditionalFormatting>
  <conditionalFormatting sqref="Q50:Q59 Q68:Q72 Q78:Q80">
    <cfRule type="cellIs" dxfId="253" priority="6" operator="lessThan">
      <formula>0</formula>
    </cfRule>
    <cfRule type="cellIs" dxfId="254" priority="7" operator="equal">
      <formula>0</formula>
    </cfRule>
    <cfRule type="expression" dxfId="255" priority="8">
      <formula>OR(MOD($Q50,100)=0,AND($D50=$S$1,MOD($Q50,100)=$R$2))</formula>
    </cfRule>
  </conditionalFormatting>
  <conditionalFormatting sqref="E79:N80">
    <cfRule type="expression" dxfId="252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249" priority="1" operator="notBetween">
      <formula>0</formula>
      <formula>$B$7</formula>
    </cfRule>
    <cfRule type="expression" dxfId="251" priority="4">
      <formula>($D78&lt;=$S$1)</formula>
    </cfRule>
    <cfRule type="expression" dxfId="250" priority="5">
      <formula>($D78&gt;$S$1)</formula>
    </cfRule>
  </conditionalFormatting>
  <conditionalFormatting sqref="D3:P12">
    <cfRule type="expression" dxfId="248" priority="31">
      <formula>($D3&gt;$S$1)</formula>
    </cfRule>
  </conditionalFormatting>
  <dataValidations count="2">
    <dataValidation type="list" allowBlank="1" showInputMessage="1" showErrorMessage="1" sqref="D68:D72 D78:D82 D50:D59" xr:uid="{5D98BC01-05AC-4611-B9D4-B707364E5A25}">
      <formula1>$D$3:$D$12</formula1>
    </dataValidation>
    <dataValidation type="list" allowBlank="1" showInputMessage="1" showErrorMessage="1" sqref="C50:C59" xr:uid="{626DF3C2-D3F9-41DB-A169-F4A3AD3B911C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3EF77-3E05-44C7-9BBC-1E3A5671F46E}">
  <sheetPr codeName="Feuil34">
    <tabColor rgb="FFB4A7D6"/>
  </sheetPr>
  <dimension ref="A1:AA82"/>
  <sheetViews>
    <sheetView zoomScale="90" zoomScaleNormal="90" workbookViewId="0">
      <pane xSplit="2" topLeftCell="C1" activePane="topRight" state="frozen"/>
      <selection pane="topRight" activeCell="T14" sqref="T14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7" t="s">
        <v>88</v>
      </c>
      <c r="E1" s="449" t="str">
        <f>Synthèse!M2</f>
        <v>Candidat 1</v>
      </c>
      <c r="F1" s="434" t="str">
        <f>Synthèse!N2</f>
        <v>Candidat 2 qui a un nom super long</v>
      </c>
      <c r="G1" s="434" t="str">
        <f>Synthèse!O2</f>
        <v>Candidat 3</v>
      </c>
      <c r="H1" s="434" t="str">
        <f>Synthèse!P2</f>
        <v>Candidat 4</v>
      </c>
      <c r="I1" s="434" t="str">
        <f>Synthèse!Q2</f>
        <v>Candidat 5</v>
      </c>
      <c r="J1" s="434" t="str">
        <f>Synthèse!R2</f>
        <v>Candidat 6</v>
      </c>
      <c r="K1" s="434" t="str">
        <f>Synthèse!S2</f>
        <v>Candidat 7</v>
      </c>
      <c r="L1" s="434" t="str">
        <f>Synthèse!T2</f>
        <v>Candidat 8</v>
      </c>
      <c r="M1" s="434" t="str">
        <f>Synthèse!U2</f>
        <v>Candidat 9</v>
      </c>
      <c r="N1" s="443" t="str">
        <f>Synthèse!V2</f>
        <v>Candidat 10</v>
      </c>
      <c r="O1" s="445" t="s">
        <v>3</v>
      </c>
      <c r="P1" s="430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8"/>
      <c r="E2" s="450"/>
      <c r="F2" s="435"/>
      <c r="G2" s="435"/>
      <c r="H2" s="435"/>
      <c r="I2" s="435"/>
      <c r="J2" s="435"/>
      <c r="K2" s="435"/>
      <c r="L2" s="435"/>
      <c r="M2" s="435"/>
      <c r="N2" s="444"/>
      <c r="O2" s="446"/>
      <c r="P2" s="431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32" t="s">
        <v>62</v>
      </c>
      <c r="AA2" s="432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33"/>
      <c r="AA3" s="433"/>
    </row>
    <row r="4" spans="1:27" ht="20.100000000000001" customHeight="1" x14ac:dyDescent="0.2">
      <c r="A4" s="167" t="s">
        <v>25</v>
      </c>
      <c r="B4" s="252">
        <v>5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31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671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671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36" t="s">
        <v>63</v>
      </c>
      <c r="B10" s="436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7"/>
      <c r="B11" s="437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8" t="s">
        <v>64</v>
      </c>
      <c r="B12" s="438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8"/>
      <c r="B13" s="438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8"/>
      <c r="B14" s="438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9" t="s">
        <v>71</v>
      </c>
      <c r="B15" s="439"/>
      <c r="C15" s="1"/>
      <c r="D15" s="1"/>
      <c r="E15" s="440" t="s">
        <v>69</v>
      </c>
      <c r="F15" s="441"/>
      <c r="G15" s="441"/>
      <c r="H15" s="441"/>
      <c r="I15" s="441"/>
      <c r="J15" s="441"/>
      <c r="K15" s="441"/>
      <c r="L15" s="441"/>
      <c r="M15" s="441"/>
      <c r="N15" s="441"/>
      <c r="O15" s="441"/>
      <c r="P15" s="442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9"/>
      <c r="B16" s="439"/>
    </row>
    <row r="17" spans="1:8" ht="18" customHeight="1" x14ac:dyDescent="0.25">
      <c r="A17" s="439"/>
      <c r="B17" s="439"/>
      <c r="E17" s="336"/>
    </row>
    <row r="18" spans="1:8" ht="26.25" customHeight="1" x14ac:dyDescent="0.2">
      <c r="A18" s="439"/>
      <c r="B18" s="439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27" t="s">
        <v>83</v>
      </c>
      <c r="F48" s="428"/>
      <c r="G48" s="428"/>
      <c r="H48" s="428"/>
      <c r="I48" s="428"/>
      <c r="J48" s="428"/>
      <c r="K48" s="428"/>
      <c r="L48" s="428"/>
      <c r="M48" s="428"/>
      <c r="N48" s="428"/>
      <c r="O48" s="428"/>
      <c r="P48" s="429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27" t="s">
        <v>83</v>
      </c>
      <c r="F66" s="428"/>
      <c r="G66" s="428"/>
      <c r="H66" s="428"/>
      <c r="I66" s="428"/>
      <c r="J66" s="428"/>
      <c r="K66" s="428"/>
      <c r="L66" s="428"/>
      <c r="M66" s="428"/>
      <c r="N66" s="428"/>
      <c r="O66" s="428"/>
      <c r="P66" s="429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27" t="s">
        <v>83</v>
      </c>
      <c r="F76" s="428"/>
      <c r="G76" s="428"/>
      <c r="H76" s="428"/>
      <c r="I76" s="428"/>
      <c r="J76" s="428"/>
      <c r="K76" s="428"/>
      <c r="L76" s="428"/>
      <c r="M76" s="428"/>
      <c r="N76" s="428"/>
      <c r="O76" s="428"/>
      <c r="P76" s="429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l5vPD8mq45CtUUkpyFhx1XOsuhnmpSheNn8smXrnDrUttaowDLM3pAj9vFKVHm3Wj5WPdUbwOHvVa9PLqFplLw==" saltValue="iD5dXyK00UnMG48O6USx8Q==" spinCount="100000" sheet="1" objects="1" scenarios="1"/>
  <mergeCells count="22">
    <mergeCell ref="E48:P48"/>
    <mergeCell ref="E66:P66"/>
    <mergeCell ref="E76:P76"/>
    <mergeCell ref="P1:P2"/>
    <mergeCell ref="Z2:Z3"/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I1:I2"/>
  </mergeCells>
  <conditionalFormatting sqref="B8">
    <cfRule type="cellIs" dxfId="247" priority="19" operator="notEqual">
      <formula>$B$7</formula>
    </cfRule>
  </conditionalFormatting>
  <conditionalFormatting sqref="E3:P12">
    <cfRule type="expression" dxfId="246" priority="30">
      <formula>($D3&lt;=$S$1)</formula>
    </cfRule>
  </conditionalFormatting>
  <conditionalFormatting sqref="E3:Q12">
    <cfRule type="cellIs" dxfId="245" priority="18" operator="notBetween">
      <formula>0</formula>
      <formula>100</formula>
    </cfRule>
  </conditionalFormatting>
  <conditionalFormatting sqref="E3:Q14">
    <cfRule type="cellIs" dxfId="244" priority="21" operator="lessThan">
      <formula>0</formula>
    </cfRule>
  </conditionalFormatting>
  <conditionalFormatting sqref="E14:Q14">
    <cfRule type="cellIs" dxfId="243" priority="27" operator="greaterThan">
      <formula>1</formula>
    </cfRule>
  </conditionalFormatting>
  <conditionalFormatting sqref="Q3:Q12">
    <cfRule type="expression" dxfId="241" priority="22">
      <formula>AND($D3=$S$1, Q3=$R$2)</formula>
    </cfRule>
    <cfRule type="expression" dxfId="242" priority="23">
      <formula>AND($D3=$S$1, MOD(Q3,100)&gt;$R$2)</formula>
    </cfRule>
    <cfRule type="cellIs" dxfId="240" priority="24" operator="equal">
      <formula>100</formula>
    </cfRule>
  </conditionalFormatting>
  <conditionalFormatting sqref="Q3:Q13">
    <cfRule type="cellIs" dxfId="239" priority="25" operator="equal">
      <formula>0</formula>
    </cfRule>
  </conditionalFormatting>
  <conditionalFormatting sqref="Q13">
    <cfRule type="cellIs" dxfId="238" priority="29" operator="equal">
      <formula>$B$7</formula>
    </cfRule>
  </conditionalFormatting>
  <conditionalFormatting sqref="Q14">
    <cfRule type="cellIs" dxfId="237" priority="26" operator="equal">
      <formula>1</formula>
    </cfRule>
    <cfRule type="cellIs" dxfId="236" priority="28" operator="lessThan">
      <formula>1</formula>
    </cfRule>
  </conditionalFormatting>
  <conditionalFormatting sqref="W4:W15">
    <cfRule type="expression" dxfId="235" priority="32">
      <formula>AND($W4&lt;$W3, NOT(ISBLANK($W4)))</formula>
    </cfRule>
    <cfRule type="cellIs" dxfId="234" priority="33" operator="greaterThan">
      <formula>$B$6</formula>
    </cfRule>
  </conditionalFormatting>
  <conditionalFormatting sqref="X4:X15">
    <cfRule type="cellIs" dxfId="233" priority="20" operator="greaterThan">
      <formula>1</formula>
    </cfRule>
  </conditionalFormatting>
  <conditionalFormatting sqref="E51:N59">
    <cfRule type="expression" dxfId="232" priority="15">
      <formula>AND(E51&lt;MAX(E$50:E51), NOT(ISBLANK(E51)), NOT(E51=0))</formula>
    </cfRule>
  </conditionalFormatting>
  <conditionalFormatting sqref="E50:P59">
    <cfRule type="cellIs" dxfId="231" priority="14" operator="notBetween">
      <formula>0</formula>
      <formula>$B$7</formula>
    </cfRule>
    <cfRule type="expression" dxfId="230" priority="16">
      <formula>($D50&lt;=$S$1)</formula>
    </cfRule>
    <cfRule type="expression" dxfId="229" priority="17">
      <formula>($D50&gt;$S$1)</formula>
    </cfRule>
  </conditionalFormatting>
  <conditionalFormatting sqref="E69:N75">
    <cfRule type="expression" dxfId="228" priority="13">
      <formula>AND(E69&lt;MAX(E$68:E69), NOT(ISBLANK(E69)), NOT(E69=0))</formula>
    </cfRule>
  </conditionalFormatting>
  <conditionalFormatting sqref="E68:P75">
    <cfRule type="cellIs" dxfId="227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226" priority="10">
      <formula>($D68&lt;=$S$1)</formula>
    </cfRule>
    <cfRule type="expression" dxfId="225" priority="12">
      <formula>($D68&gt;$S$1)</formula>
    </cfRule>
  </conditionalFormatting>
  <conditionalFormatting sqref="Q50:Q59 Q68:Q72 Q78:Q80">
    <cfRule type="cellIs" dxfId="222" priority="6" operator="lessThan">
      <formula>0</formula>
    </cfRule>
    <cfRule type="cellIs" dxfId="223" priority="7" operator="equal">
      <formula>0</formula>
    </cfRule>
    <cfRule type="expression" dxfId="224" priority="8">
      <formula>OR(MOD($Q50,100)=0,AND($D50=$S$1,MOD($Q50,100)=$R$2))</formula>
    </cfRule>
  </conditionalFormatting>
  <conditionalFormatting sqref="E79:N80">
    <cfRule type="expression" dxfId="221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218" priority="1" operator="notBetween">
      <formula>0</formula>
      <formula>$B$7</formula>
    </cfRule>
    <cfRule type="expression" dxfId="220" priority="4">
      <formula>($D78&lt;=$S$1)</formula>
    </cfRule>
    <cfRule type="expression" dxfId="219" priority="5">
      <formula>($D78&gt;$S$1)</formula>
    </cfRule>
  </conditionalFormatting>
  <conditionalFormatting sqref="D3:P12">
    <cfRule type="expression" dxfId="217" priority="31">
      <formula>($D3&gt;$S$1)</formula>
    </cfRule>
  </conditionalFormatting>
  <dataValidations count="2">
    <dataValidation type="list" allowBlank="1" showInputMessage="1" showErrorMessage="1" sqref="D68:D72 D78:D82 D50:D59" xr:uid="{D6DF628A-7334-49F6-B944-547705F2AB4E}">
      <formula1>$D$3:$D$12</formula1>
    </dataValidation>
    <dataValidation type="list" allowBlank="1" showInputMessage="1" showErrorMessage="1" sqref="C50:C59" xr:uid="{146A1C80-E35D-4860-8675-07C06B8B3FA2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318E-0409-42B1-BB4A-75B9DE005CB0}">
  <sheetPr codeName="Feuil35">
    <tabColor rgb="FFB4A7D6"/>
  </sheetPr>
  <dimension ref="A1:AA82"/>
  <sheetViews>
    <sheetView zoomScale="90" zoomScaleNormal="90" workbookViewId="0">
      <pane xSplit="2" topLeftCell="C1" activePane="topRight" state="frozen"/>
      <selection pane="topRight" activeCell="T14" sqref="T14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7" t="s">
        <v>88</v>
      </c>
      <c r="E1" s="449" t="str">
        <f>Synthèse!M2</f>
        <v>Candidat 1</v>
      </c>
      <c r="F1" s="434" t="str">
        <f>Synthèse!N2</f>
        <v>Candidat 2 qui a un nom super long</v>
      </c>
      <c r="G1" s="434" t="str">
        <f>Synthèse!O2</f>
        <v>Candidat 3</v>
      </c>
      <c r="H1" s="434" t="str">
        <f>Synthèse!P2</f>
        <v>Candidat 4</v>
      </c>
      <c r="I1" s="434" t="str">
        <f>Synthèse!Q2</f>
        <v>Candidat 5</v>
      </c>
      <c r="J1" s="434" t="str">
        <f>Synthèse!R2</f>
        <v>Candidat 6</v>
      </c>
      <c r="K1" s="434" t="str">
        <f>Synthèse!S2</f>
        <v>Candidat 7</v>
      </c>
      <c r="L1" s="434" t="str">
        <f>Synthèse!T2</f>
        <v>Candidat 8</v>
      </c>
      <c r="M1" s="434" t="str">
        <f>Synthèse!U2</f>
        <v>Candidat 9</v>
      </c>
      <c r="N1" s="443" t="str">
        <f>Synthèse!V2</f>
        <v>Candidat 10</v>
      </c>
      <c r="O1" s="445" t="s">
        <v>3</v>
      </c>
      <c r="P1" s="430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8"/>
      <c r="E2" s="450"/>
      <c r="F2" s="435"/>
      <c r="G2" s="435"/>
      <c r="H2" s="435"/>
      <c r="I2" s="435"/>
      <c r="J2" s="435"/>
      <c r="K2" s="435"/>
      <c r="L2" s="435"/>
      <c r="M2" s="435"/>
      <c r="N2" s="444"/>
      <c r="O2" s="446"/>
      <c r="P2" s="431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32" t="s">
        <v>62</v>
      </c>
      <c r="AA2" s="432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33"/>
      <c r="AA3" s="433"/>
    </row>
    <row r="4" spans="1:27" ht="20.100000000000001" customHeight="1" x14ac:dyDescent="0.2">
      <c r="A4" s="167" t="s">
        <v>25</v>
      </c>
      <c r="B4" s="252">
        <v>6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31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687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687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36" t="s">
        <v>63</v>
      </c>
      <c r="B10" s="436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7"/>
      <c r="B11" s="437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8" t="s">
        <v>64</v>
      </c>
      <c r="B12" s="438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8"/>
      <c r="B13" s="438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8"/>
      <c r="B14" s="438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9" t="s">
        <v>71</v>
      </c>
      <c r="B15" s="439"/>
      <c r="C15" s="1"/>
      <c r="D15" s="1"/>
      <c r="E15" s="440" t="s">
        <v>69</v>
      </c>
      <c r="F15" s="441"/>
      <c r="G15" s="441"/>
      <c r="H15" s="441"/>
      <c r="I15" s="441"/>
      <c r="J15" s="441"/>
      <c r="K15" s="441"/>
      <c r="L15" s="441"/>
      <c r="M15" s="441"/>
      <c r="N15" s="441"/>
      <c r="O15" s="441"/>
      <c r="P15" s="442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9"/>
      <c r="B16" s="439"/>
    </row>
    <row r="17" spans="1:8" ht="18" customHeight="1" x14ac:dyDescent="0.25">
      <c r="A17" s="439"/>
      <c r="B17" s="439"/>
      <c r="E17" s="336"/>
    </row>
    <row r="18" spans="1:8" ht="26.25" customHeight="1" x14ac:dyDescent="0.2">
      <c r="A18" s="439"/>
      <c r="B18" s="439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27" t="s">
        <v>83</v>
      </c>
      <c r="F48" s="428"/>
      <c r="G48" s="428"/>
      <c r="H48" s="428"/>
      <c r="I48" s="428"/>
      <c r="J48" s="428"/>
      <c r="K48" s="428"/>
      <c r="L48" s="428"/>
      <c r="M48" s="428"/>
      <c r="N48" s="428"/>
      <c r="O48" s="428"/>
      <c r="P48" s="429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27" t="s">
        <v>83</v>
      </c>
      <c r="F66" s="428"/>
      <c r="G66" s="428"/>
      <c r="H66" s="428"/>
      <c r="I66" s="428"/>
      <c r="J66" s="428"/>
      <c r="K66" s="428"/>
      <c r="L66" s="428"/>
      <c r="M66" s="428"/>
      <c r="N66" s="428"/>
      <c r="O66" s="428"/>
      <c r="P66" s="429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27" t="s">
        <v>83</v>
      </c>
      <c r="F76" s="428"/>
      <c r="G76" s="428"/>
      <c r="H76" s="428"/>
      <c r="I76" s="428"/>
      <c r="J76" s="428"/>
      <c r="K76" s="428"/>
      <c r="L76" s="428"/>
      <c r="M76" s="428"/>
      <c r="N76" s="428"/>
      <c r="O76" s="428"/>
      <c r="P76" s="429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Ptu8BgYFcuyRVPbW+mlfygBuelmxio8S/QxKmDqsxpJ4Ge9IQWYZXX+yt3dQsj3Cj44ho3/AzfGByFsvlDKVlg==" saltValue="wMvF/v5uHru82khqkbvptw==" spinCount="100000" sheet="1" objects="1" scenarios="1"/>
  <mergeCells count="22">
    <mergeCell ref="E48:P48"/>
    <mergeCell ref="E66:P66"/>
    <mergeCell ref="E76:P76"/>
    <mergeCell ref="P1:P2"/>
    <mergeCell ref="Z2:Z3"/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I1:I2"/>
  </mergeCells>
  <conditionalFormatting sqref="B8">
    <cfRule type="cellIs" dxfId="216" priority="19" operator="notEqual">
      <formula>$B$7</formula>
    </cfRule>
  </conditionalFormatting>
  <conditionalFormatting sqref="E3:P12">
    <cfRule type="expression" dxfId="215" priority="30">
      <formula>($D3&lt;=$S$1)</formula>
    </cfRule>
  </conditionalFormatting>
  <conditionalFormatting sqref="E3:Q12">
    <cfRule type="cellIs" dxfId="214" priority="18" operator="notBetween">
      <formula>0</formula>
      <formula>100</formula>
    </cfRule>
  </conditionalFormatting>
  <conditionalFormatting sqref="E3:Q14">
    <cfRule type="cellIs" dxfId="213" priority="21" operator="lessThan">
      <formula>0</formula>
    </cfRule>
  </conditionalFormatting>
  <conditionalFormatting sqref="E14:Q14">
    <cfRule type="cellIs" dxfId="212" priority="27" operator="greaterThan">
      <formula>1</formula>
    </cfRule>
  </conditionalFormatting>
  <conditionalFormatting sqref="Q3:Q12">
    <cfRule type="expression" dxfId="210" priority="22">
      <formula>AND($D3=$S$1, Q3=$R$2)</formula>
    </cfRule>
    <cfRule type="expression" dxfId="211" priority="23">
      <formula>AND($D3=$S$1, MOD(Q3,100)&gt;$R$2)</formula>
    </cfRule>
    <cfRule type="cellIs" dxfId="209" priority="24" operator="equal">
      <formula>100</formula>
    </cfRule>
  </conditionalFormatting>
  <conditionalFormatting sqref="Q3:Q13">
    <cfRule type="cellIs" dxfId="208" priority="25" operator="equal">
      <formula>0</formula>
    </cfRule>
  </conditionalFormatting>
  <conditionalFormatting sqref="Q13">
    <cfRule type="cellIs" dxfId="207" priority="29" operator="equal">
      <formula>$B$7</formula>
    </cfRule>
  </conditionalFormatting>
  <conditionalFormatting sqref="Q14">
    <cfRule type="cellIs" dxfId="206" priority="26" operator="equal">
      <formula>1</formula>
    </cfRule>
    <cfRule type="cellIs" dxfId="205" priority="28" operator="lessThan">
      <formula>1</formula>
    </cfRule>
  </conditionalFormatting>
  <conditionalFormatting sqref="W4:W15">
    <cfRule type="expression" dxfId="204" priority="32">
      <formula>AND($W4&lt;$W3, NOT(ISBLANK($W4)))</formula>
    </cfRule>
    <cfRule type="cellIs" dxfId="203" priority="33" operator="greaterThan">
      <formula>$B$6</formula>
    </cfRule>
  </conditionalFormatting>
  <conditionalFormatting sqref="X4:X15">
    <cfRule type="cellIs" dxfId="202" priority="20" operator="greaterThan">
      <formula>1</formula>
    </cfRule>
  </conditionalFormatting>
  <conditionalFormatting sqref="E51:N59">
    <cfRule type="expression" dxfId="201" priority="15">
      <formula>AND(E51&lt;MAX(E$50:E51), NOT(ISBLANK(E51)), NOT(E51=0))</formula>
    </cfRule>
  </conditionalFormatting>
  <conditionalFormatting sqref="E50:P59">
    <cfRule type="cellIs" dxfId="200" priority="14" operator="notBetween">
      <formula>0</formula>
      <formula>$B$7</formula>
    </cfRule>
    <cfRule type="expression" dxfId="199" priority="16">
      <formula>($D50&lt;=$S$1)</formula>
    </cfRule>
    <cfRule type="expression" dxfId="198" priority="17">
      <formula>($D50&gt;$S$1)</formula>
    </cfRule>
  </conditionalFormatting>
  <conditionalFormatting sqref="E69:N75">
    <cfRule type="expression" dxfId="197" priority="13">
      <formula>AND(E69&lt;MAX(E$68:E69), NOT(ISBLANK(E69)), NOT(E69=0))</formula>
    </cfRule>
  </conditionalFormatting>
  <conditionalFormatting sqref="E68:P75">
    <cfRule type="cellIs" dxfId="196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195" priority="10">
      <formula>($D68&lt;=$S$1)</formula>
    </cfRule>
    <cfRule type="expression" dxfId="194" priority="12">
      <formula>($D68&gt;$S$1)</formula>
    </cfRule>
  </conditionalFormatting>
  <conditionalFormatting sqref="Q50:Q59 Q68:Q72 Q78:Q80">
    <cfRule type="cellIs" dxfId="191" priority="6" operator="lessThan">
      <formula>0</formula>
    </cfRule>
    <cfRule type="cellIs" dxfId="192" priority="7" operator="equal">
      <formula>0</formula>
    </cfRule>
    <cfRule type="expression" dxfId="193" priority="8">
      <formula>OR(MOD($Q50,100)=0,AND($D50=$S$1,MOD($Q50,100)=$R$2))</formula>
    </cfRule>
  </conditionalFormatting>
  <conditionalFormatting sqref="E79:N80">
    <cfRule type="expression" dxfId="190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187" priority="1" operator="notBetween">
      <formula>0</formula>
      <formula>$B$7</formula>
    </cfRule>
    <cfRule type="expression" dxfId="189" priority="4">
      <formula>($D78&lt;=$S$1)</formula>
    </cfRule>
    <cfRule type="expression" dxfId="188" priority="5">
      <formula>($D78&gt;$S$1)</formula>
    </cfRule>
  </conditionalFormatting>
  <conditionalFormatting sqref="D3:P12">
    <cfRule type="expression" dxfId="186" priority="31">
      <formula>($D3&gt;$S$1)</formula>
    </cfRule>
  </conditionalFormatting>
  <dataValidations count="2">
    <dataValidation type="list" allowBlank="1" showInputMessage="1" showErrorMessage="1" sqref="D68:D72 D78:D82 D50:D59" xr:uid="{CE4CBF70-0EA0-43A3-AC08-AB7AC60528F4}">
      <formula1>$D$3:$D$12</formula1>
    </dataValidation>
    <dataValidation type="list" allowBlank="1" showInputMessage="1" showErrorMessage="1" sqref="C50:C59" xr:uid="{1D46C8CD-9489-47B6-8F86-F93554E585F5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74295-0382-4A40-BD37-69A0B0A6BD32}">
  <sheetPr codeName="Feuil36">
    <tabColor rgb="FFB4A7D6"/>
  </sheetPr>
  <dimension ref="A1:AA82"/>
  <sheetViews>
    <sheetView zoomScale="90" zoomScaleNormal="90" workbookViewId="0">
      <pane xSplit="2" topLeftCell="C1" activePane="topRight" state="frozen"/>
      <selection pane="topRight" activeCell="T14" sqref="T14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7" t="s">
        <v>88</v>
      </c>
      <c r="E1" s="449" t="str">
        <f>Synthèse!M2</f>
        <v>Candidat 1</v>
      </c>
      <c r="F1" s="434" t="str">
        <f>Synthèse!N2</f>
        <v>Candidat 2 qui a un nom super long</v>
      </c>
      <c r="G1" s="434" t="str">
        <f>Synthèse!O2</f>
        <v>Candidat 3</v>
      </c>
      <c r="H1" s="434" t="str">
        <f>Synthèse!P2</f>
        <v>Candidat 4</v>
      </c>
      <c r="I1" s="434" t="str">
        <f>Synthèse!Q2</f>
        <v>Candidat 5</v>
      </c>
      <c r="J1" s="434" t="str">
        <f>Synthèse!R2</f>
        <v>Candidat 6</v>
      </c>
      <c r="K1" s="434" t="str">
        <f>Synthèse!S2</f>
        <v>Candidat 7</v>
      </c>
      <c r="L1" s="434" t="str">
        <f>Synthèse!T2</f>
        <v>Candidat 8</v>
      </c>
      <c r="M1" s="434" t="str">
        <f>Synthèse!U2</f>
        <v>Candidat 9</v>
      </c>
      <c r="N1" s="443" t="str">
        <f>Synthèse!V2</f>
        <v>Candidat 10</v>
      </c>
      <c r="O1" s="445" t="s">
        <v>3</v>
      </c>
      <c r="P1" s="430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8"/>
      <c r="E2" s="450"/>
      <c r="F2" s="435"/>
      <c r="G2" s="435"/>
      <c r="H2" s="435"/>
      <c r="I2" s="435"/>
      <c r="J2" s="435"/>
      <c r="K2" s="435"/>
      <c r="L2" s="435"/>
      <c r="M2" s="435"/>
      <c r="N2" s="444"/>
      <c r="O2" s="446"/>
      <c r="P2" s="431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32" t="s">
        <v>62</v>
      </c>
      <c r="AA2" s="432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33"/>
      <c r="AA3" s="433"/>
    </row>
    <row r="4" spans="1:27" ht="20.100000000000001" customHeight="1" x14ac:dyDescent="0.2">
      <c r="A4" s="167" t="s">
        <v>25</v>
      </c>
      <c r="B4" s="252">
        <v>7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31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692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692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36" t="s">
        <v>63</v>
      </c>
      <c r="B10" s="436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7"/>
      <c r="B11" s="437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8" t="s">
        <v>64</v>
      </c>
      <c r="B12" s="438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8"/>
      <c r="B13" s="438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8"/>
      <c r="B14" s="438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9" t="s">
        <v>71</v>
      </c>
      <c r="B15" s="439"/>
      <c r="C15" s="1"/>
      <c r="D15" s="1"/>
      <c r="E15" s="440" t="s">
        <v>69</v>
      </c>
      <c r="F15" s="441"/>
      <c r="G15" s="441"/>
      <c r="H15" s="441"/>
      <c r="I15" s="441"/>
      <c r="J15" s="441"/>
      <c r="K15" s="441"/>
      <c r="L15" s="441"/>
      <c r="M15" s="441"/>
      <c r="N15" s="441"/>
      <c r="O15" s="441"/>
      <c r="P15" s="442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9"/>
      <c r="B16" s="439"/>
    </row>
    <row r="17" spans="1:8" ht="18" customHeight="1" x14ac:dyDescent="0.25">
      <c r="A17" s="439"/>
      <c r="B17" s="439"/>
      <c r="E17" s="336"/>
    </row>
    <row r="18" spans="1:8" ht="26.25" customHeight="1" x14ac:dyDescent="0.2">
      <c r="A18" s="439"/>
      <c r="B18" s="439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27" t="s">
        <v>83</v>
      </c>
      <c r="F48" s="428"/>
      <c r="G48" s="428"/>
      <c r="H48" s="428"/>
      <c r="I48" s="428"/>
      <c r="J48" s="428"/>
      <c r="K48" s="428"/>
      <c r="L48" s="428"/>
      <c r="M48" s="428"/>
      <c r="N48" s="428"/>
      <c r="O48" s="428"/>
      <c r="P48" s="429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27" t="s">
        <v>83</v>
      </c>
      <c r="F66" s="428"/>
      <c r="G66" s="428"/>
      <c r="H66" s="428"/>
      <c r="I66" s="428"/>
      <c r="J66" s="428"/>
      <c r="K66" s="428"/>
      <c r="L66" s="428"/>
      <c r="M66" s="428"/>
      <c r="N66" s="428"/>
      <c r="O66" s="428"/>
      <c r="P66" s="429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27" t="s">
        <v>83</v>
      </c>
      <c r="F76" s="428"/>
      <c r="G76" s="428"/>
      <c r="H76" s="428"/>
      <c r="I76" s="428"/>
      <c r="J76" s="428"/>
      <c r="K76" s="428"/>
      <c r="L76" s="428"/>
      <c r="M76" s="428"/>
      <c r="N76" s="428"/>
      <c r="O76" s="428"/>
      <c r="P76" s="429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imr3StiJrZXQ1AHMe9ARTdWOXIh74TlQVAloHIpigOJ47oZ7SprR4D/rZgCl2Z5bls195zbTwyGgi1YvvXuGWg==" saltValue="VxZ6Pee1wn9CIgL6e6EE6w==" spinCount="100000" sheet="1" objects="1" scenarios="1"/>
  <mergeCells count="22">
    <mergeCell ref="E48:P48"/>
    <mergeCell ref="E66:P66"/>
    <mergeCell ref="E76:P76"/>
    <mergeCell ref="P1:P2"/>
    <mergeCell ref="Z2:Z3"/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I1:I2"/>
  </mergeCells>
  <conditionalFormatting sqref="B8">
    <cfRule type="cellIs" dxfId="185" priority="19" operator="notEqual">
      <formula>$B$7</formula>
    </cfRule>
  </conditionalFormatting>
  <conditionalFormatting sqref="E3:P12">
    <cfRule type="expression" dxfId="184" priority="30">
      <formula>($D3&lt;=$S$1)</formula>
    </cfRule>
  </conditionalFormatting>
  <conditionalFormatting sqref="E3:Q12">
    <cfRule type="cellIs" dxfId="183" priority="18" operator="notBetween">
      <formula>0</formula>
      <formula>100</formula>
    </cfRule>
  </conditionalFormatting>
  <conditionalFormatting sqref="E3:Q14">
    <cfRule type="cellIs" dxfId="182" priority="21" operator="lessThan">
      <formula>0</formula>
    </cfRule>
  </conditionalFormatting>
  <conditionalFormatting sqref="E14:Q14">
    <cfRule type="cellIs" dxfId="181" priority="27" operator="greaterThan">
      <formula>1</formula>
    </cfRule>
  </conditionalFormatting>
  <conditionalFormatting sqref="Q3:Q12">
    <cfRule type="expression" dxfId="179" priority="22">
      <formula>AND($D3=$S$1, Q3=$R$2)</formula>
    </cfRule>
    <cfRule type="expression" dxfId="180" priority="23">
      <formula>AND($D3=$S$1, MOD(Q3,100)&gt;$R$2)</formula>
    </cfRule>
    <cfRule type="cellIs" dxfId="178" priority="24" operator="equal">
      <formula>100</formula>
    </cfRule>
  </conditionalFormatting>
  <conditionalFormatting sqref="Q3:Q13">
    <cfRule type="cellIs" dxfId="177" priority="25" operator="equal">
      <formula>0</formula>
    </cfRule>
  </conditionalFormatting>
  <conditionalFormatting sqref="Q13">
    <cfRule type="cellIs" dxfId="176" priority="29" operator="equal">
      <formula>$B$7</formula>
    </cfRule>
  </conditionalFormatting>
  <conditionalFormatting sqref="Q14">
    <cfRule type="cellIs" dxfId="175" priority="26" operator="equal">
      <formula>1</formula>
    </cfRule>
    <cfRule type="cellIs" dxfId="174" priority="28" operator="lessThan">
      <formula>1</formula>
    </cfRule>
  </conditionalFormatting>
  <conditionalFormatting sqref="W4:W15">
    <cfRule type="expression" dxfId="173" priority="32">
      <formula>AND($W4&lt;$W3, NOT(ISBLANK($W4)))</formula>
    </cfRule>
    <cfRule type="cellIs" dxfId="172" priority="33" operator="greaterThan">
      <formula>$B$6</formula>
    </cfRule>
  </conditionalFormatting>
  <conditionalFormatting sqref="X4:X15">
    <cfRule type="cellIs" dxfId="171" priority="20" operator="greaterThan">
      <formula>1</formula>
    </cfRule>
  </conditionalFormatting>
  <conditionalFormatting sqref="E51:N59">
    <cfRule type="expression" dxfId="170" priority="15">
      <formula>AND(E51&lt;MAX(E$50:E51), NOT(ISBLANK(E51)), NOT(E51=0))</formula>
    </cfRule>
  </conditionalFormatting>
  <conditionalFormatting sqref="E50:P59">
    <cfRule type="cellIs" dxfId="169" priority="14" operator="notBetween">
      <formula>0</formula>
      <formula>$B$7</formula>
    </cfRule>
    <cfRule type="expression" dxfId="168" priority="16">
      <formula>($D50&lt;=$S$1)</formula>
    </cfRule>
    <cfRule type="expression" dxfId="167" priority="17">
      <formula>($D50&gt;$S$1)</formula>
    </cfRule>
  </conditionalFormatting>
  <conditionalFormatting sqref="E69:N75">
    <cfRule type="expression" dxfId="166" priority="13">
      <formula>AND(E69&lt;MAX(E$68:E69), NOT(ISBLANK(E69)), NOT(E69=0))</formula>
    </cfRule>
  </conditionalFormatting>
  <conditionalFormatting sqref="E68:P75">
    <cfRule type="cellIs" dxfId="165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164" priority="10">
      <formula>($D68&lt;=$S$1)</formula>
    </cfRule>
    <cfRule type="expression" dxfId="163" priority="12">
      <formula>($D68&gt;$S$1)</formula>
    </cfRule>
  </conditionalFormatting>
  <conditionalFormatting sqref="Q50:Q59 Q68:Q72 Q78:Q80">
    <cfRule type="cellIs" dxfId="160" priority="6" operator="lessThan">
      <formula>0</formula>
    </cfRule>
    <cfRule type="cellIs" dxfId="161" priority="7" operator="equal">
      <formula>0</formula>
    </cfRule>
    <cfRule type="expression" dxfId="162" priority="8">
      <formula>OR(MOD($Q50,100)=0,AND($D50=$S$1,MOD($Q50,100)=$R$2))</formula>
    </cfRule>
  </conditionalFormatting>
  <conditionalFormatting sqref="E79:N80">
    <cfRule type="expression" dxfId="159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156" priority="1" operator="notBetween">
      <formula>0</formula>
      <formula>$B$7</formula>
    </cfRule>
    <cfRule type="expression" dxfId="158" priority="4">
      <formula>($D78&lt;=$S$1)</formula>
    </cfRule>
    <cfRule type="expression" dxfId="157" priority="5">
      <formula>($D78&gt;$S$1)</formula>
    </cfRule>
  </conditionalFormatting>
  <conditionalFormatting sqref="D3:P12">
    <cfRule type="expression" dxfId="155" priority="31">
      <formula>($D3&gt;$S$1)</formula>
    </cfRule>
  </conditionalFormatting>
  <dataValidations count="2">
    <dataValidation type="list" allowBlank="1" showInputMessage="1" showErrorMessage="1" sqref="D68:D72 D78:D82 D50:D59" xr:uid="{4A389291-51C3-4AA7-9865-797B2917D36B}">
      <formula1>$D$3:$D$12</formula1>
    </dataValidation>
    <dataValidation type="list" allowBlank="1" showInputMessage="1" showErrorMessage="1" sqref="C50:C59" xr:uid="{757C074C-E96F-4C31-A92C-B7CF91D22EC7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CC281-C857-40C6-9F66-67060D641EB6}">
  <sheetPr codeName="Feuil37">
    <tabColor rgb="FFB4A7D6"/>
  </sheetPr>
  <dimension ref="A1:AA82"/>
  <sheetViews>
    <sheetView zoomScale="90" zoomScaleNormal="90" workbookViewId="0">
      <pane xSplit="2" topLeftCell="C1" activePane="topRight" state="frozen"/>
      <selection pane="topRight" activeCell="T14" sqref="T14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7" t="s">
        <v>88</v>
      </c>
      <c r="E1" s="449" t="str">
        <f>Synthèse!M2</f>
        <v>Candidat 1</v>
      </c>
      <c r="F1" s="434" t="str">
        <f>Synthèse!N2</f>
        <v>Candidat 2 qui a un nom super long</v>
      </c>
      <c r="G1" s="434" t="str">
        <f>Synthèse!O2</f>
        <v>Candidat 3</v>
      </c>
      <c r="H1" s="434" t="str">
        <f>Synthèse!P2</f>
        <v>Candidat 4</v>
      </c>
      <c r="I1" s="434" t="str">
        <f>Synthèse!Q2</f>
        <v>Candidat 5</v>
      </c>
      <c r="J1" s="434" t="str">
        <f>Synthèse!R2</f>
        <v>Candidat 6</v>
      </c>
      <c r="K1" s="434" t="str">
        <f>Synthèse!S2</f>
        <v>Candidat 7</v>
      </c>
      <c r="L1" s="434" t="str">
        <f>Synthèse!T2</f>
        <v>Candidat 8</v>
      </c>
      <c r="M1" s="434" t="str">
        <f>Synthèse!U2</f>
        <v>Candidat 9</v>
      </c>
      <c r="N1" s="443" t="str">
        <f>Synthèse!V2</f>
        <v>Candidat 10</v>
      </c>
      <c r="O1" s="445" t="s">
        <v>3</v>
      </c>
      <c r="P1" s="430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8"/>
      <c r="E2" s="450"/>
      <c r="F2" s="435"/>
      <c r="G2" s="435"/>
      <c r="H2" s="435"/>
      <c r="I2" s="435"/>
      <c r="J2" s="435"/>
      <c r="K2" s="435"/>
      <c r="L2" s="435"/>
      <c r="M2" s="435"/>
      <c r="N2" s="444"/>
      <c r="O2" s="446"/>
      <c r="P2" s="431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32" t="s">
        <v>62</v>
      </c>
      <c r="AA2" s="432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33"/>
      <c r="AA3" s="433"/>
    </row>
    <row r="4" spans="1:27" ht="20.100000000000001" customHeight="1" x14ac:dyDescent="0.2">
      <c r="A4" s="167" t="s">
        <v>25</v>
      </c>
      <c r="B4" s="252">
        <v>8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31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620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620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36" t="s">
        <v>63</v>
      </c>
      <c r="B10" s="436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7"/>
      <c r="B11" s="437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8" t="s">
        <v>64</v>
      </c>
      <c r="B12" s="438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8"/>
      <c r="B13" s="438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8"/>
      <c r="B14" s="438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9" t="s">
        <v>71</v>
      </c>
      <c r="B15" s="439"/>
      <c r="C15" s="1"/>
      <c r="D15" s="1"/>
      <c r="E15" s="440" t="s">
        <v>69</v>
      </c>
      <c r="F15" s="441"/>
      <c r="G15" s="441"/>
      <c r="H15" s="441"/>
      <c r="I15" s="441"/>
      <c r="J15" s="441"/>
      <c r="K15" s="441"/>
      <c r="L15" s="441"/>
      <c r="M15" s="441"/>
      <c r="N15" s="441"/>
      <c r="O15" s="441"/>
      <c r="P15" s="442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9"/>
      <c r="B16" s="439"/>
    </row>
    <row r="17" spans="1:8" ht="18" customHeight="1" x14ac:dyDescent="0.25">
      <c r="A17" s="439"/>
      <c r="B17" s="439"/>
      <c r="E17" s="336"/>
    </row>
    <row r="18" spans="1:8" ht="26.25" customHeight="1" x14ac:dyDescent="0.2">
      <c r="A18" s="439"/>
      <c r="B18" s="439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27" t="s">
        <v>83</v>
      </c>
      <c r="F48" s="428"/>
      <c r="G48" s="428"/>
      <c r="H48" s="428"/>
      <c r="I48" s="428"/>
      <c r="J48" s="428"/>
      <c r="K48" s="428"/>
      <c r="L48" s="428"/>
      <c r="M48" s="428"/>
      <c r="N48" s="428"/>
      <c r="O48" s="428"/>
      <c r="P48" s="429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27" t="s">
        <v>83</v>
      </c>
      <c r="F66" s="428"/>
      <c r="G66" s="428"/>
      <c r="H66" s="428"/>
      <c r="I66" s="428"/>
      <c r="J66" s="428"/>
      <c r="K66" s="428"/>
      <c r="L66" s="428"/>
      <c r="M66" s="428"/>
      <c r="N66" s="428"/>
      <c r="O66" s="428"/>
      <c r="P66" s="429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27" t="s">
        <v>83</v>
      </c>
      <c r="F76" s="428"/>
      <c r="G76" s="428"/>
      <c r="H76" s="428"/>
      <c r="I76" s="428"/>
      <c r="J76" s="428"/>
      <c r="K76" s="428"/>
      <c r="L76" s="428"/>
      <c r="M76" s="428"/>
      <c r="N76" s="428"/>
      <c r="O76" s="428"/>
      <c r="P76" s="429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i8mm1R9PJ+577Nsb/OGuJqSNw2m3Xy7l1YVO7VNDGahfp4MkhQR3klzRwc5nQ+BsKAXzjWFai2mOaxQeJ7bGoQ==" saltValue="wdjCevzItKXVVq/v4bLH5A==" spinCount="100000" sheet="1" objects="1" scenarios="1"/>
  <mergeCells count="22">
    <mergeCell ref="E48:P48"/>
    <mergeCell ref="E66:P66"/>
    <mergeCell ref="E76:P76"/>
    <mergeCell ref="P1:P2"/>
    <mergeCell ref="Z2:Z3"/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I1:I2"/>
  </mergeCells>
  <conditionalFormatting sqref="B8">
    <cfRule type="cellIs" dxfId="154" priority="19" operator="notEqual">
      <formula>$B$7</formula>
    </cfRule>
  </conditionalFormatting>
  <conditionalFormatting sqref="E3:P12">
    <cfRule type="expression" dxfId="153" priority="30">
      <formula>($D3&lt;=$S$1)</formula>
    </cfRule>
  </conditionalFormatting>
  <conditionalFormatting sqref="E3:Q12">
    <cfRule type="cellIs" dxfId="152" priority="18" operator="notBetween">
      <formula>0</formula>
      <formula>100</formula>
    </cfRule>
  </conditionalFormatting>
  <conditionalFormatting sqref="E3:Q14">
    <cfRule type="cellIs" dxfId="151" priority="21" operator="lessThan">
      <formula>0</formula>
    </cfRule>
  </conditionalFormatting>
  <conditionalFormatting sqref="E14:Q14">
    <cfRule type="cellIs" dxfId="150" priority="27" operator="greaterThan">
      <formula>1</formula>
    </cfRule>
  </conditionalFormatting>
  <conditionalFormatting sqref="Q3:Q12">
    <cfRule type="expression" dxfId="148" priority="22">
      <formula>AND($D3=$S$1, Q3=$R$2)</formula>
    </cfRule>
    <cfRule type="expression" dxfId="149" priority="23">
      <formula>AND($D3=$S$1, MOD(Q3,100)&gt;$R$2)</formula>
    </cfRule>
    <cfRule type="cellIs" dxfId="147" priority="24" operator="equal">
      <formula>100</formula>
    </cfRule>
  </conditionalFormatting>
  <conditionalFormatting sqref="Q3:Q13">
    <cfRule type="cellIs" dxfId="146" priority="25" operator="equal">
      <formula>0</formula>
    </cfRule>
  </conditionalFormatting>
  <conditionalFormatting sqref="Q13">
    <cfRule type="cellIs" dxfId="145" priority="29" operator="equal">
      <formula>$B$7</formula>
    </cfRule>
  </conditionalFormatting>
  <conditionalFormatting sqref="Q14">
    <cfRule type="cellIs" dxfId="144" priority="26" operator="equal">
      <formula>1</formula>
    </cfRule>
    <cfRule type="cellIs" dxfId="143" priority="28" operator="lessThan">
      <formula>1</formula>
    </cfRule>
  </conditionalFormatting>
  <conditionalFormatting sqref="W4:W15">
    <cfRule type="expression" dxfId="142" priority="32">
      <formula>AND($W4&lt;$W3, NOT(ISBLANK($W4)))</formula>
    </cfRule>
    <cfRule type="cellIs" dxfId="141" priority="33" operator="greaterThan">
      <formula>$B$6</formula>
    </cfRule>
  </conditionalFormatting>
  <conditionalFormatting sqref="X4:X15">
    <cfRule type="cellIs" dxfId="140" priority="20" operator="greaterThan">
      <formula>1</formula>
    </cfRule>
  </conditionalFormatting>
  <conditionalFormatting sqref="E51:N59">
    <cfRule type="expression" dxfId="139" priority="15">
      <formula>AND(E51&lt;MAX(E$50:E51), NOT(ISBLANK(E51)), NOT(E51=0))</formula>
    </cfRule>
  </conditionalFormatting>
  <conditionalFormatting sqref="E50:P59">
    <cfRule type="cellIs" dxfId="138" priority="14" operator="notBetween">
      <formula>0</formula>
      <formula>$B$7</formula>
    </cfRule>
    <cfRule type="expression" dxfId="137" priority="16">
      <formula>($D50&lt;=$S$1)</formula>
    </cfRule>
    <cfRule type="expression" dxfId="136" priority="17">
      <formula>($D50&gt;$S$1)</formula>
    </cfRule>
  </conditionalFormatting>
  <conditionalFormatting sqref="E69:N75">
    <cfRule type="expression" dxfId="135" priority="13">
      <formula>AND(E69&lt;MAX(E$68:E69), NOT(ISBLANK(E69)), NOT(E69=0))</formula>
    </cfRule>
  </conditionalFormatting>
  <conditionalFormatting sqref="E68:P75">
    <cfRule type="cellIs" dxfId="134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133" priority="10">
      <formula>($D68&lt;=$S$1)</formula>
    </cfRule>
    <cfRule type="expression" dxfId="132" priority="12">
      <formula>($D68&gt;$S$1)</formula>
    </cfRule>
  </conditionalFormatting>
  <conditionalFormatting sqref="Q50:Q59 Q68:Q72 Q78:Q80">
    <cfRule type="cellIs" dxfId="129" priority="6" operator="lessThan">
      <formula>0</formula>
    </cfRule>
    <cfRule type="cellIs" dxfId="130" priority="7" operator="equal">
      <formula>0</formula>
    </cfRule>
    <cfRule type="expression" dxfId="131" priority="8">
      <formula>OR(MOD($Q50,100)=0,AND($D50=$S$1,MOD($Q50,100)=$R$2))</formula>
    </cfRule>
  </conditionalFormatting>
  <conditionalFormatting sqref="E79:N80">
    <cfRule type="expression" dxfId="128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125" priority="1" operator="notBetween">
      <formula>0</formula>
      <formula>$B$7</formula>
    </cfRule>
    <cfRule type="expression" dxfId="127" priority="4">
      <formula>($D78&lt;=$S$1)</formula>
    </cfRule>
    <cfRule type="expression" dxfId="126" priority="5">
      <formula>($D78&gt;$S$1)</formula>
    </cfRule>
  </conditionalFormatting>
  <conditionalFormatting sqref="D3:P12">
    <cfRule type="expression" dxfId="124" priority="31">
      <formula>($D3&gt;$S$1)</formula>
    </cfRule>
  </conditionalFormatting>
  <dataValidations count="2">
    <dataValidation type="list" allowBlank="1" showInputMessage="1" showErrorMessage="1" sqref="D68:D72 D78:D82 D50:D59" xr:uid="{1EE2B5AC-7DC1-4BA5-A50A-1DE6132FEA80}">
      <formula1>$D$3:$D$12</formula1>
    </dataValidation>
    <dataValidation type="list" allowBlank="1" showInputMessage="1" showErrorMessage="1" sqref="C50:C59" xr:uid="{D77CFAD2-6D45-4753-9858-86A50D700E43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8055D-50D4-4DE6-A68A-451120F9E30E}">
  <sheetPr codeName="Feuil38">
    <tabColor rgb="FFB4A7D6"/>
  </sheetPr>
  <dimension ref="A1:AA82"/>
  <sheetViews>
    <sheetView zoomScale="90" zoomScaleNormal="90" workbookViewId="0">
      <pane xSplit="2" topLeftCell="C1" activePane="topRight" state="frozen"/>
      <selection pane="topRight" activeCell="T14" sqref="T14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7" t="s">
        <v>88</v>
      </c>
      <c r="E1" s="449" t="str">
        <f>Synthèse!M2</f>
        <v>Candidat 1</v>
      </c>
      <c r="F1" s="434" t="str">
        <f>Synthèse!N2</f>
        <v>Candidat 2 qui a un nom super long</v>
      </c>
      <c r="G1" s="434" t="str">
        <f>Synthèse!O2</f>
        <v>Candidat 3</v>
      </c>
      <c r="H1" s="434" t="str">
        <f>Synthèse!P2</f>
        <v>Candidat 4</v>
      </c>
      <c r="I1" s="434" t="str">
        <f>Synthèse!Q2</f>
        <v>Candidat 5</v>
      </c>
      <c r="J1" s="434" t="str">
        <f>Synthèse!R2</f>
        <v>Candidat 6</v>
      </c>
      <c r="K1" s="434" t="str">
        <f>Synthèse!S2</f>
        <v>Candidat 7</v>
      </c>
      <c r="L1" s="434" t="str">
        <f>Synthèse!T2</f>
        <v>Candidat 8</v>
      </c>
      <c r="M1" s="434" t="str">
        <f>Synthèse!U2</f>
        <v>Candidat 9</v>
      </c>
      <c r="N1" s="443" t="str">
        <f>Synthèse!V2</f>
        <v>Candidat 10</v>
      </c>
      <c r="O1" s="445" t="s">
        <v>3</v>
      </c>
      <c r="P1" s="430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8"/>
      <c r="E2" s="450"/>
      <c r="F2" s="435"/>
      <c r="G2" s="435"/>
      <c r="H2" s="435"/>
      <c r="I2" s="435"/>
      <c r="J2" s="435"/>
      <c r="K2" s="435"/>
      <c r="L2" s="435"/>
      <c r="M2" s="435"/>
      <c r="N2" s="444"/>
      <c r="O2" s="446"/>
      <c r="P2" s="431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32" t="s">
        <v>62</v>
      </c>
      <c r="AA2" s="432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33"/>
      <c r="AA3" s="433"/>
    </row>
    <row r="4" spans="1:27" ht="20.100000000000001" customHeight="1" x14ac:dyDescent="0.2">
      <c r="A4" s="167" t="s">
        <v>25</v>
      </c>
      <c r="B4" s="252">
        <v>9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32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671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671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36" t="s">
        <v>63</v>
      </c>
      <c r="B10" s="436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7"/>
      <c r="B11" s="437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8" t="s">
        <v>64</v>
      </c>
      <c r="B12" s="438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8"/>
      <c r="B13" s="438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8"/>
      <c r="B14" s="438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9" t="s">
        <v>71</v>
      </c>
      <c r="B15" s="439"/>
      <c r="C15" s="1"/>
      <c r="D15" s="1"/>
      <c r="E15" s="440" t="s">
        <v>69</v>
      </c>
      <c r="F15" s="441"/>
      <c r="G15" s="441"/>
      <c r="H15" s="441"/>
      <c r="I15" s="441"/>
      <c r="J15" s="441"/>
      <c r="K15" s="441"/>
      <c r="L15" s="441"/>
      <c r="M15" s="441"/>
      <c r="N15" s="441"/>
      <c r="O15" s="441"/>
      <c r="P15" s="442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9"/>
      <c r="B16" s="439"/>
    </row>
    <row r="17" spans="1:8" ht="18" customHeight="1" x14ac:dyDescent="0.25">
      <c r="A17" s="439"/>
      <c r="B17" s="439"/>
      <c r="E17" s="336"/>
    </row>
    <row r="18" spans="1:8" ht="26.25" customHeight="1" x14ac:dyDescent="0.2">
      <c r="A18" s="439"/>
      <c r="B18" s="439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27" t="s">
        <v>83</v>
      </c>
      <c r="F48" s="428"/>
      <c r="G48" s="428"/>
      <c r="H48" s="428"/>
      <c r="I48" s="428"/>
      <c r="J48" s="428"/>
      <c r="K48" s="428"/>
      <c r="L48" s="428"/>
      <c r="M48" s="428"/>
      <c r="N48" s="428"/>
      <c r="O48" s="428"/>
      <c r="P48" s="429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27" t="s">
        <v>83</v>
      </c>
      <c r="F66" s="428"/>
      <c r="G66" s="428"/>
      <c r="H66" s="428"/>
      <c r="I66" s="428"/>
      <c r="J66" s="428"/>
      <c r="K66" s="428"/>
      <c r="L66" s="428"/>
      <c r="M66" s="428"/>
      <c r="N66" s="428"/>
      <c r="O66" s="428"/>
      <c r="P66" s="429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27" t="s">
        <v>83</v>
      </c>
      <c r="F76" s="428"/>
      <c r="G76" s="428"/>
      <c r="H76" s="428"/>
      <c r="I76" s="428"/>
      <c r="J76" s="428"/>
      <c r="K76" s="428"/>
      <c r="L76" s="428"/>
      <c r="M76" s="428"/>
      <c r="N76" s="428"/>
      <c r="O76" s="428"/>
      <c r="P76" s="429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JKdIJS5LFsLMvxFaR7CLIeiSetFf0SWH+wqkinoKATwu2V2mFDNT2WfPIyGyWcq4Q+SinggCJR1+tTfGH0/cMA==" saltValue="qa4Ag7e9vtMtDyWgcGgEhg==" spinCount="100000" sheet="1" objects="1" scenarios="1"/>
  <mergeCells count="22">
    <mergeCell ref="E48:P48"/>
    <mergeCell ref="E66:P66"/>
    <mergeCell ref="E76:P76"/>
    <mergeCell ref="P1:P2"/>
    <mergeCell ref="Z2:Z3"/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I1:I2"/>
  </mergeCells>
  <conditionalFormatting sqref="B8">
    <cfRule type="cellIs" dxfId="123" priority="19" operator="notEqual">
      <formula>$B$7</formula>
    </cfRule>
  </conditionalFormatting>
  <conditionalFormatting sqref="E3:P12">
    <cfRule type="expression" dxfId="122" priority="30">
      <formula>($D3&lt;=$S$1)</formula>
    </cfRule>
  </conditionalFormatting>
  <conditionalFormatting sqref="E3:Q12">
    <cfRule type="cellIs" dxfId="121" priority="18" operator="notBetween">
      <formula>0</formula>
      <formula>100</formula>
    </cfRule>
  </conditionalFormatting>
  <conditionalFormatting sqref="E3:Q14">
    <cfRule type="cellIs" dxfId="120" priority="21" operator="lessThan">
      <formula>0</formula>
    </cfRule>
  </conditionalFormatting>
  <conditionalFormatting sqref="E14:Q14">
    <cfRule type="cellIs" dxfId="119" priority="27" operator="greaterThan">
      <formula>1</formula>
    </cfRule>
  </conditionalFormatting>
  <conditionalFormatting sqref="Q3:Q12">
    <cfRule type="expression" dxfId="117" priority="22">
      <formula>AND($D3=$S$1, Q3=$R$2)</formula>
    </cfRule>
    <cfRule type="expression" dxfId="118" priority="23">
      <formula>AND($D3=$S$1, MOD(Q3,100)&gt;$R$2)</formula>
    </cfRule>
    <cfRule type="cellIs" dxfId="116" priority="24" operator="equal">
      <formula>100</formula>
    </cfRule>
  </conditionalFormatting>
  <conditionalFormatting sqref="Q3:Q13">
    <cfRule type="cellIs" dxfId="115" priority="25" operator="equal">
      <formula>0</formula>
    </cfRule>
  </conditionalFormatting>
  <conditionalFormatting sqref="Q13">
    <cfRule type="cellIs" dxfId="114" priority="29" operator="equal">
      <formula>$B$7</formula>
    </cfRule>
  </conditionalFormatting>
  <conditionalFormatting sqref="Q14">
    <cfRule type="cellIs" dxfId="113" priority="26" operator="equal">
      <formula>1</formula>
    </cfRule>
    <cfRule type="cellIs" dxfId="112" priority="28" operator="lessThan">
      <formula>1</formula>
    </cfRule>
  </conditionalFormatting>
  <conditionalFormatting sqref="W4:W15">
    <cfRule type="expression" dxfId="111" priority="32">
      <formula>AND($W4&lt;$W3, NOT(ISBLANK($W4)))</formula>
    </cfRule>
    <cfRule type="cellIs" dxfId="110" priority="33" operator="greaterThan">
      <formula>$B$6</formula>
    </cfRule>
  </conditionalFormatting>
  <conditionalFormatting sqref="X4:X15">
    <cfRule type="cellIs" dxfId="109" priority="20" operator="greaterThan">
      <formula>1</formula>
    </cfRule>
  </conditionalFormatting>
  <conditionalFormatting sqref="E51:N59">
    <cfRule type="expression" dxfId="108" priority="15">
      <formula>AND(E51&lt;MAX(E$50:E51), NOT(ISBLANK(E51)), NOT(E51=0))</formula>
    </cfRule>
  </conditionalFormatting>
  <conditionalFormatting sqref="E50:P59">
    <cfRule type="cellIs" dxfId="107" priority="14" operator="notBetween">
      <formula>0</formula>
      <formula>$B$7</formula>
    </cfRule>
    <cfRule type="expression" dxfId="106" priority="16">
      <formula>($D50&lt;=$S$1)</formula>
    </cfRule>
    <cfRule type="expression" dxfId="105" priority="17">
      <formula>($D50&gt;$S$1)</formula>
    </cfRule>
  </conditionalFormatting>
  <conditionalFormatting sqref="E69:N75">
    <cfRule type="expression" dxfId="104" priority="13">
      <formula>AND(E69&lt;MAX(E$68:E69), NOT(ISBLANK(E69)), NOT(E69=0))</formula>
    </cfRule>
  </conditionalFormatting>
  <conditionalFormatting sqref="E68:P75">
    <cfRule type="cellIs" dxfId="103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102" priority="10">
      <formula>($D68&lt;=$S$1)</formula>
    </cfRule>
    <cfRule type="expression" dxfId="101" priority="12">
      <formula>($D68&gt;$S$1)</formula>
    </cfRule>
  </conditionalFormatting>
  <conditionalFormatting sqref="Q50:Q59 Q68:Q72 Q78:Q80">
    <cfRule type="cellIs" dxfId="98" priority="6" operator="lessThan">
      <formula>0</formula>
    </cfRule>
    <cfRule type="cellIs" dxfId="99" priority="7" operator="equal">
      <formula>0</formula>
    </cfRule>
    <cfRule type="expression" dxfId="100" priority="8">
      <formula>OR(MOD($Q50,100)=0,AND($D50=$S$1,MOD($Q50,100)=$R$2))</formula>
    </cfRule>
  </conditionalFormatting>
  <conditionalFormatting sqref="E79:N80">
    <cfRule type="expression" dxfId="97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94" priority="1" operator="notBetween">
      <formula>0</formula>
      <formula>$B$7</formula>
    </cfRule>
    <cfRule type="expression" dxfId="96" priority="4">
      <formula>($D78&lt;=$S$1)</formula>
    </cfRule>
    <cfRule type="expression" dxfId="95" priority="5">
      <formula>($D78&gt;$S$1)</formula>
    </cfRule>
  </conditionalFormatting>
  <conditionalFormatting sqref="D3:P12">
    <cfRule type="expression" dxfId="93" priority="31">
      <formula>($D3&gt;$S$1)</formula>
    </cfRule>
  </conditionalFormatting>
  <dataValidations count="2">
    <dataValidation type="list" allowBlank="1" showInputMessage="1" showErrorMessage="1" sqref="D68:D72 D78:D82 D50:D59" xr:uid="{93D55292-651F-4047-BB90-313044ADAB79}">
      <formula1>$D$3:$D$12</formula1>
    </dataValidation>
    <dataValidation type="list" allowBlank="1" showInputMessage="1" showErrorMessage="1" sqref="C50:C59" xr:uid="{BFB9FB09-2DA9-40D3-8DF5-D21FB2F4F7EB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BE46F-361C-4C82-B67C-C345F0D87519}">
  <sheetPr codeName="Feuil39">
    <tabColor rgb="FFB4A7D6"/>
  </sheetPr>
  <dimension ref="A1:AA82"/>
  <sheetViews>
    <sheetView zoomScale="90" zoomScaleNormal="90" workbookViewId="0">
      <pane xSplit="2" topLeftCell="C1" activePane="topRight" state="frozen"/>
      <selection pane="topRight" activeCell="T14" sqref="T14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7" t="s">
        <v>88</v>
      </c>
      <c r="E1" s="449" t="str">
        <f>Synthèse!M2</f>
        <v>Candidat 1</v>
      </c>
      <c r="F1" s="434" t="str">
        <f>Synthèse!N2</f>
        <v>Candidat 2 qui a un nom super long</v>
      </c>
      <c r="G1" s="434" t="str">
        <f>Synthèse!O2</f>
        <v>Candidat 3</v>
      </c>
      <c r="H1" s="434" t="str">
        <f>Synthèse!P2</f>
        <v>Candidat 4</v>
      </c>
      <c r="I1" s="434" t="str">
        <f>Synthèse!Q2</f>
        <v>Candidat 5</v>
      </c>
      <c r="J1" s="434" t="str">
        <f>Synthèse!R2</f>
        <v>Candidat 6</v>
      </c>
      <c r="K1" s="434" t="str">
        <f>Synthèse!S2</f>
        <v>Candidat 7</v>
      </c>
      <c r="L1" s="434" t="str">
        <f>Synthèse!T2</f>
        <v>Candidat 8</v>
      </c>
      <c r="M1" s="434" t="str">
        <f>Synthèse!U2</f>
        <v>Candidat 9</v>
      </c>
      <c r="N1" s="443" t="str">
        <f>Synthèse!V2</f>
        <v>Candidat 10</v>
      </c>
      <c r="O1" s="445" t="s">
        <v>3</v>
      </c>
      <c r="P1" s="430" t="s">
        <v>4</v>
      </c>
      <c r="Q1" s="339" t="s">
        <v>8</v>
      </c>
      <c r="R1" s="374">
        <f>CEILING($B$6, 100)/100</f>
        <v>6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8"/>
      <c r="E2" s="450"/>
      <c r="F2" s="435"/>
      <c r="G2" s="435"/>
      <c r="H2" s="435"/>
      <c r="I2" s="435"/>
      <c r="J2" s="435"/>
      <c r="K2" s="435"/>
      <c r="L2" s="435"/>
      <c r="M2" s="435"/>
      <c r="N2" s="444"/>
      <c r="O2" s="446"/>
      <c r="P2" s="431"/>
      <c r="Q2" s="340" t="s">
        <v>27</v>
      </c>
      <c r="R2" s="374">
        <f>MOD($B$7,100)</f>
        <v>0</v>
      </c>
      <c r="S2" s="375">
        <f>CEILING($B$6/300,1)</f>
        <v>2</v>
      </c>
      <c r="V2" s="102" t="s">
        <v>23</v>
      </c>
      <c r="W2" s="70" t="s">
        <v>60</v>
      </c>
      <c r="X2" s="103" t="s">
        <v>34</v>
      </c>
      <c r="Z2" s="432" t="s">
        <v>62</v>
      </c>
      <c r="AA2" s="432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33"/>
      <c r="AA3" s="433"/>
    </row>
    <row r="4" spans="1:27" ht="20.100000000000001" customHeight="1" x14ac:dyDescent="0.2">
      <c r="A4" s="167" t="s">
        <v>25</v>
      </c>
      <c r="B4" s="252">
        <v>10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32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581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581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36" t="s">
        <v>63</v>
      </c>
      <c r="B10" s="436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7"/>
      <c r="B11" s="437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8" t="s">
        <v>64</v>
      </c>
      <c r="B12" s="438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8"/>
      <c r="B13" s="438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8"/>
      <c r="B14" s="438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9" t="s">
        <v>71</v>
      </c>
      <c r="B15" s="439"/>
      <c r="C15" s="1"/>
      <c r="D15" s="1"/>
      <c r="E15" s="440" t="s">
        <v>69</v>
      </c>
      <c r="F15" s="441"/>
      <c r="G15" s="441"/>
      <c r="H15" s="441"/>
      <c r="I15" s="441"/>
      <c r="J15" s="441"/>
      <c r="K15" s="441"/>
      <c r="L15" s="441"/>
      <c r="M15" s="441"/>
      <c r="N15" s="441"/>
      <c r="O15" s="441"/>
      <c r="P15" s="442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9"/>
      <c r="B16" s="439"/>
    </row>
    <row r="17" spans="1:8" ht="18" customHeight="1" x14ac:dyDescent="0.25">
      <c r="A17" s="439"/>
      <c r="B17" s="439"/>
      <c r="E17" s="336"/>
    </row>
    <row r="18" spans="1:8" ht="26.25" customHeight="1" x14ac:dyDescent="0.2">
      <c r="A18" s="439"/>
      <c r="B18" s="439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 t="str">
        <f t="shared" si="6"/>
        <v>Choisir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27" t="s">
        <v>83</v>
      </c>
      <c r="F48" s="428"/>
      <c r="G48" s="428"/>
      <c r="H48" s="428"/>
      <c r="I48" s="428"/>
      <c r="J48" s="428"/>
      <c r="K48" s="428"/>
      <c r="L48" s="428"/>
      <c r="M48" s="428"/>
      <c r="N48" s="428"/>
      <c r="O48" s="428"/>
      <c r="P48" s="429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27" t="s">
        <v>83</v>
      </c>
      <c r="F66" s="428"/>
      <c r="G66" s="428"/>
      <c r="H66" s="428"/>
      <c r="I66" s="428"/>
      <c r="J66" s="428"/>
      <c r="K66" s="428"/>
      <c r="L66" s="428"/>
      <c r="M66" s="428"/>
      <c r="N66" s="428"/>
      <c r="O66" s="428"/>
      <c r="P66" s="429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27" t="s">
        <v>83</v>
      </c>
      <c r="F76" s="428"/>
      <c r="G76" s="428"/>
      <c r="H76" s="428"/>
      <c r="I76" s="428"/>
      <c r="J76" s="428"/>
      <c r="K76" s="428"/>
      <c r="L76" s="428"/>
      <c r="M76" s="428"/>
      <c r="N76" s="428"/>
      <c r="O76" s="428"/>
      <c r="P76" s="429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EzfIMiamTOmQpDNTbdzQsHeLTtKLIcmcx8IzQ4cJwvvnmubDgRmzXO9EgozUC+DWSPVkJeQVEXJy+gH6exXyKQ==" saltValue="a6h4zNjeHe+s0yEB91kWYg==" spinCount="100000" sheet="1" objects="1" scenarios="1"/>
  <mergeCells count="22">
    <mergeCell ref="E48:P48"/>
    <mergeCell ref="E66:P66"/>
    <mergeCell ref="E76:P76"/>
    <mergeCell ref="P1:P2"/>
    <mergeCell ref="Z2:Z3"/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I1:I2"/>
  </mergeCells>
  <conditionalFormatting sqref="B8">
    <cfRule type="cellIs" dxfId="92" priority="19" operator="notEqual">
      <formula>$B$7</formula>
    </cfRule>
  </conditionalFormatting>
  <conditionalFormatting sqref="E3:P12">
    <cfRule type="expression" dxfId="91" priority="30">
      <formula>($D3&lt;=$S$1)</formula>
    </cfRule>
  </conditionalFormatting>
  <conditionalFormatting sqref="E3:Q12">
    <cfRule type="cellIs" dxfId="90" priority="18" operator="notBetween">
      <formula>0</formula>
      <formula>100</formula>
    </cfRule>
  </conditionalFormatting>
  <conditionalFormatting sqref="E3:Q14">
    <cfRule type="cellIs" dxfId="89" priority="21" operator="lessThan">
      <formula>0</formula>
    </cfRule>
  </conditionalFormatting>
  <conditionalFormatting sqref="E14:Q14">
    <cfRule type="cellIs" dxfId="88" priority="27" operator="greaterThan">
      <formula>1</formula>
    </cfRule>
  </conditionalFormatting>
  <conditionalFormatting sqref="Q3:Q12">
    <cfRule type="expression" dxfId="86" priority="22">
      <formula>AND($D3=$S$1, Q3=$R$2)</formula>
    </cfRule>
    <cfRule type="expression" dxfId="87" priority="23">
      <formula>AND($D3=$S$1, MOD(Q3,100)&gt;$R$2)</formula>
    </cfRule>
    <cfRule type="cellIs" dxfId="85" priority="24" operator="equal">
      <formula>100</formula>
    </cfRule>
  </conditionalFormatting>
  <conditionalFormatting sqref="Q3:Q13">
    <cfRule type="cellIs" dxfId="84" priority="25" operator="equal">
      <formula>0</formula>
    </cfRule>
  </conditionalFormatting>
  <conditionalFormatting sqref="Q13">
    <cfRule type="cellIs" dxfId="83" priority="29" operator="equal">
      <formula>$B$7</formula>
    </cfRule>
  </conditionalFormatting>
  <conditionalFormatting sqref="Q14">
    <cfRule type="cellIs" dxfId="82" priority="26" operator="equal">
      <formula>1</formula>
    </cfRule>
    <cfRule type="cellIs" dxfId="81" priority="28" operator="lessThan">
      <formula>1</formula>
    </cfRule>
  </conditionalFormatting>
  <conditionalFormatting sqref="W4:W15">
    <cfRule type="expression" dxfId="80" priority="32">
      <formula>AND($W4&lt;$W3, NOT(ISBLANK($W4)))</formula>
    </cfRule>
    <cfRule type="cellIs" dxfId="79" priority="33" operator="greaterThan">
      <formula>$B$6</formula>
    </cfRule>
  </conditionalFormatting>
  <conditionalFormatting sqref="X4:X15">
    <cfRule type="cellIs" dxfId="78" priority="20" operator="greaterThan">
      <formula>1</formula>
    </cfRule>
  </conditionalFormatting>
  <conditionalFormatting sqref="E51:N59">
    <cfRule type="expression" dxfId="77" priority="15">
      <formula>AND(E51&lt;MAX(E$50:E51), NOT(ISBLANK(E51)), NOT(E51=0))</formula>
    </cfRule>
  </conditionalFormatting>
  <conditionalFormatting sqref="E50:P59">
    <cfRule type="cellIs" dxfId="76" priority="14" operator="notBetween">
      <formula>0</formula>
      <formula>$B$7</formula>
    </cfRule>
    <cfRule type="expression" dxfId="75" priority="16">
      <formula>($D50&lt;=$S$1)</formula>
    </cfRule>
    <cfRule type="expression" dxfId="74" priority="17">
      <formula>($D50&gt;$S$1)</formula>
    </cfRule>
  </conditionalFormatting>
  <conditionalFormatting sqref="E69:N75">
    <cfRule type="expression" dxfId="73" priority="13">
      <formula>AND(E69&lt;MAX(E$68:E69), NOT(ISBLANK(E69)), NOT(E69=0))</formula>
    </cfRule>
  </conditionalFormatting>
  <conditionalFormatting sqref="E68:P75">
    <cfRule type="cellIs" dxfId="72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71" priority="10">
      <formula>($D68&lt;=$S$1)</formula>
    </cfRule>
    <cfRule type="expression" dxfId="70" priority="12">
      <formula>($D68&gt;$S$1)</formula>
    </cfRule>
  </conditionalFormatting>
  <conditionalFormatting sqref="Q50:Q59 Q68:Q72 Q78:Q80">
    <cfRule type="cellIs" dxfId="67" priority="6" operator="lessThan">
      <formula>0</formula>
    </cfRule>
    <cfRule type="cellIs" dxfId="68" priority="7" operator="equal">
      <formula>0</formula>
    </cfRule>
    <cfRule type="expression" dxfId="69" priority="8">
      <formula>OR(MOD($Q50,100)=0,AND($D50=$S$1,MOD($Q50,100)=$R$2))</formula>
    </cfRule>
  </conditionalFormatting>
  <conditionalFormatting sqref="E79:N80">
    <cfRule type="expression" dxfId="66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63" priority="1" operator="notBetween">
      <formula>0</formula>
      <formula>$B$7</formula>
    </cfRule>
    <cfRule type="expression" dxfId="65" priority="4">
      <formula>($D78&lt;=$S$1)</formula>
    </cfRule>
    <cfRule type="expression" dxfId="64" priority="5">
      <formula>($D78&gt;$S$1)</formula>
    </cfRule>
  </conditionalFormatting>
  <conditionalFormatting sqref="D3:P12">
    <cfRule type="expression" dxfId="62" priority="31">
      <formula>($D3&gt;$S$1)</formula>
    </cfRule>
  </conditionalFormatting>
  <dataValidations count="2">
    <dataValidation type="list" allowBlank="1" showInputMessage="1" showErrorMessage="1" sqref="D68:D72 D78:D82 D50:D59" xr:uid="{84C03BC7-A0D3-4F20-BB94-DCA75478DC2F}">
      <formula1>$D$3:$D$12</formula1>
    </dataValidation>
    <dataValidation type="list" allowBlank="1" showInputMessage="1" showErrorMessage="1" sqref="C50:C59" xr:uid="{6BBA1134-1C2A-4EBF-900E-8AD9534A9D25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88A78-1DA9-4041-840F-5BD8BFE57170}">
  <sheetPr codeName="Feuil40">
    <tabColor rgb="FFB4A7D6"/>
  </sheetPr>
  <dimension ref="A1:AA82"/>
  <sheetViews>
    <sheetView zoomScale="90" zoomScaleNormal="90" workbookViewId="0">
      <pane xSplit="2" topLeftCell="C1" activePane="topRight" state="frozen"/>
      <selection pane="topRight" activeCell="T14" sqref="T14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7" t="s">
        <v>88</v>
      </c>
      <c r="E1" s="449" t="str">
        <f>Synthèse!M2</f>
        <v>Candidat 1</v>
      </c>
      <c r="F1" s="434" t="str">
        <f>Synthèse!N2</f>
        <v>Candidat 2 qui a un nom super long</v>
      </c>
      <c r="G1" s="434" t="str">
        <f>Synthèse!O2</f>
        <v>Candidat 3</v>
      </c>
      <c r="H1" s="434" t="str">
        <f>Synthèse!P2</f>
        <v>Candidat 4</v>
      </c>
      <c r="I1" s="434" t="str">
        <f>Synthèse!Q2</f>
        <v>Candidat 5</v>
      </c>
      <c r="J1" s="434" t="str">
        <f>Synthèse!R2</f>
        <v>Candidat 6</v>
      </c>
      <c r="K1" s="434" t="str">
        <f>Synthèse!S2</f>
        <v>Candidat 7</v>
      </c>
      <c r="L1" s="434" t="str">
        <f>Synthèse!T2</f>
        <v>Candidat 8</v>
      </c>
      <c r="M1" s="434" t="str">
        <f>Synthèse!U2</f>
        <v>Candidat 9</v>
      </c>
      <c r="N1" s="443" t="str">
        <f>Synthèse!V2</f>
        <v>Candidat 10</v>
      </c>
      <c r="O1" s="445" t="s">
        <v>3</v>
      </c>
      <c r="P1" s="430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8"/>
      <c r="E2" s="450"/>
      <c r="F2" s="435"/>
      <c r="G2" s="435"/>
      <c r="H2" s="435"/>
      <c r="I2" s="435"/>
      <c r="J2" s="435"/>
      <c r="K2" s="435"/>
      <c r="L2" s="435"/>
      <c r="M2" s="435"/>
      <c r="N2" s="444"/>
      <c r="O2" s="446"/>
      <c r="P2" s="431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32" t="s">
        <v>62</v>
      </c>
      <c r="AA2" s="432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33"/>
      <c r="AA3" s="433"/>
    </row>
    <row r="4" spans="1:27" ht="20.100000000000001" customHeight="1" x14ac:dyDescent="0.2">
      <c r="A4" s="167" t="s">
        <v>25</v>
      </c>
      <c r="B4" s="252">
        <v>11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32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649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649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36" t="s">
        <v>63</v>
      </c>
      <c r="B10" s="436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7"/>
      <c r="B11" s="437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8" t="s">
        <v>64</v>
      </c>
      <c r="B12" s="438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8"/>
      <c r="B13" s="438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8"/>
      <c r="B14" s="438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9" t="s">
        <v>71</v>
      </c>
      <c r="B15" s="439"/>
      <c r="C15" s="1"/>
      <c r="D15" s="1"/>
      <c r="E15" s="440" t="s">
        <v>69</v>
      </c>
      <c r="F15" s="441"/>
      <c r="G15" s="441"/>
      <c r="H15" s="441"/>
      <c r="I15" s="441"/>
      <c r="J15" s="441"/>
      <c r="K15" s="441"/>
      <c r="L15" s="441"/>
      <c r="M15" s="441"/>
      <c r="N15" s="441"/>
      <c r="O15" s="441"/>
      <c r="P15" s="442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9"/>
      <c r="B16" s="439"/>
    </row>
    <row r="17" spans="1:8" ht="18" customHeight="1" x14ac:dyDescent="0.25">
      <c r="A17" s="439"/>
      <c r="B17" s="439"/>
      <c r="E17" s="336"/>
    </row>
    <row r="18" spans="1:8" ht="26.25" customHeight="1" x14ac:dyDescent="0.2">
      <c r="A18" s="439"/>
      <c r="B18" s="439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27" t="s">
        <v>83</v>
      </c>
      <c r="F48" s="428"/>
      <c r="G48" s="428"/>
      <c r="H48" s="428"/>
      <c r="I48" s="428"/>
      <c r="J48" s="428"/>
      <c r="K48" s="428"/>
      <c r="L48" s="428"/>
      <c r="M48" s="428"/>
      <c r="N48" s="428"/>
      <c r="O48" s="428"/>
      <c r="P48" s="429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27" t="s">
        <v>83</v>
      </c>
      <c r="F66" s="428"/>
      <c r="G66" s="428"/>
      <c r="H66" s="428"/>
      <c r="I66" s="428"/>
      <c r="J66" s="428"/>
      <c r="K66" s="428"/>
      <c r="L66" s="428"/>
      <c r="M66" s="428"/>
      <c r="N66" s="428"/>
      <c r="O66" s="428"/>
      <c r="P66" s="429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27" t="s">
        <v>83</v>
      </c>
      <c r="F76" s="428"/>
      <c r="G76" s="428"/>
      <c r="H76" s="428"/>
      <c r="I76" s="428"/>
      <c r="J76" s="428"/>
      <c r="K76" s="428"/>
      <c r="L76" s="428"/>
      <c r="M76" s="428"/>
      <c r="N76" s="428"/>
      <c r="O76" s="428"/>
      <c r="P76" s="429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r+U7NNMlcbnkmIs6LM57zpwkzzvElYfD7kYBCvx05OvBArgrMfl/JaeFT03Gebae3VCNV5ysgg12q18oW5u0cg==" saltValue="M2EcyJANFYwZO6+y2Lui8Q==" spinCount="100000" sheet="1" objects="1" scenarios="1"/>
  <mergeCells count="22">
    <mergeCell ref="E48:P48"/>
    <mergeCell ref="E66:P66"/>
    <mergeCell ref="E76:P76"/>
    <mergeCell ref="P1:P2"/>
    <mergeCell ref="Z2:Z3"/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I1:I2"/>
  </mergeCells>
  <conditionalFormatting sqref="B8">
    <cfRule type="cellIs" dxfId="61" priority="19" operator="notEqual">
      <formula>$B$7</formula>
    </cfRule>
  </conditionalFormatting>
  <conditionalFormatting sqref="E3:P12">
    <cfRule type="expression" dxfId="60" priority="30">
      <formula>($D3&lt;=$S$1)</formula>
    </cfRule>
  </conditionalFormatting>
  <conditionalFormatting sqref="E3:Q12">
    <cfRule type="cellIs" dxfId="59" priority="18" operator="notBetween">
      <formula>0</formula>
      <formula>100</formula>
    </cfRule>
  </conditionalFormatting>
  <conditionalFormatting sqref="E3:Q14">
    <cfRule type="cellIs" dxfId="58" priority="21" operator="lessThan">
      <formula>0</formula>
    </cfRule>
  </conditionalFormatting>
  <conditionalFormatting sqref="E14:Q14">
    <cfRule type="cellIs" dxfId="57" priority="27" operator="greaterThan">
      <formula>1</formula>
    </cfRule>
  </conditionalFormatting>
  <conditionalFormatting sqref="Q3:Q12">
    <cfRule type="expression" dxfId="55" priority="22">
      <formula>AND($D3=$S$1, Q3=$R$2)</formula>
    </cfRule>
    <cfRule type="expression" dxfId="56" priority="23">
      <formula>AND($D3=$S$1, MOD(Q3,100)&gt;$R$2)</formula>
    </cfRule>
    <cfRule type="cellIs" dxfId="54" priority="24" operator="equal">
      <formula>100</formula>
    </cfRule>
  </conditionalFormatting>
  <conditionalFormatting sqref="Q3:Q13">
    <cfRule type="cellIs" dxfId="53" priority="25" operator="equal">
      <formula>0</formula>
    </cfRule>
  </conditionalFormatting>
  <conditionalFormatting sqref="Q13">
    <cfRule type="cellIs" dxfId="52" priority="29" operator="equal">
      <formula>$B$7</formula>
    </cfRule>
  </conditionalFormatting>
  <conditionalFormatting sqref="Q14">
    <cfRule type="cellIs" dxfId="51" priority="26" operator="equal">
      <formula>1</formula>
    </cfRule>
    <cfRule type="cellIs" dxfId="50" priority="28" operator="lessThan">
      <formula>1</formula>
    </cfRule>
  </conditionalFormatting>
  <conditionalFormatting sqref="W4:W15">
    <cfRule type="expression" dxfId="49" priority="32">
      <formula>AND($W4&lt;$W3, NOT(ISBLANK($W4)))</formula>
    </cfRule>
    <cfRule type="cellIs" dxfId="48" priority="33" operator="greaterThan">
      <formula>$B$6</formula>
    </cfRule>
  </conditionalFormatting>
  <conditionalFormatting sqref="X4:X15">
    <cfRule type="cellIs" dxfId="47" priority="20" operator="greaterThan">
      <formula>1</formula>
    </cfRule>
  </conditionalFormatting>
  <conditionalFormatting sqref="E51:N59">
    <cfRule type="expression" dxfId="46" priority="15">
      <formula>AND(E51&lt;MAX(E$50:E51), NOT(ISBLANK(E51)), NOT(E51=0))</formula>
    </cfRule>
  </conditionalFormatting>
  <conditionalFormatting sqref="E50:P59">
    <cfRule type="cellIs" dxfId="45" priority="14" operator="notBetween">
      <formula>0</formula>
      <formula>$B$7</formula>
    </cfRule>
    <cfRule type="expression" dxfId="44" priority="16">
      <formula>($D50&lt;=$S$1)</formula>
    </cfRule>
    <cfRule type="expression" dxfId="43" priority="17">
      <formula>($D50&gt;$S$1)</formula>
    </cfRule>
  </conditionalFormatting>
  <conditionalFormatting sqref="E69:N75">
    <cfRule type="expression" dxfId="42" priority="13">
      <formula>AND(E69&lt;MAX(E$68:E69), NOT(ISBLANK(E69)), NOT(E69=0))</formula>
    </cfRule>
  </conditionalFormatting>
  <conditionalFormatting sqref="E68:P75">
    <cfRule type="cellIs" dxfId="41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40" priority="10">
      <formula>($D68&lt;=$S$1)</formula>
    </cfRule>
    <cfRule type="expression" dxfId="39" priority="12">
      <formula>($D68&gt;$S$1)</formula>
    </cfRule>
  </conditionalFormatting>
  <conditionalFormatting sqref="Q50:Q59 Q68:Q72 Q78:Q80">
    <cfRule type="cellIs" dxfId="36" priority="6" operator="lessThan">
      <formula>0</formula>
    </cfRule>
    <cfRule type="cellIs" dxfId="37" priority="7" operator="equal">
      <formula>0</formula>
    </cfRule>
    <cfRule type="expression" dxfId="38" priority="8">
      <formula>OR(MOD($Q50,100)=0,AND($D50=$S$1,MOD($Q50,100)=$R$2))</formula>
    </cfRule>
  </conditionalFormatting>
  <conditionalFormatting sqref="E79:N80">
    <cfRule type="expression" dxfId="35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32" priority="1" operator="notBetween">
      <formula>0</formula>
      <formula>$B$7</formula>
    </cfRule>
    <cfRule type="expression" dxfId="34" priority="4">
      <formula>($D78&lt;=$S$1)</formula>
    </cfRule>
    <cfRule type="expression" dxfId="33" priority="5">
      <formula>($D78&gt;$S$1)</formula>
    </cfRule>
  </conditionalFormatting>
  <conditionalFormatting sqref="D3:P12">
    <cfRule type="expression" dxfId="31" priority="31">
      <formula>($D3&gt;$S$1)</formula>
    </cfRule>
  </conditionalFormatting>
  <dataValidations count="2">
    <dataValidation type="list" allowBlank="1" showInputMessage="1" showErrorMessage="1" sqref="D68:D72 D78:D82 D50:D59" xr:uid="{F906E026-334E-4FD7-A910-68AAE4D7382E}">
      <formula1>$D$3:$D$12</formula1>
    </dataValidation>
    <dataValidation type="list" allowBlank="1" showInputMessage="1" showErrorMessage="1" sqref="C50:C59" xr:uid="{D697F2F7-A985-4DC2-9C17-DCD63705576F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B1E9A-A454-479B-A272-9EBECA832811}">
  <sheetPr codeName="Feuil41">
    <tabColor rgb="FFB4A7D6"/>
  </sheetPr>
  <dimension ref="A1:AA82"/>
  <sheetViews>
    <sheetView zoomScale="90" zoomScaleNormal="90" workbookViewId="0">
      <pane xSplit="2" topLeftCell="C1" activePane="topRight" state="frozen"/>
      <selection pane="topRight" activeCell="T14" sqref="T14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7" t="s">
        <v>88</v>
      </c>
      <c r="E1" s="449" t="str">
        <f>Synthèse!M2</f>
        <v>Candidat 1</v>
      </c>
      <c r="F1" s="434" t="str">
        <f>Synthèse!N2</f>
        <v>Candidat 2 qui a un nom super long</v>
      </c>
      <c r="G1" s="434" t="str">
        <f>Synthèse!O2</f>
        <v>Candidat 3</v>
      </c>
      <c r="H1" s="434" t="str">
        <f>Synthèse!P2</f>
        <v>Candidat 4</v>
      </c>
      <c r="I1" s="434" t="str">
        <f>Synthèse!Q2</f>
        <v>Candidat 5</v>
      </c>
      <c r="J1" s="434" t="str">
        <f>Synthèse!R2</f>
        <v>Candidat 6</v>
      </c>
      <c r="K1" s="434" t="str">
        <f>Synthèse!S2</f>
        <v>Candidat 7</v>
      </c>
      <c r="L1" s="434" t="str">
        <f>Synthèse!T2</f>
        <v>Candidat 8</v>
      </c>
      <c r="M1" s="434" t="str">
        <f>Synthèse!U2</f>
        <v>Candidat 9</v>
      </c>
      <c r="N1" s="443" t="str">
        <f>Synthèse!V2</f>
        <v>Candidat 10</v>
      </c>
      <c r="O1" s="445" t="s">
        <v>3</v>
      </c>
      <c r="P1" s="430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8"/>
      <c r="E2" s="450"/>
      <c r="F2" s="435"/>
      <c r="G2" s="435"/>
      <c r="H2" s="435"/>
      <c r="I2" s="435"/>
      <c r="J2" s="435"/>
      <c r="K2" s="435"/>
      <c r="L2" s="435"/>
      <c r="M2" s="435"/>
      <c r="N2" s="444"/>
      <c r="O2" s="446"/>
      <c r="P2" s="431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32" t="s">
        <v>62</v>
      </c>
      <c r="AA2" s="432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33"/>
      <c r="AA3" s="433"/>
    </row>
    <row r="4" spans="1:27" ht="20.100000000000001" customHeight="1" x14ac:dyDescent="0.2">
      <c r="A4" s="167" t="s">
        <v>25</v>
      </c>
      <c r="B4" s="252">
        <v>12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33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645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645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36" t="s">
        <v>63</v>
      </c>
      <c r="B10" s="436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7"/>
      <c r="B11" s="437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8" t="s">
        <v>64</v>
      </c>
      <c r="B12" s="438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8"/>
      <c r="B13" s="438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8"/>
      <c r="B14" s="438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9" t="s">
        <v>71</v>
      </c>
      <c r="B15" s="439"/>
      <c r="C15" s="1"/>
      <c r="D15" s="1"/>
      <c r="E15" s="440" t="s">
        <v>69</v>
      </c>
      <c r="F15" s="441"/>
      <c r="G15" s="441"/>
      <c r="H15" s="441"/>
      <c r="I15" s="441"/>
      <c r="J15" s="441"/>
      <c r="K15" s="441"/>
      <c r="L15" s="441"/>
      <c r="M15" s="441"/>
      <c r="N15" s="441"/>
      <c r="O15" s="441"/>
      <c r="P15" s="442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9"/>
      <c r="B16" s="439"/>
    </row>
    <row r="17" spans="1:8" ht="18" customHeight="1" x14ac:dyDescent="0.25">
      <c r="A17" s="439"/>
      <c r="B17" s="439"/>
      <c r="E17" s="336"/>
    </row>
    <row r="18" spans="1:8" ht="26.25" customHeight="1" x14ac:dyDescent="0.2">
      <c r="A18" s="439"/>
      <c r="B18" s="439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27" t="s">
        <v>83</v>
      </c>
      <c r="F48" s="428"/>
      <c r="G48" s="428"/>
      <c r="H48" s="428"/>
      <c r="I48" s="428"/>
      <c r="J48" s="428"/>
      <c r="K48" s="428"/>
      <c r="L48" s="428"/>
      <c r="M48" s="428"/>
      <c r="N48" s="428"/>
      <c r="O48" s="428"/>
      <c r="P48" s="429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27" t="s">
        <v>83</v>
      </c>
      <c r="F66" s="428"/>
      <c r="G66" s="428"/>
      <c r="H66" s="428"/>
      <c r="I66" s="428"/>
      <c r="J66" s="428"/>
      <c r="K66" s="428"/>
      <c r="L66" s="428"/>
      <c r="M66" s="428"/>
      <c r="N66" s="428"/>
      <c r="O66" s="428"/>
      <c r="P66" s="429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27" t="s">
        <v>83</v>
      </c>
      <c r="F76" s="428"/>
      <c r="G76" s="428"/>
      <c r="H76" s="428"/>
      <c r="I76" s="428"/>
      <c r="J76" s="428"/>
      <c r="K76" s="428"/>
      <c r="L76" s="428"/>
      <c r="M76" s="428"/>
      <c r="N76" s="428"/>
      <c r="O76" s="428"/>
      <c r="P76" s="429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tWSFYeqLnr478IF+jgIrRDYXZHC5b+haQidwY8tFK2tDZ7GDUZsjNCEvwtlP0mRLnut+igNtWrn81HGJaU7VYw==" saltValue="8D9O22TgjgIKvUExwJl1vg==" spinCount="100000" sheet="1" objects="1" scenarios="1"/>
  <mergeCells count="22">
    <mergeCell ref="E48:P48"/>
    <mergeCell ref="E66:P66"/>
    <mergeCell ref="E76:P76"/>
    <mergeCell ref="P1:P2"/>
    <mergeCell ref="Z2:Z3"/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I1:I2"/>
  </mergeCells>
  <conditionalFormatting sqref="B8">
    <cfRule type="cellIs" dxfId="30" priority="19" operator="notEqual">
      <formula>$B$7</formula>
    </cfRule>
  </conditionalFormatting>
  <conditionalFormatting sqref="E3:P12">
    <cfRule type="expression" dxfId="29" priority="30">
      <formula>($D3&lt;=$S$1)</formula>
    </cfRule>
  </conditionalFormatting>
  <conditionalFormatting sqref="E3:Q12">
    <cfRule type="cellIs" dxfId="28" priority="18" operator="notBetween">
      <formula>0</formula>
      <formula>100</formula>
    </cfRule>
  </conditionalFormatting>
  <conditionalFormatting sqref="E3:Q14">
    <cfRule type="cellIs" dxfId="27" priority="21" operator="lessThan">
      <formula>0</formula>
    </cfRule>
  </conditionalFormatting>
  <conditionalFormatting sqref="E14:Q14">
    <cfRule type="cellIs" dxfId="26" priority="27" operator="greaterThan">
      <formula>1</formula>
    </cfRule>
  </conditionalFormatting>
  <conditionalFormatting sqref="Q3:Q12">
    <cfRule type="expression" dxfId="24" priority="22">
      <formula>AND($D3=$S$1, Q3=$R$2)</formula>
    </cfRule>
    <cfRule type="expression" dxfId="25" priority="23">
      <formula>AND($D3=$S$1, MOD(Q3,100)&gt;$R$2)</formula>
    </cfRule>
    <cfRule type="cellIs" dxfId="23" priority="24" operator="equal">
      <formula>100</formula>
    </cfRule>
  </conditionalFormatting>
  <conditionalFormatting sqref="Q3:Q13">
    <cfRule type="cellIs" dxfId="22" priority="25" operator="equal">
      <formula>0</formula>
    </cfRule>
  </conditionalFormatting>
  <conditionalFormatting sqref="Q13">
    <cfRule type="cellIs" dxfId="21" priority="29" operator="equal">
      <formula>$B$7</formula>
    </cfRule>
  </conditionalFormatting>
  <conditionalFormatting sqref="Q14">
    <cfRule type="cellIs" dxfId="20" priority="26" operator="equal">
      <formula>1</formula>
    </cfRule>
    <cfRule type="cellIs" dxfId="19" priority="28" operator="lessThan">
      <formula>1</formula>
    </cfRule>
  </conditionalFormatting>
  <conditionalFormatting sqref="W4:W15">
    <cfRule type="expression" dxfId="18" priority="32">
      <formula>AND($W4&lt;$W3, NOT(ISBLANK($W4)))</formula>
    </cfRule>
    <cfRule type="cellIs" dxfId="17" priority="33" operator="greaterThan">
      <formula>$B$6</formula>
    </cfRule>
  </conditionalFormatting>
  <conditionalFormatting sqref="X4:X15">
    <cfRule type="cellIs" dxfId="16" priority="20" operator="greaterThan">
      <formula>1</formula>
    </cfRule>
  </conditionalFormatting>
  <conditionalFormatting sqref="E51:N59">
    <cfRule type="expression" dxfId="15" priority="15">
      <formula>AND(E51&lt;MAX(E$50:E51), NOT(ISBLANK(E51)), NOT(E51=0))</formula>
    </cfRule>
  </conditionalFormatting>
  <conditionalFormatting sqref="E50:P59">
    <cfRule type="cellIs" dxfId="14" priority="14" operator="notBetween">
      <formula>0</formula>
      <formula>$B$7</formula>
    </cfRule>
    <cfRule type="expression" dxfId="13" priority="16">
      <formula>($D50&lt;=$S$1)</formula>
    </cfRule>
    <cfRule type="expression" dxfId="12" priority="17">
      <formula>($D50&gt;$S$1)</formula>
    </cfRule>
  </conditionalFormatting>
  <conditionalFormatting sqref="E69:N75">
    <cfRule type="expression" dxfId="11" priority="13">
      <formula>AND(E69&lt;MAX(E$68:E69), NOT(ISBLANK(E69)), NOT(E69=0))</formula>
    </cfRule>
  </conditionalFormatting>
  <conditionalFormatting sqref="E68:P75">
    <cfRule type="cellIs" dxfId="10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9" priority="10">
      <formula>($D68&lt;=$S$1)</formula>
    </cfRule>
    <cfRule type="expression" dxfId="8" priority="12">
      <formula>($D68&gt;$S$1)</formula>
    </cfRule>
  </conditionalFormatting>
  <conditionalFormatting sqref="Q50:Q59 Q68:Q72 Q78:Q80">
    <cfRule type="cellIs" dxfId="5" priority="6" operator="lessThan">
      <formula>0</formula>
    </cfRule>
    <cfRule type="cellIs" dxfId="6" priority="7" operator="equal">
      <formula>0</formula>
    </cfRule>
    <cfRule type="expression" dxfId="7" priority="8">
      <formula>OR(MOD($Q50,100)=0,AND($D50=$S$1,MOD($Q50,100)=$R$2))</formula>
    </cfRule>
  </conditionalFormatting>
  <conditionalFormatting sqref="E79:N80">
    <cfRule type="expression" dxfId="4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1" priority="1" operator="notBetween">
      <formula>0</formula>
      <formula>$B$7</formula>
    </cfRule>
    <cfRule type="expression" dxfId="3" priority="4">
      <formula>($D78&lt;=$S$1)</formula>
    </cfRule>
    <cfRule type="expression" dxfId="2" priority="5">
      <formula>($D78&gt;$S$1)</formula>
    </cfRule>
  </conditionalFormatting>
  <conditionalFormatting sqref="D3:P12">
    <cfRule type="expression" dxfId="0" priority="31">
      <formula>($D3&gt;$S$1)</formula>
    </cfRule>
  </conditionalFormatting>
  <dataValidations count="2">
    <dataValidation type="list" allowBlank="1" showInputMessage="1" showErrorMessage="1" sqref="D68:D72 D78:D82 D50:D59" xr:uid="{4878B2CD-FF65-41A0-A244-9E3AC97A820D}">
      <formula1>$D$3:$D$12</formula1>
    </dataValidation>
    <dataValidation type="list" allowBlank="1" showInputMessage="1" showErrorMessage="1" sqref="C50:C59" xr:uid="{63963A01-0730-42CC-A25C-028B5BD1730E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42</vt:i4>
      </vt:variant>
    </vt:vector>
  </HeadingPairs>
  <TitlesOfParts>
    <vt:vector size="58" baseType="lpstr">
      <vt:lpstr>Synthèse</vt:lpstr>
      <vt:lpstr>Participation horaire</vt:lpstr>
      <vt:lpstr>Exemple</vt:lpstr>
      <vt:lpstr>Bureau 0</vt:lpstr>
      <vt:lpstr>Bureau 1</vt:lpstr>
      <vt:lpstr>Bureau 2</vt:lpstr>
      <vt:lpstr>Bureau 3</vt:lpstr>
      <vt:lpstr>Bureau 4</vt:lpstr>
      <vt:lpstr>Bureau 5</vt:lpstr>
      <vt:lpstr>Bureau 6</vt:lpstr>
      <vt:lpstr>Bureau 7</vt:lpstr>
      <vt:lpstr>Bureau 8</vt:lpstr>
      <vt:lpstr>Bureau 9</vt:lpstr>
      <vt:lpstr>Bureau 10</vt:lpstr>
      <vt:lpstr>Bureau 11</vt:lpstr>
      <vt:lpstr>Bureau 12</vt:lpstr>
      <vt:lpstr>'Bureau 1'!Table1</vt:lpstr>
      <vt:lpstr>'Bureau 10'!Table1</vt:lpstr>
      <vt:lpstr>'Bureau 11'!Table1</vt:lpstr>
      <vt:lpstr>'Bureau 12'!Table1</vt:lpstr>
      <vt:lpstr>'Bureau 2'!Table1</vt:lpstr>
      <vt:lpstr>'Bureau 3'!Table1</vt:lpstr>
      <vt:lpstr>'Bureau 4'!Table1</vt:lpstr>
      <vt:lpstr>'Bureau 5'!Table1</vt:lpstr>
      <vt:lpstr>'Bureau 6'!Table1</vt:lpstr>
      <vt:lpstr>'Bureau 7'!Table1</vt:lpstr>
      <vt:lpstr>'Bureau 8'!Table1</vt:lpstr>
      <vt:lpstr>'Bureau 9'!Table1</vt:lpstr>
      <vt:lpstr>Exemple!Table1</vt:lpstr>
      <vt:lpstr>Table1</vt:lpstr>
      <vt:lpstr>'Bureau 1'!Table2</vt:lpstr>
      <vt:lpstr>'Bureau 10'!Table2</vt:lpstr>
      <vt:lpstr>'Bureau 11'!Table2</vt:lpstr>
      <vt:lpstr>'Bureau 12'!Table2</vt:lpstr>
      <vt:lpstr>'Bureau 2'!Table2</vt:lpstr>
      <vt:lpstr>'Bureau 3'!Table2</vt:lpstr>
      <vt:lpstr>'Bureau 4'!Table2</vt:lpstr>
      <vt:lpstr>'Bureau 5'!Table2</vt:lpstr>
      <vt:lpstr>'Bureau 6'!Table2</vt:lpstr>
      <vt:lpstr>'Bureau 7'!Table2</vt:lpstr>
      <vt:lpstr>'Bureau 8'!Table2</vt:lpstr>
      <vt:lpstr>'Bureau 9'!Table2</vt:lpstr>
      <vt:lpstr>Exemple!Table2</vt:lpstr>
      <vt:lpstr>Table2</vt:lpstr>
      <vt:lpstr>'Bureau 1'!Table3</vt:lpstr>
      <vt:lpstr>'Bureau 10'!Table3</vt:lpstr>
      <vt:lpstr>'Bureau 11'!Table3</vt:lpstr>
      <vt:lpstr>'Bureau 12'!Table3</vt:lpstr>
      <vt:lpstr>'Bureau 2'!Table3</vt:lpstr>
      <vt:lpstr>'Bureau 3'!Table3</vt:lpstr>
      <vt:lpstr>'Bureau 4'!Table3</vt:lpstr>
      <vt:lpstr>'Bureau 5'!Table3</vt:lpstr>
      <vt:lpstr>'Bureau 6'!Table3</vt:lpstr>
      <vt:lpstr>'Bureau 7'!Table3</vt:lpstr>
      <vt:lpstr>'Bureau 8'!Table3</vt:lpstr>
      <vt:lpstr>'Bureau 9'!Table3</vt:lpstr>
      <vt:lpstr>Exemple!Table3</vt:lpstr>
      <vt:lpstr>Table3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Remi Barbero</dc:creator>
  <cp:lastModifiedBy>Rémi Barbero</cp:lastModifiedBy>
  <cp:lastPrinted>2025-04-24T12:11:21Z</cp:lastPrinted>
  <dcterms:created xsi:type="dcterms:W3CDTF">2025-03-13T09:37:21Z</dcterms:created>
  <dcterms:modified xsi:type="dcterms:W3CDTF">2025-08-08T09:56:50Z</dcterms:modified>
</cp:coreProperties>
</file>